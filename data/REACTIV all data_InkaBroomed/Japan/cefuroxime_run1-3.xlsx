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5" documentId="13_ncr:1_{8BCDD038-BCDA-45E5-9D5D-DAF4C43E86A0}" xr6:coauthVersionLast="47" xr6:coauthVersionMax="47" xr10:uidLastSave="{D358C8A0-D865-4060-AFDC-C3BBD0E93BE3}"/>
  <bookViews>
    <workbookView xWindow="-120" yWindow="-120" windowWidth="29040" windowHeight="15840" firstSheet="1" activeTab="1"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E78" i="4"/>
  <c r="U78" i="4"/>
  <c r="R78" i="4"/>
  <c r="K78" i="4"/>
  <c r="D78" i="4"/>
  <c r="T78" i="4"/>
  <c r="I78" i="4"/>
  <c r="F78" i="4"/>
  <c r="V78" i="4"/>
  <c r="O78" i="4"/>
  <c r="H78" i="4"/>
  <c r="B78" i="4"/>
  <c r="Q78" i="4"/>
  <c r="G78" i="4"/>
  <c r="M78" i="4"/>
  <c r="J78" i="4"/>
  <c r="C78" i="4"/>
  <c r="S78" i="4"/>
  <c r="L78" i="4"/>
  <c r="N78" i="4"/>
  <c r="W78" i="4"/>
  <c r="P78" i="4"/>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43" i="33"/>
  <c r="N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42" i="33"/>
  <c r="N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41" i="33"/>
  <c r="N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40" i="33"/>
  <c r="N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39" i="33"/>
  <c r="N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38" i="33"/>
  <c r="N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37" i="33"/>
  <c r="N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36" i="33"/>
  <c r="N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N35" i="33"/>
  <c r="N45" i="4" s="1"/>
  <c r="Q34" i="33"/>
  <c r="R44" i="4" s="1"/>
  <c r="N34" i="33"/>
  <c r="N44" i="4" s="1"/>
  <c r="N33" i="33"/>
  <c r="N43" i="4" s="1"/>
  <c r="N32" i="33"/>
  <c r="N42" i="4" s="1"/>
  <c r="Q31" i="33"/>
  <c r="R41" i="4" s="1"/>
  <c r="P31" i="33"/>
  <c r="Q41" i="4" s="1"/>
  <c r="N31" i="33"/>
  <c r="N41" i="4" s="1"/>
  <c r="N30" i="33"/>
  <c r="N40" i="4" s="1"/>
  <c r="N29" i="33"/>
  <c r="N39" i="4" s="1"/>
  <c r="N28" i="33"/>
  <c r="V24" i="33"/>
  <c r="U24" i="33"/>
  <c r="T24" i="33"/>
  <c r="S24" i="33"/>
  <c r="R24" i="33"/>
  <c r="Q24" i="33"/>
  <c r="P24" i="33"/>
  <c r="O24" i="33"/>
  <c r="N24" i="33"/>
  <c r="L24" i="33"/>
  <c r="J24" i="33"/>
  <c r="I24" i="33"/>
  <c r="H24" i="33"/>
  <c r="G24" i="33"/>
  <c r="F24" i="33"/>
  <c r="E24" i="33"/>
  <c r="D24" i="33"/>
  <c r="C24" i="33"/>
  <c r="B24" i="33"/>
  <c r="V23" i="33"/>
  <c r="U23" i="33"/>
  <c r="T23" i="33"/>
  <c r="S23" i="33"/>
  <c r="R23" i="33"/>
  <c r="Q23" i="33"/>
  <c r="P23" i="33"/>
  <c r="O23" i="33"/>
  <c r="M35" i="33" s="1"/>
  <c r="M45" i="4" s="1"/>
  <c r="N23" i="33"/>
  <c r="L23" i="33"/>
  <c r="J23" i="33"/>
  <c r="I23" i="33"/>
  <c r="H23" i="33"/>
  <c r="G23" i="33"/>
  <c r="F23" i="33"/>
  <c r="E23" i="33"/>
  <c r="D23" i="33"/>
  <c r="C23" i="33"/>
  <c r="B23" i="33"/>
  <c r="A22" i="33"/>
  <c r="H22" i="33"/>
  <c r="G45" i="33"/>
  <c r="F27" i="33"/>
  <c r="F52" i="33" s="1"/>
  <c r="E45" i="33"/>
  <c r="D22" i="33"/>
  <c r="C45" i="33"/>
  <c r="B45" i="33"/>
  <c r="O56" i="33"/>
  <c r="N56" i="33"/>
  <c r="V56" i="33"/>
  <c r="Q56" i="33"/>
  <c r="K56" i="33"/>
  <c r="J56" i="33"/>
  <c r="M56" i="33"/>
  <c r="L56" i="33"/>
  <c r="T56" i="33"/>
  <c r="C56" i="33"/>
  <c r="F56" i="33"/>
  <c r="R56" i="33"/>
  <c r="E56" i="33"/>
  <c r="G56" i="33"/>
  <c r="H56" i="33"/>
  <c r="S56" i="33"/>
  <c r="B56" i="33"/>
  <c r="I56" i="33"/>
  <c r="P56" i="33"/>
  <c r="U56" i="33"/>
  <c r="D56" i="33"/>
  <c r="Q28" i="33" l="1"/>
  <c r="P29" i="33"/>
  <c r="Q39" i="4" s="1"/>
  <c r="P34" i="33"/>
  <c r="Q44" i="4" s="1"/>
  <c r="Q29" i="33"/>
  <c r="R39" i="4" s="1"/>
  <c r="P32" i="33"/>
  <c r="Q42" i="4" s="1"/>
  <c r="Q32" i="33"/>
  <c r="R42" i="4" s="1"/>
  <c r="P35" i="33"/>
  <c r="Q45" i="4" s="1"/>
  <c r="P30" i="33"/>
  <c r="Q40" i="4" s="1"/>
  <c r="Q35" i="33"/>
  <c r="R45" i="4" s="1"/>
  <c r="Q30" i="33"/>
  <c r="R40" i="4" s="1"/>
  <c r="P33" i="33"/>
  <c r="Q43" i="4" s="1"/>
  <c r="P28" i="33"/>
  <c r="Q38" i="4" s="1"/>
  <c r="Q33" i="33"/>
  <c r="R43" i="4" s="1"/>
  <c r="C28" i="33"/>
  <c r="O28" i="33"/>
  <c r="O29" i="33"/>
  <c r="P39" i="4" s="1"/>
  <c r="C30" i="33"/>
  <c r="C40" i="4" s="1"/>
  <c r="G30" i="33"/>
  <c r="G40" i="4" s="1"/>
  <c r="K30" i="33"/>
  <c r="K40" i="4" s="1"/>
  <c r="T30" i="33"/>
  <c r="U40" i="4" s="1"/>
  <c r="H31" i="33"/>
  <c r="H41" i="4" s="1"/>
  <c r="V31" i="33"/>
  <c r="W41" i="4" s="1"/>
  <c r="B32" i="33"/>
  <c r="B42" i="4" s="1"/>
  <c r="J32" i="33"/>
  <c r="J42" i="4" s="1"/>
  <c r="D33" i="33"/>
  <c r="D43" i="4" s="1"/>
  <c r="E34" i="33"/>
  <c r="E44" i="4" s="1"/>
  <c r="M34" i="33"/>
  <c r="M44" i="4" s="1"/>
  <c r="V34" i="33"/>
  <c r="W44" i="4" s="1"/>
  <c r="F35" i="33"/>
  <c r="F45" i="4" s="1"/>
  <c r="J35" i="33"/>
  <c r="J45" i="4" s="1"/>
  <c r="T35" i="33"/>
  <c r="U45" i="4" s="1"/>
  <c r="O38" i="33"/>
  <c r="P48" i="4" s="1"/>
  <c r="H28" i="33"/>
  <c r="H38" i="4" s="1"/>
  <c r="T28" i="33"/>
  <c r="U38" i="4" s="1"/>
  <c r="D30" i="33"/>
  <c r="D40" i="4" s="1"/>
  <c r="E31" i="33"/>
  <c r="E41" i="4" s="1"/>
  <c r="I31" i="33"/>
  <c r="I41" i="4" s="1"/>
  <c r="O31" i="33"/>
  <c r="P41" i="4" s="1"/>
  <c r="E33" i="33"/>
  <c r="E43" i="4" s="1"/>
  <c r="M33" i="33"/>
  <c r="M43" i="4" s="1"/>
  <c r="V33" i="33"/>
  <c r="W43" i="4" s="1"/>
  <c r="F34" i="33"/>
  <c r="F44" i="4" s="1"/>
  <c r="J34" i="33"/>
  <c r="J44" i="4" s="1"/>
  <c r="O34" i="33"/>
  <c r="P44" i="4" s="1"/>
  <c r="C35" i="33"/>
  <c r="C45" i="4" s="1"/>
  <c r="O37" i="33"/>
  <c r="P47" i="4" s="1"/>
  <c r="O41" i="33"/>
  <c r="P51" i="4" s="1"/>
  <c r="E28" i="33"/>
  <c r="I28" i="33"/>
  <c r="M28" i="33"/>
  <c r="U28" i="33"/>
  <c r="V38" i="4" s="1"/>
  <c r="D29" i="33"/>
  <c r="D39" i="4" s="1"/>
  <c r="H29" i="33"/>
  <c r="H39" i="4" s="1"/>
  <c r="L29" i="33"/>
  <c r="L39" i="4" s="1"/>
  <c r="U29" i="33"/>
  <c r="V39" i="4" s="1"/>
  <c r="E30" i="33"/>
  <c r="E40" i="4" s="1"/>
  <c r="I30" i="33"/>
  <c r="I40" i="4" s="1"/>
  <c r="M30" i="33"/>
  <c r="M40" i="4" s="1"/>
  <c r="R30" i="33"/>
  <c r="S40" i="4" s="1"/>
  <c r="V30" i="33"/>
  <c r="W40" i="4" s="1"/>
  <c r="B31" i="33"/>
  <c r="B41" i="4" s="1"/>
  <c r="F31" i="33"/>
  <c r="F41" i="4" s="1"/>
  <c r="J31" i="33"/>
  <c r="J41" i="4" s="1"/>
  <c r="T31" i="33"/>
  <c r="U41" i="4" s="1"/>
  <c r="D32" i="33"/>
  <c r="D42" i="4" s="1"/>
  <c r="H32" i="33"/>
  <c r="H42" i="4" s="1"/>
  <c r="L32" i="33"/>
  <c r="L42" i="4" s="1"/>
  <c r="R32" i="33"/>
  <c r="S42" i="4" s="1"/>
  <c r="V32" i="33"/>
  <c r="W42" i="4" s="1"/>
  <c r="B33" i="33"/>
  <c r="B43" i="4" s="1"/>
  <c r="F33" i="33"/>
  <c r="F43" i="4" s="1"/>
  <c r="J33" i="33"/>
  <c r="J43" i="4" s="1"/>
  <c r="O33" i="33"/>
  <c r="P43" i="4" s="1"/>
  <c r="S33" i="33"/>
  <c r="T43" i="4" s="1"/>
  <c r="C34" i="33"/>
  <c r="C44" i="4" s="1"/>
  <c r="G34" i="33"/>
  <c r="G44" i="4" s="1"/>
  <c r="K34" i="33"/>
  <c r="K44" i="4" s="1"/>
  <c r="T34" i="33"/>
  <c r="U44" i="4" s="1"/>
  <c r="D35" i="33"/>
  <c r="D45" i="4" s="1"/>
  <c r="H35" i="33"/>
  <c r="H45" i="4" s="1"/>
  <c r="L35" i="33"/>
  <c r="L45" i="4" s="1"/>
  <c r="R35" i="33"/>
  <c r="S45" i="4" s="1"/>
  <c r="V35" i="33"/>
  <c r="W45" i="4" s="1"/>
  <c r="O36" i="33"/>
  <c r="P46" i="4" s="1"/>
  <c r="O40" i="33"/>
  <c r="P50" i="4" s="1"/>
  <c r="G28" i="33"/>
  <c r="K28" i="33"/>
  <c r="S28" i="33"/>
  <c r="B29" i="33"/>
  <c r="B39" i="4" s="1"/>
  <c r="F29" i="33"/>
  <c r="F39" i="4" s="1"/>
  <c r="J29" i="33"/>
  <c r="J39" i="4" s="1"/>
  <c r="S29" i="33"/>
  <c r="T39" i="4" s="1"/>
  <c r="D31" i="33"/>
  <c r="D41" i="4" s="1"/>
  <c r="L31" i="33"/>
  <c r="L41" i="4" s="1"/>
  <c r="R31" i="33"/>
  <c r="S41" i="4" s="1"/>
  <c r="F32" i="33"/>
  <c r="F42" i="4" s="1"/>
  <c r="T32" i="33"/>
  <c r="U42" i="4" s="1"/>
  <c r="H33" i="33"/>
  <c r="H43" i="4" s="1"/>
  <c r="L33" i="33"/>
  <c r="L43" i="4" s="1"/>
  <c r="U33" i="33"/>
  <c r="V43" i="4" s="1"/>
  <c r="I34" i="33"/>
  <c r="I44" i="4" s="1"/>
  <c r="R34" i="33"/>
  <c r="S44" i="4" s="1"/>
  <c r="B35" i="33"/>
  <c r="B45" i="4" s="1"/>
  <c r="O42" i="33"/>
  <c r="P52" i="4" s="1"/>
  <c r="D28" i="33"/>
  <c r="L28" i="33"/>
  <c r="L38" i="4" s="1"/>
  <c r="C29" i="33"/>
  <c r="C39" i="4" s="1"/>
  <c r="G29" i="33"/>
  <c r="G39" i="4" s="1"/>
  <c r="K29" i="33"/>
  <c r="K39" i="4" s="1"/>
  <c r="T29" i="33"/>
  <c r="U39" i="4" s="1"/>
  <c r="H30" i="33"/>
  <c r="H40" i="4" s="1"/>
  <c r="L30" i="33"/>
  <c r="L40" i="4" s="1"/>
  <c r="U30" i="33"/>
  <c r="V40" i="4" s="1"/>
  <c r="S31" i="33"/>
  <c r="T41" i="4" s="1"/>
  <c r="C32" i="33"/>
  <c r="C42" i="4" s="1"/>
  <c r="G32" i="33"/>
  <c r="G42" i="4" s="1"/>
  <c r="K32" i="33"/>
  <c r="K42" i="4" s="1"/>
  <c r="U32" i="33"/>
  <c r="V42" i="4" s="1"/>
  <c r="I33" i="33"/>
  <c r="I43" i="4" s="1"/>
  <c r="R33" i="33"/>
  <c r="S43" i="4" s="1"/>
  <c r="B34" i="33"/>
  <c r="B44" i="4" s="1"/>
  <c r="S34" i="33"/>
  <c r="T44" i="4" s="1"/>
  <c r="G35" i="33"/>
  <c r="G45" i="4" s="1"/>
  <c r="K35" i="33"/>
  <c r="K45" i="4" s="1"/>
  <c r="U35" i="33"/>
  <c r="V45" i="4" s="1"/>
  <c r="B28" i="33"/>
  <c r="F28" i="33"/>
  <c r="J28" i="33"/>
  <c r="R28" i="33"/>
  <c r="V28" i="33"/>
  <c r="W38" i="4" s="1"/>
  <c r="E29" i="33"/>
  <c r="E39" i="4" s="1"/>
  <c r="I29" i="33"/>
  <c r="I39" i="4" s="1"/>
  <c r="M29" i="33"/>
  <c r="M39" i="4" s="1"/>
  <c r="R29" i="33"/>
  <c r="S39" i="4" s="1"/>
  <c r="V29" i="33"/>
  <c r="W39" i="4" s="1"/>
  <c r="B30" i="33"/>
  <c r="B40" i="4" s="1"/>
  <c r="F30" i="33"/>
  <c r="F40" i="4" s="1"/>
  <c r="J30" i="33"/>
  <c r="J40" i="4" s="1"/>
  <c r="O30" i="33"/>
  <c r="P40" i="4" s="1"/>
  <c r="S30" i="33"/>
  <c r="T40" i="4" s="1"/>
  <c r="C31" i="33"/>
  <c r="C41" i="4" s="1"/>
  <c r="G31" i="33"/>
  <c r="G41" i="4" s="1"/>
  <c r="K31" i="33"/>
  <c r="K41" i="4" s="1"/>
  <c r="U31" i="33"/>
  <c r="V41" i="4" s="1"/>
  <c r="E32" i="33"/>
  <c r="E42" i="4" s="1"/>
  <c r="I32" i="33"/>
  <c r="I42" i="4" s="1"/>
  <c r="O32" i="33"/>
  <c r="P42" i="4" s="1"/>
  <c r="S32" i="33"/>
  <c r="T42" i="4" s="1"/>
  <c r="C33" i="33"/>
  <c r="C43" i="4" s="1"/>
  <c r="G33" i="33"/>
  <c r="G43" i="4" s="1"/>
  <c r="K33" i="33"/>
  <c r="K43" i="4" s="1"/>
  <c r="T33" i="33"/>
  <c r="U43" i="4" s="1"/>
  <c r="D34" i="33"/>
  <c r="D44" i="4" s="1"/>
  <c r="H34" i="33"/>
  <c r="H44" i="4" s="1"/>
  <c r="L34" i="33"/>
  <c r="L44" i="4" s="1"/>
  <c r="U34" i="33"/>
  <c r="V44" i="4" s="1"/>
  <c r="E35" i="33"/>
  <c r="E45" i="4" s="1"/>
  <c r="I35" i="33"/>
  <c r="I45" i="4" s="1"/>
  <c r="O35" i="33"/>
  <c r="P45" i="4" s="1"/>
  <c r="S35" i="33"/>
  <c r="T45" i="4" s="1"/>
  <c r="O39" i="33"/>
  <c r="P49" i="4" s="1"/>
  <c r="O43" i="33"/>
  <c r="P53" i="4" s="1"/>
  <c r="M32" i="33"/>
  <c r="M42" i="4" s="1"/>
  <c r="M31" i="33"/>
  <c r="M41" i="4" s="1"/>
  <c r="E38" i="4"/>
  <c r="S38" i="4"/>
  <c r="B38" i="4"/>
  <c r="N46" i="33"/>
  <c r="N53" i="33" s="1"/>
  <c r="B22" i="33"/>
  <c r="E22" i="33"/>
  <c r="I45" i="33"/>
  <c r="I52" i="33"/>
  <c r="I27" i="33"/>
  <c r="C38" i="4"/>
  <c r="G38" i="4"/>
  <c r="K38" i="4"/>
  <c r="P47" i="33"/>
  <c r="P48" i="33" s="1"/>
  <c r="P54" i="33" s="1"/>
  <c r="B27" i="33"/>
  <c r="B52" i="33" s="1"/>
  <c r="R38" i="4"/>
  <c r="D27" i="33"/>
  <c r="D52" i="33" s="1"/>
  <c r="I22" i="33"/>
  <c r="E27" i="33"/>
  <c r="E52" i="33" s="1"/>
  <c r="F38" i="4"/>
  <c r="N38" i="4"/>
  <c r="N47" i="33"/>
  <c r="N48" i="33" s="1"/>
  <c r="N54" i="33" s="1"/>
  <c r="P38" i="4"/>
  <c r="T38" i="4"/>
  <c r="D45" i="33"/>
  <c r="G57" i="33"/>
  <c r="N57" i="33"/>
  <c r="T57" i="33"/>
  <c r="H57" i="33"/>
  <c r="O57" i="33"/>
  <c r="U57" i="33"/>
  <c r="C57" i="33"/>
  <c r="J57" i="33"/>
  <c r="P57" i="33"/>
  <c r="D57" i="33"/>
  <c r="L57" i="33"/>
  <c r="S57" i="33"/>
  <c r="F57" i="33"/>
  <c r="K57" i="33"/>
  <c r="Q57" i="33"/>
  <c r="B57" i="33"/>
  <c r="E57" i="33"/>
  <c r="I57" i="33"/>
  <c r="M57" i="33"/>
  <c r="R57" i="33"/>
  <c r="V57" i="33"/>
  <c r="U46" i="33"/>
  <c r="U53" i="33" s="1"/>
  <c r="F22" i="33"/>
  <c r="F45" i="33"/>
  <c r="G22" i="33"/>
  <c r="G27" i="33"/>
  <c r="G52" i="33" s="1"/>
  <c r="C22" i="33"/>
  <c r="C27" i="33"/>
  <c r="C52" i="33" s="1"/>
  <c r="H27" i="33"/>
  <c r="H52" i="33" s="1"/>
  <c r="H45" i="33"/>
  <c r="F46" i="33" l="1"/>
  <c r="F53" i="33" s="1"/>
  <c r="S46" i="33"/>
  <c r="S53" i="33" s="1"/>
  <c r="M46" i="33"/>
  <c r="M53" i="33" s="1"/>
  <c r="D46" i="33"/>
  <c r="D53" i="33" s="1"/>
  <c r="M38" i="4"/>
  <c r="R47" i="33"/>
  <c r="R48" i="33" s="1"/>
  <c r="R54" i="33" s="1"/>
  <c r="D47" i="33"/>
  <c r="D48" i="33" s="1"/>
  <c r="D54" i="33" s="1"/>
  <c r="I47" i="33"/>
  <c r="I48" i="33" s="1"/>
  <c r="I54" i="33" s="1"/>
  <c r="V46" i="33"/>
  <c r="V53" i="33" s="1"/>
  <c r="J46" i="33"/>
  <c r="J53" i="33" s="1"/>
  <c r="S47" i="33"/>
  <c r="S48" i="33" s="1"/>
  <c r="S54" i="33" s="1"/>
  <c r="P46" i="33"/>
  <c r="P53" i="33" s="1"/>
  <c r="Q47" i="33"/>
  <c r="Q48" i="33" s="1"/>
  <c r="Q54" i="33" s="1"/>
  <c r="K47" i="33"/>
  <c r="K48" i="33" s="1"/>
  <c r="K54" i="33" s="1"/>
  <c r="E46" i="33"/>
  <c r="E53" i="33" s="1"/>
  <c r="J38" i="4"/>
  <c r="G47" i="33"/>
  <c r="G48" i="33" s="1"/>
  <c r="G54" i="33" s="1"/>
  <c r="T47" i="33"/>
  <c r="T48" i="33" s="1"/>
  <c r="T54" i="33" s="1"/>
  <c r="D38" i="4"/>
  <c r="Q46" i="33"/>
  <c r="Q53" i="33" s="1"/>
  <c r="C47" i="33"/>
  <c r="C48" i="33" s="1"/>
  <c r="C54" i="33" s="1"/>
  <c r="M47" i="33"/>
  <c r="M48" i="33" s="1"/>
  <c r="M54" i="33" s="1"/>
  <c r="E47" i="33"/>
  <c r="E48" i="33" s="1"/>
  <c r="E54" i="33" s="1"/>
  <c r="H47" i="33"/>
  <c r="H48" i="33" s="1"/>
  <c r="H54" i="33" s="1"/>
  <c r="F47" i="33"/>
  <c r="F48" i="33" s="1"/>
  <c r="F54" i="33" s="1"/>
  <c r="T46" i="33"/>
  <c r="T53" i="33" s="1"/>
  <c r="T55" i="33" s="1"/>
  <c r="I38" i="4"/>
  <c r="I46" i="33"/>
  <c r="I53" i="33" s="1"/>
  <c r="H46" i="33"/>
  <c r="H53" i="33" s="1"/>
  <c r="O46" i="33"/>
  <c r="O53" i="33" s="1"/>
  <c r="O55" i="33" s="1"/>
  <c r="J47" i="33"/>
  <c r="J48" i="33" s="1"/>
  <c r="J54" i="33" s="1"/>
  <c r="G46" i="33"/>
  <c r="G53" i="33" s="1"/>
  <c r="L46" i="33"/>
  <c r="L53" i="33" s="1"/>
  <c r="K46" i="33"/>
  <c r="K53" i="33" s="1"/>
  <c r="V47" i="33"/>
  <c r="V48" i="33" s="1"/>
  <c r="V54" i="33" s="1"/>
  <c r="L47" i="33"/>
  <c r="L48" i="33" s="1"/>
  <c r="L54" i="33" s="1"/>
  <c r="R46" i="33"/>
  <c r="R53" i="33" s="1"/>
  <c r="B46" i="33"/>
  <c r="B53" i="33" s="1"/>
  <c r="B47" i="33"/>
  <c r="B48" i="33" s="1"/>
  <c r="B54" i="33" s="1"/>
  <c r="U47" i="33"/>
  <c r="U48" i="33" s="1"/>
  <c r="U54" i="33" s="1"/>
  <c r="O47" i="33"/>
  <c r="O48" i="33" s="1"/>
  <c r="O54" i="33" s="1"/>
  <c r="C46" i="33"/>
  <c r="C53" i="33" s="1"/>
  <c r="V55" i="33"/>
  <c r="O59" i="33"/>
  <c r="O60" i="33" s="1"/>
  <c r="O61" i="33" s="1"/>
  <c r="N59" i="33"/>
  <c r="N60" i="33" s="1"/>
  <c r="N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65" i="33"/>
  <c r="B64" i="33"/>
  <c r="M55" i="33" l="1"/>
  <c r="Q55" i="33"/>
  <c r="P55" i="33"/>
  <c r="S55" i="33"/>
  <c r="R55" i="33"/>
  <c r="U55" i="33"/>
  <c r="D55" i="33"/>
  <c r="B55" i="33"/>
  <c r="K55" i="33"/>
  <c r="L55" i="33"/>
  <c r="N55" i="33"/>
  <c r="G55" i="33"/>
  <c r="F55" i="33"/>
  <c r="C55" i="33"/>
  <c r="J55" i="33"/>
  <c r="H55" i="33"/>
  <c r="I55" i="33"/>
  <c r="E55" i="33"/>
  <c r="M4" i="33" l="1"/>
  <c r="N4" i="33"/>
  <c r="L4" i="33" l="1"/>
  <c r="L22" i="33" s="1"/>
  <c r="K4" i="33"/>
  <c r="K22" i="33" s="1"/>
  <c r="J4" i="33"/>
  <c r="J52" i="33" s="1"/>
  <c r="M45" i="33"/>
  <c r="M52" i="33"/>
  <c r="M27" i="33"/>
  <c r="M22" i="33"/>
  <c r="N27" i="33"/>
  <c r="N52" i="33"/>
  <c r="N22" i="33"/>
  <c r="N45"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N4" i="1" l="1"/>
  <c r="N45" i="1" s="1"/>
  <c r="P22" i="1"/>
  <c r="Q45" i="1"/>
  <c r="P33" i="23"/>
  <c r="Q27" i="4" s="1"/>
  <c r="P36" i="23"/>
  <c r="Q30" i="4" s="1"/>
  <c r="Q36" i="23"/>
  <c r="R30" i="4" s="1"/>
  <c r="R36" i="23"/>
  <c r="S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8" i="23"/>
  <c r="N29" i="23"/>
  <c r="N23" i="4" s="1"/>
  <c r="N30" i="23"/>
  <c r="N24" i="4" s="1"/>
  <c r="N31" i="23"/>
  <c r="N25" i="4" s="1"/>
  <c r="N32" i="23"/>
  <c r="N26" i="4" s="1"/>
  <c r="N33" i="23"/>
  <c r="N27" i="4" s="1"/>
  <c r="N34" i="23"/>
  <c r="N28" i="4" s="1"/>
  <c r="N35" i="23"/>
  <c r="N29" i="4" s="1"/>
  <c r="K36" i="23"/>
  <c r="K30" i="4" s="1"/>
  <c r="L36" i="23"/>
  <c r="L30" i="4" s="1"/>
  <c r="M36" i="23"/>
  <c r="M30" i="4" s="1"/>
  <c r="N36" i="23"/>
  <c r="N30" i="4" s="1"/>
  <c r="K37" i="23"/>
  <c r="K31" i="4" s="1"/>
  <c r="L37" i="23"/>
  <c r="L31" i="4" s="1"/>
  <c r="M37" i="23"/>
  <c r="M31" i="4" s="1"/>
  <c r="N37" i="23"/>
  <c r="N31" i="4" s="1"/>
  <c r="K38" i="23"/>
  <c r="K32" i="4" s="1"/>
  <c r="L38" i="23"/>
  <c r="L32" i="4" s="1"/>
  <c r="M38" i="23"/>
  <c r="M32" i="4" s="1"/>
  <c r="N38" i="23"/>
  <c r="N32" i="4" s="1"/>
  <c r="K39" i="23"/>
  <c r="K33" i="4" s="1"/>
  <c r="L39" i="23"/>
  <c r="L33" i="4" s="1"/>
  <c r="M39" i="23"/>
  <c r="M33" i="4" s="1"/>
  <c r="N39" i="23"/>
  <c r="N33" i="4" s="1"/>
  <c r="K40" i="23"/>
  <c r="K34" i="4" s="1"/>
  <c r="L40" i="23"/>
  <c r="L34" i="4" s="1"/>
  <c r="M40" i="23"/>
  <c r="M34" i="4" s="1"/>
  <c r="N40" i="23"/>
  <c r="N34" i="4" s="1"/>
  <c r="K41" i="23"/>
  <c r="K35" i="4" s="1"/>
  <c r="L41" i="23"/>
  <c r="L35" i="4" s="1"/>
  <c r="M41" i="23"/>
  <c r="M35" i="4" s="1"/>
  <c r="N41" i="23"/>
  <c r="N35" i="4" s="1"/>
  <c r="K42" i="23"/>
  <c r="K36" i="4" s="1"/>
  <c r="L42" i="23"/>
  <c r="L36" i="4" s="1"/>
  <c r="M42" i="23"/>
  <c r="M36" i="4" s="1"/>
  <c r="N42" i="23"/>
  <c r="N36" i="4" s="1"/>
  <c r="K43" i="23"/>
  <c r="L43" i="23"/>
  <c r="M43" i="23"/>
  <c r="N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28" i="1"/>
  <c r="N29" i="1"/>
  <c r="N7" i="4" s="1"/>
  <c r="N30" i="1"/>
  <c r="N8" i="4" s="1"/>
  <c r="N31" i="1"/>
  <c r="N9" i="4" s="1"/>
  <c r="N32" i="1"/>
  <c r="N10" i="4" s="1"/>
  <c r="N33" i="1"/>
  <c r="N11" i="4" s="1"/>
  <c r="N34" i="1"/>
  <c r="N12" i="4" s="1"/>
  <c r="N35" i="1"/>
  <c r="N13" i="4" s="1"/>
  <c r="K36" i="1"/>
  <c r="K14" i="4" s="1"/>
  <c r="L36" i="1"/>
  <c r="L14" i="4" s="1"/>
  <c r="M36" i="1"/>
  <c r="M14" i="4" s="1"/>
  <c r="N36" i="1"/>
  <c r="N14" i="4" s="1"/>
  <c r="K37" i="1"/>
  <c r="K15" i="4" s="1"/>
  <c r="L37" i="1"/>
  <c r="L15" i="4" s="1"/>
  <c r="M37" i="1"/>
  <c r="M15" i="4" s="1"/>
  <c r="N37" i="1"/>
  <c r="N15" i="4" s="1"/>
  <c r="K38" i="1"/>
  <c r="K16" i="4" s="1"/>
  <c r="L38" i="1"/>
  <c r="L16" i="4" s="1"/>
  <c r="M38" i="1"/>
  <c r="M16" i="4" s="1"/>
  <c r="N38" i="1"/>
  <c r="N16" i="4" s="1"/>
  <c r="K39" i="1"/>
  <c r="K17" i="4" s="1"/>
  <c r="L39" i="1"/>
  <c r="L17" i="4" s="1"/>
  <c r="M39" i="1"/>
  <c r="M17" i="4" s="1"/>
  <c r="N39" i="1"/>
  <c r="N17" i="4" s="1"/>
  <c r="K40" i="1"/>
  <c r="K18" i="4" s="1"/>
  <c r="L40" i="1"/>
  <c r="L18" i="4" s="1"/>
  <c r="M40" i="1"/>
  <c r="M18" i="4" s="1"/>
  <c r="N40" i="1"/>
  <c r="N18" i="4" s="1"/>
  <c r="K41" i="1"/>
  <c r="K19" i="4" s="1"/>
  <c r="L41" i="1"/>
  <c r="L19" i="4" s="1"/>
  <c r="M41" i="1"/>
  <c r="M19" i="4" s="1"/>
  <c r="N41" i="1"/>
  <c r="N19" i="4" s="1"/>
  <c r="K42" i="1"/>
  <c r="K20" i="4" s="1"/>
  <c r="L42" i="1"/>
  <c r="L20" i="4" s="1"/>
  <c r="M42" i="1"/>
  <c r="M20" i="4" s="1"/>
  <c r="N42" i="1"/>
  <c r="N20" i="4" s="1"/>
  <c r="K43" i="1"/>
  <c r="L43" i="1"/>
  <c r="M43" i="1"/>
  <c r="N43"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N24" i="23"/>
  <c r="L24" i="23"/>
  <c r="J24" i="23"/>
  <c r="I24" i="23"/>
  <c r="H24" i="23"/>
  <c r="G24" i="23"/>
  <c r="F24" i="23"/>
  <c r="E24" i="23"/>
  <c r="D24" i="23"/>
  <c r="C24" i="23"/>
  <c r="B24" i="23"/>
  <c r="V23" i="23"/>
  <c r="U23" i="23"/>
  <c r="T23" i="23"/>
  <c r="S23" i="23"/>
  <c r="R23" i="23"/>
  <c r="Q23" i="23"/>
  <c r="P23" i="23"/>
  <c r="O23" i="23"/>
  <c r="B32" i="23" s="1"/>
  <c r="B26" i="4" s="1"/>
  <c r="N23" i="23"/>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D34" i="23"/>
  <c r="D28" i="4" s="1"/>
  <c r="F32" i="23"/>
  <c r="F26" i="4" s="1"/>
  <c r="J42" i="23"/>
  <c r="J36" i="4" s="1"/>
  <c r="J38" i="23"/>
  <c r="J32" i="4" s="1"/>
  <c r="J34" i="23"/>
  <c r="J28" i="4" s="1"/>
  <c r="C29" i="23"/>
  <c r="C23" i="4" s="1"/>
  <c r="J41" i="23"/>
  <c r="J35" i="4" s="1"/>
  <c r="J37" i="23"/>
  <c r="J31" i="4" s="1"/>
  <c r="J43" i="23"/>
  <c r="J39" i="23"/>
  <c r="J33" i="4" s="1"/>
  <c r="G34" i="23"/>
  <c r="G28" i="4" s="1"/>
  <c r="F31" i="23"/>
  <c r="F25" i="4" s="1"/>
  <c r="D29" i="23"/>
  <c r="D23" i="4" s="1"/>
  <c r="F33" i="23"/>
  <c r="F27" i="4" s="1"/>
  <c r="I30" i="23"/>
  <c r="I24" i="4" s="1"/>
  <c r="P22" i="23"/>
  <c r="S23" i="1"/>
  <c r="T23" i="1"/>
  <c r="U23" i="1"/>
  <c r="V23" i="1"/>
  <c r="S24" i="1"/>
  <c r="T24" i="1"/>
  <c r="U24" i="1"/>
  <c r="V24" i="1"/>
  <c r="L23" i="1"/>
  <c r="M23" i="1"/>
  <c r="N23" i="1"/>
  <c r="L24" i="1"/>
  <c r="M24" i="1"/>
  <c r="N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Q31" i="1"/>
  <c r="R9" i="4" s="1"/>
  <c r="Q34" i="1"/>
  <c r="R12" i="4" s="1"/>
  <c r="P30" i="1"/>
  <c r="Q8" i="4" s="1"/>
  <c r="P33" i="1"/>
  <c r="Q11" i="4" s="1"/>
  <c r="P34" i="1"/>
  <c r="Q12" i="4" s="1"/>
  <c r="Q33" i="1"/>
  <c r="R11" i="4" s="1"/>
  <c r="Q35" i="1"/>
  <c r="R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N56" i="23"/>
  <c r="J56" i="23"/>
  <c r="Q56" i="23"/>
  <c r="C56" i="23"/>
  <c r="R56" i="23"/>
  <c r="M56" i="1"/>
  <c r="S56" i="1"/>
  <c r="J56" i="1"/>
  <c r="F56" i="23"/>
  <c r="E56" i="23"/>
  <c r="L56" i="1"/>
  <c r="U56" i="23"/>
  <c r="I56" i="23"/>
  <c r="M56" i="23"/>
  <c r="V56" i="23"/>
  <c r="L56" i="23"/>
  <c r="K56" i="1"/>
  <c r="K56" i="23"/>
  <c r="H56" i="23"/>
  <c r="D56" i="23"/>
  <c r="U56" i="1"/>
  <c r="N56" i="1"/>
  <c r="T56" i="1"/>
  <c r="Q28" i="1" l="1"/>
  <c r="P28" i="1"/>
  <c r="D33" i="23"/>
  <c r="D27" i="4" s="1"/>
  <c r="I31" i="23"/>
  <c r="I25" i="4" s="1"/>
  <c r="Q33" i="23"/>
  <c r="R27" i="4" s="1"/>
  <c r="P30" i="23"/>
  <c r="Q24" i="4" s="1"/>
  <c r="Q29" i="23"/>
  <c r="R23" i="4" s="1"/>
  <c r="G29" i="23"/>
  <c r="G23" i="4" s="1"/>
  <c r="H35" i="23"/>
  <c r="H29" i="4" s="1"/>
  <c r="J28" i="23"/>
  <c r="P29" i="23"/>
  <c r="Q23" i="4" s="1"/>
  <c r="E35" i="23"/>
  <c r="E29" i="4" s="1"/>
  <c r="D30" i="23"/>
  <c r="D24" i="4" s="1"/>
  <c r="P34" i="23"/>
  <c r="Q28" i="4" s="1"/>
  <c r="Q32" i="23"/>
  <c r="R26" i="4" s="1"/>
  <c r="Q28" i="23"/>
  <c r="P32" i="23"/>
  <c r="Q26" i="4" s="1"/>
  <c r="P28" i="23"/>
  <c r="Q22" i="4" s="1"/>
  <c r="Q35" i="23"/>
  <c r="R29" i="4" s="1"/>
  <c r="Q31" i="23"/>
  <c r="R25" i="4" s="1"/>
  <c r="P35" i="23"/>
  <c r="Q29" i="4" s="1"/>
  <c r="P31" i="23"/>
  <c r="Q25" i="4" s="1"/>
  <c r="Q34" i="23"/>
  <c r="R28" i="4" s="1"/>
  <c r="Q30" i="23"/>
  <c r="R24" i="4" s="1"/>
  <c r="D31" i="23"/>
  <c r="D25" i="4" s="1"/>
  <c r="K31" i="23"/>
  <c r="K25" i="4" s="1"/>
  <c r="L30" i="23"/>
  <c r="L24" i="4" s="1"/>
  <c r="O42" i="23"/>
  <c r="P36" i="4" s="1"/>
  <c r="S35" i="23"/>
  <c r="T29" i="4" s="1"/>
  <c r="U34" i="23"/>
  <c r="V28" i="4" s="1"/>
  <c r="V32" i="23"/>
  <c r="W26" i="4" s="1"/>
  <c r="R32" i="23"/>
  <c r="S26" i="4" s="1"/>
  <c r="S31" i="23"/>
  <c r="T25" i="4" s="1"/>
  <c r="T30" i="23"/>
  <c r="U24" i="4" s="1"/>
  <c r="T29" i="23"/>
  <c r="U23" i="4" s="1"/>
  <c r="T28" i="23"/>
  <c r="U22" i="4" s="1"/>
  <c r="G28" i="23"/>
  <c r="G22" i="4" s="1"/>
  <c r="I35" i="23"/>
  <c r="I29" i="4" s="1"/>
  <c r="H29" i="23"/>
  <c r="H23" i="4" s="1"/>
  <c r="H33" i="23"/>
  <c r="H27" i="4" s="1"/>
  <c r="F35" i="23"/>
  <c r="F29" i="4" s="1"/>
  <c r="C32" i="23"/>
  <c r="C26" i="4" s="1"/>
  <c r="F30" i="23"/>
  <c r="F24" i="4" s="1"/>
  <c r="H30" i="23"/>
  <c r="H24" i="4" s="1"/>
  <c r="J32" i="23"/>
  <c r="J26" i="4" s="1"/>
  <c r="H34" i="23"/>
  <c r="H28" i="4" s="1"/>
  <c r="F29" i="23"/>
  <c r="F23" i="4" s="1"/>
  <c r="L33" i="23"/>
  <c r="L27" i="4" s="1"/>
  <c r="L28" i="23"/>
  <c r="O35" i="23"/>
  <c r="P29" i="4" s="1"/>
  <c r="V35" i="23"/>
  <c r="W29" i="4" s="1"/>
  <c r="R35" i="23"/>
  <c r="S29" i="4" s="1"/>
  <c r="T34" i="23"/>
  <c r="U28" i="4" s="1"/>
  <c r="S33" i="23"/>
  <c r="T27" i="4" s="1"/>
  <c r="U32" i="23"/>
  <c r="V26" i="4" s="1"/>
  <c r="V31" i="23"/>
  <c r="W25" i="4" s="1"/>
  <c r="R31" i="23"/>
  <c r="S25" i="4" s="1"/>
  <c r="S30" i="23"/>
  <c r="T24" i="4" s="1"/>
  <c r="S29" i="23"/>
  <c r="T23" i="4" s="1"/>
  <c r="H31" i="23"/>
  <c r="H25" i="4" s="1"/>
  <c r="D35" i="23"/>
  <c r="D29" i="4" s="1"/>
  <c r="D32" i="23"/>
  <c r="D26" i="4" s="1"/>
  <c r="E28" i="23"/>
  <c r="C30" i="23"/>
  <c r="C24" i="4" s="1"/>
  <c r="E32" i="23"/>
  <c r="E26" i="4" s="1"/>
  <c r="J35" i="23"/>
  <c r="J29" i="4" s="1"/>
  <c r="E34" i="23"/>
  <c r="E28" i="4" s="1"/>
  <c r="J30" i="23"/>
  <c r="J24" i="4" s="1"/>
  <c r="C33" i="23"/>
  <c r="C27" i="4" s="1"/>
  <c r="I29" i="23"/>
  <c r="I23" i="4" s="1"/>
  <c r="C31" i="23"/>
  <c r="C25" i="4" s="1"/>
  <c r="E33" i="23"/>
  <c r="E27" i="4" s="1"/>
  <c r="C35" i="23"/>
  <c r="C29" i="4" s="1"/>
  <c r="J29" i="23"/>
  <c r="J23" i="4" s="1"/>
  <c r="E30" i="23"/>
  <c r="E24" i="4" s="1"/>
  <c r="K35" i="23"/>
  <c r="K29" i="4" s="1"/>
  <c r="K33" i="23"/>
  <c r="K27" i="4" s="1"/>
  <c r="L29" i="23"/>
  <c r="L23" i="4" s="1"/>
  <c r="K28" i="23"/>
  <c r="K22" i="4" s="1"/>
  <c r="O40" i="23"/>
  <c r="P34" i="4" s="1"/>
  <c r="O33" i="23"/>
  <c r="P27" i="4" s="1"/>
  <c r="S36" i="23"/>
  <c r="T30" i="4" s="1"/>
  <c r="U35" i="23"/>
  <c r="V29" i="4" s="1"/>
  <c r="S34" i="23"/>
  <c r="T28" i="4" s="1"/>
  <c r="V33" i="23"/>
  <c r="W27" i="4" s="1"/>
  <c r="R33" i="23"/>
  <c r="S27" i="4" s="1"/>
  <c r="T32" i="23"/>
  <c r="U26" i="4" s="1"/>
  <c r="U31" i="23"/>
  <c r="V25" i="4" s="1"/>
  <c r="V30" i="23"/>
  <c r="W24" i="4" s="1"/>
  <c r="R30" i="23"/>
  <c r="S24" i="4" s="1"/>
  <c r="V29" i="23"/>
  <c r="W23" i="4" s="1"/>
  <c r="R29" i="23"/>
  <c r="S23" i="4" s="1"/>
  <c r="V28" i="23"/>
  <c r="W22" i="4" s="1"/>
  <c r="R28" i="23"/>
  <c r="R46" i="23" s="1"/>
  <c r="R53" i="23" s="1"/>
  <c r="K34" i="23"/>
  <c r="K28" i="4" s="1"/>
  <c r="K32" i="23"/>
  <c r="K26" i="4" s="1"/>
  <c r="O36" i="23"/>
  <c r="P30" i="4" s="1"/>
  <c r="T33" i="23"/>
  <c r="U27" i="4" s="1"/>
  <c r="J33" i="23"/>
  <c r="J27" i="4" s="1"/>
  <c r="J31" i="23"/>
  <c r="J25" i="4" s="1"/>
  <c r="H32" i="23"/>
  <c r="H26" i="4" s="1"/>
  <c r="E29" i="23"/>
  <c r="E23" i="4" s="1"/>
  <c r="L35" i="23"/>
  <c r="L29" i="4" s="1"/>
  <c r="K30" i="23"/>
  <c r="K24" i="4" s="1"/>
  <c r="O41" i="23"/>
  <c r="P35" i="4" s="1"/>
  <c r="S28" i="23"/>
  <c r="T22" i="4" s="1"/>
  <c r="G32" i="23"/>
  <c r="G26" i="4" s="1"/>
  <c r="H28" i="23"/>
  <c r="H22" i="4" s="1"/>
  <c r="G33" i="23"/>
  <c r="G27" i="4" s="1"/>
  <c r="I28" i="23"/>
  <c r="I47" i="23" s="1"/>
  <c r="I48" i="23" s="1"/>
  <c r="I54" i="23" s="1"/>
  <c r="G30" i="23"/>
  <c r="G24" i="4" s="1"/>
  <c r="I32" i="23"/>
  <c r="I26" i="4" s="1"/>
  <c r="C34" i="23"/>
  <c r="C28" i="4" s="1"/>
  <c r="I34" i="23"/>
  <c r="I28" i="4" s="1"/>
  <c r="D28" i="23"/>
  <c r="D22" i="4" s="1"/>
  <c r="E31" i="23"/>
  <c r="E25" i="4" s="1"/>
  <c r="F34" i="23"/>
  <c r="F28" i="4" s="1"/>
  <c r="F28" i="23"/>
  <c r="G31" i="23"/>
  <c r="G25" i="4" s="1"/>
  <c r="I33" i="23"/>
  <c r="I27" i="4" s="1"/>
  <c r="G35" i="23"/>
  <c r="G29" i="4" s="1"/>
  <c r="C28" i="23"/>
  <c r="C22" i="4" s="1"/>
  <c r="L34" i="23"/>
  <c r="L28" i="4" s="1"/>
  <c r="L32" i="23"/>
  <c r="L26" i="4" s="1"/>
  <c r="L31" i="23"/>
  <c r="L25" i="4" s="1"/>
  <c r="K29" i="23"/>
  <c r="K23" i="4" s="1"/>
  <c r="O43" i="23"/>
  <c r="O39" i="23"/>
  <c r="P33" i="4" s="1"/>
  <c r="O29" i="23"/>
  <c r="P23" i="4" s="1"/>
  <c r="T35" i="23"/>
  <c r="U29" i="4" s="1"/>
  <c r="V34" i="23"/>
  <c r="W28" i="4" s="1"/>
  <c r="R34" i="23"/>
  <c r="S28" i="4" s="1"/>
  <c r="U33" i="23"/>
  <c r="V27" i="4" s="1"/>
  <c r="S32" i="23"/>
  <c r="T26" i="4" s="1"/>
  <c r="T31" i="23"/>
  <c r="U25" i="4" s="1"/>
  <c r="U30" i="23"/>
  <c r="V24" i="4" s="1"/>
  <c r="U29" i="23"/>
  <c r="V23" i="4" s="1"/>
  <c r="U28" i="23"/>
  <c r="V22" i="4" s="1"/>
  <c r="M33" i="23"/>
  <c r="M27" i="4" s="1"/>
  <c r="M31" i="23"/>
  <c r="M25" i="4" s="1"/>
  <c r="M34" i="23"/>
  <c r="M28" i="4" s="1"/>
  <c r="M29" i="23"/>
  <c r="M23" i="4" s="1"/>
  <c r="M28" i="23"/>
  <c r="M22" i="4" s="1"/>
  <c r="M35" i="23"/>
  <c r="M29" i="4" s="1"/>
  <c r="M30" i="23"/>
  <c r="M24" i="4" s="1"/>
  <c r="M32" i="23"/>
  <c r="M26" i="4" s="1"/>
  <c r="F34" i="1"/>
  <c r="F12" i="4" s="1"/>
  <c r="T35" i="1"/>
  <c r="U13" i="4" s="1"/>
  <c r="O38" i="1"/>
  <c r="P16" i="4" s="1"/>
  <c r="O32" i="1"/>
  <c r="P10" i="4" s="1"/>
  <c r="O43" i="1"/>
  <c r="B33" i="1"/>
  <c r="B11" i="4" s="1"/>
  <c r="H31" i="1"/>
  <c r="O42" i="1"/>
  <c r="P20" i="4" s="1"/>
  <c r="O39" i="1"/>
  <c r="P17" i="4" s="1"/>
  <c r="F30" i="1"/>
  <c r="F8" i="4" s="1"/>
  <c r="F32" i="1"/>
  <c r="F10" i="4" s="1"/>
  <c r="I34" i="1"/>
  <c r="I12" i="4" s="1"/>
  <c r="G30" i="1"/>
  <c r="G8" i="4" s="1"/>
  <c r="E30" i="1"/>
  <c r="E8" i="4" s="1"/>
  <c r="F29" i="1"/>
  <c r="F7" i="4" s="1"/>
  <c r="I33" i="1"/>
  <c r="I11" i="4" s="1"/>
  <c r="I29" i="1"/>
  <c r="I7" i="4" s="1"/>
  <c r="H33" i="1"/>
  <c r="H11" i="4" s="1"/>
  <c r="H35" i="1"/>
  <c r="H13" i="4" s="1"/>
  <c r="E35" i="1"/>
  <c r="E13" i="4" s="1"/>
  <c r="H30" i="1"/>
  <c r="H8" i="4" s="1"/>
  <c r="U28" i="1"/>
  <c r="O41" i="1"/>
  <c r="P19" i="4" s="1"/>
  <c r="G34" i="1"/>
  <c r="G12" i="4" s="1"/>
  <c r="E33" i="1"/>
  <c r="E11" i="4" s="1"/>
  <c r="D35" i="1"/>
  <c r="D13" i="4" s="1"/>
  <c r="G29" i="1"/>
  <c r="G7" i="4" s="1"/>
  <c r="J35" i="1"/>
  <c r="J13" i="4" s="1"/>
  <c r="M34" i="1"/>
  <c r="M12" i="4" s="1"/>
  <c r="U30" i="1"/>
  <c r="V8" i="4" s="1"/>
  <c r="L28" i="1"/>
  <c r="L6" i="4" s="1"/>
  <c r="T33" i="1"/>
  <c r="U11" i="4" s="1"/>
  <c r="G35" i="1"/>
  <c r="G13" i="4" s="1"/>
  <c r="E29" i="1"/>
  <c r="E7" i="4" s="1"/>
  <c r="D33" i="1"/>
  <c r="D11" i="4" s="1"/>
  <c r="H34" i="1"/>
  <c r="H12" i="4" s="1"/>
  <c r="O40" i="1"/>
  <c r="P18" i="4" s="1"/>
  <c r="F33" i="1"/>
  <c r="F11" i="4" s="1"/>
  <c r="C35" i="1"/>
  <c r="C13" i="4" s="1"/>
  <c r="H32" i="1"/>
  <c r="H10" i="4" s="1"/>
  <c r="F35" i="1"/>
  <c r="F13" i="4" s="1"/>
  <c r="I30" i="1"/>
  <c r="I8" i="4" s="1"/>
  <c r="E32" i="1"/>
  <c r="E10" i="4" s="1"/>
  <c r="C33" i="1"/>
  <c r="C11" i="4" s="1"/>
  <c r="T34" i="1"/>
  <c r="U1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K6" i="4" s="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L22" i="4"/>
  <c r="E22" i="4"/>
  <c r="R22" i="4"/>
  <c r="J22" i="4"/>
  <c r="N22" i="4"/>
  <c r="R6" i="4"/>
  <c r="N6" i="4"/>
  <c r="Q6" i="4"/>
  <c r="V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K37" i="4"/>
  <c r="I45" i="23"/>
  <c r="U4" i="33"/>
  <c r="P21" i="4"/>
  <c r="S21" i="4"/>
  <c r="R21" i="4"/>
  <c r="S4" i="33"/>
  <c r="C27" i="23"/>
  <c r="C52" i="23" s="1"/>
  <c r="I27" i="23"/>
  <c r="W21" i="4"/>
  <c r="U21" i="4"/>
  <c r="B21" i="4"/>
  <c r="O37" i="23"/>
  <c r="P31" i="4" s="1"/>
  <c r="O34" i="23"/>
  <c r="P28" i="4" s="1"/>
  <c r="O38" i="23"/>
  <c r="U37" i="4"/>
  <c r="B38" i="23"/>
  <c r="F37" i="4"/>
  <c r="N37" i="4"/>
  <c r="L37" i="4"/>
  <c r="Q37" i="4"/>
  <c r="T37" i="4"/>
  <c r="J37" i="4"/>
  <c r="H37" i="4"/>
  <c r="M37" i="4"/>
  <c r="P37" i="4"/>
  <c r="R4" i="4"/>
  <c r="R62" i="4" s="1"/>
  <c r="N4" i="23"/>
  <c r="N22" i="23"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N47" i="23"/>
  <c r="N48" i="23" s="1"/>
  <c r="N54" i="23" s="1"/>
  <c r="P37" i="1"/>
  <c r="F22" i="23"/>
  <c r="O36" i="1"/>
  <c r="H45" i="23"/>
  <c r="R31" i="1"/>
  <c r="S9" i="4" s="1"/>
  <c r="N46" i="23"/>
  <c r="N53" i="23" s="1"/>
  <c r="J57" i="1"/>
  <c r="E57" i="23"/>
  <c r="M57" i="1"/>
  <c r="V57" i="1"/>
  <c r="N57" i="23"/>
  <c r="U57" i="23"/>
  <c r="Q57" i="23"/>
  <c r="J57" i="23"/>
  <c r="H57" i="23"/>
  <c r="L57" i="1"/>
  <c r="U57" i="1"/>
  <c r="M57" i="23"/>
  <c r="T57" i="23"/>
  <c r="P57" i="23"/>
  <c r="C57" i="23"/>
  <c r="F57" i="23"/>
  <c r="I57" i="23"/>
  <c r="K57" i="1"/>
  <c r="T57" i="1"/>
  <c r="L57" i="23"/>
  <c r="S57" i="23"/>
  <c r="D57" i="23"/>
  <c r="G57" i="23"/>
  <c r="N57" i="1"/>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N47" i="1"/>
  <c r="N48" i="1" s="1"/>
  <c r="N54" i="1" s="1"/>
  <c r="D32" i="1"/>
  <c r="B30" i="1"/>
  <c r="B8" i="4" s="1"/>
  <c r="C28" i="1"/>
  <c r="D31" i="1"/>
  <c r="D9" i="4" s="1"/>
  <c r="N46" i="1"/>
  <c r="N53" i="1" s="1"/>
  <c r="O28" i="1"/>
  <c r="C30" i="1"/>
  <c r="C8" i="4" s="1"/>
  <c r="C31" i="1"/>
  <c r="C9" i="4" s="1"/>
  <c r="D29" i="1"/>
  <c r="D7" i="4" s="1"/>
  <c r="D30" i="1"/>
  <c r="G21" i="4"/>
  <c r="I21" i="4"/>
  <c r="F21" i="4"/>
  <c r="H21" i="4"/>
  <c r="E21" i="4"/>
  <c r="L52" i="23"/>
  <c r="D17" i="4"/>
  <c r="H9" i="4"/>
  <c r="C4" i="4"/>
  <c r="G27" i="23"/>
  <c r="G52" i="23" s="1"/>
  <c r="K27" i="23"/>
  <c r="L22" i="1"/>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N4" i="4"/>
  <c r="G22" i="1"/>
  <c r="N27" i="1"/>
  <c r="N52" i="1" s="1"/>
  <c r="F45" i="1"/>
  <c r="C22" i="1"/>
  <c r="B22" i="1"/>
  <c r="G45" i="1"/>
  <c r="E27" i="1"/>
  <c r="E52" i="1" s="1"/>
  <c r="E22" i="1"/>
  <c r="I22" i="1"/>
  <c r="I27" i="1"/>
  <c r="P27" i="1"/>
  <c r="P52" i="1" s="1"/>
  <c r="H4" i="4"/>
  <c r="F22" i="1"/>
  <c r="I4" i="4"/>
  <c r="N22" i="1"/>
  <c r="G4" i="4"/>
  <c r="C27" i="1"/>
  <c r="C52" i="1" s="1"/>
  <c r="B45" i="1"/>
  <c r="K74" i="4"/>
  <c r="K22" i="1"/>
  <c r="H22" i="1"/>
  <c r="P4" i="4"/>
  <c r="H45" i="1"/>
  <c r="O45" i="1"/>
  <c r="Q4" i="4"/>
  <c r="K45" i="1"/>
  <c r="P45" i="1"/>
  <c r="O27" i="1"/>
  <c r="O52" i="1" s="1"/>
  <c r="I52" i="1"/>
  <c r="K55" i="4"/>
  <c r="B55" i="4"/>
  <c r="L55" i="4"/>
  <c r="E74" i="4"/>
  <c r="B74" i="4"/>
  <c r="Q56" i="1"/>
  <c r="C56" i="1"/>
  <c r="P56" i="1"/>
  <c r="E56" i="1"/>
  <c r="D56" i="1"/>
  <c r="G56" i="1"/>
  <c r="B56" i="1"/>
  <c r="I56" i="1"/>
  <c r="H56" i="1"/>
  <c r="B56" i="23"/>
  <c r="F56" i="1"/>
  <c r="O56" i="1"/>
  <c r="R56" i="1"/>
  <c r="O56" i="23"/>
  <c r="I46" i="23" l="1"/>
  <c r="I53" i="23" s="1"/>
  <c r="U46" i="23"/>
  <c r="U53" i="23" s="1"/>
  <c r="Q47" i="23"/>
  <c r="Q48" i="23" s="1"/>
  <c r="Q54" i="23" s="1"/>
  <c r="F46" i="23"/>
  <c r="F53" i="23" s="1"/>
  <c r="V46" i="23"/>
  <c r="V53" i="23" s="1"/>
  <c r="C47" i="23"/>
  <c r="C48" i="23" s="1"/>
  <c r="C54" i="23" s="1"/>
  <c r="T47" i="23"/>
  <c r="T48" i="23" s="1"/>
  <c r="T54" i="23" s="1"/>
  <c r="H47" i="23"/>
  <c r="H48" i="23" s="1"/>
  <c r="H54" i="23" s="1"/>
  <c r="L46" i="23"/>
  <c r="L53" i="23" s="1"/>
  <c r="P47" i="23"/>
  <c r="P48" i="23" s="1"/>
  <c r="P54" i="23" s="1"/>
  <c r="D47" i="23"/>
  <c r="D48" i="23" s="1"/>
  <c r="D54" i="23" s="1"/>
  <c r="S47" i="23"/>
  <c r="S48" i="23" s="1"/>
  <c r="S54" i="23" s="1"/>
  <c r="K47" i="23"/>
  <c r="K48" i="23" s="1"/>
  <c r="K54" i="23" s="1"/>
  <c r="P46" i="23"/>
  <c r="P53" i="23" s="1"/>
  <c r="C46" i="23"/>
  <c r="C53" i="23" s="1"/>
  <c r="J47" i="23"/>
  <c r="J48" i="23" s="1"/>
  <c r="J54" i="23" s="1"/>
  <c r="Q46" i="23"/>
  <c r="Q53" i="23" s="1"/>
  <c r="R47" i="23"/>
  <c r="R48" i="23" s="1"/>
  <c r="R54" i="23" s="1"/>
  <c r="M46" i="23"/>
  <c r="M53" i="23" s="1"/>
  <c r="I22" i="4"/>
  <c r="D46" i="23"/>
  <c r="D53" i="23" s="1"/>
  <c r="J46" i="23"/>
  <c r="J53" i="23" s="1"/>
  <c r="F47" i="23"/>
  <c r="F48" i="23" s="1"/>
  <c r="F54" i="23" s="1"/>
  <c r="T46" i="23"/>
  <c r="T53" i="23" s="1"/>
  <c r="E46" i="23"/>
  <c r="E53" i="23" s="1"/>
  <c r="E47" i="23"/>
  <c r="E48" i="23" s="1"/>
  <c r="E54" i="23" s="1"/>
  <c r="U47" i="23"/>
  <c r="U48" i="23" s="1"/>
  <c r="U54" i="23" s="1"/>
  <c r="K46" i="23"/>
  <c r="K53" i="23" s="1"/>
  <c r="G46" i="23"/>
  <c r="G53" i="23" s="1"/>
  <c r="G47" i="23"/>
  <c r="G48" i="23" s="1"/>
  <c r="G54" i="23" s="1"/>
  <c r="F22" i="4"/>
  <c r="S46" i="23"/>
  <c r="S53" i="23" s="1"/>
  <c r="H46" i="23"/>
  <c r="H53" i="23" s="1"/>
  <c r="S22" i="4"/>
  <c r="L47" i="23"/>
  <c r="L48" i="23" s="1"/>
  <c r="L54" i="23" s="1"/>
  <c r="M47" i="23"/>
  <c r="M48" i="23" s="1"/>
  <c r="M54" i="23" s="1"/>
  <c r="V47" i="23"/>
  <c r="V48" i="23" s="1"/>
  <c r="V54" i="23" s="1"/>
  <c r="U46" i="1"/>
  <c r="U53" i="1" s="1"/>
  <c r="K46" i="1"/>
  <c r="K53" i="1" s="1"/>
  <c r="K47" i="1"/>
  <c r="K48" i="1" s="1"/>
  <c r="K54" i="1"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M63" i="4"/>
  <c r="M64" i="4" s="1"/>
  <c r="S46" i="1"/>
  <c r="S53" i="1" s="1"/>
  <c r="T63" i="4"/>
  <c r="T64" i="4" s="1"/>
  <c r="F46" i="1"/>
  <c r="F53" i="1" s="1"/>
  <c r="B22" i="4"/>
  <c r="D6" i="4"/>
  <c r="S6" i="4"/>
  <c r="I6" i="4"/>
  <c r="Q7" i="4"/>
  <c r="E6" i="4"/>
  <c r="P6" i="4"/>
  <c r="B6" i="4"/>
  <c r="C6" i="4"/>
  <c r="H6" i="4"/>
  <c r="F6" i="4"/>
  <c r="P47" i="1"/>
  <c r="P48" i="1" s="1"/>
  <c r="P54" i="1" s="1"/>
  <c r="L63" i="4"/>
  <c r="L64" i="4" s="1"/>
  <c r="G6" i="4"/>
  <c r="R7" i="4"/>
  <c r="K63" i="4"/>
  <c r="K64" i="4" s="1"/>
  <c r="V63" i="4"/>
  <c r="V64" i="4" s="1"/>
  <c r="J63" i="4"/>
  <c r="J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U76"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N52" i="23"/>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N27" i="23"/>
  <c r="N45" i="23"/>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F55" i="23"/>
  <c r="R47" i="1"/>
  <c r="R48" i="1" s="1"/>
  <c r="R54" i="1" s="1"/>
  <c r="Q57" i="1"/>
  <c r="D74" i="4"/>
  <c r="R46" i="1"/>
  <c r="R53" i="1" s="1"/>
  <c r="N74" i="4"/>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P74" i="4"/>
  <c r="Q74" i="4"/>
  <c r="G55" i="1" l="1"/>
  <c r="I63" i="4"/>
  <c r="I64" i="4" s="1"/>
  <c r="H56" i="4"/>
  <c r="H75" i="4" s="1"/>
  <c r="C63" i="4"/>
  <c r="C64" i="4" s="1"/>
  <c r="I57" i="4"/>
  <c r="I58" i="4" s="1"/>
  <c r="I76" i="4" s="1"/>
  <c r="W4" i="4"/>
  <c r="W55" i="4" s="1"/>
  <c r="F63" i="4"/>
  <c r="F64" i="4" s="1"/>
  <c r="S63" i="4"/>
  <c r="S64" i="4" s="1"/>
  <c r="C55" i="23"/>
  <c r="N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N59" i="23"/>
  <c r="N60" i="23" s="1"/>
  <c r="E59" i="23"/>
  <c r="E60" i="23" s="1"/>
  <c r="J59" i="23"/>
  <c r="J60" i="23" s="1"/>
  <c r="K59" i="23"/>
  <c r="K60" i="23" s="1"/>
  <c r="D59" i="23"/>
  <c r="D60" i="23" s="1"/>
  <c r="I59" i="23"/>
  <c r="I60" i="23" s="1"/>
  <c r="O59" i="23"/>
  <c r="O60" i="23" s="1"/>
  <c r="G59" i="23"/>
  <c r="G60" i="23" s="1"/>
  <c r="H59" i="23"/>
  <c r="H60" i="23" s="1"/>
  <c r="M59" i="23"/>
  <c r="M60" i="23" s="1"/>
  <c r="C55" i="1"/>
  <c r="H55" i="1"/>
  <c r="F55" i="1"/>
  <c r="N55" i="1"/>
  <c r="I55" i="1"/>
  <c r="L55" i="1"/>
  <c r="J55" i="1"/>
  <c r="D55" i="1"/>
  <c r="K55" i="1"/>
  <c r="E55" i="1"/>
  <c r="O59" i="1"/>
  <c r="O60" i="1" s="1"/>
  <c r="N59" i="1"/>
  <c r="N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U77" i="4" l="1"/>
  <c r="W74" i="4"/>
  <c r="W62" i="4"/>
  <c r="B80" i="4"/>
  <c r="Q75" i="4"/>
  <c r="P81" i="4"/>
  <c r="V74" i="4"/>
  <c r="V62" i="4"/>
  <c r="R61" i="23"/>
  <c r="V55" i="4"/>
  <c r="W77" i="4"/>
  <c r="V77" i="4"/>
  <c r="P77" i="4"/>
  <c r="T77" i="4"/>
  <c r="R77" i="4"/>
  <c r="S77" i="4"/>
  <c r="U81" i="4"/>
  <c r="V81" i="4"/>
  <c r="Q81" i="4"/>
  <c r="W81" i="4"/>
  <c r="T81" i="4"/>
  <c r="R81" i="4"/>
  <c r="S81" i="4"/>
  <c r="B86" i="4"/>
  <c r="B87" i="4"/>
  <c r="B75" i="4"/>
  <c r="S94" i="4" s="1"/>
  <c r="N81" i="4"/>
  <c r="N82" i="4" s="1"/>
  <c r="M81" i="4"/>
  <c r="J81" i="4"/>
  <c r="K81" i="4"/>
  <c r="L81" i="4"/>
  <c r="M61" i="23"/>
  <c r="I61" i="23"/>
  <c r="E61" i="23"/>
  <c r="D61" i="23"/>
  <c r="C61" i="23"/>
  <c r="Q61" i="23"/>
  <c r="U61" i="23"/>
  <c r="P61" i="23"/>
  <c r="F61" i="23"/>
  <c r="H61" i="23"/>
  <c r="K61" i="23"/>
  <c r="N61" i="23"/>
  <c r="G61" i="23"/>
  <c r="J61" i="23"/>
  <c r="S61" i="23"/>
  <c r="T61" i="23"/>
  <c r="V61" i="23"/>
  <c r="L61" i="23"/>
  <c r="D61" i="1"/>
  <c r="U61" i="1"/>
  <c r="S61" i="1"/>
  <c r="G61" i="1"/>
  <c r="M61" i="1"/>
  <c r="L61" i="1"/>
  <c r="T61" i="1"/>
  <c r="E61" i="1"/>
  <c r="F61" i="1"/>
  <c r="K61" i="1"/>
  <c r="I61" i="1"/>
  <c r="J61" i="1"/>
  <c r="V61" i="1"/>
  <c r="H61" i="1"/>
  <c r="N61" i="1"/>
  <c r="T55" i="4"/>
  <c r="T74" i="4"/>
  <c r="S55" i="4"/>
  <c r="S74" i="4"/>
  <c r="O61" i="1"/>
  <c r="Q61" i="1"/>
  <c r="P61" i="1"/>
  <c r="C61" i="1"/>
  <c r="R61" i="1"/>
  <c r="U55" i="4"/>
  <c r="U74" i="4"/>
  <c r="G94" i="4" l="1"/>
  <c r="E94" i="4"/>
  <c r="I94" i="4"/>
  <c r="F94" i="4"/>
  <c r="P94" i="4"/>
  <c r="O94" i="4"/>
  <c r="B94" i="4"/>
  <c r="M94" i="4"/>
  <c r="T94" i="4"/>
  <c r="L94" i="4"/>
  <c r="V94" i="4"/>
  <c r="J94" i="4"/>
  <c r="K94" i="4"/>
  <c r="U94" i="4"/>
  <c r="N94" i="4"/>
  <c r="R94" i="4"/>
  <c r="Q77" i="4"/>
  <c r="Q94" i="4"/>
  <c r="H94" i="4"/>
  <c r="D94" i="4"/>
  <c r="C94" i="4"/>
  <c r="I81" i="4"/>
  <c r="F81" i="4"/>
  <c r="F83" i="4" s="1"/>
  <c r="G81" i="4"/>
  <c r="H81" i="4"/>
  <c r="D81" i="4"/>
  <c r="D83" i="4" s="1"/>
  <c r="E81" i="4"/>
  <c r="C81" i="4"/>
  <c r="K77" i="4"/>
  <c r="J77" i="4"/>
  <c r="G77" i="4"/>
  <c r="N77" i="4"/>
  <c r="F77" i="4"/>
  <c r="L77" i="4"/>
  <c r="B77" i="4"/>
  <c r="M77" i="4"/>
  <c r="I77" i="4"/>
  <c r="H77" i="4"/>
  <c r="D77" i="4"/>
  <c r="C77" i="4"/>
  <c r="E77" i="4"/>
  <c r="L83" i="4"/>
  <c r="W83" i="4"/>
  <c r="U83" i="4"/>
  <c r="M83" i="4"/>
  <c r="Q83" i="4"/>
  <c r="V83" i="4"/>
  <c r="N83" i="4"/>
  <c r="R83" i="4"/>
  <c r="K83" i="4"/>
  <c r="J83" i="4"/>
  <c r="S83" i="4"/>
  <c r="T83" i="4"/>
  <c r="P83" i="4"/>
  <c r="O61" i="23"/>
  <c r="G83" i="4" l="1"/>
  <c r="I83" i="4"/>
  <c r="E83" i="4"/>
  <c r="C83" i="4"/>
  <c r="H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<sst xmlns="http://schemas.openxmlformats.org/spreadsheetml/2006/main" count="223" uniqueCount="76">
  <si>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</si>
  <si>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</si>
  <si>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</si>
  <si>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</si>
  <si>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</si>
  <si>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</si>
  <si>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</si>
  <si>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</si>
  <si>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</si>
  <si>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</si>
  <si>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</si>
  <si>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</si>
  <si>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</si>
  <si>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</si>
  <si>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</si>
  <si>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</si>
  <si>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</si>
  <si>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</si>
  <si>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</si>
  <si>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</si>
  <si>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</si>
  <si>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</si>
  <si>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</si>
  <si>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</si>
  <si>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</si>
  <si>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</si>
  <si>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</si>
  <si>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</si>
  <si>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</si>
  <si>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</si>
  <si>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</si>
  <si>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</si>
  <si>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</si>
  <si>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</si>
  <si>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</si>
  <si>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</si>
  <si>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</si>
  <si>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</si>
  <si>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</si>
  <si>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</si>
  <si>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</si>
  <si>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</si>
  <si>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</si>
  <si>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</si>
  <si>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</si>
  <si>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</si>
  <si>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</si>
  <si>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</si>
  <si>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</si>
  <si>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</si>
  <si>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</si>
  <si>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</si>
  <si>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</si>
  <si>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</si>
  <si>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</si>
  <si>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</si>
  <si>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</si>
  <si>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</si>
  <si>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</si>
  <si>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</si>
  <si>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</si>
  <si>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</si>
  <si>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</si>
  <si>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</si>
  <si>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</si>
  <si>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</si>
  <si>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</si>
  <si>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</si>
  <si>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</si>
  <si>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</si>
  <si>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</si>
  <si>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</si>
  <si>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</si>
  <si>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</si>
  <si>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cefuroxime</t>
    <phoneticPr fontId="12"/>
  </si>
  <si>
    <t>mg/L</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</si>
</sst>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4"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'R1'!$O$48:$V$48</c:f>
                <c:numCache>
                  <c:formatCode>General</c:formatCode>
                  <c:ptCount val="8"/>
                  <c:pt idx="0">
                    <c:v>7.8683048842723965E-2</c:v>
                  </c:pt>
                  <c:pt idx="1">
                    <c:v>0.13528534887759905</c:v>
                  </c:pt>
                  <c:pt idx="2">
                    <c:v>2.4508627220333576E-2</c:v>
                  </c:pt>
                  <c:pt idx="3">
                    <c:v>6.4235981870850015E-2</c:v>
                  </c:pt>
                  <c:pt idx="4">
                    <c:v>7.2634204457684273E-2</c:v>
                  </c:pt>
                  <c:pt idx="5">
                    <c:v>0.13911896744301452</c:v>
                  </c:pt>
                  <c:pt idx="6">
                    <c:v>9.2531464447958359E-2</c:v>
                  </c:pt>
                  <c:pt idx="7">
                    <c:v>0.10662855520474332</c:v>
                  </c:pt>
                </c:numCache>
              </c:numRef>
            </c:plus>
            <c:minus>
              <c:numRef>
                <c:f>'R1'!$O$48:$V$48</c:f>
                <c:numCache>
                  <c:formatCode>General</c:formatCode>
                  <c:ptCount val="8"/>
                  <c:pt idx="0">
                    <c:v>7.8683048842723965E-2</c:v>
                  </c:pt>
                  <c:pt idx="1">
                    <c:v>0.13528534887759905</c:v>
                  </c:pt>
                  <c:pt idx="2">
                    <c:v>2.4508627220333576E-2</c:v>
                  </c:pt>
                  <c:pt idx="3">
                    <c:v>6.4235981870850015E-2</c:v>
                  </c:pt>
                  <c:pt idx="4">
                    <c:v>7.2634204457684273E-2</c:v>
                  </c:pt>
                  <c:pt idx="5">
                    <c:v>0.13911896744301452</c:v>
                  </c:pt>
                  <c:pt idx="6">
                    <c:v>9.2531464447958359E-2</c:v>
                  </c:pt>
                  <c:pt idx="7">
                    <c:v>0.10662855520474332</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cefuroxime-10mg/L</c:v>
                </c:pt>
                <c:pt idx="8">
                  <c:v>cefuroxime-1mg/L</c:v>
                </c:pt>
                <c:pt idx="9">
                  <c:v>cefuroxime-0.1mg/L</c:v>
                </c:pt>
                <c:pt idx="10">
                  <c:v>cefuroxime-0.01mg/L</c:v>
                </c:pt>
                <c:pt idx="11">
                  <c:v>cefuroxime-0.001mg/L</c:v>
                </c:pt>
                <c:pt idx="13">
                  <c:v>Testo -30µg/L</c:v>
                </c:pt>
                <c:pt idx="14">
                  <c:v>Testo 30µg/L + EE2 -64ng/L</c:v>
                </c:pt>
                <c:pt idx="15">
                  <c:v>Testo 30µg/L + FAD-10mg/L</c:v>
                </c:pt>
                <c:pt idx="16">
                  <c:v>cefuroxime-10mg/L + Testostérone</c:v>
                </c:pt>
                <c:pt idx="17">
                  <c:v>cefuroxime-1mg/L + Testostérone</c:v>
                </c:pt>
                <c:pt idx="18">
                  <c:v>cefuroxime-0.1mg/L + Testostérone</c:v>
                </c:pt>
                <c:pt idx="19">
                  <c:v>cefuroxime-0.01mg/L + Testostérone</c:v>
                </c:pt>
                <c:pt idx="20">
                  <c:v>cefuroxime-0.001mg/L + Testostérone</c:v>
                </c:pt>
              </c:strCache>
            </c:strRef>
          </c:cat>
          <c:val>
            <c:numRef>
              <c:f>'R1'!$B$53:$V$53</c:f>
              <c:numCache>
                <c:formatCode>0.0000</c:formatCode>
                <c:ptCount val="21"/>
                <c:pt idx="0">
                  <c:v>0.13544310075178032</c:v>
                </c:pt>
                <c:pt idx="1">
                  <c:v>0.39687262813158036</c:v>
                </c:pt>
                <c:pt idx="2">
                  <c:v>0.37046554954943539</c:v>
                </c:pt>
                <c:pt idx="3">
                  <c:v>0.40908264375345393</c:v>
                </c:pt>
                <c:pt idx="4">
                  <c:v>0.80045415681903687</c:v>
                </c:pt>
                <c:pt idx="5">
                  <c:v>1.2868482362504674</c:v>
                </c:pt>
                <c:pt idx="6">
                  <c:v>1.724291080877457</c:v>
                </c:pt>
                <c:pt idx="7">
                  <c:v>0.32815616210393417</c:v>
                </c:pt>
                <c:pt idx="8">
                  <c:v>0.36065053047368573</c:v>
                </c:pt>
                <c:pt idx="9">
                  <c:v>0.24262428805266856</c:v>
                </c:pt>
                <c:pt idx="10">
                  <c:v>0.20396633476213871</c:v>
                </c:pt>
                <c:pt idx="11">
                  <c:v>0.22538436157170208</c:v>
                </c:pt>
                <c:pt idx="12">
                  <c:v>0</c:v>
                </c:pt>
                <c:pt idx="13">
                  <c:v>0.99999999999999989</c:v>
                </c:pt>
                <c:pt idx="14">
                  <c:v>1.2816624854408456</c:v>
                </c:pt>
                <c:pt idx="15">
                  <c:v>0.20946217167866285</c:v>
                </c:pt>
                <c:pt idx="16">
                  <c:v>0.88142677570454142</c:v>
                </c:pt>
                <c:pt idx="17">
                  <c:v>0.87136984144459695</c:v>
                </c:pt>
                <c:pt idx="18">
                  <c:v>0.95328204338154521</c:v>
                </c:pt>
                <c:pt idx="19">
                  <c:v>0.87189675600172678</c:v>
                </c:pt>
                <c:pt idx="20">
                  <c:v>0.82933107817670026</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C0000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3.4472569869339706E-2</c:v>
                  </c:pt>
                  <c:pt idx="1">
                    <c:v>8.0139660050007375E-2</c:v>
                  </c:pt>
                  <c:pt idx="2">
                    <c:v>0.10428533040209402</c:v>
                  </c:pt>
                  <c:pt idx="3">
                    <c:v>0.10382666621443115</c:v>
                  </c:pt>
                  <c:pt idx="4">
                    <c:v>0.10793415791432598</c:v>
                  </c:pt>
                  <c:pt idx="5">
                    <c:v>0.21805239616979483</c:v>
                  </c:pt>
                  <c:pt idx="6">
                    <c:v>0.1397839209070913</c:v>
                  </c:pt>
                  <c:pt idx="7">
                    <c:v>6.3615100684137324E-2</c:v>
                  </c:pt>
                  <c:pt idx="8">
                    <c:v>6.0661280109729682E-2</c:v>
                  </c:pt>
                  <c:pt idx="9">
                    <c:v>5.7596306319388724E-2</c:v>
                  </c:pt>
                  <c:pt idx="10">
                    <c:v>3.2123861290983664E-2</c:v>
                  </c:pt>
                  <c:pt idx="11">
                    <c:v>6.1220484241946094E-2</c:v>
                  </c:pt>
                  <c:pt idx="12">
                    <c:v>0</c:v>
                  </c:pt>
                  <c:pt idx="13">
                    <c:v>0.10549977967943189</c:v>
                  </c:pt>
                  <c:pt idx="14">
                    <c:v>0.13075705894791365</c:v>
                  </c:pt>
                  <c:pt idx="15">
                    <c:v>3.1055540382807403E-2</c:v>
                  </c:pt>
                  <c:pt idx="16">
                    <c:v>8.7758360302173252E-2</c:v>
                  </c:pt>
                  <c:pt idx="17">
                    <c:v>0.22263380874974273</c:v>
                  </c:pt>
                  <c:pt idx="18">
                    <c:v>0.16057757842831497</c:v>
                  </c:pt>
                  <c:pt idx="19">
                    <c:v>0.219641625487073</c:v>
                  </c:pt>
                  <c:pt idx="20">
                    <c:v>0.18239978413871619</c:v>
                  </c:pt>
                </c:numCache>
              </c:numRef>
            </c:plus>
            <c:minus>
              <c:numRef>
                <c:f>'R1'!$O$48:$V$48</c:f>
                <c:numCache>
                  <c:formatCode>General</c:formatCode>
                  <c:ptCount val="8"/>
                  <c:pt idx="0">
                    <c:v>7.8683048842723965E-2</c:v>
                  </c:pt>
                  <c:pt idx="1">
                    <c:v>0.13528534887759905</c:v>
                  </c:pt>
                  <c:pt idx="2">
                    <c:v>2.4508627220333576E-2</c:v>
                  </c:pt>
                  <c:pt idx="3">
                    <c:v>6.4235981870850015E-2</c:v>
                  </c:pt>
                  <c:pt idx="4">
                    <c:v>7.2634204457684273E-2</c:v>
                  </c:pt>
                  <c:pt idx="5">
                    <c:v>0.13911896744301452</c:v>
                  </c:pt>
                  <c:pt idx="6">
                    <c:v>9.2531464447958359E-2</c:v>
                  </c:pt>
                  <c:pt idx="7">
                    <c:v>0.10662855520474332</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cefuroxime-10mg/L</c:v>
                </c:pt>
                <c:pt idx="8">
                  <c:v>cefuroxime-1mg/L</c:v>
                </c:pt>
                <c:pt idx="9">
                  <c:v>cefuroxime-0.1mg/L</c:v>
                </c:pt>
                <c:pt idx="10">
                  <c:v>cefuroxime-0.01mg/L</c:v>
                </c:pt>
                <c:pt idx="11">
                  <c:v>cefuroxime-0.001mg/L</c:v>
                </c:pt>
                <c:pt idx="13">
                  <c:v>Testo -30µg/L</c:v>
                </c:pt>
                <c:pt idx="14">
                  <c:v>Testo 30µg/L + EE2 -64ng/L</c:v>
                </c:pt>
                <c:pt idx="15">
                  <c:v>Testo 30µg/L + FAD-10mg/L</c:v>
                </c:pt>
                <c:pt idx="16">
                  <c:v>cefuroxime-10mg/L + Testostérone</c:v>
                </c:pt>
                <c:pt idx="17">
                  <c:v>cefuroxime-1mg/L + Testostérone</c:v>
                </c:pt>
                <c:pt idx="18">
                  <c:v>cefuroxime-0.1mg/L + Testostérone</c:v>
                </c:pt>
                <c:pt idx="19">
                  <c:v>cefuroxime-0.01mg/L + Testostérone</c:v>
                </c:pt>
                <c:pt idx="20">
                  <c:v>cefuroxime-0.001mg/L + Testostérone</c:v>
                </c:pt>
              </c:strCache>
            </c:strRef>
          </c:cat>
          <c:val>
            <c:numRef>
              <c:f>'R2'!$B$53:$V$53</c:f>
              <c:numCache>
                <c:formatCode>0.0000</c:formatCode>
                <c:ptCount val="21"/>
                <c:pt idx="0">
                  <c:v>0.11611617504007436</c:v>
                </c:pt>
                <c:pt idx="1">
                  <c:v>0.3177543077840268</c:v>
                </c:pt>
                <c:pt idx="2">
                  <c:v>0.36840831718406858</c:v>
                </c:pt>
                <c:pt idx="3">
                  <c:v>0.68224003150921508</c:v>
                </c:pt>
                <c:pt idx="4">
                  <c:v>1.0865063443456555</c:v>
                </c:pt>
                <c:pt idx="5">
                  <c:v>1.390767532545057</c:v>
                </c:pt>
                <c:pt idx="6">
                  <c:v>1.6577514272185208</c:v>
                </c:pt>
                <c:pt idx="7">
                  <c:v>0.33888142334389726</c:v>
                </c:pt>
                <c:pt idx="8">
                  <c:v>0.30345075183936066</c:v>
                </c:pt>
                <c:pt idx="9">
                  <c:v>0.18909132227154388</c:v>
                </c:pt>
                <c:pt idx="10">
                  <c:v>0.23295114141362089</c:v>
                </c:pt>
                <c:pt idx="11">
                  <c:v>0.33162520256862815</c:v>
                </c:pt>
                <c:pt idx="12">
                  <c:v>0</c:v>
                </c:pt>
                <c:pt idx="13">
                  <c:v>1</c:v>
                </c:pt>
                <c:pt idx="14">
                  <c:v>1.7226662648854381</c:v>
                </c:pt>
                <c:pt idx="15">
                  <c:v>0.23088769142791124</c:v>
                </c:pt>
                <c:pt idx="16">
                  <c:v>1.7167227438489374</c:v>
                </c:pt>
                <c:pt idx="17">
                  <c:v>1.2561839161994131</c:v>
                </c:pt>
                <c:pt idx="18">
                  <c:v>1.4807845019544004</c:v>
                </c:pt>
                <c:pt idx="19">
                  <c:v>1.5397583449811389</c:v>
                </c:pt>
                <c:pt idx="20">
                  <c:v>0.92398145312458324</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tx2"/>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2.1383540477025568E-2</c:v>
                  </c:pt>
                  <c:pt idx="1">
                    <c:v>9.9520011036363917E-2</c:v>
                  </c:pt>
                  <c:pt idx="2">
                    <c:v>0.1029366582522744</c:v>
                  </c:pt>
                  <c:pt idx="3">
                    <c:v>7.6633683589049345E-2</c:v>
                  </c:pt>
                  <c:pt idx="4">
                    <c:v>0.11565646725598981</c:v>
                  </c:pt>
                  <c:pt idx="5">
                    <c:v>9.1213217775769281E-2</c:v>
                  </c:pt>
                  <c:pt idx="6">
                    <c:v>0.1062673024105466</c:v>
                  </c:pt>
                  <c:pt idx="7">
                    <c:v>3.8114599888953375E-2</c:v>
                  </c:pt>
                  <c:pt idx="8">
                    <c:v>2.2704387869505568E-2</c:v>
                  </c:pt>
                  <c:pt idx="9">
                    <c:v>3.0051383293541092E-2</c:v>
                  </c:pt>
                  <c:pt idx="10">
                    <c:v>2.271281637066442E-2</c:v>
                  </c:pt>
                  <c:pt idx="11">
                    <c:v>2.5501442463997933E-2</c:v>
                  </c:pt>
                  <c:pt idx="12">
                    <c:v>0</c:v>
                  </c:pt>
                  <c:pt idx="13">
                    <c:v>6.9189443714270757E-2</c:v>
                  </c:pt>
                  <c:pt idx="14">
                    <c:v>0.12650455310631301</c:v>
                  </c:pt>
                  <c:pt idx="15">
                    <c:v>2.0237410540448544E-2</c:v>
                  </c:pt>
                  <c:pt idx="16">
                    <c:v>0.11898379648231999</c:v>
                  </c:pt>
                  <c:pt idx="17">
                    <c:v>0.1449377888183192</c:v>
                  </c:pt>
                  <c:pt idx="18">
                    <c:v>0.14435815128892268</c:v>
                  </c:pt>
                  <c:pt idx="19">
                    <c:v>0.1237448464983365</c:v>
                  </c:pt>
                  <c:pt idx="20">
                    <c:v>0.11173412249055516</c:v>
                  </c:pt>
                </c:numCache>
              </c:numRef>
            </c:plus>
            <c:minus>
              <c:numRef>
                <c:f>'R1'!$O$48:$V$48</c:f>
                <c:numCache>
                  <c:formatCode>General</c:formatCode>
                  <c:ptCount val="8"/>
                  <c:pt idx="0">
                    <c:v>7.8683048842723965E-2</c:v>
                  </c:pt>
                  <c:pt idx="1">
                    <c:v>0.13528534887759905</c:v>
                  </c:pt>
                  <c:pt idx="2">
                    <c:v>2.4508627220333576E-2</c:v>
                  </c:pt>
                  <c:pt idx="3">
                    <c:v>6.4235981870850015E-2</c:v>
                  </c:pt>
                  <c:pt idx="4">
                    <c:v>7.2634204457684273E-2</c:v>
                  </c:pt>
                  <c:pt idx="5">
                    <c:v>0.13911896744301452</c:v>
                  </c:pt>
                  <c:pt idx="6">
                    <c:v>9.2531464447958359E-2</c:v>
                  </c:pt>
                  <c:pt idx="7">
                    <c:v>0.10662855520474332</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cefuroxime-10mg/L</c:v>
                </c:pt>
                <c:pt idx="8">
                  <c:v>cefuroxime-1mg/L</c:v>
                </c:pt>
                <c:pt idx="9">
                  <c:v>cefuroxime-0.1mg/L</c:v>
                </c:pt>
                <c:pt idx="10">
                  <c:v>cefuroxime-0.01mg/L</c:v>
                </c:pt>
                <c:pt idx="11">
                  <c:v>cefuroxime-0.001mg/L</c:v>
                </c:pt>
                <c:pt idx="13">
                  <c:v>Testo -30µg/L</c:v>
                </c:pt>
                <c:pt idx="14">
                  <c:v>Testo 30µg/L + EE2 -64ng/L</c:v>
                </c:pt>
                <c:pt idx="15">
                  <c:v>Testo 30µg/L + FAD-10mg/L</c:v>
                </c:pt>
                <c:pt idx="16">
                  <c:v>cefuroxime-10mg/L + Testostérone</c:v>
                </c:pt>
                <c:pt idx="17">
                  <c:v>cefuroxime-1mg/L + Testostérone</c:v>
                </c:pt>
                <c:pt idx="18">
                  <c:v>cefuroxime-0.1mg/L + Testostérone</c:v>
                </c:pt>
                <c:pt idx="19">
                  <c:v>cefuroxime-0.01mg/L + Testostérone</c:v>
                </c:pt>
                <c:pt idx="20">
                  <c:v>cefuroxime-0.001mg/L + Testostérone</c:v>
                </c:pt>
              </c:strCache>
            </c:strRef>
          </c:cat>
          <c:val>
            <c:numRef>
              <c:f>'R3'!$B$53:$V$53</c:f>
              <c:numCache>
                <c:formatCode>0.0000</c:formatCode>
                <c:ptCount val="21"/>
                <c:pt idx="0">
                  <c:v>9.4953699061987612E-2</c:v>
                </c:pt>
                <c:pt idx="1">
                  <c:v>0.23453832370328331</c:v>
                </c:pt>
                <c:pt idx="2">
                  <c:v>0.44664241472006844</c:v>
                </c:pt>
                <c:pt idx="3">
                  <c:v>0.68929796163712287</c:v>
                </c:pt>
                <c:pt idx="4">
                  <c:v>1.0422713031500002</c:v>
                </c:pt>
                <c:pt idx="5">
                  <c:v>1.2371454531252413</c:v>
                </c:pt>
                <c:pt idx="6">
                  <c:v>1.7428777706839704</c:v>
                </c:pt>
                <c:pt idx="7">
                  <c:v>8.8641999773558425E-2</c:v>
                </c:pt>
                <c:pt idx="8">
                  <c:v>0.19167434922496779</c:v>
                </c:pt>
                <c:pt idx="9">
                  <c:v>0.1209797403132316</c:v>
                </c:pt>
                <c:pt idx="10">
                  <c:v>0.16928495715223696</c:v>
                </c:pt>
                <c:pt idx="11">
                  <c:v>0.16086136627677167</c:v>
                </c:pt>
                <c:pt idx="12">
                  <c:v>0</c:v>
                </c:pt>
                <c:pt idx="13">
                  <c:v>0.99999999999999989</c:v>
                </c:pt>
                <c:pt idx="14">
                  <c:v>1.5462675137293453</c:v>
                </c:pt>
                <c:pt idx="15">
                  <c:v>0.11135540828344925</c:v>
                </c:pt>
                <c:pt idx="16">
                  <c:v>0.79413886287455193</c:v>
                </c:pt>
                <c:pt idx="17">
                  <c:v>0.93865279757243336</c:v>
                </c:pt>
                <c:pt idx="18">
                  <c:v>0.9169459583420565</c:v>
                </c:pt>
                <c:pt idx="19">
                  <c:v>1.1043990338650311</c:v>
                </c:pt>
                <c:pt idx="20">
                  <c:v>1.1823581167460608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7F5FA51B-E1B7-4065-95EA-311AE41F2E11}"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478C2AC0-9771-48F3-84FA-334BE1927A6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8985160C-1777-49D2-B9EB-54B2AE6ED8FD}"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92E3F2FB-BE96-496C-BB92-C3E320FF902B}"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7FCFAD86-FD8B-4EDF-9028-F58847C1BF1C}"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2012310C-6E4A-4FF3-BC58-F3CE1068A18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2F35E352-1B05-48DD-8E8D-1CA89ABC41CB}"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C490E5C0-8076-437E-8F40-216D064775C6}"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04D49BFC-D6F5-404B-87BC-B84AB084258B}"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C7347CAF-7EC1-4453-95C8-ABEC2D7B25CB}"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E7FD55C6-8559-4EF9-BC5E-36264551D4D0}"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C6400337-F7B3-4D0E-91F7-2F2EA3C1DB3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3BCB85CB-ABBD-409E-AB2B-617016BE0DD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DFD2D1C8-0FD9-462E-A090-B6331DF995C6}"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64D7025D-4231-4A14-88F6-622293CE0E39}"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B97D4F36-6B46-4F0D-8CFC-9972B3DB5EA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50F1C884-6D25-4B9A-9E50-2CC0693F48C5}"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21C90A82-759B-4981-8219-6324555DC1C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99A13E53-BAC8-474E-A671-6DAFD3718BDC}"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83BDFE54-E363-4347-BEC7-C3A489829B39}"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0C9DD732-3CB9-4BFA-970E-AE2DBCD4EF0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1.6355819633084884E-2</c:v>
                  </c:pt>
                  <c:pt idx="1">
                    <c:v>5.2467850840628258E-2</c:v>
                  </c:pt>
                  <c:pt idx="2">
                    <c:v>4.8943259414111123E-2</c:v>
                  </c:pt>
                  <c:pt idx="3">
                    <c:v>5.2689625315534921E-2</c:v>
                  </c:pt>
                  <c:pt idx="4">
                    <c:v>8.0989535860539794E-2</c:v>
                  </c:pt>
                  <c:pt idx="5">
                    <c:v>8.3288734104071158E-2</c:v>
                  </c:pt>
                  <c:pt idx="6">
                    <c:v>6.4982803800102365E-2</c:v>
                  </c:pt>
                  <c:pt idx="7">
                    <c:v>3.522126787909613E-2</c:v>
                  </c:pt>
                  <c:pt idx="8">
                    <c:v>2.9974690808705042E-2</c:v>
                  </c:pt>
                  <c:pt idx="9">
                    <c:v>2.5853617182136832E-2</c:v>
                  </c:pt>
                  <c:pt idx="10">
                    <c:v>1.6039163197602589E-2</c:v>
                  </c:pt>
                  <c:pt idx="11">
                    <c:v>2.779218930174342E-2</c:v>
                  </c:pt>
                  <c:pt idx="12">
                    <c:v>0</c:v>
                  </c:pt>
                  <c:pt idx="14">
                    <c:v>4.8496989168538659E-2</c:v>
                  </c:pt>
                  <c:pt idx="15">
                    <c:v>8.1503929272432746E-2</c:v>
                  </c:pt>
                  <c:pt idx="16">
                    <c:v>1.7834460543779122E-2</c:v>
                  </c:pt>
                  <c:pt idx="17">
                    <c:v>0.10077437338287337</c:v>
                  </c:pt>
                  <c:pt idx="18">
                    <c:v>9.8056216800472079E-2</c:v>
                  </c:pt>
                  <c:pt idx="19">
                    <c:v>9.7877030524195788E-2</c:v>
                  </c:pt>
                  <c:pt idx="20">
                    <c:v>0.10318824539616255</c:v>
                  </c:pt>
                  <c:pt idx="21">
                    <c:v>8.2237608239792925E-2</c:v>
                  </c:pt>
                </c:numCache>
              </c:numRef>
            </c:plus>
            <c:minus>
              <c:numRef>
                <c:f>'pooled normalised values'!$B$76:$W$76</c:f>
                <c:numCache>
                  <c:formatCode>General</c:formatCode>
                  <c:ptCount val="22"/>
                  <c:pt idx="0">
                    <c:v>1.6355819633084884E-2</c:v>
                  </c:pt>
                  <c:pt idx="1">
                    <c:v>5.2467850840628258E-2</c:v>
                  </c:pt>
                  <c:pt idx="2">
                    <c:v>4.8943259414111123E-2</c:v>
                  </c:pt>
                  <c:pt idx="3">
                    <c:v>5.2689625315534921E-2</c:v>
                  </c:pt>
                  <c:pt idx="4">
                    <c:v>8.0989535860539794E-2</c:v>
                  </c:pt>
                  <c:pt idx="5">
                    <c:v>8.3288734104071158E-2</c:v>
                  </c:pt>
                  <c:pt idx="6">
                    <c:v>6.4982803800102365E-2</c:v>
                  </c:pt>
                  <c:pt idx="7">
                    <c:v>3.522126787909613E-2</c:v>
                  </c:pt>
                  <c:pt idx="8">
                    <c:v>2.9974690808705042E-2</c:v>
                  </c:pt>
                  <c:pt idx="9">
                    <c:v>2.5853617182136832E-2</c:v>
                  </c:pt>
                  <c:pt idx="10">
                    <c:v>1.6039163197602589E-2</c:v>
                  </c:pt>
                  <c:pt idx="11">
                    <c:v>2.779218930174342E-2</c:v>
                  </c:pt>
                  <c:pt idx="12">
                    <c:v>0</c:v>
                  </c:pt>
                  <c:pt idx="14">
                    <c:v>4.8496989168538659E-2</c:v>
                  </c:pt>
                  <c:pt idx="15">
                    <c:v>8.1503929272432746E-2</c:v>
                  </c:pt>
                  <c:pt idx="16">
                    <c:v>1.7834460543779122E-2</c:v>
                  </c:pt>
                  <c:pt idx="17">
                    <c:v>0.10077437338287337</c:v>
                  </c:pt>
                  <c:pt idx="18">
                    <c:v>9.8056216800472079E-2</c:v>
                  </c:pt>
                  <c:pt idx="19">
                    <c:v>9.7877030524195788E-2</c:v>
                  </c:pt>
                  <c:pt idx="20">
                    <c:v>0.10318824539616255</c:v>
                  </c:pt>
                  <c:pt idx="21">
                    <c:v>8.2237608239792925E-2</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cefuroxime-10mg/L</c:v>
                </c:pt>
                <c:pt idx="8">
                  <c:v>cefuroxime-1mg/L</c:v>
                </c:pt>
                <c:pt idx="9">
                  <c:v>cefuroxime-0.1mg/L</c:v>
                </c:pt>
                <c:pt idx="10">
                  <c:v>cefuroxime-0.01mg/L</c:v>
                </c:pt>
                <c:pt idx="11">
                  <c:v>cefuroxime-0.001mg/L</c:v>
                </c:pt>
                <c:pt idx="14">
                  <c:v>Testo -30µg/L</c:v>
                </c:pt>
                <c:pt idx="15">
                  <c:v>Testo 30µg/L + EE2 -64ng/L</c:v>
                </c:pt>
                <c:pt idx="16">
                  <c:v>Testo 30µg/L + FAD-10mg/L</c:v>
                </c:pt>
                <c:pt idx="17">
                  <c:v>cefuroxime-10mg/L + Testostérone</c:v>
                </c:pt>
                <c:pt idx="18">
                  <c:v>cefuroxime-1mg/L + Testostérone</c:v>
                </c:pt>
                <c:pt idx="19">
                  <c:v>cefuroxime-0.1mg/L + Testostérone</c:v>
                </c:pt>
                <c:pt idx="20">
                  <c:v>cefuroxime-0.01mg/L + Testostérone</c:v>
                </c:pt>
                <c:pt idx="21">
                  <c:v>cefuroxime-0.001mg/L + Testostérone</c:v>
                </c:pt>
              </c:strCache>
            </c:strRef>
          </c:cat>
          <c:val>
            <c:numRef>
              <c:f>'pooled normalised values'!$B$75:$W$75</c:f>
              <c:numCache>
                <c:formatCode>0.0000</c:formatCode>
                <c:ptCount val="22"/>
                <c:pt idx="0">
                  <c:v>0.11550432495128078</c:v>
                </c:pt>
                <c:pt idx="1">
                  <c:v>0.31638841987296351</c:v>
                </c:pt>
                <c:pt idx="2">
                  <c:v>0.39517209381785751</c:v>
                </c:pt>
                <c:pt idx="3">
                  <c:v>0.59354021229993059</c:v>
                </c:pt>
                <c:pt idx="4">
                  <c:v>0.97641060143823077</c:v>
                </c:pt>
                <c:pt idx="5">
                  <c:v>1.3049204073069218</c:v>
                </c:pt>
                <c:pt idx="6">
                  <c:v>1.7083067595933159</c:v>
                </c:pt>
                <c:pt idx="7">
                  <c:v>0.25189319507379665</c:v>
                </c:pt>
                <c:pt idx="8">
                  <c:v>0.28525854384600463</c:v>
                </c:pt>
                <c:pt idx="9">
                  <c:v>0.18423178354581468</c:v>
                </c:pt>
                <c:pt idx="10">
                  <c:v>0.20206747777599887</c:v>
                </c:pt>
                <c:pt idx="11">
                  <c:v>0.23929031013903398</c:v>
                </c:pt>
                <c:pt idx="12">
                  <c:v>0</c:v>
                </c:pt>
                <c:pt idx="14">
                  <c:v>0.99999999999999967</c:v>
                </c:pt>
                <c:pt idx="15">
                  <c:v>1.5168654213518764</c:v>
                </c:pt>
                <c:pt idx="16">
                  <c:v>0.18390175713000775</c:v>
                </c:pt>
                <c:pt idx="17">
                  <c:v>1.130762794142677</c:v>
                </c:pt>
                <c:pt idx="18">
                  <c:v>1.0314334543172381</c:v>
                </c:pt>
                <c:pt idx="19">
                  <c:v>1.1170041678926674</c:v>
                </c:pt>
                <c:pt idx="20">
                  <c:v>1.1720180449492987</c:v>
                </c:pt>
                <c:pt idx="21">
                  <c:v>0.97855688268244811</c:v>
                </c:pt>
              </c:numCache>
            </c:numRef>
          </c:val>
          <c:extLst>
            <c:ext xmlns:c15="http://schemas.microsoft.com/office/drawing/2012/chart" uri="{02D57815-91ED-43cb-92C2-25804820EDAC}">
              <c15:datalabelsRange>
                <c15:f>'pooled normalised values'!$B$83:$W$83</c15:f>
                <c15:dlblRangeCache>
                  <c:ptCount val="22"/>
                  <c:pt idx="1">
                    <c:v>NS</c:v>
                  </c:pt>
                  <c:pt idx="2">
                    <c:v>NS</c:v>
                  </c:pt>
                  <c:pt idx="3">
                    <c:v>***</c:v>
                  </c:pt>
                  <c:pt idx="4">
                    <c:v>***</c:v>
                  </c:pt>
                  <c:pt idx="5">
                    <c:v>***</c:v>
                  </c:pt>
                  <c:pt idx="6">
                    <c:v>***</c:v>
                  </c:pt>
                  <c:pt idx="7">
                    <c:v>**</c:v>
                  </c:pt>
                  <c:pt idx="8">
                    <c:v>***</c:v>
                  </c:pt>
                  <c:pt idx="9">
                    <c:v>NS</c:v>
                  </c:pt>
                  <c:pt idx="10">
                    <c:v>NS</c:v>
                  </c:pt>
                  <c:pt idx="11">
                    <c:v>**</c:v>
                  </c:pt>
                  <c:pt idx="12">
                    <c:v>#NAME?</c:v>
                  </c:pt>
                  <c:pt idx="14">
                    <c:v>***</c:v>
                  </c:pt>
                  <c:pt idx="15">
                    <c:v>***</c:v>
                  </c:pt>
                  <c:pt idx="16">
                    <c:v>***</c:v>
                  </c:pt>
                  <c:pt idx="17">
                    <c:v>NS</c:v>
                  </c:pt>
                  <c:pt idx="18">
                    <c:v>NS</c:v>
                  </c:pt>
                  <c:pt idx="19">
                    <c:v>NS</c:v>
                  </c:pt>
                  <c:pt idx="20">
                    <c:v>NS</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5"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5"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cefuroxime run1</a:t>
          </a:r>
        </a:p>
        <a:p xmlns:a="http://schemas.openxmlformats.org/drawingml/2006/main">
          <a:pPr algn="ctr"/>
          <a:r>
            <a:rPr lang="fr-FR" sz="1400" b="1"/>
            <a:t>20210708</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0.42896</cdr:x>
      <cdr:y>0.02092</cdr:y>
    </cdr:from>
    <cdr:to>
      <cdr:x>0.59646</cdr:x>
      <cdr:y>0.10827</cdr:y>
    </cdr:to>
    <cdr:sp macro="" textlink="">
      <cdr:nvSpPr>
        <cdr:cNvPr id="4" name="ZoneTexte 1">
          <a:extLst xmlns:a="http://schemas.openxmlformats.org/drawingml/2006/main">
            <a:ext uri="{FF2B5EF4-FFF2-40B4-BE49-F238E27FC236}">
              <a16:creationId xmlns:a16="http://schemas.microsoft.com/office/drawing/2014/main" id="{A4BEAB40-9678-4EB5-BD0C-6C891C2BD079}"/>
            </a:ext>
          </a:extLst>
        </cdr:cNvPr>
        <cdr:cNvSpPr txBox="1"/>
      </cdr:nvSpPr>
      <cdr:spPr>
        <a:xfrm xmlns:a="http://schemas.openxmlformats.org/drawingml/2006/main">
          <a:off x="3987800" y="127000"/>
          <a:ext cx="1557147" cy="530267"/>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cefuroxime run2</a:t>
          </a:r>
        </a:p>
        <a:p xmlns:a="http://schemas.openxmlformats.org/drawingml/2006/main">
          <a:pPr algn="ctr"/>
          <a:r>
            <a:rPr lang="fr-FR" sz="1400" b="1"/>
            <a:t>20210909</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0.46357</cdr:x>
      <cdr:y>0.02092</cdr:y>
    </cdr:from>
    <cdr:to>
      <cdr:x>0.63107</cdr:x>
      <cdr:y>0.10827</cdr:y>
    </cdr:to>
    <cdr:sp macro="" textlink="">
      <cdr:nvSpPr>
        <cdr:cNvPr id="3" name="ZoneTexte 1">
          <a:extLst xmlns:a="http://schemas.openxmlformats.org/drawingml/2006/main">
            <a:ext uri="{FF2B5EF4-FFF2-40B4-BE49-F238E27FC236}">
              <a16:creationId xmlns:a16="http://schemas.microsoft.com/office/drawing/2014/main" id="{177B3777-0B39-4B0B-BC73-3C16CC87B34A}"/>
            </a:ext>
          </a:extLst>
        </cdr:cNvPr>
        <cdr:cNvSpPr txBox="1"/>
      </cdr:nvSpPr>
      <cdr:spPr>
        <a:xfrm xmlns:a="http://schemas.openxmlformats.org/drawingml/2006/main">
          <a:off x="4309533" y="127000"/>
          <a:ext cx="1557147" cy="530267"/>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cefuroxime run3</a:t>
          </a:r>
        </a:p>
        <a:p xmlns:a="http://schemas.openxmlformats.org/drawingml/2006/main">
          <a:pPr algn="ctr"/>
          <a:r>
            <a:rPr lang="fr-FR" sz="1400" b="1"/>
            <a:t>20211014</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7" zoomScale="55" zoomScaleNormal="55" workbookViewId="0">
      <selection activeCell="D14" sqref="D14:D18"/>
    </sheetView>
  </sheetViews>
  <sheetFormatPr defaultColWidth="11" defaultRowHeight="39" customHeight="1"/>
  <cols>
    <col min="1" max="1" width="42" bestFit="1" customWidth="1"/>
    <col min="2" max="2" width="33.85546875" style="27" bestFit="1" customWidth="1"/>
    <col min="3" max="3" width="21.28515625" customWidth="1"/>
    <col min="4" max="4" width="30.42578125" customWidth="1"/>
    <col min="5" max="5" width="62.28515625" style="86"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0"/>
      <c r="B1" s="121"/>
      <c r="C1" s="121"/>
      <c r="D1" s="121"/>
      <c r="E1" s="121"/>
      <c r="F1" s="121"/>
      <c r="G1" s="121"/>
      <c r="H1" s="121"/>
      <c r="I1" s="122"/>
    </row>
    <row r="2" spans="1:9" ht="21.75" thickBot="1">
      <c r="A2" s="105" t="s">
        <v>8</v>
      </c>
      <c r="B2" s="26" t="s">
        <v>57</v>
      </c>
      <c r="C2" s="123"/>
      <c r="D2" s="124"/>
      <c r="E2" s="26" t="s">
        <v>68</v>
      </c>
      <c r="F2" s="135"/>
      <c r="G2" s="136"/>
      <c r="H2" s="136"/>
      <c r="I2" s="137"/>
    </row>
    <row r="3" spans="1:9" ht="21.75" thickBot="1">
      <c r="A3" s="106" t="s">
        <v>9</v>
      </c>
      <c r="B3" s="26" t="s">
        <v>57</v>
      </c>
      <c r="C3" s="125"/>
      <c r="D3" s="126"/>
      <c r="E3" s="26" t="s">
        <v>69</v>
      </c>
      <c r="F3" s="132"/>
      <c r="G3" s="133"/>
      <c r="H3" s="133"/>
      <c r="I3" s="134"/>
    </row>
    <row r="4" spans="1:9" ht="21.75" thickBot="1">
      <c r="A4" s="107" t="s">
        <v>12</v>
      </c>
      <c r="B4" s="26" t="s">
        <v>57</v>
      </c>
      <c r="C4" s="127"/>
      <c r="D4" s="128"/>
      <c r="E4" s="26" t="s">
        <v>73</v>
      </c>
      <c r="F4" s="129"/>
      <c r="G4" s="130"/>
      <c r="H4" s="130"/>
      <c r="I4" s="131"/>
    </row>
    <row r="5" spans="1:9" s="1" customFormat="1" ht="65.25" customHeight="1" thickBot="1">
      <c r="A5" s="120" t="s">
        <v>18</v>
      </c>
      <c r="B5" s="121"/>
      <c r="C5" s="121"/>
      <c r="D5" s="121"/>
      <c r="E5" s="121"/>
      <c r="F5" s="121"/>
      <c r="G5" s="121"/>
      <c r="H5" s="121"/>
      <c r="I5" s="122"/>
    </row>
    <row r="6" spans="1:9" s="66" customFormat="1" ht="39" customHeight="1">
      <c r="A6" s="56" t="s">
        <v>58</v>
      </c>
      <c r="B6" s="57" t="s">
        <v>59</v>
      </c>
      <c r="C6" s="45" t="s">
        <v>10</v>
      </c>
      <c r="D6" s="45" t="s">
        <v>60</v>
      </c>
      <c r="E6" s="83" t="s">
        <v>61</v>
      </c>
      <c r="F6" s="65" t="s">
        <v>62</v>
      </c>
    </row>
    <row r="7" spans="1:9" s="92" customFormat="1" ht="39" customHeight="1">
      <c r="A7"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88" t="s">
        <v>50</v>
      </c>
      <c r="C7" s="89">
        <v>0</v>
      </c>
      <c r="D7" s="90"/>
      <c r="E7" s="91" t="s">
        <v>64</v>
      </c>
      <c r="F7" s="67"/>
    </row>
    <row r="8" spans="1:9" s="92" customFormat="1" ht="39" customHeight="1">
      <c r="A8"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88" t="s">
        <v>50</v>
      </c>
      <c r="C8" s="89" t="s">
        <v>65</v>
      </c>
      <c r="D8" s="90" t="s">
        <v>51</v>
      </c>
      <c r="E8" s="91" t="s">
        <v>52</v>
      </c>
      <c r="F8" s="67"/>
    </row>
    <row r="9" spans="1:9" s="92" customFormat="1" ht="39" customHeight="1">
      <c r="A9"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88" t="s">
        <v>50</v>
      </c>
      <c r="C9" s="89" t="s">
        <v>66</v>
      </c>
      <c r="D9" s="90" t="s">
        <v>51</v>
      </c>
      <c r="E9" s="91" t="s">
        <v>52</v>
      </c>
      <c r="F9" s="67"/>
    </row>
    <row r="10" spans="1:9" s="92" customFormat="1" ht="39" customHeight="1">
      <c r="A10"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88" t="s">
        <v>50</v>
      </c>
      <c r="C10" s="89">
        <v>76</v>
      </c>
      <c r="D10" s="90" t="s">
        <v>51</v>
      </c>
      <c r="E10" s="91" t="s">
        <v>52</v>
      </c>
      <c r="F10" s="67"/>
    </row>
    <row r="11" spans="1:9" s="92" customFormat="1" ht="39" customHeight="1">
      <c r="A11"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88" t="s">
        <v>50</v>
      </c>
      <c r="C11" s="89">
        <v>114</v>
      </c>
      <c r="D11" s="90" t="s">
        <v>51</v>
      </c>
      <c r="E11" s="91" t="s">
        <v>52</v>
      </c>
      <c r="F11" s="67"/>
    </row>
    <row r="12" spans="1:9" s="92" customFormat="1" ht="39" customHeight="1">
      <c r="A12"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88" t="s">
        <v>50</v>
      </c>
      <c r="C12" s="89" t="s">
        <v>67</v>
      </c>
      <c r="D12" s="90" t="s">
        <v>51</v>
      </c>
      <c r="E12" s="91" t="s">
        <v>52</v>
      </c>
      <c r="F12" s="67"/>
    </row>
    <row r="13" spans="1:9" s="92" customFormat="1" ht="39" customHeight="1">
      <c r="A13"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88" t="s">
        <v>50</v>
      </c>
      <c r="C13" s="89">
        <v>488</v>
      </c>
      <c r="D13" s="90" t="s">
        <v>51</v>
      </c>
      <c r="E13" s="91" t="s">
        <v>52</v>
      </c>
      <c r="F13" s="67"/>
    </row>
    <row r="14" spans="1:9" s="92" customFormat="1" ht="39" customHeight="1">
      <c r="A14"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cefuroxime-10mg/L</v>
      </c>
      <c r="B14" s="88" t="s">
        <v>63</v>
      </c>
      <c r="C14" s="89">
        <v>10</v>
      </c>
      <c r="D14" s="90" t="s">
        <v>75</v>
      </c>
      <c r="E14" s="91" t="s">
        <v>74</v>
      </c>
      <c r="F14" s="67"/>
    </row>
    <row r="15" spans="1:9" s="68" customFormat="1" ht="39" customHeight="1">
      <c r="A1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cefuroxime-1mg/L</v>
      </c>
      <c r="B15" s="88" t="s">
        <v>63</v>
      </c>
      <c r="C15" s="62">
        <v>1</v>
      </c>
      <c r="D15" s="90" t="s">
        <v>75</v>
      </c>
      <c r="E15" s="91" t="s">
        <v>74</v>
      </c>
      <c r="F15" s="67"/>
    </row>
    <row r="16" spans="1:9" s="68" customFormat="1" ht="39" customHeight="1">
      <c r="A1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cefuroxime-0.1mg/L</v>
      </c>
      <c r="B16" s="88" t="s">
        <v>63</v>
      </c>
      <c r="C16" s="62">
        <v>0.1</v>
      </c>
      <c r="D16" s="90" t="s">
        <v>75</v>
      </c>
      <c r="E16" s="91" t="s">
        <v>74</v>
      </c>
      <c r="F16" s="67"/>
    </row>
    <row r="17" spans="1:6" s="68" customFormat="1" ht="39" customHeight="1">
      <c r="A1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cefuroxime-0.01mg/L</v>
      </c>
      <c r="B17" s="88" t="s">
        <v>63</v>
      </c>
      <c r="C17" s="62">
        <v>0.01</v>
      </c>
      <c r="D17" s="90" t="s">
        <v>75</v>
      </c>
      <c r="E17" s="91" t="s">
        <v>74</v>
      </c>
      <c r="F17" s="67"/>
    </row>
    <row r="18" spans="1:6" s="68" customFormat="1" ht="39" customHeight="1">
      <c r="A1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cefuroxime-0.001mg/L</v>
      </c>
      <c r="B18" s="88" t="s">
        <v>63</v>
      </c>
      <c r="C18" s="62">
        <v>1E-3</v>
      </c>
      <c r="D18" s="90" t="s">
        <v>75</v>
      </c>
      <c r="E18" s="91" t="s">
        <v>74</v>
      </c>
      <c r="F18" s="67"/>
    </row>
    <row r="19" spans="1:6" s="68" customFormat="1" ht="39" customHeight="1">
      <c r="A1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88" t="s">
        <v>63</v>
      </c>
      <c r="C19" s="62"/>
      <c r="D19" s="62"/>
      <c r="E19" s="24"/>
      <c r="F19" s="67"/>
    </row>
    <row r="20" spans="1:6" s="68" customFormat="1" ht="39" customHeight="1">
      <c r="A2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88" t="s">
        <v>63</v>
      </c>
      <c r="C20" s="62"/>
      <c r="D20" s="62"/>
      <c r="E20" s="58"/>
      <c r="F20" s="67"/>
    </row>
    <row r="21" spans="1:6" s="68" customFormat="1" ht="39" customHeight="1">
      <c r="A2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88" t="s">
        <v>63</v>
      </c>
      <c r="C21" s="62"/>
      <c r="D21" s="62"/>
      <c r="E21" s="24"/>
      <c r="F21" s="67"/>
    </row>
    <row r="22" spans="1:6" s="68" customFormat="1" ht="39" customHeight="1">
      <c r="A2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88" t="s">
        <v>63</v>
      </c>
      <c r="C22" s="62"/>
      <c r="D22" s="62"/>
      <c r="E22" s="58"/>
      <c r="F22" s="67"/>
    </row>
    <row r="23" spans="1:6" s="68" customFormat="1" ht="39" customHeight="1">
      <c r="A2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88" t="s">
        <v>63</v>
      </c>
      <c r="C23" s="62"/>
      <c r="D23" s="62"/>
      <c r="E23" s="24"/>
      <c r="F23" s="67"/>
    </row>
    <row r="24" spans="1:6" s="68" customFormat="1" ht="39" customHeight="1">
      <c r="A24"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88" t="s">
        <v>63</v>
      </c>
      <c r="C24" s="62"/>
      <c r="D24" s="62"/>
      <c r="E24" s="58"/>
      <c r="F24" s="67"/>
    </row>
    <row r="25" spans="1:6" s="68" customFormat="1" ht="39" customHeight="1">
      <c r="A2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88" t="s">
        <v>63</v>
      </c>
      <c r="C25" s="62"/>
      <c r="D25" s="62"/>
      <c r="E25" s="24"/>
      <c r="F25" s="67"/>
    </row>
    <row r="26" spans="1:6" s="68" customFormat="1" ht="39" customHeight="1">
      <c r="A2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88" t="s">
        <v>63</v>
      </c>
      <c r="C26" s="62"/>
      <c r="D26" s="62"/>
      <c r="E26" s="58"/>
      <c r="F26" s="67"/>
    </row>
    <row r="27" spans="1:6" s="68" customFormat="1" ht="39" customHeight="1">
      <c r="A2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88" t="s">
        <v>63</v>
      </c>
      <c r="C27" s="62"/>
      <c r="D27" s="62"/>
      <c r="E27" s="24"/>
      <c r="F27" s="67"/>
    </row>
    <row r="28" spans="1:6" s="68" customFormat="1" ht="39" customHeight="1">
      <c r="A2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88" t="s">
        <v>63</v>
      </c>
      <c r="C28" s="62"/>
      <c r="D28" s="62"/>
      <c r="E28" s="58"/>
      <c r="F28" s="67"/>
    </row>
    <row r="29" spans="1:6" s="68" customFormat="1" ht="39" customHeight="1">
      <c r="A2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88" t="s">
        <v>63</v>
      </c>
      <c r="C29" s="62"/>
      <c r="D29" s="71"/>
      <c r="E29" s="24"/>
      <c r="F29" s="67"/>
    </row>
    <row r="30" spans="1:6" s="68" customFormat="1" ht="39" customHeight="1">
      <c r="A3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88" t="s">
        <v>63</v>
      </c>
      <c r="C30" s="62"/>
      <c r="D30" s="71"/>
      <c r="E30" s="58"/>
      <c r="F30" s="67"/>
    </row>
    <row r="31" spans="1:6" s="68" customFormat="1" ht="39" customHeight="1">
      <c r="A3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88" t="s">
        <v>63</v>
      </c>
      <c r="C31" s="62"/>
      <c r="D31" s="71"/>
      <c r="E31" s="24"/>
      <c r="F31" s="67"/>
    </row>
    <row r="32" spans="1:6" s="68" customFormat="1" ht="39" customHeight="1">
      <c r="A3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88" t="s">
        <v>63</v>
      </c>
      <c r="C32" s="62"/>
      <c r="D32" s="71"/>
      <c r="E32" s="58"/>
      <c r="F32" s="67"/>
    </row>
    <row r="33" spans="1:6" s="68" customFormat="1" ht="39" customHeight="1">
      <c r="A3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88" t="s">
        <v>63</v>
      </c>
      <c r="C33" s="62"/>
      <c r="D33" s="71"/>
      <c r="E33" s="24"/>
      <c r="F33" s="67"/>
    </row>
    <row r="34" spans="1:6" s="68" customFormat="1" ht="39" customHeight="1" thickBot="1">
      <c r="A34"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88" t="s">
        <v>63</v>
      </c>
      <c r="C34" s="94"/>
      <c r="D34" s="72"/>
      <c r="E34" s="93"/>
      <c r="F34" s="67"/>
    </row>
    <row r="35" spans="1:6" s="68" customFormat="1" ht="39" customHeight="1">
      <c r="A35" s="9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59" t="s">
        <v>50</v>
      </c>
      <c r="C35" s="63">
        <v>30</v>
      </c>
      <c r="D35" s="73" t="s">
        <v>53</v>
      </c>
      <c r="E35" s="84" t="s">
        <v>11</v>
      </c>
      <c r="F35" s="96"/>
    </row>
    <row r="36" spans="1:6" s="68" customFormat="1" ht="39" customHeight="1">
      <c r="A36" s="9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0" t="s">
        <v>50</v>
      </c>
      <c r="C36" s="64">
        <v>64</v>
      </c>
      <c r="D36" s="74" t="s">
        <v>51</v>
      </c>
      <c r="E36" s="85" t="s">
        <v>54</v>
      </c>
      <c r="F36" s="98"/>
    </row>
    <row r="37" spans="1:6" s="68" customFormat="1" ht="39" customHeight="1" thickBot="1">
      <c r="A3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0" t="s">
        <v>50</v>
      </c>
      <c r="C37" s="101">
        <v>10</v>
      </c>
      <c r="D37" s="102" t="s">
        <v>55</v>
      </c>
      <c r="E37" s="103" t="s">
        <v>56</v>
      </c>
      <c r="F37" s="104"/>
    </row>
    <row r="38" spans="1:6" s="68" customFormat="1" ht="39" customHeight="1">
      <c r="A38" s="3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cefuroxime-10mg/L + Testostérone</v>
      </c>
      <c r="B38" s="108" t="str">
        <f>B14</f>
        <v>test chemical</v>
      </c>
      <c r="C38" s="108">
        <f t="shared" ref="C38:E38" si="0">C14</f>
        <v>10</v>
      </c>
      <c r="D38" s="108" t="str">
        <f t="shared" si="0"/>
        <v>mg/L</v>
      </c>
      <c r="E38" s="118" t="str">
        <f t="shared" si="0"/>
        <v>cefuroxime</v>
      </c>
      <c r="F38" s="69" t="s">
        <v>30</v>
      </c>
    </row>
    <row r="39" spans="1:6" s="68" customFormat="1" ht="39" customHeight="1">
      <c r="A3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cefuroxime-1mg/L + Testostérone</v>
      </c>
      <c r="B39" s="110" t="str">
        <f t="shared" ref="B39:E39" si="1">B15</f>
        <v>test chemical</v>
      </c>
      <c r="C39" s="110">
        <f t="shared" si="1"/>
        <v>1</v>
      </c>
      <c r="D39" s="110" t="str">
        <f t="shared" si="1"/>
        <v>mg/L</v>
      </c>
      <c r="E39" s="64" t="str">
        <f t="shared" si="1"/>
        <v>cefuroxime</v>
      </c>
      <c r="F39" s="70" t="s">
        <v>30</v>
      </c>
    </row>
    <row r="40" spans="1:6" s="68" customFormat="1" ht="39" customHeight="1">
      <c r="A4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cefuroxime-0.1mg/L + Testostérone</v>
      </c>
      <c r="B40" s="110" t="str">
        <f t="shared" ref="B40:E40" si="2">B16</f>
        <v>test chemical</v>
      </c>
      <c r="C40" s="110">
        <f t="shared" si="2"/>
        <v>0.1</v>
      </c>
      <c r="D40" s="110" t="str">
        <f t="shared" si="2"/>
        <v>mg/L</v>
      </c>
      <c r="E40" s="64" t="str">
        <f t="shared" si="2"/>
        <v>cefuroxime</v>
      </c>
      <c r="F40" s="70" t="s">
        <v>30</v>
      </c>
    </row>
    <row r="41" spans="1:6" s="68" customFormat="1" ht="39" customHeight="1">
      <c r="A4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cefuroxime-0.01mg/L + Testostérone</v>
      </c>
      <c r="B41" s="110" t="str">
        <f t="shared" ref="B41:E41" si="3">B17</f>
        <v>test chemical</v>
      </c>
      <c r="C41" s="110">
        <f t="shared" si="3"/>
        <v>0.01</v>
      </c>
      <c r="D41" s="110" t="str">
        <f t="shared" si="3"/>
        <v>mg/L</v>
      </c>
      <c r="E41" s="64" t="str">
        <f t="shared" si="3"/>
        <v>cefuroxime</v>
      </c>
      <c r="F41" s="70" t="s">
        <v>30</v>
      </c>
    </row>
    <row r="42" spans="1:6" s="68" customFormat="1" ht="39" customHeight="1">
      <c r="A4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cefuroxime-0.001mg/L + Testostérone</v>
      </c>
      <c r="B42" s="110" t="str">
        <f t="shared" ref="B42:E42" si="4">B18</f>
        <v>test chemical</v>
      </c>
      <c r="C42" s="110">
        <f t="shared" si="4"/>
        <v>1E-3</v>
      </c>
      <c r="D42" s="110" t="str">
        <f t="shared" si="4"/>
        <v>mg/L</v>
      </c>
      <c r="E42" s="64" t="str">
        <f t="shared" si="4"/>
        <v>cefuroxime</v>
      </c>
      <c r="F42" s="70" t="s">
        <v>30</v>
      </c>
    </row>
    <row r="43" spans="1:6" s="68" customFormat="1" ht="39" customHeight="1">
      <c r="A4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0" t="str">
        <f t="shared" ref="B43:E43" si="5">B19</f>
        <v>test chemical</v>
      </c>
      <c r="C43" s="110">
        <f t="shared" si="5"/>
        <v>0</v>
      </c>
      <c r="D43" s="110">
        <f t="shared" si="5"/>
        <v>0</v>
      </c>
      <c r="E43" s="110">
        <f t="shared" si="5"/>
        <v>0</v>
      </c>
      <c r="F43" s="70" t="s">
        <v>30</v>
      </c>
    </row>
    <row r="44" spans="1:6" s="68" customFormat="1" ht="39" customHeight="1">
      <c r="A4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0" t="str">
        <f t="shared" ref="B44:E44" si="6">B20</f>
        <v>test chemical</v>
      </c>
      <c r="C44" s="110">
        <f t="shared" si="6"/>
        <v>0</v>
      </c>
      <c r="D44" s="110">
        <f t="shared" si="6"/>
        <v>0</v>
      </c>
      <c r="E44" s="110">
        <f t="shared" si="6"/>
        <v>0</v>
      </c>
      <c r="F44" s="70" t="s">
        <v>30</v>
      </c>
    </row>
    <row r="45" spans="1:6" s="68" customFormat="1" ht="39" customHeight="1">
      <c r="A4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0" t="str">
        <f t="shared" ref="B45:E45" si="7">B21</f>
        <v>test chemical</v>
      </c>
      <c r="C45" s="110">
        <f t="shared" si="7"/>
        <v>0</v>
      </c>
      <c r="D45" s="110">
        <f t="shared" si="7"/>
        <v>0</v>
      </c>
      <c r="E45" s="110">
        <f t="shared" si="7"/>
        <v>0</v>
      </c>
      <c r="F45" s="70" t="s">
        <v>30</v>
      </c>
    </row>
    <row r="46" spans="1:6" s="68" customFormat="1" ht="39" customHeight="1">
      <c r="A4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0" t="str">
        <f t="shared" ref="B46:E46" si="8">B22</f>
        <v>test chemical</v>
      </c>
      <c r="C46" s="110">
        <f t="shared" si="8"/>
        <v>0</v>
      </c>
      <c r="D46" s="110">
        <f t="shared" si="8"/>
        <v>0</v>
      </c>
      <c r="E46" s="110">
        <f t="shared" si="8"/>
        <v>0</v>
      </c>
      <c r="F46" s="70" t="s">
        <v>30</v>
      </c>
    </row>
    <row r="47" spans="1:6" s="68" customFormat="1" ht="39" customHeight="1">
      <c r="A47"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0" t="str">
        <f t="shared" ref="B47:E47" si="9">B23</f>
        <v>test chemical</v>
      </c>
      <c r="C47" s="110">
        <f t="shared" si="9"/>
        <v>0</v>
      </c>
      <c r="D47" s="110">
        <f t="shared" si="9"/>
        <v>0</v>
      </c>
      <c r="E47" s="110">
        <f t="shared" si="9"/>
        <v>0</v>
      </c>
      <c r="F47" s="70" t="s">
        <v>30</v>
      </c>
    </row>
    <row r="48" spans="1:6" s="68" customFormat="1" ht="39" customHeight="1">
      <c r="A48"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0" t="str">
        <f t="shared" ref="B48:E48" si="10">B24</f>
        <v>test chemical</v>
      </c>
      <c r="C48" s="110">
        <f t="shared" si="10"/>
        <v>0</v>
      </c>
      <c r="D48" s="110">
        <f t="shared" si="10"/>
        <v>0</v>
      </c>
      <c r="E48" s="110">
        <f t="shared" si="10"/>
        <v>0</v>
      </c>
      <c r="F48" s="70" t="s">
        <v>30</v>
      </c>
    </row>
    <row r="49" spans="1:6" s="68" customFormat="1" ht="39" customHeight="1">
      <c r="A4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0" t="str">
        <f t="shared" ref="B49:E49" si="11">B25</f>
        <v>test chemical</v>
      </c>
      <c r="C49" s="110">
        <f t="shared" si="11"/>
        <v>0</v>
      </c>
      <c r="D49" s="110">
        <f t="shared" si="11"/>
        <v>0</v>
      </c>
      <c r="E49" s="110">
        <f t="shared" si="11"/>
        <v>0</v>
      </c>
      <c r="F49" s="70" t="s">
        <v>30</v>
      </c>
    </row>
    <row r="50" spans="1:6" s="68" customFormat="1" ht="39" customHeight="1">
      <c r="A5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0" t="str">
        <f t="shared" ref="B50:E50" si="12">B26</f>
        <v>test chemical</v>
      </c>
      <c r="C50" s="110">
        <f t="shared" si="12"/>
        <v>0</v>
      </c>
      <c r="D50" s="110">
        <f t="shared" si="12"/>
        <v>0</v>
      </c>
      <c r="E50" s="110">
        <f t="shared" si="12"/>
        <v>0</v>
      </c>
      <c r="F50" s="70" t="s">
        <v>30</v>
      </c>
    </row>
    <row r="51" spans="1:6" s="68" customFormat="1" ht="39" customHeight="1">
      <c r="A5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0" t="str">
        <f t="shared" ref="B51:E51" si="13">B27</f>
        <v>test chemical</v>
      </c>
      <c r="C51" s="110">
        <f t="shared" si="13"/>
        <v>0</v>
      </c>
      <c r="D51" s="110">
        <f t="shared" si="13"/>
        <v>0</v>
      </c>
      <c r="E51" s="110">
        <f t="shared" si="13"/>
        <v>0</v>
      </c>
      <c r="F51" s="70" t="s">
        <v>30</v>
      </c>
    </row>
    <row r="52" spans="1:6" s="68" customFormat="1" ht="39" customHeight="1">
      <c r="A5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0" t="str">
        <f t="shared" ref="B52:E52" si="14">B28</f>
        <v>test chemical</v>
      </c>
      <c r="C52" s="110">
        <f t="shared" si="14"/>
        <v>0</v>
      </c>
      <c r="D52" s="110">
        <f t="shared" si="14"/>
        <v>0</v>
      </c>
      <c r="E52" s="110">
        <f t="shared" si="14"/>
        <v>0</v>
      </c>
      <c r="F52" s="70" t="s">
        <v>30</v>
      </c>
    </row>
    <row r="53" spans="1:6" s="68" customFormat="1" ht="39" customHeight="1">
      <c r="A5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0" t="str">
        <f t="shared" ref="B53:E53" si="15">B29</f>
        <v>test chemical</v>
      </c>
      <c r="C53" s="110">
        <f t="shared" si="15"/>
        <v>0</v>
      </c>
      <c r="D53" s="110">
        <f t="shared" si="15"/>
        <v>0</v>
      </c>
      <c r="E53" s="110">
        <f t="shared" si="15"/>
        <v>0</v>
      </c>
      <c r="F53" s="70" t="s">
        <v>30</v>
      </c>
    </row>
    <row r="54" spans="1:6" s="68" customFormat="1" ht="39" customHeight="1">
      <c r="A5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0" t="str">
        <f t="shared" ref="B54:E54" si="16">B30</f>
        <v>test chemical</v>
      </c>
      <c r="C54" s="110">
        <f t="shared" si="16"/>
        <v>0</v>
      </c>
      <c r="D54" s="110">
        <f t="shared" si="16"/>
        <v>0</v>
      </c>
      <c r="E54" s="110">
        <f t="shared" si="16"/>
        <v>0</v>
      </c>
      <c r="F54" s="70" t="s">
        <v>30</v>
      </c>
    </row>
    <row r="55" spans="1:6" s="68" customFormat="1" ht="39" customHeight="1">
      <c r="A5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0" t="str">
        <f t="shared" ref="B55:E55" si="17">B31</f>
        <v>test chemical</v>
      </c>
      <c r="C55" s="110">
        <f t="shared" si="17"/>
        <v>0</v>
      </c>
      <c r="D55" s="110">
        <f t="shared" si="17"/>
        <v>0</v>
      </c>
      <c r="E55" s="110">
        <f t="shared" si="17"/>
        <v>0</v>
      </c>
      <c r="F55" s="70" t="s">
        <v>30</v>
      </c>
    </row>
    <row r="56" spans="1:6" s="68" customFormat="1" ht="39" customHeight="1">
      <c r="A5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0" t="str">
        <f t="shared" ref="B56:E56" si="18">B32</f>
        <v>test chemical</v>
      </c>
      <c r="C56" s="110">
        <f t="shared" si="18"/>
        <v>0</v>
      </c>
      <c r="D56" s="110">
        <f t="shared" si="18"/>
        <v>0</v>
      </c>
      <c r="E56" s="110">
        <f t="shared" si="18"/>
        <v>0</v>
      </c>
      <c r="F56" s="70" t="s">
        <v>30</v>
      </c>
    </row>
    <row r="57" spans="1:6" s="68" customFormat="1" ht="39" customHeight="1">
      <c r="A57"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09" t="str">
        <f t="shared" ref="B57:E57" si="19">B33</f>
        <v>test chemical</v>
      </c>
      <c r="C57" s="109">
        <f t="shared" si="19"/>
        <v>0</v>
      </c>
      <c r="D57" s="109">
        <f t="shared" si="19"/>
        <v>0</v>
      </c>
      <c r="E57" s="109">
        <f t="shared" si="19"/>
        <v>0</v>
      </c>
      <c r="F57" s="70"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abSelected="1" zoomScale="85" zoomScaleNormal="85" zoomScaleSheetLayoutView="40" zoomScalePageLayoutView="30" workbookViewId="0">
      <pane xSplit="1" topLeftCell="G1" activePane="topRight" state="frozen"/>
      <selection pane="topRight" activeCell="O2" sqref="O1:O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38" t="s">
        <v>21</v>
      </c>
      <c r="B1" s="139"/>
      <c r="C1" s="139"/>
      <c r="D1" s="139"/>
      <c r="E1" s="139"/>
      <c r="F1" s="139"/>
      <c r="G1" s="139"/>
      <c r="H1" s="139"/>
      <c r="I1" s="139"/>
      <c r="J1" s="139"/>
      <c r="K1" s="139"/>
      <c r="L1" s="139"/>
      <c r="M1" s="139"/>
      <c r="N1" s="139"/>
      <c r="O1" s="139"/>
      <c r="P1" s="139"/>
      <c r="Q1" s="139"/>
      <c r="R1" s="139"/>
      <c r="S1" s="139"/>
      <c r="T1" s="139"/>
      <c r="U1" s="139"/>
      <c r="V1" s="139"/>
    </row>
    <row r="2" spans="1:22" ht="15.75" thickBot="1">
      <c r="A2"/>
      <c r="B2"/>
      <c r="C2"/>
      <c r="D2"/>
      <c r="E2"/>
      <c r="F2"/>
      <c r="G2"/>
      <c r="H2"/>
      <c r="I2"/>
      <c r="J2"/>
      <c r="K2"/>
      <c r="L2"/>
      <c r="M2"/>
      <c r="N2"/>
      <c r="S2"/>
      <c r="T2"/>
      <c r="U2"/>
      <c r="V2"/>
    </row>
    <row r="3" spans="1:22" ht="15.75" thickBot="1">
      <c r="A3" s="33" t="s">
        <v>8</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cefuroxime-10mg/L</v>
      </c>
      <c r="J4" s="19" t="str">
        <f>'Front page'!A15</f>
        <v>cefuroxime-1mg/L</v>
      </c>
      <c r="K4" s="19" t="str">
        <f>'Front page'!A16</f>
        <v>cefuroxime-0.1mg/L</v>
      </c>
      <c r="L4" s="19" t="str">
        <f>'Front page'!A17</f>
        <v>cefuroxime-0.01mg/L</v>
      </c>
      <c r="M4" s="19" t="str">
        <f>'Front page'!A18</f>
        <v>cefuroxime-0.001mg/L</v>
      </c>
      <c r="N4" s="19" t="str">
        <f>'Front page'!A19</f>
        <v/>
      </c>
      <c r="O4" s="20" t="str">
        <f>'Front page'!A35</f>
        <v>Testo -30µg/L</v>
      </c>
      <c r="P4" s="20" t="str">
        <f>'Front page'!A36</f>
        <v>Testo 30µg/L + EE2 -64ng/L</v>
      </c>
      <c r="Q4" s="20" t="str">
        <f>'Front page'!A37</f>
        <v>Testo 30µg/L + FAD-10mg/L</v>
      </c>
      <c r="R4" s="20" t="str">
        <f>'Front page'!A38</f>
        <v>cefuroxime-10mg/L + Testostérone</v>
      </c>
      <c r="S4" s="20" t="str">
        <f>'Front page'!A39</f>
        <v>cefuroxime-1mg/L + Testostérone</v>
      </c>
      <c r="T4" s="20" t="str">
        <f>'Front page'!A40</f>
        <v>cefuroxime-0.1mg/L + Testostérone</v>
      </c>
      <c r="U4" s="20" t="str">
        <f>'Front page'!A41</f>
        <v>cefuroxime-0.01mg/L + Testostérone</v>
      </c>
      <c r="V4" s="20" t="str">
        <f>'Front page'!A42</f>
        <v>cefuroxime-0.001mg/L + Testostérone</v>
      </c>
    </row>
    <row r="5" spans="1:22" ht="16.5">
      <c r="A5" s="142" t="s">
        <v>71</v>
      </c>
      <c r="B5" s="117">
        <v>2619806</v>
      </c>
      <c r="C5" s="113">
        <v>8052003</v>
      </c>
      <c r="D5" s="78">
        <v>5101266</v>
      </c>
      <c r="E5" s="78">
        <v>9136185</v>
      </c>
      <c r="F5" s="78">
        <v>11439803</v>
      </c>
      <c r="G5" s="78">
        <v>11844478</v>
      </c>
      <c r="H5" s="78">
        <v>26281637</v>
      </c>
      <c r="I5" s="78">
        <v>4817174</v>
      </c>
      <c r="J5" s="78">
        <v>5088067</v>
      </c>
      <c r="K5" s="113">
        <v>3600331</v>
      </c>
      <c r="L5" s="113">
        <v>2039409</v>
      </c>
      <c r="M5" s="113">
        <v>2790717</v>
      </c>
      <c r="N5" s="12"/>
      <c r="O5" s="78">
        <v>9376936</v>
      </c>
      <c r="P5" s="113">
        <v>20678973</v>
      </c>
      <c r="Q5" s="113">
        <v>1798397</v>
      </c>
      <c r="R5" s="78">
        <v>13488390</v>
      </c>
      <c r="S5" s="78">
        <v>11529853</v>
      </c>
      <c r="T5" s="78">
        <v>8963562</v>
      </c>
      <c r="U5" s="78">
        <v>10000426</v>
      </c>
      <c r="V5" s="78">
        <v>7031414</v>
      </c>
    </row>
    <row r="6" spans="1:22" ht="16.5">
      <c r="A6" s="143"/>
      <c r="B6" s="117">
        <v>2188666</v>
      </c>
      <c r="C6" s="113">
        <v>8362601</v>
      </c>
      <c r="D6" s="78">
        <v>3134828</v>
      </c>
      <c r="E6" s="78">
        <v>4399463</v>
      </c>
      <c r="F6" s="78">
        <v>8786546</v>
      </c>
      <c r="G6" s="78">
        <v>11383531</v>
      </c>
      <c r="H6" s="78">
        <v>20100520</v>
      </c>
      <c r="I6" s="78">
        <v>5314466</v>
      </c>
      <c r="J6" s="78">
        <v>3736529</v>
      </c>
      <c r="K6" s="113">
        <v>1520748</v>
      </c>
      <c r="L6" s="113">
        <v>2234557</v>
      </c>
      <c r="M6" s="113">
        <v>1797951</v>
      </c>
      <c r="N6" s="12"/>
      <c r="O6" s="78">
        <v>10359989</v>
      </c>
      <c r="P6" s="113">
        <v>10617032</v>
      </c>
      <c r="Q6" s="113">
        <v>1478063</v>
      </c>
      <c r="R6" s="78">
        <v>12900397</v>
      </c>
      <c r="S6" s="78">
        <v>14385195</v>
      </c>
      <c r="T6" s="78">
        <v>14400893</v>
      </c>
      <c r="U6" s="78">
        <v>11853498</v>
      </c>
      <c r="V6" s="78">
        <v>8200608</v>
      </c>
    </row>
    <row r="7" spans="1:22" ht="16.5">
      <c r="A7" s="143"/>
      <c r="B7" s="117">
        <v>114027</v>
      </c>
      <c r="C7" s="113">
        <v>3492335</v>
      </c>
      <c r="D7" s="78">
        <v>3300652</v>
      </c>
      <c r="E7" s="78">
        <v>2146936</v>
      </c>
      <c r="F7" s="78">
        <v>9802971</v>
      </c>
      <c r="G7" s="78">
        <v>17376715</v>
      </c>
      <c r="H7" s="78">
        <v>19939183</v>
      </c>
      <c r="I7" s="78">
        <v>5083478</v>
      </c>
      <c r="J7" s="78">
        <v>4626198</v>
      </c>
      <c r="K7" s="113">
        <v>4490587</v>
      </c>
      <c r="L7" s="113">
        <v>2440285</v>
      </c>
      <c r="M7" s="113">
        <v>4439606</v>
      </c>
      <c r="N7" s="12"/>
      <c r="O7" s="78">
        <v>11927015</v>
      </c>
      <c r="P7" s="113">
        <v>20550725</v>
      </c>
      <c r="Q7" s="113">
        <v>3335477</v>
      </c>
      <c r="R7" s="78">
        <v>10295984</v>
      </c>
      <c r="S7" s="78">
        <v>11631523</v>
      </c>
      <c r="T7" s="78">
        <v>11584913</v>
      </c>
      <c r="U7" s="78">
        <v>12404475</v>
      </c>
      <c r="V7" s="78">
        <v>16709014</v>
      </c>
    </row>
    <row r="8" spans="1:22" ht="16.5">
      <c r="A8" s="143"/>
      <c r="B8" s="117">
        <v>2052358</v>
      </c>
      <c r="C8" s="113">
        <v>2551706</v>
      </c>
      <c r="D8" s="78">
        <v>4581284</v>
      </c>
      <c r="E8" s="78">
        <v>3637569</v>
      </c>
      <c r="F8" s="78">
        <v>6094530</v>
      </c>
      <c r="G8" s="78">
        <v>14315805</v>
      </c>
      <c r="H8" s="78">
        <v>16965150</v>
      </c>
      <c r="I8" s="78">
        <v>3052422</v>
      </c>
      <c r="J8" s="78">
        <v>1771955</v>
      </c>
      <c r="K8" s="113">
        <v>3427746</v>
      </c>
      <c r="L8" s="113">
        <v>4015216</v>
      </c>
      <c r="M8" s="113">
        <v>2309432</v>
      </c>
      <c r="N8" s="12"/>
      <c r="O8" s="78">
        <v>19147045</v>
      </c>
      <c r="P8" s="113">
        <v>14974932</v>
      </c>
      <c r="Q8" s="113">
        <v>2841434</v>
      </c>
      <c r="R8" s="78">
        <v>7951368</v>
      </c>
      <c r="S8" s="78">
        <v>6383781</v>
      </c>
      <c r="T8" s="78">
        <v>11004106</v>
      </c>
      <c r="U8" s="78">
        <v>15449750</v>
      </c>
      <c r="V8" s="78">
        <v>11951537</v>
      </c>
    </row>
    <row r="9" spans="1:22" ht="16.5">
      <c r="A9" s="143"/>
      <c r="B9" s="117">
        <v>838865</v>
      </c>
      <c r="C9" s="113">
        <v>1863701</v>
      </c>
      <c r="D9" s="78">
        <v>2727679</v>
      </c>
      <c r="E9" s="78">
        <v>4585800</v>
      </c>
      <c r="F9" s="78">
        <v>4986902</v>
      </c>
      <c r="G9" s="78">
        <v>13100135</v>
      </c>
      <c r="H9" s="78">
        <v>19917114</v>
      </c>
      <c r="I9" s="78">
        <v>3892059</v>
      </c>
      <c r="J9" s="78">
        <v>6711402</v>
      </c>
      <c r="K9" s="113">
        <v>2830901</v>
      </c>
      <c r="L9" s="113">
        <v>2716540</v>
      </c>
      <c r="M9" s="113">
        <v>2644251</v>
      </c>
      <c r="N9" s="12"/>
      <c r="O9" s="78">
        <v>14459305</v>
      </c>
      <c r="P9" s="113">
        <v>8309852</v>
      </c>
      <c r="Q9" s="113">
        <v>3816128</v>
      </c>
      <c r="R9" s="78">
        <v>12135910</v>
      </c>
      <c r="S9" s="78">
        <v>12090606</v>
      </c>
      <c r="T9" s="78">
        <v>8869490</v>
      </c>
      <c r="U9" s="78">
        <v>9623106</v>
      </c>
      <c r="V9" s="78">
        <v>7151895</v>
      </c>
    </row>
    <row r="10" spans="1:22" ht="16.5">
      <c r="A10" s="143"/>
      <c r="B10" s="117">
        <v>1342784</v>
      </c>
      <c r="C10" s="113">
        <v>1791999</v>
      </c>
      <c r="D10" s="78">
        <v>5696815</v>
      </c>
      <c r="E10" s="78">
        <v>4933646</v>
      </c>
      <c r="F10" s="78">
        <v>6538605</v>
      </c>
      <c r="G10" s="78">
        <v>15723969</v>
      </c>
      <c r="H10" s="78">
        <v>22089820</v>
      </c>
      <c r="I10" s="78">
        <v>4099653</v>
      </c>
      <c r="J10" s="78">
        <v>2232850</v>
      </c>
      <c r="K10" s="113">
        <v>705111</v>
      </c>
      <c r="L10" s="113">
        <v>2599838</v>
      </c>
      <c r="M10" s="113">
        <v>798914</v>
      </c>
      <c r="N10" s="12"/>
      <c r="O10" s="78">
        <v>5028903</v>
      </c>
      <c r="P10" s="113">
        <v>18616007</v>
      </c>
      <c r="Q10" s="113">
        <v>2431899</v>
      </c>
      <c r="R10" s="78">
        <v>8584357</v>
      </c>
      <c r="S10" s="78">
        <v>9707613</v>
      </c>
      <c r="T10" s="78">
        <v>5973574</v>
      </c>
      <c r="U10" s="78">
        <v>12018280</v>
      </c>
      <c r="V10" s="78">
        <v>13497324</v>
      </c>
    </row>
    <row r="11" spans="1:22" ht="16.5">
      <c r="A11" s="143"/>
      <c r="B11" s="117">
        <v>3069763</v>
      </c>
      <c r="C11" s="113">
        <v>2818873</v>
      </c>
      <c r="D11" s="78">
        <v>4609192</v>
      </c>
      <c r="E11" s="78">
        <v>5536532</v>
      </c>
      <c r="F11" s="78">
        <v>23967201</v>
      </c>
      <c r="G11" s="78">
        <v>19666526</v>
      </c>
      <c r="H11" s="78">
        <v>24842733</v>
      </c>
      <c r="I11" s="78">
        <v>2217679</v>
      </c>
      <c r="J11" s="78">
        <v>4574119</v>
      </c>
      <c r="K11" s="113">
        <v>3229215</v>
      </c>
      <c r="L11" s="113">
        <v>787945</v>
      </c>
      <c r="M11" s="113">
        <v>3387025</v>
      </c>
      <c r="N11" s="12"/>
      <c r="O11" s="78">
        <v>10506569</v>
      </c>
      <c r="P11" s="113">
        <v>17418010</v>
      </c>
      <c r="Q11" s="113">
        <v>1669167</v>
      </c>
      <c r="R11" s="78">
        <v>8232736</v>
      </c>
      <c r="S11" s="78">
        <v>8147440</v>
      </c>
      <c r="T11" s="78">
        <v>21614655</v>
      </c>
      <c r="U11" s="78">
        <v>7835034</v>
      </c>
      <c r="V11" s="78">
        <v>6806860</v>
      </c>
    </row>
    <row r="12" spans="1:22" ht="16.5">
      <c r="A12" s="143"/>
      <c r="B12" s="117">
        <v>860890</v>
      </c>
      <c r="C12" s="113">
        <v>9414510</v>
      </c>
      <c r="D12" s="78">
        <v>6644434</v>
      </c>
      <c r="E12" s="78">
        <v>5151387</v>
      </c>
      <c r="F12" s="78">
        <v>5727144</v>
      </c>
      <c r="G12" s="78">
        <v>20930261</v>
      </c>
      <c r="H12" s="78">
        <v>16473079</v>
      </c>
      <c r="I12" s="78">
        <v>3231084</v>
      </c>
      <c r="J12" s="78">
        <v>6106656</v>
      </c>
      <c r="K12" s="113">
        <v>3638878</v>
      </c>
      <c r="L12" s="113">
        <v>2874411</v>
      </c>
      <c r="M12" s="113">
        <v>3609817</v>
      </c>
      <c r="N12" s="12"/>
      <c r="O12" s="78">
        <v>7142511</v>
      </c>
      <c r="P12" s="113">
        <v>12674817</v>
      </c>
      <c r="Q12" s="113">
        <v>2868670</v>
      </c>
      <c r="R12" s="78">
        <v>11578521</v>
      </c>
      <c r="S12" s="78">
        <v>10319903</v>
      </c>
      <c r="T12" s="78">
        <v>9699469</v>
      </c>
      <c r="U12" s="78">
        <v>5062258</v>
      </c>
      <c r="V12" s="78">
        <v>8785276</v>
      </c>
    </row>
    <row r="13" spans="1:22" ht="16.5">
      <c r="A13" s="143"/>
      <c r="B13" s="13"/>
      <c r="C13" s="12"/>
      <c r="D13" s="15"/>
      <c r="E13" s="15"/>
      <c r="F13" s="15"/>
      <c r="G13" s="15"/>
      <c r="H13" s="15"/>
      <c r="I13" s="16"/>
      <c r="J13" s="15"/>
      <c r="K13" s="12"/>
      <c r="L13" s="12"/>
      <c r="M13" s="12"/>
      <c r="N13" s="12"/>
      <c r="O13" s="16">
        <v>14281095</v>
      </c>
      <c r="P13" s="12"/>
      <c r="Q13" s="12"/>
      <c r="R13" s="4"/>
      <c r="S13" s="16"/>
      <c r="T13" s="16"/>
      <c r="U13" s="16"/>
      <c r="V13" s="16"/>
    </row>
    <row r="14" spans="1:22" ht="16.5">
      <c r="A14" s="143"/>
      <c r="B14" s="13"/>
      <c r="C14" s="15"/>
      <c r="D14" s="15"/>
      <c r="E14" s="15"/>
      <c r="F14" s="15"/>
      <c r="G14" s="15"/>
      <c r="H14" s="15"/>
      <c r="I14" s="16"/>
      <c r="J14" s="15"/>
      <c r="K14" s="12"/>
      <c r="L14" s="12"/>
      <c r="M14" s="12"/>
      <c r="N14" s="12"/>
      <c r="O14" s="16">
        <v>11930752</v>
      </c>
      <c r="P14" s="12"/>
      <c r="Q14" s="12"/>
      <c r="R14" s="4"/>
      <c r="S14" s="16"/>
      <c r="T14" s="16"/>
      <c r="U14" s="16"/>
      <c r="V14" s="16"/>
    </row>
    <row r="15" spans="1:22" ht="16.5">
      <c r="A15" s="143"/>
      <c r="B15" s="13"/>
      <c r="C15" s="15"/>
      <c r="D15" s="15"/>
      <c r="E15" s="15"/>
      <c r="F15" s="15"/>
      <c r="G15" s="15"/>
      <c r="H15" s="15"/>
      <c r="I15" s="16"/>
      <c r="J15" s="15"/>
      <c r="K15" s="12"/>
      <c r="L15" s="12"/>
      <c r="M15" s="12"/>
      <c r="N15" s="12"/>
      <c r="O15" s="16">
        <v>14994633</v>
      </c>
      <c r="P15" s="12"/>
      <c r="Q15" s="12"/>
      <c r="R15" s="4"/>
      <c r="S15" s="16"/>
      <c r="T15" s="16"/>
      <c r="U15" s="16"/>
      <c r="V15" s="16"/>
    </row>
    <row r="16" spans="1:22" ht="16.5">
      <c r="A16" s="143"/>
      <c r="B16" s="13"/>
      <c r="C16" s="15"/>
      <c r="D16" s="15"/>
      <c r="E16" s="15"/>
      <c r="F16" s="15"/>
      <c r="G16" s="15"/>
      <c r="H16" s="15"/>
      <c r="I16" s="16"/>
      <c r="J16" s="15"/>
      <c r="K16" s="12"/>
      <c r="L16" s="12"/>
      <c r="M16" s="12"/>
      <c r="N16" s="12"/>
      <c r="O16" s="16">
        <v>7013415</v>
      </c>
      <c r="P16" s="12"/>
      <c r="Q16" s="12"/>
      <c r="R16" s="4"/>
      <c r="S16" s="16"/>
      <c r="T16" s="16"/>
      <c r="U16" s="16"/>
      <c r="V16" s="16"/>
    </row>
    <row r="17" spans="1:22" s="1" customFormat="1" ht="16.5">
      <c r="A17" s="143"/>
      <c r="B17" s="13"/>
      <c r="C17" s="16"/>
      <c r="D17" s="16"/>
      <c r="E17" s="16"/>
      <c r="F17" s="16"/>
      <c r="G17" s="16"/>
      <c r="H17" s="16"/>
      <c r="I17" s="16"/>
      <c r="J17" s="16"/>
      <c r="K17" s="12"/>
      <c r="L17" s="12"/>
      <c r="M17" s="12"/>
      <c r="N17" s="12"/>
      <c r="O17" s="16">
        <v>13029063</v>
      </c>
      <c r="P17" s="12"/>
      <c r="Q17" s="12"/>
      <c r="R17" s="16"/>
      <c r="S17" s="16"/>
      <c r="T17" s="16"/>
      <c r="U17" s="16"/>
      <c r="V17" s="16"/>
    </row>
    <row r="18" spans="1:22" s="1" customFormat="1" ht="16.5">
      <c r="A18" s="143"/>
      <c r="B18" s="13"/>
      <c r="C18" s="16"/>
      <c r="D18" s="16"/>
      <c r="E18" s="16"/>
      <c r="F18" s="16"/>
      <c r="G18" s="16"/>
      <c r="H18" s="16"/>
      <c r="I18" s="16"/>
      <c r="J18" s="16"/>
      <c r="K18" s="12"/>
      <c r="L18" s="12"/>
      <c r="M18" s="12"/>
      <c r="N18" s="12"/>
      <c r="O18" s="16">
        <v>17167745</v>
      </c>
      <c r="P18" s="12"/>
      <c r="Q18" s="12"/>
      <c r="R18" s="16"/>
      <c r="S18" s="16"/>
      <c r="T18" s="16"/>
      <c r="U18" s="16"/>
      <c r="V18" s="16"/>
    </row>
    <row r="19" spans="1:22" s="1" customFormat="1" ht="16.5">
      <c r="A19" s="143"/>
      <c r="B19" s="13"/>
      <c r="C19" s="16"/>
      <c r="D19" s="16"/>
      <c r="E19" s="16"/>
      <c r="F19" s="16"/>
      <c r="G19" s="16"/>
      <c r="H19" s="16"/>
      <c r="I19" s="16"/>
      <c r="J19" s="16"/>
      <c r="K19" s="12"/>
      <c r="L19" s="12"/>
      <c r="M19" s="12"/>
      <c r="N19" s="12"/>
      <c r="O19" s="16">
        <v>14985133</v>
      </c>
      <c r="P19" s="12"/>
      <c r="Q19" s="12"/>
      <c r="R19" s="16"/>
      <c r="S19" s="16"/>
      <c r="T19" s="16"/>
      <c r="U19" s="16"/>
      <c r="V19" s="16"/>
    </row>
    <row r="20" spans="1:22" ht="16.5">
      <c r="A20" s="143"/>
      <c r="B20" s="13"/>
      <c r="C20" s="15"/>
      <c r="D20" s="15"/>
      <c r="E20" s="15"/>
      <c r="F20" s="15"/>
      <c r="G20" s="15"/>
      <c r="H20" s="15"/>
      <c r="I20" s="16"/>
      <c r="J20" s="15"/>
      <c r="K20" s="12"/>
      <c r="L20" s="12"/>
      <c r="M20" s="12"/>
      <c r="N20" s="12"/>
      <c r="O20" s="16">
        <v>11899439</v>
      </c>
      <c r="P20" s="12"/>
      <c r="Q20" s="12"/>
      <c r="R20" s="4"/>
      <c r="S20" s="16"/>
      <c r="T20" s="16"/>
      <c r="U20" s="16"/>
      <c r="V20" s="16"/>
    </row>
    <row r="21" spans="1:22" s="1" customFormat="1" ht="16.5">
      <c r="A21" s="47"/>
      <c r="B21" s="48"/>
      <c r="C21" s="6"/>
      <c r="D21" s="6"/>
      <c r="E21" s="6"/>
      <c r="F21" s="6"/>
      <c r="G21" s="6"/>
      <c r="H21" s="6"/>
      <c r="I21" s="6"/>
      <c r="J21" s="6"/>
      <c r="K21" s="17"/>
      <c r="L21" s="17"/>
      <c r="M21" s="17"/>
      <c r="N21" s="17"/>
      <c r="O21" s="6"/>
      <c r="P21" s="17"/>
      <c r="Q21" s="17"/>
      <c r="R21" s="6"/>
      <c r="S21" s="6"/>
      <c r="T21" s="6"/>
      <c r="U21" s="6"/>
      <c r="V21" s="6"/>
    </row>
    <row r="22" spans="1:22" s="50" customFormat="1">
      <c r="A22" s="49" t="str">
        <f t="shared" ref="A22:N22" si="0">A4</f>
        <v>Noms des groupes</v>
      </c>
      <c r="B22" s="49" t="str">
        <f t="shared" si="0"/>
        <v>Solvent control</v>
      </c>
      <c r="C22" s="49" t="str">
        <f t="shared" si="0"/>
        <v>EE2-33.8ng/L</v>
      </c>
      <c r="D22" s="49" t="str">
        <f t="shared" si="0"/>
        <v>EE2-50.6ng/L</v>
      </c>
      <c r="E22" s="49" t="str">
        <f t="shared" si="0"/>
        <v>EE2-76ng/L</v>
      </c>
      <c r="F22" s="49" t="str">
        <f t="shared" si="0"/>
        <v>EE2-114ng/L</v>
      </c>
      <c r="G22" s="49" t="str">
        <f t="shared" si="0"/>
        <v>EE2-170.9ng/L</v>
      </c>
      <c r="H22" s="49" t="str">
        <f t="shared" si="0"/>
        <v>EE2-488ng/L</v>
      </c>
      <c r="I22" s="49" t="str">
        <f t="shared" si="0"/>
        <v>cefuroxime-10mg/L</v>
      </c>
      <c r="J22" s="49" t="str">
        <f t="shared" si="0"/>
        <v>cefuroxime-1mg/L</v>
      </c>
      <c r="K22" s="49" t="str">
        <f t="shared" si="0"/>
        <v>cefuroxime-0.1mg/L</v>
      </c>
      <c r="L22" s="49" t="str">
        <f t="shared" si="0"/>
        <v>cefuroxime-0.01mg/L</v>
      </c>
      <c r="M22" s="49" t="str">
        <f t="shared" si="0"/>
        <v>cefuroxime-0.001mg/L</v>
      </c>
      <c r="N22" s="49" t="str">
        <f t="shared" si="0"/>
        <v/>
      </c>
      <c r="O22" s="49" t="str">
        <f t="shared" ref="O22:V22" si="1">O4</f>
        <v>Testo -30µg/L</v>
      </c>
      <c r="P22" s="49" t="str">
        <f t="shared" si="1"/>
        <v>Testo 30µg/L + EE2 -64ng/L</v>
      </c>
      <c r="Q22" s="49" t="str">
        <f t="shared" si="1"/>
        <v>Testo 30µg/L + FAD-10mg/L</v>
      </c>
      <c r="R22" s="49" t="str">
        <f t="shared" si="1"/>
        <v>cefuroxime-10mg/L + Testostérone</v>
      </c>
      <c r="S22" s="49" t="str">
        <f t="shared" si="1"/>
        <v>cefuroxime-1mg/L + Testostérone</v>
      </c>
      <c r="T22" s="49" t="str">
        <f t="shared" si="1"/>
        <v>cefuroxime-0.1mg/L + Testostérone</v>
      </c>
      <c r="U22" s="49" t="str">
        <f t="shared" si="1"/>
        <v>cefuroxime-0.01mg/L + Testostérone</v>
      </c>
      <c r="V22" s="49" t="str">
        <f t="shared" si="1"/>
        <v>cefuroxime-0.001mg/L + Testostérone</v>
      </c>
    </row>
    <row r="23" spans="1:22">
      <c r="A23" s="5" t="s">
        <v>0</v>
      </c>
      <c r="B23" s="5">
        <f t="shared" ref="B23:N23" si="2">AVERAGE(B5:B20)</f>
        <v>1635894.875</v>
      </c>
      <c r="C23" s="5">
        <f t="shared" si="2"/>
        <v>4793466</v>
      </c>
      <c r="D23" s="5">
        <f t="shared" si="2"/>
        <v>4474518.75</v>
      </c>
      <c r="E23" s="5">
        <f t="shared" si="2"/>
        <v>4940939.75</v>
      </c>
      <c r="F23" s="5">
        <f t="shared" si="2"/>
        <v>9667962.75</v>
      </c>
      <c r="G23" s="5">
        <f t="shared" si="2"/>
        <v>15542677.5</v>
      </c>
      <c r="H23" s="5">
        <f t="shared" si="2"/>
        <v>20826154.5</v>
      </c>
      <c r="I23" s="5">
        <f>AVERAGE(I5:I20)</f>
        <v>3963501.875</v>
      </c>
      <c r="J23" s="5">
        <f t="shared" si="2"/>
        <v>4355972</v>
      </c>
      <c r="K23" s="5">
        <f t="shared" si="2"/>
        <v>2930439.625</v>
      </c>
      <c r="L23" s="5">
        <f t="shared" si="2"/>
        <v>2463525.125</v>
      </c>
      <c r="M23" s="5">
        <f t="shared" si="2"/>
        <v>2722214.125</v>
      </c>
      <c r="N23" s="5" t="e">
        <f t="shared" si="2"/>
        <v>#DIV/0!</v>
      </c>
      <c r="O23" s="5">
        <f t="shared" ref="O23:V23" si="3">AVERAGE(O5:O20)</f>
        <v>12078096.75</v>
      </c>
      <c r="P23" s="5">
        <f t="shared" si="3"/>
        <v>15480043.5</v>
      </c>
      <c r="Q23" s="5">
        <f t="shared" si="3"/>
        <v>2529904.375</v>
      </c>
      <c r="R23" s="5">
        <f t="shared" si="3"/>
        <v>10645957.875</v>
      </c>
      <c r="S23" s="5">
        <f t="shared" si="3"/>
        <v>10524489.25</v>
      </c>
      <c r="T23" s="5">
        <f t="shared" si="3"/>
        <v>11513832.75</v>
      </c>
      <c r="U23" s="5">
        <f t="shared" si="3"/>
        <v>10530853.375</v>
      </c>
      <c r="V23" s="5">
        <f t="shared" si="3"/>
        <v>10016741</v>
      </c>
    </row>
    <row r="24" spans="1:22">
      <c r="A24" s="3" t="s">
        <v>1</v>
      </c>
      <c r="B24" s="3">
        <f t="shared" ref="B24:N24" si="4">STDEV(B5:B20)</f>
        <v>1010017.0680895076</v>
      </c>
      <c r="C24" s="3">
        <f t="shared" si="4"/>
        <v>3227573.393616192</v>
      </c>
      <c r="D24" s="3">
        <f t="shared" si="4"/>
        <v>1354836.400127521</v>
      </c>
      <c r="E24" s="3">
        <f t="shared" si="4"/>
        <v>1997273.4149878107</v>
      </c>
      <c r="F24" s="3">
        <f t="shared" si="4"/>
        <v>6192246.7515933821</v>
      </c>
      <c r="G24" s="3">
        <f t="shared" si="4"/>
        <v>3543105.0088391597</v>
      </c>
      <c r="H24" s="3">
        <f t="shared" si="4"/>
        <v>3453534.0741275866</v>
      </c>
      <c r="I24" s="3">
        <f>STDEV(I5:I20)</f>
        <v>1085373.3979576454</v>
      </c>
      <c r="J24" s="3">
        <f t="shared" si="4"/>
        <v>1725357.8825394872</v>
      </c>
      <c r="K24" s="3">
        <f t="shared" si="4"/>
        <v>1234648.9077130896</v>
      </c>
      <c r="L24" s="3">
        <f t="shared" si="4"/>
        <v>902344.50573024142</v>
      </c>
      <c r="M24" s="3">
        <f t="shared" si="4"/>
        <v>1128447.2825249035</v>
      </c>
      <c r="N24" s="3" t="e">
        <f t="shared" si="4"/>
        <v>#DIV/0!</v>
      </c>
      <c r="O24" s="3">
        <f t="shared" ref="O24:V24" si="5">STDEV(O5:O20)</f>
        <v>3801365.9060295769</v>
      </c>
      <c r="P24" s="3">
        <f t="shared" si="5"/>
        <v>4621620.3155604266</v>
      </c>
      <c r="Q24" s="3">
        <f t="shared" si="5"/>
        <v>837264.12658678088</v>
      </c>
      <c r="R24" s="3">
        <f t="shared" si="5"/>
        <v>2194430.6701895166</v>
      </c>
      <c r="S24" s="3">
        <f t="shared" si="5"/>
        <v>2481330.8884609686</v>
      </c>
      <c r="T24" s="3">
        <f t="shared" si="5"/>
        <v>4752584.4561050525</v>
      </c>
      <c r="U24" s="3">
        <f t="shared" si="5"/>
        <v>3161061.4118174626</v>
      </c>
      <c r="V24" s="3">
        <f t="shared" si="5"/>
        <v>3642646.4583312813</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s="1" customFormat="1">
      <c r="A27" s="18" t="s">
        <v>22</v>
      </c>
      <c r="B27" s="19" t="str">
        <f t="shared" ref="B27:N27" si="6">B4</f>
        <v>Solvent control</v>
      </c>
      <c r="C27" s="19" t="str">
        <f t="shared" si="6"/>
        <v>EE2-33.8ng/L</v>
      </c>
      <c r="D27" s="19" t="str">
        <f t="shared" si="6"/>
        <v>EE2-50.6ng/L</v>
      </c>
      <c r="E27" s="19" t="str">
        <f t="shared" si="6"/>
        <v>EE2-76ng/L</v>
      </c>
      <c r="F27" s="19" t="str">
        <f t="shared" si="6"/>
        <v>EE2-114ng/L</v>
      </c>
      <c r="G27" s="19" t="str">
        <f t="shared" si="6"/>
        <v>EE2-170.9ng/L</v>
      </c>
      <c r="H27" s="19" t="str">
        <f t="shared" si="6"/>
        <v>EE2-488ng/L</v>
      </c>
      <c r="I27" s="19" t="str">
        <f t="shared" si="6"/>
        <v>cefuroxime-10mg/L</v>
      </c>
      <c r="J27" s="19" t="str">
        <f t="shared" si="6"/>
        <v>cefuroxime-1mg/L</v>
      </c>
      <c r="K27" s="19" t="str">
        <f t="shared" si="6"/>
        <v>cefuroxime-0.1mg/L</v>
      </c>
      <c r="L27" s="19" t="str">
        <f t="shared" si="6"/>
        <v>cefuroxime-0.01mg/L</v>
      </c>
      <c r="M27" s="19" t="str">
        <f t="shared" si="6"/>
        <v>cefuroxime-0.001mg/L</v>
      </c>
      <c r="N27" s="19" t="str">
        <f t="shared" si="6"/>
        <v/>
      </c>
      <c r="O27" s="20" t="str">
        <f t="shared" ref="O27:V27" si="7">O4</f>
        <v>Testo -30µg/L</v>
      </c>
      <c r="P27" s="20" t="str">
        <f t="shared" si="7"/>
        <v>Testo 30µg/L + EE2 -64ng/L</v>
      </c>
      <c r="Q27" s="20" t="str">
        <f t="shared" si="7"/>
        <v>Testo 30µg/L + FAD-10mg/L</v>
      </c>
      <c r="R27" s="20" t="str">
        <f t="shared" si="7"/>
        <v>cefuroxime-10mg/L + Testostérone</v>
      </c>
      <c r="S27" s="20" t="str">
        <f t="shared" si="7"/>
        <v>cefuroxime-1mg/L + Testostérone</v>
      </c>
      <c r="T27" s="20" t="str">
        <f t="shared" si="7"/>
        <v>cefuroxime-0.1mg/L + Testostérone</v>
      </c>
      <c r="U27" s="20" t="str">
        <f t="shared" si="7"/>
        <v>cefuroxime-0.01mg/L + Testostérone</v>
      </c>
      <c r="V27" s="20" t="str">
        <f t="shared" si="7"/>
        <v>cefuroxime-0.001mg/L + Testostérone</v>
      </c>
    </row>
    <row r="28" spans="1:22">
      <c r="A28" s="144" t="s">
        <v>72</v>
      </c>
      <c r="B28" s="75">
        <f>IF(B5="","",(B5/$O$23))</f>
        <v>0.21690553190841097</v>
      </c>
      <c r="C28" s="75">
        <f>IF(C5="","",(C5/$O$23))</f>
        <v>0.6666615748048218</v>
      </c>
      <c r="D28" s="75">
        <f>IF(D5="","",(D5/$O$23))</f>
        <v>0.42235677570640423</v>
      </c>
      <c r="E28" s="75">
        <f>IF(E5="","",(E5/$O$23))</f>
        <v>0.75642588307632164</v>
      </c>
      <c r="F28" s="75">
        <f>IF(F5="","",(F5/$O$23))</f>
        <v>0.94715278713096918</v>
      </c>
      <c r="G28" s="75">
        <f>IF(G5="","",(G5/$O$23))</f>
        <v>0.98065765204273592</v>
      </c>
      <c r="H28" s="75">
        <f>IF(H5="","",(H5/$O$23))</f>
        <v>2.175975035139539</v>
      </c>
      <c r="I28" s="10">
        <f>IF(I5="","",(I5/$O$23))</f>
        <v>0.39883552017415325</v>
      </c>
      <c r="J28" s="10">
        <f>IF(J5="","",(J5/$O$23))</f>
        <v>0.42126397108054298</v>
      </c>
      <c r="K28" s="10">
        <f>IF(K5="","",(K5/$O$23))</f>
        <v>0.29808761053350563</v>
      </c>
      <c r="L28" s="10">
        <f>IF(L5="","",(L5/$O$23))</f>
        <v>0.16885185159656879</v>
      </c>
      <c r="M28" s="10">
        <f>IF(M5="","",(M5/$O$23))</f>
        <v>0.23105602296156469</v>
      </c>
      <c r="N28" s="10" t="str">
        <f>IF(N5="","",(N5/$O$23))</f>
        <v/>
      </c>
      <c r="O28" s="75">
        <f t="shared" ref="O28:V28" si="8">IF(O5="","",(O5/$O$23))</f>
        <v>0.77635874211721312</v>
      </c>
      <c r="P28" s="75">
        <f t="shared" si="8"/>
        <v>1.7121052619486592</v>
      </c>
      <c r="Q28" s="75">
        <f t="shared" si="8"/>
        <v>0.14889738319077467</v>
      </c>
      <c r="R28" s="75">
        <f t="shared" si="8"/>
        <v>1.1167645266626962</v>
      </c>
      <c r="S28" s="75">
        <f t="shared" si="8"/>
        <v>0.95460843199488365</v>
      </c>
      <c r="T28" s="75">
        <f t="shared" si="8"/>
        <v>0.74213364783652691</v>
      </c>
      <c r="U28" s="75">
        <f t="shared" si="8"/>
        <v>0.82798028588403216</v>
      </c>
      <c r="V28" s="75">
        <f t="shared" si="8"/>
        <v>0.5821624172699229</v>
      </c>
    </row>
    <row r="29" spans="1:22">
      <c r="A29" s="145"/>
      <c r="B29" s="75">
        <f>IF(B6="","",(B6/$O$23))</f>
        <v>0.18120951051331824</v>
      </c>
      <c r="C29" s="75">
        <f>IF(C6="","",(C6/$O$23))</f>
        <v>0.69237738139496197</v>
      </c>
      <c r="D29" s="75">
        <f>IF(D6="","",(D6/$O$23))</f>
        <v>0.25954652168190323</v>
      </c>
      <c r="E29" s="75">
        <f>IF(E6="","",(E6/$O$23))</f>
        <v>0.3642513461402766</v>
      </c>
      <c r="F29" s="75">
        <f>IF(F6="","",(F6/$O$23))</f>
        <v>0.72747769635145543</v>
      </c>
      <c r="G29" s="75">
        <f>IF(G6="","",(G6/$O$23))</f>
        <v>0.94249377494016184</v>
      </c>
      <c r="H29" s="75">
        <f>IF(H6="","",(H6/$O$23))</f>
        <v>1.664212534147816</v>
      </c>
      <c r="I29" s="10">
        <f>IF(I6="","",(I6/$O$23))</f>
        <v>0.44000856343529454</v>
      </c>
      <c r="J29" s="10">
        <f>IF(J6="","",(J6/$O$23))</f>
        <v>0.30936405605460976</v>
      </c>
      <c r="K29" s="10">
        <f>IF(K6="","",(K6/$O$23))</f>
        <v>0.1259095726319629</v>
      </c>
      <c r="L29" s="10">
        <f>IF(L6="","",(L6/$O$23))</f>
        <v>0.18500903298361143</v>
      </c>
      <c r="M29" s="10">
        <f>IF(M6="","",(M6/$O$23))</f>
        <v>0.14886045684308663</v>
      </c>
      <c r="N29" s="10" t="str">
        <f>IF(N6="","",(N6/$O$23))</f>
        <v/>
      </c>
      <c r="O29" s="75">
        <f t="shared" ref="O29:V29" si="9">IF(O6="","",(O6/$O$23))</f>
        <v>0.85775012524220751</v>
      </c>
      <c r="P29" s="75">
        <f t="shared" si="9"/>
        <v>0.87903187230223168</v>
      </c>
      <c r="Q29" s="75">
        <f t="shared" si="9"/>
        <v>0.12237548933361542</v>
      </c>
      <c r="R29" s="75">
        <f t="shared" si="9"/>
        <v>1.0680819393171361</v>
      </c>
      <c r="S29" s="75">
        <f t="shared" si="9"/>
        <v>1.1910150496186414</v>
      </c>
      <c r="T29" s="75">
        <f t="shared" si="9"/>
        <v>1.1923147577038575</v>
      </c>
      <c r="U29" s="75">
        <f t="shared" si="9"/>
        <v>0.98140445844665058</v>
      </c>
      <c r="V29" s="75">
        <f t="shared" si="9"/>
        <v>0.67896525170656541</v>
      </c>
    </row>
    <row r="30" spans="1:22">
      <c r="A30" s="145"/>
      <c r="B30" s="75">
        <f>IF(B7="","",(B7/$O$23))</f>
        <v>9.4408086274023265E-3</v>
      </c>
      <c r="C30" s="75">
        <f>IF(C7="","",(C7/$O$23))</f>
        <v>0.28914613554490692</v>
      </c>
      <c r="D30" s="75">
        <f>IF(D7="","",(D7/$O$23))</f>
        <v>0.27327583710570957</v>
      </c>
      <c r="E30" s="75">
        <f>IF(E7="","",(E7/$O$23))</f>
        <v>0.17775449596394399</v>
      </c>
      <c r="F30" s="75">
        <f>IF(F7="","",(F7/$O$23))</f>
        <v>0.81163209758193067</v>
      </c>
      <c r="G30" s="75">
        <f>IF(G7="","",(G7/$O$23))</f>
        <v>1.4386964568734721</v>
      </c>
      <c r="H30" s="75">
        <f>IF(H7="","",(H7/$O$23))</f>
        <v>1.6508547176524315</v>
      </c>
      <c r="I30" s="10">
        <f>IF(I7="","",(I7/$O$23))</f>
        <v>0.4208840271129638</v>
      </c>
      <c r="J30" s="10">
        <f>IF(J7="","",(J7/$O$23))</f>
        <v>0.38302375744754652</v>
      </c>
      <c r="K30" s="10">
        <f>IF(K7="","",(K7/$O$23))</f>
        <v>0.3717959122988479</v>
      </c>
      <c r="L30" s="10">
        <f>IF(L7="","",(L7/$O$23))</f>
        <v>0.20204218019697515</v>
      </c>
      <c r="M30" s="10">
        <f>IF(M7="","",(M7/$O$23))</f>
        <v>0.3675749658157027</v>
      </c>
      <c r="N30" s="10" t="str">
        <f>IF(N7="","",(N7/$O$23))</f>
        <v/>
      </c>
      <c r="O30" s="75">
        <f t="shared" ref="O30:V30" si="10">IF(O7="","",(O7/$O$23))</f>
        <v>0.98749126181656066</v>
      </c>
      <c r="P30" s="75">
        <f t="shared" si="10"/>
        <v>1.701487032714819</v>
      </c>
      <c r="Q30" s="75">
        <f t="shared" si="10"/>
        <v>0.27615915562193188</v>
      </c>
      <c r="R30" s="75">
        <f t="shared" si="10"/>
        <v>0.85245086317097107</v>
      </c>
      <c r="S30" s="75">
        <f t="shared" si="10"/>
        <v>0.96302614896672356</v>
      </c>
      <c r="T30" s="75">
        <f t="shared" si="10"/>
        <v>0.9591670972498213</v>
      </c>
      <c r="U30" s="75">
        <f t="shared" si="10"/>
        <v>1.0270223245231083</v>
      </c>
      <c r="V30" s="75">
        <f t="shared" si="10"/>
        <v>1.3834144853989516</v>
      </c>
    </row>
    <row r="31" spans="1:22">
      <c r="A31" s="145"/>
      <c r="B31" s="75">
        <f>IF(B8="","",(B8/$O$23))</f>
        <v>0.16992395759704443</v>
      </c>
      <c r="C31" s="75">
        <f>IF(C8="","",(C8/$O$23))</f>
        <v>0.21126722635335737</v>
      </c>
      <c r="D31" s="75">
        <f>IF(D8="","",(D8/$O$23))</f>
        <v>0.3793051252052605</v>
      </c>
      <c r="E31" s="75">
        <f>IF(E8="","",(E8/$O$23))</f>
        <v>0.30117071218195035</v>
      </c>
      <c r="F31" s="75">
        <f>IF(F8="","",(F8/$O$23))</f>
        <v>0.50459357348665057</v>
      </c>
      <c r="G31" s="75">
        <f>IF(G8="","",(G8/$O$23))</f>
        <v>1.1852699391565977</v>
      </c>
      <c r="H31" s="75">
        <f>IF(H8="","",(H8/$O$23))</f>
        <v>1.4046211378460767</v>
      </c>
      <c r="I31" s="10">
        <f>IF(I8="","",(I8/$O$23))</f>
        <v>0.25272375798778063</v>
      </c>
      <c r="J31" s="10">
        <f>IF(J8="","",(J8/$O$23))</f>
        <v>0.14670813098098423</v>
      </c>
      <c r="K31" s="10">
        <f>IF(K8="","",(K8/$O$23))</f>
        <v>0.28379852148476953</v>
      </c>
      <c r="L31" s="10">
        <f>IF(L8="","",(L8/$O$23))</f>
        <v>0.33243780730602279</v>
      </c>
      <c r="M31" s="10">
        <f>IF(M8="","",(M8/$O$23))</f>
        <v>0.19120827128661641</v>
      </c>
      <c r="N31" s="10" t="str">
        <f>IF(N8="","",(N8/$O$23))</f>
        <v/>
      </c>
      <c r="O31" s="75">
        <f t="shared" ref="O31:V31" si="11">IF(O8="","",(O8/$O$23))</f>
        <v>1.5852700467894496</v>
      </c>
      <c r="P31" s="75">
        <f t="shared" si="11"/>
        <v>1.2398420305748916</v>
      </c>
      <c r="Q31" s="75">
        <f t="shared" si="11"/>
        <v>0.23525511169630264</v>
      </c>
      <c r="R31" s="75">
        <f t="shared" si="11"/>
        <v>0.6583295501420785</v>
      </c>
      <c r="S31" s="75">
        <f t="shared" si="11"/>
        <v>0.52854196585236002</v>
      </c>
      <c r="T31" s="75">
        <f t="shared" si="11"/>
        <v>0.91107947119234656</v>
      </c>
      <c r="U31" s="75">
        <f t="shared" si="11"/>
        <v>1.2791543502083638</v>
      </c>
      <c r="V31" s="75">
        <f t="shared" si="11"/>
        <v>0.98952154858338914</v>
      </c>
    </row>
    <row r="32" spans="1:22">
      <c r="A32" s="145"/>
      <c r="B32" s="75">
        <f>IF(B9="","",(B9/$O$23))</f>
        <v>6.9453409536564606E-2</v>
      </c>
      <c r="C32" s="75">
        <f>IF(C9="","",(C9/$O$23))</f>
        <v>0.15430419531951506</v>
      </c>
      <c r="D32" s="75">
        <f>IF(D9="","",(D9/$O$23))</f>
        <v>0.22583682317331991</v>
      </c>
      <c r="E32" s="75">
        <f>IF(E9="","",(E9/$O$23))</f>
        <v>0.37967902517422708</v>
      </c>
      <c r="F32" s="75">
        <f>IF(F9="","",(F9/$O$23))</f>
        <v>0.41288806533198202</v>
      </c>
      <c r="G32" s="75">
        <f>IF(G9="","",(G9/$O$23))</f>
        <v>1.0846191474662594</v>
      </c>
      <c r="H32" s="75">
        <f>IF(H9="","",(H9/$O$23))</f>
        <v>1.649027525797887</v>
      </c>
      <c r="I32" s="10">
        <f>IF(I9="","",(I9/$O$23))</f>
        <v>0.32224108487953618</v>
      </c>
      <c r="J32" s="10">
        <f>IF(J9="","",(J9/$O$23))</f>
        <v>0.55566718324226039</v>
      </c>
      <c r="K32" s="10">
        <f>IF(K9="","",(K9/$O$23))</f>
        <v>0.23438303721155404</v>
      </c>
      <c r="L32" s="10">
        <f>IF(L9="","",(L9/$O$23))</f>
        <v>0.22491457522063649</v>
      </c>
      <c r="M32" s="10">
        <f>IF(M9="","",(M9/$O$23))</f>
        <v>0.21892944349862076</v>
      </c>
      <c r="N32" s="10" t="str">
        <f>IF(N9="","",(N9/$O$23))</f>
        <v/>
      </c>
      <c r="O32" s="75">
        <f t="shared" ref="O32:V32" si="12">IF(O9="","",(O9/$O$23))</f>
        <v>1.1971509501279662</v>
      </c>
      <c r="P32" s="75">
        <f t="shared" si="12"/>
        <v>0.68801005423308936</v>
      </c>
      <c r="Q32" s="75">
        <f t="shared" si="12"/>
        <v>0.31595441558290216</v>
      </c>
      <c r="R32" s="75">
        <f t="shared" si="12"/>
        <v>1.00478661921631</v>
      </c>
      <c r="S32" s="75">
        <f t="shared" si="12"/>
        <v>1.0010356971184222</v>
      </c>
      <c r="T32" s="75">
        <f t="shared" si="12"/>
        <v>0.73434500348740794</v>
      </c>
      <c r="U32" s="75">
        <f t="shared" si="12"/>
        <v>0.79674026456196423</v>
      </c>
      <c r="V32" s="75">
        <f t="shared" si="12"/>
        <v>0.5921375816102814</v>
      </c>
    </row>
    <row r="33" spans="1:22">
      <c r="A33" s="145"/>
      <c r="B33" s="75">
        <f>IF(B10="","",(B10/$O$23))</f>
        <v>0.11117513195942895</v>
      </c>
      <c r="C33" s="75">
        <f>IF(C10="","",(C10/$O$23))</f>
        <v>0.14836766396990486</v>
      </c>
      <c r="D33" s="75">
        <f>IF(D10="","",(D10/$O$23))</f>
        <v>0.47166495830562044</v>
      </c>
      <c r="E33" s="75">
        <f>IF(E10="","",(E10/$O$23))</f>
        <v>0.40847876135782735</v>
      </c>
      <c r="F33" s="75">
        <f>IF(F10="","",(F10/$O$23))</f>
        <v>0.54136054175919723</v>
      </c>
      <c r="G33" s="75">
        <f>IF(G10="","",(G10/$O$23))</f>
        <v>1.3018581756268843</v>
      </c>
      <c r="H33" s="75">
        <f>IF(H10="","",(H10/$O$23))</f>
        <v>1.8289156360665848</v>
      </c>
      <c r="I33" s="10">
        <f>IF(I10="","",(I10/$O$23))</f>
        <v>0.33942872663277845</v>
      </c>
      <c r="J33" s="10">
        <f>IF(J10="","",(J10/$O$23))</f>
        <v>0.18486770276947814</v>
      </c>
      <c r="K33" s="10">
        <f>IF(K10="","",(K10/$O$23))</f>
        <v>5.8379313777230671E-2</v>
      </c>
      <c r="L33" s="10">
        <f>IF(L10="","",(L10/$O$23))</f>
        <v>0.21525229130160758</v>
      </c>
      <c r="M33" s="10">
        <f>IF(M10="","",(M10/$O$23))</f>
        <v>6.6145686405434695E-2</v>
      </c>
      <c r="N33" s="10" t="str">
        <f>IF(N10="","",(N10/$O$23))</f>
        <v/>
      </c>
      <c r="O33" s="75">
        <f t="shared" ref="O33:V33" si="13">IF(O10="","",(O10/$O$23))</f>
        <v>0.41636551719127435</v>
      </c>
      <c r="P33" s="75">
        <f t="shared" si="13"/>
        <v>1.5413030202792506</v>
      </c>
      <c r="Q33" s="75">
        <f t="shared" si="13"/>
        <v>0.20134786550703859</v>
      </c>
      <c r="R33" s="75">
        <f t="shared" si="13"/>
        <v>0.71073755887905099</v>
      </c>
      <c r="S33" s="75">
        <f t="shared" si="13"/>
        <v>0.80373697950382783</v>
      </c>
      <c r="T33" s="75">
        <f t="shared" si="13"/>
        <v>0.49457908175805926</v>
      </c>
      <c r="U33" s="75">
        <f t="shared" si="13"/>
        <v>0.99504750199984948</v>
      </c>
      <c r="V33" s="75">
        <f t="shared" si="13"/>
        <v>1.1175042127394781</v>
      </c>
    </row>
    <row r="34" spans="1:22">
      <c r="A34" s="145"/>
      <c r="B34" s="75">
        <f>IF(B11="","",(B11/$O$23))</f>
        <v>0.25415949743903155</v>
      </c>
      <c r="C34" s="75">
        <f>IF(C11="","",(C11/$O$23))</f>
        <v>0.2333871849469992</v>
      </c>
      <c r="D34" s="75">
        <f>IF(D11="","",(D11/$O$23))</f>
        <v>0.38161575415431243</v>
      </c>
      <c r="E34" s="75">
        <f>IF(E11="","",(E11/$O$23))</f>
        <v>0.45839440721486191</v>
      </c>
      <c r="F34" s="75">
        <f>IF(F11="","",(F11/$O$23))</f>
        <v>1.9843524601672031</v>
      </c>
      <c r="G34" s="75">
        <f>IF(G11="","",(G11/$O$23))</f>
        <v>1.6282802172453206</v>
      </c>
      <c r="H34" s="75">
        <f>IF(H11="","",(H11/$O$23))</f>
        <v>2.0568416956918316</v>
      </c>
      <c r="I34" s="10">
        <f>IF(I11="","",(I11/$O$23))</f>
        <v>0.1836116273865748</v>
      </c>
      <c r="J34" s="10">
        <f>IF(J11="","",(J11/$O$23))</f>
        <v>0.37871190260170751</v>
      </c>
      <c r="K34" s="10">
        <f>IF(K11="","",(K11/$O$23))</f>
        <v>0.26736124629900815</v>
      </c>
      <c r="L34" s="10">
        <f>IF(L11="","",(L11/$O$23))</f>
        <v>6.5237513518013504E-2</v>
      </c>
      <c r="M34" s="10">
        <f>IF(M11="","",(M11/$O$23))</f>
        <v>0.28042704658745177</v>
      </c>
      <c r="N34" s="10" t="str">
        <f>IF(N11="","",(N11/$O$23))</f>
        <v/>
      </c>
      <c r="O34" s="75">
        <f t="shared" ref="O34:V34" si="14">IF(O11="","",(O11/$O$23))</f>
        <v>0.86988614327832736</v>
      </c>
      <c r="P34" s="75">
        <f t="shared" si="14"/>
        <v>1.4421154558146754</v>
      </c>
      <c r="Q34" s="75">
        <f t="shared" si="14"/>
        <v>0.13819784975641961</v>
      </c>
      <c r="R34" s="75">
        <f t="shared" si="14"/>
        <v>0.68162527345212731</v>
      </c>
      <c r="S34" s="75">
        <f t="shared" si="14"/>
        <v>0.67456323364854653</v>
      </c>
      <c r="T34" s="75">
        <f t="shared" si="14"/>
        <v>1.7895745867410775</v>
      </c>
      <c r="U34" s="75">
        <f t="shared" si="14"/>
        <v>0.64869773459961733</v>
      </c>
      <c r="V34" s="75">
        <f t="shared" si="14"/>
        <v>0.56357058077051747</v>
      </c>
    </row>
    <row r="35" spans="1:22">
      <c r="A35" s="145"/>
      <c r="B35" s="75">
        <f>IF(B12="","",(B12/$O$23))</f>
        <v>7.1276958433041201E-2</v>
      </c>
      <c r="C35" s="75">
        <f>IF(C12="","",(C12/$O$23))</f>
        <v>0.77946966271817619</v>
      </c>
      <c r="D35" s="75">
        <f>IF(D12="","",(D12/$O$23))</f>
        <v>0.55012260106295308</v>
      </c>
      <c r="E35" s="75">
        <f>IF(E12="","",(E12/$O$23))</f>
        <v>0.42650651891822278</v>
      </c>
      <c r="F35" s="75">
        <f>IF(F12="","",(F12/$O$23))</f>
        <v>0.47417603274290709</v>
      </c>
      <c r="G35" s="75">
        <f>IF(G12="","",(G12/$O$23))</f>
        <v>1.7329105266523055</v>
      </c>
      <c r="H35" s="75">
        <f>IF(H12="","",(H12/$O$23))</f>
        <v>1.3638803646774895</v>
      </c>
      <c r="I35" s="10">
        <f>IF(I12="","",(I12/$O$23))</f>
        <v>0.26751598922239134</v>
      </c>
      <c r="J35" s="10">
        <f>IF(J12="","",(J12/$O$23))</f>
        <v>0.50559753961235654</v>
      </c>
      <c r="K35" s="10">
        <f>IF(K12="","",(K12/$O$23))</f>
        <v>0.30127909018446969</v>
      </c>
      <c r="L35" s="10">
        <f>IF(L12="","",(L12/$O$23))</f>
        <v>0.2379854259736742</v>
      </c>
      <c r="M35" s="10">
        <f>IF(M12="","",(M12/$O$23))</f>
        <v>0.2988729991751391</v>
      </c>
      <c r="N35" s="10" t="str">
        <f>IF(N12="","",(N12/$O$23))</f>
        <v/>
      </c>
      <c r="O35" s="75">
        <f t="shared" ref="O35:V35" si="15">IF(O12="","",(O12/$O$23))</f>
        <v>0.59136063800780536</v>
      </c>
      <c r="P35" s="75">
        <f t="shared" si="15"/>
        <v>1.0494051556591479</v>
      </c>
      <c r="Q35" s="75">
        <f t="shared" si="15"/>
        <v>0.23751010274031792</v>
      </c>
      <c r="R35" s="75">
        <f t="shared" si="15"/>
        <v>0.95863787479596074</v>
      </c>
      <c r="S35" s="75">
        <f t="shared" si="15"/>
        <v>0.85443122485336942</v>
      </c>
      <c r="T35" s="75">
        <f t="shared" si="15"/>
        <v>0.80306270108326461</v>
      </c>
      <c r="U35" s="75">
        <f t="shared" si="15"/>
        <v>0.41912712779022904</v>
      </c>
      <c r="V35" s="75">
        <f t="shared" si="15"/>
        <v>0.72737254733449619</v>
      </c>
    </row>
    <row r="36" spans="1:22" s="1" customFormat="1">
      <c r="A36" s="145"/>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ref="O36:V36" si="16">IF(O13="","",(O13/$O$23))</f>
        <v>1.1823961420080527</v>
      </c>
      <c r="P36" s="10" t="str">
        <f t="shared" si="16"/>
        <v/>
      </c>
      <c r="Q36" s="10" t="str">
        <f t="shared" si="16"/>
        <v/>
      </c>
      <c r="R36" s="10" t="str">
        <f t="shared" si="16"/>
        <v/>
      </c>
      <c r="S36" s="10" t="str">
        <f t="shared" si="16"/>
        <v/>
      </c>
      <c r="T36" s="10" t="str">
        <f t="shared" si="16"/>
        <v/>
      </c>
      <c r="U36" s="10" t="str">
        <f t="shared" si="16"/>
        <v/>
      </c>
      <c r="V36" s="10" t="str">
        <f t="shared" si="16"/>
        <v/>
      </c>
    </row>
    <row r="37" spans="1:22" s="1" customFormat="1">
      <c r="A37" s="145"/>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ref="O37:V37" si="17">IF(O14="","",(O14/$O$23))</f>
        <v>0.98780066486882545</v>
      </c>
      <c r="P37" s="10" t="str">
        <f t="shared" si="17"/>
        <v/>
      </c>
      <c r="Q37" s="10" t="str">
        <f t="shared" si="17"/>
        <v/>
      </c>
      <c r="R37" s="10" t="str">
        <f t="shared" si="17"/>
        <v/>
      </c>
      <c r="S37" s="10" t="str">
        <f t="shared" si="17"/>
        <v/>
      </c>
      <c r="T37" s="10" t="str">
        <f t="shared" si="17"/>
        <v/>
      </c>
      <c r="U37" s="10" t="str">
        <f t="shared" si="17"/>
        <v/>
      </c>
      <c r="V37" s="10" t="str">
        <f t="shared" si="17"/>
        <v/>
      </c>
    </row>
    <row r="38" spans="1:22" s="1" customFormat="1">
      <c r="A38" s="145"/>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R38" si="18">IF(O15="","",(O15/$O$23))</f>
        <v>1.2414731650497832</v>
      </c>
      <c r="P38" s="10" t="str">
        <f t="shared" si="18"/>
        <v/>
      </c>
      <c r="Q38" s="10" t="str">
        <f t="shared" si="18"/>
        <v/>
      </c>
      <c r="R38" s="10" t="str">
        <f t="shared" si="18"/>
        <v/>
      </c>
      <c r="S38" s="10" t="str">
        <f t="shared" ref="S38:V38" si="19">IF(S15="","",(S15/$O$23))</f>
        <v/>
      </c>
      <c r="T38" s="10" t="str">
        <f t="shared" si="19"/>
        <v/>
      </c>
      <c r="U38" s="10" t="str">
        <f t="shared" si="19"/>
        <v/>
      </c>
      <c r="V38" s="10" t="str">
        <f t="shared" si="19"/>
        <v/>
      </c>
    </row>
    <row r="39" spans="1:22" s="1" customFormat="1">
      <c r="A39" s="145"/>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R39" si="20">IF(O16="","",(O16/$O$23))</f>
        <v>0.58067219903665701</v>
      </c>
      <c r="P39" s="10" t="str">
        <f t="shared" si="20"/>
        <v/>
      </c>
      <c r="Q39" s="10" t="str">
        <f t="shared" si="20"/>
        <v/>
      </c>
      <c r="R39" s="10" t="str">
        <f t="shared" si="20"/>
        <v/>
      </c>
      <c r="S39" s="10" t="str">
        <f t="shared" ref="S39:V39" si="21">IF(S16="","",(S16/$O$23))</f>
        <v/>
      </c>
      <c r="T39" s="10" t="str">
        <f t="shared" si="21"/>
        <v/>
      </c>
      <c r="U39" s="10" t="str">
        <f t="shared" si="21"/>
        <v/>
      </c>
      <c r="V39" s="10" t="str">
        <f t="shared" si="21"/>
        <v/>
      </c>
    </row>
    <row r="40" spans="1:22" s="1" customFormat="1">
      <c r="A40" s="145"/>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R40" si="22">IF(O17="","",(O17/$O$23))</f>
        <v>1.0787347766526212</v>
      </c>
      <c r="P40" s="10" t="str">
        <f t="shared" si="22"/>
        <v/>
      </c>
      <c r="Q40" s="10" t="str">
        <f t="shared" si="22"/>
        <v/>
      </c>
      <c r="R40" s="10" t="str">
        <f t="shared" si="22"/>
        <v/>
      </c>
      <c r="S40" s="10" t="str">
        <f t="shared" ref="S40:V40" si="23">IF(S17="","",(S17/$O$23))</f>
        <v/>
      </c>
      <c r="T40" s="10" t="str">
        <f t="shared" si="23"/>
        <v/>
      </c>
      <c r="U40" s="10" t="str">
        <f t="shared" si="23"/>
        <v/>
      </c>
      <c r="V40" s="10" t="str">
        <f t="shared" si="23"/>
        <v/>
      </c>
    </row>
    <row r="41" spans="1:22" s="1" customFormat="1">
      <c r="A41" s="145"/>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R41" si="24">IF(O18="","",(O18/$O$23))</f>
        <v>1.4213948898861073</v>
      </c>
      <c r="P41" s="10" t="str">
        <f t="shared" si="24"/>
        <v/>
      </c>
      <c r="Q41" s="10" t="str">
        <f t="shared" si="24"/>
        <v/>
      </c>
      <c r="R41" s="10" t="str">
        <f t="shared" si="24"/>
        <v/>
      </c>
      <c r="S41" s="10" t="str">
        <f t="shared" ref="S41:V41" si="25">IF(S18="","",(S18/$O$23))</f>
        <v/>
      </c>
      <c r="T41" s="10" t="str">
        <f t="shared" si="25"/>
        <v/>
      </c>
      <c r="U41" s="10" t="str">
        <f t="shared" si="25"/>
        <v/>
      </c>
      <c r="V41" s="10" t="str">
        <f t="shared" si="25"/>
        <v/>
      </c>
    </row>
    <row r="42" spans="1:22" s="1" customFormat="1">
      <c r="A42" s="145"/>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R42" si="26">IF(O19="","",(O19/$O$23))</f>
        <v>1.2406866172851281</v>
      </c>
      <c r="P42" s="10" t="str">
        <f t="shared" si="26"/>
        <v/>
      </c>
      <c r="Q42" s="10" t="str">
        <f t="shared" si="26"/>
        <v/>
      </c>
      <c r="R42" s="10" t="str">
        <f t="shared" si="26"/>
        <v/>
      </c>
      <c r="S42" s="10" t="str">
        <f t="shared" ref="S42:V42" si="27">IF(S19="","",(S19/$O$23))</f>
        <v/>
      </c>
      <c r="T42" s="10" t="str">
        <f t="shared" si="27"/>
        <v/>
      </c>
      <c r="U42" s="10" t="str">
        <f t="shared" si="27"/>
        <v/>
      </c>
      <c r="V42" s="10" t="str">
        <f t="shared" si="27"/>
        <v/>
      </c>
    </row>
    <row r="43" spans="1:22" s="1" customFormat="1">
      <c r="A43" s="145"/>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R43" si="28">IF(O20="","",(O20/$O$23))</f>
        <v>0.9852081206420209</v>
      </c>
      <c r="P43" s="10" t="str">
        <f t="shared" si="28"/>
        <v/>
      </c>
      <c r="Q43" s="10" t="str">
        <f t="shared" si="28"/>
        <v/>
      </c>
      <c r="R43" s="10" t="str">
        <f t="shared" si="28"/>
        <v/>
      </c>
      <c r="S43" s="10" t="str">
        <f t="shared" ref="S43:V43" si="29">IF(S20="","",(S20/$O$23))</f>
        <v/>
      </c>
      <c r="T43" s="10" t="str">
        <f t="shared" si="29"/>
        <v/>
      </c>
      <c r="U43" s="10" t="str">
        <f t="shared" si="29"/>
        <v/>
      </c>
      <c r="V43" s="10" t="str">
        <f t="shared" si="29"/>
        <v/>
      </c>
    </row>
    <row r="44" spans="1:22">
      <c r="A44" s="6"/>
      <c r="B44" s="3"/>
      <c r="C44" s="3"/>
      <c r="D44" s="3"/>
      <c r="E44" s="3"/>
      <c r="F44" s="3"/>
      <c r="G44" s="3"/>
      <c r="H44" s="3"/>
      <c r="I44" s="3"/>
      <c r="J44" s="3"/>
      <c r="O44" s="3"/>
      <c r="P44" s="3"/>
      <c r="Q44" s="3"/>
      <c r="R44" s="3"/>
      <c r="S44" s="3"/>
      <c r="T44" s="3"/>
      <c r="U44" s="3"/>
      <c r="V44" s="3"/>
    </row>
    <row r="45" spans="1:22" s="50" customFormat="1">
      <c r="A45" s="51" t="str">
        <f t="shared" ref="A45:N45" si="30">A4</f>
        <v>Noms des groupes</v>
      </c>
      <c r="B45" s="51" t="str">
        <f t="shared" si="30"/>
        <v>Solvent control</v>
      </c>
      <c r="C45" s="51" t="str">
        <f t="shared" si="30"/>
        <v>EE2-33.8ng/L</v>
      </c>
      <c r="D45" s="51" t="str">
        <f t="shared" si="30"/>
        <v>EE2-50.6ng/L</v>
      </c>
      <c r="E45" s="51" t="str">
        <f t="shared" si="30"/>
        <v>EE2-76ng/L</v>
      </c>
      <c r="F45" s="51" t="str">
        <f t="shared" si="30"/>
        <v>EE2-114ng/L</v>
      </c>
      <c r="G45" s="51" t="str">
        <f t="shared" si="30"/>
        <v>EE2-170.9ng/L</v>
      </c>
      <c r="H45" s="51" t="str">
        <f t="shared" si="30"/>
        <v>EE2-488ng/L</v>
      </c>
      <c r="I45" s="51" t="str">
        <f t="shared" si="30"/>
        <v>cefuroxime-10mg/L</v>
      </c>
      <c r="J45" s="51" t="str">
        <f t="shared" si="30"/>
        <v>cefuroxime-1mg/L</v>
      </c>
      <c r="K45" s="51" t="str">
        <f t="shared" si="30"/>
        <v>cefuroxime-0.1mg/L</v>
      </c>
      <c r="L45" s="51" t="str">
        <f t="shared" si="30"/>
        <v>cefuroxime-0.01mg/L</v>
      </c>
      <c r="M45" s="51" t="str">
        <f t="shared" si="30"/>
        <v>cefuroxime-0.001mg/L</v>
      </c>
      <c r="N45" s="51" t="str">
        <f t="shared" si="30"/>
        <v/>
      </c>
      <c r="O45" s="51" t="str">
        <f t="shared" ref="O45:V45" si="31">O4</f>
        <v>Testo -30µg/L</v>
      </c>
      <c r="P45" s="51" t="str">
        <f t="shared" si="31"/>
        <v>Testo 30µg/L + EE2 -64ng/L</v>
      </c>
      <c r="Q45" s="51" t="str">
        <f t="shared" si="31"/>
        <v>Testo 30µg/L + FAD-10mg/L</v>
      </c>
      <c r="R45" s="51" t="str">
        <f t="shared" si="31"/>
        <v>cefuroxime-10mg/L + Testostérone</v>
      </c>
      <c r="S45" s="51" t="str">
        <f t="shared" si="31"/>
        <v>cefuroxime-1mg/L + Testostérone</v>
      </c>
      <c r="T45" s="51" t="str">
        <f t="shared" si="31"/>
        <v>cefuroxime-0.1mg/L + Testostérone</v>
      </c>
      <c r="U45" s="51" t="str">
        <f t="shared" si="31"/>
        <v>cefuroxime-0.01mg/L + Testostérone</v>
      </c>
      <c r="V45" s="51" t="str">
        <f t="shared" si="31"/>
        <v>cefuroxime-0.001mg/L + Testostérone</v>
      </c>
    </row>
    <row r="46" spans="1:22">
      <c r="A46" s="7" t="s">
        <v>0</v>
      </c>
      <c r="B46" s="9">
        <f t="shared" ref="B46:H46" si="32">AVERAGE(B28:B43)</f>
        <v>0.13544310075178032</v>
      </c>
      <c r="C46" s="9">
        <f t="shared" si="32"/>
        <v>0.39687262813158036</v>
      </c>
      <c r="D46" s="9">
        <f t="shared" si="32"/>
        <v>0.37046554954943539</v>
      </c>
      <c r="E46" s="9">
        <f t="shared" si="32"/>
        <v>0.40908264375345393</v>
      </c>
      <c r="F46" s="9">
        <f t="shared" si="32"/>
        <v>0.80045415681903687</v>
      </c>
      <c r="G46" s="9">
        <f t="shared" si="32"/>
        <v>1.2868482362504674</v>
      </c>
      <c r="H46" s="9">
        <f t="shared" si="32"/>
        <v>1.724291080877457</v>
      </c>
      <c r="I46" s="9">
        <f>AVERAGE(I28:I43)</f>
        <v>0.32815616210393417</v>
      </c>
      <c r="J46" s="8">
        <f>AVERAGE(J28:J43)</f>
        <v>0.36065053047368573</v>
      </c>
      <c r="K46" s="8">
        <f>AVERAGE(K28:K43)</f>
        <v>0.24262428805266856</v>
      </c>
      <c r="L46" s="8">
        <f t="shared" ref="L46:N46" si="33">AVERAGE(L28:L43)</f>
        <v>0.20396633476213871</v>
      </c>
      <c r="M46" s="8">
        <f t="shared" si="33"/>
        <v>0.22538436157170208</v>
      </c>
      <c r="N46" s="8" t="e">
        <f t="shared" si="33"/>
        <v>#DIV/0!</v>
      </c>
      <c r="O46" s="9">
        <f>AVERAGE(O28:O43)</f>
        <v>0.99999999999999989</v>
      </c>
      <c r="P46" s="9">
        <f>AVERAGE(P28:P43)</f>
        <v>1.2816624854408456</v>
      </c>
      <c r="Q46" s="9">
        <f>AVERAGE(Q28:Q43)</f>
        <v>0.20946217167866285</v>
      </c>
      <c r="R46" s="9">
        <f>AVERAGE(R28:R43)</f>
        <v>0.88142677570454142</v>
      </c>
      <c r="S46" s="9">
        <f t="shared" ref="S46:V46" si="34">AVERAGE(S28:S43)</f>
        <v>0.87136984144459695</v>
      </c>
      <c r="T46" s="9">
        <f t="shared" si="34"/>
        <v>0.95328204338154521</v>
      </c>
      <c r="U46" s="9">
        <f t="shared" si="34"/>
        <v>0.87189675600172678</v>
      </c>
      <c r="V46" s="9">
        <f t="shared" si="34"/>
        <v>0.82933107817670026</v>
      </c>
    </row>
    <row r="47" spans="1:22">
      <c r="A47" s="7" t="s">
        <v>1</v>
      </c>
      <c r="B47" s="7">
        <f t="shared" ref="B47:K47" si="35">STDEV(B28:B43)</f>
        <v>8.3623859702026876E-2</v>
      </c>
      <c r="C47" s="7">
        <f t="shared" si="35"/>
        <v>0.26722533031673174</v>
      </c>
      <c r="D47" s="7">
        <f t="shared" si="35"/>
        <v>0.11217300442037943</v>
      </c>
      <c r="E47" s="7">
        <f t="shared" si="35"/>
        <v>0.16536325683827727</v>
      </c>
      <c r="F47" s="7">
        <f t="shared" si="35"/>
        <v>0.51268398322719022</v>
      </c>
      <c r="G47" s="7">
        <f t="shared" si="35"/>
        <v>0.29334961312005992</v>
      </c>
      <c r="H47" s="7">
        <f t="shared" si="35"/>
        <v>0.28593363222790863</v>
      </c>
      <c r="I47" s="7">
        <f>STDEV(I28:I43)</f>
        <v>8.9862949471541817E-2</v>
      </c>
      <c r="J47" s="7">
        <f t="shared" si="35"/>
        <v>0.14285014586751743</v>
      </c>
      <c r="K47" s="7">
        <f t="shared" si="35"/>
        <v>0.10222214089426707</v>
      </c>
      <c r="L47" s="7">
        <f t="shared" ref="L47:N47" si="36">STDEV(L28:L43)</f>
        <v>7.4709163571672968E-2</v>
      </c>
      <c r="M47" s="7">
        <f t="shared" si="36"/>
        <v>9.3429230273793212E-2</v>
      </c>
      <c r="N47" s="7" t="e">
        <f t="shared" si="36"/>
        <v>#DIV/0!</v>
      </c>
      <c r="O47" s="7">
        <f>STDEV(O28:O43)</f>
        <v>0.31473219537089586</v>
      </c>
      <c r="P47" s="7">
        <f>STDEV(P28:P43)</f>
        <v>0.38264475034615275</v>
      </c>
      <c r="Q47" s="7">
        <f>STDEV(Q28:Q43)</f>
        <v>6.9320866020284311E-2</v>
      </c>
      <c r="R47" s="7">
        <f>STDEV(R28:R43)</f>
        <v>0.1816867935082167</v>
      </c>
      <c r="S47" s="7">
        <f t="shared" ref="S47:V47" si="37">STDEV(S28:S43)</f>
        <v>0.20544055407247486</v>
      </c>
      <c r="T47" s="7">
        <f t="shared" si="37"/>
        <v>0.39348786108250444</v>
      </c>
      <c r="U47" s="7">
        <f t="shared" si="37"/>
        <v>0.26171850393709317</v>
      </c>
      <c r="V47" s="7">
        <f t="shared" si="37"/>
        <v>0.30159109781359256</v>
      </c>
    </row>
    <row r="48" spans="1:22">
      <c r="A48" s="7" t="s">
        <v>2</v>
      </c>
      <c r="B48" s="7">
        <f t="shared" ref="B48:K48" si="38" xml:space="preserve"> B47/SQRT(COUNT(B28:B43))</f>
        <v>2.9565499132147833E-2</v>
      </c>
      <c r="C48" s="7">
        <f t="shared" si="38"/>
        <v>9.4478421585888053E-2</v>
      </c>
      <c r="D48" s="7">
        <f t="shared" si="38"/>
        <v>3.9659146045859434E-2</v>
      </c>
      <c r="E48" s="7">
        <f t="shared" si="38"/>
        <v>5.8464740134719285E-2</v>
      </c>
      <c r="F48" s="7">
        <f t="shared" si="38"/>
        <v>0.1812611605728382</v>
      </c>
      <c r="G48" s="7">
        <f t="shared" si="38"/>
        <v>0.10371475034782228</v>
      </c>
      <c r="H48" s="7">
        <f t="shared" si="38"/>
        <v>0.10109280515882726</v>
      </c>
      <c r="I48" s="7">
        <f xml:space="preserve"> I47/SQRT(COUNT(I28:I43))</f>
        <v>3.1771350474375647E-2</v>
      </c>
      <c r="J48" s="7">
        <f t="shared" si="38"/>
        <v>5.0505153418204517E-2</v>
      </c>
      <c r="K48" s="7">
        <f t="shared" si="38"/>
        <v>3.6140984506871462E-2</v>
      </c>
      <c r="L48" s="7">
        <f t="shared" ref="L48:N48" si="39" xml:space="preserve"> L47/SQRT(COUNT(L28:L43))</f>
        <v>2.641367808915247E-2</v>
      </c>
      <c r="M48" s="7">
        <f t="shared" si="39"/>
        <v>3.3032221143819325E-2</v>
      </c>
      <c r="N48" s="7" t="e">
        <f t="shared" si="39"/>
        <v>#DIV/0!</v>
      </c>
      <c r="O48" s="7">
        <f xml:space="preserve"> O47/SQRT(COUNT(O28:O43))</f>
        <v>7.8683048842723965E-2</v>
      </c>
      <c r="P48" s="7">
        <f xml:space="preserve"> P47/SQRT(COUNT(P28:P43))</f>
        <v>0.13528534887759905</v>
      </c>
      <c r="Q48" s="7">
        <f xml:space="preserve"> Q47/SQRT(COUNT(Q28:Q43))</f>
        <v>2.4508627220333576E-2</v>
      </c>
      <c r="R48" s="7">
        <f xml:space="preserve"> R47/SQRT(COUNT(R28:R43))</f>
        <v>6.4235981870850015E-2</v>
      </c>
      <c r="S48" s="7">
        <f t="shared" ref="S48:V48" si="40" xml:space="preserve"> S47/SQRT(COUNT(S28:S43))</f>
        <v>7.2634204457684273E-2</v>
      </c>
      <c r="T48" s="7">
        <f t="shared" si="40"/>
        <v>0.13911896744301452</v>
      </c>
      <c r="U48" s="7">
        <f t="shared" si="40"/>
        <v>9.2531464447958359E-2</v>
      </c>
      <c r="V48" s="7">
        <f t="shared" si="40"/>
        <v>0.10662855520474332</v>
      </c>
    </row>
    <row r="49" spans="1:22" s="1" customFormat="1"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19</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c r="A51"/>
      <c r="B51"/>
      <c r="C51"/>
      <c r="D51"/>
      <c r="E51"/>
      <c r="F51"/>
      <c r="G51"/>
      <c r="H51"/>
      <c r="I51"/>
      <c r="J51"/>
      <c r="K51"/>
      <c r="L51"/>
      <c r="M51"/>
      <c r="N51"/>
      <c r="S51"/>
      <c r="T51"/>
      <c r="U51"/>
      <c r="V51"/>
    </row>
    <row r="52" spans="1:22">
      <c r="A52" s="28" t="str">
        <f t="shared" ref="A52:H52" si="41">A27</f>
        <v>Noms des groupes</v>
      </c>
      <c r="B52" s="29" t="str">
        <f t="shared" si="41"/>
        <v>Solvent control</v>
      </c>
      <c r="C52" s="29" t="str">
        <f t="shared" si="41"/>
        <v>EE2-33.8ng/L</v>
      </c>
      <c r="D52" s="29" t="str">
        <f t="shared" si="41"/>
        <v>EE2-50.6ng/L</v>
      </c>
      <c r="E52" s="29" t="str">
        <f t="shared" si="41"/>
        <v>EE2-76ng/L</v>
      </c>
      <c r="F52" s="29" t="str">
        <f t="shared" si="41"/>
        <v>EE2-114ng/L</v>
      </c>
      <c r="G52" s="29" t="str">
        <f t="shared" si="41"/>
        <v>EE2-170.9ng/L</v>
      </c>
      <c r="H52" s="29" t="str">
        <f t="shared" si="41"/>
        <v>EE2-488ng/L</v>
      </c>
      <c r="I52" s="29" t="str">
        <f>I4</f>
        <v>cefuroxime-10mg/L</v>
      </c>
      <c r="J52" s="29" t="str">
        <f>J4</f>
        <v>cefuroxime-1mg/L</v>
      </c>
      <c r="K52" s="29" t="str">
        <f>K27</f>
        <v>cefuroxime-0.1mg/L</v>
      </c>
      <c r="L52" s="29" t="str">
        <f t="shared" ref="L52:N52" si="42">L27</f>
        <v>cefuroxime-0.01mg/L</v>
      </c>
      <c r="M52" s="29" t="str">
        <f t="shared" si="42"/>
        <v>cefuroxime-0.001mg/L</v>
      </c>
      <c r="N52" s="29" t="str">
        <f t="shared" si="42"/>
        <v/>
      </c>
      <c r="O52" s="29" t="str">
        <f>O27</f>
        <v>Testo -30µg/L</v>
      </c>
      <c r="P52" s="29" t="str">
        <f>P27</f>
        <v>Testo 30µg/L + EE2 -64ng/L</v>
      </c>
      <c r="Q52" s="29" t="str">
        <f>Q27</f>
        <v>Testo 30µg/L + FAD-10mg/L</v>
      </c>
      <c r="R52" s="29" t="str">
        <f>R27</f>
        <v>cefuroxime-10mg/L + Testostérone</v>
      </c>
      <c r="S52" s="29" t="str">
        <f t="shared" ref="S52:V52" si="43">S27</f>
        <v>cefuroxime-1mg/L + Testostérone</v>
      </c>
      <c r="T52" s="29" t="str">
        <f t="shared" si="43"/>
        <v>cefuroxime-0.1mg/L + Testostérone</v>
      </c>
      <c r="U52" s="29" t="str">
        <f t="shared" si="43"/>
        <v>cefuroxime-0.01mg/L + Testostérone</v>
      </c>
      <c r="V52" s="29" t="str">
        <f t="shared" si="43"/>
        <v>cefuroxime-0.001mg/L + Testostérone</v>
      </c>
    </row>
    <row r="53" spans="1:22" s="3" customFormat="1">
      <c r="A53" s="43" t="s">
        <v>15</v>
      </c>
      <c r="B53" s="75">
        <f t="shared" ref="B53:N53" si="44">B46</f>
        <v>0.13544310075178032</v>
      </c>
      <c r="C53" s="75">
        <f t="shared" si="44"/>
        <v>0.39687262813158036</v>
      </c>
      <c r="D53" s="75">
        <f t="shared" si="44"/>
        <v>0.37046554954943539</v>
      </c>
      <c r="E53" s="75">
        <f t="shared" si="44"/>
        <v>0.40908264375345393</v>
      </c>
      <c r="F53" s="75">
        <f t="shared" si="44"/>
        <v>0.80045415681903687</v>
      </c>
      <c r="G53" s="75">
        <f t="shared" si="44"/>
        <v>1.2868482362504674</v>
      </c>
      <c r="H53" s="75">
        <f t="shared" si="44"/>
        <v>1.724291080877457</v>
      </c>
      <c r="I53" s="75">
        <f t="shared" si="44"/>
        <v>0.32815616210393417</v>
      </c>
      <c r="J53" s="75">
        <f t="shared" si="44"/>
        <v>0.36065053047368573</v>
      </c>
      <c r="K53" s="75">
        <f t="shared" si="44"/>
        <v>0.24262428805266856</v>
      </c>
      <c r="L53" s="75">
        <f t="shared" si="44"/>
        <v>0.20396633476213871</v>
      </c>
      <c r="M53" s="75">
        <f t="shared" si="44"/>
        <v>0.22538436157170208</v>
      </c>
      <c r="N53" s="75" t="e">
        <f t="shared" si="44"/>
        <v>#DIV/0!</v>
      </c>
      <c r="O53" s="75">
        <f t="shared" ref="O53:V53" si="45">O46</f>
        <v>0.99999999999999989</v>
      </c>
      <c r="P53" s="75">
        <f t="shared" si="45"/>
        <v>1.2816624854408456</v>
      </c>
      <c r="Q53" s="75">
        <f t="shared" si="45"/>
        <v>0.20946217167866285</v>
      </c>
      <c r="R53" s="75">
        <f t="shared" si="45"/>
        <v>0.88142677570454142</v>
      </c>
      <c r="S53" s="75">
        <f t="shared" si="45"/>
        <v>0.87136984144459695</v>
      </c>
      <c r="T53" s="75">
        <f t="shared" si="45"/>
        <v>0.95328204338154521</v>
      </c>
      <c r="U53" s="75">
        <f t="shared" si="45"/>
        <v>0.87189675600172678</v>
      </c>
      <c r="V53" s="75">
        <f t="shared" si="45"/>
        <v>0.82933107817670026</v>
      </c>
    </row>
    <row r="54" spans="1:22" s="3" customFormat="1">
      <c r="A54" s="43" t="s">
        <v>2</v>
      </c>
      <c r="B54" s="75">
        <f t="shared" ref="B54:N54" si="46">B48</f>
        <v>2.9565499132147833E-2</v>
      </c>
      <c r="C54" s="75">
        <f t="shared" si="46"/>
        <v>9.4478421585888053E-2</v>
      </c>
      <c r="D54" s="75">
        <f t="shared" si="46"/>
        <v>3.9659146045859434E-2</v>
      </c>
      <c r="E54" s="75">
        <f t="shared" si="46"/>
        <v>5.8464740134719285E-2</v>
      </c>
      <c r="F54" s="75">
        <f t="shared" si="46"/>
        <v>0.1812611605728382</v>
      </c>
      <c r="G54" s="75">
        <f t="shared" si="46"/>
        <v>0.10371475034782228</v>
      </c>
      <c r="H54" s="75">
        <f t="shared" si="46"/>
        <v>0.10109280515882726</v>
      </c>
      <c r="I54" s="75">
        <f t="shared" si="46"/>
        <v>3.1771350474375647E-2</v>
      </c>
      <c r="J54" s="75">
        <f t="shared" si="46"/>
        <v>5.0505153418204517E-2</v>
      </c>
      <c r="K54" s="75">
        <f t="shared" si="46"/>
        <v>3.6140984506871462E-2</v>
      </c>
      <c r="L54" s="75">
        <f t="shared" si="46"/>
        <v>2.641367808915247E-2</v>
      </c>
      <c r="M54" s="75">
        <f t="shared" si="46"/>
        <v>3.3032221143819325E-2</v>
      </c>
      <c r="N54" s="75" t="e">
        <f t="shared" si="46"/>
        <v>#DIV/0!</v>
      </c>
      <c r="O54" s="75">
        <f t="shared" ref="O54:V54" si="47">O48</f>
        <v>7.8683048842723965E-2</v>
      </c>
      <c r="P54" s="75">
        <f t="shared" si="47"/>
        <v>0.13528534887759905</v>
      </c>
      <c r="Q54" s="75">
        <f t="shared" si="47"/>
        <v>2.4508627220333576E-2</v>
      </c>
      <c r="R54" s="75">
        <f t="shared" si="47"/>
        <v>6.4235981870850015E-2</v>
      </c>
      <c r="S54" s="75">
        <f t="shared" si="47"/>
        <v>7.2634204457684273E-2</v>
      </c>
      <c r="T54" s="75">
        <f t="shared" si="47"/>
        <v>0.13911896744301452</v>
      </c>
      <c r="U54" s="75">
        <f t="shared" si="47"/>
        <v>9.2531464447958359E-2</v>
      </c>
      <c r="V54" s="75">
        <f t="shared" si="47"/>
        <v>0.10662855520474332</v>
      </c>
    </row>
    <row r="55" spans="1:22" s="3" customFormat="1">
      <c r="A55" s="43" t="s">
        <v>42</v>
      </c>
      <c r="B55" s="75">
        <f t="shared" ref="B55:N55" si="48">(B53*100/$B$53)-100</f>
        <v>0</v>
      </c>
      <c r="C55" s="75">
        <f t="shared" si="48"/>
        <v>193.01797280830766</v>
      </c>
      <c r="D55" s="75">
        <f t="shared" si="48"/>
        <v>173.52116681703023</v>
      </c>
      <c r="E55" s="75">
        <f t="shared" si="48"/>
        <v>202.03283997695752</v>
      </c>
      <c r="F55" s="75">
        <f t="shared" si="48"/>
        <v>490.98924373120235</v>
      </c>
      <c r="G55" s="75">
        <f t="shared" si="48"/>
        <v>850.10246303265649</v>
      </c>
      <c r="H55" s="75">
        <f t="shared" si="48"/>
        <v>1173.0741332018658</v>
      </c>
      <c r="I55" s="75">
        <f t="shared" si="48"/>
        <v>142.28340925635575</v>
      </c>
      <c r="J55" s="75">
        <f t="shared" si="48"/>
        <v>166.2745673067775</v>
      </c>
      <c r="K55" s="75">
        <f t="shared" si="48"/>
        <v>79.133737123542204</v>
      </c>
      <c r="L55" s="75">
        <f t="shared" si="48"/>
        <v>50.591896988490731</v>
      </c>
      <c r="M55" s="75">
        <f t="shared" si="48"/>
        <v>66.405199172715726</v>
      </c>
      <c r="N55" s="75" t="e">
        <f t="shared" si="48"/>
        <v>#DIV/0!</v>
      </c>
      <c r="O55" s="75">
        <f>(O53*100/$O$53)-100</f>
        <v>0</v>
      </c>
      <c r="P55" s="75">
        <f t="shared" ref="P55:V55" si="49">(P53*100/$O$53)-100</f>
        <v>28.166248544084596</v>
      </c>
      <c r="Q55" s="75">
        <f t="shared" si="49"/>
        <v>-79.05378283213372</v>
      </c>
      <c r="R55" s="75">
        <f t="shared" si="49"/>
        <v>-11.857322429545846</v>
      </c>
      <c r="S55" s="75">
        <f t="shared" si="49"/>
        <v>-12.863015855540297</v>
      </c>
      <c r="T55" s="75">
        <f t="shared" si="49"/>
        <v>-4.671795661845465</v>
      </c>
      <c r="U55" s="75">
        <f t="shared" si="49"/>
        <v>-12.810324399827309</v>
      </c>
      <c r="V55" s="75">
        <f t="shared" si="49"/>
        <v>-17.066892182329966</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t="shared" ref="B57:N57" ca="1" si="50">IF(B56&gt;0.05,"Oui","Non")</f>
        <v>#NAME?</v>
      </c>
      <c r="C57" s="75" t="e">
        <f t="shared" ca="1" si="50"/>
        <v>#NAME?</v>
      </c>
      <c r="D57" s="75" t="e">
        <f t="shared" ca="1" si="50"/>
        <v>#NAME?</v>
      </c>
      <c r="E57" s="75" t="e">
        <f t="shared" ca="1" si="50"/>
        <v>#NAME?</v>
      </c>
      <c r="F57" s="75" t="e">
        <f t="shared" ca="1" si="50"/>
        <v>#NAME?</v>
      </c>
      <c r="G57" s="75" t="e">
        <f t="shared" ca="1" si="50"/>
        <v>#NAME?</v>
      </c>
      <c r="H57" s="75" t="e">
        <f t="shared" ca="1" si="50"/>
        <v>#NAME?</v>
      </c>
      <c r="I57" s="75" t="e">
        <f t="shared" ca="1" si="50"/>
        <v>#NAME?</v>
      </c>
      <c r="J57" s="75" t="e">
        <f t="shared" ca="1" si="50"/>
        <v>#NAME?</v>
      </c>
      <c r="K57" s="75" t="e">
        <f t="shared" ca="1" si="50"/>
        <v>#NAME?</v>
      </c>
      <c r="L57" s="75" t="e">
        <f t="shared" ca="1" si="50"/>
        <v>#NAME?</v>
      </c>
      <c r="M57" s="75" t="e">
        <f t="shared" ca="1" si="50"/>
        <v>#NAME?</v>
      </c>
      <c r="N57" s="75" t="e">
        <f t="shared" ca="1" si="50"/>
        <v>#NAME?</v>
      </c>
      <c r="O57" s="75" t="e">
        <f t="shared" ref="O57:V57" ca="1" si="51">IF(O56&gt;0.05,"Oui","Non")</f>
        <v>#NAME?</v>
      </c>
      <c r="P57" s="75" t="e">
        <f t="shared" ca="1" si="51"/>
        <v>#NAME?</v>
      </c>
      <c r="Q57" s="75" t="e">
        <f t="shared" ca="1" si="51"/>
        <v>#NAME?</v>
      </c>
      <c r="R57" s="75" t="e">
        <f t="shared" ca="1" si="51"/>
        <v>#NAME?</v>
      </c>
      <c r="S57" s="75" t="e">
        <f t="shared" ca="1" si="51"/>
        <v>#NAME?</v>
      </c>
      <c r="T57" s="75" t="e">
        <f t="shared" ca="1" si="51"/>
        <v>#NAME?</v>
      </c>
      <c r="U57" s="75" t="e">
        <f t="shared" ca="1" si="51"/>
        <v>#NAME?</v>
      </c>
      <c r="V57" s="75" t="e">
        <f t="shared" ca="1" si="51"/>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N59" ca="1" si="52">IF($B57="Non",IF(C$57="Non","Mann Withney",IF(C$57="Oui","Mann Withney","")),IF($B$57="Oui",IF(C$57="Oui","T-Test Welch",IF(C$57="Non","Mann Withney",""))))</f>
        <v>#NAME?</v>
      </c>
      <c r="D59" s="78" t="e">
        <f t="shared" ca="1" si="52"/>
        <v>#NAME?</v>
      </c>
      <c r="E59" s="78" t="e">
        <f t="shared" ca="1" si="52"/>
        <v>#NAME?</v>
      </c>
      <c r="F59" s="78" t="e">
        <f t="shared" ca="1" si="52"/>
        <v>#NAME?</v>
      </c>
      <c r="G59" s="78" t="e">
        <f t="shared" ca="1" si="52"/>
        <v>#NAME?</v>
      </c>
      <c r="H59" s="78" t="e">
        <f t="shared" ca="1" si="52"/>
        <v>#NAME?</v>
      </c>
      <c r="I59" s="78" t="e">
        <f t="shared" ca="1" si="52"/>
        <v>#NAME?</v>
      </c>
      <c r="J59" s="78" t="e">
        <f t="shared" ca="1" si="52"/>
        <v>#NAME?</v>
      </c>
      <c r="K59" s="78" t="e">
        <f t="shared" ca="1" si="52"/>
        <v>#NAME?</v>
      </c>
      <c r="L59" s="78" t="e">
        <f t="shared" ca="1" si="52"/>
        <v>#NAME?</v>
      </c>
      <c r="M59" s="78" t="e">
        <f t="shared" ca="1" si="52"/>
        <v>#NAME?</v>
      </c>
      <c r="N59" s="78" t="e">
        <f t="shared" ca="1" si="52"/>
        <v>#NAME?</v>
      </c>
      <c r="O59" s="78" t="e">
        <f ca="1">IF($B57="Non",IF(O$57="Non","Mann Withney",IF(O$57="Oui","Mann Withney","")),IF($B$57="Oui",IF(O$57="Oui","T-Test Welch",IF(O$57="Non","Mann Withney",""))))</f>
        <v>#NAME?</v>
      </c>
      <c r="P59" s="78" t="e">
        <f ca="1">IF($O57="Non",IF(P$57="Non","Mann Withney",IF(P$57="Oui","Mann Withney","")),IF($O$57="Oui",IF(P$57="Oui","T-Test Welch",IF(P$57="Non","Mann Withney",""))))</f>
        <v>#NAME?</v>
      </c>
      <c r="Q59" s="78" t="e">
        <f t="shared" ref="Q59:V59" ca="1" si="53">IF($O57="Non",IF(Q$57="Non","Mann Withney",IF(Q$57="Oui","Mann Withney","")),IF($O$57="Oui",IF(Q$57="Oui","T-Test Welch",IF(Q$57="Non","Mann Withney",""))))</f>
        <v>#NAME?</v>
      </c>
      <c r="R59" s="78" t="e">
        <f t="shared" ca="1" si="53"/>
        <v>#NAME?</v>
      </c>
      <c r="S59" s="78" t="e">
        <f t="shared" ca="1" si="53"/>
        <v>#NAME?</v>
      </c>
      <c r="T59" s="78" t="e">
        <f t="shared" ca="1" si="53"/>
        <v>#NAME?</v>
      </c>
      <c r="U59" s="78" t="e">
        <f t="shared" ca="1" si="53"/>
        <v>#NAME?</v>
      </c>
      <c r="V59" s="78" t="e">
        <f t="shared" ca="1" si="53"/>
        <v>#NAME?</v>
      </c>
    </row>
    <row r="60" spans="1:22" s="3" customFormat="1">
      <c r="A60" s="43" t="s">
        <v>45</v>
      </c>
      <c r="B60" s="79"/>
      <c r="C60" s="79" t="e">
        <f ca="1">IF(C59="Mann Withney",[1]!MTEST($B28:$B43,C28:C43,2), IF(C59="T-Test Welch",_xlfn.T.TEST($B28:$B43,C28:C43,2,3),""))</f>
        <v>#NAME?</v>
      </c>
      <c r="D60" s="79" t="e">
        <f ca="1">IF(D59="Mann Withney",[1]!MTEST($B28:$B43,D28:D43,2), IF(D59="T-Test Welch",_xlfn.T.TEST($B28:$B43,D28:D43,2,3),""))</f>
        <v>#NAME?</v>
      </c>
      <c r="E60" s="79" t="e">
        <f ca="1">IF(E59="Mann Withney",[1]!MTEST($B28:$B43,E28:E43,2), IF(E59="T-Test Welch",_xlfn.T.TEST($B28:$B43,E28:E43,2,3),""))</f>
        <v>#NAME?</v>
      </c>
      <c r="F60" s="79" t="e">
        <f ca="1">IF(F59="Mann Withney",[1]!MTEST($B28:$B43,F28:F43,2), IF(F59="T-Test Welch",_xlfn.T.TEST($B28:$B43,F28:F43,2,3),""))</f>
        <v>#NAME?</v>
      </c>
      <c r="G60" s="79" t="e">
        <f ca="1">IF(G59="Mann Withney",[1]!MTEST($B28:$B43,G28:G43,2), IF(G59="T-Test Welch",_xlfn.T.TEST($B28:$B43,G28:G43,2,3),""))</f>
        <v>#NAME?</v>
      </c>
      <c r="H60" s="79" t="e">
        <f ca="1">IF(H59="Mann Withney",[1]!MTEST($B28:$B43,H28:H43,2), IF(H59="T-Test Welch",_xlfn.T.TEST($B28:$B43,H28:H43,2,3),""))</f>
        <v>#NAME?</v>
      </c>
      <c r="I60" s="79" t="e">
        <f ca="1">IF(I59="Mann Withney",[1]!MTEST($B28:$B43,I28:I43,2), IF(I59="T-Test Welch",_xlfn.T.TEST($B28:$B43,I28:I43,2,3),""))</f>
        <v>#NAME?</v>
      </c>
      <c r="J60" s="79" t="e">
        <f ca="1">IF(J59="Mann Withney",[1]!MTEST($B28:$B43,J28:J43,2), IF(J59="T-Test Welch",_xlfn.T.TEST($B28:$B43,J28:J43,2,3),""))</f>
        <v>#NAME?</v>
      </c>
      <c r="K60" s="79" t="e">
        <f ca="1">IF(K59="Mann Withney",[1]!MTEST($B28:$B43,K28:K43,2), IF(K59="T-Test Welch",_xlfn.T.TEST($B28:$B43,K28:K43,2,3),""))</f>
        <v>#NAME?</v>
      </c>
      <c r="L60" s="79" t="e">
        <f ca="1">IF(L59="Mann Withney",[1]!MTEST($B28:$B43,L28:L43,2), IF(L59="T-Test Welch",_xlfn.T.TEST($B28:$B43,L28:L43,2,3),""))</f>
        <v>#NAME?</v>
      </c>
      <c r="M60" s="79" t="e">
        <f ca="1">IF(M59="Mann Withney",[1]!MTEST($B28:$B43,M28:M43,2), IF(M59="T-Test Welch",_xlfn.T.TEST($B28:$B43,M28:M43,2,3),""))</f>
        <v>#NAME?</v>
      </c>
      <c r="N60" s="79" t="e">
        <f ca="1">IF(N59="Mann Withney",[1]!MTEST($B28:$B43,N28:N43,2), IF(N59="T-Test Welch",_xlfn.T.TEST($B28:$B43,N28:N43,2,3),""))</f>
        <v>#NAME?</v>
      </c>
      <c r="O60" s="79" t="e">
        <f ca="1">IF(O59="Mann Withney",[1]!MTEST($B28:$B43,O28:O43,2), IF(O59="T-Test Welch",_xlfn.T.TEST($B28:$B43,O28:O43,2,3),""))</f>
        <v>#NAME?</v>
      </c>
      <c r="P60" s="79" t="e">
        <f ca="1">IF(P59="Mann Withney",[1]!MTEST($O28:$O43,P28:P43,2), IF(P59="T-Test Welch",_xlfn.T.TEST($O28:$O43,P28:P43,2,3),""))</f>
        <v>#NAME?</v>
      </c>
      <c r="Q60" s="79" t="e">
        <f ca="1">IF(Q59="Mann Withney",[1]!MTEST($O28:$O43,Q28:Q43,2), IF(Q59="T-Test Welch",_xlfn.T.TEST($O28:$O43,Q28:Q43,2,3),""))</f>
        <v>#NAME?</v>
      </c>
      <c r="R60" s="79" t="e">
        <f ca="1">IF(R59="Mann Withney",[1]!MTEST($O28:$O43,R28:R43,2), IF(R59="T-Test Welch",_xlfn.T.TEST($O28:$O43,R28:R43,2,3),""))</f>
        <v>#NAME?</v>
      </c>
      <c r="S60" s="79" t="e">
        <f ca="1">IF(S59="Mann Withney",[1]!MTEST($O28:$O43,S28:S43,2), IF(S59="T-Test Welch",_xlfn.T.TEST($O28:$O43,S28:S43,2,3),""))</f>
        <v>#NAME?</v>
      </c>
      <c r="T60" s="79" t="e">
        <f ca="1">IF(T59="Mann Withney",[1]!MTEST($O28:$O43,T28:T43,2), IF(T59="T-Test Welch",_xlfn.T.TEST($O28:$O43,T28:T43,2,3),""))</f>
        <v>#NAME?</v>
      </c>
      <c r="U60" s="79" t="e">
        <f ca="1">IF(U59="Mann Withney",[1]!MTEST($O28:$O43,U28:U43,2), IF(U59="T-Test Welch",_xlfn.T.TEST($O28:$O43,U28:U43,2,3),""))</f>
        <v>#NAME?</v>
      </c>
      <c r="V60" s="79" t="e">
        <f ca="1">IF(V59="Mann Withney",[1]!MTEST($O28:$O43,V28:V43,2), IF(V59="T-Test Welch",_xlfn.T.TEST($O28:$O43,V28:V43,2,3),""))</f>
        <v>#NAME?</v>
      </c>
    </row>
    <row r="61" spans="1:22" s="3" customFormat="1" ht="15.75" thickBot="1">
      <c r="A61" s="44" t="s">
        <v>46</v>
      </c>
      <c r="B61" s="76"/>
      <c r="C61" s="76" t="e">
        <f t="shared" ref="C61:N61" ca="1" si="54">IF(C60&gt;0.05,"NS",IF(C60&gt;0.01,"*",IF(C60&gt;0.001,"**","***")))</f>
        <v>#NAME?</v>
      </c>
      <c r="D61" s="76" t="e">
        <f t="shared" ca="1" si="54"/>
        <v>#NAME?</v>
      </c>
      <c r="E61" s="76" t="e">
        <f t="shared" ca="1" si="54"/>
        <v>#NAME?</v>
      </c>
      <c r="F61" s="76" t="e">
        <f t="shared" ca="1" si="54"/>
        <v>#NAME?</v>
      </c>
      <c r="G61" s="76" t="e">
        <f t="shared" ca="1" si="54"/>
        <v>#NAME?</v>
      </c>
      <c r="H61" s="76" t="e">
        <f t="shared" ca="1" si="54"/>
        <v>#NAME?</v>
      </c>
      <c r="I61" s="76" t="e">
        <f t="shared" ca="1" si="54"/>
        <v>#NAME?</v>
      </c>
      <c r="J61" s="76" t="e">
        <f t="shared" ca="1" si="54"/>
        <v>#NAME?</v>
      </c>
      <c r="K61" s="76" t="e">
        <f t="shared" ca="1" si="54"/>
        <v>#NAME?</v>
      </c>
      <c r="L61" s="76" t="e">
        <f t="shared" ca="1" si="54"/>
        <v>#NAME?</v>
      </c>
      <c r="M61" s="76" t="e">
        <f t="shared" ca="1" si="54"/>
        <v>#NAME?</v>
      </c>
      <c r="N61" s="76" t="e">
        <f t="shared" ca="1" si="54"/>
        <v>#NAME?</v>
      </c>
      <c r="O61" s="76" t="e">
        <f ca="1">IF(O60&gt;0.05,"NS",IF(O60&gt;0.01,"*",IF(O60&gt;0.001,"**","***")))</f>
        <v>#NAME?</v>
      </c>
      <c r="P61" s="76" t="e">
        <f ca="1">IF(P60&gt;0.05,"NS",IF(P60&gt;0.01,"*",IF(P60&gt;0.001,"**","***")))</f>
        <v>#NAME?</v>
      </c>
      <c r="Q61" s="76" t="e">
        <f t="shared" ref="Q61" ca="1" si="55">IF(Q60&gt;0.05,"NS",IF(Q60&gt;0.01,"*",IF(Q60&gt;0.001,"**","***")))</f>
        <v>#NAME?</v>
      </c>
      <c r="R61" s="76" t="e">
        <f t="shared" ref="R61" ca="1" si="56">IF(R60&gt;0.05,"NS",IF(R60&gt;0.01,"*",IF(R60&gt;0.001,"**","***")))</f>
        <v>#NAME?</v>
      </c>
      <c r="S61" s="76" t="e">
        <f t="shared" ref="S61" ca="1" si="57">IF(S60&gt;0.05,"NS",IF(S60&gt;0.01,"*",IF(S60&gt;0.001,"**","***")))</f>
        <v>#NAME?</v>
      </c>
      <c r="T61" s="76" t="e">
        <f t="shared" ref="T61" ca="1" si="58">IF(T60&gt;0.05,"NS",IF(T60&gt;0.01,"*",IF(T60&gt;0.001,"**","***")))</f>
        <v>#NAME?</v>
      </c>
      <c r="U61" s="76" t="e">
        <f t="shared" ref="U61" ca="1" si="59">IF(U60&gt;0.05,"NS",IF(U60&gt;0.01,"*",IF(U60&gt;0.001,"**","***")))</f>
        <v>#NAME?</v>
      </c>
      <c r="V61" s="76" t="e">
        <f t="shared" ref="V61" ca="1" si="60">IF(V60&gt;0.05,"NS",IF(V60&gt;0.01,"*",IF(V60&gt;0.001,"**","***")))</f>
        <v>#NAME?</v>
      </c>
    </row>
    <row r="63" spans="1:22">
      <c r="A63" s="2" t="s">
        <v>20</v>
      </c>
    </row>
    <row r="64" spans="1:22">
      <c r="A64" s="1" t="s">
        <v>13</v>
      </c>
      <c r="B64" s="1">
        <f>B46+(3*B47)</f>
        <v>0.38631467985786094</v>
      </c>
    </row>
    <row r="65" spans="1:22">
      <c r="A65" s="1" t="s">
        <v>14</v>
      </c>
      <c r="B65" s="1">
        <f>B46+(10*B47)</f>
        <v>0.97168169777204916</v>
      </c>
    </row>
    <row r="66" spans="1:22" ht="15.75" thickBot="1"/>
    <row r="67" spans="1:22" s="1" customFormat="1" ht="27" thickBot="1">
      <c r="A67" s="140" t="s">
        <v>31</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N3"/>
    <mergeCell ref="B26:N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K31" zoomScale="70" zoomScaleNormal="70" zoomScaleSheetLayoutView="40" zoomScalePageLayoutView="30" workbookViewId="0">
      <selection activeCell="O31"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38" t="s">
        <v>23</v>
      </c>
      <c r="B1" s="139"/>
      <c r="C1" s="139"/>
      <c r="D1" s="139"/>
      <c r="E1" s="139"/>
      <c r="F1" s="139"/>
      <c r="G1" s="139"/>
      <c r="H1" s="139"/>
      <c r="I1" s="139"/>
      <c r="J1" s="139"/>
      <c r="K1" s="139"/>
      <c r="L1" s="139"/>
      <c r="M1" s="139"/>
      <c r="N1" s="139"/>
      <c r="O1" s="139"/>
      <c r="P1" s="139"/>
      <c r="Q1" s="139"/>
      <c r="R1" s="139"/>
      <c r="S1" s="139"/>
      <c r="T1" s="139"/>
      <c r="U1" s="139"/>
      <c r="V1" s="139"/>
    </row>
    <row r="2" spans="1:22" customFormat="1" ht="15.75" thickBot="1"/>
    <row r="3" spans="1:22" ht="15.75" thickBot="1">
      <c r="A3" s="33" t="s">
        <v>9</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cefuroxime-10mg/L</v>
      </c>
      <c r="J4" s="19" t="str">
        <f>'Front page'!A15</f>
        <v>cefuroxime-1mg/L</v>
      </c>
      <c r="K4" s="19" t="str">
        <f>'Front page'!A16</f>
        <v>cefuroxime-0.1mg/L</v>
      </c>
      <c r="L4" s="19" t="str">
        <f>'Front page'!A17</f>
        <v>cefuroxime-0.01mg/L</v>
      </c>
      <c r="M4" s="19" t="str">
        <f>'Front page'!A18</f>
        <v>cefuroxime-0.001mg/L</v>
      </c>
      <c r="N4" s="19" t="str">
        <f>'Front page'!A19</f>
        <v/>
      </c>
      <c r="O4" s="20" t="str">
        <f>'Front page'!A35</f>
        <v>Testo -30µg/L</v>
      </c>
      <c r="P4" s="20" t="str">
        <f>'Front page'!A36</f>
        <v>Testo 30µg/L + EE2 -64ng/L</v>
      </c>
      <c r="Q4" s="20" t="str">
        <f>'Front page'!A37</f>
        <v>Testo 30µg/L + FAD-10mg/L</v>
      </c>
      <c r="R4" s="20" t="str">
        <f>'Front page'!A38</f>
        <v>cefuroxime-10mg/L + Testostérone</v>
      </c>
      <c r="S4" s="20" t="str">
        <f>'Front page'!A39</f>
        <v>cefuroxime-1mg/L + Testostérone</v>
      </c>
      <c r="T4" s="20" t="str">
        <f>'Front page'!A40</f>
        <v>cefuroxime-0.1mg/L + Testostérone</v>
      </c>
      <c r="U4" s="20" t="str">
        <f>'Front page'!A41</f>
        <v>cefuroxime-0.01mg/L + Testostérone</v>
      </c>
      <c r="V4" s="20" t="str">
        <f>'Front page'!A42</f>
        <v>cefuroxime-0.001mg/L + Testostérone</v>
      </c>
    </row>
    <row r="5" spans="1:22">
      <c r="A5" s="148" t="s">
        <v>16</v>
      </c>
      <c r="B5" s="16">
        <v>1844896</v>
      </c>
      <c r="C5" s="16">
        <v>2827986</v>
      </c>
      <c r="D5" s="16">
        <v>3984948</v>
      </c>
      <c r="E5" s="16">
        <v>4579434</v>
      </c>
      <c r="F5" s="16">
        <v>10881505</v>
      </c>
      <c r="G5" s="16">
        <v>8365004</v>
      </c>
      <c r="H5" s="16">
        <v>10000254</v>
      </c>
      <c r="I5" s="16">
        <v>4167171</v>
      </c>
      <c r="J5" s="16">
        <v>3173037</v>
      </c>
      <c r="K5" s="12">
        <v>2916510</v>
      </c>
      <c r="L5" s="12">
        <v>3319509</v>
      </c>
      <c r="M5" s="12">
        <v>2807707</v>
      </c>
      <c r="N5" s="12"/>
      <c r="O5" s="16">
        <v>4228329</v>
      </c>
      <c r="P5" s="12">
        <v>17266271</v>
      </c>
      <c r="Q5" s="12">
        <v>1435651</v>
      </c>
      <c r="R5" s="16">
        <v>15349691</v>
      </c>
      <c r="S5" s="16">
        <v>9872509</v>
      </c>
      <c r="T5" s="16">
        <v>14308736</v>
      </c>
      <c r="U5" s="16">
        <v>14382202</v>
      </c>
      <c r="V5" s="16">
        <v>4338728</v>
      </c>
    </row>
    <row r="6" spans="1:22" ht="16.5">
      <c r="A6" s="148"/>
      <c r="B6" s="13">
        <v>403881</v>
      </c>
      <c r="C6" s="12">
        <v>4617294</v>
      </c>
      <c r="D6" s="16">
        <v>2940400</v>
      </c>
      <c r="E6" s="16">
        <v>7764506</v>
      </c>
      <c r="F6" s="16">
        <v>12126291</v>
      </c>
      <c r="G6" s="16">
        <v>18782685</v>
      </c>
      <c r="H6" s="16">
        <v>10297610</v>
      </c>
      <c r="I6" s="16">
        <v>763406</v>
      </c>
      <c r="J6" s="16">
        <v>1523120</v>
      </c>
      <c r="K6" s="12">
        <v>1438546</v>
      </c>
      <c r="L6" s="12">
        <v>2023967</v>
      </c>
      <c r="M6" s="12">
        <v>2035366</v>
      </c>
      <c r="N6" s="12"/>
      <c r="O6" s="16">
        <v>3380820</v>
      </c>
      <c r="P6" s="12">
        <v>14420872</v>
      </c>
      <c r="Q6" s="12">
        <v>1983825</v>
      </c>
      <c r="R6" s="16">
        <v>12428142</v>
      </c>
      <c r="S6" s="16">
        <v>1868733</v>
      </c>
      <c r="T6" s="16">
        <v>5952984</v>
      </c>
      <c r="U6" s="16">
        <v>21682581</v>
      </c>
      <c r="V6" s="16">
        <v>6483752</v>
      </c>
    </row>
    <row r="7" spans="1:22" ht="16.5">
      <c r="A7" s="148"/>
      <c r="B7" s="13">
        <v>1041679</v>
      </c>
      <c r="C7" s="12">
        <v>1141873</v>
      </c>
      <c r="D7" s="16">
        <v>3026684</v>
      </c>
      <c r="E7" s="16">
        <v>3617469</v>
      </c>
      <c r="F7" s="16">
        <v>9320329</v>
      </c>
      <c r="G7" s="16">
        <v>4346244</v>
      </c>
      <c r="H7" s="16">
        <v>11524095</v>
      </c>
      <c r="I7" s="16">
        <v>3241194</v>
      </c>
      <c r="J7" s="16">
        <v>3512009</v>
      </c>
      <c r="K7" s="12">
        <v>1044206</v>
      </c>
      <c r="L7" s="12">
        <v>979417</v>
      </c>
      <c r="M7" s="12">
        <v>1378345</v>
      </c>
      <c r="N7" s="12"/>
      <c r="O7" s="16">
        <v>6503347</v>
      </c>
      <c r="P7" s="12">
        <v>14649649</v>
      </c>
      <c r="Q7" s="12">
        <v>2449946</v>
      </c>
      <c r="R7" s="16">
        <v>12854262</v>
      </c>
      <c r="S7" s="16">
        <v>11384095</v>
      </c>
      <c r="T7" s="16">
        <v>6508119</v>
      </c>
      <c r="U7" s="16">
        <v>9145314</v>
      </c>
      <c r="V7" s="16">
        <v>11529381</v>
      </c>
    </row>
    <row r="8" spans="1:22" ht="16.5">
      <c r="A8" s="148"/>
      <c r="B8" s="13">
        <v>2267467</v>
      </c>
      <c r="C8" s="12">
        <v>3987817</v>
      </c>
      <c r="D8" s="16">
        <v>417071</v>
      </c>
      <c r="E8" s="16">
        <v>7729673</v>
      </c>
      <c r="F8" s="16">
        <v>7195464</v>
      </c>
      <c r="G8" s="16">
        <v>13717574</v>
      </c>
      <c r="H8" s="16">
        <v>17278536</v>
      </c>
      <c r="I8" s="16">
        <v>1556840</v>
      </c>
      <c r="J8" s="16">
        <v>4098451</v>
      </c>
      <c r="K8" s="12">
        <v>3540887</v>
      </c>
      <c r="L8" s="12">
        <v>1565408</v>
      </c>
      <c r="M8" s="12">
        <v>2938393</v>
      </c>
      <c r="N8" s="12"/>
      <c r="O8" s="16">
        <v>3145596</v>
      </c>
      <c r="P8" s="12">
        <v>8163417</v>
      </c>
      <c r="Q8" s="12">
        <v>2423021</v>
      </c>
      <c r="R8" s="16">
        <v>13415050</v>
      </c>
      <c r="S8" s="16">
        <v>11414179</v>
      </c>
      <c r="T8" s="16">
        <v>13572932</v>
      </c>
      <c r="U8" s="16">
        <v>11195535</v>
      </c>
      <c r="V8" s="16">
        <v>2887625</v>
      </c>
    </row>
    <row r="9" spans="1:22" ht="16.5">
      <c r="A9" s="148"/>
      <c r="B9" s="13">
        <v>86015</v>
      </c>
      <c r="C9" s="12">
        <v>3875482</v>
      </c>
      <c r="D9" s="16">
        <v>4732722</v>
      </c>
      <c r="E9" s="16">
        <v>7073601</v>
      </c>
      <c r="F9" s="16">
        <v>5397126</v>
      </c>
      <c r="G9" s="16">
        <v>10291821</v>
      </c>
      <c r="H9" s="16">
        <v>10191278</v>
      </c>
      <c r="I9" s="16">
        <v>2730340</v>
      </c>
      <c r="J9" s="16">
        <v>3719276</v>
      </c>
      <c r="K9" s="12">
        <v>82223</v>
      </c>
      <c r="L9" s="12">
        <v>2299653</v>
      </c>
      <c r="M9" s="12">
        <v>3524658</v>
      </c>
      <c r="N9" s="12"/>
      <c r="O9" s="16">
        <v>9960109</v>
      </c>
      <c r="P9" s="12">
        <v>16382398</v>
      </c>
      <c r="Q9" s="12">
        <v>741949</v>
      </c>
      <c r="R9" s="16">
        <v>10215227</v>
      </c>
      <c r="S9" s="16">
        <v>19746597</v>
      </c>
      <c r="T9" s="16">
        <v>11139508</v>
      </c>
      <c r="U9" s="16">
        <v>4677208</v>
      </c>
      <c r="V9" s="16">
        <v>11087227</v>
      </c>
    </row>
    <row r="10" spans="1:22" ht="16.5">
      <c r="A10" s="148"/>
      <c r="B10" s="13">
        <v>401998</v>
      </c>
      <c r="C10" s="12">
        <v>3398419</v>
      </c>
      <c r="D10" s="16">
        <v>1224783</v>
      </c>
      <c r="E10" s="16">
        <v>5937701</v>
      </c>
      <c r="F10" s="16">
        <v>10365258</v>
      </c>
      <c r="G10" s="16">
        <v>15275375</v>
      </c>
      <c r="H10" s="16">
        <v>12821709</v>
      </c>
      <c r="I10" s="16">
        <v>1529019</v>
      </c>
      <c r="J10" s="16">
        <v>1415481</v>
      </c>
      <c r="K10" s="12">
        <v>2211134</v>
      </c>
      <c r="L10" s="12">
        <v>1385688</v>
      </c>
      <c r="M10" s="12">
        <v>4495230</v>
      </c>
      <c r="N10" s="12"/>
      <c r="O10" s="16">
        <v>6301004</v>
      </c>
      <c r="P10" s="12">
        <v>10950021</v>
      </c>
      <c r="Q10" s="12">
        <v>2278053</v>
      </c>
      <c r="R10" s="16">
        <v>13306508</v>
      </c>
      <c r="S10" s="16">
        <v>4100154</v>
      </c>
      <c r="T10" s="16">
        <v>14424557</v>
      </c>
      <c r="U10" s="16">
        <v>13954969</v>
      </c>
      <c r="V10" s="16">
        <v>5676432</v>
      </c>
    </row>
    <row r="11" spans="1:22" ht="16.5">
      <c r="A11" s="148"/>
      <c r="B11" s="13">
        <v>416425</v>
      </c>
      <c r="C11" s="12">
        <v>14349</v>
      </c>
      <c r="D11" s="16">
        <v>44387</v>
      </c>
      <c r="E11" s="16">
        <v>5559849</v>
      </c>
      <c r="F11" s="16">
        <v>7319594</v>
      </c>
      <c r="G11" s="16">
        <v>11639530</v>
      </c>
      <c r="H11" s="16">
        <v>16010982</v>
      </c>
      <c r="I11" s="16">
        <v>4997811</v>
      </c>
      <c r="J11" s="16">
        <v>1158556</v>
      </c>
      <c r="K11" s="12">
        <v>682148</v>
      </c>
      <c r="L11" s="12">
        <v>1448322</v>
      </c>
      <c r="M11" s="12">
        <v>3613348</v>
      </c>
      <c r="N11" s="12"/>
      <c r="O11" s="16">
        <v>4177413</v>
      </c>
      <c r="P11" s="12">
        <v>14120180</v>
      </c>
      <c r="Q11" s="12">
        <v>939545</v>
      </c>
      <c r="R11" s="16">
        <v>14426358</v>
      </c>
      <c r="S11" s="16">
        <v>6559384</v>
      </c>
      <c r="T11" s="16">
        <v>12828053</v>
      </c>
      <c r="U11" s="16">
        <v>10062712</v>
      </c>
      <c r="V11" s="16">
        <v>13314530</v>
      </c>
    </row>
    <row r="12" spans="1:22" ht="16.5">
      <c r="A12" s="148"/>
      <c r="B12" s="13">
        <v>891429</v>
      </c>
      <c r="C12" s="12">
        <v>260578</v>
      </c>
      <c r="D12" s="16">
        <v>6960788</v>
      </c>
      <c r="E12" s="16">
        <v>944925</v>
      </c>
      <c r="F12" s="16">
        <v>6204308</v>
      </c>
      <c r="G12" s="16">
        <v>5660903</v>
      </c>
      <c r="H12" s="16">
        <v>16863113</v>
      </c>
      <c r="I12" s="16">
        <v>2476025</v>
      </c>
      <c r="J12" s="16">
        <v>618005</v>
      </c>
      <c r="K12" s="12">
        <v>59748</v>
      </c>
      <c r="L12" s="12">
        <v>1731138</v>
      </c>
      <c r="M12" s="12">
        <v>209213</v>
      </c>
      <c r="N12" s="12"/>
      <c r="O12" s="16">
        <v>9794975</v>
      </c>
      <c r="P12" s="12">
        <v>13145911</v>
      </c>
      <c r="Q12" s="12">
        <v>2370431</v>
      </c>
      <c r="R12" s="16">
        <v>16727070</v>
      </c>
      <c r="S12" s="16">
        <v>11378557</v>
      </c>
      <c r="T12" s="16">
        <v>15045140</v>
      </c>
      <c r="U12" s="16">
        <v>12414399</v>
      </c>
      <c r="V12" s="16">
        <v>3199285</v>
      </c>
    </row>
    <row r="13" spans="1:22" ht="16.5">
      <c r="A13" s="148"/>
      <c r="B13" s="13"/>
      <c r="C13" s="12"/>
      <c r="D13" s="16"/>
      <c r="E13" s="16"/>
      <c r="F13" s="16"/>
      <c r="G13" s="16"/>
      <c r="H13" s="16"/>
      <c r="I13" s="16"/>
      <c r="J13" s="16"/>
      <c r="K13" s="12"/>
      <c r="L13" s="12"/>
      <c r="M13" s="12"/>
      <c r="N13" s="12"/>
      <c r="O13" s="16">
        <v>10460458</v>
      </c>
      <c r="P13" s="12"/>
      <c r="Q13" s="12"/>
      <c r="R13" s="16"/>
      <c r="S13" s="16">
        <v>13176043</v>
      </c>
      <c r="T13" s="16"/>
      <c r="U13" s="16"/>
      <c r="V13" s="16"/>
    </row>
    <row r="14" spans="1:22" ht="16.5">
      <c r="A14" s="148"/>
      <c r="B14" s="13"/>
      <c r="C14" s="16"/>
      <c r="D14" s="16"/>
      <c r="E14" s="16"/>
      <c r="F14" s="16"/>
      <c r="G14" s="16"/>
      <c r="H14" s="16"/>
      <c r="I14" s="16"/>
      <c r="J14" s="16"/>
      <c r="K14" s="12"/>
      <c r="L14" s="12"/>
      <c r="M14" s="12"/>
      <c r="N14" s="12"/>
      <c r="O14" s="16">
        <v>8308287</v>
      </c>
      <c r="P14" s="12"/>
      <c r="Q14" s="12"/>
      <c r="R14" s="16"/>
      <c r="S14" s="16"/>
      <c r="T14" s="16"/>
      <c r="U14" s="16"/>
      <c r="V14" s="16"/>
    </row>
    <row r="15" spans="1:22" ht="16.5">
      <c r="A15" s="148"/>
      <c r="B15" s="13"/>
      <c r="C15" s="16"/>
      <c r="D15" s="16"/>
      <c r="E15" s="16"/>
      <c r="F15" s="16"/>
      <c r="G15" s="16"/>
      <c r="H15" s="16"/>
      <c r="I15" s="16"/>
      <c r="J15" s="16"/>
      <c r="K15" s="12"/>
      <c r="L15" s="12"/>
      <c r="M15" s="12"/>
      <c r="N15" s="12"/>
      <c r="O15" s="16">
        <v>11882742</v>
      </c>
      <c r="P15" s="12"/>
      <c r="Q15" s="12"/>
      <c r="R15" s="16"/>
      <c r="S15" s="16"/>
      <c r="T15" s="16"/>
      <c r="U15" s="16"/>
      <c r="V15" s="16"/>
    </row>
    <row r="16" spans="1:22" ht="16.5">
      <c r="A16" s="148"/>
      <c r="B16" s="13"/>
      <c r="C16" s="16"/>
      <c r="D16" s="16"/>
      <c r="E16" s="16"/>
      <c r="F16" s="16"/>
      <c r="G16" s="16"/>
      <c r="H16" s="16"/>
      <c r="I16" s="16"/>
      <c r="J16" s="16"/>
      <c r="K16" s="12"/>
      <c r="L16" s="12"/>
      <c r="M16" s="12"/>
      <c r="N16" s="12"/>
      <c r="O16" s="16">
        <v>10598441</v>
      </c>
      <c r="P16" s="12"/>
      <c r="Q16" s="12"/>
      <c r="R16" s="16"/>
      <c r="S16" s="16"/>
      <c r="T16" s="16"/>
      <c r="U16" s="16"/>
      <c r="V16" s="16"/>
    </row>
    <row r="17" spans="1:22" ht="16.5">
      <c r="A17" s="148"/>
      <c r="B17" s="13"/>
      <c r="C17" s="16"/>
      <c r="D17" s="16"/>
      <c r="E17" s="16"/>
      <c r="F17" s="16"/>
      <c r="G17" s="16"/>
      <c r="H17" s="16"/>
      <c r="I17" s="16"/>
      <c r="J17" s="16"/>
      <c r="K17" s="12"/>
      <c r="L17" s="12"/>
      <c r="M17" s="12"/>
      <c r="N17" s="12"/>
      <c r="O17" s="16">
        <v>12870348</v>
      </c>
      <c r="P17" s="12"/>
      <c r="Q17" s="12"/>
      <c r="R17" s="16"/>
      <c r="S17" s="16"/>
      <c r="T17" s="16"/>
      <c r="U17" s="16"/>
      <c r="V17" s="16"/>
    </row>
    <row r="18" spans="1:22" ht="16.5">
      <c r="A18" s="148"/>
      <c r="B18" s="13"/>
      <c r="C18" s="16"/>
      <c r="D18" s="16"/>
      <c r="E18" s="16"/>
      <c r="F18" s="16"/>
      <c r="G18" s="16"/>
      <c r="H18" s="16"/>
      <c r="I18" s="16"/>
      <c r="J18" s="16"/>
      <c r="K18" s="12"/>
      <c r="L18" s="12"/>
      <c r="M18" s="12"/>
      <c r="N18" s="12"/>
      <c r="O18" s="16">
        <v>4862721</v>
      </c>
      <c r="P18" s="12"/>
      <c r="Q18" s="12"/>
      <c r="R18" s="16"/>
      <c r="S18" s="16"/>
      <c r="T18" s="16"/>
      <c r="U18" s="16"/>
      <c r="V18" s="16"/>
    </row>
    <row r="19" spans="1:22" ht="16.5">
      <c r="A19" s="148"/>
      <c r="B19" s="13"/>
      <c r="C19" s="16"/>
      <c r="D19" s="16"/>
      <c r="E19" s="16"/>
      <c r="F19" s="16"/>
      <c r="G19" s="16"/>
      <c r="H19" s="16"/>
      <c r="I19" s="16"/>
      <c r="J19" s="16"/>
      <c r="K19" s="12"/>
      <c r="L19" s="12"/>
      <c r="M19" s="12"/>
      <c r="N19" s="12"/>
      <c r="O19" s="16">
        <v>7719304</v>
      </c>
      <c r="P19" s="12"/>
      <c r="Q19" s="12"/>
      <c r="R19" s="16"/>
      <c r="S19" s="16"/>
      <c r="T19" s="16"/>
      <c r="U19" s="16"/>
      <c r="V19" s="16"/>
    </row>
    <row r="20" spans="1:22" ht="16.5">
      <c r="A20" s="148"/>
      <c r="B20" s="13"/>
      <c r="C20" s="16"/>
      <c r="D20" s="16"/>
      <c r="E20" s="16"/>
      <c r="F20" s="16"/>
      <c r="G20" s="16"/>
      <c r="H20" s="16"/>
      <c r="I20" s="16"/>
      <c r="J20" s="16"/>
      <c r="K20" s="12"/>
      <c r="L20" s="12"/>
      <c r="M20" s="12"/>
      <c r="N20" s="12"/>
      <c r="O20" s="16">
        <v>12468735</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cefuroxime-10mg/L</v>
      </c>
      <c r="J22" s="3" t="str">
        <f t="shared" si="0"/>
        <v>cefuroxime-1mg/L</v>
      </c>
      <c r="K22" s="3" t="str">
        <f t="shared" si="0"/>
        <v>cefuroxime-0.1mg/L</v>
      </c>
      <c r="L22" s="3" t="str">
        <f t="shared" si="0"/>
        <v>cefuroxime-0.01mg/L</v>
      </c>
      <c r="M22" s="3" t="str">
        <f t="shared" si="0"/>
        <v>cefuroxime-0.001mg/L</v>
      </c>
      <c r="N22" s="3" t="str">
        <f t="shared" si="0"/>
        <v/>
      </c>
      <c r="O22" s="3" t="str">
        <f t="shared" si="0"/>
        <v>Testo -30µg/L</v>
      </c>
      <c r="P22" s="3" t="str">
        <f t="shared" si="0"/>
        <v>Testo 30µg/L + EE2 -64ng/L</v>
      </c>
      <c r="Q22" s="3" t="str">
        <f t="shared" si="0"/>
        <v>Testo 30µg/L + FAD-10mg/L</v>
      </c>
      <c r="R22" s="3" t="str">
        <f t="shared" si="0"/>
        <v>cefuroxime-10mg/L + Testostérone</v>
      </c>
      <c r="S22" s="3" t="str">
        <f t="shared" si="0"/>
        <v>cefuroxime-1mg/L + Testostérone</v>
      </c>
      <c r="T22" s="3" t="str">
        <f t="shared" si="0"/>
        <v>cefuroxime-0.1mg/L + Testostérone</v>
      </c>
      <c r="U22" s="3" t="str">
        <f t="shared" si="0"/>
        <v>cefuroxime-0.01mg/L + Testostérone</v>
      </c>
      <c r="V22" s="3" t="str">
        <f t="shared" si="0"/>
        <v>cefuroxime-0.001mg/L + Testostérone</v>
      </c>
    </row>
    <row r="23" spans="1:22">
      <c r="A23" s="5" t="s">
        <v>0</v>
      </c>
      <c r="B23" s="5">
        <f t="shared" ref="B23:J23" si="1">AVERAGE(B5:B20)</f>
        <v>919223.75</v>
      </c>
      <c r="C23" s="5">
        <f t="shared" si="1"/>
        <v>2515474.75</v>
      </c>
      <c r="D23" s="5">
        <f t="shared" si="1"/>
        <v>2916472.875</v>
      </c>
      <c r="E23" s="5">
        <f t="shared" si="1"/>
        <v>5400894.75</v>
      </c>
      <c r="F23" s="5">
        <f t="shared" si="1"/>
        <v>8601234.375</v>
      </c>
      <c r="G23" s="5">
        <f t="shared" si="1"/>
        <v>11009892</v>
      </c>
      <c r="H23" s="5">
        <f t="shared" si="1"/>
        <v>13123447.125</v>
      </c>
      <c r="I23" s="5">
        <f t="shared" si="1"/>
        <v>2682725.75</v>
      </c>
      <c r="J23" s="5">
        <f t="shared" si="1"/>
        <v>2402241.875</v>
      </c>
      <c r="K23" s="5"/>
      <c r="L23" s="5">
        <f>AVERAGE(L5:L20)</f>
        <v>1844137.75</v>
      </c>
      <c r="M23" s="5"/>
      <c r="N23" s="5" t="e">
        <f>AVERAGE(N5:N20)</f>
        <v>#DIV/0!</v>
      </c>
      <c r="O23" s="5">
        <f>AVERAGE(O5:O20)</f>
        <v>7916414.3125</v>
      </c>
      <c r="P23" s="5">
        <f>AVERAGE(P5:P20)</f>
        <v>13637339.875</v>
      </c>
      <c r="Q23" s="5">
        <f>AVERAGE(Q5:Q20)</f>
        <v>1827802.625</v>
      </c>
      <c r="R23" s="5">
        <f>AVERAGE(R5:R20)</f>
        <v>13590288.5</v>
      </c>
      <c r="S23" s="5">
        <f>AVERAGE(S5:S20)</f>
        <v>9944472.333333334</v>
      </c>
      <c r="T23" s="5">
        <f t="shared" ref="T23:V23" si="2">AVERAGE(T5:T20)</f>
        <v>11722503.625</v>
      </c>
      <c r="U23" s="5">
        <f t="shared" si="2"/>
        <v>12189365</v>
      </c>
      <c r="V23" s="5">
        <f t="shared" si="2"/>
        <v>7314620</v>
      </c>
    </row>
    <row r="24" spans="1:22">
      <c r="A24" s="3" t="s">
        <v>1</v>
      </c>
      <c r="B24" s="3">
        <f t="shared" ref="B24:J24" si="3">STDEV(B5:B20)</f>
        <v>771875.34545875434</v>
      </c>
      <c r="C24" s="3">
        <f t="shared" si="3"/>
        <v>1794407.2060918098</v>
      </c>
      <c r="D24" s="3">
        <f t="shared" si="3"/>
        <v>2335052.9344198992</v>
      </c>
      <c r="E24" s="3">
        <f t="shared" si="3"/>
        <v>2324782.9841480288</v>
      </c>
      <c r="F24" s="3">
        <f t="shared" si="3"/>
        <v>2416753.834793685</v>
      </c>
      <c r="G24" s="3">
        <f t="shared" si="3"/>
        <v>4882411.4146292796</v>
      </c>
      <c r="H24" s="3">
        <f t="shared" si="3"/>
        <v>3129901.9089291645</v>
      </c>
      <c r="I24" s="3">
        <f t="shared" si="3"/>
        <v>1424405.7812653719</v>
      </c>
      <c r="J24" s="3">
        <f t="shared" si="3"/>
        <v>1358266.7819120954</v>
      </c>
      <c r="K24" s="3"/>
      <c r="L24" s="3">
        <f>STDEV(L5:L20)</f>
        <v>719285.40939736052</v>
      </c>
      <c r="M24" s="3"/>
      <c r="N24" s="3" t="e">
        <f>STDEV(N5:N20)</f>
        <v>#DIV/0!</v>
      </c>
      <c r="O24" s="3">
        <f>STDEV(O5:O20)</f>
        <v>3340719.863279405</v>
      </c>
      <c r="P24" s="3">
        <f>STDEV(P5:P20)</f>
        <v>2927781.4340252588</v>
      </c>
      <c r="Q24" s="3">
        <f>STDEV(Q5:Q20)</f>
        <v>695364.63490375993</v>
      </c>
      <c r="R24" s="3">
        <f>STDEV(R5:R20)</f>
        <v>1964997.5308449771</v>
      </c>
      <c r="S24" s="3">
        <f>STDEV(S5:S20)</f>
        <v>5287384.4100985555</v>
      </c>
      <c r="T24" s="3">
        <f t="shared" ref="T24:V24" si="4">STDEV(T5:T20)</f>
        <v>3595492.7147025517</v>
      </c>
      <c r="U24" s="3">
        <f t="shared" si="4"/>
        <v>4917995.8498175135</v>
      </c>
      <c r="V24" s="3">
        <f t="shared" si="4"/>
        <v>4084113.7439797847</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cefuroxime-10mg/L</v>
      </c>
      <c r="J27" s="19" t="str">
        <f t="shared" si="5"/>
        <v>cefuroxime-1mg/L</v>
      </c>
      <c r="K27" s="19" t="str">
        <f t="shared" si="5"/>
        <v>cefuroxime-0.1mg/L</v>
      </c>
      <c r="L27" s="19" t="str">
        <f t="shared" si="5"/>
        <v>cefuroxime-0.01mg/L</v>
      </c>
      <c r="M27" s="19" t="str">
        <f t="shared" si="5"/>
        <v>cefuroxime-0.001mg/L</v>
      </c>
      <c r="N27" s="19" t="str">
        <f t="shared" si="5"/>
        <v/>
      </c>
      <c r="O27" s="20" t="str">
        <f>O4</f>
        <v>Testo -30µg/L</v>
      </c>
      <c r="P27" s="20" t="str">
        <f t="shared" ref="P27:R27" si="6">P4</f>
        <v>Testo 30µg/L + EE2 -64ng/L</v>
      </c>
      <c r="Q27" s="20" t="str">
        <f t="shared" si="6"/>
        <v>Testo 30µg/L + FAD-10mg/L</v>
      </c>
      <c r="R27" s="20" t="str">
        <f t="shared" si="6"/>
        <v>cefuroxime-10mg/L + Testostérone</v>
      </c>
      <c r="S27" s="20" t="str">
        <f t="shared" ref="S27:V27" si="7">S4</f>
        <v>cefuroxime-1mg/L + Testostérone</v>
      </c>
      <c r="T27" s="20" t="str">
        <f t="shared" si="7"/>
        <v>cefuroxime-0.1mg/L + Testostérone</v>
      </c>
      <c r="U27" s="20" t="str">
        <f t="shared" si="7"/>
        <v>cefuroxime-0.01mg/L + Testostérone</v>
      </c>
      <c r="V27" s="20" t="str">
        <f t="shared" si="7"/>
        <v>cefuroxime-0.001mg/L + Testostérone</v>
      </c>
    </row>
    <row r="28" spans="1:22">
      <c r="A28" s="149" t="s">
        <v>17</v>
      </c>
      <c r="B28" s="10">
        <f>IF(B5="","",(B5/$O$23))</f>
        <v>0.23304692341416661</v>
      </c>
      <c r="C28" s="10">
        <f>IF(C5="","",(C5/$O$23))</f>
        <v>0.35723067140821779</v>
      </c>
      <c r="D28" s="10">
        <f>IF(D5="","",(D5/$O$23))</f>
        <v>0.50337789846443182</v>
      </c>
      <c r="E28" s="10">
        <f>IF(E5="","",(E5/$O$23))</f>
        <v>0.57847326064896376</v>
      </c>
      <c r="F28" s="10">
        <f>IF(F5="","",(F5/$O$23))</f>
        <v>1.3745497103174764</v>
      </c>
      <c r="G28" s="10">
        <f>IF(G5="","",(G5/$O$23))</f>
        <v>1.0566657668221935</v>
      </c>
      <c r="H28" s="10">
        <f>IF(H5="","",(H5/$O$23))</f>
        <v>1.2632302460736071</v>
      </c>
      <c r="I28" s="10">
        <f>IF(I5="","",(I5/$O$23))</f>
        <v>0.52639627431071245</v>
      </c>
      <c r="J28" s="10">
        <f>IF(J5="","",(J5/$O$23))</f>
        <v>0.40081745026782922</v>
      </c>
      <c r="K28" s="10">
        <f>IF(K5="","",(K5/$O$23))</f>
        <v>0.36841300680724065</v>
      </c>
      <c r="L28" s="10">
        <f>IF(L5="","",(L5/$O$23))</f>
        <v>0.41931976636928958</v>
      </c>
      <c r="M28" s="10">
        <f>IF(M5="","",(M5/$O$23))</f>
        <v>0.3546690318578497</v>
      </c>
      <c r="N28" s="10" t="str">
        <f>IF(N5="","",(N5/$O$23))</f>
        <v/>
      </c>
      <c r="O28" s="10">
        <f t="shared" ref="O28:S37" si="8">IF(O5="","",(O5/$O$23))</f>
        <v>0.5341217416227797</v>
      </c>
      <c r="P28" s="10">
        <f t="shared" si="8"/>
        <v>2.1810721771770583</v>
      </c>
      <c r="Q28" s="10">
        <f t="shared" si="8"/>
        <v>0.18135117028085687</v>
      </c>
      <c r="R28" s="10">
        <f t="shared" si="8"/>
        <v>1.938970144066724</v>
      </c>
      <c r="S28" s="10">
        <f t="shared" si="8"/>
        <v>1.2470935211679524</v>
      </c>
      <c r="T28" s="10">
        <f t="shared" ref="T28:V28" si="9">IF(T5="","",(T5/$O$23))</f>
        <v>1.8074768999149702</v>
      </c>
      <c r="U28" s="10">
        <f t="shared" si="9"/>
        <v>1.8167571115233996</v>
      </c>
      <c r="V28" s="10">
        <f t="shared" si="9"/>
        <v>0.54806732299864069</v>
      </c>
    </row>
    <row r="29" spans="1:22">
      <c r="A29" s="149"/>
      <c r="B29" s="10">
        <f>IF(B6="","",(B6/$O$23))</f>
        <v>5.1018173639834997E-2</v>
      </c>
      <c r="C29" s="10">
        <f>IF(C6="","",(C6/$O$23))</f>
        <v>0.58325572888590527</v>
      </c>
      <c r="D29" s="10">
        <f>IF(D6="","",(D6/$O$23))</f>
        <v>0.37143078721348821</v>
      </c>
      <c r="E29" s="10">
        <f>IF(E6="","",(E6/$O$23))</f>
        <v>0.98081096990336436</v>
      </c>
      <c r="F29" s="10">
        <f>IF(F6="","",(F6/$O$23))</f>
        <v>1.5317908489014547</v>
      </c>
      <c r="G29" s="10">
        <f>IF(G6="","",(G6/$O$23))</f>
        <v>2.3726253147643099</v>
      </c>
      <c r="H29" s="10">
        <f>IF(H6="","",(H6/$O$23))</f>
        <v>1.3007922013050905</v>
      </c>
      <c r="I29" s="10">
        <f>IF(I6="","",(I6/$O$23))</f>
        <v>9.6433305517446666E-2</v>
      </c>
      <c r="J29" s="10">
        <f>IF(J6="","",(J6/$O$23))</f>
        <v>0.19240023827391109</v>
      </c>
      <c r="K29" s="10">
        <f>IF(K6="","",(K6/$O$23))</f>
        <v>0.18171686614842014</v>
      </c>
      <c r="L29" s="10">
        <f>IF(L6="","",(L6/$O$23))</f>
        <v>0.25566713920015033</v>
      </c>
      <c r="M29" s="10">
        <f>IF(M6="","",(M6/$O$23))</f>
        <v>0.25710705878369222</v>
      </c>
      <c r="N29" s="10" t="str">
        <f>IF(N6="","",(N6/$O$23))</f>
        <v/>
      </c>
      <c r="O29" s="10">
        <f t="shared" si="8"/>
        <v>0.42706456061321763</v>
      </c>
      <c r="P29" s="10">
        <f t="shared" si="8"/>
        <v>1.8216418988113692</v>
      </c>
      <c r="Q29" s="10">
        <f t="shared" si="8"/>
        <v>0.25059640914290515</v>
      </c>
      <c r="R29" s="10">
        <f t="shared" si="8"/>
        <v>1.5699206117062359</v>
      </c>
      <c r="S29" s="10">
        <f t="shared" si="8"/>
        <v>0.23605800887016171</v>
      </c>
      <c r="T29" s="10">
        <f t="shared" ref="T29:V29" si="10">IF(T6="","",(T6/$O$23))</f>
        <v>0.75197984403118623</v>
      </c>
      <c r="U29" s="10">
        <f t="shared" si="10"/>
        <v>2.7389396441471305</v>
      </c>
      <c r="V29" s="10">
        <f t="shared" si="10"/>
        <v>0.81902636017447572</v>
      </c>
    </row>
    <row r="30" spans="1:22">
      <c r="A30" s="149"/>
      <c r="B30" s="10">
        <f>IF(B7="","",(B7/$O$23))</f>
        <v>0.13158469969859854</v>
      </c>
      <c r="C30" s="10">
        <f>IF(C7="","",(C7/$O$23))</f>
        <v>0.14424118735132208</v>
      </c>
      <c r="D30" s="10">
        <f>IF(D7="","",(D7/$O$23))</f>
        <v>0.38233016622448285</v>
      </c>
      <c r="E30" s="10">
        <f>IF(E7="","",(E7/$O$23))</f>
        <v>0.45695801876968778</v>
      </c>
      <c r="F30" s="10">
        <f>IF(F7="","",(F7/$O$23))</f>
        <v>1.1773422451226716</v>
      </c>
      <c r="G30" s="10">
        <f>IF(G7="","",(G7/$O$23))</f>
        <v>0.54901674273632828</v>
      </c>
      <c r="H30" s="10">
        <f>IF(H7="","",(H7/$O$23))</f>
        <v>1.4557215609349148</v>
      </c>
      <c r="I30" s="10">
        <f>IF(I7="","",(I7/$O$23))</f>
        <v>0.40942702997266855</v>
      </c>
      <c r="J30" s="10">
        <f>IF(J7="","",(J7/$O$23))</f>
        <v>0.44363633096546573</v>
      </c>
      <c r="K30" s="10">
        <f>IF(K7="","",(K7/$O$23))</f>
        <v>0.1319039098738429</v>
      </c>
      <c r="L30" s="10">
        <f>IF(L7="","",(L7/$O$23))</f>
        <v>0.12371977530957454</v>
      </c>
      <c r="M30" s="10">
        <f>IF(M7="","",(M7/$O$23))</f>
        <v>0.17411228690034533</v>
      </c>
      <c r="N30" s="10" t="str">
        <f>IF(N7="","",(N7/$O$23))</f>
        <v/>
      </c>
      <c r="O30" s="10">
        <f t="shared" si="8"/>
        <v>0.8215015969706424</v>
      </c>
      <c r="P30" s="10">
        <f t="shared" si="8"/>
        <v>1.8505409673756259</v>
      </c>
      <c r="Q30" s="10">
        <f t="shared" si="8"/>
        <v>0.30947672813581029</v>
      </c>
      <c r="R30" s="10">
        <f t="shared" si="8"/>
        <v>1.6237480117359635</v>
      </c>
      <c r="S30" s="10">
        <f t="shared" si="8"/>
        <v>1.4380367866831503</v>
      </c>
      <c r="T30" s="10">
        <f t="shared" ref="T30:V30" si="11">IF(T7="","",(T7/$O$23))</f>
        <v>0.82210439513299538</v>
      </c>
      <c r="U30" s="10">
        <f t="shared" si="11"/>
        <v>1.1552343825107245</v>
      </c>
      <c r="V30" s="10">
        <f t="shared" si="11"/>
        <v>1.4563892874827349</v>
      </c>
    </row>
    <row r="31" spans="1:22">
      <c r="A31" s="149"/>
      <c r="B31" s="10">
        <f>IF(B8="","",(B8/$O$23))</f>
        <v>0.2864260144166122</v>
      </c>
      <c r="C31" s="10">
        <f>IF(C8="","",(C8/$O$23))</f>
        <v>0.50374031001677688</v>
      </c>
      <c r="D31" s="10">
        <f>IF(D8="","",(D8/$O$23))</f>
        <v>5.2684332013983384E-2</v>
      </c>
      <c r="E31" s="10">
        <f>IF(E8="","",(E8/$O$23))</f>
        <v>0.9764108717497092</v>
      </c>
      <c r="F31" s="10">
        <f>IF(F8="","",(F8/$O$23))</f>
        <v>0.90892968911927452</v>
      </c>
      <c r="G31" s="10">
        <f>IF(G8="","",(G8/$O$23))</f>
        <v>1.7328014247991015</v>
      </c>
      <c r="H31" s="10">
        <f>IF(H8="","",(H8/$O$23))</f>
        <v>2.182621489721329</v>
      </c>
      <c r="I31" s="10">
        <f>IF(I8="","",(I8/$O$23))</f>
        <v>0.19665974247226464</v>
      </c>
      <c r="J31" s="10">
        <f>IF(J8="","",(J8/$O$23))</f>
        <v>0.5177155765494178</v>
      </c>
      <c r="K31" s="10">
        <f>IF(K8="","",(K8/$O$23))</f>
        <v>0.44728419461434044</v>
      </c>
      <c r="L31" s="10">
        <f>IF(L8="","",(L8/$O$23))</f>
        <v>0.19774205065647263</v>
      </c>
      <c r="M31" s="10">
        <f>IF(M8="","",(M8/$O$23))</f>
        <v>0.37117726334260753</v>
      </c>
      <c r="N31" s="10" t="str">
        <f>IF(N8="","",(N8/$O$23))</f>
        <v/>
      </c>
      <c r="O31" s="10">
        <f t="shared" si="8"/>
        <v>0.39735110819466729</v>
      </c>
      <c r="P31" s="10">
        <f t="shared" si="8"/>
        <v>1.0312013340572617</v>
      </c>
      <c r="Q31" s="10">
        <f t="shared" si="8"/>
        <v>0.30607556708774775</v>
      </c>
      <c r="R31" s="10">
        <f t="shared" si="8"/>
        <v>1.6945866487580958</v>
      </c>
      <c r="S31" s="10">
        <f t="shared" si="8"/>
        <v>1.4418369920302223</v>
      </c>
      <c r="T31" s="10">
        <f t="shared" ref="T31:V31" si="12">IF(T8="","",(T8/$O$23))</f>
        <v>1.714530273961075</v>
      </c>
      <c r="U31" s="10">
        <f t="shared" si="12"/>
        <v>1.4142179221623452</v>
      </c>
      <c r="V31" s="10">
        <f t="shared" si="12"/>
        <v>0.36476425891965342</v>
      </c>
    </row>
    <row r="32" spans="1:22">
      <c r="A32" s="149"/>
      <c r="B32" s="10">
        <f>IF(B9="","",(B9/$O$23))</f>
        <v>1.0865398980468028E-2</v>
      </c>
      <c r="C32" s="10">
        <f>IF(C9="","",(C9/$O$23))</f>
        <v>0.48955017347697716</v>
      </c>
      <c r="D32" s="10">
        <f>IF(D9="","",(D9/$O$23))</f>
        <v>0.59783657261685297</v>
      </c>
      <c r="E32" s="10">
        <f>IF(E9="","",(E9/$O$23))</f>
        <v>0.89353597737182611</v>
      </c>
      <c r="F32" s="10">
        <f>IF(F9="","",(F9/$O$23))</f>
        <v>0.68176396370234826</v>
      </c>
      <c r="G32" s="10">
        <f>IF(G9="","",(G9/$O$23))</f>
        <v>1.3000609358897801</v>
      </c>
      <c r="H32" s="10">
        <f>IF(H9="","",(H9/$O$23))</f>
        <v>1.2873603626212433</v>
      </c>
      <c r="I32" s="10">
        <f>IF(I9="","",(I9/$O$23))</f>
        <v>0.3448960466468764</v>
      </c>
      <c r="J32" s="10">
        <f>IF(J9="","",(J9/$O$23))</f>
        <v>0.46981826028575485</v>
      </c>
      <c r="K32" s="10">
        <f>IF(K9="","",(K9/$O$23))</f>
        <v>1.0386394237877378E-2</v>
      </c>
      <c r="L32" s="10">
        <f>IF(L9="","",(L9/$O$23))</f>
        <v>0.29049174401709282</v>
      </c>
      <c r="M32" s="10">
        <f>IF(M9="","",(M9/$O$23))</f>
        <v>0.44523415031911268</v>
      </c>
      <c r="N32" s="10" t="str">
        <f>IF(N9="","",(N9/$O$23))</f>
        <v/>
      </c>
      <c r="O32" s="10">
        <f t="shared" si="8"/>
        <v>1.2581591370569136</v>
      </c>
      <c r="P32" s="10">
        <f t="shared" si="8"/>
        <v>2.0694215023754166</v>
      </c>
      <c r="Q32" s="10">
        <f t="shared" si="8"/>
        <v>9.3722861223731593E-2</v>
      </c>
      <c r="R32" s="10">
        <f t="shared" si="8"/>
        <v>1.2903855958966397</v>
      </c>
      <c r="S32" s="10">
        <f t="shared" si="8"/>
        <v>2.4943865013255015</v>
      </c>
      <c r="T32" s="10">
        <f t="shared" ref="T32:V32" si="13">IF(T9="","",(T9/$O$23))</f>
        <v>1.4071406018266051</v>
      </c>
      <c r="U32" s="10">
        <f t="shared" si="13"/>
        <v>0.59082405434676399</v>
      </c>
      <c r="V32" s="10">
        <f t="shared" si="13"/>
        <v>1.4005364755219158</v>
      </c>
    </row>
    <row r="33" spans="1:22">
      <c r="A33" s="149"/>
      <c r="B33" s="10">
        <f>IF(B10="","",(B10/$O$23))</f>
        <v>5.0780313426148763E-2</v>
      </c>
      <c r="C33" s="10">
        <f>IF(C10="","",(C10/$O$23))</f>
        <v>0.42928766305648053</v>
      </c>
      <c r="D33" s="10">
        <f>IF(D10="","",(D10/$O$23))</f>
        <v>0.15471436330284918</v>
      </c>
      <c r="E33" s="10">
        <f>IF(E10="","",(E10/$O$23))</f>
        <v>0.75004929828197398</v>
      </c>
      <c r="F33" s="10">
        <f>IF(F10="","",(F10/$O$23))</f>
        <v>1.3093374842235432</v>
      </c>
      <c r="G33" s="10">
        <f>IF(G10="","",(G10/$O$23))</f>
        <v>1.9295825606146229</v>
      </c>
      <c r="H33" s="10">
        <f>IF(H10="","",(H10/$O$23))</f>
        <v>1.61963592276298</v>
      </c>
      <c r="I33" s="10">
        <f>IF(I10="","",(I10/$O$23))</f>
        <v>0.19314539886899079</v>
      </c>
      <c r="J33" s="10">
        <f>IF(J10="","",(J10/$O$23))</f>
        <v>0.17880329959044194</v>
      </c>
      <c r="K33" s="10">
        <f>IF(K10="","",(K10/$O$23))</f>
        <v>0.27931004021715039</v>
      </c>
      <c r="L33" s="10">
        <f>IF(L10="","",(L10/$O$23))</f>
        <v>0.17503985330985036</v>
      </c>
      <c r="M33" s="10">
        <f>IF(M10="","",(M10/$O$23))</f>
        <v>0.56783662685542391</v>
      </c>
      <c r="N33" s="10" t="str">
        <f>IF(N10="","",(N10/$O$23))</f>
        <v/>
      </c>
      <c r="O33" s="10">
        <f t="shared" si="8"/>
        <v>0.79594166642475106</v>
      </c>
      <c r="P33" s="10">
        <f t="shared" si="8"/>
        <v>1.38320463883629</v>
      </c>
      <c r="Q33" s="10">
        <f t="shared" si="8"/>
        <v>0.28776323598967773</v>
      </c>
      <c r="R33" s="10">
        <f t="shared" si="8"/>
        <v>1.6808756432807028</v>
      </c>
      <c r="S33" s="10">
        <f t="shared" si="8"/>
        <v>0.51793069919620882</v>
      </c>
      <c r="T33" s="10">
        <f t="shared" ref="T33:V33" si="14">IF(T10="","",(T10/$O$23))</f>
        <v>1.8221073873336389</v>
      </c>
      <c r="U33" s="10">
        <f t="shared" si="14"/>
        <v>1.7627891175383703</v>
      </c>
      <c r="V33" s="10">
        <f t="shared" si="14"/>
        <v>0.71704584625351486</v>
      </c>
    </row>
    <row r="34" spans="1:22">
      <c r="A34" s="149"/>
      <c r="B34" s="10">
        <f>IF(B11="","",(B11/$O$23))</f>
        <v>5.2602729412793099E-2</v>
      </c>
      <c r="C34" s="10">
        <f>IF(C11="","",(C11/$O$23))</f>
        <v>1.8125630409897777E-3</v>
      </c>
      <c r="D34" s="10">
        <f>IF(D11="","",(D11/$O$23))</f>
        <v>5.6069576765219358E-3</v>
      </c>
      <c r="E34" s="10">
        <f>IF(E11="","",(E11/$O$23))</f>
        <v>0.70231910313499024</v>
      </c>
      <c r="F34" s="10">
        <f>IF(F11="","",(F11/$O$23))</f>
        <v>0.92460976788978544</v>
      </c>
      <c r="G34" s="10">
        <f>IF(G11="","",(G11/$O$23))</f>
        <v>1.4703032889045751</v>
      </c>
      <c r="H34" s="10">
        <f>IF(H11="","",(H11/$O$23))</f>
        <v>2.0225043015647497</v>
      </c>
      <c r="I34" s="10">
        <f>IF(I11="","",(I11/$O$23))</f>
        <v>0.63132256634275297</v>
      </c>
      <c r="J34" s="10">
        <f>IF(J11="","",(J11/$O$23))</f>
        <v>0.14634858084305197</v>
      </c>
      <c r="K34" s="10">
        <f>IF(K11="","",(K11/$O$23))</f>
        <v>8.6168809902090374E-2</v>
      </c>
      <c r="L34" s="10">
        <f>IF(L11="","",(L11/$O$23))</f>
        <v>0.18295176867045765</v>
      </c>
      <c r="M34" s="10">
        <f>IF(M11="","",(M11/$O$23))</f>
        <v>0.4564374548076055</v>
      </c>
      <c r="N34" s="10" t="str">
        <f>IF(N11="","",(N11/$O$23))</f>
        <v/>
      </c>
      <c r="O34" s="10">
        <f t="shared" si="8"/>
        <v>0.52769004186704505</v>
      </c>
      <c r="P34" s="10">
        <f t="shared" si="8"/>
        <v>1.7836585406734293</v>
      </c>
      <c r="Q34" s="10">
        <f t="shared" si="8"/>
        <v>0.11868315160267201</v>
      </c>
      <c r="R34" s="10">
        <f t="shared" si="8"/>
        <v>1.8223348893224063</v>
      </c>
      <c r="S34" s="10">
        <f t="shared" si="8"/>
        <v>0.8285801805045433</v>
      </c>
      <c r="T34" s="10">
        <f t="shared" ref="T34:V34" si="15">IF(T11="","",(T11/$O$23))</f>
        <v>1.6204372956762172</v>
      </c>
      <c r="U34" s="10">
        <f t="shared" si="15"/>
        <v>1.2711199291465836</v>
      </c>
      <c r="V34" s="10">
        <f t="shared" si="15"/>
        <v>1.6818889808453288</v>
      </c>
    </row>
    <row r="35" spans="1:22">
      <c r="A35" s="149"/>
      <c r="B35" s="10">
        <f>IF(B12="","",(B12/$O$23))</f>
        <v>0.11260514733197272</v>
      </c>
      <c r="C35" s="10">
        <f>IF(C12="","",(C12/$O$23))</f>
        <v>3.2916165035544932E-2</v>
      </c>
      <c r="D35" s="10">
        <f>IF(D12="","",(D12/$O$23))</f>
        <v>0.87928545995993812</v>
      </c>
      <c r="E35" s="10">
        <f>IF(E12="","",(E12/$O$23))</f>
        <v>0.1193627522132041</v>
      </c>
      <c r="F35" s="10">
        <f>IF(F12="","",(F12/$O$23))</f>
        <v>0.78372704548868943</v>
      </c>
      <c r="G35" s="10">
        <f>IF(G12="","",(G12/$O$23))</f>
        <v>0.71508422582954601</v>
      </c>
      <c r="H35" s="10">
        <f>IF(H12="","",(H12/$O$23))</f>
        <v>2.1301453327642519</v>
      </c>
      <c r="I35" s="10">
        <f>IF(I12="","",(I12/$O$23))</f>
        <v>0.31277102261946577</v>
      </c>
      <c r="J35" s="10">
        <f>IF(J12="","",(J12/$O$23))</f>
        <v>7.8066277939012302E-2</v>
      </c>
      <c r="K35" s="10">
        <f>IF(K12="","",(K12/$O$23))</f>
        <v>7.5473563713887547E-3</v>
      </c>
      <c r="L35" s="10">
        <f>IF(L12="","",(L12/$O$23))</f>
        <v>0.21867703377607928</v>
      </c>
      <c r="M35" s="10">
        <f>IF(M12="","",(M12/$O$23))</f>
        <v>2.6427747682388623E-2</v>
      </c>
      <c r="N35" s="10" t="str">
        <f>IF(N12="","",(N12/$O$23))</f>
        <v/>
      </c>
      <c r="O35" s="10">
        <f t="shared" si="8"/>
        <v>1.2372994405476931</v>
      </c>
      <c r="P35" s="10">
        <f t="shared" si="8"/>
        <v>1.6605890597770554</v>
      </c>
      <c r="Q35" s="10">
        <f t="shared" si="8"/>
        <v>0.29943240795988846</v>
      </c>
      <c r="R35" s="10">
        <f t="shared" si="8"/>
        <v>2.1129604060247322</v>
      </c>
      <c r="S35" s="10">
        <f t="shared" si="8"/>
        <v>1.4373372275416769</v>
      </c>
      <c r="T35" s="10">
        <f t="shared" ref="T35:V35" si="16">IF(T12="","",(T12/$O$23))</f>
        <v>1.9004993177585159</v>
      </c>
      <c r="U35" s="10">
        <f t="shared" si="16"/>
        <v>1.568184598473793</v>
      </c>
      <c r="V35" s="10">
        <f t="shared" si="16"/>
        <v>0.40413309280040288</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1.3213631307147431</v>
      </c>
      <c r="P36" s="10" t="str">
        <f t="shared" si="8"/>
        <v/>
      </c>
      <c r="Q36" s="10" t="str">
        <f t="shared" si="8"/>
        <v/>
      </c>
      <c r="R36" s="10" t="str">
        <f t="shared" si="8"/>
        <v/>
      </c>
      <c r="S36" s="10">
        <f t="shared" si="8"/>
        <v>1.6643953284752995</v>
      </c>
      <c r="T36" s="10" t="str">
        <f t="shared" ref="T36:V36" si="17">IF(T13="","",(T13/$O$23))</f>
        <v/>
      </c>
      <c r="U36" s="10" t="str">
        <f t="shared" si="17"/>
        <v/>
      </c>
      <c r="V36" s="10" t="str">
        <f t="shared" si="1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1.0495012858133554</v>
      </c>
      <c r="P37" s="10" t="str">
        <f t="shared" si="8"/>
        <v/>
      </c>
      <c r="Q37" s="10" t="str">
        <f t="shared" si="8"/>
        <v/>
      </c>
      <c r="R37" s="10" t="str">
        <f t="shared" si="8"/>
        <v/>
      </c>
      <c r="S37" s="10" t="str">
        <f t="shared" si="8"/>
        <v/>
      </c>
      <c r="T37" s="10" t="str">
        <f t="shared" ref="T37:V37" si="18">IF(T14="","",(T14/$O$23))</f>
        <v/>
      </c>
      <c r="U37" s="10" t="str">
        <f t="shared" si="18"/>
        <v/>
      </c>
      <c r="V37" s="10" t="str">
        <f t="shared" si="18"/>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V38" si="19">IF(O15="","",(O15/$O$23))</f>
        <v>1.5010257840140047</v>
      </c>
      <c r="P38" s="10" t="str">
        <f t="shared" si="19"/>
        <v/>
      </c>
      <c r="Q38" s="10" t="str">
        <f t="shared" si="19"/>
        <v/>
      </c>
      <c r="R38" s="10" t="str">
        <f t="shared" si="19"/>
        <v/>
      </c>
      <c r="S38" s="10" t="str">
        <f t="shared" si="19"/>
        <v/>
      </c>
      <c r="T38" s="10" t="str">
        <f t="shared" si="19"/>
        <v/>
      </c>
      <c r="U38" s="10" t="str">
        <f t="shared" si="19"/>
        <v/>
      </c>
      <c r="V38" s="10" t="str">
        <f t="shared" si="19"/>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V39" si="20">IF(O16="","",(O16/$O$23))</f>
        <v>1.3387931178974661</v>
      </c>
      <c r="P39" s="10" t="str">
        <f t="shared" si="20"/>
        <v/>
      </c>
      <c r="Q39" s="10" t="str">
        <f t="shared" si="20"/>
        <v/>
      </c>
      <c r="R39" s="10" t="str">
        <f t="shared" si="20"/>
        <v/>
      </c>
      <c r="S39" s="10" t="str">
        <f t="shared" si="20"/>
        <v/>
      </c>
      <c r="T39" s="10" t="str">
        <f t="shared" si="20"/>
        <v/>
      </c>
      <c r="U39" s="10" t="str">
        <f t="shared" si="20"/>
        <v/>
      </c>
      <c r="V39" s="10" t="str">
        <f t="shared" si="20"/>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0" si="21">IF(O17="","",(O17/$O$23))</f>
        <v>1.6257799922974914</v>
      </c>
      <c r="P40" s="10" t="str">
        <f t="shared" si="21"/>
        <v/>
      </c>
      <c r="Q40" s="10" t="str">
        <f t="shared" si="21"/>
        <v/>
      </c>
      <c r="R40" s="10" t="str">
        <f t="shared" si="21"/>
        <v/>
      </c>
      <c r="S40" s="10" t="str">
        <f t="shared" si="21"/>
        <v/>
      </c>
      <c r="T40" s="10" t="str">
        <f t="shared" si="21"/>
        <v/>
      </c>
      <c r="U40" s="10" t="str">
        <f t="shared" si="21"/>
        <v/>
      </c>
      <c r="V40" s="10" t="str">
        <f t="shared" si="21"/>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V41" si="22">IF(O18="","",(O18/$O$23))</f>
        <v>0.61425802238796101</v>
      </c>
      <c r="P41" s="10" t="str">
        <f t="shared" si="22"/>
        <v/>
      </c>
      <c r="Q41" s="10" t="str">
        <f t="shared" si="22"/>
        <v/>
      </c>
      <c r="R41" s="10" t="str">
        <f t="shared" si="22"/>
        <v/>
      </c>
      <c r="S41" s="10" t="str">
        <f t="shared" si="22"/>
        <v/>
      </c>
      <c r="T41" s="10" t="str">
        <f t="shared" si="22"/>
        <v/>
      </c>
      <c r="U41" s="10" t="str">
        <f t="shared" si="22"/>
        <v/>
      </c>
      <c r="V41" s="10" t="str">
        <f t="shared" si="22"/>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V42" si="23">IF(O19="","",(O19/$O$23))</f>
        <v>0.97510106157673393</v>
      </c>
      <c r="P42" s="10" t="str">
        <f t="shared" si="23"/>
        <v/>
      </c>
      <c r="Q42" s="10" t="str">
        <f t="shared" si="23"/>
        <v/>
      </c>
      <c r="R42" s="10" t="str">
        <f t="shared" si="23"/>
        <v/>
      </c>
      <c r="S42" s="10" t="str">
        <f t="shared" si="23"/>
        <v/>
      </c>
      <c r="T42" s="10" t="str">
        <f t="shared" si="23"/>
        <v/>
      </c>
      <c r="U42" s="10" t="str">
        <f t="shared" si="23"/>
        <v/>
      </c>
      <c r="V42" s="10" t="str">
        <f t="shared" si="23"/>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V43" si="24">IF(O20="","",(O20/$O$23))</f>
        <v>1.575048312000535</v>
      </c>
      <c r="P43" s="10" t="str">
        <f t="shared" si="24"/>
        <v/>
      </c>
      <c r="Q43" s="10" t="str">
        <f t="shared" si="24"/>
        <v/>
      </c>
      <c r="R43" s="10" t="str">
        <f t="shared" si="24"/>
        <v/>
      </c>
      <c r="S43" s="10" t="str">
        <f t="shared" si="24"/>
        <v/>
      </c>
      <c r="T43" s="10" t="str">
        <f t="shared" si="24"/>
        <v/>
      </c>
      <c r="U43" s="10" t="str">
        <f t="shared" si="24"/>
        <v/>
      </c>
      <c r="V43" s="10" t="str">
        <f t="shared" si="24"/>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R45" si="25">B4</f>
        <v>Solvent control</v>
      </c>
      <c r="C45" s="6" t="str">
        <f t="shared" si="25"/>
        <v>EE2-33.8ng/L</v>
      </c>
      <c r="D45" s="6" t="str">
        <f t="shared" si="25"/>
        <v>EE2-50.6ng/L</v>
      </c>
      <c r="E45" s="6" t="str">
        <f t="shared" si="25"/>
        <v>EE2-76ng/L</v>
      </c>
      <c r="F45" s="6" t="str">
        <f t="shared" si="25"/>
        <v>EE2-114ng/L</v>
      </c>
      <c r="G45" s="6" t="str">
        <f t="shared" si="25"/>
        <v>EE2-170.9ng/L</v>
      </c>
      <c r="H45" s="6" t="str">
        <f t="shared" si="25"/>
        <v>EE2-488ng/L</v>
      </c>
      <c r="I45" s="6" t="str">
        <f t="shared" si="25"/>
        <v>cefuroxime-10mg/L</v>
      </c>
      <c r="J45" s="6" t="str">
        <f t="shared" si="25"/>
        <v>cefuroxime-1mg/L</v>
      </c>
      <c r="K45" s="6" t="str">
        <f t="shared" ref="K45:N45" si="26">K4</f>
        <v>cefuroxime-0.1mg/L</v>
      </c>
      <c r="L45" s="6" t="str">
        <f t="shared" si="26"/>
        <v>cefuroxime-0.01mg/L</v>
      </c>
      <c r="M45" s="6" t="str">
        <f t="shared" si="26"/>
        <v>cefuroxime-0.001mg/L</v>
      </c>
      <c r="N45" s="6" t="str">
        <f t="shared" si="26"/>
        <v/>
      </c>
      <c r="O45" s="6" t="str">
        <f t="shared" si="25"/>
        <v>Testo -30µg/L</v>
      </c>
      <c r="P45" s="6" t="str">
        <f t="shared" si="25"/>
        <v>Testo 30µg/L + EE2 -64ng/L</v>
      </c>
      <c r="Q45" s="6" t="str">
        <f t="shared" si="25"/>
        <v>Testo 30µg/L + FAD-10mg/L</v>
      </c>
      <c r="R45" s="6" t="str">
        <f t="shared" si="25"/>
        <v>cefuroxime-10mg/L + Testostérone</v>
      </c>
      <c r="S45" s="6" t="str">
        <f t="shared" ref="S45:V45" si="27">S4</f>
        <v>cefuroxime-1mg/L + Testostérone</v>
      </c>
      <c r="T45" s="6" t="str">
        <f t="shared" si="27"/>
        <v>cefuroxime-0.1mg/L + Testostérone</v>
      </c>
      <c r="U45" s="6" t="str">
        <f t="shared" si="27"/>
        <v>cefuroxime-0.01mg/L + Testostérone</v>
      </c>
      <c r="V45" s="6" t="str">
        <f t="shared" si="27"/>
        <v>cefuroxime-0.001mg/L + Testostérone</v>
      </c>
    </row>
    <row r="46" spans="1:22">
      <c r="A46" s="7" t="s">
        <v>0</v>
      </c>
      <c r="B46" s="9">
        <f t="shared" ref="B46:H46" si="28">AVERAGE(B28:B43)</f>
        <v>0.11611617504007436</v>
      </c>
      <c r="C46" s="9">
        <f t="shared" si="28"/>
        <v>0.3177543077840268</v>
      </c>
      <c r="D46" s="9">
        <f t="shared" si="28"/>
        <v>0.36840831718406858</v>
      </c>
      <c r="E46" s="9">
        <f t="shared" si="28"/>
        <v>0.68224003150921508</v>
      </c>
      <c r="F46" s="9">
        <f t="shared" si="28"/>
        <v>1.0865063443456555</v>
      </c>
      <c r="G46" s="9">
        <f t="shared" si="28"/>
        <v>1.390767532545057</v>
      </c>
      <c r="H46" s="9">
        <f t="shared" si="28"/>
        <v>1.6577514272185208</v>
      </c>
      <c r="I46" s="9">
        <f>AVERAGE(I28:I43)</f>
        <v>0.33888142334389726</v>
      </c>
      <c r="J46" s="8">
        <f>AVERAGE(J28:J43)</f>
        <v>0.30345075183936066</v>
      </c>
      <c r="K46" s="8">
        <f t="shared" ref="K46:N46" si="29">AVERAGE(K28:K43)</f>
        <v>0.18909132227154388</v>
      </c>
      <c r="L46" s="8">
        <f t="shared" si="29"/>
        <v>0.23295114141362089</v>
      </c>
      <c r="M46" s="8">
        <f t="shared" si="29"/>
        <v>0.33162520256862815</v>
      </c>
      <c r="N46" s="8" t="e">
        <f t="shared" si="29"/>
        <v>#DIV/0!</v>
      </c>
      <c r="O46" s="9">
        <f t="shared" ref="O46:R46" si="30">AVERAGE(O28:O43)</f>
        <v>1</v>
      </c>
      <c r="P46" s="9">
        <f t="shared" si="30"/>
        <v>1.7226662648854381</v>
      </c>
      <c r="Q46" s="9">
        <f t="shared" si="30"/>
        <v>0.23088769142791124</v>
      </c>
      <c r="R46" s="9">
        <f t="shared" si="30"/>
        <v>1.7167227438489374</v>
      </c>
      <c r="S46" s="9">
        <f t="shared" ref="S46:V46" si="31">AVERAGE(S28:S43)</f>
        <v>1.2561839161994131</v>
      </c>
      <c r="T46" s="9">
        <f t="shared" si="31"/>
        <v>1.4807845019544004</v>
      </c>
      <c r="U46" s="9">
        <f t="shared" si="31"/>
        <v>1.5397583449811389</v>
      </c>
      <c r="V46" s="9">
        <f t="shared" si="31"/>
        <v>0.92398145312458324</v>
      </c>
    </row>
    <row r="47" spans="1:22">
      <c r="A47" s="7" t="s">
        <v>1</v>
      </c>
      <c r="B47" s="7">
        <f t="shared" ref="B47:J47" si="32">STDEV(B28:B43)</f>
        <v>9.7503151678148658E-2</v>
      </c>
      <c r="C47" s="7">
        <f t="shared" si="32"/>
        <v>0.22666918825337951</v>
      </c>
      <c r="D47" s="7">
        <f t="shared" si="32"/>
        <v>0.29496345722240125</v>
      </c>
      <c r="E47" s="7">
        <f t="shared" si="32"/>
        <v>0.29366615899286591</v>
      </c>
      <c r="F47" s="7">
        <f t="shared" si="32"/>
        <v>0.30528389993151828</v>
      </c>
      <c r="G47" s="7">
        <f t="shared" si="32"/>
        <v>0.61674531194255</v>
      </c>
      <c r="H47" s="7">
        <f t="shared" si="32"/>
        <v>0.39536863349699314</v>
      </c>
      <c r="I47" s="7">
        <f t="shared" si="32"/>
        <v>0.17993067631847393</v>
      </c>
      <c r="J47" s="7">
        <f t="shared" si="32"/>
        <v>0.17157601008418599</v>
      </c>
      <c r="K47" s="7">
        <f t="shared" ref="K47:N47" si="33">STDEV(K28:K43)</f>
        <v>0.16290695507894948</v>
      </c>
      <c r="L47" s="7">
        <f t="shared" si="33"/>
        <v>9.0860000627002363E-2</v>
      </c>
      <c r="M47" s="7">
        <f t="shared" si="33"/>
        <v>0.17315767822001704</v>
      </c>
      <c r="N47" s="7" t="e">
        <f t="shared" si="33"/>
        <v>#DIV/0!</v>
      </c>
      <c r="O47" s="7">
        <f t="shared" ref="O47:R47" si="34">STDEV(O28:O43)</f>
        <v>0.42199911871772755</v>
      </c>
      <c r="P47" s="7">
        <f t="shared" si="34"/>
        <v>0.36983681228031551</v>
      </c>
      <c r="Q47" s="7">
        <f t="shared" si="34"/>
        <v>8.783833279238315E-2</v>
      </c>
      <c r="R47" s="7">
        <f t="shared" si="34"/>
        <v>0.24821812670191609</v>
      </c>
      <c r="S47" s="7">
        <f t="shared" ref="S47:V47" si="35">STDEV(S28:S43)</f>
        <v>0.66790142624922821</v>
      </c>
      <c r="T47" s="7">
        <f t="shared" si="35"/>
        <v>0.4541819784527048</v>
      </c>
      <c r="U47" s="7">
        <f t="shared" si="35"/>
        <v>0.62124033125098144</v>
      </c>
      <c r="V47" s="7">
        <f t="shared" si="35"/>
        <v>0.51590449700579477</v>
      </c>
    </row>
    <row r="48" spans="1:22">
      <c r="A48" s="7" t="s">
        <v>2</v>
      </c>
      <c r="B48" s="7">
        <f t="shared" ref="B48:J48" si="36" xml:space="preserve"> B47/SQRT(COUNT(B28:B43))</f>
        <v>3.4472569869339706E-2</v>
      </c>
      <c r="C48" s="7">
        <f t="shared" si="36"/>
        <v>8.0139660050007375E-2</v>
      </c>
      <c r="D48" s="7">
        <f t="shared" si="36"/>
        <v>0.10428533040209402</v>
      </c>
      <c r="E48" s="7">
        <f t="shared" si="36"/>
        <v>0.10382666621443115</v>
      </c>
      <c r="F48" s="7">
        <f t="shared" si="36"/>
        <v>0.10793415791432598</v>
      </c>
      <c r="G48" s="7">
        <f t="shared" si="36"/>
        <v>0.21805239616979483</v>
      </c>
      <c r="H48" s="7">
        <f t="shared" si="36"/>
        <v>0.1397839209070913</v>
      </c>
      <c r="I48" s="7">
        <f t="shared" si="36"/>
        <v>6.3615100684137324E-2</v>
      </c>
      <c r="J48" s="7">
        <f t="shared" si="36"/>
        <v>6.0661280109729682E-2</v>
      </c>
      <c r="K48" s="7">
        <f t="shared" ref="K48:N48" si="37" xml:space="preserve"> K47/SQRT(COUNT(K28:K43))</f>
        <v>5.7596306319388724E-2</v>
      </c>
      <c r="L48" s="7">
        <f t="shared" si="37"/>
        <v>3.2123861290983664E-2</v>
      </c>
      <c r="M48" s="7">
        <f t="shared" si="37"/>
        <v>6.1220484241946094E-2</v>
      </c>
      <c r="N48" s="7" t="e">
        <f t="shared" si="37"/>
        <v>#DIV/0!</v>
      </c>
      <c r="O48" s="7">
        <f t="shared" ref="O48:R48" si="38" xml:space="preserve"> O47/SQRT(COUNT(O28:O43))</f>
        <v>0.10549977967943189</v>
      </c>
      <c r="P48" s="7">
        <f t="shared" si="38"/>
        <v>0.13075705894791365</v>
      </c>
      <c r="Q48" s="7">
        <f t="shared" si="38"/>
        <v>3.1055540382807403E-2</v>
      </c>
      <c r="R48" s="7">
        <f t="shared" si="38"/>
        <v>8.7758360302173252E-2</v>
      </c>
      <c r="S48" s="7">
        <f t="shared" ref="S48:V48" si="39" xml:space="preserve"> S47/SQRT(COUNT(S28:S43))</f>
        <v>0.22263380874974273</v>
      </c>
      <c r="T48" s="7">
        <f t="shared" si="39"/>
        <v>0.16057757842831497</v>
      </c>
      <c r="U48" s="7">
        <f t="shared" si="39"/>
        <v>0.219641625487073</v>
      </c>
      <c r="V48" s="7">
        <f t="shared" si="39"/>
        <v>0.18239978413871619</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customFormat="1" ht="15.75" thickBot="1"/>
    <row r="52" spans="1:22">
      <c r="A52" s="28" t="str">
        <f t="shared" ref="A52:H52" si="40">A27</f>
        <v>Noms des groupes</v>
      </c>
      <c r="B52" s="29" t="str">
        <f t="shared" si="40"/>
        <v>Solvent control</v>
      </c>
      <c r="C52" s="29" t="str">
        <f t="shared" si="40"/>
        <v>EE2-33.8ng/L</v>
      </c>
      <c r="D52" s="29" t="str">
        <f t="shared" si="40"/>
        <v>EE2-50.6ng/L</v>
      </c>
      <c r="E52" s="29" t="str">
        <f t="shared" si="40"/>
        <v>EE2-76ng/L</v>
      </c>
      <c r="F52" s="29" t="str">
        <f t="shared" si="40"/>
        <v>EE2-114ng/L</v>
      </c>
      <c r="G52" s="29" t="str">
        <f t="shared" si="40"/>
        <v>EE2-170.9ng/L</v>
      </c>
      <c r="H52" s="29" t="str">
        <f t="shared" si="40"/>
        <v>EE2-488ng/L</v>
      </c>
      <c r="I52" s="29" t="str">
        <f>I4</f>
        <v>cefuroxime-10mg/L</v>
      </c>
      <c r="J52" s="29" t="str">
        <f>J4</f>
        <v>cefuroxime-1mg/L</v>
      </c>
      <c r="K52" s="29" t="str">
        <f t="shared" ref="K52:N52" si="41">K4</f>
        <v>cefuroxime-0.1mg/L</v>
      </c>
      <c r="L52" s="29" t="str">
        <f t="shared" si="41"/>
        <v>cefuroxime-0.01mg/L</v>
      </c>
      <c r="M52" s="29" t="str">
        <f t="shared" si="41"/>
        <v>cefuroxime-0.001mg/L</v>
      </c>
      <c r="N52" s="29" t="str">
        <f t="shared" si="41"/>
        <v/>
      </c>
      <c r="O52" s="29" t="str">
        <f>O27</f>
        <v>Testo -30µg/L</v>
      </c>
      <c r="P52" s="29" t="str">
        <f>P27</f>
        <v>Testo 30µg/L + EE2 -64ng/L</v>
      </c>
      <c r="Q52" s="29" t="str">
        <f>Q27</f>
        <v>Testo 30µg/L + FAD-10mg/L</v>
      </c>
      <c r="R52" s="29" t="str">
        <f>R27</f>
        <v>cefuroxime-10mg/L + Testostérone</v>
      </c>
      <c r="S52" s="29" t="str">
        <f t="shared" ref="S52:V52" si="42">S27</f>
        <v>cefuroxime-1mg/L + Testostérone</v>
      </c>
      <c r="T52" s="29" t="str">
        <f t="shared" si="42"/>
        <v>cefuroxime-0.1mg/L + Testostérone</v>
      </c>
      <c r="U52" s="29" t="str">
        <f t="shared" si="42"/>
        <v>cefuroxime-0.01mg/L + Testostérone</v>
      </c>
      <c r="V52" s="29" t="str">
        <f t="shared" si="42"/>
        <v>cefuroxime-0.001mg/L + Testostérone</v>
      </c>
    </row>
    <row r="53" spans="1:22" s="3" customFormat="1">
      <c r="A53" s="43" t="s">
        <v>15</v>
      </c>
      <c r="B53" s="75">
        <f t="shared" ref="B53" si="43">B46</f>
        <v>0.11611617504007436</v>
      </c>
      <c r="C53" s="75">
        <f t="shared" ref="C53:V53" si="44">C46</f>
        <v>0.3177543077840268</v>
      </c>
      <c r="D53" s="75">
        <f t="shared" si="44"/>
        <v>0.36840831718406858</v>
      </c>
      <c r="E53" s="75">
        <f t="shared" si="44"/>
        <v>0.68224003150921508</v>
      </c>
      <c r="F53" s="75">
        <f t="shared" si="44"/>
        <v>1.0865063443456555</v>
      </c>
      <c r="G53" s="75">
        <f t="shared" si="44"/>
        <v>1.390767532545057</v>
      </c>
      <c r="H53" s="75">
        <f t="shared" si="44"/>
        <v>1.6577514272185208</v>
      </c>
      <c r="I53" s="75">
        <f t="shared" si="44"/>
        <v>0.33888142334389726</v>
      </c>
      <c r="J53" s="75">
        <f t="shared" si="44"/>
        <v>0.30345075183936066</v>
      </c>
      <c r="K53" s="75">
        <f t="shared" si="44"/>
        <v>0.18909132227154388</v>
      </c>
      <c r="L53" s="75">
        <f t="shared" si="44"/>
        <v>0.23295114141362089</v>
      </c>
      <c r="M53" s="75">
        <f t="shared" si="44"/>
        <v>0.33162520256862815</v>
      </c>
      <c r="N53" s="75" t="e">
        <f t="shared" si="44"/>
        <v>#DIV/0!</v>
      </c>
      <c r="O53" s="75">
        <f t="shared" si="44"/>
        <v>1</v>
      </c>
      <c r="P53" s="75">
        <f t="shared" si="44"/>
        <v>1.7226662648854381</v>
      </c>
      <c r="Q53" s="75">
        <f t="shared" si="44"/>
        <v>0.23088769142791124</v>
      </c>
      <c r="R53" s="75">
        <f t="shared" si="44"/>
        <v>1.7167227438489374</v>
      </c>
      <c r="S53" s="75">
        <f t="shared" si="44"/>
        <v>1.2561839161994131</v>
      </c>
      <c r="T53" s="75">
        <f t="shared" si="44"/>
        <v>1.4807845019544004</v>
      </c>
      <c r="U53" s="75">
        <f t="shared" si="44"/>
        <v>1.5397583449811389</v>
      </c>
      <c r="V53" s="75">
        <f t="shared" si="44"/>
        <v>0.92398145312458324</v>
      </c>
    </row>
    <row r="54" spans="1:22" s="3" customFormat="1">
      <c r="A54" s="43" t="s">
        <v>2</v>
      </c>
      <c r="B54" s="75">
        <f t="shared" ref="B54" si="45">B48</f>
        <v>3.4472569869339706E-2</v>
      </c>
      <c r="C54" s="75">
        <f t="shared" ref="C54:V54" si="46">C48</f>
        <v>8.0139660050007375E-2</v>
      </c>
      <c r="D54" s="75">
        <f t="shared" si="46"/>
        <v>0.10428533040209402</v>
      </c>
      <c r="E54" s="75">
        <f t="shared" si="46"/>
        <v>0.10382666621443115</v>
      </c>
      <c r="F54" s="75">
        <f t="shared" si="46"/>
        <v>0.10793415791432598</v>
      </c>
      <c r="G54" s="75">
        <f t="shared" si="46"/>
        <v>0.21805239616979483</v>
      </c>
      <c r="H54" s="75">
        <f t="shared" si="46"/>
        <v>0.1397839209070913</v>
      </c>
      <c r="I54" s="75">
        <f t="shared" si="46"/>
        <v>6.3615100684137324E-2</v>
      </c>
      <c r="J54" s="75">
        <f t="shared" si="46"/>
        <v>6.0661280109729682E-2</v>
      </c>
      <c r="K54" s="75">
        <f t="shared" si="46"/>
        <v>5.7596306319388724E-2</v>
      </c>
      <c r="L54" s="75">
        <f t="shared" si="46"/>
        <v>3.2123861290983664E-2</v>
      </c>
      <c r="M54" s="75">
        <f t="shared" si="46"/>
        <v>6.1220484241946094E-2</v>
      </c>
      <c r="N54" s="75" t="e">
        <f t="shared" si="46"/>
        <v>#DIV/0!</v>
      </c>
      <c r="O54" s="75">
        <f t="shared" si="46"/>
        <v>0.10549977967943189</v>
      </c>
      <c r="P54" s="75">
        <f t="shared" si="46"/>
        <v>0.13075705894791365</v>
      </c>
      <c r="Q54" s="75">
        <f t="shared" si="46"/>
        <v>3.1055540382807403E-2</v>
      </c>
      <c r="R54" s="75">
        <f t="shared" si="46"/>
        <v>8.7758360302173252E-2</v>
      </c>
      <c r="S54" s="75">
        <f t="shared" si="46"/>
        <v>0.22263380874974273</v>
      </c>
      <c r="T54" s="75">
        <f t="shared" si="46"/>
        <v>0.16057757842831497</v>
      </c>
      <c r="U54" s="75">
        <f t="shared" si="46"/>
        <v>0.219641625487073</v>
      </c>
      <c r="V54" s="75">
        <f t="shared" si="46"/>
        <v>0.18239978413871619</v>
      </c>
    </row>
    <row r="55" spans="1:22" s="3" customFormat="1">
      <c r="A55" s="43" t="s">
        <v>42</v>
      </c>
      <c r="B55" s="75">
        <f>(B53*100/$B53)-100</f>
        <v>0</v>
      </c>
      <c r="C55" s="75">
        <f t="shared" ref="C55:N55" si="47">(C53*100/$B53)-100</f>
        <v>173.65206240591584</v>
      </c>
      <c r="D55" s="75">
        <f t="shared" si="47"/>
        <v>217.27562250213845</v>
      </c>
      <c r="E55" s="75">
        <f t="shared" si="47"/>
        <v>487.54952208317081</v>
      </c>
      <c r="F55" s="75">
        <f t="shared" si="47"/>
        <v>835.70628206679828</v>
      </c>
      <c r="G55" s="75">
        <f t="shared" si="47"/>
        <v>1097.7379827272739</v>
      </c>
      <c r="H55" s="75">
        <f t="shared" si="47"/>
        <v>1327.6662374095533</v>
      </c>
      <c r="I55" s="75">
        <f t="shared" si="47"/>
        <v>191.84687079723517</v>
      </c>
      <c r="J55" s="75">
        <f t="shared" si="47"/>
        <v>161.33374763217341</v>
      </c>
      <c r="K55" s="75">
        <f t="shared" si="47"/>
        <v>62.846668180625244</v>
      </c>
      <c r="L55" s="75">
        <f t="shared" si="47"/>
        <v>100.61902773943774</v>
      </c>
      <c r="M55" s="75">
        <f t="shared" si="47"/>
        <v>185.59776659382436</v>
      </c>
      <c r="N55" s="75" t="e">
        <f t="shared" si="47"/>
        <v>#DIV/0!</v>
      </c>
      <c r="O55" s="75">
        <f>(O53*100/$O53)-100</f>
        <v>0</v>
      </c>
      <c r="P55" s="75">
        <f t="shared" ref="P55:V55" si="48">(P53*100/$O53)-100</f>
        <v>72.266626488543807</v>
      </c>
      <c r="Q55" s="75">
        <f t="shared" si="48"/>
        <v>-76.911230857208878</v>
      </c>
      <c r="R55" s="75">
        <f t="shared" si="48"/>
        <v>71.67227438489374</v>
      </c>
      <c r="S55" s="75">
        <f t="shared" si="48"/>
        <v>25.618391619941306</v>
      </c>
      <c r="T55" s="75">
        <f t="shared" si="48"/>
        <v>48.078450195440041</v>
      </c>
      <c r="U55" s="75">
        <f t="shared" si="48"/>
        <v>53.975834498113898</v>
      </c>
      <c r="V55" s="75">
        <f t="shared" si="48"/>
        <v>-7.6018546875416746</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49">IF(C56&gt;0.05,"Oui","Non")</f>
        <v>#NAME?</v>
      </c>
      <c r="D57" s="75" t="e">
        <f t="shared" ca="1" si="49"/>
        <v>#NAME?</v>
      </c>
      <c r="E57" s="75" t="e">
        <f t="shared" ca="1" si="49"/>
        <v>#NAME?</v>
      </c>
      <c r="F57" s="75" t="e">
        <f t="shared" ca="1" si="49"/>
        <v>#NAME?</v>
      </c>
      <c r="G57" s="75" t="e">
        <f t="shared" ca="1" si="49"/>
        <v>#NAME?</v>
      </c>
      <c r="H57" s="75" t="e">
        <f t="shared" ca="1" si="49"/>
        <v>#NAME?</v>
      </c>
      <c r="I57" s="75" t="e">
        <f t="shared" ca="1" si="49"/>
        <v>#NAME?</v>
      </c>
      <c r="J57" s="75" t="e">
        <f t="shared" ca="1" si="49"/>
        <v>#NAME?</v>
      </c>
      <c r="K57" s="75" t="e">
        <f t="shared" ca="1" si="49"/>
        <v>#NAME?</v>
      </c>
      <c r="L57" s="75" t="e">
        <f t="shared" ca="1" si="49"/>
        <v>#NAME?</v>
      </c>
      <c r="M57" s="75" t="e">
        <f t="shared" ca="1" si="49"/>
        <v>#NAME?</v>
      </c>
      <c r="N57" s="75" t="e">
        <f t="shared" ca="1" si="49"/>
        <v>#NAME?</v>
      </c>
      <c r="O57" s="75" t="e">
        <f t="shared" ca="1" si="49"/>
        <v>#NAME?</v>
      </c>
      <c r="P57" s="75" t="e">
        <f t="shared" ca="1" si="49"/>
        <v>#NAME?</v>
      </c>
      <c r="Q57" s="75" t="e">
        <f t="shared" ca="1" si="49"/>
        <v>#NAME?</v>
      </c>
      <c r="R57" s="75" t="e">
        <f t="shared" ca="1" si="49"/>
        <v>#NAME?</v>
      </c>
      <c r="S57" s="75" t="e">
        <f t="shared" ca="1" si="49"/>
        <v>#NAME?</v>
      </c>
      <c r="T57" s="75" t="e">
        <f t="shared" ca="1" si="49"/>
        <v>#NAME?</v>
      </c>
      <c r="U57" s="75" t="e">
        <f t="shared" ca="1" si="49"/>
        <v>#NAME?</v>
      </c>
      <c r="V57" s="75" t="e">
        <f t="shared" ca="1" si="49"/>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50">IF($B57="Non",IF(C57="Non","MW",IF(C57="Oui","MW","")),IF($B57="Oui",IF(C57="Oui","T-Test Welch",IF(C57="Non","MW",""))))</f>
        <v>#NAME?</v>
      </c>
      <c r="D59" s="78" t="e">
        <f t="shared" ca="1" si="50"/>
        <v>#NAME?</v>
      </c>
      <c r="E59" s="78" t="e">
        <f t="shared" ca="1" si="50"/>
        <v>#NAME?</v>
      </c>
      <c r="F59" s="78" t="e">
        <f t="shared" ca="1" si="50"/>
        <v>#NAME?</v>
      </c>
      <c r="G59" s="78" t="e">
        <f t="shared" ca="1" si="50"/>
        <v>#NAME?</v>
      </c>
      <c r="H59" s="78" t="e">
        <f t="shared" ca="1" si="50"/>
        <v>#NAME?</v>
      </c>
      <c r="I59" s="78" t="e">
        <f t="shared" ca="1" si="50"/>
        <v>#NAME?</v>
      </c>
      <c r="J59" s="78" t="e">
        <f t="shared" ca="1" si="50"/>
        <v>#NAME?</v>
      </c>
      <c r="K59" s="78" t="e">
        <f t="shared" ca="1" si="50"/>
        <v>#NAME?</v>
      </c>
      <c r="L59" s="78" t="e">
        <f t="shared" ca="1" si="50"/>
        <v>#NAME?</v>
      </c>
      <c r="M59" s="78" t="e">
        <f t="shared" ca="1" si="50"/>
        <v>#NAME?</v>
      </c>
      <c r="N59" s="78" t="e">
        <f t="shared" ca="1" si="50"/>
        <v>#NAME?</v>
      </c>
      <c r="O59" s="78" t="e">
        <f t="shared" ca="1" si="50"/>
        <v>#NAME?</v>
      </c>
      <c r="P59" s="78" t="e">
        <f ca="1">IF($O57="Non",IF(P57="Non","MW",IF(P57="Oui","MW","")),IF($O57="Oui",IF(P57="Oui","T-Test Welch",IF(P57="Non","MW",""))))</f>
        <v>#NAME?</v>
      </c>
      <c r="Q59" s="78" t="e">
        <f t="shared" ref="Q59:V59" ca="1" si="51">IF($O57="Non",IF(Q57="Non","MW",IF(Q57="Oui","MW","")),IF($O57="Oui",IF(Q57="Oui","T-Test Welch",IF(Q57="Non","MW",""))))</f>
        <v>#NAME?</v>
      </c>
      <c r="R59" s="78" t="e">
        <f t="shared" ca="1" si="51"/>
        <v>#NAME?</v>
      </c>
      <c r="S59" s="78" t="e">
        <f t="shared" ca="1" si="51"/>
        <v>#NAME?</v>
      </c>
      <c r="T59" s="78" t="e">
        <f t="shared" ca="1" si="51"/>
        <v>#NAME?</v>
      </c>
      <c r="U59" s="78" t="e">
        <f t="shared" ca="1" si="51"/>
        <v>#NAME?</v>
      </c>
      <c r="V59" s="78" t="e">
        <f t="shared" ca="1" si="51"/>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52">IF(C60&gt;0.05,"NS",IF(C60&gt;0.01,"*",IF(C60&gt;0.001,"**","***")))</f>
        <v>#NAME?</v>
      </c>
      <c r="D61" s="76" t="e">
        <f t="shared" ca="1" si="52"/>
        <v>#NAME?</v>
      </c>
      <c r="E61" s="76" t="e">
        <f t="shared" ca="1" si="52"/>
        <v>#NAME?</v>
      </c>
      <c r="F61" s="76" t="e">
        <f t="shared" ca="1" si="52"/>
        <v>#NAME?</v>
      </c>
      <c r="G61" s="76" t="e">
        <f t="shared" ca="1" si="52"/>
        <v>#NAME?</v>
      </c>
      <c r="H61" s="76" t="e">
        <f t="shared" ca="1" si="52"/>
        <v>#NAME?</v>
      </c>
      <c r="I61" s="76" t="e">
        <f t="shared" ca="1" si="52"/>
        <v>#NAME?</v>
      </c>
      <c r="J61" s="76" t="e">
        <f t="shared" ca="1" si="52"/>
        <v>#NAME?</v>
      </c>
      <c r="K61" s="76" t="e">
        <f t="shared" ca="1" si="52"/>
        <v>#NAME?</v>
      </c>
      <c r="L61" s="76" t="e">
        <f t="shared" ca="1" si="52"/>
        <v>#NAME?</v>
      </c>
      <c r="M61" s="76" t="e">
        <f t="shared" ca="1" si="52"/>
        <v>#NAME?</v>
      </c>
      <c r="N61" s="76" t="e">
        <f t="shared" ca="1" si="52"/>
        <v>#NAME?</v>
      </c>
      <c r="O61" s="76" t="e">
        <f t="shared" ca="1" si="52"/>
        <v>#NAME?</v>
      </c>
      <c r="P61" s="76" t="e">
        <f ca="1">IF(P60&gt;0.05,"NS",IF(P60&gt;0.01,"*",IF(P60&gt;0.001,"**","***")))</f>
        <v>#NAME?</v>
      </c>
      <c r="Q61" s="76" t="e">
        <f t="shared" ref="Q61:V61" ca="1" si="53">IF(Q60&gt;0.05,"NS",IF(Q60&gt;0.01,"*",IF(Q60&gt;0.001,"**","***")))</f>
        <v>#NAME?</v>
      </c>
      <c r="R61" s="76" t="e">
        <f t="shared" ca="1" si="53"/>
        <v>#NAME?</v>
      </c>
      <c r="S61" s="76" t="e">
        <f t="shared" ca="1" si="53"/>
        <v>#NAME?</v>
      </c>
      <c r="T61" s="76" t="e">
        <f t="shared" ca="1" si="53"/>
        <v>#NAME?</v>
      </c>
      <c r="U61" s="76" t="e">
        <f t="shared" ca="1" si="53"/>
        <v>#NAME?</v>
      </c>
      <c r="V61" s="76" t="e">
        <f t="shared" ca="1" si="53"/>
        <v>#NAME?</v>
      </c>
    </row>
    <row r="63" spans="1:22">
      <c r="A63" s="2" t="s">
        <v>20</v>
      </c>
    </row>
    <row r="64" spans="1:22">
      <c r="A64" s="1" t="s">
        <v>13</v>
      </c>
      <c r="B64" s="1">
        <f>B46+(3*B47)</f>
        <v>0.40862563007452035</v>
      </c>
    </row>
    <row r="65" spans="1:22">
      <c r="A65" s="1" t="s">
        <v>14</v>
      </c>
      <c r="B65" s="1">
        <f>B46+(10*B47)</f>
        <v>1.091147691821561</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N3"/>
    <mergeCell ref="O3:V3"/>
    <mergeCell ref="B26:N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K1" zoomScale="70" zoomScaleNormal="70" zoomScaleSheetLayoutView="40" zoomScalePageLayoutView="30" workbookViewId="0">
      <selection activeCell="O2"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22" width="25.85546875" style="1" customWidth="1"/>
    <col min="23" max="16384" width="9.140625" style="1"/>
  </cols>
  <sheetData>
    <row r="1" spans="1:22" ht="60" customHeight="1" thickBot="1">
      <c r="A1" s="150" t="s">
        <v>70</v>
      </c>
      <c r="B1" s="139"/>
      <c r="C1" s="139"/>
      <c r="D1" s="139"/>
      <c r="E1" s="139"/>
      <c r="F1" s="139"/>
      <c r="G1" s="139"/>
      <c r="H1" s="139"/>
      <c r="I1" s="139"/>
      <c r="J1" s="139"/>
      <c r="K1" s="139"/>
      <c r="L1" s="139"/>
      <c r="M1" s="139"/>
      <c r="N1" s="139"/>
      <c r="O1" s="139"/>
      <c r="P1" s="139"/>
      <c r="Q1" s="139"/>
      <c r="R1" s="139"/>
      <c r="S1" s="139"/>
      <c r="T1" s="139"/>
      <c r="U1" s="139"/>
      <c r="V1" s="139"/>
    </row>
    <row r="2" spans="1:22" ht="15.75" thickBot="1"/>
    <row r="3" spans="1:22" ht="15.75" thickBot="1">
      <c r="A3" s="80" t="s">
        <v>12</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cefuroxime-10mg/L</v>
      </c>
      <c r="J4" s="19" t="str">
        <f>'Front page'!A15</f>
        <v>cefuroxime-1mg/L</v>
      </c>
      <c r="K4" s="19" t="str">
        <f>'Front page'!A16</f>
        <v>cefuroxime-0.1mg/L</v>
      </c>
      <c r="L4" s="19" t="str">
        <f>'Front page'!A17</f>
        <v>cefuroxime-0.01mg/L</v>
      </c>
      <c r="M4" s="19" t="str">
        <f>'Front page'!A18</f>
        <v>cefuroxime-0.001mg/L</v>
      </c>
      <c r="N4" s="19" t="str">
        <f>'Front page'!A19</f>
        <v/>
      </c>
      <c r="O4" s="20" t="str">
        <f>'Front page'!A35</f>
        <v>Testo -30µg/L</v>
      </c>
      <c r="P4" s="20" t="str">
        <f>'Front page'!A36</f>
        <v>Testo 30µg/L + EE2 -64ng/L</v>
      </c>
      <c r="Q4" s="20" t="str">
        <f>'Front page'!A37</f>
        <v>Testo 30µg/L + FAD-10mg/L</v>
      </c>
      <c r="R4" s="20" t="str">
        <f>'Front page'!A38</f>
        <v>cefuroxime-10mg/L + Testostérone</v>
      </c>
      <c r="S4" s="20" t="str">
        <f>'Front page'!A39</f>
        <v>cefuroxime-1mg/L + Testostérone</v>
      </c>
      <c r="T4" s="20" t="str">
        <f>'Front page'!A40</f>
        <v>cefuroxime-0.1mg/L + Testostérone</v>
      </c>
      <c r="U4" s="20" t="str">
        <f>'Front page'!A41</f>
        <v>cefuroxime-0.01mg/L + Testostérone</v>
      </c>
      <c r="V4" s="20" t="str">
        <f>'Front page'!A42</f>
        <v>cefuroxime-0.001mg/L + Testostérone</v>
      </c>
    </row>
    <row r="5" spans="1:22">
      <c r="A5" s="149" t="s">
        <v>71</v>
      </c>
      <c r="B5" s="78">
        <v>2077060</v>
      </c>
      <c r="C5" s="78">
        <v>4049839</v>
      </c>
      <c r="D5" s="78">
        <v>3110559</v>
      </c>
      <c r="E5" s="78">
        <v>10666320</v>
      </c>
      <c r="F5" s="78">
        <v>13779374</v>
      </c>
      <c r="G5" s="78">
        <v>10424364</v>
      </c>
      <c r="H5" s="78">
        <v>20748118</v>
      </c>
      <c r="I5" s="16">
        <v>1930698</v>
      </c>
      <c r="J5" s="16">
        <v>2976028</v>
      </c>
      <c r="K5" s="12">
        <v>1277490</v>
      </c>
      <c r="L5" s="12">
        <v>1961548</v>
      </c>
      <c r="M5" s="12">
        <v>491735</v>
      </c>
      <c r="N5" s="12"/>
      <c r="O5" s="114">
        <v>11403128</v>
      </c>
      <c r="P5" s="113">
        <v>12680341</v>
      </c>
      <c r="Q5" s="113">
        <v>396677</v>
      </c>
      <c r="R5" s="78">
        <v>15898586</v>
      </c>
      <c r="S5" s="78">
        <v>13482977</v>
      </c>
      <c r="T5" s="78">
        <v>11833629</v>
      </c>
      <c r="U5" s="78">
        <v>7942915</v>
      </c>
      <c r="V5" s="78">
        <v>15723774</v>
      </c>
    </row>
    <row r="6" spans="1:22" ht="16.5">
      <c r="A6" s="148"/>
      <c r="B6" s="112">
        <v>502956</v>
      </c>
      <c r="C6" s="113">
        <v>3081338</v>
      </c>
      <c r="D6" s="78">
        <v>3236316</v>
      </c>
      <c r="E6" s="78">
        <v>6931256</v>
      </c>
      <c r="F6" s="78">
        <v>7804841</v>
      </c>
      <c r="G6" s="78">
        <v>10983117</v>
      </c>
      <c r="H6" s="78">
        <v>16319103</v>
      </c>
      <c r="I6" s="16">
        <v>29153</v>
      </c>
      <c r="J6" s="16">
        <v>2966068</v>
      </c>
      <c r="K6" s="12">
        <v>742730</v>
      </c>
      <c r="L6" s="12">
        <v>1085810</v>
      </c>
      <c r="M6" s="12">
        <v>1433134</v>
      </c>
      <c r="N6" s="12"/>
      <c r="O6" s="114">
        <v>12069827</v>
      </c>
      <c r="P6" s="113">
        <v>12926007</v>
      </c>
      <c r="Q6" s="113">
        <v>1490709</v>
      </c>
      <c r="R6" s="78">
        <v>9727169</v>
      </c>
      <c r="S6" s="78">
        <v>4499397</v>
      </c>
      <c r="T6" s="78">
        <v>7038675</v>
      </c>
      <c r="U6" s="78">
        <v>12403776</v>
      </c>
      <c r="V6" s="78">
        <v>13778807</v>
      </c>
    </row>
    <row r="7" spans="1:22" ht="16.5">
      <c r="A7" s="148"/>
      <c r="B7" s="112">
        <v>340375</v>
      </c>
      <c r="C7" s="113">
        <v>151163</v>
      </c>
      <c r="D7" s="78">
        <v>2151005</v>
      </c>
      <c r="E7" s="78">
        <v>8068199</v>
      </c>
      <c r="F7" s="78">
        <v>10280080</v>
      </c>
      <c r="G7" s="78">
        <v>14185843</v>
      </c>
      <c r="H7" s="78">
        <v>21711298</v>
      </c>
      <c r="I7" s="16">
        <v>2344891</v>
      </c>
      <c r="J7" s="16">
        <v>2234004</v>
      </c>
      <c r="K7" s="12">
        <v>983562</v>
      </c>
      <c r="L7" s="12">
        <v>1642594</v>
      </c>
      <c r="M7" s="12">
        <v>1401676</v>
      </c>
      <c r="N7" s="12"/>
      <c r="O7" s="114">
        <v>15424792</v>
      </c>
      <c r="P7" s="113">
        <v>21631888</v>
      </c>
      <c r="Q7" s="113">
        <v>1594920</v>
      </c>
      <c r="R7" s="78">
        <v>6633927</v>
      </c>
      <c r="S7" s="78">
        <v>14812335</v>
      </c>
      <c r="T7" s="78">
        <v>6221204</v>
      </c>
      <c r="U7" s="78">
        <v>16813202</v>
      </c>
      <c r="V7" s="78">
        <v>18089921</v>
      </c>
    </row>
    <row r="8" spans="1:22" ht="16.5">
      <c r="A8" s="148"/>
      <c r="B8" s="112">
        <v>1591622</v>
      </c>
      <c r="C8" s="113">
        <v>599455</v>
      </c>
      <c r="D8" s="78">
        <v>5220361</v>
      </c>
      <c r="E8" s="78">
        <v>7324189</v>
      </c>
      <c r="F8" s="78">
        <v>9106766</v>
      </c>
      <c r="G8" s="78">
        <v>14372767</v>
      </c>
      <c r="H8" s="78">
        <v>14515073</v>
      </c>
      <c r="I8" s="16">
        <v>30807</v>
      </c>
      <c r="J8" s="16">
        <v>1982201</v>
      </c>
      <c r="K8" s="12">
        <v>1812245</v>
      </c>
      <c r="L8" s="12">
        <v>1652909</v>
      </c>
      <c r="M8" s="12">
        <v>1705999</v>
      </c>
      <c r="N8" s="12"/>
      <c r="O8" s="114">
        <v>11969557</v>
      </c>
      <c r="P8" s="113">
        <v>17026981</v>
      </c>
      <c r="Q8" s="113">
        <v>1370545</v>
      </c>
      <c r="R8" s="78">
        <v>9182885</v>
      </c>
      <c r="S8" s="78">
        <v>12871762</v>
      </c>
      <c r="T8" s="78">
        <v>17545766</v>
      </c>
      <c r="U8" s="78">
        <v>6417571</v>
      </c>
      <c r="V8" s="78">
        <v>11392670</v>
      </c>
    </row>
    <row r="9" spans="1:22" ht="16.5">
      <c r="A9" s="148"/>
      <c r="B9" s="112">
        <v>953861</v>
      </c>
      <c r="C9" s="113">
        <v>597187</v>
      </c>
      <c r="D9" s="78">
        <v>11883777</v>
      </c>
      <c r="E9" s="78">
        <v>6014413</v>
      </c>
      <c r="F9" s="78">
        <v>9116167</v>
      </c>
      <c r="G9" s="78">
        <v>11433187</v>
      </c>
      <c r="H9" s="78">
        <v>15508325</v>
      </c>
      <c r="I9" s="16">
        <v>32831</v>
      </c>
      <c r="J9" s="16">
        <v>1374515</v>
      </c>
      <c r="K9" s="12">
        <v>820059</v>
      </c>
      <c r="L9" s="12">
        <v>2040186</v>
      </c>
      <c r="M9" s="12">
        <v>1129356</v>
      </c>
      <c r="N9" s="12"/>
      <c r="O9" s="114">
        <v>5080595</v>
      </c>
      <c r="P9" s="113">
        <v>20916399</v>
      </c>
      <c r="Q9" s="113">
        <v>1035288</v>
      </c>
      <c r="R9" s="78">
        <v>8542136</v>
      </c>
      <c r="S9" s="78">
        <v>7159634</v>
      </c>
      <c r="T9" s="78">
        <v>7778384</v>
      </c>
      <c r="U9" s="78">
        <v>9849264</v>
      </c>
      <c r="V9" s="78">
        <v>9894326</v>
      </c>
    </row>
    <row r="10" spans="1:22" ht="16.5">
      <c r="A10" s="148"/>
      <c r="B10" s="112">
        <v>477559</v>
      </c>
      <c r="C10" s="113">
        <v>503556</v>
      </c>
      <c r="D10" s="78">
        <v>5251351</v>
      </c>
      <c r="E10" s="78">
        <v>5593092</v>
      </c>
      <c r="F10" s="78">
        <v>12284305</v>
      </c>
      <c r="G10" s="78">
        <v>11719655</v>
      </c>
      <c r="H10" s="78">
        <v>18017447</v>
      </c>
      <c r="I10" s="16">
        <v>268959</v>
      </c>
      <c r="J10" s="16">
        <v>1732292</v>
      </c>
      <c r="K10" s="12">
        <v>743291</v>
      </c>
      <c r="L10" s="12">
        <v>3285424</v>
      </c>
      <c r="M10" s="12">
        <v>2104183</v>
      </c>
      <c r="N10" s="12"/>
      <c r="O10" s="114">
        <v>9743921</v>
      </c>
      <c r="P10" s="113">
        <v>17411388</v>
      </c>
      <c r="Q10" s="113">
        <v>1539334</v>
      </c>
      <c r="R10" s="78">
        <v>7433874</v>
      </c>
      <c r="S10" s="78">
        <v>4892512</v>
      </c>
      <c r="T10" s="78">
        <v>3956780</v>
      </c>
      <c r="U10" s="78">
        <v>10387373</v>
      </c>
      <c r="V10" s="78">
        <v>12606665</v>
      </c>
    </row>
    <row r="11" spans="1:22" ht="16.5">
      <c r="A11" s="148"/>
      <c r="B11" s="112">
        <v>605910</v>
      </c>
      <c r="C11" s="113">
        <v>1898028</v>
      </c>
      <c r="D11" s="78">
        <v>2930819</v>
      </c>
      <c r="E11" s="78">
        <v>10129276</v>
      </c>
      <c r="F11" s="78">
        <v>8111260</v>
      </c>
      <c r="G11" s="78">
        <v>13015479</v>
      </c>
      <c r="H11" s="78">
        <v>23518304</v>
      </c>
      <c r="I11" s="16">
        <v>2619338</v>
      </c>
      <c r="J11" s="16">
        <v>1078518</v>
      </c>
      <c r="K11" s="12">
        <v>3295553</v>
      </c>
      <c r="L11" s="12">
        <v>1334644</v>
      </c>
      <c r="M11" s="12">
        <v>2781798</v>
      </c>
      <c r="N11" s="12"/>
      <c r="O11" s="114">
        <v>7082913</v>
      </c>
      <c r="P11" s="113">
        <v>17257364</v>
      </c>
      <c r="Q11" s="113">
        <v>1865536</v>
      </c>
      <c r="R11" s="78">
        <v>3696676</v>
      </c>
      <c r="S11" s="78">
        <v>14336665</v>
      </c>
      <c r="T11" s="78">
        <v>10957972</v>
      </c>
      <c r="U11" s="78">
        <v>15808882</v>
      </c>
      <c r="V11" s="78">
        <v>7358225</v>
      </c>
    </row>
    <row r="12" spans="1:22" ht="16.5">
      <c r="A12" s="148"/>
      <c r="B12" s="112">
        <v>1510176</v>
      </c>
      <c r="C12" s="113">
        <v>9026674</v>
      </c>
      <c r="D12" s="78">
        <v>4126110</v>
      </c>
      <c r="E12" s="78">
        <v>3779770</v>
      </c>
      <c r="F12" s="78">
        <v>17983538</v>
      </c>
      <c r="G12" s="78">
        <v>18872527</v>
      </c>
      <c r="H12" s="78">
        <v>17595026</v>
      </c>
      <c r="I12" s="16">
        <v>267115</v>
      </c>
      <c r="J12" s="16">
        <v>1925388</v>
      </c>
      <c r="K12" s="12">
        <v>593638</v>
      </c>
      <c r="L12" s="12">
        <v>1365523</v>
      </c>
      <c r="M12" s="12">
        <v>2605776</v>
      </c>
      <c r="N12" s="12"/>
      <c r="O12" s="114">
        <v>10144022</v>
      </c>
      <c r="P12" s="113">
        <v>11394360</v>
      </c>
      <c r="Q12" s="113">
        <v>158661</v>
      </c>
      <c r="R12" s="78">
        <v>6289991</v>
      </c>
      <c r="S12" s="78">
        <v>7616075</v>
      </c>
      <c r="T12" s="78">
        <v>12496505</v>
      </c>
      <c r="U12" s="78">
        <v>14116651</v>
      </c>
      <c r="V12" s="78">
        <v>11512289</v>
      </c>
    </row>
    <row r="13" spans="1:22" ht="16.5">
      <c r="A13" s="148"/>
      <c r="B13" s="13"/>
      <c r="C13" s="12"/>
      <c r="D13" s="16"/>
      <c r="E13" s="16"/>
      <c r="F13" s="16"/>
      <c r="G13" s="16"/>
      <c r="H13" s="16"/>
      <c r="I13" s="16"/>
      <c r="J13" s="16"/>
      <c r="K13" s="12"/>
      <c r="L13" s="12"/>
      <c r="M13" s="12"/>
      <c r="N13" s="12"/>
      <c r="O13" s="114">
        <v>7597867</v>
      </c>
      <c r="P13" s="115"/>
      <c r="Q13" s="115"/>
      <c r="R13" s="116"/>
      <c r="S13" s="116"/>
      <c r="T13" s="116"/>
      <c r="U13" s="116"/>
      <c r="V13" s="116"/>
    </row>
    <row r="14" spans="1:22" ht="16.5">
      <c r="A14" s="148"/>
      <c r="B14" s="13"/>
      <c r="C14" s="16"/>
      <c r="D14" s="16"/>
      <c r="E14" s="16"/>
      <c r="F14" s="16"/>
      <c r="G14" s="16"/>
      <c r="H14" s="16"/>
      <c r="I14" s="16"/>
      <c r="J14" s="16"/>
      <c r="K14" s="12"/>
      <c r="L14" s="12"/>
      <c r="M14" s="12"/>
      <c r="N14" s="12"/>
      <c r="O14" s="114">
        <v>12189491</v>
      </c>
      <c r="P14" s="12"/>
      <c r="Q14" s="12"/>
      <c r="R14" s="16"/>
      <c r="S14" s="16"/>
      <c r="T14" s="16"/>
      <c r="U14" s="16"/>
      <c r="V14" s="16"/>
    </row>
    <row r="15" spans="1:22" ht="16.5">
      <c r="A15" s="148"/>
      <c r="B15" s="13"/>
      <c r="C15" s="16"/>
      <c r="D15" s="16"/>
      <c r="E15" s="16"/>
      <c r="F15" s="16"/>
      <c r="G15" s="16"/>
      <c r="H15" s="16"/>
      <c r="I15" s="16"/>
      <c r="J15" s="16"/>
      <c r="K15" s="12"/>
      <c r="L15" s="12"/>
      <c r="M15" s="12"/>
      <c r="N15" s="12"/>
      <c r="O15" s="114">
        <v>8476433</v>
      </c>
      <c r="P15" s="12"/>
      <c r="Q15" s="12"/>
      <c r="R15" s="16"/>
      <c r="S15" s="16"/>
      <c r="T15" s="16"/>
      <c r="U15" s="16"/>
      <c r="V15" s="16"/>
    </row>
    <row r="16" spans="1:22" ht="16.5">
      <c r="A16" s="148"/>
      <c r="B16" s="13"/>
      <c r="C16" s="16"/>
      <c r="D16" s="16"/>
      <c r="E16" s="16"/>
      <c r="F16" s="16"/>
      <c r="G16" s="16"/>
      <c r="H16" s="16"/>
      <c r="I16" s="16"/>
      <c r="J16" s="16"/>
      <c r="K16" s="12"/>
      <c r="L16" s="12"/>
      <c r="M16" s="12"/>
      <c r="N16" s="12"/>
      <c r="O16" s="114">
        <v>9782746</v>
      </c>
      <c r="P16" s="12"/>
      <c r="Q16" s="12"/>
      <c r="R16" s="16"/>
      <c r="S16" s="16"/>
      <c r="T16" s="16"/>
      <c r="U16" s="16"/>
      <c r="V16" s="16"/>
    </row>
    <row r="17" spans="1:22" ht="16.5">
      <c r="A17" s="148"/>
      <c r="B17" s="13"/>
      <c r="C17" s="16"/>
      <c r="D17" s="16"/>
      <c r="E17" s="16"/>
      <c r="F17" s="16"/>
      <c r="G17" s="16"/>
      <c r="H17" s="16"/>
      <c r="I17" s="16"/>
      <c r="J17" s="16"/>
      <c r="K17" s="12"/>
      <c r="L17" s="12"/>
      <c r="M17" s="12"/>
      <c r="N17" s="12"/>
      <c r="O17" s="114">
        <v>11915561</v>
      </c>
      <c r="P17" s="12"/>
      <c r="Q17" s="12"/>
      <c r="R17" s="16"/>
      <c r="S17" s="16"/>
      <c r="T17" s="16"/>
      <c r="U17" s="16"/>
      <c r="V17" s="16"/>
    </row>
    <row r="18" spans="1:22" ht="16.5">
      <c r="A18" s="148"/>
      <c r="B18" s="13"/>
      <c r="C18" s="16"/>
      <c r="D18" s="16"/>
      <c r="E18" s="16"/>
      <c r="F18" s="16"/>
      <c r="G18" s="16"/>
      <c r="H18" s="16"/>
      <c r="I18" s="16"/>
      <c r="J18" s="16"/>
      <c r="K18" s="12"/>
      <c r="L18" s="12"/>
      <c r="M18" s="12"/>
      <c r="N18" s="12"/>
      <c r="O18" s="114">
        <v>16443075</v>
      </c>
      <c r="P18" s="12"/>
      <c r="Q18" s="12"/>
      <c r="R18" s="16"/>
      <c r="S18" s="16"/>
      <c r="T18" s="16"/>
      <c r="U18" s="16"/>
      <c r="V18" s="16"/>
    </row>
    <row r="19" spans="1:22" ht="16.5">
      <c r="A19" s="148"/>
      <c r="B19" s="13"/>
      <c r="C19" s="16"/>
      <c r="D19" s="16"/>
      <c r="E19" s="16"/>
      <c r="F19" s="16"/>
      <c r="G19" s="16"/>
      <c r="H19" s="16"/>
      <c r="I19" s="16"/>
      <c r="J19" s="16"/>
      <c r="K19" s="12"/>
      <c r="L19" s="12"/>
      <c r="M19" s="12"/>
      <c r="N19" s="12"/>
      <c r="O19" s="114">
        <v>11752017</v>
      </c>
      <c r="P19" s="12"/>
      <c r="Q19" s="12"/>
      <c r="R19" s="16"/>
      <c r="S19" s="16"/>
      <c r="T19" s="16"/>
      <c r="U19" s="16"/>
      <c r="V19" s="16"/>
    </row>
    <row r="20" spans="1:22" ht="16.5">
      <c r="A20" s="148"/>
      <c r="B20" s="13"/>
      <c r="C20" s="16"/>
      <c r="D20" s="16"/>
      <c r="E20" s="16"/>
      <c r="F20" s="16"/>
      <c r="G20" s="16"/>
      <c r="H20" s="16"/>
      <c r="I20" s="16"/>
      <c r="J20" s="16"/>
      <c r="K20" s="12"/>
      <c r="L20" s="12"/>
      <c r="M20" s="12"/>
      <c r="N20" s="12"/>
      <c r="O20" s="114">
        <v>8680875</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cefuroxime-10mg/L</v>
      </c>
      <c r="J22" s="3" t="str">
        <f t="shared" si="0"/>
        <v>cefuroxime-1mg/L</v>
      </c>
      <c r="K22" s="3" t="str">
        <f t="shared" si="0"/>
        <v>cefuroxime-0.1mg/L</v>
      </c>
      <c r="L22" s="3" t="str">
        <f t="shared" si="0"/>
        <v>cefuroxime-0.01mg/L</v>
      </c>
      <c r="M22" s="3" t="str">
        <f t="shared" si="0"/>
        <v>cefuroxime-0.001mg/L</v>
      </c>
      <c r="N22" s="3" t="str">
        <f t="shared" si="0"/>
        <v/>
      </c>
      <c r="O22" s="3" t="str">
        <f t="shared" si="0"/>
        <v>Testo -30µg/L</v>
      </c>
      <c r="P22" s="3" t="str">
        <f t="shared" si="0"/>
        <v>Testo 30µg/L + EE2 -64ng/L</v>
      </c>
      <c r="Q22" s="3" t="str">
        <f t="shared" si="0"/>
        <v>Testo 30µg/L + FAD-10mg/L</v>
      </c>
      <c r="R22" s="3" t="str">
        <f t="shared" si="0"/>
        <v>cefuroxime-10mg/L + Testostérone</v>
      </c>
      <c r="S22" s="3" t="str">
        <f t="shared" si="0"/>
        <v>cefuroxime-1mg/L + Testostérone</v>
      </c>
      <c r="T22" s="3" t="str">
        <f t="shared" si="0"/>
        <v>cefuroxime-0.1mg/L + Testostérone</v>
      </c>
      <c r="U22" s="3" t="str">
        <f t="shared" si="0"/>
        <v>cefuroxime-0.01mg/L + Testostérone</v>
      </c>
      <c r="V22" s="3" t="str">
        <f t="shared" si="0"/>
        <v>cefuroxime-0.001mg/L + Testostérone</v>
      </c>
    </row>
    <row r="23" spans="1:22">
      <c r="A23" s="5" t="s">
        <v>0</v>
      </c>
      <c r="B23" s="5">
        <f t="shared" ref="B23:J23" si="1">AVERAGE(B5:B20)</f>
        <v>1007439.875</v>
      </c>
      <c r="C23" s="5">
        <f t="shared" si="1"/>
        <v>2488405</v>
      </c>
      <c r="D23" s="5">
        <f t="shared" si="1"/>
        <v>4738787.25</v>
      </c>
      <c r="E23" s="5">
        <f t="shared" si="1"/>
        <v>7313314.375</v>
      </c>
      <c r="F23" s="5">
        <f t="shared" si="1"/>
        <v>11058291.375</v>
      </c>
      <c r="G23" s="5">
        <f t="shared" si="1"/>
        <v>13125867.375</v>
      </c>
      <c r="H23" s="5">
        <f t="shared" si="1"/>
        <v>18491586.75</v>
      </c>
      <c r="I23" s="5">
        <f t="shared" si="1"/>
        <v>940474</v>
      </c>
      <c r="J23" s="5">
        <f t="shared" si="1"/>
        <v>2033626.75</v>
      </c>
      <c r="K23" s="5"/>
      <c r="L23" s="5">
        <f>AVERAGE(L5:L20)</f>
        <v>1796079.75</v>
      </c>
      <c r="M23" s="5"/>
      <c r="N23" s="5" t="e">
        <f>AVERAGE(N5:N20)</f>
        <v>#DIV/0!</v>
      </c>
      <c r="O23" s="5">
        <f>AVERAGE(O5:O20)</f>
        <v>10609801.25</v>
      </c>
      <c r="P23" s="5">
        <f>AVERAGE(P5:P20)</f>
        <v>16405591</v>
      </c>
      <c r="Q23" s="5">
        <f>AVERAGE(Q5:Q20)</f>
        <v>1181458.75</v>
      </c>
      <c r="R23" s="5">
        <f>AVERAGE(R5:R20)</f>
        <v>8425655.5</v>
      </c>
      <c r="S23" s="5">
        <f>AVERAGE(S5:S20)</f>
        <v>9958919.625</v>
      </c>
      <c r="T23" s="5">
        <f t="shared" ref="T23:V23" si="2">AVERAGE(T5:T20)</f>
        <v>9728614.375</v>
      </c>
      <c r="U23" s="5">
        <f t="shared" si="2"/>
        <v>11717454.25</v>
      </c>
      <c r="V23" s="5">
        <f t="shared" si="2"/>
        <v>12544584.625</v>
      </c>
    </row>
    <row r="24" spans="1:22">
      <c r="A24" s="3" t="s">
        <v>1</v>
      </c>
      <c r="B24" s="3">
        <f t="shared" ref="B24:J24" si="3">STDEV(B5:B20)</f>
        <v>641699.72773240239</v>
      </c>
      <c r="C24" s="3">
        <f t="shared" si="3"/>
        <v>2986500.9517284366</v>
      </c>
      <c r="D24" s="3">
        <f t="shared" si="3"/>
        <v>3089031.2876455877</v>
      </c>
      <c r="E24" s="3">
        <f t="shared" si="3"/>
        <v>2299704.0152007723</v>
      </c>
      <c r="F24" s="3">
        <f t="shared" si="3"/>
        <v>3470740.6674960377</v>
      </c>
      <c r="G24" s="3">
        <f t="shared" si="3"/>
        <v>2737221.9803915899</v>
      </c>
      <c r="H24" s="3">
        <f t="shared" si="3"/>
        <v>3188980.753536588</v>
      </c>
      <c r="I24" s="3">
        <f t="shared" si="3"/>
        <v>1143782.9202160696</v>
      </c>
      <c r="J24" s="3">
        <f t="shared" si="3"/>
        <v>681337.1027050413</v>
      </c>
      <c r="K24" s="3"/>
      <c r="L24" s="3">
        <f>STDEV(L5:L20)</f>
        <v>681590.03401473991</v>
      </c>
      <c r="M24" s="3"/>
      <c r="N24" s="3" t="e">
        <f>STDEV(N5:N20)</f>
        <v>#DIV/0!</v>
      </c>
      <c r="O24" s="3">
        <f>STDEV(O5:O20)</f>
        <v>2936344.9856258943</v>
      </c>
      <c r="P24" s="3">
        <f>STDEV(P5:P20)</f>
        <v>3796281.4143171362</v>
      </c>
      <c r="Q24" s="3">
        <f>STDEV(Q5:Q20)</f>
        <v>607305.45756757131</v>
      </c>
      <c r="R24" s="3">
        <f>STDEV(R5:R20)</f>
        <v>3570590.6554297949</v>
      </c>
      <c r="S24" s="3">
        <f>STDEV(S5:S20)</f>
        <v>4349445.2998921247</v>
      </c>
      <c r="T24" s="3">
        <f t="shared" ref="T24:V24" si="4">STDEV(T5:T20)</f>
        <v>4332050.9284971291</v>
      </c>
      <c r="U24" s="3">
        <f t="shared" si="4"/>
        <v>3713465.2417164119</v>
      </c>
      <c r="V24" s="3">
        <f t="shared" si="4"/>
        <v>3353034.8287105518</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cefuroxime-10mg/L</v>
      </c>
      <c r="J27" s="19" t="str">
        <f t="shared" si="5"/>
        <v>cefuroxime-1mg/L</v>
      </c>
      <c r="K27" s="19" t="str">
        <f t="shared" si="5"/>
        <v>cefuroxime-0.1mg/L</v>
      </c>
      <c r="L27" s="19" t="str">
        <f t="shared" si="5"/>
        <v>cefuroxime-0.01mg/L</v>
      </c>
      <c r="M27" s="19" t="str">
        <f t="shared" si="5"/>
        <v>cefuroxime-0.001mg/L</v>
      </c>
      <c r="N27" s="19" t="str">
        <f t="shared" si="5"/>
        <v/>
      </c>
      <c r="O27" s="20" t="str">
        <f>O4</f>
        <v>Testo -30µg/L</v>
      </c>
      <c r="P27" s="20" t="str">
        <f t="shared" ref="P27:V27" si="6">P4</f>
        <v>Testo 30µg/L + EE2 -64ng/L</v>
      </c>
      <c r="Q27" s="20" t="str">
        <f t="shared" si="6"/>
        <v>Testo 30µg/L + FAD-10mg/L</v>
      </c>
      <c r="R27" s="20" t="str">
        <f t="shared" si="6"/>
        <v>cefuroxime-10mg/L + Testostérone</v>
      </c>
      <c r="S27" s="20" t="str">
        <f t="shared" si="6"/>
        <v>cefuroxime-1mg/L + Testostérone</v>
      </c>
      <c r="T27" s="20" t="str">
        <f t="shared" si="6"/>
        <v>cefuroxime-0.1mg/L + Testostérone</v>
      </c>
      <c r="U27" s="20" t="str">
        <f t="shared" si="6"/>
        <v>cefuroxime-0.01mg/L + Testostérone</v>
      </c>
      <c r="V27" s="20" t="str">
        <f t="shared" si="6"/>
        <v>cefuroxime-0.001mg/L + Testostérone</v>
      </c>
    </row>
    <row r="28" spans="1:22">
      <c r="A28" s="149" t="s">
        <v>72</v>
      </c>
      <c r="B28" s="10">
        <f>IF(B5="","",(B5/$O$23))</f>
        <v>0.19576804042394291</v>
      </c>
      <c r="C28" s="10">
        <f>IF(C5="","",(C5/$O$23))</f>
        <v>0.38170733876848068</v>
      </c>
      <c r="D28" s="10">
        <f>IF(D5="","",(D5/$O$23))</f>
        <v>0.29317787644702581</v>
      </c>
      <c r="E28" s="10">
        <f>IF(E5="","",(E5/$O$23))</f>
        <v>1.0053270319272003</v>
      </c>
      <c r="F28" s="10">
        <f>IF(F5="","",(F5/$O$23))</f>
        <v>1.2987400682929853</v>
      </c>
      <c r="G28" s="10">
        <f>IF(G5="","",(G5/$O$23))</f>
        <v>0.98252208070344393</v>
      </c>
      <c r="H28" s="10">
        <f>IF(H5="","",(H5/$O$23))</f>
        <v>1.9555614201538412</v>
      </c>
      <c r="I28" s="10">
        <f>IF(I5="","",(I5/$O$23))</f>
        <v>0.18197306005143121</v>
      </c>
      <c r="J28" s="10">
        <f>IF(J5="","",(J5/$O$23))</f>
        <v>0.28049799707605266</v>
      </c>
      <c r="K28" s="10">
        <f>IF(K5="","",(K5/$O$23))</f>
        <v>0.12040659102827209</v>
      </c>
      <c r="L28" s="10">
        <f>IF(L5="","",(L5/$O$23))</f>
        <v>0.18488074882646835</v>
      </c>
      <c r="M28" s="10">
        <f>IF(M5="","",(M5/$O$23))</f>
        <v>4.6347239539477704E-2</v>
      </c>
      <c r="N28" s="10" t="str">
        <f>IF(N5="","",(N5/$O$23))</f>
        <v/>
      </c>
      <c r="O28" s="10">
        <f t="shared" ref="O28:V39" si="7">IF(O5="","",(O5/$O$23))</f>
        <v>1.0747730076470565</v>
      </c>
      <c r="P28" s="10">
        <f t="shared" si="7"/>
        <v>1.1951534907404604</v>
      </c>
      <c r="Q28" s="10">
        <f t="shared" si="7"/>
        <v>3.738778801346538E-2</v>
      </c>
      <c r="R28" s="10">
        <f t="shared" si="7"/>
        <v>1.4984810389355785</v>
      </c>
      <c r="S28" s="10">
        <f t="shared" si="7"/>
        <v>1.2708039182166584</v>
      </c>
      <c r="T28" s="10">
        <f t="shared" si="7"/>
        <v>1.1153487912886211</v>
      </c>
      <c r="U28" s="10">
        <f t="shared" si="7"/>
        <v>0.74863937719851259</v>
      </c>
      <c r="V28" s="10">
        <f t="shared" si="7"/>
        <v>1.4820045757219062</v>
      </c>
    </row>
    <row r="29" spans="1:22">
      <c r="A29" s="149"/>
      <c r="B29" s="10">
        <f>IF(B6="","",(B6/$O$23))</f>
        <v>4.7404846532822655E-2</v>
      </c>
      <c r="C29" s="10">
        <f>IF(C6="","",(C6/$O$23))</f>
        <v>0.29042372494960733</v>
      </c>
      <c r="D29" s="10">
        <f>IF(D6="","",(D6/$O$23))</f>
        <v>0.30503078462473554</v>
      </c>
      <c r="E29" s="10">
        <f>IF(E6="","",(E6/$O$23))</f>
        <v>0.65328801517370549</v>
      </c>
      <c r="F29" s="10">
        <f>IF(F6="","",(F6/$O$23))</f>
        <v>0.73562556131765433</v>
      </c>
      <c r="G29" s="10">
        <f>IF(G6="","",(G6/$O$23))</f>
        <v>1.0351859324414772</v>
      </c>
      <c r="H29" s="10">
        <f>IF(H6="","",(H6/$O$23))</f>
        <v>1.5381158058922169</v>
      </c>
      <c r="I29" s="10">
        <f>IF(I6="","",(I6/$O$23))</f>
        <v>2.7477423292919835E-3</v>
      </c>
      <c r="J29" s="10">
        <f>IF(J6="","",(J6/$O$23))</f>
        <v>0.27955924245046532</v>
      </c>
      <c r="K29" s="10">
        <f>IF(K6="","",(K6/$O$23))</f>
        <v>7.0004138861696402E-2</v>
      </c>
      <c r="L29" s="10">
        <f>IF(L6="","",(L6/$O$23))</f>
        <v>0.10234027710933793</v>
      </c>
      <c r="M29" s="10">
        <f>IF(M6="","",(M6/$O$23))</f>
        <v>0.13507642285005103</v>
      </c>
      <c r="N29" s="10" t="str">
        <f>IF(N6="","",(N6/$O$23))</f>
        <v/>
      </c>
      <c r="O29" s="10">
        <f t="shared" si="7"/>
        <v>1.1376110367760188</v>
      </c>
      <c r="P29" s="10">
        <f t="shared" si="7"/>
        <v>1.2183081186370008</v>
      </c>
      <c r="Q29" s="10">
        <f t="shared" si="7"/>
        <v>0.14050300895127513</v>
      </c>
      <c r="R29" s="10">
        <f t="shared" si="7"/>
        <v>0.91680972817469131</v>
      </c>
      <c r="S29" s="10">
        <f t="shared" si="7"/>
        <v>0.42407929177749676</v>
      </c>
      <c r="T29" s="10">
        <f t="shared" si="7"/>
        <v>0.6634125215116542</v>
      </c>
      <c r="U29" s="10">
        <f t="shared" si="7"/>
        <v>1.1690865556977328</v>
      </c>
      <c r="V29" s="10">
        <f t="shared" si="7"/>
        <v>1.2986866271411068</v>
      </c>
    </row>
    <row r="30" spans="1:22">
      <c r="A30" s="149"/>
      <c r="B30" s="10">
        <f>IF(B7="","",(B7/$O$23))</f>
        <v>3.2081185309668268E-2</v>
      </c>
      <c r="C30" s="10">
        <f>IF(C7="","",(C7/$O$23))</f>
        <v>1.424748649273708E-2</v>
      </c>
      <c r="D30" s="10">
        <f>IF(D7="","",(D7/$O$23))</f>
        <v>0.20273753949914944</v>
      </c>
      <c r="E30" s="10">
        <f>IF(E7="","",(E7/$O$23))</f>
        <v>0.7604477039567541</v>
      </c>
      <c r="F30" s="10">
        <f>IF(F7="","",(F7/$O$23))</f>
        <v>0.96892295696868025</v>
      </c>
      <c r="G30" s="10">
        <f>IF(G7="","",(G7/$O$23))</f>
        <v>1.3370507765166666</v>
      </c>
      <c r="H30" s="10">
        <f>IF(H7="","",(H7/$O$23))</f>
        <v>2.0463435165668158</v>
      </c>
      <c r="I30" s="10">
        <f>IF(I7="","",(I7/$O$23))</f>
        <v>0.22101177437230504</v>
      </c>
      <c r="J30" s="10">
        <f>IF(J7="","",(J7/$O$23))</f>
        <v>0.21056040045990493</v>
      </c>
      <c r="K30" s="10">
        <f>IF(K7="","",(K7/$O$23))</f>
        <v>9.2703150306420679E-2</v>
      </c>
      <c r="L30" s="10">
        <f>IF(L7="","",(L7/$O$23))</f>
        <v>0.15481854572912004</v>
      </c>
      <c r="M30" s="10">
        <f>IF(M7="","",(M7/$O$23))</f>
        <v>0.13211142857176519</v>
      </c>
      <c r="N30" s="10" t="str">
        <f>IF(N7="","",(N7/$O$23))</f>
        <v/>
      </c>
      <c r="O30" s="10">
        <f t="shared" si="7"/>
        <v>1.4538247830042998</v>
      </c>
      <c r="P30" s="10">
        <f t="shared" si="7"/>
        <v>2.0388589277296782</v>
      </c>
      <c r="Q30" s="10">
        <f t="shared" si="7"/>
        <v>0.15032515335760885</v>
      </c>
      <c r="R30" s="10">
        <f t="shared" si="7"/>
        <v>0.62526402179305673</v>
      </c>
      <c r="S30" s="10">
        <f t="shared" si="7"/>
        <v>1.3960991964858909</v>
      </c>
      <c r="T30" s="10">
        <f t="shared" si="7"/>
        <v>0.58636385860668216</v>
      </c>
      <c r="U30" s="10">
        <f t="shared" si="7"/>
        <v>1.5846858582765628</v>
      </c>
      <c r="V30" s="10">
        <f t="shared" si="7"/>
        <v>1.7050197806485772</v>
      </c>
    </row>
    <row r="31" spans="1:22">
      <c r="A31" s="149"/>
      <c r="B31" s="10">
        <f>IF(B8="","",(B8/$O$23))</f>
        <v>0.1500143087034736</v>
      </c>
      <c r="C31" s="10">
        <f>IF(C8="","",(C8/$O$23))</f>
        <v>5.6500115871633318E-2</v>
      </c>
      <c r="D31" s="10">
        <f>IF(D8="","",(D8/$O$23))</f>
        <v>0.49203193132387846</v>
      </c>
      <c r="E31" s="10">
        <f>IF(E8="","",(E8/$O$23))</f>
        <v>0.69032292193032363</v>
      </c>
      <c r="F31" s="10">
        <f>IF(F8="","",(F8/$O$23))</f>
        <v>0.8583352115102062</v>
      </c>
      <c r="G31" s="10">
        <f>IF(G8="","",(G8/$O$23))</f>
        <v>1.3546688256766355</v>
      </c>
      <c r="H31" s="10">
        <f>IF(H8="","",(H8/$O$23))</f>
        <v>1.3680815180208961</v>
      </c>
      <c r="I31" s="10">
        <f>IF(I8="","",(I8/$O$23))</f>
        <v>2.9036359187218515E-3</v>
      </c>
      <c r="J31" s="10">
        <f>IF(J8="","",(J8/$O$23))</f>
        <v>0.18682734513994784</v>
      </c>
      <c r="K31" s="10">
        <f>IF(K8="","",(K8/$O$23))</f>
        <v>0.17080857193248555</v>
      </c>
      <c r="L31" s="10">
        <f>IF(L8="","",(L8/$O$23))</f>
        <v>0.15579075998242661</v>
      </c>
      <c r="M31" s="10">
        <f>IF(M8="","",(M8/$O$23))</f>
        <v>0.16079462374471906</v>
      </c>
      <c r="N31" s="10" t="str">
        <f>IF(N8="","",(N8/$O$23))</f>
        <v/>
      </c>
      <c r="O31" s="10">
        <f t="shared" si="7"/>
        <v>1.1281603413636048</v>
      </c>
      <c r="P31" s="10">
        <f t="shared" si="7"/>
        <v>1.604835057584137</v>
      </c>
      <c r="Q31" s="10">
        <f t="shared" si="7"/>
        <v>0.12917725485197001</v>
      </c>
      <c r="R31" s="10">
        <f t="shared" si="7"/>
        <v>0.86550961546051586</v>
      </c>
      <c r="S31" s="10">
        <f t="shared" si="7"/>
        <v>1.2131953932690305</v>
      </c>
      <c r="T31" s="10">
        <f t="shared" si="7"/>
        <v>1.6537318265033476</v>
      </c>
      <c r="U31" s="10">
        <f t="shared" si="7"/>
        <v>0.60487193386398264</v>
      </c>
      <c r="V31" s="10">
        <f t="shared" si="7"/>
        <v>1.0737873152901898</v>
      </c>
    </row>
    <row r="32" spans="1:22">
      <c r="A32" s="149"/>
      <c r="B32" s="10">
        <f>IF(B9="","",(B9/$O$23))</f>
        <v>8.9903757622226896E-2</v>
      </c>
      <c r="C32" s="10">
        <f>IF(C9="","",(C9/$O$23))</f>
        <v>5.6286351264120051E-2</v>
      </c>
      <c r="D32" s="10">
        <f>IF(D9="","",(D9/$O$23))</f>
        <v>1.1200753642769699</v>
      </c>
      <c r="E32" s="10">
        <f>IF(E9="","",(E9/$O$23))</f>
        <v>0.56687329557657828</v>
      </c>
      <c r="F32" s="10">
        <f>IF(F9="","",(F9/$O$23))</f>
        <v>0.85922127900369483</v>
      </c>
      <c r="G32" s="10">
        <f>IF(G9="","",(G9/$O$23))</f>
        <v>1.077606142716387</v>
      </c>
      <c r="H32" s="10">
        <f>IF(H9="","",(H9/$O$23))</f>
        <v>1.4616979747853429</v>
      </c>
      <c r="I32" s="10">
        <f>IF(I9="","",(I9/$O$23))</f>
        <v>3.0944029229576756E-3</v>
      </c>
      <c r="J32" s="10">
        <f>IF(J9="","",(J9/$O$23))</f>
        <v>0.12955143716759068</v>
      </c>
      <c r="K32" s="10">
        <f>IF(K9="","",(K9/$O$23))</f>
        <v>7.7292588303668738E-2</v>
      </c>
      <c r="L32" s="10">
        <f>IF(L9="","",(L9/$O$23))</f>
        <v>0.19229257475487582</v>
      </c>
      <c r="M32" s="10">
        <f>IF(M9="","",(M9/$O$23))</f>
        <v>0.10644459527458161</v>
      </c>
      <c r="N32" s="10" t="str">
        <f>IF(N9="","",(N9/$O$23))</f>
        <v/>
      </c>
      <c r="O32" s="10">
        <f t="shared" si="7"/>
        <v>0.47885864025963726</v>
      </c>
      <c r="P32" s="10">
        <f t="shared" si="7"/>
        <v>1.9714223204699524</v>
      </c>
      <c r="Q32" s="10">
        <f t="shared" si="7"/>
        <v>9.7578453696293324E-2</v>
      </c>
      <c r="R32" s="10">
        <f t="shared" si="7"/>
        <v>0.80511743799159297</v>
      </c>
      <c r="S32" s="10">
        <f t="shared" si="7"/>
        <v>0.67481320632655584</v>
      </c>
      <c r="T32" s="10">
        <f t="shared" si="7"/>
        <v>0.73313192365408353</v>
      </c>
      <c r="U32" s="10">
        <f t="shared" si="7"/>
        <v>0.92831748379829448</v>
      </c>
      <c r="V32" s="10">
        <f t="shared" si="7"/>
        <v>0.93256468871177012</v>
      </c>
    </row>
    <row r="33" spans="1:22">
      <c r="A33" s="149"/>
      <c r="B33" s="10">
        <f>IF(B10="","",(B10/$O$23))</f>
        <v>4.5011116490047354E-2</v>
      </c>
      <c r="C33" s="10">
        <f>IF(C10="","",(C10/$O$23))</f>
        <v>4.7461398016291775E-2</v>
      </c>
      <c r="D33" s="10">
        <f>IF(D10="","",(D10/$O$23))</f>
        <v>0.49495281544505842</v>
      </c>
      <c r="E33" s="10">
        <f>IF(E10="","",(E10/$O$23))</f>
        <v>0.52716274963209131</v>
      </c>
      <c r="F33" s="10">
        <f>IF(F10="","",(F10/$O$23))</f>
        <v>1.1578261185618346</v>
      </c>
      <c r="G33" s="10">
        <f>IF(G10="","",(G10/$O$23))</f>
        <v>1.1046064599937722</v>
      </c>
      <c r="H33" s="10">
        <f>IF(H10="","",(H10/$O$23))</f>
        <v>1.6981889269603425</v>
      </c>
      <c r="I33" s="10">
        <f>IF(I10="","",(I10/$O$23))</f>
        <v>2.5350050737284077E-2</v>
      </c>
      <c r="J33" s="10">
        <f>IF(J10="","",(J10/$O$23))</f>
        <v>0.16327280400280825</v>
      </c>
      <c r="K33" s="10">
        <f>IF(K10="","",(K10/$O$23))</f>
        <v>7.0057014498740022E-2</v>
      </c>
      <c r="L33" s="10">
        <f>IF(L10="","",(L10/$O$23))</f>
        <v>0.30965933504173793</v>
      </c>
      <c r="M33" s="10">
        <f>IF(M10="","",(M10/$O$23))</f>
        <v>0.19832445023416437</v>
      </c>
      <c r="N33" s="10" t="str">
        <f>IF(N10="","",(N10/$O$23))</f>
        <v/>
      </c>
      <c r="O33" s="10">
        <f t="shared" si="7"/>
        <v>0.91838864559314903</v>
      </c>
      <c r="P33" s="10">
        <f t="shared" si="7"/>
        <v>1.641066367760659</v>
      </c>
      <c r="Q33" s="10">
        <f t="shared" si="7"/>
        <v>0.14508603542408488</v>
      </c>
      <c r="R33" s="10">
        <f t="shared" si="7"/>
        <v>0.70066100437084056</v>
      </c>
      <c r="S33" s="10">
        <f t="shared" si="7"/>
        <v>0.46113135248410048</v>
      </c>
      <c r="T33" s="10">
        <f t="shared" si="7"/>
        <v>0.37293629793489297</v>
      </c>
      <c r="U33" s="10">
        <f t="shared" si="7"/>
        <v>0.97903558749510033</v>
      </c>
      <c r="V33" s="10">
        <f t="shared" si="7"/>
        <v>1.1882093455803424</v>
      </c>
    </row>
    <row r="34" spans="1:22">
      <c r="A34" s="149"/>
      <c r="B34" s="10">
        <f>IF(B11="","",(B11/$O$23))</f>
        <v>5.7108515581288578E-2</v>
      </c>
      <c r="C34" s="10">
        <f>IF(C11="","",(C11/$O$23))</f>
        <v>0.17889383177653775</v>
      </c>
      <c r="D34" s="10">
        <f>IF(D11="","",(D11/$O$23))</f>
        <v>0.27623693704912711</v>
      </c>
      <c r="E34" s="10">
        <f>IF(E11="","",(E11/$O$23))</f>
        <v>0.95470930711355217</v>
      </c>
      <c r="F34" s="10">
        <f>IF(F11="","",(F11/$O$23))</f>
        <v>0.76450630967286026</v>
      </c>
      <c r="G34" s="10">
        <f>IF(G11="","",(G11/$O$23))</f>
        <v>1.2267410758519157</v>
      </c>
      <c r="H34" s="10">
        <f>IF(H11="","",(H11/$O$23))</f>
        <v>2.2166582997961437</v>
      </c>
      <c r="I34" s="10">
        <f>IF(I11="","",(I11/$O$23))</f>
        <v>0.24687908267838665</v>
      </c>
      <c r="J34" s="10">
        <f>IF(J11="","",(J11/$O$23))</f>
        <v>0.10165298808024326</v>
      </c>
      <c r="K34" s="10">
        <f>IF(K11="","",(K11/$O$23))</f>
        <v>0.31061401833516911</v>
      </c>
      <c r="L34" s="10">
        <f>IF(L11="","",(L11/$O$23))</f>
        <v>0.12579349683859536</v>
      </c>
      <c r="M34" s="10">
        <f>IF(M11="","",(M11/$O$23))</f>
        <v>0.26219133935237476</v>
      </c>
      <c r="N34" s="10" t="str">
        <f>IF(N11="","",(N11/$O$23))</f>
        <v/>
      </c>
      <c r="O34" s="10">
        <f t="shared" si="7"/>
        <v>0.66758206238783224</v>
      </c>
      <c r="P34" s="10">
        <f t="shared" si="7"/>
        <v>1.6265492249442468</v>
      </c>
      <c r="Q34" s="10">
        <f t="shared" si="7"/>
        <v>0.17583138044174013</v>
      </c>
      <c r="R34" s="10">
        <f t="shared" si="7"/>
        <v>0.34842085284114066</v>
      </c>
      <c r="S34" s="10">
        <f t="shared" si="7"/>
        <v>1.3512661229162988</v>
      </c>
      <c r="T34" s="10">
        <f t="shared" si="7"/>
        <v>1.032815954021759</v>
      </c>
      <c r="U34" s="10">
        <f t="shared" si="7"/>
        <v>1.4900262151470556</v>
      </c>
      <c r="V34" s="10">
        <f t="shared" si="7"/>
        <v>0.69353089908258181</v>
      </c>
    </row>
    <row r="35" spans="1:22">
      <c r="A35" s="149"/>
      <c r="B35" s="10">
        <f>IF(B12="","",(B12/$O$23))</f>
        <v>0.14233782183243066</v>
      </c>
      <c r="C35" s="10">
        <f>IF(C12="","",(C12/$O$23))</f>
        <v>0.85078634248685858</v>
      </c>
      <c r="D35" s="10">
        <f>IF(D12="","",(D12/$O$23))</f>
        <v>0.3888960690946025</v>
      </c>
      <c r="E35" s="10">
        <f>IF(E12="","",(E12/$O$23))</f>
        <v>0.35625266778677878</v>
      </c>
      <c r="F35" s="10">
        <f>IF(F12="","",(F12/$O$23))</f>
        <v>1.6949929198720852</v>
      </c>
      <c r="G35" s="10">
        <f>IF(G12="","",(G12/$O$23))</f>
        <v>1.7787823311016311</v>
      </c>
      <c r="H35" s="10">
        <f>IF(H12="","",(H12/$O$23))</f>
        <v>1.6583747032961622</v>
      </c>
      <c r="I35" s="10">
        <f>IF(I12="","",(I12/$O$23))</f>
        <v>2.5176249178088986E-2</v>
      </c>
      <c r="J35" s="10">
        <f>IF(J12="","",(J12/$O$23))</f>
        <v>0.18147257942272951</v>
      </c>
      <c r="K35" s="10">
        <f>IF(K12="","",(K12/$O$23))</f>
        <v>5.595184923940022E-2</v>
      </c>
      <c r="L35" s="10">
        <f>IF(L12="","",(L12/$O$23))</f>
        <v>0.12870391893533351</v>
      </c>
      <c r="M35" s="10">
        <f>IF(M12="","",(M12/$O$23))</f>
        <v>0.24560083064703969</v>
      </c>
      <c r="N35" s="10" t="str">
        <f>IF(N12="","",(N12/$O$23))</f>
        <v/>
      </c>
      <c r="O35" s="10">
        <f t="shared" si="7"/>
        <v>0.95609915407227819</v>
      </c>
      <c r="P35" s="10">
        <f t="shared" si="7"/>
        <v>1.0739466019686279</v>
      </c>
      <c r="Q35" s="10">
        <f t="shared" si="7"/>
        <v>1.4954191531156156E-2</v>
      </c>
      <c r="R35" s="10">
        <f t="shared" si="7"/>
        <v>0.59284720342899921</v>
      </c>
      <c r="S35" s="10">
        <f t="shared" si="7"/>
        <v>0.71783389910343509</v>
      </c>
      <c r="T35" s="10">
        <f t="shared" si="7"/>
        <v>1.1778264932154126</v>
      </c>
      <c r="U35" s="10">
        <f t="shared" si="7"/>
        <v>1.330529259443008</v>
      </c>
      <c r="V35" s="10">
        <f t="shared" si="7"/>
        <v>1.0850617017920106</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7"/>
        <v>0.71611775008509226</v>
      </c>
      <c r="P36" s="10" t="str">
        <f t="shared" si="7"/>
        <v/>
      </c>
      <c r="Q36" s="10" t="str">
        <f t="shared" si="7"/>
        <v/>
      </c>
      <c r="R36" s="10" t="str">
        <f t="shared" si="7"/>
        <v/>
      </c>
      <c r="S36" s="10" t="str">
        <f t="shared" si="7"/>
        <v/>
      </c>
      <c r="T36" s="10" t="str">
        <f t="shared" si="7"/>
        <v/>
      </c>
      <c r="U36" s="10" t="str">
        <f t="shared" si="7"/>
        <v/>
      </c>
      <c r="V36" s="10" t="str">
        <f t="shared" si="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7"/>
        <v>1.1488896646390996</v>
      </c>
      <c r="P37" s="10" t="str">
        <f t="shared" si="7"/>
        <v/>
      </c>
      <c r="Q37" s="10" t="str">
        <f t="shared" si="7"/>
        <v/>
      </c>
      <c r="R37" s="10" t="str">
        <f t="shared" si="7"/>
        <v/>
      </c>
      <c r="S37" s="10" t="str">
        <f t="shared" si="7"/>
        <v/>
      </c>
      <c r="T37" s="10" t="str">
        <f t="shared" si="7"/>
        <v/>
      </c>
      <c r="U37" s="10" t="str">
        <f t="shared" si="7"/>
        <v/>
      </c>
      <c r="V37" s="10" t="str">
        <f t="shared" si="7"/>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si="7"/>
        <v>0.79892476779430721</v>
      </c>
      <c r="P38" s="10" t="str">
        <f t="shared" si="7"/>
        <v/>
      </c>
      <c r="Q38" s="10" t="str">
        <f t="shared" si="7"/>
        <v/>
      </c>
      <c r="R38" s="10" t="str">
        <f t="shared" si="7"/>
        <v/>
      </c>
      <c r="S38" s="10" t="str">
        <f t="shared" si="7"/>
        <v/>
      </c>
      <c r="T38" s="10" t="str">
        <f t="shared" si="7"/>
        <v/>
      </c>
      <c r="U38" s="10" t="str">
        <f t="shared" si="7"/>
        <v/>
      </c>
      <c r="V38" s="10" t="str">
        <f t="shared" si="7"/>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si="7"/>
        <v>0.92204799783596325</v>
      </c>
      <c r="P39" s="10" t="str">
        <f t="shared" si="7"/>
        <v/>
      </c>
      <c r="Q39" s="10" t="str">
        <f t="shared" ref="Q39:V39" si="8">IF(Q16="","",(Q16/$O$23))</f>
        <v/>
      </c>
      <c r="R39" s="10" t="str">
        <f t="shared" si="8"/>
        <v/>
      </c>
      <c r="S39" s="10" t="str">
        <f t="shared" si="8"/>
        <v/>
      </c>
      <c r="T39" s="10" t="str">
        <f t="shared" si="8"/>
        <v/>
      </c>
      <c r="U39" s="10" t="str">
        <f t="shared" si="8"/>
        <v/>
      </c>
      <c r="V39" s="10" t="str">
        <f t="shared" si="8"/>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3" si="9">IF(O17="","",(O17/$O$23))</f>
        <v>1.1230710848612739</v>
      </c>
      <c r="P40" s="10" t="str">
        <f t="shared" si="9"/>
        <v/>
      </c>
      <c r="Q40" s="10" t="str">
        <f t="shared" si="9"/>
        <v/>
      </c>
      <c r="R40" s="10" t="str">
        <f t="shared" si="9"/>
        <v/>
      </c>
      <c r="S40" s="10" t="str">
        <f t="shared" si="9"/>
        <v/>
      </c>
      <c r="T40" s="10" t="str">
        <f t="shared" si="9"/>
        <v/>
      </c>
      <c r="U40" s="10" t="str">
        <f t="shared" si="9"/>
        <v/>
      </c>
      <c r="V40" s="10" t="str">
        <f t="shared" si="9"/>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si="9"/>
        <v>1.549800473406606</v>
      </c>
      <c r="P41" s="10" t="str">
        <f t="shared" si="9"/>
        <v/>
      </c>
      <c r="Q41" s="10" t="str">
        <f t="shared" si="9"/>
        <v/>
      </c>
      <c r="R41" s="10" t="str">
        <f t="shared" si="9"/>
        <v/>
      </c>
      <c r="S41" s="10" t="str">
        <f t="shared" si="9"/>
        <v/>
      </c>
      <c r="T41" s="10" t="str">
        <f t="shared" si="9"/>
        <v/>
      </c>
      <c r="U41" s="10" t="str">
        <f t="shared" si="9"/>
        <v/>
      </c>
      <c r="V41" s="10" t="str">
        <f t="shared" si="9"/>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si="9"/>
        <v>1.1076566585071517</v>
      </c>
      <c r="P42" s="10" t="str">
        <f t="shared" si="9"/>
        <v/>
      </c>
      <c r="Q42" s="10" t="str">
        <f t="shared" si="9"/>
        <v/>
      </c>
      <c r="R42" s="10" t="str">
        <f t="shared" si="9"/>
        <v/>
      </c>
      <c r="S42" s="10" t="str">
        <f t="shared" si="9"/>
        <v/>
      </c>
      <c r="T42" s="10" t="str">
        <f t="shared" si="9"/>
        <v/>
      </c>
      <c r="U42" s="10" t="str">
        <f t="shared" si="9"/>
        <v/>
      </c>
      <c r="V42" s="10" t="str">
        <f t="shared" si="9"/>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si="9"/>
        <v>0.81819393176662947</v>
      </c>
      <c r="P43" s="10" t="str">
        <f t="shared" si="9"/>
        <v/>
      </c>
      <c r="Q43" s="10" t="str">
        <f t="shared" si="9"/>
        <v/>
      </c>
      <c r="R43" s="10" t="str">
        <f t="shared" si="9"/>
        <v/>
      </c>
      <c r="S43" s="10" t="str">
        <f t="shared" si="9"/>
        <v/>
      </c>
      <c r="T43" s="10" t="str">
        <f t="shared" si="9"/>
        <v/>
      </c>
      <c r="U43" s="10" t="str">
        <f t="shared" si="9"/>
        <v/>
      </c>
      <c r="V43" s="10" t="str">
        <f t="shared" si="9"/>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V45" si="10">B4</f>
        <v>Solvent control</v>
      </c>
      <c r="C45" s="6" t="str">
        <f t="shared" si="10"/>
        <v>EE2-33.8ng/L</v>
      </c>
      <c r="D45" s="6" t="str">
        <f t="shared" si="10"/>
        <v>EE2-50.6ng/L</v>
      </c>
      <c r="E45" s="6" t="str">
        <f t="shared" si="10"/>
        <v>EE2-76ng/L</v>
      </c>
      <c r="F45" s="6" t="str">
        <f t="shared" si="10"/>
        <v>EE2-114ng/L</v>
      </c>
      <c r="G45" s="6" t="str">
        <f t="shared" si="10"/>
        <v>EE2-170.9ng/L</v>
      </c>
      <c r="H45" s="6" t="str">
        <f t="shared" si="10"/>
        <v>EE2-488ng/L</v>
      </c>
      <c r="I45" s="6" t="str">
        <f t="shared" si="10"/>
        <v>cefuroxime-10mg/L</v>
      </c>
      <c r="J45" s="6" t="str">
        <f t="shared" si="10"/>
        <v>cefuroxime-1mg/L</v>
      </c>
      <c r="K45" s="6" t="str">
        <f t="shared" si="10"/>
        <v>cefuroxime-0.1mg/L</v>
      </c>
      <c r="L45" s="6" t="str">
        <f t="shared" si="10"/>
        <v>cefuroxime-0.01mg/L</v>
      </c>
      <c r="M45" s="6" t="str">
        <f t="shared" si="10"/>
        <v>cefuroxime-0.001mg/L</v>
      </c>
      <c r="N45" s="6" t="str">
        <f t="shared" si="10"/>
        <v/>
      </c>
      <c r="O45" s="6" t="str">
        <f t="shared" si="10"/>
        <v>Testo -30µg/L</v>
      </c>
      <c r="P45" s="6" t="str">
        <f t="shared" si="10"/>
        <v>Testo 30µg/L + EE2 -64ng/L</v>
      </c>
      <c r="Q45" s="6" t="str">
        <f t="shared" si="10"/>
        <v>Testo 30µg/L + FAD-10mg/L</v>
      </c>
      <c r="R45" s="6" t="str">
        <f t="shared" si="10"/>
        <v>cefuroxime-10mg/L + Testostérone</v>
      </c>
      <c r="S45" s="6" t="str">
        <f t="shared" si="10"/>
        <v>cefuroxime-1mg/L + Testostérone</v>
      </c>
      <c r="T45" s="6" t="str">
        <f t="shared" si="10"/>
        <v>cefuroxime-0.1mg/L + Testostérone</v>
      </c>
      <c r="U45" s="6" t="str">
        <f t="shared" si="10"/>
        <v>cefuroxime-0.01mg/L + Testostérone</v>
      </c>
      <c r="V45" s="6" t="str">
        <f t="shared" si="10"/>
        <v>cefuroxime-0.001mg/L + Testostérone</v>
      </c>
    </row>
    <row r="46" spans="1:22">
      <c r="A46" s="7" t="s">
        <v>0</v>
      </c>
      <c r="B46" s="9">
        <f t="shared" ref="B46:H46" si="11">AVERAGE(B28:B43)</f>
        <v>9.4953699061987612E-2</v>
      </c>
      <c r="C46" s="9">
        <f t="shared" si="11"/>
        <v>0.23453832370328331</v>
      </c>
      <c r="D46" s="9">
        <f t="shared" si="11"/>
        <v>0.44664241472006844</v>
      </c>
      <c r="E46" s="9">
        <f t="shared" si="11"/>
        <v>0.68929796163712287</v>
      </c>
      <c r="F46" s="9">
        <f t="shared" si="11"/>
        <v>1.0422713031500002</v>
      </c>
      <c r="G46" s="9">
        <f t="shared" si="11"/>
        <v>1.2371454531252413</v>
      </c>
      <c r="H46" s="9">
        <f t="shared" si="11"/>
        <v>1.7428777706839704</v>
      </c>
      <c r="I46" s="9">
        <f>AVERAGE(I28:I43)</f>
        <v>8.8641999773558425E-2</v>
      </c>
      <c r="J46" s="8">
        <f>AVERAGE(J28:J43)</f>
        <v>0.19167434922496779</v>
      </c>
      <c r="K46" s="8">
        <f t="shared" ref="K46:N46" si="12">AVERAGE(K28:K43)</f>
        <v>0.1209797403132316</v>
      </c>
      <c r="L46" s="8">
        <f t="shared" si="12"/>
        <v>0.16928495715223696</v>
      </c>
      <c r="M46" s="8">
        <f t="shared" si="12"/>
        <v>0.16086136627677167</v>
      </c>
      <c r="N46" s="8" t="e">
        <f t="shared" si="12"/>
        <v>#DIV/0!</v>
      </c>
      <c r="O46" s="9">
        <f t="shared" ref="O46:V46" si="13">AVERAGE(O28:O43)</f>
        <v>0.99999999999999989</v>
      </c>
      <c r="P46" s="9">
        <f t="shared" si="13"/>
        <v>1.5462675137293453</v>
      </c>
      <c r="Q46" s="9">
        <f t="shared" si="13"/>
        <v>0.11135540828344925</v>
      </c>
      <c r="R46" s="9">
        <f t="shared" si="13"/>
        <v>0.79413886287455193</v>
      </c>
      <c r="S46" s="9">
        <f t="shared" si="13"/>
        <v>0.93865279757243336</v>
      </c>
      <c r="T46" s="9">
        <f t="shared" si="13"/>
        <v>0.9169459583420565</v>
      </c>
      <c r="U46" s="9">
        <f t="shared" si="13"/>
        <v>1.1043990338650311</v>
      </c>
      <c r="V46" s="9">
        <f t="shared" si="13"/>
        <v>1.1823581167460608</v>
      </c>
    </row>
    <row r="47" spans="1:22">
      <c r="A47" s="7" t="s">
        <v>1</v>
      </c>
      <c r="B47" s="7">
        <f t="shared" ref="B47:N47" si="14">STDEV(B28:B43)</f>
        <v>6.0481785908327201E-2</v>
      </c>
      <c r="C47" s="7">
        <f t="shared" si="14"/>
        <v>0.28148509867029192</v>
      </c>
      <c r="D47" s="7">
        <f t="shared" si="14"/>
        <v>0.29114883633146166</v>
      </c>
      <c r="E47" s="7">
        <f t="shared" si="14"/>
        <v>0.21675278933248415</v>
      </c>
      <c r="F47" s="7">
        <f t="shared" si="14"/>
        <v>0.32712588913916119</v>
      </c>
      <c r="G47" s="7">
        <f t="shared" si="14"/>
        <v>0.25798993929236719</v>
      </c>
      <c r="H47" s="7">
        <f t="shared" si="14"/>
        <v>0.30056932061159625</v>
      </c>
      <c r="I47" s="7">
        <f t="shared" si="14"/>
        <v>0.10780436817476387</v>
      </c>
      <c r="J47" s="7">
        <f t="shared" si="14"/>
        <v>6.4217706500867916E-2</v>
      </c>
      <c r="K47" s="7">
        <f t="shared" si="14"/>
        <v>8.4998147643596131E-2</v>
      </c>
      <c r="L47" s="7">
        <f t="shared" si="14"/>
        <v>6.4241545902166561E-2</v>
      </c>
      <c r="M47" s="7">
        <f t="shared" si="14"/>
        <v>7.2128971585326079E-2</v>
      </c>
      <c r="N47" s="7" t="e">
        <f t="shared" si="14"/>
        <v>#DIV/0!</v>
      </c>
      <c r="O47" s="7">
        <f t="shared" ref="O47:V47" si="15">STDEV(O28:O43)</f>
        <v>0.27675777485708303</v>
      </c>
      <c r="P47" s="7">
        <f t="shared" si="15"/>
        <v>0.35780890940979065</v>
      </c>
      <c r="Q47" s="7">
        <f t="shared" si="15"/>
        <v>5.7240040907229124E-2</v>
      </c>
      <c r="R47" s="7">
        <f t="shared" si="15"/>
        <v>0.33653699737587423</v>
      </c>
      <c r="S47" s="7">
        <f t="shared" si="15"/>
        <v>0.40994597329446908</v>
      </c>
      <c r="T47" s="7">
        <f t="shared" si="15"/>
        <v>0.40830651078380314</v>
      </c>
      <c r="U47" s="7">
        <f t="shared" si="15"/>
        <v>0.35000328038344858</v>
      </c>
      <c r="V47" s="7">
        <f t="shared" si="15"/>
        <v>0.31603182281199954</v>
      </c>
    </row>
    <row r="48" spans="1:22">
      <c r="A48" s="7" t="s">
        <v>2</v>
      </c>
      <c r="B48" s="7">
        <f t="shared" ref="B48:N48" si="16" xml:space="preserve"> B47/SQRT(COUNT(B28:B43))</f>
        <v>2.1383540477025568E-2</v>
      </c>
      <c r="C48" s="7">
        <f t="shared" si="16"/>
        <v>9.9520011036363917E-2</v>
      </c>
      <c r="D48" s="7">
        <f t="shared" si="16"/>
        <v>0.1029366582522744</v>
      </c>
      <c r="E48" s="7">
        <f t="shared" si="16"/>
        <v>7.6633683589049345E-2</v>
      </c>
      <c r="F48" s="7">
        <f t="shared" si="16"/>
        <v>0.11565646725598981</v>
      </c>
      <c r="G48" s="7">
        <f t="shared" si="16"/>
        <v>9.1213217775769281E-2</v>
      </c>
      <c r="H48" s="7">
        <f t="shared" si="16"/>
        <v>0.1062673024105466</v>
      </c>
      <c r="I48" s="7">
        <f t="shared" si="16"/>
        <v>3.8114599888953375E-2</v>
      </c>
      <c r="J48" s="7">
        <f t="shared" si="16"/>
        <v>2.2704387869505568E-2</v>
      </c>
      <c r="K48" s="7">
        <f t="shared" si="16"/>
        <v>3.0051383293541092E-2</v>
      </c>
      <c r="L48" s="7">
        <f t="shared" si="16"/>
        <v>2.271281637066442E-2</v>
      </c>
      <c r="M48" s="7">
        <f t="shared" si="16"/>
        <v>2.5501442463997933E-2</v>
      </c>
      <c r="N48" s="7" t="e">
        <f t="shared" si="16"/>
        <v>#DIV/0!</v>
      </c>
      <c r="O48" s="7">
        <f t="shared" ref="O48:V48" si="17" xml:space="preserve"> O47/SQRT(COUNT(O28:O43))</f>
        <v>6.9189443714270757E-2</v>
      </c>
      <c r="P48" s="7">
        <f t="shared" si="17"/>
        <v>0.12650455310631301</v>
      </c>
      <c r="Q48" s="7">
        <f t="shared" si="17"/>
        <v>2.0237410540448544E-2</v>
      </c>
      <c r="R48" s="7">
        <f t="shared" si="17"/>
        <v>0.11898379648231999</v>
      </c>
      <c r="S48" s="7">
        <f t="shared" si="17"/>
        <v>0.1449377888183192</v>
      </c>
      <c r="T48" s="7">
        <f t="shared" si="17"/>
        <v>0.14435815128892268</v>
      </c>
      <c r="U48" s="7">
        <f t="shared" si="17"/>
        <v>0.1237448464983365</v>
      </c>
      <c r="V48" s="7">
        <f t="shared" si="17"/>
        <v>0.11173412249055516</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row r="52" spans="1:22">
      <c r="A52" s="28" t="str">
        <f t="shared" ref="A52:H52" si="18">A27</f>
        <v>Noms des groupes</v>
      </c>
      <c r="B52" s="29" t="str">
        <f t="shared" si="18"/>
        <v>Solvent control</v>
      </c>
      <c r="C52" s="29" t="str">
        <f t="shared" si="18"/>
        <v>EE2-33.8ng/L</v>
      </c>
      <c r="D52" s="29" t="str">
        <f t="shared" si="18"/>
        <v>EE2-50.6ng/L</v>
      </c>
      <c r="E52" s="29" t="str">
        <f t="shared" si="18"/>
        <v>EE2-76ng/L</v>
      </c>
      <c r="F52" s="29" t="str">
        <f t="shared" si="18"/>
        <v>EE2-114ng/L</v>
      </c>
      <c r="G52" s="29" t="str">
        <f t="shared" si="18"/>
        <v>EE2-170.9ng/L</v>
      </c>
      <c r="H52" s="29" t="str">
        <f t="shared" si="18"/>
        <v>EE2-488ng/L</v>
      </c>
      <c r="I52" s="29" t="str">
        <f>I4</f>
        <v>cefuroxime-10mg/L</v>
      </c>
      <c r="J52" s="29" t="str">
        <f>J4</f>
        <v>cefuroxime-1mg/L</v>
      </c>
      <c r="K52" s="29" t="str">
        <f t="shared" ref="K52:N52" si="19">K4</f>
        <v>cefuroxime-0.1mg/L</v>
      </c>
      <c r="L52" s="29" t="str">
        <f t="shared" si="19"/>
        <v>cefuroxime-0.01mg/L</v>
      </c>
      <c r="M52" s="29" t="str">
        <f t="shared" si="19"/>
        <v>cefuroxime-0.001mg/L</v>
      </c>
      <c r="N52" s="29" t="str">
        <f t="shared" si="19"/>
        <v/>
      </c>
      <c r="O52" s="29" t="str">
        <f>O27</f>
        <v>Testo -30µg/L</v>
      </c>
      <c r="P52" s="29" t="str">
        <f>P27</f>
        <v>Testo 30µg/L + EE2 -64ng/L</v>
      </c>
      <c r="Q52" s="29" t="str">
        <f>Q27</f>
        <v>Testo 30µg/L + FAD-10mg/L</v>
      </c>
      <c r="R52" s="29" t="str">
        <f>R27</f>
        <v>cefuroxime-10mg/L + Testostérone</v>
      </c>
      <c r="S52" s="29" t="str">
        <f t="shared" ref="S52:V52" si="20">S27</f>
        <v>cefuroxime-1mg/L + Testostérone</v>
      </c>
      <c r="T52" s="29" t="str">
        <f t="shared" si="20"/>
        <v>cefuroxime-0.1mg/L + Testostérone</v>
      </c>
      <c r="U52" s="29" t="str">
        <f t="shared" si="20"/>
        <v>cefuroxime-0.01mg/L + Testostérone</v>
      </c>
      <c r="V52" s="29" t="str">
        <f t="shared" si="20"/>
        <v>cefuroxime-0.001mg/L + Testostérone</v>
      </c>
    </row>
    <row r="53" spans="1:22" s="3" customFormat="1">
      <c r="A53" s="43" t="s">
        <v>15</v>
      </c>
      <c r="B53" s="75">
        <f t="shared" ref="B53:V53" si="21">B46</f>
        <v>9.4953699061987612E-2</v>
      </c>
      <c r="C53" s="75">
        <f t="shared" si="21"/>
        <v>0.23453832370328331</v>
      </c>
      <c r="D53" s="75">
        <f t="shared" si="21"/>
        <v>0.44664241472006844</v>
      </c>
      <c r="E53" s="75">
        <f t="shared" si="21"/>
        <v>0.68929796163712287</v>
      </c>
      <c r="F53" s="75">
        <f t="shared" si="21"/>
        <v>1.0422713031500002</v>
      </c>
      <c r="G53" s="75">
        <f t="shared" si="21"/>
        <v>1.2371454531252413</v>
      </c>
      <c r="H53" s="75">
        <f t="shared" si="21"/>
        <v>1.7428777706839704</v>
      </c>
      <c r="I53" s="75">
        <f t="shared" si="21"/>
        <v>8.8641999773558425E-2</v>
      </c>
      <c r="J53" s="75">
        <f t="shared" si="21"/>
        <v>0.19167434922496779</v>
      </c>
      <c r="K53" s="75">
        <f t="shared" si="21"/>
        <v>0.1209797403132316</v>
      </c>
      <c r="L53" s="75">
        <f t="shared" si="21"/>
        <v>0.16928495715223696</v>
      </c>
      <c r="M53" s="75">
        <f t="shared" si="21"/>
        <v>0.16086136627677167</v>
      </c>
      <c r="N53" s="75" t="e">
        <f t="shared" si="21"/>
        <v>#DIV/0!</v>
      </c>
      <c r="O53" s="75">
        <f t="shared" si="21"/>
        <v>0.99999999999999989</v>
      </c>
      <c r="P53" s="75">
        <f t="shared" si="21"/>
        <v>1.5462675137293453</v>
      </c>
      <c r="Q53" s="75">
        <f t="shared" si="21"/>
        <v>0.11135540828344925</v>
      </c>
      <c r="R53" s="75">
        <f t="shared" si="21"/>
        <v>0.79413886287455193</v>
      </c>
      <c r="S53" s="75">
        <f t="shared" si="21"/>
        <v>0.93865279757243336</v>
      </c>
      <c r="T53" s="75">
        <f t="shared" si="21"/>
        <v>0.9169459583420565</v>
      </c>
      <c r="U53" s="75">
        <f t="shared" si="21"/>
        <v>1.1043990338650311</v>
      </c>
      <c r="V53" s="75">
        <f t="shared" si="21"/>
        <v>1.1823581167460608</v>
      </c>
    </row>
    <row r="54" spans="1:22" s="3" customFormat="1">
      <c r="A54" s="43" t="s">
        <v>2</v>
      </c>
      <c r="B54" s="75">
        <f t="shared" ref="B54:V54" si="22">B48</f>
        <v>2.1383540477025568E-2</v>
      </c>
      <c r="C54" s="75">
        <f t="shared" si="22"/>
        <v>9.9520011036363917E-2</v>
      </c>
      <c r="D54" s="75">
        <f t="shared" si="22"/>
        <v>0.1029366582522744</v>
      </c>
      <c r="E54" s="75">
        <f t="shared" si="22"/>
        <v>7.6633683589049345E-2</v>
      </c>
      <c r="F54" s="75">
        <f t="shared" si="22"/>
        <v>0.11565646725598981</v>
      </c>
      <c r="G54" s="75">
        <f t="shared" si="22"/>
        <v>9.1213217775769281E-2</v>
      </c>
      <c r="H54" s="75">
        <f t="shared" si="22"/>
        <v>0.1062673024105466</v>
      </c>
      <c r="I54" s="75">
        <f t="shared" si="22"/>
        <v>3.8114599888953375E-2</v>
      </c>
      <c r="J54" s="75">
        <f t="shared" si="22"/>
        <v>2.2704387869505568E-2</v>
      </c>
      <c r="K54" s="75">
        <f t="shared" si="22"/>
        <v>3.0051383293541092E-2</v>
      </c>
      <c r="L54" s="75">
        <f t="shared" si="22"/>
        <v>2.271281637066442E-2</v>
      </c>
      <c r="M54" s="75">
        <f t="shared" si="22"/>
        <v>2.5501442463997933E-2</v>
      </c>
      <c r="N54" s="75" t="e">
        <f t="shared" si="22"/>
        <v>#DIV/0!</v>
      </c>
      <c r="O54" s="75">
        <f t="shared" si="22"/>
        <v>6.9189443714270757E-2</v>
      </c>
      <c r="P54" s="75">
        <f t="shared" si="22"/>
        <v>0.12650455310631301</v>
      </c>
      <c r="Q54" s="75">
        <f t="shared" si="22"/>
        <v>2.0237410540448544E-2</v>
      </c>
      <c r="R54" s="75">
        <f t="shared" si="22"/>
        <v>0.11898379648231999</v>
      </c>
      <c r="S54" s="75">
        <f t="shared" si="22"/>
        <v>0.1449377888183192</v>
      </c>
      <c r="T54" s="75">
        <f t="shared" si="22"/>
        <v>0.14435815128892268</v>
      </c>
      <c r="U54" s="75">
        <f t="shared" si="22"/>
        <v>0.1237448464983365</v>
      </c>
      <c r="V54" s="75">
        <f t="shared" si="22"/>
        <v>0.11173412249055516</v>
      </c>
    </row>
    <row r="55" spans="1:22" s="3" customFormat="1">
      <c r="A55" s="43" t="s">
        <v>42</v>
      </c>
      <c r="B55" s="75">
        <f>(B53*100/$B53)-100</f>
        <v>0</v>
      </c>
      <c r="C55" s="75">
        <f t="shared" ref="C55:N55" si="23">(C53*100/$B53)-100</f>
        <v>147.0028298214819</v>
      </c>
      <c r="D55" s="75">
        <f t="shared" si="23"/>
        <v>370.37916282597018</v>
      </c>
      <c r="E55" s="75">
        <f t="shared" si="23"/>
        <v>625.93060454352155</v>
      </c>
      <c r="F55" s="75">
        <f t="shared" si="23"/>
        <v>997.66266448407168</v>
      </c>
      <c r="G55" s="75">
        <f t="shared" si="23"/>
        <v>1202.8933736616293</v>
      </c>
      <c r="H55" s="75">
        <f t="shared" si="23"/>
        <v>1735.5027638746187</v>
      </c>
      <c r="I55" s="75">
        <f t="shared" si="23"/>
        <v>-6.6471336564874548</v>
      </c>
      <c r="J55" s="75">
        <f t="shared" si="23"/>
        <v>101.86085546792555</v>
      </c>
      <c r="K55" s="75">
        <f t="shared" si="23"/>
        <v>27.409191541083288</v>
      </c>
      <c r="L55" s="75">
        <f t="shared" si="23"/>
        <v>78.281582312790647</v>
      </c>
      <c r="M55" s="75">
        <f t="shared" si="23"/>
        <v>69.410320888876868</v>
      </c>
      <c r="N55" s="75" t="e">
        <f t="shared" si="23"/>
        <v>#DIV/0!</v>
      </c>
      <c r="O55" s="75">
        <f>(O53*100/$O53)-100</f>
        <v>0</v>
      </c>
      <c r="P55" s="75">
        <f t="shared" ref="P55:V55" si="24">(P53*100/$O53)-100</f>
        <v>54.626751372934564</v>
      </c>
      <c r="Q55" s="75">
        <f t="shared" si="24"/>
        <v>-88.864459171655071</v>
      </c>
      <c r="R55" s="75">
        <f t="shared" si="24"/>
        <v>-20.586113712544787</v>
      </c>
      <c r="S55" s="75">
        <f t="shared" si="24"/>
        <v>-6.134720242756643</v>
      </c>
      <c r="T55" s="75">
        <f t="shared" si="24"/>
        <v>-8.3054041657943429</v>
      </c>
      <c r="U55" s="75">
        <f t="shared" si="24"/>
        <v>10.439903386503133</v>
      </c>
      <c r="V55" s="75">
        <f t="shared" si="24"/>
        <v>18.235811674606097</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25">IF(C56&gt;0.05,"Oui","Non")</f>
        <v>#NAME?</v>
      </c>
      <c r="D57" s="75" t="e">
        <f t="shared" ca="1" si="25"/>
        <v>#NAME?</v>
      </c>
      <c r="E57" s="75" t="e">
        <f t="shared" ca="1" si="25"/>
        <v>#NAME?</v>
      </c>
      <c r="F57" s="75" t="e">
        <f t="shared" ca="1" si="25"/>
        <v>#NAME?</v>
      </c>
      <c r="G57" s="75" t="e">
        <f t="shared" ca="1" si="25"/>
        <v>#NAME?</v>
      </c>
      <c r="H57" s="75" t="e">
        <f t="shared" ca="1" si="25"/>
        <v>#NAME?</v>
      </c>
      <c r="I57" s="75" t="e">
        <f t="shared" ca="1" si="25"/>
        <v>#NAME?</v>
      </c>
      <c r="J57" s="75" t="e">
        <f t="shared" ca="1" si="25"/>
        <v>#NAME?</v>
      </c>
      <c r="K57" s="75" t="e">
        <f t="shared" ca="1" si="25"/>
        <v>#NAME?</v>
      </c>
      <c r="L57" s="75" t="e">
        <f t="shared" ca="1" si="25"/>
        <v>#NAME?</v>
      </c>
      <c r="M57" s="75" t="e">
        <f t="shared" ca="1" si="25"/>
        <v>#NAME?</v>
      </c>
      <c r="N57" s="75" t="e">
        <f t="shared" ca="1" si="25"/>
        <v>#NAME?</v>
      </c>
      <c r="O57" s="75" t="e">
        <f t="shared" ca="1" si="25"/>
        <v>#NAME?</v>
      </c>
      <c r="P57" s="75" t="e">
        <f t="shared" ca="1" si="25"/>
        <v>#NAME?</v>
      </c>
      <c r="Q57" s="75" t="e">
        <f t="shared" ca="1" si="25"/>
        <v>#NAME?</v>
      </c>
      <c r="R57" s="75" t="e">
        <f t="shared" ca="1" si="25"/>
        <v>#NAME?</v>
      </c>
      <c r="S57" s="75" t="e">
        <f t="shared" ca="1" si="25"/>
        <v>#NAME?</v>
      </c>
      <c r="T57" s="75" t="e">
        <f t="shared" ca="1" si="25"/>
        <v>#NAME?</v>
      </c>
      <c r="U57" s="75" t="e">
        <f t="shared" ca="1" si="25"/>
        <v>#NAME?</v>
      </c>
      <c r="V57" s="75" t="e">
        <f t="shared" ca="1" si="25"/>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26">IF($B57="Non",IF(C57="Non","MW",IF(C57="Oui","MW","")),IF($B57="Oui",IF(C57="Oui","T-Test Welch",IF(C57="Non","MW",""))))</f>
        <v>#NAME?</v>
      </c>
      <c r="D59" s="78" t="e">
        <f t="shared" ca="1" si="26"/>
        <v>#NAME?</v>
      </c>
      <c r="E59" s="78" t="e">
        <f t="shared" ca="1" si="26"/>
        <v>#NAME?</v>
      </c>
      <c r="F59" s="78" t="e">
        <f t="shared" ca="1" si="26"/>
        <v>#NAME?</v>
      </c>
      <c r="G59" s="78" t="e">
        <f t="shared" ca="1" si="26"/>
        <v>#NAME?</v>
      </c>
      <c r="H59" s="78" t="e">
        <f t="shared" ca="1" si="26"/>
        <v>#NAME?</v>
      </c>
      <c r="I59" s="78" t="e">
        <f t="shared" ca="1" si="26"/>
        <v>#NAME?</v>
      </c>
      <c r="J59" s="78" t="e">
        <f t="shared" ca="1" si="26"/>
        <v>#NAME?</v>
      </c>
      <c r="K59" s="78" t="e">
        <f t="shared" ca="1" si="26"/>
        <v>#NAME?</v>
      </c>
      <c r="L59" s="78" t="e">
        <f t="shared" ca="1" si="26"/>
        <v>#NAME?</v>
      </c>
      <c r="M59" s="78" t="e">
        <f t="shared" ca="1" si="26"/>
        <v>#NAME?</v>
      </c>
      <c r="N59" s="78" t="e">
        <f t="shared" ca="1" si="26"/>
        <v>#NAME?</v>
      </c>
      <c r="O59" s="78" t="e">
        <f t="shared" ca="1" si="26"/>
        <v>#NAME?</v>
      </c>
      <c r="P59" s="78" t="e">
        <f ca="1">IF($O57="Non",IF(P57="Non","MW",IF(P57="Oui","MW","")),IF($O57="Oui",IF(P57="Oui","T-Test Welch",IF(P57="Non","MW",""))))</f>
        <v>#NAME?</v>
      </c>
      <c r="Q59" s="78" t="e">
        <f t="shared" ref="Q59:V59" ca="1" si="27">IF($O57="Non",IF(Q57="Non","MW",IF(Q57="Oui","MW","")),IF($O57="Oui",IF(Q57="Oui","T-Test Welch",IF(Q57="Non","MW",""))))</f>
        <v>#NAME?</v>
      </c>
      <c r="R59" s="78" t="e">
        <f t="shared" ca="1" si="27"/>
        <v>#NAME?</v>
      </c>
      <c r="S59" s="78" t="e">
        <f t="shared" ca="1" si="27"/>
        <v>#NAME?</v>
      </c>
      <c r="T59" s="78" t="e">
        <f t="shared" ca="1" si="27"/>
        <v>#NAME?</v>
      </c>
      <c r="U59" s="78" t="e">
        <f t="shared" ca="1" si="27"/>
        <v>#NAME?</v>
      </c>
      <c r="V59" s="78" t="e">
        <f t="shared" ca="1" si="27"/>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28">IF(C60&gt;0.05,"NS",IF(C60&gt;0.01,"*",IF(C60&gt;0.001,"**","***")))</f>
        <v>#NAME?</v>
      </c>
      <c r="D61" s="76" t="e">
        <f t="shared" ca="1" si="28"/>
        <v>#NAME?</v>
      </c>
      <c r="E61" s="76" t="e">
        <f t="shared" ca="1" si="28"/>
        <v>#NAME?</v>
      </c>
      <c r="F61" s="76" t="e">
        <f t="shared" ca="1" si="28"/>
        <v>#NAME?</v>
      </c>
      <c r="G61" s="76" t="e">
        <f t="shared" ca="1" si="28"/>
        <v>#NAME?</v>
      </c>
      <c r="H61" s="76" t="e">
        <f t="shared" ca="1" si="28"/>
        <v>#NAME?</v>
      </c>
      <c r="I61" s="76" t="e">
        <f t="shared" ca="1" si="28"/>
        <v>#NAME?</v>
      </c>
      <c r="J61" s="76" t="e">
        <f t="shared" ca="1" si="28"/>
        <v>#NAME?</v>
      </c>
      <c r="K61" s="76" t="e">
        <f t="shared" ca="1" si="28"/>
        <v>#NAME?</v>
      </c>
      <c r="L61" s="76" t="e">
        <f t="shared" ca="1" si="28"/>
        <v>#NAME?</v>
      </c>
      <c r="M61" s="76" t="e">
        <f t="shared" ca="1" si="28"/>
        <v>#NAME?</v>
      </c>
      <c r="N61" s="76" t="e">
        <f t="shared" ca="1" si="28"/>
        <v>#NAME?</v>
      </c>
      <c r="O61" s="76" t="e">
        <f t="shared" ca="1" si="28"/>
        <v>#NAME?</v>
      </c>
      <c r="P61" s="76" t="e">
        <f ca="1">IF(P60&gt;0.05,"NS",IF(P60&gt;0.01,"*",IF(P60&gt;0.001,"**","***")))</f>
        <v>#NAME?</v>
      </c>
      <c r="Q61" s="76" t="e">
        <f t="shared" ref="Q61:V61" ca="1" si="29">IF(Q60&gt;0.05,"NS",IF(Q60&gt;0.01,"*",IF(Q60&gt;0.001,"**","***")))</f>
        <v>#NAME?</v>
      </c>
      <c r="R61" s="76" t="e">
        <f t="shared" ca="1" si="29"/>
        <v>#NAME?</v>
      </c>
      <c r="S61" s="76" t="e">
        <f t="shared" ca="1" si="29"/>
        <v>#NAME?</v>
      </c>
      <c r="T61" s="76" t="e">
        <f t="shared" ca="1" si="29"/>
        <v>#NAME?</v>
      </c>
      <c r="U61" s="76" t="e">
        <f t="shared" ca="1" si="29"/>
        <v>#NAME?</v>
      </c>
      <c r="V61" s="76" t="e">
        <f t="shared" ca="1" si="29"/>
        <v>#NAME?</v>
      </c>
    </row>
    <row r="63" spans="1:22">
      <c r="A63" s="2" t="s">
        <v>20</v>
      </c>
    </row>
    <row r="64" spans="1:22">
      <c r="A64" s="1" t="s">
        <v>13</v>
      </c>
      <c r="B64" s="1">
        <f>B46+(3*B47)</f>
        <v>0.27639905678696919</v>
      </c>
    </row>
    <row r="65" spans="1:22">
      <c r="A65" s="1" t="s">
        <v>14</v>
      </c>
      <c r="B65" s="1">
        <f>B46+(10*B47)</f>
        <v>0.6997715581452596</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N3"/>
    <mergeCell ref="O3:V3"/>
    <mergeCell ref="A5:A20"/>
    <mergeCell ref="B26:N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00"/>
  <sheetViews>
    <sheetView showGridLines="0" topLeftCell="F1" zoomScale="70" zoomScaleNormal="70" workbookViewId="0">
      <selection activeCell="D95" sqref="D95"/>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1" t="s">
        <v>7</v>
      </c>
      <c r="B1" s="37" t="e">
        <f>'Front page'!#REF!</f>
        <v>#REF!</v>
      </c>
      <c r="C1" s="22"/>
      <c r="D1" s="22"/>
      <c r="E1" s="22"/>
      <c r="F1" s="22"/>
      <c r="G1" s="22"/>
      <c r="H1" s="38"/>
      <c r="I1" s="37"/>
      <c r="J1" s="39"/>
      <c r="K1" s="39"/>
      <c r="L1" s="39"/>
      <c r="M1" s="39"/>
      <c r="N1" s="39"/>
      <c r="O1" s="39"/>
      <c r="P1" s="39"/>
      <c r="Q1" s="39"/>
      <c r="R1" s="39"/>
      <c r="S1" s="39"/>
      <c r="T1" s="39"/>
      <c r="U1" s="39"/>
      <c r="V1" s="39"/>
      <c r="W1" s="39"/>
    </row>
    <row r="2" spans="1:23" ht="15.75" thickBot="1">
      <c r="A2" s="1"/>
      <c r="B2" s="1"/>
      <c r="C2" s="1"/>
      <c r="D2" s="1"/>
      <c r="E2" s="1"/>
      <c r="F2" s="1"/>
      <c r="G2" s="1"/>
      <c r="H2" s="1"/>
      <c r="I2" s="1"/>
      <c r="J2" s="1"/>
      <c r="K2" s="1"/>
      <c r="L2" s="1"/>
      <c r="M2" s="1"/>
      <c r="N2" s="1"/>
    </row>
    <row r="3" spans="1:23" s="17" customFormat="1" ht="15.75" thickBot="1">
      <c r="B3" s="146" t="s">
        <v>6</v>
      </c>
      <c r="C3" s="147"/>
      <c r="D3" s="147"/>
      <c r="E3" s="147"/>
      <c r="F3" s="147"/>
      <c r="G3" s="147"/>
      <c r="H3" s="147"/>
      <c r="I3" s="147"/>
      <c r="J3" s="147"/>
      <c r="K3" s="147"/>
      <c r="L3" s="147"/>
      <c r="M3" s="147"/>
      <c r="N3" s="147"/>
      <c r="O3" s="53"/>
      <c r="P3" s="146" t="s">
        <v>3</v>
      </c>
      <c r="Q3" s="147"/>
      <c r="R3" s="147"/>
      <c r="S3" s="147"/>
      <c r="T3" s="147"/>
      <c r="U3" s="147"/>
      <c r="V3" s="147"/>
      <c r="W3" s="147"/>
    </row>
    <row r="4" spans="1:23">
      <c r="A4" s="18" t="s">
        <v>22</v>
      </c>
      <c r="B4" s="19" t="str">
        <f>'R1'!B4</f>
        <v>Solvent control</v>
      </c>
      <c r="C4" s="19" t="str">
        <f>'R1'!C4</f>
        <v>EE2-33.8ng/L</v>
      </c>
      <c r="D4" s="19" t="str">
        <f>'R1'!D4</f>
        <v>EE2-50.6ng/L</v>
      </c>
      <c r="E4" s="19" t="str">
        <f>'R1'!E4</f>
        <v>EE2-76ng/L</v>
      </c>
      <c r="F4" s="19" t="str">
        <f>'R1'!F4</f>
        <v>EE2-114ng/L</v>
      </c>
      <c r="G4" s="19" t="str">
        <f>'R1'!G4</f>
        <v>EE2-170.9ng/L</v>
      </c>
      <c r="H4" s="19" t="str">
        <f>'R1'!H4</f>
        <v>EE2-488ng/L</v>
      </c>
      <c r="I4" s="19" t="str">
        <f>'R1'!I4</f>
        <v>cefuroxime-10mg/L</v>
      </c>
      <c r="J4" s="19" t="str">
        <f>'R1'!J4</f>
        <v>cefuroxime-1mg/L</v>
      </c>
      <c r="K4" s="19" t="str">
        <f>'R1'!K4</f>
        <v>cefuroxime-0.1mg/L</v>
      </c>
      <c r="L4" s="19" t="str">
        <f>'R1'!L4</f>
        <v>cefuroxime-0.01mg/L</v>
      </c>
      <c r="M4" s="19" t="str">
        <f>'R1'!M4</f>
        <v>cefuroxime-0.001mg/L</v>
      </c>
      <c r="N4" s="19" t="str">
        <f>'R1'!N4</f>
        <v/>
      </c>
      <c r="P4" s="19" t="str">
        <f>'R1'!O4</f>
        <v>Testo -30µg/L</v>
      </c>
      <c r="Q4" s="19" t="str">
        <f>'R1'!P4</f>
        <v>Testo 30µg/L + EE2 -64ng/L</v>
      </c>
      <c r="R4" s="19" t="str">
        <f>'R1'!Q4</f>
        <v>Testo 30µg/L + FAD-10mg/L</v>
      </c>
      <c r="S4" s="19" t="str">
        <f>'R1'!R4</f>
        <v>cefuroxime-10mg/L + Testostérone</v>
      </c>
      <c r="T4" s="19" t="str">
        <f>'R1'!S4</f>
        <v>cefuroxime-1mg/L + Testostérone</v>
      </c>
      <c r="U4" s="19" t="str">
        <f>'R1'!T4</f>
        <v>cefuroxime-0.1mg/L + Testostérone</v>
      </c>
      <c r="V4" s="19" t="str">
        <f>'R1'!U4</f>
        <v>cefuroxime-0.01mg/L + Testostérone</v>
      </c>
      <c r="W4" s="19" t="str">
        <f>'R1'!V4</f>
        <v>cefuroxime-0.001mg/L + Testostérone</v>
      </c>
    </row>
    <row r="5" spans="1:23" s="1" customFormat="1">
      <c r="A5" s="18"/>
      <c r="B5" s="19"/>
      <c r="C5" s="111"/>
      <c r="D5" s="19"/>
      <c r="E5" s="19"/>
      <c r="F5" s="19"/>
      <c r="G5" s="19"/>
      <c r="H5" s="19"/>
      <c r="I5" s="19"/>
      <c r="J5" s="19"/>
      <c r="K5" s="19"/>
      <c r="L5" s="19"/>
      <c r="M5" s="19"/>
      <c r="N5" s="19"/>
      <c r="P5" s="19"/>
      <c r="Q5" s="19"/>
      <c r="R5" s="19"/>
      <c r="S5" s="19"/>
      <c r="T5" s="19"/>
      <c r="U5" s="19"/>
      <c r="V5" s="19"/>
      <c r="W5" s="19"/>
    </row>
    <row r="6" spans="1:23" s="1" customFormat="1">
      <c r="A6" s="52" t="s">
        <v>4</v>
      </c>
      <c r="B6" s="35">
        <f>'R1'!B28</f>
        <v>0.21690553190841097</v>
      </c>
      <c r="C6" s="35">
        <f>'R1'!C28</f>
        <v>0.6666615748048218</v>
      </c>
      <c r="D6" s="35">
        <f>'R1'!D28</f>
        <v>0.42235677570640423</v>
      </c>
      <c r="E6" s="35">
        <f>'R1'!E28</f>
        <v>0.75642588307632164</v>
      </c>
      <c r="F6" s="35">
        <f>'R1'!F28</f>
        <v>0.94715278713096918</v>
      </c>
      <c r="G6" s="35">
        <f>'R1'!G28</f>
        <v>0.98065765204273592</v>
      </c>
      <c r="H6" s="35">
        <f>'R1'!H28</f>
        <v>2.175975035139539</v>
      </c>
      <c r="I6" s="35">
        <f>'R1'!I28</f>
        <v>0.39883552017415325</v>
      </c>
      <c r="J6" s="35">
        <f>'R1'!J28</f>
        <v>0.42126397108054298</v>
      </c>
      <c r="K6" s="35">
        <f>'R1'!K28</f>
        <v>0.29808761053350563</v>
      </c>
      <c r="L6" s="35">
        <f>'R1'!L28</f>
        <v>0.16885185159656879</v>
      </c>
      <c r="M6" s="35">
        <f>'R1'!M28</f>
        <v>0.23105602296156469</v>
      </c>
      <c r="N6" s="35" t="str">
        <f>'R1'!N28</f>
        <v/>
      </c>
      <c r="O6"/>
      <c r="P6" s="35">
        <f>'R1'!O28</f>
        <v>0.77635874211721312</v>
      </c>
      <c r="Q6" s="35">
        <f>'R1'!P28</f>
        <v>1.7121052619486592</v>
      </c>
      <c r="R6" s="35">
        <f>'R1'!Q28</f>
        <v>0.14889738319077467</v>
      </c>
      <c r="S6" s="35">
        <f>'R1'!R28</f>
        <v>1.1167645266626962</v>
      </c>
      <c r="T6" s="35">
        <f>'R1'!S28</f>
        <v>0.95460843199488365</v>
      </c>
      <c r="U6" s="35">
        <f>'R1'!T28</f>
        <v>0.74213364783652691</v>
      </c>
      <c r="V6" s="35">
        <f>'R1'!U28</f>
        <v>0.82798028588403216</v>
      </c>
      <c r="W6" s="35">
        <f>'R1'!V28</f>
        <v>0.5821624172699229</v>
      </c>
    </row>
    <row r="7" spans="1:23" s="1" customFormat="1">
      <c r="A7" s="142" t="s">
        <v>17</v>
      </c>
      <c r="B7" s="35">
        <f>'R1'!B29</f>
        <v>0.18120951051331824</v>
      </c>
      <c r="C7" s="35">
        <f>'R1'!C29</f>
        <v>0.69237738139496197</v>
      </c>
      <c r="D7" s="35">
        <f>'R1'!D29</f>
        <v>0.25954652168190323</v>
      </c>
      <c r="E7" s="35">
        <f>'R1'!E29</f>
        <v>0.3642513461402766</v>
      </c>
      <c r="F7" s="35">
        <f>'R1'!F29</f>
        <v>0.72747769635145543</v>
      </c>
      <c r="G7" s="35">
        <f>'R1'!G29</f>
        <v>0.94249377494016184</v>
      </c>
      <c r="H7" s="35">
        <f>'R1'!H29</f>
        <v>1.664212534147816</v>
      </c>
      <c r="I7" s="35">
        <f>'R1'!I29</f>
        <v>0.44000856343529454</v>
      </c>
      <c r="J7" s="35">
        <f>'R1'!J29</f>
        <v>0.30936405605460976</v>
      </c>
      <c r="K7" s="35">
        <f>'R1'!K29</f>
        <v>0.1259095726319629</v>
      </c>
      <c r="L7" s="35">
        <f>'R1'!L29</f>
        <v>0.18500903298361143</v>
      </c>
      <c r="M7" s="35">
        <f>'R1'!M29</f>
        <v>0.14886045684308663</v>
      </c>
      <c r="N7" s="35" t="str">
        <f>'R1'!N29</f>
        <v/>
      </c>
      <c r="O7"/>
      <c r="P7" s="35">
        <f>'R1'!O29</f>
        <v>0.85775012524220751</v>
      </c>
      <c r="Q7" s="35">
        <f>'R1'!P29</f>
        <v>0.87903187230223168</v>
      </c>
      <c r="R7" s="35">
        <f>'R1'!Q29</f>
        <v>0.12237548933361542</v>
      </c>
      <c r="S7" s="35">
        <f>'R1'!R29</f>
        <v>1.0680819393171361</v>
      </c>
      <c r="T7" s="35">
        <f>'R1'!S29</f>
        <v>1.1910150496186414</v>
      </c>
      <c r="U7" s="35">
        <f>'R1'!T29</f>
        <v>1.1923147577038575</v>
      </c>
      <c r="V7" s="35">
        <f>'R1'!U29</f>
        <v>0.98140445844665058</v>
      </c>
      <c r="W7" s="35">
        <f>'R1'!V29</f>
        <v>0.67896525170656541</v>
      </c>
    </row>
    <row r="8" spans="1:23" s="1" customFormat="1">
      <c r="A8" s="151"/>
      <c r="B8" s="35">
        <f>'R1'!B30</f>
        <v>9.4408086274023265E-3</v>
      </c>
      <c r="C8" s="35">
        <f>'R1'!C30</f>
        <v>0.28914613554490692</v>
      </c>
      <c r="D8" s="35">
        <f>'R1'!D30</f>
        <v>0.27327583710570957</v>
      </c>
      <c r="E8" s="35">
        <f>'R1'!E30</f>
        <v>0.17775449596394399</v>
      </c>
      <c r="F8" s="35">
        <f>'R1'!F30</f>
        <v>0.81163209758193067</v>
      </c>
      <c r="G8" s="35">
        <f>'R1'!G30</f>
        <v>1.4386964568734721</v>
      </c>
      <c r="H8" s="35">
        <f>'R1'!H30</f>
        <v>1.6508547176524315</v>
      </c>
      <c r="I8" s="35">
        <f>'R1'!I30</f>
        <v>0.4208840271129638</v>
      </c>
      <c r="J8" s="35">
        <f>'R1'!J30</f>
        <v>0.38302375744754652</v>
      </c>
      <c r="K8" s="35">
        <f>'R1'!K30</f>
        <v>0.3717959122988479</v>
      </c>
      <c r="L8" s="35">
        <f>'R1'!L30</f>
        <v>0.20204218019697515</v>
      </c>
      <c r="M8" s="35">
        <f>'R1'!M30</f>
        <v>0.3675749658157027</v>
      </c>
      <c r="N8" s="35" t="str">
        <f>'R1'!N30</f>
        <v/>
      </c>
      <c r="O8"/>
      <c r="P8" s="35">
        <f>'R1'!O30</f>
        <v>0.98749126181656066</v>
      </c>
      <c r="Q8" s="35">
        <f>'R1'!P30</f>
        <v>1.701487032714819</v>
      </c>
      <c r="R8" s="35">
        <f>'R1'!Q30</f>
        <v>0.27615915562193188</v>
      </c>
      <c r="S8" s="35">
        <f>'R1'!R30</f>
        <v>0.85245086317097107</v>
      </c>
      <c r="T8" s="35">
        <f>'R1'!S30</f>
        <v>0.96302614896672356</v>
      </c>
      <c r="U8" s="35">
        <f>'R1'!T30</f>
        <v>0.9591670972498213</v>
      </c>
      <c r="V8" s="35">
        <f>'R1'!U30</f>
        <v>1.0270223245231083</v>
      </c>
      <c r="W8" s="35">
        <f>'R1'!V30</f>
        <v>1.3834144853989516</v>
      </c>
    </row>
    <row r="9" spans="1:23" s="1" customFormat="1">
      <c r="A9" s="151"/>
      <c r="B9" s="35">
        <f>'R1'!B31</f>
        <v>0.16992395759704443</v>
      </c>
      <c r="C9" s="35">
        <f>'R1'!C31</f>
        <v>0.21126722635335737</v>
      </c>
      <c r="D9" s="35">
        <f>'R1'!D31</f>
        <v>0.3793051252052605</v>
      </c>
      <c r="E9" s="35">
        <f>'R1'!E31</f>
        <v>0.30117071218195035</v>
      </c>
      <c r="F9" s="35">
        <f>'R1'!F31</f>
        <v>0.50459357348665057</v>
      </c>
      <c r="G9" s="35">
        <f>'R1'!G31</f>
        <v>1.1852699391565977</v>
      </c>
      <c r="H9" s="35">
        <f>'R1'!H31</f>
        <v>1.4046211378460767</v>
      </c>
      <c r="I9" s="35">
        <f>'R1'!I31</f>
        <v>0.25272375798778063</v>
      </c>
      <c r="J9" s="35">
        <f>'R1'!J31</f>
        <v>0.14670813098098423</v>
      </c>
      <c r="K9" s="35">
        <f>'R1'!K31</f>
        <v>0.28379852148476953</v>
      </c>
      <c r="L9" s="35">
        <f>'R1'!L31</f>
        <v>0.33243780730602279</v>
      </c>
      <c r="M9" s="35">
        <f>'R1'!M31</f>
        <v>0.19120827128661641</v>
      </c>
      <c r="N9" s="35" t="str">
        <f>'R1'!N31</f>
        <v/>
      </c>
      <c r="O9"/>
      <c r="P9" s="35">
        <f>'R1'!O31</f>
        <v>1.5852700467894496</v>
      </c>
      <c r="Q9" s="35">
        <f>'R1'!P31</f>
        <v>1.2398420305748916</v>
      </c>
      <c r="R9" s="35">
        <f>'R1'!Q31</f>
        <v>0.23525511169630264</v>
      </c>
      <c r="S9" s="35">
        <f>'R1'!R31</f>
        <v>0.6583295501420785</v>
      </c>
      <c r="T9" s="35">
        <f>'R1'!S31</f>
        <v>0.52854196585236002</v>
      </c>
      <c r="U9" s="35">
        <f>'R1'!T31</f>
        <v>0.91107947119234656</v>
      </c>
      <c r="V9" s="35">
        <f>'R1'!U31</f>
        <v>1.2791543502083638</v>
      </c>
      <c r="W9" s="35">
        <f>'R1'!V31</f>
        <v>0.98952154858338914</v>
      </c>
    </row>
    <row r="10" spans="1:23" s="1" customFormat="1">
      <c r="A10" s="151"/>
      <c r="B10" s="35">
        <f>'R1'!B32</f>
        <v>6.9453409536564606E-2</v>
      </c>
      <c r="C10" s="35">
        <f>'R1'!C32</f>
        <v>0.15430419531951506</v>
      </c>
      <c r="D10" s="35">
        <f>'R1'!D32</f>
        <v>0.22583682317331991</v>
      </c>
      <c r="E10" s="35">
        <f>'R1'!E32</f>
        <v>0.37967902517422708</v>
      </c>
      <c r="F10" s="35">
        <f>'R1'!F32</f>
        <v>0.41288806533198202</v>
      </c>
      <c r="G10" s="35">
        <f>'R1'!G32</f>
        <v>1.0846191474662594</v>
      </c>
      <c r="H10" s="35">
        <f>'R1'!H32</f>
        <v>1.649027525797887</v>
      </c>
      <c r="I10" s="35">
        <f>'R1'!I32</f>
        <v>0.32224108487953618</v>
      </c>
      <c r="J10" s="35">
        <f>'R1'!J32</f>
        <v>0.55566718324226039</v>
      </c>
      <c r="K10" s="35">
        <f>'R1'!K32</f>
        <v>0.23438303721155404</v>
      </c>
      <c r="L10" s="35">
        <f>'R1'!L32</f>
        <v>0.22491457522063649</v>
      </c>
      <c r="M10" s="35">
        <f>'R1'!M32</f>
        <v>0.21892944349862076</v>
      </c>
      <c r="N10" s="35" t="str">
        <f>'R1'!N32</f>
        <v/>
      </c>
      <c r="O10"/>
      <c r="P10" s="35">
        <f>'R1'!O32</f>
        <v>1.1971509501279662</v>
      </c>
      <c r="Q10" s="35">
        <f>'R1'!P32</f>
        <v>0.68801005423308936</v>
      </c>
      <c r="R10" s="35">
        <f>'R1'!Q32</f>
        <v>0.31595441558290216</v>
      </c>
      <c r="S10" s="35">
        <f>'R1'!R32</f>
        <v>1.00478661921631</v>
      </c>
      <c r="T10" s="35">
        <f>'R1'!S32</f>
        <v>1.0010356971184222</v>
      </c>
      <c r="U10" s="35">
        <f>'R1'!T32</f>
        <v>0.73434500348740794</v>
      </c>
      <c r="V10" s="35">
        <f>'R1'!U32</f>
        <v>0.79674026456196423</v>
      </c>
      <c r="W10" s="35">
        <f>'R1'!V32</f>
        <v>0.5921375816102814</v>
      </c>
    </row>
    <row r="11" spans="1:23" s="1" customFormat="1">
      <c r="A11" s="151"/>
      <c r="B11" s="35">
        <f>'R1'!B33</f>
        <v>0.11117513195942895</v>
      </c>
      <c r="C11" s="35">
        <f>'R1'!C33</f>
        <v>0.14836766396990486</v>
      </c>
      <c r="D11" s="35">
        <f>'R1'!D33</f>
        <v>0.47166495830562044</v>
      </c>
      <c r="E11" s="35">
        <f>'R1'!E33</f>
        <v>0.40847876135782735</v>
      </c>
      <c r="F11" s="35">
        <f>'R1'!F33</f>
        <v>0.54136054175919723</v>
      </c>
      <c r="G11" s="35">
        <f>'R1'!G33</f>
        <v>1.3018581756268843</v>
      </c>
      <c r="H11" s="35">
        <f>'R1'!H33</f>
        <v>1.8289156360665848</v>
      </c>
      <c r="I11" s="35">
        <f>'R1'!I33</f>
        <v>0.33942872663277845</v>
      </c>
      <c r="J11" s="35">
        <f>'R1'!J33</f>
        <v>0.18486770276947814</v>
      </c>
      <c r="K11" s="35">
        <f>'R1'!K33</f>
        <v>5.8379313777230671E-2</v>
      </c>
      <c r="L11" s="35">
        <f>'R1'!L33</f>
        <v>0.21525229130160758</v>
      </c>
      <c r="M11" s="35">
        <f>'R1'!M33</f>
        <v>6.6145686405434695E-2</v>
      </c>
      <c r="N11" s="35" t="str">
        <f>'R1'!N33</f>
        <v/>
      </c>
      <c r="O11"/>
      <c r="P11" s="35">
        <f>'R1'!O33</f>
        <v>0.41636551719127435</v>
      </c>
      <c r="Q11" s="35">
        <f>'R1'!P33</f>
        <v>1.5413030202792506</v>
      </c>
      <c r="R11" s="35">
        <f>'R1'!Q33</f>
        <v>0.20134786550703859</v>
      </c>
      <c r="S11" s="35">
        <f>'R1'!R33</f>
        <v>0.71073755887905099</v>
      </c>
      <c r="T11" s="35">
        <f>'R1'!S33</f>
        <v>0.80373697950382783</v>
      </c>
      <c r="U11" s="35">
        <f>'R1'!T33</f>
        <v>0.49457908175805926</v>
      </c>
      <c r="V11" s="35">
        <f>'R1'!U33</f>
        <v>0.99504750199984948</v>
      </c>
      <c r="W11" s="35">
        <f>'R1'!V33</f>
        <v>1.1175042127394781</v>
      </c>
    </row>
    <row r="12" spans="1:23" s="1" customFormat="1">
      <c r="A12" s="151"/>
      <c r="B12" s="35">
        <f>'R1'!B34</f>
        <v>0.25415949743903155</v>
      </c>
      <c r="C12" s="35">
        <f>'R1'!C34</f>
        <v>0.2333871849469992</v>
      </c>
      <c r="D12" s="35">
        <f>'R1'!D34</f>
        <v>0.38161575415431243</v>
      </c>
      <c r="E12" s="35">
        <f>'R1'!E34</f>
        <v>0.45839440721486191</v>
      </c>
      <c r="F12" s="35">
        <f>'R1'!F34</f>
        <v>1.9843524601672031</v>
      </c>
      <c r="G12" s="35">
        <f>'R1'!G34</f>
        <v>1.6282802172453206</v>
      </c>
      <c r="H12" s="35">
        <f>'R1'!H34</f>
        <v>2.0568416956918316</v>
      </c>
      <c r="I12" s="35">
        <f>'R1'!I34</f>
        <v>0.1836116273865748</v>
      </c>
      <c r="J12" s="35">
        <f>'R1'!J34</f>
        <v>0.37871190260170751</v>
      </c>
      <c r="K12" s="35">
        <f>'R1'!K34</f>
        <v>0.26736124629900815</v>
      </c>
      <c r="L12" s="35">
        <f>'R1'!L34</f>
        <v>6.5237513518013504E-2</v>
      </c>
      <c r="M12" s="35">
        <f>'R1'!M34</f>
        <v>0.28042704658745177</v>
      </c>
      <c r="N12" s="35" t="str">
        <f>'R1'!N34</f>
        <v/>
      </c>
      <c r="O12"/>
      <c r="P12" s="35">
        <f>'R1'!O34</f>
        <v>0.86988614327832736</v>
      </c>
      <c r="Q12" s="35">
        <f>'R1'!P34</f>
        <v>1.4421154558146754</v>
      </c>
      <c r="R12" s="35">
        <f>'R1'!Q34</f>
        <v>0.13819784975641961</v>
      </c>
      <c r="S12" s="35">
        <f>'R1'!R34</f>
        <v>0.68162527345212731</v>
      </c>
      <c r="T12" s="35">
        <f>'R1'!S34</f>
        <v>0.67456323364854653</v>
      </c>
      <c r="U12" s="35">
        <f>'R1'!T34</f>
        <v>1.7895745867410775</v>
      </c>
      <c r="V12" s="35">
        <f>'R1'!U34</f>
        <v>0.64869773459961733</v>
      </c>
      <c r="W12" s="35">
        <f>'R1'!V34</f>
        <v>0.56357058077051747</v>
      </c>
    </row>
    <row r="13" spans="1:23" s="1" customFormat="1">
      <c r="A13" s="151"/>
      <c r="B13" s="35">
        <f>'R1'!B35</f>
        <v>7.1276958433041201E-2</v>
      </c>
      <c r="C13" s="35">
        <f>'R1'!C35</f>
        <v>0.77946966271817619</v>
      </c>
      <c r="D13" s="35">
        <f>'R1'!D35</f>
        <v>0.55012260106295308</v>
      </c>
      <c r="E13" s="35">
        <f>'R1'!E35</f>
        <v>0.42650651891822278</v>
      </c>
      <c r="F13" s="35">
        <f>'R1'!F35</f>
        <v>0.47417603274290709</v>
      </c>
      <c r="G13" s="35">
        <f>'R1'!G35</f>
        <v>1.7329105266523055</v>
      </c>
      <c r="H13" s="35">
        <f>'R1'!H35</f>
        <v>1.3638803646774895</v>
      </c>
      <c r="I13" s="35">
        <f>'R1'!I35</f>
        <v>0.26751598922239134</v>
      </c>
      <c r="J13" s="35">
        <f>'R1'!J35</f>
        <v>0.50559753961235654</v>
      </c>
      <c r="K13" s="35">
        <f>'R1'!K35</f>
        <v>0.30127909018446969</v>
      </c>
      <c r="L13" s="35">
        <f>'R1'!L35</f>
        <v>0.2379854259736742</v>
      </c>
      <c r="M13" s="35">
        <f>'R1'!M35</f>
        <v>0.2988729991751391</v>
      </c>
      <c r="N13" s="35" t="str">
        <f>'R1'!N35</f>
        <v/>
      </c>
      <c r="O13"/>
      <c r="P13" s="35">
        <f>'R1'!O35</f>
        <v>0.59136063800780536</v>
      </c>
      <c r="Q13" s="35">
        <f>'R1'!P35</f>
        <v>1.0494051556591479</v>
      </c>
      <c r="R13" s="35">
        <f>'R1'!Q35</f>
        <v>0.23751010274031792</v>
      </c>
      <c r="S13" s="35">
        <f>'R1'!R35</f>
        <v>0.95863787479596074</v>
      </c>
      <c r="T13" s="35">
        <f>'R1'!S35</f>
        <v>0.85443122485336942</v>
      </c>
      <c r="U13" s="35">
        <f>'R1'!T35</f>
        <v>0.80306270108326461</v>
      </c>
      <c r="V13" s="35">
        <f>'R1'!U35</f>
        <v>0.41912712779022904</v>
      </c>
      <c r="W13" s="35">
        <f>'R1'!V35</f>
        <v>0.72737254733449619</v>
      </c>
    </row>
    <row r="14" spans="1:23" s="1" customFormat="1">
      <c r="A14" s="151"/>
      <c r="B14" s="35" t="str">
        <f>'R1'!B36</f>
        <v/>
      </c>
      <c r="C14" s="35" t="str">
        <f>'R1'!C36</f>
        <v/>
      </c>
      <c r="D14" s="35" t="str">
        <f>'R1'!D36</f>
        <v/>
      </c>
      <c r="E14" s="35" t="str">
        <f>'R1'!E36</f>
        <v/>
      </c>
      <c r="F14" s="35" t="str">
        <f>'R1'!F36</f>
        <v/>
      </c>
      <c r="G14" s="35" t="str">
        <f>'R1'!G36</f>
        <v/>
      </c>
      <c r="H14" s="35" t="str">
        <f>'R1'!H36</f>
        <v/>
      </c>
      <c r="I14" s="35" t="str">
        <f>'R1'!I36</f>
        <v/>
      </c>
      <c r="J14" s="35" t="str">
        <f>'R1'!J36</f>
        <v/>
      </c>
      <c r="K14" s="35" t="str">
        <f>'R1'!K36</f>
        <v/>
      </c>
      <c r="L14" s="35" t="str">
        <f>'R1'!L36</f>
        <v/>
      </c>
      <c r="M14" s="35" t="str">
        <f>'R1'!M36</f>
        <v/>
      </c>
      <c r="N14" s="35" t="str">
        <f>'R1'!N36</f>
        <v/>
      </c>
      <c r="O14"/>
      <c r="P14" s="35">
        <f>'R1'!O36</f>
        <v>1.1823961420080527</v>
      </c>
      <c r="Q14" s="35" t="str">
        <f>'R1'!P36</f>
        <v/>
      </c>
      <c r="R14" s="35" t="str">
        <f>'R1'!Q36</f>
        <v/>
      </c>
      <c r="S14" s="35" t="str">
        <f>'R1'!R36</f>
        <v/>
      </c>
      <c r="T14" s="35" t="str">
        <f>'R1'!S36</f>
        <v/>
      </c>
      <c r="U14" s="35" t="str">
        <f>'R1'!T36</f>
        <v/>
      </c>
      <c r="V14" s="35" t="str">
        <f>'R1'!U36</f>
        <v/>
      </c>
      <c r="W14" s="35" t="str">
        <f>'R1'!V36</f>
        <v/>
      </c>
    </row>
    <row r="15" spans="1:23" s="1" customFormat="1">
      <c r="A15" s="151"/>
      <c r="B15" s="35" t="str">
        <f>'R1'!B37</f>
        <v/>
      </c>
      <c r="C15" s="35" t="str">
        <f>'R1'!C37</f>
        <v/>
      </c>
      <c r="D15" s="35" t="str">
        <f>'R1'!D37</f>
        <v/>
      </c>
      <c r="E15" s="35" t="str">
        <f>'R1'!E37</f>
        <v/>
      </c>
      <c r="F15" s="35" t="str">
        <f>'R1'!F37</f>
        <v/>
      </c>
      <c r="G15" s="35" t="str">
        <f>'R1'!G37</f>
        <v/>
      </c>
      <c r="H15" s="35" t="str">
        <f>'R1'!H37</f>
        <v/>
      </c>
      <c r="I15" s="35" t="str">
        <f>'R1'!I37</f>
        <v/>
      </c>
      <c r="J15" s="35" t="str">
        <f>'R1'!J37</f>
        <v/>
      </c>
      <c r="K15" s="35" t="str">
        <f>'R1'!K37</f>
        <v/>
      </c>
      <c r="L15" s="35" t="str">
        <f>'R1'!L37</f>
        <v/>
      </c>
      <c r="M15" s="35" t="str">
        <f>'R1'!M37</f>
        <v/>
      </c>
      <c r="N15" s="35" t="str">
        <f>'R1'!N37</f>
        <v/>
      </c>
      <c r="O15"/>
      <c r="P15" s="35">
        <f>'R1'!O37</f>
        <v>0.98780066486882545</v>
      </c>
      <c r="Q15" s="35" t="str">
        <f>'R1'!P37</f>
        <v/>
      </c>
      <c r="R15" s="35" t="str">
        <f>'R1'!Q37</f>
        <v/>
      </c>
      <c r="S15" s="35" t="str">
        <f>'R1'!R37</f>
        <v/>
      </c>
      <c r="T15" s="35" t="str">
        <f>'R1'!S37</f>
        <v/>
      </c>
      <c r="U15" s="35" t="str">
        <f>'R1'!T37</f>
        <v/>
      </c>
      <c r="V15" s="35" t="str">
        <f>'R1'!U37</f>
        <v/>
      </c>
      <c r="W15" s="35" t="str">
        <f>'R1'!V37</f>
        <v/>
      </c>
    </row>
    <row r="16" spans="1:23" s="1" customFormat="1">
      <c r="A16" s="151"/>
      <c r="B16" s="35" t="str">
        <f>'R1'!B38</f>
        <v/>
      </c>
      <c r="C16" s="35" t="str">
        <f>'R1'!C38</f>
        <v/>
      </c>
      <c r="D16" s="35" t="str">
        <f>'R1'!D38</f>
        <v/>
      </c>
      <c r="E16" s="35" t="str">
        <f>'R1'!E38</f>
        <v/>
      </c>
      <c r="F16" s="35" t="str">
        <f>'R1'!F38</f>
        <v/>
      </c>
      <c r="G16" s="35" t="str">
        <f>'R1'!G38</f>
        <v/>
      </c>
      <c r="H16" s="35" t="str">
        <f>'R1'!H38</f>
        <v/>
      </c>
      <c r="I16" s="35" t="str">
        <f>'R1'!I38</f>
        <v/>
      </c>
      <c r="J16" s="35" t="str">
        <f>'R1'!J38</f>
        <v/>
      </c>
      <c r="K16" s="35" t="str">
        <f>'R1'!K38</f>
        <v/>
      </c>
      <c r="L16" s="35" t="str">
        <f>'R1'!L38</f>
        <v/>
      </c>
      <c r="M16" s="35" t="str">
        <f>'R1'!M38</f>
        <v/>
      </c>
      <c r="N16" s="35" t="str">
        <f>'R1'!N38</f>
        <v/>
      </c>
      <c r="O16"/>
      <c r="P16" s="35">
        <f>'R1'!O38</f>
        <v>1.2414731650497832</v>
      </c>
      <c r="Q16" s="35" t="str">
        <f>'R1'!P38</f>
        <v/>
      </c>
      <c r="R16" s="35" t="str">
        <f>'R1'!Q38</f>
        <v/>
      </c>
      <c r="S16" s="35" t="str">
        <f>'R1'!R38</f>
        <v/>
      </c>
      <c r="T16" s="35" t="str">
        <f>'R1'!S38</f>
        <v/>
      </c>
      <c r="U16" s="35" t="str">
        <f>'R1'!T38</f>
        <v/>
      </c>
      <c r="V16" s="35" t="str">
        <f>'R1'!U38</f>
        <v/>
      </c>
      <c r="W16" s="35" t="str">
        <f>'R1'!V38</f>
        <v/>
      </c>
    </row>
    <row r="17" spans="1:23" s="1" customFormat="1">
      <c r="A17" s="151"/>
      <c r="B17" s="35" t="str">
        <f>'R1'!B39</f>
        <v/>
      </c>
      <c r="C17" s="35" t="str">
        <f>'R1'!C39</f>
        <v/>
      </c>
      <c r="D17" s="35" t="str">
        <f>'R1'!D39</f>
        <v/>
      </c>
      <c r="E17" s="35" t="str">
        <f>'R1'!E39</f>
        <v/>
      </c>
      <c r="F17" s="35" t="str">
        <f>'R1'!F39</f>
        <v/>
      </c>
      <c r="G17" s="35" t="str">
        <f>'R1'!G39</f>
        <v/>
      </c>
      <c r="H17" s="35" t="str">
        <f>'R1'!H39</f>
        <v/>
      </c>
      <c r="I17" s="35" t="str">
        <f>'R1'!I39</f>
        <v/>
      </c>
      <c r="J17" s="35" t="str">
        <f>'R1'!J39</f>
        <v/>
      </c>
      <c r="K17" s="35" t="str">
        <f>'R1'!K39</f>
        <v/>
      </c>
      <c r="L17" s="35" t="str">
        <f>'R1'!L39</f>
        <v/>
      </c>
      <c r="M17" s="35" t="str">
        <f>'R1'!M39</f>
        <v/>
      </c>
      <c r="N17" s="35" t="str">
        <f>'R1'!N39</f>
        <v/>
      </c>
      <c r="O17"/>
      <c r="P17" s="35">
        <f>'R1'!O39</f>
        <v>0.58067219903665701</v>
      </c>
      <c r="Q17" s="35" t="str">
        <f>'R1'!P39</f>
        <v/>
      </c>
      <c r="R17" s="35" t="str">
        <f>'R1'!Q39</f>
        <v/>
      </c>
      <c r="S17" s="35" t="str">
        <f>'R1'!R39</f>
        <v/>
      </c>
      <c r="T17" s="35" t="str">
        <f>'R1'!S39</f>
        <v/>
      </c>
      <c r="U17" s="35" t="str">
        <f>'R1'!T39</f>
        <v/>
      </c>
      <c r="V17" s="35" t="str">
        <f>'R1'!U39</f>
        <v/>
      </c>
      <c r="W17" s="35" t="str">
        <f>'R1'!V39</f>
        <v/>
      </c>
    </row>
    <row r="18" spans="1:23" s="1" customFormat="1">
      <c r="A18" s="151"/>
      <c r="B18" s="35" t="str">
        <f>'R1'!B40</f>
        <v/>
      </c>
      <c r="C18" s="35" t="str">
        <f>'R1'!C40</f>
        <v/>
      </c>
      <c r="D18" s="35" t="str">
        <f>'R1'!D40</f>
        <v/>
      </c>
      <c r="E18" s="35" t="str">
        <f>'R1'!E40</f>
        <v/>
      </c>
      <c r="F18" s="35" t="str">
        <f>'R1'!F40</f>
        <v/>
      </c>
      <c r="G18" s="35" t="str">
        <f>'R1'!G40</f>
        <v/>
      </c>
      <c r="H18" s="35" t="str">
        <f>'R1'!H40</f>
        <v/>
      </c>
      <c r="I18" s="35" t="str">
        <f>'R1'!I40</f>
        <v/>
      </c>
      <c r="J18" s="35" t="str">
        <f>'R1'!J40</f>
        <v/>
      </c>
      <c r="K18" s="35" t="str">
        <f>'R1'!K40</f>
        <v/>
      </c>
      <c r="L18" s="35" t="str">
        <f>'R1'!L40</f>
        <v/>
      </c>
      <c r="M18" s="35" t="str">
        <f>'R1'!M40</f>
        <v/>
      </c>
      <c r="N18" s="35" t="str">
        <f>'R1'!N40</f>
        <v/>
      </c>
      <c r="O18"/>
      <c r="P18" s="35">
        <f>'R1'!O40</f>
        <v>1.0787347766526212</v>
      </c>
      <c r="Q18" s="35" t="str">
        <f>'R1'!P40</f>
        <v/>
      </c>
      <c r="R18" s="35" t="str">
        <f>'R1'!Q40</f>
        <v/>
      </c>
      <c r="S18" s="35" t="str">
        <f>'R1'!R40</f>
        <v/>
      </c>
      <c r="T18" s="35" t="str">
        <f>'R1'!S40</f>
        <v/>
      </c>
      <c r="U18" s="35" t="str">
        <f>'R1'!T40</f>
        <v/>
      </c>
      <c r="V18" s="35" t="str">
        <f>'R1'!U40</f>
        <v/>
      </c>
      <c r="W18" s="35" t="str">
        <f>'R1'!V40</f>
        <v/>
      </c>
    </row>
    <row r="19" spans="1:23" s="1" customFormat="1">
      <c r="A19" s="151"/>
      <c r="B19" s="35" t="str">
        <f>'R1'!B41</f>
        <v/>
      </c>
      <c r="C19" s="35" t="str">
        <f>'R1'!C41</f>
        <v/>
      </c>
      <c r="D19" s="35" t="str">
        <f>'R1'!D41</f>
        <v/>
      </c>
      <c r="E19" s="35" t="str">
        <f>'R1'!E41</f>
        <v/>
      </c>
      <c r="F19" s="35" t="str">
        <f>'R1'!F41</f>
        <v/>
      </c>
      <c r="G19" s="35" t="str">
        <f>'R1'!G41</f>
        <v/>
      </c>
      <c r="H19" s="35" t="str">
        <f>'R1'!H41</f>
        <v/>
      </c>
      <c r="I19" s="35" t="str">
        <f>'R1'!I41</f>
        <v/>
      </c>
      <c r="J19" s="35" t="str">
        <f>'R1'!J41</f>
        <v/>
      </c>
      <c r="K19" s="35" t="str">
        <f>'R1'!K41</f>
        <v/>
      </c>
      <c r="L19" s="35" t="str">
        <f>'R1'!L41</f>
        <v/>
      </c>
      <c r="M19" s="35" t="str">
        <f>'R1'!M41</f>
        <v/>
      </c>
      <c r="N19" s="35" t="str">
        <f>'R1'!N41</f>
        <v/>
      </c>
      <c r="O19"/>
      <c r="P19" s="35">
        <f>'R1'!O41</f>
        <v>1.4213948898861073</v>
      </c>
      <c r="Q19" s="35" t="str">
        <f>'R1'!P41</f>
        <v/>
      </c>
      <c r="R19" s="35" t="str">
        <f>'R1'!Q41</f>
        <v/>
      </c>
      <c r="S19" s="35" t="str">
        <f>'R1'!R41</f>
        <v/>
      </c>
      <c r="T19" s="35" t="str">
        <f>'R1'!S41</f>
        <v/>
      </c>
      <c r="U19" s="35" t="str">
        <f>'R1'!T41</f>
        <v/>
      </c>
      <c r="V19" s="35" t="str">
        <f>'R1'!U41</f>
        <v/>
      </c>
      <c r="W19" s="35" t="str">
        <f>'R1'!V41</f>
        <v/>
      </c>
    </row>
    <row r="20" spans="1:23" s="1" customFormat="1">
      <c r="A20" s="151"/>
      <c r="B20" s="35" t="str">
        <f>'R1'!B42</f>
        <v/>
      </c>
      <c r="C20" s="35" t="str">
        <f>'R1'!C42</f>
        <v/>
      </c>
      <c r="D20" s="35" t="str">
        <f>'R1'!D42</f>
        <v/>
      </c>
      <c r="E20" s="35" t="str">
        <f>'R1'!E42</f>
        <v/>
      </c>
      <c r="F20" s="35" t="str">
        <f>'R1'!F42</f>
        <v/>
      </c>
      <c r="G20" s="35" t="str">
        <f>'R1'!G42</f>
        <v/>
      </c>
      <c r="H20" s="35" t="str">
        <f>'R1'!H42</f>
        <v/>
      </c>
      <c r="I20" s="35" t="str">
        <f>'R1'!I42</f>
        <v/>
      </c>
      <c r="J20" s="35" t="str">
        <f>'R1'!J42</f>
        <v/>
      </c>
      <c r="K20" s="35" t="str">
        <f>'R1'!K42</f>
        <v/>
      </c>
      <c r="L20" s="35" t="str">
        <f>'R1'!L42</f>
        <v/>
      </c>
      <c r="M20" s="35" t="str">
        <f>'R1'!M42</f>
        <v/>
      </c>
      <c r="N20" s="35" t="str">
        <f>'R1'!N42</f>
        <v/>
      </c>
      <c r="O20"/>
      <c r="P20" s="35">
        <f>'R1'!O42</f>
        <v>1.2406866172851281</v>
      </c>
      <c r="Q20" s="35" t="str">
        <f>'R1'!P42</f>
        <v/>
      </c>
      <c r="R20" s="35" t="str">
        <f>'R1'!Q42</f>
        <v/>
      </c>
      <c r="S20" s="35" t="str">
        <f>'R1'!R42</f>
        <v/>
      </c>
      <c r="T20" s="35" t="str">
        <f>'R1'!S42</f>
        <v/>
      </c>
      <c r="U20" s="35" t="str">
        <f>'R1'!T42</f>
        <v/>
      </c>
      <c r="V20" s="35" t="str">
        <f>'R1'!U42</f>
        <v/>
      </c>
      <c r="W20" s="35" t="str">
        <f>'R1'!V42</f>
        <v/>
      </c>
    </row>
    <row r="21" spans="1:23" s="1" customFormat="1">
      <c r="A21" s="152"/>
      <c r="B21" s="35" t="str">
        <f>'R1'!B43</f>
        <v/>
      </c>
      <c r="C21" s="35" t="str">
        <f>'R1'!C43</f>
        <v/>
      </c>
      <c r="D21" s="35" t="str">
        <f>'R1'!D43</f>
        <v/>
      </c>
      <c r="E21" s="35" t="str">
        <f>'R1'!E43</f>
        <v/>
      </c>
      <c r="F21" s="35" t="str">
        <f>'R1'!F43</f>
        <v/>
      </c>
      <c r="G21" s="35" t="str">
        <f>'R1'!G43</f>
        <v/>
      </c>
      <c r="H21" s="35" t="str">
        <f>'R1'!H43</f>
        <v/>
      </c>
      <c r="I21" s="35" t="str">
        <f>'R1'!I43</f>
        <v/>
      </c>
      <c r="J21" s="35" t="str">
        <f>'R1'!J43</f>
        <v/>
      </c>
      <c r="K21" s="35" t="str">
        <f>'R1'!K43</f>
        <v/>
      </c>
      <c r="L21" s="35" t="str">
        <f>'R1'!L43</f>
        <v/>
      </c>
      <c r="M21" s="35" t="str">
        <f>'R1'!M43</f>
        <v/>
      </c>
      <c r="N21" s="35" t="str">
        <f>'R1'!N43</f>
        <v/>
      </c>
      <c r="O21"/>
      <c r="P21" s="35">
        <f>'R1'!O43</f>
        <v>0.9852081206420209</v>
      </c>
      <c r="Q21" s="35" t="str">
        <f>'R1'!P43</f>
        <v/>
      </c>
      <c r="R21" s="35" t="str">
        <f>'R1'!Q43</f>
        <v/>
      </c>
      <c r="S21" s="35" t="str">
        <f>'R1'!R43</f>
        <v/>
      </c>
      <c r="T21" s="35" t="str">
        <f>'R1'!S43</f>
        <v/>
      </c>
      <c r="U21" s="35" t="str">
        <f>'R1'!T43</f>
        <v/>
      </c>
      <c r="V21" s="35" t="str">
        <f>'R1'!U43</f>
        <v/>
      </c>
      <c r="W21" s="35" t="str">
        <f>'R1'!V43</f>
        <v/>
      </c>
    </row>
    <row r="22" spans="1:23">
      <c r="A22" s="23" t="s">
        <v>5</v>
      </c>
      <c r="B22" s="36">
        <f>'R2'!B28</f>
        <v>0.23304692341416661</v>
      </c>
      <c r="C22" s="36">
        <f>'R2'!C28</f>
        <v>0.35723067140821779</v>
      </c>
      <c r="D22" s="36">
        <f>'R2'!D28</f>
        <v>0.50337789846443182</v>
      </c>
      <c r="E22" s="36">
        <f>'R2'!E28</f>
        <v>0.57847326064896376</v>
      </c>
      <c r="F22" s="36">
        <f>'R2'!F28</f>
        <v>1.3745497103174764</v>
      </c>
      <c r="G22" s="36">
        <f>'R2'!G28</f>
        <v>1.0566657668221935</v>
      </c>
      <c r="H22" s="36">
        <f>'R2'!H28</f>
        <v>1.2632302460736071</v>
      </c>
      <c r="I22" s="36">
        <f>'R2'!I28</f>
        <v>0.52639627431071245</v>
      </c>
      <c r="J22" s="36">
        <f>'R2'!J28</f>
        <v>0.40081745026782922</v>
      </c>
      <c r="K22" s="36">
        <f>'R2'!K28</f>
        <v>0.36841300680724065</v>
      </c>
      <c r="L22" s="36">
        <f>'R2'!L28</f>
        <v>0.41931976636928958</v>
      </c>
      <c r="M22" s="36">
        <f>'R2'!M28</f>
        <v>0.3546690318578497</v>
      </c>
      <c r="N22" s="36" t="str">
        <f>'R2'!N28</f>
        <v/>
      </c>
      <c r="P22" s="36">
        <f>'R2'!O28</f>
        <v>0.5341217416227797</v>
      </c>
      <c r="Q22" s="36">
        <f>'R2'!P28</f>
        <v>2.1810721771770583</v>
      </c>
      <c r="R22" s="36">
        <f>'R2'!Q28</f>
        <v>0.18135117028085687</v>
      </c>
      <c r="S22" s="36">
        <f>'R2'!R28</f>
        <v>1.938970144066724</v>
      </c>
      <c r="T22" s="36">
        <f>'R2'!S28</f>
        <v>1.2470935211679524</v>
      </c>
      <c r="U22" s="36">
        <f>'R2'!T28</f>
        <v>1.8074768999149702</v>
      </c>
      <c r="V22" s="36">
        <f>'R2'!U28</f>
        <v>1.8167571115233996</v>
      </c>
      <c r="W22" s="36">
        <f>'R2'!V28</f>
        <v>0.54806732299864069</v>
      </c>
    </row>
    <row r="23" spans="1:23">
      <c r="A23" s="142" t="s">
        <v>17</v>
      </c>
      <c r="B23" s="36">
        <f>'R2'!B29</f>
        <v>5.1018173639834997E-2</v>
      </c>
      <c r="C23" s="36">
        <f>'R2'!C29</f>
        <v>0.58325572888590527</v>
      </c>
      <c r="D23" s="36">
        <f>'R2'!D29</f>
        <v>0.37143078721348821</v>
      </c>
      <c r="E23" s="36">
        <f>'R2'!E29</f>
        <v>0.98081096990336436</v>
      </c>
      <c r="F23" s="36">
        <f>'R2'!F29</f>
        <v>1.5317908489014547</v>
      </c>
      <c r="G23" s="36">
        <f>'R2'!G29</f>
        <v>2.3726253147643099</v>
      </c>
      <c r="H23" s="36">
        <f>'R2'!H29</f>
        <v>1.3007922013050905</v>
      </c>
      <c r="I23" s="36">
        <f>'R2'!I29</f>
        <v>9.6433305517446666E-2</v>
      </c>
      <c r="J23" s="36">
        <f>'R2'!J29</f>
        <v>0.19240023827391109</v>
      </c>
      <c r="K23" s="36">
        <f>'R2'!K29</f>
        <v>0.18171686614842014</v>
      </c>
      <c r="L23" s="36">
        <f>'R2'!L29</f>
        <v>0.25566713920015033</v>
      </c>
      <c r="M23" s="36">
        <f>'R2'!M29</f>
        <v>0.25710705878369222</v>
      </c>
      <c r="N23" s="36" t="str">
        <f>'R2'!N29</f>
        <v/>
      </c>
      <c r="P23" s="36">
        <f>'R2'!O29</f>
        <v>0.42706456061321763</v>
      </c>
      <c r="Q23" s="36">
        <f>'R2'!P29</f>
        <v>1.8216418988113692</v>
      </c>
      <c r="R23" s="36">
        <f>'R2'!Q29</f>
        <v>0.25059640914290515</v>
      </c>
      <c r="S23" s="36">
        <f>'R2'!R29</f>
        <v>1.5699206117062359</v>
      </c>
      <c r="T23" s="36">
        <f>'R2'!S29</f>
        <v>0.23605800887016171</v>
      </c>
      <c r="U23" s="36">
        <f>'R2'!T29</f>
        <v>0.75197984403118623</v>
      </c>
      <c r="V23" s="36">
        <f>'R2'!U29</f>
        <v>2.7389396441471305</v>
      </c>
      <c r="W23" s="36">
        <f>'R2'!V29</f>
        <v>0.81902636017447572</v>
      </c>
    </row>
    <row r="24" spans="1:23">
      <c r="A24" s="151"/>
      <c r="B24" s="36">
        <f>'R2'!B30</f>
        <v>0.13158469969859854</v>
      </c>
      <c r="C24" s="36">
        <f>'R2'!C30</f>
        <v>0.14424118735132208</v>
      </c>
      <c r="D24" s="36">
        <f>'R2'!D30</f>
        <v>0.38233016622448285</v>
      </c>
      <c r="E24" s="36">
        <f>'R2'!E30</f>
        <v>0.45695801876968778</v>
      </c>
      <c r="F24" s="36">
        <f>'R2'!F30</f>
        <v>1.1773422451226716</v>
      </c>
      <c r="G24" s="36">
        <f>'R2'!G30</f>
        <v>0.54901674273632828</v>
      </c>
      <c r="H24" s="36">
        <f>'R2'!H30</f>
        <v>1.4557215609349148</v>
      </c>
      <c r="I24" s="36">
        <f>'R2'!I30</f>
        <v>0.40942702997266855</v>
      </c>
      <c r="J24" s="36">
        <f>'R2'!J30</f>
        <v>0.44363633096546573</v>
      </c>
      <c r="K24" s="36">
        <f>'R2'!K30</f>
        <v>0.1319039098738429</v>
      </c>
      <c r="L24" s="36">
        <f>'R2'!L30</f>
        <v>0.12371977530957454</v>
      </c>
      <c r="M24" s="36">
        <f>'R2'!M30</f>
        <v>0.17411228690034533</v>
      </c>
      <c r="N24" s="36" t="str">
        <f>'R2'!N30</f>
        <v/>
      </c>
      <c r="P24" s="36">
        <f>'R2'!O30</f>
        <v>0.8215015969706424</v>
      </c>
      <c r="Q24" s="36">
        <f>'R2'!P30</f>
        <v>1.8505409673756259</v>
      </c>
      <c r="R24" s="36">
        <f>'R2'!Q30</f>
        <v>0.30947672813581029</v>
      </c>
      <c r="S24" s="36">
        <f>'R2'!R30</f>
        <v>1.6237480117359635</v>
      </c>
      <c r="T24" s="36">
        <f>'R2'!S30</f>
        <v>1.4380367866831503</v>
      </c>
      <c r="U24" s="36">
        <f>'R2'!T30</f>
        <v>0.82210439513299538</v>
      </c>
      <c r="V24" s="36">
        <f>'R2'!U30</f>
        <v>1.1552343825107245</v>
      </c>
      <c r="W24" s="36">
        <f>'R2'!V30</f>
        <v>1.4563892874827349</v>
      </c>
    </row>
    <row r="25" spans="1:23">
      <c r="A25" s="151"/>
      <c r="B25" s="36">
        <f>'R2'!B31</f>
        <v>0.2864260144166122</v>
      </c>
      <c r="C25" s="36">
        <f>'R2'!C31</f>
        <v>0.50374031001677688</v>
      </c>
      <c r="D25" s="36">
        <f>'R2'!D31</f>
        <v>5.2684332013983384E-2</v>
      </c>
      <c r="E25" s="36">
        <f>'R2'!E31</f>
        <v>0.9764108717497092</v>
      </c>
      <c r="F25" s="36">
        <f>'R2'!F31</f>
        <v>0.90892968911927452</v>
      </c>
      <c r="G25" s="36">
        <f>'R2'!G31</f>
        <v>1.7328014247991015</v>
      </c>
      <c r="H25" s="36">
        <f>'R2'!H31</f>
        <v>2.182621489721329</v>
      </c>
      <c r="I25" s="36">
        <f>'R2'!I31</f>
        <v>0.19665974247226464</v>
      </c>
      <c r="J25" s="36">
        <f>'R2'!J31</f>
        <v>0.5177155765494178</v>
      </c>
      <c r="K25" s="36">
        <f>'R2'!K31</f>
        <v>0.44728419461434044</v>
      </c>
      <c r="L25" s="36">
        <f>'R2'!L31</f>
        <v>0.19774205065647263</v>
      </c>
      <c r="M25" s="36">
        <f>'R2'!M31</f>
        <v>0.37117726334260753</v>
      </c>
      <c r="N25" s="36" t="str">
        <f>'R2'!N31</f>
        <v/>
      </c>
      <c r="P25" s="36">
        <f>'R2'!O31</f>
        <v>0.39735110819466729</v>
      </c>
      <c r="Q25" s="36">
        <f>'R2'!P31</f>
        <v>1.0312013340572617</v>
      </c>
      <c r="R25" s="36">
        <f>'R2'!Q31</f>
        <v>0.30607556708774775</v>
      </c>
      <c r="S25" s="36">
        <f>'R2'!R31</f>
        <v>1.6945866487580958</v>
      </c>
      <c r="T25" s="36">
        <f>'R2'!S31</f>
        <v>1.4418369920302223</v>
      </c>
      <c r="U25" s="36">
        <f>'R2'!T31</f>
        <v>1.714530273961075</v>
      </c>
      <c r="V25" s="36">
        <f>'R2'!U31</f>
        <v>1.4142179221623452</v>
      </c>
      <c r="W25" s="36">
        <f>'R2'!V31</f>
        <v>0.36476425891965342</v>
      </c>
    </row>
    <row r="26" spans="1:23">
      <c r="A26" s="151"/>
      <c r="B26" s="36">
        <f>'R2'!B32</f>
        <v>1.0865398980468028E-2</v>
      </c>
      <c r="C26" s="36">
        <f>'R2'!C32</f>
        <v>0.48955017347697716</v>
      </c>
      <c r="D26" s="36">
        <f>'R2'!D32</f>
        <v>0.59783657261685297</v>
      </c>
      <c r="E26" s="36">
        <f>'R2'!E32</f>
        <v>0.89353597737182611</v>
      </c>
      <c r="F26" s="36">
        <f>'R2'!F32</f>
        <v>0.68176396370234826</v>
      </c>
      <c r="G26" s="36">
        <f>'R2'!G32</f>
        <v>1.3000609358897801</v>
      </c>
      <c r="H26" s="36">
        <f>'R2'!H32</f>
        <v>1.2873603626212433</v>
      </c>
      <c r="I26" s="36">
        <f>'R2'!I32</f>
        <v>0.3448960466468764</v>
      </c>
      <c r="J26" s="36">
        <f>'R2'!J32</f>
        <v>0.46981826028575485</v>
      </c>
      <c r="K26" s="36">
        <f>'R2'!K32</f>
        <v>1.0386394237877378E-2</v>
      </c>
      <c r="L26" s="36">
        <f>'R2'!L32</f>
        <v>0.29049174401709282</v>
      </c>
      <c r="M26" s="36">
        <f>'R2'!M32</f>
        <v>0.44523415031911268</v>
      </c>
      <c r="N26" s="36" t="str">
        <f>'R2'!N32</f>
        <v/>
      </c>
      <c r="P26" s="36">
        <f>'R2'!O32</f>
        <v>1.2581591370569136</v>
      </c>
      <c r="Q26" s="36">
        <f>'R2'!P32</f>
        <v>2.0694215023754166</v>
      </c>
      <c r="R26" s="36">
        <f>'R2'!Q32</f>
        <v>9.3722861223731593E-2</v>
      </c>
      <c r="S26" s="36">
        <f>'R2'!R32</f>
        <v>1.2903855958966397</v>
      </c>
      <c r="T26" s="36">
        <f>'R2'!S32</f>
        <v>2.4943865013255015</v>
      </c>
      <c r="U26" s="36">
        <f>'R2'!T32</f>
        <v>1.4071406018266051</v>
      </c>
      <c r="V26" s="36">
        <f>'R2'!U32</f>
        <v>0.59082405434676399</v>
      </c>
      <c r="W26" s="36">
        <f>'R2'!V32</f>
        <v>1.4005364755219158</v>
      </c>
    </row>
    <row r="27" spans="1:23">
      <c r="A27" s="151"/>
      <c r="B27" s="36">
        <f>'R2'!B33</f>
        <v>5.0780313426148763E-2</v>
      </c>
      <c r="C27" s="36">
        <f>'R2'!C33</f>
        <v>0.42928766305648053</v>
      </c>
      <c r="D27" s="36">
        <f>'R2'!D33</f>
        <v>0.15471436330284918</v>
      </c>
      <c r="E27" s="36">
        <f>'R2'!E33</f>
        <v>0.75004929828197398</v>
      </c>
      <c r="F27" s="36">
        <f>'R2'!F33</f>
        <v>1.3093374842235432</v>
      </c>
      <c r="G27" s="36">
        <f>'R2'!G33</f>
        <v>1.9295825606146229</v>
      </c>
      <c r="H27" s="36">
        <f>'R2'!H33</f>
        <v>1.61963592276298</v>
      </c>
      <c r="I27" s="36">
        <f>'R2'!I33</f>
        <v>0.19314539886899079</v>
      </c>
      <c r="J27" s="36">
        <f>'R2'!J33</f>
        <v>0.17880329959044194</v>
      </c>
      <c r="K27" s="36">
        <f>'R2'!K33</f>
        <v>0.27931004021715039</v>
      </c>
      <c r="L27" s="36">
        <f>'R2'!L33</f>
        <v>0.17503985330985036</v>
      </c>
      <c r="M27" s="36">
        <f>'R2'!M33</f>
        <v>0.56783662685542391</v>
      </c>
      <c r="N27" s="36" t="str">
        <f>'R2'!N33</f>
        <v/>
      </c>
      <c r="P27" s="36">
        <f>'R2'!O33</f>
        <v>0.79594166642475106</v>
      </c>
      <c r="Q27" s="36">
        <f>'R2'!P33</f>
        <v>1.38320463883629</v>
      </c>
      <c r="R27" s="36">
        <f>'R2'!Q33</f>
        <v>0.28776323598967773</v>
      </c>
      <c r="S27" s="36">
        <f>'R2'!R33</f>
        <v>1.6808756432807028</v>
      </c>
      <c r="T27" s="36">
        <f>'R2'!S33</f>
        <v>0.51793069919620882</v>
      </c>
      <c r="U27" s="36">
        <f>'R2'!T33</f>
        <v>1.8221073873336389</v>
      </c>
      <c r="V27" s="36">
        <f>'R2'!U33</f>
        <v>1.7627891175383703</v>
      </c>
      <c r="W27" s="36">
        <f>'R2'!V33</f>
        <v>0.71704584625351486</v>
      </c>
    </row>
    <row r="28" spans="1:23">
      <c r="A28" s="151"/>
      <c r="B28" s="36">
        <f>'R2'!B34</f>
        <v>5.2602729412793099E-2</v>
      </c>
      <c r="C28" s="36">
        <f>'R2'!C34</f>
        <v>1.8125630409897777E-3</v>
      </c>
      <c r="D28" s="36">
        <f>'R2'!D34</f>
        <v>5.6069576765219358E-3</v>
      </c>
      <c r="E28" s="36">
        <f>'R2'!E34</f>
        <v>0.70231910313499024</v>
      </c>
      <c r="F28" s="36">
        <f>'R2'!F34</f>
        <v>0.92460976788978544</v>
      </c>
      <c r="G28" s="36">
        <f>'R2'!G34</f>
        <v>1.4703032889045751</v>
      </c>
      <c r="H28" s="36">
        <f>'R2'!H34</f>
        <v>2.0225043015647497</v>
      </c>
      <c r="I28" s="36">
        <f>'R2'!I34</f>
        <v>0.63132256634275297</v>
      </c>
      <c r="J28" s="36">
        <f>'R2'!J34</f>
        <v>0.14634858084305197</v>
      </c>
      <c r="K28" s="36">
        <f>'R2'!K34</f>
        <v>8.6168809902090374E-2</v>
      </c>
      <c r="L28" s="36">
        <f>'R2'!L34</f>
        <v>0.18295176867045765</v>
      </c>
      <c r="M28" s="36">
        <f>'R2'!M34</f>
        <v>0.4564374548076055</v>
      </c>
      <c r="N28" s="36" t="str">
        <f>'R2'!N34</f>
        <v/>
      </c>
      <c r="P28" s="36">
        <f>'R2'!O34</f>
        <v>0.52769004186704505</v>
      </c>
      <c r="Q28" s="36">
        <f>'R2'!P34</f>
        <v>1.7836585406734293</v>
      </c>
      <c r="R28" s="36">
        <f>'R2'!Q34</f>
        <v>0.11868315160267201</v>
      </c>
      <c r="S28" s="36">
        <f>'R2'!R34</f>
        <v>1.8223348893224063</v>
      </c>
      <c r="T28" s="36">
        <f>'R2'!S34</f>
        <v>0.8285801805045433</v>
      </c>
      <c r="U28" s="36">
        <f>'R2'!T34</f>
        <v>1.6204372956762172</v>
      </c>
      <c r="V28" s="36">
        <f>'R2'!U34</f>
        <v>1.2711199291465836</v>
      </c>
      <c r="W28" s="36">
        <f>'R2'!V34</f>
        <v>1.6818889808453288</v>
      </c>
    </row>
    <row r="29" spans="1:23">
      <c r="A29" s="151"/>
      <c r="B29" s="36">
        <f>'R2'!B35</f>
        <v>0.11260514733197272</v>
      </c>
      <c r="C29" s="36">
        <f>'R2'!C35</f>
        <v>3.2916165035544932E-2</v>
      </c>
      <c r="D29" s="36">
        <f>'R2'!D35</f>
        <v>0.87928545995993812</v>
      </c>
      <c r="E29" s="36">
        <f>'R2'!E35</f>
        <v>0.1193627522132041</v>
      </c>
      <c r="F29" s="36">
        <f>'R2'!F35</f>
        <v>0.78372704548868943</v>
      </c>
      <c r="G29" s="36">
        <f>'R2'!G35</f>
        <v>0.71508422582954601</v>
      </c>
      <c r="H29" s="36">
        <f>'R2'!H35</f>
        <v>2.1301453327642519</v>
      </c>
      <c r="I29" s="36">
        <f>'R2'!I35</f>
        <v>0.31277102261946577</v>
      </c>
      <c r="J29" s="36">
        <f>'R2'!J35</f>
        <v>7.8066277939012302E-2</v>
      </c>
      <c r="K29" s="36">
        <f>'R2'!K35</f>
        <v>7.5473563713887547E-3</v>
      </c>
      <c r="L29" s="36">
        <f>'R2'!L35</f>
        <v>0.21867703377607928</v>
      </c>
      <c r="M29" s="36">
        <f>'R2'!M35</f>
        <v>2.6427747682388623E-2</v>
      </c>
      <c r="N29" s="36" t="str">
        <f>'R2'!N35</f>
        <v/>
      </c>
      <c r="P29" s="36">
        <f>'R2'!O35</f>
        <v>1.2372994405476931</v>
      </c>
      <c r="Q29" s="36">
        <f>'R2'!P35</f>
        <v>1.6605890597770554</v>
      </c>
      <c r="R29" s="36">
        <f>'R2'!Q35</f>
        <v>0.29943240795988846</v>
      </c>
      <c r="S29" s="36">
        <f>'R2'!R35</f>
        <v>2.1129604060247322</v>
      </c>
      <c r="T29" s="36">
        <f>'R2'!S35</f>
        <v>1.4373372275416769</v>
      </c>
      <c r="U29" s="36">
        <f>'R2'!T35</f>
        <v>1.9004993177585159</v>
      </c>
      <c r="V29" s="36">
        <f>'R2'!U35</f>
        <v>1.568184598473793</v>
      </c>
      <c r="W29" s="36">
        <f>'R2'!V35</f>
        <v>0.40413309280040288</v>
      </c>
    </row>
    <row r="30" spans="1:23">
      <c r="A30" s="151"/>
      <c r="B30" s="36" t="str">
        <f>'R2'!B36</f>
        <v/>
      </c>
      <c r="C30" s="36" t="str">
        <f>'R2'!C36</f>
        <v/>
      </c>
      <c r="D30" s="36" t="str">
        <f>'R2'!D36</f>
        <v/>
      </c>
      <c r="E30" s="36" t="str">
        <f>'R2'!E36</f>
        <v/>
      </c>
      <c r="F30" s="36" t="str">
        <f>'R2'!F36</f>
        <v/>
      </c>
      <c r="G30" s="36" t="str">
        <f>'R2'!G36</f>
        <v/>
      </c>
      <c r="H30" s="36" t="str">
        <f>'R2'!H36</f>
        <v/>
      </c>
      <c r="I30" s="36" t="str">
        <f>'R2'!I36</f>
        <v/>
      </c>
      <c r="J30" s="36" t="str">
        <f>'R2'!J36</f>
        <v/>
      </c>
      <c r="K30" s="36" t="str">
        <f>'R2'!K36</f>
        <v/>
      </c>
      <c r="L30" s="36" t="str">
        <f>'R2'!L36</f>
        <v/>
      </c>
      <c r="M30" s="36" t="str">
        <f>'R2'!M36</f>
        <v/>
      </c>
      <c r="N30" s="36" t="str">
        <f>'R2'!N36</f>
        <v/>
      </c>
      <c r="P30" s="36">
        <f>'R2'!O36</f>
        <v>1.3213631307147431</v>
      </c>
      <c r="Q30" s="36" t="str">
        <f>'R2'!P36</f>
        <v/>
      </c>
      <c r="R30" s="36" t="str">
        <f>'R2'!Q36</f>
        <v/>
      </c>
      <c r="S30" s="36" t="str">
        <f>'R2'!R36</f>
        <v/>
      </c>
      <c r="T30" s="36">
        <f>'R2'!S36</f>
        <v>1.6643953284752995</v>
      </c>
      <c r="U30" s="36" t="str">
        <f>'R2'!T36</f>
        <v/>
      </c>
      <c r="V30" s="36" t="str">
        <f>'R2'!U36</f>
        <v/>
      </c>
      <c r="W30" s="36" t="str">
        <f>'R2'!V36</f>
        <v/>
      </c>
    </row>
    <row r="31" spans="1:23" s="1" customFormat="1">
      <c r="A31" s="151"/>
      <c r="B31" s="36" t="str">
        <f>'R2'!B37</f>
        <v/>
      </c>
      <c r="C31" s="36" t="str">
        <f>'R2'!C37</f>
        <v/>
      </c>
      <c r="D31" s="36" t="str">
        <f>'R2'!D37</f>
        <v/>
      </c>
      <c r="E31" s="36" t="str">
        <f>'R2'!E37</f>
        <v/>
      </c>
      <c r="F31" s="36" t="str">
        <f>'R2'!F37</f>
        <v/>
      </c>
      <c r="G31" s="36" t="str">
        <f>'R2'!G37</f>
        <v/>
      </c>
      <c r="H31" s="36" t="str">
        <f>'R2'!H37</f>
        <v/>
      </c>
      <c r="I31" s="36" t="str">
        <f>'R2'!I37</f>
        <v/>
      </c>
      <c r="J31" s="36" t="str">
        <f>'R2'!J37</f>
        <v/>
      </c>
      <c r="K31" s="36" t="str">
        <f>'R2'!K37</f>
        <v/>
      </c>
      <c r="L31" s="36" t="str">
        <f>'R2'!L37</f>
        <v/>
      </c>
      <c r="M31" s="36" t="str">
        <f>'R2'!M37</f>
        <v/>
      </c>
      <c r="N31" s="36" t="str">
        <f>'R2'!N37</f>
        <v/>
      </c>
      <c r="O31"/>
      <c r="P31" s="36">
        <f>'R2'!O37</f>
        <v>1.0495012858133554</v>
      </c>
      <c r="Q31" s="36" t="str">
        <f>'R2'!P37</f>
        <v/>
      </c>
      <c r="R31" s="36" t="str">
        <f>'R2'!Q37</f>
        <v/>
      </c>
      <c r="S31" s="36" t="str">
        <f>'R2'!R37</f>
        <v/>
      </c>
      <c r="T31" s="36" t="str">
        <f>'R2'!S37</f>
        <v/>
      </c>
      <c r="U31" s="36" t="str">
        <f>'R2'!T37</f>
        <v/>
      </c>
      <c r="V31" s="36" t="str">
        <f>'R2'!U37</f>
        <v/>
      </c>
      <c r="W31" s="36" t="str">
        <f>'R2'!V37</f>
        <v/>
      </c>
    </row>
    <row r="32" spans="1:23" s="1" customFormat="1">
      <c r="A32" s="151"/>
      <c r="B32" s="36" t="str">
        <f>'R2'!B38</f>
        <v/>
      </c>
      <c r="C32" s="36" t="str">
        <f>'R2'!C38</f>
        <v/>
      </c>
      <c r="D32" s="36" t="str">
        <f>'R2'!D38</f>
        <v/>
      </c>
      <c r="E32" s="36" t="str">
        <f>'R2'!E38</f>
        <v/>
      </c>
      <c r="F32" s="36" t="str">
        <f>'R2'!F38</f>
        <v/>
      </c>
      <c r="G32" s="36" t="str">
        <f>'R2'!G38</f>
        <v/>
      </c>
      <c r="H32" s="36" t="str">
        <f>'R2'!H38</f>
        <v/>
      </c>
      <c r="I32" s="36" t="str">
        <f>'R2'!I38</f>
        <v/>
      </c>
      <c r="J32" s="36" t="str">
        <f>'R2'!J38</f>
        <v/>
      </c>
      <c r="K32" s="36" t="str">
        <f>'R2'!K38</f>
        <v/>
      </c>
      <c r="L32" s="36" t="str">
        <f>'R2'!L38</f>
        <v/>
      </c>
      <c r="M32" s="36" t="str">
        <f>'R2'!M38</f>
        <v/>
      </c>
      <c r="N32" s="36" t="str">
        <f>'R2'!N38</f>
        <v/>
      </c>
      <c r="O32"/>
      <c r="P32" s="36">
        <f>'R2'!O38</f>
        <v>1.5010257840140047</v>
      </c>
      <c r="Q32" s="36" t="str">
        <f>'R2'!P38</f>
        <v/>
      </c>
      <c r="R32" s="36" t="str">
        <f>'R2'!Q38</f>
        <v/>
      </c>
      <c r="S32" s="36" t="str">
        <f>'R2'!R38</f>
        <v/>
      </c>
      <c r="T32" s="36" t="str">
        <f>'R2'!S38</f>
        <v/>
      </c>
      <c r="U32" s="36" t="str">
        <f>'R2'!T38</f>
        <v/>
      </c>
      <c r="V32" s="36" t="str">
        <f>'R2'!U38</f>
        <v/>
      </c>
      <c r="W32" s="36" t="str">
        <f>'R2'!V38</f>
        <v/>
      </c>
    </row>
    <row r="33" spans="1:23" s="1" customFormat="1">
      <c r="A33" s="151"/>
      <c r="B33" s="36" t="str">
        <f>'R2'!B39</f>
        <v/>
      </c>
      <c r="C33" s="36" t="str">
        <f>'R2'!C39</f>
        <v/>
      </c>
      <c r="D33" s="36" t="str">
        <f>'R2'!D39</f>
        <v/>
      </c>
      <c r="E33" s="36" t="str">
        <f>'R2'!E39</f>
        <v/>
      </c>
      <c r="F33" s="36" t="str">
        <f>'R2'!F39</f>
        <v/>
      </c>
      <c r="G33" s="36" t="str">
        <f>'R2'!G39</f>
        <v/>
      </c>
      <c r="H33" s="36" t="str">
        <f>'R2'!H39</f>
        <v/>
      </c>
      <c r="I33" s="36" t="str">
        <f>'R2'!I39</f>
        <v/>
      </c>
      <c r="J33" s="36" t="str">
        <f>'R2'!J39</f>
        <v/>
      </c>
      <c r="K33" s="36" t="str">
        <f>'R2'!K39</f>
        <v/>
      </c>
      <c r="L33" s="36" t="str">
        <f>'R2'!L39</f>
        <v/>
      </c>
      <c r="M33" s="36" t="str">
        <f>'R2'!M39</f>
        <v/>
      </c>
      <c r="N33" s="36" t="str">
        <f>'R2'!N39</f>
        <v/>
      </c>
      <c r="O33"/>
      <c r="P33" s="36">
        <f>'R2'!O39</f>
        <v>1.3387931178974661</v>
      </c>
      <c r="Q33" s="36" t="str">
        <f>'R2'!P39</f>
        <v/>
      </c>
      <c r="R33" s="36" t="str">
        <f>'R2'!Q39</f>
        <v/>
      </c>
      <c r="S33" s="36" t="str">
        <f>'R2'!R39</f>
        <v/>
      </c>
      <c r="T33" s="36" t="str">
        <f>'R2'!S39</f>
        <v/>
      </c>
      <c r="U33" s="36" t="str">
        <f>'R2'!T39</f>
        <v/>
      </c>
      <c r="V33" s="36" t="str">
        <f>'R2'!U39</f>
        <v/>
      </c>
      <c r="W33" s="36" t="str">
        <f>'R2'!V39</f>
        <v/>
      </c>
    </row>
    <row r="34" spans="1:23" s="1" customFormat="1">
      <c r="A34" s="151"/>
      <c r="B34" s="36" t="str">
        <f>'R2'!B40</f>
        <v/>
      </c>
      <c r="C34" s="36" t="str">
        <f>'R2'!C40</f>
        <v/>
      </c>
      <c r="D34" s="36" t="str">
        <f>'R2'!D40</f>
        <v/>
      </c>
      <c r="E34" s="36" t="str">
        <f>'R2'!E40</f>
        <v/>
      </c>
      <c r="F34" s="36" t="str">
        <f>'R2'!F40</f>
        <v/>
      </c>
      <c r="G34" s="36" t="str">
        <f>'R2'!G40</f>
        <v/>
      </c>
      <c r="H34" s="36" t="str">
        <f>'R2'!H40</f>
        <v/>
      </c>
      <c r="I34" s="36" t="str">
        <f>'R2'!I40</f>
        <v/>
      </c>
      <c r="J34" s="36" t="str">
        <f>'R2'!J40</f>
        <v/>
      </c>
      <c r="K34" s="36" t="str">
        <f>'R2'!K40</f>
        <v/>
      </c>
      <c r="L34" s="36" t="str">
        <f>'R2'!L40</f>
        <v/>
      </c>
      <c r="M34" s="36" t="str">
        <f>'R2'!M40</f>
        <v/>
      </c>
      <c r="N34" s="36" t="str">
        <f>'R2'!N40</f>
        <v/>
      </c>
      <c r="O34"/>
      <c r="P34" s="36">
        <f>'R2'!O40</f>
        <v>1.6257799922974914</v>
      </c>
      <c r="Q34" s="36" t="str">
        <f>'R2'!P40</f>
        <v/>
      </c>
      <c r="R34" s="36" t="str">
        <f>'R2'!Q40</f>
        <v/>
      </c>
      <c r="S34" s="36" t="str">
        <f>'R2'!R40</f>
        <v/>
      </c>
      <c r="T34" s="36" t="str">
        <f>'R2'!S40</f>
        <v/>
      </c>
      <c r="U34" s="36" t="str">
        <f>'R2'!T40</f>
        <v/>
      </c>
      <c r="V34" s="36" t="str">
        <f>'R2'!U40</f>
        <v/>
      </c>
      <c r="W34" s="36" t="str">
        <f>'R2'!V40</f>
        <v/>
      </c>
    </row>
    <row r="35" spans="1:23" s="1" customFormat="1">
      <c r="A35" s="151"/>
      <c r="B35" s="36" t="str">
        <f>'R2'!B41</f>
        <v/>
      </c>
      <c r="C35" s="36" t="str">
        <f>'R2'!C41</f>
        <v/>
      </c>
      <c r="D35" s="36" t="str">
        <f>'R2'!D41</f>
        <v/>
      </c>
      <c r="E35" s="36" t="str">
        <f>'R2'!E41</f>
        <v/>
      </c>
      <c r="F35" s="36" t="str">
        <f>'R2'!F41</f>
        <v/>
      </c>
      <c r="G35" s="36" t="str">
        <f>'R2'!G41</f>
        <v/>
      </c>
      <c r="H35" s="36" t="str">
        <f>'R2'!H41</f>
        <v/>
      </c>
      <c r="I35" s="36" t="str">
        <f>'R2'!I41</f>
        <v/>
      </c>
      <c r="J35" s="36" t="str">
        <f>'R2'!J41</f>
        <v/>
      </c>
      <c r="K35" s="36" t="str">
        <f>'R2'!K41</f>
        <v/>
      </c>
      <c r="L35" s="36" t="str">
        <f>'R2'!L41</f>
        <v/>
      </c>
      <c r="M35" s="36" t="str">
        <f>'R2'!M41</f>
        <v/>
      </c>
      <c r="N35" s="36" t="str">
        <f>'R2'!N41</f>
        <v/>
      </c>
      <c r="O35"/>
      <c r="P35" s="36">
        <f>'R2'!O41</f>
        <v>0.61425802238796101</v>
      </c>
      <c r="Q35" s="36" t="str">
        <f>'R2'!P41</f>
        <v/>
      </c>
      <c r="R35" s="36" t="str">
        <f>'R2'!Q41</f>
        <v/>
      </c>
      <c r="S35" s="36" t="str">
        <f>'R2'!R41</f>
        <v/>
      </c>
      <c r="T35" s="36" t="str">
        <f>'R2'!S41</f>
        <v/>
      </c>
      <c r="U35" s="36" t="str">
        <f>'R2'!T41</f>
        <v/>
      </c>
      <c r="V35" s="36" t="str">
        <f>'R2'!U41</f>
        <v/>
      </c>
      <c r="W35" s="36" t="str">
        <f>'R2'!V41</f>
        <v/>
      </c>
    </row>
    <row r="36" spans="1:23">
      <c r="A36" s="151"/>
      <c r="B36" s="36" t="str">
        <f>'R2'!B42</f>
        <v/>
      </c>
      <c r="C36" s="36" t="str">
        <f>'R2'!C42</f>
        <v/>
      </c>
      <c r="D36" s="36" t="str">
        <f>'R2'!D42</f>
        <v/>
      </c>
      <c r="E36" s="36" t="str">
        <f>'R2'!E42</f>
        <v/>
      </c>
      <c r="F36" s="36" t="str">
        <f>'R2'!F42</f>
        <v/>
      </c>
      <c r="G36" s="36" t="str">
        <f>'R2'!G42</f>
        <v/>
      </c>
      <c r="H36" s="36" t="str">
        <f>'R2'!H42</f>
        <v/>
      </c>
      <c r="I36" s="36" t="str">
        <f>'R2'!I42</f>
        <v/>
      </c>
      <c r="J36" s="36" t="str">
        <f>'R2'!J42</f>
        <v/>
      </c>
      <c r="K36" s="36" t="str">
        <f>'R2'!K42</f>
        <v/>
      </c>
      <c r="L36" s="36" t="str">
        <f>'R2'!L42</f>
        <v/>
      </c>
      <c r="M36" s="36" t="str">
        <f>'R2'!M42</f>
        <v/>
      </c>
      <c r="N36" s="36" t="str">
        <f>'R2'!N42</f>
        <v/>
      </c>
      <c r="P36" s="36">
        <f>'R2'!O42</f>
        <v>0.97510106157673393</v>
      </c>
      <c r="Q36" s="36" t="str">
        <f>'R2'!P42</f>
        <v/>
      </c>
      <c r="R36" s="36" t="str">
        <f>'R2'!Q42</f>
        <v/>
      </c>
      <c r="S36" s="36" t="str">
        <f>'R2'!R42</f>
        <v/>
      </c>
      <c r="T36" s="36" t="str">
        <f>'R2'!S42</f>
        <v/>
      </c>
      <c r="U36" s="36" t="str">
        <f>'R2'!T42</f>
        <v/>
      </c>
      <c r="V36" s="36" t="str">
        <f>'R2'!U42</f>
        <v/>
      </c>
      <c r="W36" s="36" t="str">
        <f>'R2'!V42</f>
        <v/>
      </c>
    </row>
    <row r="37" spans="1:23">
      <c r="A37" s="152"/>
      <c r="B37" s="36" t="str">
        <f>'R2'!B43</f>
        <v/>
      </c>
      <c r="C37" s="36" t="str">
        <f>'R2'!C43</f>
        <v/>
      </c>
      <c r="D37" s="36" t="str">
        <f>'R2'!D43</f>
        <v/>
      </c>
      <c r="E37" s="36" t="str">
        <f>'R2'!E43</f>
        <v/>
      </c>
      <c r="F37" s="36" t="str">
        <f>'R2'!F43</f>
        <v/>
      </c>
      <c r="G37" s="36" t="str">
        <f>'R2'!G43</f>
        <v/>
      </c>
      <c r="H37" s="36" t="str">
        <f>'R2'!H43</f>
        <v/>
      </c>
      <c r="I37" s="36" t="str">
        <f>'R2'!I43</f>
        <v/>
      </c>
      <c r="J37" s="36" t="str">
        <f>'R2'!J43</f>
        <v/>
      </c>
      <c r="K37" s="36" t="str">
        <f>'R2'!K43</f>
        <v/>
      </c>
      <c r="L37" s="36" t="str">
        <f>'R2'!L43</f>
        <v/>
      </c>
      <c r="M37" s="36" t="str">
        <f>'R2'!M43</f>
        <v/>
      </c>
      <c r="N37" s="36" t="str">
        <f>'R2'!N43</f>
        <v/>
      </c>
      <c r="P37" s="36">
        <f>'R2'!O43</f>
        <v>1.575048312000535</v>
      </c>
      <c r="Q37" s="36" t="str">
        <f>'R2'!P43</f>
        <v/>
      </c>
      <c r="R37" s="36" t="str">
        <f>'R2'!Q43</f>
        <v/>
      </c>
      <c r="S37" s="36" t="str">
        <f>'R2'!R43</f>
        <v/>
      </c>
      <c r="T37" s="36" t="str">
        <f>'R2'!S43</f>
        <v/>
      </c>
      <c r="U37" s="36" t="str">
        <f>'R2'!T43</f>
        <v/>
      </c>
      <c r="V37" s="36" t="str">
        <f>'R2'!U43</f>
        <v/>
      </c>
      <c r="W37" s="36" t="str">
        <f>'R2'!V43</f>
        <v/>
      </c>
    </row>
    <row r="38" spans="1:23" s="1" customFormat="1">
      <c r="A38" s="81" t="s">
        <v>48</v>
      </c>
      <c r="B38" s="82">
        <f>'R3'!B28</f>
        <v>0.19576804042394291</v>
      </c>
      <c r="C38" s="82">
        <f>'R3'!C28</f>
        <v>0.38170733876848068</v>
      </c>
      <c r="D38" s="82">
        <f>'R3'!D28</f>
        <v>0.29317787644702581</v>
      </c>
      <c r="E38" s="82">
        <f>'R3'!E28</f>
        <v>1.0053270319272003</v>
      </c>
      <c r="F38" s="82">
        <f>'R3'!F28</f>
        <v>1.2987400682929853</v>
      </c>
      <c r="G38" s="82">
        <f>'R3'!G28</f>
        <v>0.98252208070344393</v>
      </c>
      <c r="H38" s="82">
        <f>'R3'!H28</f>
        <v>1.9555614201538412</v>
      </c>
      <c r="I38" s="82">
        <f>'R3'!I28</f>
        <v>0.18197306005143121</v>
      </c>
      <c r="J38" s="82">
        <f>'R3'!J28</f>
        <v>0.28049799707605266</v>
      </c>
      <c r="K38" s="82">
        <f>'R3'!K28</f>
        <v>0.12040659102827209</v>
      </c>
      <c r="L38" s="82">
        <f>'R3'!L28</f>
        <v>0.18488074882646835</v>
      </c>
      <c r="M38" s="82">
        <f>'R3'!M28</f>
        <v>4.6347239539477704E-2</v>
      </c>
      <c r="N38" s="82" t="str">
        <f>'R3'!N28</f>
        <v/>
      </c>
      <c r="O38"/>
      <c r="P38" s="82">
        <f>'R3'!O28</f>
        <v>1.0747730076470565</v>
      </c>
      <c r="Q38" s="82">
        <f>'R3'!P28</f>
        <v>1.1951534907404604</v>
      </c>
      <c r="R38" s="82">
        <f>'R3'!Q28</f>
        <v>3.738778801346538E-2</v>
      </c>
      <c r="S38" s="82">
        <f>'R3'!R28</f>
        <v>1.4984810389355785</v>
      </c>
      <c r="T38" s="82">
        <f>'R3'!S28</f>
        <v>1.2708039182166584</v>
      </c>
      <c r="U38" s="82">
        <f>'R3'!T28</f>
        <v>1.1153487912886211</v>
      </c>
      <c r="V38" s="82">
        <f>'R3'!U28</f>
        <v>0.74863937719851259</v>
      </c>
      <c r="W38" s="82">
        <f>'R3'!V28</f>
        <v>1.4820045757219062</v>
      </c>
    </row>
    <row r="39" spans="1:23" s="1" customFormat="1">
      <c r="A39" s="142" t="s">
        <v>17</v>
      </c>
      <c r="B39" s="82">
        <f>'R3'!B29</f>
        <v>4.7404846532822655E-2</v>
      </c>
      <c r="C39" s="82">
        <f>'R3'!C29</f>
        <v>0.29042372494960733</v>
      </c>
      <c r="D39" s="82">
        <f>'R3'!D29</f>
        <v>0.30503078462473554</v>
      </c>
      <c r="E39" s="82">
        <f>'R3'!E29</f>
        <v>0.65328801517370549</v>
      </c>
      <c r="F39" s="82">
        <f>'R3'!F29</f>
        <v>0.73562556131765433</v>
      </c>
      <c r="G39" s="82">
        <f>'R3'!G29</f>
        <v>1.0351859324414772</v>
      </c>
      <c r="H39" s="82">
        <f>'R3'!H29</f>
        <v>1.5381158058922169</v>
      </c>
      <c r="I39" s="82">
        <f>'R3'!I29</f>
        <v>2.7477423292919835E-3</v>
      </c>
      <c r="J39" s="82">
        <f>'R3'!J29</f>
        <v>0.27955924245046532</v>
      </c>
      <c r="K39" s="82">
        <f>'R3'!K29</f>
        <v>7.0004138861696402E-2</v>
      </c>
      <c r="L39" s="82">
        <f>'R3'!L29</f>
        <v>0.10234027710933793</v>
      </c>
      <c r="M39" s="82">
        <f>'R3'!M29</f>
        <v>0.13507642285005103</v>
      </c>
      <c r="N39" s="82" t="str">
        <f>'R3'!N29</f>
        <v/>
      </c>
      <c r="O39"/>
      <c r="P39" s="82">
        <f>'R3'!O29</f>
        <v>1.1376110367760188</v>
      </c>
      <c r="Q39" s="82">
        <f>'R3'!P29</f>
        <v>1.2183081186370008</v>
      </c>
      <c r="R39" s="82">
        <f>'R3'!Q29</f>
        <v>0.14050300895127513</v>
      </c>
      <c r="S39" s="82">
        <f>'R3'!R29</f>
        <v>0.91680972817469131</v>
      </c>
      <c r="T39" s="82">
        <f>'R3'!S29</f>
        <v>0.42407929177749676</v>
      </c>
      <c r="U39" s="82">
        <f>'R3'!T29</f>
        <v>0.6634125215116542</v>
      </c>
      <c r="V39" s="82">
        <f>'R3'!U29</f>
        <v>1.1690865556977328</v>
      </c>
      <c r="W39" s="82">
        <f>'R3'!V29</f>
        <v>1.2986866271411068</v>
      </c>
    </row>
    <row r="40" spans="1:23" s="1" customFormat="1">
      <c r="A40" s="151"/>
      <c r="B40" s="82">
        <f>'R3'!B30</f>
        <v>3.2081185309668268E-2</v>
      </c>
      <c r="C40" s="82">
        <f>'R3'!C30</f>
        <v>1.424748649273708E-2</v>
      </c>
      <c r="D40" s="82">
        <f>'R3'!D30</f>
        <v>0.20273753949914944</v>
      </c>
      <c r="E40" s="82">
        <f>'R3'!E30</f>
        <v>0.7604477039567541</v>
      </c>
      <c r="F40" s="82">
        <f>'R3'!F30</f>
        <v>0.96892295696868025</v>
      </c>
      <c r="G40" s="82">
        <f>'R3'!G30</f>
        <v>1.3370507765166666</v>
      </c>
      <c r="H40" s="82">
        <f>'R3'!H30</f>
        <v>2.0463435165668158</v>
      </c>
      <c r="I40" s="82">
        <f>'R3'!I30</f>
        <v>0.22101177437230504</v>
      </c>
      <c r="J40" s="82">
        <f>'R3'!J30</f>
        <v>0.21056040045990493</v>
      </c>
      <c r="K40" s="82">
        <f>'R3'!K30</f>
        <v>9.2703150306420679E-2</v>
      </c>
      <c r="L40" s="82">
        <f>'R3'!L30</f>
        <v>0.15481854572912004</v>
      </c>
      <c r="M40" s="82">
        <f>'R3'!M30</f>
        <v>0.13211142857176519</v>
      </c>
      <c r="N40" s="82" t="str">
        <f>'R3'!N30</f>
        <v/>
      </c>
      <c r="O40"/>
      <c r="P40" s="82">
        <f>'R3'!O30</f>
        <v>1.4538247830042998</v>
      </c>
      <c r="Q40" s="82">
        <f>'R3'!P30</f>
        <v>2.0388589277296782</v>
      </c>
      <c r="R40" s="82">
        <f>'R3'!Q30</f>
        <v>0.15032515335760885</v>
      </c>
      <c r="S40" s="82">
        <f>'R3'!R30</f>
        <v>0.62526402179305673</v>
      </c>
      <c r="T40" s="82">
        <f>'R3'!S30</f>
        <v>1.3960991964858909</v>
      </c>
      <c r="U40" s="82">
        <f>'R3'!T30</f>
        <v>0.58636385860668216</v>
      </c>
      <c r="V40" s="82">
        <f>'R3'!U30</f>
        <v>1.5846858582765628</v>
      </c>
      <c r="W40" s="82">
        <f>'R3'!V30</f>
        <v>1.7050197806485772</v>
      </c>
    </row>
    <row r="41" spans="1:23" s="1" customFormat="1">
      <c r="A41" s="151"/>
      <c r="B41" s="82">
        <f>'R3'!B31</f>
        <v>0.1500143087034736</v>
      </c>
      <c r="C41" s="82">
        <f>'R3'!C31</f>
        <v>5.6500115871633318E-2</v>
      </c>
      <c r="D41" s="82">
        <f>'R3'!D31</f>
        <v>0.49203193132387846</v>
      </c>
      <c r="E41" s="82">
        <f>'R3'!E31</f>
        <v>0.69032292193032363</v>
      </c>
      <c r="F41" s="82">
        <f>'R3'!F31</f>
        <v>0.8583352115102062</v>
      </c>
      <c r="G41" s="82">
        <f>'R3'!G31</f>
        <v>1.3546688256766355</v>
      </c>
      <c r="H41" s="82">
        <f>'R3'!H31</f>
        <v>1.3680815180208961</v>
      </c>
      <c r="I41" s="82">
        <f>'R3'!I31</f>
        <v>2.9036359187218515E-3</v>
      </c>
      <c r="J41" s="82">
        <f>'R3'!J31</f>
        <v>0.18682734513994784</v>
      </c>
      <c r="K41" s="82">
        <f>'R3'!K31</f>
        <v>0.17080857193248555</v>
      </c>
      <c r="L41" s="82">
        <f>'R3'!L31</f>
        <v>0.15579075998242661</v>
      </c>
      <c r="M41" s="82">
        <f>'R3'!M31</f>
        <v>0.16079462374471906</v>
      </c>
      <c r="N41" s="82" t="str">
        <f>'R3'!N31</f>
        <v/>
      </c>
      <c r="O41"/>
      <c r="P41" s="82">
        <f>'R3'!O31</f>
        <v>1.1281603413636048</v>
      </c>
      <c r="Q41" s="82">
        <f>'R3'!P31</f>
        <v>1.604835057584137</v>
      </c>
      <c r="R41" s="82">
        <f>'R3'!Q31</f>
        <v>0.12917725485197001</v>
      </c>
      <c r="S41" s="82">
        <f>'R3'!R31</f>
        <v>0.86550961546051586</v>
      </c>
      <c r="T41" s="82">
        <f>'R3'!S31</f>
        <v>1.2131953932690305</v>
      </c>
      <c r="U41" s="82">
        <f>'R3'!T31</f>
        <v>1.6537318265033476</v>
      </c>
      <c r="V41" s="82">
        <f>'R3'!U31</f>
        <v>0.60487193386398264</v>
      </c>
      <c r="W41" s="82">
        <f>'R3'!V31</f>
        <v>1.0737873152901898</v>
      </c>
    </row>
    <row r="42" spans="1:23" s="1" customFormat="1">
      <c r="A42" s="151"/>
      <c r="B42" s="82">
        <f>'R3'!B32</f>
        <v>8.9903757622226896E-2</v>
      </c>
      <c r="C42" s="82">
        <f>'R3'!C32</f>
        <v>5.6286351264120051E-2</v>
      </c>
      <c r="D42" s="82">
        <f>'R3'!D32</f>
        <v>1.1200753642769699</v>
      </c>
      <c r="E42" s="82">
        <f>'R3'!E32</f>
        <v>0.56687329557657828</v>
      </c>
      <c r="F42" s="82">
        <f>'R3'!F32</f>
        <v>0.85922127900369483</v>
      </c>
      <c r="G42" s="82">
        <f>'R3'!G32</f>
        <v>1.077606142716387</v>
      </c>
      <c r="H42" s="82">
        <f>'R3'!H32</f>
        <v>1.4616979747853429</v>
      </c>
      <c r="I42" s="82">
        <f>'R3'!I32</f>
        <v>3.0944029229576756E-3</v>
      </c>
      <c r="J42" s="82">
        <f>'R3'!J32</f>
        <v>0.12955143716759068</v>
      </c>
      <c r="K42" s="82">
        <f>'R3'!K32</f>
        <v>7.7292588303668738E-2</v>
      </c>
      <c r="L42" s="82">
        <f>'R3'!L32</f>
        <v>0.19229257475487582</v>
      </c>
      <c r="M42" s="82">
        <f>'R3'!M32</f>
        <v>0.10644459527458161</v>
      </c>
      <c r="N42" s="82" t="str">
        <f>'R3'!N32</f>
        <v/>
      </c>
      <c r="O42"/>
      <c r="P42" s="82">
        <f>'R3'!O32</f>
        <v>0.47885864025963726</v>
      </c>
      <c r="Q42" s="82">
        <f>'R3'!P32</f>
        <v>1.9714223204699524</v>
      </c>
      <c r="R42" s="82">
        <f>'R3'!Q32</f>
        <v>9.7578453696293324E-2</v>
      </c>
      <c r="S42" s="82">
        <f>'R3'!R32</f>
        <v>0.80511743799159297</v>
      </c>
      <c r="T42" s="82">
        <f>'R3'!S32</f>
        <v>0.67481320632655584</v>
      </c>
      <c r="U42" s="82">
        <f>'R3'!T32</f>
        <v>0.73313192365408353</v>
      </c>
      <c r="V42" s="82">
        <f>'R3'!U32</f>
        <v>0.92831748379829448</v>
      </c>
      <c r="W42" s="82">
        <f>'R3'!V32</f>
        <v>0.93256468871177012</v>
      </c>
    </row>
    <row r="43" spans="1:23" s="1" customFormat="1">
      <c r="A43" s="151"/>
      <c r="B43" s="82">
        <f>'R3'!B33</f>
        <v>4.5011116490047354E-2</v>
      </c>
      <c r="C43" s="82">
        <f>'R3'!C33</f>
        <v>4.7461398016291775E-2</v>
      </c>
      <c r="D43" s="82">
        <f>'R3'!D33</f>
        <v>0.49495281544505842</v>
      </c>
      <c r="E43" s="82">
        <f>'R3'!E33</f>
        <v>0.52716274963209131</v>
      </c>
      <c r="F43" s="82">
        <f>'R3'!F33</f>
        <v>1.1578261185618346</v>
      </c>
      <c r="G43" s="82">
        <f>'R3'!G33</f>
        <v>1.1046064599937722</v>
      </c>
      <c r="H43" s="82">
        <f>'R3'!H33</f>
        <v>1.6981889269603425</v>
      </c>
      <c r="I43" s="82">
        <f>'R3'!I33</f>
        <v>2.5350050737284077E-2</v>
      </c>
      <c r="J43" s="82">
        <f>'R3'!J33</f>
        <v>0.16327280400280825</v>
      </c>
      <c r="K43" s="82">
        <f>'R3'!K33</f>
        <v>7.0057014498740022E-2</v>
      </c>
      <c r="L43" s="82">
        <f>'R3'!L33</f>
        <v>0.30965933504173793</v>
      </c>
      <c r="M43" s="82">
        <f>'R3'!M33</f>
        <v>0.19832445023416437</v>
      </c>
      <c r="N43" s="82" t="str">
        <f>'R3'!N33</f>
        <v/>
      </c>
      <c r="O43"/>
      <c r="P43" s="82">
        <f>'R3'!O33</f>
        <v>0.91838864559314903</v>
      </c>
      <c r="Q43" s="82">
        <f>'R3'!P33</f>
        <v>1.641066367760659</v>
      </c>
      <c r="R43" s="82">
        <f>'R3'!Q33</f>
        <v>0.14508603542408488</v>
      </c>
      <c r="S43" s="82">
        <f>'R3'!R33</f>
        <v>0.70066100437084056</v>
      </c>
      <c r="T43" s="82">
        <f>'R3'!S33</f>
        <v>0.46113135248410048</v>
      </c>
      <c r="U43" s="82">
        <f>'R3'!T33</f>
        <v>0.37293629793489297</v>
      </c>
      <c r="V43" s="82">
        <f>'R3'!U33</f>
        <v>0.97903558749510033</v>
      </c>
      <c r="W43" s="82">
        <f>'R3'!V33</f>
        <v>1.1882093455803424</v>
      </c>
    </row>
    <row r="44" spans="1:23" s="1" customFormat="1">
      <c r="A44" s="151"/>
      <c r="B44" s="82">
        <f>'R3'!B34</f>
        <v>5.7108515581288578E-2</v>
      </c>
      <c r="C44" s="82">
        <f>'R3'!C34</f>
        <v>0.17889383177653775</v>
      </c>
      <c r="D44" s="82">
        <f>'R3'!D34</f>
        <v>0.27623693704912711</v>
      </c>
      <c r="E44" s="82">
        <f>'R3'!E34</f>
        <v>0.95470930711355217</v>
      </c>
      <c r="F44" s="82">
        <f>'R3'!F34</f>
        <v>0.76450630967286026</v>
      </c>
      <c r="G44" s="82">
        <f>'R3'!G34</f>
        <v>1.2267410758519157</v>
      </c>
      <c r="H44" s="82">
        <f>'R3'!H34</f>
        <v>2.2166582997961437</v>
      </c>
      <c r="I44" s="82">
        <f>'R3'!I34</f>
        <v>0.24687908267838665</v>
      </c>
      <c r="J44" s="82">
        <f>'R3'!J34</f>
        <v>0.10165298808024326</v>
      </c>
      <c r="K44" s="82">
        <f>'R3'!K34</f>
        <v>0.31061401833516911</v>
      </c>
      <c r="L44" s="82">
        <f>'R3'!L34</f>
        <v>0.12579349683859536</v>
      </c>
      <c r="M44" s="82">
        <f>'R3'!M34</f>
        <v>0.26219133935237476</v>
      </c>
      <c r="N44" s="82" t="str">
        <f>'R3'!N34</f>
        <v/>
      </c>
      <c r="O44"/>
      <c r="P44" s="82">
        <f>'R3'!O34</f>
        <v>0.66758206238783224</v>
      </c>
      <c r="Q44" s="82">
        <f>'R3'!P34</f>
        <v>1.6265492249442468</v>
      </c>
      <c r="R44" s="82">
        <f>'R3'!Q34</f>
        <v>0.17583138044174013</v>
      </c>
      <c r="S44" s="82">
        <f>'R3'!R34</f>
        <v>0.34842085284114066</v>
      </c>
      <c r="T44" s="82">
        <f>'R3'!S34</f>
        <v>1.3512661229162988</v>
      </c>
      <c r="U44" s="82">
        <f>'R3'!T34</f>
        <v>1.032815954021759</v>
      </c>
      <c r="V44" s="82">
        <f>'R3'!U34</f>
        <v>1.4900262151470556</v>
      </c>
      <c r="W44" s="82">
        <f>'R3'!V34</f>
        <v>0.69353089908258181</v>
      </c>
    </row>
    <row r="45" spans="1:23" s="1" customFormat="1">
      <c r="A45" s="151"/>
      <c r="B45" s="82">
        <f>'R3'!B35</f>
        <v>0.14233782183243066</v>
      </c>
      <c r="C45" s="82">
        <f>'R3'!C35</f>
        <v>0.85078634248685858</v>
      </c>
      <c r="D45" s="82">
        <f>'R3'!D35</f>
        <v>0.3888960690946025</v>
      </c>
      <c r="E45" s="82">
        <f>'R3'!E35</f>
        <v>0.35625266778677878</v>
      </c>
      <c r="F45" s="82">
        <f>'R3'!F35</f>
        <v>1.6949929198720852</v>
      </c>
      <c r="G45" s="82">
        <f>'R3'!G35</f>
        <v>1.7787823311016311</v>
      </c>
      <c r="H45" s="82">
        <f>'R3'!H35</f>
        <v>1.6583747032961622</v>
      </c>
      <c r="I45" s="82">
        <f>'R3'!I35</f>
        <v>2.5176249178088986E-2</v>
      </c>
      <c r="J45" s="82">
        <f>'R3'!J35</f>
        <v>0.18147257942272951</v>
      </c>
      <c r="K45" s="82">
        <f>'R3'!K35</f>
        <v>5.595184923940022E-2</v>
      </c>
      <c r="L45" s="82">
        <f>'R3'!L35</f>
        <v>0.12870391893533351</v>
      </c>
      <c r="M45" s="82">
        <f>'R3'!M35</f>
        <v>0.24560083064703969</v>
      </c>
      <c r="N45" s="82" t="str">
        <f>'R3'!N35</f>
        <v/>
      </c>
      <c r="O45"/>
      <c r="P45" s="82">
        <f>'R3'!O35</f>
        <v>0.95609915407227819</v>
      </c>
      <c r="Q45" s="82">
        <f>'R3'!P35</f>
        <v>1.0739466019686279</v>
      </c>
      <c r="R45" s="82">
        <f>'R3'!Q35</f>
        <v>1.4954191531156156E-2</v>
      </c>
      <c r="S45" s="82">
        <f>'R3'!R35</f>
        <v>0.59284720342899921</v>
      </c>
      <c r="T45" s="82">
        <f>'R3'!S35</f>
        <v>0.71783389910343509</v>
      </c>
      <c r="U45" s="82">
        <f>'R3'!T35</f>
        <v>1.1778264932154126</v>
      </c>
      <c r="V45" s="82">
        <f>'R3'!U35</f>
        <v>1.330529259443008</v>
      </c>
      <c r="W45" s="82">
        <f>'R3'!V35</f>
        <v>1.0850617017920106</v>
      </c>
    </row>
    <row r="46" spans="1:23" s="1" customFormat="1">
      <c r="A46" s="151"/>
      <c r="B46" s="82" t="str">
        <f>'R3'!B36</f>
        <v/>
      </c>
      <c r="C46" s="82" t="str">
        <f>'R3'!C36</f>
        <v/>
      </c>
      <c r="D46" s="82" t="str">
        <f>'R3'!D36</f>
        <v/>
      </c>
      <c r="E46" s="82" t="str">
        <f>'R3'!E36</f>
        <v/>
      </c>
      <c r="F46" s="82" t="str">
        <f>'R3'!F36</f>
        <v/>
      </c>
      <c r="G46" s="82" t="str">
        <f>'R3'!G36</f>
        <v/>
      </c>
      <c r="H46" s="82" t="str">
        <f>'R3'!H36</f>
        <v/>
      </c>
      <c r="I46" s="82" t="str">
        <f>'R3'!I36</f>
        <v/>
      </c>
      <c r="J46" s="82" t="str">
        <f>'R3'!J36</f>
        <v/>
      </c>
      <c r="K46" s="82" t="str">
        <f>'R3'!K36</f>
        <v/>
      </c>
      <c r="L46" s="82" t="str">
        <f>'R3'!L36</f>
        <v/>
      </c>
      <c r="M46" s="82" t="str">
        <f>'R3'!M36</f>
        <v/>
      </c>
      <c r="N46" s="82" t="str">
        <f>'R3'!N36</f>
        <v/>
      </c>
      <c r="O46"/>
      <c r="P46" s="82">
        <f>'R3'!O36</f>
        <v>0.71611775008509226</v>
      </c>
      <c r="Q46" s="82" t="str">
        <f>'R3'!P36</f>
        <v/>
      </c>
      <c r="R46" s="82" t="str">
        <f>'R3'!Q36</f>
        <v/>
      </c>
      <c r="S46" s="82" t="str">
        <f>'R3'!R36</f>
        <v/>
      </c>
      <c r="T46" s="82" t="str">
        <f>'R3'!S36</f>
        <v/>
      </c>
      <c r="U46" s="82" t="str">
        <f>'R3'!T36</f>
        <v/>
      </c>
      <c r="V46" s="82" t="str">
        <f>'R3'!U36</f>
        <v/>
      </c>
      <c r="W46" s="82" t="str">
        <f>'R3'!V36</f>
        <v/>
      </c>
    </row>
    <row r="47" spans="1:23" s="1" customFormat="1">
      <c r="A47" s="151"/>
      <c r="B47" s="82" t="str">
        <f>'R3'!B37</f>
        <v/>
      </c>
      <c r="C47" s="82" t="str">
        <f>'R3'!C37</f>
        <v/>
      </c>
      <c r="D47" s="82" t="str">
        <f>'R3'!D37</f>
        <v/>
      </c>
      <c r="E47" s="82" t="str">
        <f>'R3'!E37</f>
        <v/>
      </c>
      <c r="F47" s="82" t="str">
        <f>'R3'!F37</f>
        <v/>
      </c>
      <c r="G47" s="82" t="str">
        <f>'R3'!G37</f>
        <v/>
      </c>
      <c r="H47" s="82" t="str">
        <f>'R3'!H37</f>
        <v/>
      </c>
      <c r="I47" s="82" t="str">
        <f>'R3'!I37</f>
        <v/>
      </c>
      <c r="J47" s="82" t="str">
        <f>'R3'!J37</f>
        <v/>
      </c>
      <c r="K47" s="82" t="str">
        <f>'R3'!K37</f>
        <v/>
      </c>
      <c r="L47" s="82" t="str">
        <f>'R3'!L37</f>
        <v/>
      </c>
      <c r="M47" s="82" t="str">
        <f>'R3'!M37</f>
        <v/>
      </c>
      <c r="N47" s="82" t="str">
        <f>'R3'!N37</f>
        <v/>
      </c>
      <c r="O47"/>
      <c r="P47" s="82">
        <f>'R3'!O37</f>
        <v>1.1488896646390996</v>
      </c>
      <c r="Q47" s="82" t="str">
        <f>'R3'!P37</f>
        <v/>
      </c>
      <c r="R47" s="82" t="str">
        <f>'R3'!Q37</f>
        <v/>
      </c>
      <c r="S47" s="82" t="str">
        <f>'R3'!R37</f>
        <v/>
      </c>
      <c r="T47" s="82" t="str">
        <f>'R3'!S37</f>
        <v/>
      </c>
      <c r="U47" s="82" t="str">
        <f>'R3'!T37</f>
        <v/>
      </c>
      <c r="V47" s="82" t="str">
        <f>'R3'!U37</f>
        <v/>
      </c>
      <c r="W47" s="82" t="str">
        <f>'R3'!V37</f>
        <v/>
      </c>
    </row>
    <row r="48" spans="1:23" s="1" customFormat="1">
      <c r="A48" s="151"/>
      <c r="B48" s="82" t="str">
        <f>'R3'!B38</f>
        <v/>
      </c>
      <c r="C48" s="82" t="str">
        <f>'R3'!C38</f>
        <v/>
      </c>
      <c r="D48" s="82" t="str">
        <f>'R3'!D38</f>
        <v/>
      </c>
      <c r="E48" s="82" t="str">
        <f>'R3'!E38</f>
        <v/>
      </c>
      <c r="F48" s="82" t="str">
        <f>'R3'!F38</f>
        <v/>
      </c>
      <c r="G48" s="82" t="str">
        <f>'R3'!G38</f>
        <v/>
      </c>
      <c r="H48" s="82" t="str">
        <f>'R3'!H38</f>
        <v/>
      </c>
      <c r="I48" s="82" t="str">
        <f>'R3'!I38</f>
        <v/>
      </c>
      <c r="J48" s="82" t="str">
        <f>'R3'!J38</f>
        <v/>
      </c>
      <c r="K48" s="82" t="str">
        <f>'R3'!K38</f>
        <v/>
      </c>
      <c r="L48" s="82" t="str">
        <f>'R3'!L38</f>
        <v/>
      </c>
      <c r="M48" s="82" t="str">
        <f>'R3'!M38</f>
        <v/>
      </c>
      <c r="N48" s="82" t="str">
        <f>'R3'!N38</f>
        <v/>
      </c>
      <c r="O48"/>
      <c r="P48" s="82">
        <f>'R3'!O38</f>
        <v>0.79892476779430721</v>
      </c>
      <c r="Q48" s="82" t="str">
        <f>'R3'!P38</f>
        <v/>
      </c>
      <c r="R48" s="82" t="str">
        <f>'R3'!Q38</f>
        <v/>
      </c>
      <c r="S48" s="82" t="str">
        <f>'R3'!R38</f>
        <v/>
      </c>
      <c r="T48" s="82" t="str">
        <f>'R3'!S38</f>
        <v/>
      </c>
      <c r="U48" s="82" t="str">
        <f>'R3'!T38</f>
        <v/>
      </c>
      <c r="V48" s="82" t="str">
        <f>'R3'!U38</f>
        <v/>
      </c>
      <c r="W48" s="82" t="str">
        <f>'R3'!V38</f>
        <v/>
      </c>
    </row>
    <row r="49" spans="1:25" s="1" customFormat="1">
      <c r="A49" s="151"/>
      <c r="B49" s="82" t="str">
        <f>'R3'!B39</f>
        <v/>
      </c>
      <c r="C49" s="82" t="str">
        <f>'R3'!C39</f>
        <v/>
      </c>
      <c r="D49" s="82" t="str">
        <f>'R3'!D39</f>
        <v/>
      </c>
      <c r="E49" s="82" t="str">
        <f>'R3'!E39</f>
        <v/>
      </c>
      <c r="F49" s="82" t="str">
        <f>'R3'!F39</f>
        <v/>
      </c>
      <c r="G49" s="82" t="str">
        <f>'R3'!G39</f>
        <v/>
      </c>
      <c r="H49" s="82" t="str">
        <f>'R3'!H39</f>
        <v/>
      </c>
      <c r="I49" s="82" t="str">
        <f>'R3'!I39</f>
        <v/>
      </c>
      <c r="J49" s="82" t="str">
        <f>'R3'!J39</f>
        <v/>
      </c>
      <c r="K49" s="82" t="str">
        <f>'R3'!K39</f>
        <v/>
      </c>
      <c r="L49" s="82" t="str">
        <f>'R3'!L39</f>
        <v/>
      </c>
      <c r="M49" s="82" t="str">
        <f>'R3'!M39</f>
        <v/>
      </c>
      <c r="N49" s="82" t="str">
        <f>'R3'!N39</f>
        <v/>
      </c>
      <c r="O49"/>
      <c r="P49" s="82">
        <f>'R3'!O39</f>
        <v>0.92204799783596325</v>
      </c>
      <c r="Q49" s="82" t="str">
        <f>'R3'!P39</f>
        <v/>
      </c>
      <c r="R49" s="82" t="str">
        <f>'R3'!Q39</f>
        <v/>
      </c>
      <c r="S49" s="82" t="str">
        <f>'R3'!R39</f>
        <v/>
      </c>
      <c r="T49" s="82" t="str">
        <f>'R3'!S39</f>
        <v/>
      </c>
      <c r="U49" s="82" t="str">
        <f>'R3'!T39</f>
        <v/>
      </c>
      <c r="V49" s="82" t="str">
        <f>'R3'!U39</f>
        <v/>
      </c>
      <c r="W49" s="82" t="str">
        <f>'R3'!V39</f>
        <v/>
      </c>
    </row>
    <row r="50" spans="1:25" s="1" customFormat="1">
      <c r="A50" s="151"/>
      <c r="B50" s="82" t="str">
        <f>'R3'!B40</f>
        <v/>
      </c>
      <c r="C50" s="82" t="str">
        <f>'R3'!C40</f>
        <v/>
      </c>
      <c r="D50" s="82" t="str">
        <f>'R3'!D40</f>
        <v/>
      </c>
      <c r="E50" s="82" t="str">
        <f>'R3'!E40</f>
        <v/>
      </c>
      <c r="F50" s="82" t="str">
        <f>'R3'!F40</f>
        <v/>
      </c>
      <c r="G50" s="82" t="str">
        <f>'R3'!G40</f>
        <v/>
      </c>
      <c r="H50" s="82" t="str">
        <f>'R3'!H40</f>
        <v/>
      </c>
      <c r="I50" s="82" t="str">
        <f>'R3'!I40</f>
        <v/>
      </c>
      <c r="J50" s="82" t="str">
        <f>'R3'!J40</f>
        <v/>
      </c>
      <c r="K50" s="82" t="str">
        <f>'R3'!K40</f>
        <v/>
      </c>
      <c r="L50" s="82" t="str">
        <f>'R3'!L40</f>
        <v/>
      </c>
      <c r="M50" s="82" t="str">
        <f>'R3'!M40</f>
        <v/>
      </c>
      <c r="N50" s="82" t="str">
        <f>'R3'!N40</f>
        <v/>
      </c>
      <c r="O50"/>
      <c r="P50" s="82">
        <f>'R3'!O40</f>
        <v>1.1230710848612739</v>
      </c>
      <c r="Q50" s="82" t="str">
        <f>'R3'!P40</f>
        <v/>
      </c>
      <c r="R50" s="82" t="str">
        <f>'R3'!Q40</f>
        <v/>
      </c>
      <c r="S50" s="82" t="str">
        <f>'R3'!R40</f>
        <v/>
      </c>
      <c r="T50" s="82" t="str">
        <f>'R3'!S40</f>
        <v/>
      </c>
      <c r="U50" s="82" t="str">
        <f>'R3'!T40</f>
        <v/>
      </c>
      <c r="V50" s="82" t="str">
        <f>'R3'!U40</f>
        <v/>
      </c>
      <c r="W50" s="82" t="str">
        <f>'R3'!V40</f>
        <v/>
      </c>
    </row>
    <row r="51" spans="1:25" s="1" customFormat="1">
      <c r="A51" s="151"/>
      <c r="B51" s="82" t="str">
        <f>'R3'!B41</f>
        <v/>
      </c>
      <c r="C51" s="82" t="str">
        <f>'R3'!C41</f>
        <v/>
      </c>
      <c r="D51" s="82" t="str">
        <f>'R3'!D41</f>
        <v/>
      </c>
      <c r="E51" s="82" t="str">
        <f>'R3'!E41</f>
        <v/>
      </c>
      <c r="F51" s="82" t="str">
        <f>'R3'!F41</f>
        <v/>
      </c>
      <c r="G51" s="82" t="str">
        <f>'R3'!G41</f>
        <v/>
      </c>
      <c r="H51" s="82" t="str">
        <f>'R3'!H41</f>
        <v/>
      </c>
      <c r="I51" s="82" t="str">
        <f>'R3'!I41</f>
        <v/>
      </c>
      <c r="J51" s="82" t="str">
        <f>'R3'!J41</f>
        <v/>
      </c>
      <c r="K51" s="82" t="str">
        <f>'R3'!K41</f>
        <v/>
      </c>
      <c r="L51" s="82" t="str">
        <f>'R3'!L41</f>
        <v/>
      </c>
      <c r="M51" s="82" t="str">
        <f>'R3'!M41</f>
        <v/>
      </c>
      <c r="N51" s="82" t="str">
        <f>'R3'!N41</f>
        <v/>
      </c>
      <c r="O51"/>
      <c r="P51" s="82">
        <f>'R3'!O41</f>
        <v>1.549800473406606</v>
      </c>
      <c r="Q51" s="82" t="str">
        <f>'R3'!P41</f>
        <v/>
      </c>
      <c r="R51" s="82" t="str">
        <f>'R3'!Q41</f>
        <v/>
      </c>
      <c r="S51" s="82" t="str">
        <f>'R3'!R41</f>
        <v/>
      </c>
      <c r="T51" s="82" t="str">
        <f>'R3'!S41</f>
        <v/>
      </c>
      <c r="U51" s="82" t="str">
        <f>'R3'!T41</f>
        <v/>
      </c>
      <c r="V51" s="82" t="str">
        <f>'R3'!U41</f>
        <v/>
      </c>
      <c r="W51" s="82" t="str">
        <f>'R3'!V41</f>
        <v/>
      </c>
    </row>
    <row r="52" spans="1:25" s="1" customFormat="1">
      <c r="A52" s="151"/>
      <c r="B52" s="82" t="str">
        <f>'R3'!B42</f>
        <v/>
      </c>
      <c r="C52" s="82" t="str">
        <f>'R3'!C42</f>
        <v/>
      </c>
      <c r="D52" s="82" t="str">
        <f>'R3'!D42</f>
        <v/>
      </c>
      <c r="E52" s="82" t="str">
        <f>'R3'!E42</f>
        <v/>
      </c>
      <c r="F52" s="82" t="str">
        <f>'R3'!F42</f>
        <v/>
      </c>
      <c r="G52" s="82" t="str">
        <f>'R3'!G42</f>
        <v/>
      </c>
      <c r="H52" s="82" t="str">
        <f>'R3'!H42</f>
        <v/>
      </c>
      <c r="I52" s="82" t="str">
        <f>'R3'!I42</f>
        <v/>
      </c>
      <c r="J52" s="82" t="str">
        <f>'R3'!J42</f>
        <v/>
      </c>
      <c r="K52" s="82" t="str">
        <f>'R3'!K42</f>
        <v/>
      </c>
      <c r="L52" s="82" t="str">
        <f>'R3'!L42</f>
        <v/>
      </c>
      <c r="M52" s="82" t="str">
        <f>'R3'!M42</f>
        <v/>
      </c>
      <c r="N52" s="82" t="str">
        <f>'R3'!N42</f>
        <v/>
      </c>
      <c r="O52"/>
      <c r="P52" s="82">
        <f>'R3'!O42</f>
        <v>1.1076566585071517</v>
      </c>
      <c r="Q52" s="82" t="str">
        <f>'R3'!P42</f>
        <v/>
      </c>
      <c r="R52" s="82" t="str">
        <f>'R3'!Q42</f>
        <v/>
      </c>
      <c r="S52" s="82" t="str">
        <f>'R3'!R42</f>
        <v/>
      </c>
      <c r="T52" s="82" t="str">
        <f>'R3'!S42</f>
        <v/>
      </c>
      <c r="U52" s="82" t="str">
        <f>'R3'!T42</f>
        <v/>
      </c>
      <c r="V52" s="82" t="str">
        <f>'R3'!U42</f>
        <v/>
      </c>
      <c r="W52" s="82" t="str">
        <f>'R3'!V42</f>
        <v/>
      </c>
    </row>
    <row r="53" spans="1:25" s="1" customFormat="1">
      <c r="A53" s="152"/>
      <c r="B53" s="82" t="str">
        <f>'R3'!B43</f>
        <v/>
      </c>
      <c r="C53" s="82" t="str">
        <f>'R3'!C43</f>
        <v/>
      </c>
      <c r="D53" s="82" t="str">
        <f>'R3'!D43</f>
        <v/>
      </c>
      <c r="E53" s="82" t="str">
        <f>'R3'!E43</f>
        <v/>
      </c>
      <c r="F53" s="82" t="str">
        <f>'R3'!F43</f>
        <v/>
      </c>
      <c r="G53" s="82" t="str">
        <f>'R3'!G43</f>
        <v/>
      </c>
      <c r="H53" s="82" t="str">
        <f>'R3'!H43</f>
        <v/>
      </c>
      <c r="I53" s="82" t="str">
        <f>'R3'!I43</f>
        <v/>
      </c>
      <c r="J53" s="82" t="str">
        <f>'R3'!J43</f>
        <v/>
      </c>
      <c r="K53" s="82" t="str">
        <f>'R3'!K43</f>
        <v/>
      </c>
      <c r="L53" s="82" t="str">
        <f>'R3'!L43</f>
        <v/>
      </c>
      <c r="M53" s="82" t="str">
        <f>'R3'!M43</f>
        <v/>
      </c>
      <c r="N53" s="82" t="str">
        <f>'R3'!N43</f>
        <v/>
      </c>
      <c r="O53"/>
      <c r="P53" s="82">
        <f>'R3'!O43</f>
        <v>0.81819393176662947</v>
      </c>
      <c r="Q53" s="82" t="str">
        <f>'R3'!P43</f>
        <v/>
      </c>
      <c r="R53" s="82" t="str">
        <f>'R3'!Q43</f>
        <v/>
      </c>
      <c r="S53" s="82" t="str">
        <f>'R3'!R43</f>
        <v/>
      </c>
      <c r="T53" s="82" t="str">
        <f>'R3'!S43</f>
        <v/>
      </c>
      <c r="U53" s="82" t="str">
        <f>'R3'!T43</f>
        <v/>
      </c>
      <c r="V53" s="82" t="str">
        <f>'R3'!U43</f>
        <v/>
      </c>
      <c r="W53" s="82" t="str">
        <f>'R3'!V43</f>
        <v/>
      </c>
    </row>
    <row r="54" spans="1:25" s="42" customFormat="1">
      <c r="A54" s="40"/>
      <c r="B54" s="41"/>
      <c r="C54" s="41"/>
      <c r="D54" s="41"/>
      <c r="E54" s="41"/>
      <c r="F54" s="41"/>
      <c r="G54" s="41"/>
      <c r="H54" s="41"/>
      <c r="I54" s="41"/>
      <c r="J54" s="41"/>
      <c r="K54" s="41"/>
      <c r="L54" s="41"/>
      <c r="M54" s="41"/>
      <c r="N54" s="41"/>
      <c r="O54"/>
      <c r="P54" s="41"/>
      <c r="Q54" s="41"/>
      <c r="R54" s="41"/>
      <c r="S54" s="41"/>
      <c r="T54" s="41"/>
      <c r="U54" s="41"/>
      <c r="V54" s="41"/>
      <c r="W54" s="41"/>
    </row>
    <row r="55" spans="1:25" s="25" customFormat="1">
      <c r="A55" s="25" t="s">
        <v>27</v>
      </c>
      <c r="B55" s="14" t="str">
        <f t="shared" ref="B55:N55" si="0">B4</f>
        <v>Solvent control</v>
      </c>
      <c r="C55" s="14" t="str">
        <f t="shared" si="0"/>
        <v>EE2-33.8ng/L</v>
      </c>
      <c r="D55" s="14" t="str">
        <f t="shared" si="0"/>
        <v>EE2-50.6ng/L</v>
      </c>
      <c r="E55" s="14" t="str">
        <f t="shared" si="0"/>
        <v>EE2-76ng/L</v>
      </c>
      <c r="F55" s="14" t="str">
        <f t="shared" si="0"/>
        <v>EE2-114ng/L</v>
      </c>
      <c r="G55" s="14" t="str">
        <f t="shared" si="0"/>
        <v>EE2-170.9ng/L</v>
      </c>
      <c r="H55" s="14" t="str">
        <f t="shared" si="0"/>
        <v>EE2-488ng/L</v>
      </c>
      <c r="I55" s="14" t="str">
        <f t="shared" si="0"/>
        <v>cefuroxime-10mg/L</v>
      </c>
      <c r="J55" s="14" t="str">
        <f t="shared" si="0"/>
        <v>cefuroxime-1mg/L</v>
      </c>
      <c r="K55" s="14" t="str">
        <f t="shared" si="0"/>
        <v>cefuroxime-0.1mg/L</v>
      </c>
      <c r="L55" s="14" t="str">
        <f t="shared" si="0"/>
        <v>cefuroxime-0.01mg/L</v>
      </c>
      <c r="M55" s="14" t="str">
        <f t="shared" si="0"/>
        <v>cefuroxime-0.001mg/L</v>
      </c>
      <c r="N55" s="14" t="str">
        <f t="shared" si="0"/>
        <v/>
      </c>
      <c r="P55" s="14" t="str">
        <f t="shared" ref="P55:W55" si="1">P4</f>
        <v>Testo -30µg/L</v>
      </c>
      <c r="Q55" s="14" t="str">
        <f t="shared" si="1"/>
        <v>Testo 30µg/L + EE2 -64ng/L</v>
      </c>
      <c r="R55" s="14" t="str">
        <f t="shared" si="1"/>
        <v>Testo 30µg/L + FAD-10mg/L</v>
      </c>
      <c r="S55" s="14" t="str">
        <f t="shared" si="1"/>
        <v>cefuroxime-10mg/L + Testostérone</v>
      </c>
      <c r="T55" s="14" t="str">
        <f t="shared" si="1"/>
        <v>cefuroxime-1mg/L + Testostérone</v>
      </c>
      <c r="U55" s="14" t="str">
        <f t="shared" si="1"/>
        <v>cefuroxime-0.1mg/L + Testostérone</v>
      </c>
      <c r="V55" s="14" t="str">
        <f t="shared" si="1"/>
        <v>cefuroxime-0.01mg/L + Testostérone</v>
      </c>
      <c r="W55" s="14" t="str">
        <f t="shared" si="1"/>
        <v>cefuroxime-0.001mg/L + Testostérone</v>
      </c>
    </row>
    <row r="56" spans="1:25">
      <c r="A56" t="s">
        <v>28</v>
      </c>
      <c r="B56" s="8">
        <f t="shared" ref="B56:W56" si="2">AVERAGE(B6:B53)</f>
        <v>0.11550432495128078</v>
      </c>
      <c r="C56" s="8">
        <f t="shared" si="2"/>
        <v>0.31638841987296351</v>
      </c>
      <c r="D56" s="8">
        <f t="shared" si="2"/>
        <v>0.39517209381785751</v>
      </c>
      <c r="E56" s="8">
        <f t="shared" si="2"/>
        <v>0.59354021229993059</v>
      </c>
      <c r="F56" s="8">
        <f t="shared" si="2"/>
        <v>0.97641060143823077</v>
      </c>
      <c r="G56" s="8">
        <f t="shared" si="2"/>
        <v>1.3049204073069218</v>
      </c>
      <c r="H56" s="8">
        <f t="shared" si="2"/>
        <v>1.7083067595933159</v>
      </c>
      <c r="I56" s="8">
        <f t="shared" si="2"/>
        <v>0.25189319507379665</v>
      </c>
      <c r="J56" s="8">
        <f t="shared" si="2"/>
        <v>0.28525854384600463</v>
      </c>
      <c r="K56" s="8">
        <f t="shared" si="2"/>
        <v>0.18423178354581468</v>
      </c>
      <c r="L56" s="8">
        <f t="shared" si="2"/>
        <v>0.20206747777599887</v>
      </c>
      <c r="M56" s="8">
        <f t="shared" si="2"/>
        <v>0.23929031013903398</v>
      </c>
      <c r="N56" s="8" t="e">
        <f t="shared" si="2"/>
        <v>#DIV/0!</v>
      </c>
      <c r="O56" s="8"/>
      <c r="P56" s="8">
        <f t="shared" si="2"/>
        <v>0.99999999999999967</v>
      </c>
      <c r="Q56" s="8">
        <f t="shared" si="2"/>
        <v>1.5168654213518764</v>
      </c>
      <c r="R56" s="8">
        <f t="shared" si="2"/>
        <v>0.18390175713000775</v>
      </c>
      <c r="S56" s="8">
        <f t="shared" si="2"/>
        <v>1.130762794142677</v>
      </c>
      <c r="T56" s="8">
        <f t="shared" si="2"/>
        <v>1.0314334543172381</v>
      </c>
      <c r="U56" s="8">
        <f t="shared" si="2"/>
        <v>1.1170041678926674</v>
      </c>
      <c r="V56" s="8">
        <f t="shared" si="2"/>
        <v>1.1720180449492987</v>
      </c>
      <c r="W56" s="8">
        <f t="shared" si="2"/>
        <v>0.97855688268244811</v>
      </c>
    </row>
    <row r="57" spans="1:25">
      <c r="A57" t="s">
        <v>1</v>
      </c>
      <c r="B57" s="3">
        <f>STDEV(B6:B53)</f>
        <v>8.0126824852106288E-2</v>
      </c>
      <c r="C57" s="3">
        <f t="shared" ref="C57:W57" si="3">STDEV(C6:C53)</f>
        <v>0.25703892491999331</v>
      </c>
      <c r="D57" s="3">
        <f t="shared" si="3"/>
        <v>0.2397720238264828</v>
      </c>
      <c r="E57" s="3">
        <f t="shared" si="3"/>
        <v>0.2581253935229833</v>
      </c>
      <c r="F57" s="3">
        <f t="shared" si="3"/>
        <v>0.39676607472632514</v>
      </c>
      <c r="G57" s="3">
        <f t="shared" si="3"/>
        <v>0.40802979975463549</v>
      </c>
      <c r="H57" s="3">
        <f t="shared" si="3"/>
        <v>0.31834942273128491</v>
      </c>
      <c r="I57" s="3">
        <f t="shared" si="3"/>
        <v>0.17254826879532917</v>
      </c>
      <c r="J57" s="3">
        <f t="shared" si="3"/>
        <v>0.14684539535804039</v>
      </c>
      <c r="K57" s="3">
        <f t="shared" si="3"/>
        <v>0.1266563402029742</v>
      </c>
      <c r="L57" s="3">
        <f t="shared" si="3"/>
        <v>7.857553147070595E-2</v>
      </c>
      <c r="M57" s="3">
        <f t="shared" si="3"/>
        <v>0.13615336524821775</v>
      </c>
      <c r="N57" s="3" t="e">
        <f t="shared" si="3"/>
        <v>#DIV/0!</v>
      </c>
      <c r="O57" s="3"/>
      <c r="P57" s="3">
        <f t="shared" si="3"/>
        <v>0.33599699701610591</v>
      </c>
      <c r="Q57" s="3">
        <f t="shared" si="3"/>
        <v>0.39928607749869921</v>
      </c>
      <c r="R57" s="3">
        <f t="shared" si="3"/>
        <v>8.7370656340116509E-2</v>
      </c>
      <c r="S57" s="3">
        <f t="shared" si="3"/>
        <v>0.49369158787350081</v>
      </c>
      <c r="T57" s="3">
        <f t="shared" si="3"/>
        <v>0.49028108400236037</v>
      </c>
      <c r="U57" s="3">
        <f t="shared" si="3"/>
        <v>0.4794975646461872</v>
      </c>
      <c r="V57" s="3">
        <f t="shared" si="3"/>
        <v>0.50551709734738726</v>
      </c>
      <c r="W57" s="3">
        <f t="shared" si="3"/>
        <v>0.40288035570878827</v>
      </c>
      <c r="X57" s="3"/>
      <c r="Y57" s="3"/>
    </row>
    <row r="58" spans="1:25">
      <c r="A58" t="s">
        <v>2</v>
      </c>
      <c r="B58" s="3">
        <f xml:space="preserve"> B57/SQRT(COUNT(B6:B53))</f>
        <v>1.6355819633084884E-2</v>
      </c>
      <c r="C58" s="3">
        <f t="shared" ref="C58:W58" si="4" xml:space="preserve"> C57/SQRT(COUNT(C6:C53))</f>
        <v>5.2467850840628258E-2</v>
      </c>
      <c r="D58" s="3">
        <f t="shared" si="4"/>
        <v>4.8943259414111123E-2</v>
      </c>
      <c r="E58" s="3">
        <f t="shared" si="4"/>
        <v>5.2689625315534921E-2</v>
      </c>
      <c r="F58" s="3">
        <f t="shared" si="4"/>
        <v>8.0989535860539794E-2</v>
      </c>
      <c r="G58" s="3">
        <f t="shared" si="4"/>
        <v>8.3288734104071158E-2</v>
      </c>
      <c r="H58" s="3">
        <f t="shared" si="4"/>
        <v>6.4982803800102365E-2</v>
      </c>
      <c r="I58" s="3">
        <f t="shared" si="4"/>
        <v>3.522126787909613E-2</v>
      </c>
      <c r="J58" s="3">
        <f t="shared" si="4"/>
        <v>2.9974690808705042E-2</v>
      </c>
      <c r="K58" s="3">
        <f t="shared" si="4"/>
        <v>2.5853617182136832E-2</v>
      </c>
      <c r="L58" s="3">
        <f t="shared" si="4"/>
        <v>1.6039163197602589E-2</v>
      </c>
      <c r="M58" s="3">
        <f t="shared" si="4"/>
        <v>2.779218930174342E-2</v>
      </c>
      <c r="N58" s="3" t="e">
        <f t="shared" si="4"/>
        <v>#DIV/0!</v>
      </c>
      <c r="O58" s="3"/>
      <c r="P58" s="3">
        <f t="shared" si="4"/>
        <v>4.8496989168538659E-2</v>
      </c>
      <c r="Q58" s="3">
        <f t="shared" si="4"/>
        <v>8.1503929272432746E-2</v>
      </c>
      <c r="R58" s="3">
        <f t="shared" si="4"/>
        <v>1.7834460543779122E-2</v>
      </c>
      <c r="S58" s="3">
        <f t="shared" si="4"/>
        <v>0.10077437338287337</v>
      </c>
      <c r="T58" s="3">
        <f t="shared" si="4"/>
        <v>9.8056216800472079E-2</v>
      </c>
      <c r="U58" s="3">
        <f t="shared" si="4"/>
        <v>9.7877030524195788E-2</v>
      </c>
      <c r="V58" s="3">
        <f t="shared" si="4"/>
        <v>0.10318824539616255</v>
      </c>
      <c r="W58" s="3">
        <f t="shared" si="4"/>
        <v>8.2237608239792925E-2</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0" customFormat="1" ht="27" thickBot="1">
      <c r="A60" s="153" t="s">
        <v>26</v>
      </c>
      <c r="B60" s="154"/>
      <c r="C60" s="154"/>
      <c r="D60" s="154"/>
      <c r="E60" s="154"/>
      <c r="F60" s="154"/>
      <c r="G60" s="154"/>
      <c r="H60" s="154"/>
      <c r="I60" s="154"/>
      <c r="J60" s="154"/>
      <c r="K60" s="154"/>
      <c r="L60" s="154"/>
      <c r="M60" s="154"/>
      <c r="N60" s="154"/>
      <c r="O60" s="154"/>
      <c r="P60" s="154"/>
      <c r="Q60" s="154"/>
      <c r="R60" s="154"/>
      <c r="S60" s="154"/>
      <c r="T60" s="154"/>
      <c r="U60" s="154"/>
      <c r="V60" s="154"/>
      <c r="W60" s="154"/>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cefuroxime-10mg/L</v>
      </c>
      <c r="J62" s="3" t="str">
        <f t="shared" si="6"/>
        <v>cefuroxime-1mg/L</v>
      </c>
      <c r="K62" s="3" t="str">
        <f t="shared" si="6"/>
        <v>cefuroxime-0.1mg/L</v>
      </c>
      <c r="L62" s="3" t="str">
        <f t="shared" si="6"/>
        <v>cefuroxime-0.01mg/L</v>
      </c>
      <c r="M62" s="3" t="str">
        <f t="shared" si="6"/>
        <v>cefuroxime-0.001mg/L</v>
      </c>
      <c r="N62" s="3" t="str">
        <f t="shared" si="6"/>
        <v/>
      </c>
      <c r="O62" s="3"/>
      <c r="P62" s="3" t="str">
        <f t="shared" si="6"/>
        <v>Testo -30µg/L</v>
      </c>
      <c r="Q62" s="3" t="str">
        <f t="shared" si="6"/>
        <v>Testo 30µg/L + EE2 -64ng/L</v>
      </c>
      <c r="R62" s="3" t="str">
        <f t="shared" si="6"/>
        <v>Testo 30µg/L + FAD-10mg/L</v>
      </c>
      <c r="S62" s="3" t="str">
        <f t="shared" si="6"/>
        <v>cefuroxime-10mg/L + Testostérone</v>
      </c>
      <c r="T62" s="3" t="str">
        <f t="shared" si="6"/>
        <v>cefuroxime-1mg/L + Testostérone</v>
      </c>
      <c r="U62" s="3" t="str">
        <f t="shared" si="6"/>
        <v>cefuroxime-0.1mg/L + Testostérone</v>
      </c>
      <c r="V62" s="3" t="str">
        <f t="shared" si="6"/>
        <v>cefuroxime-0.01mg/L + Testostérone</v>
      </c>
      <c r="W62" s="3" t="str">
        <f t="shared" si="6"/>
        <v>cefuroxime-0.001mg/L + Testostérone</v>
      </c>
    </row>
    <row r="63" spans="1:25" s="1" customFormat="1">
      <c r="A63" s="1" t="s">
        <v>29</v>
      </c>
      <c r="B63" s="3">
        <f>COUNT(B6:B53)</f>
        <v>24</v>
      </c>
      <c r="C63" s="3">
        <f t="shared" ref="C63:W63" si="7">COUNT(C6:C53)</f>
        <v>24</v>
      </c>
      <c r="D63" s="3">
        <f t="shared" si="7"/>
        <v>24</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f t="shared" si="7"/>
        <v>0</v>
      </c>
      <c r="O63" s="3"/>
      <c r="P63" s="3">
        <f t="shared" si="7"/>
        <v>48</v>
      </c>
      <c r="Q63" s="3">
        <f t="shared" si="7"/>
        <v>24</v>
      </c>
      <c r="R63" s="3">
        <f t="shared" si="7"/>
        <v>24</v>
      </c>
      <c r="S63" s="3">
        <f t="shared" si="7"/>
        <v>24</v>
      </c>
      <c r="T63" s="3">
        <f t="shared" si="7"/>
        <v>25</v>
      </c>
      <c r="U63" s="3">
        <f t="shared" si="7"/>
        <v>24</v>
      </c>
      <c r="V63" s="3">
        <f t="shared" si="7"/>
        <v>24</v>
      </c>
      <c r="W63" s="3">
        <f t="shared" si="7"/>
        <v>24</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5" s="30" customFormat="1" ht="27" thickBot="1">
      <c r="A65" s="153" t="s">
        <v>37</v>
      </c>
      <c r="B65" s="154"/>
      <c r="C65" s="154"/>
      <c r="D65" s="154"/>
      <c r="E65" s="154"/>
      <c r="F65" s="154"/>
      <c r="G65" s="154"/>
      <c r="H65" s="154"/>
      <c r="I65" s="154"/>
      <c r="J65" s="154"/>
      <c r="K65" s="154"/>
      <c r="L65" s="154"/>
      <c r="M65" s="154"/>
      <c r="N65" s="154"/>
      <c r="O65" s="154"/>
      <c r="P65" s="154"/>
      <c r="Q65" s="154"/>
      <c r="R65" s="154"/>
      <c r="S65" s="154"/>
      <c r="T65" s="154"/>
      <c r="U65" s="154"/>
      <c r="V65" s="154"/>
      <c r="W65" s="154"/>
    </row>
    <row r="66" spans="1:25" s="1" customFormat="1">
      <c r="B66" s="1" t="s">
        <v>39</v>
      </c>
      <c r="C66" s="3"/>
      <c r="D66" s="3"/>
      <c r="E66" s="3"/>
      <c r="F66" s="3"/>
      <c r="G66" s="3"/>
      <c r="H66" s="3"/>
      <c r="I66" s="3"/>
      <c r="J66" s="3"/>
      <c r="K66" s="3"/>
      <c r="L66" s="3"/>
      <c r="M66" s="3"/>
      <c r="N66" s="3"/>
      <c r="O66" s="3"/>
      <c r="P66" s="3"/>
      <c r="Q66" s="3"/>
      <c r="R66" s="3"/>
      <c r="S66" s="3"/>
      <c r="T66" s="3"/>
      <c r="U66" s="3"/>
      <c r="V66" s="3"/>
      <c r="W66" s="3"/>
    </row>
    <row r="67" spans="1:25"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5"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5"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5" s="30" customFormat="1" ht="27" thickBot="1">
      <c r="A70" s="153" t="s">
        <v>32</v>
      </c>
      <c r="B70" s="154"/>
      <c r="C70" s="154"/>
      <c r="D70" s="154"/>
      <c r="E70" s="154"/>
      <c r="F70" s="154"/>
      <c r="G70" s="154"/>
      <c r="H70" s="154"/>
      <c r="I70" s="154"/>
      <c r="J70" s="154"/>
      <c r="K70" s="154"/>
      <c r="L70" s="154"/>
      <c r="M70" s="154"/>
      <c r="N70" s="154"/>
      <c r="O70" s="154"/>
      <c r="P70" s="154"/>
      <c r="Q70" s="154"/>
      <c r="R70" s="154"/>
      <c r="S70" s="154"/>
      <c r="T70" s="154"/>
      <c r="U70" s="154"/>
      <c r="V70" s="154"/>
      <c r="W70" s="154"/>
    </row>
    <row r="71" spans="1:25" ht="15.75" thickBot="1"/>
    <row r="72" spans="1:25" s="30" customFormat="1" ht="27" thickBot="1">
      <c r="A72" s="153" t="s">
        <v>33</v>
      </c>
      <c r="B72" s="154"/>
      <c r="C72" s="154"/>
      <c r="D72" s="154"/>
      <c r="E72" s="154"/>
      <c r="F72" s="154"/>
      <c r="G72" s="154"/>
      <c r="H72" s="154"/>
      <c r="I72" s="154"/>
      <c r="J72" s="154"/>
      <c r="K72" s="154"/>
      <c r="L72" s="154"/>
      <c r="M72" s="154"/>
      <c r="N72" s="154"/>
      <c r="O72" s="154"/>
      <c r="P72" s="154"/>
      <c r="Q72" s="154"/>
      <c r="R72" s="154"/>
      <c r="S72" s="154"/>
      <c r="T72" s="154"/>
      <c r="U72" s="154"/>
      <c r="V72" s="154"/>
      <c r="W72" s="154"/>
    </row>
    <row r="73" spans="1:25" ht="15.75" thickBot="1">
      <c r="J73" s="3">
        <v>1</v>
      </c>
      <c r="K73" s="3">
        <v>2</v>
      </c>
      <c r="L73" s="3">
        <v>3</v>
      </c>
      <c r="M73" s="3">
        <v>4</v>
      </c>
      <c r="N73" s="3">
        <v>5</v>
      </c>
      <c r="S73" s="3">
        <v>1</v>
      </c>
      <c r="T73" s="3">
        <v>2</v>
      </c>
      <c r="U73" s="3">
        <v>3</v>
      </c>
      <c r="V73" s="3">
        <v>4</v>
      </c>
      <c r="W73" s="3">
        <v>5</v>
      </c>
    </row>
    <row r="74" spans="1:25" s="1" customFormat="1">
      <c r="A74" s="28" t="s">
        <v>22</v>
      </c>
      <c r="B74" s="29" t="str">
        <f t="shared" ref="B74:N74" si="9">B4</f>
        <v>Solvent control</v>
      </c>
      <c r="C74" s="29" t="str">
        <f t="shared" si="9"/>
        <v>EE2-33.8ng/L</v>
      </c>
      <c r="D74" s="29" t="str">
        <f t="shared" si="9"/>
        <v>EE2-50.6ng/L</v>
      </c>
      <c r="E74" s="29" t="str">
        <f t="shared" si="9"/>
        <v>EE2-76ng/L</v>
      </c>
      <c r="F74" s="29" t="str">
        <f t="shared" si="9"/>
        <v>EE2-114ng/L</v>
      </c>
      <c r="G74" s="29" t="str">
        <f t="shared" si="9"/>
        <v>EE2-170.9ng/L</v>
      </c>
      <c r="H74" s="29" t="str">
        <f t="shared" si="9"/>
        <v>EE2-488ng/L</v>
      </c>
      <c r="I74" s="29" t="str">
        <f t="shared" si="9"/>
        <v>cefuroxime-10mg/L</v>
      </c>
      <c r="J74" s="29" t="str">
        <f t="shared" si="9"/>
        <v>cefuroxime-1mg/L</v>
      </c>
      <c r="K74" s="29" t="str">
        <f t="shared" si="9"/>
        <v>cefuroxime-0.1mg/L</v>
      </c>
      <c r="L74" s="29" t="str">
        <f t="shared" si="9"/>
        <v>cefuroxime-0.01mg/L</v>
      </c>
      <c r="M74" s="29" t="str">
        <f t="shared" si="9"/>
        <v>cefuroxime-0.001mg/L</v>
      </c>
      <c r="N74" s="29" t="str">
        <f t="shared" si="9"/>
        <v/>
      </c>
      <c r="O74" s="29"/>
      <c r="P74" s="29" t="str">
        <f t="shared" ref="P74:W74" si="10">P4</f>
        <v>Testo -30µg/L</v>
      </c>
      <c r="Q74" s="29" t="str">
        <f t="shared" si="10"/>
        <v>Testo 30µg/L + EE2 -64ng/L</v>
      </c>
      <c r="R74" s="29" t="str">
        <f t="shared" si="10"/>
        <v>Testo 30µg/L + FAD-10mg/L</v>
      </c>
      <c r="S74" s="29" t="str">
        <f t="shared" si="10"/>
        <v>cefuroxime-10mg/L + Testostérone</v>
      </c>
      <c r="T74" s="29" t="str">
        <f t="shared" si="10"/>
        <v>cefuroxime-1mg/L + Testostérone</v>
      </c>
      <c r="U74" s="29" t="str">
        <f t="shared" si="10"/>
        <v>cefuroxime-0.1mg/L + Testostérone</v>
      </c>
      <c r="V74" s="29" t="str">
        <f t="shared" si="10"/>
        <v>cefuroxime-0.01mg/L + Testostérone</v>
      </c>
      <c r="W74" s="29" t="str">
        <f t="shared" si="10"/>
        <v>cefuroxime-0.001mg/L + Testostérone</v>
      </c>
    </row>
    <row r="75" spans="1:25" s="3" customFormat="1">
      <c r="A75" s="43" t="s">
        <v>15</v>
      </c>
      <c r="B75" s="75">
        <f>B56</f>
        <v>0.11550432495128078</v>
      </c>
      <c r="C75" s="75">
        <f t="shared" ref="C75:W75" si="11">C56</f>
        <v>0.31638841987296351</v>
      </c>
      <c r="D75" s="75">
        <f t="shared" si="11"/>
        <v>0.39517209381785751</v>
      </c>
      <c r="E75" s="75">
        <f t="shared" si="11"/>
        <v>0.59354021229993059</v>
      </c>
      <c r="F75" s="75">
        <f t="shared" si="11"/>
        <v>0.97641060143823077</v>
      </c>
      <c r="G75" s="75">
        <f t="shared" si="11"/>
        <v>1.3049204073069218</v>
      </c>
      <c r="H75" s="75">
        <f t="shared" si="11"/>
        <v>1.7083067595933159</v>
      </c>
      <c r="I75" s="75">
        <f t="shared" si="11"/>
        <v>0.25189319507379665</v>
      </c>
      <c r="J75" s="75">
        <f t="shared" si="11"/>
        <v>0.28525854384600463</v>
      </c>
      <c r="K75" s="75">
        <f t="shared" si="11"/>
        <v>0.18423178354581468</v>
      </c>
      <c r="L75" s="75">
        <f t="shared" si="11"/>
        <v>0.20206747777599887</v>
      </c>
      <c r="M75" s="75">
        <f t="shared" si="11"/>
        <v>0.23929031013903398</v>
      </c>
      <c r="N75" s="75" t="e">
        <f t="shared" si="11"/>
        <v>#DIV/0!</v>
      </c>
      <c r="O75" s="75"/>
      <c r="P75" s="75">
        <f t="shared" si="11"/>
        <v>0.99999999999999967</v>
      </c>
      <c r="Q75" s="75">
        <f t="shared" si="11"/>
        <v>1.5168654213518764</v>
      </c>
      <c r="R75" s="75">
        <f t="shared" si="11"/>
        <v>0.18390175713000775</v>
      </c>
      <c r="S75" s="75">
        <f t="shared" si="11"/>
        <v>1.130762794142677</v>
      </c>
      <c r="T75" s="75">
        <f t="shared" si="11"/>
        <v>1.0314334543172381</v>
      </c>
      <c r="U75" s="75">
        <f t="shared" si="11"/>
        <v>1.1170041678926674</v>
      </c>
      <c r="V75" s="75">
        <f t="shared" si="11"/>
        <v>1.1720180449492987</v>
      </c>
      <c r="W75" s="75">
        <f t="shared" si="11"/>
        <v>0.97855688268244811</v>
      </c>
    </row>
    <row r="76" spans="1:25" s="3" customFormat="1">
      <c r="A76" s="43" t="s">
        <v>2</v>
      </c>
      <c r="B76" s="75">
        <f>B58</f>
        <v>1.6355819633084884E-2</v>
      </c>
      <c r="C76" s="75">
        <f t="shared" ref="C76:W76" si="12">C58</f>
        <v>5.2467850840628258E-2</v>
      </c>
      <c r="D76" s="75">
        <f t="shared" si="12"/>
        <v>4.8943259414111123E-2</v>
      </c>
      <c r="E76" s="75">
        <f t="shared" si="12"/>
        <v>5.2689625315534921E-2</v>
      </c>
      <c r="F76" s="75">
        <f t="shared" si="12"/>
        <v>8.0989535860539794E-2</v>
      </c>
      <c r="G76" s="75">
        <f t="shared" si="12"/>
        <v>8.3288734104071158E-2</v>
      </c>
      <c r="H76" s="75">
        <f t="shared" si="12"/>
        <v>6.4982803800102365E-2</v>
      </c>
      <c r="I76" s="75">
        <f t="shared" si="12"/>
        <v>3.522126787909613E-2</v>
      </c>
      <c r="J76" s="75">
        <f t="shared" si="12"/>
        <v>2.9974690808705042E-2</v>
      </c>
      <c r="K76" s="75">
        <f t="shared" si="12"/>
        <v>2.5853617182136832E-2</v>
      </c>
      <c r="L76" s="75">
        <f t="shared" si="12"/>
        <v>1.6039163197602589E-2</v>
      </c>
      <c r="M76" s="75">
        <f t="shared" si="12"/>
        <v>2.779218930174342E-2</v>
      </c>
      <c r="N76" s="75" t="e">
        <f t="shared" si="12"/>
        <v>#DIV/0!</v>
      </c>
      <c r="O76" s="75"/>
      <c r="P76" s="75">
        <f t="shared" si="12"/>
        <v>4.8496989168538659E-2</v>
      </c>
      <c r="Q76" s="75">
        <f t="shared" si="12"/>
        <v>8.1503929272432746E-2</v>
      </c>
      <c r="R76" s="75">
        <f t="shared" si="12"/>
        <v>1.7834460543779122E-2</v>
      </c>
      <c r="S76" s="75">
        <f t="shared" si="12"/>
        <v>0.10077437338287337</v>
      </c>
      <c r="T76" s="75">
        <f t="shared" si="12"/>
        <v>9.8056216800472079E-2</v>
      </c>
      <c r="U76" s="75">
        <f t="shared" si="12"/>
        <v>9.7877030524195788E-2</v>
      </c>
      <c r="V76" s="75">
        <f t="shared" si="12"/>
        <v>0.10318824539616255</v>
      </c>
      <c r="W76" s="75">
        <f t="shared" si="12"/>
        <v>8.2237608239792925E-2</v>
      </c>
    </row>
    <row r="77" spans="1:25" s="3" customFormat="1">
      <c r="A77" s="43" t="s">
        <v>42</v>
      </c>
      <c r="B77" s="75">
        <f>(B75*100/$B$75)-100</f>
        <v>0</v>
      </c>
      <c r="C77" s="75">
        <f t="shared" ref="C77:N77" si="13">(C75*100/$B$75)-100</f>
        <v>173.91911082672857</v>
      </c>
      <c r="D77" s="75">
        <f t="shared" si="13"/>
        <v>242.12752984318064</v>
      </c>
      <c r="E77" s="75">
        <f t="shared" si="13"/>
        <v>413.86838765585901</v>
      </c>
      <c r="F77" s="75">
        <f t="shared" si="13"/>
        <v>745.3454897468788</v>
      </c>
      <c r="G77" s="75">
        <f t="shared" si="13"/>
        <v>1029.7589140989583</v>
      </c>
      <c r="H77" s="75">
        <f t="shared" si="13"/>
        <v>1378.9980897372216</v>
      </c>
      <c r="I77" s="75">
        <f t="shared" si="13"/>
        <v>118.08118023289958</v>
      </c>
      <c r="J77" s="75">
        <f t="shared" si="13"/>
        <v>146.96784641295937</v>
      </c>
      <c r="K77" s="75">
        <f t="shared" si="13"/>
        <v>59.502065072907726</v>
      </c>
      <c r="L77" s="75">
        <f t="shared" si="13"/>
        <v>74.943646362359203</v>
      </c>
      <c r="M77" s="75">
        <f t="shared" si="13"/>
        <v>107.17000011901337</v>
      </c>
      <c r="N77" s="75" t="e">
        <f t="shared" si="13"/>
        <v>#DIV/0!</v>
      </c>
      <c r="O77" s="75"/>
      <c r="P77" s="75">
        <f>(P75*100/$P$75)-100</f>
        <v>0</v>
      </c>
      <c r="Q77" s="75">
        <f t="shared" ref="Q77:W77" si="14">(Q75*100/$P$75)-100</f>
        <v>51.686542135187693</v>
      </c>
      <c r="R77" s="75">
        <f t="shared" si="14"/>
        <v>-81.609824286999213</v>
      </c>
      <c r="S77" s="75">
        <f t="shared" si="14"/>
        <v>13.076279414267745</v>
      </c>
      <c r="T77" s="75">
        <f t="shared" si="14"/>
        <v>3.1433454317238443</v>
      </c>
      <c r="U77" s="75">
        <f t="shared" si="14"/>
        <v>11.700416789266782</v>
      </c>
      <c r="V77" s="75">
        <f t="shared" si="14"/>
        <v>17.201804494929917</v>
      </c>
      <c r="W77" s="75">
        <f t="shared" si="14"/>
        <v>-2.1443117317551668</v>
      </c>
    </row>
    <row r="78" spans="1:25" s="3" customFormat="1">
      <c r="A78" s="43" t="s">
        <v>43</v>
      </c>
      <c r="B78" s="75" t="e">
        <f ca="1">[2]!DPTEST(B6:B53)</f>
        <v>#NAME?</v>
      </c>
      <c r="C78" s="75" t="e">
        <f ca="1">[2]!DPTEST(C6:C53)</f>
        <v>#NAME?</v>
      </c>
      <c r="D78" s="75" t="e">
        <f ca="1">[2]!DPTEST(D6:D53)</f>
        <v>#NAME?</v>
      </c>
      <c r="E78" s="75" t="e">
        <f ca="1">[2]!DPTEST(E6:E53)</f>
        <v>#NAME?</v>
      </c>
      <c r="F78" s="75" t="e">
        <f ca="1">[2]!DPTEST(F6:F53)</f>
        <v>#NAME?</v>
      </c>
      <c r="G78" s="75" t="e">
        <f ca="1">[2]!DPTEST(G6:G53)</f>
        <v>#NAME?</v>
      </c>
      <c r="H78" s="75" t="e">
        <f ca="1">[2]!DPTEST(H6:H53)</f>
        <v>#NAME?</v>
      </c>
      <c r="I78" s="75" t="e">
        <f ca="1">[2]!DPTEST(I6:I53)</f>
        <v>#NAME?</v>
      </c>
      <c r="J78" s="75" t="e">
        <f ca="1">[2]!DPTEST(J6:J53)</f>
        <v>#NAME?</v>
      </c>
      <c r="K78" s="75" t="e">
        <f ca="1">[2]!DPTEST(K6:K53)</f>
        <v>#NAME?</v>
      </c>
      <c r="L78" s="75" t="e">
        <f ca="1">[2]!DPTEST(L6:L53)</f>
        <v>#NAME?</v>
      </c>
      <c r="M78" s="75" t="e">
        <f ca="1">[2]!DPTEST(M6:M53)</f>
        <v>#NAME?</v>
      </c>
      <c r="N78" s="75" t="e">
        <f ca="1">[2]!DPTEST(N6:N53)</f>
        <v>#NAME?</v>
      </c>
      <c r="O78" s="75" t="e">
        <f ca="1">[2]!DPTEST(O6:O53)</f>
        <v>#NAME?</v>
      </c>
      <c r="P78" s="75" t="e">
        <f ca="1">[2]!DPTEST(P6:P53)</f>
        <v>#NAME?</v>
      </c>
      <c r="Q78" s="75" t="e">
        <f ca="1">[2]!DPTEST(Q6:Q53)</f>
        <v>#NAME?</v>
      </c>
      <c r="R78" s="75" t="e">
        <f ca="1">[2]!DPTEST(R6:R53)</f>
        <v>#NAME?</v>
      </c>
      <c r="S78" s="75" t="e">
        <f ca="1">[2]!DPTEST(S6:S53)</f>
        <v>#NAME?</v>
      </c>
      <c r="T78" s="75" t="e">
        <f ca="1">[2]!DPTEST(T6:T53)</f>
        <v>#NAME?</v>
      </c>
      <c r="U78" s="75" t="e">
        <f ca="1">[2]!DPTEST(U6:U53)</f>
        <v>#NAME?</v>
      </c>
      <c r="V78" s="75" t="e">
        <f ca="1">[2]!DPTEST(V6:V53)</f>
        <v>#NAME?</v>
      </c>
      <c r="W78" s="75" t="e">
        <f ca="1">[2]!DPTEST(W6:W53)</f>
        <v>#NAME?</v>
      </c>
      <c r="X78" s="75"/>
      <c r="Y78" s="75"/>
    </row>
    <row r="79" spans="1:25" s="3" customFormat="1">
      <c r="A79" s="43" t="s">
        <v>47</v>
      </c>
      <c r="B79" s="75" t="e">
        <f ca="1">IF(B78&gt;0.05,"Oui","Non")</f>
        <v>#NAME?</v>
      </c>
      <c r="C79" s="75" t="e">
        <f t="shared" ref="C79:W79" ca="1" si="15">IF(C78&gt;0.05,"Oui","Non")</f>
        <v>#NAME?</v>
      </c>
      <c r="D79" s="75" t="e">
        <f t="shared" ca="1" si="15"/>
        <v>#NAME?</v>
      </c>
      <c r="E79" s="75" t="e">
        <f t="shared" ca="1" si="15"/>
        <v>#NAME?</v>
      </c>
      <c r="F79" s="75" t="e">
        <f t="shared" ca="1" si="15"/>
        <v>#NAME?</v>
      </c>
      <c r="G79" s="75" t="e">
        <f t="shared" ca="1" si="15"/>
        <v>#NAME?</v>
      </c>
      <c r="H79" s="75" t="e">
        <f t="shared" ca="1" si="15"/>
        <v>#NAME?</v>
      </c>
      <c r="I79" s="75" t="e">
        <f t="shared" ca="1" si="15"/>
        <v>#NAME?</v>
      </c>
      <c r="J79" s="75" t="e">
        <f t="shared" ca="1" si="15"/>
        <v>#NAME?</v>
      </c>
      <c r="K79" s="75" t="e">
        <f t="shared" ca="1" si="15"/>
        <v>#NAME?</v>
      </c>
      <c r="L79" s="75" t="e">
        <f t="shared" ca="1" si="15"/>
        <v>#NAME?</v>
      </c>
      <c r="M79" s="75" t="e">
        <f t="shared" ca="1" si="15"/>
        <v>#NAME?</v>
      </c>
      <c r="N79" s="75" t="e">
        <f t="shared" ca="1" si="15"/>
        <v>#NAME?</v>
      </c>
      <c r="O79" s="75"/>
      <c r="P79" s="75" t="e">
        <f t="shared" ca="1" si="15"/>
        <v>#NAME?</v>
      </c>
      <c r="Q79" s="75" t="e">
        <f t="shared" ca="1" si="15"/>
        <v>#NAME?</v>
      </c>
      <c r="R79" s="75" t="e">
        <f t="shared" ca="1" si="15"/>
        <v>#NAME?</v>
      </c>
      <c r="S79" s="75" t="e">
        <f t="shared" ca="1" si="15"/>
        <v>#NAME?</v>
      </c>
      <c r="T79" s="75" t="e">
        <f t="shared" ca="1" si="15"/>
        <v>#NAME?</v>
      </c>
      <c r="U79" s="75" t="e">
        <f t="shared" ca="1" si="15"/>
        <v>#NAME?</v>
      </c>
      <c r="V79" s="75" t="e">
        <f t="shared" ca="1" si="15"/>
        <v>#NAME?</v>
      </c>
      <c r="W79" s="75" t="e">
        <f t="shared" ca="1" si="15"/>
        <v>#NAME?</v>
      </c>
    </row>
    <row r="80" spans="1:25" s="3" customFormat="1">
      <c r="A80" s="43" t="s">
        <v>49</v>
      </c>
      <c r="B80" s="75" t="str">
        <f ca="1">IF(COUNTIF(B79:I79, "Non")=0, "Oui","Non")</f>
        <v>Oui</v>
      </c>
      <c r="C80" s="75"/>
      <c r="D80" s="75"/>
      <c r="E80" s="75"/>
      <c r="F80" s="75"/>
      <c r="G80" s="75"/>
      <c r="H80" s="75"/>
      <c r="I80" s="75"/>
      <c r="J80" s="75" t="str">
        <f ca="1">IF(COUNTIF(J79:N79, "Non")&gt;0, "Oui","Non")</f>
        <v>Non</v>
      </c>
      <c r="K80" s="75"/>
      <c r="L80" s="75"/>
      <c r="M80" s="75"/>
      <c r="N80" s="75"/>
      <c r="O80" s="75"/>
      <c r="P80" s="75"/>
      <c r="Q80" s="75"/>
      <c r="R80" s="75"/>
      <c r="S80" s="75" t="str">
        <f ca="1">IF(COUNTIF(S79:W79, "Non")&gt;0, "Oui","Non")</f>
        <v>Non</v>
      </c>
      <c r="T80" s="75"/>
      <c r="U80" s="75"/>
      <c r="V80" s="75"/>
      <c r="W80" s="75"/>
    </row>
    <row r="81" spans="1:23" s="3" customFormat="1">
      <c r="A81" s="43" t="s">
        <v>44</v>
      </c>
      <c r="B81" s="75"/>
      <c r="C81" s="75" t="str">
        <f t="shared" ref="C81:I81" ca="1" si="16">IF($B80="Non","Kruskal-Wallis","ANOVA")</f>
        <v>ANOVA</v>
      </c>
      <c r="D81" s="75" t="str">
        <f t="shared" ca="1" si="16"/>
        <v>ANOVA</v>
      </c>
      <c r="E81" s="75" t="str">
        <f t="shared" ca="1" si="16"/>
        <v>ANOVA</v>
      </c>
      <c r="F81" s="75" t="str">
        <f t="shared" ca="1" si="16"/>
        <v>ANOVA</v>
      </c>
      <c r="G81" s="75" t="str">
        <f t="shared" ca="1" si="16"/>
        <v>ANOVA</v>
      </c>
      <c r="H81" s="75" t="str">
        <f t="shared" ca="1" si="16"/>
        <v>ANOVA</v>
      </c>
      <c r="I81" s="75" t="str">
        <f t="shared" ca="1" si="16"/>
        <v>ANOVA</v>
      </c>
      <c r="J81" s="75" t="e">
        <f t="shared" ref="J81:N81" ca="1" si="17">IF($B79="Non",IF(J79="Non","Mann Withney",IF(J79="Oui","Mann Withney","")),IF($B79="Oui",IF(J79="Oui","T-Test Welch",IF(J79="Non","Mann Withney",""))))</f>
        <v>#NAME?</v>
      </c>
      <c r="K81" s="75" t="e">
        <f t="shared" ca="1" si="17"/>
        <v>#NAME?</v>
      </c>
      <c r="L81" s="75" t="e">
        <f t="shared" ca="1" si="17"/>
        <v>#NAME?</v>
      </c>
      <c r="M81" s="75" t="e">
        <f t="shared" ca="1" si="17"/>
        <v>#NAME?</v>
      </c>
      <c r="N81" s="75" t="e">
        <f t="shared" ca="1" si="17"/>
        <v>#NAME?</v>
      </c>
      <c r="O81" s="75"/>
      <c r="P81" s="75" t="e">
        <f ca="1">IF($B79="Non",IF(P79="Non","Mann Withney",IF(P79="Oui","Mann Withney","")),IF($B79="Oui",IF(P79="Oui","T-Test Welch",IF(P79="Non","Mann Withney",""))))</f>
        <v>#NAME?</v>
      </c>
      <c r="Q81" s="75" t="e">
        <f t="shared" ref="Q81:W81" ca="1" si="18">IF($P79="Non",IF(Q79="Non","Mann Withney",IF(Q$79="Oui","Mann Withney","")),IF($P79="Oui",IF(Q79="Oui","T-Test Welch",IF(Q79="Non","Mann Withney",""))))</f>
        <v>#NAME?</v>
      </c>
      <c r="R81" s="75" t="e">
        <f t="shared" ca="1" si="18"/>
        <v>#NAME?</v>
      </c>
      <c r="S81" s="75" t="e">
        <f t="shared" ca="1" si="18"/>
        <v>#NAME?</v>
      </c>
      <c r="T81" s="75" t="e">
        <f t="shared" ca="1" si="18"/>
        <v>#NAME?</v>
      </c>
      <c r="U81" s="75" t="e">
        <f t="shared" ca="1" si="18"/>
        <v>#NAME?</v>
      </c>
      <c r="V81" s="75" t="e">
        <f t="shared" ca="1" si="18"/>
        <v>#NAME?</v>
      </c>
      <c r="W81" s="75" t="e">
        <f t="shared" ca="1" si="18"/>
        <v>#NAME?</v>
      </c>
    </row>
    <row r="82" spans="1:23" s="3" customFormat="1">
      <c r="A82" s="43" t="s">
        <v>45</v>
      </c>
      <c r="B82" s="75"/>
      <c r="C82" s="119">
        <v>0.45879999999999999</v>
      </c>
      <c r="D82" s="119">
        <v>6.4799999999999996E-2</v>
      </c>
      <c r="E82" s="119">
        <v>4.0000000000000002E-4</v>
      </c>
      <c r="F82" s="119">
        <v>1E-4</v>
      </c>
      <c r="G82" s="119">
        <v>1E-4</v>
      </c>
      <c r="H82" s="119">
        <v>1E-4</v>
      </c>
      <c r="I82" s="119">
        <v>1.5E-3</v>
      </c>
      <c r="J82" s="119">
        <v>1E-4</v>
      </c>
      <c r="K82" s="119">
        <v>0.22939999999999999</v>
      </c>
      <c r="L82" s="119">
        <v>8.2100000000000006E-2</v>
      </c>
      <c r="M82" s="119">
        <v>4.8999999999999998E-3</v>
      </c>
      <c r="N82" s="75" t="e">
        <f ca="1">IF(N81="Mann Withney",[1]!MTEST($B6:$B53,N6:N53,2), IF(N81="T-Test Welch",_xlfn.T.TEST($B6:$B53,N6:N53,2,3),""))</f>
        <v>#NAME?</v>
      </c>
      <c r="O82" s="75"/>
      <c r="P82" s="119">
        <v>1E-4</v>
      </c>
      <c r="Q82" s="119">
        <v>1E-4</v>
      </c>
      <c r="R82" s="119">
        <v>1E-4</v>
      </c>
      <c r="S82" s="119">
        <v>0.99990000000000001</v>
      </c>
      <c r="T82" s="119">
        <v>0.99990000000000001</v>
      </c>
      <c r="U82" s="119">
        <v>0.99990000000000001</v>
      </c>
      <c r="V82" s="119">
        <v>0.99990000000000001</v>
      </c>
      <c r="W82" s="119">
        <v>0.99990000000000001</v>
      </c>
    </row>
    <row r="83" spans="1:23" s="3" customFormat="1" ht="15.75" thickBot="1">
      <c r="A83" s="44" t="s">
        <v>46</v>
      </c>
      <c r="B83" s="76"/>
      <c r="C83" s="76" t="str">
        <f t="shared" ref="C83:P83" si="19">IF(C82&gt;0.05,"NS",IF(C82&gt;0.01,"*",IF(C82&gt;0.001,"**","***")))</f>
        <v>NS</v>
      </c>
      <c r="D83" s="76" t="str">
        <f t="shared" si="19"/>
        <v>NS</v>
      </c>
      <c r="E83" s="76" t="str">
        <f t="shared" si="19"/>
        <v>***</v>
      </c>
      <c r="F83" s="76" t="str">
        <f t="shared" si="19"/>
        <v>***</v>
      </c>
      <c r="G83" s="76" t="str">
        <f t="shared" si="19"/>
        <v>***</v>
      </c>
      <c r="H83" s="76" t="str">
        <f t="shared" si="19"/>
        <v>***</v>
      </c>
      <c r="I83" s="76" t="str">
        <f t="shared" si="19"/>
        <v>**</v>
      </c>
      <c r="J83" s="76" t="str">
        <f t="shared" si="19"/>
        <v>***</v>
      </c>
      <c r="K83" s="76" t="str">
        <f t="shared" si="19"/>
        <v>NS</v>
      </c>
      <c r="L83" s="76" t="str">
        <f t="shared" si="19"/>
        <v>NS</v>
      </c>
      <c r="M83" s="76" t="str">
        <f t="shared" si="19"/>
        <v>**</v>
      </c>
      <c r="N83" s="76" t="e">
        <f t="shared" ca="1" si="19"/>
        <v>#NAME?</v>
      </c>
      <c r="O83" s="76"/>
      <c r="P83" s="76" t="str">
        <f t="shared" si="19"/>
        <v>***</v>
      </c>
      <c r="Q83" s="76" t="str">
        <f t="shared" ref="Q83" si="20">IF(Q82&gt;0.05,"NS",IF(Q82&gt;0.01,"*",IF(Q82&gt;0.001,"**","***")))</f>
        <v>***</v>
      </c>
      <c r="R83" s="76" t="str">
        <f t="shared" ref="R83:W83" si="21">IF(R82&gt;0.05,"NS",IF(R82&gt;0.01,"*",IF(R82&gt;0.001,"**","***")))</f>
        <v>***</v>
      </c>
      <c r="S83" s="76" t="str">
        <f t="shared" si="21"/>
        <v>NS</v>
      </c>
      <c r="T83" s="76" t="str">
        <f t="shared" si="21"/>
        <v>NS</v>
      </c>
      <c r="U83" s="76" t="str">
        <f t="shared" si="21"/>
        <v>NS</v>
      </c>
      <c r="V83" s="76" t="str">
        <f t="shared" si="21"/>
        <v>NS</v>
      </c>
      <c r="W83" s="76" t="str">
        <f t="shared" si="21"/>
        <v>NS</v>
      </c>
    </row>
    <row r="84" spans="1:23" s="1" customFormat="1"/>
    <row r="85" spans="1:23" s="1" customFormat="1">
      <c r="A85" s="2" t="s">
        <v>20</v>
      </c>
    </row>
    <row r="86" spans="1:23">
      <c r="A86" s="1" t="s">
        <v>13</v>
      </c>
      <c r="B86" s="1">
        <f>B56+(3*B57)</f>
        <v>0.35588479950759966</v>
      </c>
    </row>
    <row r="87" spans="1:23">
      <c r="A87" s="1" t="s">
        <v>14</v>
      </c>
      <c r="B87" s="1">
        <f>B56+(10*B57)</f>
        <v>0.91677257347234375</v>
      </c>
    </row>
    <row r="88" spans="1:23" ht="15.75" thickBot="1"/>
    <row r="89" spans="1:23" s="30" customFormat="1" ht="27" thickBot="1">
      <c r="A89" s="31" t="s">
        <v>34</v>
      </c>
      <c r="B89" s="32"/>
      <c r="C89" s="32"/>
      <c r="D89" s="32"/>
      <c r="E89" s="32"/>
      <c r="F89" s="32"/>
      <c r="G89" s="32"/>
      <c r="H89" s="32"/>
      <c r="I89" s="32"/>
      <c r="J89" s="32"/>
      <c r="K89" s="32"/>
      <c r="L89" s="32"/>
      <c r="M89" s="32"/>
      <c r="N89" s="32"/>
      <c r="O89" s="32"/>
      <c r="P89" s="32"/>
      <c r="Q89" s="32"/>
      <c r="R89" s="32"/>
      <c r="S89" s="32"/>
      <c r="T89" s="32"/>
      <c r="U89" s="32"/>
      <c r="V89" s="32"/>
      <c r="W89" s="32"/>
    </row>
    <row r="90" spans="1:23" ht="15.75" thickBot="1"/>
    <row r="91" spans="1:23" s="30" customFormat="1" ht="27" thickBot="1">
      <c r="A91" s="31" t="s">
        <v>35</v>
      </c>
      <c r="B91" s="32"/>
      <c r="C91" s="32"/>
      <c r="D91" s="32"/>
      <c r="E91" s="32"/>
      <c r="F91" s="32"/>
      <c r="G91" s="32"/>
      <c r="H91" s="32"/>
      <c r="I91" s="32"/>
      <c r="J91" s="32"/>
      <c r="K91" s="32"/>
      <c r="L91" s="32"/>
      <c r="M91" s="32"/>
      <c r="N91" s="32"/>
      <c r="O91" s="32"/>
      <c r="P91" s="32"/>
      <c r="Q91" s="32"/>
      <c r="R91" s="32"/>
      <c r="S91" s="32"/>
      <c r="T91" s="32"/>
      <c r="U91" s="32"/>
      <c r="V91" s="32"/>
      <c r="W91" s="32"/>
    </row>
    <row r="92" spans="1:23" ht="15.75" thickBot="1"/>
    <row r="93" spans="1:23" s="30" customFormat="1" ht="27" thickBot="1">
      <c r="A93" s="153" t="s">
        <v>36</v>
      </c>
      <c r="B93" s="154"/>
      <c r="C93" s="154"/>
      <c r="D93" s="154"/>
      <c r="E93" s="154"/>
      <c r="F93" s="154"/>
      <c r="G93" s="154"/>
      <c r="H93" s="154"/>
      <c r="I93" s="154"/>
      <c r="J93" s="154"/>
      <c r="K93" s="154"/>
      <c r="L93" s="154"/>
      <c r="M93" s="154"/>
      <c r="N93" s="154"/>
      <c r="O93" s="154"/>
      <c r="P93" s="154"/>
      <c r="Q93" s="154"/>
      <c r="R93" s="154"/>
      <c r="S93" s="154"/>
      <c r="T93" s="154"/>
      <c r="U93" s="154"/>
      <c r="V93" s="154"/>
      <c r="W93" s="154"/>
    </row>
    <row r="94" spans="1:23">
      <c r="B94" s="1">
        <f t="shared" ref="B94:V94" si="22">B75/$B$75</f>
        <v>1</v>
      </c>
      <c r="C94" s="1">
        <f t="shared" si="22"/>
        <v>2.7391911082672857</v>
      </c>
      <c r="D94" s="1">
        <f t="shared" si="22"/>
        <v>3.4212752984318064</v>
      </c>
      <c r="E94" s="1">
        <f t="shared" si="22"/>
        <v>5.1386838765585896</v>
      </c>
      <c r="F94" s="1">
        <f t="shared" si="22"/>
        <v>8.453454897468788</v>
      </c>
      <c r="G94" s="1">
        <f t="shared" si="22"/>
        <v>11.297589140989583</v>
      </c>
      <c r="H94" s="1">
        <f>H75/$B$75</f>
        <v>14.789980897372217</v>
      </c>
      <c r="I94" s="1">
        <f t="shared" si="22"/>
        <v>2.180811802328996</v>
      </c>
      <c r="J94" s="1">
        <f t="shared" si="22"/>
        <v>2.4696784641295939</v>
      </c>
      <c r="K94" s="1">
        <f t="shared" si="22"/>
        <v>1.5950206507290774</v>
      </c>
      <c r="L94" s="1">
        <f t="shared" si="22"/>
        <v>1.749436463623592</v>
      </c>
      <c r="M94" s="1">
        <f t="shared" si="22"/>
        <v>2.0717000011901336</v>
      </c>
      <c r="N94" s="1" t="e">
        <f t="shared" si="22"/>
        <v>#DIV/0!</v>
      </c>
      <c r="O94" s="1">
        <f t="shared" si="22"/>
        <v>0</v>
      </c>
      <c r="P94" s="1">
        <f t="shared" si="22"/>
        <v>8.657684466982472</v>
      </c>
      <c r="Q94" s="1">
        <f t="shared" si="22"/>
        <v>13.132542196940967</v>
      </c>
      <c r="R94" s="1">
        <f t="shared" si="22"/>
        <v>1.5921633861552518</v>
      </c>
      <c r="S94" s="1">
        <f t="shared" si="22"/>
        <v>9.7897874786907568</v>
      </c>
      <c r="T94" s="1">
        <f t="shared" si="22"/>
        <v>8.9298253961684306</v>
      </c>
      <c r="U94" s="1">
        <f t="shared" si="22"/>
        <v>9.6706696339190312</v>
      </c>
      <c r="V94" s="1">
        <f t="shared" si="22"/>
        <v>10.146962422780712</v>
      </c>
    </row>
    <row r="100" spans="3:23">
      <c r="C100" s="1"/>
      <c r="D100" s="1"/>
      <c r="E100" s="1"/>
      <c r="F100" s="1"/>
      <c r="G100" s="1"/>
      <c r="H100" s="1"/>
      <c r="I100" s="1"/>
      <c r="J100" s="1"/>
      <c r="K100" s="1"/>
      <c r="L100" s="1"/>
      <c r="M100" s="1"/>
      <c r="N100" s="1"/>
      <c r="O100" s="1"/>
      <c r="P100" s="1"/>
      <c r="Q100" s="1"/>
      <c r="R100" s="1"/>
      <c r="S100" s="1"/>
      <c r="T100" s="1"/>
      <c r="U100" s="1"/>
      <c r="V100" s="1"/>
      <c r="W100" s="1"/>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AD09D4-2E77-4A6F-BD78-1F68339736DE}">
  <ds:schemaRefs>
    <ds:schemaRef ds:uri="http://schemas.microsoft.com/sharepoint/v3/contenttype/forms"/>
  </ds:schemaRefs>
</ds:datastoreItem>
</file>

<file path=customXml/itemProps2.xml><?xml version="1.0" encoding="utf-8"?>
<ds:datastoreItem xmlns:ds="http://schemas.openxmlformats.org/officeDocument/2006/customXml" ds:itemID="{D5B5320C-E5D6-4331-845B-B7C108DF6B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2023-04-03T08:27:06Z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2b90b1a9-32b3-4ec4-bc34-77dc7025a3ce</vt:lpwstr>
  </property>
  <property fmtid="{D5CDD505-2E9C-101B-9397-08002B2CF9AE}" pid="8" name="MSIP_Label_06530cf4-8573-4c29-a912-bbcdac835909_ContentBits">
    <vt:lpwstr>2</vt:lpwstr>
  </property>
</Properties>
</file>