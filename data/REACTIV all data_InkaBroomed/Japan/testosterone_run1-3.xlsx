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5" documentId="13_ncr:1_{66360342-F1A1-4CDD-AA0B-D21A7DD0521C}" xr6:coauthVersionLast="47" xr6:coauthVersionMax="47" xr10:uidLastSave="{77511B6A-D8D9-45DB-BE57-AE450CDC03AD}"/>
  <bookViews>
    <workbookView xWindow="-120" yWindow="-120" windowWidth="29040" windowHeight="15840"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I78" i="4"/>
  <c r="F78" i="4"/>
  <c r="V78" i="4"/>
  <c r="O78" i="4"/>
  <c r="H78" i="4"/>
  <c r="B78" i="4"/>
  <c r="M78" i="4"/>
  <c r="J78" i="4"/>
  <c r="C78" i="4"/>
  <c r="S78" i="4"/>
  <c r="L78" i="4"/>
  <c r="Q78" i="4"/>
  <c r="N78" i="4"/>
  <c r="G78" i="4"/>
  <c r="W78" i="4"/>
  <c r="P78" i="4"/>
  <c r="E78" i="4"/>
  <c r="U78" i="4"/>
  <c r="R78" i="4"/>
  <c r="K78" i="4"/>
  <c r="D78" i="4"/>
  <c r="T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46" i="4"/>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U35" i="33"/>
  <c r="V45" i="4" s="1"/>
  <c r="T35" i="33"/>
  <c r="U45" i="4" s="1"/>
  <c r="N45" i="4"/>
  <c r="N44" i="4"/>
  <c r="N43" i="4"/>
  <c r="N42" i="4"/>
  <c r="N41" i="4"/>
  <c r="N40" i="4"/>
  <c r="N39" i="4"/>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J35" i="33" s="1"/>
  <c r="J45" i="4" s="1"/>
  <c r="L23" i="33"/>
  <c r="J23" i="33"/>
  <c r="I23" i="33"/>
  <c r="H23" i="33"/>
  <c r="G23" i="33"/>
  <c r="F23" i="33"/>
  <c r="E23" i="33"/>
  <c r="D23" i="33"/>
  <c r="C23" i="33"/>
  <c r="B23" i="33"/>
  <c r="A22" i="33"/>
  <c r="H22" i="33"/>
  <c r="G45" i="33"/>
  <c r="F27" i="33"/>
  <c r="F52" i="33" s="1"/>
  <c r="E45" i="33"/>
  <c r="D22" i="33"/>
  <c r="C45" i="33"/>
  <c r="B45" i="33"/>
  <c r="O56" i="33"/>
  <c r="V56" i="33"/>
  <c r="Q56" i="33"/>
  <c r="K56" i="33"/>
  <c r="J56" i="33"/>
  <c r="M56" i="33"/>
  <c r="L56" i="33"/>
  <c r="T56" i="33"/>
  <c r="C56" i="33"/>
  <c r="F56" i="33"/>
  <c r="R56" i="33"/>
  <c r="E56" i="33"/>
  <c r="G56" i="33"/>
  <c r="H56" i="33"/>
  <c r="S56" i="33"/>
  <c r="B56" i="33"/>
  <c r="I56" i="33"/>
  <c r="P56" i="33"/>
  <c r="U56" i="33"/>
  <c r="D56" i="33"/>
  <c r="K28" i="33" l="1"/>
  <c r="K38" i="4" s="1"/>
  <c r="P32" i="33"/>
  <c r="Q42" i="4" s="1"/>
  <c r="R34" i="33"/>
  <c r="S44" i="4" s="1"/>
  <c r="K29" i="33"/>
  <c r="K39" i="4" s="1"/>
  <c r="Q32" i="33"/>
  <c r="R42" i="4" s="1"/>
  <c r="Q35" i="33"/>
  <c r="R45" i="4" s="1"/>
  <c r="O38" i="33"/>
  <c r="P48" i="4" s="1"/>
  <c r="P33" i="33"/>
  <c r="Q43" i="4" s="1"/>
  <c r="P30" i="33"/>
  <c r="Q40" i="4" s="1"/>
  <c r="Q33" i="33"/>
  <c r="R43" i="4" s="1"/>
  <c r="P31" i="33"/>
  <c r="Q41" i="4" s="1"/>
  <c r="Q34" i="33"/>
  <c r="R44" i="4" s="1"/>
  <c r="F28" i="33"/>
  <c r="F38" i="4" s="1"/>
  <c r="F29" i="33"/>
  <c r="F39" i="4" s="1"/>
  <c r="M30" i="33"/>
  <c r="M40" i="4" s="1"/>
  <c r="K31" i="33"/>
  <c r="K41" i="4" s="1"/>
  <c r="P34" i="33"/>
  <c r="Q44" i="4" s="1"/>
  <c r="P35" i="33"/>
  <c r="Q45" i="4" s="1"/>
  <c r="O42" i="33"/>
  <c r="P52" i="4" s="1"/>
  <c r="O28" i="33"/>
  <c r="P29" i="33"/>
  <c r="Q39" i="4" s="1"/>
  <c r="Q30" i="33"/>
  <c r="R40" i="4" s="1"/>
  <c r="Q31" i="33"/>
  <c r="R41" i="4" s="1"/>
  <c r="R32" i="33"/>
  <c r="S42" i="4" s="1"/>
  <c r="T33" i="33"/>
  <c r="U43" i="4" s="1"/>
  <c r="V34" i="33"/>
  <c r="W44" i="4" s="1"/>
  <c r="P28" i="33"/>
  <c r="Q29" i="33"/>
  <c r="R39" i="4" s="1"/>
  <c r="R30" i="33"/>
  <c r="S40" i="4" s="1"/>
  <c r="T31" i="33"/>
  <c r="U41" i="4" s="1"/>
  <c r="V32" i="33"/>
  <c r="W42" i="4" s="1"/>
  <c r="D34" i="33"/>
  <c r="D44" i="4" s="1"/>
  <c r="B35" i="33"/>
  <c r="B45" i="4" s="1"/>
  <c r="Q28" i="33"/>
  <c r="R38" i="4" s="1"/>
  <c r="T29" i="33"/>
  <c r="U39" i="4" s="1"/>
  <c r="V30" i="33"/>
  <c r="W40" i="4" s="1"/>
  <c r="D32" i="33"/>
  <c r="D42" i="4" s="1"/>
  <c r="B33" i="33"/>
  <c r="B43" i="4" s="1"/>
  <c r="H34" i="33"/>
  <c r="H44" i="4" s="1"/>
  <c r="F35" i="33"/>
  <c r="F45" i="4" s="1"/>
  <c r="S28" i="33"/>
  <c r="D30" i="33"/>
  <c r="D40" i="4" s="1"/>
  <c r="B31" i="33"/>
  <c r="B41" i="4" s="1"/>
  <c r="H32" i="33"/>
  <c r="H42" i="4" s="1"/>
  <c r="F33" i="33"/>
  <c r="F43" i="4" s="1"/>
  <c r="M34" i="33"/>
  <c r="M44" i="4" s="1"/>
  <c r="K35" i="33"/>
  <c r="K45" i="4" s="1"/>
  <c r="B28" i="33"/>
  <c r="B38" i="4" s="1"/>
  <c r="B29" i="33"/>
  <c r="B39" i="4" s="1"/>
  <c r="H30" i="33"/>
  <c r="H40" i="4" s="1"/>
  <c r="F31" i="33"/>
  <c r="F41" i="4" s="1"/>
  <c r="M32" i="33"/>
  <c r="M42" i="4" s="1"/>
  <c r="K33" i="33"/>
  <c r="K43" i="4" s="1"/>
  <c r="C28" i="33"/>
  <c r="G29" i="33"/>
  <c r="G39" i="4" s="1"/>
  <c r="E30" i="33"/>
  <c r="E40" i="4" s="1"/>
  <c r="I30" i="33"/>
  <c r="I40" i="4" s="1"/>
  <c r="S30" i="33"/>
  <c r="T40" i="4" s="1"/>
  <c r="U31" i="33"/>
  <c r="V41" i="4" s="1"/>
  <c r="E32" i="33"/>
  <c r="E42" i="4" s="1"/>
  <c r="I32" i="33"/>
  <c r="I42" i="4" s="1"/>
  <c r="O32" i="33"/>
  <c r="P42" i="4" s="1"/>
  <c r="C33" i="33"/>
  <c r="C43" i="4" s="1"/>
  <c r="G33" i="33"/>
  <c r="G43" i="4" s="1"/>
  <c r="L33" i="33"/>
  <c r="L43" i="4" s="1"/>
  <c r="U33" i="33"/>
  <c r="V43" i="4" s="1"/>
  <c r="E34" i="33"/>
  <c r="E44" i="4" s="1"/>
  <c r="I34" i="33"/>
  <c r="I44" i="4" s="1"/>
  <c r="O34" i="33"/>
  <c r="P44" i="4" s="1"/>
  <c r="G35" i="33"/>
  <c r="G45" i="4" s="1"/>
  <c r="O37" i="33"/>
  <c r="P47" i="4" s="1"/>
  <c r="D28" i="33"/>
  <c r="D38" i="4" s="1"/>
  <c r="H28" i="33"/>
  <c r="M28" i="33"/>
  <c r="M38" i="4" s="1"/>
  <c r="U28" i="33"/>
  <c r="V38" i="4" s="1"/>
  <c r="D29" i="33"/>
  <c r="D39" i="4" s="1"/>
  <c r="H29" i="33"/>
  <c r="H39" i="4" s="1"/>
  <c r="M29" i="33"/>
  <c r="M39" i="4" s="1"/>
  <c r="R29" i="33"/>
  <c r="S39" i="4" s="1"/>
  <c r="V29" i="33"/>
  <c r="W39" i="4" s="1"/>
  <c r="B30" i="33"/>
  <c r="B40" i="4" s="1"/>
  <c r="F30" i="33"/>
  <c r="F40" i="4" s="1"/>
  <c r="K30" i="33"/>
  <c r="K40" i="4" s="1"/>
  <c r="T30" i="33"/>
  <c r="U40" i="4" s="1"/>
  <c r="D31" i="33"/>
  <c r="D41" i="4" s="1"/>
  <c r="H31" i="33"/>
  <c r="H41" i="4" s="1"/>
  <c r="M31" i="33"/>
  <c r="M41" i="4" s="1"/>
  <c r="R31" i="33"/>
  <c r="S41" i="4" s="1"/>
  <c r="V31" i="33"/>
  <c r="W41" i="4" s="1"/>
  <c r="B32" i="33"/>
  <c r="B42" i="4" s="1"/>
  <c r="F32" i="33"/>
  <c r="F42" i="4" s="1"/>
  <c r="K32" i="33"/>
  <c r="K42" i="4" s="1"/>
  <c r="T32" i="33"/>
  <c r="U42" i="4" s="1"/>
  <c r="D33" i="33"/>
  <c r="D43" i="4" s="1"/>
  <c r="H33" i="33"/>
  <c r="H43" i="4" s="1"/>
  <c r="M33" i="33"/>
  <c r="M43" i="4" s="1"/>
  <c r="R33" i="33"/>
  <c r="S43" i="4" s="1"/>
  <c r="V33" i="33"/>
  <c r="W43" i="4" s="1"/>
  <c r="B34" i="33"/>
  <c r="B44" i="4" s="1"/>
  <c r="F34" i="33"/>
  <c r="F44" i="4" s="1"/>
  <c r="K34" i="33"/>
  <c r="K44" i="4" s="1"/>
  <c r="T34" i="33"/>
  <c r="U44" i="4" s="1"/>
  <c r="D35" i="33"/>
  <c r="D45" i="4" s="1"/>
  <c r="H35" i="33"/>
  <c r="H45" i="4" s="1"/>
  <c r="M35" i="33"/>
  <c r="M45" i="4" s="1"/>
  <c r="R35" i="33"/>
  <c r="S45" i="4" s="1"/>
  <c r="V35" i="33"/>
  <c r="W45" i="4" s="1"/>
  <c r="O36" i="33"/>
  <c r="P46" i="4" s="1"/>
  <c r="O40" i="33"/>
  <c r="P50" i="4" s="1"/>
  <c r="G28" i="33"/>
  <c r="L28" i="33"/>
  <c r="L38" i="4" s="1"/>
  <c r="T28" i="33"/>
  <c r="U38" i="4" s="1"/>
  <c r="C29" i="33"/>
  <c r="C39" i="4" s="1"/>
  <c r="L29" i="33"/>
  <c r="L39" i="4" s="1"/>
  <c r="U29" i="33"/>
  <c r="V39" i="4" s="1"/>
  <c r="O30" i="33"/>
  <c r="P40" i="4" s="1"/>
  <c r="C31" i="33"/>
  <c r="C41" i="4" s="1"/>
  <c r="G31" i="33"/>
  <c r="G41" i="4" s="1"/>
  <c r="L31" i="33"/>
  <c r="L41" i="4" s="1"/>
  <c r="S32" i="33"/>
  <c r="T42" i="4" s="1"/>
  <c r="S34" i="33"/>
  <c r="T44" i="4" s="1"/>
  <c r="C35" i="33"/>
  <c r="C45" i="4" s="1"/>
  <c r="L35" i="33"/>
  <c r="L45" i="4" s="1"/>
  <c r="O41" i="33"/>
  <c r="P51" i="4" s="1"/>
  <c r="E28" i="33"/>
  <c r="E38" i="4" s="1"/>
  <c r="I28" i="33"/>
  <c r="R28" i="33"/>
  <c r="V28" i="33"/>
  <c r="W38" i="4" s="1"/>
  <c r="E29" i="33"/>
  <c r="E39" i="4" s="1"/>
  <c r="I29" i="33"/>
  <c r="I39" i="4" s="1"/>
  <c r="O29" i="33"/>
  <c r="P39" i="4" s="1"/>
  <c r="S29" i="33"/>
  <c r="T39" i="4" s="1"/>
  <c r="C30" i="33"/>
  <c r="C40" i="4" s="1"/>
  <c r="G30" i="33"/>
  <c r="G40" i="4" s="1"/>
  <c r="L30" i="33"/>
  <c r="L40" i="4" s="1"/>
  <c r="U30" i="33"/>
  <c r="V40" i="4" s="1"/>
  <c r="E31" i="33"/>
  <c r="E41" i="4" s="1"/>
  <c r="I31" i="33"/>
  <c r="I41" i="4" s="1"/>
  <c r="O31" i="33"/>
  <c r="P41" i="4" s="1"/>
  <c r="S31" i="33"/>
  <c r="T41" i="4" s="1"/>
  <c r="C32" i="33"/>
  <c r="C42" i="4" s="1"/>
  <c r="G32" i="33"/>
  <c r="G42" i="4" s="1"/>
  <c r="L32" i="33"/>
  <c r="L42" i="4" s="1"/>
  <c r="U32" i="33"/>
  <c r="V42" i="4" s="1"/>
  <c r="E33" i="33"/>
  <c r="E43" i="4" s="1"/>
  <c r="I33" i="33"/>
  <c r="I43" i="4" s="1"/>
  <c r="O33" i="33"/>
  <c r="P43" i="4" s="1"/>
  <c r="S33" i="33"/>
  <c r="T43" i="4" s="1"/>
  <c r="C34" i="33"/>
  <c r="C44" i="4" s="1"/>
  <c r="G34" i="33"/>
  <c r="G44" i="4" s="1"/>
  <c r="L34" i="33"/>
  <c r="L44" i="4" s="1"/>
  <c r="U34" i="33"/>
  <c r="V44" i="4" s="1"/>
  <c r="E35" i="33"/>
  <c r="E45" i="4" s="1"/>
  <c r="I35" i="33"/>
  <c r="I45" i="4" s="1"/>
  <c r="O35" i="33"/>
  <c r="P45" i="4" s="1"/>
  <c r="S35" i="33"/>
  <c r="T45" i="4" s="1"/>
  <c r="O39" i="33"/>
  <c r="P49" i="4" s="1"/>
  <c r="O43" i="33"/>
  <c r="P53" i="4" s="1"/>
  <c r="J34" i="33"/>
  <c r="J44" i="4" s="1"/>
  <c r="J28" i="33"/>
  <c r="J38" i="4" s="1"/>
  <c r="J29" i="33"/>
  <c r="J39" i="4" s="1"/>
  <c r="J33" i="33"/>
  <c r="J43" i="4" s="1"/>
  <c r="J32" i="33"/>
  <c r="J42" i="4" s="1"/>
  <c r="J30" i="33"/>
  <c r="J40" i="4" s="1"/>
  <c r="J31" i="33"/>
  <c r="J41" i="4" s="1"/>
  <c r="I38" i="4"/>
  <c r="S38" i="4"/>
  <c r="B22" i="33"/>
  <c r="E22" i="33"/>
  <c r="I45" i="33"/>
  <c r="I52" i="33"/>
  <c r="I27" i="33"/>
  <c r="C38" i="4"/>
  <c r="G38" i="4"/>
  <c r="B27" i="33"/>
  <c r="B52" i="33" s="1"/>
  <c r="D27" i="33"/>
  <c r="D52" i="33" s="1"/>
  <c r="I22" i="33"/>
  <c r="E27" i="33"/>
  <c r="E52" i="33" s="1"/>
  <c r="N38" i="4"/>
  <c r="P38" i="4"/>
  <c r="T38" i="4"/>
  <c r="D45" i="33"/>
  <c r="G57" i="33"/>
  <c r="T57" i="33"/>
  <c r="H57" i="33"/>
  <c r="O57" i="33"/>
  <c r="U57" i="33"/>
  <c r="C57" i="33"/>
  <c r="J57" i="33"/>
  <c r="P57" i="33"/>
  <c r="D57" i="33"/>
  <c r="L57" i="33"/>
  <c r="S57" i="33"/>
  <c r="F57" i="33"/>
  <c r="K57" i="33"/>
  <c r="Q57" i="33"/>
  <c r="B57" i="33"/>
  <c r="E57" i="33"/>
  <c r="I57" i="33"/>
  <c r="M57" i="33"/>
  <c r="R57" i="33"/>
  <c r="V57" i="33"/>
  <c r="F22" i="33"/>
  <c r="F45" i="33"/>
  <c r="G22" i="33"/>
  <c r="G27" i="33"/>
  <c r="G52" i="33" s="1"/>
  <c r="C22" i="33"/>
  <c r="C27" i="33"/>
  <c r="C52" i="33" s="1"/>
  <c r="H27" i="33"/>
  <c r="H52" i="33" s="1"/>
  <c r="H45" i="33"/>
  <c r="P46" i="33" l="1"/>
  <c r="P53" i="33" s="1"/>
  <c r="M47" i="33"/>
  <c r="M48" i="33" s="1"/>
  <c r="M54" i="33" s="1"/>
  <c r="F47" i="33"/>
  <c r="F48" i="33" s="1"/>
  <c r="F54" i="33" s="1"/>
  <c r="G46" i="33"/>
  <c r="G53" i="33" s="1"/>
  <c r="G47" i="33"/>
  <c r="G48" i="33" s="1"/>
  <c r="G54" i="33" s="1"/>
  <c r="V47" i="33"/>
  <c r="V48" i="33" s="1"/>
  <c r="V54" i="33" s="1"/>
  <c r="Q47" i="33"/>
  <c r="Q48" i="33" s="1"/>
  <c r="Q54" i="33" s="1"/>
  <c r="T46" i="33"/>
  <c r="T53" i="33" s="1"/>
  <c r="H46" i="33"/>
  <c r="H53" i="33" s="1"/>
  <c r="L47" i="33"/>
  <c r="L48" i="33" s="1"/>
  <c r="L54" i="33" s="1"/>
  <c r="V46" i="33"/>
  <c r="V53" i="33" s="1"/>
  <c r="T47" i="33"/>
  <c r="T48" i="33" s="1"/>
  <c r="T54" i="33" s="1"/>
  <c r="Q46" i="33"/>
  <c r="Q53" i="33" s="1"/>
  <c r="P47" i="33"/>
  <c r="P48" i="33" s="1"/>
  <c r="P54" i="33" s="1"/>
  <c r="E47" i="33"/>
  <c r="E48" i="33" s="1"/>
  <c r="E54" i="33" s="1"/>
  <c r="H47" i="33"/>
  <c r="H48" i="33" s="1"/>
  <c r="H54" i="33" s="1"/>
  <c r="Q38" i="4"/>
  <c r="R46" i="33"/>
  <c r="R53" i="33" s="1"/>
  <c r="J47" i="33"/>
  <c r="L46" i="33"/>
  <c r="L53" i="33" s="1"/>
  <c r="R47" i="33"/>
  <c r="R48" i="33" s="1"/>
  <c r="R54" i="33" s="1"/>
  <c r="U47" i="33"/>
  <c r="U48" i="33" s="1"/>
  <c r="U54" i="33" s="1"/>
  <c r="H38" i="4"/>
  <c r="I46" i="33"/>
  <c r="I53" i="33" s="1"/>
  <c r="B46" i="33"/>
  <c r="O46" i="33"/>
  <c r="O53" i="33" s="1"/>
  <c r="O55" i="33" s="1"/>
  <c r="K46" i="33"/>
  <c r="K53" i="33" s="1"/>
  <c r="I47" i="33"/>
  <c r="I48" i="33" s="1"/>
  <c r="I54" i="33" s="1"/>
  <c r="B47" i="33"/>
  <c r="B48" i="33" s="1"/>
  <c r="B54" i="33" s="1"/>
  <c r="D47" i="33"/>
  <c r="D48" i="33" s="1"/>
  <c r="D54" i="33" s="1"/>
  <c r="S47" i="33"/>
  <c r="S48" i="33" s="1"/>
  <c r="S54" i="33" s="1"/>
  <c r="O47" i="33"/>
  <c r="O48" i="33" s="1"/>
  <c r="O54" i="33" s="1"/>
  <c r="J46" i="33"/>
  <c r="J53" i="33" s="1"/>
  <c r="C46" i="33"/>
  <c r="C53" i="33" s="1"/>
  <c r="M46" i="33"/>
  <c r="M53" i="33" s="1"/>
  <c r="E46" i="33"/>
  <c r="E53" i="33" s="1"/>
  <c r="U46" i="33"/>
  <c r="U53" i="33" s="1"/>
  <c r="D46" i="33"/>
  <c r="D53" i="33" s="1"/>
  <c r="S46" i="33"/>
  <c r="S53" i="33" s="1"/>
  <c r="S55" i="33" s="1"/>
  <c r="K47" i="33"/>
  <c r="K48" i="33" s="1"/>
  <c r="K54" i="33" s="1"/>
  <c r="C47" i="33"/>
  <c r="C48" i="33" s="1"/>
  <c r="C54" i="33" s="1"/>
  <c r="F46" i="33"/>
  <c r="F53" i="33" s="1"/>
  <c r="J48" i="33"/>
  <c r="J54" i="33" s="1"/>
  <c r="O59" i="33"/>
  <c r="O60" i="33" s="1"/>
  <c r="O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R55" i="33" l="1"/>
  <c r="Q55" i="33"/>
  <c r="V55" i="33"/>
  <c r="U55" i="33"/>
  <c r="P55" i="33"/>
  <c r="B65" i="33"/>
  <c r="T55" i="33"/>
  <c r="B64" i="33"/>
  <c r="B53" i="33"/>
  <c r="M55" i="33" s="1"/>
  <c r="K55" i="33"/>
  <c r="J55" i="33"/>
  <c r="H55" i="33"/>
  <c r="I55" i="33"/>
  <c r="E55" i="33"/>
  <c r="B55" i="33" l="1"/>
  <c r="D55" i="33"/>
  <c r="C55" i="33"/>
  <c r="F55" i="33"/>
  <c r="G55" i="33"/>
  <c r="L55" i="33"/>
  <c r="M4" i="33"/>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P35" i="23"/>
  <c r="Q29" i="4" s="1"/>
  <c r="P36" i="23"/>
  <c r="Q30" i="4" s="1"/>
  <c r="Q36" i="23"/>
  <c r="R30" i="4" s="1"/>
  <c r="R36" i="23"/>
  <c r="S30" i="4" s="1"/>
  <c r="S36" i="23"/>
  <c r="T30" i="4" s="1"/>
  <c r="T36" i="23"/>
  <c r="U30" i="4" s="1"/>
  <c r="U36" i="23"/>
  <c r="V30" i="4" s="1"/>
  <c r="V36" i="23"/>
  <c r="W30" i="4" s="1"/>
  <c r="P37" i="23"/>
  <c r="Q31" i="4" s="1"/>
  <c r="Q37" i="23"/>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3" i="4"/>
  <c r="N24" i="4"/>
  <c r="N25" i="4"/>
  <c r="N26" i="4"/>
  <c r="N27" i="4"/>
  <c r="N28" i="4"/>
  <c r="N29" i="4"/>
  <c r="K36" i="23"/>
  <c r="K30" i="4" s="1"/>
  <c r="L36" i="23"/>
  <c r="L30" i="4" s="1"/>
  <c r="M36" i="23"/>
  <c r="M30" i="4" s="1"/>
  <c r="N30" i="4"/>
  <c r="K37" i="23"/>
  <c r="K31" i="4" s="1"/>
  <c r="L37" i="23"/>
  <c r="L31" i="4" s="1"/>
  <c r="M37" i="23"/>
  <c r="M31" i="4" s="1"/>
  <c r="N31" i="4"/>
  <c r="K38" i="23"/>
  <c r="K32" i="4" s="1"/>
  <c r="L38" i="23"/>
  <c r="L32" i="4" s="1"/>
  <c r="M38" i="23"/>
  <c r="M32" i="4" s="1"/>
  <c r="N32" i="4"/>
  <c r="K39" i="23"/>
  <c r="K33" i="4" s="1"/>
  <c r="L39" i="23"/>
  <c r="L33" i="4" s="1"/>
  <c r="M39" i="23"/>
  <c r="M33" i="4" s="1"/>
  <c r="N33" i="4"/>
  <c r="K40" i="23"/>
  <c r="K34" i="4" s="1"/>
  <c r="L40" i="23"/>
  <c r="L34" i="4" s="1"/>
  <c r="M40" i="23"/>
  <c r="M34" i="4" s="1"/>
  <c r="N34" i="4"/>
  <c r="K41" i="23"/>
  <c r="K35" i="4" s="1"/>
  <c r="L41" i="23"/>
  <c r="L35" i="4" s="1"/>
  <c r="M41" i="23"/>
  <c r="M35" i="4" s="1"/>
  <c r="N35" i="4"/>
  <c r="K42" i="23"/>
  <c r="K36" i="4" s="1"/>
  <c r="L42" i="23"/>
  <c r="L36" i="4" s="1"/>
  <c r="M42" i="23"/>
  <c r="M36" i="4" s="1"/>
  <c r="N36" i="4"/>
  <c r="K43" i="23"/>
  <c r="K37" i="4" s="1"/>
  <c r="L43" i="23"/>
  <c r="M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7" i="4"/>
  <c r="N8" i="4"/>
  <c r="N9" i="4"/>
  <c r="N10" i="4"/>
  <c r="N11" i="4"/>
  <c r="N12" i="4"/>
  <c r="N13" i="4"/>
  <c r="K36" i="1"/>
  <c r="K14" i="4" s="1"/>
  <c r="L36" i="1"/>
  <c r="L14" i="4" s="1"/>
  <c r="M36" i="1"/>
  <c r="M14" i="4" s="1"/>
  <c r="N14" i="4"/>
  <c r="K37" i="1"/>
  <c r="K15" i="4" s="1"/>
  <c r="L37" i="1"/>
  <c r="L15" i="4" s="1"/>
  <c r="M37" i="1"/>
  <c r="M15" i="4" s="1"/>
  <c r="N15" i="4"/>
  <c r="K38" i="1"/>
  <c r="K16" i="4" s="1"/>
  <c r="L38" i="1"/>
  <c r="L16" i="4" s="1"/>
  <c r="M38" i="1"/>
  <c r="M16" i="4" s="1"/>
  <c r="N16" i="4"/>
  <c r="K39" i="1"/>
  <c r="K17" i="4" s="1"/>
  <c r="L39" i="1"/>
  <c r="L17" i="4" s="1"/>
  <c r="M39" i="1"/>
  <c r="M17" i="4" s="1"/>
  <c r="N17" i="4"/>
  <c r="K40" i="1"/>
  <c r="K18" i="4" s="1"/>
  <c r="L40" i="1"/>
  <c r="L18" i="4" s="1"/>
  <c r="M40" i="1"/>
  <c r="M18" i="4" s="1"/>
  <c r="N18" i="4"/>
  <c r="K41" i="1"/>
  <c r="K19" i="4" s="1"/>
  <c r="L41" i="1"/>
  <c r="L19" i="4" s="1"/>
  <c r="M41" i="1"/>
  <c r="M19" i="4" s="1"/>
  <c r="N19" i="4"/>
  <c r="K42" i="1"/>
  <c r="K20" i="4" s="1"/>
  <c r="L42" i="1"/>
  <c r="L20" i="4" s="1"/>
  <c r="M42" i="1"/>
  <c r="M20" i="4" s="1"/>
  <c r="N20" i="4"/>
  <c r="K43" i="1"/>
  <c r="K21" i="4" s="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R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P22" i="23"/>
  <c r="S23" i="1"/>
  <c r="T23" i="1"/>
  <c r="U23" i="1"/>
  <c r="V23" i="1"/>
  <c r="S24" i="1"/>
  <c r="T24" i="1"/>
  <c r="U24" i="1"/>
  <c r="V24" i="1"/>
  <c r="L23" i="1"/>
  <c r="M23" i="1"/>
  <c r="L24" i="1"/>
  <c r="M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P30" i="1"/>
  <c r="Q8" i="4" s="1"/>
  <c r="P34" i="1"/>
  <c r="Q12"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J56" i="23"/>
  <c r="Q56" i="23"/>
  <c r="C56" i="23"/>
  <c r="R56" i="23"/>
  <c r="M56" i="1"/>
  <c r="S56" i="1"/>
  <c r="J56" i="1"/>
  <c r="F56" i="23"/>
  <c r="E56" i="23"/>
  <c r="L56" i="1"/>
  <c r="U56" i="23"/>
  <c r="I56" i="23"/>
  <c r="M56" i="23"/>
  <c r="V56" i="23"/>
  <c r="L56" i="23"/>
  <c r="K56" i="1"/>
  <c r="K56" i="23"/>
  <c r="H56" i="23"/>
  <c r="D56" i="23"/>
  <c r="U56" i="1"/>
  <c r="T56" i="1"/>
  <c r="P34" i="23" l="1"/>
  <c r="Q28" i="4" s="1"/>
  <c r="P30" i="23"/>
  <c r="Q24" i="4" s="1"/>
  <c r="Q33" i="1"/>
  <c r="R11" i="4" s="1"/>
  <c r="Q28" i="1"/>
  <c r="P33" i="1"/>
  <c r="Q11" i="4" s="1"/>
  <c r="Q34" i="1"/>
  <c r="R12" i="4" s="1"/>
  <c r="Q33" i="23"/>
  <c r="R27" i="4" s="1"/>
  <c r="Q29" i="23"/>
  <c r="R23" i="4" s="1"/>
  <c r="P33" i="23"/>
  <c r="Q27" i="4" s="1"/>
  <c r="P29" i="23"/>
  <c r="Q23" i="4" s="1"/>
  <c r="Q32" i="23"/>
  <c r="R26" i="4" s="1"/>
  <c r="Q28" i="23"/>
  <c r="P32" i="23"/>
  <c r="Q26" i="4" s="1"/>
  <c r="P28" i="23"/>
  <c r="Q35" i="1"/>
  <c r="R13" i="4" s="1"/>
  <c r="Q31" i="1"/>
  <c r="R9" i="4" s="1"/>
  <c r="Q35" i="23"/>
  <c r="R29" i="4" s="1"/>
  <c r="Q31" i="23"/>
  <c r="R25" i="4" s="1"/>
  <c r="P31" i="23"/>
  <c r="Q25" i="4" s="1"/>
  <c r="Q34" i="23"/>
  <c r="R28" i="4" s="1"/>
  <c r="Q30" i="23"/>
  <c r="R24" i="4" s="1"/>
  <c r="L32" i="23"/>
  <c r="L26" i="4" s="1"/>
  <c r="D32" i="23"/>
  <c r="D26" i="4" s="1"/>
  <c r="J31" i="23"/>
  <c r="J25" i="4" s="1"/>
  <c r="C33" i="23"/>
  <c r="C27" i="4" s="1"/>
  <c r="I29" i="23"/>
  <c r="I23" i="4" s="1"/>
  <c r="F29" i="23"/>
  <c r="F23" i="4" s="1"/>
  <c r="M34" i="23"/>
  <c r="M28" i="4" s="1"/>
  <c r="L33" i="23"/>
  <c r="L27" i="4" s="1"/>
  <c r="K32" i="23"/>
  <c r="K26" i="4" s="1"/>
  <c r="L31" i="23"/>
  <c r="L25" i="4" s="1"/>
  <c r="M29" i="23"/>
  <c r="M23" i="4" s="1"/>
  <c r="M28" i="23"/>
  <c r="M22" i="4" s="1"/>
  <c r="O42" i="23"/>
  <c r="P36" i="4" s="1"/>
  <c r="O36" i="23"/>
  <c r="P30" i="4" s="1"/>
  <c r="T35" i="23"/>
  <c r="U29" i="4" s="1"/>
  <c r="V34" i="23"/>
  <c r="W28" i="4" s="1"/>
  <c r="R34" i="23"/>
  <c r="S28" i="4" s="1"/>
  <c r="U33" i="23"/>
  <c r="V27" i="4" s="1"/>
  <c r="V32" i="23"/>
  <c r="W26" i="4" s="1"/>
  <c r="R32" i="23"/>
  <c r="S26" i="4" s="1"/>
  <c r="V31" i="23"/>
  <c r="W25" i="4" s="1"/>
  <c r="R31" i="23"/>
  <c r="S25" i="4" s="1"/>
  <c r="S30" i="23"/>
  <c r="T24" i="4" s="1"/>
  <c r="S29" i="23"/>
  <c r="T23" i="4" s="1"/>
  <c r="S28" i="23"/>
  <c r="T22" i="4" s="1"/>
  <c r="H30" i="23"/>
  <c r="H24" i="4" s="1"/>
  <c r="J32" i="23"/>
  <c r="J26" i="4" s="1"/>
  <c r="D34" i="23"/>
  <c r="D28" i="4" s="1"/>
  <c r="D31" i="23"/>
  <c r="D25" i="4" s="1"/>
  <c r="K30" i="23"/>
  <c r="K24" i="4" s="1"/>
  <c r="O43" i="23"/>
  <c r="O29" i="23"/>
  <c r="P23" i="4" s="1"/>
  <c r="S34" i="23"/>
  <c r="T28" i="4" s="1"/>
  <c r="V33" i="23"/>
  <c r="W27" i="4" s="1"/>
  <c r="R33" i="23"/>
  <c r="S27" i="4" s="1"/>
  <c r="S32" i="23"/>
  <c r="T26" i="4" s="1"/>
  <c r="S31" i="23"/>
  <c r="T25" i="4" s="1"/>
  <c r="T30" i="23"/>
  <c r="U24" i="4" s="1"/>
  <c r="T29" i="23"/>
  <c r="U23" i="4" s="1"/>
  <c r="T28" i="23"/>
  <c r="U22" i="4" s="1"/>
  <c r="D35" i="23"/>
  <c r="D29" i="4" s="1"/>
  <c r="J35" i="23"/>
  <c r="J29" i="4" s="1"/>
  <c r="C31" i="23"/>
  <c r="C25" i="4" s="1"/>
  <c r="H34" i="23"/>
  <c r="H28" i="4" s="1"/>
  <c r="G32" i="23"/>
  <c r="G26" i="4" s="1"/>
  <c r="H28" i="23"/>
  <c r="G33" i="23"/>
  <c r="G27" i="4" s="1"/>
  <c r="I28" i="23"/>
  <c r="C30" i="23"/>
  <c r="C24" i="4" s="1"/>
  <c r="E32" i="23"/>
  <c r="E26" i="4" s="1"/>
  <c r="C34" i="23"/>
  <c r="C28" i="4" s="1"/>
  <c r="I34" i="23"/>
  <c r="I28" i="4" s="1"/>
  <c r="D28" i="23"/>
  <c r="D22" i="4" s="1"/>
  <c r="E31" i="23"/>
  <c r="E25" i="4" s="1"/>
  <c r="F34" i="23"/>
  <c r="F28" i="4" s="1"/>
  <c r="F28" i="23"/>
  <c r="G31" i="23"/>
  <c r="G25" i="4" s="1"/>
  <c r="E33" i="23"/>
  <c r="E27" i="4" s="1"/>
  <c r="C35" i="23"/>
  <c r="C29" i="4" s="1"/>
  <c r="J29" i="23"/>
  <c r="J23" i="4" s="1"/>
  <c r="E30" i="23"/>
  <c r="E24" i="4" s="1"/>
  <c r="M35" i="23"/>
  <c r="M29" i="4" s="1"/>
  <c r="L34" i="23"/>
  <c r="L28" i="4" s="1"/>
  <c r="K33" i="23"/>
  <c r="K27" i="4" s="1"/>
  <c r="K31" i="23"/>
  <c r="K25" i="4" s="1"/>
  <c r="M30" i="23"/>
  <c r="M24" i="4" s="1"/>
  <c r="L29" i="23"/>
  <c r="L23" i="4" s="1"/>
  <c r="L28" i="23"/>
  <c r="L47" i="23" s="1"/>
  <c r="L48" i="23" s="1"/>
  <c r="L54" i="23" s="1"/>
  <c r="O41" i="23"/>
  <c r="P35" i="4" s="1"/>
  <c r="O35" i="23"/>
  <c r="P29" i="4" s="1"/>
  <c r="S35" i="23"/>
  <c r="T29" i="4" s="1"/>
  <c r="U34" i="23"/>
  <c r="V28" i="4" s="1"/>
  <c r="T33" i="23"/>
  <c r="U32" i="23"/>
  <c r="V26" i="4" s="1"/>
  <c r="U31" i="23"/>
  <c r="V25" i="4" s="1"/>
  <c r="V30" i="23"/>
  <c r="W24" i="4" s="1"/>
  <c r="R30" i="23"/>
  <c r="S24" i="4" s="1"/>
  <c r="V29" i="23"/>
  <c r="W23" i="4" s="1"/>
  <c r="R29" i="23"/>
  <c r="S23" i="4" s="1"/>
  <c r="V28" i="23"/>
  <c r="W22" i="4" s="1"/>
  <c r="R28" i="23"/>
  <c r="G28" i="23"/>
  <c r="G22" i="4" s="1"/>
  <c r="J33" i="23"/>
  <c r="J27" i="4" s="1"/>
  <c r="I35" i="23"/>
  <c r="I29" i="4" s="1"/>
  <c r="H29" i="23"/>
  <c r="H23" i="4" s="1"/>
  <c r="F31" i="23"/>
  <c r="F25" i="4" s="1"/>
  <c r="D33" i="23"/>
  <c r="D27" i="4" s="1"/>
  <c r="F35" i="23"/>
  <c r="F29" i="4" s="1"/>
  <c r="C32" i="23"/>
  <c r="C26" i="4" s="1"/>
  <c r="F30" i="23"/>
  <c r="F24" i="4" s="1"/>
  <c r="H32" i="23"/>
  <c r="H26" i="4" s="1"/>
  <c r="E29" i="23"/>
  <c r="E23" i="4" s="1"/>
  <c r="K35" i="23"/>
  <c r="K29" i="4" s="1"/>
  <c r="M33" i="23"/>
  <c r="M27" i="4" s="1"/>
  <c r="M31" i="23"/>
  <c r="M25" i="4" s="1"/>
  <c r="O39" i="23"/>
  <c r="P33" i="4" s="1"/>
  <c r="U35" i="23"/>
  <c r="H31" i="23"/>
  <c r="H25" i="4" s="1"/>
  <c r="E28" i="23"/>
  <c r="H33" i="23"/>
  <c r="H27" i="4" s="1"/>
  <c r="E34" i="23"/>
  <c r="E28" i="4" s="1"/>
  <c r="J30" i="23"/>
  <c r="J24" i="4" s="1"/>
  <c r="I30" i="23"/>
  <c r="I24" i="4" s="1"/>
  <c r="F33" i="23"/>
  <c r="F27" i="4" s="1"/>
  <c r="G29" i="23"/>
  <c r="G23" i="4" s="1"/>
  <c r="E35" i="23"/>
  <c r="E29" i="4" s="1"/>
  <c r="D29" i="23"/>
  <c r="D23" i="4" s="1"/>
  <c r="G30" i="23"/>
  <c r="G24" i="4" s="1"/>
  <c r="I32" i="23"/>
  <c r="I26" i="4" s="1"/>
  <c r="G34" i="23"/>
  <c r="G28" i="4" s="1"/>
  <c r="H35" i="23"/>
  <c r="H29" i="4" s="1"/>
  <c r="C29" i="23"/>
  <c r="C23" i="4" s="1"/>
  <c r="I31" i="23"/>
  <c r="I25" i="4" s="1"/>
  <c r="J34" i="23"/>
  <c r="J28" i="4" s="1"/>
  <c r="J28" i="23"/>
  <c r="J22" i="4" s="1"/>
  <c r="D30" i="23"/>
  <c r="D24" i="4" s="1"/>
  <c r="F32" i="23"/>
  <c r="F26" i="4" s="1"/>
  <c r="I33" i="23"/>
  <c r="I27" i="4" s="1"/>
  <c r="G35" i="23"/>
  <c r="G29" i="4" s="1"/>
  <c r="C28" i="23"/>
  <c r="C47" i="23" s="1"/>
  <c r="C48" i="23" s="1"/>
  <c r="C54" i="23" s="1"/>
  <c r="L35" i="23"/>
  <c r="L29" i="4" s="1"/>
  <c r="K34" i="23"/>
  <c r="K28" i="4" s="1"/>
  <c r="M32" i="23"/>
  <c r="M26" i="4" s="1"/>
  <c r="L30" i="23"/>
  <c r="L24" i="4" s="1"/>
  <c r="K29" i="23"/>
  <c r="K23" i="4" s="1"/>
  <c r="K28" i="23"/>
  <c r="K22" i="4" s="1"/>
  <c r="O40" i="23"/>
  <c r="P34" i="4" s="1"/>
  <c r="O33" i="23"/>
  <c r="P27" i="4" s="1"/>
  <c r="V35" i="23"/>
  <c r="W29" i="4" s="1"/>
  <c r="R35" i="23"/>
  <c r="S29" i="4" s="1"/>
  <c r="T34" i="23"/>
  <c r="U28" i="4" s="1"/>
  <c r="S33" i="23"/>
  <c r="T27" i="4" s="1"/>
  <c r="T32" i="23"/>
  <c r="U26" i="4" s="1"/>
  <c r="T31" i="23"/>
  <c r="U25" i="4" s="1"/>
  <c r="U30" i="23"/>
  <c r="V24" i="4" s="1"/>
  <c r="U29" i="23"/>
  <c r="V23" i="4" s="1"/>
  <c r="U28" i="23"/>
  <c r="V22" i="4" s="1"/>
  <c r="F34" i="1"/>
  <c r="F12" i="4" s="1"/>
  <c r="T35" i="1"/>
  <c r="U13" i="4" s="1"/>
  <c r="O38" i="1"/>
  <c r="P16" i="4" s="1"/>
  <c r="O32" i="1"/>
  <c r="P10" i="4" s="1"/>
  <c r="O43" i="1"/>
  <c r="P21" i="4" s="1"/>
  <c r="B33" i="1"/>
  <c r="B11" i="4" s="1"/>
  <c r="H31" i="1"/>
  <c r="H9" i="4" s="1"/>
  <c r="O42" i="1"/>
  <c r="P20" i="4" s="1"/>
  <c r="O39" i="1"/>
  <c r="P17" i="4" s="1"/>
  <c r="F30" i="1"/>
  <c r="F8" i="4" s="1"/>
  <c r="F32" i="1"/>
  <c r="F10" i="4" s="1"/>
  <c r="I34" i="1"/>
  <c r="I12" i="4" s="1"/>
  <c r="G30" i="1"/>
  <c r="G8" i="4" s="1"/>
  <c r="E30" i="1"/>
  <c r="E8" i="4" s="1"/>
  <c r="F29" i="1"/>
  <c r="F7" i="4" s="1"/>
  <c r="I33" i="1"/>
  <c r="I11" i="4" s="1"/>
  <c r="I29" i="1"/>
  <c r="I7" i="4" s="1"/>
  <c r="H33" i="1"/>
  <c r="H11" i="4" s="1"/>
  <c r="H35" i="1"/>
  <c r="H13" i="4" s="1"/>
  <c r="E35" i="1"/>
  <c r="E13" i="4" s="1"/>
  <c r="H30" i="1"/>
  <c r="H8" i="4" s="1"/>
  <c r="U28" i="1"/>
  <c r="O41" i="1"/>
  <c r="P19" i="4" s="1"/>
  <c r="G34" i="1"/>
  <c r="G12" i="4" s="1"/>
  <c r="E33" i="1"/>
  <c r="E11" i="4" s="1"/>
  <c r="D35" i="1"/>
  <c r="D13" i="4" s="1"/>
  <c r="G29" i="1"/>
  <c r="G7" i="4" s="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E22" i="4"/>
  <c r="H22" i="4"/>
  <c r="R22" i="4"/>
  <c r="N22" i="4"/>
  <c r="Q22" i="4"/>
  <c r="R6" i="4"/>
  <c r="N6" i="4"/>
  <c r="Q6" i="4"/>
  <c r="V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I45" i="23"/>
  <c r="U4" i="33"/>
  <c r="S21" i="4"/>
  <c r="R21" i="4"/>
  <c r="S4" i="33"/>
  <c r="C27" i="23"/>
  <c r="C52" i="23" s="1"/>
  <c r="I27" i="23"/>
  <c r="W21" i="4"/>
  <c r="U21" i="4"/>
  <c r="B21" i="4"/>
  <c r="O37" i="23"/>
  <c r="P31" i="4" s="1"/>
  <c r="O34" i="23"/>
  <c r="P28" i="4" s="1"/>
  <c r="O38" i="23"/>
  <c r="U37" i="4"/>
  <c r="B38" i="23"/>
  <c r="F37" i="4"/>
  <c r="N37" i="4"/>
  <c r="L37" i="4"/>
  <c r="Q37" i="4"/>
  <c r="T37" i="4"/>
  <c r="J37" i="4"/>
  <c r="H37" i="4"/>
  <c r="M37" i="4"/>
  <c r="P37" i="4"/>
  <c r="R4" i="4"/>
  <c r="R62" i="4"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M47" i="23"/>
  <c r="M48" i="23" s="1"/>
  <c r="M54" i="23" s="1"/>
  <c r="P37" i="1"/>
  <c r="F22" i="23"/>
  <c r="O36" i="1"/>
  <c r="H45" i="23"/>
  <c r="R31" i="1"/>
  <c r="S9" i="4" s="1"/>
  <c r="S22" i="4"/>
  <c r="V29" i="4"/>
  <c r="U27" i="4"/>
  <c r="J57" i="1"/>
  <c r="E57" i="23"/>
  <c r="M57" i="1"/>
  <c r="V57" i="1"/>
  <c r="U57" i="23"/>
  <c r="Q57" i="23"/>
  <c r="J57" i="23"/>
  <c r="H57" i="23"/>
  <c r="L57" i="1"/>
  <c r="U57" i="1"/>
  <c r="M57" i="23"/>
  <c r="T57" i="23"/>
  <c r="P57" i="23"/>
  <c r="C57" i="23"/>
  <c r="F57" i="23"/>
  <c r="I57" i="23"/>
  <c r="K57" i="1"/>
  <c r="T57" i="1"/>
  <c r="L57" i="23"/>
  <c r="S57" i="23"/>
  <c r="D57" i="23"/>
  <c r="G57" i="23"/>
  <c r="S57" i="1"/>
  <c r="K57" i="23"/>
  <c r="V57" i="23"/>
  <c r="R57" i="23"/>
  <c r="J21" i="4"/>
  <c r="E37" i="4"/>
  <c r="M21" i="4"/>
  <c r="R28" i="1"/>
  <c r="R30" i="1"/>
  <c r="S8" i="4" s="1"/>
  <c r="L21" i="4"/>
  <c r="V21" i="4"/>
  <c r="R29" i="1"/>
  <c r="S7" i="4" s="1"/>
  <c r="D21" i="4"/>
  <c r="C37" i="4"/>
  <c r="I37" i="4"/>
  <c r="P36" i="1"/>
  <c r="Q14" i="4" s="1"/>
  <c r="R32" i="1"/>
  <c r="C21" i="4"/>
  <c r="B37" i="4"/>
  <c r="D37" i="4"/>
  <c r="G37" i="4"/>
  <c r="N21" i="4"/>
  <c r="O34" i="1"/>
  <c r="P12" i="4" s="1"/>
  <c r="O35" i="1"/>
  <c r="P13" i="4" s="1"/>
  <c r="O33" i="1"/>
  <c r="P11" i="4" s="1"/>
  <c r="O30" i="1"/>
  <c r="P8" i="4" s="1"/>
  <c r="B31" i="1"/>
  <c r="B9" i="4" s="1"/>
  <c r="O31" i="1"/>
  <c r="P9" i="4" s="1"/>
  <c r="B32" i="1"/>
  <c r="D28" i="1"/>
  <c r="C32" i="1"/>
  <c r="B28" i="1"/>
  <c r="D32" i="1"/>
  <c r="B30" i="1"/>
  <c r="B8" i="4" s="1"/>
  <c r="C28" i="1"/>
  <c r="D31" i="1"/>
  <c r="D9" i="4" s="1"/>
  <c r="O28" i="1"/>
  <c r="C30" i="1"/>
  <c r="C8" i="4" s="1"/>
  <c r="C31" i="1"/>
  <c r="C9" i="4" s="1"/>
  <c r="D29" i="1"/>
  <c r="D7" i="4" s="1"/>
  <c r="D30" i="1"/>
  <c r="G21" i="4"/>
  <c r="I21" i="4"/>
  <c r="F21" i="4"/>
  <c r="H21" i="4"/>
  <c r="E21" i="4"/>
  <c r="L52" i="23"/>
  <c r="D17" i="4"/>
  <c r="C4" i="4"/>
  <c r="G27" i="23"/>
  <c r="G52" i="23"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N4" i="4"/>
  <c r="G22" i="1"/>
  <c r="F45" i="1"/>
  <c r="C22" i="1"/>
  <c r="B22" i="1"/>
  <c r="G45" i="1"/>
  <c r="E27" i="1"/>
  <c r="E52" i="1" s="1"/>
  <c r="E22" i="1"/>
  <c r="I22" i="1"/>
  <c r="I27" i="1"/>
  <c r="P27" i="1"/>
  <c r="P52" i="1" s="1"/>
  <c r="H4" i="4"/>
  <c r="F22" i="1"/>
  <c r="I4" i="4"/>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R46" i="23" l="1"/>
  <c r="R53" i="23" s="1"/>
  <c r="C46" i="23"/>
  <c r="C53" i="23" s="1"/>
  <c r="I47" i="23"/>
  <c r="I48" i="23" s="1"/>
  <c r="I54" i="23" s="1"/>
  <c r="P47" i="23"/>
  <c r="P48" i="23" s="1"/>
  <c r="P54" i="23" s="1"/>
  <c r="F46" i="23"/>
  <c r="F53" i="23" s="1"/>
  <c r="P46" i="23"/>
  <c r="P53" i="23" s="1"/>
  <c r="U47" i="23"/>
  <c r="U48" i="23" s="1"/>
  <c r="U54" i="23" s="1"/>
  <c r="Q47" i="23"/>
  <c r="Q48" i="23" s="1"/>
  <c r="Q54" i="23" s="1"/>
  <c r="V47" i="23"/>
  <c r="V48" i="23" s="1"/>
  <c r="V54" i="23" s="1"/>
  <c r="L46" i="23"/>
  <c r="L53" i="23" s="1"/>
  <c r="M46" i="23"/>
  <c r="M53" i="23" s="1"/>
  <c r="H46" i="23"/>
  <c r="H53" i="23" s="1"/>
  <c r="Q46" i="23"/>
  <c r="Q53" i="23" s="1"/>
  <c r="F22" i="4"/>
  <c r="G46" i="23"/>
  <c r="G53" i="23" s="1"/>
  <c r="G47" i="23"/>
  <c r="G48" i="23" s="1"/>
  <c r="G54" i="23" s="1"/>
  <c r="C22" i="4"/>
  <c r="F47" i="23"/>
  <c r="F48" i="23" s="1"/>
  <c r="F54" i="23" s="1"/>
  <c r="S47" i="23"/>
  <c r="S48" i="23" s="1"/>
  <c r="S54" i="23" s="1"/>
  <c r="J46" i="23"/>
  <c r="J53" i="23" s="1"/>
  <c r="I46" i="23"/>
  <c r="I53" i="23" s="1"/>
  <c r="T47" i="23"/>
  <c r="T48" i="23" s="1"/>
  <c r="T54" i="23" s="1"/>
  <c r="T46" i="23"/>
  <c r="T53" i="23" s="1"/>
  <c r="D46" i="23"/>
  <c r="D53" i="23" s="1"/>
  <c r="D47" i="23"/>
  <c r="D48" i="23" s="1"/>
  <c r="D54" i="23" s="1"/>
  <c r="K47" i="23"/>
  <c r="K48" i="23" s="1"/>
  <c r="K54" i="23" s="1"/>
  <c r="I22" i="4"/>
  <c r="L22" i="4"/>
  <c r="V46" i="23"/>
  <c r="V53" i="23" s="1"/>
  <c r="J47" i="23"/>
  <c r="J48" i="23" s="1"/>
  <c r="J54" i="23" s="1"/>
  <c r="K46" i="23"/>
  <c r="K53" i="23" s="1"/>
  <c r="S46" i="23"/>
  <c r="S53" i="23" s="1"/>
  <c r="E47" i="23"/>
  <c r="E48" i="23" s="1"/>
  <c r="E54" i="23" s="1"/>
  <c r="U46" i="23"/>
  <c r="U53" i="23" s="1"/>
  <c r="H47" i="23"/>
  <c r="H48" i="23" s="1"/>
  <c r="H54" i="23" s="1"/>
  <c r="E46" i="23"/>
  <c r="E53" i="23" s="1"/>
  <c r="R47" i="23"/>
  <c r="R48" i="23" s="1"/>
  <c r="R54" i="23" s="1"/>
  <c r="U46" i="1"/>
  <c r="U53" i="1" s="1"/>
  <c r="K46" i="1"/>
  <c r="K53" i="1" s="1"/>
  <c r="K47" i="1"/>
  <c r="K48" i="1" s="1"/>
  <c r="K54"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M63" i="4"/>
  <c r="M64" i="4"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P74" i="4"/>
  <c r="Q74" i="4"/>
  <c r="I63" i="4" l="1"/>
  <c r="I64" i="4" s="1"/>
  <c r="F55" i="23"/>
  <c r="H56" i="4"/>
  <c r="H75" i="4" s="1"/>
  <c r="C63" i="4"/>
  <c r="C64" i="4" s="1"/>
  <c r="I57" i="4"/>
  <c r="I58" i="4" s="1"/>
  <c r="I76" i="4" s="1"/>
  <c r="W4" i="4"/>
  <c r="W55" i="4" s="1"/>
  <c r="F63" i="4"/>
  <c r="F64" i="4" s="1"/>
  <c r="S63" i="4"/>
  <c r="S64" i="4" s="1"/>
  <c r="C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W74" i="4" l="1"/>
  <c r="U77" i="4"/>
  <c r="W62" i="4"/>
  <c r="B80" i="4"/>
  <c r="Q75" i="4"/>
  <c r="P81" i="4"/>
  <c r="V74" i="4"/>
  <c r="V62" i="4"/>
  <c r="R61" i="23"/>
  <c r="V55" i="4"/>
  <c r="W77" i="4"/>
  <c r="V77" i="4"/>
  <c r="P77" i="4"/>
  <c r="T77" i="4"/>
  <c r="R77" i="4"/>
  <c r="S77" i="4"/>
  <c r="U81" i="4"/>
  <c r="V81" i="4"/>
  <c r="Q81" i="4"/>
  <c r="W81" i="4"/>
  <c r="T81" i="4"/>
  <c r="R81" i="4"/>
  <c r="S81" i="4"/>
  <c r="B86" i="4"/>
  <c r="B87" i="4"/>
  <c r="B75" i="4"/>
  <c r="F94" i="4" s="1"/>
  <c r="N81" i="4"/>
  <c r="N82" i="4" s="1"/>
  <c r="M81" i="4"/>
  <c r="J81" i="4"/>
  <c r="K81" i="4"/>
  <c r="L81"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T55" i="4"/>
  <c r="T74" i="4"/>
  <c r="S55" i="4"/>
  <c r="S74" i="4"/>
  <c r="O61" i="1"/>
  <c r="Q61" i="1"/>
  <c r="P61" i="1"/>
  <c r="C61" i="1"/>
  <c r="R61" i="1"/>
  <c r="U55" i="4"/>
  <c r="U74" i="4"/>
  <c r="H94" i="4" l="1"/>
  <c r="G94" i="4"/>
  <c r="I94" i="4"/>
  <c r="E94" i="4"/>
  <c r="Q77" i="4"/>
  <c r="Q94" i="4"/>
  <c r="O94" i="4"/>
  <c r="B94" i="4"/>
  <c r="N94" i="4"/>
  <c r="K94" i="4"/>
  <c r="V94" i="4"/>
  <c r="J94" i="4"/>
  <c r="M94" i="4"/>
  <c r="T94" i="4"/>
  <c r="L94" i="4"/>
  <c r="U94" i="4"/>
  <c r="P94" i="4"/>
  <c r="S94" i="4"/>
  <c r="D94" i="4"/>
  <c r="C94" i="4"/>
  <c r="R94" i="4"/>
  <c r="I81" i="4"/>
  <c r="F81" i="4"/>
  <c r="F83" i="4" s="1"/>
  <c r="G81" i="4"/>
  <c r="H81" i="4"/>
  <c r="D81" i="4"/>
  <c r="D83" i="4" s="1"/>
  <c r="E81" i="4"/>
  <c r="C81" i="4"/>
  <c r="K77" i="4"/>
  <c r="J77" i="4"/>
  <c r="G77" i="4"/>
  <c r="N77" i="4"/>
  <c r="F77" i="4"/>
  <c r="L77" i="4"/>
  <c r="B77" i="4"/>
  <c r="M77" i="4"/>
  <c r="I77" i="4"/>
  <c r="H77" i="4"/>
  <c r="D77" i="4"/>
  <c r="C77" i="4"/>
  <c r="E77" i="4"/>
  <c r="L83" i="4"/>
  <c r="W83" i="4"/>
  <c r="U83" i="4"/>
  <c r="M83" i="4"/>
  <c r="Q83" i="4"/>
  <c r="V83" i="4"/>
  <c r="N83" i="4"/>
  <c r="R83" i="4"/>
  <c r="K83" i="4"/>
  <c r="J83" i="4"/>
  <c r="S83" i="4"/>
  <c r="T83" i="4"/>
  <c r="P83" i="4"/>
  <c r="O61" i="23"/>
  <c r="G83" i="4" l="1"/>
  <c r="I83" i="4"/>
  <c r="E83" i="4"/>
  <c r="C83" i="4"/>
  <c r="H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<sst xmlns="http://schemas.openxmlformats.org/spreadsheetml/2006/main" count="241" uniqueCount="76">
  <si>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</si>
  <si>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</si>
  <si>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</si>
  <si>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</si>
  <si>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</si>
  <si>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</si>
  <si>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</si>
  <si>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</si>
  <si>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</si>
  <si>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</si>
  <si>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</si>
  <si>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</si>
  <si>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</si>
  <si>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</si>
  <si>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</si>
  <si>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</si>
  <si>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</si>
  <si>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</si>
  <si>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</si>
  <si>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</si>
  <si>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</si>
  <si>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</si>
  <si>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</si>
  <si>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</si>
  <si>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</si>
  <si>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</si>
  <si>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</si>
  <si>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</si>
  <si>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</si>
  <si>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</si>
  <si>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</si>
  <si>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</si>
  <si>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</si>
  <si>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</si>
  <si>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</si>
  <si>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</si>
  <si>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</si>
  <si>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</si>
  <si>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</si>
  <si>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</si>
  <si>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</si>
  <si>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</si>
  <si>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</si>
  <si>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</si>
  <si>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</si>
  <si>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</si>
  <si>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</si>
  <si>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</si>
  <si>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</si>
  <si>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</si>
  <si>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</si>
  <si>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</si>
  <si>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</si>
  <si>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</si>
  <si>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</si>
  <si>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</si>
  <si>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</si>
  <si>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</si>
  <si>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</si>
  <si>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</si>
  <si>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</si>
  <si>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</si>
  <si>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</si>
  <si>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</si>
  <si>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</si>
  <si>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</si>
  <si>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</si>
  <si>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</si>
  <si>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</si>
  <si>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</si>
  <si>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</si>
  <si>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</si>
  <si>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</si>
  <si>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</si>
  <si>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testosterone</t>
    <phoneticPr fontId="12"/>
  </si>
  <si>
    <t>µg/L</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</si>
</sst>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8">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4"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9.0492888348537803E-2</c:v>
                  </c:pt>
                  <c:pt idx="2">
                    <c:v>0.14105347062579848</c:v>
                  </c:pt>
                  <c:pt idx="3">
                    <c:v>6.544984966118185E-2</c:v>
                  </c:pt>
                  <c:pt idx="4">
                    <c:v>0.10165789383770485</c:v>
                  </c:pt>
                  <c:pt idx="5">
                    <c:v>0.10113234802183847</c:v>
                  </c:pt>
                  <c:pt idx="6">
                    <c:v>0.13255449046619214</c:v>
                  </c:pt>
                  <c:pt idx="7">
                    <c:v>0.17348230529678793</c:v>
                  </c:pt>
                  <c:pt idx="8">
                    <c:v>0.10482295503012552</c:v>
                  </c:pt>
                </c:numCache>
              </c:numRef>
            </c:plus>
            <c:minus>
              <c:numRef>
                <c:f>'R1'!$N$48:$V$48</c:f>
                <c:numCache>
                  <c:formatCode>General</c:formatCode>
                  <c:ptCount val="9"/>
                  <c:pt idx="0">
                    <c:v>0</c:v>
                  </c:pt>
                  <c:pt idx="1">
                    <c:v>9.0492888348537803E-2</c:v>
                  </c:pt>
                  <c:pt idx="2">
                    <c:v>0.14105347062579848</c:v>
                  </c:pt>
                  <c:pt idx="3">
                    <c:v>6.544984966118185E-2</c:v>
                  </c:pt>
                  <c:pt idx="4">
                    <c:v>0.10165789383770485</c:v>
                  </c:pt>
                  <c:pt idx="5">
                    <c:v>0.10113234802183847</c:v>
                  </c:pt>
                  <c:pt idx="6">
                    <c:v>0.13255449046619214</c:v>
                  </c:pt>
                  <c:pt idx="7">
                    <c:v>0.17348230529678793</c:v>
                  </c:pt>
                  <c:pt idx="8">
                    <c:v>0.10482295503012552</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testosterone-300µg/L</c:v>
                </c:pt>
                <c:pt idx="8">
                  <c:v>testosterone-100µg/L</c:v>
                </c:pt>
                <c:pt idx="9">
                  <c:v>testosterone-33µg/L</c:v>
                </c:pt>
                <c:pt idx="10">
                  <c:v>testosterone-11µg/L</c:v>
                </c:pt>
                <c:pt idx="11">
                  <c:v>testosterone-3.7µg/L</c:v>
                </c:pt>
                <c:pt idx="13">
                  <c:v>Testo -30µg/L</c:v>
                </c:pt>
                <c:pt idx="14">
                  <c:v>Testo 30µg/L + EE2 -64ng/L</c:v>
                </c:pt>
                <c:pt idx="15">
                  <c:v>Testo 30µg/L + FAD-10mg/L</c:v>
                </c:pt>
                <c:pt idx="16">
                  <c:v>testosterone-300µg/L + Testostérone</c:v>
                </c:pt>
                <c:pt idx="17">
                  <c:v>testosterone-100µg/L + Testostérone</c:v>
                </c:pt>
                <c:pt idx="18">
                  <c:v>testosterone-33µg/L + Testostérone</c:v>
                </c:pt>
                <c:pt idx="19">
                  <c:v>testosterone-11µg/L + Testostérone</c:v>
                </c:pt>
                <c:pt idx="20">
                  <c:v>testosterone-3.7µg/L + Testostérone</c:v>
                </c:pt>
              </c:strCache>
            </c:strRef>
          </c:cat>
          <c:val>
            <c:numRef>
              <c:f>'R1'!$B$53:$V$53</c:f>
              <c:numCache>
                <c:formatCode>0.0000</c:formatCode>
                <c:ptCount val="21"/>
                <c:pt idx="0">
                  <c:v>0.20405203654586884</c:v>
                </c:pt>
                <c:pt idx="1">
                  <c:v>0.23542775224133866</c:v>
                </c:pt>
                <c:pt idx="2">
                  <c:v>0.69434788487650656</c:v>
                </c:pt>
                <c:pt idx="3">
                  <c:v>0.92546872803975011</c:v>
                </c:pt>
                <c:pt idx="4">
                  <c:v>1.5761598045165266</c:v>
                </c:pt>
                <c:pt idx="5">
                  <c:v>1.7441318136517709</c:v>
                </c:pt>
                <c:pt idx="6">
                  <c:v>2.5379932878581739</c:v>
                </c:pt>
                <c:pt idx="7">
                  <c:v>1.5671118562706645</c:v>
                </c:pt>
                <c:pt idx="8">
                  <c:v>1.1923756849403429</c:v>
                </c:pt>
                <c:pt idx="9">
                  <c:v>1.3439335010830602</c:v>
                </c:pt>
                <c:pt idx="10">
                  <c:v>0.83785050694700625</c:v>
                </c:pt>
                <c:pt idx="11">
                  <c:v>0.22472242871072909</c:v>
                </c:pt>
                <c:pt idx="13">
                  <c:v>1</c:v>
                </c:pt>
                <c:pt idx="14">
                  <c:v>1.7385188932882061</c:v>
                </c:pt>
                <c:pt idx="15">
                  <c:v>0.2123027341558506</c:v>
                </c:pt>
                <c:pt idx="16">
                  <c:v>0.83365125648800731</c:v>
                </c:pt>
                <c:pt idx="17">
                  <c:v>0.77261833442585637</c:v>
                </c:pt>
                <c:pt idx="18">
                  <c:v>0.70053924302447235</c:v>
                </c:pt>
                <c:pt idx="19">
                  <c:v>1.0405664824734495</c:v>
                </c:pt>
                <c:pt idx="20">
                  <c:v>0.80258476932761424</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C0000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5.788748301935491E-2</c:v>
                  </c:pt>
                  <c:pt idx="1">
                    <c:v>9.257645973868954E-2</c:v>
                  </c:pt>
                  <c:pt idx="2">
                    <c:v>0.11240538679299612</c:v>
                  </c:pt>
                  <c:pt idx="3">
                    <c:v>9.9775545662938128E-2</c:v>
                  </c:pt>
                  <c:pt idx="4">
                    <c:v>0.16437618199480322</c:v>
                  </c:pt>
                  <c:pt idx="5">
                    <c:v>0.17831480911556022</c:v>
                  </c:pt>
                  <c:pt idx="6">
                    <c:v>0.20816687817058024</c:v>
                  </c:pt>
                  <c:pt idx="7">
                    <c:v>0.26306352044790149</c:v>
                  </c:pt>
                  <c:pt idx="8">
                    <c:v>0.22284318376937204</c:v>
                  </c:pt>
                  <c:pt idx="9">
                    <c:v>0.1911493435463702</c:v>
                  </c:pt>
                  <c:pt idx="10">
                    <c:v>0.11246740918652523</c:v>
                  </c:pt>
                  <c:pt idx="11">
                    <c:v>4.5295939019103254E-2</c:v>
                  </c:pt>
                  <c:pt idx="13">
                    <c:v>0.14383035887461304</c:v>
                  </c:pt>
                  <c:pt idx="14">
                    <c:v>0.20470784582656976</c:v>
                  </c:pt>
                  <c:pt idx="15">
                    <c:v>7.6935367736020513E-2</c:v>
                  </c:pt>
                  <c:pt idx="16">
                    <c:v>0.21888196253230599</c:v>
                  </c:pt>
                  <c:pt idx="17">
                    <c:v>9.8569694452635609E-2</c:v>
                  </c:pt>
                  <c:pt idx="18">
                    <c:v>0.11000833910936426</c:v>
                  </c:pt>
                  <c:pt idx="19">
                    <c:v>7.6732618793755883E-2</c:v>
                  </c:pt>
                  <c:pt idx="20">
                    <c:v>7.9799931831388268E-2</c:v>
                  </c:pt>
                </c:numCache>
              </c:numRef>
            </c:plus>
            <c:minus>
              <c:numRef>
                <c:f>'R1'!$N$48:$V$48</c:f>
                <c:numCache>
                  <c:formatCode>General</c:formatCode>
                  <c:ptCount val="9"/>
                  <c:pt idx="0">
                    <c:v>0</c:v>
                  </c:pt>
                  <c:pt idx="1">
                    <c:v>9.0492888348537803E-2</c:v>
                  </c:pt>
                  <c:pt idx="2">
                    <c:v>0.14105347062579848</c:v>
                  </c:pt>
                  <c:pt idx="3">
                    <c:v>6.544984966118185E-2</c:v>
                  </c:pt>
                  <c:pt idx="4">
                    <c:v>0.10165789383770485</c:v>
                  </c:pt>
                  <c:pt idx="5">
                    <c:v>0.10113234802183847</c:v>
                  </c:pt>
                  <c:pt idx="6">
                    <c:v>0.13255449046619214</c:v>
                  </c:pt>
                  <c:pt idx="7">
                    <c:v>0.17348230529678793</c:v>
                  </c:pt>
                  <c:pt idx="8">
                    <c:v>0.10482295503012552</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testosterone-300µg/L</c:v>
                </c:pt>
                <c:pt idx="8">
                  <c:v>testosterone-100µg/L</c:v>
                </c:pt>
                <c:pt idx="9">
                  <c:v>testosterone-33µg/L</c:v>
                </c:pt>
                <c:pt idx="10">
                  <c:v>testosterone-11µg/L</c:v>
                </c:pt>
                <c:pt idx="11">
                  <c:v>testosterone-3.7µg/L</c:v>
                </c:pt>
                <c:pt idx="13">
                  <c:v>Testo -30µg/L</c:v>
                </c:pt>
                <c:pt idx="14">
                  <c:v>Testo 30µg/L + EE2 -64ng/L</c:v>
                </c:pt>
                <c:pt idx="15">
                  <c:v>Testo 30µg/L + FAD-10mg/L</c:v>
                </c:pt>
                <c:pt idx="16">
                  <c:v>testosterone-300µg/L + Testostérone</c:v>
                </c:pt>
                <c:pt idx="17">
                  <c:v>testosterone-100µg/L + Testostérone</c:v>
                </c:pt>
                <c:pt idx="18">
                  <c:v>testosterone-33µg/L + Testostérone</c:v>
                </c:pt>
                <c:pt idx="19">
                  <c:v>testosterone-11µg/L + Testostérone</c:v>
                </c:pt>
                <c:pt idx="20">
                  <c:v>testosterone-3.7µg/L + Testostérone</c:v>
                </c:pt>
              </c:strCache>
            </c:strRef>
          </c:cat>
          <c:val>
            <c:numRef>
              <c:f>'R2'!$B$53:$V$53</c:f>
              <c:numCache>
                <c:formatCode>0.0000</c:formatCode>
                <c:ptCount val="21"/>
                <c:pt idx="0">
                  <c:v>0.14644201925557257</c:v>
                </c:pt>
                <c:pt idx="1">
                  <c:v>0.2240868369961766</c:v>
                </c:pt>
                <c:pt idx="2">
                  <c:v>0.62994073861517785</c:v>
                </c:pt>
                <c:pt idx="3">
                  <c:v>1.3328766526800331</c:v>
                </c:pt>
                <c:pt idx="4">
                  <c:v>1.6889380085951049</c:v>
                </c:pt>
                <c:pt idx="5">
                  <c:v>2.166702654053879</c:v>
                </c:pt>
                <c:pt idx="6">
                  <c:v>2.1263962670681966</c:v>
                </c:pt>
                <c:pt idx="7">
                  <c:v>1.3970419844225235</c:v>
                </c:pt>
                <c:pt idx="8">
                  <c:v>1.3436139894503891</c:v>
                </c:pt>
                <c:pt idx="9">
                  <c:v>1.2064324124937398</c:v>
                </c:pt>
                <c:pt idx="10">
                  <c:v>0.49920507836761208</c:v>
                </c:pt>
                <c:pt idx="11">
                  <c:v>0.19745229951614093</c:v>
                </c:pt>
                <c:pt idx="13">
                  <c:v>1</c:v>
                </c:pt>
                <c:pt idx="14">
                  <c:v>1.564576949817674</c:v>
                </c:pt>
                <c:pt idx="15">
                  <c:v>0.26346564707606424</c:v>
                </c:pt>
                <c:pt idx="16">
                  <c:v>1.2994360377704606</c:v>
                </c:pt>
                <c:pt idx="17">
                  <c:v>0.76422934451319557</c:v>
                </c:pt>
                <c:pt idx="18">
                  <c:v>0.62946314520911195</c:v>
                </c:pt>
                <c:pt idx="19">
                  <c:v>0.59097761705293606</c:v>
                </c:pt>
                <c:pt idx="20">
                  <c:v>0.82967458745179223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tx2"/>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2.1383540477025568E-2</c:v>
                  </c:pt>
                  <c:pt idx="1">
                    <c:v>9.9520011036363917E-2</c:v>
                  </c:pt>
                  <c:pt idx="2">
                    <c:v>0.1029366582522744</c:v>
                  </c:pt>
                  <c:pt idx="3">
                    <c:v>7.6633683589049345E-2</c:v>
                  </c:pt>
                  <c:pt idx="4">
                    <c:v>0.11565646725598981</c:v>
                  </c:pt>
                  <c:pt idx="5">
                    <c:v>9.1213217775769281E-2</c:v>
                  </c:pt>
                  <c:pt idx="6">
                    <c:v>0.1062673024105466</c:v>
                  </c:pt>
                  <c:pt idx="7">
                    <c:v>9.4811701041480373E-2</c:v>
                  </c:pt>
                  <c:pt idx="8">
                    <c:v>0.1182326603506581</c:v>
                  </c:pt>
                  <c:pt idx="9">
                    <c:v>9.6413897361720319E-2</c:v>
                  </c:pt>
                  <c:pt idx="10">
                    <c:v>9.2973372340701924E-2</c:v>
                  </c:pt>
                  <c:pt idx="11">
                    <c:v>4.309667227261052E-2</c:v>
                  </c:pt>
                  <c:pt idx="13">
                    <c:v>6.9189443714270757E-2</c:v>
                  </c:pt>
                  <c:pt idx="14">
                    <c:v>0.12650455310631301</c:v>
                  </c:pt>
                  <c:pt idx="15">
                    <c:v>2.0237410540448544E-2</c:v>
                  </c:pt>
                  <c:pt idx="16">
                    <c:v>0.16800194897475787</c:v>
                  </c:pt>
                  <c:pt idx="17">
                    <c:v>0.1536555976781894</c:v>
                  </c:pt>
                  <c:pt idx="18">
                    <c:v>0.13518230333737344</c:v>
                  </c:pt>
                  <c:pt idx="19">
                    <c:v>0.1002854824117619</c:v>
                  </c:pt>
                  <c:pt idx="20">
                    <c:v>0.18271101503823292</c:v>
                  </c:pt>
                </c:numCache>
              </c:numRef>
            </c:plus>
            <c:minus>
              <c:numRef>
                <c:f>'R1'!$N$48:$V$48</c:f>
                <c:numCache>
                  <c:formatCode>General</c:formatCode>
                  <c:ptCount val="9"/>
                  <c:pt idx="0">
                    <c:v>0</c:v>
                  </c:pt>
                  <c:pt idx="1">
                    <c:v>9.0492888348537803E-2</c:v>
                  </c:pt>
                  <c:pt idx="2">
                    <c:v>0.14105347062579848</c:v>
                  </c:pt>
                  <c:pt idx="3">
                    <c:v>6.544984966118185E-2</c:v>
                  </c:pt>
                  <c:pt idx="4">
                    <c:v>0.10165789383770485</c:v>
                  </c:pt>
                  <c:pt idx="5">
                    <c:v>0.10113234802183847</c:v>
                  </c:pt>
                  <c:pt idx="6">
                    <c:v>0.13255449046619214</c:v>
                  </c:pt>
                  <c:pt idx="7">
                    <c:v>0.17348230529678793</c:v>
                  </c:pt>
                  <c:pt idx="8">
                    <c:v>0.10482295503012552</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testosterone-300µg/L</c:v>
                </c:pt>
                <c:pt idx="8">
                  <c:v>testosterone-100µg/L</c:v>
                </c:pt>
                <c:pt idx="9">
                  <c:v>testosterone-33µg/L</c:v>
                </c:pt>
                <c:pt idx="10">
                  <c:v>testosterone-11µg/L</c:v>
                </c:pt>
                <c:pt idx="11">
                  <c:v>testosterone-3.7µg/L</c:v>
                </c:pt>
                <c:pt idx="13">
                  <c:v>Testo -30µg/L</c:v>
                </c:pt>
                <c:pt idx="14">
                  <c:v>Testo 30µg/L + EE2 -64ng/L</c:v>
                </c:pt>
                <c:pt idx="15">
                  <c:v>Testo 30µg/L + FAD-10mg/L</c:v>
                </c:pt>
                <c:pt idx="16">
                  <c:v>testosterone-300µg/L + Testostérone</c:v>
                </c:pt>
                <c:pt idx="17">
                  <c:v>testosterone-100µg/L + Testostérone</c:v>
                </c:pt>
                <c:pt idx="18">
                  <c:v>testosterone-33µg/L + Testostérone</c:v>
                </c:pt>
                <c:pt idx="19">
                  <c:v>testosterone-11µg/L + Testostérone</c:v>
                </c:pt>
                <c:pt idx="20">
                  <c:v>testosterone-3.7µg/L + Testostérone</c:v>
                </c:pt>
              </c:strCache>
            </c:strRef>
          </c:cat>
          <c:val>
            <c:numRef>
              <c:f>'R3'!$B$53:$V$53</c:f>
              <c:numCache>
                <c:formatCode>0.0000</c:formatCode>
                <c:ptCount val="21"/>
                <c:pt idx="0">
                  <c:v>9.4953699061987612E-2</c:v>
                </c:pt>
                <c:pt idx="1">
                  <c:v>0.23453832370328331</c:v>
                </c:pt>
                <c:pt idx="2">
                  <c:v>0.44664241472006844</c:v>
                </c:pt>
                <c:pt idx="3">
                  <c:v>0.68929796163712287</c:v>
                </c:pt>
                <c:pt idx="4">
                  <c:v>1.0422713031500002</c:v>
                </c:pt>
                <c:pt idx="5">
                  <c:v>1.2371454531252413</c:v>
                </c:pt>
                <c:pt idx="6">
                  <c:v>1.7428777706839704</c:v>
                </c:pt>
                <c:pt idx="7">
                  <c:v>0.97064989789511846</c:v>
                </c:pt>
                <c:pt idx="8">
                  <c:v>0.7489914337462259</c:v>
                </c:pt>
                <c:pt idx="9">
                  <c:v>0.73225460985897362</c:v>
                </c:pt>
                <c:pt idx="10">
                  <c:v>0.52692134548703251</c:v>
                </c:pt>
                <c:pt idx="11">
                  <c:v>0.22177569066150032</c:v>
                </c:pt>
                <c:pt idx="13">
                  <c:v>0.99999999999999989</c:v>
                </c:pt>
                <c:pt idx="14">
                  <c:v>1.5462675137293453</c:v>
                </c:pt>
                <c:pt idx="15">
                  <c:v>0.11135540828344925</c:v>
                </c:pt>
                <c:pt idx="16">
                  <c:v>0.93101213842247998</c:v>
                </c:pt>
                <c:pt idx="17">
                  <c:v>0.63268923157255186</c:v>
                </c:pt>
                <c:pt idx="18">
                  <c:v>0.93767297243197656</c:v>
                </c:pt>
                <c:pt idx="19">
                  <c:v>0.6404177727376642</c:v>
                </c:pt>
                <c:pt idx="20">
                  <c:v>0.86839286928207071</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8FF610D1-2F42-48C0-BB5A-EFB2A73362E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BA1356B-B485-42E2-9804-0E6404CB799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4EDDAE99-5010-4F0C-BDC3-53B14DEAEE9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8FE505DA-A52B-43E0-BBA2-B3DE08CBC16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75D9FC42-27FB-498C-BA35-9BAF460160E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BFA51957-3DC7-48D9-B78A-B73BCDCF21C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B91351BA-E3AB-4729-8F09-6F9780B4D9D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245D5076-1D77-4A75-8A20-F7CF320133A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A695620E-51D5-4212-AAEC-EBA2B6A8380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68571650-5FD4-4BE1-BB48-2B4F0A3F2DA0}"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5325B763-6778-4D07-964C-19C617AFA8D0}"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919386CF-9EC4-4B38-82CB-6E428B2890D6}"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2D5C30AB-F7D5-4737-9704-1E4AD0B88020}"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6E072F22-6406-41E4-9B86-2E1BA105E39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DA93A2B0-567C-468E-A664-B7167454558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E2E5E7C8-9493-46E9-8FCF-D8164135383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9F9EB7FF-F307-4B54-A0FD-537AEBFF646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925051CC-A6FE-40D0-AA04-A6968E71189F}"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85FED6F6-29E5-445B-B12D-45BB8882521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FF32A73D-6371-45DC-816C-750D344A39F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B7E24C31-BFD7-4F5B-97DE-EC9FA3EF5CA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3.1265008952910366E-2</c:v>
                  </c:pt>
                  <c:pt idx="1">
                    <c:v>4.9949088082897032E-2</c:v>
                  </c:pt>
                  <c:pt idx="2">
                    <c:v>9.3422916722312122E-2</c:v>
                  </c:pt>
                  <c:pt idx="3">
                    <c:v>7.5230547124507469E-2</c:v>
                  </c:pt>
                  <c:pt idx="4">
                    <c:v>8.9562666367271684E-2</c:v>
                  </c:pt>
                  <c:pt idx="5">
                    <c:v>0.12870194668645149</c:v>
                  </c:pt>
                  <c:pt idx="6">
                    <c:v>0.12590660789003669</c:v>
                  </c:pt>
                  <c:pt idx="7">
                    <c:v>0.11829200229981068</c:v>
                  </c:pt>
                  <c:pt idx="8">
                    <c:v>0.10939696828952382</c:v>
                  </c:pt>
                  <c:pt idx="9">
                    <c:v>9.747347575701347E-2</c:v>
                  </c:pt>
                  <c:pt idx="10">
                    <c:v>7.1402912683514536E-2</c:v>
                  </c:pt>
                  <c:pt idx="11">
                    <c:v>2.6775559562229774E-2</c:v>
                  </c:pt>
                  <c:pt idx="12">
                    <c:v>0</c:v>
                  </c:pt>
                  <c:pt idx="14">
                    <c:v>5.9843158567680244E-2</c:v>
                  </c:pt>
                  <c:pt idx="15">
                    <c:v>8.8327936792145623E-2</c:v>
                  </c:pt>
                  <c:pt idx="16">
                    <c:v>3.5358997086281117E-2</c:v>
                  </c:pt>
                  <c:pt idx="17">
                    <c:v>0.10257564627937199</c:v>
                  </c:pt>
                  <c:pt idx="18">
                    <c:v>6.7801311497547964E-2</c:v>
                  </c:pt>
                  <c:pt idx="19">
                    <c:v>7.4960857827516172E-2</c:v>
                  </c:pt>
                  <c:pt idx="20">
                    <c:v>8.1920635533803687E-2</c:v>
                  </c:pt>
                  <c:pt idx="21">
                    <c:v>7.1966403407168811E-2</c:v>
                  </c:pt>
                </c:numCache>
              </c:numRef>
            </c:plus>
            <c:minus>
              <c:numRef>
                <c:f>'pooled normalised values'!$B$76:$W$76</c:f>
                <c:numCache>
                  <c:formatCode>General</c:formatCode>
                  <c:ptCount val="22"/>
                  <c:pt idx="0">
                    <c:v>3.1265008952910366E-2</c:v>
                  </c:pt>
                  <c:pt idx="1">
                    <c:v>4.9949088082897032E-2</c:v>
                  </c:pt>
                  <c:pt idx="2">
                    <c:v>9.3422916722312122E-2</c:v>
                  </c:pt>
                  <c:pt idx="3">
                    <c:v>7.5230547124507469E-2</c:v>
                  </c:pt>
                  <c:pt idx="4">
                    <c:v>8.9562666367271684E-2</c:v>
                  </c:pt>
                  <c:pt idx="5">
                    <c:v>0.12870194668645149</c:v>
                  </c:pt>
                  <c:pt idx="6">
                    <c:v>0.12590660789003669</c:v>
                  </c:pt>
                  <c:pt idx="7">
                    <c:v>0.11829200229981068</c:v>
                  </c:pt>
                  <c:pt idx="8">
                    <c:v>0.10939696828952382</c:v>
                  </c:pt>
                  <c:pt idx="9">
                    <c:v>9.747347575701347E-2</c:v>
                  </c:pt>
                  <c:pt idx="10">
                    <c:v>7.1402912683514536E-2</c:v>
                  </c:pt>
                  <c:pt idx="11">
                    <c:v>2.6775559562229774E-2</c:v>
                  </c:pt>
                  <c:pt idx="12">
                    <c:v>0</c:v>
                  </c:pt>
                  <c:pt idx="14">
                    <c:v>5.9843158567680244E-2</c:v>
                  </c:pt>
                  <c:pt idx="15">
                    <c:v>8.8327936792145623E-2</c:v>
                  </c:pt>
                  <c:pt idx="16">
                    <c:v>3.5358997086281117E-2</c:v>
                  </c:pt>
                  <c:pt idx="17">
                    <c:v>0.10257564627937199</c:v>
                  </c:pt>
                  <c:pt idx="18">
                    <c:v>6.7801311497547964E-2</c:v>
                  </c:pt>
                  <c:pt idx="19">
                    <c:v>7.4960857827516172E-2</c:v>
                  </c:pt>
                  <c:pt idx="20">
                    <c:v>8.1920635533803687E-2</c:v>
                  </c:pt>
                  <c:pt idx="21">
                    <c:v>7.1966403407168811E-2</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testosterone-300µg/L</c:v>
                </c:pt>
                <c:pt idx="8">
                  <c:v>testosterone-100µg/L</c:v>
                </c:pt>
                <c:pt idx="9">
                  <c:v>testosterone-33µg/L</c:v>
                </c:pt>
                <c:pt idx="10">
                  <c:v>testosterone-11µg/L</c:v>
                </c:pt>
                <c:pt idx="11">
                  <c:v>testosterone-3.7µg/L</c:v>
                </c:pt>
                <c:pt idx="12">
                  <c:v>#REF!</c:v>
                </c:pt>
                <c:pt idx="14">
                  <c:v>Testo -30µg/L</c:v>
                </c:pt>
                <c:pt idx="15">
                  <c:v>Testo 30µg/L + EE2 -64ng/L</c:v>
                </c:pt>
                <c:pt idx="16">
                  <c:v>Testo 30µg/L + FAD-10mg/L</c:v>
                </c:pt>
                <c:pt idx="17">
                  <c:v>testosterone-300µg/L + Testostérone</c:v>
                </c:pt>
                <c:pt idx="18">
                  <c:v>testosterone-100µg/L + Testostérone</c:v>
                </c:pt>
                <c:pt idx="19">
                  <c:v>testosterone-33µg/L + Testostérone</c:v>
                </c:pt>
                <c:pt idx="20">
                  <c:v>testosterone-11µg/L + Testostérone</c:v>
                </c:pt>
                <c:pt idx="21">
                  <c:v>testosterone-3.7µg/L + Testostérone</c:v>
                </c:pt>
              </c:strCache>
            </c:strRef>
          </c:cat>
          <c:val>
            <c:numRef>
              <c:f>'pooled normalised values'!$B$75:$W$75</c:f>
              <c:numCache>
                <c:formatCode>0.0000</c:formatCode>
                <c:ptCount val="22"/>
                <c:pt idx="0">
                  <c:v>0.14848258495447639</c:v>
                </c:pt>
                <c:pt idx="1">
                  <c:v>0.23135097098026616</c:v>
                </c:pt>
                <c:pt idx="2">
                  <c:v>0.59031034607058441</c:v>
                </c:pt>
                <c:pt idx="3">
                  <c:v>0.98254778078563543</c:v>
                </c:pt>
                <c:pt idx="4">
                  <c:v>1.435789705420544</c:v>
                </c:pt>
                <c:pt idx="5">
                  <c:v>1.7159933069436306</c:v>
                </c:pt>
                <c:pt idx="6">
                  <c:v>2.1357557752034468</c:v>
                </c:pt>
                <c:pt idx="7">
                  <c:v>1.3116012461961022</c:v>
                </c:pt>
                <c:pt idx="8">
                  <c:v>1.0949937027123189</c:v>
                </c:pt>
                <c:pt idx="9">
                  <c:v>1.0942068411452579</c:v>
                </c:pt>
                <c:pt idx="10">
                  <c:v>0.62132564360055031</c:v>
                </c:pt>
                <c:pt idx="11">
                  <c:v>0.21465013962945687</c:v>
                </c:pt>
                <c:pt idx="12">
                  <c:v>0</c:v>
                </c:pt>
                <c:pt idx="14">
                  <c:v>0.99999999999999967</c:v>
                </c:pt>
                <c:pt idx="15">
                  <c:v>1.6187099958636577</c:v>
                </c:pt>
                <c:pt idx="16">
                  <c:v>0.19570792983845467</c:v>
                </c:pt>
                <c:pt idx="17">
                  <c:v>1.021366477560316</c:v>
                </c:pt>
                <c:pt idx="18">
                  <c:v>0.72317897017053445</c:v>
                </c:pt>
                <c:pt idx="19">
                  <c:v>0.75589178688852021</c:v>
                </c:pt>
                <c:pt idx="20">
                  <c:v>0.76240335675542337</c:v>
                </c:pt>
                <c:pt idx="21">
                  <c:v>0.8335507420204924</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c:v>
                  </c:pt>
                  <c:pt idx="8">
                    <c:v>***</c:v>
                  </c:pt>
                  <c:pt idx="9">
                    <c:v>***</c:v>
                  </c:pt>
                  <c:pt idx="10">
                    <c:v>***</c:v>
                  </c:pt>
                  <c:pt idx="11">
                    <c:v>NS</c:v>
                  </c:pt>
                  <c:pt idx="12">
                    <c:v>#NAME?</c:v>
                  </c:pt>
                  <c:pt idx="14">
                    <c:v>***</c:v>
                  </c:pt>
                  <c:pt idx="15">
                    <c:v>***</c:v>
                  </c:pt>
                  <c:pt idx="16">
                    <c:v>***</c:v>
                  </c:pt>
                  <c:pt idx="17">
                    <c:v>NS</c:v>
                  </c:pt>
                  <c:pt idx="18">
                    <c:v>*</c:v>
                  </c:pt>
                  <c:pt idx="19">
                    <c:v>NS</c:v>
                  </c:pt>
                  <c:pt idx="20">
                    <c:v>*</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5"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5"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testosterone run1</a:t>
          </a:r>
        </a:p>
        <a:p xmlns:a="http://schemas.openxmlformats.org/drawingml/2006/main">
          <a:pPr algn="ctr"/>
          <a:r>
            <a:rPr lang="fr-FR" sz="1400" b="1"/>
            <a:t>20210804</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10" zoomScale="55" zoomScaleNormal="55" workbookViewId="0">
      <selection activeCell="D14" sqref="D14:D18"/>
    </sheetView>
  </sheetViews>
  <sheetFormatPr defaultColWidth="11" defaultRowHeight="39" customHeight="1"/>
  <cols>
    <col min="1" max="1" width="42" bestFit="1" customWidth="1"/>
    <col min="2" max="2" width="33.85546875" style="28" bestFit="1" customWidth="1"/>
    <col min="3" max="3" width="21.28515625" customWidth="1"/>
    <col min="4" max="4" width="30.42578125" customWidth="1"/>
    <col min="5" max="5" width="62.28515625" style="89"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3"/>
      <c r="B1" s="124"/>
      <c r="C1" s="124"/>
      <c r="D1" s="124"/>
      <c r="E1" s="124"/>
      <c r="F1" s="124"/>
      <c r="G1" s="124"/>
      <c r="H1" s="124"/>
      <c r="I1" s="125"/>
    </row>
    <row r="2" spans="1:9" ht="21.75" thickBot="1">
      <c r="A2" s="108" t="s">
        <v>8</v>
      </c>
      <c r="B2" s="27" t="s">
        <v>57</v>
      </c>
      <c r="C2" s="126"/>
      <c r="D2" s="127"/>
      <c r="E2" s="27" t="s">
        <v>68</v>
      </c>
      <c r="F2" s="138"/>
      <c r="G2" s="139"/>
      <c r="H2" s="139"/>
      <c r="I2" s="140"/>
    </row>
    <row r="3" spans="1:9" ht="21.75" thickBot="1">
      <c r="A3" s="109" t="s">
        <v>9</v>
      </c>
      <c r="B3" s="27" t="s">
        <v>57</v>
      </c>
      <c r="C3" s="128"/>
      <c r="D3" s="129"/>
      <c r="E3" s="27" t="s">
        <v>69</v>
      </c>
      <c r="F3" s="135"/>
      <c r="G3" s="136"/>
      <c r="H3" s="136"/>
      <c r="I3" s="137"/>
    </row>
    <row r="4" spans="1:9" ht="21.75" thickBot="1">
      <c r="A4" s="110" t="s">
        <v>12</v>
      </c>
      <c r="B4" s="27" t="s">
        <v>57</v>
      </c>
      <c r="C4" s="130"/>
      <c r="D4" s="131"/>
      <c r="E4" s="27" t="s">
        <v>73</v>
      </c>
      <c r="F4" s="132"/>
      <c r="G4" s="133"/>
      <c r="H4" s="133"/>
      <c r="I4" s="134"/>
    </row>
    <row r="5" spans="1:9" s="1" customFormat="1" ht="65.25" customHeight="1" thickBot="1">
      <c r="A5" s="123" t="s">
        <v>18</v>
      </c>
      <c r="B5" s="124"/>
      <c r="C5" s="124"/>
      <c r="D5" s="124"/>
      <c r="E5" s="124"/>
      <c r="F5" s="124"/>
      <c r="G5" s="124"/>
      <c r="H5" s="124"/>
      <c r="I5" s="125"/>
    </row>
    <row r="6" spans="1:9" s="68" customFormat="1" ht="39" customHeight="1">
      <c r="A6" s="58" t="s">
        <v>58</v>
      </c>
      <c r="B6" s="59" t="s">
        <v>59</v>
      </c>
      <c r="C6" s="47" t="s">
        <v>10</v>
      </c>
      <c r="D6" s="47" t="s">
        <v>60</v>
      </c>
      <c r="E6" s="86" t="s">
        <v>61</v>
      </c>
      <c r="F6" s="67" t="s">
        <v>62</v>
      </c>
    </row>
    <row r="7" spans="1:9" s="95" customFormat="1" ht="39" customHeight="1">
      <c r="A7"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91" t="s">
        <v>50</v>
      </c>
      <c r="C7" s="92">
        <v>0</v>
      </c>
      <c r="D7" s="93"/>
      <c r="E7" s="94" t="s">
        <v>64</v>
      </c>
      <c r="F7" s="69"/>
    </row>
    <row r="8" spans="1:9" s="95" customFormat="1" ht="39" customHeight="1">
      <c r="A8"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91" t="s">
        <v>50</v>
      </c>
      <c r="C8" s="92" t="s">
        <v>65</v>
      </c>
      <c r="D8" s="93" t="s">
        <v>51</v>
      </c>
      <c r="E8" s="94" t="s">
        <v>52</v>
      </c>
      <c r="F8" s="69"/>
    </row>
    <row r="9" spans="1:9" s="95" customFormat="1" ht="39" customHeight="1">
      <c r="A9"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91" t="s">
        <v>50</v>
      </c>
      <c r="C9" s="92" t="s">
        <v>66</v>
      </c>
      <c r="D9" s="93" t="s">
        <v>51</v>
      </c>
      <c r="E9" s="94" t="s">
        <v>52</v>
      </c>
      <c r="F9" s="69"/>
    </row>
    <row r="10" spans="1:9" s="95" customFormat="1" ht="39" customHeight="1">
      <c r="A10"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91" t="s">
        <v>50</v>
      </c>
      <c r="C10" s="92">
        <v>76</v>
      </c>
      <c r="D10" s="93" t="s">
        <v>51</v>
      </c>
      <c r="E10" s="94" t="s">
        <v>52</v>
      </c>
      <c r="F10" s="69"/>
    </row>
    <row r="11" spans="1:9" s="95" customFormat="1" ht="39" customHeight="1">
      <c r="A11"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91" t="s">
        <v>50</v>
      </c>
      <c r="C11" s="92">
        <v>114</v>
      </c>
      <c r="D11" s="93" t="s">
        <v>51</v>
      </c>
      <c r="E11" s="94" t="s">
        <v>52</v>
      </c>
      <c r="F11" s="69"/>
    </row>
    <row r="12" spans="1:9" s="95" customFormat="1" ht="39" customHeight="1">
      <c r="A12"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91" t="s">
        <v>50</v>
      </c>
      <c r="C12" s="92" t="s">
        <v>67</v>
      </c>
      <c r="D12" s="93" t="s">
        <v>51</v>
      </c>
      <c r="E12" s="94" t="s">
        <v>52</v>
      </c>
      <c r="F12" s="69"/>
    </row>
    <row r="13" spans="1:9" s="95" customFormat="1" ht="39" customHeight="1">
      <c r="A13"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91" t="s">
        <v>50</v>
      </c>
      <c r="C13" s="92">
        <v>488</v>
      </c>
      <c r="D13" s="93" t="s">
        <v>51</v>
      </c>
      <c r="E13" s="94" t="s">
        <v>52</v>
      </c>
      <c r="F13" s="69"/>
    </row>
    <row r="14" spans="1:9" s="95" customFormat="1" ht="39" customHeight="1">
      <c r="A14"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testosterone-300µg/L</v>
      </c>
      <c r="B14" s="91" t="s">
        <v>63</v>
      </c>
      <c r="C14" s="92">
        <v>300</v>
      </c>
      <c r="D14" s="93" t="s">
        <v>75</v>
      </c>
      <c r="E14" s="94" t="s">
        <v>74</v>
      </c>
      <c r="F14" s="69"/>
    </row>
    <row r="15" spans="1:9" s="70" customFormat="1" ht="39" customHeight="1">
      <c r="A15"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testosterone-100µg/L</v>
      </c>
      <c r="B15" s="91" t="s">
        <v>63</v>
      </c>
      <c r="C15" s="64">
        <v>100</v>
      </c>
      <c r="D15" s="93" t="s">
        <v>75</v>
      </c>
      <c r="E15" s="94" t="s">
        <v>74</v>
      </c>
      <c r="F15" s="69"/>
    </row>
    <row r="16" spans="1:9" s="70" customFormat="1" ht="39" customHeight="1">
      <c r="A16"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testosterone-33µg/L</v>
      </c>
      <c r="B16" s="91" t="s">
        <v>63</v>
      </c>
      <c r="C16" s="64">
        <v>33</v>
      </c>
      <c r="D16" s="93" t="s">
        <v>75</v>
      </c>
      <c r="E16" s="94" t="s">
        <v>74</v>
      </c>
      <c r="F16" s="69"/>
    </row>
    <row r="17" spans="1:6" s="70" customFormat="1" ht="39" customHeight="1">
      <c r="A17"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testosterone-11µg/L</v>
      </c>
      <c r="B17" s="91" t="s">
        <v>63</v>
      </c>
      <c r="C17" s="64">
        <v>11</v>
      </c>
      <c r="D17" s="93" t="s">
        <v>75</v>
      </c>
      <c r="E17" s="94" t="s">
        <v>74</v>
      </c>
      <c r="F17" s="69"/>
    </row>
    <row r="18" spans="1:6" s="70" customFormat="1" ht="39" customHeight="1">
      <c r="A18"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testosterone-3.7µg/L</v>
      </c>
      <c r="B18" s="91" t="s">
        <v>63</v>
      </c>
      <c r="C18" s="64">
        <v>3.7</v>
      </c>
      <c r="D18" s="93" t="s">
        <v>75</v>
      </c>
      <c r="E18" s="94" t="s">
        <v>74</v>
      </c>
      <c r="F18" s="69"/>
    </row>
    <row r="19" spans="1:6" s="70" customFormat="1" ht="39" customHeight="1">
      <c r="A19"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91" t="s">
        <v>63</v>
      </c>
      <c r="C19" s="64"/>
      <c r="D19" s="64"/>
      <c r="E19" s="25"/>
      <c r="F19" s="69"/>
    </row>
    <row r="20" spans="1:6" s="70" customFormat="1" ht="39" customHeight="1">
      <c r="A20"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91" t="s">
        <v>63</v>
      </c>
      <c r="C20" s="64"/>
      <c r="D20" s="64"/>
      <c r="E20" s="60"/>
      <c r="F20" s="69"/>
    </row>
    <row r="21" spans="1:6" s="70" customFormat="1" ht="39" customHeight="1">
      <c r="A21"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91" t="s">
        <v>63</v>
      </c>
      <c r="C21" s="64"/>
      <c r="D21" s="64"/>
      <c r="E21" s="25"/>
      <c r="F21" s="69"/>
    </row>
    <row r="22" spans="1:6" s="70" customFormat="1" ht="39" customHeight="1">
      <c r="A22"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91" t="s">
        <v>63</v>
      </c>
      <c r="C22" s="64"/>
      <c r="D22" s="64"/>
      <c r="E22" s="60"/>
      <c r="F22" s="69"/>
    </row>
    <row r="23" spans="1:6" s="70" customFormat="1" ht="39" customHeight="1">
      <c r="A23"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91" t="s">
        <v>63</v>
      </c>
      <c r="C23" s="64"/>
      <c r="D23" s="64"/>
      <c r="E23" s="25"/>
      <c r="F23" s="69"/>
    </row>
    <row r="24" spans="1:6" s="70" customFormat="1" ht="39" customHeight="1">
      <c r="A24"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91" t="s">
        <v>63</v>
      </c>
      <c r="C24" s="64"/>
      <c r="D24" s="64"/>
      <c r="E24" s="60"/>
      <c r="F24" s="69"/>
    </row>
    <row r="25" spans="1:6" s="70" customFormat="1" ht="39" customHeight="1">
      <c r="A25"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91" t="s">
        <v>63</v>
      </c>
      <c r="C25" s="64"/>
      <c r="D25" s="64"/>
      <c r="E25" s="25"/>
      <c r="F25" s="69"/>
    </row>
    <row r="26" spans="1:6" s="70" customFormat="1" ht="39" customHeight="1">
      <c r="A26"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91" t="s">
        <v>63</v>
      </c>
      <c r="C26" s="64"/>
      <c r="D26" s="64"/>
      <c r="E26" s="60"/>
      <c r="F26" s="69"/>
    </row>
    <row r="27" spans="1:6" s="70" customFormat="1" ht="39" customHeight="1">
      <c r="A27"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91" t="s">
        <v>63</v>
      </c>
      <c r="C27" s="64"/>
      <c r="D27" s="64"/>
      <c r="E27" s="25"/>
      <c r="F27" s="69"/>
    </row>
    <row r="28" spans="1:6" s="70" customFormat="1" ht="39" customHeight="1">
      <c r="A28"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91" t="s">
        <v>63</v>
      </c>
      <c r="C28" s="64"/>
      <c r="D28" s="64"/>
      <c r="E28" s="60"/>
      <c r="F28" s="69"/>
    </row>
    <row r="29" spans="1:6" s="70" customFormat="1" ht="39" customHeight="1">
      <c r="A29"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91" t="s">
        <v>63</v>
      </c>
      <c r="C29" s="64"/>
      <c r="D29" s="73"/>
      <c r="E29" s="25"/>
      <c r="F29" s="69"/>
    </row>
    <row r="30" spans="1:6" s="70" customFormat="1" ht="39" customHeight="1">
      <c r="A30"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91" t="s">
        <v>63</v>
      </c>
      <c r="C30" s="64"/>
      <c r="D30" s="73"/>
      <c r="E30" s="60"/>
      <c r="F30" s="69"/>
    </row>
    <row r="31" spans="1:6" s="70" customFormat="1" ht="39" customHeight="1">
      <c r="A31"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91" t="s">
        <v>63</v>
      </c>
      <c r="C31" s="64"/>
      <c r="D31" s="73"/>
      <c r="E31" s="25"/>
      <c r="F31" s="69"/>
    </row>
    <row r="32" spans="1:6" s="70" customFormat="1" ht="39" customHeight="1">
      <c r="A32"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91" t="s">
        <v>63</v>
      </c>
      <c r="C32" s="64"/>
      <c r="D32" s="73"/>
      <c r="E32" s="60"/>
      <c r="F32" s="69"/>
    </row>
    <row r="33" spans="1:6" s="70" customFormat="1" ht="39" customHeight="1">
      <c r="A33"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91" t="s">
        <v>63</v>
      </c>
      <c r="C33" s="64"/>
      <c r="D33" s="73"/>
      <c r="E33" s="25"/>
      <c r="F33" s="69"/>
    </row>
    <row r="34" spans="1:6" s="70" customFormat="1" ht="39" customHeight="1" thickBot="1">
      <c r="A34" s="5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91" t="s">
        <v>63</v>
      </c>
      <c r="C34" s="97"/>
      <c r="D34" s="74"/>
      <c r="E34" s="96"/>
      <c r="F34" s="69"/>
    </row>
    <row r="35" spans="1:6" s="70" customFormat="1" ht="39" customHeight="1">
      <c r="A35"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1" t="s">
        <v>50</v>
      </c>
      <c r="C35" s="65">
        <v>30</v>
      </c>
      <c r="D35" s="75" t="s">
        <v>53</v>
      </c>
      <c r="E35" s="87" t="s">
        <v>11</v>
      </c>
      <c r="F35" s="99"/>
    </row>
    <row r="36" spans="1:6" s="70" customFormat="1" ht="39" customHeight="1">
      <c r="A36" s="10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2" t="s">
        <v>50</v>
      </c>
      <c r="C36" s="66">
        <v>64</v>
      </c>
      <c r="D36" s="76" t="s">
        <v>51</v>
      </c>
      <c r="E36" s="88" t="s">
        <v>54</v>
      </c>
      <c r="F36" s="101"/>
    </row>
    <row r="37" spans="1:6" s="70" customFormat="1" ht="39" customHeight="1" thickBot="1">
      <c r="A37" s="10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3" t="s">
        <v>50</v>
      </c>
      <c r="C37" s="104">
        <v>10</v>
      </c>
      <c r="D37" s="105" t="s">
        <v>55</v>
      </c>
      <c r="E37" s="106" t="s">
        <v>56</v>
      </c>
      <c r="F37" s="107"/>
    </row>
    <row r="38" spans="1:6" s="70" customFormat="1" ht="39" customHeight="1">
      <c r="A38" s="3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testosterone-300µg/L + Testostérone</v>
      </c>
      <c r="B38" s="111" t="str">
        <f>B14</f>
        <v>test chemical</v>
      </c>
      <c r="C38" s="111">
        <f t="shared" ref="C38:E38" si="0">C14</f>
        <v>300</v>
      </c>
      <c r="D38" s="111" t="str">
        <f t="shared" si="0"/>
        <v>µg/L</v>
      </c>
      <c r="E38" s="121" t="str">
        <f t="shared" si="0"/>
        <v>testosterone</v>
      </c>
      <c r="F38" s="71" t="s">
        <v>30</v>
      </c>
    </row>
    <row r="39" spans="1:6" s="70" customFormat="1" ht="39" customHeight="1">
      <c r="A39"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testosterone-100µg/L + Testostérone</v>
      </c>
      <c r="B39" s="113" t="str">
        <f t="shared" ref="B39:E39" si="1">B15</f>
        <v>test chemical</v>
      </c>
      <c r="C39" s="113">
        <f t="shared" si="1"/>
        <v>100</v>
      </c>
      <c r="D39" s="113" t="str">
        <f t="shared" si="1"/>
        <v>µg/L</v>
      </c>
      <c r="E39" s="66" t="str">
        <f t="shared" si="1"/>
        <v>testosterone</v>
      </c>
      <c r="F39" s="72" t="s">
        <v>30</v>
      </c>
    </row>
    <row r="40" spans="1:6" s="70" customFormat="1" ht="39" customHeight="1">
      <c r="A40"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testosterone-33µg/L + Testostérone</v>
      </c>
      <c r="B40" s="113" t="str">
        <f t="shared" ref="B40:E40" si="2">B16</f>
        <v>test chemical</v>
      </c>
      <c r="C40" s="113">
        <f t="shared" si="2"/>
        <v>33</v>
      </c>
      <c r="D40" s="113" t="str">
        <f t="shared" si="2"/>
        <v>µg/L</v>
      </c>
      <c r="E40" s="66" t="str">
        <f t="shared" si="2"/>
        <v>testosterone</v>
      </c>
      <c r="F40" s="72" t="s">
        <v>30</v>
      </c>
    </row>
    <row r="41" spans="1:6" s="70" customFormat="1" ht="39" customHeight="1">
      <c r="A41"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testosterone-11µg/L + Testostérone</v>
      </c>
      <c r="B41" s="113" t="str">
        <f t="shared" ref="B41:E41" si="3">B17</f>
        <v>test chemical</v>
      </c>
      <c r="C41" s="113">
        <f t="shared" si="3"/>
        <v>11</v>
      </c>
      <c r="D41" s="113" t="str">
        <f t="shared" si="3"/>
        <v>µg/L</v>
      </c>
      <c r="E41" s="66" t="str">
        <f t="shared" si="3"/>
        <v>testosterone</v>
      </c>
      <c r="F41" s="72" t="s">
        <v>30</v>
      </c>
    </row>
    <row r="42" spans="1:6" s="70" customFormat="1" ht="39" customHeight="1">
      <c r="A42"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testosterone-3.7µg/L + Testostérone</v>
      </c>
      <c r="B42" s="113" t="str">
        <f t="shared" ref="B42:E42" si="4">B18</f>
        <v>test chemical</v>
      </c>
      <c r="C42" s="113">
        <f t="shared" si="4"/>
        <v>3.7</v>
      </c>
      <c r="D42" s="113" t="str">
        <f t="shared" si="4"/>
        <v>µg/L</v>
      </c>
      <c r="E42" s="66" t="str">
        <f t="shared" si="4"/>
        <v>testosterone</v>
      </c>
      <c r="F42" s="72" t="s">
        <v>30</v>
      </c>
    </row>
    <row r="43" spans="1:6" s="70" customFormat="1" ht="39" customHeight="1">
      <c r="A43"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3" t="str">
        <f t="shared" ref="B43:E43" si="5">B19</f>
        <v>test chemical</v>
      </c>
      <c r="C43" s="113">
        <f t="shared" si="5"/>
        <v>0</v>
      </c>
      <c r="D43" s="113">
        <f t="shared" si="5"/>
        <v>0</v>
      </c>
      <c r="E43" s="113">
        <f t="shared" si="5"/>
        <v>0</v>
      </c>
      <c r="F43" s="72" t="s">
        <v>30</v>
      </c>
    </row>
    <row r="44" spans="1:6" s="70" customFormat="1" ht="39" customHeight="1">
      <c r="A4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3" t="str">
        <f t="shared" ref="B44:E44" si="6">B20</f>
        <v>test chemical</v>
      </c>
      <c r="C44" s="113">
        <f t="shared" si="6"/>
        <v>0</v>
      </c>
      <c r="D44" s="113">
        <f t="shared" si="6"/>
        <v>0</v>
      </c>
      <c r="E44" s="113">
        <f t="shared" si="6"/>
        <v>0</v>
      </c>
      <c r="F44" s="72" t="s">
        <v>30</v>
      </c>
    </row>
    <row r="45" spans="1:6" s="70" customFormat="1" ht="39" customHeight="1">
      <c r="A45"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3" t="str">
        <f t="shared" ref="B45:E45" si="7">B21</f>
        <v>test chemical</v>
      </c>
      <c r="C45" s="113">
        <f t="shared" si="7"/>
        <v>0</v>
      </c>
      <c r="D45" s="113">
        <f t="shared" si="7"/>
        <v>0</v>
      </c>
      <c r="E45" s="113">
        <f t="shared" si="7"/>
        <v>0</v>
      </c>
      <c r="F45" s="72" t="s">
        <v>30</v>
      </c>
    </row>
    <row r="46" spans="1:6" s="70" customFormat="1" ht="39" customHeight="1">
      <c r="A46"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3" t="str">
        <f t="shared" ref="B46:E46" si="8">B22</f>
        <v>test chemical</v>
      </c>
      <c r="C46" s="113">
        <f t="shared" si="8"/>
        <v>0</v>
      </c>
      <c r="D46" s="113">
        <f t="shared" si="8"/>
        <v>0</v>
      </c>
      <c r="E46" s="113">
        <f t="shared" si="8"/>
        <v>0</v>
      </c>
      <c r="F46" s="72" t="s">
        <v>30</v>
      </c>
    </row>
    <row r="47" spans="1:6" s="70" customFormat="1" ht="39" customHeight="1">
      <c r="A47"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3" t="str">
        <f t="shared" ref="B47:E47" si="9">B23</f>
        <v>test chemical</v>
      </c>
      <c r="C47" s="113">
        <f t="shared" si="9"/>
        <v>0</v>
      </c>
      <c r="D47" s="113">
        <f t="shared" si="9"/>
        <v>0</v>
      </c>
      <c r="E47" s="113">
        <f t="shared" si="9"/>
        <v>0</v>
      </c>
      <c r="F47" s="72" t="s">
        <v>30</v>
      </c>
    </row>
    <row r="48" spans="1:6" s="70" customFormat="1" ht="39" customHeight="1">
      <c r="A48"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3" t="str">
        <f t="shared" ref="B48:E48" si="10">B24</f>
        <v>test chemical</v>
      </c>
      <c r="C48" s="113">
        <f t="shared" si="10"/>
        <v>0</v>
      </c>
      <c r="D48" s="113">
        <f t="shared" si="10"/>
        <v>0</v>
      </c>
      <c r="E48" s="113">
        <f t="shared" si="10"/>
        <v>0</v>
      </c>
      <c r="F48" s="72" t="s">
        <v>30</v>
      </c>
    </row>
    <row r="49" spans="1:6" s="70" customFormat="1" ht="39" customHeight="1">
      <c r="A49"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3" t="str">
        <f t="shared" ref="B49:E49" si="11">B25</f>
        <v>test chemical</v>
      </c>
      <c r="C49" s="113">
        <f t="shared" si="11"/>
        <v>0</v>
      </c>
      <c r="D49" s="113">
        <f t="shared" si="11"/>
        <v>0</v>
      </c>
      <c r="E49" s="113">
        <f t="shared" si="11"/>
        <v>0</v>
      </c>
      <c r="F49" s="72" t="s">
        <v>30</v>
      </c>
    </row>
    <row r="50" spans="1:6" s="70" customFormat="1" ht="39" customHeight="1">
      <c r="A50"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3" t="str">
        <f t="shared" ref="B50:E50" si="12">B26</f>
        <v>test chemical</v>
      </c>
      <c r="C50" s="113">
        <f t="shared" si="12"/>
        <v>0</v>
      </c>
      <c r="D50" s="113">
        <f t="shared" si="12"/>
        <v>0</v>
      </c>
      <c r="E50" s="113">
        <f t="shared" si="12"/>
        <v>0</v>
      </c>
      <c r="F50" s="72" t="s">
        <v>30</v>
      </c>
    </row>
    <row r="51" spans="1:6" s="70" customFormat="1" ht="39" customHeight="1">
      <c r="A51"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3" t="str">
        <f t="shared" ref="B51:E51" si="13">B27</f>
        <v>test chemical</v>
      </c>
      <c r="C51" s="113">
        <f t="shared" si="13"/>
        <v>0</v>
      </c>
      <c r="D51" s="113">
        <f t="shared" si="13"/>
        <v>0</v>
      </c>
      <c r="E51" s="113">
        <f t="shared" si="13"/>
        <v>0</v>
      </c>
      <c r="F51" s="72" t="s">
        <v>30</v>
      </c>
    </row>
    <row r="52" spans="1:6" s="70" customFormat="1" ht="39" customHeight="1">
      <c r="A52"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3" t="str">
        <f t="shared" ref="B52:E52" si="14">B28</f>
        <v>test chemical</v>
      </c>
      <c r="C52" s="113">
        <f t="shared" si="14"/>
        <v>0</v>
      </c>
      <c r="D52" s="113">
        <f t="shared" si="14"/>
        <v>0</v>
      </c>
      <c r="E52" s="113">
        <f t="shared" si="14"/>
        <v>0</v>
      </c>
      <c r="F52" s="72" t="s">
        <v>30</v>
      </c>
    </row>
    <row r="53" spans="1:6" s="70" customFormat="1" ht="39" customHeight="1">
      <c r="A53"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3" t="str">
        <f t="shared" ref="B53:E53" si="15">B29</f>
        <v>test chemical</v>
      </c>
      <c r="C53" s="113">
        <f t="shared" si="15"/>
        <v>0</v>
      </c>
      <c r="D53" s="113">
        <f t="shared" si="15"/>
        <v>0</v>
      </c>
      <c r="E53" s="113">
        <f t="shared" si="15"/>
        <v>0</v>
      </c>
      <c r="F53" s="72" t="s">
        <v>30</v>
      </c>
    </row>
    <row r="54" spans="1:6" s="70" customFormat="1" ht="39" customHeight="1">
      <c r="A5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3" t="str">
        <f t="shared" ref="B54:E54" si="16">B30</f>
        <v>test chemical</v>
      </c>
      <c r="C54" s="113">
        <f t="shared" si="16"/>
        <v>0</v>
      </c>
      <c r="D54" s="113">
        <f t="shared" si="16"/>
        <v>0</v>
      </c>
      <c r="E54" s="113">
        <f t="shared" si="16"/>
        <v>0</v>
      </c>
      <c r="F54" s="72" t="s">
        <v>30</v>
      </c>
    </row>
    <row r="55" spans="1:6" s="70" customFormat="1" ht="39" customHeight="1">
      <c r="A55"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3" t="str">
        <f t="shared" ref="B55:E55" si="17">B31</f>
        <v>test chemical</v>
      </c>
      <c r="C55" s="113">
        <f t="shared" si="17"/>
        <v>0</v>
      </c>
      <c r="D55" s="113">
        <f t="shared" si="17"/>
        <v>0</v>
      </c>
      <c r="E55" s="113">
        <f t="shared" si="17"/>
        <v>0</v>
      </c>
      <c r="F55" s="72" t="s">
        <v>30</v>
      </c>
    </row>
    <row r="56" spans="1:6" s="70" customFormat="1" ht="39" customHeight="1">
      <c r="A56"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3" t="str">
        <f t="shared" ref="B56:E56" si="18">B32</f>
        <v>test chemical</v>
      </c>
      <c r="C56" s="113">
        <f t="shared" si="18"/>
        <v>0</v>
      </c>
      <c r="D56" s="113">
        <f t="shared" si="18"/>
        <v>0</v>
      </c>
      <c r="E56" s="113">
        <f t="shared" si="18"/>
        <v>0</v>
      </c>
      <c r="F56" s="72" t="s">
        <v>30</v>
      </c>
    </row>
    <row r="57" spans="1:6" s="70" customFormat="1" ht="39" customHeight="1">
      <c r="A57" s="6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12" t="str">
        <f t="shared" ref="B57:E57" si="19">B33</f>
        <v>test chemical</v>
      </c>
      <c r="C57" s="112">
        <f t="shared" si="19"/>
        <v>0</v>
      </c>
      <c r="D57" s="112">
        <f t="shared" si="19"/>
        <v>0</v>
      </c>
      <c r="E57" s="112">
        <f t="shared" si="19"/>
        <v>0</v>
      </c>
      <c r="F57" s="72"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H1" activePane="topRight" state="frozen"/>
      <selection pane="topRight" activeCell="N2" sqref="N1:N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41" t="s">
        <v>21</v>
      </c>
      <c r="B1" s="142"/>
      <c r="C1" s="142"/>
      <c r="D1" s="142"/>
      <c r="E1" s="142"/>
      <c r="F1" s="142"/>
      <c r="G1" s="142"/>
      <c r="H1" s="142"/>
      <c r="I1" s="142"/>
      <c r="J1" s="142"/>
      <c r="K1" s="142"/>
      <c r="L1" s="142"/>
      <c r="M1" s="142"/>
      <c r="N1" s="142"/>
      <c r="O1" s="142"/>
      <c r="P1" s="142"/>
      <c r="Q1" s="142"/>
      <c r="R1" s="142"/>
      <c r="S1" s="142"/>
      <c r="T1" s="142"/>
      <c r="U1" s="142"/>
      <c r="V1" s="142"/>
    </row>
    <row r="2" spans="1:22" ht="15.75" thickBot="1">
      <c r="A2"/>
      <c r="B2"/>
      <c r="C2"/>
      <c r="D2"/>
      <c r="E2"/>
      <c r="F2"/>
      <c r="G2"/>
      <c r="H2"/>
      <c r="I2"/>
      <c r="J2"/>
      <c r="K2"/>
      <c r="L2"/>
      <c r="M2"/>
      <c r="S2"/>
      <c r="T2"/>
      <c r="U2"/>
      <c r="V2"/>
    </row>
    <row r="3" spans="1:22" ht="15.75" thickBot="1">
      <c r="A3" s="35" t="s">
        <v>8</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testosterone-300µg/L</v>
      </c>
      <c r="J4" s="20" t="str">
        <f>'Front page'!A15</f>
        <v>testosterone-100µg/L</v>
      </c>
      <c r="K4" s="20" t="str">
        <f>'Front page'!A16</f>
        <v>testosterone-33µg/L</v>
      </c>
      <c r="L4" s="20" t="str">
        <f>'Front page'!A17</f>
        <v>testosterone-11µg/L</v>
      </c>
      <c r="M4" s="20" t="str">
        <f>'Front page'!A18</f>
        <v>testosterone-3.7µg/L</v>
      </c>
      <c r="N4" s="3"/>
      <c r="O4" s="21" t="str">
        <f>'Front page'!A35</f>
        <v>Testo -30µg/L</v>
      </c>
      <c r="P4" s="21" t="str">
        <f>'Front page'!A36</f>
        <v>Testo 30µg/L + EE2 -64ng/L</v>
      </c>
      <c r="Q4" s="21" t="str">
        <f>'Front page'!A37</f>
        <v>Testo 30µg/L + FAD-10mg/L</v>
      </c>
      <c r="R4" s="21" t="str">
        <f>'Front page'!A38</f>
        <v>testosterone-300µg/L + Testostérone</v>
      </c>
      <c r="S4" s="21" t="str">
        <f>'Front page'!A39</f>
        <v>testosterone-100µg/L + Testostérone</v>
      </c>
      <c r="T4" s="21" t="str">
        <f>'Front page'!A40</f>
        <v>testosterone-33µg/L + Testostérone</v>
      </c>
      <c r="U4" s="21" t="str">
        <f>'Front page'!A41</f>
        <v>testosterone-11µg/L + Testostérone</v>
      </c>
      <c r="V4" s="21" t="str">
        <f>'Front page'!A42</f>
        <v>testosterone-3.7µg/L + Testostérone</v>
      </c>
    </row>
    <row r="5" spans="1:22" ht="16.5">
      <c r="A5" s="145" t="s">
        <v>71</v>
      </c>
      <c r="B5" s="120">
        <v>262458</v>
      </c>
      <c r="C5" s="116">
        <v>713794</v>
      </c>
      <c r="D5" s="81">
        <v>906469</v>
      </c>
      <c r="E5" s="81">
        <v>7464108</v>
      </c>
      <c r="F5" s="81">
        <v>10739102</v>
      </c>
      <c r="G5" s="81">
        <v>19863285</v>
      </c>
      <c r="H5" s="81">
        <v>15030982</v>
      </c>
      <c r="I5" s="81">
        <v>11158988</v>
      </c>
      <c r="J5" s="81">
        <v>6305508</v>
      </c>
      <c r="K5" s="116">
        <v>8248970</v>
      </c>
      <c r="L5" s="116">
        <v>5860044</v>
      </c>
      <c r="M5" s="116">
        <v>586775</v>
      </c>
      <c r="N5" s="3"/>
      <c r="O5" s="81">
        <v>5276448</v>
      </c>
      <c r="P5" s="116">
        <v>9586753</v>
      </c>
      <c r="Q5" s="116">
        <v>1094571</v>
      </c>
      <c r="R5" s="81">
        <v>6670154</v>
      </c>
      <c r="S5" s="81">
        <v>5205504</v>
      </c>
      <c r="T5" s="81">
        <v>3582362</v>
      </c>
      <c r="U5" s="81">
        <v>9614910</v>
      </c>
      <c r="V5" s="81">
        <v>4023177</v>
      </c>
    </row>
    <row r="6" spans="1:22" ht="16.5">
      <c r="A6" s="146"/>
      <c r="B6" s="120">
        <v>4361378</v>
      </c>
      <c r="C6" s="116">
        <v>4493527</v>
      </c>
      <c r="D6" s="81">
        <v>1375985</v>
      </c>
      <c r="E6" s="81">
        <v>7360244</v>
      </c>
      <c r="F6" s="81">
        <v>12483179</v>
      </c>
      <c r="G6" s="81">
        <v>20969017</v>
      </c>
      <c r="H6" s="81">
        <v>21931972</v>
      </c>
      <c r="I6" s="81">
        <v>13522446</v>
      </c>
      <c r="J6" s="81">
        <v>3415243</v>
      </c>
      <c r="K6" s="116">
        <v>11645951</v>
      </c>
      <c r="L6" s="116">
        <v>11608991</v>
      </c>
      <c r="M6" s="116">
        <v>246216</v>
      </c>
      <c r="N6" s="3"/>
      <c r="O6" s="81">
        <v>9183037</v>
      </c>
      <c r="P6" s="116">
        <v>12158982</v>
      </c>
      <c r="Q6" s="116">
        <v>1825727</v>
      </c>
      <c r="R6" s="81">
        <v>2688755</v>
      </c>
      <c r="S6" s="81">
        <v>6623800</v>
      </c>
      <c r="T6" s="81">
        <v>8720342</v>
      </c>
      <c r="U6" s="81">
        <v>4208648</v>
      </c>
      <c r="V6" s="81">
        <v>11097022</v>
      </c>
    </row>
    <row r="7" spans="1:22" ht="16.5">
      <c r="A7" s="146"/>
      <c r="B7" s="120">
        <v>353814</v>
      </c>
      <c r="C7" s="116">
        <v>524885</v>
      </c>
      <c r="D7" s="81">
        <v>7794984</v>
      </c>
      <c r="E7" s="81">
        <v>11263506</v>
      </c>
      <c r="F7" s="81">
        <v>10771889</v>
      </c>
      <c r="G7" s="81">
        <v>12041490</v>
      </c>
      <c r="H7" s="81">
        <v>23669853</v>
      </c>
      <c r="I7" s="81">
        <v>10940425</v>
      </c>
      <c r="J7" s="81">
        <v>10240417</v>
      </c>
      <c r="K7" s="116">
        <v>7912565</v>
      </c>
      <c r="L7" s="116">
        <v>3691799</v>
      </c>
      <c r="M7" s="116">
        <v>2273533</v>
      </c>
      <c r="N7" s="3"/>
      <c r="O7" s="81">
        <v>7664361</v>
      </c>
      <c r="P7" s="116">
        <v>12662594</v>
      </c>
      <c r="Q7" s="116">
        <v>940870</v>
      </c>
      <c r="R7" s="81">
        <v>7619674</v>
      </c>
      <c r="S7" s="81">
        <v>7157556</v>
      </c>
      <c r="T7" s="81">
        <v>4047266</v>
      </c>
      <c r="U7" s="81">
        <v>8850787</v>
      </c>
      <c r="V7" s="81">
        <v>5173516</v>
      </c>
    </row>
    <row r="8" spans="1:22" ht="16.5">
      <c r="A8" s="146"/>
      <c r="B8" s="120">
        <v>1436266</v>
      </c>
      <c r="C8" s="116">
        <v>1565530</v>
      </c>
      <c r="D8" s="81">
        <v>7806059</v>
      </c>
      <c r="E8" s="81">
        <v>7068039</v>
      </c>
      <c r="F8" s="81">
        <v>13796778</v>
      </c>
      <c r="G8" s="81">
        <v>18590410</v>
      </c>
      <c r="H8" s="81">
        <v>18800584</v>
      </c>
      <c r="I8" s="81">
        <v>13550699</v>
      </c>
      <c r="J8" s="81">
        <v>14910671</v>
      </c>
      <c r="K8" s="116">
        <v>11478391</v>
      </c>
      <c r="L8" s="116">
        <v>2830063</v>
      </c>
      <c r="M8" s="116">
        <v>3762030</v>
      </c>
      <c r="N8" s="3"/>
      <c r="O8" s="81">
        <v>12943723</v>
      </c>
      <c r="P8" s="116">
        <v>17142655</v>
      </c>
      <c r="Q8" s="116">
        <v>2182138</v>
      </c>
      <c r="R8" s="81">
        <v>7642837</v>
      </c>
      <c r="S8" s="81">
        <v>5623663</v>
      </c>
      <c r="T8" s="81">
        <v>2952884</v>
      </c>
      <c r="U8" s="81">
        <v>6896813</v>
      </c>
      <c r="V8" s="81">
        <v>7016646</v>
      </c>
    </row>
    <row r="9" spans="1:22" ht="16.5">
      <c r="A9" s="146"/>
      <c r="B9" s="120">
        <v>0</v>
      </c>
      <c r="C9" s="116">
        <v>785931</v>
      </c>
      <c r="D9" s="81">
        <v>2560252</v>
      </c>
      <c r="E9" s="81">
        <v>4842179</v>
      </c>
      <c r="F9" s="81">
        <v>12147563</v>
      </c>
      <c r="G9" s="81">
        <v>9452218</v>
      </c>
      <c r="H9" s="81">
        <v>9962399</v>
      </c>
      <c r="I9" s="81">
        <v>5404146</v>
      </c>
      <c r="J9" s="81">
        <v>9256969</v>
      </c>
      <c r="K9" s="116">
        <v>7575812</v>
      </c>
      <c r="L9" s="116">
        <v>8455435</v>
      </c>
      <c r="M9" s="116">
        <v>397398</v>
      </c>
      <c r="N9" s="3"/>
      <c r="O9" s="81">
        <v>12384967</v>
      </c>
      <c r="P9" s="116">
        <v>16257827</v>
      </c>
      <c r="Q9" s="116">
        <v>1033000</v>
      </c>
      <c r="R9" s="81">
        <v>9022118</v>
      </c>
      <c r="S9" s="81">
        <v>10177478</v>
      </c>
      <c r="T9" s="81">
        <v>7255187</v>
      </c>
      <c r="U9" s="81">
        <v>5630223</v>
      </c>
      <c r="V9" s="81">
        <v>8052903</v>
      </c>
    </row>
    <row r="10" spans="1:22" ht="16.5">
      <c r="A10" s="146"/>
      <c r="B10" s="120">
        <v>3589075</v>
      </c>
      <c r="C10" s="116">
        <v>968662</v>
      </c>
      <c r="D10" s="81">
        <v>399161</v>
      </c>
      <c r="E10" s="81">
        <v>9892344</v>
      </c>
      <c r="F10" s="81">
        <v>11860303</v>
      </c>
      <c r="G10" s="81">
        <v>14913621</v>
      </c>
      <c r="H10" s="81">
        <v>24255847</v>
      </c>
      <c r="I10" s="81">
        <v>13752755</v>
      </c>
      <c r="J10" s="81">
        <v>12839407</v>
      </c>
      <c r="K10" s="116">
        <v>14587893</v>
      </c>
      <c r="L10" s="116">
        <v>4562345</v>
      </c>
      <c r="M10" s="116">
        <v>2043492</v>
      </c>
      <c r="N10" s="3"/>
      <c r="O10" s="81">
        <v>7687898</v>
      </c>
      <c r="P10" s="116">
        <v>11547431</v>
      </c>
      <c r="Q10" s="116">
        <v>5037329</v>
      </c>
      <c r="R10" s="81">
        <v>3808272</v>
      </c>
      <c r="S10" s="81">
        <v>2876962</v>
      </c>
      <c r="T10" s="81">
        <v>1402412</v>
      </c>
      <c r="U10" s="81">
        <v>7043580</v>
      </c>
      <c r="V10" s="81">
        <v>5877658</v>
      </c>
    </row>
    <row r="11" spans="1:22" ht="16.5">
      <c r="A11" s="146"/>
      <c r="B11" s="120">
        <v>1821839</v>
      </c>
      <c r="C11" s="116">
        <v>4875141</v>
      </c>
      <c r="D11" s="81">
        <v>16519598</v>
      </c>
      <c r="E11" s="81">
        <v>5585088</v>
      </c>
      <c r="F11" s="81">
        <v>13664222</v>
      </c>
      <c r="G11" s="81">
        <v>9947897</v>
      </c>
      <c r="H11" s="81">
        <v>25742747</v>
      </c>
      <c r="I11" s="81">
        <v>20082040</v>
      </c>
      <c r="J11" s="81">
        <v>11552697</v>
      </c>
      <c r="K11" s="116">
        <v>15397971</v>
      </c>
      <c r="L11" s="116">
        <v>9961659</v>
      </c>
      <c r="M11" s="116">
        <v>2430809</v>
      </c>
      <c r="N11" s="3"/>
      <c r="O11" s="81">
        <v>6711995</v>
      </c>
      <c r="P11" s="116">
        <v>18861836</v>
      </c>
      <c r="Q11" s="116">
        <v>195183</v>
      </c>
      <c r="R11" s="81">
        <v>6741115</v>
      </c>
      <c r="S11" s="81">
        <v>3960998</v>
      </c>
      <c r="T11" s="81">
        <v>9724300</v>
      </c>
      <c r="U11" s="81">
        <v>17034513</v>
      </c>
      <c r="V11" s="81">
        <v>3863371</v>
      </c>
    </row>
    <row r="12" spans="1:22" ht="16.5">
      <c r="A12" s="146"/>
      <c r="B12" s="120">
        <v>1192515</v>
      </c>
      <c r="C12" s="116">
        <v>1091465</v>
      </c>
      <c r="D12" s="81">
        <v>6932889</v>
      </c>
      <c r="E12" s="81">
        <v>5564068</v>
      </c>
      <c r="F12" s="81">
        <v>15086884</v>
      </c>
      <c r="G12" s="81">
        <v>5487629</v>
      </c>
      <c r="H12" s="81">
        <v>22514974</v>
      </c>
      <c r="I12" s="81">
        <v>11561214</v>
      </c>
      <c r="J12" s="81">
        <v>7545791</v>
      </c>
      <c r="K12" s="116">
        <v>8887666</v>
      </c>
      <c r="L12" s="116">
        <v>6479702</v>
      </c>
      <c r="M12" s="116">
        <v>2595744</v>
      </c>
      <c r="N12" s="3"/>
      <c r="O12" s="81">
        <v>7767579</v>
      </c>
      <c r="P12" s="116">
        <v>12689417</v>
      </c>
      <c r="Q12" s="116">
        <v>1234874</v>
      </c>
      <c r="R12" s="81">
        <v>8989225</v>
      </c>
      <c r="S12" s="81">
        <v>7662640</v>
      </c>
      <c r="T12" s="81">
        <v>7005617</v>
      </c>
      <c r="U12" s="81">
        <v>7102676</v>
      </c>
      <c r="V12" s="81">
        <v>6095994</v>
      </c>
    </row>
    <row r="13" spans="1:22" ht="16.5">
      <c r="A13" s="146"/>
      <c r="B13" s="14"/>
      <c r="C13" s="13"/>
      <c r="D13" s="16"/>
      <c r="E13" s="16"/>
      <c r="F13" s="16"/>
      <c r="G13" s="16"/>
      <c r="H13" s="16"/>
      <c r="I13" s="17"/>
      <c r="J13" s="16"/>
      <c r="K13" s="13"/>
      <c r="L13" s="13"/>
      <c r="M13" s="13"/>
      <c r="N13" s="3"/>
      <c r="O13" s="17">
        <v>7900735</v>
      </c>
      <c r="P13" s="13"/>
      <c r="Q13" s="13"/>
      <c r="R13" s="4"/>
      <c r="S13" s="17"/>
      <c r="T13" s="17"/>
      <c r="U13" s="17"/>
      <c r="V13" s="17"/>
    </row>
    <row r="14" spans="1:22" ht="16.5">
      <c r="A14" s="146"/>
      <c r="B14" s="14"/>
      <c r="C14" s="16"/>
      <c r="D14" s="16"/>
      <c r="E14" s="16"/>
      <c r="F14" s="16"/>
      <c r="G14" s="16"/>
      <c r="H14" s="16"/>
      <c r="I14" s="17"/>
      <c r="J14" s="16"/>
      <c r="K14" s="13"/>
      <c r="L14" s="13"/>
      <c r="M14" s="13"/>
      <c r="N14" s="3"/>
      <c r="O14" s="17">
        <v>11558154</v>
      </c>
      <c r="P14" s="13"/>
      <c r="Q14" s="13"/>
      <c r="R14" s="4"/>
      <c r="S14" s="17"/>
      <c r="T14" s="17"/>
      <c r="U14" s="17"/>
      <c r="V14" s="17"/>
    </row>
    <row r="15" spans="1:22" ht="16.5">
      <c r="A15" s="146"/>
      <c r="B15" s="14"/>
      <c r="C15" s="16"/>
      <c r="D15" s="16"/>
      <c r="E15" s="16"/>
      <c r="F15" s="16"/>
      <c r="G15" s="16"/>
      <c r="H15" s="16"/>
      <c r="I15" s="17"/>
      <c r="J15" s="16"/>
      <c r="K15" s="13"/>
      <c r="L15" s="13"/>
      <c r="M15" s="13"/>
      <c r="N15" s="3"/>
      <c r="O15" s="17">
        <v>5743895</v>
      </c>
      <c r="P15" s="13"/>
      <c r="Q15" s="13"/>
      <c r="R15" s="4"/>
      <c r="S15" s="17"/>
      <c r="T15" s="17"/>
      <c r="U15" s="17"/>
      <c r="V15" s="17"/>
    </row>
    <row r="16" spans="1:22" ht="16.5">
      <c r="A16" s="146"/>
      <c r="B16" s="14"/>
      <c r="C16" s="16"/>
      <c r="D16" s="16"/>
      <c r="E16" s="16"/>
      <c r="F16" s="16"/>
      <c r="G16" s="16"/>
      <c r="H16" s="16"/>
      <c r="I16" s="17"/>
      <c r="J16" s="16"/>
      <c r="K16" s="13"/>
      <c r="L16" s="13"/>
      <c r="M16" s="13"/>
      <c r="N16" s="3"/>
      <c r="O16" s="17">
        <v>4714915</v>
      </c>
      <c r="P16" s="13"/>
      <c r="Q16" s="13"/>
      <c r="R16" s="4"/>
      <c r="S16" s="17"/>
      <c r="T16" s="17"/>
      <c r="U16" s="17"/>
      <c r="V16" s="17"/>
    </row>
    <row r="17" spans="1:22" s="1" customFormat="1" ht="16.5">
      <c r="A17" s="146"/>
      <c r="B17" s="14"/>
      <c r="C17" s="17"/>
      <c r="D17" s="17"/>
      <c r="E17" s="17"/>
      <c r="F17" s="17"/>
      <c r="G17" s="17"/>
      <c r="H17" s="17"/>
      <c r="I17" s="17"/>
      <c r="J17" s="17"/>
      <c r="K17" s="13"/>
      <c r="L17" s="13"/>
      <c r="M17" s="13"/>
      <c r="N17" s="3"/>
      <c r="O17" s="17">
        <v>7420341</v>
      </c>
      <c r="P17" s="13"/>
      <c r="Q17" s="13"/>
      <c r="R17" s="17"/>
      <c r="S17" s="17"/>
      <c r="T17" s="17"/>
      <c r="U17" s="17"/>
      <c r="V17" s="17"/>
    </row>
    <row r="18" spans="1:22" s="1" customFormat="1" ht="16.5">
      <c r="A18" s="146"/>
      <c r="B18" s="14"/>
      <c r="C18" s="17"/>
      <c r="D18" s="17"/>
      <c r="E18" s="17"/>
      <c r="F18" s="17"/>
      <c r="G18" s="17"/>
      <c r="H18" s="17"/>
      <c r="I18" s="17"/>
      <c r="J18" s="17"/>
      <c r="K18" s="13"/>
      <c r="L18" s="13"/>
      <c r="M18" s="13"/>
      <c r="N18" s="3"/>
      <c r="O18" s="17">
        <v>2045794</v>
      </c>
      <c r="P18" s="13"/>
      <c r="Q18" s="13"/>
      <c r="R18" s="17"/>
      <c r="S18" s="17"/>
      <c r="T18" s="17"/>
      <c r="U18" s="17"/>
      <c r="V18" s="17"/>
    </row>
    <row r="19" spans="1:22" s="1" customFormat="1" ht="16.5">
      <c r="A19" s="146"/>
      <c r="B19" s="14"/>
      <c r="C19" s="17"/>
      <c r="D19" s="17"/>
      <c r="E19" s="17"/>
      <c r="F19" s="17"/>
      <c r="G19" s="17"/>
      <c r="H19" s="17"/>
      <c r="I19" s="17"/>
      <c r="J19" s="17"/>
      <c r="K19" s="13"/>
      <c r="L19" s="13"/>
      <c r="M19" s="13"/>
      <c r="N19" s="3"/>
      <c r="O19" s="17">
        <v>8088986</v>
      </c>
      <c r="P19" s="13"/>
      <c r="Q19" s="13"/>
      <c r="R19" s="17"/>
      <c r="S19" s="17"/>
      <c r="T19" s="17"/>
      <c r="U19" s="17"/>
      <c r="V19" s="17"/>
    </row>
    <row r="20" spans="1:22" ht="16.5">
      <c r="A20" s="146"/>
      <c r="B20" s="14"/>
      <c r="C20" s="16"/>
      <c r="D20" s="16"/>
      <c r="E20" s="16"/>
      <c r="F20" s="16"/>
      <c r="G20" s="16"/>
      <c r="H20" s="16"/>
      <c r="I20" s="17"/>
      <c r="J20" s="16"/>
      <c r="K20" s="13"/>
      <c r="L20" s="13"/>
      <c r="M20" s="13"/>
      <c r="N20" s="3"/>
      <c r="O20" s="17">
        <v>10495656</v>
      </c>
      <c r="P20" s="13"/>
      <c r="Q20" s="13"/>
      <c r="R20" s="4"/>
      <c r="S20" s="17"/>
      <c r="T20" s="17"/>
      <c r="U20" s="17"/>
      <c r="V20" s="17"/>
    </row>
    <row r="21" spans="1:22" s="1" customFormat="1" ht="16.5">
      <c r="A21" s="49"/>
      <c r="B21" s="50"/>
      <c r="C21" s="7"/>
      <c r="D21" s="7"/>
      <c r="E21" s="7"/>
      <c r="F21" s="7"/>
      <c r="G21" s="7"/>
      <c r="H21" s="7"/>
      <c r="I21" s="7"/>
      <c r="J21" s="7"/>
      <c r="K21" s="18"/>
      <c r="L21" s="18"/>
      <c r="M21" s="18"/>
      <c r="N21" s="3"/>
      <c r="O21" s="7"/>
      <c r="P21" s="18"/>
      <c r="Q21" s="18"/>
      <c r="R21" s="7"/>
      <c r="S21" s="7"/>
      <c r="T21" s="7"/>
      <c r="U21" s="7"/>
      <c r="V21" s="7"/>
    </row>
    <row r="22" spans="1:22" s="52" customFormat="1">
      <c r="A22" s="51" t="str">
        <f t="shared" ref="A22:M22" si="0">A4</f>
        <v>Noms des groupes</v>
      </c>
      <c r="B22" s="51" t="str">
        <f t="shared" si="0"/>
        <v>Solvent control</v>
      </c>
      <c r="C22" s="51" t="str">
        <f t="shared" si="0"/>
        <v>EE2-33.8ng/L</v>
      </c>
      <c r="D22" s="51" t="str">
        <f t="shared" si="0"/>
        <v>EE2-50.6ng/L</v>
      </c>
      <c r="E22" s="51" t="str">
        <f t="shared" si="0"/>
        <v>EE2-76ng/L</v>
      </c>
      <c r="F22" s="51" t="str">
        <f t="shared" si="0"/>
        <v>EE2-114ng/L</v>
      </c>
      <c r="G22" s="51" t="str">
        <f t="shared" si="0"/>
        <v>EE2-170.9ng/L</v>
      </c>
      <c r="H22" s="51" t="str">
        <f t="shared" si="0"/>
        <v>EE2-488ng/L</v>
      </c>
      <c r="I22" s="51" t="str">
        <f t="shared" si="0"/>
        <v>testosterone-300µg/L</v>
      </c>
      <c r="J22" s="51" t="str">
        <f t="shared" si="0"/>
        <v>testosterone-100µg/L</v>
      </c>
      <c r="K22" s="51" t="str">
        <f t="shared" si="0"/>
        <v>testosterone-33µg/L</v>
      </c>
      <c r="L22" s="51" t="str">
        <f t="shared" si="0"/>
        <v>testosterone-11µg/L</v>
      </c>
      <c r="M22" s="51" t="str">
        <f t="shared" si="0"/>
        <v>testosterone-3.7µg/L</v>
      </c>
      <c r="N22" s="51" t="s">
        <v>27</v>
      </c>
      <c r="O22" s="51" t="str">
        <f t="shared" ref="O22:V22" si="1">O4</f>
        <v>Testo -30µg/L</v>
      </c>
      <c r="P22" s="51" t="str">
        <f t="shared" si="1"/>
        <v>Testo 30µg/L + EE2 -64ng/L</v>
      </c>
      <c r="Q22" s="51" t="str">
        <f t="shared" si="1"/>
        <v>Testo 30µg/L + FAD-10mg/L</v>
      </c>
      <c r="R22" s="51" t="str">
        <f t="shared" si="1"/>
        <v>testosterone-300µg/L + Testostérone</v>
      </c>
      <c r="S22" s="51" t="str">
        <f t="shared" si="1"/>
        <v>testosterone-100µg/L + Testostérone</v>
      </c>
      <c r="T22" s="51" t="str">
        <f t="shared" si="1"/>
        <v>testosterone-33µg/L + Testostérone</v>
      </c>
      <c r="U22" s="51" t="str">
        <f t="shared" si="1"/>
        <v>testosterone-11µg/L + Testostérone</v>
      </c>
      <c r="V22" s="51" t="str">
        <f t="shared" si="1"/>
        <v>testosterone-3.7µg/L + Testostérone</v>
      </c>
    </row>
    <row r="23" spans="1:22">
      <c r="A23" s="5" t="s">
        <v>0</v>
      </c>
      <c r="B23" s="5">
        <f t="shared" ref="B23:M23" si="2">AVERAGE(B5:B20)</f>
        <v>1627168.125</v>
      </c>
      <c r="C23" s="5">
        <f t="shared" si="2"/>
        <v>1877366.875</v>
      </c>
      <c r="D23" s="5">
        <f t="shared" si="2"/>
        <v>5536924.625</v>
      </c>
      <c r="E23" s="5">
        <f t="shared" si="2"/>
        <v>7379947</v>
      </c>
      <c r="F23" s="5">
        <f t="shared" si="2"/>
        <v>12568740</v>
      </c>
      <c r="G23" s="5">
        <f t="shared" si="2"/>
        <v>13908195.875</v>
      </c>
      <c r="H23" s="5">
        <f t="shared" si="2"/>
        <v>20238669.75</v>
      </c>
      <c r="I23" s="5">
        <f>AVERAGE(I5:I20)</f>
        <v>12496589.125</v>
      </c>
      <c r="J23" s="5">
        <f t="shared" si="2"/>
        <v>9508337.875</v>
      </c>
      <c r="K23" s="5">
        <f t="shared" si="2"/>
        <v>10716902.375</v>
      </c>
      <c r="L23" s="5">
        <f t="shared" si="2"/>
        <v>6681254.75</v>
      </c>
      <c r="M23" s="5">
        <f t="shared" si="2"/>
        <v>1791999.625</v>
      </c>
      <c r="N23" s="5" t="s">
        <v>0</v>
      </c>
      <c r="O23" s="5">
        <f t="shared" ref="O23:V23" si="3">AVERAGE(O5:O20)</f>
        <v>7974280.25</v>
      </c>
      <c r="P23" s="5">
        <f t="shared" si="3"/>
        <v>13863436.875</v>
      </c>
      <c r="Q23" s="5">
        <f t="shared" si="3"/>
        <v>1692961.5</v>
      </c>
      <c r="R23" s="5">
        <f t="shared" si="3"/>
        <v>6647768.75</v>
      </c>
      <c r="S23" s="5">
        <f t="shared" si="3"/>
        <v>6161075.125</v>
      </c>
      <c r="T23" s="5">
        <f t="shared" si="3"/>
        <v>5586296.25</v>
      </c>
      <c r="U23" s="5">
        <f t="shared" si="3"/>
        <v>8297768.75</v>
      </c>
      <c r="V23" s="5">
        <f t="shared" si="3"/>
        <v>6400035.875</v>
      </c>
    </row>
    <row r="24" spans="1:22">
      <c r="A24" s="3" t="s">
        <v>1</v>
      </c>
      <c r="B24" s="3">
        <f t="shared" ref="B24:M24" si="4">STDEV(B5:B20)</f>
        <v>1591036.7911990539</v>
      </c>
      <c r="C24" s="3">
        <f t="shared" si="4"/>
        <v>1762543.3479825549</v>
      </c>
      <c r="D24" s="3">
        <f t="shared" si="4"/>
        <v>5435693.7629474662</v>
      </c>
      <c r="E24" s="3">
        <f t="shared" si="4"/>
        <v>2218691.0191445895</v>
      </c>
      <c r="F24" s="3">
        <f t="shared" si="4"/>
        <v>1526529.6687383072</v>
      </c>
      <c r="G24" s="3">
        <f t="shared" si="4"/>
        <v>5582914.4150727913</v>
      </c>
      <c r="H24" s="3">
        <f t="shared" si="4"/>
        <v>5359161.3726742668</v>
      </c>
      <c r="I24" s="3">
        <f>STDEV(I5:I20)</f>
        <v>4082524.5568061541</v>
      </c>
      <c r="J24" s="3">
        <f t="shared" si="4"/>
        <v>3708971.1645851117</v>
      </c>
      <c r="K24" s="3">
        <f t="shared" si="4"/>
        <v>3059120.3437858657</v>
      </c>
      <c r="L24" s="3">
        <f t="shared" si="4"/>
        <v>3097571.9722882835</v>
      </c>
      <c r="M24" s="3">
        <f t="shared" si="4"/>
        <v>1254543.2878003211</v>
      </c>
      <c r="N24" s="3" t="s">
        <v>1</v>
      </c>
      <c r="O24" s="3">
        <f t="shared" ref="O24:V24" si="5">STDEV(O5:O20)</f>
        <v>2886462.6092928001</v>
      </c>
      <c r="P24" s="3">
        <f t="shared" si="5"/>
        <v>3181414.5612288122</v>
      </c>
      <c r="Q24" s="3">
        <f t="shared" si="5"/>
        <v>1476199.7972720359</v>
      </c>
      <c r="R24" s="3">
        <f t="shared" si="5"/>
        <v>2292860.305274724</v>
      </c>
      <c r="S24" s="3">
        <f t="shared" si="5"/>
        <v>2281006.7925339732</v>
      </c>
      <c r="T24" s="3">
        <f t="shared" si="5"/>
        <v>2989722.8636377822</v>
      </c>
      <c r="U24" s="3">
        <f t="shared" si="5"/>
        <v>3912836.2438591323</v>
      </c>
      <c r="V24" s="3">
        <f t="shared" si="5"/>
        <v>2364247.2177701988</v>
      </c>
    </row>
    <row r="25" spans="1:22" ht="15.75" thickBot="1"/>
    <row r="26" spans="1:22" ht="15.75" thickBot="1">
      <c r="B26" s="149" t="s">
        <v>6</v>
      </c>
      <c r="C26" s="150"/>
      <c r="D26" s="150"/>
      <c r="E26" s="150"/>
      <c r="F26" s="150"/>
      <c r="G26" s="150"/>
      <c r="H26" s="150"/>
      <c r="I26" s="150"/>
      <c r="J26" s="150"/>
      <c r="K26" s="150"/>
      <c r="L26" s="150"/>
      <c r="M26" s="150"/>
      <c r="N26" s="1"/>
      <c r="O26" s="149" t="s">
        <v>3</v>
      </c>
      <c r="P26" s="150"/>
      <c r="Q26" s="150"/>
      <c r="R26" s="150"/>
      <c r="S26" s="150"/>
      <c r="T26" s="150"/>
      <c r="U26" s="150"/>
      <c r="V26" s="150"/>
    </row>
    <row r="27" spans="1:22" s="1" customFormat="1">
      <c r="A27" s="19" t="s">
        <v>22</v>
      </c>
      <c r="B27" s="20" t="str">
        <f t="shared" ref="B27:M27" si="6">B4</f>
        <v>Solvent control</v>
      </c>
      <c r="C27" s="20" t="str">
        <f t="shared" si="6"/>
        <v>EE2-33.8ng/L</v>
      </c>
      <c r="D27" s="20" t="str">
        <f t="shared" si="6"/>
        <v>EE2-50.6ng/L</v>
      </c>
      <c r="E27" s="20" t="str">
        <f t="shared" si="6"/>
        <v>EE2-76ng/L</v>
      </c>
      <c r="F27" s="20" t="str">
        <f t="shared" si="6"/>
        <v>EE2-114ng/L</v>
      </c>
      <c r="G27" s="20" t="str">
        <f t="shared" si="6"/>
        <v>EE2-170.9ng/L</v>
      </c>
      <c r="H27" s="20" t="str">
        <f t="shared" si="6"/>
        <v>EE2-488ng/L</v>
      </c>
      <c r="I27" s="20" t="str">
        <f t="shared" si="6"/>
        <v>testosterone-300µg/L</v>
      </c>
      <c r="J27" s="20" t="str">
        <f t="shared" si="6"/>
        <v>testosterone-100µg/L</v>
      </c>
      <c r="K27" s="20" t="str">
        <f t="shared" si="6"/>
        <v>testosterone-33µg/L</v>
      </c>
      <c r="L27" s="20" t="str">
        <f t="shared" si="6"/>
        <v>testosterone-11µg/L</v>
      </c>
      <c r="M27" s="20" t="str">
        <f t="shared" si="6"/>
        <v>testosterone-3.7µg/L</v>
      </c>
      <c r="N27" s="3"/>
      <c r="O27" s="21" t="str">
        <f t="shared" ref="O27:V27" si="7">O4</f>
        <v>Testo -30µg/L</v>
      </c>
      <c r="P27" s="21" t="str">
        <f t="shared" si="7"/>
        <v>Testo 30µg/L + EE2 -64ng/L</v>
      </c>
      <c r="Q27" s="21" t="str">
        <f t="shared" si="7"/>
        <v>Testo 30µg/L + FAD-10mg/L</v>
      </c>
      <c r="R27" s="21" t="str">
        <f t="shared" si="7"/>
        <v>testosterone-300µg/L + Testostérone</v>
      </c>
      <c r="S27" s="21" t="str">
        <f t="shared" si="7"/>
        <v>testosterone-100µg/L + Testostérone</v>
      </c>
      <c r="T27" s="21" t="str">
        <f t="shared" si="7"/>
        <v>testosterone-33µg/L + Testostérone</v>
      </c>
      <c r="U27" s="21" t="str">
        <f t="shared" si="7"/>
        <v>testosterone-11µg/L + Testostérone</v>
      </c>
      <c r="V27" s="21" t="str">
        <f t="shared" si="7"/>
        <v>testosterone-3.7µg/L + Testostérone</v>
      </c>
    </row>
    <row r="28" spans="1:22">
      <c r="A28" s="147" t="s">
        <v>72</v>
      </c>
      <c r="B28" s="77">
        <f>IF(B5="","",(B5/$O$23))</f>
        <v>3.2913064473749844E-2</v>
      </c>
      <c r="C28" s="77">
        <f>IF(C5="","",(C5/$O$23))</f>
        <v>8.9512028373971431E-2</v>
      </c>
      <c r="D28" s="77">
        <f>IF(D5="","",(D5/$O$23))</f>
        <v>0.11367408362654423</v>
      </c>
      <c r="E28" s="77">
        <f>IF(E5="","",(E5/$O$23))</f>
        <v>0.93602278399984751</v>
      </c>
      <c r="F28" s="77">
        <f>IF(F5="","",(F5/$O$23))</f>
        <v>1.3467174043701311</v>
      </c>
      <c r="G28" s="77">
        <f>IF(G5="","",(G5/$O$23))</f>
        <v>2.4909188512656049</v>
      </c>
      <c r="H28" s="77">
        <f>IF(H5="","",(H5/$O$23))</f>
        <v>1.8849327498867374</v>
      </c>
      <c r="I28" s="11">
        <f>IF(I5="","",(I5/$O$23))</f>
        <v>1.3993724386599029</v>
      </c>
      <c r="J28" s="11">
        <f>IF(J5="","",(J5/$O$23))</f>
        <v>0.7907306744078878</v>
      </c>
      <c r="K28" s="11">
        <f>IF(K5="","",(K5/$O$23))</f>
        <v>1.0344469646649301</v>
      </c>
      <c r="L28" s="11">
        <f>IF(L5="","",(L5/$O$23))</f>
        <v>0.73486807790583986</v>
      </c>
      <c r="M28" s="11">
        <f>IF(M5="","",(M5/$O$23))</f>
        <v>7.3583443471277543E-2</v>
      </c>
      <c r="N28" s="6"/>
      <c r="O28" s="77">
        <f t="shared" ref="O28:V28" si="8">IF(O5="","",(O5/$O$23))</f>
        <v>0.66168329110329427</v>
      </c>
      <c r="P28" s="77">
        <f t="shared" si="8"/>
        <v>1.202209189976738</v>
      </c>
      <c r="Q28" s="77">
        <f t="shared" si="8"/>
        <v>0.13726267019521918</v>
      </c>
      <c r="R28" s="77">
        <f t="shared" si="8"/>
        <v>0.83645843773800155</v>
      </c>
      <c r="S28" s="77">
        <f t="shared" si="8"/>
        <v>0.65278668880492385</v>
      </c>
      <c r="T28" s="77">
        <f t="shared" si="8"/>
        <v>0.44923954108585534</v>
      </c>
      <c r="U28" s="77">
        <f t="shared" si="8"/>
        <v>1.2057401669573877</v>
      </c>
      <c r="V28" s="77">
        <f t="shared" si="8"/>
        <v>0.50451913826329342</v>
      </c>
    </row>
    <row r="29" spans="1:22">
      <c r="A29" s="148"/>
      <c r="B29" s="77">
        <f>IF(B6="","",(B6/$O$23))</f>
        <v>0.54693061483511318</v>
      </c>
      <c r="C29" s="77">
        <f>IF(C6="","",(C6/$O$23))</f>
        <v>0.56350251798587092</v>
      </c>
      <c r="D29" s="77">
        <f>IF(D6="","",(D6/$O$23))</f>
        <v>0.1725528771076236</v>
      </c>
      <c r="E29" s="77">
        <f>IF(E6="","",(E6/$O$23))</f>
        <v>0.92299790943514937</v>
      </c>
      <c r="F29" s="77">
        <f>IF(F6="","",(F6/$O$23))</f>
        <v>1.5654301841222598</v>
      </c>
      <c r="G29" s="77">
        <f>IF(G6="","",(G6/$O$23))</f>
        <v>2.6295811462106564</v>
      </c>
      <c r="H29" s="77">
        <f>IF(H6="","",(H6/$O$23))</f>
        <v>2.7503387531432697</v>
      </c>
      <c r="I29" s="11">
        <f>IF(I6="","",(I6/$O$23))</f>
        <v>1.695757557555116</v>
      </c>
      <c r="J29" s="11">
        <f>IF(J6="","",(J6/$O$23))</f>
        <v>0.42828228917587891</v>
      </c>
      <c r="K29" s="11">
        <f>IF(K6="","",(K6/$O$23))</f>
        <v>1.4604391412002355</v>
      </c>
      <c r="L29" s="11">
        <f>IF(L6="","",(L6/$O$23))</f>
        <v>1.4558042401381617</v>
      </c>
      <c r="M29" s="11">
        <f>IF(M6="","",(M6/$O$23))</f>
        <v>3.0876266231049505E-2</v>
      </c>
      <c r="N29" s="6"/>
      <c r="O29" s="77">
        <f t="shared" ref="O29:V29" si="9">IF(O6="","",(O6/$O$23))</f>
        <v>1.1515819249016235</v>
      </c>
      <c r="P29" s="77">
        <f t="shared" si="9"/>
        <v>1.5247748535048038</v>
      </c>
      <c r="Q29" s="77">
        <f t="shared" si="9"/>
        <v>0.22895194835922653</v>
      </c>
      <c r="R29" s="77">
        <f t="shared" si="9"/>
        <v>0.33717839299665947</v>
      </c>
      <c r="S29" s="77">
        <f t="shared" si="9"/>
        <v>0.83064549932265042</v>
      </c>
      <c r="T29" s="77">
        <f t="shared" si="9"/>
        <v>1.0935585064244513</v>
      </c>
      <c r="U29" s="77">
        <f t="shared" si="9"/>
        <v>0.52777778909889705</v>
      </c>
      <c r="V29" s="77">
        <f t="shared" si="9"/>
        <v>1.3916017059972279</v>
      </c>
    </row>
    <row r="30" spans="1:22">
      <c r="A30" s="148"/>
      <c r="B30" s="77">
        <f>IF(B7="","",(B7/$O$23))</f>
        <v>4.4369396222311099E-2</v>
      </c>
      <c r="C30" s="77">
        <f>IF(C7="","",(C7/$O$23))</f>
        <v>6.5822241449314506E-2</v>
      </c>
      <c r="D30" s="77">
        <f>IF(D7="","",(D7/$O$23))</f>
        <v>0.97751568237145914</v>
      </c>
      <c r="E30" s="77">
        <f>IF(E7="","",(E7/$O$23))</f>
        <v>1.4124793268959916</v>
      </c>
      <c r="F30" s="77">
        <f>IF(F7="","",(F7/$O$23))</f>
        <v>1.3508289980152126</v>
      </c>
      <c r="G30" s="77">
        <f>IF(G7="","",(G7/$O$23))</f>
        <v>1.5100409845766332</v>
      </c>
      <c r="H30" s="77">
        <f>IF(H7="","",(H7/$O$23))</f>
        <v>2.9682745348710311</v>
      </c>
      <c r="I30" s="11">
        <f>IF(I7="","",(I7/$O$23))</f>
        <v>1.3719639462132021</v>
      </c>
      <c r="J30" s="11">
        <f>IF(J7="","",(J7/$O$23))</f>
        <v>1.2841807259031308</v>
      </c>
      <c r="K30" s="11">
        <f>IF(K7="","",(K7/$O$23))</f>
        <v>0.99226071218151635</v>
      </c>
      <c r="L30" s="11">
        <f>IF(L7="","",(L7/$O$23))</f>
        <v>0.46296328750171528</v>
      </c>
      <c r="M30" s="11">
        <f>IF(M7="","",(M7/$O$23))</f>
        <v>0.28510823907900651</v>
      </c>
      <c r="N30" s="6"/>
      <c r="O30" s="77">
        <f t="shared" ref="O30:V30" si="10">IF(O7="","",(O7/$O$23))</f>
        <v>0.96113514445394621</v>
      </c>
      <c r="P30" s="77">
        <f t="shared" si="10"/>
        <v>1.5879293933769132</v>
      </c>
      <c r="Q30" s="77">
        <f t="shared" si="10"/>
        <v>0.1179880779835898</v>
      </c>
      <c r="R30" s="77">
        <f t="shared" si="10"/>
        <v>0.95553125311842413</v>
      </c>
      <c r="S30" s="77">
        <f t="shared" si="10"/>
        <v>0.89758019226876307</v>
      </c>
      <c r="T30" s="77">
        <f t="shared" si="10"/>
        <v>0.50753997515951366</v>
      </c>
      <c r="U30" s="77">
        <f t="shared" si="10"/>
        <v>1.1099167225781914</v>
      </c>
      <c r="V30" s="77">
        <f t="shared" si="10"/>
        <v>0.64877529229048603</v>
      </c>
    </row>
    <row r="31" spans="1:22">
      <c r="A31" s="148"/>
      <c r="B31" s="77">
        <f>IF(B8="","",(B8/$O$23))</f>
        <v>0.18011230543345902</v>
      </c>
      <c r="C31" s="77">
        <f>IF(C8="","",(C8/$O$23))</f>
        <v>0.19632242044666037</v>
      </c>
      <c r="D31" s="77">
        <f>IF(D8="","",(D8/$O$23))</f>
        <v>0.97890452244890691</v>
      </c>
      <c r="E31" s="77">
        <f>IF(E8="","",(E8/$O$23))</f>
        <v>0.88635447694480007</v>
      </c>
      <c r="F31" s="77">
        <f>IF(F8="","",(F8/$O$23))</f>
        <v>1.7301596592369575</v>
      </c>
      <c r="G31" s="77">
        <f>IF(G8="","",(G8/$O$23))</f>
        <v>2.3312962947345626</v>
      </c>
      <c r="H31" s="77">
        <f>IF(H8="","",(H8/$O$23))</f>
        <v>2.3576527800110862</v>
      </c>
      <c r="I31" s="11">
        <f>IF(I8="","",(I8/$O$23))</f>
        <v>1.6993005732398232</v>
      </c>
      <c r="J31" s="11">
        <f>IF(J8="","",(J8/$O$23))</f>
        <v>1.8698453694300499</v>
      </c>
      <c r="K31" s="11">
        <f>IF(K8="","",(K8/$O$23))</f>
        <v>1.4394265864934959</v>
      </c>
      <c r="L31" s="11">
        <f>IF(L8="","",(L8/$O$23))</f>
        <v>0.35489886375638729</v>
      </c>
      <c r="M31" s="11">
        <f>IF(M8="","",(M8/$O$23))</f>
        <v>0.47177047734182653</v>
      </c>
      <c r="N31" s="6"/>
      <c r="O31" s="77">
        <f t="shared" ref="O31:V31" si="11">IF(O8="","",(O8/$O$23))</f>
        <v>1.6231838603866475</v>
      </c>
      <c r="P31" s="77">
        <f t="shared" si="11"/>
        <v>2.1497432323124084</v>
      </c>
      <c r="Q31" s="77">
        <f t="shared" si="11"/>
        <v>0.27364701660692198</v>
      </c>
      <c r="R31" s="77">
        <f t="shared" si="11"/>
        <v>0.9584359666817579</v>
      </c>
      <c r="S31" s="77">
        <f t="shared" si="11"/>
        <v>0.70522515182483081</v>
      </c>
      <c r="T31" s="77">
        <f t="shared" si="11"/>
        <v>0.37030100616290729</v>
      </c>
      <c r="U31" s="77">
        <f t="shared" si="11"/>
        <v>0.86488219422687085</v>
      </c>
      <c r="V31" s="77">
        <f t="shared" si="11"/>
        <v>0.87990963196960625</v>
      </c>
    </row>
    <row r="32" spans="1:22">
      <c r="A32" s="148"/>
      <c r="B32" s="77">
        <f>IF(B9="","",(B9/$O$23))</f>
        <v>0</v>
      </c>
      <c r="C32" s="77">
        <f>IF(C9="","",(C9/$O$23))</f>
        <v>9.8558236650887712E-2</v>
      </c>
      <c r="D32" s="77">
        <f>IF(D9="","",(D9/$O$23))</f>
        <v>0.32106370979374599</v>
      </c>
      <c r="E32" s="77">
        <f>IF(E9="","",(E9/$O$23))</f>
        <v>0.6072245830587657</v>
      </c>
      <c r="F32" s="77">
        <f>IF(F9="","",(F9/$O$23))</f>
        <v>1.5233428747378173</v>
      </c>
      <c r="G32" s="77">
        <f>IF(G9="","",(G9/$O$23))</f>
        <v>1.1853380748688886</v>
      </c>
      <c r="H32" s="77">
        <f>IF(H9="","",(H9/$O$23))</f>
        <v>1.2493163881467546</v>
      </c>
      <c r="I32" s="11">
        <f>IF(I9="","",(I9/$O$23))</f>
        <v>0.67769702475656035</v>
      </c>
      <c r="J32" s="11">
        <f>IF(J9="","",(J9/$O$23))</f>
        <v>1.1608532318637785</v>
      </c>
      <c r="K32" s="11">
        <f>IF(K9="","",(K9/$O$23))</f>
        <v>0.95003081939589473</v>
      </c>
      <c r="L32" s="11">
        <f>IF(L9="","",(L9/$O$23))</f>
        <v>1.060338329594072</v>
      </c>
      <c r="M32" s="11">
        <f>IF(M9="","",(M9/$O$23))</f>
        <v>4.9834967864341113E-2</v>
      </c>
      <c r="N32" s="6"/>
      <c r="O32" s="77">
        <f t="shared" ref="O32:V32" si="12">IF(O9="","",(O9/$O$23))</f>
        <v>1.5531140882589372</v>
      </c>
      <c r="P32" s="77">
        <f t="shared" si="12"/>
        <v>2.0387829986286223</v>
      </c>
      <c r="Q32" s="77">
        <f t="shared" si="12"/>
        <v>0.12954147178361333</v>
      </c>
      <c r="R32" s="77">
        <f t="shared" si="12"/>
        <v>1.1314021726286834</v>
      </c>
      <c r="S32" s="77">
        <f t="shared" si="12"/>
        <v>1.276287975958708</v>
      </c>
      <c r="T32" s="77">
        <f t="shared" si="12"/>
        <v>0.90982342889190537</v>
      </c>
      <c r="U32" s="77">
        <f t="shared" si="12"/>
        <v>0.70604779660208206</v>
      </c>
      <c r="V32" s="77">
        <f t="shared" si="12"/>
        <v>1.0098595418689982</v>
      </c>
    </row>
    <row r="33" spans="1:22">
      <c r="A33" s="148"/>
      <c r="B33" s="77">
        <f>IF(B10="","",(B10/$O$23))</f>
        <v>0.45008137254769798</v>
      </c>
      <c r="C33" s="77">
        <f>IF(C10="","",(C10/$O$23))</f>
        <v>0.12147328280818824</v>
      </c>
      <c r="D33" s="77">
        <f>IF(D10="","",(D10/$O$23))</f>
        <v>5.0056053648227378E-2</v>
      </c>
      <c r="E33" s="77">
        <f>IF(E10="","",(E10/$O$23))</f>
        <v>1.2405312692640817</v>
      </c>
      <c r="F33" s="77">
        <f>IF(F10="","",(F10/$O$23))</f>
        <v>1.4873195609095879</v>
      </c>
      <c r="G33" s="77">
        <f>IF(G10="","",(G10/$O$23))</f>
        <v>1.8702153087734783</v>
      </c>
      <c r="H33" s="77">
        <f>IF(H10="","",(H10/$O$23))</f>
        <v>3.0417600384686754</v>
      </c>
      <c r="I33" s="11">
        <f>IF(I10="","",(I10/$O$23))</f>
        <v>1.7246390356044985</v>
      </c>
      <c r="J33" s="11">
        <f>IF(J10="","",(J10/$O$23))</f>
        <v>1.6101023035903459</v>
      </c>
      <c r="K33" s="11">
        <f>IF(K10="","",(K10/$O$23))</f>
        <v>1.8293679859069412</v>
      </c>
      <c r="L33" s="11">
        <f>IF(L10="","",(L10/$O$23))</f>
        <v>0.57213251315063829</v>
      </c>
      <c r="M33" s="11">
        <f>IF(M10="","",(M10/$O$23))</f>
        <v>0.25626036907845068</v>
      </c>
      <c r="N33" s="6"/>
      <c r="O33" s="77">
        <f t="shared" ref="O33:V33" si="13">IF(O10="","",(O10/$O$23))</f>
        <v>0.9640867588018367</v>
      </c>
      <c r="P33" s="77">
        <f t="shared" si="13"/>
        <v>1.4480844211613957</v>
      </c>
      <c r="Q33" s="77">
        <f t="shared" si="13"/>
        <v>0.63169701115031662</v>
      </c>
      <c r="R33" s="77">
        <f t="shared" si="13"/>
        <v>0.47756937060244403</v>
      </c>
      <c r="S33" s="77">
        <f t="shared" si="13"/>
        <v>0.36078014689789717</v>
      </c>
      <c r="T33" s="77">
        <f t="shared" si="13"/>
        <v>0.1758669066089068</v>
      </c>
      <c r="U33" s="77">
        <f t="shared" si="13"/>
        <v>0.8832872408766923</v>
      </c>
      <c r="V33" s="77">
        <f t="shared" si="13"/>
        <v>0.73707692929402624</v>
      </c>
    </row>
    <row r="34" spans="1:22">
      <c r="A34" s="148"/>
      <c r="B34" s="77">
        <f>IF(B11="","",(B11/$O$23))</f>
        <v>0.22846438084490447</v>
      </c>
      <c r="C34" s="77">
        <f>IF(C11="","",(C11/$O$23))</f>
        <v>0.61135812225811859</v>
      </c>
      <c r="D34" s="77">
        <f>IF(D11="","",(D11/$O$23))</f>
        <v>2.0716099111264619</v>
      </c>
      <c r="E34" s="77">
        <f>IF(E11="","",(E11/$O$23))</f>
        <v>0.70038772464762578</v>
      </c>
      <c r="F34" s="77">
        <f>IF(F11="","",(F11/$O$23))</f>
        <v>1.7135367169971234</v>
      </c>
      <c r="G34" s="77">
        <f>IF(G11="","",(G11/$O$23))</f>
        <v>1.2474977914150935</v>
      </c>
      <c r="H34" s="77">
        <f>IF(H11="","",(H11/$O$23))</f>
        <v>3.228222007873375</v>
      </c>
      <c r="I34" s="11">
        <f>IF(I11="","",(I11/$O$23))</f>
        <v>2.5183514211204203</v>
      </c>
      <c r="J34" s="11">
        <f>IF(J11="","",(J11/$O$23))</f>
        <v>1.4487447942402074</v>
      </c>
      <c r="K34" s="11">
        <f>IF(K11="","",(K11/$O$23))</f>
        <v>1.9309543328377505</v>
      </c>
      <c r="L34" s="11">
        <f>IF(L11="","",(L11/$O$23))</f>
        <v>1.2492235898029793</v>
      </c>
      <c r="M34" s="11">
        <f>IF(M11="","",(M11/$O$23))</f>
        <v>0.30483114761360436</v>
      </c>
      <c r="N34" s="6"/>
      <c r="O34" s="77">
        <f t="shared" ref="O34:V34" si="14">IF(O11="","",(O11/$O$23))</f>
        <v>0.84170543165949052</v>
      </c>
      <c r="P34" s="77">
        <f t="shared" si="14"/>
        <v>2.365333974812335</v>
      </c>
      <c r="Q34" s="77">
        <f t="shared" si="14"/>
        <v>2.4476566396070668E-2</v>
      </c>
      <c r="R34" s="77">
        <f t="shared" si="14"/>
        <v>0.84535717189021542</v>
      </c>
      <c r="S34" s="77">
        <f t="shared" si="14"/>
        <v>0.49672169472599109</v>
      </c>
      <c r="T34" s="77">
        <f t="shared" si="14"/>
        <v>1.2194580194243863</v>
      </c>
      <c r="U34" s="77">
        <f t="shared" si="14"/>
        <v>2.1361818829981551</v>
      </c>
      <c r="V34" s="77">
        <f t="shared" si="14"/>
        <v>0.48447895971551791</v>
      </c>
    </row>
    <row r="35" spans="1:22">
      <c r="A35" s="148"/>
      <c r="B35" s="77">
        <f>IF(B12="","",(B12/$O$23))</f>
        <v>0.14954515800971505</v>
      </c>
      <c r="C35" s="77">
        <f>IF(C12="","",(C12/$O$23))</f>
        <v>0.13687316795769749</v>
      </c>
      <c r="D35" s="77">
        <f>IF(D12="","",(D12/$O$23))</f>
        <v>0.86940623888908342</v>
      </c>
      <c r="E35" s="77">
        <f>IF(E12="","",(E12/$O$23))</f>
        <v>0.6977517500717384</v>
      </c>
      <c r="F35" s="77">
        <f>IF(F12="","",(F12/$O$23))</f>
        <v>1.8919430377431241</v>
      </c>
      <c r="G35" s="77">
        <f>IF(G12="","",(G12/$O$23))</f>
        <v>0.68816605736925285</v>
      </c>
      <c r="H35" s="77">
        <f>IF(H12="","",(H12/$O$23))</f>
        <v>2.8234490504644603</v>
      </c>
      <c r="I35" s="11">
        <f>IF(I12="","",(I12/$O$23))</f>
        <v>1.4498128530157941</v>
      </c>
      <c r="J35" s="11">
        <f>IF(J12="","",(J12/$O$23))</f>
        <v>0.94626609091146507</v>
      </c>
      <c r="K35" s="11">
        <f>IF(K12="","",(K12/$O$23))</f>
        <v>1.1145414659837167</v>
      </c>
      <c r="L35" s="11">
        <f>IF(L12="","",(L12/$O$23))</f>
        <v>0.81257515372625633</v>
      </c>
      <c r="M35" s="11">
        <f>IF(M12="","",(M12/$O$23))</f>
        <v>0.32551451900627648</v>
      </c>
      <c r="N35" s="6"/>
      <c r="O35" s="77">
        <f t="shared" ref="O35:V35" si="15">IF(O12="","",(O12/$O$23))</f>
        <v>0.97407900857259189</v>
      </c>
      <c r="P35" s="77">
        <f t="shared" si="15"/>
        <v>1.591293082532433</v>
      </c>
      <c r="Q35" s="77">
        <f t="shared" si="15"/>
        <v>0.15485711077184677</v>
      </c>
      <c r="R35" s="77">
        <f t="shared" si="15"/>
        <v>1.1272772862478717</v>
      </c>
      <c r="S35" s="77">
        <f t="shared" si="15"/>
        <v>0.96091932560308502</v>
      </c>
      <c r="T35" s="77">
        <f t="shared" si="15"/>
        <v>0.87852656043785271</v>
      </c>
      <c r="U35" s="77">
        <f t="shared" si="15"/>
        <v>0.89069806644932004</v>
      </c>
      <c r="V35" s="77">
        <f t="shared" si="15"/>
        <v>0.76445695522175805</v>
      </c>
    </row>
    <row r="36" spans="1:22" s="1" customFormat="1">
      <c r="A36" s="148"/>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V36" si="16">IF(O13="","",(O13/$O$23))</f>
        <v>0.9907771927127843</v>
      </c>
      <c r="P36" s="11" t="str">
        <f t="shared" si="16"/>
        <v/>
      </c>
      <c r="Q36" s="11" t="str">
        <f t="shared" si="16"/>
        <v/>
      </c>
      <c r="R36" s="11" t="str">
        <f t="shared" si="16"/>
        <v/>
      </c>
      <c r="S36" s="11" t="str">
        <f t="shared" si="16"/>
        <v/>
      </c>
      <c r="T36" s="11" t="str">
        <f t="shared" si="16"/>
        <v/>
      </c>
      <c r="U36" s="11" t="str">
        <f t="shared" si="16"/>
        <v/>
      </c>
      <c r="V36" s="11" t="str">
        <f t="shared" si="16"/>
        <v/>
      </c>
    </row>
    <row r="37" spans="1:22" s="1" customFormat="1">
      <c r="A37" s="14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V37" si="17">IF(O14="","",(O14/$O$23))</f>
        <v>1.4494291193239666</v>
      </c>
      <c r="P37" s="11" t="str">
        <f t="shared" si="17"/>
        <v/>
      </c>
      <c r="Q37" s="11" t="str">
        <f t="shared" si="17"/>
        <v/>
      </c>
      <c r="R37" s="11" t="str">
        <f t="shared" si="17"/>
        <v/>
      </c>
      <c r="S37" s="11" t="str">
        <f t="shared" si="17"/>
        <v/>
      </c>
      <c r="T37" s="11" t="str">
        <f t="shared" si="17"/>
        <v/>
      </c>
      <c r="U37" s="11" t="str">
        <f t="shared" si="17"/>
        <v/>
      </c>
      <c r="V37" s="11" t="str">
        <f t="shared" si="17"/>
        <v/>
      </c>
    </row>
    <row r="38" spans="1:22" s="1" customFormat="1">
      <c r="A38" s="14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18">IF(O15="","",(O15/$O$23))</f>
        <v>0.72030262543130463</v>
      </c>
      <c r="P38" s="11" t="str">
        <f t="shared" si="18"/>
        <v/>
      </c>
      <c r="Q38" s="11" t="str">
        <f t="shared" si="18"/>
        <v/>
      </c>
      <c r="R38" s="11" t="str">
        <f t="shared" si="18"/>
        <v/>
      </c>
      <c r="S38" s="11" t="str">
        <f t="shared" ref="S38:V38" si="19">IF(S15="","",(S15/$O$23))</f>
        <v/>
      </c>
      <c r="T38" s="11" t="str">
        <f t="shared" si="19"/>
        <v/>
      </c>
      <c r="U38" s="11" t="str">
        <f t="shared" si="19"/>
        <v/>
      </c>
      <c r="V38" s="11" t="str">
        <f t="shared" si="19"/>
        <v/>
      </c>
    </row>
    <row r="39" spans="1:22" s="1" customFormat="1">
      <c r="A39" s="14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0">IF(O16="","",(O16/$O$23))</f>
        <v>0.59126527438009213</v>
      </c>
      <c r="P39" s="11" t="str">
        <f t="shared" si="20"/>
        <v/>
      </c>
      <c r="Q39" s="11" t="str">
        <f t="shared" si="20"/>
        <v/>
      </c>
      <c r="R39" s="11" t="str">
        <f t="shared" si="20"/>
        <v/>
      </c>
      <c r="S39" s="11" t="str">
        <f t="shared" ref="S39:V39" si="21">IF(S16="","",(S16/$O$23))</f>
        <v/>
      </c>
      <c r="T39" s="11" t="str">
        <f t="shared" si="21"/>
        <v/>
      </c>
      <c r="U39" s="11" t="str">
        <f t="shared" si="21"/>
        <v/>
      </c>
      <c r="V39" s="11" t="str">
        <f t="shared" si="21"/>
        <v/>
      </c>
    </row>
    <row r="40" spans="1:22" s="1" customFormat="1">
      <c r="A40" s="14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2">IF(O17="","",(O17/$O$23))</f>
        <v>0.93053426357820823</v>
      </c>
      <c r="P40" s="11" t="str">
        <f t="shared" si="22"/>
        <v/>
      </c>
      <c r="Q40" s="11" t="str">
        <f t="shared" si="22"/>
        <v/>
      </c>
      <c r="R40" s="11" t="str">
        <f t="shared" si="22"/>
        <v/>
      </c>
      <c r="S40" s="11" t="str">
        <f t="shared" ref="S40:V40" si="23">IF(S17="","",(S17/$O$23))</f>
        <v/>
      </c>
      <c r="T40" s="11" t="str">
        <f t="shared" si="23"/>
        <v/>
      </c>
      <c r="U40" s="11" t="str">
        <f t="shared" si="23"/>
        <v/>
      </c>
      <c r="V40" s="11" t="str">
        <f t="shared" si="23"/>
        <v/>
      </c>
    </row>
    <row r="41" spans="1:22" s="1" customFormat="1">
      <c r="A41" s="14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4">IF(O18="","",(O18/$O$23))</f>
        <v>0.25654904716949217</v>
      </c>
      <c r="P41" s="11" t="str">
        <f t="shared" si="24"/>
        <v/>
      </c>
      <c r="Q41" s="11" t="str">
        <f t="shared" si="24"/>
        <v/>
      </c>
      <c r="R41" s="11" t="str">
        <f t="shared" si="24"/>
        <v/>
      </c>
      <c r="S41" s="11" t="str">
        <f t="shared" ref="S41:V41" si="25">IF(S18="","",(S18/$O$23))</f>
        <v/>
      </c>
      <c r="T41" s="11" t="str">
        <f t="shared" si="25"/>
        <v/>
      </c>
      <c r="U41" s="11" t="str">
        <f t="shared" si="25"/>
        <v/>
      </c>
      <c r="V41" s="11" t="str">
        <f t="shared" si="25"/>
        <v/>
      </c>
    </row>
    <row r="42" spans="1:22" s="1" customFormat="1">
      <c r="A42" s="14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26">IF(O19="","",(O19/$O$23))</f>
        <v>1.0143844643533817</v>
      </c>
      <c r="P42" s="11" t="str">
        <f t="shared" si="26"/>
        <v/>
      </c>
      <c r="Q42" s="11" t="str">
        <f t="shared" si="26"/>
        <v/>
      </c>
      <c r="R42" s="11" t="str">
        <f t="shared" si="26"/>
        <v/>
      </c>
      <c r="S42" s="11" t="str">
        <f t="shared" ref="S42:V42" si="27">IF(S19="","",(S19/$O$23))</f>
        <v/>
      </c>
      <c r="T42" s="11" t="str">
        <f t="shared" si="27"/>
        <v/>
      </c>
      <c r="U42" s="11" t="str">
        <f t="shared" si="27"/>
        <v/>
      </c>
      <c r="V42" s="11" t="str">
        <f t="shared" si="27"/>
        <v/>
      </c>
    </row>
    <row r="43" spans="1:22" s="1" customFormat="1">
      <c r="A43" s="14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28">IF(O20="","",(O20/$O$23))</f>
        <v>1.3161885049124027</v>
      </c>
      <c r="P43" s="11" t="str">
        <f t="shared" si="28"/>
        <v/>
      </c>
      <c r="Q43" s="11" t="str">
        <f t="shared" si="28"/>
        <v/>
      </c>
      <c r="R43" s="11" t="str">
        <f t="shared" si="28"/>
        <v/>
      </c>
      <c r="S43" s="11" t="str">
        <f t="shared" ref="S43:V43" si="29">IF(S20="","",(S20/$O$23))</f>
        <v/>
      </c>
      <c r="T43" s="11" t="str">
        <f t="shared" si="29"/>
        <v/>
      </c>
      <c r="U43" s="11" t="str">
        <f t="shared" si="29"/>
        <v/>
      </c>
      <c r="V43" s="11" t="str">
        <f t="shared" si="29"/>
        <v/>
      </c>
    </row>
    <row r="44" spans="1:22">
      <c r="A44" s="7"/>
      <c r="B44" s="3"/>
      <c r="C44" s="3"/>
      <c r="D44" s="3"/>
      <c r="E44" s="3"/>
      <c r="F44" s="3"/>
      <c r="G44" s="3"/>
      <c r="H44" s="3"/>
      <c r="I44" s="3"/>
      <c r="J44" s="3"/>
      <c r="N44" s="7"/>
      <c r="O44" s="3"/>
      <c r="P44" s="3"/>
      <c r="Q44" s="3"/>
      <c r="R44" s="3"/>
      <c r="S44" s="3"/>
      <c r="T44" s="3"/>
      <c r="U44" s="3"/>
      <c r="V44" s="3"/>
    </row>
    <row r="45" spans="1:22" s="52" customFormat="1">
      <c r="A45" s="53" t="str">
        <f t="shared" ref="A45:M45" si="30">A4</f>
        <v>Noms des groupes</v>
      </c>
      <c r="B45" s="53" t="str">
        <f t="shared" si="30"/>
        <v>Solvent control</v>
      </c>
      <c r="C45" s="53" t="str">
        <f t="shared" si="30"/>
        <v>EE2-33.8ng/L</v>
      </c>
      <c r="D45" s="53" t="str">
        <f t="shared" si="30"/>
        <v>EE2-50.6ng/L</v>
      </c>
      <c r="E45" s="53" t="str">
        <f t="shared" si="30"/>
        <v>EE2-76ng/L</v>
      </c>
      <c r="F45" s="53" t="str">
        <f t="shared" si="30"/>
        <v>EE2-114ng/L</v>
      </c>
      <c r="G45" s="53" t="str">
        <f t="shared" si="30"/>
        <v>EE2-170.9ng/L</v>
      </c>
      <c r="H45" s="53" t="str">
        <f t="shared" si="30"/>
        <v>EE2-488ng/L</v>
      </c>
      <c r="I45" s="53" t="str">
        <f t="shared" si="30"/>
        <v>testosterone-300µg/L</v>
      </c>
      <c r="J45" s="53" t="str">
        <f t="shared" si="30"/>
        <v>testosterone-100µg/L</v>
      </c>
      <c r="K45" s="53" t="str">
        <f t="shared" si="30"/>
        <v>testosterone-33µg/L</v>
      </c>
      <c r="L45" s="53" t="str">
        <f t="shared" si="30"/>
        <v>testosterone-11µg/L</v>
      </c>
      <c r="M45" s="53" t="str">
        <f t="shared" si="30"/>
        <v>testosterone-3.7µg/L</v>
      </c>
      <c r="N45" s="53" t="str">
        <f>N22</f>
        <v>Nom des groupes</v>
      </c>
      <c r="O45" s="53" t="str">
        <f t="shared" ref="O45:V45" si="31">O4</f>
        <v>Testo -30µg/L</v>
      </c>
      <c r="P45" s="53" t="str">
        <f t="shared" si="31"/>
        <v>Testo 30µg/L + EE2 -64ng/L</v>
      </c>
      <c r="Q45" s="53" t="str">
        <f t="shared" si="31"/>
        <v>Testo 30µg/L + FAD-10mg/L</v>
      </c>
      <c r="R45" s="53" t="str">
        <f t="shared" si="31"/>
        <v>testosterone-300µg/L + Testostérone</v>
      </c>
      <c r="S45" s="53" t="str">
        <f t="shared" si="31"/>
        <v>testosterone-100µg/L + Testostérone</v>
      </c>
      <c r="T45" s="53" t="str">
        <f t="shared" si="31"/>
        <v>testosterone-33µg/L + Testostérone</v>
      </c>
      <c r="U45" s="53" t="str">
        <f t="shared" si="31"/>
        <v>testosterone-11µg/L + Testostérone</v>
      </c>
      <c r="V45" s="53" t="str">
        <f t="shared" si="31"/>
        <v>testosterone-3.7µg/L + Testostérone</v>
      </c>
    </row>
    <row r="46" spans="1:22">
      <c r="A46" s="8" t="s">
        <v>0</v>
      </c>
      <c r="B46" s="10">
        <f t="shared" ref="B46:H46" si="32">AVERAGE(B28:B43)</f>
        <v>0.20405203654586884</v>
      </c>
      <c r="C46" s="10">
        <f t="shared" si="32"/>
        <v>0.23542775224133866</v>
      </c>
      <c r="D46" s="10">
        <f t="shared" si="32"/>
        <v>0.69434788487650656</v>
      </c>
      <c r="E46" s="10">
        <f t="shared" si="32"/>
        <v>0.92546872803975011</v>
      </c>
      <c r="F46" s="10">
        <f t="shared" si="32"/>
        <v>1.5761598045165266</v>
      </c>
      <c r="G46" s="10">
        <f t="shared" si="32"/>
        <v>1.7441318136517709</v>
      </c>
      <c r="H46" s="10">
        <f t="shared" si="32"/>
        <v>2.5379932878581739</v>
      </c>
      <c r="I46" s="10">
        <f>AVERAGE(I28:I43)</f>
        <v>1.5671118562706645</v>
      </c>
      <c r="J46" s="9">
        <f>AVERAGE(J28:J43)</f>
        <v>1.1923756849403429</v>
      </c>
      <c r="K46" s="9">
        <f>AVERAGE(K28:K43)</f>
        <v>1.3439335010830602</v>
      </c>
      <c r="L46" s="9">
        <f t="shared" ref="L46:M46" si="33">AVERAGE(L28:L43)</f>
        <v>0.83785050694700625</v>
      </c>
      <c r="M46" s="9">
        <f t="shared" si="33"/>
        <v>0.22472242871072909</v>
      </c>
      <c r="N46" s="8" t="s">
        <v>0</v>
      </c>
      <c r="O46" s="10">
        <f>AVERAGE(O28:O43)</f>
        <v>1</v>
      </c>
      <c r="P46" s="10">
        <f>AVERAGE(P28:P43)</f>
        <v>1.7385188932882061</v>
      </c>
      <c r="Q46" s="10">
        <f>AVERAGE(Q28:Q43)</f>
        <v>0.2123027341558506</v>
      </c>
      <c r="R46" s="10">
        <f>AVERAGE(R28:R43)</f>
        <v>0.83365125648800731</v>
      </c>
      <c r="S46" s="10">
        <f t="shared" ref="S46:V46" si="34">AVERAGE(S28:S43)</f>
        <v>0.77261833442585637</v>
      </c>
      <c r="T46" s="10">
        <f t="shared" si="34"/>
        <v>0.70053924302447235</v>
      </c>
      <c r="U46" s="10">
        <f t="shared" si="34"/>
        <v>1.0405664824734495</v>
      </c>
      <c r="V46" s="10">
        <f t="shared" si="34"/>
        <v>0.80258476932761424</v>
      </c>
    </row>
    <row r="47" spans="1:22">
      <c r="A47" s="8" t="s">
        <v>1</v>
      </c>
      <c r="B47" s="8">
        <f t="shared" ref="B47:K47" si="35">STDEV(B28:B43)</f>
        <v>0.19952105284976085</v>
      </c>
      <c r="C47" s="8">
        <f t="shared" si="35"/>
        <v>0.22102851827693851</v>
      </c>
      <c r="D47" s="8">
        <f t="shared" si="35"/>
        <v>0.68165321415026336</v>
      </c>
      <c r="E47" s="8">
        <f t="shared" si="35"/>
        <v>0.27823088098071136</v>
      </c>
      <c r="F47" s="8">
        <f t="shared" si="35"/>
        <v>0.19143165538210385</v>
      </c>
      <c r="G47" s="8">
        <f t="shared" si="35"/>
        <v>0.70011515021343718</v>
      </c>
      <c r="H47" s="8">
        <f t="shared" si="35"/>
        <v>0.67205581001172621</v>
      </c>
      <c r="I47" s="8">
        <f>STDEV(I28:I43)</f>
        <v>0.51196150985615985</v>
      </c>
      <c r="J47" s="8">
        <f t="shared" si="35"/>
        <v>0.46511673132946552</v>
      </c>
      <c r="K47" s="8">
        <f t="shared" si="35"/>
        <v>0.38362338015219172</v>
      </c>
      <c r="L47" s="8">
        <f t="shared" ref="L47:M47" si="36">STDEV(L28:L43)</f>
        <v>0.3884453361528501</v>
      </c>
      <c r="M47" s="8">
        <f t="shared" si="36"/>
        <v>0.15732370175983229</v>
      </c>
      <c r="N47" s="8" t="s">
        <v>1</v>
      </c>
      <c r="O47" s="8">
        <f>STDEV(O28:O43)</f>
        <v>0.36197155339415121</v>
      </c>
      <c r="P47" s="8">
        <f>STDEV(P28:P43)</f>
        <v>0.39895946235759838</v>
      </c>
      <c r="Q47" s="8">
        <f>STDEV(Q28:Q43)</f>
        <v>0.18512013009224701</v>
      </c>
      <c r="R47" s="8">
        <f>STDEV(R28:R43)</f>
        <v>0.28753194437513296</v>
      </c>
      <c r="S47" s="8">
        <f t="shared" ref="S47:V47" si="37">STDEV(S28:S43)</f>
        <v>0.28604547633423966</v>
      </c>
      <c r="T47" s="8">
        <f t="shared" si="37"/>
        <v>0.37492071634148816</v>
      </c>
      <c r="U47" s="8">
        <f t="shared" si="37"/>
        <v>0.49068205796493464</v>
      </c>
      <c r="V47" s="8">
        <f t="shared" si="37"/>
        <v>0.29648408930325715</v>
      </c>
    </row>
    <row r="48" spans="1:22">
      <c r="A48" s="8" t="s">
        <v>2</v>
      </c>
      <c r="B48" s="8">
        <f t="shared" ref="B48:K48" si="38" xml:space="preserve"> B47/SQRT(COUNT(B28:B43))</f>
        <v>7.0541344729772706E-2</v>
      </c>
      <c r="C48" s="8">
        <f t="shared" si="38"/>
        <v>7.8145382054618989E-2</v>
      </c>
      <c r="D48" s="8">
        <f t="shared" si="38"/>
        <v>0.24100080507162852</v>
      </c>
      <c r="E48" s="8">
        <f t="shared" si="38"/>
        <v>9.8369471338484102E-2</v>
      </c>
      <c r="F48" s="8">
        <f t="shared" si="38"/>
        <v>6.7681310827225935E-2</v>
      </c>
      <c r="G48" s="8">
        <f t="shared" si="38"/>
        <v>0.24752808516367986</v>
      </c>
      <c r="H48" s="8">
        <f t="shared" si="38"/>
        <v>0.23760761029755481</v>
      </c>
      <c r="I48" s="8">
        <f xml:space="preserve"> I47/SQRT(COUNT(I28:I43))</f>
        <v>0.18100572766289705</v>
      </c>
      <c r="J48" s="8">
        <f t="shared" si="38"/>
        <v>0.16444359738319328</v>
      </c>
      <c r="K48" s="8">
        <f t="shared" si="38"/>
        <v>0.13563134676365979</v>
      </c>
      <c r="L48" s="8">
        <f t="shared" ref="L48:M48" si="39" xml:space="preserve"> L47/SQRT(COUNT(L28:L43))</f>
        <v>0.13733616565698412</v>
      </c>
      <c r="M48" s="8">
        <f t="shared" si="39"/>
        <v>5.5622328177873694E-2</v>
      </c>
      <c r="N48" s="8" t="s">
        <v>2</v>
      </c>
      <c r="O48" s="8">
        <f xml:space="preserve"> O47/SQRT(COUNT(O28:O43))</f>
        <v>9.0492888348537803E-2</v>
      </c>
      <c r="P48" s="8">
        <f xml:space="preserve"> P47/SQRT(COUNT(P28:P43))</f>
        <v>0.14105347062579848</v>
      </c>
      <c r="Q48" s="8">
        <f xml:space="preserve"> Q47/SQRT(COUNT(Q28:Q43))</f>
        <v>6.544984966118185E-2</v>
      </c>
      <c r="R48" s="8">
        <f xml:space="preserve"> R47/SQRT(COUNT(R28:R43))</f>
        <v>0.10165789383770485</v>
      </c>
      <c r="S48" s="8">
        <f t="shared" ref="S48:V48" si="40" xml:space="preserve"> S47/SQRT(COUNT(S28:S43))</f>
        <v>0.10113234802183847</v>
      </c>
      <c r="T48" s="8">
        <f t="shared" si="40"/>
        <v>0.13255449046619214</v>
      </c>
      <c r="U48" s="8">
        <f t="shared" si="40"/>
        <v>0.17348230529678793</v>
      </c>
      <c r="V48" s="8">
        <f t="shared" si="40"/>
        <v>0.10482295503012552</v>
      </c>
    </row>
    <row r="49" spans="1:22" s="1" customFormat="1"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19</v>
      </c>
      <c r="B50" s="144"/>
      <c r="C50" s="144"/>
      <c r="D50" s="144"/>
      <c r="E50" s="144"/>
      <c r="F50" s="144"/>
      <c r="G50" s="144"/>
      <c r="H50" s="144"/>
      <c r="I50" s="144"/>
      <c r="J50" s="144"/>
      <c r="K50" s="144"/>
      <c r="L50" s="144"/>
      <c r="M50" s="144"/>
      <c r="N50" s="144"/>
      <c r="O50" s="144"/>
      <c r="P50" s="144"/>
      <c r="Q50" s="144"/>
      <c r="R50" s="144"/>
      <c r="S50" s="144"/>
      <c r="T50" s="144"/>
      <c r="U50" s="144"/>
      <c r="V50" s="144"/>
    </row>
    <row r="51" spans="1:22" ht="15.75" thickBot="1">
      <c r="A51"/>
      <c r="B51"/>
      <c r="C51"/>
      <c r="D51"/>
      <c r="E51"/>
      <c r="F51"/>
      <c r="G51"/>
      <c r="H51"/>
      <c r="I51"/>
      <c r="J51"/>
      <c r="K51"/>
      <c r="L51"/>
      <c r="M51"/>
      <c r="S51"/>
      <c r="T51"/>
      <c r="U51"/>
      <c r="V51"/>
    </row>
    <row r="52" spans="1:22">
      <c r="A52" s="29" t="str">
        <f t="shared" ref="A52:H52" si="41">A27</f>
        <v>Noms des groupes</v>
      </c>
      <c r="B52" s="30" t="str">
        <f t="shared" si="41"/>
        <v>Solvent control</v>
      </c>
      <c r="C52" s="30" t="str">
        <f t="shared" si="41"/>
        <v>EE2-33.8ng/L</v>
      </c>
      <c r="D52" s="30" t="str">
        <f t="shared" si="41"/>
        <v>EE2-50.6ng/L</v>
      </c>
      <c r="E52" s="30" t="str">
        <f t="shared" si="41"/>
        <v>EE2-76ng/L</v>
      </c>
      <c r="F52" s="30" t="str">
        <f t="shared" si="41"/>
        <v>EE2-114ng/L</v>
      </c>
      <c r="G52" s="30" t="str">
        <f t="shared" si="41"/>
        <v>EE2-170.9ng/L</v>
      </c>
      <c r="H52" s="30" t="str">
        <f t="shared" si="41"/>
        <v>EE2-488ng/L</v>
      </c>
      <c r="I52" s="30" t="str">
        <f>I4</f>
        <v>testosterone-300µg/L</v>
      </c>
      <c r="J52" s="30" t="str">
        <f>J4</f>
        <v>testosterone-100µg/L</v>
      </c>
      <c r="K52" s="30" t="str">
        <f>K27</f>
        <v>testosterone-33µg/L</v>
      </c>
      <c r="L52" s="30" t="str">
        <f t="shared" ref="L52:M52" si="42">L27</f>
        <v>testosterone-11µg/L</v>
      </c>
      <c r="M52" s="30" t="str">
        <f t="shared" si="42"/>
        <v>testosterone-3.7µg/L</v>
      </c>
      <c r="N52" s="31"/>
      <c r="O52" s="30" t="str">
        <f>O27</f>
        <v>Testo -30µg/L</v>
      </c>
      <c r="P52" s="30" t="str">
        <f>P27</f>
        <v>Testo 30µg/L + EE2 -64ng/L</v>
      </c>
      <c r="Q52" s="30" t="str">
        <f>Q27</f>
        <v>Testo 30µg/L + FAD-10mg/L</v>
      </c>
      <c r="R52" s="30" t="str">
        <f>R27</f>
        <v>testosterone-300µg/L + Testostérone</v>
      </c>
      <c r="S52" s="30" t="str">
        <f t="shared" ref="S52:V52" si="43">S27</f>
        <v>testosterone-100µg/L + Testostérone</v>
      </c>
      <c r="T52" s="30" t="str">
        <f t="shared" si="43"/>
        <v>testosterone-33µg/L + Testostérone</v>
      </c>
      <c r="U52" s="30" t="str">
        <f t="shared" si="43"/>
        <v>testosterone-11µg/L + Testostérone</v>
      </c>
      <c r="V52" s="30" t="str">
        <f t="shared" si="43"/>
        <v>testosterone-3.7µg/L + Testostérone</v>
      </c>
    </row>
    <row r="53" spans="1:22" s="3" customFormat="1">
      <c r="A53" s="45" t="s">
        <v>15</v>
      </c>
      <c r="B53" s="77">
        <f t="shared" ref="B53:M53" si="44">B46</f>
        <v>0.20405203654586884</v>
      </c>
      <c r="C53" s="77">
        <f t="shared" si="44"/>
        <v>0.23542775224133866</v>
      </c>
      <c r="D53" s="77">
        <f t="shared" si="44"/>
        <v>0.69434788487650656</v>
      </c>
      <c r="E53" s="77">
        <f t="shared" si="44"/>
        <v>0.92546872803975011</v>
      </c>
      <c r="F53" s="77">
        <f t="shared" si="44"/>
        <v>1.5761598045165266</v>
      </c>
      <c r="G53" s="77">
        <f t="shared" si="44"/>
        <v>1.7441318136517709</v>
      </c>
      <c r="H53" s="77">
        <f t="shared" si="44"/>
        <v>2.5379932878581739</v>
      </c>
      <c r="I53" s="77">
        <f t="shared" si="44"/>
        <v>1.5671118562706645</v>
      </c>
      <c r="J53" s="77">
        <f t="shared" si="44"/>
        <v>1.1923756849403429</v>
      </c>
      <c r="K53" s="77">
        <f t="shared" si="44"/>
        <v>1.3439335010830602</v>
      </c>
      <c r="L53" s="77">
        <f t="shared" si="44"/>
        <v>0.83785050694700625</v>
      </c>
      <c r="M53" s="77">
        <f t="shared" si="44"/>
        <v>0.22472242871072909</v>
      </c>
      <c r="N53" s="77"/>
      <c r="O53" s="77">
        <f t="shared" ref="O53:V53" si="45">O46</f>
        <v>1</v>
      </c>
      <c r="P53" s="77">
        <f t="shared" si="45"/>
        <v>1.7385188932882061</v>
      </c>
      <c r="Q53" s="77">
        <f t="shared" si="45"/>
        <v>0.2123027341558506</v>
      </c>
      <c r="R53" s="77">
        <f t="shared" si="45"/>
        <v>0.83365125648800731</v>
      </c>
      <c r="S53" s="77">
        <f t="shared" si="45"/>
        <v>0.77261833442585637</v>
      </c>
      <c r="T53" s="77">
        <f t="shared" si="45"/>
        <v>0.70053924302447235</v>
      </c>
      <c r="U53" s="77">
        <f t="shared" si="45"/>
        <v>1.0405664824734495</v>
      </c>
      <c r="V53" s="77">
        <f t="shared" si="45"/>
        <v>0.80258476932761424</v>
      </c>
    </row>
    <row r="54" spans="1:22" s="3" customFormat="1">
      <c r="A54" s="45" t="s">
        <v>2</v>
      </c>
      <c r="B54" s="77">
        <f t="shared" ref="B54:M54" si="46">B48</f>
        <v>7.0541344729772706E-2</v>
      </c>
      <c r="C54" s="77">
        <f t="shared" si="46"/>
        <v>7.8145382054618989E-2</v>
      </c>
      <c r="D54" s="77">
        <f t="shared" si="46"/>
        <v>0.24100080507162852</v>
      </c>
      <c r="E54" s="77">
        <f t="shared" si="46"/>
        <v>9.8369471338484102E-2</v>
      </c>
      <c r="F54" s="77">
        <f t="shared" si="46"/>
        <v>6.7681310827225935E-2</v>
      </c>
      <c r="G54" s="77">
        <f t="shared" si="46"/>
        <v>0.24752808516367986</v>
      </c>
      <c r="H54" s="77">
        <f t="shared" si="46"/>
        <v>0.23760761029755481</v>
      </c>
      <c r="I54" s="77">
        <f t="shared" si="46"/>
        <v>0.18100572766289705</v>
      </c>
      <c r="J54" s="77">
        <f t="shared" si="46"/>
        <v>0.16444359738319328</v>
      </c>
      <c r="K54" s="77">
        <f t="shared" si="46"/>
        <v>0.13563134676365979</v>
      </c>
      <c r="L54" s="77">
        <f t="shared" si="46"/>
        <v>0.13733616565698412</v>
      </c>
      <c r="M54" s="77">
        <f t="shared" si="46"/>
        <v>5.5622328177873694E-2</v>
      </c>
      <c r="N54" s="77"/>
      <c r="O54" s="77">
        <f t="shared" ref="O54:V54" si="47">O48</f>
        <v>9.0492888348537803E-2</v>
      </c>
      <c r="P54" s="77">
        <f t="shared" si="47"/>
        <v>0.14105347062579848</v>
      </c>
      <c r="Q54" s="77">
        <f t="shared" si="47"/>
        <v>6.544984966118185E-2</v>
      </c>
      <c r="R54" s="77">
        <f t="shared" si="47"/>
        <v>0.10165789383770485</v>
      </c>
      <c r="S54" s="77">
        <f t="shared" si="47"/>
        <v>0.10113234802183847</v>
      </c>
      <c r="T54" s="77">
        <f t="shared" si="47"/>
        <v>0.13255449046619214</v>
      </c>
      <c r="U54" s="77">
        <f t="shared" si="47"/>
        <v>0.17348230529678793</v>
      </c>
      <c r="V54" s="77">
        <f t="shared" si="47"/>
        <v>0.10482295503012552</v>
      </c>
    </row>
    <row r="55" spans="1:22" s="3" customFormat="1">
      <c r="A55" s="45" t="s">
        <v>42</v>
      </c>
      <c r="B55" s="77">
        <f t="shared" ref="B55:M55" si="48">(B53*100/$B$53)-100</f>
        <v>0</v>
      </c>
      <c r="C55" s="77">
        <f t="shared" si="48"/>
        <v>15.376330580467823</v>
      </c>
      <c r="D55" s="77">
        <f t="shared" si="48"/>
        <v>240.27981128256181</v>
      </c>
      <c r="E55" s="77">
        <f t="shared" si="48"/>
        <v>353.54545032032257</v>
      </c>
      <c r="F55" s="77">
        <f t="shared" si="48"/>
        <v>672.43032277319207</v>
      </c>
      <c r="G55" s="77">
        <f t="shared" si="48"/>
        <v>754.74854511422996</v>
      </c>
      <c r="H55" s="77">
        <f t="shared" si="48"/>
        <v>1143.7970876549709</v>
      </c>
      <c r="I55" s="77">
        <f t="shared" si="48"/>
        <v>667.99618508997014</v>
      </c>
      <c r="J55" s="77">
        <f t="shared" si="48"/>
        <v>484.34882842853119</v>
      </c>
      <c r="K55" s="77">
        <f t="shared" si="48"/>
        <v>558.62292963734149</v>
      </c>
      <c r="L55" s="77">
        <f t="shared" si="48"/>
        <v>310.60629490883122</v>
      </c>
      <c r="M55" s="77">
        <f t="shared" si="48"/>
        <v>10.129961217129889</v>
      </c>
      <c r="N55" s="77"/>
      <c r="O55" s="77">
        <f>(O53*100/$O$53)-100</f>
        <v>0</v>
      </c>
      <c r="P55" s="77">
        <f t="shared" ref="P55:V55" si="49">(P53*100/$O$53)-100</f>
        <v>73.851889328820619</v>
      </c>
      <c r="Q55" s="77">
        <f t="shared" si="49"/>
        <v>-78.76972658441494</v>
      </c>
      <c r="R55" s="77">
        <f t="shared" si="49"/>
        <v>-16.634874351199272</v>
      </c>
      <c r="S55" s="77">
        <f t="shared" si="49"/>
        <v>-22.73816655741436</v>
      </c>
      <c r="T55" s="77">
        <f t="shared" si="49"/>
        <v>-29.946075697552772</v>
      </c>
      <c r="U55" s="77">
        <f t="shared" si="49"/>
        <v>4.0566482473449526</v>
      </c>
      <c r="V55" s="77">
        <f t="shared" si="49"/>
        <v>-19.741523067238575</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t="shared" ref="B57:M57" ca="1" si="50">IF(B56&gt;0.05,"Oui","Non")</f>
        <v>#NAME?</v>
      </c>
      <c r="C57" s="77" t="e">
        <f t="shared" ca="1" si="50"/>
        <v>#NAME?</v>
      </c>
      <c r="D57" s="77" t="e">
        <f t="shared" ca="1" si="50"/>
        <v>#NAME?</v>
      </c>
      <c r="E57" s="77" t="e">
        <f t="shared" ca="1" si="50"/>
        <v>#NAME?</v>
      </c>
      <c r="F57" s="77" t="e">
        <f t="shared" ca="1" si="50"/>
        <v>#NAME?</v>
      </c>
      <c r="G57" s="77" t="e">
        <f t="shared" ca="1" si="50"/>
        <v>#NAME?</v>
      </c>
      <c r="H57" s="77" t="e">
        <f t="shared" ca="1" si="50"/>
        <v>#NAME?</v>
      </c>
      <c r="I57" s="77" t="e">
        <f t="shared" ca="1" si="50"/>
        <v>#NAME?</v>
      </c>
      <c r="J57" s="77" t="e">
        <f t="shared" ca="1" si="50"/>
        <v>#NAME?</v>
      </c>
      <c r="K57" s="77" t="e">
        <f t="shared" ca="1" si="50"/>
        <v>#NAME?</v>
      </c>
      <c r="L57" s="77" t="e">
        <f t="shared" ca="1" si="50"/>
        <v>#NAME?</v>
      </c>
      <c r="M57" s="77" t="e">
        <f t="shared" ca="1" si="50"/>
        <v>#NAME?</v>
      </c>
      <c r="N57" s="77"/>
      <c r="O57" s="77" t="e">
        <f t="shared" ref="O57:V57" ca="1" si="51">IF(O56&gt;0.05,"Oui","Non")</f>
        <v>#NAME?</v>
      </c>
      <c r="P57" s="77" t="e">
        <f t="shared" ca="1" si="51"/>
        <v>#NAME?</v>
      </c>
      <c r="Q57" s="77" t="e">
        <f t="shared" ca="1" si="51"/>
        <v>#NAME?</v>
      </c>
      <c r="R57" s="77" t="e">
        <f t="shared" ca="1" si="51"/>
        <v>#NAME?</v>
      </c>
      <c r="S57" s="77" t="e">
        <f t="shared" ca="1" si="51"/>
        <v>#NAME?</v>
      </c>
      <c r="T57" s="77" t="e">
        <f t="shared" ca="1" si="51"/>
        <v>#NAME?</v>
      </c>
      <c r="U57" s="77" t="e">
        <f t="shared" ca="1" si="51"/>
        <v>#NAME?</v>
      </c>
      <c r="V57" s="77" t="e">
        <f t="shared" ca="1" si="51"/>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M59" ca="1" si="52">IF($B57="Non",IF(C$57="Non","Mann Withney",IF(C$57="Oui","Mann Withney","")),IF($B$57="Oui",IF(C$57="Oui","T-Test Welch",IF(C$57="Non","Mann Withney",""))))</f>
        <v>#NAME?</v>
      </c>
      <c r="D59" s="81" t="e">
        <f t="shared" ca="1" si="52"/>
        <v>#NAME?</v>
      </c>
      <c r="E59" s="81" t="e">
        <f t="shared" ca="1" si="52"/>
        <v>#NAME?</v>
      </c>
      <c r="F59" s="81" t="e">
        <f t="shared" ca="1" si="52"/>
        <v>#NAME?</v>
      </c>
      <c r="G59" s="81" t="e">
        <f t="shared" ca="1" si="52"/>
        <v>#NAME?</v>
      </c>
      <c r="H59" s="81" t="e">
        <f t="shared" ca="1" si="52"/>
        <v>#NAME?</v>
      </c>
      <c r="I59" s="81" t="e">
        <f t="shared" ca="1" si="52"/>
        <v>#NAME?</v>
      </c>
      <c r="J59" s="81" t="e">
        <f t="shared" ca="1" si="52"/>
        <v>#NAME?</v>
      </c>
      <c r="K59" s="81" t="e">
        <f t="shared" ca="1" si="52"/>
        <v>#NAME?</v>
      </c>
      <c r="L59" s="81" t="e">
        <f t="shared" ca="1" si="52"/>
        <v>#NAME?</v>
      </c>
      <c r="M59" s="81" t="e">
        <f t="shared" ca="1" si="52"/>
        <v>#NAME?</v>
      </c>
      <c r="N59" s="81"/>
      <c r="O59" s="81" t="e">
        <f ca="1">IF($B57="Non",IF(O$57="Non","Mann Withney",IF(O$57="Oui","Mann Withney","")),IF($B$57="Oui",IF(O$57="Oui","T-Test Welch",IF(O$57="Non","Mann Withney",""))))</f>
        <v>#NAME?</v>
      </c>
      <c r="P59" s="81" t="e">
        <f ca="1">IF($O57="Non",IF(P$57="Non","Mann Withney",IF(P$57="Oui","Mann Withney","")),IF($O$57="Oui",IF(P$57="Oui","T-Test Welch",IF(P$57="Non","Mann Withney",""))))</f>
        <v>#NAME?</v>
      </c>
      <c r="Q59" s="81" t="e">
        <f t="shared" ref="Q59:V59" ca="1" si="53">IF($O57="Non",IF(Q$57="Non","Mann Withney",IF(Q$57="Oui","Mann Withney","")),IF($O$57="Oui",IF(Q$57="Oui","T-Test Welch",IF(Q$57="Non","Mann Withney",""))))</f>
        <v>#NAME?</v>
      </c>
      <c r="R59" s="81" t="e">
        <f t="shared" ca="1" si="53"/>
        <v>#NAME?</v>
      </c>
      <c r="S59" s="81" t="e">
        <f t="shared" ca="1" si="53"/>
        <v>#NAME?</v>
      </c>
      <c r="T59" s="81" t="e">
        <f t="shared" ca="1" si="53"/>
        <v>#NAME?</v>
      </c>
      <c r="U59" s="81" t="e">
        <f t="shared" ca="1" si="53"/>
        <v>#NAME?</v>
      </c>
      <c r="V59" s="81" t="e">
        <f t="shared" ca="1" si="53"/>
        <v>#NAME?</v>
      </c>
    </row>
    <row r="60" spans="1:22" s="3" customFormat="1">
      <c r="A60" s="45" t="s">
        <v>45</v>
      </c>
      <c r="B60" s="82"/>
      <c r="C60" s="82" t="e">
        <f ca="1">IF(C59="Mann Withney",[1]!MTEST($B28:$B43,C28:C43,2), IF(C59="T-Test Welch",_xlfn.T.TEST($B28:$B43,C28:C43,2,3),""))</f>
        <v>#NAME?</v>
      </c>
      <c r="D60" s="82" t="e">
        <f ca="1">IF(D59="Mann Withney",[1]!MTEST($B28:$B43,D28:D43,2), IF(D59="T-Test Welch",_xlfn.T.TEST($B28:$B43,D28:D43,2,3),""))</f>
        <v>#NAME?</v>
      </c>
      <c r="E60" s="82" t="e">
        <f ca="1">IF(E59="Mann Withney",[1]!MTEST($B28:$B43,E28:E43,2), IF(E59="T-Test Welch",_xlfn.T.TEST($B28:$B43,E28:E43,2,3),""))</f>
        <v>#NAME?</v>
      </c>
      <c r="F60" s="82" t="e">
        <f ca="1">IF(F59="Mann Withney",[1]!MTEST($B28:$B43,F28:F43,2), IF(F59="T-Test Welch",_xlfn.T.TEST($B28:$B43,F28:F43,2,3),""))</f>
        <v>#NAME?</v>
      </c>
      <c r="G60" s="82" t="e">
        <f ca="1">IF(G59="Mann Withney",[1]!MTEST($B28:$B43,G28:G43,2), IF(G59="T-Test Welch",_xlfn.T.TEST($B28:$B43,G28:G43,2,3),""))</f>
        <v>#NAME?</v>
      </c>
      <c r="H60" s="82" t="e">
        <f ca="1">IF(H59="Mann Withney",[1]!MTEST($B28:$B43,H28:H43,2), IF(H59="T-Test Welch",_xlfn.T.TEST($B28:$B43,H28:H43,2,3),""))</f>
        <v>#NAME?</v>
      </c>
      <c r="I60" s="82" t="e">
        <f ca="1">IF(I59="Mann Withney",[1]!MTEST($B28:$B43,I28:I43,2), IF(I59="T-Test Welch",_xlfn.T.TEST($B28:$B43,I28:I43,2,3),""))</f>
        <v>#NAME?</v>
      </c>
      <c r="J60" s="82" t="e">
        <f ca="1">IF(J59="Mann Withney",[1]!MTEST($B28:$B43,J28:J43,2), IF(J59="T-Test Welch",_xlfn.T.TEST($B28:$B43,J28:J43,2,3),""))</f>
        <v>#NAME?</v>
      </c>
      <c r="K60" s="82" t="e">
        <f ca="1">IF(K59="Mann Withney",[1]!MTEST($B28:$B43,K28:K43,2), IF(K59="T-Test Welch",_xlfn.T.TEST($B28:$B43,K28:K43,2,3),""))</f>
        <v>#NAME?</v>
      </c>
      <c r="L60" s="82" t="e">
        <f ca="1">IF(L59="Mann Withney",[1]!MTEST($B28:$B43,L28:L43,2), IF(L59="T-Test Welch",_xlfn.T.TEST($B28:$B43,L28:L43,2,3),""))</f>
        <v>#NAME?</v>
      </c>
      <c r="M60" s="82" t="e">
        <f ca="1">IF(M59="Mann Withney",[1]!MTEST($B28:$B43,M28:M43,2), IF(M59="T-Test Welch",_xlfn.T.TEST($B28:$B43,M28:M43,2,3),""))</f>
        <v>#NAME?</v>
      </c>
      <c r="N60" s="82"/>
      <c r="O60" s="82" t="e">
        <f ca="1">IF(O59="Mann Withney",[1]!MTEST($B28:$B43,O28:O43,2), IF(O59="T-Test Welch",_xlfn.T.TEST($B28:$B43,O28:O43,2,3),""))</f>
        <v>#NAME?</v>
      </c>
      <c r="P60" s="82" t="e">
        <f ca="1">IF(P59="Mann Withney",[1]!MTEST($O28:$O43,P28:P43,2), IF(P59="T-Test Welch",_xlfn.T.TEST($O28:$O43,P28:P43,2,3),""))</f>
        <v>#NAME?</v>
      </c>
      <c r="Q60" s="82" t="e">
        <f ca="1">IF(Q59="Mann Withney",[1]!MTEST($O28:$O43,Q28:Q43,2), IF(Q59="T-Test Welch",_xlfn.T.TEST($O28:$O43,Q28:Q43,2,3),""))</f>
        <v>#NAME?</v>
      </c>
      <c r="R60" s="82" t="e">
        <f ca="1">IF(R59="Mann Withney",[1]!MTEST($O28:$O43,R28:R43,2), IF(R59="T-Test Welch",_xlfn.T.TEST($O28:$O43,R28:R43,2,3),""))</f>
        <v>#NAME?</v>
      </c>
      <c r="S60" s="82" t="e">
        <f ca="1">IF(S59="Mann Withney",[1]!MTEST($O28:$O43,S28:S43,2), IF(S59="T-Test Welch",_xlfn.T.TEST($O28:$O43,S28:S43,2,3),""))</f>
        <v>#NAME?</v>
      </c>
      <c r="T60" s="82" t="e">
        <f ca="1">IF(T59="Mann Withney",[1]!MTEST($O28:$O43,T28:T43,2), IF(T59="T-Test Welch",_xlfn.T.TEST($O28:$O43,T28:T43,2,3),""))</f>
        <v>#NAME?</v>
      </c>
      <c r="U60" s="82" t="e">
        <f ca="1">IF(U59="Mann Withney",[1]!MTEST($O28:$O43,U28:U43,2), IF(U59="T-Test Welch",_xlfn.T.TEST($O28:$O43,U28:U43,2,3),""))</f>
        <v>#NAME?</v>
      </c>
      <c r="V60" s="82" t="e">
        <f ca="1">IF(V59="Mann Withney",[1]!MTEST($O28:$O43,V28:V43,2), IF(V59="T-Test Welch",_xlfn.T.TEST($O28:$O43,V28:V43,2,3),""))</f>
        <v>#NAME?</v>
      </c>
    </row>
    <row r="61" spans="1:22" s="3" customFormat="1" ht="15.75" thickBot="1">
      <c r="A61" s="46" t="s">
        <v>46</v>
      </c>
      <c r="B61" s="78"/>
      <c r="C61" s="78" t="e">
        <f t="shared" ref="C61:M61" ca="1" si="54">IF(C60&gt;0.05,"NS",IF(C60&gt;0.01,"*",IF(C60&gt;0.001,"**","***")))</f>
        <v>#NAME?</v>
      </c>
      <c r="D61" s="78" t="e">
        <f t="shared" ca="1" si="54"/>
        <v>#NAME?</v>
      </c>
      <c r="E61" s="78" t="e">
        <f t="shared" ca="1" si="54"/>
        <v>#NAME?</v>
      </c>
      <c r="F61" s="78" t="e">
        <f t="shared" ca="1" si="54"/>
        <v>#NAME?</v>
      </c>
      <c r="G61" s="78" t="e">
        <f t="shared" ca="1" si="54"/>
        <v>#NAME?</v>
      </c>
      <c r="H61" s="78" t="e">
        <f t="shared" ca="1" si="54"/>
        <v>#NAME?</v>
      </c>
      <c r="I61" s="78" t="e">
        <f t="shared" ca="1" si="54"/>
        <v>#NAME?</v>
      </c>
      <c r="J61" s="78" t="e">
        <f t="shared" ca="1" si="54"/>
        <v>#NAME?</v>
      </c>
      <c r="K61" s="78" t="e">
        <f t="shared" ca="1" si="54"/>
        <v>#NAME?</v>
      </c>
      <c r="L61" s="78" t="e">
        <f t="shared" ca="1" si="54"/>
        <v>#NAME?</v>
      </c>
      <c r="M61" s="78" t="e">
        <f t="shared" ca="1" si="54"/>
        <v>#NAME?</v>
      </c>
      <c r="N61" s="78"/>
      <c r="O61" s="78" t="e">
        <f ca="1">IF(O60&gt;0.05,"NS",IF(O60&gt;0.01,"*",IF(O60&gt;0.001,"**","***")))</f>
        <v>#NAME?</v>
      </c>
      <c r="P61" s="78" t="e">
        <f ca="1">IF(P60&gt;0.05,"NS",IF(P60&gt;0.01,"*",IF(P60&gt;0.001,"**","***")))</f>
        <v>#NAME?</v>
      </c>
      <c r="Q61" s="78" t="e">
        <f t="shared" ref="Q61" ca="1" si="55">IF(Q60&gt;0.05,"NS",IF(Q60&gt;0.01,"*",IF(Q60&gt;0.001,"**","***")))</f>
        <v>#NAME?</v>
      </c>
      <c r="R61" s="78" t="e">
        <f t="shared" ref="R61" ca="1" si="56">IF(R60&gt;0.05,"NS",IF(R60&gt;0.01,"*",IF(R60&gt;0.001,"**","***")))</f>
        <v>#NAME?</v>
      </c>
      <c r="S61" s="78" t="e">
        <f t="shared" ref="S61" ca="1" si="57">IF(S60&gt;0.05,"NS",IF(S60&gt;0.01,"*",IF(S60&gt;0.001,"**","***")))</f>
        <v>#NAME?</v>
      </c>
      <c r="T61" s="78" t="e">
        <f t="shared" ref="T61" ca="1" si="58">IF(T60&gt;0.05,"NS",IF(T60&gt;0.01,"*",IF(T60&gt;0.001,"**","***")))</f>
        <v>#NAME?</v>
      </c>
      <c r="U61" s="78" t="e">
        <f t="shared" ref="U61" ca="1" si="59">IF(U60&gt;0.05,"NS",IF(U60&gt;0.01,"*",IF(U60&gt;0.001,"**","***")))</f>
        <v>#NAME?</v>
      </c>
      <c r="V61" s="78" t="e">
        <f t="shared" ref="V61" ca="1" si="60">IF(V60&gt;0.05,"NS",IF(V60&gt;0.01,"*",IF(V60&gt;0.001,"**","***")))</f>
        <v>#NAME?</v>
      </c>
    </row>
    <row r="63" spans="1:22">
      <c r="A63" s="2" t="s">
        <v>20</v>
      </c>
    </row>
    <row r="64" spans="1:22">
      <c r="A64" s="1" t="s">
        <v>13</v>
      </c>
      <c r="B64" s="1">
        <f>B46+(3*B47)</f>
        <v>0.80261519509515145</v>
      </c>
    </row>
    <row r="65" spans="1:22">
      <c r="A65" s="1" t="s">
        <v>14</v>
      </c>
      <c r="B65" s="1">
        <f>B46+(10*B47)</f>
        <v>2.1992625650434774</v>
      </c>
    </row>
    <row r="66" spans="1:22" ht="15.75" thickBot="1"/>
    <row r="67" spans="1:22" s="1" customFormat="1" ht="27" thickBot="1">
      <c r="A67" s="143" t="s">
        <v>31</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L4" zoomScale="70" zoomScaleNormal="70" zoomScaleSheetLayoutView="40" zoomScalePageLayoutView="30" workbookViewId="0">
      <selection activeCell="N4" sqref="N1:N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41" t="s">
        <v>23</v>
      </c>
      <c r="B1" s="142"/>
      <c r="C1" s="142"/>
      <c r="D1" s="142"/>
      <c r="E1" s="142"/>
      <c r="F1" s="142"/>
      <c r="G1" s="142"/>
      <c r="H1" s="142"/>
      <c r="I1" s="142"/>
      <c r="J1" s="142"/>
      <c r="K1" s="142"/>
      <c r="L1" s="142"/>
      <c r="M1" s="142"/>
      <c r="N1" s="142"/>
      <c r="O1" s="142"/>
      <c r="P1" s="142"/>
      <c r="Q1" s="142"/>
      <c r="R1" s="142"/>
      <c r="S1" s="142"/>
      <c r="T1" s="142"/>
      <c r="U1" s="142"/>
      <c r="V1" s="142"/>
    </row>
    <row r="2" spans="1:22" customFormat="1" ht="15.75" thickBot="1"/>
    <row r="3" spans="1:22" ht="15.75" thickBot="1">
      <c r="A3" s="35" t="s">
        <v>9</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testosterone-300µg/L</v>
      </c>
      <c r="J4" s="20" t="str">
        <f>'Front page'!A15</f>
        <v>testosterone-100µg/L</v>
      </c>
      <c r="K4" s="20" t="str">
        <f>'Front page'!A16</f>
        <v>testosterone-33µg/L</v>
      </c>
      <c r="L4" s="20" t="str">
        <f>'Front page'!A17</f>
        <v>testosterone-11µg/L</v>
      </c>
      <c r="M4" s="20" t="str">
        <f>'Front page'!A18</f>
        <v>testosterone-3.7µg/L</v>
      </c>
      <c r="N4" s="3"/>
      <c r="O4" s="21" t="str">
        <f>'Front page'!A35</f>
        <v>Testo -30µg/L</v>
      </c>
      <c r="P4" s="21" t="str">
        <f>'Front page'!A36</f>
        <v>Testo 30µg/L + EE2 -64ng/L</v>
      </c>
      <c r="Q4" s="21" t="str">
        <f>'Front page'!A37</f>
        <v>Testo 30µg/L + FAD-10mg/L</v>
      </c>
      <c r="R4" s="21" t="str">
        <f>'Front page'!A38</f>
        <v>testosterone-300µg/L + Testostérone</v>
      </c>
      <c r="S4" s="21" t="str">
        <f>'Front page'!A39</f>
        <v>testosterone-100µg/L + Testostérone</v>
      </c>
      <c r="T4" s="21" t="str">
        <f>'Front page'!A40</f>
        <v>testosterone-33µg/L + Testostérone</v>
      </c>
      <c r="U4" s="21" t="str">
        <f>'Front page'!A41</f>
        <v>testosterone-11µg/L + Testostérone</v>
      </c>
      <c r="V4" s="21" t="str">
        <f>'Front page'!A42</f>
        <v>testosterone-3.7µg/L + Testostérone</v>
      </c>
    </row>
    <row r="5" spans="1:22">
      <c r="A5" s="151" t="s">
        <v>16</v>
      </c>
      <c r="B5" s="17">
        <v>42735</v>
      </c>
      <c r="C5" s="17">
        <v>446009</v>
      </c>
      <c r="D5" s="17">
        <v>795741</v>
      </c>
      <c r="E5" s="17">
        <v>8014075</v>
      </c>
      <c r="F5" s="17">
        <v>7785294</v>
      </c>
      <c r="G5" s="17">
        <v>16088561</v>
      </c>
      <c r="H5" s="17">
        <v>11254674</v>
      </c>
      <c r="I5" s="17">
        <v>13875373</v>
      </c>
      <c r="J5" s="17">
        <v>16738010</v>
      </c>
      <c r="K5" s="13">
        <v>8244966</v>
      </c>
      <c r="L5" s="13">
        <v>5157697</v>
      </c>
      <c r="M5" s="13">
        <v>757355</v>
      </c>
      <c r="N5" s="3"/>
      <c r="O5" s="17">
        <v>5753877</v>
      </c>
      <c r="P5" s="13">
        <v>7370385</v>
      </c>
      <c r="Q5" s="13">
        <v>628770</v>
      </c>
      <c r="R5" s="17">
        <v>9928738</v>
      </c>
      <c r="S5" s="17">
        <v>7841474</v>
      </c>
      <c r="T5" s="17">
        <v>891213</v>
      </c>
      <c r="U5" s="17">
        <v>3169193</v>
      </c>
      <c r="V5" s="17">
        <v>5495118</v>
      </c>
    </row>
    <row r="6" spans="1:22" ht="16.5">
      <c r="A6" s="151"/>
      <c r="B6" s="14">
        <v>1076846</v>
      </c>
      <c r="C6" s="13">
        <v>1979174</v>
      </c>
      <c r="D6" s="17">
        <v>2901802</v>
      </c>
      <c r="E6" s="17">
        <v>11611078</v>
      </c>
      <c r="F6" s="17">
        <v>12207027</v>
      </c>
      <c r="G6" s="17">
        <v>15814447</v>
      </c>
      <c r="H6" s="17">
        <v>12417070</v>
      </c>
      <c r="I6" s="17">
        <v>13928422</v>
      </c>
      <c r="J6" s="17">
        <v>1951996</v>
      </c>
      <c r="K6" s="13">
        <v>7949326</v>
      </c>
      <c r="L6" s="13">
        <v>550238</v>
      </c>
      <c r="M6" s="13">
        <v>787238</v>
      </c>
      <c r="N6" s="3"/>
      <c r="O6" s="17">
        <v>6789394</v>
      </c>
      <c r="P6" s="13">
        <v>6006539</v>
      </c>
      <c r="Q6" s="13">
        <v>3919602</v>
      </c>
      <c r="R6" s="17">
        <v>11387632</v>
      </c>
      <c r="S6" s="17">
        <v>2970007</v>
      </c>
      <c r="T6" s="17">
        <v>4916741</v>
      </c>
      <c r="U6" s="17">
        <v>2922266</v>
      </c>
      <c r="V6" s="17">
        <v>3231837</v>
      </c>
    </row>
    <row r="7" spans="1:22" ht="16.5">
      <c r="A7" s="151"/>
      <c r="B7" s="14">
        <v>448540</v>
      </c>
      <c r="C7" s="13">
        <v>183734</v>
      </c>
      <c r="D7" s="17">
        <v>5620594</v>
      </c>
      <c r="E7" s="17">
        <v>10502603</v>
      </c>
      <c r="F7" s="17">
        <v>11128610</v>
      </c>
      <c r="G7" s="17">
        <v>12897612</v>
      </c>
      <c r="H7" s="17">
        <v>15563742</v>
      </c>
      <c r="I7" s="17">
        <v>8880473</v>
      </c>
      <c r="J7" s="17">
        <v>6812409</v>
      </c>
      <c r="K7" s="13">
        <v>11650496</v>
      </c>
      <c r="L7" s="13">
        <v>1508613</v>
      </c>
      <c r="M7" s="13">
        <v>304107</v>
      </c>
      <c r="N7" s="3"/>
      <c r="O7" s="17">
        <v>11114582</v>
      </c>
      <c r="P7" s="13">
        <v>8860677</v>
      </c>
      <c r="Q7" s="13">
        <v>2728276</v>
      </c>
      <c r="R7" s="17">
        <v>17426320</v>
      </c>
      <c r="S7" s="17">
        <v>5952395</v>
      </c>
      <c r="T7" s="17">
        <v>7521125</v>
      </c>
      <c r="U7" s="17">
        <v>2436348</v>
      </c>
      <c r="V7" s="17">
        <v>4340086</v>
      </c>
    </row>
    <row r="8" spans="1:22" ht="16.5">
      <c r="A8" s="151"/>
      <c r="B8" s="14">
        <v>3506254</v>
      </c>
      <c r="C8" s="13">
        <v>697219</v>
      </c>
      <c r="D8" s="17">
        <v>2293649</v>
      </c>
      <c r="E8" s="17">
        <v>6329605</v>
      </c>
      <c r="F8" s="17">
        <v>14996187</v>
      </c>
      <c r="G8" s="17">
        <v>15961467</v>
      </c>
      <c r="H8" s="17">
        <v>9709597</v>
      </c>
      <c r="I8" s="17">
        <v>13636756</v>
      </c>
      <c r="J8" s="17">
        <v>10940532</v>
      </c>
      <c r="K8" s="13">
        <v>14775292</v>
      </c>
      <c r="L8" s="13">
        <v>4081084</v>
      </c>
      <c r="M8" s="13">
        <v>3074621</v>
      </c>
      <c r="N8" s="3"/>
      <c r="O8" s="17">
        <v>1662682</v>
      </c>
      <c r="P8" s="13">
        <v>11445792</v>
      </c>
      <c r="Q8" s="13">
        <v>694769</v>
      </c>
      <c r="R8" s="17">
        <v>8159171</v>
      </c>
      <c r="S8" s="17">
        <v>2952379</v>
      </c>
      <c r="T8" s="17">
        <v>5173056</v>
      </c>
      <c r="U8" s="17">
        <v>5830760</v>
      </c>
      <c r="V8" s="17">
        <v>5234346</v>
      </c>
    </row>
    <row r="9" spans="1:22" ht="16.5">
      <c r="A9" s="151"/>
      <c r="B9" s="14">
        <v>552077</v>
      </c>
      <c r="C9" s="13">
        <v>1145084</v>
      </c>
      <c r="D9" s="17">
        <v>6939250</v>
      </c>
      <c r="E9" s="17">
        <v>10735584</v>
      </c>
      <c r="F9" s="17">
        <v>10372134</v>
      </c>
      <c r="G9" s="17">
        <v>22068932</v>
      </c>
      <c r="H9" s="17">
        <v>21394196</v>
      </c>
      <c r="I9" s="17">
        <v>656969</v>
      </c>
      <c r="J9" s="17">
        <v>7415101</v>
      </c>
      <c r="K9" s="13">
        <v>4775695</v>
      </c>
      <c r="L9" s="13">
        <v>3312160</v>
      </c>
      <c r="M9" s="13">
        <v>951962</v>
      </c>
      <c r="N9" s="3"/>
      <c r="O9" s="17">
        <v>11707546</v>
      </c>
      <c r="P9" s="13">
        <v>13716020</v>
      </c>
      <c r="Q9" s="13">
        <v>50410</v>
      </c>
      <c r="R9" s="17">
        <v>4691170</v>
      </c>
      <c r="S9" s="17">
        <v>4304109</v>
      </c>
      <c r="T9" s="17">
        <v>3483181</v>
      </c>
      <c r="U9" s="17">
        <v>2409096</v>
      </c>
      <c r="V9" s="17">
        <v>8378967</v>
      </c>
    </row>
    <row r="10" spans="1:22" ht="16.5">
      <c r="A10" s="151"/>
      <c r="B10" s="14">
        <v>1595805</v>
      </c>
      <c r="C10" s="13">
        <v>284779</v>
      </c>
      <c r="D10" s="17">
        <v>5549936</v>
      </c>
      <c r="E10" s="17">
        <v>9063223</v>
      </c>
      <c r="F10" s="17">
        <v>7525806</v>
      </c>
      <c r="G10" s="17">
        <v>13761410</v>
      </c>
      <c r="H10" s="17">
        <v>13007165</v>
      </c>
      <c r="I10" s="17">
        <v>3063392</v>
      </c>
      <c r="J10" s="17">
        <v>10559280</v>
      </c>
      <c r="K10" s="13">
        <v>5309975</v>
      </c>
      <c r="L10" s="13">
        <v>7489086</v>
      </c>
      <c r="M10" s="13">
        <v>1999004</v>
      </c>
      <c r="N10" s="3"/>
      <c r="O10" s="17">
        <v>8370599</v>
      </c>
      <c r="P10" s="13">
        <v>16804233</v>
      </c>
      <c r="Q10" s="13">
        <v>3432326</v>
      </c>
      <c r="R10" s="17">
        <v>4001060</v>
      </c>
      <c r="S10" s="17">
        <v>4531071</v>
      </c>
      <c r="T10" s="17">
        <v>5361087</v>
      </c>
      <c r="U10" s="17">
        <v>4830097</v>
      </c>
      <c r="V10" s="17">
        <v>6490449</v>
      </c>
    </row>
    <row r="11" spans="1:22" ht="16.5">
      <c r="A11" s="151"/>
      <c r="B11" s="14">
        <v>97096</v>
      </c>
      <c r="C11" s="13">
        <v>5662095</v>
      </c>
      <c r="D11" s="17">
        <v>4105073</v>
      </c>
      <c r="E11" s="17">
        <v>10449242</v>
      </c>
      <c r="F11" s="17">
        <v>12459217</v>
      </c>
      <c r="G11" s="17">
        <v>12402186</v>
      </c>
      <c r="H11" s="17">
        <v>19698125</v>
      </c>
      <c r="I11" s="17">
        <v>12022075</v>
      </c>
      <c r="J11" s="17">
        <v>11923024</v>
      </c>
      <c r="K11" s="13">
        <v>3853831</v>
      </c>
      <c r="L11" s="13">
        <v>2074755</v>
      </c>
      <c r="M11" s="13">
        <v>1285917</v>
      </c>
      <c r="N11" s="3"/>
      <c r="O11" s="17">
        <v>3394097</v>
      </c>
      <c r="P11" s="13">
        <v>11362107</v>
      </c>
      <c r="Q11" s="13">
        <v>2538794</v>
      </c>
      <c r="R11" s="17">
        <v>9507704</v>
      </c>
      <c r="S11" s="17">
        <v>5840650</v>
      </c>
      <c r="T11" s="17">
        <v>5519167</v>
      </c>
      <c r="U11" s="17">
        <v>5903667</v>
      </c>
      <c r="V11" s="17">
        <v>5974064</v>
      </c>
    </row>
    <row r="12" spans="1:22" ht="16.5">
      <c r="A12" s="151"/>
      <c r="B12" s="14">
        <v>763892</v>
      </c>
      <c r="C12" s="13">
        <v>1970957</v>
      </c>
      <c r="D12" s="17">
        <v>6565159</v>
      </c>
      <c r="E12" s="17">
        <v>6866155</v>
      </c>
      <c r="F12" s="17">
        <v>16751015</v>
      </c>
      <c r="G12" s="17">
        <v>10602127</v>
      </c>
      <c r="H12" s="17">
        <v>14327358</v>
      </c>
      <c r="I12" s="17">
        <v>11049876</v>
      </c>
      <c r="J12" s="17">
        <v>7823888</v>
      </c>
      <c r="K12" s="13">
        <v>10032568</v>
      </c>
      <c r="L12" s="13">
        <v>3381279</v>
      </c>
      <c r="M12" s="13">
        <v>1738685</v>
      </c>
      <c r="N12" s="3"/>
      <c r="O12" s="17">
        <v>7552457</v>
      </c>
      <c r="P12" s="13"/>
      <c r="Q12" s="13">
        <v>549719</v>
      </c>
      <c r="R12" s="17">
        <v>6623929</v>
      </c>
      <c r="S12" s="17">
        <v>7791525</v>
      </c>
      <c r="T12" s="17">
        <v>1879272</v>
      </c>
      <c r="U12" s="17">
        <v>5119107</v>
      </c>
      <c r="V12" s="17">
        <v>6651162</v>
      </c>
    </row>
    <row r="13" spans="1:22" ht="16.5">
      <c r="A13" s="151"/>
      <c r="B13" s="14"/>
      <c r="C13" s="13"/>
      <c r="D13" s="17"/>
      <c r="E13" s="17"/>
      <c r="F13" s="17"/>
      <c r="G13" s="17"/>
      <c r="H13" s="17"/>
      <c r="I13" s="17"/>
      <c r="J13" s="17"/>
      <c r="K13" s="13"/>
      <c r="L13" s="13"/>
      <c r="M13" s="13"/>
      <c r="N13" s="3"/>
      <c r="O13" s="17">
        <v>11788599</v>
      </c>
      <c r="P13" s="13"/>
      <c r="Q13" s="13"/>
      <c r="R13" s="17"/>
      <c r="S13" s="17"/>
      <c r="T13" s="17"/>
      <c r="U13" s="17"/>
      <c r="V13" s="17"/>
    </row>
    <row r="14" spans="1:22" ht="16.5">
      <c r="A14" s="151"/>
      <c r="B14" s="14"/>
      <c r="C14" s="17"/>
      <c r="D14" s="17"/>
      <c r="E14" s="17"/>
      <c r="F14" s="17"/>
      <c r="G14" s="17"/>
      <c r="H14" s="17"/>
      <c r="I14" s="17"/>
      <c r="J14" s="17"/>
      <c r="K14" s="13"/>
      <c r="L14" s="13"/>
      <c r="M14" s="13"/>
      <c r="N14" s="3"/>
      <c r="O14" s="17">
        <v>8942020</v>
      </c>
      <c r="P14" s="13"/>
      <c r="Q14" s="13"/>
      <c r="R14" s="17"/>
      <c r="S14" s="17"/>
      <c r="T14" s="17"/>
      <c r="U14" s="17"/>
      <c r="V14" s="17"/>
    </row>
    <row r="15" spans="1:22" ht="16.5">
      <c r="A15" s="151"/>
      <c r="B15" s="14"/>
      <c r="C15" s="17"/>
      <c r="D15" s="17"/>
      <c r="E15" s="17"/>
      <c r="F15" s="17"/>
      <c r="G15" s="17"/>
      <c r="H15" s="17"/>
      <c r="I15" s="17"/>
      <c r="J15" s="17"/>
      <c r="K15" s="13"/>
      <c r="L15" s="13"/>
      <c r="M15" s="13"/>
      <c r="N15" s="3"/>
      <c r="O15" s="17">
        <v>11854297</v>
      </c>
      <c r="P15" s="13"/>
      <c r="Q15" s="13"/>
      <c r="R15" s="17"/>
      <c r="S15" s="17"/>
      <c r="T15" s="17"/>
      <c r="U15" s="17"/>
      <c r="V15" s="17"/>
    </row>
    <row r="16" spans="1:22" ht="16.5">
      <c r="A16" s="151"/>
      <c r="B16" s="14"/>
      <c r="C16" s="17"/>
      <c r="D16" s="17"/>
      <c r="E16" s="17"/>
      <c r="F16" s="17"/>
      <c r="G16" s="17"/>
      <c r="H16" s="17"/>
      <c r="I16" s="17"/>
      <c r="J16" s="17"/>
      <c r="K16" s="13"/>
      <c r="L16" s="13"/>
      <c r="M16" s="13"/>
      <c r="N16" s="3"/>
      <c r="O16" s="17">
        <v>938801</v>
      </c>
      <c r="P16" s="13"/>
      <c r="Q16" s="13"/>
      <c r="R16" s="17"/>
      <c r="S16" s="17"/>
      <c r="T16" s="17"/>
      <c r="U16" s="17"/>
      <c r="V16" s="17"/>
    </row>
    <row r="17" spans="1:22" ht="16.5">
      <c r="A17" s="151"/>
      <c r="B17" s="14"/>
      <c r="C17" s="17"/>
      <c r="D17" s="17"/>
      <c r="E17" s="17"/>
      <c r="F17" s="17"/>
      <c r="G17" s="17"/>
      <c r="H17" s="17"/>
      <c r="I17" s="17"/>
      <c r="J17" s="17"/>
      <c r="K17" s="13"/>
      <c r="L17" s="13"/>
      <c r="M17" s="13"/>
      <c r="N17" s="3"/>
      <c r="O17" s="17">
        <v>2721346</v>
      </c>
      <c r="P17" s="13"/>
      <c r="Q17" s="13"/>
      <c r="R17" s="17"/>
      <c r="S17" s="17"/>
      <c r="T17" s="17"/>
      <c r="U17" s="17"/>
      <c r="V17" s="17"/>
    </row>
    <row r="18" spans="1:22" ht="16.5">
      <c r="A18" s="151"/>
      <c r="B18" s="14"/>
      <c r="C18" s="17"/>
      <c r="D18" s="17"/>
      <c r="E18" s="17"/>
      <c r="F18" s="17"/>
      <c r="G18" s="17"/>
      <c r="H18" s="17"/>
      <c r="I18" s="17"/>
      <c r="J18" s="17"/>
      <c r="K18" s="13"/>
      <c r="L18" s="13"/>
      <c r="M18" s="13"/>
      <c r="N18" s="3"/>
      <c r="O18" s="17">
        <v>11283335</v>
      </c>
      <c r="P18" s="13"/>
      <c r="Q18" s="13"/>
      <c r="R18" s="17"/>
      <c r="S18" s="17"/>
      <c r="T18" s="17"/>
      <c r="U18" s="17"/>
      <c r="V18" s="17"/>
    </row>
    <row r="19" spans="1:22" ht="16.5">
      <c r="A19" s="151"/>
      <c r="B19" s="14"/>
      <c r="C19" s="17"/>
      <c r="D19" s="17"/>
      <c r="E19" s="17"/>
      <c r="F19" s="17"/>
      <c r="G19" s="17"/>
      <c r="H19" s="17"/>
      <c r="I19" s="17"/>
      <c r="J19" s="17"/>
      <c r="K19" s="13"/>
      <c r="L19" s="13"/>
      <c r="M19" s="13"/>
      <c r="N19" s="3"/>
      <c r="O19" s="17">
        <v>3778870</v>
      </c>
      <c r="P19" s="13"/>
      <c r="Q19" s="13"/>
      <c r="R19" s="17"/>
      <c r="S19" s="17"/>
      <c r="T19" s="17"/>
      <c r="U19" s="17"/>
      <c r="V19" s="17"/>
    </row>
    <row r="20" spans="1:22" ht="16.5">
      <c r="A20" s="151"/>
      <c r="B20" s="14"/>
      <c r="C20" s="17"/>
      <c r="D20" s="17"/>
      <c r="E20" s="17"/>
      <c r="F20" s="17"/>
      <c r="G20" s="17"/>
      <c r="H20" s="17"/>
      <c r="I20" s="17"/>
      <c r="J20" s="17"/>
      <c r="K20" s="13"/>
      <c r="L20" s="13"/>
      <c r="M20" s="13"/>
      <c r="N20" s="3"/>
      <c r="O20" s="17">
        <v>2742657</v>
      </c>
      <c r="P20" s="13"/>
      <c r="Q20" s="13"/>
      <c r="R20" s="17"/>
      <c r="S20" s="17"/>
      <c r="T20" s="17"/>
      <c r="U20" s="17"/>
      <c r="V20" s="17"/>
    </row>
    <row r="21" spans="1:22">
      <c r="A21" s="3"/>
      <c r="B21" s="7"/>
      <c r="C21" s="7"/>
      <c r="D21" s="7"/>
      <c r="E21" s="7"/>
      <c r="F21" s="7"/>
      <c r="G21" s="7"/>
      <c r="H21" s="7"/>
      <c r="I21" s="7"/>
      <c r="J21" s="7"/>
      <c r="N21" s="3"/>
      <c r="O21" s="7"/>
      <c r="R21" s="7"/>
      <c r="S21" s="7"/>
      <c r="T21" s="7"/>
      <c r="U21" s="7"/>
      <c r="V21" s="7"/>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testosterone-300µg/L</v>
      </c>
      <c r="J22" s="3" t="str">
        <f t="shared" si="0"/>
        <v>testosterone-100µg/L</v>
      </c>
      <c r="K22" s="3" t="str">
        <f t="shared" si="0"/>
        <v>testosterone-33µg/L</v>
      </c>
      <c r="L22" s="3" t="str">
        <f t="shared" si="0"/>
        <v>testosterone-11µg/L</v>
      </c>
      <c r="M22" s="3" t="str">
        <f t="shared" si="0"/>
        <v>testosterone-3.7µg/L</v>
      </c>
      <c r="N22" s="3" t="s">
        <v>22</v>
      </c>
      <c r="O22" s="3" t="str">
        <f t="shared" si="0"/>
        <v>Testo -30µg/L</v>
      </c>
      <c r="P22" s="3" t="str">
        <f t="shared" si="0"/>
        <v>Testo 30µg/L + EE2 -64ng/L</v>
      </c>
      <c r="Q22" s="3" t="str">
        <f t="shared" si="0"/>
        <v>Testo 30µg/L + FAD-10mg/L</v>
      </c>
      <c r="R22" s="3" t="str">
        <f t="shared" si="0"/>
        <v>testosterone-300µg/L + Testostérone</v>
      </c>
      <c r="S22" s="3" t="str">
        <f t="shared" si="0"/>
        <v>testosterone-100µg/L + Testostérone</v>
      </c>
      <c r="T22" s="3" t="str">
        <f t="shared" si="0"/>
        <v>testosterone-33µg/L + Testostérone</v>
      </c>
      <c r="U22" s="3" t="str">
        <f t="shared" si="0"/>
        <v>testosterone-11µg/L + Testostérone</v>
      </c>
      <c r="V22" s="3" t="str">
        <f t="shared" si="0"/>
        <v>testosterone-3.7µg/L + Testostérone</v>
      </c>
    </row>
    <row r="23" spans="1:22">
      <c r="A23" s="5" t="s">
        <v>0</v>
      </c>
      <c r="B23" s="5">
        <f t="shared" ref="B23:J23" si="1">AVERAGE(B5:B20)</f>
        <v>1010405.625</v>
      </c>
      <c r="C23" s="5">
        <f t="shared" si="1"/>
        <v>1546131.375</v>
      </c>
      <c r="D23" s="5">
        <f t="shared" si="1"/>
        <v>4346400.5</v>
      </c>
      <c r="E23" s="5">
        <f t="shared" si="1"/>
        <v>9196445.625</v>
      </c>
      <c r="F23" s="5">
        <f t="shared" si="1"/>
        <v>11653161.25</v>
      </c>
      <c r="G23" s="5">
        <f t="shared" si="1"/>
        <v>14949592.75</v>
      </c>
      <c r="H23" s="5">
        <f t="shared" si="1"/>
        <v>14671490.875</v>
      </c>
      <c r="I23" s="5">
        <f t="shared" si="1"/>
        <v>9639167</v>
      </c>
      <c r="J23" s="5">
        <f t="shared" si="1"/>
        <v>9270530</v>
      </c>
      <c r="K23" s="5"/>
      <c r="L23" s="5">
        <f>AVERAGE(L5:L20)</f>
        <v>3444364</v>
      </c>
      <c r="M23" s="5"/>
      <c r="N23" s="5" t="s">
        <v>0</v>
      </c>
      <c r="O23" s="5">
        <f>AVERAGE(O5:O20)</f>
        <v>6899697.4375</v>
      </c>
      <c r="P23" s="5">
        <f>AVERAGE(P5:P20)</f>
        <v>10795107.571428571</v>
      </c>
      <c r="Q23" s="5">
        <f>AVERAGE(Q5:Q20)</f>
        <v>1817833.25</v>
      </c>
      <c r="R23" s="5">
        <f>AVERAGE(R5:R20)</f>
        <v>8965715.5</v>
      </c>
      <c r="S23" s="5">
        <f>AVERAGE(S5:S20)</f>
        <v>5272951.25</v>
      </c>
      <c r="T23" s="5">
        <f t="shared" ref="T23:V23" si="2">AVERAGE(T5:T20)</f>
        <v>4343105.25</v>
      </c>
      <c r="U23" s="5">
        <f t="shared" si="2"/>
        <v>4077566.75</v>
      </c>
      <c r="V23" s="5">
        <f t="shared" si="2"/>
        <v>5724503.625</v>
      </c>
    </row>
    <row r="24" spans="1:22">
      <c r="A24" s="3" t="s">
        <v>1</v>
      </c>
      <c r="B24" s="3">
        <f t="shared" ref="B24:J24" si="3">STDEV(B5:B20)</f>
        <v>1129691.0986534501</v>
      </c>
      <c r="C24" s="3">
        <f t="shared" si="3"/>
        <v>1806656.5871706568</v>
      </c>
      <c r="D24" s="3">
        <f t="shared" si="3"/>
        <v>2193623.8764827354</v>
      </c>
      <c r="E24" s="3">
        <f t="shared" si="3"/>
        <v>1947148.8466863497</v>
      </c>
      <c r="F24" s="3">
        <f t="shared" si="3"/>
        <v>3207849.0883440329</v>
      </c>
      <c r="G24" s="3">
        <f t="shared" si="3"/>
        <v>3479865.458109213</v>
      </c>
      <c r="H24" s="3">
        <f t="shared" si="3"/>
        <v>4062437.284156133</v>
      </c>
      <c r="I24" s="3">
        <f t="shared" si="3"/>
        <v>5133761.2542433534</v>
      </c>
      <c r="J24" s="3">
        <f t="shared" si="3"/>
        <v>4348849.6643684329</v>
      </c>
      <c r="K24" s="3"/>
      <c r="L24" s="3">
        <f>STDEV(L5:L20)</f>
        <v>2194834.2615648354</v>
      </c>
      <c r="M24" s="3"/>
      <c r="N24" s="3" t="s">
        <v>1</v>
      </c>
      <c r="O24" s="3">
        <f>STDEV(O5:O20)</f>
        <v>3969543.8342474904</v>
      </c>
      <c r="P24" s="3">
        <f>STDEV(P5:P20)</f>
        <v>3736917.8855369515</v>
      </c>
      <c r="Q24" s="3">
        <f>STDEV(Q5:Q20)</f>
        <v>1501416.1191626247</v>
      </c>
      <c r="R24" s="3">
        <f>STDEV(R5:R20)</f>
        <v>4271545.2776875552</v>
      </c>
      <c r="S24" s="3">
        <f>STDEV(S5:S20)</f>
        <v>1923616.3089506144</v>
      </c>
      <c r="T24" s="3">
        <f t="shared" ref="T24:V24" si="4">STDEV(T5:T20)</f>
        <v>2146844.7924734801</v>
      </c>
      <c r="U24" s="3">
        <f t="shared" si="4"/>
        <v>1497459.4144763753</v>
      </c>
      <c r="V24" s="3">
        <f t="shared" si="4"/>
        <v>1557318.9221740712</v>
      </c>
    </row>
    <row r="25" spans="1:22" ht="15.75" thickBot="1"/>
    <row r="26" spans="1:22" ht="15.75" thickBot="1">
      <c r="B26" s="149" t="s">
        <v>6</v>
      </c>
      <c r="C26" s="150"/>
      <c r="D26" s="150"/>
      <c r="E26" s="150"/>
      <c r="F26" s="150"/>
      <c r="G26" s="150"/>
      <c r="H26" s="150"/>
      <c r="I26" s="150"/>
      <c r="J26" s="150"/>
      <c r="K26" s="150"/>
      <c r="L26" s="150"/>
      <c r="M26" s="150"/>
      <c r="O26" s="149" t="s">
        <v>3</v>
      </c>
      <c r="P26" s="150"/>
      <c r="Q26" s="150"/>
      <c r="R26" s="150"/>
      <c r="S26" s="150"/>
      <c r="T26" s="150"/>
      <c r="U26" s="150"/>
      <c r="V26" s="150"/>
    </row>
    <row r="27" spans="1:22">
      <c r="A27" s="19" t="s">
        <v>22</v>
      </c>
      <c r="B27" s="20" t="str">
        <f>B4</f>
        <v>Solvent control</v>
      </c>
      <c r="C27" s="20" t="str">
        <f t="shared" ref="C27:M27" si="5">C4</f>
        <v>EE2-33.8ng/L</v>
      </c>
      <c r="D27" s="20" t="str">
        <f t="shared" si="5"/>
        <v>EE2-50.6ng/L</v>
      </c>
      <c r="E27" s="20" t="str">
        <f t="shared" si="5"/>
        <v>EE2-76ng/L</v>
      </c>
      <c r="F27" s="20" t="str">
        <f t="shared" si="5"/>
        <v>EE2-114ng/L</v>
      </c>
      <c r="G27" s="20" t="str">
        <f t="shared" si="5"/>
        <v>EE2-170.9ng/L</v>
      </c>
      <c r="H27" s="20" t="str">
        <f t="shared" si="5"/>
        <v>EE2-488ng/L</v>
      </c>
      <c r="I27" s="20" t="str">
        <f t="shared" si="5"/>
        <v>testosterone-300µg/L</v>
      </c>
      <c r="J27" s="20" t="str">
        <f t="shared" si="5"/>
        <v>testosterone-100µg/L</v>
      </c>
      <c r="K27" s="20" t="str">
        <f t="shared" si="5"/>
        <v>testosterone-33µg/L</v>
      </c>
      <c r="L27" s="20" t="str">
        <f t="shared" si="5"/>
        <v>testosterone-11µg/L</v>
      </c>
      <c r="M27" s="20" t="str">
        <f t="shared" si="5"/>
        <v>testosterone-3.7µg/L</v>
      </c>
      <c r="N27" s="3"/>
      <c r="O27" s="21" t="str">
        <f>O4</f>
        <v>Testo -30µg/L</v>
      </c>
      <c r="P27" s="21" t="str">
        <f t="shared" ref="P27:R27" si="6">P4</f>
        <v>Testo 30µg/L + EE2 -64ng/L</v>
      </c>
      <c r="Q27" s="21" t="str">
        <f t="shared" si="6"/>
        <v>Testo 30µg/L + FAD-10mg/L</v>
      </c>
      <c r="R27" s="21" t="str">
        <f t="shared" si="6"/>
        <v>testosterone-300µg/L + Testostérone</v>
      </c>
      <c r="S27" s="21" t="str">
        <f t="shared" ref="S27:V27" si="7">S4</f>
        <v>testosterone-100µg/L + Testostérone</v>
      </c>
      <c r="T27" s="21" t="str">
        <f t="shared" si="7"/>
        <v>testosterone-33µg/L + Testostérone</v>
      </c>
      <c r="U27" s="21" t="str">
        <f t="shared" si="7"/>
        <v>testosterone-11µg/L + Testostérone</v>
      </c>
      <c r="V27" s="21" t="str">
        <f t="shared" si="7"/>
        <v>testosterone-3.7µg/L + Testostérone</v>
      </c>
    </row>
    <row r="28" spans="1:22">
      <c r="A28" s="152" t="s">
        <v>17</v>
      </c>
      <c r="B28" s="11">
        <f>IF(B5="","",(B5/$O$23))</f>
        <v>6.1937498545565749E-3</v>
      </c>
      <c r="C28" s="11">
        <f>IF(C5="","",(C5/$O$23))</f>
        <v>6.4641820027633634E-2</v>
      </c>
      <c r="D28" s="11">
        <f>IF(D5="","",(D5/$O$23))</f>
        <v>0.11532983978038384</v>
      </c>
      <c r="E28" s="11">
        <f>IF(E5="","",(E5/$O$23))</f>
        <v>1.1615110767674151</v>
      </c>
      <c r="F28" s="11">
        <f>IF(F5="","",(F5/$O$23))</f>
        <v>1.1283529561291723</v>
      </c>
      <c r="G28" s="11">
        <f>IF(G5="","",(G5/$O$23))</f>
        <v>2.3317777548560801</v>
      </c>
      <c r="H28" s="11">
        <f>IF(H5="","",(H5/$O$23))</f>
        <v>1.6311837007273118</v>
      </c>
      <c r="I28" s="11">
        <f>IF(I5="","",(I5/$O$23))</f>
        <v>2.0110118053274419</v>
      </c>
      <c r="J28" s="11">
        <f>IF(J5="","",(J5/$O$23))</f>
        <v>2.425904925776682</v>
      </c>
      <c r="K28" s="11">
        <f>IF(K5="","",(K5/$O$23))</f>
        <v>1.1949750079167873</v>
      </c>
      <c r="L28" s="11">
        <f>IF(L5="","",(L5/$O$23))</f>
        <v>0.74752509754526464</v>
      </c>
      <c r="M28" s="11">
        <f>IF(M5="","",(M5/$O$23))</f>
        <v>0.10976640742009348</v>
      </c>
      <c r="N28" s="6"/>
      <c r="O28" s="11">
        <f t="shared" ref="O28:S37" si="8">IF(O5="","",(O5/$O$23))</f>
        <v>0.83393178499792731</v>
      </c>
      <c r="P28" s="11">
        <f t="shared" si="8"/>
        <v>1.0682185801281376</v>
      </c>
      <c r="Q28" s="11">
        <f t="shared" si="8"/>
        <v>9.1130082977642163E-2</v>
      </c>
      <c r="R28" s="11">
        <f t="shared" si="8"/>
        <v>1.4390106363269064</v>
      </c>
      <c r="S28" s="11">
        <f t="shared" si="8"/>
        <v>1.1364953421553567</v>
      </c>
      <c r="T28" s="11">
        <f t="shared" ref="T28:V28" si="9">IF(T5="","",(T5/$O$23))</f>
        <v>0.12916696827258523</v>
      </c>
      <c r="U28" s="11">
        <f t="shared" si="9"/>
        <v>0.45932347450126865</v>
      </c>
      <c r="V28" s="11">
        <f t="shared" si="9"/>
        <v>0.79642883615938265</v>
      </c>
    </row>
    <row r="29" spans="1:22">
      <c r="A29" s="152"/>
      <c r="B29" s="11">
        <f>IF(B6="","",(B6/$O$23))</f>
        <v>0.15607148135906937</v>
      </c>
      <c r="C29" s="11">
        <f>IF(C6="","",(C6/$O$23))</f>
        <v>0.28684938983601627</v>
      </c>
      <c r="D29" s="11">
        <f>IF(D6="","",(D6/$O$23))</f>
        <v>0.4205694563110326</v>
      </c>
      <c r="E29" s="11">
        <f>IF(E6="","",(E6/$O$23))</f>
        <v>1.6828387194043537</v>
      </c>
      <c r="F29" s="11">
        <f>IF(F6="","",(F6/$O$23))</f>
        <v>1.7692119271280726</v>
      </c>
      <c r="G29" s="11">
        <f>IF(G6="","",(G6/$O$23))</f>
        <v>2.2920493461130844</v>
      </c>
      <c r="H29" s="11">
        <f>IF(H6="","",(H6/$O$23))</f>
        <v>1.7996542765068169</v>
      </c>
      <c r="I29" s="11">
        <f>IF(I6="","",(I6/$O$23))</f>
        <v>2.0187004033392442</v>
      </c>
      <c r="J29" s="11">
        <f>IF(J6="","",(J6/$O$23))</f>
        <v>0.28291037653199991</v>
      </c>
      <c r="K29" s="11">
        <f>IF(K6="","",(K6/$O$23))</f>
        <v>1.1521267522247058</v>
      </c>
      <c r="L29" s="11">
        <f>IF(L6="","",(L6/$O$23))</f>
        <v>7.974813460796773E-2</v>
      </c>
      <c r="M29" s="11">
        <f>IF(M6="","",(M6/$O$23))</f>
        <v>0.11409746690069987</v>
      </c>
      <c r="N29" s="6"/>
      <c r="O29" s="11">
        <f t="shared" si="8"/>
        <v>0.98401329355393197</v>
      </c>
      <c r="P29" s="11">
        <f t="shared" si="8"/>
        <v>0.8705510718998104</v>
      </c>
      <c r="Q29" s="11">
        <f t="shared" si="8"/>
        <v>0.56808317111079121</v>
      </c>
      <c r="R29" s="11">
        <f t="shared" si="8"/>
        <v>1.650453821077426</v>
      </c>
      <c r="S29" s="11">
        <f t="shared" si="8"/>
        <v>0.43045467238287144</v>
      </c>
      <c r="T29" s="11">
        <f t="shared" ref="T29:V29" si="10">IF(T6="","",(T6/$O$23))</f>
        <v>0.71260240677763775</v>
      </c>
      <c r="U29" s="11">
        <f t="shared" si="10"/>
        <v>0.42353538346731306</v>
      </c>
      <c r="V29" s="11">
        <f t="shared" si="10"/>
        <v>0.46840271320230625</v>
      </c>
    </row>
    <row r="30" spans="1:22">
      <c r="A30" s="152"/>
      <c r="B30" s="11">
        <f>IF(B7="","",(B7/$O$23))</f>
        <v>6.500864770709737E-2</v>
      </c>
      <c r="C30" s="11">
        <f>IF(C7="","",(C7/$O$23))</f>
        <v>2.6629283626467715E-2</v>
      </c>
      <c r="D30" s="11">
        <f>IF(D7="","",(D7/$O$23))</f>
        <v>0.81461456113306563</v>
      </c>
      <c r="E30" s="11">
        <f>IF(E7="","",(E7/$O$23))</f>
        <v>1.5221831239900656</v>
      </c>
      <c r="F30" s="11">
        <f>IF(F7="","",(F7/$O$23))</f>
        <v>1.612912754625409</v>
      </c>
      <c r="G30" s="11">
        <f>IF(G7="","",(G7/$O$23))</f>
        <v>1.8693010986106737</v>
      </c>
      <c r="H30" s="11">
        <f>IF(H7="","",(H7/$O$23))</f>
        <v>2.2557136948369267</v>
      </c>
      <c r="I30" s="11">
        <f>IF(I7="","",(I7/$O$23))</f>
        <v>1.2870815105216706</v>
      </c>
      <c r="J30" s="11">
        <f>IF(J7="","",(J7/$O$23))</f>
        <v>0.98734894706750687</v>
      </c>
      <c r="K30" s="11">
        <f>IF(K7="","",(K7/$O$23))</f>
        <v>1.6885517235407035</v>
      </c>
      <c r="L30" s="11">
        <f>IF(L7="","",(L7/$O$23))</f>
        <v>0.21864915290352541</v>
      </c>
      <c r="M30" s="11">
        <f>IF(M7="","",(M7/$O$23))</f>
        <v>4.4075410951670446E-2</v>
      </c>
      <c r="N30" s="6"/>
      <c r="O30" s="11">
        <f t="shared" si="8"/>
        <v>1.6108796219950188</v>
      </c>
      <c r="P30" s="11">
        <f t="shared" si="8"/>
        <v>1.2842123992049326</v>
      </c>
      <c r="Q30" s="11">
        <f t="shared" si="8"/>
        <v>0.39541965784930844</v>
      </c>
      <c r="R30" s="11">
        <f t="shared" si="8"/>
        <v>2.5256643726560508</v>
      </c>
      <c r="S30" s="11">
        <f t="shared" si="8"/>
        <v>0.86270377127678222</v>
      </c>
      <c r="T30" s="11">
        <f t="shared" ref="T30:V30" si="11">IF(T7="","",(T7/$O$23))</f>
        <v>1.0900659149374476</v>
      </c>
      <c r="U30" s="11">
        <f t="shared" si="11"/>
        <v>0.35310939676258812</v>
      </c>
      <c r="V30" s="11">
        <f t="shared" si="11"/>
        <v>0.62902555355710843</v>
      </c>
    </row>
    <row r="31" spans="1:22">
      <c r="A31" s="152"/>
      <c r="B31" s="11">
        <f>IF(B8="","",(B8/$O$23))</f>
        <v>0.50817503691443566</v>
      </c>
      <c r="C31" s="11">
        <f>IF(C8="","",(C8/$O$23))</f>
        <v>0.10105066291901441</v>
      </c>
      <c r="D31" s="11">
        <f>IF(D8="","",(D8/$O$23))</f>
        <v>0.33242747537507511</v>
      </c>
      <c r="E31" s="11">
        <f>IF(E8="","",(E8/$O$23))</f>
        <v>0.91737428450100789</v>
      </c>
      <c r="F31" s="11">
        <f>IF(F8="","",(F8/$O$23))</f>
        <v>2.1734557400293251</v>
      </c>
      <c r="G31" s="11">
        <f>IF(G8="","",(G8/$O$23))</f>
        <v>2.313357526845901</v>
      </c>
      <c r="H31" s="11">
        <f>IF(H8="","",(H8/$O$23))</f>
        <v>1.4072496784030177</v>
      </c>
      <c r="I31" s="11">
        <f>IF(I8="","",(I8/$O$23))</f>
        <v>1.976428114932105</v>
      </c>
      <c r="J31" s="11">
        <f>IF(J8="","",(J8/$O$23))</f>
        <v>1.5856538781741327</v>
      </c>
      <c r="K31" s="11">
        <f>IF(K8="","",(K8/$O$23))</f>
        <v>2.141440568059692</v>
      </c>
      <c r="L31" s="11">
        <f>IF(L8="","",(L8/$O$23))</f>
        <v>0.59148738578292193</v>
      </c>
      <c r="M31" s="11">
        <f>IF(M8="","",(M8/$O$23))</f>
        <v>0.44561678651144476</v>
      </c>
      <c r="N31" s="6"/>
      <c r="O31" s="11">
        <f t="shared" si="8"/>
        <v>0.2409789726377404</v>
      </c>
      <c r="P31" s="11">
        <f t="shared" si="8"/>
        <v>1.6588831762088407</v>
      </c>
      <c r="Q31" s="11">
        <f t="shared" si="8"/>
        <v>0.10069557488476465</v>
      </c>
      <c r="R31" s="11">
        <f t="shared" si="8"/>
        <v>1.1825404046929269</v>
      </c>
      <c r="S31" s="11">
        <f t="shared" si="8"/>
        <v>0.4278997777429715</v>
      </c>
      <c r="T31" s="11">
        <f t="shared" ref="T31:V31" si="12">IF(T8="","",(T8/$O$23))</f>
        <v>0.74975113718528186</v>
      </c>
      <c r="U31" s="11">
        <f t="shared" si="12"/>
        <v>0.8450747373804679</v>
      </c>
      <c r="V31" s="11">
        <f t="shared" si="12"/>
        <v>0.75863413539718716</v>
      </c>
    </row>
    <row r="32" spans="1:22">
      <c r="A32" s="152"/>
      <c r="B32" s="11">
        <f>IF(B9="","",(B9/$O$23))</f>
        <v>8.0014668034492351E-2</v>
      </c>
      <c r="C32" s="11">
        <f>IF(C9="","",(C9/$O$23))</f>
        <v>0.16596148024932869</v>
      </c>
      <c r="D32" s="11">
        <f>IF(D9="","",(D9/$O$23))</f>
        <v>1.0057325068031289</v>
      </c>
      <c r="E32" s="11">
        <f>IF(E9="","",(E9/$O$23))</f>
        <v>1.5559499669727366</v>
      </c>
      <c r="F32" s="11">
        <f>IF(F9="","",(F9/$O$23))</f>
        <v>1.5032737440959707</v>
      </c>
      <c r="G32" s="11">
        <f>IF(G9="","",(G9/$O$23))</f>
        <v>3.19853619668232</v>
      </c>
      <c r="H32" s="11">
        <f>IF(H9="","",(H9/$O$23))</f>
        <v>3.1007440824465862</v>
      </c>
      <c r="I32" s="11">
        <f>IF(I9="","",(I9/$O$23))</f>
        <v>9.5217073784911163E-2</v>
      </c>
      <c r="J32" s="11">
        <f>IF(J9="","",(J9/$O$23))</f>
        <v>1.0746994440218163</v>
      </c>
      <c r="K32" s="11">
        <f>IF(K9="","",(K9/$O$23))</f>
        <v>0.69216006111282469</v>
      </c>
      <c r="L32" s="11">
        <f>IF(L9="","",(L9/$O$23))</f>
        <v>0.48004423817171188</v>
      </c>
      <c r="M32" s="11">
        <f>IF(M9="","",(M9/$O$23))</f>
        <v>0.13797155724917248</v>
      </c>
      <c r="N32" s="6"/>
      <c r="O32" s="11">
        <f t="shared" si="8"/>
        <v>1.6968202020525194</v>
      </c>
      <c r="P32" s="11">
        <f t="shared" si="8"/>
        <v>1.9879161549103797</v>
      </c>
      <c r="Q32" s="11">
        <f t="shared" si="8"/>
        <v>7.306117472053281E-3</v>
      </c>
      <c r="R32" s="11">
        <f t="shared" si="8"/>
        <v>0.67990952393120785</v>
      </c>
      <c r="S32" s="11">
        <f t="shared" si="8"/>
        <v>0.62381126694151512</v>
      </c>
      <c r="T32" s="11">
        <f t="shared" ref="T32:V32" si="13">IF(T9="","",(T9/$O$23))</f>
        <v>0.50483097723515213</v>
      </c>
      <c r="U32" s="11">
        <f t="shared" si="13"/>
        <v>0.34915965835059853</v>
      </c>
      <c r="V32" s="11">
        <f t="shared" si="13"/>
        <v>1.214396294315768</v>
      </c>
    </row>
    <row r="33" spans="1:22">
      <c r="A33" s="152"/>
      <c r="B33" s="11">
        <f>IF(B10="","",(B10/$O$23))</f>
        <v>0.2312862287738541</v>
      </c>
      <c r="C33" s="11">
        <f>IF(C10="","",(C10/$O$23))</f>
        <v>4.1274128696168644E-2</v>
      </c>
      <c r="D33" s="11">
        <f>IF(D10="","",(D10/$O$23))</f>
        <v>0.80437382222530251</v>
      </c>
      <c r="E33" s="11">
        <f>IF(E10="","",(E10/$O$23))</f>
        <v>1.3135681791988723</v>
      </c>
      <c r="F33" s="11">
        <f>IF(F10="","",(F10/$O$23))</f>
        <v>1.090744350483702</v>
      </c>
      <c r="G33" s="11">
        <f>IF(G10="","",(G10/$O$23))</f>
        <v>1.9944947042469499</v>
      </c>
      <c r="H33" s="11">
        <f>IF(H10="","",(H10/$O$23))</f>
        <v>1.8851790412295162</v>
      </c>
      <c r="I33" s="11">
        <f>IF(I10="","",(I10/$O$23))</f>
        <v>0.44398932384344858</v>
      </c>
      <c r="J33" s="11">
        <f>IF(J10="","",(J10/$O$23))</f>
        <v>1.5303975421603406</v>
      </c>
      <c r="K33" s="11">
        <f>IF(K10="","",(K10/$O$23))</f>
        <v>0.76959534067974844</v>
      </c>
      <c r="L33" s="11">
        <f>IF(L10="","",(L10/$O$23))</f>
        <v>1.0854223779867014</v>
      </c>
      <c r="M33" s="11">
        <f>IF(M10="","",(M10/$O$23))</f>
        <v>0.28972342890506642</v>
      </c>
      <c r="N33" s="6"/>
      <c r="O33" s="11">
        <f t="shared" si="8"/>
        <v>1.2131834875114407</v>
      </c>
      <c r="P33" s="11">
        <f t="shared" si="8"/>
        <v>2.4355028828755074</v>
      </c>
      <c r="Q33" s="11">
        <f t="shared" si="8"/>
        <v>0.4974603641813678</v>
      </c>
      <c r="R33" s="11">
        <f t="shared" si="8"/>
        <v>0.57988919604708389</v>
      </c>
      <c r="S33" s="11">
        <f t="shared" si="8"/>
        <v>0.65670575283106392</v>
      </c>
      <c r="T33" s="11">
        <f t="shared" ref="T33:V33" si="14">IF(T10="","",(T10/$O$23))</f>
        <v>0.77700320174365611</v>
      </c>
      <c r="U33" s="11">
        <f t="shared" si="14"/>
        <v>0.70004475467986782</v>
      </c>
      <c r="V33" s="11">
        <f t="shared" si="14"/>
        <v>0.94068603135034212</v>
      </c>
    </row>
    <row r="34" spans="1:22">
      <c r="A34" s="152"/>
      <c r="B34" s="11">
        <f>IF(B11="","",(B11/$O$23))</f>
        <v>1.4072501132046923E-2</v>
      </c>
      <c r="C34" s="11">
        <f>IF(C11="","",(C11/$O$23))</f>
        <v>0.82062946256547353</v>
      </c>
      <c r="D34" s="11">
        <f>IF(D11="","",(D11/$O$23))</f>
        <v>0.59496420490684743</v>
      </c>
      <c r="E34" s="11">
        <f>IF(E11="","",(E11/$O$23))</f>
        <v>1.5144493066041058</v>
      </c>
      <c r="F34" s="11">
        <f>IF(F11="","",(F11/$O$23))</f>
        <v>1.8057628052331534</v>
      </c>
      <c r="G34" s="11">
        <f>IF(G11="","",(G11/$O$23))</f>
        <v>1.7974970804652766</v>
      </c>
      <c r="H34" s="11">
        <f>IF(H11="","",(H11/$O$23))</f>
        <v>2.8549259121045334</v>
      </c>
      <c r="I34" s="11">
        <f>IF(I11="","",(I11/$O$23))</f>
        <v>1.7424061140217209</v>
      </c>
      <c r="J34" s="11">
        <f>IF(J11="","",(J11/$O$23))</f>
        <v>1.7280502671317317</v>
      </c>
      <c r="K34" s="11">
        <f>IF(K11="","",(K11/$O$23))</f>
        <v>0.55855072413093765</v>
      </c>
      <c r="L34" s="11">
        <f>IF(L11="","",(L11/$O$23))</f>
        <v>0.30070231612239445</v>
      </c>
      <c r="M34" s="11">
        <f>IF(M11="","",(M11/$O$23))</f>
        <v>0.18637295499524575</v>
      </c>
      <c r="N34" s="6"/>
      <c r="O34" s="11">
        <f t="shared" si="8"/>
        <v>0.4919196864420477</v>
      </c>
      <c r="P34" s="11">
        <f t="shared" si="8"/>
        <v>1.6467543834961096</v>
      </c>
      <c r="Q34" s="11">
        <f t="shared" si="8"/>
        <v>0.36795729421432327</v>
      </c>
      <c r="R34" s="11">
        <f t="shared" si="8"/>
        <v>1.3779885402402474</v>
      </c>
      <c r="S34" s="11">
        <f t="shared" si="8"/>
        <v>0.84650813356770471</v>
      </c>
      <c r="T34" s="11">
        <f t="shared" ref="T34:V34" si="15">IF(T11="","",(T11/$O$23))</f>
        <v>0.7999143513168</v>
      </c>
      <c r="U34" s="11">
        <f t="shared" si="15"/>
        <v>0.85564143261028325</v>
      </c>
      <c r="V34" s="11">
        <f t="shared" si="15"/>
        <v>0.86584434377235686</v>
      </c>
    </row>
    <row r="35" spans="1:22">
      <c r="A35" s="152"/>
      <c r="B35" s="11">
        <f>IF(B12="","",(B12/$O$23))</f>
        <v>0.11071384026902846</v>
      </c>
      <c r="C35" s="11">
        <f>IF(C12="","",(C12/$O$23))</f>
        <v>0.28565846804931</v>
      </c>
      <c r="D35" s="11">
        <f>IF(D12="","",(D12/$O$23))</f>
        <v>0.95151404238658688</v>
      </c>
      <c r="E35" s="11">
        <f>IF(E12="","",(E12/$O$23))</f>
        <v>0.99513856400170586</v>
      </c>
      <c r="F35" s="11">
        <f>IF(F12="","",(F12/$O$23))</f>
        <v>2.4277897910360364</v>
      </c>
      <c r="G35" s="11">
        <f>IF(G12="","",(G12/$O$23))</f>
        <v>1.5366075246107485</v>
      </c>
      <c r="H35" s="11">
        <f>IF(H12="","",(H12/$O$23))</f>
        <v>2.0765197502908621</v>
      </c>
      <c r="I35" s="11">
        <f>IF(I12="","",(I12/$O$23))</f>
        <v>1.6015015296096453</v>
      </c>
      <c r="J35" s="11">
        <f>IF(J12="","",(J12/$O$23))</f>
        <v>1.1339465347389011</v>
      </c>
      <c r="K35" s="11">
        <f>IF(K12="","",(K12/$O$23))</f>
        <v>1.4540591222845198</v>
      </c>
      <c r="L35" s="11">
        <f>IF(L12="","",(L12/$O$23))</f>
        <v>0.49006192382040953</v>
      </c>
      <c r="M35" s="11">
        <f>IF(M12="","",(M12/$O$23))</f>
        <v>0.25199438319573414</v>
      </c>
      <c r="N35" s="6"/>
      <c r="O35" s="11">
        <f t="shared" si="8"/>
        <v>1.0946069836268817</v>
      </c>
      <c r="P35" s="11" t="str">
        <f t="shared" si="8"/>
        <v/>
      </c>
      <c r="Q35" s="11">
        <f t="shared" si="8"/>
        <v>7.9672913918263394E-2</v>
      </c>
      <c r="R35" s="11">
        <f t="shared" si="8"/>
        <v>0.96003180719183534</v>
      </c>
      <c r="S35" s="11">
        <f t="shared" si="8"/>
        <v>1.129256039207299</v>
      </c>
      <c r="T35" s="11">
        <f t="shared" ref="T35:V35" si="16">IF(T12="","",(T12/$O$23))</f>
        <v>0.27237020420433472</v>
      </c>
      <c r="U35" s="11">
        <f t="shared" si="16"/>
        <v>0.7419320986711021</v>
      </c>
      <c r="V35" s="11">
        <f t="shared" si="16"/>
        <v>0.96397879185988578</v>
      </c>
    </row>
    <row r="36" spans="1:22">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8"/>
        <v>1.7085675287627422</v>
      </c>
      <c r="P36" s="11" t="str">
        <f t="shared" si="8"/>
        <v/>
      </c>
      <c r="Q36" s="11" t="str">
        <f t="shared" si="8"/>
        <v/>
      </c>
      <c r="R36" s="11" t="str">
        <f t="shared" si="8"/>
        <v/>
      </c>
      <c r="S36" s="11" t="str">
        <f t="shared" si="8"/>
        <v/>
      </c>
      <c r="T36" s="11" t="str">
        <f t="shared" ref="T36:V36" si="17">IF(T13="","",(T13/$O$23))</f>
        <v/>
      </c>
      <c r="U36" s="11" t="str">
        <f t="shared" si="17"/>
        <v/>
      </c>
      <c r="V36" s="11" t="str">
        <f t="shared" si="17"/>
        <v/>
      </c>
    </row>
    <row r="37" spans="1:22">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8"/>
        <v>1.2960017567436992</v>
      </c>
      <c r="P37" s="11" t="str">
        <f t="shared" si="8"/>
        <v/>
      </c>
      <c r="Q37" s="11" t="str">
        <f t="shared" si="8"/>
        <v/>
      </c>
      <c r="R37" s="11" t="str">
        <f t="shared" si="8"/>
        <v/>
      </c>
      <c r="S37" s="11" t="str">
        <f t="shared" si="8"/>
        <v/>
      </c>
      <c r="T37" s="11" t="str">
        <f t="shared" ref="T37:V37" si="18">IF(T14="","",(T14/$O$23))</f>
        <v/>
      </c>
      <c r="U37" s="11" t="str">
        <f t="shared" si="18"/>
        <v/>
      </c>
      <c r="V37" s="11" t="str">
        <f t="shared" si="18"/>
        <v/>
      </c>
    </row>
    <row r="38" spans="1:22">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V38" si="19">IF(O15="","",(O15/$O$23))</f>
        <v>1.7180893955685139</v>
      </c>
      <c r="P38" s="11" t="str">
        <f t="shared" si="19"/>
        <v/>
      </c>
      <c r="Q38" s="11" t="str">
        <f t="shared" si="19"/>
        <v/>
      </c>
      <c r="R38" s="11" t="str">
        <f t="shared" si="19"/>
        <v/>
      </c>
      <c r="S38" s="11" t="str">
        <f t="shared" si="19"/>
        <v/>
      </c>
      <c r="T38" s="11" t="str">
        <f t="shared" si="19"/>
        <v/>
      </c>
      <c r="U38" s="11" t="str">
        <f t="shared" si="19"/>
        <v/>
      </c>
      <c r="V38" s="11" t="str">
        <f t="shared" si="19"/>
        <v/>
      </c>
    </row>
    <row r="39" spans="1:22">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V39" si="20">IF(O16="","",(O16/$O$23))</f>
        <v>0.13606408230273939</v>
      </c>
      <c r="P39" s="11" t="str">
        <f t="shared" si="20"/>
        <v/>
      </c>
      <c r="Q39" s="11" t="str">
        <f t="shared" si="20"/>
        <v/>
      </c>
      <c r="R39" s="11" t="str">
        <f t="shared" si="20"/>
        <v/>
      </c>
      <c r="S39" s="11" t="str">
        <f t="shared" si="20"/>
        <v/>
      </c>
      <c r="T39" s="11" t="str">
        <f t="shared" si="20"/>
        <v/>
      </c>
      <c r="U39" s="11" t="str">
        <f t="shared" si="20"/>
        <v/>
      </c>
      <c r="V39" s="11" t="str">
        <f t="shared" si="20"/>
        <v/>
      </c>
    </row>
    <row r="40" spans="1:22">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0" si="21">IF(O17="","",(O17/$O$23))</f>
        <v>0.39441526598100196</v>
      </c>
      <c r="P40" s="11" t="str">
        <f t="shared" si="21"/>
        <v/>
      </c>
      <c r="Q40" s="11" t="str">
        <f t="shared" si="21"/>
        <v/>
      </c>
      <c r="R40" s="11" t="str">
        <f t="shared" si="21"/>
        <v/>
      </c>
      <c r="S40" s="11" t="str">
        <f t="shared" si="21"/>
        <v/>
      </c>
      <c r="T40" s="11" t="str">
        <f t="shared" si="21"/>
        <v/>
      </c>
      <c r="U40" s="11" t="str">
        <f t="shared" si="21"/>
        <v/>
      </c>
      <c r="V40" s="11" t="str">
        <f t="shared" si="21"/>
        <v/>
      </c>
    </row>
    <row r="41" spans="1:22">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V41" si="22">IF(O18="","",(O18/$O$23))</f>
        <v>1.635337650992468</v>
      </c>
      <c r="P41" s="11" t="str">
        <f t="shared" si="22"/>
        <v/>
      </c>
      <c r="Q41" s="11" t="str">
        <f t="shared" si="22"/>
        <v/>
      </c>
      <c r="R41" s="11" t="str">
        <f t="shared" si="22"/>
        <v/>
      </c>
      <c r="S41" s="11" t="str">
        <f t="shared" si="22"/>
        <v/>
      </c>
      <c r="T41" s="11" t="str">
        <f t="shared" si="22"/>
        <v/>
      </c>
      <c r="U41" s="11" t="str">
        <f t="shared" si="22"/>
        <v/>
      </c>
      <c r="V41" s="11" t="str">
        <f t="shared" si="22"/>
        <v/>
      </c>
    </row>
    <row r="42" spans="1:22">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V42" si="23">IF(O19="","",(O19/$O$23))</f>
        <v>0.54768633468791872</v>
      </c>
      <c r="P42" s="11" t="str">
        <f t="shared" si="23"/>
        <v/>
      </c>
      <c r="Q42" s="11" t="str">
        <f t="shared" si="23"/>
        <v/>
      </c>
      <c r="R42" s="11" t="str">
        <f t="shared" si="23"/>
        <v/>
      </c>
      <c r="S42" s="11" t="str">
        <f t="shared" si="23"/>
        <v/>
      </c>
      <c r="T42" s="11" t="str">
        <f t="shared" si="23"/>
        <v/>
      </c>
      <c r="U42" s="11" t="str">
        <f t="shared" si="23"/>
        <v/>
      </c>
      <c r="V42" s="11" t="str">
        <f t="shared" si="23"/>
        <v/>
      </c>
    </row>
    <row r="43" spans="1:22">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V43" si="24">IF(O20="","",(O20/$O$23))</f>
        <v>0.39750395214340878</v>
      </c>
      <c r="P43" s="11" t="str">
        <f t="shared" si="24"/>
        <v/>
      </c>
      <c r="Q43" s="11" t="str">
        <f t="shared" si="24"/>
        <v/>
      </c>
      <c r="R43" s="11" t="str">
        <f t="shared" si="24"/>
        <v/>
      </c>
      <c r="S43" s="11" t="str">
        <f t="shared" si="24"/>
        <v/>
      </c>
      <c r="T43" s="11" t="str">
        <f t="shared" si="24"/>
        <v/>
      </c>
      <c r="U43" s="11" t="str">
        <f t="shared" si="24"/>
        <v/>
      </c>
      <c r="V43" s="11" t="str">
        <f t="shared" si="24"/>
        <v/>
      </c>
    </row>
    <row r="44" spans="1:22">
      <c r="A44" s="7"/>
      <c r="B44" s="3"/>
      <c r="C44" s="3"/>
      <c r="D44" s="3"/>
      <c r="E44" s="3"/>
      <c r="F44" s="3"/>
      <c r="G44" s="3"/>
      <c r="H44" s="3"/>
      <c r="I44" s="3"/>
      <c r="J44" s="3"/>
      <c r="K44" s="3"/>
      <c r="L44" s="3"/>
      <c r="M44" s="3"/>
      <c r="N44" s="7"/>
      <c r="O44" s="3"/>
      <c r="P44" s="3"/>
      <c r="Q44" s="3"/>
      <c r="R44" s="3"/>
      <c r="S44" s="3"/>
      <c r="T44" s="3"/>
      <c r="U44" s="3"/>
      <c r="V44" s="3"/>
    </row>
    <row r="45" spans="1:22">
      <c r="A45" s="7" t="str">
        <f>A4</f>
        <v>Noms des groupes</v>
      </c>
      <c r="B45" s="7" t="str">
        <f t="shared" ref="B45:R45" si="25">B4</f>
        <v>Solvent control</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testosterone-300µg/L</v>
      </c>
      <c r="J45" s="7" t="str">
        <f t="shared" si="25"/>
        <v>testosterone-100µg/L</v>
      </c>
      <c r="K45" s="7" t="str">
        <f t="shared" ref="K45:M45" si="26">K4</f>
        <v>testosterone-33µg/L</v>
      </c>
      <c r="L45" s="7" t="str">
        <f t="shared" si="26"/>
        <v>testosterone-11µg/L</v>
      </c>
      <c r="M45" s="7" t="str">
        <f t="shared" si="26"/>
        <v>testosterone-3.7µg/L</v>
      </c>
      <c r="N45" s="7"/>
      <c r="O45" s="7" t="str">
        <f t="shared" si="25"/>
        <v>Testo -30µg/L</v>
      </c>
      <c r="P45" s="7" t="str">
        <f t="shared" si="25"/>
        <v>Testo 30µg/L + EE2 -64ng/L</v>
      </c>
      <c r="Q45" s="7" t="str">
        <f t="shared" si="25"/>
        <v>Testo 30µg/L + FAD-10mg/L</v>
      </c>
      <c r="R45" s="7" t="str">
        <f t="shared" si="25"/>
        <v>testosterone-300µg/L + Testostérone</v>
      </c>
      <c r="S45" s="7" t="str">
        <f t="shared" ref="S45:V45" si="27">S4</f>
        <v>testosterone-100µg/L + Testostérone</v>
      </c>
      <c r="T45" s="7" t="str">
        <f t="shared" si="27"/>
        <v>testosterone-33µg/L + Testostérone</v>
      </c>
      <c r="U45" s="7" t="str">
        <f t="shared" si="27"/>
        <v>testosterone-11µg/L + Testostérone</v>
      </c>
      <c r="V45" s="7" t="str">
        <f t="shared" si="27"/>
        <v>testosterone-3.7µg/L + Testostérone</v>
      </c>
    </row>
    <row r="46" spans="1:22">
      <c r="A46" s="8" t="s">
        <v>0</v>
      </c>
      <c r="B46" s="10">
        <f t="shared" ref="B46:H46" si="28">AVERAGE(B28:B43)</f>
        <v>0.14644201925557257</v>
      </c>
      <c r="C46" s="10">
        <f t="shared" si="28"/>
        <v>0.2240868369961766</v>
      </c>
      <c r="D46" s="10">
        <f t="shared" si="28"/>
        <v>0.62994073861517785</v>
      </c>
      <c r="E46" s="10">
        <f t="shared" si="28"/>
        <v>1.3328766526800331</v>
      </c>
      <c r="F46" s="10">
        <f t="shared" si="28"/>
        <v>1.6889380085951049</v>
      </c>
      <c r="G46" s="10">
        <f t="shared" si="28"/>
        <v>2.166702654053879</v>
      </c>
      <c r="H46" s="10">
        <f t="shared" si="28"/>
        <v>2.1263962670681966</v>
      </c>
      <c r="I46" s="10">
        <f>AVERAGE(I28:I43)</f>
        <v>1.3970419844225235</v>
      </c>
      <c r="J46" s="9">
        <f>AVERAGE(J28:J43)</f>
        <v>1.3436139894503891</v>
      </c>
      <c r="K46" s="9">
        <f t="shared" ref="K46:M46" si="29">AVERAGE(K28:K43)</f>
        <v>1.2064324124937398</v>
      </c>
      <c r="L46" s="9">
        <f t="shared" si="29"/>
        <v>0.49920507836761208</v>
      </c>
      <c r="M46" s="9">
        <f t="shared" si="29"/>
        <v>0.19745229951614093</v>
      </c>
      <c r="N46" s="8" t="s">
        <v>0</v>
      </c>
      <c r="O46" s="10">
        <f t="shared" ref="O46:R46" si="30">AVERAGE(O28:O43)</f>
        <v>1</v>
      </c>
      <c r="P46" s="10">
        <f t="shared" si="30"/>
        <v>1.564576949817674</v>
      </c>
      <c r="Q46" s="10">
        <f t="shared" si="30"/>
        <v>0.26346564707606424</v>
      </c>
      <c r="R46" s="10">
        <f t="shared" si="30"/>
        <v>1.2994360377704606</v>
      </c>
      <c r="S46" s="10">
        <f t="shared" ref="S46:V46" si="31">AVERAGE(S28:S43)</f>
        <v>0.76422934451319557</v>
      </c>
      <c r="T46" s="10">
        <f t="shared" si="31"/>
        <v>0.62946314520911195</v>
      </c>
      <c r="U46" s="10">
        <f t="shared" si="31"/>
        <v>0.59097761705293606</v>
      </c>
      <c r="V46" s="10">
        <f t="shared" si="31"/>
        <v>0.82967458745179223</v>
      </c>
    </row>
    <row r="47" spans="1:22">
      <c r="A47" s="8" t="s">
        <v>1</v>
      </c>
      <c r="B47" s="8">
        <f t="shared" ref="B47:J47" si="32">STDEV(B28:B43)</f>
        <v>0.16373052715522793</v>
      </c>
      <c r="C47" s="8">
        <f t="shared" si="32"/>
        <v>0.2618457698378831</v>
      </c>
      <c r="D47" s="8">
        <f t="shared" si="32"/>
        <v>0.31793044497289741</v>
      </c>
      <c r="E47" s="8">
        <f t="shared" si="32"/>
        <v>0.28220785973940632</v>
      </c>
      <c r="F47" s="8">
        <f t="shared" si="32"/>
        <v>0.46492605181631774</v>
      </c>
      <c r="G47" s="8">
        <f t="shared" si="32"/>
        <v>0.50435044284638975</v>
      </c>
      <c r="H47" s="8">
        <f t="shared" si="32"/>
        <v>0.5887848446914048</v>
      </c>
      <c r="I47" s="8">
        <f t="shared" si="32"/>
        <v>0.74405599676606859</v>
      </c>
      <c r="J47" s="8">
        <f t="shared" si="32"/>
        <v>0.63029570553809189</v>
      </c>
      <c r="K47" s="8">
        <f t="shared" ref="K47:M47" si="33">STDEV(K28:K43)</f>
        <v>0.54065198816398163</v>
      </c>
      <c r="L47" s="8">
        <f t="shared" si="33"/>
        <v>0.31810587079309682</v>
      </c>
      <c r="M47" s="8">
        <f t="shared" si="33"/>
        <v>0.12811626256248099</v>
      </c>
      <c r="N47" s="8" t="s">
        <v>1</v>
      </c>
      <c r="O47" s="8">
        <f t="shared" ref="O47:R47" si="34">STDEV(O28:O43)</f>
        <v>0.57532143549845216</v>
      </c>
      <c r="P47" s="8">
        <f t="shared" si="34"/>
        <v>0.54160605148085506</v>
      </c>
      <c r="Q47" s="8">
        <f t="shared" si="34"/>
        <v>0.2176060809568833</v>
      </c>
      <c r="R47" s="8">
        <f t="shared" si="34"/>
        <v>0.61909167994405356</v>
      </c>
      <c r="S47" s="8">
        <f t="shared" ref="S47:V47" si="35">STDEV(S28:S43)</f>
        <v>0.27879719746777865</v>
      </c>
      <c r="T47" s="8">
        <f t="shared" si="35"/>
        <v>0.31115057028520304</v>
      </c>
      <c r="U47" s="8">
        <f t="shared" si="35"/>
        <v>0.21703262034906845</v>
      </c>
      <c r="V47" s="8">
        <f t="shared" si="35"/>
        <v>0.22570829174479551</v>
      </c>
    </row>
    <row r="48" spans="1:22">
      <c r="A48" s="8" t="s">
        <v>2</v>
      </c>
      <c r="B48" s="8">
        <f t="shared" ref="B48:J48" si="36" xml:space="preserve"> B47/SQRT(COUNT(B28:B43))</f>
        <v>5.788748301935491E-2</v>
      </c>
      <c r="C48" s="8">
        <f t="shared" si="36"/>
        <v>9.257645973868954E-2</v>
      </c>
      <c r="D48" s="8">
        <f t="shared" si="36"/>
        <v>0.11240538679299612</v>
      </c>
      <c r="E48" s="8">
        <f t="shared" si="36"/>
        <v>9.9775545662938128E-2</v>
      </c>
      <c r="F48" s="8">
        <f t="shared" si="36"/>
        <v>0.16437618199480322</v>
      </c>
      <c r="G48" s="8">
        <f t="shared" si="36"/>
        <v>0.17831480911556022</v>
      </c>
      <c r="H48" s="8">
        <f t="shared" si="36"/>
        <v>0.20816687817058024</v>
      </c>
      <c r="I48" s="8">
        <f t="shared" si="36"/>
        <v>0.26306352044790149</v>
      </c>
      <c r="J48" s="8">
        <f t="shared" si="36"/>
        <v>0.22284318376937204</v>
      </c>
      <c r="K48" s="8">
        <f t="shared" ref="K48:M48" si="37" xml:space="preserve"> K47/SQRT(COUNT(K28:K43))</f>
        <v>0.1911493435463702</v>
      </c>
      <c r="L48" s="8">
        <f t="shared" si="37"/>
        <v>0.11246740918652523</v>
      </c>
      <c r="M48" s="8">
        <f t="shared" si="37"/>
        <v>4.5295939019103254E-2</v>
      </c>
      <c r="N48" s="8" t="s">
        <v>2</v>
      </c>
      <c r="O48" s="8">
        <f t="shared" ref="O48:R48" si="38" xml:space="preserve"> O47/SQRT(COUNT(O28:O43))</f>
        <v>0.14383035887461304</v>
      </c>
      <c r="P48" s="8">
        <f t="shared" si="38"/>
        <v>0.20470784582656976</v>
      </c>
      <c r="Q48" s="8">
        <f t="shared" si="38"/>
        <v>7.6935367736020513E-2</v>
      </c>
      <c r="R48" s="8">
        <f t="shared" si="38"/>
        <v>0.21888196253230599</v>
      </c>
      <c r="S48" s="8">
        <f t="shared" ref="S48:V48" si="39" xml:space="preserve"> S47/SQRT(COUNT(S28:S43))</f>
        <v>9.8569694452635609E-2</v>
      </c>
      <c r="T48" s="8">
        <f t="shared" si="39"/>
        <v>0.11000833910936426</v>
      </c>
      <c r="U48" s="8">
        <f t="shared" si="39"/>
        <v>7.6732618793755883E-2</v>
      </c>
      <c r="V48" s="8">
        <f t="shared" si="39"/>
        <v>7.9799931831388268E-2</v>
      </c>
    </row>
    <row r="49" spans="1:22"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24</v>
      </c>
      <c r="B50" s="144"/>
      <c r="C50" s="144"/>
      <c r="D50" s="144"/>
      <c r="E50" s="144"/>
      <c r="F50" s="144"/>
      <c r="G50" s="144"/>
      <c r="H50" s="144"/>
      <c r="I50" s="144"/>
      <c r="J50" s="144"/>
      <c r="K50" s="144"/>
      <c r="L50" s="144"/>
      <c r="M50" s="144"/>
      <c r="N50" s="144"/>
      <c r="O50" s="144"/>
      <c r="P50" s="144"/>
      <c r="Q50" s="144"/>
      <c r="R50" s="144"/>
      <c r="S50" s="144"/>
      <c r="T50" s="144"/>
      <c r="U50" s="144"/>
      <c r="V50" s="144"/>
    </row>
    <row r="51" spans="1:22" customFormat="1" ht="15.75" thickBot="1"/>
    <row r="52" spans="1:22">
      <c r="A52" s="29" t="str">
        <f t="shared" ref="A52:H52" si="40">A27</f>
        <v>Noms des groupes</v>
      </c>
      <c r="B52" s="30" t="str">
        <f t="shared" si="40"/>
        <v>Solvent control</v>
      </c>
      <c r="C52" s="30" t="str">
        <f t="shared" si="40"/>
        <v>EE2-33.8ng/L</v>
      </c>
      <c r="D52" s="30" t="str">
        <f t="shared" si="40"/>
        <v>EE2-50.6ng/L</v>
      </c>
      <c r="E52" s="30" t="str">
        <f t="shared" si="40"/>
        <v>EE2-76ng/L</v>
      </c>
      <c r="F52" s="30" t="str">
        <f t="shared" si="40"/>
        <v>EE2-114ng/L</v>
      </c>
      <c r="G52" s="30" t="str">
        <f t="shared" si="40"/>
        <v>EE2-170.9ng/L</v>
      </c>
      <c r="H52" s="30" t="str">
        <f t="shared" si="40"/>
        <v>EE2-488ng/L</v>
      </c>
      <c r="I52" s="30" t="str">
        <f>I4</f>
        <v>testosterone-300µg/L</v>
      </c>
      <c r="J52" s="30" t="str">
        <f>J4</f>
        <v>testosterone-100µg/L</v>
      </c>
      <c r="K52" s="30" t="str">
        <f t="shared" ref="K52:M52" si="41">K4</f>
        <v>testosterone-33µg/L</v>
      </c>
      <c r="L52" s="30" t="str">
        <f t="shared" si="41"/>
        <v>testosterone-11µg/L</v>
      </c>
      <c r="M52" s="30" t="str">
        <f t="shared" si="41"/>
        <v>testosterone-3.7µg/L</v>
      </c>
      <c r="N52" s="31"/>
      <c r="O52" s="30" t="str">
        <f>O27</f>
        <v>Testo -30µg/L</v>
      </c>
      <c r="P52" s="30" t="str">
        <f>P27</f>
        <v>Testo 30µg/L + EE2 -64ng/L</v>
      </c>
      <c r="Q52" s="30" t="str">
        <f>Q27</f>
        <v>Testo 30µg/L + FAD-10mg/L</v>
      </c>
      <c r="R52" s="30" t="str">
        <f>R27</f>
        <v>testosterone-300µg/L + Testostérone</v>
      </c>
      <c r="S52" s="30" t="str">
        <f t="shared" ref="S52:V52" si="42">S27</f>
        <v>testosterone-100µg/L + Testostérone</v>
      </c>
      <c r="T52" s="30" t="str">
        <f t="shared" si="42"/>
        <v>testosterone-33µg/L + Testostérone</v>
      </c>
      <c r="U52" s="30" t="str">
        <f t="shared" si="42"/>
        <v>testosterone-11µg/L + Testostérone</v>
      </c>
      <c r="V52" s="30" t="str">
        <f t="shared" si="42"/>
        <v>testosterone-3.7µg/L + Testostérone</v>
      </c>
    </row>
    <row r="53" spans="1:22" s="3" customFormat="1">
      <c r="A53" s="45" t="s">
        <v>15</v>
      </c>
      <c r="B53" s="77">
        <f t="shared" ref="B53" si="43">B46</f>
        <v>0.14644201925557257</v>
      </c>
      <c r="C53" s="77">
        <f t="shared" ref="C53:V53" si="44">C46</f>
        <v>0.2240868369961766</v>
      </c>
      <c r="D53" s="77">
        <f t="shared" si="44"/>
        <v>0.62994073861517785</v>
      </c>
      <c r="E53" s="77">
        <f t="shared" si="44"/>
        <v>1.3328766526800331</v>
      </c>
      <c r="F53" s="77">
        <f t="shared" si="44"/>
        <v>1.6889380085951049</v>
      </c>
      <c r="G53" s="77">
        <f t="shared" si="44"/>
        <v>2.166702654053879</v>
      </c>
      <c r="H53" s="77">
        <f t="shared" si="44"/>
        <v>2.1263962670681966</v>
      </c>
      <c r="I53" s="77">
        <f t="shared" si="44"/>
        <v>1.3970419844225235</v>
      </c>
      <c r="J53" s="77">
        <f t="shared" si="44"/>
        <v>1.3436139894503891</v>
      </c>
      <c r="K53" s="77">
        <f t="shared" si="44"/>
        <v>1.2064324124937398</v>
      </c>
      <c r="L53" s="77">
        <f t="shared" si="44"/>
        <v>0.49920507836761208</v>
      </c>
      <c r="M53" s="77">
        <f t="shared" si="44"/>
        <v>0.19745229951614093</v>
      </c>
      <c r="N53" s="77"/>
      <c r="O53" s="77">
        <f t="shared" si="44"/>
        <v>1</v>
      </c>
      <c r="P53" s="77">
        <f t="shared" si="44"/>
        <v>1.564576949817674</v>
      </c>
      <c r="Q53" s="77">
        <f t="shared" si="44"/>
        <v>0.26346564707606424</v>
      </c>
      <c r="R53" s="77">
        <f t="shared" si="44"/>
        <v>1.2994360377704606</v>
      </c>
      <c r="S53" s="77">
        <f t="shared" si="44"/>
        <v>0.76422934451319557</v>
      </c>
      <c r="T53" s="77">
        <f t="shared" si="44"/>
        <v>0.62946314520911195</v>
      </c>
      <c r="U53" s="77">
        <f t="shared" si="44"/>
        <v>0.59097761705293606</v>
      </c>
      <c r="V53" s="77">
        <f t="shared" si="44"/>
        <v>0.82967458745179223</v>
      </c>
    </row>
    <row r="54" spans="1:22" s="3" customFormat="1">
      <c r="A54" s="45" t="s">
        <v>2</v>
      </c>
      <c r="B54" s="77">
        <f t="shared" ref="B54" si="45">B48</f>
        <v>5.788748301935491E-2</v>
      </c>
      <c r="C54" s="77">
        <f t="shared" ref="C54:V54" si="46">C48</f>
        <v>9.257645973868954E-2</v>
      </c>
      <c r="D54" s="77">
        <f t="shared" si="46"/>
        <v>0.11240538679299612</v>
      </c>
      <c r="E54" s="77">
        <f t="shared" si="46"/>
        <v>9.9775545662938128E-2</v>
      </c>
      <c r="F54" s="77">
        <f t="shared" si="46"/>
        <v>0.16437618199480322</v>
      </c>
      <c r="G54" s="77">
        <f t="shared" si="46"/>
        <v>0.17831480911556022</v>
      </c>
      <c r="H54" s="77">
        <f t="shared" si="46"/>
        <v>0.20816687817058024</v>
      </c>
      <c r="I54" s="77">
        <f t="shared" si="46"/>
        <v>0.26306352044790149</v>
      </c>
      <c r="J54" s="77">
        <f t="shared" si="46"/>
        <v>0.22284318376937204</v>
      </c>
      <c r="K54" s="77">
        <f t="shared" si="46"/>
        <v>0.1911493435463702</v>
      </c>
      <c r="L54" s="77">
        <f t="shared" si="46"/>
        <v>0.11246740918652523</v>
      </c>
      <c r="M54" s="77">
        <f t="shared" si="46"/>
        <v>4.5295939019103254E-2</v>
      </c>
      <c r="N54" s="77"/>
      <c r="O54" s="77">
        <f t="shared" si="46"/>
        <v>0.14383035887461304</v>
      </c>
      <c r="P54" s="77">
        <f t="shared" si="46"/>
        <v>0.20470784582656976</v>
      </c>
      <c r="Q54" s="77">
        <f t="shared" si="46"/>
        <v>7.6935367736020513E-2</v>
      </c>
      <c r="R54" s="77">
        <f t="shared" si="46"/>
        <v>0.21888196253230599</v>
      </c>
      <c r="S54" s="77">
        <f t="shared" si="46"/>
        <v>9.8569694452635609E-2</v>
      </c>
      <c r="T54" s="77">
        <f t="shared" si="46"/>
        <v>0.11000833910936426</v>
      </c>
      <c r="U54" s="77">
        <f t="shared" si="46"/>
        <v>7.6732618793755883E-2</v>
      </c>
      <c r="V54" s="77">
        <f t="shared" si="46"/>
        <v>7.9799931831388268E-2</v>
      </c>
    </row>
    <row r="55" spans="1:22" s="3" customFormat="1">
      <c r="A55" s="45" t="s">
        <v>42</v>
      </c>
      <c r="B55" s="77">
        <f>(B53*100/$B53)-100</f>
        <v>0</v>
      </c>
      <c r="C55" s="77">
        <f t="shared" ref="C55:M55" si="47">(C53*100/$B53)-100</f>
        <v>53.020859815581531</v>
      </c>
      <c r="D55" s="77">
        <f t="shared" si="47"/>
        <v>330.16392550269114</v>
      </c>
      <c r="E55" s="77">
        <f t="shared" si="47"/>
        <v>810.17363694902281</v>
      </c>
      <c r="F55" s="77">
        <f t="shared" si="47"/>
        <v>1053.3151599388614</v>
      </c>
      <c r="G55" s="77">
        <f t="shared" si="47"/>
        <v>1379.5634921371309</v>
      </c>
      <c r="H55" s="77">
        <f t="shared" si="47"/>
        <v>1352.0397068256627</v>
      </c>
      <c r="I55" s="77">
        <f t="shared" si="47"/>
        <v>853.98983947659656</v>
      </c>
      <c r="J55" s="77">
        <f t="shared" si="47"/>
        <v>817.50577892913088</v>
      </c>
      <c r="K55" s="77">
        <f t="shared" si="47"/>
        <v>723.82940267182312</v>
      </c>
      <c r="L55" s="77">
        <f t="shared" si="47"/>
        <v>240.88923445967561</v>
      </c>
      <c r="M55" s="77">
        <f t="shared" si="47"/>
        <v>34.833089928611628</v>
      </c>
      <c r="N55" s="77"/>
      <c r="O55" s="77">
        <f>(O53*100/$O53)-100</f>
        <v>0</v>
      </c>
      <c r="P55" s="77">
        <f t="shared" ref="P55:V55" si="48">(P53*100/$O53)-100</f>
        <v>56.457694981767418</v>
      </c>
      <c r="Q55" s="77">
        <f t="shared" si="48"/>
        <v>-73.653435292393581</v>
      </c>
      <c r="R55" s="77">
        <f t="shared" si="48"/>
        <v>29.943603777046064</v>
      </c>
      <c r="S55" s="77">
        <f t="shared" si="48"/>
        <v>-23.577065548680437</v>
      </c>
      <c r="T55" s="77">
        <f t="shared" si="48"/>
        <v>-37.053685479088806</v>
      </c>
      <c r="U55" s="77">
        <f t="shared" si="48"/>
        <v>-40.902238294706393</v>
      </c>
      <c r="V55" s="77">
        <f t="shared" si="48"/>
        <v>-17.032541254820771</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ca="1">IF(B56&gt;0.05,"Oui","Non")</f>
        <v>#NAME?</v>
      </c>
      <c r="C57" s="77" t="e">
        <f t="shared" ref="C57:V57" ca="1" si="49">IF(C56&gt;0.05,"Oui","Non")</f>
        <v>#NAME?</v>
      </c>
      <c r="D57" s="77" t="e">
        <f t="shared" ca="1" si="49"/>
        <v>#NAME?</v>
      </c>
      <c r="E57" s="77" t="e">
        <f t="shared" ca="1" si="49"/>
        <v>#NAME?</v>
      </c>
      <c r="F57" s="77" t="e">
        <f t="shared" ca="1" si="49"/>
        <v>#NAME?</v>
      </c>
      <c r="G57" s="77" t="e">
        <f t="shared" ca="1" si="49"/>
        <v>#NAME?</v>
      </c>
      <c r="H57" s="77" t="e">
        <f t="shared" ca="1" si="49"/>
        <v>#NAME?</v>
      </c>
      <c r="I57" s="77" t="e">
        <f t="shared" ca="1" si="49"/>
        <v>#NAME?</v>
      </c>
      <c r="J57" s="77" t="e">
        <f t="shared" ca="1" si="49"/>
        <v>#NAME?</v>
      </c>
      <c r="K57" s="77" t="e">
        <f t="shared" ca="1" si="49"/>
        <v>#NAME?</v>
      </c>
      <c r="L57" s="77" t="e">
        <f t="shared" ca="1" si="49"/>
        <v>#NAME?</v>
      </c>
      <c r="M57" s="77" t="e">
        <f t="shared" ca="1" si="49"/>
        <v>#NAME?</v>
      </c>
      <c r="N57" s="77"/>
      <c r="O57" s="77" t="e">
        <f t="shared" ca="1" si="49"/>
        <v>#NAME?</v>
      </c>
      <c r="P57" s="77" t="e">
        <f t="shared" ca="1" si="49"/>
        <v>#NAME?</v>
      </c>
      <c r="Q57" s="77" t="e">
        <f t="shared" ca="1" si="49"/>
        <v>#NAME?</v>
      </c>
      <c r="R57" s="77" t="e">
        <f t="shared" ca="1" si="49"/>
        <v>#NAME?</v>
      </c>
      <c r="S57" s="77" t="e">
        <f t="shared" ca="1" si="49"/>
        <v>#NAME?</v>
      </c>
      <c r="T57" s="77" t="e">
        <f t="shared" ca="1" si="49"/>
        <v>#NAME?</v>
      </c>
      <c r="U57" s="77" t="e">
        <f t="shared" ca="1" si="49"/>
        <v>#NAME?</v>
      </c>
      <c r="V57" s="77" t="e">
        <f t="shared" ca="1" si="49"/>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O59" ca="1" si="50">IF($B57="Non",IF(C57="Non","MW",IF(C57="Oui","MW","")),IF($B57="Oui",IF(C57="Oui","T-Test Welch",IF(C57="Non","MW",""))))</f>
        <v>#NAME?</v>
      </c>
      <c r="D59" s="81" t="e">
        <f t="shared" ca="1" si="50"/>
        <v>#NAME?</v>
      </c>
      <c r="E59" s="81" t="e">
        <f t="shared" ca="1" si="50"/>
        <v>#NAME?</v>
      </c>
      <c r="F59" s="81" t="e">
        <f t="shared" ca="1" si="50"/>
        <v>#NAME?</v>
      </c>
      <c r="G59" s="81" t="e">
        <f t="shared" ca="1" si="50"/>
        <v>#NAME?</v>
      </c>
      <c r="H59" s="81" t="e">
        <f t="shared" ca="1" si="50"/>
        <v>#NAME?</v>
      </c>
      <c r="I59" s="81" t="e">
        <f t="shared" ca="1" si="50"/>
        <v>#NAME?</v>
      </c>
      <c r="J59" s="81" t="e">
        <f t="shared" ca="1" si="50"/>
        <v>#NAME?</v>
      </c>
      <c r="K59" s="81" t="e">
        <f t="shared" ca="1" si="50"/>
        <v>#NAME?</v>
      </c>
      <c r="L59" s="81" t="e">
        <f t="shared" ca="1" si="50"/>
        <v>#NAME?</v>
      </c>
      <c r="M59" s="81" t="e">
        <f t="shared" ca="1" si="50"/>
        <v>#NAME?</v>
      </c>
      <c r="N59" s="81"/>
      <c r="O59" s="81" t="e">
        <f t="shared" ca="1" si="50"/>
        <v>#NAME?</v>
      </c>
      <c r="P59" s="81" t="e">
        <f ca="1">IF($O57="Non",IF(P57="Non","MW",IF(P57="Oui","MW","")),IF($O57="Oui",IF(P57="Oui","T-Test Welch",IF(P57="Non","MW",""))))</f>
        <v>#NAME?</v>
      </c>
      <c r="Q59" s="81" t="e">
        <f t="shared" ref="Q59:V59" ca="1" si="51">IF($O57="Non",IF(Q57="Non","MW",IF(Q57="Oui","MW","")),IF($O57="Oui",IF(Q57="Oui","T-Test Welch",IF(Q57="Non","MW",""))))</f>
        <v>#NAME?</v>
      </c>
      <c r="R59" s="81" t="e">
        <f t="shared" ca="1" si="51"/>
        <v>#NAME?</v>
      </c>
      <c r="S59" s="81" t="e">
        <f t="shared" ca="1" si="51"/>
        <v>#NAME?</v>
      </c>
      <c r="T59" s="81" t="e">
        <f t="shared" ca="1" si="51"/>
        <v>#NAME?</v>
      </c>
      <c r="U59" s="81" t="e">
        <f t="shared" ca="1" si="51"/>
        <v>#NAME?</v>
      </c>
      <c r="V59" s="81" t="e">
        <f t="shared" ca="1" si="51"/>
        <v>#NAME?</v>
      </c>
    </row>
    <row r="60" spans="1:22" s="3" customFormat="1">
      <c r="A60" s="45" t="s">
        <v>45</v>
      </c>
      <c r="B60" s="82"/>
      <c r="C60" s="82" t="e">
        <f ca="1">IF(C59="MW",[1]!MTEST($B28:$B43,C28:C43,2), IF(C59="T-Test Welch",_xlfn.T.TEST($B28:$B43,C28:C43,2,3),""))</f>
        <v>#NAME?</v>
      </c>
      <c r="D60" s="82" t="e">
        <f ca="1">IF(D59="MW",[1]!MTEST($B28:$B43,D28:D43,2), IF(D59="T-Test Welch",_xlfn.T.TEST($B28:$B43,D28:D43,2,3),""))</f>
        <v>#NAME?</v>
      </c>
      <c r="E60" s="82" t="e">
        <f ca="1">IF(E59="MW",[1]!MTEST($B28:$B43,E28:E43,2), IF(E59="T-Test Welch",_xlfn.T.TEST($B28:$B43,E28:E43,2,3),""))</f>
        <v>#NAME?</v>
      </c>
      <c r="F60" s="82" t="e">
        <f ca="1">IF(F59="MW",[1]!MTEST($B28:$B43,F28:F43,2), IF(F59="T-Test Welch",_xlfn.T.TEST($B28:$B43,F28:F43,2,3),""))</f>
        <v>#NAME?</v>
      </c>
      <c r="G60" s="82" t="e">
        <f ca="1">IF(G59="MW",[1]!MTEST($B28:$B43,G28:G43,2), IF(G59="T-Test Welch",_xlfn.T.TEST($B28:$B43,G28:G43,2,3),""))</f>
        <v>#NAME?</v>
      </c>
      <c r="H60" s="82" t="e">
        <f ca="1">IF(H59="MW",[1]!MTEST($B28:$B43,H28:H43,2), IF(H59="T-Test Welch",_xlfn.T.TEST($B28:$B43,H28:H43,2,3),""))</f>
        <v>#NAME?</v>
      </c>
      <c r="I60" s="82" t="e">
        <f ca="1">IF(I59="MW",[1]!MTEST($B28:$B43,I28:I43,2), IF(I59="T-Test Welch",_xlfn.T.TEST($B28:$B43,I28:I43,2,3),""))</f>
        <v>#NAME?</v>
      </c>
      <c r="J60" s="82" t="e">
        <f ca="1">IF(J59="MW",[1]!MTEST($B28:$B43,J28:J43,2), IF(J59="T-Test Welch",_xlfn.T.TEST($B28:$B43,J28:J43,2,3),""))</f>
        <v>#NAME?</v>
      </c>
      <c r="K60" s="82" t="e">
        <f ca="1">IF(K59="MW",[1]!MTEST($B28:$B43,K28:K43,2), IF(K59="T-Test Welch",_xlfn.T.TEST($B28:$B43,K28:K43,2,3),""))</f>
        <v>#NAME?</v>
      </c>
      <c r="L60" s="82" t="e">
        <f ca="1">IF(L59="MW",[1]!MTEST($B28:$B43,L28:L43,2), IF(L59="T-Test Welch",_xlfn.T.TEST($B28:$B43,L28:L43,2,3),""))</f>
        <v>#NAME?</v>
      </c>
      <c r="M60" s="82" t="e">
        <f ca="1">IF(M59="MW",[1]!MTEST($B28:$B43,M28:M43,2), IF(M59="T-Test Welch",_xlfn.T.TEST($B28:$B43,M28:M43,2,3),""))</f>
        <v>#NAME?</v>
      </c>
      <c r="N60" s="82"/>
      <c r="O60" s="82" t="e">
        <f ca="1">IF(O59="MW",[1]!MTEST($B28:$B43,O28:O43,2), IF(O59="T-Test Welch",_xlfn.T.TEST($B28:$B43,O28:O43,2,3),""))</f>
        <v>#NAME?</v>
      </c>
      <c r="P60" s="82" t="e">
        <f ca="1">IF(P59="MW",[1]!MTEST($O28:$O43,P28:P43,2), IF(P59="T-Test Welch",_xlfn.T.TEST($O28:$O43,P28:P43,2,3),""))</f>
        <v>#NAME?</v>
      </c>
      <c r="Q60" s="82" t="e">
        <f ca="1">IF(Q59="MW",[1]!MTEST($O28:$O43,Q28:Q43,2), IF(Q59="T-Test Welch",_xlfn.T.TEST($O28:$O43,Q28:Q43,2,3),""))</f>
        <v>#NAME?</v>
      </c>
      <c r="R60" s="82" t="e">
        <f ca="1">IF(R59="MW",[1]!MTEST($O28:$O43,R28:R43,2), IF(R59="T-Test Welch",_xlfn.T.TEST($O28:$O43,R28:R43,2,3),""))</f>
        <v>#NAME?</v>
      </c>
      <c r="S60" s="82" t="e">
        <f ca="1">IF(S59="MW",[1]!MTEST($O28:$O43,S28:S43,2), IF(S59="T-Test Welch",_xlfn.T.TEST($O28:$O43,S28:S43,2,3),""))</f>
        <v>#NAME?</v>
      </c>
      <c r="T60" s="82" t="e">
        <f ca="1">IF(T59="MW",[1]!MTEST($O28:$O43,T28:T43,2), IF(T59="T-Test Welch",_xlfn.T.TEST($O28:$O43,T28:T43,2,3),""))</f>
        <v>#NAME?</v>
      </c>
      <c r="U60" s="82" t="e">
        <f ca="1">IF(U59="MW",[1]!MTEST($O28:$O43,U28:U43,2), IF(U59="T-Test Welch",_xlfn.T.TEST($O28:$O43,U28:U43,2,3),""))</f>
        <v>#NAME?</v>
      </c>
      <c r="V60" s="82" t="e">
        <f ca="1">IF(V59="MW",[1]!MTEST($O28:$O43,V28:V43,2), IF(V59="T-Test Welch",_xlfn.T.TEST($O28:$O43,V28:V43,2,3),""))</f>
        <v>#NAME?</v>
      </c>
    </row>
    <row r="61" spans="1:22" s="3" customFormat="1" ht="15.75" thickBot="1">
      <c r="A61" s="46" t="s">
        <v>46</v>
      </c>
      <c r="B61" s="78"/>
      <c r="C61" s="78" t="e">
        <f t="shared" ref="C61:O61" ca="1" si="52">IF(C60&gt;0.05,"NS",IF(C60&gt;0.01,"*",IF(C60&gt;0.001,"**","***")))</f>
        <v>#NAME?</v>
      </c>
      <c r="D61" s="78" t="e">
        <f t="shared" ca="1" si="52"/>
        <v>#NAME?</v>
      </c>
      <c r="E61" s="78" t="e">
        <f t="shared" ca="1" si="52"/>
        <v>#NAME?</v>
      </c>
      <c r="F61" s="78" t="e">
        <f t="shared" ca="1" si="52"/>
        <v>#NAME?</v>
      </c>
      <c r="G61" s="78" t="e">
        <f t="shared" ca="1" si="52"/>
        <v>#NAME?</v>
      </c>
      <c r="H61" s="78" t="e">
        <f t="shared" ca="1" si="52"/>
        <v>#NAME?</v>
      </c>
      <c r="I61" s="78" t="e">
        <f t="shared" ca="1" si="52"/>
        <v>#NAME?</v>
      </c>
      <c r="J61" s="78" t="e">
        <f t="shared" ca="1" si="52"/>
        <v>#NAME?</v>
      </c>
      <c r="K61" s="78" t="e">
        <f t="shared" ca="1" si="52"/>
        <v>#NAME?</v>
      </c>
      <c r="L61" s="78" t="e">
        <f t="shared" ca="1" si="52"/>
        <v>#NAME?</v>
      </c>
      <c r="M61" s="78" t="e">
        <f t="shared" ca="1" si="52"/>
        <v>#NAME?</v>
      </c>
      <c r="N61" s="78"/>
      <c r="O61" s="78" t="e">
        <f t="shared" ca="1" si="52"/>
        <v>#NAME?</v>
      </c>
      <c r="P61" s="78" t="e">
        <f ca="1">IF(P60&gt;0.05,"NS",IF(P60&gt;0.01,"*",IF(P60&gt;0.001,"**","***")))</f>
        <v>#NAME?</v>
      </c>
      <c r="Q61" s="78" t="e">
        <f t="shared" ref="Q61:V61" ca="1" si="53">IF(Q60&gt;0.05,"NS",IF(Q60&gt;0.01,"*",IF(Q60&gt;0.001,"**","***")))</f>
        <v>#NAME?</v>
      </c>
      <c r="R61" s="78" t="e">
        <f t="shared" ca="1" si="53"/>
        <v>#NAME?</v>
      </c>
      <c r="S61" s="78" t="e">
        <f t="shared" ca="1" si="53"/>
        <v>#NAME?</v>
      </c>
      <c r="T61" s="78" t="e">
        <f t="shared" ca="1" si="53"/>
        <v>#NAME?</v>
      </c>
      <c r="U61" s="78" t="e">
        <f t="shared" ca="1" si="53"/>
        <v>#NAME?</v>
      </c>
      <c r="V61" s="78" t="e">
        <f t="shared" ca="1" si="53"/>
        <v>#NAME?</v>
      </c>
    </row>
    <row r="63" spans="1:22">
      <c r="A63" s="2" t="s">
        <v>20</v>
      </c>
    </row>
    <row r="64" spans="1:22">
      <c r="A64" s="1" t="s">
        <v>13</v>
      </c>
      <c r="B64" s="1">
        <f>B46+(3*B47)</f>
        <v>0.6376336007212563</v>
      </c>
    </row>
    <row r="65" spans="1:22">
      <c r="A65" s="1" t="s">
        <v>14</v>
      </c>
      <c r="B65" s="1">
        <f>B46+(10*B47)</f>
        <v>1.783747290807852</v>
      </c>
    </row>
    <row r="66" spans="1:22" ht="15.75" thickBot="1"/>
    <row r="67" spans="1:22" ht="27" thickBot="1">
      <c r="A67" s="143" t="s">
        <v>25</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I1" zoomScale="70" zoomScaleNormal="70" zoomScaleSheetLayoutView="40" zoomScalePageLayoutView="30" workbookViewId="0">
      <selection activeCell="N2" sqref="N1:N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22" width="25.85546875" style="1" customWidth="1"/>
    <col min="23" max="16384" width="9.140625" style="1"/>
  </cols>
  <sheetData>
    <row r="1" spans="1:22" ht="60" customHeight="1" thickBot="1">
      <c r="A1" s="153" t="s">
        <v>70</v>
      </c>
      <c r="B1" s="142"/>
      <c r="C1" s="142"/>
      <c r="D1" s="142"/>
      <c r="E1" s="142"/>
      <c r="F1" s="142"/>
      <c r="G1" s="142"/>
      <c r="H1" s="142"/>
      <c r="I1" s="142"/>
      <c r="J1" s="142"/>
      <c r="K1" s="142"/>
      <c r="L1" s="142"/>
      <c r="M1" s="142"/>
      <c r="N1" s="142"/>
      <c r="O1" s="142"/>
      <c r="P1" s="142"/>
      <c r="Q1" s="142"/>
      <c r="R1" s="142"/>
      <c r="S1" s="142"/>
      <c r="T1" s="142"/>
      <c r="U1" s="142"/>
      <c r="V1" s="142"/>
    </row>
    <row r="2" spans="1:22" ht="15.75" thickBot="1"/>
    <row r="3" spans="1:22" ht="15.75" thickBot="1">
      <c r="A3" s="83" t="s">
        <v>12</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testosterone-300µg/L</v>
      </c>
      <c r="J4" s="20" t="str">
        <f>'Front page'!A15</f>
        <v>testosterone-100µg/L</v>
      </c>
      <c r="K4" s="20" t="str">
        <f>'Front page'!A16</f>
        <v>testosterone-33µg/L</v>
      </c>
      <c r="L4" s="20" t="str">
        <f>'Front page'!A17</f>
        <v>testosterone-11µg/L</v>
      </c>
      <c r="M4" s="20" t="str">
        <f>'Front page'!A18</f>
        <v>testosterone-3.7µg/L</v>
      </c>
      <c r="N4" s="3"/>
      <c r="O4" s="21" t="str">
        <f>'Front page'!A35</f>
        <v>Testo -30µg/L</v>
      </c>
      <c r="P4" s="21" t="str">
        <f>'Front page'!A36</f>
        <v>Testo 30µg/L + EE2 -64ng/L</v>
      </c>
      <c r="Q4" s="21" t="str">
        <f>'Front page'!A37</f>
        <v>Testo 30µg/L + FAD-10mg/L</v>
      </c>
      <c r="R4" s="21" t="str">
        <f>'Front page'!A38</f>
        <v>testosterone-300µg/L + Testostérone</v>
      </c>
      <c r="S4" s="21" t="str">
        <f>'Front page'!A39</f>
        <v>testosterone-100µg/L + Testostérone</v>
      </c>
      <c r="T4" s="21" t="str">
        <f>'Front page'!A40</f>
        <v>testosterone-33µg/L + Testostérone</v>
      </c>
      <c r="U4" s="21" t="str">
        <f>'Front page'!A41</f>
        <v>testosterone-11µg/L + Testostérone</v>
      </c>
      <c r="V4" s="21" t="str">
        <f>'Front page'!A42</f>
        <v>testosterone-3.7µg/L + Testostérone</v>
      </c>
    </row>
    <row r="5" spans="1:22">
      <c r="A5" s="152" t="s">
        <v>71</v>
      </c>
      <c r="B5" s="81">
        <v>2077060</v>
      </c>
      <c r="C5" s="81">
        <v>4049839</v>
      </c>
      <c r="D5" s="81">
        <v>3110559</v>
      </c>
      <c r="E5" s="81">
        <v>10666320</v>
      </c>
      <c r="F5" s="81">
        <v>13779374</v>
      </c>
      <c r="G5" s="81">
        <v>10424364</v>
      </c>
      <c r="H5" s="81">
        <v>20748118</v>
      </c>
      <c r="I5" s="17">
        <v>9926079</v>
      </c>
      <c r="J5" s="17">
        <v>6295531</v>
      </c>
      <c r="K5" s="13">
        <v>10238774</v>
      </c>
      <c r="L5" s="13">
        <v>7218158</v>
      </c>
      <c r="M5" s="13">
        <v>2329258</v>
      </c>
      <c r="N5" s="3"/>
      <c r="O5" s="117">
        <v>11403128</v>
      </c>
      <c r="P5" s="116">
        <v>12680341</v>
      </c>
      <c r="Q5" s="116">
        <v>396677</v>
      </c>
      <c r="R5" s="81">
        <v>5056817</v>
      </c>
      <c r="S5" s="81">
        <v>10515866</v>
      </c>
      <c r="T5" s="81">
        <v>9899062</v>
      </c>
      <c r="U5" s="81">
        <v>10552836</v>
      </c>
      <c r="V5" s="81">
        <v>7718319</v>
      </c>
    </row>
    <row r="6" spans="1:22" ht="16.5">
      <c r="A6" s="151"/>
      <c r="B6" s="115">
        <v>502956</v>
      </c>
      <c r="C6" s="116">
        <v>3081338</v>
      </c>
      <c r="D6" s="81">
        <v>3236316</v>
      </c>
      <c r="E6" s="81">
        <v>6931256</v>
      </c>
      <c r="F6" s="81">
        <v>7804841</v>
      </c>
      <c r="G6" s="81">
        <v>10983117</v>
      </c>
      <c r="H6" s="81">
        <v>16319103</v>
      </c>
      <c r="I6" s="17">
        <v>14114863</v>
      </c>
      <c r="J6" s="17">
        <v>5388739</v>
      </c>
      <c r="K6" s="13">
        <v>3783097</v>
      </c>
      <c r="L6" s="13">
        <v>1691416</v>
      </c>
      <c r="M6" s="13">
        <v>662517</v>
      </c>
      <c r="N6" s="3"/>
      <c r="O6" s="117">
        <v>12069827</v>
      </c>
      <c r="P6" s="116">
        <v>12926007</v>
      </c>
      <c r="Q6" s="116">
        <v>1490709</v>
      </c>
      <c r="R6" s="81">
        <v>5503320</v>
      </c>
      <c r="S6" s="81">
        <v>4620413</v>
      </c>
      <c r="T6" s="81">
        <v>3229100</v>
      </c>
      <c r="U6" s="81">
        <v>5011896</v>
      </c>
      <c r="V6" s="81">
        <v>7767088</v>
      </c>
    </row>
    <row r="7" spans="1:22" ht="16.5">
      <c r="A7" s="151"/>
      <c r="B7" s="115">
        <v>340375</v>
      </c>
      <c r="C7" s="116">
        <v>151163</v>
      </c>
      <c r="D7" s="81">
        <v>2151005</v>
      </c>
      <c r="E7" s="81">
        <v>8068199</v>
      </c>
      <c r="F7" s="81">
        <v>10280080</v>
      </c>
      <c r="G7" s="81">
        <v>14185843</v>
      </c>
      <c r="H7" s="81">
        <v>21711298</v>
      </c>
      <c r="I7" s="17">
        <v>12566619</v>
      </c>
      <c r="J7" s="17">
        <v>13101892</v>
      </c>
      <c r="K7" s="13">
        <v>5698527</v>
      </c>
      <c r="L7" s="13">
        <v>8865579</v>
      </c>
      <c r="M7" s="13">
        <v>2872034</v>
      </c>
      <c r="N7" s="3"/>
      <c r="O7" s="117">
        <v>15424792</v>
      </c>
      <c r="P7" s="116">
        <v>21631888</v>
      </c>
      <c r="Q7" s="116">
        <v>1594920</v>
      </c>
      <c r="R7" s="81">
        <v>19991127</v>
      </c>
      <c r="S7" s="81">
        <v>2993323</v>
      </c>
      <c r="T7" s="81">
        <v>10231487</v>
      </c>
      <c r="U7" s="81">
        <v>4053994</v>
      </c>
      <c r="V7" s="81">
        <v>2603212</v>
      </c>
    </row>
    <row r="8" spans="1:22" ht="16.5">
      <c r="A8" s="151"/>
      <c r="B8" s="115">
        <v>1591622</v>
      </c>
      <c r="C8" s="116">
        <v>599455</v>
      </c>
      <c r="D8" s="81">
        <v>5220361</v>
      </c>
      <c r="E8" s="81">
        <v>7324189</v>
      </c>
      <c r="F8" s="81">
        <v>9106766</v>
      </c>
      <c r="G8" s="81">
        <v>14372767</v>
      </c>
      <c r="H8" s="81">
        <v>14515073</v>
      </c>
      <c r="I8" s="17">
        <v>9002289</v>
      </c>
      <c r="J8" s="17">
        <v>14035730</v>
      </c>
      <c r="K8" s="13">
        <v>12574567</v>
      </c>
      <c r="L8" s="13">
        <v>3428775</v>
      </c>
      <c r="M8" s="13">
        <v>3245455</v>
      </c>
      <c r="N8" s="3"/>
      <c r="O8" s="117">
        <v>11969557</v>
      </c>
      <c r="P8" s="116">
        <v>17026981</v>
      </c>
      <c r="Q8" s="116">
        <v>1370545</v>
      </c>
      <c r="R8" s="81">
        <v>13991229</v>
      </c>
      <c r="S8" s="81">
        <v>1065377</v>
      </c>
      <c r="T8" s="81">
        <v>5803329</v>
      </c>
      <c r="U8" s="81">
        <v>6360094</v>
      </c>
      <c r="V8" s="81">
        <v>3577945</v>
      </c>
    </row>
    <row r="9" spans="1:22" ht="16.5">
      <c r="A9" s="151"/>
      <c r="B9" s="115">
        <v>953861</v>
      </c>
      <c r="C9" s="116">
        <v>597187</v>
      </c>
      <c r="D9" s="81">
        <v>11883777</v>
      </c>
      <c r="E9" s="81">
        <v>6014413</v>
      </c>
      <c r="F9" s="81">
        <v>9116167</v>
      </c>
      <c r="G9" s="81">
        <v>11433187</v>
      </c>
      <c r="H9" s="81">
        <v>15508325</v>
      </c>
      <c r="I9" s="17">
        <v>7293832</v>
      </c>
      <c r="J9" s="17">
        <v>7009531</v>
      </c>
      <c r="K9" s="13">
        <v>9678717</v>
      </c>
      <c r="L9" s="13">
        <v>8402350</v>
      </c>
      <c r="M9" s="13">
        <v>4743656</v>
      </c>
      <c r="N9" s="3"/>
      <c r="O9" s="117">
        <v>5080595</v>
      </c>
      <c r="P9" s="116">
        <v>20916399</v>
      </c>
      <c r="Q9" s="116">
        <v>1035288</v>
      </c>
      <c r="R9" s="81">
        <v>7278778</v>
      </c>
      <c r="S9" s="81">
        <v>5139636</v>
      </c>
      <c r="T9" s="81">
        <v>8635338</v>
      </c>
      <c r="U9" s="81">
        <v>6259776</v>
      </c>
      <c r="V9" s="81">
        <v>8265356</v>
      </c>
    </row>
    <row r="10" spans="1:22" ht="16.5">
      <c r="A10" s="151"/>
      <c r="B10" s="115">
        <v>477559</v>
      </c>
      <c r="C10" s="116">
        <v>503556</v>
      </c>
      <c r="D10" s="81">
        <v>5251351</v>
      </c>
      <c r="E10" s="81">
        <v>5593092</v>
      </c>
      <c r="F10" s="81">
        <v>12284305</v>
      </c>
      <c r="G10" s="81">
        <v>11719655</v>
      </c>
      <c r="H10" s="81">
        <v>18017447</v>
      </c>
      <c r="I10" s="17">
        <v>5947129</v>
      </c>
      <c r="J10" s="17">
        <v>5910931</v>
      </c>
      <c r="K10" s="13">
        <v>7486889</v>
      </c>
      <c r="L10" s="13">
        <v>2804824</v>
      </c>
      <c r="M10" s="13">
        <v>1725169</v>
      </c>
      <c r="N10" s="3"/>
      <c r="O10" s="117">
        <v>9743921</v>
      </c>
      <c r="P10" s="116">
        <v>17411388</v>
      </c>
      <c r="Q10" s="116">
        <v>1539334</v>
      </c>
      <c r="R10" s="81">
        <v>8298234</v>
      </c>
      <c r="S10" s="81">
        <v>7467552</v>
      </c>
      <c r="T10" s="81">
        <v>14915078</v>
      </c>
      <c r="U10" s="81">
        <v>4440730</v>
      </c>
      <c r="V10" s="81">
        <v>15248436</v>
      </c>
    </row>
    <row r="11" spans="1:22" ht="16.5">
      <c r="A11" s="151"/>
      <c r="B11" s="115">
        <v>605910</v>
      </c>
      <c r="C11" s="116">
        <v>1898028</v>
      </c>
      <c r="D11" s="81">
        <v>2930819</v>
      </c>
      <c r="E11" s="81">
        <v>10129276</v>
      </c>
      <c r="F11" s="81">
        <v>8111260</v>
      </c>
      <c r="G11" s="81">
        <v>13015479</v>
      </c>
      <c r="H11" s="81">
        <v>23518304</v>
      </c>
      <c r="I11" s="17">
        <v>10573188</v>
      </c>
      <c r="J11" s="17">
        <v>6896235</v>
      </c>
      <c r="K11" s="13">
        <v>5493385</v>
      </c>
      <c r="L11" s="13">
        <v>4586274</v>
      </c>
      <c r="M11" s="13">
        <v>2174593</v>
      </c>
      <c r="N11" s="3"/>
      <c r="O11" s="117">
        <v>7082913</v>
      </c>
      <c r="P11" s="116">
        <v>17257364</v>
      </c>
      <c r="Q11" s="116">
        <v>1865536</v>
      </c>
      <c r="R11" s="81">
        <v>11286309</v>
      </c>
      <c r="S11" s="81">
        <v>6189711</v>
      </c>
      <c r="T11" s="81">
        <v>12426000</v>
      </c>
      <c r="U11" s="81">
        <v>10883611</v>
      </c>
      <c r="V11" s="81">
        <v>18864255</v>
      </c>
    </row>
    <row r="12" spans="1:22" ht="16.5">
      <c r="A12" s="151"/>
      <c r="B12" s="115">
        <v>1510176</v>
      </c>
      <c r="C12" s="116">
        <v>9026674</v>
      </c>
      <c r="D12" s="81">
        <v>4126110</v>
      </c>
      <c r="E12" s="81">
        <v>3779770</v>
      </c>
      <c r="F12" s="81">
        <v>17983538</v>
      </c>
      <c r="G12" s="81">
        <v>18872527</v>
      </c>
      <c r="H12" s="81">
        <v>17595026</v>
      </c>
      <c r="I12" s="17">
        <v>12963221</v>
      </c>
      <c r="J12" s="17">
        <v>4934613</v>
      </c>
      <c r="K12" s="13">
        <v>7198651</v>
      </c>
      <c r="L12" s="13">
        <v>7726870</v>
      </c>
      <c r="M12" s="13">
        <v>1071286</v>
      </c>
      <c r="N12" s="3"/>
      <c r="O12" s="117">
        <v>10144022</v>
      </c>
      <c r="P12" s="116">
        <v>11394360</v>
      </c>
      <c r="Q12" s="116">
        <v>158661</v>
      </c>
      <c r="R12" s="81">
        <v>7617016</v>
      </c>
      <c r="S12" s="81">
        <v>15709778</v>
      </c>
      <c r="T12" s="81">
        <v>14448797</v>
      </c>
      <c r="U12" s="81"/>
      <c r="V12" s="81">
        <v>9663195</v>
      </c>
    </row>
    <row r="13" spans="1:22" ht="16.5">
      <c r="A13" s="151"/>
      <c r="B13" s="14"/>
      <c r="C13" s="13"/>
      <c r="D13" s="17"/>
      <c r="E13" s="17"/>
      <c r="F13" s="17"/>
      <c r="G13" s="17"/>
      <c r="H13" s="17"/>
      <c r="I13" s="17"/>
      <c r="J13" s="17"/>
      <c r="K13" s="13"/>
      <c r="L13" s="13"/>
      <c r="M13" s="13"/>
      <c r="N13" s="3"/>
      <c r="O13" s="117">
        <v>7597867</v>
      </c>
      <c r="P13" s="118"/>
      <c r="Q13" s="118"/>
      <c r="R13" s="119"/>
      <c r="S13" s="119"/>
      <c r="T13" s="119"/>
      <c r="U13" s="119"/>
      <c r="V13" s="119"/>
    </row>
    <row r="14" spans="1:22" ht="16.5">
      <c r="A14" s="151"/>
      <c r="B14" s="14"/>
      <c r="C14" s="17"/>
      <c r="D14" s="17"/>
      <c r="E14" s="17"/>
      <c r="F14" s="17"/>
      <c r="G14" s="17"/>
      <c r="H14" s="17"/>
      <c r="I14" s="17"/>
      <c r="J14" s="17"/>
      <c r="K14" s="13"/>
      <c r="L14" s="13"/>
      <c r="M14" s="13"/>
      <c r="N14" s="3"/>
      <c r="O14" s="117">
        <v>12189491</v>
      </c>
      <c r="P14" s="13"/>
      <c r="Q14" s="13"/>
      <c r="R14" s="17"/>
      <c r="S14" s="17"/>
      <c r="T14" s="17"/>
      <c r="U14" s="17"/>
      <c r="V14" s="17"/>
    </row>
    <row r="15" spans="1:22" ht="16.5">
      <c r="A15" s="151"/>
      <c r="B15" s="14"/>
      <c r="C15" s="17"/>
      <c r="D15" s="17"/>
      <c r="E15" s="17"/>
      <c r="F15" s="17"/>
      <c r="G15" s="17"/>
      <c r="H15" s="17"/>
      <c r="I15" s="17"/>
      <c r="J15" s="17"/>
      <c r="K15" s="13"/>
      <c r="L15" s="13"/>
      <c r="M15" s="13"/>
      <c r="N15" s="3"/>
      <c r="O15" s="117">
        <v>8476433</v>
      </c>
      <c r="P15" s="13"/>
      <c r="Q15" s="13"/>
      <c r="R15" s="17"/>
      <c r="S15" s="17"/>
      <c r="T15" s="17"/>
      <c r="U15" s="17"/>
      <c r="V15" s="17"/>
    </row>
    <row r="16" spans="1:22" ht="16.5">
      <c r="A16" s="151"/>
      <c r="B16" s="14"/>
      <c r="C16" s="17"/>
      <c r="D16" s="17"/>
      <c r="E16" s="17"/>
      <c r="F16" s="17"/>
      <c r="G16" s="17"/>
      <c r="H16" s="17"/>
      <c r="I16" s="17"/>
      <c r="J16" s="17"/>
      <c r="K16" s="13"/>
      <c r="L16" s="13"/>
      <c r="M16" s="13"/>
      <c r="N16" s="3"/>
      <c r="O16" s="117">
        <v>9782746</v>
      </c>
      <c r="P16" s="13"/>
      <c r="Q16" s="13"/>
      <c r="R16" s="17"/>
      <c r="S16" s="17"/>
      <c r="T16" s="17"/>
      <c r="U16" s="17"/>
      <c r="V16" s="17"/>
    </row>
    <row r="17" spans="1:22" ht="16.5">
      <c r="A17" s="151"/>
      <c r="B17" s="14"/>
      <c r="C17" s="17"/>
      <c r="D17" s="17"/>
      <c r="E17" s="17"/>
      <c r="F17" s="17"/>
      <c r="G17" s="17"/>
      <c r="H17" s="17"/>
      <c r="I17" s="17"/>
      <c r="J17" s="17"/>
      <c r="K17" s="13"/>
      <c r="L17" s="13"/>
      <c r="M17" s="13"/>
      <c r="N17" s="3"/>
      <c r="O17" s="117">
        <v>11915561</v>
      </c>
      <c r="P17" s="13"/>
      <c r="Q17" s="13"/>
      <c r="R17" s="17"/>
      <c r="S17" s="17"/>
      <c r="T17" s="17"/>
      <c r="U17" s="17"/>
      <c r="V17" s="17"/>
    </row>
    <row r="18" spans="1:22" ht="16.5">
      <c r="A18" s="151"/>
      <c r="B18" s="14"/>
      <c r="C18" s="17"/>
      <c r="D18" s="17"/>
      <c r="E18" s="17"/>
      <c r="F18" s="17"/>
      <c r="G18" s="17"/>
      <c r="H18" s="17"/>
      <c r="I18" s="17"/>
      <c r="J18" s="17"/>
      <c r="K18" s="13"/>
      <c r="L18" s="13"/>
      <c r="M18" s="13"/>
      <c r="N18" s="3"/>
      <c r="O18" s="117">
        <v>16443075</v>
      </c>
      <c r="P18" s="13"/>
      <c r="Q18" s="13"/>
      <c r="R18" s="17"/>
      <c r="S18" s="17"/>
      <c r="T18" s="17"/>
      <c r="U18" s="17"/>
      <c r="V18" s="17"/>
    </row>
    <row r="19" spans="1:22" ht="16.5">
      <c r="A19" s="151"/>
      <c r="B19" s="14"/>
      <c r="C19" s="17"/>
      <c r="D19" s="17"/>
      <c r="E19" s="17"/>
      <c r="F19" s="17"/>
      <c r="G19" s="17"/>
      <c r="H19" s="17"/>
      <c r="I19" s="17"/>
      <c r="J19" s="17"/>
      <c r="K19" s="13"/>
      <c r="L19" s="13"/>
      <c r="M19" s="13"/>
      <c r="N19" s="3"/>
      <c r="O19" s="117">
        <v>11752017</v>
      </c>
      <c r="P19" s="13"/>
      <c r="Q19" s="13"/>
      <c r="R19" s="17"/>
      <c r="S19" s="17"/>
      <c r="T19" s="17"/>
      <c r="U19" s="17"/>
      <c r="V19" s="17"/>
    </row>
    <row r="20" spans="1:22" ht="16.5">
      <c r="A20" s="151"/>
      <c r="B20" s="14"/>
      <c r="C20" s="17"/>
      <c r="D20" s="17"/>
      <c r="E20" s="17"/>
      <c r="F20" s="17"/>
      <c r="G20" s="17"/>
      <c r="H20" s="17"/>
      <c r="I20" s="17"/>
      <c r="J20" s="17"/>
      <c r="K20" s="13"/>
      <c r="L20" s="13"/>
      <c r="M20" s="13"/>
      <c r="N20" s="3"/>
      <c r="O20" s="117">
        <v>8680875</v>
      </c>
      <c r="P20" s="13"/>
      <c r="Q20" s="13"/>
      <c r="R20" s="17"/>
      <c r="S20" s="17"/>
      <c r="T20" s="17"/>
      <c r="U20" s="17"/>
      <c r="V20" s="17"/>
    </row>
    <row r="21" spans="1:22">
      <c r="A21" s="3"/>
      <c r="B21" s="7"/>
      <c r="C21" s="7"/>
      <c r="D21" s="7"/>
      <c r="E21" s="7"/>
      <c r="F21" s="7"/>
      <c r="G21" s="7"/>
      <c r="H21" s="7"/>
      <c r="I21" s="7"/>
      <c r="J21" s="7"/>
      <c r="N21" s="3"/>
      <c r="O21" s="7"/>
      <c r="R21" s="7"/>
      <c r="S21" s="7"/>
      <c r="T21" s="7"/>
      <c r="U21" s="7"/>
      <c r="V21" s="7"/>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testosterone-300µg/L</v>
      </c>
      <c r="J22" s="3" t="str">
        <f t="shared" si="0"/>
        <v>testosterone-100µg/L</v>
      </c>
      <c r="K22" s="3" t="str">
        <f t="shared" si="0"/>
        <v>testosterone-33µg/L</v>
      </c>
      <c r="L22" s="3" t="str">
        <f t="shared" si="0"/>
        <v>testosterone-11µg/L</v>
      </c>
      <c r="M22" s="3" t="str">
        <f t="shared" si="0"/>
        <v>testosterone-3.7µg/L</v>
      </c>
      <c r="N22" s="3" t="s">
        <v>22</v>
      </c>
      <c r="O22" s="3" t="str">
        <f t="shared" si="0"/>
        <v>Testo -30µg/L</v>
      </c>
      <c r="P22" s="3" t="str">
        <f t="shared" si="0"/>
        <v>Testo 30µg/L + EE2 -64ng/L</v>
      </c>
      <c r="Q22" s="3" t="str">
        <f t="shared" si="0"/>
        <v>Testo 30µg/L + FAD-10mg/L</v>
      </c>
      <c r="R22" s="3" t="str">
        <f t="shared" si="0"/>
        <v>testosterone-300µg/L + Testostérone</v>
      </c>
      <c r="S22" s="3" t="str">
        <f t="shared" si="0"/>
        <v>testosterone-100µg/L + Testostérone</v>
      </c>
      <c r="T22" s="3" t="str">
        <f t="shared" si="0"/>
        <v>testosterone-33µg/L + Testostérone</v>
      </c>
      <c r="U22" s="3" t="str">
        <f t="shared" si="0"/>
        <v>testosterone-11µg/L + Testostérone</v>
      </c>
      <c r="V22" s="3" t="str">
        <f t="shared" si="0"/>
        <v>testosterone-3.7µg/L + Testostérone</v>
      </c>
    </row>
    <row r="23" spans="1:22">
      <c r="A23" s="5" t="s">
        <v>0</v>
      </c>
      <c r="B23" s="5">
        <f t="shared" ref="B23:J23" si="1">AVERAGE(B5:B20)</f>
        <v>1007439.875</v>
      </c>
      <c r="C23" s="5">
        <f t="shared" si="1"/>
        <v>2488405</v>
      </c>
      <c r="D23" s="5">
        <f t="shared" si="1"/>
        <v>4738787.25</v>
      </c>
      <c r="E23" s="5">
        <f t="shared" si="1"/>
        <v>7313314.375</v>
      </c>
      <c r="F23" s="5">
        <f t="shared" si="1"/>
        <v>11058291.375</v>
      </c>
      <c r="G23" s="5">
        <f t="shared" si="1"/>
        <v>13125867.375</v>
      </c>
      <c r="H23" s="5">
        <f t="shared" si="1"/>
        <v>18491586.75</v>
      </c>
      <c r="I23" s="5">
        <f t="shared" si="1"/>
        <v>10298402.5</v>
      </c>
      <c r="J23" s="5">
        <f t="shared" si="1"/>
        <v>7946650.25</v>
      </c>
      <c r="K23" s="5"/>
      <c r="L23" s="5">
        <f>AVERAGE(L5:L20)</f>
        <v>5590530.75</v>
      </c>
      <c r="M23" s="5"/>
      <c r="N23" s="5" t="s">
        <v>0</v>
      </c>
      <c r="O23" s="5">
        <f>AVERAGE(O5:O20)</f>
        <v>10609801.25</v>
      </c>
      <c r="P23" s="5">
        <f>AVERAGE(P5:P20)</f>
        <v>16405591</v>
      </c>
      <c r="Q23" s="5">
        <f>AVERAGE(Q5:Q20)</f>
        <v>1181458.75</v>
      </c>
      <c r="R23" s="5">
        <f>AVERAGE(R5:R20)</f>
        <v>9877853.75</v>
      </c>
      <c r="S23" s="5">
        <f>AVERAGE(S5:S20)</f>
        <v>6712707</v>
      </c>
      <c r="T23" s="5">
        <f t="shared" ref="T23:V23" si="2">AVERAGE(T5:T20)</f>
        <v>9948523.875</v>
      </c>
      <c r="U23" s="5">
        <f t="shared" si="2"/>
        <v>6794705.2857142854</v>
      </c>
      <c r="V23" s="5">
        <f t="shared" si="2"/>
        <v>9213475.75</v>
      </c>
    </row>
    <row r="24" spans="1:22">
      <c r="A24" s="3" t="s">
        <v>1</v>
      </c>
      <c r="B24" s="3">
        <f t="shared" ref="B24:J24" si="3">STDEV(B5:B20)</f>
        <v>641699.72773240239</v>
      </c>
      <c r="C24" s="3">
        <f t="shared" si="3"/>
        <v>2986500.9517284366</v>
      </c>
      <c r="D24" s="3">
        <f t="shared" si="3"/>
        <v>3089031.2876455877</v>
      </c>
      <c r="E24" s="3">
        <f t="shared" si="3"/>
        <v>2299704.0152007723</v>
      </c>
      <c r="F24" s="3">
        <f t="shared" si="3"/>
        <v>3470740.6674960377</v>
      </c>
      <c r="G24" s="3">
        <f t="shared" si="3"/>
        <v>2737221.9803915899</v>
      </c>
      <c r="H24" s="3">
        <f t="shared" si="3"/>
        <v>3188980.753536588</v>
      </c>
      <c r="I24" s="3">
        <f t="shared" si="3"/>
        <v>2845209.0433542086</v>
      </c>
      <c r="J24" s="3">
        <f t="shared" si="3"/>
        <v>3548049.7739656018</v>
      </c>
      <c r="K24" s="3"/>
      <c r="L24" s="3">
        <f>STDEV(L5:L20)</f>
        <v>2790042.5461111697</v>
      </c>
      <c r="M24" s="3"/>
      <c r="N24" s="3" t="s">
        <v>1</v>
      </c>
      <c r="O24" s="3">
        <f>STDEV(O5:O20)</f>
        <v>2936344.9856258943</v>
      </c>
      <c r="P24" s="3">
        <f>STDEV(P5:P20)</f>
        <v>3796281.4143171362</v>
      </c>
      <c r="Q24" s="3">
        <f>STDEV(Q5:Q20)</f>
        <v>607305.45756757131</v>
      </c>
      <c r="R24" s="3">
        <f>STDEV(R5:R20)</f>
        <v>5041578.8270161608</v>
      </c>
      <c r="S24" s="3">
        <f>STDEV(S5:S20)</f>
        <v>4611058.4587519597</v>
      </c>
      <c r="T24" s="3">
        <f t="shared" ref="T24:V24" si="4">STDEV(T5:T20)</f>
        <v>4056692.4517963589</v>
      </c>
      <c r="U24" s="3">
        <f t="shared" si="4"/>
        <v>2815103.3036990976</v>
      </c>
      <c r="V24" s="3">
        <f t="shared" si="4"/>
        <v>5482983.9207269447</v>
      </c>
    </row>
    <row r="25" spans="1:22" ht="15.75" thickBot="1"/>
    <row r="26" spans="1:22" ht="15.75" thickBot="1">
      <c r="B26" s="149" t="s">
        <v>6</v>
      </c>
      <c r="C26" s="150"/>
      <c r="D26" s="150"/>
      <c r="E26" s="150"/>
      <c r="F26" s="150"/>
      <c r="G26" s="150"/>
      <c r="H26" s="150"/>
      <c r="I26" s="150"/>
      <c r="J26" s="150"/>
      <c r="K26" s="150"/>
      <c r="L26" s="150"/>
      <c r="M26" s="150"/>
      <c r="O26" s="149" t="s">
        <v>3</v>
      </c>
      <c r="P26" s="150"/>
      <c r="Q26" s="150"/>
      <c r="R26" s="150"/>
      <c r="S26" s="150"/>
      <c r="T26" s="150"/>
      <c r="U26" s="150"/>
      <c r="V26" s="150"/>
    </row>
    <row r="27" spans="1:22">
      <c r="A27" s="19" t="s">
        <v>22</v>
      </c>
      <c r="B27" s="20" t="str">
        <f>B4</f>
        <v>Solvent control</v>
      </c>
      <c r="C27" s="20" t="str">
        <f t="shared" ref="C27:M27" si="5">C4</f>
        <v>EE2-33.8ng/L</v>
      </c>
      <c r="D27" s="20" t="str">
        <f t="shared" si="5"/>
        <v>EE2-50.6ng/L</v>
      </c>
      <c r="E27" s="20" t="str">
        <f t="shared" si="5"/>
        <v>EE2-76ng/L</v>
      </c>
      <c r="F27" s="20" t="str">
        <f t="shared" si="5"/>
        <v>EE2-114ng/L</v>
      </c>
      <c r="G27" s="20" t="str">
        <f t="shared" si="5"/>
        <v>EE2-170.9ng/L</v>
      </c>
      <c r="H27" s="20" t="str">
        <f t="shared" si="5"/>
        <v>EE2-488ng/L</v>
      </c>
      <c r="I27" s="20" t="str">
        <f t="shared" si="5"/>
        <v>testosterone-300µg/L</v>
      </c>
      <c r="J27" s="20" t="str">
        <f t="shared" si="5"/>
        <v>testosterone-100µg/L</v>
      </c>
      <c r="K27" s="20" t="str">
        <f t="shared" si="5"/>
        <v>testosterone-33µg/L</v>
      </c>
      <c r="L27" s="20" t="str">
        <f t="shared" si="5"/>
        <v>testosterone-11µg/L</v>
      </c>
      <c r="M27" s="20" t="str">
        <f t="shared" si="5"/>
        <v>testosterone-3.7µg/L</v>
      </c>
      <c r="N27" s="3"/>
      <c r="O27" s="21" t="str">
        <f>O4</f>
        <v>Testo -30µg/L</v>
      </c>
      <c r="P27" s="21" t="str">
        <f t="shared" ref="P27:V27" si="6">P4</f>
        <v>Testo 30µg/L + EE2 -64ng/L</v>
      </c>
      <c r="Q27" s="21" t="str">
        <f t="shared" si="6"/>
        <v>Testo 30µg/L + FAD-10mg/L</v>
      </c>
      <c r="R27" s="21" t="str">
        <f t="shared" si="6"/>
        <v>testosterone-300µg/L + Testostérone</v>
      </c>
      <c r="S27" s="21" t="str">
        <f t="shared" si="6"/>
        <v>testosterone-100µg/L + Testostérone</v>
      </c>
      <c r="T27" s="21" t="str">
        <f t="shared" si="6"/>
        <v>testosterone-33µg/L + Testostérone</v>
      </c>
      <c r="U27" s="21" t="str">
        <f t="shared" si="6"/>
        <v>testosterone-11µg/L + Testostérone</v>
      </c>
      <c r="V27" s="21" t="str">
        <f t="shared" si="6"/>
        <v>testosterone-3.7µg/L + Testostérone</v>
      </c>
    </row>
    <row r="28" spans="1:22">
      <c r="A28" s="152" t="s">
        <v>72</v>
      </c>
      <c r="B28" s="11">
        <f>IF(B5="","",(B5/$O$23))</f>
        <v>0.19576804042394291</v>
      </c>
      <c r="C28" s="11">
        <f>IF(C5="","",(C5/$O$23))</f>
        <v>0.38170733876848068</v>
      </c>
      <c r="D28" s="11">
        <f>IF(D5="","",(D5/$O$23))</f>
        <v>0.29317787644702581</v>
      </c>
      <c r="E28" s="11">
        <f>IF(E5="","",(E5/$O$23))</f>
        <v>1.0053270319272003</v>
      </c>
      <c r="F28" s="11">
        <f>IF(F5="","",(F5/$O$23))</f>
        <v>1.2987400682929853</v>
      </c>
      <c r="G28" s="11">
        <f>IF(G5="","",(G5/$O$23))</f>
        <v>0.98252208070344393</v>
      </c>
      <c r="H28" s="11">
        <f>IF(H5="","",(H5/$O$23))</f>
        <v>1.9555614201538412</v>
      </c>
      <c r="I28" s="11">
        <f>IF(I5="","",(I5/$O$23))</f>
        <v>0.93555748746942835</v>
      </c>
      <c r="J28" s="11">
        <f>IF(J5="","",(J5/$O$23))</f>
        <v>0.59336936212636404</v>
      </c>
      <c r="K28" s="11">
        <f>IF(K5="","",(K5/$O$23))</f>
        <v>0.96502976434172127</v>
      </c>
      <c r="L28" s="11">
        <f>IF(L5="","",(L5/$O$23))</f>
        <v>0.68032923802413359</v>
      </c>
      <c r="M28" s="11">
        <f>IF(M5="","",(M5/$O$23))</f>
        <v>0.21953832547051719</v>
      </c>
      <c r="N28" s="6"/>
      <c r="O28" s="11">
        <f t="shared" ref="O28:V39" si="7">IF(O5="","",(O5/$O$23))</f>
        <v>1.0747730076470565</v>
      </c>
      <c r="P28" s="11">
        <f t="shared" si="7"/>
        <v>1.1951534907404604</v>
      </c>
      <c r="Q28" s="11">
        <f t="shared" si="7"/>
        <v>3.738778801346538E-2</v>
      </c>
      <c r="R28" s="11">
        <f t="shared" si="7"/>
        <v>0.47661750496975613</v>
      </c>
      <c r="S28" s="11">
        <f t="shared" si="7"/>
        <v>0.99114637043742926</v>
      </c>
      <c r="T28" s="11">
        <f t="shared" si="7"/>
        <v>0.93301106842128645</v>
      </c>
      <c r="U28" s="11">
        <f t="shared" si="7"/>
        <v>0.99463088434385138</v>
      </c>
      <c r="V28" s="11">
        <f t="shared" si="7"/>
        <v>0.72747064889646262</v>
      </c>
    </row>
    <row r="29" spans="1:22">
      <c r="A29" s="152"/>
      <c r="B29" s="11">
        <f>IF(B6="","",(B6/$O$23))</f>
        <v>4.7404846532822655E-2</v>
      </c>
      <c r="C29" s="11">
        <f>IF(C6="","",(C6/$O$23))</f>
        <v>0.29042372494960733</v>
      </c>
      <c r="D29" s="11">
        <f>IF(D6="","",(D6/$O$23))</f>
        <v>0.30503078462473554</v>
      </c>
      <c r="E29" s="11">
        <f>IF(E6="","",(E6/$O$23))</f>
        <v>0.65328801517370549</v>
      </c>
      <c r="F29" s="11">
        <f>IF(F6="","",(F6/$O$23))</f>
        <v>0.73562556131765433</v>
      </c>
      <c r="G29" s="11">
        <f>IF(G6="","",(G6/$O$23))</f>
        <v>1.0351859324414772</v>
      </c>
      <c r="H29" s="11">
        <f>IF(H6="","",(H6/$O$23))</f>
        <v>1.5381158058922169</v>
      </c>
      <c r="I29" s="11">
        <f>IF(I6="","",(I6/$O$23))</f>
        <v>1.33036073602227</v>
      </c>
      <c r="J29" s="11">
        <f>IF(J6="","",(J6/$O$23))</f>
        <v>0.50790197412981697</v>
      </c>
      <c r="K29" s="11">
        <f>IF(K6="","",(K6/$O$23))</f>
        <v>0.35656624576261503</v>
      </c>
      <c r="L29" s="11">
        <f>IF(L6="","",(L6/$O$23))</f>
        <v>0.15942013993900214</v>
      </c>
      <c r="M29" s="11">
        <f>IF(M6="","",(M6/$O$23))</f>
        <v>6.2443865289182492E-2</v>
      </c>
      <c r="N29" s="6"/>
      <c r="O29" s="11">
        <f t="shared" si="7"/>
        <v>1.1376110367760188</v>
      </c>
      <c r="P29" s="11">
        <f t="shared" si="7"/>
        <v>1.2183081186370008</v>
      </c>
      <c r="Q29" s="11">
        <f t="shared" si="7"/>
        <v>0.14050300895127513</v>
      </c>
      <c r="R29" s="11">
        <f t="shared" si="7"/>
        <v>0.51870151667544195</v>
      </c>
      <c r="S29" s="11">
        <f t="shared" si="7"/>
        <v>0.43548534898332802</v>
      </c>
      <c r="T29" s="11">
        <f t="shared" si="7"/>
        <v>0.30435065878354695</v>
      </c>
      <c r="U29" s="11">
        <f t="shared" si="7"/>
        <v>0.47238358965489574</v>
      </c>
      <c r="V29" s="11">
        <f t="shared" si="7"/>
        <v>0.73206724772530496</v>
      </c>
    </row>
    <row r="30" spans="1:22">
      <c r="A30" s="152"/>
      <c r="B30" s="11">
        <f>IF(B7="","",(B7/$O$23))</f>
        <v>3.2081185309668268E-2</v>
      </c>
      <c r="C30" s="11">
        <f>IF(C7="","",(C7/$O$23))</f>
        <v>1.424748649273708E-2</v>
      </c>
      <c r="D30" s="11">
        <f>IF(D7="","",(D7/$O$23))</f>
        <v>0.20273753949914944</v>
      </c>
      <c r="E30" s="11">
        <f>IF(E7="","",(E7/$O$23))</f>
        <v>0.7604477039567541</v>
      </c>
      <c r="F30" s="11">
        <f>IF(F7="","",(F7/$O$23))</f>
        <v>0.96892295696868025</v>
      </c>
      <c r="G30" s="11">
        <f>IF(G7="","",(G7/$O$23))</f>
        <v>1.3370507765166666</v>
      </c>
      <c r="H30" s="11">
        <f>IF(H7="","",(H7/$O$23))</f>
        <v>2.0463435165668158</v>
      </c>
      <c r="I30" s="11">
        <f>IF(I7="","",(I7/$O$23))</f>
        <v>1.1844349110686687</v>
      </c>
      <c r="J30" s="11">
        <f>IF(J7="","",(J7/$O$23))</f>
        <v>1.2348857147536105</v>
      </c>
      <c r="K30" s="11">
        <f>IF(K7="","",(K7/$O$23))</f>
        <v>0.53710025906470205</v>
      </c>
      <c r="L30" s="11">
        <f>IF(L7="","",(L7/$O$23))</f>
        <v>0.83560274043776273</v>
      </c>
      <c r="M30" s="11">
        <f>IF(M7="","",(M7/$O$23))</f>
        <v>0.27069630545624029</v>
      </c>
      <c r="N30" s="6"/>
      <c r="O30" s="11">
        <f t="shared" si="7"/>
        <v>1.4538247830042998</v>
      </c>
      <c r="P30" s="11">
        <f t="shared" si="7"/>
        <v>2.0388589277296782</v>
      </c>
      <c r="Q30" s="11">
        <f t="shared" si="7"/>
        <v>0.15032515335760885</v>
      </c>
      <c r="R30" s="11">
        <f t="shared" si="7"/>
        <v>1.8842131467825565</v>
      </c>
      <c r="S30" s="11">
        <f t="shared" si="7"/>
        <v>0.28212809358704999</v>
      </c>
      <c r="T30" s="11">
        <f t="shared" si="7"/>
        <v>0.96434294657498887</v>
      </c>
      <c r="U30" s="11">
        <f t="shared" si="7"/>
        <v>0.38209895779150432</v>
      </c>
      <c r="V30" s="11">
        <f t="shared" si="7"/>
        <v>0.24535916730768165</v>
      </c>
    </row>
    <row r="31" spans="1:22">
      <c r="A31" s="152"/>
      <c r="B31" s="11">
        <f>IF(B8="","",(B8/$O$23))</f>
        <v>0.1500143087034736</v>
      </c>
      <c r="C31" s="11">
        <f>IF(C8="","",(C8/$O$23))</f>
        <v>5.6500115871633318E-2</v>
      </c>
      <c r="D31" s="11">
        <f>IF(D8="","",(D8/$O$23))</f>
        <v>0.49203193132387846</v>
      </c>
      <c r="E31" s="11">
        <f>IF(E8="","",(E8/$O$23))</f>
        <v>0.69032292193032363</v>
      </c>
      <c r="F31" s="11">
        <f>IF(F8="","",(F8/$O$23))</f>
        <v>0.8583352115102062</v>
      </c>
      <c r="G31" s="11">
        <f>IF(G8="","",(G8/$O$23))</f>
        <v>1.3546688256766355</v>
      </c>
      <c r="H31" s="11">
        <f>IF(H8="","",(H8/$O$23))</f>
        <v>1.3680815180208961</v>
      </c>
      <c r="I31" s="11">
        <f>IF(I8="","",(I8/$O$23))</f>
        <v>0.84848799594620117</v>
      </c>
      <c r="J31" s="11">
        <f>IF(J8="","",(J8/$O$23))</f>
        <v>1.3229022551200005</v>
      </c>
      <c r="K31" s="11">
        <f>IF(K8="","",(K8/$O$23))</f>
        <v>1.1851840297196896</v>
      </c>
      <c r="L31" s="11">
        <f>IF(L8="","",(L8/$O$23))</f>
        <v>0.32317052121970713</v>
      </c>
      <c r="M31" s="11">
        <f>IF(M8="","",(M8/$O$23))</f>
        <v>0.30589215797044267</v>
      </c>
      <c r="N31" s="6"/>
      <c r="O31" s="11">
        <f t="shared" si="7"/>
        <v>1.1281603413636048</v>
      </c>
      <c r="P31" s="11">
        <f t="shared" si="7"/>
        <v>1.604835057584137</v>
      </c>
      <c r="Q31" s="11">
        <f t="shared" si="7"/>
        <v>0.12917725485197001</v>
      </c>
      <c r="R31" s="11">
        <f t="shared" si="7"/>
        <v>1.3187079258435686</v>
      </c>
      <c r="S31" s="11">
        <f t="shared" si="7"/>
        <v>0.10041441633979713</v>
      </c>
      <c r="T31" s="11">
        <f t="shared" si="7"/>
        <v>0.54697810668225288</v>
      </c>
      <c r="U31" s="11">
        <f t="shared" si="7"/>
        <v>0.59945458450505851</v>
      </c>
      <c r="V31" s="11">
        <f t="shared" si="7"/>
        <v>0.33723016253485427</v>
      </c>
    </row>
    <row r="32" spans="1:22">
      <c r="A32" s="152"/>
      <c r="B32" s="11">
        <f>IF(B9="","",(B9/$O$23))</f>
        <v>8.9903757622226896E-2</v>
      </c>
      <c r="C32" s="11">
        <f>IF(C9="","",(C9/$O$23))</f>
        <v>5.6286351264120051E-2</v>
      </c>
      <c r="D32" s="11">
        <f>IF(D9="","",(D9/$O$23))</f>
        <v>1.1200753642769699</v>
      </c>
      <c r="E32" s="11">
        <f>IF(E9="","",(E9/$O$23))</f>
        <v>0.56687329557657828</v>
      </c>
      <c r="F32" s="11">
        <f>IF(F9="","",(F9/$O$23))</f>
        <v>0.85922127900369483</v>
      </c>
      <c r="G32" s="11">
        <f>IF(G9="","",(G9/$O$23))</f>
        <v>1.077606142716387</v>
      </c>
      <c r="H32" s="11">
        <f>IF(H9="","",(H9/$O$23))</f>
        <v>1.4616979747853429</v>
      </c>
      <c r="I32" s="11">
        <f>IF(I9="","",(I9/$O$23))</f>
        <v>0.68746169962420356</v>
      </c>
      <c r="J32" s="11">
        <f>IF(J9="","",(J9/$O$23))</f>
        <v>0.66066562745461421</v>
      </c>
      <c r="K32" s="11">
        <f>IF(K9="","",(K9/$O$23))</f>
        <v>0.91224300737961517</v>
      </c>
      <c r="L32" s="11">
        <f>IF(L9="","",(L9/$O$23))</f>
        <v>0.79194226187790273</v>
      </c>
      <c r="M32" s="11">
        <f>IF(M9="","",(M9/$O$23))</f>
        <v>0.44710130644530216</v>
      </c>
      <c r="N32" s="6"/>
      <c r="O32" s="11">
        <f t="shared" si="7"/>
        <v>0.47885864025963726</v>
      </c>
      <c r="P32" s="11">
        <f t="shared" si="7"/>
        <v>1.9714223204699524</v>
      </c>
      <c r="Q32" s="11">
        <f t="shared" si="7"/>
        <v>9.7578453696293324E-2</v>
      </c>
      <c r="R32" s="11">
        <f t="shared" si="7"/>
        <v>0.68604282290396346</v>
      </c>
      <c r="S32" s="11">
        <f t="shared" si="7"/>
        <v>0.48442340048547095</v>
      </c>
      <c r="T32" s="11">
        <f t="shared" si="7"/>
        <v>0.81390195692874079</v>
      </c>
      <c r="U32" s="11">
        <f t="shared" si="7"/>
        <v>0.58999936497396688</v>
      </c>
      <c r="V32" s="11">
        <f t="shared" si="7"/>
        <v>0.77903023866728893</v>
      </c>
    </row>
    <row r="33" spans="1:22">
      <c r="A33" s="152"/>
      <c r="B33" s="11">
        <f>IF(B10="","",(B10/$O$23))</f>
        <v>4.5011116490047354E-2</v>
      </c>
      <c r="C33" s="11">
        <f>IF(C10="","",(C10/$O$23))</f>
        <v>4.7461398016291775E-2</v>
      </c>
      <c r="D33" s="11">
        <f>IF(D10="","",(D10/$O$23))</f>
        <v>0.49495281544505842</v>
      </c>
      <c r="E33" s="11">
        <f>IF(E10="","",(E10/$O$23))</f>
        <v>0.52716274963209131</v>
      </c>
      <c r="F33" s="11">
        <f>IF(F10="","",(F10/$O$23))</f>
        <v>1.1578261185618346</v>
      </c>
      <c r="G33" s="11">
        <f>IF(G10="","",(G10/$O$23))</f>
        <v>1.1046064599937722</v>
      </c>
      <c r="H33" s="11">
        <f>IF(H10="","",(H10/$O$23))</f>
        <v>1.6981889269603425</v>
      </c>
      <c r="I33" s="11">
        <f>IF(I10="","",(I10/$O$23))</f>
        <v>0.56053161222035142</v>
      </c>
      <c r="J33" s="11">
        <f>IF(J10="","",(J10/$O$23))</f>
        <v>0.55711986122265955</v>
      </c>
      <c r="K33" s="11">
        <f>IF(K10="","",(K10/$O$23))</f>
        <v>0.70565779919769944</v>
      </c>
      <c r="L33" s="11">
        <f>IF(L10="","",(L10/$O$23))</f>
        <v>0.26436159678297461</v>
      </c>
      <c r="M33" s="11">
        <f>IF(M10="","",(M10/$O$23))</f>
        <v>0.16260144364155737</v>
      </c>
      <c r="N33" s="6"/>
      <c r="O33" s="11">
        <f t="shared" si="7"/>
        <v>0.91838864559314903</v>
      </c>
      <c r="P33" s="11">
        <f t="shared" si="7"/>
        <v>1.641066367760659</v>
      </c>
      <c r="Q33" s="11">
        <f t="shared" si="7"/>
        <v>0.14508603542408488</v>
      </c>
      <c r="R33" s="11">
        <f t="shared" si="7"/>
        <v>0.78212907145645161</v>
      </c>
      <c r="S33" s="11">
        <f t="shared" si="7"/>
        <v>0.7038352391379622</v>
      </c>
      <c r="T33" s="11">
        <f t="shared" si="7"/>
        <v>1.4057829782626701</v>
      </c>
      <c r="U33" s="11">
        <f t="shared" si="7"/>
        <v>0.41854978197635889</v>
      </c>
      <c r="V33" s="11">
        <f t="shared" si="7"/>
        <v>1.4372027939731671</v>
      </c>
    </row>
    <row r="34" spans="1:22">
      <c r="A34" s="152"/>
      <c r="B34" s="11">
        <f>IF(B11="","",(B11/$O$23))</f>
        <v>5.7108515581288578E-2</v>
      </c>
      <c r="C34" s="11">
        <f>IF(C11="","",(C11/$O$23))</f>
        <v>0.17889383177653775</v>
      </c>
      <c r="D34" s="11">
        <f>IF(D11="","",(D11/$O$23))</f>
        <v>0.27623693704912711</v>
      </c>
      <c r="E34" s="11">
        <f>IF(E11="","",(E11/$O$23))</f>
        <v>0.95470930711355217</v>
      </c>
      <c r="F34" s="11">
        <f>IF(F11="","",(F11/$O$23))</f>
        <v>0.76450630967286026</v>
      </c>
      <c r="G34" s="11">
        <f>IF(G11="","",(G11/$O$23))</f>
        <v>1.2267410758519157</v>
      </c>
      <c r="H34" s="11">
        <f>IF(H11="","",(H11/$O$23))</f>
        <v>2.2166582997961437</v>
      </c>
      <c r="I34" s="11">
        <f>IF(I11="","",(I11/$O$23))</f>
        <v>0.9965491106631239</v>
      </c>
      <c r="J34" s="11">
        <f>IF(J11="","",(J11/$O$23))</f>
        <v>0.64998719933608562</v>
      </c>
      <c r="K34" s="11">
        <f>IF(K11="","",(K11/$O$23))</f>
        <v>0.51776511836166583</v>
      </c>
      <c r="L34" s="11">
        <f>IF(L11="","",(L11/$O$23))</f>
        <v>0.43226766382640769</v>
      </c>
      <c r="M34" s="11">
        <f>IF(M11="","",(M11/$O$23))</f>
        <v>0.20496076681926534</v>
      </c>
      <c r="N34" s="6"/>
      <c r="O34" s="11">
        <f t="shared" si="7"/>
        <v>0.66758206238783224</v>
      </c>
      <c r="P34" s="11">
        <f t="shared" si="7"/>
        <v>1.6265492249442468</v>
      </c>
      <c r="Q34" s="11">
        <f t="shared" si="7"/>
        <v>0.17583138044174013</v>
      </c>
      <c r="R34" s="11">
        <f t="shared" si="7"/>
        <v>1.0637625280680918</v>
      </c>
      <c r="S34" s="11">
        <f t="shared" si="7"/>
        <v>0.58339556549186067</v>
      </c>
      <c r="T34" s="11">
        <f t="shared" si="7"/>
        <v>1.171181222645429</v>
      </c>
      <c r="U34" s="11">
        <f t="shared" si="7"/>
        <v>1.0258072459180139</v>
      </c>
      <c r="V34" s="11">
        <f t="shared" si="7"/>
        <v>1.778002674649537</v>
      </c>
    </row>
    <row r="35" spans="1:22">
      <c r="A35" s="152"/>
      <c r="B35" s="11">
        <f>IF(B12="","",(B12/$O$23))</f>
        <v>0.14233782183243066</v>
      </c>
      <c r="C35" s="11">
        <f>IF(C12="","",(C12/$O$23))</f>
        <v>0.85078634248685858</v>
      </c>
      <c r="D35" s="11">
        <f>IF(D12="","",(D12/$O$23))</f>
        <v>0.3888960690946025</v>
      </c>
      <c r="E35" s="11">
        <f>IF(E12="","",(E12/$O$23))</f>
        <v>0.35625266778677878</v>
      </c>
      <c r="F35" s="11">
        <f>IF(F12="","",(F12/$O$23))</f>
        <v>1.6949929198720852</v>
      </c>
      <c r="G35" s="11">
        <f>IF(G12="","",(G12/$O$23))</f>
        <v>1.7787823311016311</v>
      </c>
      <c r="H35" s="11">
        <f>IF(H12="","",(H12/$O$23))</f>
        <v>1.6583747032961622</v>
      </c>
      <c r="I35" s="11">
        <f>IF(I12="","",(I12/$O$23))</f>
        <v>1.2218156301467005</v>
      </c>
      <c r="J35" s="11">
        <f>IF(J12="","",(J12/$O$23))</f>
        <v>0.46509947582665606</v>
      </c>
      <c r="K35" s="11">
        <f>IF(K12="","",(K12/$O$23))</f>
        <v>0.67849065504408013</v>
      </c>
      <c r="L35" s="11">
        <f>IF(L12="","",(L12/$O$23))</f>
        <v>0.72827660178836995</v>
      </c>
      <c r="M35" s="11">
        <f>IF(M12="","",(M12/$O$23))</f>
        <v>0.10097135419949549</v>
      </c>
      <c r="N35" s="6"/>
      <c r="O35" s="11">
        <f t="shared" si="7"/>
        <v>0.95609915407227819</v>
      </c>
      <c r="P35" s="11">
        <f t="shared" si="7"/>
        <v>1.0739466019686279</v>
      </c>
      <c r="Q35" s="11">
        <f t="shared" si="7"/>
        <v>1.4954191531156156E-2</v>
      </c>
      <c r="R35" s="11">
        <f t="shared" si="7"/>
        <v>0.71792259068000919</v>
      </c>
      <c r="S35" s="11">
        <f t="shared" si="7"/>
        <v>1.4806854181175166</v>
      </c>
      <c r="T35" s="11">
        <f t="shared" si="7"/>
        <v>1.3618348411568972</v>
      </c>
      <c r="U35" s="11" t="str">
        <f t="shared" si="7"/>
        <v/>
      </c>
      <c r="V35" s="11">
        <f t="shared" si="7"/>
        <v>0.91078002050226903</v>
      </c>
    </row>
    <row r="36" spans="1:22">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0.71611775008509226</v>
      </c>
      <c r="P36" s="11" t="str">
        <f t="shared" si="7"/>
        <v/>
      </c>
      <c r="Q36" s="11" t="str">
        <f t="shared" si="7"/>
        <v/>
      </c>
      <c r="R36" s="11" t="str">
        <f t="shared" si="7"/>
        <v/>
      </c>
      <c r="S36" s="11" t="str">
        <f t="shared" si="7"/>
        <v/>
      </c>
      <c r="T36" s="11" t="str">
        <f t="shared" si="7"/>
        <v/>
      </c>
      <c r="U36" s="11" t="str">
        <f t="shared" si="7"/>
        <v/>
      </c>
      <c r="V36" s="11" t="str">
        <f t="shared" si="7"/>
        <v/>
      </c>
    </row>
    <row r="37" spans="1:22">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1.1488896646390996</v>
      </c>
      <c r="P37" s="11" t="str">
        <f t="shared" si="7"/>
        <v/>
      </c>
      <c r="Q37" s="11" t="str">
        <f t="shared" si="7"/>
        <v/>
      </c>
      <c r="R37" s="11" t="str">
        <f t="shared" si="7"/>
        <v/>
      </c>
      <c r="S37" s="11" t="str">
        <f t="shared" si="7"/>
        <v/>
      </c>
      <c r="T37" s="11" t="str">
        <f t="shared" si="7"/>
        <v/>
      </c>
      <c r="U37" s="11" t="str">
        <f t="shared" si="7"/>
        <v/>
      </c>
      <c r="V37" s="11" t="str">
        <f t="shared" si="7"/>
        <v/>
      </c>
    </row>
    <row r="38" spans="1:22">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7"/>
        <v>0.79892476779430721</v>
      </c>
      <c r="P38" s="11" t="str">
        <f t="shared" si="7"/>
        <v/>
      </c>
      <c r="Q38" s="11" t="str">
        <f t="shared" si="7"/>
        <v/>
      </c>
      <c r="R38" s="11" t="str">
        <f t="shared" si="7"/>
        <v/>
      </c>
      <c r="S38" s="11" t="str">
        <f t="shared" si="7"/>
        <v/>
      </c>
      <c r="T38" s="11" t="str">
        <f t="shared" si="7"/>
        <v/>
      </c>
      <c r="U38" s="11" t="str">
        <f t="shared" si="7"/>
        <v/>
      </c>
      <c r="V38" s="11" t="str">
        <f t="shared" si="7"/>
        <v/>
      </c>
    </row>
    <row r="39" spans="1:22">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0.92204799783596325</v>
      </c>
      <c r="P39" s="11" t="str">
        <f t="shared" si="7"/>
        <v/>
      </c>
      <c r="Q39" s="11" t="str">
        <f t="shared" ref="Q39:V39" si="8">IF(Q16="","",(Q16/$O$23))</f>
        <v/>
      </c>
      <c r="R39" s="11" t="str">
        <f t="shared" si="8"/>
        <v/>
      </c>
      <c r="S39" s="11" t="str">
        <f t="shared" si="8"/>
        <v/>
      </c>
      <c r="T39" s="11" t="str">
        <f t="shared" si="8"/>
        <v/>
      </c>
      <c r="U39" s="11" t="str">
        <f t="shared" si="8"/>
        <v/>
      </c>
      <c r="V39" s="11" t="str">
        <f t="shared" si="8"/>
        <v/>
      </c>
    </row>
    <row r="40" spans="1:22">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3" si="9">IF(O17="","",(O17/$O$23))</f>
        <v>1.1230710848612739</v>
      </c>
      <c r="P40" s="11" t="str">
        <f t="shared" si="9"/>
        <v/>
      </c>
      <c r="Q40" s="11" t="str">
        <f t="shared" si="9"/>
        <v/>
      </c>
      <c r="R40" s="11" t="str">
        <f t="shared" si="9"/>
        <v/>
      </c>
      <c r="S40" s="11" t="str">
        <f t="shared" si="9"/>
        <v/>
      </c>
      <c r="T40" s="11" t="str">
        <f t="shared" si="9"/>
        <v/>
      </c>
      <c r="U40" s="11" t="str">
        <f t="shared" si="9"/>
        <v/>
      </c>
      <c r="V40" s="11" t="str">
        <f t="shared" si="9"/>
        <v/>
      </c>
    </row>
    <row r="41" spans="1:22">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1.549800473406606</v>
      </c>
      <c r="P41" s="11" t="str">
        <f t="shared" si="9"/>
        <v/>
      </c>
      <c r="Q41" s="11" t="str">
        <f t="shared" si="9"/>
        <v/>
      </c>
      <c r="R41" s="11" t="str">
        <f t="shared" si="9"/>
        <v/>
      </c>
      <c r="S41" s="11" t="str">
        <f t="shared" si="9"/>
        <v/>
      </c>
      <c r="T41" s="11" t="str">
        <f t="shared" si="9"/>
        <v/>
      </c>
      <c r="U41" s="11" t="str">
        <f t="shared" si="9"/>
        <v/>
      </c>
      <c r="V41" s="11" t="str">
        <f t="shared" si="9"/>
        <v/>
      </c>
    </row>
    <row r="42" spans="1:22">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1.1076566585071517</v>
      </c>
      <c r="P42" s="11" t="str">
        <f t="shared" si="9"/>
        <v/>
      </c>
      <c r="Q42" s="11" t="str">
        <f t="shared" si="9"/>
        <v/>
      </c>
      <c r="R42" s="11" t="str">
        <f t="shared" si="9"/>
        <v/>
      </c>
      <c r="S42" s="11" t="str">
        <f t="shared" si="9"/>
        <v/>
      </c>
      <c r="T42" s="11" t="str">
        <f t="shared" si="9"/>
        <v/>
      </c>
      <c r="U42" s="11" t="str">
        <f t="shared" si="9"/>
        <v/>
      </c>
      <c r="V42" s="11" t="str">
        <f t="shared" si="9"/>
        <v/>
      </c>
    </row>
    <row r="43" spans="1:22">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0.81819393176662947</v>
      </c>
      <c r="P43" s="11" t="str">
        <f t="shared" si="9"/>
        <v/>
      </c>
      <c r="Q43" s="11" t="str">
        <f t="shared" si="9"/>
        <v/>
      </c>
      <c r="R43" s="11" t="str">
        <f t="shared" si="9"/>
        <v/>
      </c>
      <c r="S43" s="11" t="str">
        <f t="shared" si="9"/>
        <v/>
      </c>
      <c r="T43" s="11" t="str">
        <f t="shared" si="9"/>
        <v/>
      </c>
      <c r="U43" s="11" t="str">
        <f t="shared" si="9"/>
        <v/>
      </c>
      <c r="V43" s="11" t="str">
        <f t="shared" si="9"/>
        <v/>
      </c>
    </row>
    <row r="44" spans="1:22">
      <c r="A44" s="7"/>
      <c r="B44" s="3"/>
      <c r="C44" s="3"/>
      <c r="D44" s="3"/>
      <c r="E44" s="3"/>
      <c r="F44" s="3"/>
      <c r="G44" s="3"/>
      <c r="H44" s="3"/>
      <c r="I44" s="3"/>
      <c r="J44" s="3"/>
      <c r="K44" s="3"/>
      <c r="L44" s="3"/>
      <c r="M44" s="3"/>
      <c r="N44" s="7"/>
      <c r="O44" s="3"/>
      <c r="P44" s="3"/>
      <c r="Q44" s="3"/>
      <c r="R44" s="3"/>
      <c r="S44" s="3"/>
      <c r="T44" s="3"/>
      <c r="U44" s="3"/>
      <c r="V44" s="3"/>
    </row>
    <row r="45" spans="1:22">
      <c r="A45" s="7" t="str">
        <f>A4</f>
        <v>Noms des groupes</v>
      </c>
      <c r="B45" s="7" t="str">
        <f t="shared" ref="B45:V45" si="10">B4</f>
        <v>Solvent control</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testosterone-300µg/L</v>
      </c>
      <c r="J45" s="7" t="str">
        <f t="shared" si="10"/>
        <v>testosterone-100µg/L</v>
      </c>
      <c r="K45" s="7" t="str">
        <f t="shared" si="10"/>
        <v>testosterone-33µg/L</v>
      </c>
      <c r="L45" s="7" t="str">
        <f t="shared" si="10"/>
        <v>testosterone-11µg/L</v>
      </c>
      <c r="M45" s="7" t="str">
        <f t="shared" si="10"/>
        <v>testosterone-3.7µg/L</v>
      </c>
      <c r="N45" s="7"/>
      <c r="O45" s="7" t="str">
        <f t="shared" si="10"/>
        <v>Testo -30µg/L</v>
      </c>
      <c r="P45" s="7" t="str">
        <f t="shared" si="10"/>
        <v>Testo 30µg/L + EE2 -64ng/L</v>
      </c>
      <c r="Q45" s="7" t="str">
        <f t="shared" si="10"/>
        <v>Testo 30µg/L + FAD-10mg/L</v>
      </c>
      <c r="R45" s="7" t="str">
        <f t="shared" si="10"/>
        <v>testosterone-300µg/L + Testostérone</v>
      </c>
      <c r="S45" s="7" t="str">
        <f t="shared" si="10"/>
        <v>testosterone-100µg/L + Testostérone</v>
      </c>
      <c r="T45" s="7" t="str">
        <f t="shared" si="10"/>
        <v>testosterone-33µg/L + Testostérone</v>
      </c>
      <c r="U45" s="7" t="str">
        <f t="shared" si="10"/>
        <v>testosterone-11µg/L + Testostérone</v>
      </c>
      <c r="V45" s="7" t="str">
        <f t="shared" si="10"/>
        <v>testosterone-3.7µg/L + Testostérone</v>
      </c>
    </row>
    <row r="46" spans="1:22">
      <c r="A46" s="8" t="s">
        <v>0</v>
      </c>
      <c r="B46" s="10">
        <f t="shared" ref="B46:H46" si="11">AVERAGE(B28:B43)</f>
        <v>9.4953699061987612E-2</v>
      </c>
      <c r="C46" s="10">
        <f t="shared" si="11"/>
        <v>0.23453832370328331</v>
      </c>
      <c r="D46" s="10">
        <f t="shared" si="11"/>
        <v>0.44664241472006844</v>
      </c>
      <c r="E46" s="10">
        <f t="shared" si="11"/>
        <v>0.68929796163712287</v>
      </c>
      <c r="F46" s="10">
        <f t="shared" si="11"/>
        <v>1.0422713031500002</v>
      </c>
      <c r="G46" s="10">
        <f t="shared" si="11"/>
        <v>1.2371454531252413</v>
      </c>
      <c r="H46" s="10">
        <f t="shared" si="11"/>
        <v>1.7428777706839704</v>
      </c>
      <c r="I46" s="10">
        <f>AVERAGE(I28:I43)</f>
        <v>0.97064989789511846</v>
      </c>
      <c r="J46" s="9">
        <f>AVERAGE(J28:J43)</f>
        <v>0.7489914337462259</v>
      </c>
      <c r="K46" s="9">
        <f t="shared" ref="K46:M46" si="12">AVERAGE(K28:K43)</f>
        <v>0.73225460985897362</v>
      </c>
      <c r="L46" s="9">
        <f t="shared" si="12"/>
        <v>0.52692134548703251</v>
      </c>
      <c r="M46" s="9">
        <f t="shared" si="12"/>
        <v>0.22177569066150032</v>
      </c>
      <c r="N46" s="8" t="s">
        <v>0</v>
      </c>
      <c r="O46" s="10">
        <f t="shared" ref="O46:V46" si="13">AVERAGE(O28:O43)</f>
        <v>0.99999999999999989</v>
      </c>
      <c r="P46" s="10">
        <f t="shared" si="13"/>
        <v>1.5462675137293453</v>
      </c>
      <c r="Q46" s="10">
        <f t="shared" si="13"/>
        <v>0.11135540828344925</v>
      </c>
      <c r="R46" s="10">
        <f t="shared" si="13"/>
        <v>0.93101213842247998</v>
      </c>
      <c r="S46" s="10">
        <f t="shared" si="13"/>
        <v>0.63268923157255186</v>
      </c>
      <c r="T46" s="10">
        <f t="shared" si="13"/>
        <v>0.93767297243197656</v>
      </c>
      <c r="U46" s="10">
        <f t="shared" si="13"/>
        <v>0.6404177727376642</v>
      </c>
      <c r="V46" s="10">
        <f t="shared" si="13"/>
        <v>0.86839286928207071</v>
      </c>
    </row>
    <row r="47" spans="1:22">
      <c r="A47" s="8" t="s">
        <v>1</v>
      </c>
      <c r="B47" s="8">
        <f t="shared" ref="B47:M47" si="14">STDEV(B28:B43)</f>
        <v>6.0481785908327201E-2</v>
      </c>
      <c r="C47" s="8">
        <f t="shared" si="14"/>
        <v>0.28148509867029192</v>
      </c>
      <c r="D47" s="8">
        <f t="shared" si="14"/>
        <v>0.29114883633146166</v>
      </c>
      <c r="E47" s="8">
        <f t="shared" si="14"/>
        <v>0.21675278933248415</v>
      </c>
      <c r="F47" s="8">
        <f t="shared" si="14"/>
        <v>0.32712588913916119</v>
      </c>
      <c r="G47" s="8">
        <f t="shared" si="14"/>
        <v>0.25798993929236719</v>
      </c>
      <c r="H47" s="8">
        <f t="shared" si="14"/>
        <v>0.30056932061159625</v>
      </c>
      <c r="I47" s="8">
        <f t="shared" si="14"/>
        <v>0.2681679869690497</v>
      </c>
      <c r="J47" s="8">
        <f t="shared" si="14"/>
        <v>0.33441246356670479</v>
      </c>
      <c r="K47" s="8">
        <f t="shared" si="14"/>
        <v>0.2726996825003849</v>
      </c>
      <c r="L47" s="8">
        <f t="shared" si="14"/>
        <v>0.2629684082075685</v>
      </c>
      <c r="M47" s="8">
        <f t="shared" si="14"/>
        <v>0.12189579684214863</v>
      </c>
      <c r="N47" s="8" t="s">
        <v>1</v>
      </c>
      <c r="O47" s="8">
        <f t="shared" ref="O47:V47" si="15">STDEV(O28:O43)</f>
        <v>0.27675777485708303</v>
      </c>
      <c r="P47" s="8">
        <f t="shared" si="15"/>
        <v>0.35780890940979065</v>
      </c>
      <c r="Q47" s="8">
        <f t="shared" si="15"/>
        <v>5.7240040907229124E-2</v>
      </c>
      <c r="R47" s="8">
        <f t="shared" si="15"/>
        <v>0.47518126949043055</v>
      </c>
      <c r="S47" s="8">
        <f t="shared" si="15"/>
        <v>0.43460366034207865</v>
      </c>
      <c r="T47" s="8">
        <f t="shared" si="15"/>
        <v>0.38235329354509445</v>
      </c>
      <c r="U47" s="8">
        <f t="shared" si="15"/>
        <v>0.26533044657166399</v>
      </c>
      <c r="V47" s="8">
        <f t="shared" si="15"/>
        <v>0.51678479092404705</v>
      </c>
    </row>
    <row r="48" spans="1:22">
      <c r="A48" s="8" t="s">
        <v>2</v>
      </c>
      <c r="B48" s="8">
        <f t="shared" ref="B48:M48" si="16" xml:space="preserve"> B47/SQRT(COUNT(B28:B43))</f>
        <v>2.1383540477025568E-2</v>
      </c>
      <c r="C48" s="8">
        <f t="shared" si="16"/>
        <v>9.9520011036363917E-2</v>
      </c>
      <c r="D48" s="8">
        <f t="shared" si="16"/>
        <v>0.1029366582522744</v>
      </c>
      <c r="E48" s="8">
        <f t="shared" si="16"/>
        <v>7.6633683589049345E-2</v>
      </c>
      <c r="F48" s="8">
        <f t="shared" si="16"/>
        <v>0.11565646725598981</v>
      </c>
      <c r="G48" s="8">
        <f t="shared" si="16"/>
        <v>9.1213217775769281E-2</v>
      </c>
      <c r="H48" s="8">
        <f t="shared" si="16"/>
        <v>0.1062673024105466</v>
      </c>
      <c r="I48" s="8">
        <f t="shared" si="16"/>
        <v>9.4811701041480373E-2</v>
      </c>
      <c r="J48" s="8">
        <f t="shared" si="16"/>
        <v>0.1182326603506581</v>
      </c>
      <c r="K48" s="8">
        <f t="shared" si="16"/>
        <v>9.6413897361720319E-2</v>
      </c>
      <c r="L48" s="8">
        <f t="shared" si="16"/>
        <v>9.2973372340701924E-2</v>
      </c>
      <c r="M48" s="8">
        <f t="shared" si="16"/>
        <v>4.309667227261052E-2</v>
      </c>
      <c r="N48" s="8" t="s">
        <v>2</v>
      </c>
      <c r="O48" s="8">
        <f t="shared" ref="O48:V48" si="17" xml:space="preserve"> O47/SQRT(COUNT(O28:O43))</f>
        <v>6.9189443714270757E-2</v>
      </c>
      <c r="P48" s="8">
        <f t="shared" si="17"/>
        <v>0.12650455310631301</v>
      </c>
      <c r="Q48" s="8">
        <f t="shared" si="17"/>
        <v>2.0237410540448544E-2</v>
      </c>
      <c r="R48" s="8">
        <f t="shared" si="17"/>
        <v>0.16800194897475787</v>
      </c>
      <c r="S48" s="8">
        <f t="shared" si="17"/>
        <v>0.1536555976781894</v>
      </c>
      <c r="T48" s="8">
        <f t="shared" si="17"/>
        <v>0.13518230333737344</v>
      </c>
      <c r="U48" s="8">
        <f t="shared" si="17"/>
        <v>0.1002854824117619</v>
      </c>
      <c r="V48" s="8">
        <f t="shared" si="17"/>
        <v>0.18271101503823292</v>
      </c>
    </row>
    <row r="49" spans="1:22"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24</v>
      </c>
      <c r="B50" s="144"/>
      <c r="C50" s="144"/>
      <c r="D50" s="144"/>
      <c r="E50" s="144"/>
      <c r="F50" s="144"/>
      <c r="G50" s="144"/>
      <c r="H50" s="144"/>
      <c r="I50" s="144"/>
      <c r="J50" s="144"/>
      <c r="K50" s="144"/>
      <c r="L50" s="144"/>
      <c r="M50" s="144"/>
      <c r="N50" s="144"/>
      <c r="O50" s="144"/>
      <c r="P50" s="144"/>
      <c r="Q50" s="144"/>
      <c r="R50" s="144"/>
      <c r="S50" s="144"/>
      <c r="T50" s="144"/>
      <c r="U50" s="144"/>
      <c r="V50" s="144"/>
    </row>
    <row r="51" spans="1:22" ht="15.75" thickBot="1"/>
    <row r="52" spans="1:22">
      <c r="A52" s="29" t="str">
        <f t="shared" ref="A52:H52" si="18">A27</f>
        <v>Noms des groupes</v>
      </c>
      <c r="B52" s="30" t="str">
        <f t="shared" si="18"/>
        <v>Solvent control</v>
      </c>
      <c r="C52" s="30" t="str">
        <f t="shared" si="18"/>
        <v>EE2-33.8ng/L</v>
      </c>
      <c r="D52" s="30" t="str">
        <f t="shared" si="18"/>
        <v>EE2-50.6ng/L</v>
      </c>
      <c r="E52" s="30" t="str">
        <f t="shared" si="18"/>
        <v>EE2-76ng/L</v>
      </c>
      <c r="F52" s="30" t="str">
        <f t="shared" si="18"/>
        <v>EE2-114ng/L</v>
      </c>
      <c r="G52" s="30" t="str">
        <f t="shared" si="18"/>
        <v>EE2-170.9ng/L</v>
      </c>
      <c r="H52" s="30" t="str">
        <f t="shared" si="18"/>
        <v>EE2-488ng/L</v>
      </c>
      <c r="I52" s="30" t="str">
        <f>I4</f>
        <v>testosterone-300µg/L</v>
      </c>
      <c r="J52" s="30" t="str">
        <f>J4</f>
        <v>testosterone-100µg/L</v>
      </c>
      <c r="K52" s="30" t="str">
        <f t="shared" ref="K52:M52" si="19">K4</f>
        <v>testosterone-33µg/L</v>
      </c>
      <c r="L52" s="30" t="str">
        <f t="shared" si="19"/>
        <v>testosterone-11µg/L</v>
      </c>
      <c r="M52" s="30" t="str">
        <f t="shared" si="19"/>
        <v>testosterone-3.7µg/L</v>
      </c>
      <c r="N52" s="31"/>
      <c r="O52" s="30" t="str">
        <f>O27</f>
        <v>Testo -30µg/L</v>
      </c>
      <c r="P52" s="30" t="str">
        <f>P27</f>
        <v>Testo 30µg/L + EE2 -64ng/L</v>
      </c>
      <c r="Q52" s="30" t="str">
        <f>Q27</f>
        <v>Testo 30µg/L + FAD-10mg/L</v>
      </c>
      <c r="R52" s="30" t="str">
        <f>R27</f>
        <v>testosterone-300µg/L + Testostérone</v>
      </c>
      <c r="S52" s="30" t="str">
        <f t="shared" ref="S52:V52" si="20">S27</f>
        <v>testosterone-100µg/L + Testostérone</v>
      </c>
      <c r="T52" s="30" t="str">
        <f t="shared" si="20"/>
        <v>testosterone-33µg/L + Testostérone</v>
      </c>
      <c r="U52" s="30" t="str">
        <f t="shared" si="20"/>
        <v>testosterone-11µg/L + Testostérone</v>
      </c>
      <c r="V52" s="30" t="str">
        <f t="shared" si="20"/>
        <v>testosterone-3.7µg/L + Testostérone</v>
      </c>
    </row>
    <row r="53" spans="1:22" s="3" customFormat="1">
      <c r="A53" s="45" t="s">
        <v>15</v>
      </c>
      <c r="B53" s="77">
        <f t="shared" ref="B53:V53" si="21">B46</f>
        <v>9.4953699061987612E-2</v>
      </c>
      <c r="C53" s="77">
        <f t="shared" si="21"/>
        <v>0.23453832370328331</v>
      </c>
      <c r="D53" s="77">
        <f t="shared" si="21"/>
        <v>0.44664241472006844</v>
      </c>
      <c r="E53" s="77">
        <f t="shared" si="21"/>
        <v>0.68929796163712287</v>
      </c>
      <c r="F53" s="77">
        <f t="shared" si="21"/>
        <v>1.0422713031500002</v>
      </c>
      <c r="G53" s="77">
        <f t="shared" si="21"/>
        <v>1.2371454531252413</v>
      </c>
      <c r="H53" s="77">
        <f t="shared" si="21"/>
        <v>1.7428777706839704</v>
      </c>
      <c r="I53" s="77">
        <f t="shared" si="21"/>
        <v>0.97064989789511846</v>
      </c>
      <c r="J53" s="77">
        <f t="shared" si="21"/>
        <v>0.7489914337462259</v>
      </c>
      <c r="K53" s="77">
        <f t="shared" si="21"/>
        <v>0.73225460985897362</v>
      </c>
      <c r="L53" s="77">
        <f t="shared" si="21"/>
        <v>0.52692134548703251</v>
      </c>
      <c r="M53" s="77">
        <f t="shared" si="21"/>
        <v>0.22177569066150032</v>
      </c>
      <c r="N53" s="77"/>
      <c r="O53" s="77">
        <f t="shared" si="21"/>
        <v>0.99999999999999989</v>
      </c>
      <c r="P53" s="77">
        <f t="shared" si="21"/>
        <v>1.5462675137293453</v>
      </c>
      <c r="Q53" s="77">
        <f t="shared" si="21"/>
        <v>0.11135540828344925</v>
      </c>
      <c r="R53" s="77">
        <f t="shared" si="21"/>
        <v>0.93101213842247998</v>
      </c>
      <c r="S53" s="77">
        <f t="shared" si="21"/>
        <v>0.63268923157255186</v>
      </c>
      <c r="T53" s="77">
        <f t="shared" si="21"/>
        <v>0.93767297243197656</v>
      </c>
      <c r="U53" s="77">
        <f t="shared" si="21"/>
        <v>0.6404177727376642</v>
      </c>
      <c r="V53" s="77">
        <f t="shared" si="21"/>
        <v>0.86839286928207071</v>
      </c>
    </row>
    <row r="54" spans="1:22" s="3" customFormat="1">
      <c r="A54" s="45" t="s">
        <v>2</v>
      </c>
      <c r="B54" s="77">
        <f t="shared" ref="B54:V54" si="22">B48</f>
        <v>2.1383540477025568E-2</v>
      </c>
      <c r="C54" s="77">
        <f t="shared" si="22"/>
        <v>9.9520011036363917E-2</v>
      </c>
      <c r="D54" s="77">
        <f t="shared" si="22"/>
        <v>0.1029366582522744</v>
      </c>
      <c r="E54" s="77">
        <f t="shared" si="22"/>
        <v>7.6633683589049345E-2</v>
      </c>
      <c r="F54" s="77">
        <f t="shared" si="22"/>
        <v>0.11565646725598981</v>
      </c>
      <c r="G54" s="77">
        <f t="shared" si="22"/>
        <v>9.1213217775769281E-2</v>
      </c>
      <c r="H54" s="77">
        <f t="shared" si="22"/>
        <v>0.1062673024105466</v>
      </c>
      <c r="I54" s="77">
        <f t="shared" si="22"/>
        <v>9.4811701041480373E-2</v>
      </c>
      <c r="J54" s="77">
        <f t="shared" si="22"/>
        <v>0.1182326603506581</v>
      </c>
      <c r="K54" s="77">
        <f t="shared" si="22"/>
        <v>9.6413897361720319E-2</v>
      </c>
      <c r="L54" s="77">
        <f t="shared" si="22"/>
        <v>9.2973372340701924E-2</v>
      </c>
      <c r="M54" s="77">
        <f t="shared" si="22"/>
        <v>4.309667227261052E-2</v>
      </c>
      <c r="N54" s="77"/>
      <c r="O54" s="77">
        <f t="shared" si="22"/>
        <v>6.9189443714270757E-2</v>
      </c>
      <c r="P54" s="77">
        <f t="shared" si="22"/>
        <v>0.12650455310631301</v>
      </c>
      <c r="Q54" s="77">
        <f t="shared" si="22"/>
        <v>2.0237410540448544E-2</v>
      </c>
      <c r="R54" s="77">
        <f t="shared" si="22"/>
        <v>0.16800194897475787</v>
      </c>
      <c r="S54" s="77">
        <f t="shared" si="22"/>
        <v>0.1536555976781894</v>
      </c>
      <c r="T54" s="77">
        <f t="shared" si="22"/>
        <v>0.13518230333737344</v>
      </c>
      <c r="U54" s="77">
        <f t="shared" si="22"/>
        <v>0.1002854824117619</v>
      </c>
      <c r="V54" s="77">
        <f t="shared" si="22"/>
        <v>0.18271101503823292</v>
      </c>
    </row>
    <row r="55" spans="1:22" s="3" customFormat="1">
      <c r="A55" s="45" t="s">
        <v>42</v>
      </c>
      <c r="B55" s="77">
        <f>(B53*100/$B53)-100</f>
        <v>0</v>
      </c>
      <c r="C55" s="77">
        <f t="shared" ref="C55:M55" si="23">(C53*100/$B53)-100</f>
        <v>147.0028298214819</v>
      </c>
      <c r="D55" s="77">
        <f t="shared" si="23"/>
        <v>370.37916282597018</v>
      </c>
      <c r="E55" s="77">
        <f t="shared" si="23"/>
        <v>625.93060454352155</v>
      </c>
      <c r="F55" s="77">
        <f t="shared" si="23"/>
        <v>997.66266448407168</v>
      </c>
      <c r="G55" s="77">
        <f t="shared" si="23"/>
        <v>1202.8933736616293</v>
      </c>
      <c r="H55" s="77">
        <f t="shared" si="23"/>
        <v>1735.5027638746187</v>
      </c>
      <c r="I55" s="77">
        <f t="shared" si="23"/>
        <v>922.23494975320489</v>
      </c>
      <c r="J55" s="77">
        <f t="shared" si="23"/>
        <v>688.79647780469281</v>
      </c>
      <c r="K55" s="77">
        <f t="shared" si="23"/>
        <v>671.1701777736364</v>
      </c>
      <c r="L55" s="77">
        <f t="shared" si="23"/>
        <v>454.92450604062094</v>
      </c>
      <c r="M55" s="77">
        <f t="shared" si="23"/>
        <v>133.56192844759093</v>
      </c>
      <c r="N55" s="77"/>
      <c r="O55" s="77">
        <f>(O53*100/$O53)-100</f>
        <v>0</v>
      </c>
      <c r="P55" s="77">
        <f t="shared" ref="P55:V55" si="24">(P53*100/$O53)-100</f>
        <v>54.626751372934564</v>
      </c>
      <c r="Q55" s="77">
        <f t="shared" si="24"/>
        <v>-88.864459171655071</v>
      </c>
      <c r="R55" s="77">
        <f t="shared" si="24"/>
        <v>-6.8987861577519851</v>
      </c>
      <c r="S55" s="77">
        <f t="shared" si="24"/>
        <v>-36.731076842744805</v>
      </c>
      <c r="T55" s="77">
        <f t="shared" si="24"/>
        <v>-6.2327027568023254</v>
      </c>
      <c r="U55" s="77">
        <f t="shared" si="24"/>
        <v>-35.958222726233572</v>
      </c>
      <c r="V55" s="77">
        <f t="shared" si="24"/>
        <v>-13.160713071792912</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ca="1">IF(B56&gt;0.05,"Oui","Non")</f>
        <v>#NAME?</v>
      </c>
      <c r="C57" s="77" t="e">
        <f t="shared" ref="C57:V57" ca="1" si="25">IF(C56&gt;0.05,"Oui","Non")</f>
        <v>#NAME?</v>
      </c>
      <c r="D57" s="77" t="e">
        <f t="shared" ca="1" si="25"/>
        <v>#NAME?</v>
      </c>
      <c r="E57" s="77" t="e">
        <f t="shared" ca="1" si="25"/>
        <v>#NAME?</v>
      </c>
      <c r="F57" s="77" t="e">
        <f t="shared" ca="1" si="25"/>
        <v>#NAME?</v>
      </c>
      <c r="G57" s="77" t="e">
        <f t="shared" ca="1" si="25"/>
        <v>#NAME?</v>
      </c>
      <c r="H57" s="77" t="e">
        <f t="shared" ca="1" si="25"/>
        <v>#NAME?</v>
      </c>
      <c r="I57" s="77" t="e">
        <f t="shared" ca="1" si="25"/>
        <v>#NAME?</v>
      </c>
      <c r="J57" s="77" t="e">
        <f t="shared" ca="1" si="25"/>
        <v>#NAME?</v>
      </c>
      <c r="K57" s="77" t="e">
        <f t="shared" ca="1" si="25"/>
        <v>#NAME?</v>
      </c>
      <c r="L57" s="77" t="e">
        <f t="shared" ca="1" si="25"/>
        <v>#NAME?</v>
      </c>
      <c r="M57" s="77" t="e">
        <f t="shared" ca="1" si="25"/>
        <v>#NAME?</v>
      </c>
      <c r="N57" s="77"/>
      <c r="O57" s="77" t="e">
        <f t="shared" ca="1" si="25"/>
        <v>#NAME?</v>
      </c>
      <c r="P57" s="77" t="e">
        <f t="shared" ca="1" si="25"/>
        <v>#NAME?</v>
      </c>
      <c r="Q57" s="77" t="e">
        <f t="shared" ca="1" si="25"/>
        <v>#NAME?</v>
      </c>
      <c r="R57" s="77" t="e">
        <f t="shared" ca="1" si="25"/>
        <v>#NAME?</v>
      </c>
      <c r="S57" s="77" t="e">
        <f t="shared" ca="1" si="25"/>
        <v>#NAME?</v>
      </c>
      <c r="T57" s="77" t="e">
        <f t="shared" ca="1" si="25"/>
        <v>#NAME?</v>
      </c>
      <c r="U57" s="77" t="e">
        <f t="shared" ca="1" si="25"/>
        <v>#NAME?</v>
      </c>
      <c r="V57" s="77" t="e">
        <f t="shared" ca="1" si="25"/>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O59" ca="1" si="26">IF($B57="Non",IF(C57="Non","MW",IF(C57="Oui","MW","")),IF($B57="Oui",IF(C57="Oui","T-Test Welch",IF(C57="Non","MW",""))))</f>
        <v>#NAME?</v>
      </c>
      <c r="D59" s="81" t="e">
        <f t="shared" ca="1" si="26"/>
        <v>#NAME?</v>
      </c>
      <c r="E59" s="81" t="e">
        <f t="shared" ca="1" si="26"/>
        <v>#NAME?</v>
      </c>
      <c r="F59" s="81" t="e">
        <f t="shared" ca="1" si="26"/>
        <v>#NAME?</v>
      </c>
      <c r="G59" s="81" t="e">
        <f t="shared" ca="1" si="26"/>
        <v>#NAME?</v>
      </c>
      <c r="H59" s="81" t="e">
        <f t="shared" ca="1" si="26"/>
        <v>#NAME?</v>
      </c>
      <c r="I59" s="81" t="e">
        <f t="shared" ca="1" si="26"/>
        <v>#NAME?</v>
      </c>
      <c r="J59" s="81" t="e">
        <f t="shared" ca="1" si="26"/>
        <v>#NAME?</v>
      </c>
      <c r="K59" s="81" t="e">
        <f t="shared" ca="1" si="26"/>
        <v>#NAME?</v>
      </c>
      <c r="L59" s="81" t="e">
        <f t="shared" ca="1" si="26"/>
        <v>#NAME?</v>
      </c>
      <c r="M59" s="81" t="e">
        <f t="shared" ca="1" si="26"/>
        <v>#NAME?</v>
      </c>
      <c r="N59" s="81"/>
      <c r="O59" s="81" t="e">
        <f t="shared" ca="1" si="26"/>
        <v>#NAME?</v>
      </c>
      <c r="P59" s="81" t="e">
        <f ca="1">IF($O57="Non",IF(P57="Non","MW",IF(P57="Oui","MW","")),IF($O57="Oui",IF(P57="Oui","T-Test Welch",IF(P57="Non","MW",""))))</f>
        <v>#NAME?</v>
      </c>
      <c r="Q59" s="81" t="e">
        <f t="shared" ref="Q59:V59" ca="1" si="27">IF($O57="Non",IF(Q57="Non","MW",IF(Q57="Oui","MW","")),IF($O57="Oui",IF(Q57="Oui","T-Test Welch",IF(Q57="Non","MW",""))))</f>
        <v>#NAME?</v>
      </c>
      <c r="R59" s="81" t="e">
        <f t="shared" ca="1" si="27"/>
        <v>#NAME?</v>
      </c>
      <c r="S59" s="81" t="e">
        <f t="shared" ca="1" si="27"/>
        <v>#NAME?</v>
      </c>
      <c r="T59" s="81" t="e">
        <f t="shared" ca="1" si="27"/>
        <v>#NAME?</v>
      </c>
      <c r="U59" s="81" t="e">
        <f t="shared" ca="1" si="27"/>
        <v>#NAME?</v>
      </c>
      <c r="V59" s="81" t="e">
        <f t="shared" ca="1" si="27"/>
        <v>#NAME?</v>
      </c>
    </row>
    <row r="60" spans="1:22" s="3" customFormat="1">
      <c r="A60" s="45" t="s">
        <v>45</v>
      </c>
      <c r="B60" s="82"/>
      <c r="C60" s="82" t="e">
        <f ca="1">IF(C59="MW",[1]!MTEST($B28:$B43,C28:C43,2), IF(C59="T-Test Welch",_xlfn.T.TEST($B28:$B43,C28:C43,2,3),""))</f>
        <v>#NAME?</v>
      </c>
      <c r="D60" s="82" t="e">
        <f ca="1">IF(D59="MW",[1]!MTEST($B28:$B43,D28:D43,2), IF(D59="T-Test Welch",_xlfn.T.TEST($B28:$B43,D28:D43,2,3),""))</f>
        <v>#NAME?</v>
      </c>
      <c r="E60" s="82" t="e">
        <f ca="1">IF(E59="MW",[1]!MTEST($B28:$B43,E28:E43,2), IF(E59="T-Test Welch",_xlfn.T.TEST($B28:$B43,E28:E43,2,3),""))</f>
        <v>#NAME?</v>
      </c>
      <c r="F60" s="82" t="e">
        <f ca="1">IF(F59="MW",[1]!MTEST($B28:$B43,F28:F43,2), IF(F59="T-Test Welch",_xlfn.T.TEST($B28:$B43,F28:F43,2,3),""))</f>
        <v>#NAME?</v>
      </c>
      <c r="G60" s="82" t="e">
        <f ca="1">IF(G59="MW",[1]!MTEST($B28:$B43,G28:G43,2), IF(G59="T-Test Welch",_xlfn.T.TEST($B28:$B43,G28:G43,2,3),""))</f>
        <v>#NAME?</v>
      </c>
      <c r="H60" s="82" t="e">
        <f ca="1">IF(H59="MW",[1]!MTEST($B28:$B43,H28:H43,2), IF(H59="T-Test Welch",_xlfn.T.TEST($B28:$B43,H28:H43,2,3),""))</f>
        <v>#NAME?</v>
      </c>
      <c r="I60" s="82" t="e">
        <f ca="1">IF(I59="MW",[1]!MTEST($B28:$B43,I28:I43,2), IF(I59="T-Test Welch",_xlfn.T.TEST($B28:$B43,I28:I43,2,3),""))</f>
        <v>#NAME?</v>
      </c>
      <c r="J60" s="82" t="e">
        <f ca="1">IF(J59="MW",[1]!MTEST($B28:$B43,J28:J43,2), IF(J59="T-Test Welch",_xlfn.T.TEST($B28:$B43,J28:J43,2,3),""))</f>
        <v>#NAME?</v>
      </c>
      <c r="K60" s="82" t="e">
        <f ca="1">IF(K59="MW",[1]!MTEST($B28:$B43,K28:K43,2), IF(K59="T-Test Welch",_xlfn.T.TEST($B28:$B43,K28:K43,2,3),""))</f>
        <v>#NAME?</v>
      </c>
      <c r="L60" s="82" t="e">
        <f ca="1">IF(L59="MW",[1]!MTEST($B28:$B43,L28:L43,2), IF(L59="T-Test Welch",_xlfn.T.TEST($B28:$B43,L28:L43,2,3),""))</f>
        <v>#NAME?</v>
      </c>
      <c r="M60" s="82" t="e">
        <f ca="1">IF(M59="MW",[1]!MTEST($B28:$B43,M28:M43,2), IF(M59="T-Test Welch",_xlfn.T.TEST($B28:$B43,M28:M43,2,3),""))</f>
        <v>#NAME?</v>
      </c>
      <c r="N60" s="82"/>
      <c r="O60" s="82" t="e">
        <f ca="1">IF(O59="MW",[1]!MTEST($B28:$B43,O28:O43,2), IF(O59="T-Test Welch",_xlfn.T.TEST($B28:$B43,O28:O43,2,3),""))</f>
        <v>#NAME?</v>
      </c>
      <c r="P60" s="82" t="e">
        <f ca="1">IF(P59="MW",[1]!MTEST($O28:$O43,P28:P43,2), IF(P59="T-Test Welch",_xlfn.T.TEST($O28:$O43,P28:P43,2,3),""))</f>
        <v>#NAME?</v>
      </c>
      <c r="Q60" s="82" t="e">
        <f ca="1">IF(Q59="MW",[1]!MTEST($O28:$O43,Q28:Q43,2), IF(Q59="T-Test Welch",_xlfn.T.TEST($O28:$O43,Q28:Q43,2,3),""))</f>
        <v>#NAME?</v>
      </c>
      <c r="R60" s="82" t="e">
        <f ca="1">IF(R59="MW",[1]!MTEST($O28:$O43,R28:R43,2), IF(R59="T-Test Welch",_xlfn.T.TEST($O28:$O43,R28:R43,2,3),""))</f>
        <v>#NAME?</v>
      </c>
      <c r="S60" s="82" t="e">
        <f ca="1">IF(S59="MW",[1]!MTEST($O28:$O43,S28:S43,2), IF(S59="T-Test Welch",_xlfn.T.TEST($O28:$O43,S28:S43,2,3),""))</f>
        <v>#NAME?</v>
      </c>
      <c r="T60" s="82" t="e">
        <f ca="1">IF(T59="MW",[1]!MTEST($O28:$O43,T28:T43,2), IF(T59="T-Test Welch",_xlfn.T.TEST($O28:$O43,T28:T43,2,3),""))</f>
        <v>#NAME?</v>
      </c>
      <c r="U60" s="82" t="e">
        <f ca="1">IF(U59="MW",[1]!MTEST($O28:$O43,U28:U43,2), IF(U59="T-Test Welch",_xlfn.T.TEST($O28:$O43,U28:U43,2,3),""))</f>
        <v>#NAME?</v>
      </c>
      <c r="V60" s="82" t="e">
        <f ca="1">IF(V59="MW",[1]!MTEST($O28:$O43,V28:V43,2), IF(V59="T-Test Welch",_xlfn.T.TEST($O28:$O43,V28:V43,2,3),""))</f>
        <v>#NAME?</v>
      </c>
    </row>
    <row r="61" spans="1:22" s="3" customFormat="1" ht="15.75" thickBot="1">
      <c r="A61" s="46" t="s">
        <v>46</v>
      </c>
      <c r="B61" s="78"/>
      <c r="C61" s="78" t="e">
        <f t="shared" ref="C61:O61" ca="1" si="28">IF(C60&gt;0.05,"NS",IF(C60&gt;0.01,"*",IF(C60&gt;0.001,"**","***")))</f>
        <v>#NAME?</v>
      </c>
      <c r="D61" s="78" t="e">
        <f t="shared" ca="1" si="28"/>
        <v>#NAME?</v>
      </c>
      <c r="E61" s="78" t="e">
        <f t="shared" ca="1" si="28"/>
        <v>#NAME?</v>
      </c>
      <c r="F61" s="78" t="e">
        <f t="shared" ca="1" si="28"/>
        <v>#NAME?</v>
      </c>
      <c r="G61" s="78" t="e">
        <f t="shared" ca="1" si="28"/>
        <v>#NAME?</v>
      </c>
      <c r="H61" s="78" t="e">
        <f t="shared" ca="1" si="28"/>
        <v>#NAME?</v>
      </c>
      <c r="I61" s="78" t="e">
        <f t="shared" ca="1" si="28"/>
        <v>#NAME?</v>
      </c>
      <c r="J61" s="78" t="e">
        <f t="shared" ca="1" si="28"/>
        <v>#NAME?</v>
      </c>
      <c r="K61" s="78" t="e">
        <f t="shared" ca="1" si="28"/>
        <v>#NAME?</v>
      </c>
      <c r="L61" s="78" t="e">
        <f t="shared" ca="1" si="28"/>
        <v>#NAME?</v>
      </c>
      <c r="M61" s="78" t="e">
        <f t="shared" ca="1" si="28"/>
        <v>#NAME?</v>
      </c>
      <c r="N61" s="78"/>
      <c r="O61" s="78" t="e">
        <f t="shared" ca="1" si="28"/>
        <v>#NAME?</v>
      </c>
      <c r="P61" s="78" t="e">
        <f ca="1">IF(P60&gt;0.05,"NS",IF(P60&gt;0.01,"*",IF(P60&gt;0.001,"**","***")))</f>
        <v>#NAME?</v>
      </c>
      <c r="Q61" s="78" t="e">
        <f t="shared" ref="Q61:V61" ca="1" si="29">IF(Q60&gt;0.05,"NS",IF(Q60&gt;0.01,"*",IF(Q60&gt;0.001,"**","***")))</f>
        <v>#NAME?</v>
      </c>
      <c r="R61" s="78" t="e">
        <f t="shared" ca="1" si="29"/>
        <v>#NAME?</v>
      </c>
      <c r="S61" s="78" t="e">
        <f t="shared" ca="1" si="29"/>
        <v>#NAME?</v>
      </c>
      <c r="T61" s="78" t="e">
        <f t="shared" ca="1" si="29"/>
        <v>#NAME?</v>
      </c>
      <c r="U61" s="78" t="e">
        <f t="shared" ca="1" si="29"/>
        <v>#NAME?</v>
      </c>
      <c r="V61" s="78" t="e">
        <f t="shared" ca="1" si="29"/>
        <v>#NAME?</v>
      </c>
    </row>
    <row r="63" spans="1:22">
      <c r="A63" s="2" t="s">
        <v>20</v>
      </c>
    </row>
    <row r="64" spans="1:22">
      <c r="A64" s="1" t="s">
        <v>13</v>
      </c>
      <c r="B64" s="1">
        <f>B46+(3*B47)</f>
        <v>0.27639905678696919</v>
      </c>
    </row>
    <row r="65" spans="1:22">
      <c r="A65" s="1" t="s">
        <v>14</v>
      </c>
      <c r="B65" s="1">
        <f>B46+(10*B47)</f>
        <v>0.6997715581452596</v>
      </c>
    </row>
    <row r="66" spans="1:22" ht="15.75" thickBot="1"/>
    <row r="67" spans="1:22" ht="27" thickBot="1">
      <c r="A67" s="143" t="s">
        <v>25</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4"/>
  <sheetViews>
    <sheetView showGridLines="0" zoomScale="70" zoomScaleNormal="70" workbookViewId="0">
      <selection activeCell="S94" sqref="S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2" t="s">
        <v>7</v>
      </c>
      <c r="B1" s="39" t="e">
        <f>'Front page'!#REF!</f>
        <v>#REF!</v>
      </c>
      <c r="C1" s="23"/>
      <c r="D1" s="23"/>
      <c r="E1" s="23"/>
      <c r="F1" s="23"/>
      <c r="G1" s="23"/>
      <c r="H1" s="40"/>
      <c r="I1" s="39"/>
      <c r="J1" s="41"/>
      <c r="K1" s="41"/>
      <c r="L1" s="41"/>
      <c r="M1" s="41"/>
      <c r="N1" s="41"/>
      <c r="O1" s="41"/>
      <c r="P1" s="41"/>
      <c r="Q1" s="41"/>
      <c r="R1" s="41"/>
      <c r="S1" s="41"/>
      <c r="T1" s="41"/>
      <c r="U1" s="41"/>
      <c r="V1" s="41"/>
      <c r="W1" s="41"/>
    </row>
    <row r="2" spans="1:23" ht="15.75" thickBot="1">
      <c r="A2" s="1"/>
      <c r="B2" s="1"/>
      <c r="C2" s="1"/>
      <c r="D2" s="1"/>
      <c r="E2" s="1"/>
      <c r="F2" s="1"/>
      <c r="G2" s="1"/>
      <c r="H2" s="1"/>
      <c r="I2" s="1"/>
      <c r="J2" s="1"/>
      <c r="K2" s="1"/>
      <c r="L2" s="1"/>
      <c r="M2" s="1"/>
      <c r="N2" s="1"/>
    </row>
    <row r="3" spans="1:23" s="18" customFormat="1" ht="15.75" thickBot="1">
      <c r="B3" s="149" t="s">
        <v>6</v>
      </c>
      <c r="C3" s="150"/>
      <c r="D3" s="150"/>
      <c r="E3" s="150"/>
      <c r="F3" s="150"/>
      <c r="G3" s="150"/>
      <c r="H3" s="150"/>
      <c r="I3" s="150"/>
      <c r="J3" s="150"/>
      <c r="K3" s="150"/>
      <c r="L3" s="150"/>
      <c r="M3" s="150"/>
      <c r="N3" s="150"/>
      <c r="O3" s="55"/>
      <c r="P3" s="149" t="s">
        <v>3</v>
      </c>
      <c r="Q3" s="150"/>
      <c r="R3" s="150"/>
      <c r="S3" s="150"/>
      <c r="T3" s="150"/>
      <c r="U3" s="150"/>
      <c r="V3" s="150"/>
      <c r="W3" s="150"/>
    </row>
    <row r="4" spans="1:23">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testosterone-300µg/L</v>
      </c>
      <c r="J4" s="20" t="str">
        <f>'R1'!J4</f>
        <v>testosterone-100µg/L</v>
      </c>
      <c r="K4" s="20" t="str">
        <f>'R1'!K4</f>
        <v>testosterone-33µg/L</v>
      </c>
      <c r="L4" s="20" t="str">
        <f>'R1'!L4</f>
        <v>testosterone-11µg/L</v>
      </c>
      <c r="M4" s="20" t="str">
        <f>'R1'!M4</f>
        <v>testosterone-3.7µg/L</v>
      </c>
      <c r="N4" s="20" t="e">
        <f>'R1'!#REF!</f>
        <v>#REF!</v>
      </c>
      <c r="P4" s="20" t="str">
        <f>'R1'!O4</f>
        <v>Testo -30µg/L</v>
      </c>
      <c r="Q4" s="20" t="str">
        <f>'R1'!P4</f>
        <v>Testo 30µg/L + EE2 -64ng/L</v>
      </c>
      <c r="R4" s="20" t="str">
        <f>'R1'!Q4</f>
        <v>Testo 30µg/L + FAD-10mg/L</v>
      </c>
      <c r="S4" s="20" t="str">
        <f>'R1'!R4</f>
        <v>testosterone-300µg/L + Testostérone</v>
      </c>
      <c r="T4" s="20" t="str">
        <f>'R1'!S4</f>
        <v>testosterone-100µg/L + Testostérone</v>
      </c>
      <c r="U4" s="20" t="str">
        <f>'R1'!T4</f>
        <v>testosterone-33µg/L + Testostérone</v>
      </c>
      <c r="V4" s="20" t="str">
        <f>'R1'!U4</f>
        <v>testosterone-11µg/L + Testostérone</v>
      </c>
      <c r="W4" s="20" t="str">
        <f>'R1'!V4</f>
        <v>testosterone-3.7µg/L + Testostérone</v>
      </c>
    </row>
    <row r="5" spans="1:23" s="1" customFormat="1">
      <c r="A5" s="19"/>
      <c r="B5" s="20"/>
      <c r="C5" s="114"/>
      <c r="D5" s="20"/>
      <c r="E5" s="20"/>
      <c r="F5" s="20"/>
      <c r="G5" s="20"/>
      <c r="H5" s="20"/>
      <c r="I5" s="20"/>
      <c r="J5" s="20"/>
      <c r="K5" s="20"/>
      <c r="L5" s="20"/>
      <c r="M5" s="20"/>
      <c r="N5" s="20"/>
      <c r="P5" s="20"/>
      <c r="Q5" s="20"/>
      <c r="R5" s="20"/>
      <c r="S5" s="20"/>
      <c r="T5" s="20"/>
      <c r="U5" s="20"/>
      <c r="V5" s="20"/>
      <c r="W5" s="20"/>
    </row>
    <row r="6" spans="1:23" s="1" customFormat="1">
      <c r="A6" s="54" t="s">
        <v>4</v>
      </c>
      <c r="B6" s="37">
        <f>'R1'!B28</f>
        <v>3.2913064473749844E-2</v>
      </c>
      <c r="C6" s="37">
        <f>'R1'!C28</f>
        <v>8.9512028373971431E-2</v>
      </c>
      <c r="D6" s="37">
        <f>'R1'!D28</f>
        <v>0.11367408362654423</v>
      </c>
      <c r="E6" s="37">
        <f>'R1'!E28</f>
        <v>0.93602278399984751</v>
      </c>
      <c r="F6" s="37">
        <f>'R1'!F28</f>
        <v>1.3467174043701311</v>
      </c>
      <c r="G6" s="37">
        <f>'R1'!G28</f>
        <v>2.4909188512656049</v>
      </c>
      <c r="H6" s="37">
        <f>'R1'!H28</f>
        <v>1.8849327498867374</v>
      </c>
      <c r="I6" s="37">
        <f>'R1'!I28</f>
        <v>1.3993724386599029</v>
      </c>
      <c r="J6" s="37">
        <f>'R1'!J28</f>
        <v>0.7907306744078878</v>
      </c>
      <c r="K6" s="37">
        <f>'R1'!K28</f>
        <v>1.0344469646649301</v>
      </c>
      <c r="L6" s="37">
        <f>'R1'!L28</f>
        <v>0.73486807790583986</v>
      </c>
      <c r="M6" s="37">
        <f>'R1'!M28</f>
        <v>7.3583443471277543E-2</v>
      </c>
      <c r="N6" s="37" t="e">
        <f>'R1'!#REF!</f>
        <v>#REF!</v>
      </c>
      <c r="O6"/>
      <c r="P6" s="37">
        <f>'R1'!O28</f>
        <v>0.66168329110329427</v>
      </c>
      <c r="Q6" s="37">
        <f>'R1'!P28</f>
        <v>1.202209189976738</v>
      </c>
      <c r="R6" s="37">
        <f>'R1'!Q28</f>
        <v>0.13726267019521918</v>
      </c>
      <c r="S6" s="37">
        <f>'R1'!R28</f>
        <v>0.83645843773800155</v>
      </c>
      <c r="T6" s="37">
        <f>'R1'!S28</f>
        <v>0.65278668880492385</v>
      </c>
      <c r="U6" s="37">
        <f>'R1'!T28</f>
        <v>0.44923954108585534</v>
      </c>
      <c r="V6" s="37">
        <f>'R1'!U28</f>
        <v>1.2057401669573877</v>
      </c>
      <c r="W6" s="37">
        <f>'R1'!V28</f>
        <v>0.50451913826329342</v>
      </c>
    </row>
    <row r="7" spans="1:23" s="1" customFormat="1">
      <c r="A7" s="145" t="s">
        <v>17</v>
      </c>
      <c r="B7" s="37">
        <f>'R1'!B29</f>
        <v>0.54693061483511318</v>
      </c>
      <c r="C7" s="37">
        <f>'R1'!C29</f>
        <v>0.56350251798587092</v>
      </c>
      <c r="D7" s="37">
        <f>'R1'!D29</f>
        <v>0.1725528771076236</v>
      </c>
      <c r="E7" s="37">
        <f>'R1'!E29</f>
        <v>0.92299790943514937</v>
      </c>
      <c r="F7" s="37">
        <f>'R1'!F29</f>
        <v>1.5654301841222598</v>
      </c>
      <c r="G7" s="37">
        <f>'R1'!G29</f>
        <v>2.6295811462106564</v>
      </c>
      <c r="H7" s="37">
        <f>'R1'!H29</f>
        <v>2.7503387531432697</v>
      </c>
      <c r="I7" s="37">
        <f>'R1'!I29</f>
        <v>1.695757557555116</v>
      </c>
      <c r="J7" s="37">
        <f>'R1'!J29</f>
        <v>0.42828228917587891</v>
      </c>
      <c r="K7" s="37">
        <f>'R1'!K29</f>
        <v>1.4604391412002355</v>
      </c>
      <c r="L7" s="37">
        <f>'R1'!L29</f>
        <v>1.4558042401381617</v>
      </c>
      <c r="M7" s="37">
        <f>'R1'!M29</f>
        <v>3.0876266231049505E-2</v>
      </c>
      <c r="N7" s="37" t="e">
        <f>'R1'!#REF!</f>
        <v>#REF!</v>
      </c>
      <c r="O7"/>
      <c r="P7" s="37">
        <f>'R1'!O29</f>
        <v>1.1515819249016235</v>
      </c>
      <c r="Q7" s="37">
        <f>'R1'!P29</f>
        <v>1.5247748535048038</v>
      </c>
      <c r="R7" s="37">
        <f>'R1'!Q29</f>
        <v>0.22895194835922653</v>
      </c>
      <c r="S7" s="37">
        <f>'R1'!R29</f>
        <v>0.33717839299665947</v>
      </c>
      <c r="T7" s="37">
        <f>'R1'!S29</f>
        <v>0.83064549932265042</v>
      </c>
      <c r="U7" s="37">
        <f>'R1'!T29</f>
        <v>1.0935585064244513</v>
      </c>
      <c r="V7" s="37">
        <f>'R1'!U29</f>
        <v>0.52777778909889705</v>
      </c>
      <c r="W7" s="37">
        <f>'R1'!V29</f>
        <v>1.3916017059972279</v>
      </c>
    </row>
    <row r="8" spans="1:23" s="1" customFormat="1">
      <c r="A8" s="154"/>
      <c r="B8" s="37">
        <f>'R1'!B30</f>
        <v>4.4369396222311099E-2</v>
      </c>
      <c r="C8" s="37">
        <f>'R1'!C30</f>
        <v>6.5822241449314506E-2</v>
      </c>
      <c r="D8" s="37">
        <f>'R1'!D30</f>
        <v>0.97751568237145914</v>
      </c>
      <c r="E8" s="37">
        <f>'R1'!E30</f>
        <v>1.4124793268959916</v>
      </c>
      <c r="F8" s="37">
        <f>'R1'!F30</f>
        <v>1.3508289980152126</v>
      </c>
      <c r="G8" s="37">
        <f>'R1'!G30</f>
        <v>1.5100409845766332</v>
      </c>
      <c r="H8" s="37">
        <f>'R1'!H30</f>
        <v>2.9682745348710311</v>
      </c>
      <c r="I8" s="37">
        <f>'R1'!I30</f>
        <v>1.3719639462132021</v>
      </c>
      <c r="J8" s="37">
        <f>'R1'!J30</f>
        <v>1.2841807259031308</v>
      </c>
      <c r="K8" s="37">
        <f>'R1'!K30</f>
        <v>0.99226071218151635</v>
      </c>
      <c r="L8" s="37">
        <f>'R1'!L30</f>
        <v>0.46296328750171528</v>
      </c>
      <c r="M8" s="37">
        <f>'R1'!M30</f>
        <v>0.28510823907900651</v>
      </c>
      <c r="N8" s="37" t="e">
        <f>'R1'!#REF!</f>
        <v>#REF!</v>
      </c>
      <c r="O8"/>
      <c r="P8" s="37">
        <f>'R1'!O30</f>
        <v>0.96113514445394621</v>
      </c>
      <c r="Q8" s="37">
        <f>'R1'!P30</f>
        <v>1.5879293933769132</v>
      </c>
      <c r="R8" s="37">
        <f>'R1'!Q30</f>
        <v>0.1179880779835898</v>
      </c>
      <c r="S8" s="37">
        <f>'R1'!R30</f>
        <v>0.95553125311842413</v>
      </c>
      <c r="T8" s="37">
        <f>'R1'!S30</f>
        <v>0.89758019226876307</v>
      </c>
      <c r="U8" s="37">
        <f>'R1'!T30</f>
        <v>0.50753997515951366</v>
      </c>
      <c r="V8" s="37">
        <f>'R1'!U30</f>
        <v>1.1099167225781914</v>
      </c>
      <c r="W8" s="37">
        <f>'R1'!V30</f>
        <v>0.64877529229048603</v>
      </c>
    </row>
    <row r="9" spans="1:23" s="1" customFormat="1">
      <c r="A9" s="154"/>
      <c r="B9" s="37">
        <f>'R1'!B31</f>
        <v>0.18011230543345902</v>
      </c>
      <c r="C9" s="37">
        <f>'R1'!C31</f>
        <v>0.19632242044666037</v>
      </c>
      <c r="D9" s="37">
        <f>'R1'!D31</f>
        <v>0.97890452244890691</v>
      </c>
      <c r="E9" s="37">
        <f>'R1'!E31</f>
        <v>0.88635447694480007</v>
      </c>
      <c r="F9" s="37">
        <f>'R1'!F31</f>
        <v>1.7301596592369575</v>
      </c>
      <c r="G9" s="37">
        <f>'R1'!G31</f>
        <v>2.3312962947345626</v>
      </c>
      <c r="H9" s="37">
        <f>'R1'!H31</f>
        <v>2.3576527800110862</v>
      </c>
      <c r="I9" s="37">
        <f>'R1'!I31</f>
        <v>1.6993005732398232</v>
      </c>
      <c r="J9" s="37">
        <f>'R1'!J31</f>
        <v>1.8698453694300499</v>
      </c>
      <c r="K9" s="37">
        <f>'R1'!K31</f>
        <v>1.4394265864934959</v>
      </c>
      <c r="L9" s="37">
        <f>'R1'!L31</f>
        <v>0.35489886375638729</v>
      </c>
      <c r="M9" s="37">
        <f>'R1'!M31</f>
        <v>0.47177047734182653</v>
      </c>
      <c r="N9" s="37" t="e">
        <f>'R1'!#REF!</f>
        <v>#REF!</v>
      </c>
      <c r="O9"/>
      <c r="P9" s="37">
        <f>'R1'!O31</f>
        <v>1.6231838603866475</v>
      </c>
      <c r="Q9" s="37">
        <f>'R1'!P31</f>
        <v>2.1497432323124084</v>
      </c>
      <c r="R9" s="37">
        <f>'R1'!Q31</f>
        <v>0.27364701660692198</v>
      </c>
      <c r="S9" s="37">
        <f>'R1'!R31</f>
        <v>0.9584359666817579</v>
      </c>
      <c r="T9" s="37">
        <f>'R1'!S31</f>
        <v>0.70522515182483081</v>
      </c>
      <c r="U9" s="37">
        <f>'R1'!T31</f>
        <v>0.37030100616290729</v>
      </c>
      <c r="V9" s="37">
        <f>'R1'!U31</f>
        <v>0.86488219422687085</v>
      </c>
      <c r="W9" s="37">
        <f>'R1'!V31</f>
        <v>0.87990963196960625</v>
      </c>
    </row>
    <row r="10" spans="1:23" s="1" customFormat="1">
      <c r="A10" s="154"/>
      <c r="B10" s="37">
        <f>'R1'!B32</f>
        <v>0</v>
      </c>
      <c r="C10" s="37">
        <f>'R1'!C32</f>
        <v>9.8558236650887712E-2</v>
      </c>
      <c r="D10" s="37">
        <f>'R1'!D32</f>
        <v>0.32106370979374599</v>
      </c>
      <c r="E10" s="37">
        <f>'R1'!E32</f>
        <v>0.6072245830587657</v>
      </c>
      <c r="F10" s="37">
        <f>'R1'!F32</f>
        <v>1.5233428747378173</v>
      </c>
      <c r="G10" s="37">
        <f>'R1'!G32</f>
        <v>1.1853380748688886</v>
      </c>
      <c r="H10" s="37">
        <f>'R1'!H32</f>
        <v>1.2493163881467546</v>
      </c>
      <c r="I10" s="37">
        <f>'R1'!I32</f>
        <v>0.67769702475656035</v>
      </c>
      <c r="J10" s="37">
        <f>'R1'!J32</f>
        <v>1.1608532318637785</v>
      </c>
      <c r="K10" s="37">
        <f>'R1'!K32</f>
        <v>0.95003081939589473</v>
      </c>
      <c r="L10" s="37">
        <f>'R1'!L32</f>
        <v>1.060338329594072</v>
      </c>
      <c r="M10" s="37">
        <f>'R1'!M32</f>
        <v>4.9834967864341113E-2</v>
      </c>
      <c r="N10" s="37" t="e">
        <f>'R1'!#REF!</f>
        <v>#REF!</v>
      </c>
      <c r="O10"/>
      <c r="P10" s="37">
        <f>'R1'!O32</f>
        <v>1.5531140882589372</v>
      </c>
      <c r="Q10" s="37">
        <f>'R1'!P32</f>
        <v>2.0387829986286223</v>
      </c>
      <c r="R10" s="37">
        <f>'R1'!Q32</f>
        <v>0.12954147178361333</v>
      </c>
      <c r="S10" s="37">
        <f>'R1'!R32</f>
        <v>1.1314021726286834</v>
      </c>
      <c r="T10" s="37">
        <f>'R1'!S32</f>
        <v>1.276287975958708</v>
      </c>
      <c r="U10" s="37">
        <f>'R1'!T32</f>
        <v>0.90982342889190537</v>
      </c>
      <c r="V10" s="37">
        <f>'R1'!U32</f>
        <v>0.70604779660208206</v>
      </c>
      <c r="W10" s="37">
        <f>'R1'!V32</f>
        <v>1.0098595418689982</v>
      </c>
    </row>
    <row r="11" spans="1:23" s="1" customFormat="1">
      <c r="A11" s="154"/>
      <c r="B11" s="37">
        <f>'R1'!B33</f>
        <v>0.45008137254769798</v>
      </c>
      <c r="C11" s="37">
        <f>'R1'!C33</f>
        <v>0.12147328280818824</v>
      </c>
      <c r="D11" s="37">
        <f>'R1'!D33</f>
        <v>5.0056053648227378E-2</v>
      </c>
      <c r="E11" s="37">
        <f>'R1'!E33</f>
        <v>1.2405312692640817</v>
      </c>
      <c r="F11" s="37">
        <f>'R1'!F33</f>
        <v>1.4873195609095879</v>
      </c>
      <c r="G11" s="37">
        <f>'R1'!G33</f>
        <v>1.8702153087734783</v>
      </c>
      <c r="H11" s="37">
        <f>'R1'!H33</f>
        <v>3.0417600384686754</v>
      </c>
      <c r="I11" s="37">
        <f>'R1'!I33</f>
        <v>1.7246390356044985</v>
      </c>
      <c r="J11" s="37">
        <f>'R1'!J33</f>
        <v>1.6101023035903459</v>
      </c>
      <c r="K11" s="37">
        <f>'R1'!K33</f>
        <v>1.8293679859069412</v>
      </c>
      <c r="L11" s="37">
        <f>'R1'!L33</f>
        <v>0.57213251315063829</v>
      </c>
      <c r="M11" s="37">
        <f>'R1'!M33</f>
        <v>0.25626036907845068</v>
      </c>
      <c r="N11" s="37" t="e">
        <f>'R1'!#REF!</f>
        <v>#REF!</v>
      </c>
      <c r="O11"/>
      <c r="P11" s="37">
        <f>'R1'!O33</f>
        <v>0.9640867588018367</v>
      </c>
      <c r="Q11" s="37">
        <f>'R1'!P33</f>
        <v>1.4480844211613957</v>
      </c>
      <c r="R11" s="37">
        <f>'R1'!Q33</f>
        <v>0.63169701115031662</v>
      </c>
      <c r="S11" s="37">
        <f>'R1'!R33</f>
        <v>0.47756937060244403</v>
      </c>
      <c r="T11" s="37">
        <f>'R1'!S33</f>
        <v>0.36078014689789717</v>
      </c>
      <c r="U11" s="37">
        <f>'R1'!T33</f>
        <v>0.1758669066089068</v>
      </c>
      <c r="V11" s="37">
        <f>'R1'!U33</f>
        <v>0.8832872408766923</v>
      </c>
      <c r="W11" s="37">
        <f>'R1'!V33</f>
        <v>0.73707692929402624</v>
      </c>
    </row>
    <row r="12" spans="1:23" s="1" customFormat="1">
      <c r="A12" s="154"/>
      <c r="B12" s="37">
        <f>'R1'!B34</f>
        <v>0.22846438084490447</v>
      </c>
      <c r="C12" s="37">
        <f>'R1'!C34</f>
        <v>0.61135812225811859</v>
      </c>
      <c r="D12" s="37">
        <f>'R1'!D34</f>
        <v>2.0716099111264619</v>
      </c>
      <c r="E12" s="37">
        <f>'R1'!E34</f>
        <v>0.70038772464762578</v>
      </c>
      <c r="F12" s="37">
        <f>'R1'!F34</f>
        <v>1.7135367169971234</v>
      </c>
      <c r="G12" s="37">
        <f>'R1'!G34</f>
        <v>1.2474977914150935</v>
      </c>
      <c r="H12" s="37">
        <f>'R1'!H34</f>
        <v>3.228222007873375</v>
      </c>
      <c r="I12" s="37">
        <f>'R1'!I34</f>
        <v>2.5183514211204203</v>
      </c>
      <c r="J12" s="37">
        <f>'R1'!J34</f>
        <v>1.4487447942402074</v>
      </c>
      <c r="K12" s="37">
        <f>'R1'!K34</f>
        <v>1.9309543328377505</v>
      </c>
      <c r="L12" s="37">
        <f>'R1'!L34</f>
        <v>1.2492235898029793</v>
      </c>
      <c r="M12" s="37">
        <f>'R1'!M34</f>
        <v>0.30483114761360436</v>
      </c>
      <c r="N12" s="37" t="e">
        <f>'R1'!#REF!</f>
        <v>#REF!</v>
      </c>
      <c r="O12"/>
      <c r="P12" s="37">
        <f>'R1'!O34</f>
        <v>0.84170543165949052</v>
      </c>
      <c r="Q12" s="37">
        <f>'R1'!P34</f>
        <v>2.365333974812335</v>
      </c>
      <c r="R12" s="37">
        <f>'R1'!Q34</f>
        <v>2.4476566396070668E-2</v>
      </c>
      <c r="S12" s="37">
        <f>'R1'!R34</f>
        <v>0.84535717189021542</v>
      </c>
      <c r="T12" s="37">
        <f>'R1'!S34</f>
        <v>0.49672169472599109</v>
      </c>
      <c r="U12" s="37">
        <f>'R1'!T34</f>
        <v>1.2194580194243863</v>
      </c>
      <c r="V12" s="37">
        <f>'R1'!U34</f>
        <v>2.1361818829981551</v>
      </c>
      <c r="W12" s="37">
        <f>'R1'!V34</f>
        <v>0.48447895971551791</v>
      </c>
    </row>
    <row r="13" spans="1:23" s="1" customFormat="1">
      <c r="A13" s="154"/>
      <c r="B13" s="37">
        <f>'R1'!B35</f>
        <v>0.14954515800971505</v>
      </c>
      <c r="C13" s="37">
        <f>'R1'!C35</f>
        <v>0.13687316795769749</v>
      </c>
      <c r="D13" s="37">
        <f>'R1'!D35</f>
        <v>0.86940623888908342</v>
      </c>
      <c r="E13" s="37">
        <f>'R1'!E35</f>
        <v>0.6977517500717384</v>
      </c>
      <c r="F13" s="37">
        <f>'R1'!F35</f>
        <v>1.8919430377431241</v>
      </c>
      <c r="G13" s="37">
        <f>'R1'!G35</f>
        <v>0.68816605736925285</v>
      </c>
      <c r="H13" s="37">
        <f>'R1'!H35</f>
        <v>2.8234490504644603</v>
      </c>
      <c r="I13" s="37">
        <f>'R1'!I35</f>
        <v>1.4498128530157941</v>
      </c>
      <c r="J13" s="37">
        <f>'R1'!J35</f>
        <v>0.94626609091146507</v>
      </c>
      <c r="K13" s="37">
        <f>'R1'!K35</f>
        <v>1.1145414659837167</v>
      </c>
      <c r="L13" s="37">
        <f>'R1'!L35</f>
        <v>0.81257515372625633</v>
      </c>
      <c r="M13" s="37">
        <f>'R1'!M35</f>
        <v>0.32551451900627648</v>
      </c>
      <c r="N13" s="37" t="e">
        <f>'R1'!#REF!</f>
        <v>#REF!</v>
      </c>
      <c r="O13"/>
      <c r="P13" s="37">
        <f>'R1'!O35</f>
        <v>0.97407900857259189</v>
      </c>
      <c r="Q13" s="37">
        <f>'R1'!P35</f>
        <v>1.591293082532433</v>
      </c>
      <c r="R13" s="37">
        <f>'R1'!Q35</f>
        <v>0.15485711077184677</v>
      </c>
      <c r="S13" s="37">
        <f>'R1'!R35</f>
        <v>1.1272772862478717</v>
      </c>
      <c r="T13" s="37">
        <f>'R1'!S35</f>
        <v>0.96091932560308502</v>
      </c>
      <c r="U13" s="37">
        <f>'R1'!T35</f>
        <v>0.87852656043785271</v>
      </c>
      <c r="V13" s="37">
        <f>'R1'!U35</f>
        <v>0.89069806644932004</v>
      </c>
      <c r="W13" s="37">
        <f>'R1'!V35</f>
        <v>0.76445695522175805</v>
      </c>
    </row>
    <row r="14" spans="1:23" s="1" customFormat="1">
      <c r="A14" s="154"/>
      <c r="B14" s="37" t="str">
        <f>'R1'!B36</f>
        <v/>
      </c>
      <c r="C14" s="37" t="str">
        <f>'R1'!C36</f>
        <v/>
      </c>
      <c r="D14" s="37" t="str">
        <f>'R1'!D36</f>
        <v/>
      </c>
      <c r="E14" s="37" t="str">
        <f>'R1'!E36</f>
        <v/>
      </c>
      <c r="F14" s="37" t="str">
        <f>'R1'!F36</f>
        <v/>
      </c>
      <c r="G14" s="37" t="str">
        <f>'R1'!G36</f>
        <v/>
      </c>
      <c r="H14" s="37" t="str">
        <f>'R1'!H36</f>
        <v/>
      </c>
      <c r="I14" s="37" t="str">
        <f>'R1'!I36</f>
        <v/>
      </c>
      <c r="J14" s="37" t="str">
        <f>'R1'!J36</f>
        <v/>
      </c>
      <c r="K14" s="37" t="str">
        <f>'R1'!K36</f>
        <v/>
      </c>
      <c r="L14" s="37" t="str">
        <f>'R1'!L36</f>
        <v/>
      </c>
      <c r="M14" s="37" t="str">
        <f>'R1'!M36</f>
        <v/>
      </c>
      <c r="N14" s="37" t="e">
        <f>'R1'!#REF!</f>
        <v>#REF!</v>
      </c>
      <c r="O14"/>
      <c r="P14" s="37">
        <f>'R1'!O36</f>
        <v>0.9907771927127843</v>
      </c>
      <c r="Q14" s="37" t="str">
        <f>'R1'!P36</f>
        <v/>
      </c>
      <c r="R14" s="37" t="str">
        <f>'R1'!Q36</f>
        <v/>
      </c>
      <c r="S14" s="37" t="str">
        <f>'R1'!R36</f>
        <v/>
      </c>
      <c r="T14" s="37" t="str">
        <f>'R1'!S36</f>
        <v/>
      </c>
      <c r="U14" s="37" t="str">
        <f>'R1'!T36</f>
        <v/>
      </c>
      <c r="V14" s="37" t="str">
        <f>'R1'!U36</f>
        <v/>
      </c>
      <c r="W14" s="37" t="str">
        <f>'R1'!V36</f>
        <v/>
      </c>
    </row>
    <row r="15" spans="1:23" s="1" customFormat="1">
      <c r="A15" s="154"/>
      <c r="B15" s="37" t="str">
        <f>'R1'!B37</f>
        <v/>
      </c>
      <c r="C15" s="37" t="str">
        <f>'R1'!C37</f>
        <v/>
      </c>
      <c r="D15" s="37" t="str">
        <f>'R1'!D37</f>
        <v/>
      </c>
      <c r="E15" s="37" t="str">
        <f>'R1'!E37</f>
        <v/>
      </c>
      <c r="F15" s="37" t="str">
        <f>'R1'!F37</f>
        <v/>
      </c>
      <c r="G15" s="37" t="str">
        <f>'R1'!G37</f>
        <v/>
      </c>
      <c r="H15" s="37" t="str">
        <f>'R1'!H37</f>
        <v/>
      </c>
      <c r="I15" s="37" t="str">
        <f>'R1'!I37</f>
        <v/>
      </c>
      <c r="J15" s="37" t="str">
        <f>'R1'!J37</f>
        <v/>
      </c>
      <c r="K15" s="37" t="str">
        <f>'R1'!K37</f>
        <v/>
      </c>
      <c r="L15" s="37" t="str">
        <f>'R1'!L37</f>
        <v/>
      </c>
      <c r="M15" s="37" t="str">
        <f>'R1'!M37</f>
        <v/>
      </c>
      <c r="N15" s="37" t="e">
        <f>'R1'!#REF!</f>
        <v>#REF!</v>
      </c>
      <c r="O15"/>
      <c r="P15" s="37">
        <f>'R1'!O37</f>
        <v>1.4494291193239666</v>
      </c>
      <c r="Q15" s="37" t="str">
        <f>'R1'!P37</f>
        <v/>
      </c>
      <c r="R15" s="37" t="str">
        <f>'R1'!Q37</f>
        <v/>
      </c>
      <c r="S15" s="37" t="str">
        <f>'R1'!R37</f>
        <v/>
      </c>
      <c r="T15" s="37" t="str">
        <f>'R1'!S37</f>
        <v/>
      </c>
      <c r="U15" s="37" t="str">
        <f>'R1'!T37</f>
        <v/>
      </c>
      <c r="V15" s="37" t="str">
        <f>'R1'!U37</f>
        <v/>
      </c>
      <c r="W15" s="37" t="str">
        <f>'R1'!V37</f>
        <v/>
      </c>
    </row>
    <row r="16" spans="1:23" s="1" customFormat="1">
      <c r="A16" s="154"/>
      <c r="B16" s="37" t="str">
        <f>'R1'!B38</f>
        <v/>
      </c>
      <c r="C16" s="37" t="str">
        <f>'R1'!C38</f>
        <v/>
      </c>
      <c r="D16" s="37" t="str">
        <f>'R1'!D38</f>
        <v/>
      </c>
      <c r="E16" s="37" t="str">
        <f>'R1'!E38</f>
        <v/>
      </c>
      <c r="F16" s="37" t="str">
        <f>'R1'!F38</f>
        <v/>
      </c>
      <c r="G16" s="37" t="str">
        <f>'R1'!G38</f>
        <v/>
      </c>
      <c r="H16" s="37" t="str">
        <f>'R1'!H38</f>
        <v/>
      </c>
      <c r="I16" s="37" t="str">
        <f>'R1'!I38</f>
        <v/>
      </c>
      <c r="J16" s="37" t="str">
        <f>'R1'!J38</f>
        <v/>
      </c>
      <c r="K16" s="37" t="str">
        <f>'R1'!K38</f>
        <v/>
      </c>
      <c r="L16" s="37" t="str">
        <f>'R1'!L38</f>
        <v/>
      </c>
      <c r="M16" s="37" t="str">
        <f>'R1'!M38</f>
        <v/>
      </c>
      <c r="N16" s="37" t="e">
        <f>'R1'!#REF!</f>
        <v>#REF!</v>
      </c>
      <c r="O16"/>
      <c r="P16" s="37">
        <f>'R1'!O38</f>
        <v>0.72030262543130463</v>
      </c>
      <c r="Q16" s="37" t="str">
        <f>'R1'!P38</f>
        <v/>
      </c>
      <c r="R16" s="37" t="str">
        <f>'R1'!Q38</f>
        <v/>
      </c>
      <c r="S16" s="37" t="str">
        <f>'R1'!R38</f>
        <v/>
      </c>
      <c r="T16" s="37" t="str">
        <f>'R1'!S38</f>
        <v/>
      </c>
      <c r="U16" s="37" t="str">
        <f>'R1'!T38</f>
        <v/>
      </c>
      <c r="V16" s="37" t="str">
        <f>'R1'!U38</f>
        <v/>
      </c>
      <c r="W16" s="37" t="str">
        <f>'R1'!V38</f>
        <v/>
      </c>
    </row>
    <row r="17" spans="1:23" s="1" customFormat="1">
      <c r="A17" s="154"/>
      <c r="B17" s="37" t="str">
        <f>'R1'!B39</f>
        <v/>
      </c>
      <c r="C17" s="37" t="str">
        <f>'R1'!C39</f>
        <v/>
      </c>
      <c r="D17" s="37" t="str">
        <f>'R1'!D39</f>
        <v/>
      </c>
      <c r="E17" s="37" t="str">
        <f>'R1'!E39</f>
        <v/>
      </c>
      <c r="F17" s="37" t="str">
        <f>'R1'!F39</f>
        <v/>
      </c>
      <c r="G17" s="37" t="str">
        <f>'R1'!G39</f>
        <v/>
      </c>
      <c r="H17" s="37" t="str">
        <f>'R1'!H39</f>
        <v/>
      </c>
      <c r="I17" s="37" t="str">
        <f>'R1'!I39</f>
        <v/>
      </c>
      <c r="J17" s="37" t="str">
        <f>'R1'!J39</f>
        <v/>
      </c>
      <c r="K17" s="37" t="str">
        <f>'R1'!K39</f>
        <v/>
      </c>
      <c r="L17" s="37" t="str">
        <f>'R1'!L39</f>
        <v/>
      </c>
      <c r="M17" s="37" t="str">
        <f>'R1'!M39</f>
        <v/>
      </c>
      <c r="N17" s="37" t="e">
        <f>'R1'!#REF!</f>
        <v>#REF!</v>
      </c>
      <c r="O17"/>
      <c r="P17" s="37">
        <f>'R1'!O39</f>
        <v>0.59126527438009213</v>
      </c>
      <c r="Q17" s="37" t="str">
        <f>'R1'!P39</f>
        <v/>
      </c>
      <c r="R17" s="37" t="str">
        <f>'R1'!Q39</f>
        <v/>
      </c>
      <c r="S17" s="37" t="str">
        <f>'R1'!R39</f>
        <v/>
      </c>
      <c r="T17" s="37" t="str">
        <f>'R1'!S39</f>
        <v/>
      </c>
      <c r="U17" s="37" t="str">
        <f>'R1'!T39</f>
        <v/>
      </c>
      <c r="V17" s="37" t="str">
        <f>'R1'!U39</f>
        <v/>
      </c>
      <c r="W17" s="37" t="str">
        <f>'R1'!V39</f>
        <v/>
      </c>
    </row>
    <row r="18" spans="1:23" s="1" customFormat="1">
      <c r="A18" s="154"/>
      <c r="B18" s="37" t="str">
        <f>'R1'!B40</f>
        <v/>
      </c>
      <c r="C18" s="37" t="str">
        <f>'R1'!C40</f>
        <v/>
      </c>
      <c r="D18" s="37" t="str">
        <f>'R1'!D40</f>
        <v/>
      </c>
      <c r="E18" s="37" t="str">
        <f>'R1'!E40</f>
        <v/>
      </c>
      <c r="F18" s="37" t="str">
        <f>'R1'!F40</f>
        <v/>
      </c>
      <c r="G18" s="37" t="str">
        <f>'R1'!G40</f>
        <v/>
      </c>
      <c r="H18" s="37" t="str">
        <f>'R1'!H40</f>
        <v/>
      </c>
      <c r="I18" s="37" t="str">
        <f>'R1'!I40</f>
        <v/>
      </c>
      <c r="J18" s="37" t="str">
        <f>'R1'!J40</f>
        <v/>
      </c>
      <c r="K18" s="37" t="str">
        <f>'R1'!K40</f>
        <v/>
      </c>
      <c r="L18" s="37" t="str">
        <f>'R1'!L40</f>
        <v/>
      </c>
      <c r="M18" s="37" t="str">
        <f>'R1'!M40</f>
        <v/>
      </c>
      <c r="N18" s="37" t="e">
        <f>'R1'!#REF!</f>
        <v>#REF!</v>
      </c>
      <c r="O18"/>
      <c r="P18" s="37">
        <f>'R1'!O40</f>
        <v>0.93053426357820823</v>
      </c>
      <c r="Q18" s="37" t="str">
        <f>'R1'!P40</f>
        <v/>
      </c>
      <c r="R18" s="37" t="str">
        <f>'R1'!Q40</f>
        <v/>
      </c>
      <c r="S18" s="37" t="str">
        <f>'R1'!R40</f>
        <v/>
      </c>
      <c r="T18" s="37" t="str">
        <f>'R1'!S40</f>
        <v/>
      </c>
      <c r="U18" s="37" t="str">
        <f>'R1'!T40</f>
        <v/>
      </c>
      <c r="V18" s="37" t="str">
        <f>'R1'!U40</f>
        <v/>
      </c>
      <c r="W18" s="37" t="str">
        <f>'R1'!V40</f>
        <v/>
      </c>
    </row>
    <row r="19" spans="1:23" s="1" customFormat="1">
      <c r="A19" s="154"/>
      <c r="B19" s="37" t="str">
        <f>'R1'!B41</f>
        <v/>
      </c>
      <c r="C19" s="37" t="str">
        <f>'R1'!C41</f>
        <v/>
      </c>
      <c r="D19" s="37" t="str">
        <f>'R1'!D41</f>
        <v/>
      </c>
      <c r="E19" s="37" t="str">
        <f>'R1'!E41</f>
        <v/>
      </c>
      <c r="F19" s="37" t="str">
        <f>'R1'!F41</f>
        <v/>
      </c>
      <c r="G19" s="37" t="str">
        <f>'R1'!G41</f>
        <v/>
      </c>
      <c r="H19" s="37" t="str">
        <f>'R1'!H41</f>
        <v/>
      </c>
      <c r="I19" s="37" t="str">
        <f>'R1'!I41</f>
        <v/>
      </c>
      <c r="J19" s="37" t="str">
        <f>'R1'!J41</f>
        <v/>
      </c>
      <c r="K19" s="37" t="str">
        <f>'R1'!K41</f>
        <v/>
      </c>
      <c r="L19" s="37" t="str">
        <f>'R1'!L41</f>
        <v/>
      </c>
      <c r="M19" s="37" t="str">
        <f>'R1'!M41</f>
        <v/>
      </c>
      <c r="N19" s="37" t="e">
        <f>'R1'!#REF!</f>
        <v>#REF!</v>
      </c>
      <c r="O19"/>
      <c r="P19" s="37">
        <f>'R1'!O41</f>
        <v>0.25654904716949217</v>
      </c>
      <c r="Q19" s="37" t="str">
        <f>'R1'!P41</f>
        <v/>
      </c>
      <c r="R19" s="37" t="str">
        <f>'R1'!Q41</f>
        <v/>
      </c>
      <c r="S19" s="37" t="str">
        <f>'R1'!R41</f>
        <v/>
      </c>
      <c r="T19" s="37" t="str">
        <f>'R1'!S41</f>
        <v/>
      </c>
      <c r="U19" s="37" t="str">
        <f>'R1'!T41</f>
        <v/>
      </c>
      <c r="V19" s="37" t="str">
        <f>'R1'!U41</f>
        <v/>
      </c>
      <c r="W19" s="37" t="str">
        <f>'R1'!V41</f>
        <v/>
      </c>
    </row>
    <row r="20" spans="1:23" s="1" customFormat="1">
      <c r="A20" s="154"/>
      <c r="B20" s="37" t="str">
        <f>'R1'!B42</f>
        <v/>
      </c>
      <c r="C20" s="37" t="str">
        <f>'R1'!C42</f>
        <v/>
      </c>
      <c r="D20" s="37" t="str">
        <f>'R1'!D42</f>
        <v/>
      </c>
      <c r="E20" s="37" t="str">
        <f>'R1'!E42</f>
        <v/>
      </c>
      <c r="F20" s="37" t="str">
        <f>'R1'!F42</f>
        <v/>
      </c>
      <c r="G20" s="37" t="str">
        <f>'R1'!G42</f>
        <v/>
      </c>
      <c r="H20" s="37" t="str">
        <f>'R1'!H42</f>
        <v/>
      </c>
      <c r="I20" s="37" t="str">
        <f>'R1'!I42</f>
        <v/>
      </c>
      <c r="J20" s="37" t="str">
        <f>'R1'!J42</f>
        <v/>
      </c>
      <c r="K20" s="37" t="str">
        <f>'R1'!K42</f>
        <v/>
      </c>
      <c r="L20" s="37" t="str">
        <f>'R1'!L42</f>
        <v/>
      </c>
      <c r="M20" s="37" t="str">
        <f>'R1'!M42</f>
        <v/>
      </c>
      <c r="N20" s="37" t="e">
        <f>'R1'!#REF!</f>
        <v>#REF!</v>
      </c>
      <c r="O20"/>
      <c r="P20" s="37">
        <f>'R1'!O42</f>
        <v>1.0143844643533817</v>
      </c>
      <c r="Q20" s="37" t="str">
        <f>'R1'!P42</f>
        <v/>
      </c>
      <c r="R20" s="37" t="str">
        <f>'R1'!Q42</f>
        <v/>
      </c>
      <c r="S20" s="37" t="str">
        <f>'R1'!R42</f>
        <v/>
      </c>
      <c r="T20" s="37" t="str">
        <f>'R1'!S42</f>
        <v/>
      </c>
      <c r="U20" s="37" t="str">
        <f>'R1'!T42</f>
        <v/>
      </c>
      <c r="V20" s="37" t="str">
        <f>'R1'!U42</f>
        <v/>
      </c>
      <c r="W20" s="37" t="str">
        <f>'R1'!V42</f>
        <v/>
      </c>
    </row>
    <row r="21" spans="1:23" s="1" customFormat="1">
      <c r="A21" s="155"/>
      <c r="B21" s="37" t="str">
        <f>'R1'!B43</f>
        <v/>
      </c>
      <c r="C21" s="37" t="str">
        <f>'R1'!C43</f>
        <v/>
      </c>
      <c r="D21" s="37" t="str">
        <f>'R1'!D43</f>
        <v/>
      </c>
      <c r="E21" s="37" t="str">
        <f>'R1'!E43</f>
        <v/>
      </c>
      <c r="F21" s="37" t="str">
        <f>'R1'!F43</f>
        <v/>
      </c>
      <c r="G21" s="37" t="str">
        <f>'R1'!G43</f>
        <v/>
      </c>
      <c r="H21" s="37" t="str">
        <f>'R1'!H43</f>
        <v/>
      </c>
      <c r="I21" s="37" t="str">
        <f>'R1'!I43</f>
        <v/>
      </c>
      <c r="J21" s="37" t="str">
        <f>'R1'!J43</f>
        <v/>
      </c>
      <c r="K21" s="37" t="str">
        <f>'R1'!K43</f>
        <v/>
      </c>
      <c r="L21" s="37" t="str">
        <f>'R1'!L43</f>
        <v/>
      </c>
      <c r="M21" s="37" t="str">
        <f>'R1'!M43</f>
        <v/>
      </c>
      <c r="N21" s="37" t="e">
        <f>'R1'!#REF!</f>
        <v>#REF!</v>
      </c>
      <c r="O21"/>
      <c r="P21" s="37">
        <f>'R1'!O43</f>
        <v>1.3161885049124027</v>
      </c>
      <c r="Q21" s="37" t="str">
        <f>'R1'!P43</f>
        <v/>
      </c>
      <c r="R21" s="37" t="str">
        <f>'R1'!Q43</f>
        <v/>
      </c>
      <c r="S21" s="37" t="str">
        <f>'R1'!R43</f>
        <v/>
      </c>
      <c r="T21" s="37" t="str">
        <f>'R1'!S43</f>
        <v/>
      </c>
      <c r="U21" s="37" t="str">
        <f>'R1'!T43</f>
        <v/>
      </c>
      <c r="V21" s="37" t="str">
        <f>'R1'!U43</f>
        <v/>
      </c>
      <c r="W21" s="37" t="str">
        <f>'R1'!V43</f>
        <v/>
      </c>
    </row>
    <row r="22" spans="1:23">
      <c r="A22" s="24" t="s">
        <v>5</v>
      </c>
      <c r="B22" s="38">
        <f>'R2'!B28</f>
        <v>6.1937498545565749E-3</v>
      </c>
      <c r="C22" s="38">
        <f>'R2'!C28</f>
        <v>6.4641820027633634E-2</v>
      </c>
      <c r="D22" s="38">
        <f>'R2'!D28</f>
        <v>0.11532983978038384</v>
      </c>
      <c r="E22" s="38">
        <f>'R2'!E28</f>
        <v>1.1615110767674151</v>
      </c>
      <c r="F22" s="38">
        <f>'R2'!F28</f>
        <v>1.1283529561291723</v>
      </c>
      <c r="G22" s="38">
        <f>'R2'!G28</f>
        <v>2.3317777548560801</v>
      </c>
      <c r="H22" s="38">
        <f>'R2'!H28</f>
        <v>1.6311837007273118</v>
      </c>
      <c r="I22" s="38">
        <f>'R2'!I28</f>
        <v>2.0110118053274419</v>
      </c>
      <c r="J22" s="38">
        <f>'R2'!J28</f>
        <v>2.425904925776682</v>
      </c>
      <c r="K22" s="38">
        <f>'R2'!K28</f>
        <v>1.1949750079167873</v>
      </c>
      <c r="L22" s="38">
        <f>'R2'!L28</f>
        <v>0.74752509754526464</v>
      </c>
      <c r="M22" s="38">
        <f>'R2'!M28</f>
        <v>0.10976640742009348</v>
      </c>
      <c r="N22" s="38" t="e">
        <f>'R2'!#REF!</f>
        <v>#REF!</v>
      </c>
      <c r="P22" s="38">
        <f>'R2'!O28</f>
        <v>0.83393178499792731</v>
      </c>
      <c r="Q22" s="38">
        <f>'R2'!P28</f>
        <v>1.0682185801281376</v>
      </c>
      <c r="R22" s="38">
        <f>'R2'!Q28</f>
        <v>9.1130082977642163E-2</v>
      </c>
      <c r="S22" s="38">
        <f>'R2'!R28</f>
        <v>1.4390106363269064</v>
      </c>
      <c r="T22" s="38">
        <f>'R2'!S28</f>
        <v>1.1364953421553567</v>
      </c>
      <c r="U22" s="38">
        <f>'R2'!T28</f>
        <v>0.12916696827258523</v>
      </c>
      <c r="V22" s="38">
        <f>'R2'!U28</f>
        <v>0.45932347450126865</v>
      </c>
      <c r="W22" s="38">
        <f>'R2'!V28</f>
        <v>0.79642883615938265</v>
      </c>
    </row>
    <row r="23" spans="1:23">
      <c r="A23" s="145" t="s">
        <v>17</v>
      </c>
      <c r="B23" s="38">
        <f>'R2'!B29</f>
        <v>0.15607148135906937</v>
      </c>
      <c r="C23" s="38">
        <f>'R2'!C29</f>
        <v>0.28684938983601627</v>
      </c>
      <c r="D23" s="38">
        <f>'R2'!D29</f>
        <v>0.4205694563110326</v>
      </c>
      <c r="E23" s="38">
        <f>'R2'!E29</f>
        <v>1.6828387194043537</v>
      </c>
      <c r="F23" s="38">
        <f>'R2'!F29</f>
        <v>1.7692119271280726</v>
      </c>
      <c r="G23" s="38">
        <f>'R2'!G29</f>
        <v>2.2920493461130844</v>
      </c>
      <c r="H23" s="38">
        <f>'R2'!H29</f>
        <v>1.7996542765068169</v>
      </c>
      <c r="I23" s="38">
        <f>'R2'!I29</f>
        <v>2.0187004033392442</v>
      </c>
      <c r="J23" s="38">
        <f>'R2'!J29</f>
        <v>0.28291037653199991</v>
      </c>
      <c r="K23" s="38">
        <f>'R2'!K29</f>
        <v>1.1521267522247058</v>
      </c>
      <c r="L23" s="38">
        <f>'R2'!L29</f>
        <v>7.974813460796773E-2</v>
      </c>
      <c r="M23" s="38">
        <f>'R2'!M29</f>
        <v>0.11409746690069987</v>
      </c>
      <c r="N23" s="38" t="e">
        <f>'R2'!#REF!</f>
        <v>#REF!</v>
      </c>
      <c r="P23" s="38">
        <f>'R2'!O29</f>
        <v>0.98401329355393197</v>
      </c>
      <c r="Q23" s="38">
        <f>'R2'!P29</f>
        <v>0.8705510718998104</v>
      </c>
      <c r="R23" s="38">
        <f>'R2'!Q29</f>
        <v>0.56808317111079121</v>
      </c>
      <c r="S23" s="38">
        <f>'R2'!R29</f>
        <v>1.650453821077426</v>
      </c>
      <c r="T23" s="38">
        <f>'R2'!S29</f>
        <v>0.43045467238287144</v>
      </c>
      <c r="U23" s="38">
        <f>'R2'!T29</f>
        <v>0.71260240677763775</v>
      </c>
      <c r="V23" s="38">
        <f>'R2'!U29</f>
        <v>0.42353538346731306</v>
      </c>
      <c r="W23" s="38">
        <f>'R2'!V29</f>
        <v>0.46840271320230625</v>
      </c>
    </row>
    <row r="24" spans="1:23">
      <c r="A24" s="154"/>
      <c r="B24" s="38">
        <f>'R2'!B30</f>
        <v>6.500864770709737E-2</v>
      </c>
      <c r="C24" s="38">
        <f>'R2'!C30</f>
        <v>2.6629283626467715E-2</v>
      </c>
      <c r="D24" s="38">
        <f>'R2'!D30</f>
        <v>0.81461456113306563</v>
      </c>
      <c r="E24" s="38">
        <f>'R2'!E30</f>
        <v>1.5221831239900656</v>
      </c>
      <c r="F24" s="38">
        <f>'R2'!F30</f>
        <v>1.612912754625409</v>
      </c>
      <c r="G24" s="38">
        <f>'R2'!G30</f>
        <v>1.8693010986106737</v>
      </c>
      <c r="H24" s="38">
        <f>'R2'!H30</f>
        <v>2.2557136948369267</v>
      </c>
      <c r="I24" s="38">
        <f>'R2'!I30</f>
        <v>1.2870815105216706</v>
      </c>
      <c r="J24" s="38">
        <f>'R2'!J30</f>
        <v>0.98734894706750687</v>
      </c>
      <c r="K24" s="38">
        <f>'R2'!K30</f>
        <v>1.6885517235407035</v>
      </c>
      <c r="L24" s="38">
        <f>'R2'!L30</f>
        <v>0.21864915290352541</v>
      </c>
      <c r="M24" s="38">
        <f>'R2'!M30</f>
        <v>4.4075410951670446E-2</v>
      </c>
      <c r="N24" s="38" t="e">
        <f>'R2'!#REF!</f>
        <v>#REF!</v>
      </c>
      <c r="P24" s="38">
        <f>'R2'!O30</f>
        <v>1.6108796219950188</v>
      </c>
      <c r="Q24" s="38">
        <f>'R2'!P30</f>
        <v>1.2842123992049326</v>
      </c>
      <c r="R24" s="38">
        <f>'R2'!Q30</f>
        <v>0.39541965784930844</v>
      </c>
      <c r="S24" s="38">
        <f>'R2'!R30</f>
        <v>2.5256643726560508</v>
      </c>
      <c r="T24" s="38">
        <f>'R2'!S30</f>
        <v>0.86270377127678222</v>
      </c>
      <c r="U24" s="38">
        <f>'R2'!T30</f>
        <v>1.0900659149374476</v>
      </c>
      <c r="V24" s="38">
        <f>'R2'!U30</f>
        <v>0.35310939676258812</v>
      </c>
      <c r="W24" s="38">
        <f>'R2'!V30</f>
        <v>0.62902555355710843</v>
      </c>
    </row>
    <row r="25" spans="1:23">
      <c r="A25" s="154"/>
      <c r="B25" s="38">
        <f>'R2'!B31</f>
        <v>0.50817503691443566</v>
      </c>
      <c r="C25" s="38">
        <f>'R2'!C31</f>
        <v>0.10105066291901441</v>
      </c>
      <c r="D25" s="38">
        <f>'R2'!D31</f>
        <v>0.33242747537507511</v>
      </c>
      <c r="E25" s="38">
        <f>'R2'!E31</f>
        <v>0.91737428450100789</v>
      </c>
      <c r="F25" s="38">
        <f>'R2'!F31</f>
        <v>2.1734557400293251</v>
      </c>
      <c r="G25" s="38">
        <f>'R2'!G31</f>
        <v>2.313357526845901</v>
      </c>
      <c r="H25" s="38">
        <f>'R2'!H31</f>
        <v>1.4072496784030177</v>
      </c>
      <c r="I25" s="38">
        <f>'R2'!I31</f>
        <v>1.976428114932105</v>
      </c>
      <c r="J25" s="38">
        <f>'R2'!J31</f>
        <v>1.5856538781741327</v>
      </c>
      <c r="K25" s="38">
        <f>'R2'!K31</f>
        <v>2.141440568059692</v>
      </c>
      <c r="L25" s="38">
        <f>'R2'!L31</f>
        <v>0.59148738578292193</v>
      </c>
      <c r="M25" s="38">
        <f>'R2'!M31</f>
        <v>0.44561678651144476</v>
      </c>
      <c r="N25" s="38" t="e">
        <f>'R2'!#REF!</f>
        <v>#REF!</v>
      </c>
      <c r="P25" s="38">
        <f>'R2'!O31</f>
        <v>0.2409789726377404</v>
      </c>
      <c r="Q25" s="38">
        <f>'R2'!P31</f>
        <v>1.6588831762088407</v>
      </c>
      <c r="R25" s="38">
        <f>'R2'!Q31</f>
        <v>0.10069557488476465</v>
      </c>
      <c r="S25" s="38">
        <f>'R2'!R31</f>
        <v>1.1825404046929269</v>
      </c>
      <c r="T25" s="38">
        <f>'R2'!S31</f>
        <v>0.4278997777429715</v>
      </c>
      <c r="U25" s="38">
        <f>'R2'!T31</f>
        <v>0.74975113718528186</v>
      </c>
      <c r="V25" s="38">
        <f>'R2'!U31</f>
        <v>0.8450747373804679</v>
      </c>
      <c r="W25" s="38">
        <f>'R2'!V31</f>
        <v>0.75863413539718716</v>
      </c>
    </row>
    <row r="26" spans="1:23">
      <c r="A26" s="154"/>
      <c r="B26" s="38">
        <f>'R2'!B32</f>
        <v>8.0014668034492351E-2</v>
      </c>
      <c r="C26" s="38">
        <f>'R2'!C32</f>
        <v>0.16596148024932869</v>
      </c>
      <c r="D26" s="38">
        <f>'R2'!D32</f>
        <v>1.0057325068031289</v>
      </c>
      <c r="E26" s="38">
        <f>'R2'!E32</f>
        <v>1.5559499669727366</v>
      </c>
      <c r="F26" s="38">
        <f>'R2'!F32</f>
        <v>1.5032737440959707</v>
      </c>
      <c r="G26" s="38">
        <f>'R2'!G32</f>
        <v>3.19853619668232</v>
      </c>
      <c r="H26" s="38">
        <f>'R2'!H32</f>
        <v>3.1007440824465862</v>
      </c>
      <c r="I26" s="38">
        <f>'R2'!I32</f>
        <v>9.5217073784911163E-2</v>
      </c>
      <c r="J26" s="38">
        <f>'R2'!J32</f>
        <v>1.0746994440218163</v>
      </c>
      <c r="K26" s="38">
        <f>'R2'!K32</f>
        <v>0.69216006111282469</v>
      </c>
      <c r="L26" s="38">
        <f>'R2'!L32</f>
        <v>0.48004423817171188</v>
      </c>
      <c r="M26" s="38">
        <f>'R2'!M32</f>
        <v>0.13797155724917248</v>
      </c>
      <c r="N26" s="38" t="e">
        <f>'R2'!#REF!</f>
        <v>#REF!</v>
      </c>
      <c r="P26" s="38">
        <f>'R2'!O32</f>
        <v>1.6968202020525194</v>
      </c>
      <c r="Q26" s="38">
        <f>'R2'!P32</f>
        <v>1.9879161549103797</v>
      </c>
      <c r="R26" s="38">
        <f>'R2'!Q32</f>
        <v>7.306117472053281E-3</v>
      </c>
      <c r="S26" s="38">
        <f>'R2'!R32</f>
        <v>0.67990952393120785</v>
      </c>
      <c r="T26" s="38">
        <f>'R2'!S32</f>
        <v>0.62381126694151512</v>
      </c>
      <c r="U26" s="38">
        <f>'R2'!T32</f>
        <v>0.50483097723515213</v>
      </c>
      <c r="V26" s="38">
        <f>'R2'!U32</f>
        <v>0.34915965835059853</v>
      </c>
      <c r="W26" s="38">
        <f>'R2'!V32</f>
        <v>1.214396294315768</v>
      </c>
    </row>
    <row r="27" spans="1:23">
      <c r="A27" s="154"/>
      <c r="B27" s="38">
        <f>'R2'!B33</f>
        <v>0.2312862287738541</v>
      </c>
      <c r="C27" s="38">
        <f>'R2'!C33</f>
        <v>4.1274128696168644E-2</v>
      </c>
      <c r="D27" s="38">
        <f>'R2'!D33</f>
        <v>0.80437382222530251</v>
      </c>
      <c r="E27" s="38">
        <f>'R2'!E33</f>
        <v>1.3135681791988723</v>
      </c>
      <c r="F27" s="38">
        <f>'R2'!F33</f>
        <v>1.090744350483702</v>
      </c>
      <c r="G27" s="38">
        <f>'R2'!G33</f>
        <v>1.9944947042469499</v>
      </c>
      <c r="H27" s="38">
        <f>'R2'!H33</f>
        <v>1.8851790412295162</v>
      </c>
      <c r="I27" s="38">
        <f>'R2'!I33</f>
        <v>0.44398932384344858</v>
      </c>
      <c r="J27" s="38">
        <f>'R2'!J33</f>
        <v>1.5303975421603406</v>
      </c>
      <c r="K27" s="38">
        <f>'R2'!K33</f>
        <v>0.76959534067974844</v>
      </c>
      <c r="L27" s="38">
        <f>'R2'!L33</f>
        <v>1.0854223779867014</v>
      </c>
      <c r="M27" s="38">
        <f>'R2'!M33</f>
        <v>0.28972342890506642</v>
      </c>
      <c r="N27" s="38" t="e">
        <f>'R2'!#REF!</f>
        <v>#REF!</v>
      </c>
      <c r="P27" s="38">
        <f>'R2'!O33</f>
        <v>1.2131834875114407</v>
      </c>
      <c r="Q27" s="38">
        <f>'R2'!P33</f>
        <v>2.4355028828755074</v>
      </c>
      <c r="R27" s="38">
        <f>'R2'!Q33</f>
        <v>0.4974603641813678</v>
      </c>
      <c r="S27" s="38">
        <f>'R2'!R33</f>
        <v>0.57988919604708389</v>
      </c>
      <c r="T27" s="38">
        <f>'R2'!S33</f>
        <v>0.65670575283106392</v>
      </c>
      <c r="U27" s="38">
        <f>'R2'!T33</f>
        <v>0.77700320174365611</v>
      </c>
      <c r="V27" s="38">
        <f>'R2'!U33</f>
        <v>0.70004475467986782</v>
      </c>
      <c r="W27" s="38">
        <f>'R2'!V33</f>
        <v>0.94068603135034212</v>
      </c>
    </row>
    <row r="28" spans="1:23">
      <c r="A28" s="154"/>
      <c r="B28" s="38">
        <f>'R2'!B34</f>
        <v>1.4072501132046923E-2</v>
      </c>
      <c r="C28" s="38">
        <f>'R2'!C34</f>
        <v>0.82062946256547353</v>
      </c>
      <c r="D28" s="38">
        <f>'R2'!D34</f>
        <v>0.59496420490684743</v>
      </c>
      <c r="E28" s="38">
        <f>'R2'!E34</f>
        <v>1.5144493066041058</v>
      </c>
      <c r="F28" s="38">
        <f>'R2'!F34</f>
        <v>1.8057628052331534</v>
      </c>
      <c r="G28" s="38">
        <f>'R2'!G34</f>
        <v>1.7974970804652766</v>
      </c>
      <c r="H28" s="38">
        <f>'R2'!H34</f>
        <v>2.8549259121045334</v>
      </c>
      <c r="I28" s="38">
        <f>'R2'!I34</f>
        <v>1.7424061140217209</v>
      </c>
      <c r="J28" s="38">
        <f>'R2'!J34</f>
        <v>1.7280502671317317</v>
      </c>
      <c r="K28" s="38">
        <f>'R2'!K34</f>
        <v>0.55855072413093765</v>
      </c>
      <c r="L28" s="38">
        <f>'R2'!L34</f>
        <v>0.30070231612239445</v>
      </c>
      <c r="M28" s="38">
        <f>'R2'!M34</f>
        <v>0.18637295499524575</v>
      </c>
      <c r="N28" s="38" t="e">
        <f>'R2'!#REF!</f>
        <v>#REF!</v>
      </c>
      <c r="P28" s="38">
        <f>'R2'!O34</f>
        <v>0.4919196864420477</v>
      </c>
      <c r="Q28" s="38">
        <f>'R2'!P34</f>
        <v>1.6467543834961096</v>
      </c>
      <c r="R28" s="38">
        <f>'R2'!Q34</f>
        <v>0.36795729421432327</v>
      </c>
      <c r="S28" s="38">
        <f>'R2'!R34</f>
        <v>1.3779885402402474</v>
      </c>
      <c r="T28" s="38">
        <f>'R2'!S34</f>
        <v>0.84650813356770471</v>
      </c>
      <c r="U28" s="38">
        <f>'R2'!T34</f>
        <v>0.7999143513168</v>
      </c>
      <c r="V28" s="38">
        <f>'R2'!U34</f>
        <v>0.85564143261028325</v>
      </c>
      <c r="W28" s="38">
        <f>'R2'!V34</f>
        <v>0.86584434377235686</v>
      </c>
    </row>
    <row r="29" spans="1:23">
      <c r="A29" s="154"/>
      <c r="B29" s="38">
        <f>'R2'!B35</f>
        <v>0.11071384026902846</v>
      </c>
      <c r="C29" s="38">
        <f>'R2'!C35</f>
        <v>0.28565846804931</v>
      </c>
      <c r="D29" s="38">
        <f>'R2'!D35</f>
        <v>0.95151404238658688</v>
      </c>
      <c r="E29" s="38">
        <f>'R2'!E35</f>
        <v>0.99513856400170586</v>
      </c>
      <c r="F29" s="38">
        <f>'R2'!F35</f>
        <v>2.4277897910360364</v>
      </c>
      <c r="G29" s="38">
        <f>'R2'!G35</f>
        <v>1.5366075246107485</v>
      </c>
      <c r="H29" s="38">
        <f>'R2'!H35</f>
        <v>2.0765197502908621</v>
      </c>
      <c r="I29" s="38">
        <f>'R2'!I35</f>
        <v>1.6015015296096453</v>
      </c>
      <c r="J29" s="38">
        <f>'R2'!J35</f>
        <v>1.1339465347389011</v>
      </c>
      <c r="K29" s="38">
        <f>'R2'!K35</f>
        <v>1.4540591222845198</v>
      </c>
      <c r="L29" s="38">
        <f>'R2'!L35</f>
        <v>0.49006192382040953</v>
      </c>
      <c r="M29" s="38">
        <f>'R2'!M35</f>
        <v>0.25199438319573414</v>
      </c>
      <c r="N29" s="38" t="e">
        <f>'R2'!#REF!</f>
        <v>#REF!</v>
      </c>
      <c r="P29" s="38">
        <f>'R2'!O35</f>
        <v>1.0946069836268817</v>
      </c>
      <c r="Q29" s="38" t="str">
        <f>'R2'!P35</f>
        <v/>
      </c>
      <c r="R29" s="38">
        <f>'R2'!Q35</f>
        <v>7.9672913918263394E-2</v>
      </c>
      <c r="S29" s="38">
        <f>'R2'!R35</f>
        <v>0.96003180719183534</v>
      </c>
      <c r="T29" s="38">
        <f>'R2'!S35</f>
        <v>1.129256039207299</v>
      </c>
      <c r="U29" s="38">
        <f>'R2'!T35</f>
        <v>0.27237020420433472</v>
      </c>
      <c r="V29" s="38">
        <f>'R2'!U35</f>
        <v>0.7419320986711021</v>
      </c>
      <c r="W29" s="38">
        <f>'R2'!V35</f>
        <v>0.96397879185988578</v>
      </c>
    </row>
    <row r="30" spans="1:23">
      <c r="A30" s="154"/>
      <c r="B30" s="38" t="str">
        <f>'R2'!B36</f>
        <v/>
      </c>
      <c r="C30" s="38" t="str">
        <f>'R2'!C36</f>
        <v/>
      </c>
      <c r="D30" s="38" t="str">
        <f>'R2'!D36</f>
        <v/>
      </c>
      <c r="E30" s="38" t="str">
        <f>'R2'!E36</f>
        <v/>
      </c>
      <c r="F30" s="38" t="str">
        <f>'R2'!F36</f>
        <v/>
      </c>
      <c r="G30" s="38" t="str">
        <f>'R2'!G36</f>
        <v/>
      </c>
      <c r="H30" s="38" t="str">
        <f>'R2'!H36</f>
        <v/>
      </c>
      <c r="I30" s="38" t="str">
        <f>'R2'!I36</f>
        <v/>
      </c>
      <c r="J30" s="38" t="str">
        <f>'R2'!J36</f>
        <v/>
      </c>
      <c r="K30" s="38" t="str">
        <f>'R2'!K36</f>
        <v/>
      </c>
      <c r="L30" s="38" t="str">
        <f>'R2'!L36</f>
        <v/>
      </c>
      <c r="M30" s="38" t="str">
        <f>'R2'!M36</f>
        <v/>
      </c>
      <c r="N30" s="38" t="e">
        <f>'R2'!#REF!</f>
        <v>#REF!</v>
      </c>
      <c r="P30" s="38">
        <f>'R2'!O36</f>
        <v>1.7085675287627422</v>
      </c>
      <c r="Q30" s="38" t="str">
        <f>'R2'!P36</f>
        <v/>
      </c>
      <c r="R30" s="38" t="str">
        <f>'R2'!Q36</f>
        <v/>
      </c>
      <c r="S30" s="38" t="str">
        <f>'R2'!R36</f>
        <v/>
      </c>
      <c r="T30" s="38" t="str">
        <f>'R2'!S36</f>
        <v/>
      </c>
      <c r="U30" s="38" t="str">
        <f>'R2'!T36</f>
        <v/>
      </c>
      <c r="V30" s="38" t="str">
        <f>'R2'!U36</f>
        <v/>
      </c>
      <c r="W30" s="38" t="str">
        <f>'R2'!V36</f>
        <v/>
      </c>
    </row>
    <row r="31" spans="1:23" s="1" customFormat="1">
      <c r="A31" s="154"/>
      <c r="B31" s="38" t="str">
        <f>'R2'!B37</f>
        <v/>
      </c>
      <c r="C31" s="38" t="str">
        <f>'R2'!C37</f>
        <v/>
      </c>
      <c r="D31" s="38" t="str">
        <f>'R2'!D37</f>
        <v/>
      </c>
      <c r="E31" s="38" t="str">
        <f>'R2'!E37</f>
        <v/>
      </c>
      <c r="F31" s="38" t="str">
        <f>'R2'!F37</f>
        <v/>
      </c>
      <c r="G31" s="38" t="str">
        <f>'R2'!G37</f>
        <v/>
      </c>
      <c r="H31" s="38" t="str">
        <f>'R2'!H37</f>
        <v/>
      </c>
      <c r="I31" s="38" t="str">
        <f>'R2'!I37</f>
        <v/>
      </c>
      <c r="J31" s="38" t="str">
        <f>'R2'!J37</f>
        <v/>
      </c>
      <c r="K31" s="38" t="str">
        <f>'R2'!K37</f>
        <v/>
      </c>
      <c r="L31" s="38" t="str">
        <f>'R2'!L37</f>
        <v/>
      </c>
      <c r="M31" s="38" t="str">
        <f>'R2'!M37</f>
        <v/>
      </c>
      <c r="N31" s="38" t="e">
        <f>'R2'!#REF!</f>
        <v>#REF!</v>
      </c>
      <c r="O31"/>
      <c r="P31" s="38">
        <f>'R2'!O37</f>
        <v>1.2960017567436992</v>
      </c>
      <c r="Q31" s="38" t="str">
        <f>'R2'!P37</f>
        <v/>
      </c>
      <c r="R31" s="38" t="str">
        <f>'R2'!Q37</f>
        <v/>
      </c>
      <c r="S31" s="38" t="str">
        <f>'R2'!R37</f>
        <v/>
      </c>
      <c r="T31" s="38" t="str">
        <f>'R2'!S37</f>
        <v/>
      </c>
      <c r="U31" s="38" t="str">
        <f>'R2'!T37</f>
        <v/>
      </c>
      <c r="V31" s="38" t="str">
        <f>'R2'!U37</f>
        <v/>
      </c>
      <c r="W31" s="38" t="str">
        <f>'R2'!V37</f>
        <v/>
      </c>
    </row>
    <row r="32" spans="1:23" s="1" customFormat="1">
      <c r="A32" s="154"/>
      <c r="B32" s="38" t="str">
        <f>'R2'!B38</f>
        <v/>
      </c>
      <c r="C32" s="38" t="str">
        <f>'R2'!C38</f>
        <v/>
      </c>
      <c r="D32" s="38" t="str">
        <f>'R2'!D38</f>
        <v/>
      </c>
      <c r="E32" s="38" t="str">
        <f>'R2'!E38</f>
        <v/>
      </c>
      <c r="F32" s="38" t="str">
        <f>'R2'!F38</f>
        <v/>
      </c>
      <c r="G32" s="38" t="str">
        <f>'R2'!G38</f>
        <v/>
      </c>
      <c r="H32" s="38" t="str">
        <f>'R2'!H38</f>
        <v/>
      </c>
      <c r="I32" s="38" t="str">
        <f>'R2'!I38</f>
        <v/>
      </c>
      <c r="J32" s="38" t="str">
        <f>'R2'!J38</f>
        <v/>
      </c>
      <c r="K32" s="38" t="str">
        <f>'R2'!K38</f>
        <v/>
      </c>
      <c r="L32" s="38" t="str">
        <f>'R2'!L38</f>
        <v/>
      </c>
      <c r="M32" s="38" t="str">
        <f>'R2'!M38</f>
        <v/>
      </c>
      <c r="N32" s="38" t="e">
        <f>'R2'!#REF!</f>
        <v>#REF!</v>
      </c>
      <c r="O32"/>
      <c r="P32" s="38">
        <f>'R2'!O38</f>
        <v>1.7180893955685139</v>
      </c>
      <c r="Q32" s="38" t="str">
        <f>'R2'!P38</f>
        <v/>
      </c>
      <c r="R32" s="38" t="str">
        <f>'R2'!Q38</f>
        <v/>
      </c>
      <c r="S32" s="38" t="str">
        <f>'R2'!R38</f>
        <v/>
      </c>
      <c r="T32" s="38" t="str">
        <f>'R2'!S38</f>
        <v/>
      </c>
      <c r="U32" s="38" t="str">
        <f>'R2'!T38</f>
        <v/>
      </c>
      <c r="V32" s="38" t="str">
        <f>'R2'!U38</f>
        <v/>
      </c>
      <c r="W32" s="38" t="str">
        <f>'R2'!V38</f>
        <v/>
      </c>
    </row>
    <row r="33" spans="1:23" s="1" customFormat="1">
      <c r="A33" s="154"/>
      <c r="B33" s="38" t="str">
        <f>'R2'!B39</f>
        <v/>
      </c>
      <c r="C33" s="38" t="str">
        <f>'R2'!C39</f>
        <v/>
      </c>
      <c r="D33" s="38" t="str">
        <f>'R2'!D39</f>
        <v/>
      </c>
      <c r="E33" s="38" t="str">
        <f>'R2'!E39</f>
        <v/>
      </c>
      <c r="F33" s="38" t="str">
        <f>'R2'!F39</f>
        <v/>
      </c>
      <c r="G33" s="38" t="str">
        <f>'R2'!G39</f>
        <v/>
      </c>
      <c r="H33" s="38" t="str">
        <f>'R2'!H39</f>
        <v/>
      </c>
      <c r="I33" s="38" t="str">
        <f>'R2'!I39</f>
        <v/>
      </c>
      <c r="J33" s="38" t="str">
        <f>'R2'!J39</f>
        <v/>
      </c>
      <c r="K33" s="38" t="str">
        <f>'R2'!K39</f>
        <v/>
      </c>
      <c r="L33" s="38" t="str">
        <f>'R2'!L39</f>
        <v/>
      </c>
      <c r="M33" s="38" t="str">
        <f>'R2'!M39</f>
        <v/>
      </c>
      <c r="N33" s="38" t="e">
        <f>'R2'!#REF!</f>
        <v>#REF!</v>
      </c>
      <c r="O33"/>
      <c r="P33" s="38">
        <f>'R2'!O39</f>
        <v>0.13606408230273939</v>
      </c>
      <c r="Q33" s="38" t="str">
        <f>'R2'!P39</f>
        <v/>
      </c>
      <c r="R33" s="38" t="str">
        <f>'R2'!Q39</f>
        <v/>
      </c>
      <c r="S33" s="38" t="str">
        <f>'R2'!R39</f>
        <v/>
      </c>
      <c r="T33" s="38" t="str">
        <f>'R2'!S39</f>
        <v/>
      </c>
      <c r="U33" s="38" t="str">
        <f>'R2'!T39</f>
        <v/>
      </c>
      <c r="V33" s="38" t="str">
        <f>'R2'!U39</f>
        <v/>
      </c>
      <c r="W33" s="38" t="str">
        <f>'R2'!V39</f>
        <v/>
      </c>
    </row>
    <row r="34" spans="1:23" s="1" customFormat="1">
      <c r="A34" s="154"/>
      <c r="B34" s="38" t="str">
        <f>'R2'!B40</f>
        <v/>
      </c>
      <c r="C34" s="38" t="str">
        <f>'R2'!C40</f>
        <v/>
      </c>
      <c r="D34" s="38" t="str">
        <f>'R2'!D40</f>
        <v/>
      </c>
      <c r="E34" s="38" t="str">
        <f>'R2'!E40</f>
        <v/>
      </c>
      <c r="F34" s="38" t="str">
        <f>'R2'!F40</f>
        <v/>
      </c>
      <c r="G34" s="38" t="str">
        <f>'R2'!G40</f>
        <v/>
      </c>
      <c r="H34" s="38" t="str">
        <f>'R2'!H40</f>
        <v/>
      </c>
      <c r="I34" s="38" t="str">
        <f>'R2'!I40</f>
        <v/>
      </c>
      <c r="J34" s="38" t="str">
        <f>'R2'!J40</f>
        <v/>
      </c>
      <c r="K34" s="38" t="str">
        <f>'R2'!K40</f>
        <v/>
      </c>
      <c r="L34" s="38" t="str">
        <f>'R2'!L40</f>
        <v/>
      </c>
      <c r="M34" s="38" t="str">
        <f>'R2'!M40</f>
        <v/>
      </c>
      <c r="N34" s="38" t="e">
        <f>'R2'!#REF!</f>
        <v>#REF!</v>
      </c>
      <c r="O34"/>
      <c r="P34" s="38">
        <f>'R2'!O40</f>
        <v>0.39441526598100196</v>
      </c>
      <c r="Q34" s="38" t="str">
        <f>'R2'!P40</f>
        <v/>
      </c>
      <c r="R34" s="38" t="str">
        <f>'R2'!Q40</f>
        <v/>
      </c>
      <c r="S34" s="38" t="str">
        <f>'R2'!R40</f>
        <v/>
      </c>
      <c r="T34" s="38" t="str">
        <f>'R2'!S40</f>
        <v/>
      </c>
      <c r="U34" s="38" t="str">
        <f>'R2'!T40</f>
        <v/>
      </c>
      <c r="V34" s="38" t="str">
        <f>'R2'!U40</f>
        <v/>
      </c>
      <c r="W34" s="38" t="str">
        <f>'R2'!V40</f>
        <v/>
      </c>
    </row>
    <row r="35" spans="1:23" s="1" customFormat="1">
      <c r="A35" s="154"/>
      <c r="B35" s="38" t="str">
        <f>'R2'!B41</f>
        <v/>
      </c>
      <c r="C35" s="38" t="str">
        <f>'R2'!C41</f>
        <v/>
      </c>
      <c r="D35" s="38" t="str">
        <f>'R2'!D41</f>
        <v/>
      </c>
      <c r="E35" s="38" t="str">
        <f>'R2'!E41</f>
        <v/>
      </c>
      <c r="F35" s="38" t="str">
        <f>'R2'!F41</f>
        <v/>
      </c>
      <c r="G35" s="38" t="str">
        <f>'R2'!G41</f>
        <v/>
      </c>
      <c r="H35" s="38" t="str">
        <f>'R2'!H41</f>
        <v/>
      </c>
      <c r="I35" s="38" t="str">
        <f>'R2'!I41</f>
        <v/>
      </c>
      <c r="J35" s="38" t="str">
        <f>'R2'!J41</f>
        <v/>
      </c>
      <c r="K35" s="38" t="str">
        <f>'R2'!K41</f>
        <v/>
      </c>
      <c r="L35" s="38" t="str">
        <f>'R2'!L41</f>
        <v/>
      </c>
      <c r="M35" s="38" t="str">
        <f>'R2'!M41</f>
        <v/>
      </c>
      <c r="N35" s="38" t="e">
        <f>'R2'!#REF!</f>
        <v>#REF!</v>
      </c>
      <c r="O35"/>
      <c r="P35" s="38">
        <f>'R2'!O41</f>
        <v>1.635337650992468</v>
      </c>
      <c r="Q35" s="38" t="str">
        <f>'R2'!P41</f>
        <v/>
      </c>
      <c r="R35" s="38" t="str">
        <f>'R2'!Q41</f>
        <v/>
      </c>
      <c r="S35" s="38" t="str">
        <f>'R2'!R41</f>
        <v/>
      </c>
      <c r="T35" s="38" t="str">
        <f>'R2'!S41</f>
        <v/>
      </c>
      <c r="U35" s="38" t="str">
        <f>'R2'!T41</f>
        <v/>
      </c>
      <c r="V35" s="38" t="str">
        <f>'R2'!U41</f>
        <v/>
      </c>
      <c r="W35" s="38" t="str">
        <f>'R2'!V41</f>
        <v/>
      </c>
    </row>
    <row r="36" spans="1:23">
      <c r="A36" s="154"/>
      <c r="B36" s="38" t="str">
        <f>'R2'!B42</f>
        <v/>
      </c>
      <c r="C36" s="38" t="str">
        <f>'R2'!C42</f>
        <v/>
      </c>
      <c r="D36" s="38" t="str">
        <f>'R2'!D42</f>
        <v/>
      </c>
      <c r="E36" s="38" t="str">
        <f>'R2'!E42</f>
        <v/>
      </c>
      <c r="F36" s="38" t="str">
        <f>'R2'!F42</f>
        <v/>
      </c>
      <c r="G36" s="38" t="str">
        <f>'R2'!G42</f>
        <v/>
      </c>
      <c r="H36" s="38" t="str">
        <f>'R2'!H42</f>
        <v/>
      </c>
      <c r="I36" s="38" t="str">
        <f>'R2'!I42</f>
        <v/>
      </c>
      <c r="J36" s="38" t="str">
        <f>'R2'!J42</f>
        <v/>
      </c>
      <c r="K36" s="38" t="str">
        <f>'R2'!K42</f>
        <v/>
      </c>
      <c r="L36" s="38" t="str">
        <f>'R2'!L42</f>
        <v/>
      </c>
      <c r="M36" s="38" t="str">
        <f>'R2'!M42</f>
        <v/>
      </c>
      <c r="N36" s="38" t="e">
        <f>'R2'!#REF!</f>
        <v>#REF!</v>
      </c>
      <c r="P36" s="38">
        <f>'R2'!O42</f>
        <v>0.54768633468791872</v>
      </c>
      <c r="Q36" s="38" t="str">
        <f>'R2'!P42</f>
        <v/>
      </c>
      <c r="R36" s="38" t="str">
        <f>'R2'!Q42</f>
        <v/>
      </c>
      <c r="S36" s="38" t="str">
        <f>'R2'!R42</f>
        <v/>
      </c>
      <c r="T36" s="38" t="str">
        <f>'R2'!S42</f>
        <v/>
      </c>
      <c r="U36" s="38" t="str">
        <f>'R2'!T42</f>
        <v/>
      </c>
      <c r="V36" s="38" t="str">
        <f>'R2'!U42</f>
        <v/>
      </c>
      <c r="W36" s="38" t="str">
        <f>'R2'!V42</f>
        <v/>
      </c>
    </row>
    <row r="37" spans="1:23">
      <c r="A37" s="155"/>
      <c r="B37" s="38" t="str">
        <f>'R2'!B43</f>
        <v/>
      </c>
      <c r="C37" s="38" t="str">
        <f>'R2'!C43</f>
        <v/>
      </c>
      <c r="D37" s="38" t="str">
        <f>'R2'!D43</f>
        <v/>
      </c>
      <c r="E37" s="38" t="str">
        <f>'R2'!E43</f>
        <v/>
      </c>
      <c r="F37" s="38" t="str">
        <f>'R2'!F43</f>
        <v/>
      </c>
      <c r="G37" s="38" t="str">
        <f>'R2'!G43</f>
        <v/>
      </c>
      <c r="H37" s="38" t="str">
        <f>'R2'!H43</f>
        <v/>
      </c>
      <c r="I37" s="38" t="str">
        <f>'R2'!I43</f>
        <v/>
      </c>
      <c r="J37" s="38" t="str">
        <f>'R2'!J43</f>
        <v/>
      </c>
      <c r="K37" s="38" t="str">
        <f>'R2'!K43</f>
        <v/>
      </c>
      <c r="L37" s="38" t="str">
        <f>'R2'!L43</f>
        <v/>
      </c>
      <c r="M37" s="38" t="str">
        <f>'R2'!M43</f>
        <v/>
      </c>
      <c r="N37" s="38" t="e">
        <f>'R2'!#REF!</f>
        <v>#REF!</v>
      </c>
      <c r="P37" s="38">
        <f>'R2'!O43</f>
        <v>0.39750395214340878</v>
      </c>
      <c r="Q37" s="38" t="str">
        <f>'R2'!P43</f>
        <v/>
      </c>
      <c r="R37" s="38" t="str">
        <f>'R2'!Q43</f>
        <v/>
      </c>
      <c r="S37" s="38" t="str">
        <f>'R2'!R43</f>
        <v/>
      </c>
      <c r="T37" s="38" t="str">
        <f>'R2'!S43</f>
        <v/>
      </c>
      <c r="U37" s="38" t="str">
        <f>'R2'!T43</f>
        <v/>
      </c>
      <c r="V37" s="38" t="str">
        <f>'R2'!U43</f>
        <v/>
      </c>
      <c r="W37" s="38" t="str">
        <f>'R2'!V43</f>
        <v/>
      </c>
    </row>
    <row r="38" spans="1:23" s="1" customFormat="1">
      <c r="A38" s="84" t="s">
        <v>48</v>
      </c>
      <c r="B38" s="85">
        <f>'R3'!B28</f>
        <v>0.19576804042394291</v>
      </c>
      <c r="C38" s="85">
        <f>'R3'!C28</f>
        <v>0.38170733876848068</v>
      </c>
      <c r="D38" s="85">
        <f>'R3'!D28</f>
        <v>0.29317787644702581</v>
      </c>
      <c r="E38" s="85">
        <f>'R3'!E28</f>
        <v>1.0053270319272003</v>
      </c>
      <c r="F38" s="85">
        <f>'R3'!F28</f>
        <v>1.2987400682929853</v>
      </c>
      <c r="G38" s="85">
        <f>'R3'!G28</f>
        <v>0.98252208070344393</v>
      </c>
      <c r="H38" s="85">
        <f>'R3'!H28</f>
        <v>1.9555614201538412</v>
      </c>
      <c r="I38" s="85">
        <f>'R3'!I28</f>
        <v>0.93555748746942835</v>
      </c>
      <c r="J38" s="85">
        <f>'R3'!J28</f>
        <v>0.59336936212636404</v>
      </c>
      <c r="K38" s="85">
        <f>'R3'!K28</f>
        <v>0.96502976434172127</v>
      </c>
      <c r="L38" s="85">
        <f>'R3'!L28</f>
        <v>0.68032923802413359</v>
      </c>
      <c r="M38" s="85">
        <f>'R3'!M28</f>
        <v>0.21953832547051719</v>
      </c>
      <c r="N38" s="85" t="e">
        <f>'R3'!#REF!</f>
        <v>#REF!</v>
      </c>
      <c r="O38"/>
      <c r="P38" s="85">
        <f>'R3'!O28</f>
        <v>1.0747730076470565</v>
      </c>
      <c r="Q38" s="85">
        <f>'R3'!P28</f>
        <v>1.1951534907404604</v>
      </c>
      <c r="R38" s="85">
        <f>'R3'!Q28</f>
        <v>3.738778801346538E-2</v>
      </c>
      <c r="S38" s="85">
        <f>'R3'!R28</f>
        <v>0.47661750496975613</v>
      </c>
      <c r="T38" s="85">
        <f>'R3'!S28</f>
        <v>0.99114637043742926</v>
      </c>
      <c r="U38" s="85">
        <f>'R3'!T28</f>
        <v>0.93301106842128645</v>
      </c>
      <c r="V38" s="85">
        <f>'R3'!U28</f>
        <v>0.99463088434385138</v>
      </c>
      <c r="W38" s="85">
        <f>'R3'!V28</f>
        <v>0.72747064889646262</v>
      </c>
    </row>
    <row r="39" spans="1:23" s="1" customFormat="1">
      <c r="A39" s="145" t="s">
        <v>17</v>
      </c>
      <c r="B39" s="85">
        <f>'R3'!B29</f>
        <v>4.7404846532822655E-2</v>
      </c>
      <c r="C39" s="85">
        <f>'R3'!C29</f>
        <v>0.29042372494960733</v>
      </c>
      <c r="D39" s="85">
        <f>'R3'!D29</f>
        <v>0.30503078462473554</v>
      </c>
      <c r="E39" s="85">
        <f>'R3'!E29</f>
        <v>0.65328801517370549</v>
      </c>
      <c r="F39" s="85">
        <f>'R3'!F29</f>
        <v>0.73562556131765433</v>
      </c>
      <c r="G39" s="85">
        <f>'R3'!G29</f>
        <v>1.0351859324414772</v>
      </c>
      <c r="H39" s="85">
        <f>'R3'!H29</f>
        <v>1.5381158058922169</v>
      </c>
      <c r="I39" s="85">
        <f>'R3'!I29</f>
        <v>1.33036073602227</v>
      </c>
      <c r="J39" s="85">
        <f>'R3'!J29</f>
        <v>0.50790197412981697</v>
      </c>
      <c r="K39" s="85">
        <f>'R3'!K29</f>
        <v>0.35656624576261503</v>
      </c>
      <c r="L39" s="85">
        <f>'R3'!L29</f>
        <v>0.15942013993900214</v>
      </c>
      <c r="M39" s="85">
        <f>'R3'!M29</f>
        <v>6.2443865289182492E-2</v>
      </c>
      <c r="N39" s="85" t="e">
        <f>'R3'!#REF!</f>
        <v>#REF!</v>
      </c>
      <c r="O39"/>
      <c r="P39" s="85">
        <f>'R3'!O29</f>
        <v>1.1376110367760188</v>
      </c>
      <c r="Q39" s="85">
        <f>'R3'!P29</f>
        <v>1.2183081186370008</v>
      </c>
      <c r="R39" s="85">
        <f>'R3'!Q29</f>
        <v>0.14050300895127513</v>
      </c>
      <c r="S39" s="85">
        <f>'R3'!R29</f>
        <v>0.51870151667544195</v>
      </c>
      <c r="T39" s="85">
        <f>'R3'!S29</f>
        <v>0.43548534898332802</v>
      </c>
      <c r="U39" s="85">
        <f>'R3'!T29</f>
        <v>0.30435065878354695</v>
      </c>
      <c r="V39" s="85">
        <f>'R3'!U29</f>
        <v>0.47238358965489574</v>
      </c>
      <c r="W39" s="85">
        <f>'R3'!V29</f>
        <v>0.73206724772530496</v>
      </c>
    </row>
    <row r="40" spans="1:23" s="1" customFormat="1">
      <c r="A40" s="154"/>
      <c r="B40" s="85">
        <f>'R3'!B30</f>
        <v>3.2081185309668268E-2</v>
      </c>
      <c r="C40" s="85">
        <f>'R3'!C30</f>
        <v>1.424748649273708E-2</v>
      </c>
      <c r="D40" s="85">
        <f>'R3'!D30</f>
        <v>0.20273753949914944</v>
      </c>
      <c r="E40" s="85">
        <f>'R3'!E30</f>
        <v>0.7604477039567541</v>
      </c>
      <c r="F40" s="85">
        <f>'R3'!F30</f>
        <v>0.96892295696868025</v>
      </c>
      <c r="G40" s="85">
        <f>'R3'!G30</f>
        <v>1.3370507765166666</v>
      </c>
      <c r="H40" s="85">
        <f>'R3'!H30</f>
        <v>2.0463435165668158</v>
      </c>
      <c r="I40" s="85">
        <f>'R3'!I30</f>
        <v>1.1844349110686687</v>
      </c>
      <c r="J40" s="85">
        <f>'R3'!J30</f>
        <v>1.2348857147536105</v>
      </c>
      <c r="K40" s="85">
        <f>'R3'!K30</f>
        <v>0.53710025906470205</v>
      </c>
      <c r="L40" s="85">
        <f>'R3'!L30</f>
        <v>0.83560274043776273</v>
      </c>
      <c r="M40" s="85">
        <f>'R3'!M30</f>
        <v>0.27069630545624029</v>
      </c>
      <c r="N40" s="85" t="e">
        <f>'R3'!#REF!</f>
        <v>#REF!</v>
      </c>
      <c r="O40"/>
      <c r="P40" s="85">
        <f>'R3'!O30</f>
        <v>1.4538247830042998</v>
      </c>
      <c r="Q40" s="85">
        <f>'R3'!P30</f>
        <v>2.0388589277296782</v>
      </c>
      <c r="R40" s="85">
        <f>'R3'!Q30</f>
        <v>0.15032515335760885</v>
      </c>
      <c r="S40" s="85">
        <f>'R3'!R30</f>
        <v>1.8842131467825565</v>
      </c>
      <c r="T40" s="85">
        <f>'R3'!S30</f>
        <v>0.28212809358704999</v>
      </c>
      <c r="U40" s="85">
        <f>'R3'!T30</f>
        <v>0.96434294657498887</v>
      </c>
      <c r="V40" s="85">
        <f>'R3'!U30</f>
        <v>0.38209895779150432</v>
      </c>
      <c r="W40" s="85">
        <f>'R3'!V30</f>
        <v>0.24535916730768165</v>
      </c>
    </row>
    <row r="41" spans="1:23" s="1" customFormat="1">
      <c r="A41" s="154"/>
      <c r="B41" s="85">
        <f>'R3'!B31</f>
        <v>0.1500143087034736</v>
      </c>
      <c r="C41" s="85">
        <f>'R3'!C31</f>
        <v>5.6500115871633318E-2</v>
      </c>
      <c r="D41" s="85">
        <f>'R3'!D31</f>
        <v>0.49203193132387846</v>
      </c>
      <c r="E41" s="85">
        <f>'R3'!E31</f>
        <v>0.69032292193032363</v>
      </c>
      <c r="F41" s="85">
        <f>'R3'!F31</f>
        <v>0.8583352115102062</v>
      </c>
      <c r="G41" s="85">
        <f>'R3'!G31</f>
        <v>1.3546688256766355</v>
      </c>
      <c r="H41" s="85">
        <f>'R3'!H31</f>
        <v>1.3680815180208961</v>
      </c>
      <c r="I41" s="85">
        <f>'R3'!I31</f>
        <v>0.84848799594620117</v>
      </c>
      <c r="J41" s="85">
        <f>'R3'!J31</f>
        <v>1.3229022551200005</v>
      </c>
      <c r="K41" s="85">
        <f>'R3'!K31</f>
        <v>1.1851840297196896</v>
      </c>
      <c r="L41" s="85">
        <f>'R3'!L31</f>
        <v>0.32317052121970713</v>
      </c>
      <c r="M41" s="85">
        <f>'R3'!M31</f>
        <v>0.30589215797044267</v>
      </c>
      <c r="N41" s="85" t="e">
        <f>'R3'!#REF!</f>
        <v>#REF!</v>
      </c>
      <c r="O41"/>
      <c r="P41" s="85">
        <f>'R3'!O31</f>
        <v>1.1281603413636048</v>
      </c>
      <c r="Q41" s="85">
        <f>'R3'!P31</f>
        <v>1.604835057584137</v>
      </c>
      <c r="R41" s="85">
        <f>'R3'!Q31</f>
        <v>0.12917725485197001</v>
      </c>
      <c r="S41" s="85">
        <f>'R3'!R31</f>
        <v>1.3187079258435686</v>
      </c>
      <c r="T41" s="85">
        <f>'R3'!S31</f>
        <v>0.10041441633979713</v>
      </c>
      <c r="U41" s="85">
        <f>'R3'!T31</f>
        <v>0.54697810668225288</v>
      </c>
      <c r="V41" s="85">
        <f>'R3'!U31</f>
        <v>0.59945458450505851</v>
      </c>
      <c r="W41" s="85">
        <f>'R3'!V31</f>
        <v>0.33723016253485427</v>
      </c>
    </row>
    <row r="42" spans="1:23" s="1" customFormat="1">
      <c r="A42" s="154"/>
      <c r="B42" s="85">
        <f>'R3'!B32</f>
        <v>8.9903757622226896E-2</v>
      </c>
      <c r="C42" s="85">
        <f>'R3'!C32</f>
        <v>5.6286351264120051E-2</v>
      </c>
      <c r="D42" s="85">
        <f>'R3'!D32</f>
        <v>1.1200753642769699</v>
      </c>
      <c r="E42" s="85">
        <f>'R3'!E32</f>
        <v>0.56687329557657828</v>
      </c>
      <c r="F42" s="85">
        <f>'R3'!F32</f>
        <v>0.85922127900369483</v>
      </c>
      <c r="G42" s="85">
        <f>'R3'!G32</f>
        <v>1.077606142716387</v>
      </c>
      <c r="H42" s="85">
        <f>'R3'!H32</f>
        <v>1.4616979747853429</v>
      </c>
      <c r="I42" s="85">
        <f>'R3'!I32</f>
        <v>0.68746169962420356</v>
      </c>
      <c r="J42" s="85">
        <f>'R3'!J32</f>
        <v>0.66066562745461421</v>
      </c>
      <c r="K42" s="85">
        <f>'R3'!K32</f>
        <v>0.91224300737961517</v>
      </c>
      <c r="L42" s="85">
        <f>'R3'!L32</f>
        <v>0.79194226187790273</v>
      </c>
      <c r="M42" s="85">
        <f>'R3'!M32</f>
        <v>0.44710130644530216</v>
      </c>
      <c r="N42" s="85" t="e">
        <f>'R3'!#REF!</f>
        <v>#REF!</v>
      </c>
      <c r="O42"/>
      <c r="P42" s="85">
        <f>'R3'!O32</f>
        <v>0.47885864025963726</v>
      </c>
      <c r="Q42" s="85">
        <f>'R3'!P32</f>
        <v>1.9714223204699524</v>
      </c>
      <c r="R42" s="85">
        <f>'R3'!Q32</f>
        <v>9.7578453696293324E-2</v>
      </c>
      <c r="S42" s="85">
        <f>'R3'!R32</f>
        <v>0.68604282290396346</v>
      </c>
      <c r="T42" s="85">
        <f>'R3'!S32</f>
        <v>0.48442340048547095</v>
      </c>
      <c r="U42" s="85">
        <f>'R3'!T32</f>
        <v>0.81390195692874079</v>
      </c>
      <c r="V42" s="85">
        <f>'R3'!U32</f>
        <v>0.58999936497396688</v>
      </c>
      <c r="W42" s="85">
        <f>'R3'!V32</f>
        <v>0.77903023866728893</v>
      </c>
    </row>
    <row r="43" spans="1:23" s="1" customFormat="1">
      <c r="A43" s="154"/>
      <c r="B43" s="85">
        <f>'R3'!B33</f>
        <v>4.5011116490047354E-2</v>
      </c>
      <c r="C43" s="85">
        <f>'R3'!C33</f>
        <v>4.7461398016291775E-2</v>
      </c>
      <c r="D43" s="85">
        <f>'R3'!D33</f>
        <v>0.49495281544505842</v>
      </c>
      <c r="E43" s="85">
        <f>'R3'!E33</f>
        <v>0.52716274963209131</v>
      </c>
      <c r="F43" s="85">
        <f>'R3'!F33</f>
        <v>1.1578261185618346</v>
      </c>
      <c r="G43" s="85">
        <f>'R3'!G33</f>
        <v>1.1046064599937722</v>
      </c>
      <c r="H43" s="85">
        <f>'R3'!H33</f>
        <v>1.6981889269603425</v>
      </c>
      <c r="I43" s="85">
        <f>'R3'!I33</f>
        <v>0.56053161222035142</v>
      </c>
      <c r="J43" s="85">
        <f>'R3'!J33</f>
        <v>0.55711986122265955</v>
      </c>
      <c r="K43" s="85">
        <f>'R3'!K33</f>
        <v>0.70565779919769944</v>
      </c>
      <c r="L43" s="85">
        <f>'R3'!L33</f>
        <v>0.26436159678297461</v>
      </c>
      <c r="M43" s="85">
        <f>'R3'!M33</f>
        <v>0.16260144364155737</v>
      </c>
      <c r="N43" s="85" t="e">
        <f>'R3'!#REF!</f>
        <v>#REF!</v>
      </c>
      <c r="O43"/>
      <c r="P43" s="85">
        <f>'R3'!O33</f>
        <v>0.91838864559314903</v>
      </c>
      <c r="Q43" s="85">
        <f>'R3'!P33</f>
        <v>1.641066367760659</v>
      </c>
      <c r="R43" s="85">
        <f>'R3'!Q33</f>
        <v>0.14508603542408488</v>
      </c>
      <c r="S43" s="85">
        <f>'R3'!R33</f>
        <v>0.78212907145645161</v>
      </c>
      <c r="T43" s="85">
        <f>'R3'!S33</f>
        <v>0.7038352391379622</v>
      </c>
      <c r="U43" s="85">
        <f>'R3'!T33</f>
        <v>1.4057829782626701</v>
      </c>
      <c r="V43" s="85">
        <f>'R3'!U33</f>
        <v>0.41854978197635889</v>
      </c>
      <c r="W43" s="85">
        <f>'R3'!V33</f>
        <v>1.4372027939731671</v>
      </c>
    </row>
    <row r="44" spans="1:23" s="1" customFormat="1">
      <c r="A44" s="154"/>
      <c r="B44" s="85">
        <f>'R3'!B34</f>
        <v>5.7108515581288578E-2</v>
      </c>
      <c r="C44" s="85">
        <f>'R3'!C34</f>
        <v>0.17889383177653775</v>
      </c>
      <c r="D44" s="85">
        <f>'R3'!D34</f>
        <v>0.27623693704912711</v>
      </c>
      <c r="E44" s="85">
        <f>'R3'!E34</f>
        <v>0.95470930711355217</v>
      </c>
      <c r="F44" s="85">
        <f>'R3'!F34</f>
        <v>0.76450630967286026</v>
      </c>
      <c r="G44" s="85">
        <f>'R3'!G34</f>
        <v>1.2267410758519157</v>
      </c>
      <c r="H44" s="85">
        <f>'R3'!H34</f>
        <v>2.2166582997961437</v>
      </c>
      <c r="I44" s="85">
        <f>'R3'!I34</f>
        <v>0.9965491106631239</v>
      </c>
      <c r="J44" s="85">
        <f>'R3'!J34</f>
        <v>0.64998719933608562</v>
      </c>
      <c r="K44" s="85">
        <f>'R3'!K34</f>
        <v>0.51776511836166583</v>
      </c>
      <c r="L44" s="85">
        <f>'R3'!L34</f>
        <v>0.43226766382640769</v>
      </c>
      <c r="M44" s="85">
        <f>'R3'!M34</f>
        <v>0.20496076681926534</v>
      </c>
      <c r="N44" s="85" t="e">
        <f>'R3'!#REF!</f>
        <v>#REF!</v>
      </c>
      <c r="O44"/>
      <c r="P44" s="85">
        <f>'R3'!O34</f>
        <v>0.66758206238783224</v>
      </c>
      <c r="Q44" s="85">
        <f>'R3'!P34</f>
        <v>1.6265492249442468</v>
      </c>
      <c r="R44" s="85">
        <f>'R3'!Q34</f>
        <v>0.17583138044174013</v>
      </c>
      <c r="S44" s="85">
        <f>'R3'!R34</f>
        <v>1.0637625280680918</v>
      </c>
      <c r="T44" s="85">
        <f>'R3'!S34</f>
        <v>0.58339556549186067</v>
      </c>
      <c r="U44" s="85">
        <f>'R3'!T34</f>
        <v>1.171181222645429</v>
      </c>
      <c r="V44" s="85">
        <f>'R3'!U34</f>
        <v>1.0258072459180139</v>
      </c>
      <c r="W44" s="85">
        <f>'R3'!V34</f>
        <v>1.778002674649537</v>
      </c>
    </row>
    <row r="45" spans="1:23" s="1" customFormat="1">
      <c r="A45" s="154"/>
      <c r="B45" s="85">
        <f>'R3'!B35</f>
        <v>0.14233782183243066</v>
      </c>
      <c r="C45" s="85">
        <f>'R3'!C35</f>
        <v>0.85078634248685858</v>
      </c>
      <c r="D45" s="85">
        <f>'R3'!D35</f>
        <v>0.3888960690946025</v>
      </c>
      <c r="E45" s="85">
        <f>'R3'!E35</f>
        <v>0.35625266778677878</v>
      </c>
      <c r="F45" s="85">
        <f>'R3'!F35</f>
        <v>1.6949929198720852</v>
      </c>
      <c r="G45" s="85">
        <f>'R3'!G35</f>
        <v>1.7787823311016311</v>
      </c>
      <c r="H45" s="85">
        <f>'R3'!H35</f>
        <v>1.6583747032961622</v>
      </c>
      <c r="I45" s="85">
        <f>'R3'!I35</f>
        <v>1.2218156301467005</v>
      </c>
      <c r="J45" s="85">
        <f>'R3'!J35</f>
        <v>0.46509947582665606</v>
      </c>
      <c r="K45" s="85">
        <f>'R3'!K35</f>
        <v>0.67849065504408013</v>
      </c>
      <c r="L45" s="85">
        <f>'R3'!L35</f>
        <v>0.72827660178836995</v>
      </c>
      <c r="M45" s="85">
        <f>'R3'!M35</f>
        <v>0.10097135419949549</v>
      </c>
      <c r="N45" s="85" t="e">
        <f>'R3'!#REF!</f>
        <v>#REF!</v>
      </c>
      <c r="O45"/>
      <c r="P45" s="85">
        <f>'R3'!O35</f>
        <v>0.95609915407227819</v>
      </c>
      <c r="Q45" s="85">
        <f>'R3'!P35</f>
        <v>1.0739466019686279</v>
      </c>
      <c r="R45" s="85">
        <f>'R3'!Q35</f>
        <v>1.4954191531156156E-2</v>
      </c>
      <c r="S45" s="85">
        <f>'R3'!R35</f>
        <v>0.71792259068000919</v>
      </c>
      <c r="T45" s="85">
        <f>'R3'!S35</f>
        <v>1.4806854181175166</v>
      </c>
      <c r="U45" s="85">
        <f>'R3'!T35</f>
        <v>1.3618348411568972</v>
      </c>
      <c r="V45" s="85" t="str">
        <f>'R3'!U35</f>
        <v/>
      </c>
      <c r="W45" s="85">
        <f>'R3'!V35</f>
        <v>0.91078002050226903</v>
      </c>
    </row>
    <row r="46" spans="1:23" s="1" customFormat="1">
      <c r="A46" s="154"/>
      <c r="B46" s="85" t="str">
        <f>'R3'!B36</f>
        <v/>
      </c>
      <c r="C46" s="85" t="str">
        <f>'R3'!C36</f>
        <v/>
      </c>
      <c r="D46" s="85" t="str">
        <f>'R3'!D36</f>
        <v/>
      </c>
      <c r="E46" s="85" t="str">
        <f>'R3'!E36</f>
        <v/>
      </c>
      <c r="F46" s="85" t="str">
        <f>'R3'!F36</f>
        <v/>
      </c>
      <c r="G46" s="85" t="str">
        <f>'R3'!G36</f>
        <v/>
      </c>
      <c r="H46" s="85" t="str">
        <f>'R3'!H36</f>
        <v/>
      </c>
      <c r="I46" s="85" t="str">
        <f>'R3'!I36</f>
        <v/>
      </c>
      <c r="J46" s="85" t="str">
        <f>'R3'!J36</f>
        <v/>
      </c>
      <c r="K46" s="85" t="str">
        <f>'R3'!K36</f>
        <v/>
      </c>
      <c r="L46" s="85" t="str">
        <f>'R3'!L36</f>
        <v/>
      </c>
      <c r="M46" s="85" t="str">
        <f>'R3'!M36</f>
        <v/>
      </c>
      <c r="N46" s="85" t="e">
        <f>'R3'!#REF!</f>
        <v>#REF!</v>
      </c>
      <c r="O46"/>
      <c r="P46" s="85">
        <f>'R3'!O36</f>
        <v>0.71611775008509226</v>
      </c>
      <c r="Q46" s="85" t="str">
        <f>'R3'!P36</f>
        <v/>
      </c>
      <c r="R46" s="85" t="str">
        <f>'R3'!Q36</f>
        <v/>
      </c>
      <c r="S46" s="85" t="str">
        <f>'R3'!R36</f>
        <v/>
      </c>
      <c r="T46" s="85" t="str">
        <f>'R3'!S36</f>
        <v/>
      </c>
      <c r="U46" s="85" t="str">
        <f>'R3'!T36</f>
        <v/>
      </c>
      <c r="V46" s="85" t="str">
        <f>'R3'!U36</f>
        <v/>
      </c>
      <c r="W46" s="85" t="str">
        <f>'R3'!V36</f>
        <v/>
      </c>
    </row>
    <row r="47" spans="1:23" s="1" customFormat="1">
      <c r="A47" s="154"/>
      <c r="B47" s="85" t="str">
        <f>'R3'!B37</f>
        <v/>
      </c>
      <c r="C47" s="85" t="str">
        <f>'R3'!C37</f>
        <v/>
      </c>
      <c r="D47" s="85" t="str">
        <f>'R3'!D37</f>
        <v/>
      </c>
      <c r="E47" s="85" t="str">
        <f>'R3'!E37</f>
        <v/>
      </c>
      <c r="F47" s="85" t="str">
        <f>'R3'!F37</f>
        <v/>
      </c>
      <c r="G47" s="85" t="str">
        <f>'R3'!G37</f>
        <v/>
      </c>
      <c r="H47" s="85" t="str">
        <f>'R3'!H37</f>
        <v/>
      </c>
      <c r="I47" s="85" t="str">
        <f>'R3'!I37</f>
        <v/>
      </c>
      <c r="J47" s="85" t="str">
        <f>'R3'!J37</f>
        <v/>
      </c>
      <c r="K47" s="85" t="str">
        <f>'R3'!K37</f>
        <v/>
      </c>
      <c r="L47" s="85" t="str">
        <f>'R3'!L37</f>
        <v/>
      </c>
      <c r="M47" s="85" t="str">
        <f>'R3'!M37</f>
        <v/>
      </c>
      <c r="N47" s="85" t="e">
        <f>'R3'!#REF!</f>
        <v>#REF!</v>
      </c>
      <c r="O47"/>
      <c r="P47" s="85">
        <f>'R3'!O37</f>
        <v>1.1488896646390996</v>
      </c>
      <c r="Q47" s="85" t="str">
        <f>'R3'!P37</f>
        <v/>
      </c>
      <c r="R47" s="85" t="str">
        <f>'R3'!Q37</f>
        <v/>
      </c>
      <c r="S47" s="85" t="str">
        <f>'R3'!R37</f>
        <v/>
      </c>
      <c r="T47" s="85" t="str">
        <f>'R3'!S37</f>
        <v/>
      </c>
      <c r="U47" s="85" t="str">
        <f>'R3'!T37</f>
        <v/>
      </c>
      <c r="V47" s="85" t="str">
        <f>'R3'!U37</f>
        <v/>
      </c>
      <c r="W47" s="85" t="str">
        <f>'R3'!V37</f>
        <v/>
      </c>
    </row>
    <row r="48" spans="1:23" s="1" customFormat="1">
      <c r="A48" s="154"/>
      <c r="B48" s="85" t="str">
        <f>'R3'!B38</f>
        <v/>
      </c>
      <c r="C48" s="85" t="str">
        <f>'R3'!C38</f>
        <v/>
      </c>
      <c r="D48" s="85" t="str">
        <f>'R3'!D38</f>
        <v/>
      </c>
      <c r="E48" s="85" t="str">
        <f>'R3'!E38</f>
        <v/>
      </c>
      <c r="F48" s="85" t="str">
        <f>'R3'!F38</f>
        <v/>
      </c>
      <c r="G48" s="85" t="str">
        <f>'R3'!G38</f>
        <v/>
      </c>
      <c r="H48" s="85" t="str">
        <f>'R3'!H38</f>
        <v/>
      </c>
      <c r="I48" s="85" t="str">
        <f>'R3'!I38</f>
        <v/>
      </c>
      <c r="J48" s="85" t="str">
        <f>'R3'!J38</f>
        <v/>
      </c>
      <c r="K48" s="85" t="str">
        <f>'R3'!K38</f>
        <v/>
      </c>
      <c r="L48" s="85" t="str">
        <f>'R3'!L38</f>
        <v/>
      </c>
      <c r="M48" s="85" t="str">
        <f>'R3'!M38</f>
        <v/>
      </c>
      <c r="N48" s="85" t="e">
        <f>'R3'!#REF!</f>
        <v>#REF!</v>
      </c>
      <c r="O48"/>
      <c r="P48" s="85">
        <f>'R3'!O38</f>
        <v>0.79892476779430721</v>
      </c>
      <c r="Q48" s="85" t="str">
        <f>'R3'!P38</f>
        <v/>
      </c>
      <c r="R48" s="85" t="str">
        <f>'R3'!Q38</f>
        <v/>
      </c>
      <c r="S48" s="85" t="str">
        <f>'R3'!R38</f>
        <v/>
      </c>
      <c r="T48" s="85" t="str">
        <f>'R3'!S38</f>
        <v/>
      </c>
      <c r="U48" s="85" t="str">
        <f>'R3'!T38</f>
        <v/>
      </c>
      <c r="V48" s="85" t="str">
        <f>'R3'!U38</f>
        <v/>
      </c>
      <c r="W48" s="85" t="str">
        <f>'R3'!V38</f>
        <v/>
      </c>
    </row>
    <row r="49" spans="1:25" s="1" customFormat="1">
      <c r="A49" s="154"/>
      <c r="B49" s="85" t="str">
        <f>'R3'!B39</f>
        <v/>
      </c>
      <c r="C49" s="85" t="str">
        <f>'R3'!C39</f>
        <v/>
      </c>
      <c r="D49" s="85" t="str">
        <f>'R3'!D39</f>
        <v/>
      </c>
      <c r="E49" s="85" t="str">
        <f>'R3'!E39</f>
        <v/>
      </c>
      <c r="F49" s="85" t="str">
        <f>'R3'!F39</f>
        <v/>
      </c>
      <c r="G49" s="85" t="str">
        <f>'R3'!G39</f>
        <v/>
      </c>
      <c r="H49" s="85" t="str">
        <f>'R3'!H39</f>
        <v/>
      </c>
      <c r="I49" s="85" t="str">
        <f>'R3'!I39</f>
        <v/>
      </c>
      <c r="J49" s="85" t="str">
        <f>'R3'!J39</f>
        <v/>
      </c>
      <c r="K49" s="85" t="str">
        <f>'R3'!K39</f>
        <v/>
      </c>
      <c r="L49" s="85" t="str">
        <f>'R3'!L39</f>
        <v/>
      </c>
      <c r="M49" s="85" t="str">
        <f>'R3'!M39</f>
        <v/>
      </c>
      <c r="N49" s="85" t="e">
        <f>'R3'!#REF!</f>
        <v>#REF!</v>
      </c>
      <c r="O49"/>
      <c r="P49" s="85">
        <f>'R3'!O39</f>
        <v>0.92204799783596325</v>
      </c>
      <c r="Q49" s="85" t="str">
        <f>'R3'!P39</f>
        <v/>
      </c>
      <c r="R49" s="85" t="str">
        <f>'R3'!Q39</f>
        <v/>
      </c>
      <c r="S49" s="85" t="str">
        <f>'R3'!R39</f>
        <v/>
      </c>
      <c r="T49" s="85" t="str">
        <f>'R3'!S39</f>
        <v/>
      </c>
      <c r="U49" s="85" t="str">
        <f>'R3'!T39</f>
        <v/>
      </c>
      <c r="V49" s="85" t="str">
        <f>'R3'!U39</f>
        <v/>
      </c>
      <c r="W49" s="85" t="str">
        <f>'R3'!V39</f>
        <v/>
      </c>
    </row>
    <row r="50" spans="1:25" s="1" customFormat="1">
      <c r="A50" s="154"/>
      <c r="B50" s="85" t="str">
        <f>'R3'!B40</f>
        <v/>
      </c>
      <c r="C50" s="85" t="str">
        <f>'R3'!C40</f>
        <v/>
      </c>
      <c r="D50" s="85" t="str">
        <f>'R3'!D40</f>
        <v/>
      </c>
      <c r="E50" s="85" t="str">
        <f>'R3'!E40</f>
        <v/>
      </c>
      <c r="F50" s="85" t="str">
        <f>'R3'!F40</f>
        <v/>
      </c>
      <c r="G50" s="85" t="str">
        <f>'R3'!G40</f>
        <v/>
      </c>
      <c r="H50" s="85" t="str">
        <f>'R3'!H40</f>
        <v/>
      </c>
      <c r="I50" s="85" t="str">
        <f>'R3'!I40</f>
        <v/>
      </c>
      <c r="J50" s="85" t="str">
        <f>'R3'!J40</f>
        <v/>
      </c>
      <c r="K50" s="85" t="str">
        <f>'R3'!K40</f>
        <v/>
      </c>
      <c r="L50" s="85" t="str">
        <f>'R3'!L40</f>
        <v/>
      </c>
      <c r="M50" s="85" t="str">
        <f>'R3'!M40</f>
        <v/>
      </c>
      <c r="N50" s="85" t="e">
        <f>'R3'!#REF!</f>
        <v>#REF!</v>
      </c>
      <c r="O50"/>
      <c r="P50" s="85">
        <f>'R3'!O40</f>
        <v>1.1230710848612739</v>
      </c>
      <c r="Q50" s="85" t="str">
        <f>'R3'!P40</f>
        <v/>
      </c>
      <c r="R50" s="85" t="str">
        <f>'R3'!Q40</f>
        <v/>
      </c>
      <c r="S50" s="85" t="str">
        <f>'R3'!R40</f>
        <v/>
      </c>
      <c r="T50" s="85" t="str">
        <f>'R3'!S40</f>
        <v/>
      </c>
      <c r="U50" s="85" t="str">
        <f>'R3'!T40</f>
        <v/>
      </c>
      <c r="V50" s="85" t="str">
        <f>'R3'!U40</f>
        <v/>
      </c>
      <c r="W50" s="85" t="str">
        <f>'R3'!V40</f>
        <v/>
      </c>
    </row>
    <row r="51" spans="1:25" s="1" customFormat="1">
      <c r="A51" s="154"/>
      <c r="B51" s="85" t="str">
        <f>'R3'!B41</f>
        <v/>
      </c>
      <c r="C51" s="85" t="str">
        <f>'R3'!C41</f>
        <v/>
      </c>
      <c r="D51" s="85" t="str">
        <f>'R3'!D41</f>
        <v/>
      </c>
      <c r="E51" s="85" t="str">
        <f>'R3'!E41</f>
        <v/>
      </c>
      <c r="F51" s="85" t="str">
        <f>'R3'!F41</f>
        <v/>
      </c>
      <c r="G51" s="85" t="str">
        <f>'R3'!G41</f>
        <v/>
      </c>
      <c r="H51" s="85" t="str">
        <f>'R3'!H41</f>
        <v/>
      </c>
      <c r="I51" s="85" t="str">
        <f>'R3'!I41</f>
        <v/>
      </c>
      <c r="J51" s="85" t="str">
        <f>'R3'!J41</f>
        <v/>
      </c>
      <c r="K51" s="85" t="str">
        <f>'R3'!K41</f>
        <v/>
      </c>
      <c r="L51" s="85" t="str">
        <f>'R3'!L41</f>
        <v/>
      </c>
      <c r="M51" s="85" t="str">
        <f>'R3'!M41</f>
        <v/>
      </c>
      <c r="N51" s="85" t="e">
        <f>'R3'!#REF!</f>
        <v>#REF!</v>
      </c>
      <c r="O51"/>
      <c r="P51" s="85">
        <f>'R3'!O41</f>
        <v>1.549800473406606</v>
      </c>
      <c r="Q51" s="85" t="str">
        <f>'R3'!P41</f>
        <v/>
      </c>
      <c r="R51" s="85" t="str">
        <f>'R3'!Q41</f>
        <v/>
      </c>
      <c r="S51" s="85" t="str">
        <f>'R3'!R41</f>
        <v/>
      </c>
      <c r="T51" s="85" t="str">
        <f>'R3'!S41</f>
        <v/>
      </c>
      <c r="U51" s="85" t="str">
        <f>'R3'!T41</f>
        <v/>
      </c>
      <c r="V51" s="85" t="str">
        <f>'R3'!U41</f>
        <v/>
      </c>
      <c r="W51" s="85" t="str">
        <f>'R3'!V41</f>
        <v/>
      </c>
    </row>
    <row r="52" spans="1:25" s="1" customFormat="1">
      <c r="A52" s="154"/>
      <c r="B52" s="85" t="str">
        <f>'R3'!B42</f>
        <v/>
      </c>
      <c r="C52" s="85" t="str">
        <f>'R3'!C42</f>
        <v/>
      </c>
      <c r="D52" s="85" t="str">
        <f>'R3'!D42</f>
        <v/>
      </c>
      <c r="E52" s="85" t="str">
        <f>'R3'!E42</f>
        <v/>
      </c>
      <c r="F52" s="85" t="str">
        <f>'R3'!F42</f>
        <v/>
      </c>
      <c r="G52" s="85" t="str">
        <f>'R3'!G42</f>
        <v/>
      </c>
      <c r="H52" s="85" t="str">
        <f>'R3'!H42</f>
        <v/>
      </c>
      <c r="I52" s="85" t="str">
        <f>'R3'!I42</f>
        <v/>
      </c>
      <c r="J52" s="85" t="str">
        <f>'R3'!J42</f>
        <v/>
      </c>
      <c r="K52" s="85" t="str">
        <f>'R3'!K42</f>
        <v/>
      </c>
      <c r="L52" s="85" t="str">
        <f>'R3'!L42</f>
        <v/>
      </c>
      <c r="M52" s="85" t="str">
        <f>'R3'!M42</f>
        <v/>
      </c>
      <c r="N52" s="85" t="e">
        <f>'R3'!#REF!</f>
        <v>#REF!</v>
      </c>
      <c r="O52"/>
      <c r="P52" s="85">
        <f>'R3'!O42</f>
        <v>1.1076566585071517</v>
      </c>
      <c r="Q52" s="85" t="str">
        <f>'R3'!P42</f>
        <v/>
      </c>
      <c r="R52" s="85" t="str">
        <f>'R3'!Q42</f>
        <v/>
      </c>
      <c r="S52" s="85" t="str">
        <f>'R3'!R42</f>
        <v/>
      </c>
      <c r="T52" s="85" t="str">
        <f>'R3'!S42</f>
        <v/>
      </c>
      <c r="U52" s="85" t="str">
        <f>'R3'!T42</f>
        <v/>
      </c>
      <c r="V52" s="85" t="str">
        <f>'R3'!U42</f>
        <v/>
      </c>
      <c r="W52" s="85" t="str">
        <f>'R3'!V42</f>
        <v/>
      </c>
    </row>
    <row r="53" spans="1:25" s="1" customFormat="1">
      <c r="A53" s="155"/>
      <c r="B53" s="85" t="str">
        <f>'R3'!B43</f>
        <v/>
      </c>
      <c r="C53" s="85" t="str">
        <f>'R3'!C43</f>
        <v/>
      </c>
      <c r="D53" s="85" t="str">
        <f>'R3'!D43</f>
        <v/>
      </c>
      <c r="E53" s="85" t="str">
        <f>'R3'!E43</f>
        <v/>
      </c>
      <c r="F53" s="85" t="str">
        <f>'R3'!F43</f>
        <v/>
      </c>
      <c r="G53" s="85" t="str">
        <f>'R3'!G43</f>
        <v/>
      </c>
      <c r="H53" s="85" t="str">
        <f>'R3'!H43</f>
        <v/>
      </c>
      <c r="I53" s="85" t="str">
        <f>'R3'!I43</f>
        <v/>
      </c>
      <c r="J53" s="85" t="str">
        <f>'R3'!J43</f>
        <v/>
      </c>
      <c r="K53" s="85" t="str">
        <f>'R3'!K43</f>
        <v/>
      </c>
      <c r="L53" s="85" t="str">
        <f>'R3'!L43</f>
        <v/>
      </c>
      <c r="M53" s="85" t="str">
        <f>'R3'!M43</f>
        <v/>
      </c>
      <c r="N53" s="85" t="e">
        <f>'R3'!#REF!</f>
        <v>#REF!</v>
      </c>
      <c r="O53"/>
      <c r="P53" s="85">
        <f>'R3'!O43</f>
        <v>0.81819393176662947</v>
      </c>
      <c r="Q53" s="85" t="str">
        <f>'R3'!P43</f>
        <v/>
      </c>
      <c r="R53" s="85" t="str">
        <f>'R3'!Q43</f>
        <v/>
      </c>
      <c r="S53" s="85" t="str">
        <f>'R3'!R43</f>
        <v/>
      </c>
      <c r="T53" s="85" t="str">
        <f>'R3'!S43</f>
        <v/>
      </c>
      <c r="U53" s="85" t="str">
        <f>'R3'!T43</f>
        <v/>
      </c>
      <c r="V53" s="85" t="str">
        <f>'R3'!U43</f>
        <v/>
      </c>
      <c r="W53" s="85" t="str">
        <f>'R3'!V43</f>
        <v/>
      </c>
    </row>
    <row r="54" spans="1:25" s="44" customFormat="1">
      <c r="A54" s="42"/>
      <c r="B54" s="43"/>
      <c r="C54" s="43"/>
      <c r="D54" s="43"/>
      <c r="E54" s="43"/>
      <c r="F54" s="43"/>
      <c r="G54" s="43"/>
      <c r="H54" s="43"/>
      <c r="I54" s="43"/>
      <c r="J54" s="43"/>
      <c r="K54" s="43"/>
      <c r="L54" s="43"/>
      <c r="M54" s="43"/>
      <c r="N54" s="43"/>
      <c r="O54"/>
      <c r="P54" s="43"/>
      <c r="Q54" s="43"/>
      <c r="R54" s="43"/>
      <c r="S54" s="43"/>
      <c r="T54" s="43"/>
      <c r="U54" s="43"/>
      <c r="V54" s="43"/>
      <c r="W54" s="43"/>
    </row>
    <row r="55" spans="1:25" s="26" customFormat="1">
      <c r="A55" s="26" t="s">
        <v>27</v>
      </c>
      <c r="B55" s="15" t="str">
        <f t="shared" ref="B55:N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testosterone-300µg/L</v>
      </c>
      <c r="J55" s="15" t="str">
        <f t="shared" si="0"/>
        <v>testosterone-100µg/L</v>
      </c>
      <c r="K55" s="15" t="str">
        <f t="shared" si="0"/>
        <v>testosterone-33µg/L</v>
      </c>
      <c r="L55" s="15" t="str">
        <f t="shared" si="0"/>
        <v>testosterone-11µg/L</v>
      </c>
      <c r="M55" s="15" t="str">
        <f t="shared" si="0"/>
        <v>testosterone-3.7µg/L</v>
      </c>
      <c r="N55" s="15" t="e">
        <f t="shared" si="0"/>
        <v>#REF!</v>
      </c>
      <c r="P55" s="15" t="str">
        <f t="shared" ref="P55:W55" si="1">P4</f>
        <v>Testo -30µg/L</v>
      </c>
      <c r="Q55" s="15" t="str">
        <f t="shared" si="1"/>
        <v>Testo 30µg/L + EE2 -64ng/L</v>
      </c>
      <c r="R55" s="15" t="str">
        <f t="shared" si="1"/>
        <v>Testo 30µg/L + FAD-10mg/L</v>
      </c>
      <c r="S55" s="15" t="str">
        <f t="shared" si="1"/>
        <v>testosterone-300µg/L + Testostérone</v>
      </c>
      <c r="T55" s="15" t="str">
        <f t="shared" si="1"/>
        <v>testosterone-100µg/L + Testostérone</v>
      </c>
      <c r="U55" s="15" t="str">
        <f t="shared" si="1"/>
        <v>testosterone-33µg/L + Testostérone</v>
      </c>
      <c r="V55" s="15" t="str">
        <f t="shared" si="1"/>
        <v>testosterone-11µg/L + Testostérone</v>
      </c>
      <c r="W55" s="15" t="str">
        <f t="shared" si="1"/>
        <v>testosterone-3.7µg/L + Testostérone</v>
      </c>
    </row>
    <row r="56" spans="1:25">
      <c r="A56" t="s">
        <v>28</v>
      </c>
      <c r="B56" s="9">
        <f t="shared" ref="B56:W56" si="2">AVERAGE(B6:B53)</f>
        <v>0.14848258495447639</v>
      </c>
      <c r="C56" s="9">
        <f t="shared" si="2"/>
        <v>0.23135097098026616</v>
      </c>
      <c r="D56" s="9">
        <f t="shared" si="2"/>
        <v>0.59031034607058441</v>
      </c>
      <c r="E56" s="9">
        <f t="shared" si="2"/>
        <v>0.98254778078563543</v>
      </c>
      <c r="F56" s="9">
        <f t="shared" si="2"/>
        <v>1.435789705420544</v>
      </c>
      <c r="G56" s="9">
        <f t="shared" si="2"/>
        <v>1.7159933069436306</v>
      </c>
      <c r="H56" s="9">
        <f t="shared" si="2"/>
        <v>2.1357557752034468</v>
      </c>
      <c r="I56" s="9">
        <f t="shared" si="2"/>
        <v>1.3116012461961022</v>
      </c>
      <c r="J56" s="9">
        <f t="shared" si="2"/>
        <v>1.0949937027123189</v>
      </c>
      <c r="K56" s="9">
        <f t="shared" si="2"/>
        <v>1.0942068411452579</v>
      </c>
      <c r="L56" s="9">
        <f t="shared" si="2"/>
        <v>0.62132564360055031</v>
      </c>
      <c r="M56" s="9">
        <f t="shared" si="2"/>
        <v>0.21465013962945687</v>
      </c>
      <c r="N56" s="9" t="e">
        <f t="shared" si="2"/>
        <v>#REF!</v>
      </c>
      <c r="O56" s="9"/>
      <c r="P56" s="9">
        <f t="shared" si="2"/>
        <v>0.99999999999999967</v>
      </c>
      <c r="Q56" s="9">
        <f t="shared" si="2"/>
        <v>1.6187099958636577</v>
      </c>
      <c r="R56" s="9">
        <f t="shared" si="2"/>
        <v>0.19570792983845467</v>
      </c>
      <c r="S56" s="9">
        <f t="shared" si="2"/>
        <v>1.021366477560316</v>
      </c>
      <c r="T56" s="9">
        <f t="shared" si="2"/>
        <v>0.72317897017053445</v>
      </c>
      <c r="U56" s="9">
        <f t="shared" si="2"/>
        <v>0.75589178688852021</v>
      </c>
      <c r="V56" s="9">
        <f t="shared" si="2"/>
        <v>0.76240335675542337</v>
      </c>
      <c r="W56" s="9">
        <f t="shared" si="2"/>
        <v>0.8335507420204924</v>
      </c>
    </row>
    <row r="57" spans="1:25">
      <c r="A57" t="s">
        <v>1</v>
      </c>
      <c r="B57" s="3">
        <f>STDEV(B6:B53)</f>
        <v>0.15316663747635634</v>
      </c>
      <c r="C57" s="3">
        <f t="shared" ref="C57:W57" si="3">STDEV(C6:C53)</f>
        <v>0.24469955784085948</v>
      </c>
      <c r="D57" s="3">
        <f t="shared" si="3"/>
        <v>0.45767695250438112</v>
      </c>
      <c r="E57" s="3">
        <f t="shared" si="3"/>
        <v>0.36855290705089511</v>
      </c>
      <c r="F57" s="3">
        <f t="shared" si="3"/>
        <v>0.43876566520588778</v>
      </c>
      <c r="G57" s="3">
        <f t="shared" si="3"/>
        <v>0.63050819656938073</v>
      </c>
      <c r="H57" s="3">
        <f t="shared" si="3"/>
        <v>0.61681388915053681</v>
      </c>
      <c r="I57" s="3">
        <f t="shared" si="3"/>
        <v>0.57951009257334074</v>
      </c>
      <c r="J57" s="3">
        <f t="shared" si="3"/>
        <v>0.5359335034335303</v>
      </c>
      <c r="K57" s="3">
        <f t="shared" si="3"/>
        <v>0.47752055812045852</v>
      </c>
      <c r="L57" s="3">
        <f t="shared" si="3"/>
        <v>0.34980140444622343</v>
      </c>
      <c r="M57" s="3">
        <f t="shared" si="3"/>
        <v>0.13117291700992373</v>
      </c>
      <c r="N57" s="3" t="e">
        <f t="shared" si="3"/>
        <v>#REF!</v>
      </c>
      <c r="O57" s="3"/>
      <c r="P57" s="3">
        <f t="shared" si="3"/>
        <v>0.41460556449849173</v>
      </c>
      <c r="Q57" s="3">
        <f t="shared" si="3"/>
        <v>0.42360590365694528</v>
      </c>
      <c r="R57" s="3">
        <f t="shared" si="3"/>
        <v>0.17322300135589175</v>
      </c>
      <c r="S57" s="3">
        <f t="shared" si="3"/>
        <v>0.50251598684135423</v>
      </c>
      <c r="T57" s="3">
        <f t="shared" si="3"/>
        <v>0.33215723412098175</v>
      </c>
      <c r="U57" s="3">
        <f t="shared" si="3"/>
        <v>0.36723170471745792</v>
      </c>
      <c r="V57" s="3">
        <f t="shared" si="3"/>
        <v>0.39287756630282783</v>
      </c>
      <c r="W57" s="3">
        <f t="shared" si="3"/>
        <v>0.3525619339417127</v>
      </c>
      <c r="X57" s="3"/>
      <c r="Y57" s="3"/>
    </row>
    <row r="58" spans="1:25">
      <c r="A58" t="s">
        <v>2</v>
      </c>
      <c r="B58" s="3">
        <f xml:space="preserve"> B57/SQRT(COUNT(B6:B53))</f>
        <v>3.1265008952910366E-2</v>
      </c>
      <c r="C58" s="3">
        <f t="shared" ref="C58:W58" si="4" xml:space="preserve"> C57/SQRT(COUNT(C6:C53))</f>
        <v>4.9949088082897032E-2</v>
      </c>
      <c r="D58" s="3">
        <f t="shared" si="4"/>
        <v>9.3422916722312122E-2</v>
      </c>
      <c r="E58" s="3">
        <f t="shared" si="4"/>
        <v>7.5230547124507469E-2</v>
      </c>
      <c r="F58" s="3">
        <f t="shared" si="4"/>
        <v>8.9562666367271684E-2</v>
      </c>
      <c r="G58" s="3">
        <f t="shared" si="4"/>
        <v>0.12870194668645149</v>
      </c>
      <c r="H58" s="3">
        <f t="shared" si="4"/>
        <v>0.12590660789003669</v>
      </c>
      <c r="I58" s="3">
        <f t="shared" si="4"/>
        <v>0.11829200229981068</v>
      </c>
      <c r="J58" s="3">
        <f t="shared" si="4"/>
        <v>0.10939696828952382</v>
      </c>
      <c r="K58" s="3">
        <f t="shared" si="4"/>
        <v>9.747347575701347E-2</v>
      </c>
      <c r="L58" s="3">
        <f t="shared" si="4"/>
        <v>7.1402912683514536E-2</v>
      </c>
      <c r="M58" s="3">
        <f t="shared" si="4"/>
        <v>2.6775559562229774E-2</v>
      </c>
      <c r="N58" s="3" t="e">
        <f t="shared" si="4"/>
        <v>#REF!</v>
      </c>
      <c r="O58" s="3"/>
      <c r="P58" s="3">
        <f t="shared" si="4"/>
        <v>5.9843158567680244E-2</v>
      </c>
      <c r="Q58" s="3">
        <f t="shared" si="4"/>
        <v>8.8327936792145623E-2</v>
      </c>
      <c r="R58" s="3">
        <f t="shared" si="4"/>
        <v>3.5358997086281117E-2</v>
      </c>
      <c r="S58" s="3">
        <f t="shared" si="4"/>
        <v>0.10257564627937199</v>
      </c>
      <c r="T58" s="3">
        <f t="shared" si="4"/>
        <v>6.7801311497547964E-2</v>
      </c>
      <c r="U58" s="3">
        <f t="shared" si="4"/>
        <v>7.4960857827516172E-2</v>
      </c>
      <c r="V58" s="3">
        <f t="shared" si="4"/>
        <v>8.1920635533803687E-2</v>
      </c>
      <c r="W58" s="3">
        <f t="shared" si="4"/>
        <v>7.1966403407168811E-2</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2" customFormat="1" ht="27" thickBot="1">
      <c r="A60" s="156" t="s">
        <v>26</v>
      </c>
      <c r="B60" s="157"/>
      <c r="C60" s="157"/>
      <c r="D60" s="157"/>
      <c r="E60" s="157"/>
      <c r="F60" s="157"/>
      <c r="G60" s="157"/>
      <c r="H60" s="157"/>
      <c r="I60" s="157"/>
      <c r="J60" s="157"/>
      <c r="K60" s="157"/>
      <c r="L60" s="157"/>
      <c r="M60" s="157"/>
      <c r="N60" s="157"/>
      <c r="O60" s="157"/>
      <c r="P60" s="157"/>
      <c r="Q60" s="157"/>
      <c r="R60" s="157"/>
      <c r="S60" s="157"/>
      <c r="T60" s="157"/>
      <c r="U60" s="157"/>
      <c r="V60" s="157"/>
      <c r="W60" s="157"/>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testosterone-300µg/L</v>
      </c>
      <c r="J62" s="3" t="str">
        <f t="shared" si="6"/>
        <v>testosterone-100µg/L</v>
      </c>
      <c r="K62" s="3" t="str">
        <f t="shared" si="6"/>
        <v>testosterone-33µg/L</v>
      </c>
      <c r="L62" s="3" t="str">
        <f t="shared" si="6"/>
        <v>testosterone-11µg/L</v>
      </c>
      <c r="M62" s="3" t="str">
        <f t="shared" si="6"/>
        <v>testosterone-3.7µg/L</v>
      </c>
      <c r="N62" s="3" t="e">
        <f t="shared" si="6"/>
        <v>#REF!</v>
      </c>
      <c r="O62" s="3"/>
      <c r="P62" s="3" t="str">
        <f t="shared" si="6"/>
        <v>Testo -30µg/L</v>
      </c>
      <c r="Q62" s="3" t="str">
        <f t="shared" si="6"/>
        <v>Testo 30µg/L + EE2 -64ng/L</v>
      </c>
      <c r="R62" s="3" t="str">
        <f t="shared" si="6"/>
        <v>Testo 30µg/L + FAD-10mg/L</v>
      </c>
      <c r="S62" s="3" t="str">
        <f t="shared" si="6"/>
        <v>testosterone-300µg/L + Testostérone</v>
      </c>
      <c r="T62" s="3" t="str">
        <f t="shared" si="6"/>
        <v>testosterone-100µg/L + Testostérone</v>
      </c>
      <c r="U62" s="3" t="str">
        <f t="shared" si="6"/>
        <v>testosterone-33µg/L + Testostérone</v>
      </c>
      <c r="V62" s="3" t="str">
        <f t="shared" si="6"/>
        <v>testosterone-11µg/L + Testostérone</v>
      </c>
      <c r="W62" s="3" t="str">
        <f t="shared" si="6"/>
        <v>testosterone-3.7µg/L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48</v>
      </c>
      <c r="Q63" s="3">
        <f t="shared" si="7"/>
        <v>23</v>
      </c>
      <c r="R63" s="3">
        <f t="shared" si="7"/>
        <v>24</v>
      </c>
      <c r="S63" s="3">
        <f t="shared" si="7"/>
        <v>24</v>
      </c>
      <c r="T63" s="3">
        <f t="shared" si="7"/>
        <v>24</v>
      </c>
      <c r="U63" s="3">
        <f t="shared" si="7"/>
        <v>24</v>
      </c>
      <c r="V63" s="3">
        <f t="shared" si="7"/>
        <v>23</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2" customFormat="1" ht="27" thickBot="1">
      <c r="A65" s="156" t="s">
        <v>37</v>
      </c>
      <c r="B65" s="157"/>
      <c r="C65" s="157"/>
      <c r="D65" s="157"/>
      <c r="E65" s="157"/>
      <c r="F65" s="157"/>
      <c r="G65" s="157"/>
      <c r="H65" s="157"/>
      <c r="I65" s="157"/>
      <c r="J65" s="157"/>
      <c r="K65" s="157"/>
      <c r="L65" s="157"/>
      <c r="M65" s="157"/>
      <c r="N65" s="157"/>
      <c r="O65" s="157"/>
      <c r="P65" s="157"/>
      <c r="Q65" s="157"/>
      <c r="R65" s="157"/>
      <c r="S65" s="157"/>
      <c r="T65" s="157"/>
      <c r="U65" s="157"/>
      <c r="V65" s="157"/>
      <c r="W65" s="157"/>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2" customFormat="1" ht="27" thickBot="1">
      <c r="A70" s="156" t="s">
        <v>32</v>
      </c>
      <c r="B70" s="157"/>
      <c r="C70" s="157"/>
      <c r="D70" s="157"/>
      <c r="E70" s="157"/>
      <c r="F70" s="157"/>
      <c r="G70" s="157"/>
      <c r="H70" s="157"/>
      <c r="I70" s="157"/>
      <c r="J70" s="157"/>
      <c r="K70" s="157"/>
      <c r="L70" s="157"/>
      <c r="M70" s="157"/>
      <c r="N70" s="157"/>
      <c r="O70" s="157"/>
      <c r="P70" s="157"/>
      <c r="Q70" s="157"/>
      <c r="R70" s="157"/>
      <c r="S70" s="157"/>
      <c r="T70" s="157"/>
      <c r="U70" s="157"/>
      <c r="V70" s="157"/>
      <c r="W70" s="157"/>
    </row>
    <row r="71" spans="1:23" ht="15.75" thickBot="1"/>
    <row r="72" spans="1:23" s="32" customFormat="1" ht="27" thickBot="1">
      <c r="A72" s="156" t="s">
        <v>33</v>
      </c>
      <c r="B72" s="157"/>
      <c r="C72" s="157"/>
      <c r="D72" s="157"/>
      <c r="E72" s="157"/>
      <c r="F72" s="157"/>
      <c r="G72" s="157"/>
      <c r="H72" s="157"/>
      <c r="I72" s="157"/>
      <c r="J72" s="157"/>
      <c r="K72" s="157"/>
      <c r="L72" s="157"/>
      <c r="M72" s="157"/>
      <c r="N72" s="157"/>
      <c r="O72" s="157"/>
      <c r="P72" s="157"/>
      <c r="Q72" s="157"/>
      <c r="R72" s="157"/>
      <c r="S72" s="157"/>
      <c r="T72" s="157"/>
      <c r="U72" s="157"/>
      <c r="V72" s="157"/>
      <c r="W72" s="157"/>
    </row>
    <row r="73" spans="1:23" ht="15.75" thickBot="1">
      <c r="J73" s="3">
        <v>1</v>
      </c>
      <c r="K73" s="3">
        <v>2</v>
      </c>
      <c r="L73" s="3">
        <v>3</v>
      </c>
      <c r="M73" s="3">
        <v>4</v>
      </c>
      <c r="N73" s="3">
        <v>5</v>
      </c>
      <c r="S73" s="3">
        <v>1</v>
      </c>
      <c r="T73" s="3">
        <v>2</v>
      </c>
      <c r="U73" s="3">
        <v>3</v>
      </c>
      <c r="V73" s="3">
        <v>4</v>
      </c>
      <c r="W73" s="3">
        <v>5</v>
      </c>
    </row>
    <row r="74" spans="1:23" s="1" customFormat="1">
      <c r="A74" s="29" t="s">
        <v>22</v>
      </c>
      <c r="B74" s="30" t="str">
        <f t="shared" ref="B74:N74" si="9">B4</f>
        <v>Solvent control</v>
      </c>
      <c r="C74" s="30" t="str">
        <f t="shared" si="9"/>
        <v>EE2-33.8ng/L</v>
      </c>
      <c r="D74" s="30" t="str">
        <f t="shared" si="9"/>
        <v>EE2-50.6ng/L</v>
      </c>
      <c r="E74" s="30" t="str">
        <f t="shared" si="9"/>
        <v>EE2-76ng/L</v>
      </c>
      <c r="F74" s="30" t="str">
        <f t="shared" si="9"/>
        <v>EE2-114ng/L</v>
      </c>
      <c r="G74" s="30" t="str">
        <f t="shared" si="9"/>
        <v>EE2-170.9ng/L</v>
      </c>
      <c r="H74" s="30" t="str">
        <f t="shared" si="9"/>
        <v>EE2-488ng/L</v>
      </c>
      <c r="I74" s="30" t="str">
        <f t="shared" si="9"/>
        <v>testosterone-300µg/L</v>
      </c>
      <c r="J74" s="30" t="str">
        <f t="shared" si="9"/>
        <v>testosterone-100µg/L</v>
      </c>
      <c r="K74" s="30" t="str">
        <f t="shared" si="9"/>
        <v>testosterone-33µg/L</v>
      </c>
      <c r="L74" s="30" t="str">
        <f t="shared" si="9"/>
        <v>testosterone-11µg/L</v>
      </c>
      <c r="M74" s="30" t="str">
        <f t="shared" si="9"/>
        <v>testosterone-3.7µg/L</v>
      </c>
      <c r="N74" s="30" t="e">
        <f t="shared" si="9"/>
        <v>#REF!</v>
      </c>
      <c r="O74" s="30"/>
      <c r="P74" s="30" t="str">
        <f t="shared" ref="P74:W74" si="10">P4</f>
        <v>Testo -30µg/L</v>
      </c>
      <c r="Q74" s="30" t="str">
        <f t="shared" si="10"/>
        <v>Testo 30µg/L + EE2 -64ng/L</v>
      </c>
      <c r="R74" s="30" t="str">
        <f t="shared" si="10"/>
        <v>Testo 30µg/L + FAD-10mg/L</v>
      </c>
      <c r="S74" s="30" t="str">
        <f t="shared" si="10"/>
        <v>testosterone-300µg/L + Testostérone</v>
      </c>
      <c r="T74" s="30" t="str">
        <f t="shared" si="10"/>
        <v>testosterone-100µg/L + Testostérone</v>
      </c>
      <c r="U74" s="30" t="str">
        <f t="shared" si="10"/>
        <v>testosterone-33µg/L + Testostérone</v>
      </c>
      <c r="V74" s="30" t="str">
        <f t="shared" si="10"/>
        <v>testosterone-11µg/L + Testostérone</v>
      </c>
      <c r="W74" s="30" t="str">
        <f t="shared" si="10"/>
        <v>testosterone-3.7µg/L + Testostérone</v>
      </c>
    </row>
    <row r="75" spans="1:23" s="3" customFormat="1">
      <c r="A75" s="45" t="s">
        <v>15</v>
      </c>
      <c r="B75" s="77">
        <f>B56</f>
        <v>0.14848258495447639</v>
      </c>
      <c r="C75" s="77">
        <f t="shared" ref="C75:W75" si="11">C56</f>
        <v>0.23135097098026616</v>
      </c>
      <c r="D75" s="77">
        <f t="shared" si="11"/>
        <v>0.59031034607058441</v>
      </c>
      <c r="E75" s="77">
        <f t="shared" si="11"/>
        <v>0.98254778078563543</v>
      </c>
      <c r="F75" s="77">
        <f t="shared" si="11"/>
        <v>1.435789705420544</v>
      </c>
      <c r="G75" s="77">
        <f t="shared" si="11"/>
        <v>1.7159933069436306</v>
      </c>
      <c r="H75" s="77">
        <f t="shared" si="11"/>
        <v>2.1357557752034468</v>
      </c>
      <c r="I75" s="77">
        <f t="shared" si="11"/>
        <v>1.3116012461961022</v>
      </c>
      <c r="J75" s="77">
        <f t="shared" si="11"/>
        <v>1.0949937027123189</v>
      </c>
      <c r="K75" s="77">
        <f t="shared" si="11"/>
        <v>1.0942068411452579</v>
      </c>
      <c r="L75" s="77">
        <f t="shared" si="11"/>
        <v>0.62132564360055031</v>
      </c>
      <c r="M75" s="77">
        <f t="shared" si="11"/>
        <v>0.21465013962945687</v>
      </c>
      <c r="N75" s="77" t="e">
        <f t="shared" si="11"/>
        <v>#REF!</v>
      </c>
      <c r="O75" s="77"/>
      <c r="P75" s="77">
        <f t="shared" si="11"/>
        <v>0.99999999999999967</v>
      </c>
      <c r="Q75" s="77">
        <f t="shared" si="11"/>
        <v>1.6187099958636577</v>
      </c>
      <c r="R75" s="77">
        <f t="shared" si="11"/>
        <v>0.19570792983845467</v>
      </c>
      <c r="S75" s="77">
        <f t="shared" si="11"/>
        <v>1.021366477560316</v>
      </c>
      <c r="T75" s="77">
        <f t="shared" si="11"/>
        <v>0.72317897017053445</v>
      </c>
      <c r="U75" s="77">
        <f t="shared" si="11"/>
        <v>0.75589178688852021</v>
      </c>
      <c r="V75" s="77">
        <f t="shared" si="11"/>
        <v>0.76240335675542337</v>
      </c>
      <c r="W75" s="77">
        <f t="shared" si="11"/>
        <v>0.8335507420204924</v>
      </c>
    </row>
    <row r="76" spans="1:23" s="3" customFormat="1">
      <c r="A76" s="45" t="s">
        <v>2</v>
      </c>
      <c r="B76" s="77">
        <f>B58</f>
        <v>3.1265008952910366E-2</v>
      </c>
      <c r="C76" s="77">
        <f t="shared" ref="C76:W76" si="12">C58</f>
        <v>4.9949088082897032E-2</v>
      </c>
      <c r="D76" s="77">
        <f t="shared" si="12"/>
        <v>9.3422916722312122E-2</v>
      </c>
      <c r="E76" s="77">
        <f t="shared" si="12"/>
        <v>7.5230547124507469E-2</v>
      </c>
      <c r="F76" s="77">
        <f t="shared" si="12"/>
        <v>8.9562666367271684E-2</v>
      </c>
      <c r="G76" s="77">
        <f t="shared" si="12"/>
        <v>0.12870194668645149</v>
      </c>
      <c r="H76" s="77">
        <f t="shared" si="12"/>
        <v>0.12590660789003669</v>
      </c>
      <c r="I76" s="77">
        <f t="shared" si="12"/>
        <v>0.11829200229981068</v>
      </c>
      <c r="J76" s="77">
        <f t="shared" si="12"/>
        <v>0.10939696828952382</v>
      </c>
      <c r="K76" s="77">
        <f t="shared" si="12"/>
        <v>9.747347575701347E-2</v>
      </c>
      <c r="L76" s="77">
        <f t="shared" si="12"/>
        <v>7.1402912683514536E-2</v>
      </c>
      <c r="M76" s="77">
        <f t="shared" si="12"/>
        <v>2.6775559562229774E-2</v>
      </c>
      <c r="N76" s="77" t="e">
        <f t="shared" si="12"/>
        <v>#REF!</v>
      </c>
      <c r="O76" s="77"/>
      <c r="P76" s="77">
        <f t="shared" si="12"/>
        <v>5.9843158567680244E-2</v>
      </c>
      <c r="Q76" s="77">
        <f t="shared" si="12"/>
        <v>8.8327936792145623E-2</v>
      </c>
      <c r="R76" s="77">
        <f t="shared" si="12"/>
        <v>3.5358997086281117E-2</v>
      </c>
      <c r="S76" s="77">
        <f t="shared" si="12"/>
        <v>0.10257564627937199</v>
      </c>
      <c r="T76" s="77">
        <f t="shared" si="12"/>
        <v>6.7801311497547964E-2</v>
      </c>
      <c r="U76" s="77">
        <f t="shared" si="12"/>
        <v>7.4960857827516172E-2</v>
      </c>
      <c r="V76" s="77">
        <f t="shared" si="12"/>
        <v>8.1920635533803687E-2</v>
      </c>
      <c r="W76" s="77">
        <f t="shared" si="12"/>
        <v>7.1966403407168811E-2</v>
      </c>
    </row>
    <row r="77" spans="1:23" s="3" customFormat="1">
      <c r="A77" s="45" t="s">
        <v>42</v>
      </c>
      <c r="B77" s="77">
        <f>(B75*100/$B$75)-100</f>
        <v>0</v>
      </c>
      <c r="C77" s="77">
        <f t="shared" ref="C77:N77" si="13">(C75*100/$B$75)-100</f>
        <v>55.810171981580595</v>
      </c>
      <c r="D77" s="77">
        <f t="shared" si="13"/>
        <v>297.56200786211326</v>
      </c>
      <c r="E77" s="77">
        <f t="shared" si="13"/>
        <v>561.72593983791228</v>
      </c>
      <c r="F77" s="77">
        <f t="shared" si="13"/>
        <v>866.97515460196632</v>
      </c>
      <c r="G77" s="77">
        <f t="shared" si="13"/>
        <v>1055.6865793182014</v>
      </c>
      <c r="H77" s="77">
        <f t="shared" si="13"/>
        <v>1338.3880613731592</v>
      </c>
      <c r="I77" s="77">
        <f t="shared" si="13"/>
        <v>783.33675400265224</v>
      </c>
      <c r="J77" s="77">
        <f t="shared" si="13"/>
        <v>637.45598047611804</v>
      </c>
      <c r="K77" s="77">
        <f t="shared" si="13"/>
        <v>636.92604521987084</v>
      </c>
      <c r="L77" s="77">
        <f t="shared" si="13"/>
        <v>318.45017972379986</v>
      </c>
      <c r="M77" s="77">
        <f t="shared" si="13"/>
        <v>44.562501855195308</v>
      </c>
      <c r="N77" s="77" t="e">
        <f t="shared" si="13"/>
        <v>#REF!</v>
      </c>
      <c r="O77" s="77"/>
      <c r="P77" s="77">
        <f>(P75*100/$P$75)-100</f>
        <v>0</v>
      </c>
      <c r="Q77" s="77">
        <f t="shared" ref="Q77:W77" si="14">(Q75*100/$P$75)-100</f>
        <v>61.870999586365826</v>
      </c>
      <c r="R77" s="77">
        <f t="shared" si="14"/>
        <v>-80.429207016154521</v>
      </c>
      <c r="S77" s="77">
        <f t="shared" si="14"/>
        <v>2.1366477560316213</v>
      </c>
      <c r="T77" s="77">
        <f t="shared" si="14"/>
        <v>-27.682102982946532</v>
      </c>
      <c r="U77" s="77">
        <f t="shared" si="14"/>
        <v>-24.410821311147956</v>
      </c>
      <c r="V77" s="77">
        <f t="shared" si="14"/>
        <v>-23.759664324457631</v>
      </c>
      <c r="W77" s="77">
        <f t="shared" si="14"/>
        <v>-16.644925797950734</v>
      </c>
    </row>
    <row r="78" spans="1:23" s="3" customFormat="1">
      <c r="A78" s="45" t="s">
        <v>43</v>
      </c>
      <c r="B78" s="77" t="e">
        <f ca="1">[2]!DPTEST(B6:B53)</f>
        <v>#NAME?</v>
      </c>
      <c r="C78" s="77" t="e">
        <f ca="1">[2]!DPTEST(C6:C53)</f>
        <v>#NAME?</v>
      </c>
      <c r="D78" s="77" t="e">
        <f ca="1">[2]!DPTEST(D6:D53)</f>
        <v>#NAME?</v>
      </c>
      <c r="E78" s="77" t="e">
        <f ca="1">[2]!DPTEST(E6:E53)</f>
        <v>#NAME?</v>
      </c>
      <c r="F78" s="77" t="e">
        <f ca="1">[2]!DPTEST(F6:F53)</f>
        <v>#NAME?</v>
      </c>
      <c r="G78" s="77" t="e">
        <f ca="1">[2]!DPTEST(G6:G53)</f>
        <v>#NAME?</v>
      </c>
      <c r="H78" s="77" t="e">
        <f ca="1">[2]!DPTEST(H6:H53)</f>
        <v>#NAME?</v>
      </c>
      <c r="I78" s="77" t="e">
        <f ca="1">[2]!DPTEST(I6:I53)</f>
        <v>#NAME?</v>
      </c>
      <c r="J78" s="77" t="e">
        <f ca="1">[2]!DPTEST(J6:J53)</f>
        <v>#NAME?</v>
      </c>
      <c r="K78" s="77" t="e">
        <f ca="1">[2]!DPTEST(K6:K53)</f>
        <v>#NAME?</v>
      </c>
      <c r="L78" s="77" t="e">
        <f ca="1">[2]!DPTEST(L6:L53)</f>
        <v>#NAME?</v>
      </c>
      <c r="M78" s="77" t="e">
        <f ca="1">[2]!DPTEST(M6:M53)</f>
        <v>#NAME?</v>
      </c>
      <c r="N78" s="77" t="e">
        <f ca="1">[2]!DPTEST(N6:N53)</f>
        <v>#NAME?</v>
      </c>
      <c r="O78" s="77" t="e">
        <f ca="1">[2]!DPTEST(O6:O53)</f>
        <v>#NAME?</v>
      </c>
      <c r="P78" s="77" t="e">
        <f ca="1">[2]!DPTEST(P6:P53)</f>
        <v>#NAME?</v>
      </c>
      <c r="Q78" s="77" t="e">
        <f ca="1">[2]!DPTEST(Q6:Q53)</f>
        <v>#NAME?</v>
      </c>
      <c r="R78" s="77" t="e">
        <f ca="1">[2]!DPTEST(R6:R53)</f>
        <v>#NAME?</v>
      </c>
      <c r="S78" s="77" t="e">
        <f ca="1">[2]!DPTEST(S6:S53)</f>
        <v>#NAME?</v>
      </c>
      <c r="T78" s="77" t="e">
        <f ca="1">[2]!DPTEST(T6:T53)</f>
        <v>#NAME?</v>
      </c>
      <c r="U78" s="77" t="e">
        <f ca="1">[2]!DPTEST(U6:U53)</f>
        <v>#NAME?</v>
      </c>
      <c r="V78" s="77" t="e">
        <f ca="1">[2]!DPTEST(V6:V53)</f>
        <v>#NAME?</v>
      </c>
      <c r="W78" s="77" t="e">
        <f ca="1">[2]!DPTEST(W6:W53)</f>
        <v>#NAME?</v>
      </c>
    </row>
    <row r="79" spans="1:23" s="3" customFormat="1">
      <c r="A79" s="45" t="s">
        <v>47</v>
      </c>
      <c r="B79" s="77" t="e">
        <f ca="1">IF(B78&gt;0.05,"Oui","Non")</f>
        <v>#NAME?</v>
      </c>
      <c r="C79" s="77" t="e">
        <f t="shared" ref="C79:W79" ca="1" si="15">IF(C78&gt;0.05,"Oui","Non")</f>
        <v>#NAME?</v>
      </c>
      <c r="D79" s="77" t="e">
        <f t="shared" ca="1" si="15"/>
        <v>#NAME?</v>
      </c>
      <c r="E79" s="77" t="e">
        <f t="shared" ca="1" si="15"/>
        <v>#NAME?</v>
      </c>
      <c r="F79" s="77" t="e">
        <f t="shared" ca="1" si="15"/>
        <v>#NAME?</v>
      </c>
      <c r="G79" s="77" t="e">
        <f t="shared" ca="1" si="15"/>
        <v>#NAME?</v>
      </c>
      <c r="H79" s="77" t="e">
        <f t="shared" ca="1" si="15"/>
        <v>#NAME?</v>
      </c>
      <c r="I79" s="77" t="e">
        <f t="shared" ca="1" si="15"/>
        <v>#NAME?</v>
      </c>
      <c r="J79" s="77" t="e">
        <f t="shared" ca="1" si="15"/>
        <v>#NAME?</v>
      </c>
      <c r="K79" s="77" t="e">
        <f t="shared" ca="1" si="15"/>
        <v>#NAME?</v>
      </c>
      <c r="L79" s="77" t="e">
        <f t="shared" ca="1" si="15"/>
        <v>#NAME?</v>
      </c>
      <c r="M79" s="77" t="e">
        <f t="shared" ca="1" si="15"/>
        <v>#NAME?</v>
      </c>
      <c r="N79" s="77" t="e">
        <f t="shared" ca="1" si="15"/>
        <v>#NAME?</v>
      </c>
      <c r="O79" s="77"/>
      <c r="P79" s="77" t="e">
        <f t="shared" ca="1" si="15"/>
        <v>#NAME?</v>
      </c>
      <c r="Q79" s="77" t="e">
        <f t="shared" ca="1" si="15"/>
        <v>#NAME?</v>
      </c>
      <c r="R79" s="77" t="e">
        <f t="shared" ca="1" si="15"/>
        <v>#NAME?</v>
      </c>
      <c r="S79" s="77" t="e">
        <f t="shared" ca="1" si="15"/>
        <v>#NAME?</v>
      </c>
      <c r="T79" s="77" t="e">
        <f t="shared" ca="1" si="15"/>
        <v>#NAME?</v>
      </c>
      <c r="U79" s="77" t="e">
        <f t="shared" ca="1" si="15"/>
        <v>#NAME?</v>
      </c>
      <c r="V79" s="77" t="e">
        <f t="shared" ca="1" si="15"/>
        <v>#NAME?</v>
      </c>
      <c r="W79" s="77" t="e">
        <f t="shared" ca="1" si="15"/>
        <v>#NAME?</v>
      </c>
    </row>
    <row r="80" spans="1:23" s="3" customFormat="1">
      <c r="A80" s="45" t="s">
        <v>49</v>
      </c>
      <c r="B80" s="77" t="str">
        <f ca="1">IF(COUNTIF(B79:I79, "Non")=0, "Oui","Non")</f>
        <v>Oui</v>
      </c>
      <c r="C80" s="77"/>
      <c r="D80" s="77"/>
      <c r="E80" s="77"/>
      <c r="F80" s="77"/>
      <c r="G80" s="77"/>
      <c r="H80" s="77"/>
      <c r="I80" s="77"/>
      <c r="J80" s="77" t="str">
        <f ca="1">IF(COUNTIF(J79:N79, "Non")&gt;0, "Oui","Non")</f>
        <v>Non</v>
      </c>
      <c r="K80" s="77"/>
      <c r="L80" s="77"/>
      <c r="M80" s="77"/>
      <c r="N80" s="77"/>
      <c r="O80" s="77"/>
      <c r="P80" s="77"/>
      <c r="Q80" s="77"/>
      <c r="R80" s="77"/>
      <c r="S80" s="77" t="str">
        <f ca="1">IF(COUNTIF(S79:W79, "Non")&gt;0, "Oui","Non")</f>
        <v>Non</v>
      </c>
      <c r="T80" s="77"/>
      <c r="U80" s="77"/>
      <c r="V80" s="77"/>
      <c r="W80" s="77"/>
    </row>
    <row r="81" spans="1:23" s="3" customFormat="1">
      <c r="A81" s="45" t="s">
        <v>44</v>
      </c>
      <c r="B81" s="77"/>
      <c r="C81" s="77" t="str">
        <f t="shared" ref="C81:I81" ca="1" si="16">IF($B80="Non","Kruskal-Wallis","ANOVA")</f>
        <v>ANOVA</v>
      </c>
      <c r="D81" s="77" t="str">
        <f t="shared" ca="1" si="16"/>
        <v>ANOVA</v>
      </c>
      <c r="E81" s="77" t="str">
        <f t="shared" ca="1" si="16"/>
        <v>ANOVA</v>
      </c>
      <c r="F81" s="77" t="str">
        <f t="shared" ca="1" si="16"/>
        <v>ANOVA</v>
      </c>
      <c r="G81" s="77" t="str">
        <f t="shared" ca="1" si="16"/>
        <v>ANOVA</v>
      </c>
      <c r="H81" s="77" t="str">
        <f t="shared" ca="1" si="16"/>
        <v>ANOVA</v>
      </c>
      <c r="I81" s="77" t="str">
        <f t="shared" ca="1" si="16"/>
        <v>ANOVA</v>
      </c>
      <c r="J81" s="77" t="e">
        <f t="shared" ref="J81:N81" ca="1" si="17">IF($B79="Non",IF(J79="Non","Mann Withney",IF(J79="Oui","Mann Withney","")),IF($B79="Oui",IF(J79="Oui","T-Test Welch",IF(J79="Non","Mann Withney",""))))</f>
        <v>#NAME?</v>
      </c>
      <c r="K81" s="77" t="e">
        <f t="shared" ca="1" si="17"/>
        <v>#NAME?</v>
      </c>
      <c r="L81" s="77" t="e">
        <f t="shared" ca="1" si="17"/>
        <v>#NAME?</v>
      </c>
      <c r="M81" s="77" t="e">
        <f t="shared" ca="1" si="17"/>
        <v>#NAME?</v>
      </c>
      <c r="N81" s="77" t="e">
        <f t="shared" ca="1" si="17"/>
        <v>#NAME?</v>
      </c>
      <c r="O81" s="77"/>
      <c r="P81" s="77" t="e">
        <f ca="1">IF($B79="Non",IF(P79="Non","Mann Withney",IF(P79="Oui","Mann Withney","")),IF($B79="Oui",IF(P79="Oui","T-Test Welch",IF(P79="Non","Mann Withney",""))))</f>
        <v>#NAME?</v>
      </c>
      <c r="Q81" s="77" t="e">
        <f t="shared" ref="Q81:W81" ca="1" si="18">IF($P79="Non",IF(Q79="Non","Mann Withney",IF(Q$79="Oui","Mann Withney","")),IF($P79="Oui",IF(Q79="Oui","T-Test Welch",IF(Q79="Non","Mann Withney",""))))</f>
        <v>#NAME?</v>
      </c>
      <c r="R81" s="77" t="e">
        <f t="shared" ca="1" si="18"/>
        <v>#NAME?</v>
      </c>
      <c r="S81" s="77" t="e">
        <f t="shared" ca="1" si="18"/>
        <v>#NAME?</v>
      </c>
      <c r="T81" s="77" t="e">
        <f t="shared" ca="1" si="18"/>
        <v>#NAME?</v>
      </c>
      <c r="U81" s="77" t="e">
        <f t="shared" ca="1" si="18"/>
        <v>#NAME?</v>
      </c>
      <c r="V81" s="77" t="e">
        <f t="shared" ca="1" si="18"/>
        <v>#NAME?</v>
      </c>
      <c r="W81" s="77" t="e">
        <f t="shared" ca="1" si="18"/>
        <v>#NAME?</v>
      </c>
    </row>
    <row r="82" spans="1:23" s="3" customFormat="1">
      <c r="A82" s="45" t="s">
        <v>45</v>
      </c>
      <c r="B82" s="77"/>
      <c r="C82" s="122">
        <v>0.99990000000000001</v>
      </c>
      <c r="D82" s="122">
        <v>5.2299999999999999E-2</v>
      </c>
      <c r="E82" s="122">
        <v>1E-4</v>
      </c>
      <c r="F82" s="122">
        <v>1E-4</v>
      </c>
      <c r="G82" s="122">
        <v>1E-4</v>
      </c>
      <c r="H82" s="122">
        <v>1E-4</v>
      </c>
      <c r="I82" s="122">
        <v>1E-4</v>
      </c>
      <c r="J82" s="122">
        <v>1E-4</v>
      </c>
      <c r="K82" s="122">
        <v>1E-4</v>
      </c>
      <c r="L82" s="122">
        <v>5.0000000000000001E-4</v>
      </c>
      <c r="M82" s="122">
        <v>0.99990000000000001</v>
      </c>
      <c r="N82" s="77" t="e">
        <f ca="1">IF(N81="Mann Withney",[1]!MTEST($B6:$B53,N6:N53,2), IF(N81="T-Test Welch",_xlfn.T.TEST($B6:$B53,N6:N53,2,3),""))</f>
        <v>#NAME?</v>
      </c>
      <c r="O82" s="77"/>
      <c r="P82" s="122">
        <v>1E-4</v>
      </c>
      <c r="Q82" s="122">
        <v>1E-4</v>
      </c>
      <c r="R82" s="122">
        <v>1E-4</v>
      </c>
      <c r="S82" s="122">
        <v>0.99990000000000001</v>
      </c>
      <c r="T82" s="122">
        <v>2.12E-2</v>
      </c>
      <c r="U82" s="122">
        <v>9.7600000000000006E-2</v>
      </c>
      <c r="V82" s="122">
        <v>3.44E-2</v>
      </c>
      <c r="W82" s="122">
        <v>0.35720000000000002</v>
      </c>
    </row>
    <row r="83" spans="1:23" s="3" customFormat="1" ht="15.75" thickBot="1">
      <c r="A83" s="46" t="s">
        <v>46</v>
      </c>
      <c r="B83" s="78"/>
      <c r="C83" s="78" t="str">
        <f t="shared" ref="C83:P83" si="19">IF(C82&gt;0.05,"NS",IF(C82&gt;0.01,"*",IF(C82&gt;0.001,"**","***")))</f>
        <v>NS</v>
      </c>
      <c r="D83" s="78" t="str">
        <f t="shared" si="19"/>
        <v>NS</v>
      </c>
      <c r="E83" s="78" t="str">
        <f t="shared" si="19"/>
        <v>***</v>
      </c>
      <c r="F83" s="78" t="str">
        <f t="shared" si="19"/>
        <v>***</v>
      </c>
      <c r="G83" s="78" t="str">
        <f t="shared" si="19"/>
        <v>***</v>
      </c>
      <c r="H83" s="78" t="str">
        <f t="shared" si="19"/>
        <v>***</v>
      </c>
      <c r="I83" s="78" t="str">
        <f t="shared" si="19"/>
        <v>***</v>
      </c>
      <c r="J83" s="78" t="str">
        <f t="shared" si="19"/>
        <v>***</v>
      </c>
      <c r="K83" s="78" t="str">
        <f t="shared" si="19"/>
        <v>***</v>
      </c>
      <c r="L83" s="78" t="str">
        <f t="shared" si="19"/>
        <v>***</v>
      </c>
      <c r="M83" s="78" t="str">
        <f t="shared" si="19"/>
        <v>NS</v>
      </c>
      <c r="N83" s="78" t="e">
        <f t="shared" ca="1" si="19"/>
        <v>#NAME?</v>
      </c>
      <c r="O83" s="78"/>
      <c r="P83" s="78" t="str">
        <f t="shared" si="19"/>
        <v>***</v>
      </c>
      <c r="Q83" s="78" t="str">
        <f t="shared" ref="Q83" si="20">IF(Q82&gt;0.05,"NS",IF(Q82&gt;0.01,"*",IF(Q82&gt;0.001,"**","***")))</f>
        <v>***</v>
      </c>
      <c r="R83" s="78" t="str">
        <f t="shared" ref="R83:W83" si="21">IF(R82&gt;0.05,"NS",IF(R82&gt;0.01,"*",IF(R82&gt;0.001,"**","***")))</f>
        <v>***</v>
      </c>
      <c r="S83" s="78" t="str">
        <f t="shared" si="21"/>
        <v>NS</v>
      </c>
      <c r="T83" s="78" t="str">
        <f t="shared" si="21"/>
        <v>*</v>
      </c>
      <c r="U83" s="78" t="str">
        <f t="shared" si="21"/>
        <v>NS</v>
      </c>
      <c r="V83" s="78" t="str">
        <f t="shared" si="21"/>
        <v>*</v>
      </c>
      <c r="W83" s="78" t="str">
        <f t="shared" si="21"/>
        <v>NS</v>
      </c>
    </row>
    <row r="84" spans="1:23" s="1" customFormat="1"/>
    <row r="85" spans="1:23" s="1" customFormat="1">
      <c r="A85" s="2" t="s">
        <v>20</v>
      </c>
    </row>
    <row r="86" spans="1:23">
      <c r="A86" s="1" t="s">
        <v>13</v>
      </c>
      <c r="B86" s="1">
        <f>B56+(3*B57)</f>
        <v>0.60798249738354537</v>
      </c>
    </row>
    <row r="87" spans="1:23">
      <c r="A87" s="1" t="s">
        <v>14</v>
      </c>
      <c r="B87" s="1">
        <f>B56+(10*B57)</f>
        <v>1.6801489597180397</v>
      </c>
    </row>
    <row r="88" spans="1:23" ht="15.75" thickBot="1"/>
    <row r="89" spans="1:23" s="32" customFormat="1" ht="27" thickBot="1">
      <c r="A89" s="33" t="s">
        <v>34</v>
      </c>
      <c r="B89" s="34"/>
      <c r="C89" s="34"/>
      <c r="D89" s="34"/>
      <c r="E89" s="34"/>
      <c r="F89" s="34"/>
      <c r="G89" s="34"/>
      <c r="H89" s="34"/>
      <c r="I89" s="34"/>
      <c r="J89" s="34"/>
      <c r="K89" s="34"/>
      <c r="L89" s="34"/>
      <c r="M89" s="34"/>
      <c r="N89" s="34"/>
      <c r="O89" s="34"/>
      <c r="P89" s="34"/>
      <c r="Q89" s="34"/>
      <c r="R89" s="34"/>
      <c r="S89" s="34"/>
      <c r="T89" s="34"/>
      <c r="U89" s="34"/>
      <c r="V89" s="34"/>
      <c r="W89" s="34"/>
    </row>
    <row r="90" spans="1:23" ht="15.75" thickBot="1"/>
    <row r="91" spans="1:23" s="32" customFormat="1" ht="27" thickBot="1">
      <c r="A91" s="33" t="s">
        <v>35</v>
      </c>
      <c r="B91" s="34"/>
      <c r="C91" s="34"/>
      <c r="D91" s="34"/>
      <c r="E91" s="34"/>
      <c r="F91" s="34"/>
      <c r="G91" s="34"/>
      <c r="H91" s="34"/>
      <c r="I91" s="34"/>
      <c r="J91" s="34"/>
      <c r="K91" s="34"/>
      <c r="L91" s="34"/>
      <c r="M91" s="34"/>
      <c r="N91" s="34"/>
      <c r="O91" s="34"/>
      <c r="P91" s="34"/>
      <c r="Q91" s="34"/>
      <c r="R91" s="34"/>
      <c r="S91" s="34"/>
      <c r="T91" s="34"/>
      <c r="U91" s="34"/>
      <c r="V91" s="34"/>
      <c r="W91" s="34"/>
    </row>
    <row r="92" spans="1:23" ht="15.75" thickBot="1"/>
    <row r="93" spans="1:23" s="32" customFormat="1" ht="27" thickBot="1">
      <c r="A93" s="156" t="s">
        <v>36</v>
      </c>
      <c r="B93" s="157"/>
      <c r="C93" s="157"/>
      <c r="D93" s="157"/>
      <c r="E93" s="157"/>
      <c r="F93" s="157"/>
      <c r="G93" s="157"/>
      <c r="H93" s="157"/>
      <c r="I93" s="157"/>
      <c r="J93" s="157"/>
      <c r="K93" s="157"/>
      <c r="L93" s="157"/>
      <c r="M93" s="157"/>
      <c r="N93" s="157"/>
      <c r="O93" s="157"/>
      <c r="P93" s="157"/>
      <c r="Q93" s="157"/>
      <c r="R93" s="157"/>
      <c r="S93" s="157"/>
      <c r="T93" s="157"/>
      <c r="U93" s="157"/>
      <c r="V93" s="157"/>
      <c r="W93" s="157"/>
    </row>
    <row r="94" spans="1:23">
      <c r="B94" s="1">
        <f t="shared" ref="B94:V94" si="22">B75/$B$75</f>
        <v>1</v>
      </c>
      <c r="C94" s="1">
        <f t="shared" si="22"/>
        <v>1.5581017198158058</v>
      </c>
      <c r="D94" s="1">
        <f t="shared" si="22"/>
        <v>3.9756200786211324</v>
      </c>
      <c r="E94" s="1">
        <f t="shared" si="22"/>
        <v>6.6172593983791232</v>
      </c>
      <c r="F94" s="1">
        <f t="shared" si="22"/>
        <v>9.669751546019663</v>
      </c>
      <c r="G94" s="1">
        <f t="shared" si="22"/>
        <v>11.556865793182014</v>
      </c>
      <c r="H94" s="1">
        <f>H75/$B$75</f>
        <v>14.38388061373159</v>
      </c>
      <c r="I94" s="1">
        <f t="shared" si="22"/>
        <v>8.8333675400265221</v>
      </c>
      <c r="J94" s="1">
        <f t="shared" si="22"/>
        <v>7.3745598047611809</v>
      </c>
      <c r="K94" s="1">
        <f t="shared" si="22"/>
        <v>7.3692604521987093</v>
      </c>
      <c r="L94" s="1">
        <f t="shared" si="22"/>
        <v>4.1845017972379992</v>
      </c>
      <c r="M94" s="1">
        <f t="shared" si="22"/>
        <v>1.445625018551953</v>
      </c>
      <c r="N94" s="1" t="e">
        <f t="shared" si="22"/>
        <v>#REF!</v>
      </c>
      <c r="O94" s="1">
        <f t="shared" si="22"/>
        <v>0</v>
      </c>
      <c r="P94" s="1">
        <f t="shared" si="22"/>
        <v>6.7347965440296713</v>
      </c>
      <c r="Q94" s="1">
        <f t="shared" si="22"/>
        <v>10.90168248592885</v>
      </c>
      <c r="R94" s="1">
        <f t="shared" si="22"/>
        <v>1.3180530895152263</v>
      </c>
      <c r="S94" s="1">
        <f t="shared" si="22"/>
        <v>6.8786954232609769</v>
      </c>
      <c r="T94" s="1">
        <f t="shared" si="22"/>
        <v>4.8704632290194541</v>
      </c>
      <c r="U94" s="1">
        <f t="shared" si="22"/>
        <v>5.0907773939972207</v>
      </c>
      <c r="V94" s="1">
        <f t="shared" si="22"/>
        <v>5.1346314922330478</v>
      </c>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C16E23-00E5-4ACA-9B39-A709F9D5F4A3}">
  <ds:schemaRefs>
    <ds:schemaRef ds:uri="http://schemas.microsoft.com/sharepoint/v3/contenttype/forms"/>
  </ds:schemaRefs>
</ds:datastoreItem>
</file>

<file path=customXml/itemProps2.xml><?xml version="1.0" encoding="utf-8"?>
<ds:datastoreItem xmlns:ds="http://schemas.openxmlformats.org/officeDocument/2006/customXml" ds:itemID="{14063604-18F2-406A-A312-972D97758A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2023-04-03T08:40:18Z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a5ab90de-9906-4369-a20b-850e82ee902d</vt:lpwstr>
  </property>
  <property fmtid="{D5CDD505-2E9C-101B-9397-08002B2CF9AE}" pid="8" name="MSIP_Label_06530cf4-8573-4c29-a912-bbcdac835909_ContentBits">
    <vt:lpwstr>2</vt:lpwstr>
  </property>
</Properties>
</file>