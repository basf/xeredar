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chartsheets/sheet1.xml" ContentType="application/vnd.openxmlformats-officedocument.spreadsheetml.chartsheet+xml"/>
  <Override PartName="/xl/worksheets/sheet3.xml" ContentType="application/vnd.openxmlformats-officedocument.spreadsheetml.worksheet+xml"/>
  <Override PartName="/xl/chartsheets/sheet2.xml" ContentType="application/vnd.openxmlformats-officedocument.spreadsheetml.chartsheet+xml"/>
  <Override PartName="/xl/worksheets/sheet4.xml" ContentType="application/vnd.openxmlformats-officedocument.spreadsheetml.worksheet+xml"/>
  <Override PartName="/xl/chartsheets/sheet3.xml" ContentType="application/vnd.openxmlformats-officedocument.spreadsheetml.chartsheet+xml"/>
  <Override PartName="/xl/worksheets/sheet5.xml" ContentType="application/vnd.openxmlformats-officedocument.spreadsheetml.worksheet+xml"/>
  <Override PartName="/xl/chartsheets/sheet4.xml" ContentType="application/vnd.openxmlformats-officedocument.spreadsheetml.chart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ml.chartshapes+xml"/>
  <Override PartName="/xl/drawings/drawing3.xml" ContentType="application/vnd.openxmlformats-officedocument.drawing+xml"/>
  <Override PartName="/xl/charts/chart2.xml" ContentType="application/vnd.openxmlformats-officedocument.drawingml.chart+xml"/>
  <Override PartName="/xl/drawings/drawing4.xml" ContentType="application/vnd.openxmlformats-officedocument.drawingml.chartshapes+xml"/>
  <Override PartName="/xl/drawings/drawing5.xml" ContentType="application/vnd.openxmlformats-officedocument.drawing+xml"/>
  <Override PartName="/xl/charts/chart3.xml" ContentType="application/vnd.openxmlformats-officedocument.drawingml.chart+xml"/>
  <Override PartName="/xl/drawings/drawing6.xml" ContentType="application/vnd.openxmlformats-officedocument.drawingml.chartshapes+xml"/>
  <Override PartName="/xl/comments1.xml" ContentType="application/vnd.openxmlformats-officedocument.spreadsheetml.comments+xml"/>
  <Override PartName="/xl/drawings/drawing7.xml" ContentType="application/vnd.openxmlformats-officedocument.drawing+xml"/>
  <Override PartName="/xl/charts/chart4.xml" ContentType="application/vnd.openxmlformats-officedocument.drawingml.chart+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filterPrivacy="1" hidePivotFieldList="1" defaultThemeVersion="124226"/>
  <xr:revisionPtr revIDLastSave="14" documentId="13_ncr:1_{6FA51000-4ED5-47B5-9A1E-57D964B6CD83}" xr6:coauthVersionLast="47" xr6:coauthVersionMax="47" xr10:uidLastSave="{56B0754E-561C-4F9F-8DA2-B54DCD891BEC}"/>
  <bookViews>
    <workbookView xWindow="-120" yWindow="-120" windowWidth="29040" windowHeight="15840" firstSheet="1" activeTab="5" xr2:uid="{00000000-000D-0000-FFFF-FFFF00000000}"/>
  </bookViews>
  <sheets>
    <sheet name="Front page" sheetId="10" r:id="rId1"/>
    <sheet name="R1" sheetId="1" r:id="rId2"/>
    <sheet name="Graph R1" sheetId="8" r:id="rId3"/>
    <sheet name="R2" sheetId="23" r:id="rId4"/>
    <sheet name="Graph R2" sheetId="19" r:id="rId5"/>
    <sheet name="R3" sheetId="33" r:id="rId6"/>
    <sheet name="Graph R3" sheetId="34" r:id="rId7"/>
    <sheet name="pooled normalised values" sheetId="4" r:id="rId8"/>
    <sheet name="pooled normalised graphe" sheetId="5" r:id="rId9"/>
  </sheets>
  <externalReferences>
    <externalReference r:id="rId10"/>
  </externalReferences>
  <definedNames>
    <definedName name="_xlnm.Print_Area" localSheetId="0">'Front page'!$A$1:$I$51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9" i="10" l="1"/>
  <c r="C39" i="10"/>
  <c r="D39" i="10"/>
  <c r="E39" i="10"/>
  <c r="B40" i="10"/>
  <c r="C40" i="10"/>
  <c r="D40" i="10"/>
  <c r="E40" i="10"/>
  <c r="B41" i="10"/>
  <c r="C41" i="10"/>
  <c r="D41" i="10"/>
  <c r="E41" i="10"/>
  <c r="B42" i="10"/>
  <c r="C42" i="10"/>
  <c r="D42" i="10"/>
  <c r="E42" i="10"/>
  <c r="B43" i="10"/>
  <c r="C43" i="10"/>
  <c r="D43" i="10"/>
  <c r="E43" i="10"/>
  <c r="B44" i="10"/>
  <c r="C44" i="10"/>
  <c r="D44" i="10"/>
  <c r="E44" i="10"/>
  <c r="B45" i="10"/>
  <c r="C45" i="10"/>
  <c r="D45" i="10"/>
  <c r="E45" i="10"/>
  <c r="B46" i="10"/>
  <c r="C46" i="10"/>
  <c r="D46" i="10"/>
  <c r="E46" i="10"/>
  <c r="B47" i="10"/>
  <c r="C47" i="10"/>
  <c r="D47" i="10"/>
  <c r="E47" i="10"/>
  <c r="B48" i="10"/>
  <c r="C48" i="10"/>
  <c r="D48" i="10"/>
  <c r="E48" i="10"/>
  <c r="B49" i="10"/>
  <c r="C49" i="10"/>
  <c r="D49" i="10"/>
  <c r="E49" i="10"/>
  <c r="B50" i="10"/>
  <c r="C50" i="10"/>
  <c r="D50" i="10"/>
  <c r="E50" i="10"/>
  <c r="B51" i="10"/>
  <c r="C51" i="10"/>
  <c r="D51" i="10"/>
  <c r="E51" i="10"/>
  <c r="B52" i="10"/>
  <c r="C52" i="10"/>
  <c r="D52" i="10"/>
  <c r="E52" i="10"/>
  <c r="B53" i="10"/>
  <c r="C53" i="10"/>
  <c r="D53" i="10"/>
  <c r="E53" i="10"/>
  <c r="B54" i="10"/>
  <c r="C54" i="10"/>
  <c r="D54" i="10"/>
  <c r="E54" i="10"/>
  <c r="B55" i="10"/>
  <c r="C55" i="10"/>
  <c r="D55" i="10"/>
  <c r="E55" i="10"/>
  <c r="B56" i="10"/>
  <c r="C56" i="10"/>
  <c r="D56" i="10"/>
  <c r="E56" i="10"/>
  <c r="B57" i="10"/>
  <c r="C57" i="10"/>
  <c r="D57" i="10"/>
  <c r="E57" i="10"/>
  <c r="C38" i="10"/>
  <c r="D38" i="10"/>
  <c r="E38" i="10"/>
  <c r="B38" i="10"/>
  <c r="A7" i="10" l="1"/>
  <c r="A8" i="10"/>
  <c r="A9" i="10"/>
  <c r="A10" i="10"/>
  <c r="A11" i="10"/>
  <c r="A12" i="10"/>
  <c r="A13" i="10"/>
  <c r="A14" i="10"/>
  <c r="A15" i="10"/>
  <c r="A16" i="10"/>
  <c r="A17" i="10"/>
  <c r="A18" i="10"/>
  <c r="A19" i="10"/>
  <c r="A20" i="10"/>
  <c r="A21" i="10"/>
  <c r="A22" i="10"/>
  <c r="A23" i="10"/>
  <c r="A24" i="10"/>
  <c r="A25" i="10"/>
  <c r="A26" i="10"/>
  <c r="A27" i="10"/>
  <c r="A28" i="10"/>
  <c r="A29" i="10"/>
  <c r="A30" i="10"/>
  <c r="A31" i="10"/>
  <c r="A32" i="10"/>
  <c r="A33" i="10"/>
  <c r="A34" i="10"/>
  <c r="A35" i="10"/>
  <c r="A36" i="10"/>
  <c r="A37" i="10"/>
  <c r="A38" i="10"/>
  <c r="A39" i="10"/>
  <c r="A40" i="10"/>
  <c r="A41" i="10"/>
  <c r="A42" i="10"/>
  <c r="A43" i="10"/>
  <c r="A44" i="10"/>
  <c r="A45" i="10"/>
  <c r="A46" i="10"/>
  <c r="A47" i="10"/>
  <c r="A48" i="10"/>
  <c r="A49" i="10"/>
  <c r="A50" i="10"/>
  <c r="A51" i="10"/>
  <c r="A52" i="10"/>
  <c r="A53" i="10"/>
  <c r="A54" i="10"/>
  <c r="A55" i="10"/>
  <c r="A56" i="10"/>
  <c r="A57" i="10"/>
  <c r="B4" i="33" l="1"/>
  <c r="B4" i="23" l="1"/>
  <c r="B4" i="1"/>
  <c r="H4" i="33" l="1"/>
  <c r="H4" i="23"/>
  <c r="H4" i="1"/>
  <c r="G4" i="33"/>
  <c r="G4" i="23"/>
  <c r="G4" i="1"/>
  <c r="C4" i="33"/>
  <c r="C4" i="23"/>
  <c r="C4" i="1"/>
  <c r="D4" i="33"/>
  <c r="D4" i="23"/>
  <c r="D4" i="1"/>
  <c r="F4" i="33" l="1"/>
  <c r="F4" i="23"/>
  <c r="F4" i="1"/>
  <c r="E4" i="33"/>
  <c r="E4" i="23"/>
  <c r="E4" i="1"/>
  <c r="I4" i="33"/>
  <c r="I4" i="23"/>
  <c r="I4" i="1"/>
  <c r="A52" i="33" l="1"/>
  <c r="A45" i="33"/>
  <c r="V43" i="33"/>
  <c r="W53" i="4" s="1"/>
  <c r="U43" i="33"/>
  <c r="V53" i="4" s="1"/>
  <c r="T43" i="33"/>
  <c r="U53" i="4" s="1"/>
  <c r="S43" i="33"/>
  <c r="T53" i="4" s="1"/>
  <c r="R43" i="33"/>
  <c r="S53" i="4" s="1"/>
  <c r="Q43" i="33"/>
  <c r="R53" i="4" s="1"/>
  <c r="P43" i="33"/>
  <c r="Q53" i="4" s="1"/>
  <c r="N53" i="4"/>
  <c r="M43" i="33"/>
  <c r="M53" i="4" s="1"/>
  <c r="L43" i="33"/>
  <c r="L53" i="4" s="1"/>
  <c r="K43" i="33"/>
  <c r="K53" i="4" s="1"/>
  <c r="J43" i="33"/>
  <c r="J53" i="4" s="1"/>
  <c r="I43" i="33"/>
  <c r="I53" i="4" s="1"/>
  <c r="H43" i="33"/>
  <c r="H53" i="4" s="1"/>
  <c r="G43" i="33"/>
  <c r="G53" i="4" s="1"/>
  <c r="F43" i="33"/>
  <c r="F53" i="4" s="1"/>
  <c r="E43" i="33"/>
  <c r="E53" i="4" s="1"/>
  <c r="D43" i="33"/>
  <c r="D53" i="4" s="1"/>
  <c r="C43" i="33"/>
  <c r="C53" i="4" s="1"/>
  <c r="B43" i="33"/>
  <c r="B53" i="4" s="1"/>
  <c r="V42" i="33"/>
  <c r="W52" i="4" s="1"/>
  <c r="U42" i="33"/>
  <c r="V52" i="4" s="1"/>
  <c r="T42" i="33"/>
  <c r="U52" i="4" s="1"/>
  <c r="S42" i="33"/>
  <c r="T52" i="4" s="1"/>
  <c r="R42" i="33"/>
  <c r="S52" i="4" s="1"/>
  <c r="Q42" i="33"/>
  <c r="R52" i="4" s="1"/>
  <c r="P42" i="33"/>
  <c r="Q52" i="4" s="1"/>
  <c r="N52" i="4"/>
  <c r="M42" i="33"/>
  <c r="M52" i="4" s="1"/>
  <c r="L42" i="33"/>
  <c r="L52" i="4" s="1"/>
  <c r="K42" i="33"/>
  <c r="K52" i="4" s="1"/>
  <c r="J42" i="33"/>
  <c r="J52" i="4" s="1"/>
  <c r="I42" i="33"/>
  <c r="I52" i="4" s="1"/>
  <c r="H42" i="33"/>
  <c r="H52" i="4" s="1"/>
  <c r="G42" i="33"/>
  <c r="G52" i="4" s="1"/>
  <c r="F42" i="33"/>
  <c r="F52" i="4" s="1"/>
  <c r="E42" i="33"/>
  <c r="E52" i="4" s="1"/>
  <c r="D42" i="33"/>
  <c r="D52" i="4" s="1"/>
  <c r="C42" i="33"/>
  <c r="C52" i="4" s="1"/>
  <c r="B42" i="33"/>
  <c r="B52" i="4" s="1"/>
  <c r="V41" i="33"/>
  <c r="W51" i="4" s="1"/>
  <c r="U41" i="33"/>
  <c r="V51" i="4" s="1"/>
  <c r="T41" i="33"/>
  <c r="U51" i="4" s="1"/>
  <c r="S41" i="33"/>
  <c r="T51" i="4" s="1"/>
  <c r="R41" i="33"/>
  <c r="S51" i="4" s="1"/>
  <c r="Q41" i="33"/>
  <c r="R51" i="4" s="1"/>
  <c r="P41" i="33"/>
  <c r="Q51" i="4" s="1"/>
  <c r="N51" i="4"/>
  <c r="M41" i="33"/>
  <c r="M51" i="4" s="1"/>
  <c r="L41" i="33"/>
  <c r="L51" i="4" s="1"/>
  <c r="K41" i="33"/>
  <c r="K51" i="4" s="1"/>
  <c r="J41" i="33"/>
  <c r="J51" i="4" s="1"/>
  <c r="I41" i="33"/>
  <c r="I51" i="4" s="1"/>
  <c r="H41" i="33"/>
  <c r="H51" i="4" s="1"/>
  <c r="G41" i="33"/>
  <c r="G51" i="4" s="1"/>
  <c r="F41" i="33"/>
  <c r="F51" i="4" s="1"/>
  <c r="E41" i="33"/>
  <c r="E51" i="4" s="1"/>
  <c r="D41" i="33"/>
  <c r="D51" i="4" s="1"/>
  <c r="C41" i="33"/>
  <c r="C51" i="4" s="1"/>
  <c r="B41" i="33"/>
  <c r="B51" i="4" s="1"/>
  <c r="V40" i="33"/>
  <c r="W50" i="4" s="1"/>
  <c r="U40" i="33"/>
  <c r="V50" i="4" s="1"/>
  <c r="T40" i="33"/>
  <c r="U50" i="4" s="1"/>
  <c r="S40" i="33"/>
  <c r="T50" i="4" s="1"/>
  <c r="R40" i="33"/>
  <c r="S50" i="4" s="1"/>
  <c r="Q40" i="33"/>
  <c r="R50" i="4" s="1"/>
  <c r="P40" i="33"/>
  <c r="Q50" i="4" s="1"/>
  <c r="N50" i="4"/>
  <c r="M40" i="33"/>
  <c r="M50" i="4" s="1"/>
  <c r="L40" i="33"/>
  <c r="L50" i="4" s="1"/>
  <c r="K40" i="33"/>
  <c r="K50" i="4" s="1"/>
  <c r="J40" i="33"/>
  <c r="J50" i="4" s="1"/>
  <c r="I40" i="33"/>
  <c r="I50" i="4" s="1"/>
  <c r="H40" i="33"/>
  <c r="H50" i="4" s="1"/>
  <c r="G40" i="33"/>
  <c r="G50" i="4" s="1"/>
  <c r="F40" i="33"/>
  <c r="F50" i="4" s="1"/>
  <c r="E40" i="33"/>
  <c r="E50" i="4" s="1"/>
  <c r="D40" i="33"/>
  <c r="D50" i="4" s="1"/>
  <c r="C40" i="33"/>
  <c r="C50" i="4" s="1"/>
  <c r="B40" i="33"/>
  <c r="B50" i="4" s="1"/>
  <c r="V39" i="33"/>
  <c r="W49" i="4" s="1"/>
  <c r="U39" i="33"/>
  <c r="V49" i="4" s="1"/>
  <c r="T39" i="33"/>
  <c r="U49" i="4" s="1"/>
  <c r="S39" i="33"/>
  <c r="T49" i="4" s="1"/>
  <c r="R39" i="33"/>
  <c r="S49" i="4" s="1"/>
  <c r="Q39" i="33"/>
  <c r="R49" i="4" s="1"/>
  <c r="P39" i="33"/>
  <c r="Q49" i="4" s="1"/>
  <c r="N49" i="4"/>
  <c r="M39" i="33"/>
  <c r="M49" i="4" s="1"/>
  <c r="L39" i="33"/>
  <c r="L49" i="4" s="1"/>
  <c r="K39" i="33"/>
  <c r="K49" i="4" s="1"/>
  <c r="J39" i="33"/>
  <c r="J49" i="4" s="1"/>
  <c r="I39" i="33"/>
  <c r="I49" i="4" s="1"/>
  <c r="H39" i="33"/>
  <c r="H49" i="4" s="1"/>
  <c r="G39" i="33"/>
  <c r="G49" i="4" s="1"/>
  <c r="F39" i="33"/>
  <c r="F49" i="4" s="1"/>
  <c r="E39" i="33"/>
  <c r="E49" i="4" s="1"/>
  <c r="D39" i="33"/>
  <c r="D49" i="4" s="1"/>
  <c r="C39" i="33"/>
  <c r="C49" i="4" s="1"/>
  <c r="B39" i="33"/>
  <c r="B49" i="4" s="1"/>
  <c r="V38" i="33"/>
  <c r="W48" i="4" s="1"/>
  <c r="U38" i="33"/>
  <c r="V48" i="4" s="1"/>
  <c r="T38" i="33"/>
  <c r="U48" i="4" s="1"/>
  <c r="S38" i="33"/>
  <c r="T48" i="4" s="1"/>
  <c r="R38" i="33"/>
  <c r="S48" i="4" s="1"/>
  <c r="Q38" i="33"/>
  <c r="R48" i="4" s="1"/>
  <c r="P38" i="33"/>
  <c r="Q48" i="4" s="1"/>
  <c r="N48" i="4"/>
  <c r="M38" i="33"/>
  <c r="M48" i="4" s="1"/>
  <c r="L38" i="33"/>
  <c r="L48" i="4" s="1"/>
  <c r="K38" i="33"/>
  <c r="K48" i="4" s="1"/>
  <c r="J38" i="33"/>
  <c r="J48" i="4" s="1"/>
  <c r="I38" i="33"/>
  <c r="I48" i="4" s="1"/>
  <c r="H38" i="33"/>
  <c r="H48" i="4" s="1"/>
  <c r="G38" i="33"/>
  <c r="G48" i="4" s="1"/>
  <c r="F38" i="33"/>
  <c r="F48" i="4" s="1"/>
  <c r="E38" i="33"/>
  <c r="E48" i="4" s="1"/>
  <c r="D38" i="33"/>
  <c r="D48" i="4" s="1"/>
  <c r="C38" i="33"/>
  <c r="C48" i="4" s="1"/>
  <c r="B38" i="33"/>
  <c r="B48" i="4" s="1"/>
  <c r="V37" i="33"/>
  <c r="W47" i="4" s="1"/>
  <c r="U37" i="33"/>
  <c r="V47" i="4" s="1"/>
  <c r="T37" i="33"/>
  <c r="U47" i="4" s="1"/>
  <c r="S37" i="33"/>
  <c r="T47" i="4" s="1"/>
  <c r="R37" i="33"/>
  <c r="S47" i="4" s="1"/>
  <c r="Q37" i="33"/>
  <c r="R47" i="4" s="1"/>
  <c r="P37" i="33"/>
  <c r="Q47" i="4" s="1"/>
  <c r="N47" i="4"/>
  <c r="M37" i="33"/>
  <c r="M47" i="4" s="1"/>
  <c r="L37" i="33"/>
  <c r="L47" i="4" s="1"/>
  <c r="K37" i="33"/>
  <c r="K47" i="4" s="1"/>
  <c r="J37" i="33"/>
  <c r="J47" i="4" s="1"/>
  <c r="I37" i="33"/>
  <c r="I47" i="4" s="1"/>
  <c r="H37" i="33"/>
  <c r="H47" i="4" s="1"/>
  <c r="G37" i="33"/>
  <c r="G47" i="4" s="1"/>
  <c r="F37" i="33"/>
  <c r="F47" i="4" s="1"/>
  <c r="E37" i="33"/>
  <c r="E47" i="4" s="1"/>
  <c r="D37" i="33"/>
  <c r="D47" i="4" s="1"/>
  <c r="C37" i="33"/>
  <c r="C47" i="4" s="1"/>
  <c r="B37" i="33"/>
  <c r="B47" i="4" s="1"/>
  <c r="V36" i="33"/>
  <c r="W46" i="4" s="1"/>
  <c r="U36" i="33"/>
  <c r="V46" i="4" s="1"/>
  <c r="T36" i="33"/>
  <c r="U46" i="4" s="1"/>
  <c r="S36" i="33"/>
  <c r="T46" i="4" s="1"/>
  <c r="R36" i="33"/>
  <c r="S46" i="4" s="1"/>
  <c r="Q36" i="33"/>
  <c r="R46" i="4" s="1"/>
  <c r="P36" i="33"/>
  <c r="Q46" i="4" s="1"/>
  <c r="N46" i="4"/>
  <c r="M36" i="33"/>
  <c r="M46" i="4" s="1"/>
  <c r="L36" i="33"/>
  <c r="L46" i="4" s="1"/>
  <c r="K36" i="33"/>
  <c r="K46" i="4" s="1"/>
  <c r="J36" i="33"/>
  <c r="J46" i="4" s="1"/>
  <c r="I36" i="33"/>
  <c r="I46" i="4" s="1"/>
  <c r="H36" i="33"/>
  <c r="H46" i="4" s="1"/>
  <c r="G36" i="33"/>
  <c r="G46" i="4" s="1"/>
  <c r="F36" i="33"/>
  <c r="F46" i="4" s="1"/>
  <c r="E36" i="33"/>
  <c r="E46" i="4" s="1"/>
  <c r="D36" i="33"/>
  <c r="D46" i="4" s="1"/>
  <c r="C36" i="33"/>
  <c r="C46" i="4" s="1"/>
  <c r="B36" i="33"/>
  <c r="B46" i="4" s="1"/>
  <c r="P35" i="33"/>
  <c r="Q45" i="4" s="1"/>
  <c r="N45" i="4"/>
  <c r="N44" i="4"/>
  <c r="N43" i="4"/>
  <c r="N42" i="4"/>
  <c r="N41" i="4"/>
  <c r="N40" i="4"/>
  <c r="N39" i="4"/>
  <c r="V24" i="33"/>
  <c r="U24" i="33"/>
  <c r="T24" i="33"/>
  <c r="S24" i="33"/>
  <c r="R24" i="33"/>
  <c r="Q24" i="33"/>
  <c r="P24" i="33"/>
  <c r="O24" i="33"/>
  <c r="L24" i="33"/>
  <c r="J24" i="33"/>
  <c r="I24" i="33"/>
  <c r="H24" i="33"/>
  <c r="G24" i="33"/>
  <c r="F24" i="33"/>
  <c r="E24" i="33"/>
  <c r="D24" i="33"/>
  <c r="C24" i="33"/>
  <c r="B24" i="33"/>
  <c r="V23" i="33"/>
  <c r="U23" i="33"/>
  <c r="T23" i="33"/>
  <c r="S23" i="33"/>
  <c r="R23" i="33"/>
  <c r="Q23" i="33"/>
  <c r="P23" i="33"/>
  <c r="O23" i="33"/>
  <c r="T32" i="33" s="1"/>
  <c r="U42" i="4" s="1"/>
  <c r="L23" i="33"/>
  <c r="J23" i="33"/>
  <c r="I23" i="33"/>
  <c r="H23" i="33"/>
  <c r="G23" i="33"/>
  <c r="F23" i="33"/>
  <c r="E23" i="33"/>
  <c r="D23" i="33"/>
  <c r="C23" i="33"/>
  <c r="B23" i="33"/>
  <c r="A22" i="33"/>
  <c r="H22" i="33"/>
  <c r="G45" i="33"/>
  <c r="F27" i="33"/>
  <c r="F52" i="33" s="1"/>
  <c r="E45" i="33"/>
  <c r="D22" i="33"/>
  <c r="C45" i="33"/>
  <c r="B45" i="33"/>
  <c r="O56" i="33"/>
  <c r="V56" i="33"/>
  <c r="Q56" i="33"/>
  <c r="K56" i="33"/>
  <c r="J56" i="33"/>
  <c r="M56" i="33"/>
  <c r="L56" i="33"/>
  <c r="T56" i="33"/>
  <c r="C56" i="33"/>
  <c r="F56" i="33"/>
  <c r="R56" i="33"/>
  <c r="E56" i="33"/>
  <c r="G56" i="33"/>
  <c r="H56" i="33"/>
  <c r="S56" i="33"/>
  <c r="B56" i="33"/>
  <c r="I56" i="33"/>
  <c r="P56" i="33"/>
  <c r="U56" i="33"/>
  <c r="D56" i="33"/>
  <c r="F28" i="33" l="1"/>
  <c r="Q34" i="33"/>
  <c r="R44" i="4" s="1"/>
  <c r="E31" i="33"/>
  <c r="E41" i="4" s="1"/>
  <c r="B32" i="33"/>
  <c r="B42" i="4" s="1"/>
  <c r="G29" i="33"/>
  <c r="G39" i="4" s="1"/>
  <c r="M34" i="33"/>
  <c r="M44" i="4" s="1"/>
  <c r="I33" i="33"/>
  <c r="I43" i="4" s="1"/>
  <c r="T35" i="33"/>
  <c r="U45" i="4" s="1"/>
  <c r="Q28" i="33"/>
  <c r="V29" i="33"/>
  <c r="W39" i="4" s="1"/>
  <c r="J30" i="33"/>
  <c r="J40" i="4" s="1"/>
  <c r="P33" i="33"/>
  <c r="Q43" i="4" s="1"/>
  <c r="S28" i="33"/>
  <c r="T38" i="4" s="1"/>
  <c r="B30" i="33"/>
  <c r="B40" i="4" s="1"/>
  <c r="I31" i="33"/>
  <c r="I41" i="4" s="1"/>
  <c r="F32" i="33"/>
  <c r="F42" i="4" s="1"/>
  <c r="O38" i="33"/>
  <c r="P48" i="4" s="1"/>
  <c r="B28" i="33"/>
  <c r="C29" i="33"/>
  <c r="C39" i="4" s="1"/>
  <c r="F30" i="33"/>
  <c r="F40" i="4" s="1"/>
  <c r="M31" i="33"/>
  <c r="M41" i="4" s="1"/>
  <c r="J32" i="33"/>
  <c r="J42" i="4" s="1"/>
  <c r="O33" i="33"/>
  <c r="P43" i="4" s="1"/>
  <c r="P34" i="33"/>
  <c r="Q44" i="4" s="1"/>
  <c r="Q35" i="33"/>
  <c r="R45" i="4" s="1"/>
  <c r="O42" i="33"/>
  <c r="P52" i="4" s="1"/>
  <c r="J28" i="33"/>
  <c r="L29" i="33"/>
  <c r="L39" i="4" s="1"/>
  <c r="P31" i="33"/>
  <c r="Q41" i="4" s="1"/>
  <c r="P32" i="33"/>
  <c r="Q42" i="4" s="1"/>
  <c r="Q33" i="33"/>
  <c r="R43" i="4" s="1"/>
  <c r="R34" i="33"/>
  <c r="S44" i="4" s="1"/>
  <c r="P30" i="33"/>
  <c r="Q40" i="4" s="1"/>
  <c r="Q31" i="33"/>
  <c r="R41" i="4" s="1"/>
  <c r="Q32" i="33"/>
  <c r="R42" i="4" s="1"/>
  <c r="S33" i="33"/>
  <c r="T43" i="4" s="1"/>
  <c r="C35" i="33"/>
  <c r="C45" i="4" s="1"/>
  <c r="O28" i="33"/>
  <c r="P38" i="4" s="1"/>
  <c r="P29" i="33"/>
  <c r="Q39" i="4" s="1"/>
  <c r="Q30" i="33"/>
  <c r="R40" i="4" s="1"/>
  <c r="R31" i="33"/>
  <c r="S41" i="4" s="1"/>
  <c r="U32" i="33"/>
  <c r="V42" i="4" s="1"/>
  <c r="D34" i="33"/>
  <c r="D44" i="4" s="1"/>
  <c r="G35" i="33"/>
  <c r="G45" i="4" s="1"/>
  <c r="P28" i="33"/>
  <c r="Q29" i="33"/>
  <c r="R39" i="4" s="1"/>
  <c r="U30" i="33"/>
  <c r="V40" i="4" s="1"/>
  <c r="V31" i="33"/>
  <c r="W41" i="4" s="1"/>
  <c r="E33" i="33"/>
  <c r="E43" i="4" s="1"/>
  <c r="H34" i="33"/>
  <c r="H44" i="4" s="1"/>
  <c r="K35" i="33"/>
  <c r="K45" i="4" s="1"/>
  <c r="C28" i="33"/>
  <c r="L28" i="33"/>
  <c r="L38" i="4" s="1"/>
  <c r="U28" i="33"/>
  <c r="U46" i="33" s="1"/>
  <c r="U53" i="33" s="1"/>
  <c r="H29" i="33"/>
  <c r="H39" i="4" s="1"/>
  <c r="R29" i="33"/>
  <c r="S39" i="4" s="1"/>
  <c r="G30" i="33"/>
  <c r="G40" i="4" s="1"/>
  <c r="L30" i="33"/>
  <c r="L40" i="4" s="1"/>
  <c r="V30" i="33"/>
  <c r="W40" i="4" s="1"/>
  <c r="S31" i="33"/>
  <c r="T41" i="4" s="1"/>
  <c r="G32" i="33"/>
  <c r="G42" i="4" s="1"/>
  <c r="L32" i="33"/>
  <c r="L42" i="4" s="1"/>
  <c r="V32" i="33"/>
  <c r="W42" i="4" s="1"/>
  <c r="B33" i="33"/>
  <c r="B43" i="4" s="1"/>
  <c r="F33" i="33"/>
  <c r="F43" i="4" s="1"/>
  <c r="J33" i="33"/>
  <c r="J43" i="4" s="1"/>
  <c r="U33" i="33"/>
  <c r="V43" i="4" s="1"/>
  <c r="E34" i="33"/>
  <c r="E44" i="4" s="1"/>
  <c r="I34" i="33"/>
  <c r="I44" i="4" s="1"/>
  <c r="O34" i="33"/>
  <c r="P44" i="4" s="1"/>
  <c r="D35" i="33"/>
  <c r="D45" i="4" s="1"/>
  <c r="O37" i="33"/>
  <c r="P47" i="4" s="1"/>
  <c r="O41" i="33"/>
  <c r="P51" i="4" s="1"/>
  <c r="D28" i="33"/>
  <c r="H28" i="33"/>
  <c r="H38" i="4" s="1"/>
  <c r="M28" i="33"/>
  <c r="M38" i="4" s="1"/>
  <c r="V28" i="33"/>
  <c r="W38" i="4" s="1"/>
  <c r="E29" i="33"/>
  <c r="E39" i="4" s="1"/>
  <c r="I29" i="33"/>
  <c r="I39" i="4" s="1"/>
  <c r="O29" i="33"/>
  <c r="P39" i="4" s="1"/>
  <c r="S29" i="33"/>
  <c r="T39" i="4" s="1"/>
  <c r="D30" i="33"/>
  <c r="D40" i="4" s="1"/>
  <c r="H30" i="33"/>
  <c r="H40" i="4" s="1"/>
  <c r="M30" i="33"/>
  <c r="M40" i="4" s="1"/>
  <c r="R30" i="33"/>
  <c r="S40" i="4" s="1"/>
  <c r="C31" i="33"/>
  <c r="C41" i="4" s="1"/>
  <c r="G31" i="33"/>
  <c r="G41" i="4" s="1"/>
  <c r="K31" i="33"/>
  <c r="K41" i="4" s="1"/>
  <c r="T31" i="33"/>
  <c r="U41" i="4" s="1"/>
  <c r="D32" i="33"/>
  <c r="D42" i="4" s="1"/>
  <c r="H32" i="33"/>
  <c r="H42" i="4" s="1"/>
  <c r="M32" i="33"/>
  <c r="M42" i="4" s="1"/>
  <c r="R32" i="33"/>
  <c r="S42" i="4" s="1"/>
  <c r="C33" i="33"/>
  <c r="C43" i="4" s="1"/>
  <c r="G33" i="33"/>
  <c r="G43" i="4" s="1"/>
  <c r="L33" i="33"/>
  <c r="L43" i="4" s="1"/>
  <c r="V33" i="33"/>
  <c r="W43" i="4" s="1"/>
  <c r="B34" i="33"/>
  <c r="B44" i="4" s="1"/>
  <c r="F34" i="33"/>
  <c r="F44" i="4" s="1"/>
  <c r="J34" i="33"/>
  <c r="J44" i="4" s="1"/>
  <c r="U34" i="33"/>
  <c r="V44" i="4" s="1"/>
  <c r="E35" i="33"/>
  <c r="E45" i="4" s="1"/>
  <c r="I35" i="33"/>
  <c r="I45" i="4" s="1"/>
  <c r="M35" i="33"/>
  <c r="M45" i="4" s="1"/>
  <c r="R35" i="33"/>
  <c r="S45" i="4" s="1"/>
  <c r="V35" i="33"/>
  <c r="W45" i="4" s="1"/>
  <c r="O36" i="33"/>
  <c r="P46" i="4" s="1"/>
  <c r="O40" i="33"/>
  <c r="P50" i="4" s="1"/>
  <c r="G28" i="33"/>
  <c r="G38" i="4" s="1"/>
  <c r="D29" i="33"/>
  <c r="D39" i="4" s="1"/>
  <c r="M29" i="33"/>
  <c r="M39" i="4" s="1"/>
  <c r="C30" i="33"/>
  <c r="C40" i="4" s="1"/>
  <c r="B31" i="33"/>
  <c r="B41" i="4" s="1"/>
  <c r="F31" i="33"/>
  <c r="F41" i="4" s="1"/>
  <c r="J31" i="33"/>
  <c r="J41" i="4" s="1"/>
  <c r="O31" i="33"/>
  <c r="P41" i="4" s="1"/>
  <c r="C32" i="33"/>
  <c r="C42" i="4" s="1"/>
  <c r="S34" i="33"/>
  <c r="T44" i="4" s="1"/>
  <c r="H35" i="33"/>
  <c r="H45" i="4" s="1"/>
  <c r="L35" i="33"/>
  <c r="L45" i="4" s="1"/>
  <c r="U35" i="33"/>
  <c r="V45" i="4" s="1"/>
  <c r="E28" i="33"/>
  <c r="I28" i="33"/>
  <c r="R28" i="33"/>
  <c r="B29" i="33"/>
  <c r="B39" i="4" s="1"/>
  <c r="F29" i="33"/>
  <c r="F39" i="4" s="1"/>
  <c r="J29" i="33"/>
  <c r="J39" i="4" s="1"/>
  <c r="U29" i="33"/>
  <c r="V39" i="4" s="1"/>
  <c r="E30" i="33"/>
  <c r="E40" i="4" s="1"/>
  <c r="I30" i="33"/>
  <c r="I40" i="4" s="1"/>
  <c r="O30" i="33"/>
  <c r="P40" i="4" s="1"/>
  <c r="S30" i="33"/>
  <c r="T40" i="4" s="1"/>
  <c r="D31" i="33"/>
  <c r="D41" i="4" s="1"/>
  <c r="H31" i="33"/>
  <c r="H41" i="4" s="1"/>
  <c r="L31" i="33"/>
  <c r="L41" i="4" s="1"/>
  <c r="U31" i="33"/>
  <c r="V41" i="4" s="1"/>
  <c r="E32" i="33"/>
  <c r="E42" i="4" s="1"/>
  <c r="I32" i="33"/>
  <c r="I42" i="4" s="1"/>
  <c r="O32" i="33"/>
  <c r="P42" i="4" s="1"/>
  <c r="S32" i="33"/>
  <c r="T42" i="4" s="1"/>
  <c r="D33" i="33"/>
  <c r="D43" i="4" s="1"/>
  <c r="H33" i="33"/>
  <c r="H43" i="4" s="1"/>
  <c r="M33" i="33"/>
  <c r="M43" i="4" s="1"/>
  <c r="R33" i="33"/>
  <c r="S43" i="4" s="1"/>
  <c r="C34" i="33"/>
  <c r="C44" i="4" s="1"/>
  <c r="G34" i="33"/>
  <c r="G44" i="4" s="1"/>
  <c r="L34" i="33"/>
  <c r="L44" i="4" s="1"/>
  <c r="V34" i="33"/>
  <c r="W44" i="4" s="1"/>
  <c r="B35" i="33"/>
  <c r="B45" i="4" s="1"/>
  <c r="F35" i="33"/>
  <c r="F45" i="4" s="1"/>
  <c r="J35" i="33"/>
  <c r="J45" i="4" s="1"/>
  <c r="O35" i="33"/>
  <c r="P45" i="4" s="1"/>
  <c r="S35" i="33"/>
  <c r="T45" i="4" s="1"/>
  <c r="O39" i="33"/>
  <c r="P49" i="4" s="1"/>
  <c r="O43" i="33"/>
  <c r="P53" i="4" s="1"/>
  <c r="K28" i="33"/>
  <c r="K30" i="33"/>
  <c r="K40" i="4" s="1"/>
  <c r="T30" i="33"/>
  <c r="U40" i="4" s="1"/>
  <c r="K34" i="33"/>
  <c r="K44" i="4" s="1"/>
  <c r="T34" i="33"/>
  <c r="U44" i="4" s="1"/>
  <c r="T28" i="33"/>
  <c r="K29" i="33"/>
  <c r="K39" i="4" s="1"/>
  <c r="T29" i="33"/>
  <c r="U39" i="4" s="1"/>
  <c r="K33" i="33"/>
  <c r="K43" i="4" s="1"/>
  <c r="T33" i="33"/>
  <c r="U43" i="4" s="1"/>
  <c r="K32" i="33"/>
  <c r="K42" i="4" s="1"/>
  <c r="D38" i="4"/>
  <c r="V38" i="4"/>
  <c r="E38" i="4"/>
  <c r="B38" i="4"/>
  <c r="B22" i="33"/>
  <c r="E22" i="33"/>
  <c r="I45" i="33"/>
  <c r="I52" i="33"/>
  <c r="I27" i="33"/>
  <c r="C38" i="4"/>
  <c r="U38" i="4"/>
  <c r="B27" i="33"/>
  <c r="B52" i="33" s="1"/>
  <c r="R38" i="4"/>
  <c r="D27" i="33"/>
  <c r="D52" i="33" s="1"/>
  <c r="I22" i="33"/>
  <c r="E27" i="33"/>
  <c r="E52" i="33" s="1"/>
  <c r="F38" i="4"/>
  <c r="J38" i="4"/>
  <c r="N38" i="4"/>
  <c r="S46" i="33"/>
  <c r="S53" i="33" s="1"/>
  <c r="D45" i="33"/>
  <c r="G57" i="33"/>
  <c r="T57" i="33"/>
  <c r="H57" i="33"/>
  <c r="O57" i="33"/>
  <c r="U57" i="33"/>
  <c r="C57" i="33"/>
  <c r="J57" i="33"/>
  <c r="P57" i="33"/>
  <c r="D57" i="33"/>
  <c r="L57" i="33"/>
  <c r="S57" i="33"/>
  <c r="F57" i="33"/>
  <c r="K57" i="33"/>
  <c r="Q57" i="33"/>
  <c r="B57" i="33"/>
  <c r="E57" i="33"/>
  <c r="I57" i="33"/>
  <c r="M57" i="33"/>
  <c r="R57" i="33"/>
  <c r="V57" i="33"/>
  <c r="F22" i="33"/>
  <c r="V46" i="33"/>
  <c r="V53" i="33" s="1"/>
  <c r="F45" i="33"/>
  <c r="G22" i="33"/>
  <c r="G27" i="33"/>
  <c r="G52" i="33" s="1"/>
  <c r="C22" i="33"/>
  <c r="C27" i="33"/>
  <c r="C52" i="33" s="1"/>
  <c r="H27" i="33"/>
  <c r="H52" i="33" s="1"/>
  <c r="H45" i="33"/>
  <c r="P46" i="33" l="1"/>
  <c r="P53" i="33" s="1"/>
  <c r="K47" i="33"/>
  <c r="K48" i="33" s="1"/>
  <c r="K54" i="33" s="1"/>
  <c r="R47" i="33"/>
  <c r="R48" i="33" s="1"/>
  <c r="R54" i="33" s="1"/>
  <c r="C47" i="33"/>
  <c r="C48" i="33" s="1"/>
  <c r="C54" i="33" s="1"/>
  <c r="Q47" i="33"/>
  <c r="Q48" i="33" s="1"/>
  <c r="Q54" i="33" s="1"/>
  <c r="D46" i="33"/>
  <c r="D53" i="33" s="1"/>
  <c r="Q46" i="33"/>
  <c r="Q53" i="33" s="1"/>
  <c r="P47" i="33"/>
  <c r="P48" i="33" s="1"/>
  <c r="P54" i="33" s="1"/>
  <c r="S38" i="4"/>
  <c r="T47" i="33"/>
  <c r="T48" i="33" s="1"/>
  <c r="T54" i="33" s="1"/>
  <c r="Q38" i="4"/>
  <c r="I47" i="33"/>
  <c r="I48" i="33" s="1"/>
  <c r="I54" i="33" s="1"/>
  <c r="R46" i="33"/>
  <c r="R53" i="33" s="1"/>
  <c r="D47" i="33"/>
  <c r="D48" i="33" s="1"/>
  <c r="D54" i="33" s="1"/>
  <c r="M46" i="33"/>
  <c r="M53" i="33" s="1"/>
  <c r="K38" i="4"/>
  <c r="E46" i="33"/>
  <c r="E53" i="33" s="1"/>
  <c r="E47" i="33"/>
  <c r="E48" i="33" s="1"/>
  <c r="E54" i="33" s="1"/>
  <c r="F46" i="33"/>
  <c r="F53" i="33" s="1"/>
  <c r="U47" i="33"/>
  <c r="U48" i="33" s="1"/>
  <c r="U54" i="33" s="1"/>
  <c r="H47" i="33"/>
  <c r="H48" i="33" s="1"/>
  <c r="H54" i="33" s="1"/>
  <c r="T46" i="33"/>
  <c r="T53" i="33" s="1"/>
  <c r="G47" i="33"/>
  <c r="G48" i="33" s="1"/>
  <c r="G54" i="33" s="1"/>
  <c r="I38" i="4"/>
  <c r="I46" i="33"/>
  <c r="I53" i="33" s="1"/>
  <c r="B46" i="33"/>
  <c r="B53" i="33" s="1"/>
  <c r="H46" i="33"/>
  <c r="H53" i="33" s="1"/>
  <c r="O46" i="33"/>
  <c r="O53" i="33" s="1"/>
  <c r="O55" i="33" s="1"/>
  <c r="J47" i="33"/>
  <c r="J48" i="33" s="1"/>
  <c r="J54" i="33" s="1"/>
  <c r="G46" i="33"/>
  <c r="G53" i="33" s="1"/>
  <c r="L46" i="33"/>
  <c r="L53" i="33" s="1"/>
  <c r="K46" i="33"/>
  <c r="K53" i="33" s="1"/>
  <c r="V47" i="33"/>
  <c r="V48" i="33" s="1"/>
  <c r="V54" i="33" s="1"/>
  <c r="M47" i="33"/>
  <c r="M48" i="33" s="1"/>
  <c r="M54" i="33" s="1"/>
  <c r="L47" i="33"/>
  <c r="L48" i="33" s="1"/>
  <c r="L54" i="33" s="1"/>
  <c r="F47" i="33"/>
  <c r="F48" i="33" s="1"/>
  <c r="F54" i="33" s="1"/>
  <c r="B47" i="33"/>
  <c r="B48" i="33" s="1"/>
  <c r="B54" i="33" s="1"/>
  <c r="S47" i="33"/>
  <c r="S48" i="33" s="1"/>
  <c r="S54" i="33" s="1"/>
  <c r="O47" i="33"/>
  <c r="O48" i="33" s="1"/>
  <c r="O54" i="33" s="1"/>
  <c r="J46" i="33"/>
  <c r="J53" i="33" s="1"/>
  <c r="C46" i="33"/>
  <c r="C53" i="33" s="1"/>
  <c r="R55" i="33"/>
  <c r="P55" i="33"/>
  <c r="O59" i="33"/>
  <c r="O60" i="33" s="1"/>
  <c r="O61" i="33" s="1"/>
  <c r="J59" i="33"/>
  <c r="J60" i="33" s="1"/>
  <c r="J61" i="33" s="1"/>
  <c r="F59" i="33"/>
  <c r="F60" i="33" s="1"/>
  <c r="F61" i="33" s="1"/>
  <c r="I59" i="33"/>
  <c r="I60" i="33" s="1"/>
  <c r="I61" i="33" s="1"/>
  <c r="D59" i="33"/>
  <c r="D60" i="33" s="1"/>
  <c r="D61" i="33" s="1"/>
  <c r="H59" i="33"/>
  <c r="H60" i="33" s="1"/>
  <c r="H61" i="33" s="1"/>
  <c r="M59" i="33"/>
  <c r="M60" i="33" s="1"/>
  <c r="M61" i="33" s="1"/>
  <c r="G59" i="33"/>
  <c r="G60" i="33" s="1"/>
  <c r="G61" i="33" s="1"/>
  <c r="L59" i="33"/>
  <c r="L60" i="33" s="1"/>
  <c r="L61" i="33" s="1"/>
  <c r="E59" i="33"/>
  <c r="E60" i="33" s="1"/>
  <c r="E61" i="33" s="1"/>
  <c r="K59" i="33"/>
  <c r="K60" i="33" s="1"/>
  <c r="K61" i="33" s="1"/>
  <c r="C59" i="33"/>
  <c r="C60" i="33" s="1"/>
  <c r="C61" i="33" s="1"/>
  <c r="S59" i="33"/>
  <c r="S60" i="33" s="1"/>
  <c r="S61" i="33" s="1"/>
  <c r="U59" i="33"/>
  <c r="U60" i="33" s="1"/>
  <c r="U61" i="33" s="1"/>
  <c r="P59" i="33"/>
  <c r="P60" i="33" s="1"/>
  <c r="P61" i="33" s="1"/>
  <c r="V59" i="33"/>
  <c r="V60" i="33" s="1"/>
  <c r="V61" i="33" s="1"/>
  <c r="T59" i="33"/>
  <c r="T60" i="33" s="1"/>
  <c r="T61" i="33" s="1"/>
  <c r="R59" i="33"/>
  <c r="R60" i="33" s="1"/>
  <c r="R61" i="33" s="1"/>
  <c r="Q59" i="33"/>
  <c r="Q60" i="33" s="1"/>
  <c r="Q61" i="33" s="1"/>
  <c r="M55" i="33" l="1"/>
  <c r="B64" i="33"/>
  <c r="B65" i="33"/>
  <c r="Q55" i="33"/>
  <c r="V55" i="33"/>
  <c r="T55" i="33"/>
  <c r="S55" i="33"/>
  <c r="U55" i="33"/>
  <c r="D55" i="33"/>
  <c r="B55" i="33"/>
  <c r="K55" i="33"/>
  <c r="L55" i="33"/>
  <c r="G55" i="33"/>
  <c r="F55" i="33"/>
  <c r="C55" i="33"/>
  <c r="J55" i="33"/>
  <c r="H55" i="33"/>
  <c r="I55" i="33"/>
  <c r="E55" i="33"/>
  <c r="M4" i="33" l="1"/>
  <c r="L4" i="33" l="1"/>
  <c r="L22" i="33" s="1"/>
  <c r="K4" i="33"/>
  <c r="K22" i="33" s="1"/>
  <c r="J4" i="33"/>
  <c r="J52" i="33" s="1"/>
  <c r="M45" i="33"/>
  <c r="M52" i="33"/>
  <c r="M27" i="33"/>
  <c r="M22" i="33"/>
  <c r="K45" i="33" l="1"/>
  <c r="K52" i="33"/>
  <c r="K27" i="33"/>
  <c r="O4" i="33"/>
  <c r="O4" i="23"/>
  <c r="O4" i="1"/>
  <c r="Q4" i="1"/>
  <c r="Q4" i="33"/>
  <c r="Q4" i="23"/>
  <c r="P4" i="33"/>
  <c r="P4" i="23"/>
  <c r="P4" i="1"/>
  <c r="J22" i="33"/>
  <c r="L52" i="33"/>
  <c r="J45" i="33"/>
  <c r="L27" i="33"/>
  <c r="J27" i="33"/>
  <c r="L45" i="33"/>
  <c r="Q22" i="33" l="1"/>
  <c r="Q45" i="33"/>
  <c r="Q27" i="33"/>
  <c r="Q52" i="33" s="1"/>
  <c r="O27" i="33"/>
  <c r="O52" i="33" s="1"/>
  <c r="O22" i="33"/>
  <c r="O45" i="33"/>
  <c r="P22" i="33"/>
  <c r="P45" i="33"/>
  <c r="P27" i="33"/>
  <c r="P52" i="33" s="1"/>
  <c r="P22" i="1" l="1"/>
  <c r="Q45" i="1"/>
  <c r="P36" i="23"/>
  <c r="Q30" i="4" s="1"/>
  <c r="Q36" i="23"/>
  <c r="R30" i="4" s="1"/>
  <c r="R36" i="23"/>
  <c r="S30" i="4" s="1"/>
  <c r="S36" i="23"/>
  <c r="T30" i="4" s="1"/>
  <c r="T36" i="23"/>
  <c r="U30" i="4" s="1"/>
  <c r="U36" i="23"/>
  <c r="V30" i="4" s="1"/>
  <c r="V36" i="23"/>
  <c r="W30" i="4" s="1"/>
  <c r="P37" i="23"/>
  <c r="Q31" i="4" s="1"/>
  <c r="Q37" i="23"/>
  <c r="R31" i="4" s="1"/>
  <c r="R37" i="23"/>
  <c r="S31" i="4" s="1"/>
  <c r="S37" i="23"/>
  <c r="T31" i="4" s="1"/>
  <c r="T37" i="23"/>
  <c r="U31" i="4" s="1"/>
  <c r="U37" i="23"/>
  <c r="V31" i="4" s="1"/>
  <c r="V37" i="23"/>
  <c r="W31" i="4" s="1"/>
  <c r="P38" i="23"/>
  <c r="Q32" i="4" s="1"/>
  <c r="Q38" i="23"/>
  <c r="R32" i="4" s="1"/>
  <c r="R38" i="23"/>
  <c r="S32" i="4" s="1"/>
  <c r="S38" i="23"/>
  <c r="T32" i="4" s="1"/>
  <c r="T38" i="23"/>
  <c r="U32" i="4" s="1"/>
  <c r="U38" i="23"/>
  <c r="V32" i="4" s="1"/>
  <c r="V38" i="23"/>
  <c r="W32" i="4" s="1"/>
  <c r="P39" i="23"/>
  <c r="Q33" i="4" s="1"/>
  <c r="Q39" i="23"/>
  <c r="R33" i="4" s="1"/>
  <c r="R39" i="23"/>
  <c r="S33" i="4" s="1"/>
  <c r="S39" i="23"/>
  <c r="T33" i="4" s="1"/>
  <c r="T39" i="23"/>
  <c r="U33" i="4" s="1"/>
  <c r="U39" i="23"/>
  <c r="V33" i="4" s="1"/>
  <c r="V39" i="23"/>
  <c r="W33" i="4" s="1"/>
  <c r="P40" i="23"/>
  <c r="Q34" i="4" s="1"/>
  <c r="Q40" i="23"/>
  <c r="R34" i="4" s="1"/>
  <c r="R40" i="23"/>
  <c r="S34" i="4" s="1"/>
  <c r="S40" i="23"/>
  <c r="T34" i="4" s="1"/>
  <c r="T40" i="23"/>
  <c r="U34" i="4" s="1"/>
  <c r="U40" i="23"/>
  <c r="V34" i="4" s="1"/>
  <c r="V40" i="23"/>
  <c r="W34" i="4" s="1"/>
  <c r="P41" i="23"/>
  <c r="Q35" i="4" s="1"/>
  <c r="Q41" i="23"/>
  <c r="R35" i="4" s="1"/>
  <c r="R41" i="23"/>
  <c r="S35" i="4" s="1"/>
  <c r="S41" i="23"/>
  <c r="T35" i="4" s="1"/>
  <c r="T41" i="23"/>
  <c r="U35" i="4" s="1"/>
  <c r="U41" i="23"/>
  <c r="V35" i="4" s="1"/>
  <c r="V41" i="23"/>
  <c r="W35" i="4" s="1"/>
  <c r="P42" i="23"/>
  <c r="Q36" i="4" s="1"/>
  <c r="Q42" i="23"/>
  <c r="R36" i="4" s="1"/>
  <c r="R42" i="23"/>
  <c r="S36" i="4" s="1"/>
  <c r="S42" i="23"/>
  <c r="T36" i="4" s="1"/>
  <c r="T42" i="23"/>
  <c r="U36" i="4" s="1"/>
  <c r="U42" i="23"/>
  <c r="V36" i="4" s="1"/>
  <c r="V42" i="23"/>
  <c r="W36" i="4" s="1"/>
  <c r="P43" i="23"/>
  <c r="Q43" i="23"/>
  <c r="R37" i="4" s="1"/>
  <c r="R43" i="23"/>
  <c r="S43" i="23"/>
  <c r="T43" i="23"/>
  <c r="U43" i="23"/>
  <c r="V37" i="4" s="1"/>
  <c r="V43" i="23"/>
  <c r="N23" i="4"/>
  <c r="N24" i="4"/>
  <c r="N25" i="4"/>
  <c r="N26" i="4"/>
  <c r="N27" i="4"/>
  <c r="N28" i="4"/>
  <c r="N29" i="4"/>
  <c r="K36" i="23"/>
  <c r="K30" i="4" s="1"/>
  <c r="L36" i="23"/>
  <c r="L30" i="4" s="1"/>
  <c r="M36" i="23"/>
  <c r="M30" i="4" s="1"/>
  <c r="N30" i="4"/>
  <c r="K37" i="23"/>
  <c r="K31" i="4" s="1"/>
  <c r="L37" i="23"/>
  <c r="L31" i="4" s="1"/>
  <c r="M37" i="23"/>
  <c r="M31" i="4" s="1"/>
  <c r="N31" i="4"/>
  <c r="K38" i="23"/>
  <c r="K32" i="4" s="1"/>
  <c r="L38" i="23"/>
  <c r="L32" i="4" s="1"/>
  <c r="M38" i="23"/>
  <c r="M32" i="4" s="1"/>
  <c r="N32" i="4"/>
  <c r="K39" i="23"/>
  <c r="K33" i="4" s="1"/>
  <c r="L39" i="23"/>
  <c r="L33" i="4" s="1"/>
  <c r="M39" i="23"/>
  <c r="M33" i="4" s="1"/>
  <c r="N33" i="4"/>
  <c r="K40" i="23"/>
  <c r="K34" i="4" s="1"/>
  <c r="L40" i="23"/>
  <c r="L34" i="4" s="1"/>
  <c r="M40" i="23"/>
  <c r="M34" i="4" s="1"/>
  <c r="N34" i="4"/>
  <c r="K41" i="23"/>
  <c r="K35" i="4" s="1"/>
  <c r="L41" i="23"/>
  <c r="L35" i="4" s="1"/>
  <c r="M41" i="23"/>
  <c r="M35" i="4" s="1"/>
  <c r="N35" i="4"/>
  <c r="K42" i="23"/>
  <c r="K36" i="4" s="1"/>
  <c r="L42" i="23"/>
  <c r="L36" i="4" s="1"/>
  <c r="M42" i="23"/>
  <c r="M36" i="4" s="1"/>
  <c r="N36" i="4"/>
  <c r="K43" i="23"/>
  <c r="L43" i="23"/>
  <c r="M43" i="23"/>
  <c r="S36" i="1"/>
  <c r="T14" i="4" s="1"/>
  <c r="T36" i="1"/>
  <c r="U14" i="4" s="1"/>
  <c r="U36" i="1"/>
  <c r="V14" i="4" s="1"/>
  <c r="V36" i="1"/>
  <c r="W14" i="4" s="1"/>
  <c r="S37" i="1"/>
  <c r="T15" i="4" s="1"/>
  <c r="T37" i="1"/>
  <c r="U15" i="4" s="1"/>
  <c r="U37" i="1"/>
  <c r="V15" i="4" s="1"/>
  <c r="V37" i="1"/>
  <c r="W15" i="4" s="1"/>
  <c r="S38" i="1"/>
  <c r="T16" i="4" s="1"/>
  <c r="T38" i="1"/>
  <c r="U16" i="4" s="1"/>
  <c r="U38" i="1"/>
  <c r="V16" i="4" s="1"/>
  <c r="V38" i="1"/>
  <c r="W16" i="4" s="1"/>
  <c r="S39" i="1"/>
  <c r="T17" i="4" s="1"/>
  <c r="T39" i="1"/>
  <c r="U17" i="4" s="1"/>
  <c r="U39" i="1"/>
  <c r="V17" i="4" s="1"/>
  <c r="V39" i="1"/>
  <c r="W17" i="4" s="1"/>
  <c r="S40" i="1"/>
  <c r="T18" i="4" s="1"/>
  <c r="T40" i="1"/>
  <c r="U18" i="4" s="1"/>
  <c r="U40" i="1"/>
  <c r="V18" i="4" s="1"/>
  <c r="V40" i="1"/>
  <c r="W18" i="4" s="1"/>
  <c r="S41" i="1"/>
  <c r="T19" i="4" s="1"/>
  <c r="T41" i="1"/>
  <c r="U19" i="4" s="1"/>
  <c r="U41" i="1"/>
  <c r="V19" i="4" s="1"/>
  <c r="V41" i="1"/>
  <c r="W19" i="4" s="1"/>
  <c r="S42" i="1"/>
  <c r="T20" i="4" s="1"/>
  <c r="T42" i="1"/>
  <c r="U20" i="4" s="1"/>
  <c r="U42" i="1"/>
  <c r="V20" i="4" s="1"/>
  <c r="V42" i="1"/>
  <c r="W20" i="4" s="1"/>
  <c r="S43" i="1"/>
  <c r="T21" i="4" s="1"/>
  <c r="T43" i="1"/>
  <c r="U43" i="1"/>
  <c r="V43" i="1"/>
  <c r="N7" i="4"/>
  <c r="N8" i="4"/>
  <c r="N9" i="4"/>
  <c r="N10" i="4"/>
  <c r="N11" i="4"/>
  <c r="N12" i="4"/>
  <c r="N13" i="4"/>
  <c r="K36" i="1"/>
  <c r="K14" i="4" s="1"/>
  <c r="L36" i="1"/>
  <c r="L14" i="4" s="1"/>
  <c r="M36" i="1"/>
  <c r="M14" i="4" s="1"/>
  <c r="N14" i="4"/>
  <c r="K37" i="1"/>
  <c r="K15" i="4" s="1"/>
  <c r="L37" i="1"/>
  <c r="L15" i="4" s="1"/>
  <c r="M37" i="1"/>
  <c r="M15" i="4" s="1"/>
  <c r="N15" i="4"/>
  <c r="K38" i="1"/>
  <c r="K16" i="4" s="1"/>
  <c r="L38" i="1"/>
  <c r="L16" i="4" s="1"/>
  <c r="M38" i="1"/>
  <c r="M16" i="4" s="1"/>
  <c r="N16" i="4"/>
  <c r="K39" i="1"/>
  <c r="K17" i="4" s="1"/>
  <c r="L39" i="1"/>
  <c r="L17" i="4" s="1"/>
  <c r="M39" i="1"/>
  <c r="M17" i="4" s="1"/>
  <c r="N17" i="4"/>
  <c r="K40" i="1"/>
  <c r="K18" i="4" s="1"/>
  <c r="L40" i="1"/>
  <c r="L18" i="4" s="1"/>
  <c r="M40" i="1"/>
  <c r="M18" i="4" s="1"/>
  <c r="N18" i="4"/>
  <c r="K41" i="1"/>
  <c r="K19" i="4" s="1"/>
  <c r="L41" i="1"/>
  <c r="L19" i="4" s="1"/>
  <c r="M41" i="1"/>
  <c r="M19" i="4" s="1"/>
  <c r="N19" i="4"/>
  <c r="K42" i="1"/>
  <c r="K20" i="4" s="1"/>
  <c r="L42" i="1"/>
  <c r="L20" i="4" s="1"/>
  <c r="M42" i="1"/>
  <c r="M20" i="4" s="1"/>
  <c r="N20" i="4"/>
  <c r="K43" i="1"/>
  <c r="L43" i="1"/>
  <c r="M43" i="1"/>
  <c r="N45" i="1"/>
  <c r="A45" i="1"/>
  <c r="A45" i="23"/>
  <c r="A22" i="23"/>
  <c r="A22" i="1"/>
  <c r="B1" i="4"/>
  <c r="A52" i="23"/>
  <c r="I43" i="23"/>
  <c r="H43" i="23"/>
  <c r="G43" i="23"/>
  <c r="F43" i="23"/>
  <c r="E43" i="23"/>
  <c r="D43" i="23"/>
  <c r="C43" i="23"/>
  <c r="B43" i="23"/>
  <c r="I42" i="23"/>
  <c r="I36" i="4" s="1"/>
  <c r="H42" i="23"/>
  <c r="H36" i="4" s="1"/>
  <c r="G42" i="23"/>
  <c r="G36" i="4" s="1"/>
  <c r="F42" i="23"/>
  <c r="F36" i="4" s="1"/>
  <c r="E42" i="23"/>
  <c r="E36" i="4" s="1"/>
  <c r="D42" i="23"/>
  <c r="D36" i="4" s="1"/>
  <c r="C42" i="23"/>
  <c r="C36" i="4" s="1"/>
  <c r="B42" i="23"/>
  <c r="B36" i="4" s="1"/>
  <c r="I41" i="23"/>
  <c r="I35" i="4" s="1"/>
  <c r="H41" i="23"/>
  <c r="H35" i="4" s="1"/>
  <c r="G41" i="23"/>
  <c r="G35" i="4" s="1"/>
  <c r="F41" i="23"/>
  <c r="F35" i="4" s="1"/>
  <c r="E41" i="23"/>
  <c r="E35" i="4" s="1"/>
  <c r="D41" i="23"/>
  <c r="D35" i="4" s="1"/>
  <c r="C41" i="23"/>
  <c r="C35" i="4" s="1"/>
  <c r="B41" i="23"/>
  <c r="B35" i="4" s="1"/>
  <c r="I40" i="23"/>
  <c r="I34" i="4" s="1"/>
  <c r="H40" i="23"/>
  <c r="H34" i="4" s="1"/>
  <c r="G40" i="23"/>
  <c r="G34" i="4" s="1"/>
  <c r="F40" i="23"/>
  <c r="F34" i="4" s="1"/>
  <c r="E40" i="23"/>
  <c r="E34" i="4" s="1"/>
  <c r="D40" i="23"/>
  <c r="D34" i="4" s="1"/>
  <c r="C40" i="23"/>
  <c r="C34" i="4" s="1"/>
  <c r="B40" i="23"/>
  <c r="B34" i="4" s="1"/>
  <c r="I39" i="23"/>
  <c r="I33" i="4" s="1"/>
  <c r="H39" i="23"/>
  <c r="H33" i="4" s="1"/>
  <c r="G39" i="23"/>
  <c r="G33" i="4" s="1"/>
  <c r="F39" i="23"/>
  <c r="F33" i="4" s="1"/>
  <c r="E39" i="23"/>
  <c r="E33" i="4" s="1"/>
  <c r="D39" i="23"/>
  <c r="D33" i="4" s="1"/>
  <c r="C39" i="23"/>
  <c r="C33" i="4" s="1"/>
  <c r="B39" i="23"/>
  <c r="B33" i="4" s="1"/>
  <c r="I38" i="23"/>
  <c r="I32" i="4" s="1"/>
  <c r="H38" i="23"/>
  <c r="H32" i="4" s="1"/>
  <c r="G38" i="23"/>
  <c r="G32" i="4" s="1"/>
  <c r="F38" i="23"/>
  <c r="F32" i="4" s="1"/>
  <c r="E38" i="23"/>
  <c r="E32" i="4" s="1"/>
  <c r="D38" i="23"/>
  <c r="D32" i="4" s="1"/>
  <c r="C38" i="23"/>
  <c r="C32" i="4" s="1"/>
  <c r="I37" i="23"/>
  <c r="I31" i="4" s="1"/>
  <c r="H37" i="23"/>
  <c r="H31" i="4" s="1"/>
  <c r="G37" i="23"/>
  <c r="G31" i="4" s="1"/>
  <c r="F37" i="23"/>
  <c r="F31" i="4" s="1"/>
  <c r="E37" i="23"/>
  <c r="E31" i="4" s="1"/>
  <c r="D37" i="23"/>
  <c r="D31" i="4" s="1"/>
  <c r="C37" i="23"/>
  <c r="C31" i="4" s="1"/>
  <c r="B37" i="23"/>
  <c r="B31" i="4" s="1"/>
  <c r="I36" i="23"/>
  <c r="I30" i="4" s="1"/>
  <c r="H36" i="23"/>
  <c r="H30" i="4" s="1"/>
  <c r="G36" i="23"/>
  <c r="G30" i="4" s="1"/>
  <c r="F36" i="23"/>
  <c r="F30" i="4" s="1"/>
  <c r="E36" i="23"/>
  <c r="E30" i="4" s="1"/>
  <c r="D36" i="23"/>
  <c r="D30" i="4" s="1"/>
  <c r="C36" i="23"/>
  <c r="C30" i="4" s="1"/>
  <c r="B36" i="23"/>
  <c r="B30" i="4" s="1"/>
  <c r="V24" i="23"/>
  <c r="U24" i="23"/>
  <c r="T24" i="23"/>
  <c r="S24" i="23"/>
  <c r="R24" i="23"/>
  <c r="Q24" i="23"/>
  <c r="P24" i="23"/>
  <c r="O24" i="23"/>
  <c r="L24" i="23"/>
  <c r="J24" i="23"/>
  <c r="I24" i="23"/>
  <c r="H24" i="23"/>
  <c r="G24" i="23"/>
  <c r="F24" i="23"/>
  <c r="E24" i="23"/>
  <c r="D24" i="23"/>
  <c r="C24" i="23"/>
  <c r="B24" i="23"/>
  <c r="V23" i="23"/>
  <c r="U23" i="23"/>
  <c r="T23" i="23"/>
  <c r="S23" i="23"/>
  <c r="R23" i="23"/>
  <c r="Q23" i="23"/>
  <c r="P23" i="23"/>
  <c r="O23" i="23"/>
  <c r="B32" i="23" s="1"/>
  <c r="B26" i="4" s="1"/>
  <c r="L23" i="23"/>
  <c r="J23" i="23"/>
  <c r="I23" i="23"/>
  <c r="H23" i="23"/>
  <c r="G23" i="23"/>
  <c r="F23" i="23"/>
  <c r="E23" i="23"/>
  <c r="D23" i="23"/>
  <c r="C23" i="23"/>
  <c r="B23" i="23"/>
  <c r="Q45" i="23"/>
  <c r="P45" i="23"/>
  <c r="O45" i="23"/>
  <c r="I22" i="23"/>
  <c r="H27" i="23"/>
  <c r="H52" i="23" s="1"/>
  <c r="G45" i="23"/>
  <c r="F27" i="23"/>
  <c r="F52" i="23" s="1"/>
  <c r="E45" i="23"/>
  <c r="C45" i="23"/>
  <c r="B45" i="23"/>
  <c r="J40" i="23"/>
  <c r="J34" i="4" s="1"/>
  <c r="J36" i="23"/>
  <c r="J30" i="4" s="1"/>
  <c r="E29" i="23"/>
  <c r="E23" i="4" s="1"/>
  <c r="J42" i="23"/>
  <c r="J36" i="4" s="1"/>
  <c r="J38" i="23"/>
  <c r="J32" i="4" s="1"/>
  <c r="J41" i="23"/>
  <c r="J35" i="4" s="1"/>
  <c r="J37" i="23"/>
  <c r="J31" i="4" s="1"/>
  <c r="J43" i="23"/>
  <c r="J39" i="23"/>
  <c r="J33" i="4" s="1"/>
  <c r="I28" i="23"/>
  <c r="H28" i="23"/>
  <c r="P22" i="23"/>
  <c r="S23" i="1"/>
  <c r="T23" i="1"/>
  <c r="U23" i="1"/>
  <c r="V23" i="1"/>
  <c r="S24" i="1"/>
  <c r="T24" i="1"/>
  <c r="U24" i="1"/>
  <c r="V24" i="1"/>
  <c r="L23" i="1"/>
  <c r="M23" i="1"/>
  <c r="L24" i="1"/>
  <c r="M24" i="1"/>
  <c r="I23" i="1"/>
  <c r="I24" i="1"/>
  <c r="C36" i="1"/>
  <c r="C14" i="4" s="1"/>
  <c r="D36" i="1"/>
  <c r="D14" i="4" s="1"/>
  <c r="E36" i="1"/>
  <c r="E14" i="4" s="1"/>
  <c r="F36" i="1"/>
  <c r="F14" i="4" s="1"/>
  <c r="G36" i="1"/>
  <c r="G14" i="4" s="1"/>
  <c r="I36" i="1"/>
  <c r="I14" i="4" s="1"/>
  <c r="J36" i="1"/>
  <c r="J14" i="4" s="1"/>
  <c r="C37" i="1"/>
  <c r="C15" i="4" s="1"/>
  <c r="D37" i="1"/>
  <c r="D15" i="4" s="1"/>
  <c r="E37" i="1"/>
  <c r="E15" i="4" s="1"/>
  <c r="F37" i="1"/>
  <c r="F15" i="4" s="1"/>
  <c r="G37" i="1"/>
  <c r="G15" i="4" s="1"/>
  <c r="I37" i="1"/>
  <c r="I15" i="4" s="1"/>
  <c r="J37" i="1"/>
  <c r="J15" i="4" s="1"/>
  <c r="C38" i="1"/>
  <c r="C16" i="4" s="1"/>
  <c r="D38" i="1"/>
  <c r="D16" i="4" s="1"/>
  <c r="E38" i="1"/>
  <c r="E16" i="4" s="1"/>
  <c r="F38" i="1"/>
  <c r="F16" i="4" s="1"/>
  <c r="G38" i="1"/>
  <c r="G16" i="4" s="1"/>
  <c r="I38" i="1"/>
  <c r="I16" i="4" s="1"/>
  <c r="J38" i="1"/>
  <c r="J16" i="4" s="1"/>
  <c r="C39" i="1"/>
  <c r="C17" i="4" s="1"/>
  <c r="D39" i="1"/>
  <c r="E39" i="1"/>
  <c r="E17" i="4" s="1"/>
  <c r="F39" i="1"/>
  <c r="F17" i="4" s="1"/>
  <c r="G39" i="1"/>
  <c r="G17" i="4" s="1"/>
  <c r="I39" i="1"/>
  <c r="I17" i="4" s="1"/>
  <c r="J39" i="1"/>
  <c r="J17" i="4" s="1"/>
  <c r="C40" i="1"/>
  <c r="C18" i="4" s="1"/>
  <c r="D40" i="1"/>
  <c r="D18" i="4" s="1"/>
  <c r="E40" i="1"/>
  <c r="E18" i="4" s="1"/>
  <c r="F40" i="1"/>
  <c r="F18" i="4" s="1"/>
  <c r="G40" i="1"/>
  <c r="G18" i="4" s="1"/>
  <c r="H40" i="1"/>
  <c r="H18" i="4" s="1"/>
  <c r="I40" i="1"/>
  <c r="I18" i="4" s="1"/>
  <c r="J40" i="1"/>
  <c r="J18" i="4" s="1"/>
  <c r="C41" i="1"/>
  <c r="C19" i="4" s="1"/>
  <c r="D41" i="1"/>
  <c r="D19" i="4" s="1"/>
  <c r="E41" i="1"/>
  <c r="E19" i="4" s="1"/>
  <c r="F41" i="1"/>
  <c r="F19" i="4" s="1"/>
  <c r="G41" i="1"/>
  <c r="G19" i="4" s="1"/>
  <c r="H41" i="1"/>
  <c r="H19" i="4" s="1"/>
  <c r="I41" i="1"/>
  <c r="I19" i="4" s="1"/>
  <c r="J41" i="1"/>
  <c r="J19" i="4" s="1"/>
  <c r="C42" i="1"/>
  <c r="C20" i="4" s="1"/>
  <c r="D42" i="1"/>
  <c r="D20" i="4" s="1"/>
  <c r="E42" i="1"/>
  <c r="E20" i="4" s="1"/>
  <c r="F42" i="1"/>
  <c r="F20" i="4" s="1"/>
  <c r="G42" i="1"/>
  <c r="G20" i="4" s="1"/>
  <c r="H42" i="1"/>
  <c r="H20" i="4" s="1"/>
  <c r="I42" i="1"/>
  <c r="I20" i="4" s="1"/>
  <c r="J42" i="1"/>
  <c r="J20" i="4" s="1"/>
  <c r="C43" i="1"/>
  <c r="D43" i="1"/>
  <c r="E43" i="1"/>
  <c r="F43" i="1"/>
  <c r="G43" i="1"/>
  <c r="H43" i="1"/>
  <c r="I43" i="1"/>
  <c r="J43" i="1"/>
  <c r="I45" i="1"/>
  <c r="Q36" i="1"/>
  <c r="R14" i="4" s="1"/>
  <c r="R36" i="1"/>
  <c r="S14" i="4" s="1"/>
  <c r="Q37" i="1"/>
  <c r="R15" i="4" s="1"/>
  <c r="P38" i="1"/>
  <c r="Q16" i="4" s="1"/>
  <c r="Q38" i="1"/>
  <c r="R16" i="4" s="1"/>
  <c r="P39" i="1"/>
  <c r="Q17" i="4" s="1"/>
  <c r="Q39" i="1"/>
  <c r="R17" i="4" s="1"/>
  <c r="R39" i="1"/>
  <c r="S17" i="4" s="1"/>
  <c r="P40" i="1"/>
  <c r="Q18" i="4" s="1"/>
  <c r="Q40" i="1"/>
  <c r="R18" i="4" s="1"/>
  <c r="R40" i="1"/>
  <c r="S18" i="4" s="1"/>
  <c r="P41" i="1"/>
  <c r="Q19" i="4" s="1"/>
  <c r="Q41" i="1"/>
  <c r="R19" i="4" s="1"/>
  <c r="P42" i="1"/>
  <c r="Q20" i="4" s="1"/>
  <c r="Q42" i="1"/>
  <c r="R20" i="4" s="1"/>
  <c r="P43" i="1"/>
  <c r="Q43" i="1"/>
  <c r="R43" i="1"/>
  <c r="B36" i="1"/>
  <c r="B14" i="4" s="1"/>
  <c r="B37" i="1"/>
  <c r="B15" i="4" s="1"/>
  <c r="B38" i="1"/>
  <c r="B16" i="4" s="1"/>
  <c r="B39" i="1"/>
  <c r="B17" i="4" s="1"/>
  <c r="B40" i="1"/>
  <c r="B18" i="4" s="1"/>
  <c r="B41" i="1"/>
  <c r="B19" i="4" s="1"/>
  <c r="B42" i="1"/>
  <c r="B20" i="4" s="1"/>
  <c r="B43" i="1"/>
  <c r="B23" i="1"/>
  <c r="B4" i="4"/>
  <c r="B62" i="4" s="1"/>
  <c r="A52" i="1"/>
  <c r="O22" i="1"/>
  <c r="Q24" i="1"/>
  <c r="P24" i="1"/>
  <c r="O24" i="1"/>
  <c r="Q23" i="1"/>
  <c r="P23" i="1"/>
  <c r="O23" i="1"/>
  <c r="C29" i="1" s="1"/>
  <c r="C7" i="4" s="1"/>
  <c r="H27" i="1"/>
  <c r="H52" i="1" s="1"/>
  <c r="G27" i="1"/>
  <c r="G52" i="1" s="1"/>
  <c r="F27" i="1"/>
  <c r="F52" i="1" s="1"/>
  <c r="E4" i="4"/>
  <c r="D22" i="1"/>
  <c r="C45" i="1"/>
  <c r="E30" i="1"/>
  <c r="E8" i="4" s="1"/>
  <c r="Q31" i="1"/>
  <c r="R9" i="4" s="1"/>
  <c r="O42" i="1"/>
  <c r="P20" i="4" s="1"/>
  <c r="O32" i="1"/>
  <c r="P10" i="4" s="1"/>
  <c r="P28" i="1"/>
  <c r="P30" i="1"/>
  <c r="Q8" i="4" s="1"/>
  <c r="P33" i="1"/>
  <c r="Q11" i="4" s="1"/>
  <c r="B33" i="1"/>
  <c r="B11" i="4" s="1"/>
  <c r="Q28" i="1"/>
  <c r="Q33" i="1"/>
  <c r="R11" i="4" s="1"/>
  <c r="Q35" i="1"/>
  <c r="R13" i="4" s="1"/>
  <c r="O38" i="1"/>
  <c r="P16" i="4" s="1"/>
  <c r="Q27" i="1"/>
  <c r="Q52" i="1" s="1"/>
  <c r="K24" i="1"/>
  <c r="J24" i="1"/>
  <c r="H24" i="1"/>
  <c r="G24" i="1"/>
  <c r="F24" i="1"/>
  <c r="E24" i="1"/>
  <c r="D24" i="1"/>
  <c r="C24" i="1"/>
  <c r="B24" i="1"/>
  <c r="K23" i="1"/>
  <c r="J23" i="1"/>
  <c r="H23" i="1"/>
  <c r="G23" i="1"/>
  <c r="F23" i="1"/>
  <c r="E23" i="1"/>
  <c r="D23" i="1"/>
  <c r="C23" i="1"/>
  <c r="R24" i="1"/>
  <c r="R23" i="1"/>
  <c r="K4" i="1"/>
  <c r="K4" i="4" s="1"/>
  <c r="K62" i="4" s="1"/>
  <c r="L4" i="1"/>
  <c r="L4" i="4" s="1"/>
  <c r="K4" i="23"/>
  <c r="K52" i="23" s="1"/>
  <c r="L4" i="23"/>
  <c r="L27" i="23" s="1"/>
  <c r="P56" i="23"/>
  <c r="G56" i="23"/>
  <c r="V56" i="1"/>
  <c r="T56" i="23"/>
  <c r="S56" i="23"/>
  <c r="J56" i="23"/>
  <c r="Q56" i="23"/>
  <c r="C56" i="23"/>
  <c r="R56" i="23"/>
  <c r="M56" i="1"/>
  <c r="S56" i="1"/>
  <c r="J56" i="1"/>
  <c r="F56" i="23"/>
  <c r="E56" i="23"/>
  <c r="L56" i="1"/>
  <c r="U56" i="23"/>
  <c r="I56" i="23"/>
  <c r="M56" i="23"/>
  <c r="V56" i="23"/>
  <c r="L56" i="23"/>
  <c r="K56" i="1"/>
  <c r="K56" i="23"/>
  <c r="H56" i="23"/>
  <c r="D56" i="23"/>
  <c r="U56" i="1"/>
  <c r="T56" i="1"/>
  <c r="E32" i="23" l="1"/>
  <c r="E26" i="4" s="1"/>
  <c r="J32" i="23"/>
  <c r="J26" i="4" s="1"/>
  <c r="O39" i="1"/>
  <c r="P17" i="4" s="1"/>
  <c r="F34" i="1"/>
  <c r="F12" i="4" s="1"/>
  <c r="F30" i="1"/>
  <c r="I34" i="1"/>
  <c r="I12" i="4" s="1"/>
  <c r="H31" i="1"/>
  <c r="Q34" i="1"/>
  <c r="R12" i="4" s="1"/>
  <c r="G30" i="1"/>
  <c r="G8" i="4" s="1"/>
  <c r="T35" i="1"/>
  <c r="U13" i="4" s="1"/>
  <c r="P34" i="1"/>
  <c r="Q12" i="4" s="1"/>
  <c r="O43" i="1"/>
  <c r="F32" i="1"/>
  <c r="F10" i="4" s="1"/>
  <c r="I30" i="23"/>
  <c r="I24" i="4" s="1"/>
  <c r="H32" i="23"/>
  <c r="H26" i="4" s="1"/>
  <c r="Q35" i="23"/>
  <c r="R29" i="4" s="1"/>
  <c r="P28" i="23"/>
  <c r="G28" i="23"/>
  <c r="G29" i="23"/>
  <c r="G23" i="4" s="1"/>
  <c r="D29" i="23"/>
  <c r="D23" i="4" s="1"/>
  <c r="I32" i="23"/>
  <c r="I26" i="4" s="1"/>
  <c r="C33" i="23"/>
  <c r="C27" i="4" s="1"/>
  <c r="I29" i="23"/>
  <c r="I23" i="4" s="1"/>
  <c r="D34" i="23"/>
  <c r="D28" i="4" s="1"/>
  <c r="D31" i="23"/>
  <c r="D25" i="4" s="1"/>
  <c r="G32" i="23"/>
  <c r="G26" i="4" s="1"/>
  <c r="G33" i="23"/>
  <c r="G27" i="4" s="1"/>
  <c r="C30" i="23"/>
  <c r="C24" i="4" s="1"/>
  <c r="C34" i="23"/>
  <c r="C28" i="4" s="1"/>
  <c r="E34" i="23"/>
  <c r="E28" i="4" s="1"/>
  <c r="F30" i="23"/>
  <c r="F24" i="4" s="1"/>
  <c r="H30" i="23"/>
  <c r="H24" i="4" s="1"/>
  <c r="H34" i="23"/>
  <c r="H28" i="4" s="1"/>
  <c r="F29" i="23"/>
  <c r="F23" i="4" s="1"/>
  <c r="K34" i="23"/>
  <c r="K28" i="4" s="1"/>
  <c r="P34" i="23"/>
  <c r="Q28" i="4" s="1"/>
  <c r="F33" i="23"/>
  <c r="F27" i="4" s="1"/>
  <c r="E35" i="23"/>
  <c r="E29" i="4" s="1"/>
  <c r="G30" i="23"/>
  <c r="G24" i="4" s="1"/>
  <c r="J35" i="23"/>
  <c r="J29" i="4" s="1"/>
  <c r="I34" i="23"/>
  <c r="I28" i="4" s="1"/>
  <c r="J30" i="23"/>
  <c r="J24" i="4" s="1"/>
  <c r="C31" i="23"/>
  <c r="C25" i="4" s="1"/>
  <c r="L31" i="23"/>
  <c r="L25" i="4" s="1"/>
  <c r="K30" i="23"/>
  <c r="K24" i="4" s="1"/>
  <c r="M32" i="23"/>
  <c r="M26" i="4" s="1"/>
  <c r="U29" i="23"/>
  <c r="V23" i="4" s="1"/>
  <c r="O36" i="23"/>
  <c r="P30" i="4" s="1"/>
  <c r="U33" i="23"/>
  <c r="V27" i="4" s="1"/>
  <c r="U31" i="23"/>
  <c r="V25" i="4" s="1"/>
  <c r="Q29" i="23"/>
  <c r="R23" i="4" s="1"/>
  <c r="U35" i="23"/>
  <c r="V29" i="4" s="1"/>
  <c r="Q33" i="23"/>
  <c r="R27" i="4" s="1"/>
  <c r="P32" i="23"/>
  <c r="Q26" i="4" s="1"/>
  <c r="Q31" i="23"/>
  <c r="R25" i="4" s="1"/>
  <c r="P30" i="23"/>
  <c r="Q24" i="4" s="1"/>
  <c r="M28" i="23"/>
  <c r="M22" i="4" s="1"/>
  <c r="P35" i="23"/>
  <c r="Q29" i="4" s="1"/>
  <c r="S34" i="23"/>
  <c r="T28" i="4" s="1"/>
  <c r="P33" i="23"/>
  <c r="Q27" i="4" s="1"/>
  <c r="S32" i="23"/>
  <c r="T26" i="4" s="1"/>
  <c r="P31" i="23"/>
  <c r="Q25" i="4" s="1"/>
  <c r="S30" i="23"/>
  <c r="T24" i="4" s="1"/>
  <c r="P29" i="23"/>
  <c r="S28" i="23"/>
  <c r="T22" i="4" s="1"/>
  <c r="L35" i="23"/>
  <c r="L29" i="4" s="1"/>
  <c r="O42" i="23"/>
  <c r="P36" i="4" s="1"/>
  <c r="Q34" i="23"/>
  <c r="R28" i="4" s="1"/>
  <c r="Q32" i="23"/>
  <c r="R26" i="4" s="1"/>
  <c r="Q30" i="23"/>
  <c r="R24" i="4" s="1"/>
  <c r="Q28" i="23"/>
  <c r="R22" i="4" s="1"/>
  <c r="L32" i="23"/>
  <c r="L26" i="4" s="1"/>
  <c r="K31" i="23"/>
  <c r="K25" i="4" s="1"/>
  <c r="M29" i="23"/>
  <c r="M23" i="4" s="1"/>
  <c r="L28" i="23"/>
  <c r="L22" i="4" s="1"/>
  <c r="V30" i="23"/>
  <c r="W24" i="4" s="1"/>
  <c r="V28" i="23"/>
  <c r="H31" i="23"/>
  <c r="H25" i="4" s="1"/>
  <c r="J33" i="23"/>
  <c r="J27" i="4" s="1"/>
  <c r="I35" i="23"/>
  <c r="I29" i="4" s="1"/>
  <c r="H29" i="23"/>
  <c r="H23" i="4" s="1"/>
  <c r="F31" i="23"/>
  <c r="F25" i="4" s="1"/>
  <c r="D33" i="23"/>
  <c r="D27" i="4" s="1"/>
  <c r="G34" i="23"/>
  <c r="G28" i="4" s="1"/>
  <c r="H35" i="23"/>
  <c r="H29" i="4" s="1"/>
  <c r="D28" i="23"/>
  <c r="E31" i="23"/>
  <c r="E25" i="4" s="1"/>
  <c r="F34" i="23"/>
  <c r="F28" i="4" s="1"/>
  <c r="F28" i="23"/>
  <c r="F22" i="4" s="1"/>
  <c r="G31" i="23"/>
  <c r="G25" i="4" s="1"/>
  <c r="E33" i="23"/>
  <c r="E27" i="4" s="1"/>
  <c r="C35" i="23"/>
  <c r="C29" i="4" s="1"/>
  <c r="J29" i="23"/>
  <c r="J23" i="4" s="1"/>
  <c r="E30" i="23"/>
  <c r="E24" i="4" s="1"/>
  <c r="M34" i="23"/>
  <c r="M28" i="4" s="1"/>
  <c r="L33" i="23"/>
  <c r="L27" i="4" s="1"/>
  <c r="K32" i="23"/>
  <c r="K26" i="4" s="1"/>
  <c r="M30" i="23"/>
  <c r="M24" i="4" s="1"/>
  <c r="L29" i="23"/>
  <c r="L23" i="4" s="1"/>
  <c r="K28" i="23"/>
  <c r="K22" i="4" s="1"/>
  <c r="O40" i="23"/>
  <c r="P34" i="4" s="1"/>
  <c r="O33" i="23"/>
  <c r="P27" i="4" s="1"/>
  <c r="S35" i="23"/>
  <c r="T29" i="4" s="1"/>
  <c r="U34" i="23"/>
  <c r="V28" i="4" s="1"/>
  <c r="S33" i="23"/>
  <c r="T27" i="4" s="1"/>
  <c r="U32" i="23"/>
  <c r="V26" i="4" s="1"/>
  <c r="S31" i="23"/>
  <c r="T25" i="4" s="1"/>
  <c r="U30" i="23"/>
  <c r="V24" i="4" s="1"/>
  <c r="S29" i="23"/>
  <c r="T23" i="4" s="1"/>
  <c r="U28" i="23"/>
  <c r="V22" i="4" s="1"/>
  <c r="K35" i="23"/>
  <c r="K29" i="4" s="1"/>
  <c r="M33" i="23"/>
  <c r="M27" i="4" s="1"/>
  <c r="O41" i="23"/>
  <c r="P35" i="4" s="1"/>
  <c r="O35" i="23"/>
  <c r="P29" i="4" s="1"/>
  <c r="T35" i="23"/>
  <c r="U29" i="4" s="1"/>
  <c r="V34" i="23"/>
  <c r="W28" i="4" s="1"/>
  <c r="R34" i="23"/>
  <c r="S28" i="4" s="1"/>
  <c r="T33" i="23"/>
  <c r="V32" i="23"/>
  <c r="W26" i="4" s="1"/>
  <c r="R32" i="23"/>
  <c r="S26" i="4" s="1"/>
  <c r="T31" i="23"/>
  <c r="U25" i="4" s="1"/>
  <c r="R30" i="23"/>
  <c r="S24" i="4" s="1"/>
  <c r="T29" i="23"/>
  <c r="U23" i="4" s="1"/>
  <c r="R28" i="23"/>
  <c r="S22" i="4" s="1"/>
  <c r="D35" i="23"/>
  <c r="D29" i="4" s="1"/>
  <c r="D32" i="23"/>
  <c r="D26" i="4" s="1"/>
  <c r="E28" i="23"/>
  <c r="E22" i="4" s="1"/>
  <c r="J31" i="23"/>
  <c r="J25" i="4" s="1"/>
  <c r="H33" i="23"/>
  <c r="H27" i="4" s="1"/>
  <c r="F35" i="23"/>
  <c r="F29" i="4" s="1"/>
  <c r="C32" i="23"/>
  <c r="C26" i="4" s="1"/>
  <c r="C29" i="23"/>
  <c r="C23" i="4" s="1"/>
  <c r="I31" i="23"/>
  <c r="I25" i="4" s="1"/>
  <c r="J34" i="23"/>
  <c r="J28" i="4" s="1"/>
  <c r="J28" i="23"/>
  <c r="J22" i="4" s="1"/>
  <c r="D30" i="23"/>
  <c r="D24" i="4" s="1"/>
  <c r="F32" i="23"/>
  <c r="F26" i="4" s="1"/>
  <c r="I33" i="23"/>
  <c r="I27" i="4" s="1"/>
  <c r="G35" i="23"/>
  <c r="G29" i="4" s="1"/>
  <c r="C28" i="23"/>
  <c r="M35" i="23"/>
  <c r="M29" i="4" s="1"/>
  <c r="L34" i="23"/>
  <c r="L28" i="4" s="1"/>
  <c r="K33" i="23"/>
  <c r="K27" i="4" s="1"/>
  <c r="M31" i="23"/>
  <c r="M25" i="4" s="1"/>
  <c r="L30" i="23"/>
  <c r="L24" i="4" s="1"/>
  <c r="K29" i="23"/>
  <c r="K23" i="4" s="1"/>
  <c r="O43" i="23"/>
  <c r="P37" i="4" s="1"/>
  <c r="O39" i="23"/>
  <c r="P33" i="4" s="1"/>
  <c r="O29" i="23"/>
  <c r="P23" i="4" s="1"/>
  <c r="V35" i="23"/>
  <c r="W29" i="4" s="1"/>
  <c r="R35" i="23"/>
  <c r="S29" i="4" s="1"/>
  <c r="T34" i="23"/>
  <c r="U28" i="4" s="1"/>
  <c r="V33" i="23"/>
  <c r="W27" i="4" s="1"/>
  <c r="R33" i="23"/>
  <c r="S27" i="4" s="1"/>
  <c r="T32" i="23"/>
  <c r="U26" i="4" s="1"/>
  <c r="V31" i="23"/>
  <c r="W25" i="4" s="1"/>
  <c r="R31" i="23"/>
  <c r="S25" i="4" s="1"/>
  <c r="T30" i="23"/>
  <c r="U24" i="4" s="1"/>
  <c r="V29" i="23"/>
  <c r="W23" i="4" s="1"/>
  <c r="R29" i="23"/>
  <c r="S23" i="4" s="1"/>
  <c r="T28" i="23"/>
  <c r="U22" i="4" s="1"/>
  <c r="F29" i="1"/>
  <c r="F7" i="4" s="1"/>
  <c r="I33" i="1"/>
  <c r="I11" i="4" s="1"/>
  <c r="I29" i="1"/>
  <c r="I7" i="4" s="1"/>
  <c r="H33" i="1"/>
  <c r="H11" i="4" s="1"/>
  <c r="H35" i="1"/>
  <c r="H13" i="4" s="1"/>
  <c r="E35" i="1"/>
  <c r="E13" i="4" s="1"/>
  <c r="H30" i="1"/>
  <c r="H8" i="4" s="1"/>
  <c r="U28" i="1"/>
  <c r="V6" i="4" s="1"/>
  <c r="O41" i="1"/>
  <c r="P19" i="4" s="1"/>
  <c r="G34" i="1"/>
  <c r="G12" i="4" s="1"/>
  <c r="E33" i="1"/>
  <c r="E11" i="4" s="1"/>
  <c r="D35" i="1"/>
  <c r="D13" i="4" s="1"/>
  <c r="G29" i="1"/>
  <c r="J35" i="1"/>
  <c r="J13" i="4" s="1"/>
  <c r="M34" i="1"/>
  <c r="M12" i="4" s="1"/>
  <c r="U30" i="1"/>
  <c r="V8" i="4" s="1"/>
  <c r="L28" i="1"/>
  <c r="L6" i="4" s="1"/>
  <c r="T33" i="1"/>
  <c r="U11" i="4" s="1"/>
  <c r="G35" i="1"/>
  <c r="G13" i="4" s="1"/>
  <c r="E29" i="1"/>
  <c r="E7" i="4" s="1"/>
  <c r="D33" i="1"/>
  <c r="D11" i="4" s="1"/>
  <c r="H34" i="1"/>
  <c r="H12" i="4" s="1"/>
  <c r="O40" i="1"/>
  <c r="P18" i="4" s="1"/>
  <c r="F33" i="1"/>
  <c r="F11" i="4" s="1"/>
  <c r="C35" i="1"/>
  <c r="C13" i="4" s="1"/>
  <c r="H32" i="1"/>
  <c r="H10" i="4" s="1"/>
  <c r="F35" i="1"/>
  <c r="F13" i="4" s="1"/>
  <c r="I30" i="1"/>
  <c r="I8" i="4" s="1"/>
  <c r="E32" i="1"/>
  <c r="E10" i="4" s="1"/>
  <c r="C33" i="1"/>
  <c r="C11" i="4" s="1"/>
  <c r="T34" i="1"/>
  <c r="U12" i="4" s="1"/>
  <c r="L34" i="1"/>
  <c r="L12" i="4" s="1"/>
  <c r="L32" i="1"/>
  <c r="L10" i="4" s="1"/>
  <c r="M29" i="1"/>
  <c r="M7" i="4" s="1"/>
  <c r="U33" i="1"/>
  <c r="V11" i="4" s="1"/>
  <c r="T28" i="1"/>
  <c r="U6" i="4" s="1"/>
  <c r="K33" i="1"/>
  <c r="K11" i="4" s="1"/>
  <c r="L29" i="1"/>
  <c r="L7" i="4" s="1"/>
  <c r="U32" i="1"/>
  <c r="V10" i="4" s="1"/>
  <c r="U35" i="1"/>
  <c r="V13" i="4" s="1"/>
  <c r="U29" i="1"/>
  <c r="V7" i="4" s="1"/>
  <c r="J31" i="1"/>
  <c r="J9" i="4" s="1"/>
  <c r="M35" i="1"/>
  <c r="M13" i="4" s="1"/>
  <c r="M33" i="1"/>
  <c r="M11" i="4" s="1"/>
  <c r="M31" i="1"/>
  <c r="M9" i="4" s="1"/>
  <c r="M30" i="1"/>
  <c r="M8" i="4" s="1"/>
  <c r="S35" i="1"/>
  <c r="T13" i="4" s="1"/>
  <c r="V34" i="1"/>
  <c r="W12" i="4" s="1"/>
  <c r="T32" i="1"/>
  <c r="U10" i="4" s="1"/>
  <c r="U31" i="1"/>
  <c r="V9" i="4" s="1"/>
  <c r="R33" i="1"/>
  <c r="S11" i="4" s="1"/>
  <c r="H39" i="1"/>
  <c r="H17" i="4" s="1"/>
  <c r="H38" i="1"/>
  <c r="H16" i="4" s="1"/>
  <c r="H37" i="1"/>
  <c r="H15" i="4" s="1"/>
  <c r="H36" i="1"/>
  <c r="H14" i="4" s="1"/>
  <c r="L35" i="1"/>
  <c r="L13" i="4" s="1"/>
  <c r="L33" i="1"/>
  <c r="L11" i="4" s="1"/>
  <c r="M32" i="1"/>
  <c r="M10" i="4" s="1"/>
  <c r="L31" i="1"/>
  <c r="L9" i="4" s="1"/>
  <c r="L30" i="1"/>
  <c r="L8" i="4" s="1"/>
  <c r="M28" i="1"/>
  <c r="M6" i="4" s="1"/>
  <c r="U34" i="1"/>
  <c r="V12" i="4" s="1"/>
  <c r="S31" i="1"/>
  <c r="T9" i="4" s="1"/>
  <c r="V30" i="1"/>
  <c r="W8" i="4" s="1"/>
  <c r="J34" i="1"/>
  <c r="J12" i="4" s="1"/>
  <c r="J30" i="1"/>
  <c r="J8" i="4" s="1"/>
  <c r="K34" i="1"/>
  <c r="K12" i="4" s="1"/>
  <c r="K32" i="1"/>
  <c r="K10" i="4" s="1"/>
  <c r="K31" i="1"/>
  <c r="K9" i="4" s="1"/>
  <c r="K29" i="1"/>
  <c r="K7" i="4" s="1"/>
  <c r="K28" i="1"/>
  <c r="K6" i="4" s="1"/>
  <c r="V35" i="1"/>
  <c r="W13" i="4" s="1"/>
  <c r="S32" i="1"/>
  <c r="T10" i="4" s="1"/>
  <c r="V31" i="1"/>
  <c r="W9" i="4" s="1"/>
  <c r="T29" i="1"/>
  <c r="U7" i="4" s="1"/>
  <c r="S28" i="1"/>
  <c r="T6" i="4" s="1"/>
  <c r="J33" i="1"/>
  <c r="J11" i="4" s="1"/>
  <c r="J29" i="1"/>
  <c r="J7" i="4" s="1"/>
  <c r="J28" i="1"/>
  <c r="J6" i="4" s="1"/>
  <c r="K35" i="1"/>
  <c r="K13" i="4" s="1"/>
  <c r="K30" i="1"/>
  <c r="K8" i="4" s="1"/>
  <c r="S33" i="1"/>
  <c r="T11" i="4" s="1"/>
  <c r="V32" i="1"/>
  <c r="W10" i="4" s="1"/>
  <c r="T30" i="1"/>
  <c r="U8" i="4" s="1"/>
  <c r="S29" i="1"/>
  <c r="T7" i="4" s="1"/>
  <c r="V28" i="1"/>
  <c r="W6" i="4" s="1"/>
  <c r="J32" i="1"/>
  <c r="J10" i="4" s="1"/>
  <c r="S34" i="1"/>
  <c r="T12" i="4" s="1"/>
  <c r="V33" i="1"/>
  <c r="W11" i="4" s="1"/>
  <c r="T31" i="1"/>
  <c r="U9" i="4" s="1"/>
  <c r="S30" i="1"/>
  <c r="T8" i="4" s="1"/>
  <c r="V29" i="1"/>
  <c r="W7" i="4" s="1"/>
  <c r="D22" i="4"/>
  <c r="H22" i="4"/>
  <c r="I22" i="4"/>
  <c r="G22" i="4"/>
  <c r="N22" i="4"/>
  <c r="Q22" i="4"/>
  <c r="R6" i="4"/>
  <c r="N6" i="4"/>
  <c r="Q6" i="4"/>
  <c r="T4" i="33"/>
  <c r="T22" i="33" s="1"/>
  <c r="Q22" i="1"/>
  <c r="R35" i="1"/>
  <c r="S13" i="4" s="1"/>
  <c r="G32" i="1"/>
  <c r="G10" i="4" s="1"/>
  <c r="H29" i="1"/>
  <c r="E28" i="1"/>
  <c r="D34" i="1"/>
  <c r="D12" i="4" s="1"/>
  <c r="I31" i="1"/>
  <c r="I9" i="4" s="1"/>
  <c r="F28" i="1"/>
  <c r="R41" i="1"/>
  <c r="S19" i="4" s="1"/>
  <c r="R37" i="1"/>
  <c r="S15" i="4" s="1"/>
  <c r="Q29" i="1"/>
  <c r="O37" i="1"/>
  <c r="P15" i="4" s="1"/>
  <c r="P29" i="1"/>
  <c r="B34" i="1"/>
  <c r="B12" i="4" s="1"/>
  <c r="B35" i="1"/>
  <c r="B13" i="4" s="1"/>
  <c r="C34" i="1"/>
  <c r="C12" i="4" s="1"/>
  <c r="I28" i="1"/>
  <c r="G31" i="1"/>
  <c r="G9" i="4" s="1"/>
  <c r="H28" i="1"/>
  <c r="E34" i="1"/>
  <c r="F31" i="1"/>
  <c r="G28" i="1"/>
  <c r="I32" i="1"/>
  <c r="I10" i="4" s="1"/>
  <c r="I35" i="1"/>
  <c r="G33" i="1"/>
  <c r="E31" i="1"/>
  <c r="E9" i="4" s="1"/>
  <c r="R42" i="1"/>
  <c r="S20" i="4" s="1"/>
  <c r="R38" i="1"/>
  <c r="S16" i="4" s="1"/>
  <c r="R34" i="1"/>
  <c r="S12" i="4" s="1"/>
  <c r="L74" i="4"/>
  <c r="L62" i="4"/>
  <c r="E55" i="4"/>
  <c r="E62" i="4"/>
  <c r="Q21" i="4"/>
  <c r="I52" i="23"/>
  <c r="R4" i="33"/>
  <c r="W37" i="4"/>
  <c r="S37" i="4"/>
  <c r="K37" i="4"/>
  <c r="I45" i="23"/>
  <c r="U4" i="33"/>
  <c r="P21" i="4"/>
  <c r="S21" i="4"/>
  <c r="R21" i="4"/>
  <c r="S4" i="33"/>
  <c r="C27" i="23"/>
  <c r="C52" i="23" s="1"/>
  <c r="I27" i="23"/>
  <c r="W21" i="4"/>
  <c r="U21" i="4"/>
  <c r="B21" i="4"/>
  <c r="O37" i="23"/>
  <c r="P31" i="4" s="1"/>
  <c r="O34" i="23"/>
  <c r="P28" i="4" s="1"/>
  <c r="O38" i="23"/>
  <c r="U37" i="4"/>
  <c r="B38" i="23"/>
  <c r="F37" i="4"/>
  <c r="N37" i="4"/>
  <c r="L37" i="4"/>
  <c r="Q37" i="4"/>
  <c r="T37" i="4"/>
  <c r="J37" i="4"/>
  <c r="H37" i="4"/>
  <c r="M37" i="4"/>
  <c r="R4" i="4"/>
  <c r="R62" i="4" s="1"/>
  <c r="P27" i="23"/>
  <c r="P52" i="23" s="1"/>
  <c r="J4" i="1"/>
  <c r="J4" i="4" s="1"/>
  <c r="J4" i="23"/>
  <c r="J45" i="23" s="1"/>
  <c r="M4" i="23"/>
  <c r="M27" i="23" s="1"/>
  <c r="M4" i="1"/>
  <c r="M4" i="4" s="1"/>
  <c r="L45" i="1"/>
  <c r="L27" i="1"/>
  <c r="L52" i="1" s="1"/>
  <c r="O32" i="23"/>
  <c r="O31" i="23"/>
  <c r="P25" i="4" s="1"/>
  <c r="O30" i="23"/>
  <c r="P24" i="4" s="1"/>
  <c r="B33" i="23"/>
  <c r="B27" i="4" s="1"/>
  <c r="B28" i="23"/>
  <c r="B30" i="23"/>
  <c r="B24" i="4" s="1"/>
  <c r="B34" i="23"/>
  <c r="B28" i="4" s="1"/>
  <c r="B35" i="23"/>
  <c r="O28" i="23"/>
  <c r="B31" i="23"/>
  <c r="B25" i="4" s="1"/>
  <c r="B29" i="23"/>
  <c r="B23" i="4" s="1"/>
  <c r="Q32" i="1"/>
  <c r="P32" i="1"/>
  <c r="Q10" i="4" s="1"/>
  <c r="D4" i="4"/>
  <c r="O29" i="1"/>
  <c r="P7" i="4" s="1"/>
  <c r="B27" i="23"/>
  <c r="B52" i="23" s="1"/>
  <c r="K45" i="23"/>
  <c r="E27" i="23"/>
  <c r="E52" i="23" s="1"/>
  <c r="Q30" i="1"/>
  <c r="R8" i="4" s="1"/>
  <c r="B29" i="1"/>
  <c r="B7" i="4" s="1"/>
  <c r="P35" i="1"/>
  <c r="Q13" i="4" s="1"/>
  <c r="P31" i="1"/>
  <c r="Q9" i="4" s="1"/>
  <c r="H22" i="23"/>
  <c r="P37" i="1"/>
  <c r="F22" i="23"/>
  <c r="O36" i="1"/>
  <c r="H45" i="23"/>
  <c r="R31" i="1"/>
  <c r="S9" i="4" s="1"/>
  <c r="U27" i="4"/>
  <c r="J57" i="1"/>
  <c r="E57" i="23"/>
  <c r="M57" i="1"/>
  <c r="V57" i="1"/>
  <c r="U57" i="23"/>
  <c r="Q57" i="23"/>
  <c r="J57" i="23"/>
  <c r="H57" i="23"/>
  <c r="L57" i="1"/>
  <c r="U57" i="1"/>
  <c r="M57" i="23"/>
  <c r="T57" i="23"/>
  <c r="P57" i="23"/>
  <c r="C57" i="23"/>
  <c r="F57" i="23"/>
  <c r="I57" i="23"/>
  <c r="K57" i="1"/>
  <c r="T57" i="1"/>
  <c r="L57" i="23"/>
  <c r="S57" i="23"/>
  <c r="D57" i="23"/>
  <c r="G57" i="23"/>
  <c r="S57" i="1"/>
  <c r="K57" i="23"/>
  <c r="V57" i="23"/>
  <c r="R57" i="23"/>
  <c r="J21" i="4"/>
  <c r="E37" i="4"/>
  <c r="M21" i="4"/>
  <c r="R28" i="1"/>
  <c r="R30" i="1"/>
  <c r="S8" i="4" s="1"/>
  <c r="L21" i="4"/>
  <c r="V21" i="4"/>
  <c r="R29" i="1"/>
  <c r="S7" i="4" s="1"/>
  <c r="D21" i="4"/>
  <c r="C37" i="4"/>
  <c r="I37" i="4"/>
  <c r="K21" i="4"/>
  <c r="P36" i="1"/>
  <c r="Q14" i="4" s="1"/>
  <c r="R32" i="1"/>
  <c r="C21" i="4"/>
  <c r="B37" i="4"/>
  <c r="D37" i="4"/>
  <c r="G37" i="4"/>
  <c r="N21" i="4"/>
  <c r="O34" i="1"/>
  <c r="P12" i="4" s="1"/>
  <c r="O35" i="1"/>
  <c r="P13" i="4" s="1"/>
  <c r="O33" i="1"/>
  <c r="P11" i="4" s="1"/>
  <c r="O30" i="1"/>
  <c r="P8" i="4" s="1"/>
  <c r="B31" i="1"/>
  <c r="B9" i="4" s="1"/>
  <c r="O31" i="1"/>
  <c r="P9" i="4" s="1"/>
  <c r="B32" i="1"/>
  <c r="D28" i="1"/>
  <c r="C32" i="1"/>
  <c r="B28" i="1"/>
  <c r="D32" i="1"/>
  <c r="B30" i="1"/>
  <c r="B8" i="4" s="1"/>
  <c r="C28" i="1"/>
  <c r="D31" i="1"/>
  <c r="D9" i="4" s="1"/>
  <c r="O28" i="1"/>
  <c r="C30" i="1"/>
  <c r="C8" i="4" s="1"/>
  <c r="C31" i="1"/>
  <c r="C9" i="4" s="1"/>
  <c r="D29" i="1"/>
  <c r="D7" i="4" s="1"/>
  <c r="D30" i="1"/>
  <c r="G21" i="4"/>
  <c r="I21" i="4"/>
  <c r="F21" i="4"/>
  <c r="H21" i="4"/>
  <c r="E21" i="4"/>
  <c r="L52" i="23"/>
  <c r="D17" i="4"/>
  <c r="F8" i="4"/>
  <c r="H9" i="4"/>
  <c r="G7" i="4"/>
  <c r="C4" i="4"/>
  <c r="G27" i="23"/>
  <c r="G52" i="23" s="1"/>
  <c r="K27" i="23"/>
  <c r="L22" i="1"/>
  <c r="D27" i="1"/>
  <c r="D52" i="1" s="1"/>
  <c r="D45" i="1"/>
  <c r="D22" i="23"/>
  <c r="D45" i="23"/>
  <c r="D27" i="23"/>
  <c r="D52" i="23" s="1"/>
  <c r="F45" i="23"/>
  <c r="E22" i="23"/>
  <c r="G22" i="23"/>
  <c r="K22" i="23"/>
  <c r="L45" i="23"/>
  <c r="O22" i="23"/>
  <c r="Q22" i="23"/>
  <c r="B22" i="23"/>
  <c r="C22" i="23"/>
  <c r="L22" i="23"/>
  <c r="Q27" i="23"/>
  <c r="Q52" i="23" s="1"/>
  <c r="O27" i="23"/>
  <c r="O52" i="23" s="1"/>
  <c r="E45" i="1"/>
  <c r="B27" i="1"/>
  <c r="B52" i="1" s="1"/>
  <c r="K27" i="1"/>
  <c r="K52" i="1" s="1"/>
  <c r="F4" i="4"/>
  <c r="N4" i="4"/>
  <c r="G22" i="1"/>
  <c r="F45" i="1"/>
  <c r="C22" i="1"/>
  <c r="B22" i="1"/>
  <c r="G45" i="1"/>
  <c r="E27" i="1"/>
  <c r="E52" i="1" s="1"/>
  <c r="E22" i="1"/>
  <c r="I22" i="1"/>
  <c r="I27" i="1"/>
  <c r="P27" i="1"/>
  <c r="P52" i="1" s="1"/>
  <c r="H4" i="4"/>
  <c r="F22" i="1"/>
  <c r="I4" i="4"/>
  <c r="G4" i="4"/>
  <c r="C27" i="1"/>
  <c r="C52" i="1" s="1"/>
  <c r="B45" i="1"/>
  <c r="K74" i="4"/>
  <c r="K22" i="1"/>
  <c r="H22" i="1"/>
  <c r="P4" i="4"/>
  <c r="H45" i="1"/>
  <c r="O45" i="1"/>
  <c r="Q4" i="4"/>
  <c r="K45" i="1"/>
  <c r="P45" i="1"/>
  <c r="O27" i="1"/>
  <c r="O52" i="1" s="1"/>
  <c r="I52" i="1"/>
  <c r="K55" i="4"/>
  <c r="B55" i="4"/>
  <c r="L55" i="4"/>
  <c r="E74" i="4"/>
  <c r="B74" i="4"/>
  <c r="Q56" i="1"/>
  <c r="C56" i="1"/>
  <c r="P56" i="1"/>
  <c r="K78" i="4"/>
  <c r="E56" i="1"/>
  <c r="D56" i="1"/>
  <c r="L78" i="4"/>
  <c r="T78" i="4"/>
  <c r="G56" i="1"/>
  <c r="B56" i="1"/>
  <c r="I56" i="1"/>
  <c r="H56" i="1"/>
  <c r="W78" i="4"/>
  <c r="B56" i="23"/>
  <c r="F56" i="1"/>
  <c r="O56" i="1"/>
  <c r="R56" i="1"/>
  <c r="U78" i="4"/>
  <c r="N78" i="4"/>
  <c r="V78" i="4"/>
  <c r="O56" i="23"/>
  <c r="M78" i="4"/>
  <c r="J78" i="4"/>
  <c r="P47" i="23" l="1"/>
  <c r="P48" i="23" s="1"/>
  <c r="P54" i="23" s="1"/>
  <c r="M47" i="23"/>
  <c r="M48" i="23" s="1"/>
  <c r="M54" i="23" s="1"/>
  <c r="S46" i="23"/>
  <c r="S53" i="23" s="1"/>
  <c r="U46" i="23"/>
  <c r="U53" i="23" s="1"/>
  <c r="E47" i="23"/>
  <c r="E48" i="23" s="1"/>
  <c r="E54" i="23" s="1"/>
  <c r="V47" i="23"/>
  <c r="V48" i="23" s="1"/>
  <c r="V54" i="23" s="1"/>
  <c r="C47" i="23"/>
  <c r="C48" i="23" s="1"/>
  <c r="C54" i="23" s="1"/>
  <c r="C46" i="23"/>
  <c r="C53" i="23" s="1"/>
  <c r="W22" i="4"/>
  <c r="W57" i="4" s="1"/>
  <c r="W58" i="4" s="1"/>
  <c r="W76" i="4" s="1"/>
  <c r="V46" i="23"/>
  <c r="V53" i="23" s="1"/>
  <c r="I47" i="23"/>
  <c r="I48" i="23" s="1"/>
  <c r="I54" i="23" s="1"/>
  <c r="H47" i="23"/>
  <c r="H48" i="23" s="1"/>
  <c r="H54" i="23" s="1"/>
  <c r="S47" i="23"/>
  <c r="S48" i="23" s="1"/>
  <c r="S54" i="23" s="1"/>
  <c r="F47" i="23"/>
  <c r="F48" i="23" s="1"/>
  <c r="F54" i="23" s="1"/>
  <c r="H46" i="23"/>
  <c r="H53" i="23" s="1"/>
  <c r="J46" i="23"/>
  <c r="J53" i="23" s="1"/>
  <c r="I46" i="23"/>
  <c r="I53" i="23" s="1"/>
  <c r="Q23" i="4"/>
  <c r="C22" i="4"/>
  <c r="F46" i="23"/>
  <c r="F53" i="23" s="1"/>
  <c r="Q47" i="23"/>
  <c r="Q48" i="23" s="1"/>
  <c r="Q54" i="23" s="1"/>
  <c r="D47" i="23"/>
  <c r="D48" i="23" s="1"/>
  <c r="D54" i="23" s="1"/>
  <c r="K47" i="23"/>
  <c r="K48" i="23" s="1"/>
  <c r="K54" i="23" s="1"/>
  <c r="P46" i="23"/>
  <c r="P53" i="23" s="1"/>
  <c r="U47" i="23"/>
  <c r="U48" i="23" s="1"/>
  <c r="U54" i="23" s="1"/>
  <c r="Q46" i="23"/>
  <c r="Q53" i="23" s="1"/>
  <c r="L46" i="23"/>
  <c r="L53" i="23" s="1"/>
  <c r="T47" i="23"/>
  <c r="T48" i="23" s="1"/>
  <c r="T54" i="23" s="1"/>
  <c r="D46" i="23"/>
  <c r="D53" i="23" s="1"/>
  <c r="E46" i="23"/>
  <c r="E53" i="23" s="1"/>
  <c r="K46" i="23"/>
  <c r="K53" i="23" s="1"/>
  <c r="G46" i="23"/>
  <c r="G53" i="23" s="1"/>
  <c r="M46" i="23"/>
  <c r="M53" i="23" s="1"/>
  <c r="R47" i="23"/>
  <c r="R48" i="23" s="1"/>
  <c r="R54" i="23" s="1"/>
  <c r="J47" i="23"/>
  <c r="J48" i="23" s="1"/>
  <c r="J54" i="23" s="1"/>
  <c r="T46" i="23"/>
  <c r="T53" i="23" s="1"/>
  <c r="L47" i="23"/>
  <c r="L48" i="23" s="1"/>
  <c r="L54" i="23" s="1"/>
  <c r="G47" i="23"/>
  <c r="G48" i="23" s="1"/>
  <c r="G54" i="23" s="1"/>
  <c r="R46" i="23"/>
  <c r="R53" i="23" s="1"/>
  <c r="U46" i="1"/>
  <c r="U53" i="1" s="1"/>
  <c r="K46" i="1"/>
  <c r="K53" i="1" s="1"/>
  <c r="K47" i="1"/>
  <c r="K48" i="1" s="1"/>
  <c r="K54" i="1" s="1"/>
  <c r="V47" i="1"/>
  <c r="V48" i="1" s="1"/>
  <c r="V54" i="1" s="1"/>
  <c r="U47" i="1"/>
  <c r="U48" i="1" s="1"/>
  <c r="U54" i="1" s="1"/>
  <c r="L47" i="1"/>
  <c r="L48" i="1" s="1"/>
  <c r="L54" i="1" s="1"/>
  <c r="L46" i="1"/>
  <c r="L53" i="1" s="1"/>
  <c r="V46" i="1"/>
  <c r="V53" i="1" s="1"/>
  <c r="T47" i="1"/>
  <c r="T46" i="1"/>
  <c r="T53" i="1" s="1"/>
  <c r="M46" i="1"/>
  <c r="M53" i="1" s="1"/>
  <c r="M47" i="1"/>
  <c r="M48" i="1" s="1"/>
  <c r="M54" i="1" s="1"/>
  <c r="J46" i="1"/>
  <c r="J53" i="1" s="1"/>
  <c r="S47" i="1"/>
  <c r="S48" i="1" s="1"/>
  <c r="S54" i="1" s="1"/>
  <c r="J47" i="1"/>
  <c r="J48" i="1" s="1"/>
  <c r="J54" i="1" s="1"/>
  <c r="M63" i="4"/>
  <c r="M64" i="4" s="1"/>
  <c r="S46" i="1"/>
  <c r="S53" i="1" s="1"/>
  <c r="T63" i="4"/>
  <c r="T64" i="4" s="1"/>
  <c r="T48" i="1"/>
  <c r="T54" i="1" s="1"/>
  <c r="F46" i="1"/>
  <c r="F53" i="1" s="1"/>
  <c r="B22" i="4"/>
  <c r="D6" i="4"/>
  <c r="S6" i="4"/>
  <c r="I6" i="4"/>
  <c r="Q7" i="4"/>
  <c r="E6" i="4"/>
  <c r="P6" i="4"/>
  <c r="B6" i="4"/>
  <c r="C6" i="4"/>
  <c r="H6" i="4"/>
  <c r="F6" i="4"/>
  <c r="P47" i="1"/>
  <c r="P48" i="1" s="1"/>
  <c r="P54" i="1" s="1"/>
  <c r="L63" i="4"/>
  <c r="L64" i="4" s="1"/>
  <c r="G6" i="4"/>
  <c r="R7" i="4"/>
  <c r="K63" i="4"/>
  <c r="K64" i="4" s="1"/>
  <c r="V63" i="4"/>
  <c r="V64" i="4" s="1"/>
  <c r="J63" i="4"/>
  <c r="J64" i="4" s="1"/>
  <c r="U63" i="4"/>
  <c r="U64" i="4" s="1"/>
  <c r="N63" i="4"/>
  <c r="N64" i="4" s="1"/>
  <c r="T27" i="33"/>
  <c r="T52" i="33" s="1"/>
  <c r="T45" i="33"/>
  <c r="I47" i="1"/>
  <c r="I48" i="1" s="1"/>
  <c r="I54" i="1" s="1"/>
  <c r="F47" i="1"/>
  <c r="F48" i="1" s="1"/>
  <c r="F54" i="1" s="1"/>
  <c r="G47" i="1"/>
  <c r="G48" i="1" s="1"/>
  <c r="G54" i="1" s="1"/>
  <c r="E47" i="1"/>
  <c r="E48" i="1" s="1"/>
  <c r="E54" i="1" s="1"/>
  <c r="Q46" i="1"/>
  <c r="Q53" i="1" s="1"/>
  <c r="E46" i="1"/>
  <c r="E53" i="1" s="1"/>
  <c r="Q47" i="1"/>
  <c r="Q48" i="1" s="1"/>
  <c r="Q54" i="1" s="1"/>
  <c r="I46" i="1"/>
  <c r="I53" i="1" s="1"/>
  <c r="R74" i="4"/>
  <c r="M57" i="4"/>
  <c r="M58" i="4" s="1"/>
  <c r="M76" i="4" s="1"/>
  <c r="U57" i="4"/>
  <c r="U58" i="4" s="1"/>
  <c r="U76" i="4" s="1"/>
  <c r="H57" i="1"/>
  <c r="G57" i="1"/>
  <c r="F57" i="1"/>
  <c r="I57" i="1"/>
  <c r="E57" i="1"/>
  <c r="H7" i="4"/>
  <c r="G46" i="1"/>
  <c r="G53" i="1" s="1"/>
  <c r="H46" i="1"/>
  <c r="H53" i="1" s="1"/>
  <c r="H47" i="1"/>
  <c r="H48" i="1" s="1"/>
  <c r="H54" i="1" s="1"/>
  <c r="G11" i="4"/>
  <c r="F9" i="4"/>
  <c r="I13" i="4"/>
  <c r="I63" i="4" s="1"/>
  <c r="I64" i="4" s="1"/>
  <c r="E12" i="4"/>
  <c r="I55" i="4"/>
  <c r="I62" i="4"/>
  <c r="N55" i="4"/>
  <c r="N62" i="4"/>
  <c r="V57" i="4"/>
  <c r="V58" i="4" s="1"/>
  <c r="V76" i="4" s="1"/>
  <c r="L56" i="4"/>
  <c r="L75" i="4" s="1"/>
  <c r="T56" i="4"/>
  <c r="T75" i="4" s="1"/>
  <c r="K57" i="4"/>
  <c r="K58" i="4" s="1"/>
  <c r="K76" i="4" s="1"/>
  <c r="J56" i="4"/>
  <c r="J75" i="4" s="1"/>
  <c r="P55" i="4"/>
  <c r="P62" i="4"/>
  <c r="F55" i="4"/>
  <c r="F62" i="4"/>
  <c r="M55" i="4"/>
  <c r="M62" i="4"/>
  <c r="J55" i="4"/>
  <c r="J62" i="4"/>
  <c r="L57" i="4"/>
  <c r="L58" i="4" s="1"/>
  <c r="L76" i="4" s="1"/>
  <c r="N57" i="4"/>
  <c r="N58" i="4" s="1"/>
  <c r="N76" i="4" s="1"/>
  <c r="K56" i="4"/>
  <c r="K75" i="4" s="1"/>
  <c r="J57" i="4"/>
  <c r="J58" i="4" s="1"/>
  <c r="J76" i="4" s="1"/>
  <c r="Q55" i="4"/>
  <c r="Q62" i="4"/>
  <c r="G55" i="4"/>
  <c r="G62" i="4"/>
  <c r="H74" i="4"/>
  <c r="H62" i="4"/>
  <c r="U22" i="33"/>
  <c r="U45" i="33"/>
  <c r="U27" i="33"/>
  <c r="U52" i="33" s="1"/>
  <c r="R45" i="33"/>
  <c r="R27" i="33"/>
  <c r="R52" i="33" s="1"/>
  <c r="R22" i="33"/>
  <c r="V56" i="4"/>
  <c r="V75" i="4" s="1"/>
  <c r="M56" i="4"/>
  <c r="M75" i="4" s="1"/>
  <c r="N56" i="4"/>
  <c r="N75" i="4" s="1"/>
  <c r="U56" i="4"/>
  <c r="U75" i="4" s="1"/>
  <c r="C74" i="4"/>
  <c r="C62" i="4"/>
  <c r="D55" i="4"/>
  <c r="D62" i="4"/>
  <c r="S27" i="33"/>
  <c r="S52" i="33" s="1"/>
  <c r="S22" i="33"/>
  <c r="S45" i="33"/>
  <c r="V4" i="33"/>
  <c r="T57" i="4"/>
  <c r="T58" i="4" s="1"/>
  <c r="T76" i="4" s="1"/>
  <c r="R55" i="4"/>
  <c r="V4" i="1"/>
  <c r="V45" i="1" s="1"/>
  <c r="P32" i="4"/>
  <c r="R10" i="4"/>
  <c r="B32" i="4"/>
  <c r="H55" i="4"/>
  <c r="S10" i="4"/>
  <c r="P14" i="4"/>
  <c r="Q15" i="4"/>
  <c r="V4" i="23"/>
  <c r="V45" i="23" s="1"/>
  <c r="K79" i="4"/>
  <c r="B10" i="4"/>
  <c r="L79" i="4"/>
  <c r="N79" i="4"/>
  <c r="W79" i="4"/>
  <c r="M79" i="4"/>
  <c r="J79" i="4"/>
  <c r="V79" i="4"/>
  <c r="U79" i="4"/>
  <c r="T79" i="4"/>
  <c r="P26" i="4"/>
  <c r="P46" i="1"/>
  <c r="P53" i="1" s="1"/>
  <c r="U4" i="1"/>
  <c r="U22" i="1" s="1"/>
  <c r="M74" i="4"/>
  <c r="M27" i="1"/>
  <c r="M52" i="1" s="1"/>
  <c r="M22" i="1"/>
  <c r="J52" i="1"/>
  <c r="J74" i="4"/>
  <c r="J27" i="1"/>
  <c r="J45" i="1"/>
  <c r="S4" i="1"/>
  <c r="S4" i="23"/>
  <c r="C55" i="4"/>
  <c r="U4" i="23"/>
  <c r="U22" i="23" s="1"/>
  <c r="J22" i="23"/>
  <c r="J52" i="23"/>
  <c r="J22" i="1"/>
  <c r="J27" i="23"/>
  <c r="R4" i="1"/>
  <c r="R22" i="1" s="1"/>
  <c r="R4" i="23"/>
  <c r="R22" i="23" s="1"/>
  <c r="M52" i="23"/>
  <c r="M22" i="23"/>
  <c r="M45" i="23"/>
  <c r="M45" i="1"/>
  <c r="B46" i="23"/>
  <c r="B53" i="23" s="1"/>
  <c r="B55" i="23" s="1"/>
  <c r="O46" i="23"/>
  <c r="O53" i="23" s="1"/>
  <c r="O55" i="23" s="1"/>
  <c r="O47" i="23"/>
  <c r="O48" i="23" s="1"/>
  <c r="O54" i="23" s="1"/>
  <c r="B47" i="23"/>
  <c r="B48" i="23" s="1"/>
  <c r="B54" i="23" s="1"/>
  <c r="B57" i="23"/>
  <c r="O57" i="23"/>
  <c r="B29" i="4"/>
  <c r="P22" i="4"/>
  <c r="R47" i="1"/>
  <c r="R48" i="1" s="1"/>
  <c r="R54" i="1" s="1"/>
  <c r="Q57" i="1"/>
  <c r="D74" i="4"/>
  <c r="R46" i="1"/>
  <c r="R53" i="1" s="1"/>
  <c r="N74" i="4"/>
  <c r="C47" i="1"/>
  <c r="C48" i="1" s="1"/>
  <c r="C54" i="1" s="1"/>
  <c r="G74" i="4"/>
  <c r="D57" i="1"/>
  <c r="R57" i="1"/>
  <c r="P57" i="1"/>
  <c r="O57" i="1"/>
  <c r="C57" i="1"/>
  <c r="D10" i="4"/>
  <c r="C10" i="4"/>
  <c r="B57" i="1"/>
  <c r="C46" i="1"/>
  <c r="C53" i="1" s="1"/>
  <c r="B46" i="1"/>
  <c r="B53" i="1" s="1"/>
  <c r="G55" i="1" s="1"/>
  <c r="B47" i="1"/>
  <c r="B48" i="1" s="1"/>
  <c r="B54" i="1" s="1"/>
  <c r="D46" i="1"/>
  <c r="D53" i="1" s="1"/>
  <c r="O47" i="1"/>
  <c r="O48" i="1" s="1"/>
  <c r="O54" i="1" s="1"/>
  <c r="O46" i="1"/>
  <c r="O53" i="1" s="1"/>
  <c r="O55" i="1" s="1"/>
  <c r="D47" i="1"/>
  <c r="D48" i="1" s="1"/>
  <c r="D54" i="1" s="1"/>
  <c r="D8" i="4"/>
  <c r="T4" i="1"/>
  <c r="T4" i="23"/>
  <c r="F74" i="4"/>
  <c r="I74" i="4"/>
  <c r="P74" i="4"/>
  <c r="Q74" i="4"/>
  <c r="C78" i="4"/>
  <c r="Q78" i="4"/>
  <c r="E78" i="4"/>
  <c r="R78" i="4"/>
  <c r="I78" i="4"/>
  <c r="S78" i="4"/>
  <c r="F78" i="4"/>
  <c r="B78" i="4"/>
  <c r="H78" i="4"/>
  <c r="G78" i="4"/>
  <c r="D78" i="4"/>
  <c r="P78" i="4"/>
  <c r="F55" i="23" l="1"/>
  <c r="W56" i="4"/>
  <c r="W75" i="4" s="1"/>
  <c r="W63" i="4"/>
  <c r="W64" i="4" s="1"/>
  <c r="H56" i="4"/>
  <c r="H75" i="4" s="1"/>
  <c r="C63" i="4"/>
  <c r="C64" i="4" s="1"/>
  <c r="I57" i="4"/>
  <c r="I58" i="4" s="1"/>
  <c r="I76" i="4" s="1"/>
  <c r="W4" i="4"/>
  <c r="W55" i="4" s="1"/>
  <c r="F63" i="4"/>
  <c r="F64" i="4" s="1"/>
  <c r="S63" i="4"/>
  <c r="S64" i="4" s="1"/>
  <c r="C55" i="23"/>
  <c r="Q55" i="23"/>
  <c r="U55" i="23"/>
  <c r="T55" i="23"/>
  <c r="R55" i="23"/>
  <c r="S55" i="23"/>
  <c r="V55" i="23"/>
  <c r="P55" i="23"/>
  <c r="S55" i="1"/>
  <c r="U55" i="1"/>
  <c r="R55" i="1"/>
  <c r="T55" i="1"/>
  <c r="P55" i="1"/>
  <c r="Q55" i="1"/>
  <c r="V55" i="1"/>
  <c r="D63" i="4"/>
  <c r="D64" i="4" s="1"/>
  <c r="B63" i="4"/>
  <c r="B64" i="4" s="1"/>
  <c r="P63" i="4"/>
  <c r="P64" i="4" s="1"/>
  <c r="G56" i="4"/>
  <c r="G75" i="4" s="1"/>
  <c r="H57" i="4"/>
  <c r="H58" i="4" s="1"/>
  <c r="H76" i="4" s="1"/>
  <c r="H63" i="4"/>
  <c r="H64" i="4" s="1"/>
  <c r="Q63" i="4"/>
  <c r="Q64" i="4" s="1"/>
  <c r="G63" i="4"/>
  <c r="G64" i="4" s="1"/>
  <c r="E63" i="4"/>
  <c r="E64" i="4" s="1"/>
  <c r="R63" i="4"/>
  <c r="R64" i="4" s="1"/>
  <c r="V27" i="23"/>
  <c r="V52" i="23" s="1"/>
  <c r="I56" i="4"/>
  <c r="I75" i="4" s="1"/>
  <c r="U45" i="1"/>
  <c r="V22" i="1"/>
  <c r="V22" i="23"/>
  <c r="V27" i="1"/>
  <c r="V52" i="1" s="1"/>
  <c r="G57" i="4"/>
  <c r="G58" i="4" s="1"/>
  <c r="G76" i="4" s="1"/>
  <c r="F57" i="4"/>
  <c r="F58" i="4" s="1"/>
  <c r="F76" i="4" s="1"/>
  <c r="B56" i="4"/>
  <c r="E79" i="4"/>
  <c r="G79" i="4"/>
  <c r="I79" i="4"/>
  <c r="H79" i="4"/>
  <c r="F79" i="4"/>
  <c r="J80" i="4"/>
  <c r="E57" i="4"/>
  <c r="E58" i="4" s="1"/>
  <c r="E76" i="4" s="1"/>
  <c r="E56" i="4"/>
  <c r="E75" i="4" s="1"/>
  <c r="F56" i="4"/>
  <c r="F75" i="4" s="1"/>
  <c r="Q57" i="4"/>
  <c r="Q58" i="4" s="1"/>
  <c r="Q76" i="4" s="1"/>
  <c r="S56" i="4"/>
  <c r="S75" i="4" s="1"/>
  <c r="D56" i="4"/>
  <c r="D75" i="4" s="1"/>
  <c r="B57" i="4"/>
  <c r="B58" i="4" s="1"/>
  <c r="B76" i="4" s="1"/>
  <c r="V45" i="33"/>
  <c r="V27" i="33"/>
  <c r="V52" i="33" s="1"/>
  <c r="V22" i="33"/>
  <c r="D57" i="4"/>
  <c r="D58" i="4" s="1"/>
  <c r="D76" i="4" s="1"/>
  <c r="P57" i="4"/>
  <c r="P58" i="4" s="1"/>
  <c r="P76" i="4" s="1"/>
  <c r="C57" i="4"/>
  <c r="C58" i="4" s="1"/>
  <c r="C76" i="4" s="1"/>
  <c r="R56" i="4"/>
  <c r="R75" i="4" s="1"/>
  <c r="P56" i="4"/>
  <c r="P75" i="4" s="1"/>
  <c r="C56" i="4"/>
  <c r="C75" i="4" s="1"/>
  <c r="W74" i="4"/>
  <c r="Q56" i="4"/>
  <c r="S57" i="4"/>
  <c r="S58" i="4" s="1"/>
  <c r="S76" i="4" s="1"/>
  <c r="R57" i="4"/>
  <c r="R58" i="4" s="1"/>
  <c r="R76" i="4" s="1"/>
  <c r="R79" i="4"/>
  <c r="Q79" i="4"/>
  <c r="S79" i="4"/>
  <c r="S80" i="4" s="1"/>
  <c r="V4" i="4"/>
  <c r="U27" i="1"/>
  <c r="U52" i="1" s="1"/>
  <c r="C79" i="4"/>
  <c r="D79" i="4"/>
  <c r="L55" i="23"/>
  <c r="D55" i="23"/>
  <c r="H55" i="23"/>
  <c r="K55" i="23"/>
  <c r="J55" i="23"/>
  <c r="M55" i="23"/>
  <c r="G55" i="23"/>
  <c r="E55" i="23"/>
  <c r="I55" i="23"/>
  <c r="R59" i="23"/>
  <c r="R60" i="23" s="1"/>
  <c r="P79" i="4"/>
  <c r="B79" i="4"/>
  <c r="B64" i="23"/>
  <c r="L59" i="23"/>
  <c r="L60" i="23" s="1"/>
  <c r="F59" i="23"/>
  <c r="F60" i="23" s="1"/>
  <c r="Q59" i="23"/>
  <c r="Q60" i="23" s="1"/>
  <c r="V59" i="23"/>
  <c r="V60" i="23" s="1"/>
  <c r="P59" i="23"/>
  <c r="P60" i="23" s="1"/>
  <c r="T59" i="23"/>
  <c r="T60" i="23" s="1"/>
  <c r="U59" i="23"/>
  <c r="U60" i="23" s="1"/>
  <c r="S59" i="23"/>
  <c r="S60" i="23" s="1"/>
  <c r="B65" i="23"/>
  <c r="R45" i="23"/>
  <c r="T4" i="4"/>
  <c r="T62" i="4" s="1"/>
  <c r="S45" i="1"/>
  <c r="S27" i="1"/>
  <c r="S52" i="1" s="1"/>
  <c r="S22" i="1"/>
  <c r="U27" i="23"/>
  <c r="U52" i="23" s="1"/>
  <c r="U45" i="23"/>
  <c r="S45" i="23"/>
  <c r="S27" i="23"/>
  <c r="S52" i="23" s="1"/>
  <c r="S22" i="23"/>
  <c r="R45" i="1"/>
  <c r="S4" i="4"/>
  <c r="S62" i="4" s="1"/>
  <c r="R27" i="1"/>
  <c r="R52" i="1" s="1"/>
  <c r="R27" i="23"/>
  <c r="R52" i="23" s="1"/>
  <c r="C59" i="23"/>
  <c r="C60" i="23" s="1"/>
  <c r="E59" i="23"/>
  <c r="E60" i="23" s="1"/>
  <c r="J59" i="23"/>
  <c r="J60" i="23" s="1"/>
  <c r="K59" i="23"/>
  <c r="K60" i="23" s="1"/>
  <c r="D59" i="23"/>
  <c r="D60" i="23" s="1"/>
  <c r="I59" i="23"/>
  <c r="I60" i="23" s="1"/>
  <c r="O59" i="23"/>
  <c r="O60" i="23" s="1"/>
  <c r="G59" i="23"/>
  <c r="G60" i="23" s="1"/>
  <c r="H59" i="23"/>
  <c r="H60" i="23" s="1"/>
  <c r="M59" i="23"/>
  <c r="M60" i="23" s="1"/>
  <c r="C55" i="1"/>
  <c r="H55" i="1"/>
  <c r="F55" i="1"/>
  <c r="I55" i="1"/>
  <c r="L55" i="1"/>
  <c r="J55" i="1"/>
  <c r="D55" i="1"/>
  <c r="K55" i="1"/>
  <c r="E55" i="1"/>
  <c r="O59" i="1"/>
  <c r="O60" i="1" s="1"/>
  <c r="J59" i="1"/>
  <c r="J60" i="1" s="1"/>
  <c r="F59" i="1"/>
  <c r="F60" i="1" s="1"/>
  <c r="M59" i="1"/>
  <c r="M60" i="1" s="1"/>
  <c r="I59" i="1"/>
  <c r="I60" i="1" s="1"/>
  <c r="E59" i="1"/>
  <c r="E60" i="1" s="1"/>
  <c r="L59" i="1"/>
  <c r="L60" i="1" s="1"/>
  <c r="H59" i="1"/>
  <c r="H60" i="1" s="1"/>
  <c r="D59" i="1"/>
  <c r="D60" i="1" s="1"/>
  <c r="K59" i="1"/>
  <c r="K60" i="1" s="1"/>
  <c r="C59" i="1"/>
  <c r="C60" i="1" s="1"/>
  <c r="G59" i="1"/>
  <c r="G60" i="1" s="1"/>
  <c r="M55" i="1"/>
  <c r="T59" i="1"/>
  <c r="T60" i="1" s="1"/>
  <c r="P59" i="1"/>
  <c r="P60" i="1" s="1"/>
  <c r="S59" i="1"/>
  <c r="S60" i="1" s="1"/>
  <c r="V59" i="1"/>
  <c r="V60" i="1" s="1"/>
  <c r="R59" i="1"/>
  <c r="R60" i="1" s="1"/>
  <c r="U59" i="1"/>
  <c r="U60" i="1" s="1"/>
  <c r="Q59" i="1"/>
  <c r="Q60" i="1" s="1"/>
  <c r="B65" i="1"/>
  <c r="B64" i="1"/>
  <c r="B55" i="1"/>
  <c r="T27" i="23"/>
  <c r="T52" i="23" s="1"/>
  <c r="T45" i="23"/>
  <c r="T22" i="23"/>
  <c r="T27" i="1"/>
  <c r="T52" i="1" s="1"/>
  <c r="T45" i="1"/>
  <c r="U4" i="4"/>
  <c r="U62" i="4" s="1"/>
  <c r="T22" i="1"/>
  <c r="U77" i="4" l="1"/>
  <c r="W62" i="4"/>
  <c r="B80" i="4"/>
  <c r="Q75" i="4"/>
  <c r="V74" i="4"/>
  <c r="V62" i="4"/>
  <c r="R61" i="23"/>
  <c r="V55" i="4"/>
  <c r="W77" i="4"/>
  <c r="V77" i="4"/>
  <c r="P77" i="4"/>
  <c r="T77" i="4"/>
  <c r="R77" i="4"/>
  <c r="S77" i="4"/>
  <c r="B86" i="4"/>
  <c r="B87" i="4"/>
  <c r="B75" i="4"/>
  <c r="D94" i="4" s="1"/>
  <c r="N81" i="4"/>
  <c r="N82" i="4" s="1"/>
  <c r="M61" i="23"/>
  <c r="I61" i="23"/>
  <c r="E61" i="23"/>
  <c r="D61" i="23"/>
  <c r="C61" i="23"/>
  <c r="Q61" i="23"/>
  <c r="U61" i="23"/>
  <c r="P61" i="23"/>
  <c r="F61" i="23"/>
  <c r="H61" i="23"/>
  <c r="K61" i="23"/>
  <c r="G61" i="23"/>
  <c r="J61" i="23"/>
  <c r="S61" i="23"/>
  <c r="T61" i="23"/>
  <c r="V61" i="23"/>
  <c r="L61" i="23"/>
  <c r="D61" i="1"/>
  <c r="U61" i="1"/>
  <c r="S61" i="1"/>
  <c r="G61" i="1"/>
  <c r="M61" i="1"/>
  <c r="L61" i="1"/>
  <c r="T61" i="1"/>
  <c r="E61" i="1"/>
  <c r="F61" i="1"/>
  <c r="K61" i="1"/>
  <c r="I61" i="1"/>
  <c r="J61" i="1"/>
  <c r="V61" i="1"/>
  <c r="H61" i="1"/>
  <c r="T55" i="4"/>
  <c r="T74" i="4"/>
  <c r="S55" i="4"/>
  <c r="S74" i="4"/>
  <c r="O61" i="1"/>
  <c r="Q61" i="1"/>
  <c r="P61" i="1"/>
  <c r="C61" i="1"/>
  <c r="R61" i="1"/>
  <c r="U55" i="4"/>
  <c r="U74" i="4"/>
  <c r="I94" i="4" l="1"/>
  <c r="F94" i="4"/>
  <c r="P94" i="4"/>
  <c r="Q77" i="4"/>
  <c r="Q94" i="4"/>
  <c r="B94" i="4"/>
  <c r="O94" i="4"/>
  <c r="L94" i="4"/>
  <c r="T94" i="4"/>
  <c r="U94" i="4"/>
  <c r="N94" i="4"/>
  <c r="K94" i="4"/>
  <c r="J94" i="4"/>
  <c r="M94" i="4"/>
  <c r="V94" i="4"/>
  <c r="H94" i="4"/>
  <c r="S94" i="4"/>
  <c r="E94" i="4"/>
  <c r="R94" i="4"/>
  <c r="G94" i="4"/>
  <c r="C94" i="4"/>
  <c r="K77" i="4"/>
  <c r="J77" i="4"/>
  <c r="G77" i="4"/>
  <c r="N77" i="4"/>
  <c r="F77" i="4"/>
  <c r="L77" i="4"/>
  <c r="B77" i="4"/>
  <c r="M77" i="4"/>
  <c r="I77" i="4"/>
  <c r="H77" i="4"/>
  <c r="D77" i="4"/>
  <c r="C77" i="4"/>
  <c r="E77" i="4"/>
  <c r="N83" i="4"/>
  <c r="O61" i="2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68" authorId="0" shapeId="0" xr:uid="{00000000-0006-0000-0B00-000001000000}">
      <text>
        <r>
          <rPr>
            <b/>
            <sz val="9"/>
            <color indexed="81"/>
            <rFont val="Tahoma"/>
            <family val="2"/>
          </rPr>
          <t>A modifier si erreur dans le doc word - peut etre c'est Testo le témoin de référence</t>
        </r>
      </text>
    </comment>
    <comment ref="A69" authorId="0" shapeId="0" xr:uid="{00000000-0006-0000-0B00-000002000000}">
      <text>
        <r>
          <rPr>
            <b/>
            <sz val="9"/>
            <color indexed="81"/>
            <rFont val="Tahoma"/>
            <family val="2"/>
          </rPr>
          <t>A modifier si erreur dans le doc word - peut etre c'est Testo le témoin de référence</t>
        </r>
      </text>
    </comment>
  </commentList>
</comments>
</file>

<file path=xl/sharedStrings.xml><?xml version="1.0" encoding="utf-8"?>
<sst xmlns="http://schemas.openxmlformats.org/spreadsheetml/2006/main" count="295" uniqueCount="83">
  <si>
    <t>mean</t>
  </si>
  <si>
    <t>SD</t>
  </si>
  <si>
    <t>SEM</t>
  </si>
  <si>
    <t>avec testo</t>
  </si>
  <si>
    <t>Rep1</t>
  </si>
  <si>
    <t>Rep2</t>
  </si>
  <si>
    <t>Non dopé</t>
  </si>
  <si>
    <t>N°BDC :</t>
  </si>
  <si>
    <t>R1</t>
  </si>
  <si>
    <t>R2</t>
  </si>
  <si>
    <t>Concentration</t>
  </si>
  <si>
    <t xml:space="preserve">Testo </t>
  </si>
  <si>
    <t>R3</t>
  </si>
  <si>
    <t>LOD</t>
  </si>
  <si>
    <t>LOQ</t>
  </si>
  <si>
    <t>Mean</t>
  </si>
  <si>
    <t>Données brutes</t>
  </si>
  <si>
    <t>Données normalisées sur la moyenne du groupe "Testo"</t>
  </si>
  <si>
    <t>2. Expérimentateur 1 : copier et coller la dilution appliquée et le nom donné pour chaque des échantillons par le client. Conserver la mise en forme de l'exemple en italique. Ne pas remplir la colonne "nom sur graphique".</t>
  </si>
  <si>
    <t>4. Expérimentateur 1 : réaliser les tests statistiques avec les données normalisées et renseigner les résultats ainsi que le test statistique utilisé dans le tableau violet.</t>
  </si>
  <si>
    <t>Eléments pour la mise en forme conditionnelles des résutats - calcul équivalent hormonal (eqH)</t>
  </si>
  <si>
    <t>3. Expérimentateur 1 : copier et coller les valeurs des intensités totales de fluorescences obtenues dans le fichier raw data lors du traitement des images.</t>
  </si>
  <si>
    <t>Noms des groupes</t>
  </si>
  <si>
    <t>6. Expérimentateur 2 : copier et coller les valeurs des intensités totales de fluorescences obtenues dans le fichier raw data lors du traitement des images. Ne pas supprimer les colonnes correspondant aux concentrations non lues.</t>
  </si>
  <si>
    <t>7. Expérimentateur 2 : réaliser les tests statistiques avec les données normalisées et renseigner les résultats ainsi que le test statistique utilisé dans le tableau violet.</t>
  </si>
  <si>
    <t>8. Expérimentateur 2 : se reporter à l'onglet "pooled normalised values".</t>
  </si>
  <si>
    <t>9. Expérimentateur 2 : vérifier que le nombre de valeurs est &gt; ou égale à 14. Vérifier que le nombre de valeurs est &gt; ou égale à 27 pour le groupe "Testo".</t>
  </si>
  <si>
    <t>Nom des groupes</t>
  </si>
  <si>
    <t>Moy.</t>
  </si>
  <si>
    <t>Nbre de valeurs</t>
  </si>
  <si>
    <t xml:space="preserve"> + Testostérone</t>
  </si>
  <si>
    <t>5. Expérimentateur 1 : remplissage du suivi qualité (SQ) et transmission à l'expérimenteur 2.</t>
  </si>
  <si>
    <r>
      <t xml:space="preserve">11. Expérimentateur 2 : </t>
    </r>
    <r>
      <rPr>
        <b/>
        <sz val="20"/>
        <color rgb="FFFF0000"/>
        <rFont val="Calibri"/>
        <family val="2"/>
        <scheme val="minor"/>
      </rPr>
      <t>vérifier les valeurs des écarts type. En cas de valeur abbéantes ou incohérent, consulter le référent test.</t>
    </r>
  </si>
  <si>
    <t>12. Expérimentateur 2 : réaliser les tests statistiques avec les données du pool et renseigner les résultats ainsi que le test statistique utilisé dans le tableau violet.</t>
  </si>
  <si>
    <t xml:space="preserve">13. Expérimentateur 2 : masquer les colonnes de la feuille R1 et R2 correspondant au groupe des échantilons n'ayant été lu que sur le réplica 1.  </t>
  </si>
  <si>
    <r>
      <t xml:space="preserve">14. Expérimentateur 2 : vérifier la cohérence des deux réplicas et des réplicas avec le pool à l'aide des graphiques "Graph". En cas de divergences consulter </t>
    </r>
    <r>
      <rPr>
        <b/>
        <sz val="20"/>
        <color rgb="FFFF0000"/>
        <rFont val="Calibri"/>
        <family val="2"/>
        <scheme val="minor"/>
      </rPr>
      <t>le référent test.</t>
    </r>
  </si>
  <si>
    <r>
      <t xml:space="preserve">15. Expérimentateur 2 : réaliser le calcul de l'équivalent hormonal (eqh) à l'aide </t>
    </r>
    <r>
      <rPr>
        <b/>
        <sz val="20"/>
        <color rgb="FFFF0000"/>
        <rFont val="Calibri"/>
        <family val="2"/>
        <scheme val="minor"/>
      </rPr>
      <t>du logiciel et PRISM</t>
    </r>
    <r>
      <rPr>
        <b/>
        <sz val="20"/>
        <color theme="1"/>
        <rFont val="Calibri"/>
        <family val="2"/>
        <scheme val="minor"/>
      </rPr>
      <t>. Seules les moyennes des témoins, des échantillons non dopées apparraissant en vert et les moyennes des échantillons dopées étant statiquement différentes des témoins (*, **, ***) pourrons être calculées en eqh. Se reporter à l'onglet "summary results".</t>
    </r>
  </si>
  <si>
    <t>10. Expérimentateur 2 : vérifier que le calcul des ratio s'affiche en vert.</t>
  </si>
  <si>
    <t>Evian/EE2 488 ng /L &gt;=</t>
  </si>
  <si>
    <t>Ratio à atteindre</t>
  </si>
  <si>
    <t>Evian/Testo + EE2 64 ng/L &gt;=</t>
  </si>
  <si>
    <t>Evian/ Testo + FAD &lt;=</t>
  </si>
  <si>
    <t>% induction</t>
  </si>
  <si>
    <t>Test de normalité : valeur du p</t>
  </si>
  <si>
    <t>Test statistique utilisé</t>
  </si>
  <si>
    <t>Test statistique : valeur du p</t>
  </si>
  <si>
    <t>Annotation</t>
  </si>
  <si>
    <t>Test de normalité : résultat normal?</t>
  </si>
  <si>
    <t>Rep3</t>
  </si>
  <si>
    <t>Tous les groupes du gamme sont normale?</t>
  </si>
  <si>
    <t>Témoin</t>
  </si>
  <si>
    <t>ng/L</t>
  </si>
  <si>
    <t>EE2</t>
  </si>
  <si>
    <t>µg/L</t>
  </si>
  <si>
    <t xml:space="preserve">Testo 30µg/L + EE2 </t>
  </si>
  <si>
    <t>mg/L</t>
  </si>
  <si>
    <t>Testo 30µg/L + FAD</t>
  </si>
  <si>
    <t>Experiment number :</t>
  </si>
  <si>
    <t>Do not fill in</t>
  </si>
  <si>
    <t>Do not fill in2</t>
  </si>
  <si>
    <t>Units</t>
  </si>
  <si>
    <t>Chemical name</t>
  </si>
  <si>
    <t>Do not fill in3</t>
  </si>
  <si>
    <t>test chemical</t>
  </si>
  <si>
    <t>Solvent control</t>
  </si>
  <si>
    <t>33.8</t>
  </si>
  <si>
    <t>50.6</t>
  </si>
  <si>
    <t>170.9</t>
  </si>
  <si>
    <t>Date performed :20210602</t>
    <phoneticPr fontId="12"/>
  </si>
  <si>
    <t>Date performed :20210603</t>
    <phoneticPr fontId="12"/>
  </si>
  <si>
    <t>6. Expérimentateur 2 : copier et coller les valeurs des intensités totales de fluorescences obtenues dans le fichier raw data lors du traitement des images. Ne pas supprimer les colonnes correspondant aux concentrations non lues.
画像処理時に取得した蛍光強度全体の値をコピーして、生データファイルに貼り付けます。未読濃度に対応する列は削除しないでください。</t>
    <phoneticPr fontId="12"/>
  </si>
  <si>
    <t>Données brutes
ローデータ</t>
    <phoneticPr fontId="12"/>
  </si>
  <si>
    <t>Données normalisées sur la moyenne du groupe "Testo"
「Testo」群の平均に関する標準化データ</t>
    <phoneticPr fontId="12"/>
  </si>
  <si>
    <t>Date performed :20210609</t>
    <phoneticPr fontId="12"/>
  </si>
  <si>
    <t>ng/L</t>
    <phoneticPr fontId="12"/>
  </si>
  <si>
    <t>tamoxifen</t>
    <phoneticPr fontId="12"/>
  </si>
  <si>
    <t>ns</t>
  </si>
  <si>
    <t>&gt;0,9999</t>
  </si>
  <si>
    <t>****</t>
  </si>
  <si>
    <t>&lt;0,0001</t>
  </si>
  <si>
    <t>Kruskal-Wallis</t>
  </si>
  <si>
    <t>Mann-Whitney</t>
  </si>
  <si>
    <t>T-test Welch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</si>
</sst>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3">
    <font>
      <sz val="11"/>
      <color theme="1"/>
      <name val="Calibri"/>
      <family val="2"/>
      <scheme val="minor"/>
    </font>
    <font>
      <b/>
      <sz val="11"/>
      <color theme="1"/>
      <name val="Calibri"/>
      <family val="2"/>
      <scheme val="minor"/>
    </font>
    <font>
      <sz val="13"/>
      <name val="Arial"/>
      <family val="2"/>
    </font>
    <font>
      <sz val="16"/>
      <color theme="1"/>
      <name val="Calibri"/>
      <family val="2"/>
      <scheme val="minor"/>
    </font>
    <font>
      <sz val="10"/>
      <name val="Arial"/>
      <family val="2"/>
    </font>
    <font>
      <b/>
      <sz val="16"/>
      <color theme="1"/>
      <name val="Calibri"/>
      <family val="2"/>
      <scheme val="minor"/>
    </font>
    <font>
      <sz val="11"/>
      <name val="Calibri"/>
      <family val="2"/>
      <scheme val="minor"/>
    </font>
    <font>
      <b/>
      <sz val="20"/>
      <color theme="1"/>
      <name val="Calibri"/>
      <family val="2"/>
      <scheme val="minor"/>
    </font>
    <font>
      <sz val="12"/>
      <color theme="1"/>
      <name val="Calibri"/>
      <family val="2"/>
      <scheme val="minor"/>
    </font>
    <font>
      <b/>
      <sz val="20"/>
      <color rgb="FFFF0000"/>
      <name val="Calibri"/>
      <family val="2"/>
      <scheme val="minor"/>
    </font>
    <font>
      <b/>
      <sz val="9"/>
      <color indexed="81"/>
      <name val="Tahoma"/>
      <family val="2"/>
    </font>
    <font>
      <b/>
      <sz val="11"/>
      <color rgb="FFFF0000"/>
      <name val="Calibri"/>
      <family val="2"/>
      <scheme val="minor"/>
    </font>
    <font>
      <sz val="6"/>
      <name val="Calibri"/>
      <family val="3"/>
      <charset val="128"/>
      <scheme val="minor"/>
    </font>
  </fonts>
  <fills count="15">
    <fill>
      <patternFill patternType="none"/>
    </fill>
    <fill>
      <patternFill patternType="gray125"/>
    </fill>
    <fill>
      <patternFill patternType="solid">
        <fgColor rgb="FFFFFF00"/>
        <bgColor indexed="64"/>
      </patternFill>
    </fill>
    <fill>
      <patternFill patternType="solid">
        <fgColor theme="9" tint="0.59999389629810485"/>
        <bgColor indexed="64"/>
      </patternFill>
    </fill>
    <fill>
      <patternFill patternType="solid">
        <fgColor theme="3" tint="0.79998168889431442"/>
        <bgColor indexed="64"/>
      </patternFill>
    </fill>
    <fill>
      <patternFill patternType="solid">
        <fgColor rgb="FF00B050"/>
        <bgColor indexed="64"/>
      </patternFill>
    </fill>
    <fill>
      <patternFill patternType="solid">
        <fgColor theme="7" tint="0.79998168889431442"/>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0"/>
        <bgColor indexed="64"/>
      </patternFill>
    </fill>
    <fill>
      <patternFill patternType="solid">
        <fgColor theme="6" tint="0.39997558519241921"/>
        <bgColor indexed="64"/>
      </patternFill>
    </fill>
    <fill>
      <patternFill patternType="solid">
        <fgColor theme="2" tint="-9.9978637043366805E-2"/>
        <bgColor indexed="64"/>
      </patternFill>
    </fill>
    <fill>
      <patternFill patternType="solid">
        <fgColor theme="2" tint="-0.249977111117893"/>
        <bgColor indexed="64"/>
      </patternFill>
    </fill>
    <fill>
      <patternFill patternType="solid">
        <fgColor theme="6" tint="0.59999389629810485"/>
        <bgColor indexed="64"/>
      </patternFill>
    </fill>
    <fill>
      <patternFill patternType="solid">
        <fgColor rgb="FFFFC000"/>
        <bgColor indexed="64"/>
      </patternFill>
    </fill>
  </fills>
  <borders count="4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thin">
        <color indexed="64"/>
      </bottom>
      <diagonal/>
    </border>
    <border>
      <left/>
      <right style="thin">
        <color indexed="64"/>
      </right>
      <top style="medium">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style="thin">
        <color indexed="64"/>
      </right>
      <top style="thin">
        <color indexed="64"/>
      </top>
      <bottom/>
      <diagonal/>
    </border>
    <border>
      <left/>
      <right style="medium">
        <color indexed="64"/>
      </right>
      <top style="thin">
        <color indexed="64"/>
      </top>
      <bottom style="thin">
        <color indexed="64"/>
      </bottom>
      <diagonal/>
    </border>
    <border>
      <left/>
      <right style="thin">
        <color indexed="64"/>
      </right>
      <top/>
      <bottom/>
      <diagonal/>
    </border>
    <border>
      <left style="thin">
        <color indexed="64"/>
      </left>
      <right style="thin">
        <color indexed="64"/>
      </right>
      <top style="thin">
        <color indexed="64"/>
      </top>
      <bottom/>
      <diagonal/>
    </border>
    <border>
      <left/>
      <right/>
      <top style="medium">
        <color indexed="64"/>
      </top>
      <bottom/>
      <diagonal/>
    </border>
    <border>
      <left/>
      <right style="medium">
        <color indexed="64"/>
      </right>
      <top/>
      <bottom/>
      <diagonal/>
    </border>
    <border>
      <left/>
      <right style="thin">
        <color auto="1"/>
      </right>
      <top/>
      <bottom style="thin">
        <color auto="1"/>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right style="thin">
        <color indexed="64"/>
      </right>
      <top style="medium">
        <color indexed="64"/>
      </top>
      <bottom/>
      <diagonal/>
    </border>
  </borders>
  <cellStyleXfs count="7">
    <xf numFmtId="0" fontId="0" fillId="0" borderId="0"/>
    <xf numFmtId="0" fontId="4" fillId="0" borderId="0"/>
    <xf numFmtId="0" fontId="8" fillId="0" borderId="0"/>
    <xf numFmtId="0" fontId="4" fillId="0" borderId="0"/>
    <xf numFmtId="0" fontId="8" fillId="0" borderId="0"/>
    <xf numFmtId="0" fontId="4" fillId="0" borderId="0"/>
    <xf numFmtId="0" fontId="8" fillId="0" borderId="0"/>
  </cellStyleXfs>
  <cellXfs count="158">
    <xf numFmtId="0" fontId="0" fillId="0" borderId="0" xfId="0"/>
    <xf numFmtId="0" fontId="0" fillId="0" borderId="0" xfId="0"/>
    <xf numFmtId="0" fontId="1" fillId="0" borderId="0" xfId="0" applyFont="1"/>
    <xf numFmtId="0" fontId="0" fillId="0" borderId="0" xfId="0" applyAlignment="1">
      <alignment horizontal="center"/>
    </xf>
    <xf numFmtId="0" fontId="0" fillId="0" borderId="1" xfId="0" applyBorder="1" applyAlignment="1">
      <alignment horizontal="center"/>
    </xf>
    <xf numFmtId="1" fontId="0" fillId="0" borderId="0" xfId="0" applyNumberFormat="1" applyAlignment="1">
      <alignment horizontal="center"/>
    </xf>
    <xf numFmtId="0" fontId="0" fillId="0" borderId="2" xfId="0" applyBorder="1" applyAlignment="1">
      <alignment horizontal="center"/>
    </xf>
    <xf numFmtId="0" fontId="0" fillId="0" borderId="0" xfId="0" applyBorder="1" applyAlignment="1">
      <alignment horizontal="center"/>
    </xf>
    <xf numFmtId="164" fontId="0" fillId="0" borderId="0" xfId="0" applyNumberFormat="1" applyAlignment="1">
      <alignment horizontal="center"/>
    </xf>
    <xf numFmtId="2" fontId="0" fillId="5" borderId="0" xfId="0" applyNumberFormat="1" applyFill="1" applyAlignment="1">
      <alignment horizontal="center"/>
    </xf>
    <xf numFmtId="164" fontId="0" fillId="5" borderId="0" xfId="0" applyNumberFormat="1" applyFill="1" applyAlignment="1">
      <alignment horizontal="center"/>
    </xf>
    <xf numFmtId="164" fontId="0" fillId="0" borderId="1" xfId="0" applyNumberFormat="1" applyBorder="1" applyAlignment="1">
      <alignment horizontal="center"/>
    </xf>
    <xf numFmtId="0" fontId="2" fillId="0" borderId="0" xfId="0" applyFont="1"/>
    <xf numFmtId="0" fontId="0" fillId="0" borderId="1" xfId="0" applyBorder="1"/>
    <xf numFmtId="0" fontId="2" fillId="0" borderId="1" xfId="0" applyFont="1" applyBorder="1"/>
    <xf numFmtId="0" fontId="0" fillId="0" borderId="0" xfId="0" applyFont="1" applyAlignment="1">
      <alignment horizontal="center"/>
    </xf>
    <xf numFmtId="0" fontId="0" fillId="0" borderId="1" xfId="0" applyBorder="1" applyAlignment="1">
      <alignment horizontal="center"/>
    </xf>
    <xf numFmtId="0" fontId="0" fillId="0" borderId="1" xfId="0" applyBorder="1" applyAlignment="1">
      <alignment horizontal="center"/>
    </xf>
    <xf numFmtId="0" fontId="0" fillId="0" borderId="0" xfId="0" applyBorder="1"/>
    <xf numFmtId="0" fontId="0" fillId="8" borderId="1" xfId="0" applyFill="1" applyBorder="1" applyAlignment="1">
      <alignment horizontal="center"/>
    </xf>
    <xf numFmtId="0" fontId="0" fillId="8" borderId="12" xfId="0" applyFill="1" applyBorder="1" applyAlignment="1">
      <alignment horizontal="center"/>
    </xf>
    <xf numFmtId="0" fontId="0" fillId="10" borderId="12" xfId="0" applyFill="1" applyBorder="1" applyAlignment="1">
      <alignment horizontal="center"/>
    </xf>
    <xf numFmtId="0" fontId="5" fillId="0" borderId="7" xfId="0" applyFont="1" applyBorder="1" applyAlignment="1">
      <alignment vertical="center"/>
    </xf>
    <xf numFmtId="0" fontId="5" fillId="0" borderId="6" xfId="0" applyFont="1" applyBorder="1" applyAlignment="1">
      <alignment vertical="center" wrapText="1"/>
    </xf>
    <xf numFmtId="0" fontId="1" fillId="4" borderId="3" xfId="0" applyFont="1" applyFill="1" applyBorder="1" applyAlignment="1">
      <alignment horizontal="center"/>
    </xf>
    <xf numFmtId="0" fontId="3" fillId="0" borderId="15" xfId="0" applyFont="1" applyBorder="1" applyAlignment="1">
      <alignment vertical="center"/>
    </xf>
    <xf numFmtId="0" fontId="0" fillId="0" borderId="0" xfId="0" applyFont="1"/>
    <xf numFmtId="0" fontId="3" fillId="0" borderId="9" xfId="0" applyNumberFormat="1" applyFont="1" applyBorder="1" applyAlignment="1">
      <alignment vertical="center"/>
    </xf>
    <xf numFmtId="0" fontId="0" fillId="0" borderId="0" xfId="0" applyNumberFormat="1"/>
    <xf numFmtId="0" fontId="0" fillId="6" borderId="8" xfId="0" applyFill="1" applyBorder="1" applyAlignment="1">
      <alignment horizontal="center"/>
    </xf>
    <xf numFmtId="0" fontId="0" fillId="6" borderId="9" xfId="0" applyFill="1" applyBorder="1" applyAlignment="1">
      <alignment horizontal="center"/>
    </xf>
    <xf numFmtId="0" fontId="0" fillId="6" borderId="23" xfId="0" applyFill="1" applyBorder="1"/>
    <xf numFmtId="0" fontId="0" fillId="0" borderId="0" xfId="0" applyAlignment="1">
      <alignment vertical="center"/>
    </xf>
    <xf numFmtId="164" fontId="7" fillId="11" borderId="7" xfId="0" applyNumberFormat="1" applyFont="1" applyFill="1" applyBorder="1" applyAlignment="1">
      <alignment horizontal="left" vertical="center"/>
    </xf>
    <xf numFmtId="164" fontId="7" fillId="11" borderId="6" xfId="0" applyNumberFormat="1" applyFont="1" applyFill="1" applyBorder="1" applyAlignment="1">
      <alignment horizontal="left" vertical="center"/>
    </xf>
    <xf numFmtId="0" fontId="1" fillId="0" borderId="0" xfId="0" applyFont="1" applyAlignment="1">
      <alignment horizontal="center"/>
    </xf>
    <xf numFmtId="0" fontId="3" fillId="13" borderId="26" xfId="0" applyFont="1" applyFill="1" applyBorder="1" applyAlignment="1">
      <alignment vertical="center"/>
    </xf>
    <xf numFmtId="164" fontId="0" fillId="3" borderId="1" xfId="0" applyNumberFormat="1" applyFill="1" applyBorder="1" applyAlignment="1">
      <alignment horizontal="center"/>
    </xf>
    <xf numFmtId="164" fontId="0" fillId="4" borderId="1" xfId="0" applyNumberFormat="1" applyFill="1" applyBorder="1" applyAlignment="1">
      <alignment horizontal="center"/>
    </xf>
    <xf numFmtId="0" fontId="5" fillId="0" borderId="6" xfId="0" applyFont="1" applyBorder="1" applyAlignment="1">
      <alignment vertical="center"/>
    </xf>
    <xf numFmtId="0" fontId="5" fillId="0" borderId="6" xfId="0" applyFont="1" applyBorder="1" applyAlignment="1">
      <alignment horizontal="center" vertical="center"/>
    </xf>
    <xf numFmtId="0" fontId="0" fillId="0" borderId="6" xfId="0" applyBorder="1"/>
    <xf numFmtId="49" fontId="0" fillId="0" borderId="0" xfId="0" applyNumberFormat="1" applyFill="1" applyBorder="1" applyAlignment="1">
      <alignment horizontal="center"/>
    </xf>
    <xf numFmtId="164" fontId="0" fillId="0" borderId="0" xfId="0" applyNumberFormat="1" applyFill="1" applyBorder="1" applyAlignment="1">
      <alignment horizontal="center"/>
    </xf>
    <xf numFmtId="0" fontId="0" fillId="0" borderId="0" xfId="0" applyFill="1"/>
    <xf numFmtId="164" fontId="0" fillId="6" borderId="10" xfId="0" applyNumberFormat="1" applyFill="1" applyBorder="1" applyAlignment="1">
      <alignment horizontal="center"/>
    </xf>
    <xf numFmtId="164" fontId="0" fillId="6" borderId="18" xfId="0" applyNumberFormat="1" applyFill="1" applyBorder="1" applyAlignment="1">
      <alignment horizontal="center"/>
    </xf>
    <xf numFmtId="0" fontId="3" fillId="7" borderId="2" xfId="0" applyNumberFormat="1" applyFont="1" applyFill="1" applyBorder="1" applyAlignment="1">
      <alignment horizontal="center" vertical="center" wrapText="1"/>
    </xf>
    <xf numFmtId="0" fontId="3" fillId="0" borderId="3" xfId="0" applyFont="1" applyBorder="1" applyAlignment="1">
      <alignment vertical="center"/>
    </xf>
    <xf numFmtId="0" fontId="1" fillId="0" borderId="0" xfId="0" applyFont="1" applyBorder="1" applyAlignment="1">
      <alignment horizontal="center" vertical="center"/>
    </xf>
    <xf numFmtId="0" fontId="2" fillId="0" borderId="0" xfId="0" applyFont="1" applyBorder="1"/>
    <xf numFmtId="0" fontId="6" fillId="0" borderId="0" xfId="0" applyFont="1" applyAlignment="1">
      <alignment horizontal="center"/>
    </xf>
    <xf numFmtId="0" fontId="6" fillId="0" borderId="0" xfId="0" applyFont="1"/>
    <xf numFmtId="0" fontId="6" fillId="0" borderId="0" xfId="0" applyFont="1" applyBorder="1" applyAlignment="1">
      <alignment horizontal="center"/>
    </xf>
    <xf numFmtId="0" fontId="1" fillId="3" borderId="1" xfId="0" applyFont="1" applyFill="1" applyBorder="1" applyAlignment="1">
      <alignment horizontal="center"/>
    </xf>
    <xf numFmtId="0" fontId="1" fillId="9" borderId="0" xfId="0" applyFont="1" applyFill="1" applyBorder="1" applyAlignment="1">
      <alignment vertical="center"/>
    </xf>
    <xf numFmtId="0" fontId="3" fillId="0" borderId="4" xfId="0" applyFont="1" applyBorder="1" applyAlignment="1">
      <alignment vertical="center"/>
    </xf>
    <xf numFmtId="0" fontId="3" fillId="13" borderId="3" xfId="0" applyFont="1" applyFill="1" applyBorder="1" applyAlignment="1">
      <alignment vertical="center"/>
    </xf>
    <xf numFmtId="2" fontId="3" fillId="7" borderId="2" xfId="0" applyNumberFormat="1" applyFont="1" applyFill="1" applyBorder="1" applyAlignment="1">
      <alignment horizontal="center" vertical="center" wrapText="1"/>
    </xf>
    <xf numFmtId="2" fontId="3" fillId="7" borderId="21" xfId="0" applyNumberFormat="1" applyFont="1" applyFill="1" applyBorder="1" applyAlignment="1">
      <alignment horizontal="center" vertical="center" wrapText="1"/>
    </xf>
    <xf numFmtId="0" fontId="3" fillId="0" borderId="25" xfId="0" applyFont="1" applyBorder="1" applyAlignment="1">
      <alignment vertical="center"/>
    </xf>
    <xf numFmtId="0" fontId="3" fillId="13" borderId="13" xfId="0" applyFont="1" applyFill="1" applyBorder="1" applyAlignment="1">
      <alignment vertical="center"/>
    </xf>
    <xf numFmtId="0" fontId="3" fillId="13" borderId="15" xfId="0" applyFont="1" applyFill="1" applyBorder="1" applyAlignment="1">
      <alignment vertical="center"/>
    </xf>
    <xf numFmtId="0" fontId="3" fillId="13" borderId="4" xfId="0" applyFont="1" applyFill="1" applyBorder="1" applyAlignment="1">
      <alignment vertical="center"/>
    </xf>
    <xf numFmtId="0" fontId="3" fillId="0" borderId="1" xfId="0" applyNumberFormat="1" applyFont="1" applyBorder="1" applyAlignment="1">
      <alignment horizontal="center" vertical="center"/>
    </xf>
    <xf numFmtId="0" fontId="3" fillId="13" borderId="9" xfId="0" applyNumberFormat="1" applyFont="1" applyFill="1" applyBorder="1" applyAlignment="1">
      <alignment horizontal="center" vertical="center"/>
    </xf>
    <xf numFmtId="0" fontId="3" fillId="13" borderId="1" xfId="0" applyNumberFormat="1" applyFont="1" applyFill="1" applyBorder="1" applyAlignment="1">
      <alignment horizontal="center" vertical="center"/>
    </xf>
    <xf numFmtId="0" fontId="3" fillId="7" borderId="0" xfId="0" applyFont="1" applyFill="1" applyBorder="1" applyAlignment="1">
      <alignment horizontal="center" vertical="center"/>
    </xf>
    <xf numFmtId="0" fontId="3" fillId="0" borderId="0" xfId="0" applyFont="1"/>
    <xf numFmtId="0" fontId="3" fillId="0" borderId="0" xfId="0" applyFont="1" applyFill="1" applyBorder="1" applyAlignment="1">
      <alignment vertical="center"/>
    </xf>
    <xf numFmtId="0" fontId="3" fillId="0" borderId="0" xfId="0" applyFont="1" applyAlignment="1">
      <alignment vertical="center"/>
    </xf>
    <xf numFmtId="0" fontId="3" fillId="13" borderId="23" xfId="0" applyFont="1" applyFill="1" applyBorder="1" applyAlignment="1">
      <alignment vertical="center"/>
    </xf>
    <xf numFmtId="0" fontId="3" fillId="13" borderId="0" xfId="0" applyFont="1" applyFill="1" applyBorder="1" applyAlignment="1">
      <alignment vertical="center"/>
    </xf>
    <xf numFmtId="0" fontId="3" fillId="0" borderId="3" xfId="0" applyNumberFormat="1" applyFont="1" applyBorder="1" applyAlignment="1">
      <alignment horizontal="center" vertical="center"/>
    </xf>
    <xf numFmtId="0" fontId="3" fillId="0" borderId="4" xfId="0" applyNumberFormat="1" applyFont="1" applyBorder="1" applyAlignment="1">
      <alignment horizontal="center" vertical="center"/>
    </xf>
    <xf numFmtId="0" fontId="3" fillId="13" borderId="26" xfId="0" applyNumberFormat="1" applyFont="1" applyFill="1" applyBorder="1" applyAlignment="1">
      <alignment horizontal="center" vertical="center"/>
    </xf>
    <xf numFmtId="0" fontId="3" fillId="13" borderId="3" xfId="0" applyNumberFormat="1" applyFont="1" applyFill="1" applyBorder="1" applyAlignment="1">
      <alignment horizontal="center" vertical="center"/>
    </xf>
    <xf numFmtId="164" fontId="0" fillId="6" borderId="1" xfId="0" applyNumberFormat="1" applyFill="1" applyBorder="1" applyAlignment="1">
      <alignment horizontal="center"/>
    </xf>
    <xf numFmtId="0" fontId="0" fillId="6" borderId="11" xfId="0" applyFill="1" applyBorder="1" applyAlignment="1">
      <alignment horizontal="center"/>
    </xf>
    <xf numFmtId="164" fontId="0" fillId="6" borderId="0" xfId="0" applyNumberFormat="1" applyFill="1" applyBorder="1" applyAlignment="1">
      <alignment horizontal="center"/>
    </xf>
    <xf numFmtId="164" fontId="0" fillId="6" borderId="15" xfId="0" applyNumberFormat="1" applyFill="1" applyBorder="1" applyAlignment="1">
      <alignment horizontal="center"/>
    </xf>
    <xf numFmtId="0" fontId="0" fillId="6" borderId="1" xfId="0" applyFill="1" applyBorder="1" applyAlignment="1">
      <alignment horizontal="center"/>
    </xf>
    <xf numFmtId="0" fontId="0" fillId="6" borderId="22" xfId="0" applyFill="1" applyBorder="1" applyAlignment="1">
      <alignment horizontal="center"/>
    </xf>
    <xf numFmtId="0" fontId="1" fillId="0" borderId="0" xfId="0" applyFont="1" applyAlignment="1">
      <alignment horizontal="center"/>
    </xf>
    <xf numFmtId="0" fontId="1" fillId="14" borderId="3" xfId="0" applyFont="1" applyFill="1" applyBorder="1" applyAlignment="1">
      <alignment horizontal="center"/>
    </xf>
    <xf numFmtId="164" fontId="0" fillId="14" borderId="1" xfId="0" applyNumberFormat="1" applyFill="1" applyBorder="1" applyAlignment="1">
      <alignment horizontal="center"/>
    </xf>
    <xf numFmtId="2" fontId="3" fillId="7" borderId="2" xfId="0" applyNumberFormat="1" applyFont="1" applyFill="1" applyBorder="1" applyAlignment="1">
      <alignment horizontal="center" vertical="center"/>
    </xf>
    <xf numFmtId="0" fontId="3" fillId="13" borderId="26" xfId="0" applyFont="1" applyFill="1" applyBorder="1" applyAlignment="1">
      <alignment horizontal="center" vertical="center"/>
    </xf>
    <xf numFmtId="0" fontId="3" fillId="13" borderId="3" xfId="0" applyFont="1" applyFill="1" applyBorder="1" applyAlignment="1">
      <alignment horizontal="center" vertical="center"/>
    </xf>
    <xf numFmtId="0" fontId="0" fillId="0" borderId="0" xfId="0" applyAlignment="1"/>
    <xf numFmtId="0" fontId="3" fillId="0" borderId="3" xfId="0" applyNumberFormat="1" applyFont="1" applyFill="1" applyBorder="1" applyAlignment="1">
      <alignment vertical="center"/>
    </xf>
    <xf numFmtId="2" fontId="3" fillId="0" borderId="15" xfId="0" applyNumberFormat="1" applyFont="1" applyFill="1" applyBorder="1" applyAlignment="1">
      <alignment vertical="center"/>
    </xf>
    <xf numFmtId="0" fontId="3" fillId="0" borderId="1" xfId="0" applyNumberFormat="1" applyFont="1" applyFill="1" applyBorder="1" applyAlignment="1">
      <alignment horizontal="center" vertical="center"/>
    </xf>
    <xf numFmtId="0" fontId="3" fillId="0" borderId="3" xfId="0" applyNumberFormat="1" applyFont="1" applyFill="1" applyBorder="1" applyAlignment="1">
      <alignment horizontal="center" vertical="center"/>
    </xf>
    <xf numFmtId="2" fontId="3" fillId="0" borderId="3" xfId="0" applyNumberFormat="1" applyFont="1" applyFill="1" applyBorder="1" applyAlignment="1">
      <alignment horizontal="center" vertical="center"/>
    </xf>
    <xf numFmtId="0" fontId="3" fillId="0" borderId="0" xfId="0" applyFont="1" applyFill="1"/>
    <xf numFmtId="0" fontId="3" fillId="0" borderId="21" xfId="0" applyFont="1" applyBorder="1" applyAlignment="1">
      <alignment vertical="center"/>
    </xf>
    <xf numFmtId="0" fontId="3" fillId="0" borderId="22" xfId="0" applyNumberFormat="1" applyFont="1" applyBorder="1" applyAlignment="1">
      <alignment horizontal="center" vertical="center"/>
    </xf>
    <xf numFmtId="0" fontId="3" fillId="13" borderId="31" xfId="0" applyNumberFormat="1" applyFont="1" applyFill="1" applyBorder="1" applyAlignment="1">
      <alignment vertical="center"/>
    </xf>
    <xf numFmtId="0" fontId="3" fillId="13" borderId="29" xfId="0" applyFont="1" applyFill="1" applyBorder="1" applyAlignment="1">
      <alignment vertical="center"/>
    </xf>
    <xf numFmtId="0" fontId="3" fillId="13" borderId="32" xfId="0" applyNumberFormat="1" applyFont="1" applyFill="1" applyBorder="1" applyAlignment="1">
      <alignment vertical="center"/>
    </xf>
    <xf numFmtId="0" fontId="3" fillId="13" borderId="24" xfId="0" applyFont="1" applyFill="1" applyBorder="1" applyAlignment="1">
      <alignment vertical="center"/>
    </xf>
    <xf numFmtId="0" fontId="3" fillId="13" borderId="33" xfId="0" applyNumberFormat="1" applyFont="1" applyFill="1" applyBorder="1" applyAlignment="1">
      <alignment vertical="center"/>
    </xf>
    <xf numFmtId="0" fontId="3" fillId="13" borderId="34" xfId="0" applyFont="1" applyFill="1" applyBorder="1" applyAlignment="1">
      <alignment vertical="center"/>
    </xf>
    <xf numFmtId="0" fontId="3" fillId="13" borderId="11" xfId="0" applyNumberFormat="1" applyFont="1" applyFill="1" applyBorder="1" applyAlignment="1">
      <alignment horizontal="center" vertical="center"/>
    </xf>
    <xf numFmtId="0" fontId="3" fillId="13" borderId="35" xfId="0" applyNumberFormat="1" applyFont="1" applyFill="1" applyBorder="1" applyAlignment="1">
      <alignment horizontal="center" vertical="center"/>
    </xf>
    <xf numFmtId="0" fontId="3" fillId="13" borderId="35" xfId="0" applyFont="1" applyFill="1" applyBorder="1" applyAlignment="1">
      <alignment horizontal="center" vertical="center"/>
    </xf>
    <xf numFmtId="0" fontId="3" fillId="13" borderId="30" xfId="0" applyFont="1" applyFill="1" applyBorder="1" applyAlignment="1">
      <alignment vertical="center"/>
    </xf>
    <xf numFmtId="0" fontId="3" fillId="8" borderId="8" xfId="0" applyFont="1" applyFill="1" applyBorder="1" applyAlignment="1">
      <alignment horizontal="center"/>
    </xf>
    <xf numFmtId="0" fontId="3" fillId="8" borderId="10" xfId="0" applyFont="1" applyFill="1" applyBorder="1" applyAlignment="1">
      <alignment horizontal="center"/>
    </xf>
    <xf numFmtId="0" fontId="3" fillId="8" borderId="18" xfId="0" applyFont="1" applyFill="1" applyBorder="1" applyAlignment="1">
      <alignment horizontal="center"/>
    </xf>
    <xf numFmtId="0" fontId="3" fillId="13" borderId="39" xfId="0" applyNumberFormat="1" applyFont="1" applyFill="1" applyBorder="1" applyAlignment="1">
      <alignment vertical="center"/>
    </xf>
    <xf numFmtId="0" fontId="3" fillId="13" borderId="25" xfId="0" applyNumberFormat="1" applyFont="1" applyFill="1" applyBorder="1" applyAlignment="1">
      <alignment vertical="center"/>
    </xf>
    <xf numFmtId="0" fontId="3" fillId="13" borderId="1" xfId="0" applyNumberFormat="1" applyFont="1" applyFill="1" applyBorder="1" applyAlignment="1">
      <alignment vertical="center"/>
    </xf>
    <xf numFmtId="0" fontId="11" fillId="8" borderId="12" xfId="0" applyFont="1" applyFill="1" applyBorder="1" applyAlignment="1">
      <alignment horizontal="left"/>
    </xf>
    <xf numFmtId="0" fontId="2" fillId="6" borderId="1" xfId="0" applyFont="1" applyFill="1" applyBorder="1"/>
    <xf numFmtId="0" fontId="0" fillId="6" borderId="1" xfId="0" applyFill="1" applyBorder="1"/>
    <xf numFmtId="0" fontId="6" fillId="6" borderId="1" xfId="0" applyFont="1" applyFill="1" applyBorder="1" applyAlignment="1">
      <alignment horizontal="center"/>
    </xf>
    <xf numFmtId="0" fontId="0" fillId="0" borderId="1" xfId="0" applyFill="1" applyBorder="1"/>
    <xf numFmtId="0" fontId="0" fillId="0" borderId="1" xfId="0" applyFill="1" applyBorder="1" applyAlignment="1">
      <alignment horizontal="center"/>
    </xf>
    <xf numFmtId="0" fontId="2" fillId="6" borderId="1" xfId="0" applyFont="1" applyFill="1" applyBorder="1" applyAlignment="1">
      <alignment horizontal="right"/>
    </xf>
    <xf numFmtId="0" fontId="3" fillId="13" borderId="39" xfId="0" applyNumberFormat="1" applyFont="1" applyFill="1" applyBorder="1" applyAlignment="1">
      <alignment horizontal="center" vertical="center"/>
    </xf>
    <xf numFmtId="0" fontId="4" fillId="0" borderId="0" xfId="0" applyFont="1"/>
    <xf numFmtId="0" fontId="7" fillId="12" borderId="7" xfId="0" applyFont="1" applyFill="1" applyBorder="1" applyAlignment="1">
      <alignment horizontal="center" vertical="center" wrapText="1"/>
    </xf>
    <xf numFmtId="0" fontId="7" fillId="12" borderId="6" xfId="0" applyFont="1" applyFill="1" applyBorder="1" applyAlignment="1">
      <alignment horizontal="center" vertical="center" wrapText="1"/>
    </xf>
    <xf numFmtId="0" fontId="7" fillId="12" borderId="5" xfId="0" applyFont="1" applyFill="1" applyBorder="1" applyAlignment="1">
      <alignment horizontal="center" vertical="center" wrapText="1"/>
    </xf>
    <xf numFmtId="14" fontId="3" fillId="0" borderId="9" xfId="0" applyNumberFormat="1" applyFont="1" applyBorder="1" applyAlignment="1">
      <alignment horizontal="center" vertical="center"/>
    </xf>
    <xf numFmtId="0" fontId="3" fillId="0" borderId="16" xfId="0" applyFont="1" applyBorder="1" applyAlignment="1">
      <alignment horizontal="center" vertical="center"/>
    </xf>
    <xf numFmtId="14" fontId="3" fillId="0" borderId="1" xfId="0" applyNumberFormat="1" applyFont="1" applyBorder="1" applyAlignment="1">
      <alignment horizontal="center" vertical="center"/>
    </xf>
    <xf numFmtId="0" fontId="3" fillId="0" borderId="17" xfId="0" applyFont="1" applyBorder="1" applyAlignment="1">
      <alignment horizontal="center" vertical="center"/>
    </xf>
    <xf numFmtId="14" fontId="3" fillId="0" borderId="11" xfId="0" applyNumberFormat="1" applyFont="1" applyBorder="1" applyAlignment="1">
      <alignment horizontal="center" vertical="center"/>
    </xf>
    <xf numFmtId="0" fontId="3" fillId="0" borderId="36" xfId="0" applyFont="1" applyBorder="1" applyAlignment="1">
      <alignment horizontal="center" vertical="center"/>
    </xf>
    <xf numFmtId="0" fontId="3" fillId="0" borderId="35" xfId="0" applyFont="1" applyBorder="1" applyAlignment="1">
      <alignment horizontal="left" vertical="center"/>
    </xf>
    <xf numFmtId="0" fontId="3" fillId="0" borderId="37" xfId="0" applyFont="1" applyBorder="1" applyAlignment="1">
      <alignment horizontal="left" vertical="center"/>
    </xf>
    <xf numFmtId="0" fontId="3" fillId="0" borderId="38" xfId="0" applyFont="1" applyBorder="1" applyAlignment="1">
      <alignment horizontal="left" vertical="center"/>
    </xf>
    <xf numFmtId="0" fontId="3" fillId="0" borderId="3" xfId="0" applyFont="1" applyBorder="1" applyAlignment="1">
      <alignment horizontal="left" vertical="center"/>
    </xf>
    <xf numFmtId="0" fontId="3" fillId="0" borderId="14" xfId="0" applyFont="1" applyBorder="1" applyAlignment="1">
      <alignment horizontal="left" vertical="center"/>
    </xf>
    <xf numFmtId="0" fontId="3" fillId="0" borderId="20" xfId="0" applyFont="1" applyBorder="1" applyAlignment="1">
      <alignment horizontal="left" vertical="center"/>
    </xf>
    <xf numFmtId="0" fontId="3" fillId="0" borderId="26" xfId="0" applyFont="1" applyBorder="1" applyAlignment="1">
      <alignment horizontal="left" vertical="center"/>
    </xf>
    <xf numFmtId="0" fontId="3" fillId="0" borderId="27" xfId="0" applyFont="1" applyBorder="1" applyAlignment="1">
      <alignment horizontal="left" vertical="center"/>
    </xf>
    <xf numFmtId="0" fontId="3" fillId="0" borderId="28" xfId="0" applyFont="1" applyBorder="1" applyAlignment="1">
      <alignment horizontal="left" vertical="center"/>
    </xf>
    <xf numFmtId="0" fontId="7" fillId="11" borderId="7" xfId="0" applyFont="1" applyFill="1" applyBorder="1" applyAlignment="1">
      <alignment horizontal="left"/>
    </xf>
    <xf numFmtId="0" fontId="7" fillId="11" borderId="6" xfId="0" applyFont="1" applyFill="1" applyBorder="1" applyAlignment="1">
      <alignment horizontal="left"/>
    </xf>
    <xf numFmtId="164" fontId="7" fillId="11" borderId="7" xfId="0" applyNumberFormat="1" applyFont="1" applyFill="1" applyBorder="1" applyAlignment="1">
      <alignment horizontal="left"/>
    </xf>
    <xf numFmtId="164" fontId="7" fillId="11" borderId="6" xfId="0" applyNumberFormat="1" applyFont="1" applyFill="1" applyBorder="1" applyAlignment="1">
      <alignment horizontal="left"/>
    </xf>
    <xf numFmtId="0" fontId="1" fillId="0" borderId="19" xfId="0" applyFont="1" applyBorder="1" applyAlignment="1">
      <alignment horizontal="center" vertical="center" wrapText="1"/>
    </xf>
    <xf numFmtId="0" fontId="1" fillId="0" borderId="21" xfId="0" applyFont="1" applyBorder="1" applyAlignment="1">
      <alignment horizontal="center" vertical="center"/>
    </xf>
    <xf numFmtId="0" fontId="1" fillId="0" borderId="22" xfId="0" applyFont="1" applyBorder="1" applyAlignment="1">
      <alignment horizontal="center" vertical="center" wrapText="1"/>
    </xf>
    <xf numFmtId="0" fontId="1" fillId="0" borderId="2" xfId="0" applyFont="1" applyBorder="1" applyAlignment="1">
      <alignment horizontal="center" vertical="center" wrapText="1"/>
    </xf>
    <xf numFmtId="0" fontId="1" fillId="2" borderId="7" xfId="0" applyFont="1" applyFill="1" applyBorder="1" applyAlignment="1">
      <alignment horizontal="center" vertical="center"/>
    </xf>
    <xf numFmtId="0" fontId="1" fillId="2" borderId="6" xfId="0" applyFont="1" applyFill="1" applyBorder="1" applyAlignment="1">
      <alignment horizontal="center" vertical="center"/>
    </xf>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7" fillId="11" borderId="7" xfId="0" applyFont="1" applyFill="1" applyBorder="1" applyAlignment="1">
      <alignment horizontal="left" wrapText="1"/>
    </xf>
    <xf numFmtId="0" fontId="1" fillId="0" borderId="21" xfId="0" applyFont="1" applyBorder="1" applyAlignment="1">
      <alignment horizontal="center" vertical="center" wrapText="1"/>
    </xf>
    <xf numFmtId="0" fontId="1" fillId="0" borderId="25" xfId="0" applyFont="1" applyBorder="1" applyAlignment="1">
      <alignment horizontal="center" vertical="center" wrapText="1"/>
    </xf>
    <xf numFmtId="164" fontId="7" fillId="11" borderId="7" xfId="0" applyNumberFormat="1" applyFont="1" applyFill="1" applyBorder="1" applyAlignment="1">
      <alignment horizontal="left" vertical="center"/>
    </xf>
    <xf numFmtId="164" fontId="7" fillId="11" borderId="6" xfId="0" applyNumberFormat="1" applyFont="1" applyFill="1" applyBorder="1" applyAlignment="1">
      <alignment horizontal="left" vertical="center"/>
    </xf>
  </cellXfs>
  <cellStyles count="7">
    <cellStyle name="Normal" xfId="0" builtinId="0"/>
    <cellStyle name="Normal 2" xfId="1" xr:uid="{00000000-0005-0000-0000-000001000000}"/>
    <cellStyle name="Normal 2 2" xfId="5" xr:uid="{00000000-0005-0000-0000-000002000000}"/>
    <cellStyle name="Normal 2 2 2" xfId="3" xr:uid="{00000000-0005-0000-0000-000003000000}"/>
    <cellStyle name="Normal 3" xfId="2" xr:uid="{00000000-0005-0000-0000-000004000000}"/>
    <cellStyle name="Normal 3 2" xfId="4" xr:uid="{00000000-0005-0000-0000-000005000000}"/>
    <cellStyle name="Normal 4" xfId="6" xr:uid="{00000000-0005-0000-0000-000006000000}"/>
  </cellStyles>
  <dxfs count="9">
    <dxf>
      <font>
        <strike val="0"/>
        <outline val="0"/>
        <shadow val="0"/>
        <u val="none"/>
        <vertAlign val="baseline"/>
        <sz val="16"/>
        <color theme="1"/>
        <name val="Calibri"/>
        <scheme val="minor"/>
      </font>
      <fill>
        <patternFill patternType="solid">
          <fgColor indexed="64"/>
          <bgColor theme="6" tint="0.59999389629810485"/>
        </patternFill>
      </fill>
      <alignment horizontal="general" vertical="center" textRotation="0" wrapText="0" indent="0" justifyLastLine="0" shrinkToFit="0" readingOrder="0"/>
    </dxf>
    <dxf>
      <font>
        <b val="0"/>
        <i val="0"/>
        <strike val="0"/>
        <condense val="0"/>
        <extend val="0"/>
        <outline val="0"/>
        <shadow val="0"/>
        <u val="none"/>
        <vertAlign val="baseline"/>
        <sz val="16"/>
        <color theme="1"/>
        <name val="Calibri"/>
        <scheme val="minor"/>
      </font>
      <fill>
        <patternFill patternType="solid">
          <fgColor indexed="64"/>
          <bgColor theme="6" tint="0.59999389629810485"/>
        </patternFill>
      </fill>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6"/>
        <color theme="1"/>
        <name val="Calibri"/>
        <scheme val="minor"/>
      </font>
      <numFmt numFmtId="0" formatCode="General"/>
      <fill>
        <patternFill patternType="solid">
          <fgColor indexed="64"/>
          <bgColor theme="6" tint="0.59999389629810485"/>
        </patternFill>
      </fill>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6"/>
        <color theme="1"/>
        <name val="Calibri"/>
        <scheme val="minor"/>
      </font>
      <numFmt numFmtId="0" formatCode="General"/>
      <fill>
        <patternFill patternType="solid">
          <fgColor indexed="64"/>
          <bgColor theme="6" tint="0.5999938962981048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6"/>
        <color theme="1"/>
        <name val="Calibri"/>
        <scheme val="minor"/>
      </font>
      <fill>
        <patternFill patternType="solid">
          <fgColor indexed="64"/>
          <bgColor theme="6" tint="0.59999389629810485"/>
        </patternFill>
      </fill>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6"/>
        <color theme="1"/>
        <name val="Calibri"/>
        <scheme val="minor"/>
      </font>
      <numFmt numFmtId="0" formatCode="General"/>
      <fill>
        <patternFill patternType="solid">
          <fgColor indexed="64"/>
          <bgColor theme="6" tint="0.59999389629810485"/>
        </patternFill>
      </fill>
      <alignment horizontal="general" vertical="center" textRotation="0" wrapText="0" indent="0" justifyLastLine="0" shrinkToFit="0" readingOrder="0"/>
      <border diagonalUp="0" diagonalDown="0">
        <left style="thin">
          <color indexed="64"/>
        </left>
        <right/>
        <top style="thin">
          <color indexed="64"/>
        </top>
        <bottom style="thin">
          <color indexed="64"/>
        </bottom>
        <vertical/>
        <horizontal/>
      </border>
    </dxf>
    <dxf>
      <border outline="0">
        <left style="medium">
          <color indexed="64"/>
        </left>
        <right style="medium">
          <color indexed="64"/>
        </right>
        <top style="medium">
          <color indexed="64"/>
        </top>
        <bottom style="medium">
          <color indexed="64"/>
        </bottom>
      </border>
    </dxf>
    <dxf>
      <font>
        <b val="0"/>
        <i val="0"/>
        <strike val="0"/>
        <condense val="0"/>
        <extend val="0"/>
        <outline val="0"/>
        <shadow val="0"/>
        <u val="none"/>
        <vertAlign val="baseline"/>
        <sz val="16"/>
        <color theme="1"/>
        <name val="Calibri"/>
        <scheme val="minor"/>
      </font>
      <numFmt numFmtId="165" formatCode="#,000"/>
      <fill>
        <patternFill patternType="solid">
          <fgColor indexed="64"/>
          <bgColor theme="6" tint="0.59999389629810485"/>
        </patternFill>
      </fill>
      <alignment horizontal="general" vertical="center" textRotation="0" wrapText="0" indent="0" justifyLastLine="0" shrinkToFit="0" readingOrder="0"/>
    </dxf>
    <dxf>
      <font>
        <b val="0"/>
        <i val="0"/>
        <strike val="0"/>
        <condense val="0"/>
        <extend val="0"/>
        <outline val="0"/>
        <shadow val="0"/>
        <u val="none"/>
        <vertAlign val="baseline"/>
        <sz val="16"/>
        <color theme="1"/>
        <name val="Calibri"/>
        <scheme val="minor"/>
      </font>
      <numFmt numFmtId="2" formatCode="0.00"/>
      <fill>
        <patternFill patternType="solid">
          <fgColor indexed="64"/>
          <bgColor theme="0" tint="-0.14999847407452621"/>
        </patternFill>
      </fill>
      <alignment horizontal="center" vertical="center" textRotation="0" wrapText="1" indent="0" justifyLastLine="0" shrinkToFit="0" readingOrder="0"/>
    </dxf>
  </dxfs>
  <tableStyles count="0" defaultTableStyle="TableStyleMedium2" defaultPivotStyle="PivotStyleMedium9"/>
  <colors>
    <mruColors>
      <color rgb="FFBA3838"/>
      <color rgb="FF5F5F5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5.xml"/><Relationship Id="rId13" Type="http://schemas.openxmlformats.org/officeDocument/2006/relationships/sharedStrings" Target="sharedStrings.xml"/><Relationship Id="rId3" Type="http://schemas.openxmlformats.org/officeDocument/2006/relationships/chartsheet" Target="chartsheets/sheet1.xml"/><Relationship Id="rId7" Type="http://schemas.openxmlformats.org/officeDocument/2006/relationships/chartsheet" Target="chartsheets/sheet3.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4.xml"/><Relationship Id="rId11" Type="http://schemas.openxmlformats.org/officeDocument/2006/relationships/theme" Target="theme/theme1.xml"/><Relationship Id="rId5" Type="http://schemas.openxmlformats.org/officeDocument/2006/relationships/chartsheet" Target="chartsheets/sheet2.xml"/><Relationship Id="rId15" Type="http://schemas.openxmlformats.org/officeDocument/2006/relationships/customXml" Target="../customXml/item1.xml"/><Relationship Id="rId10" Type="http://schemas.openxmlformats.org/officeDocument/2006/relationships/externalLink" Target="externalLinks/externalLink1.xml"/><Relationship Id="rId4" Type="http://schemas.openxmlformats.org/officeDocument/2006/relationships/worksheet" Target="worksheets/sheet3.xml"/><Relationship Id="rId9" Type="http://schemas.openxmlformats.org/officeDocument/2006/relationships/chartsheet" Target="chartsheets/sheet4.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1" Type="http://schemas.openxmlformats.org/officeDocument/2006/relationships/chartUserShapes" Target="../drawings/drawing2.xml"/></Relationships>
</file>

<file path=xl/charts/_rels/chart2.xml.rels><?xml version="1.0" encoding="UTF-8" standalone="yes"?>
<Relationships xmlns="http://schemas.openxmlformats.org/package/2006/relationships"><Relationship Id="rId1" Type="http://schemas.openxmlformats.org/officeDocument/2006/relationships/chartUserShapes" Target="../drawings/drawing4.xml"/></Relationships>
</file>

<file path=xl/charts/_rels/chart3.xml.rels><?xml version="1.0" encoding="UTF-8" standalone="yes"?>
<Relationships xmlns="http://schemas.openxmlformats.org/package/2006/relationships"><Relationship Id="rId1" Type="http://schemas.openxmlformats.org/officeDocument/2006/relationships/chartUserShapes" Target="../drawings/drawing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1932821640450779E-2"/>
          <c:y val="0.14661961377408195"/>
          <c:w val="0.9002738512986157"/>
          <c:h val="0.63968468033016779"/>
        </c:manualLayout>
      </c:layout>
      <c:barChart>
        <c:barDir val="col"/>
        <c:grouping val="clustered"/>
        <c:varyColors val="0"/>
        <c:ser>
          <c:idx val="0"/>
          <c:order val="0"/>
          <c:tx>
            <c:v>R1</c:v>
          </c:tx>
          <c:spPr>
            <a:solidFill>
              <a:srgbClr val="00B050"/>
            </a:solidFill>
          </c:spPr>
          <c:invertIfNegative val="0"/>
          <c:errBars>
            <c:errBarType val="plus"/>
            <c:errValType val="cust"/>
            <c:noEndCap val="0"/>
            <c:plus>
              <c:numRef>
                <c:f>'R1'!$N$48:$V$48</c:f>
                <c:numCache>
                  <c:formatCode>General</c:formatCode>
                  <c:ptCount val="9"/>
                  <c:pt idx="0">
                    <c:v>0</c:v>
                  </c:pt>
                  <c:pt idx="1">
                    <c:v>0.11673197908408775</c:v>
                  </c:pt>
                  <c:pt idx="2">
                    <c:v>0.20673384654336074</c:v>
                  </c:pt>
                  <c:pt idx="3">
                    <c:v>3.0489499843097734E-2</c:v>
                  </c:pt>
                  <c:pt idx="4">
                    <c:v>0.11447269476055943</c:v>
                  </c:pt>
                  <c:pt idx="5">
                    <c:v>9.2815826388436065E-2</c:v>
                  </c:pt>
                  <c:pt idx="6">
                    <c:v>0.14483054467367287</c:v>
                  </c:pt>
                  <c:pt idx="7">
                    <c:v>9.6392019318001357E-2</c:v>
                  </c:pt>
                  <c:pt idx="8">
                    <c:v>0.10531816797961249</c:v>
                  </c:pt>
                </c:numCache>
              </c:numRef>
            </c:plus>
            <c:minus>
              <c:numRef>
                <c:f>'R1'!$N$48:$V$48</c:f>
                <c:numCache>
                  <c:formatCode>General</c:formatCode>
                  <c:ptCount val="9"/>
                  <c:pt idx="0">
                    <c:v>0</c:v>
                  </c:pt>
                  <c:pt idx="1">
                    <c:v>0.11673197908408775</c:v>
                  </c:pt>
                  <c:pt idx="2">
                    <c:v>0.20673384654336074</c:v>
                  </c:pt>
                  <c:pt idx="3">
                    <c:v>3.0489499843097734E-2</c:v>
                  </c:pt>
                  <c:pt idx="4">
                    <c:v>0.11447269476055943</c:v>
                  </c:pt>
                  <c:pt idx="5">
                    <c:v>9.2815826388436065E-2</c:v>
                  </c:pt>
                  <c:pt idx="6">
                    <c:v>0.14483054467367287</c:v>
                  </c:pt>
                  <c:pt idx="7">
                    <c:v>9.6392019318001357E-2</c:v>
                  </c:pt>
                  <c:pt idx="8">
                    <c:v>0.10531816797961249</c:v>
                  </c:pt>
                </c:numCache>
              </c:numRef>
            </c:minus>
          </c:errBars>
          <c:cat>
            <c:strRef>
              <c:f>'R1'!$B$52:$V$52</c:f>
              <c:strCache>
                <c:ptCount val="21"/>
                <c:pt idx="0">
                  <c:v>Solvent control</c:v>
                </c:pt>
                <c:pt idx="1">
                  <c:v>EE2-33.8ng/L</c:v>
                </c:pt>
                <c:pt idx="2">
                  <c:v>EE2-50.6ng/L</c:v>
                </c:pt>
                <c:pt idx="3">
                  <c:v>EE2-76ng/L</c:v>
                </c:pt>
                <c:pt idx="4">
                  <c:v>EE2-114ng/L</c:v>
                </c:pt>
                <c:pt idx="5">
                  <c:v>EE2-170.9ng/L</c:v>
                </c:pt>
                <c:pt idx="6">
                  <c:v>EE2-488ng/L</c:v>
                </c:pt>
                <c:pt idx="7">
                  <c:v>tamoxifen-483ng/L</c:v>
                </c:pt>
                <c:pt idx="8">
                  <c:v>tamoxifen-242ng/L</c:v>
                </c:pt>
                <c:pt idx="9">
                  <c:v>tamoxifen-121ng/L</c:v>
                </c:pt>
                <c:pt idx="10">
                  <c:v>tamoxifen-60.4ng/L</c:v>
                </c:pt>
                <c:pt idx="11">
                  <c:v>tamoxifen-30.2ng/L</c:v>
                </c:pt>
                <c:pt idx="13">
                  <c:v>Testo -30µg/L</c:v>
                </c:pt>
                <c:pt idx="14">
                  <c:v>Testo 30µg/L + EE2 -64ng/L</c:v>
                </c:pt>
                <c:pt idx="15">
                  <c:v>Testo 30µg/L + FAD-10mg/L</c:v>
                </c:pt>
                <c:pt idx="16">
                  <c:v>tamoxifen-483ng/L + Testostérone</c:v>
                </c:pt>
                <c:pt idx="17">
                  <c:v>tamoxifen-242ng/L + Testostérone</c:v>
                </c:pt>
                <c:pt idx="18">
                  <c:v>tamoxifen-121ng/L + Testostérone</c:v>
                </c:pt>
                <c:pt idx="19">
                  <c:v>tamoxifen-60.4ng/L + Testostérone</c:v>
                </c:pt>
                <c:pt idx="20">
                  <c:v>tamoxifen-30.2ng/L + Testostérone</c:v>
                </c:pt>
              </c:strCache>
            </c:strRef>
          </c:cat>
          <c:val>
            <c:numRef>
              <c:f>'R1'!$B$53:$V$53</c:f>
              <c:numCache>
                <c:formatCode>0.0000</c:formatCode>
                <c:ptCount val="21"/>
                <c:pt idx="0">
                  <c:v>0.16427290035739073</c:v>
                </c:pt>
                <c:pt idx="1">
                  <c:v>0.28929323573335358</c:v>
                </c:pt>
                <c:pt idx="2">
                  <c:v>0.58579782908450928</c:v>
                </c:pt>
                <c:pt idx="3">
                  <c:v>1.0344888995401893</c:v>
                </c:pt>
                <c:pt idx="4">
                  <c:v>1.7170021647352138</c:v>
                </c:pt>
                <c:pt idx="5">
                  <c:v>1.850713235997842</c:v>
                </c:pt>
                <c:pt idx="6">
                  <c:v>2.5726691935616035</c:v>
                </c:pt>
                <c:pt idx="7">
                  <c:v>0.52633782864850354</c:v>
                </c:pt>
                <c:pt idx="8">
                  <c:v>0.11132525287495162</c:v>
                </c:pt>
                <c:pt idx="9">
                  <c:v>0.16300061309693614</c:v>
                </c:pt>
                <c:pt idx="10">
                  <c:v>8.4888045156908523E-2</c:v>
                </c:pt>
                <c:pt idx="11">
                  <c:v>8.6573840279182315E-2</c:v>
                </c:pt>
                <c:pt idx="13">
                  <c:v>1</c:v>
                </c:pt>
                <c:pt idx="14">
                  <c:v>1.435216224985528</c:v>
                </c:pt>
                <c:pt idx="15">
                  <c:v>0.22534696895954437</c:v>
                </c:pt>
                <c:pt idx="16">
                  <c:v>0.75837290120165235</c:v>
                </c:pt>
                <c:pt idx="17">
                  <c:v>0.6248926417965297</c:v>
                </c:pt>
                <c:pt idx="18">
                  <c:v>0.82317996983908948</c:v>
                </c:pt>
                <c:pt idx="19">
                  <c:v>0.48472278938559893</c:v>
                </c:pt>
                <c:pt idx="20">
                  <c:v>0.55423760779454245</c:v>
                </c:pt>
              </c:numCache>
            </c:numRef>
          </c:val>
          <c:extLst>
            <c:ext xmlns:c16="http://schemas.microsoft.com/office/drawing/2014/chart" uri="{C3380CC4-5D6E-409C-BE32-E72D297353CC}">
              <c16:uniqueId val="{00000000-4E48-433F-93CE-959A7E8575BB}"/>
            </c:ext>
          </c:extLst>
        </c:ser>
        <c:dLbls>
          <c:showLegendKey val="0"/>
          <c:showVal val="0"/>
          <c:showCatName val="0"/>
          <c:showSerName val="0"/>
          <c:showPercent val="0"/>
          <c:showBubbleSize val="0"/>
        </c:dLbls>
        <c:gapWidth val="150"/>
        <c:axId val="324817512"/>
        <c:axId val="324817904"/>
      </c:barChart>
      <c:catAx>
        <c:axId val="324817512"/>
        <c:scaling>
          <c:orientation val="minMax"/>
        </c:scaling>
        <c:delete val="0"/>
        <c:axPos val="b"/>
        <c:numFmt formatCode="General" sourceLinked="1"/>
        <c:majorTickMark val="out"/>
        <c:minorTickMark val="none"/>
        <c:tickLblPos val="nextTo"/>
        <c:txPr>
          <a:bodyPr rot="-5400000" vert="horz"/>
          <a:lstStyle/>
          <a:p>
            <a:pPr>
              <a:defRPr lang="en-GB"/>
            </a:pPr>
            <a:endParaRPr lang="en-US"/>
          </a:p>
        </c:txPr>
        <c:crossAx val="324817904"/>
        <c:crosses val="autoZero"/>
        <c:auto val="1"/>
        <c:lblAlgn val="ctr"/>
        <c:lblOffset val="100"/>
        <c:noMultiLvlLbl val="0"/>
      </c:catAx>
      <c:valAx>
        <c:axId val="324817904"/>
        <c:scaling>
          <c:orientation val="minMax"/>
          <c:max val="2.8"/>
        </c:scaling>
        <c:delete val="0"/>
        <c:axPos val="l"/>
        <c:majorGridlines/>
        <c:title>
          <c:tx>
            <c:rich>
              <a:bodyPr rot="-5400000" vert="horz"/>
              <a:lstStyle/>
              <a:p>
                <a:pPr marL="0" marR="0" indent="0" algn="ctr" defTabSz="914400" rtl="0" eaLnBrk="1" fontAlgn="auto" latinLnBrk="0" hangingPunct="1">
                  <a:lnSpc>
                    <a:spcPct val="100000"/>
                  </a:lnSpc>
                  <a:spcBef>
                    <a:spcPts val="0"/>
                  </a:spcBef>
                  <a:spcAft>
                    <a:spcPts val="0"/>
                  </a:spcAft>
                  <a:buClrTx/>
                  <a:buSzTx/>
                  <a:buFontTx/>
                  <a:buNone/>
                  <a:tabLst/>
                  <a:defRPr lang="en-GB" sz="1000" b="1" i="0" u="none" strike="noStrike" kern="1200" baseline="0">
                    <a:solidFill>
                      <a:sysClr val="windowText" lastClr="000000"/>
                    </a:solidFill>
                    <a:latin typeface="+mn-lt"/>
                    <a:ea typeface="+mn-ea"/>
                    <a:cs typeface="+mn-cs"/>
                  </a:defRPr>
                </a:pPr>
                <a:r>
                  <a:rPr lang="en-US" sz="1000" b="1" i="0" baseline="0">
                    <a:effectLst/>
                  </a:rPr>
                  <a:t>fluorescence totale (unités arbitraires)</a:t>
                </a:r>
                <a:endParaRPr lang="en-GB" sz="1000">
                  <a:effectLst/>
                </a:endParaRPr>
              </a:p>
              <a:p>
                <a:pPr marL="0" marR="0" indent="0" algn="ctr" defTabSz="914400" rtl="0" eaLnBrk="1" fontAlgn="auto" latinLnBrk="0" hangingPunct="1">
                  <a:lnSpc>
                    <a:spcPct val="100000"/>
                  </a:lnSpc>
                  <a:spcBef>
                    <a:spcPts val="0"/>
                  </a:spcBef>
                  <a:spcAft>
                    <a:spcPts val="0"/>
                  </a:spcAft>
                  <a:buClrTx/>
                  <a:buSzTx/>
                  <a:buFontTx/>
                  <a:buNone/>
                  <a:tabLst/>
                  <a:defRPr lang="en-GB" sz="1000" b="1" i="0" u="none" strike="noStrike" kern="1200" baseline="0">
                    <a:solidFill>
                      <a:sysClr val="windowText" lastClr="000000"/>
                    </a:solidFill>
                    <a:latin typeface="+mn-lt"/>
                    <a:ea typeface="+mn-ea"/>
                    <a:cs typeface="+mn-cs"/>
                  </a:defRPr>
                </a:pPr>
                <a:endParaRPr lang="en-US" sz="1000"/>
              </a:p>
            </c:rich>
          </c:tx>
          <c:overlay val="0"/>
        </c:title>
        <c:numFmt formatCode="0.0" sourceLinked="0"/>
        <c:majorTickMark val="out"/>
        <c:minorTickMark val="none"/>
        <c:tickLblPos val="nextTo"/>
        <c:txPr>
          <a:bodyPr/>
          <a:lstStyle/>
          <a:p>
            <a:pPr>
              <a:defRPr lang="en-GB"/>
            </a:pPr>
            <a:endParaRPr lang="en-US"/>
          </a:p>
        </c:txPr>
        <c:crossAx val="324817512"/>
        <c:crosses val="autoZero"/>
        <c:crossBetween val="between"/>
        <c:majorUnit val="0.2"/>
        <c:minorUnit val="0.1"/>
      </c:valAx>
    </c:plotArea>
    <c:plotVisOnly val="1"/>
    <c:dispBlanksAs val="gap"/>
    <c:showDLblsOverMax val="0"/>
  </c:chart>
  <c:userShapes r:id="rId1"/>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7395319521821627E-2"/>
          <c:y val="0.14871824529979213"/>
          <c:w val="0.9002738512986157"/>
          <c:h val="0.63968468033016779"/>
        </c:manualLayout>
      </c:layout>
      <c:barChart>
        <c:barDir val="col"/>
        <c:grouping val="clustered"/>
        <c:varyColors val="0"/>
        <c:ser>
          <c:idx val="0"/>
          <c:order val="0"/>
          <c:tx>
            <c:v>R2</c:v>
          </c:tx>
          <c:spPr>
            <a:solidFill>
              <a:schemeClr val="accent2"/>
            </a:solidFill>
          </c:spPr>
          <c:invertIfNegative val="0"/>
          <c:dPt>
            <c:idx val="9"/>
            <c:invertIfNegative val="0"/>
            <c:bubble3D val="0"/>
            <c:spPr>
              <a:solidFill>
                <a:srgbClr val="BA3838"/>
              </a:solidFill>
            </c:spPr>
            <c:extLst>
              <c:ext xmlns:c16="http://schemas.microsoft.com/office/drawing/2014/chart" uri="{C3380CC4-5D6E-409C-BE32-E72D297353CC}">
                <c16:uniqueId val="{00000001-EED2-4ACE-91AA-7F8713196E92}"/>
              </c:ext>
            </c:extLst>
          </c:dPt>
          <c:dPt>
            <c:idx val="11"/>
            <c:invertIfNegative val="0"/>
            <c:bubble3D val="0"/>
            <c:spPr>
              <a:solidFill>
                <a:srgbClr val="BA3838"/>
              </a:solidFill>
            </c:spPr>
            <c:extLst>
              <c:ext xmlns:c16="http://schemas.microsoft.com/office/drawing/2014/chart" uri="{C3380CC4-5D6E-409C-BE32-E72D297353CC}">
                <c16:uniqueId val="{00000003-EED2-4ACE-91AA-7F8713196E92}"/>
              </c:ext>
            </c:extLst>
          </c:dPt>
          <c:dPt>
            <c:idx val="13"/>
            <c:invertIfNegative val="0"/>
            <c:bubble3D val="0"/>
            <c:spPr>
              <a:solidFill>
                <a:schemeClr val="bg1">
                  <a:lumMod val="65000"/>
                </a:schemeClr>
              </a:solidFill>
            </c:spPr>
            <c:extLst>
              <c:ext xmlns:c16="http://schemas.microsoft.com/office/drawing/2014/chart" uri="{C3380CC4-5D6E-409C-BE32-E72D297353CC}">
                <c16:uniqueId val="{00000005-EED2-4ACE-91AA-7F8713196E92}"/>
              </c:ext>
            </c:extLst>
          </c:dPt>
          <c:dPt>
            <c:idx val="15"/>
            <c:invertIfNegative val="0"/>
            <c:bubble3D val="0"/>
            <c:spPr>
              <a:solidFill>
                <a:srgbClr val="BA3838"/>
              </a:solidFill>
            </c:spPr>
            <c:extLst>
              <c:ext xmlns:c16="http://schemas.microsoft.com/office/drawing/2014/chart" uri="{C3380CC4-5D6E-409C-BE32-E72D297353CC}">
                <c16:uniqueId val="{00000007-EED2-4ACE-91AA-7F8713196E92}"/>
              </c:ext>
            </c:extLst>
          </c:dPt>
          <c:dPt>
            <c:idx val="25"/>
            <c:invertIfNegative val="0"/>
            <c:bubble3D val="0"/>
            <c:spPr>
              <a:solidFill>
                <a:srgbClr val="00B050"/>
              </a:solidFill>
            </c:spPr>
            <c:extLst>
              <c:ext xmlns:c16="http://schemas.microsoft.com/office/drawing/2014/chart" uri="{C3380CC4-5D6E-409C-BE32-E72D297353CC}">
                <c16:uniqueId val="{00000009-EED2-4ACE-91AA-7F8713196E92}"/>
              </c:ext>
            </c:extLst>
          </c:dPt>
          <c:dPt>
            <c:idx val="26"/>
            <c:invertIfNegative val="0"/>
            <c:bubble3D val="0"/>
            <c:spPr>
              <a:solidFill>
                <a:srgbClr val="FF0000"/>
              </a:solidFill>
            </c:spPr>
            <c:extLst>
              <c:ext xmlns:c16="http://schemas.microsoft.com/office/drawing/2014/chart" uri="{C3380CC4-5D6E-409C-BE32-E72D297353CC}">
                <c16:uniqueId val="{0000000B-EED2-4ACE-91AA-7F8713196E92}"/>
              </c:ext>
            </c:extLst>
          </c:dPt>
          <c:dPt>
            <c:idx val="27"/>
            <c:invertIfNegative val="0"/>
            <c:bubble3D val="0"/>
            <c:spPr>
              <a:solidFill>
                <a:srgbClr val="0070C0"/>
              </a:solidFill>
            </c:spPr>
            <c:extLst>
              <c:ext xmlns:c16="http://schemas.microsoft.com/office/drawing/2014/chart" uri="{C3380CC4-5D6E-409C-BE32-E72D297353CC}">
                <c16:uniqueId val="{0000000D-EED2-4ACE-91AA-7F8713196E92}"/>
              </c:ext>
            </c:extLst>
          </c:dPt>
          <c:dPt>
            <c:idx val="28"/>
            <c:invertIfNegative val="0"/>
            <c:bubble3D val="0"/>
            <c:spPr>
              <a:solidFill>
                <a:schemeClr val="bg1">
                  <a:lumMod val="65000"/>
                </a:schemeClr>
              </a:solidFill>
            </c:spPr>
            <c:extLst>
              <c:ext xmlns:c16="http://schemas.microsoft.com/office/drawing/2014/chart" uri="{C3380CC4-5D6E-409C-BE32-E72D297353CC}">
                <c16:uniqueId val="{0000000F-EED2-4ACE-91AA-7F8713196E92}"/>
              </c:ext>
            </c:extLst>
          </c:dPt>
          <c:dPt>
            <c:idx val="30"/>
            <c:invertIfNegative val="0"/>
            <c:bubble3D val="0"/>
            <c:spPr>
              <a:solidFill>
                <a:schemeClr val="bg1">
                  <a:lumMod val="65000"/>
                </a:schemeClr>
              </a:solidFill>
            </c:spPr>
            <c:extLst>
              <c:ext xmlns:c16="http://schemas.microsoft.com/office/drawing/2014/chart" uri="{C3380CC4-5D6E-409C-BE32-E72D297353CC}">
                <c16:uniqueId val="{00000011-EED2-4ACE-91AA-7F8713196E92}"/>
              </c:ext>
            </c:extLst>
          </c:dPt>
          <c:dPt>
            <c:idx val="32"/>
            <c:invertIfNegative val="0"/>
            <c:bubble3D val="0"/>
            <c:spPr>
              <a:solidFill>
                <a:schemeClr val="bg1">
                  <a:lumMod val="65000"/>
                </a:schemeClr>
              </a:solidFill>
            </c:spPr>
            <c:extLst>
              <c:ext xmlns:c16="http://schemas.microsoft.com/office/drawing/2014/chart" uri="{C3380CC4-5D6E-409C-BE32-E72D297353CC}">
                <c16:uniqueId val="{00000013-EED2-4ACE-91AA-7F8713196E92}"/>
              </c:ext>
            </c:extLst>
          </c:dPt>
          <c:dPt>
            <c:idx val="34"/>
            <c:invertIfNegative val="0"/>
            <c:bubble3D val="0"/>
            <c:spPr>
              <a:solidFill>
                <a:schemeClr val="bg1">
                  <a:lumMod val="65000"/>
                </a:schemeClr>
              </a:solidFill>
            </c:spPr>
            <c:extLst>
              <c:ext xmlns:c16="http://schemas.microsoft.com/office/drawing/2014/chart" uri="{C3380CC4-5D6E-409C-BE32-E72D297353CC}">
                <c16:uniqueId val="{00000015-EED2-4ACE-91AA-7F8713196E92}"/>
              </c:ext>
            </c:extLst>
          </c:dPt>
          <c:errBars>
            <c:errBarType val="plus"/>
            <c:errValType val="cust"/>
            <c:noEndCap val="0"/>
            <c:plus>
              <c:numRef>
                <c:f>'R2'!$B$54:$V$54</c:f>
                <c:numCache>
                  <c:formatCode>General</c:formatCode>
                  <c:ptCount val="21"/>
                  <c:pt idx="0">
                    <c:v>8.8521073527223423E-2</c:v>
                  </c:pt>
                  <c:pt idx="1">
                    <c:v>5.4678622080756946E-2</c:v>
                  </c:pt>
                  <c:pt idx="2">
                    <c:v>0.10609964130809142</c:v>
                  </c:pt>
                  <c:pt idx="3">
                    <c:v>0.11236900480525427</c:v>
                  </c:pt>
                  <c:pt idx="4">
                    <c:v>0.18900301843473963</c:v>
                  </c:pt>
                  <c:pt idx="5">
                    <c:v>0.23100242362730192</c:v>
                  </c:pt>
                  <c:pt idx="6">
                    <c:v>0.31862441970501754</c:v>
                  </c:pt>
                  <c:pt idx="7">
                    <c:v>5.7816976119095816E-2</c:v>
                  </c:pt>
                  <c:pt idx="8">
                    <c:v>8.6706299768182185E-2</c:v>
                  </c:pt>
                  <c:pt idx="9">
                    <c:v>9.6394294829328944E-2</c:v>
                  </c:pt>
                  <c:pt idx="10">
                    <c:v>4.9362532104242483E-2</c:v>
                  </c:pt>
                  <c:pt idx="11">
                    <c:v>5.8902654451566623E-2</c:v>
                  </c:pt>
                  <c:pt idx="13">
                    <c:v>8.3448785169326106E-2</c:v>
                  </c:pt>
                  <c:pt idx="14">
                    <c:v>0.16567430794603877</c:v>
                  </c:pt>
                  <c:pt idx="15">
                    <c:v>3.2551482375861841E-2</c:v>
                  </c:pt>
                  <c:pt idx="16">
                    <c:v>0.16336662115944667</c:v>
                  </c:pt>
                  <c:pt idx="17">
                    <c:v>0.16737752453093788</c:v>
                  </c:pt>
                  <c:pt idx="18">
                    <c:v>0.10577718744973584</c:v>
                  </c:pt>
                  <c:pt idx="19">
                    <c:v>0.13452211379453813</c:v>
                  </c:pt>
                  <c:pt idx="20">
                    <c:v>0.13720646385035631</c:v>
                  </c:pt>
                </c:numCache>
              </c:numRef>
            </c:plus>
            <c:minus>
              <c:numRef>
                <c:f>'R1'!$N$48:$V$48</c:f>
                <c:numCache>
                  <c:formatCode>General</c:formatCode>
                  <c:ptCount val="9"/>
                  <c:pt idx="0">
                    <c:v>0</c:v>
                  </c:pt>
                  <c:pt idx="1">
                    <c:v>0.11673197908408775</c:v>
                  </c:pt>
                  <c:pt idx="2">
                    <c:v>0.20673384654336074</c:v>
                  </c:pt>
                  <c:pt idx="3">
                    <c:v>3.0489499843097734E-2</c:v>
                  </c:pt>
                  <c:pt idx="4">
                    <c:v>0.11447269476055943</c:v>
                  </c:pt>
                  <c:pt idx="5">
                    <c:v>9.2815826388436065E-2</c:v>
                  </c:pt>
                  <c:pt idx="6">
                    <c:v>0.14483054467367287</c:v>
                  </c:pt>
                  <c:pt idx="7">
                    <c:v>9.6392019318001357E-2</c:v>
                  </c:pt>
                  <c:pt idx="8">
                    <c:v>0.10531816797961249</c:v>
                  </c:pt>
                </c:numCache>
              </c:numRef>
            </c:minus>
          </c:errBars>
          <c:cat>
            <c:strRef>
              <c:f>'R2'!$B$52:$V$52</c:f>
              <c:strCache>
                <c:ptCount val="21"/>
                <c:pt idx="0">
                  <c:v>Solvent control</c:v>
                </c:pt>
                <c:pt idx="1">
                  <c:v>EE2-33.8ng/L</c:v>
                </c:pt>
                <c:pt idx="2">
                  <c:v>EE2-50.6ng/L</c:v>
                </c:pt>
                <c:pt idx="3">
                  <c:v>EE2-76ng/L</c:v>
                </c:pt>
                <c:pt idx="4">
                  <c:v>EE2-114ng/L</c:v>
                </c:pt>
                <c:pt idx="5">
                  <c:v>EE2-170.9ng/L</c:v>
                </c:pt>
                <c:pt idx="6">
                  <c:v>EE2-488ng/L</c:v>
                </c:pt>
                <c:pt idx="7">
                  <c:v>tamoxifen-483ng/L</c:v>
                </c:pt>
                <c:pt idx="8">
                  <c:v>tamoxifen-242ng/L</c:v>
                </c:pt>
                <c:pt idx="9">
                  <c:v>tamoxifen-121ng/L</c:v>
                </c:pt>
                <c:pt idx="10">
                  <c:v>tamoxifen-60.4ng/L</c:v>
                </c:pt>
                <c:pt idx="11">
                  <c:v>tamoxifen-30.2ng/L</c:v>
                </c:pt>
                <c:pt idx="13">
                  <c:v>Testo -30µg/L</c:v>
                </c:pt>
                <c:pt idx="14">
                  <c:v>Testo 30µg/L + EE2 -64ng/L</c:v>
                </c:pt>
                <c:pt idx="15">
                  <c:v>Testo 30µg/L + FAD-10mg/L</c:v>
                </c:pt>
                <c:pt idx="16">
                  <c:v>tamoxifen-483ng/L + Testostérone</c:v>
                </c:pt>
                <c:pt idx="17">
                  <c:v>tamoxifen-242ng/L + Testostérone</c:v>
                </c:pt>
                <c:pt idx="18">
                  <c:v>tamoxifen-121ng/L + Testostérone</c:v>
                </c:pt>
                <c:pt idx="19">
                  <c:v>tamoxifen-60.4ng/L + Testostérone</c:v>
                </c:pt>
                <c:pt idx="20">
                  <c:v>tamoxifen-30.2ng/L + Testostérone</c:v>
                </c:pt>
              </c:strCache>
            </c:strRef>
          </c:cat>
          <c:val>
            <c:numRef>
              <c:f>'R2'!$B$53:$V$53</c:f>
              <c:numCache>
                <c:formatCode>0.0000</c:formatCode>
                <c:ptCount val="21"/>
                <c:pt idx="0">
                  <c:v>0.25677831358733633</c:v>
                </c:pt>
                <c:pt idx="1">
                  <c:v>0.34408649363785104</c:v>
                </c:pt>
                <c:pt idx="2">
                  <c:v>0.81423255528393235</c:v>
                </c:pt>
                <c:pt idx="3">
                  <c:v>1.2594048597709693</c:v>
                </c:pt>
                <c:pt idx="4">
                  <c:v>1.667399084750592</c:v>
                </c:pt>
                <c:pt idx="5">
                  <c:v>2.0630579862895746</c:v>
                </c:pt>
                <c:pt idx="6">
                  <c:v>2.1635918476479206</c:v>
                </c:pt>
                <c:pt idx="7">
                  <c:v>0.70784574342315032</c:v>
                </c:pt>
                <c:pt idx="8">
                  <c:v>0.37593046468880037</c:v>
                </c:pt>
                <c:pt idx="9">
                  <c:v>0.46597092330082257</c:v>
                </c:pt>
                <c:pt idx="10">
                  <c:v>0.17986836666601869</c:v>
                </c:pt>
                <c:pt idx="11">
                  <c:v>0.31748033752563815</c:v>
                </c:pt>
                <c:pt idx="13">
                  <c:v>1</c:v>
                </c:pt>
                <c:pt idx="14">
                  <c:v>1.7008195073636967</c:v>
                </c:pt>
                <c:pt idx="15">
                  <c:v>8.3335058076277821E-2</c:v>
                </c:pt>
                <c:pt idx="16">
                  <c:v>1.4937070090756213</c:v>
                </c:pt>
                <c:pt idx="17">
                  <c:v>1.0113922089171967</c:v>
                </c:pt>
                <c:pt idx="18">
                  <c:v>1.2760073671113024</c:v>
                </c:pt>
                <c:pt idx="19">
                  <c:v>1.4249519134841127</c:v>
                </c:pt>
                <c:pt idx="20">
                  <c:v>0.93798517443665974</c:v>
                </c:pt>
              </c:numCache>
            </c:numRef>
          </c:val>
          <c:extLst>
            <c:ext xmlns:c16="http://schemas.microsoft.com/office/drawing/2014/chart" uri="{C3380CC4-5D6E-409C-BE32-E72D297353CC}">
              <c16:uniqueId val="{00000016-EED2-4ACE-91AA-7F8713196E92}"/>
            </c:ext>
          </c:extLst>
        </c:ser>
        <c:dLbls>
          <c:showLegendKey val="0"/>
          <c:showVal val="0"/>
          <c:showCatName val="0"/>
          <c:showSerName val="0"/>
          <c:showPercent val="0"/>
          <c:showBubbleSize val="0"/>
        </c:dLbls>
        <c:gapWidth val="150"/>
        <c:axId val="324818296"/>
        <c:axId val="324818688"/>
      </c:barChart>
      <c:catAx>
        <c:axId val="324818296"/>
        <c:scaling>
          <c:orientation val="minMax"/>
        </c:scaling>
        <c:delete val="0"/>
        <c:axPos val="b"/>
        <c:numFmt formatCode="General" sourceLinked="1"/>
        <c:majorTickMark val="out"/>
        <c:minorTickMark val="none"/>
        <c:tickLblPos val="nextTo"/>
        <c:txPr>
          <a:bodyPr rot="-5400000" vert="horz"/>
          <a:lstStyle/>
          <a:p>
            <a:pPr>
              <a:defRPr lang="en-GB"/>
            </a:pPr>
            <a:endParaRPr lang="en-US"/>
          </a:p>
        </c:txPr>
        <c:crossAx val="324818688"/>
        <c:crosses val="autoZero"/>
        <c:auto val="1"/>
        <c:lblAlgn val="ctr"/>
        <c:lblOffset val="100"/>
        <c:noMultiLvlLbl val="0"/>
      </c:catAx>
      <c:valAx>
        <c:axId val="324818688"/>
        <c:scaling>
          <c:orientation val="minMax"/>
          <c:max val="2.8"/>
        </c:scaling>
        <c:delete val="0"/>
        <c:axPos val="l"/>
        <c:majorGridlines/>
        <c:title>
          <c:tx>
            <c:rich>
              <a:bodyPr rot="-5400000" vert="horz"/>
              <a:lstStyle/>
              <a:p>
                <a:pPr marL="0" marR="0" indent="0" algn="ctr" defTabSz="914400" rtl="0" eaLnBrk="1" fontAlgn="auto" latinLnBrk="0" hangingPunct="1">
                  <a:lnSpc>
                    <a:spcPct val="100000"/>
                  </a:lnSpc>
                  <a:spcBef>
                    <a:spcPts val="0"/>
                  </a:spcBef>
                  <a:spcAft>
                    <a:spcPts val="0"/>
                  </a:spcAft>
                  <a:buClrTx/>
                  <a:buSzTx/>
                  <a:buFontTx/>
                  <a:buNone/>
                  <a:tabLst/>
                  <a:defRPr lang="en-GB" sz="1000" b="1" i="0" u="none" strike="noStrike" kern="1200" baseline="0">
                    <a:solidFill>
                      <a:sysClr val="windowText" lastClr="000000"/>
                    </a:solidFill>
                    <a:latin typeface="+mn-lt"/>
                    <a:ea typeface="+mn-ea"/>
                    <a:cs typeface="+mn-cs"/>
                  </a:defRPr>
                </a:pPr>
                <a:r>
                  <a:rPr lang="en-US" sz="1000" b="1" i="0" baseline="0">
                    <a:effectLst/>
                  </a:rPr>
                  <a:t>fluorescence totale (unités arbitraires)</a:t>
                </a:r>
                <a:endParaRPr lang="en-GB" sz="1000">
                  <a:effectLst/>
                </a:endParaRPr>
              </a:p>
              <a:p>
                <a:pPr marL="0" marR="0" indent="0" algn="ctr" defTabSz="914400" rtl="0" eaLnBrk="1" fontAlgn="auto" latinLnBrk="0" hangingPunct="1">
                  <a:lnSpc>
                    <a:spcPct val="100000"/>
                  </a:lnSpc>
                  <a:spcBef>
                    <a:spcPts val="0"/>
                  </a:spcBef>
                  <a:spcAft>
                    <a:spcPts val="0"/>
                  </a:spcAft>
                  <a:buClrTx/>
                  <a:buSzTx/>
                  <a:buFontTx/>
                  <a:buNone/>
                  <a:tabLst/>
                  <a:defRPr lang="en-GB" sz="1000" b="1" i="0" u="none" strike="noStrike" kern="1200" baseline="0">
                    <a:solidFill>
                      <a:sysClr val="windowText" lastClr="000000"/>
                    </a:solidFill>
                    <a:latin typeface="+mn-lt"/>
                    <a:ea typeface="+mn-ea"/>
                    <a:cs typeface="+mn-cs"/>
                  </a:defRPr>
                </a:pPr>
                <a:endParaRPr lang="en-US" sz="1000"/>
              </a:p>
            </c:rich>
          </c:tx>
          <c:overlay val="0"/>
        </c:title>
        <c:numFmt formatCode="0.0" sourceLinked="0"/>
        <c:majorTickMark val="out"/>
        <c:minorTickMark val="none"/>
        <c:tickLblPos val="nextTo"/>
        <c:txPr>
          <a:bodyPr/>
          <a:lstStyle/>
          <a:p>
            <a:pPr>
              <a:defRPr lang="en-GB"/>
            </a:pPr>
            <a:endParaRPr lang="en-US"/>
          </a:p>
        </c:txPr>
        <c:crossAx val="324818296"/>
        <c:crosses val="autoZero"/>
        <c:crossBetween val="between"/>
        <c:majorUnit val="0.2"/>
      </c:valAx>
    </c:plotArea>
    <c:plotVisOnly val="1"/>
    <c:dispBlanksAs val="gap"/>
    <c:showDLblsOverMax val="0"/>
  </c:chart>
  <c:userShapes r:id="rId1"/>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7395319521821627E-2"/>
          <c:y val="0.14871824529979213"/>
          <c:w val="0.9002738512986157"/>
          <c:h val="0.63968468033016779"/>
        </c:manualLayout>
      </c:layout>
      <c:barChart>
        <c:barDir val="col"/>
        <c:grouping val="clustered"/>
        <c:varyColors val="0"/>
        <c:ser>
          <c:idx val="0"/>
          <c:order val="0"/>
          <c:tx>
            <c:v>R2</c:v>
          </c:tx>
          <c:spPr>
            <a:solidFill>
              <a:srgbClr val="0070C0"/>
            </a:solidFill>
          </c:spPr>
          <c:invertIfNegative val="1"/>
          <c:dPt>
            <c:idx val="9"/>
            <c:invertIfNegative val="1"/>
            <c:bubble3D val="0"/>
            <c:extLst>
              <c:ext xmlns:c16="http://schemas.microsoft.com/office/drawing/2014/chart" uri="{C3380CC4-5D6E-409C-BE32-E72D297353CC}">
                <c16:uniqueId val="{00000001-EED2-4ACE-91AA-7F8713196E92}"/>
              </c:ext>
            </c:extLst>
          </c:dPt>
          <c:dPt>
            <c:idx val="11"/>
            <c:invertIfNegative val="1"/>
            <c:bubble3D val="0"/>
            <c:extLst>
              <c:ext xmlns:c16="http://schemas.microsoft.com/office/drawing/2014/chart" uri="{C3380CC4-5D6E-409C-BE32-E72D297353CC}">
                <c16:uniqueId val="{00000003-EED2-4ACE-91AA-7F8713196E92}"/>
              </c:ext>
            </c:extLst>
          </c:dPt>
          <c:dPt>
            <c:idx val="13"/>
            <c:invertIfNegative val="1"/>
            <c:bubble3D val="0"/>
            <c:extLst>
              <c:ext xmlns:c16="http://schemas.microsoft.com/office/drawing/2014/chart" uri="{C3380CC4-5D6E-409C-BE32-E72D297353CC}">
                <c16:uniqueId val="{00000005-EED2-4ACE-91AA-7F8713196E92}"/>
              </c:ext>
            </c:extLst>
          </c:dPt>
          <c:dPt>
            <c:idx val="15"/>
            <c:invertIfNegative val="1"/>
            <c:bubble3D val="0"/>
            <c:extLst>
              <c:ext xmlns:c16="http://schemas.microsoft.com/office/drawing/2014/chart" uri="{C3380CC4-5D6E-409C-BE32-E72D297353CC}">
                <c16:uniqueId val="{00000007-EED2-4ACE-91AA-7F8713196E92}"/>
              </c:ext>
            </c:extLst>
          </c:dPt>
          <c:dPt>
            <c:idx val="25"/>
            <c:invertIfNegative val="1"/>
            <c:bubble3D val="0"/>
            <c:extLst>
              <c:ext xmlns:c16="http://schemas.microsoft.com/office/drawing/2014/chart" uri="{C3380CC4-5D6E-409C-BE32-E72D297353CC}">
                <c16:uniqueId val="{00000009-EED2-4ACE-91AA-7F8713196E92}"/>
              </c:ext>
            </c:extLst>
          </c:dPt>
          <c:dPt>
            <c:idx val="26"/>
            <c:invertIfNegative val="1"/>
            <c:bubble3D val="0"/>
            <c:extLst>
              <c:ext xmlns:c16="http://schemas.microsoft.com/office/drawing/2014/chart" uri="{C3380CC4-5D6E-409C-BE32-E72D297353CC}">
                <c16:uniqueId val="{0000000B-EED2-4ACE-91AA-7F8713196E92}"/>
              </c:ext>
            </c:extLst>
          </c:dPt>
          <c:dPt>
            <c:idx val="27"/>
            <c:invertIfNegative val="1"/>
            <c:bubble3D val="0"/>
            <c:extLst>
              <c:ext xmlns:c16="http://schemas.microsoft.com/office/drawing/2014/chart" uri="{C3380CC4-5D6E-409C-BE32-E72D297353CC}">
                <c16:uniqueId val="{0000000D-EED2-4ACE-91AA-7F8713196E92}"/>
              </c:ext>
            </c:extLst>
          </c:dPt>
          <c:dPt>
            <c:idx val="28"/>
            <c:invertIfNegative val="1"/>
            <c:bubble3D val="0"/>
            <c:extLst>
              <c:ext xmlns:c16="http://schemas.microsoft.com/office/drawing/2014/chart" uri="{C3380CC4-5D6E-409C-BE32-E72D297353CC}">
                <c16:uniqueId val="{0000000F-EED2-4ACE-91AA-7F8713196E92}"/>
              </c:ext>
            </c:extLst>
          </c:dPt>
          <c:dPt>
            <c:idx val="30"/>
            <c:invertIfNegative val="1"/>
            <c:bubble3D val="0"/>
            <c:extLst>
              <c:ext xmlns:c16="http://schemas.microsoft.com/office/drawing/2014/chart" uri="{C3380CC4-5D6E-409C-BE32-E72D297353CC}">
                <c16:uniqueId val="{00000011-EED2-4ACE-91AA-7F8713196E92}"/>
              </c:ext>
            </c:extLst>
          </c:dPt>
          <c:dPt>
            <c:idx val="32"/>
            <c:invertIfNegative val="1"/>
            <c:bubble3D val="0"/>
            <c:extLst>
              <c:ext xmlns:c16="http://schemas.microsoft.com/office/drawing/2014/chart" uri="{C3380CC4-5D6E-409C-BE32-E72D297353CC}">
                <c16:uniqueId val="{00000013-EED2-4ACE-91AA-7F8713196E92}"/>
              </c:ext>
            </c:extLst>
          </c:dPt>
          <c:dPt>
            <c:idx val="34"/>
            <c:invertIfNegative val="1"/>
            <c:bubble3D val="0"/>
            <c:extLst>
              <c:ext xmlns:c16="http://schemas.microsoft.com/office/drawing/2014/chart" uri="{C3380CC4-5D6E-409C-BE32-E72D297353CC}">
                <c16:uniqueId val="{00000015-EED2-4ACE-91AA-7F8713196E92}"/>
              </c:ext>
            </c:extLst>
          </c:dPt>
          <c:errBars>
            <c:errBarType val="plus"/>
            <c:errValType val="cust"/>
            <c:noEndCap val="0"/>
            <c:plus>
              <c:numRef>
                <c:f>'R3'!$B$54:$V$54</c:f>
                <c:numCache>
                  <c:formatCode>General</c:formatCode>
                  <c:ptCount val="21"/>
                  <c:pt idx="0">
                    <c:v>6.8563392257230113E-2</c:v>
                  </c:pt>
                  <c:pt idx="1">
                    <c:v>9.77351510144049E-2</c:v>
                  </c:pt>
                  <c:pt idx="2">
                    <c:v>6.1641041794961861E-2</c:v>
                  </c:pt>
                  <c:pt idx="3">
                    <c:v>9.9608788242702945E-2</c:v>
                  </c:pt>
                  <c:pt idx="4">
                    <c:v>0.13991625847416572</c:v>
                  </c:pt>
                  <c:pt idx="5">
                    <c:v>0.32160814445074015</c:v>
                  </c:pt>
                  <c:pt idx="6">
                    <c:v>0.38667314838820593</c:v>
                  </c:pt>
                  <c:pt idx="7">
                    <c:v>0.14274646978645544</c:v>
                  </c:pt>
                  <c:pt idx="8">
                    <c:v>7.9958576760404534E-2</c:v>
                  </c:pt>
                  <c:pt idx="9">
                    <c:v>8.2128859280728814E-2</c:v>
                  </c:pt>
                  <c:pt idx="10">
                    <c:v>6.7775821613335119E-2</c:v>
                  </c:pt>
                  <c:pt idx="11">
                    <c:v>7.0362629667955964E-2</c:v>
                  </c:pt>
                  <c:pt idx="13">
                    <c:v>0.14888873292687058</c:v>
                  </c:pt>
                  <c:pt idx="14">
                    <c:v>0.32224801910254647</c:v>
                  </c:pt>
                  <c:pt idx="15">
                    <c:v>5.5695599317958269E-2</c:v>
                  </c:pt>
                  <c:pt idx="16">
                    <c:v>0.1944191459107634</c:v>
                  </c:pt>
                  <c:pt idx="17">
                    <c:v>0.13556512983525248</c:v>
                  </c:pt>
                  <c:pt idx="18">
                    <c:v>0.13495086058448949</c:v>
                  </c:pt>
                  <c:pt idx="19">
                    <c:v>0.15466239158762063</c:v>
                  </c:pt>
                  <c:pt idx="20">
                    <c:v>0.11840192725409446</c:v>
                  </c:pt>
                </c:numCache>
              </c:numRef>
            </c:plus>
            <c:minus>
              <c:numRef>
                <c:f>'R1'!$N$48:$V$48</c:f>
                <c:numCache>
                  <c:formatCode>General</c:formatCode>
                  <c:ptCount val="9"/>
                  <c:pt idx="0">
                    <c:v>0</c:v>
                  </c:pt>
                  <c:pt idx="1">
                    <c:v>0.11673197908408775</c:v>
                  </c:pt>
                  <c:pt idx="2">
                    <c:v>0.20673384654336074</c:v>
                  </c:pt>
                  <c:pt idx="3">
                    <c:v>3.0489499843097734E-2</c:v>
                  </c:pt>
                  <c:pt idx="4">
                    <c:v>0.11447269476055943</c:v>
                  </c:pt>
                  <c:pt idx="5">
                    <c:v>9.2815826388436065E-2</c:v>
                  </c:pt>
                  <c:pt idx="6">
                    <c:v>0.14483054467367287</c:v>
                  </c:pt>
                  <c:pt idx="7">
                    <c:v>9.6392019318001357E-2</c:v>
                  </c:pt>
                  <c:pt idx="8">
                    <c:v>0.10531816797961249</c:v>
                  </c:pt>
                </c:numCache>
              </c:numRef>
            </c:minus>
          </c:errBars>
          <c:cat>
            <c:strRef>
              <c:f>'R3'!$B$52:$V$52</c:f>
              <c:strCache>
                <c:ptCount val="21"/>
                <c:pt idx="0">
                  <c:v>Solvent control</c:v>
                </c:pt>
                <c:pt idx="1">
                  <c:v>EE2-33.8ng/L</c:v>
                </c:pt>
                <c:pt idx="2">
                  <c:v>EE2-50.6ng/L</c:v>
                </c:pt>
                <c:pt idx="3">
                  <c:v>EE2-76ng/L</c:v>
                </c:pt>
                <c:pt idx="4">
                  <c:v>EE2-114ng/L</c:v>
                </c:pt>
                <c:pt idx="5">
                  <c:v>EE2-170.9ng/L</c:v>
                </c:pt>
                <c:pt idx="6">
                  <c:v>EE2-488ng/L</c:v>
                </c:pt>
                <c:pt idx="7">
                  <c:v>tamoxifen-483ng/L</c:v>
                </c:pt>
                <c:pt idx="8">
                  <c:v>tamoxifen-242ng/L</c:v>
                </c:pt>
                <c:pt idx="9">
                  <c:v>tamoxifen-121ng/L</c:v>
                </c:pt>
                <c:pt idx="10">
                  <c:v>tamoxifen-60.4ng/L</c:v>
                </c:pt>
                <c:pt idx="11">
                  <c:v>tamoxifen-30.2ng/L</c:v>
                </c:pt>
                <c:pt idx="13">
                  <c:v>Testo -30µg/L</c:v>
                </c:pt>
                <c:pt idx="14">
                  <c:v>Testo 30µg/L + EE2 -64ng/L</c:v>
                </c:pt>
                <c:pt idx="15">
                  <c:v>Testo 30µg/L + FAD-10mg/L</c:v>
                </c:pt>
                <c:pt idx="16">
                  <c:v>tamoxifen-483ng/L + Testostérone</c:v>
                </c:pt>
                <c:pt idx="17">
                  <c:v>tamoxifen-242ng/L + Testostérone</c:v>
                </c:pt>
                <c:pt idx="18">
                  <c:v>tamoxifen-121ng/L + Testostérone</c:v>
                </c:pt>
                <c:pt idx="19">
                  <c:v>tamoxifen-60.4ng/L + Testostérone</c:v>
                </c:pt>
                <c:pt idx="20">
                  <c:v>tamoxifen-30.2ng/L + Testostérone</c:v>
                </c:pt>
              </c:strCache>
            </c:strRef>
          </c:cat>
          <c:val>
            <c:numRef>
              <c:f>'R3'!$B$53:$V$53</c:f>
              <c:numCache>
                <c:formatCode>0.0000</c:formatCode>
                <c:ptCount val="21"/>
                <c:pt idx="0">
                  <c:v>0.2321501375419105</c:v>
                </c:pt>
                <c:pt idx="1">
                  <c:v>0.28305038005564909</c:v>
                </c:pt>
                <c:pt idx="2">
                  <c:v>0.30235996840471474</c:v>
                </c:pt>
                <c:pt idx="3">
                  <c:v>0.89065846234302382</c:v>
                </c:pt>
                <c:pt idx="4">
                  <c:v>1.3677976358862372</c:v>
                </c:pt>
                <c:pt idx="5">
                  <c:v>2.0708809919154403</c:v>
                </c:pt>
                <c:pt idx="6">
                  <c:v>3.1454355038269024</c:v>
                </c:pt>
                <c:pt idx="7">
                  <c:v>0.85188217780893905</c:v>
                </c:pt>
                <c:pt idx="8">
                  <c:v>0.31568715052614355</c:v>
                </c:pt>
                <c:pt idx="9">
                  <c:v>0.27533639148514638</c:v>
                </c:pt>
                <c:pt idx="10">
                  <c:v>0.24282881869397593</c:v>
                </c:pt>
                <c:pt idx="11">
                  <c:v>0.31794774971686424</c:v>
                </c:pt>
                <c:pt idx="13">
                  <c:v>1</c:v>
                </c:pt>
                <c:pt idx="14">
                  <c:v>2.1787778555242325</c:v>
                </c:pt>
                <c:pt idx="15">
                  <c:v>0.21125753286071039</c:v>
                </c:pt>
                <c:pt idx="16">
                  <c:v>2.0624170105077209</c:v>
                </c:pt>
                <c:pt idx="17">
                  <c:v>1.0930864854246409</c:v>
                </c:pt>
                <c:pt idx="18">
                  <c:v>1.0700499237781034</c:v>
                </c:pt>
                <c:pt idx="19">
                  <c:v>0.92450596964494658</c:v>
                </c:pt>
                <c:pt idx="20">
                  <c:v>1.0453382175832999</c:v>
                </c:pt>
              </c:numCache>
            </c:numRef>
          </c:val>
          <c:extLst>
            <c:ext xmlns:c14="http://schemas.microsoft.com/office/drawing/2007/8/2/chart" uri="{6F2FDCE9-48DA-4B69-8628-5D25D57E5C99}">
              <c14:invertSolidFillFmt>
                <c14:spPr xmlns:c14="http://schemas.microsoft.com/office/drawing/2007/8/2/chart">
                  <a:solidFill>
                    <a:srgbClr val="FFFFFF"/>
                  </a:solidFill>
                </c14:spPr>
              </c14:invertSolidFillFmt>
            </c:ext>
            <c:ext xmlns:c16="http://schemas.microsoft.com/office/drawing/2014/chart" uri="{C3380CC4-5D6E-409C-BE32-E72D297353CC}">
              <c16:uniqueId val="{00000016-EED2-4ACE-91AA-7F8713196E92}"/>
            </c:ext>
          </c:extLst>
        </c:ser>
        <c:dLbls>
          <c:showLegendKey val="0"/>
          <c:showVal val="0"/>
          <c:showCatName val="0"/>
          <c:showSerName val="0"/>
          <c:showPercent val="0"/>
          <c:showBubbleSize val="0"/>
        </c:dLbls>
        <c:gapWidth val="150"/>
        <c:axId val="434373488"/>
        <c:axId val="434373880"/>
      </c:barChart>
      <c:catAx>
        <c:axId val="434373488"/>
        <c:scaling>
          <c:orientation val="minMax"/>
        </c:scaling>
        <c:delete val="0"/>
        <c:axPos val="b"/>
        <c:numFmt formatCode="General" sourceLinked="1"/>
        <c:majorTickMark val="out"/>
        <c:minorTickMark val="none"/>
        <c:tickLblPos val="nextTo"/>
        <c:txPr>
          <a:bodyPr rot="-2700000" vert="horz"/>
          <a:lstStyle/>
          <a:p>
            <a:pPr>
              <a:defRPr lang="en-GB"/>
            </a:pPr>
            <a:endParaRPr lang="en-US"/>
          </a:p>
        </c:txPr>
        <c:crossAx val="434373880"/>
        <c:crosses val="autoZero"/>
        <c:auto val="1"/>
        <c:lblAlgn val="ctr"/>
        <c:lblOffset val="100"/>
        <c:noMultiLvlLbl val="0"/>
      </c:catAx>
      <c:valAx>
        <c:axId val="434373880"/>
        <c:scaling>
          <c:orientation val="minMax"/>
          <c:max val="2.8"/>
        </c:scaling>
        <c:delete val="0"/>
        <c:axPos val="l"/>
        <c:majorGridlines/>
        <c:title>
          <c:tx>
            <c:rich>
              <a:bodyPr rot="-5400000" vert="horz"/>
              <a:lstStyle/>
              <a:p>
                <a:pPr marL="0" marR="0" indent="0" algn="ctr" defTabSz="914400" rtl="0" eaLnBrk="1" fontAlgn="auto" latinLnBrk="0" hangingPunct="1">
                  <a:lnSpc>
                    <a:spcPct val="100000"/>
                  </a:lnSpc>
                  <a:spcBef>
                    <a:spcPts val="0"/>
                  </a:spcBef>
                  <a:spcAft>
                    <a:spcPts val="0"/>
                  </a:spcAft>
                  <a:buClrTx/>
                  <a:buSzTx/>
                  <a:buFontTx/>
                  <a:buNone/>
                  <a:tabLst/>
                  <a:defRPr lang="en-GB" sz="1000" b="1" i="0" u="none" strike="noStrike" kern="1200" baseline="0">
                    <a:solidFill>
                      <a:sysClr val="windowText" lastClr="000000"/>
                    </a:solidFill>
                    <a:latin typeface="+mn-lt"/>
                    <a:ea typeface="+mn-ea"/>
                    <a:cs typeface="+mn-cs"/>
                  </a:defRPr>
                </a:pPr>
                <a:r>
                  <a:rPr lang="en-US" sz="1000" b="1" i="0" baseline="0">
                    <a:effectLst/>
                  </a:rPr>
                  <a:t>fluorescence totale (unités arbitraires)</a:t>
                </a:r>
                <a:endParaRPr lang="en-GB" sz="1000">
                  <a:effectLst/>
                </a:endParaRPr>
              </a:p>
              <a:p>
                <a:pPr marL="0" marR="0" indent="0" algn="ctr" defTabSz="914400" rtl="0" eaLnBrk="1" fontAlgn="auto" latinLnBrk="0" hangingPunct="1">
                  <a:lnSpc>
                    <a:spcPct val="100000"/>
                  </a:lnSpc>
                  <a:spcBef>
                    <a:spcPts val="0"/>
                  </a:spcBef>
                  <a:spcAft>
                    <a:spcPts val="0"/>
                  </a:spcAft>
                  <a:buClrTx/>
                  <a:buSzTx/>
                  <a:buFontTx/>
                  <a:buNone/>
                  <a:tabLst/>
                  <a:defRPr lang="en-GB" sz="1000" b="1" i="0" u="none" strike="noStrike" kern="1200" baseline="0">
                    <a:solidFill>
                      <a:sysClr val="windowText" lastClr="000000"/>
                    </a:solidFill>
                    <a:latin typeface="+mn-lt"/>
                    <a:ea typeface="+mn-ea"/>
                    <a:cs typeface="+mn-cs"/>
                  </a:defRPr>
                </a:pPr>
                <a:endParaRPr lang="en-US" sz="1000"/>
              </a:p>
            </c:rich>
          </c:tx>
          <c:overlay val="0"/>
        </c:title>
        <c:numFmt formatCode="0.0" sourceLinked="0"/>
        <c:majorTickMark val="out"/>
        <c:minorTickMark val="none"/>
        <c:tickLblPos val="nextTo"/>
        <c:txPr>
          <a:bodyPr/>
          <a:lstStyle/>
          <a:p>
            <a:pPr>
              <a:defRPr lang="en-GB"/>
            </a:pPr>
            <a:endParaRPr lang="en-US"/>
          </a:p>
        </c:txPr>
        <c:crossAx val="434373488"/>
        <c:crosses val="autoZero"/>
        <c:crossBetween val="between"/>
        <c:majorUnit val="0.2"/>
      </c:valAx>
    </c:plotArea>
    <c:plotVisOnly val="1"/>
    <c:dispBlanksAs val="gap"/>
    <c:showDLblsOverMax val="0"/>
  </c:chart>
  <c:userShapes r:id="rId1"/>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8086563142153819E-2"/>
          <c:y val="0.10694631110669023"/>
          <c:w val="0.91688911122572669"/>
          <c:h val="0.69895377069250364"/>
        </c:manualLayout>
      </c:layout>
      <c:barChart>
        <c:barDir val="col"/>
        <c:grouping val="clustered"/>
        <c:varyColors val="0"/>
        <c:ser>
          <c:idx val="0"/>
          <c:order val="0"/>
          <c:tx>
            <c:v>Pool</c:v>
          </c:tx>
          <c:spPr>
            <a:solidFill>
              <a:schemeClr val="bg1">
                <a:lumMod val="50000"/>
              </a:schemeClr>
            </a:solidFill>
          </c:spPr>
          <c:invertIfNegative val="0"/>
          <c:dPt>
            <c:idx val="1"/>
            <c:invertIfNegative val="0"/>
            <c:bubble3D val="0"/>
            <c:extLst>
              <c:ext xmlns:c16="http://schemas.microsoft.com/office/drawing/2014/chart" uri="{C3380CC4-5D6E-409C-BE32-E72D297353CC}">
                <c16:uniqueId val="{00000001-033C-4530-84A9-991A3866ABD4}"/>
              </c:ext>
            </c:extLst>
          </c:dPt>
          <c:dPt>
            <c:idx val="2"/>
            <c:invertIfNegative val="0"/>
            <c:bubble3D val="0"/>
            <c:extLst>
              <c:ext xmlns:c16="http://schemas.microsoft.com/office/drawing/2014/chart" uri="{C3380CC4-5D6E-409C-BE32-E72D297353CC}">
                <c16:uniqueId val="{00000003-033C-4530-84A9-991A3866ABD4}"/>
              </c:ext>
            </c:extLst>
          </c:dPt>
          <c:dPt>
            <c:idx val="3"/>
            <c:invertIfNegative val="0"/>
            <c:bubble3D val="0"/>
            <c:extLst>
              <c:ext xmlns:c16="http://schemas.microsoft.com/office/drawing/2014/chart" uri="{C3380CC4-5D6E-409C-BE32-E72D297353CC}">
                <c16:uniqueId val="{00000005-033C-4530-84A9-991A3866ABD4}"/>
              </c:ext>
            </c:extLst>
          </c:dPt>
          <c:dPt>
            <c:idx val="4"/>
            <c:invertIfNegative val="0"/>
            <c:bubble3D val="0"/>
            <c:extLst>
              <c:ext xmlns:c16="http://schemas.microsoft.com/office/drawing/2014/chart" uri="{C3380CC4-5D6E-409C-BE32-E72D297353CC}">
                <c16:uniqueId val="{00000007-033C-4530-84A9-991A3866ABD4}"/>
              </c:ext>
            </c:extLst>
          </c:dPt>
          <c:dPt>
            <c:idx val="5"/>
            <c:invertIfNegative val="0"/>
            <c:bubble3D val="0"/>
            <c:extLst>
              <c:ext xmlns:c16="http://schemas.microsoft.com/office/drawing/2014/chart" uri="{C3380CC4-5D6E-409C-BE32-E72D297353CC}">
                <c16:uniqueId val="{00000009-033C-4530-84A9-991A3866ABD4}"/>
              </c:ext>
            </c:extLst>
          </c:dPt>
          <c:dPt>
            <c:idx val="6"/>
            <c:invertIfNegative val="0"/>
            <c:bubble3D val="0"/>
            <c:extLst>
              <c:ext xmlns:c16="http://schemas.microsoft.com/office/drawing/2014/chart" uri="{C3380CC4-5D6E-409C-BE32-E72D297353CC}">
                <c16:uniqueId val="{0000000B-033C-4530-84A9-991A3866ABD4}"/>
              </c:ext>
            </c:extLst>
          </c:dPt>
          <c:dPt>
            <c:idx val="7"/>
            <c:invertIfNegative val="0"/>
            <c:bubble3D val="0"/>
            <c:extLst>
              <c:ext xmlns:c16="http://schemas.microsoft.com/office/drawing/2014/chart" uri="{C3380CC4-5D6E-409C-BE32-E72D297353CC}">
                <c16:uniqueId val="{0000000D-033C-4530-84A9-991A3866ABD4}"/>
              </c:ext>
            </c:extLst>
          </c:dPt>
          <c:dPt>
            <c:idx val="8"/>
            <c:invertIfNegative val="0"/>
            <c:bubble3D val="0"/>
            <c:extLst>
              <c:ext xmlns:c16="http://schemas.microsoft.com/office/drawing/2014/chart" uri="{C3380CC4-5D6E-409C-BE32-E72D297353CC}">
                <c16:uniqueId val="{0000000F-033C-4530-84A9-991A3866ABD4}"/>
              </c:ext>
            </c:extLst>
          </c:dPt>
          <c:dPt>
            <c:idx val="9"/>
            <c:invertIfNegative val="0"/>
            <c:bubble3D val="0"/>
            <c:extLst>
              <c:ext xmlns:c16="http://schemas.microsoft.com/office/drawing/2014/chart" uri="{C3380CC4-5D6E-409C-BE32-E72D297353CC}">
                <c16:uniqueId val="{00000011-033C-4530-84A9-991A3866ABD4}"/>
              </c:ext>
            </c:extLst>
          </c:dPt>
          <c:dPt>
            <c:idx val="10"/>
            <c:invertIfNegative val="0"/>
            <c:bubble3D val="0"/>
            <c:extLst>
              <c:ext xmlns:c16="http://schemas.microsoft.com/office/drawing/2014/chart" uri="{C3380CC4-5D6E-409C-BE32-E72D297353CC}">
                <c16:uniqueId val="{00000013-033C-4530-84A9-991A3866ABD4}"/>
              </c:ext>
            </c:extLst>
          </c:dPt>
          <c:dPt>
            <c:idx val="11"/>
            <c:invertIfNegative val="0"/>
            <c:bubble3D val="0"/>
            <c:extLst>
              <c:ext xmlns:c16="http://schemas.microsoft.com/office/drawing/2014/chart" uri="{C3380CC4-5D6E-409C-BE32-E72D297353CC}">
                <c16:uniqueId val="{00000015-033C-4530-84A9-991A3866ABD4}"/>
              </c:ext>
            </c:extLst>
          </c:dPt>
          <c:dPt>
            <c:idx val="12"/>
            <c:invertIfNegative val="0"/>
            <c:bubble3D val="0"/>
            <c:extLst>
              <c:ext xmlns:c16="http://schemas.microsoft.com/office/drawing/2014/chart" uri="{C3380CC4-5D6E-409C-BE32-E72D297353CC}">
                <c16:uniqueId val="{00000017-033C-4530-84A9-991A3866ABD4}"/>
              </c:ext>
            </c:extLst>
          </c:dPt>
          <c:dPt>
            <c:idx val="13"/>
            <c:invertIfNegative val="0"/>
            <c:bubble3D val="0"/>
            <c:extLst>
              <c:ext xmlns:c16="http://schemas.microsoft.com/office/drawing/2014/chart" uri="{C3380CC4-5D6E-409C-BE32-E72D297353CC}">
                <c16:uniqueId val="{00000019-033C-4530-84A9-991A3866ABD4}"/>
              </c:ext>
            </c:extLst>
          </c:dPt>
          <c:dPt>
            <c:idx val="14"/>
            <c:invertIfNegative val="0"/>
            <c:bubble3D val="0"/>
            <c:extLst>
              <c:ext xmlns:c16="http://schemas.microsoft.com/office/drawing/2014/chart" uri="{C3380CC4-5D6E-409C-BE32-E72D297353CC}">
                <c16:uniqueId val="{0000001B-033C-4530-84A9-991A3866ABD4}"/>
              </c:ext>
            </c:extLst>
          </c:dPt>
          <c:dPt>
            <c:idx val="15"/>
            <c:invertIfNegative val="0"/>
            <c:bubble3D val="0"/>
            <c:extLst>
              <c:ext xmlns:c16="http://schemas.microsoft.com/office/drawing/2014/chart" uri="{C3380CC4-5D6E-409C-BE32-E72D297353CC}">
                <c16:uniqueId val="{0000001D-033C-4530-84A9-991A3866ABD4}"/>
              </c:ext>
            </c:extLst>
          </c:dPt>
          <c:dPt>
            <c:idx val="16"/>
            <c:invertIfNegative val="0"/>
            <c:bubble3D val="0"/>
            <c:extLst>
              <c:ext xmlns:c16="http://schemas.microsoft.com/office/drawing/2014/chart" uri="{C3380CC4-5D6E-409C-BE32-E72D297353CC}">
                <c16:uniqueId val="{0000001F-033C-4530-84A9-991A3866ABD4}"/>
              </c:ext>
            </c:extLst>
          </c:dPt>
          <c:dPt>
            <c:idx val="17"/>
            <c:invertIfNegative val="0"/>
            <c:bubble3D val="0"/>
            <c:extLst>
              <c:ext xmlns:c16="http://schemas.microsoft.com/office/drawing/2014/chart" uri="{C3380CC4-5D6E-409C-BE32-E72D297353CC}">
                <c16:uniqueId val="{00000021-033C-4530-84A9-991A3866ABD4}"/>
              </c:ext>
            </c:extLst>
          </c:dPt>
          <c:dPt>
            <c:idx val="18"/>
            <c:invertIfNegative val="0"/>
            <c:bubble3D val="0"/>
            <c:extLst>
              <c:ext xmlns:c16="http://schemas.microsoft.com/office/drawing/2014/chart" uri="{C3380CC4-5D6E-409C-BE32-E72D297353CC}">
                <c16:uniqueId val="{00000023-033C-4530-84A9-991A3866ABD4}"/>
              </c:ext>
            </c:extLst>
          </c:dPt>
          <c:dPt>
            <c:idx val="19"/>
            <c:invertIfNegative val="0"/>
            <c:bubble3D val="0"/>
            <c:extLst>
              <c:ext xmlns:c16="http://schemas.microsoft.com/office/drawing/2014/chart" uri="{C3380CC4-5D6E-409C-BE32-E72D297353CC}">
                <c16:uniqueId val="{00000025-033C-4530-84A9-991A3866ABD4}"/>
              </c:ext>
            </c:extLst>
          </c:dPt>
          <c:dPt>
            <c:idx val="20"/>
            <c:invertIfNegative val="0"/>
            <c:bubble3D val="0"/>
            <c:extLst>
              <c:ext xmlns:c16="http://schemas.microsoft.com/office/drawing/2014/chart" uri="{C3380CC4-5D6E-409C-BE32-E72D297353CC}">
                <c16:uniqueId val="{00000027-033C-4530-84A9-991A3866ABD4}"/>
              </c:ext>
            </c:extLst>
          </c:dPt>
          <c:dPt>
            <c:idx val="21"/>
            <c:invertIfNegative val="0"/>
            <c:bubble3D val="0"/>
            <c:extLst>
              <c:ext xmlns:c16="http://schemas.microsoft.com/office/drawing/2014/chart" uri="{C3380CC4-5D6E-409C-BE32-E72D297353CC}">
                <c16:uniqueId val="{00000029-033C-4530-84A9-991A3866ABD4}"/>
              </c:ext>
            </c:extLst>
          </c:dPt>
          <c:dPt>
            <c:idx val="22"/>
            <c:invertIfNegative val="0"/>
            <c:bubble3D val="0"/>
            <c:extLst>
              <c:ext xmlns:c16="http://schemas.microsoft.com/office/drawing/2014/chart" uri="{C3380CC4-5D6E-409C-BE32-E72D297353CC}">
                <c16:uniqueId val="{0000002B-033C-4530-84A9-991A3866ABD4}"/>
              </c:ext>
            </c:extLst>
          </c:dPt>
          <c:dLbls>
            <c:dLbl>
              <c:idx val="0"/>
              <c:tx>
                <c:rich>
                  <a:bodyPr/>
                  <a:lstStyle/>
                  <a:p>
                    <a:fld id="{8FF610D1-2F42-48C0-BB5A-EFB2A73362E6}" type="CELLRANGE">
                      <a:rPr lang="en-US" altLang="ja-JP"/>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C-033C-4530-84A9-991A3866ABD4}"/>
                </c:ext>
              </c:extLst>
            </c:dLbl>
            <c:dLbl>
              <c:idx val="1"/>
              <c:tx>
                <c:rich>
                  <a:bodyPr/>
                  <a:lstStyle/>
                  <a:p>
                    <a:fld id="{6221099D-81F8-44C6-913C-940E6CE817F2}" type="CELLRANGE">
                      <a:rPr lang="en-US" altLang="ja-JP"/>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033C-4530-84A9-991A3866ABD4}"/>
                </c:ext>
              </c:extLst>
            </c:dLbl>
            <c:dLbl>
              <c:idx val="2"/>
              <c:tx>
                <c:rich>
                  <a:bodyPr/>
                  <a:lstStyle/>
                  <a:p>
                    <a:fld id="{42BA81D7-06FD-40AF-82CF-92AD992C9AA8}" type="CELLRANGE">
                      <a:rPr lang="en-US" altLang="ja-JP"/>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033C-4530-84A9-991A3866ABD4}"/>
                </c:ext>
              </c:extLst>
            </c:dLbl>
            <c:dLbl>
              <c:idx val="3"/>
              <c:tx>
                <c:rich>
                  <a:bodyPr/>
                  <a:lstStyle/>
                  <a:p>
                    <a:fld id="{167086F9-6647-4392-BD96-A242818A238F}" type="CELLRANGE">
                      <a:rPr lang="ja-JP" alt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033C-4530-84A9-991A3866ABD4}"/>
                </c:ext>
              </c:extLst>
            </c:dLbl>
            <c:dLbl>
              <c:idx val="4"/>
              <c:tx>
                <c:rich>
                  <a:bodyPr/>
                  <a:lstStyle/>
                  <a:p>
                    <a:fld id="{96FE5894-3716-4511-A1EF-43AC1F274C9A}" type="CELLRANGE">
                      <a:rPr lang="ja-JP" alt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7-033C-4530-84A9-991A3866ABD4}"/>
                </c:ext>
              </c:extLst>
            </c:dLbl>
            <c:dLbl>
              <c:idx val="5"/>
              <c:tx>
                <c:rich>
                  <a:bodyPr/>
                  <a:lstStyle/>
                  <a:p>
                    <a:fld id="{E381BE5B-D4B6-47A4-A031-4D83132D7054}" type="CELLRANGE">
                      <a:rPr lang="ja-JP" alt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9-033C-4530-84A9-991A3866ABD4}"/>
                </c:ext>
              </c:extLst>
            </c:dLbl>
            <c:dLbl>
              <c:idx val="6"/>
              <c:tx>
                <c:rich>
                  <a:bodyPr/>
                  <a:lstStyle/>
                  <a:p>
                    <a:fld id="{369DBC20-8EF8-4CCA-A788-EB3AEFBA57A1}" type="CELLRANGE">
                      <a:rPr lang="ja-JP" alt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B-033C-4530-84A9-991A3866ABD4}"/>
                </c:ext>
              </c:extLst>
            </c:dLbl>
            <c:dLbl>
              <c:idx val="7"/>
              <c:tx>
                <c:rich>
                  <a:bodyPr/>
                  <a:lstStyle/>
                  <a:p>
                    <a:fld id="{41151480-5064-4554-921A-622002149254}" type="CELLRANGE">
                      <a:rPr lang="ja-JP" alt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D-033C-4530-84A9-991A3866ABD4}"/>
                </c:ext>
              </c:extLst>
            </c:dLbl>
            <c:dLbl>
              <c:idx val="8"/>
              <c:tx>
                <c:rich>
                  <a:bodyPr/>
                  <a:lstStyle/>
                  <a:p>
                    <a:fld id="{991ADF0D-5326-4172-9D5E-3F735580B853}" type="CELLRANGE">
                      <a:rPr lang="en-US" altLang="ja-JP"/>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F-033C-4530-84A9-991A3866ABD4}"/>
                </c:ext>
              </c:extLst>
            </c:dLbl>
            <c:dLbl>
              <c:idx val="9"/>
              <c:tx>
                <c:rich>
                  <a:bodyPr/>
                  <a:lstStyle/>
                  <a:p>
                    <a:fld id="{AE28C05D-E791-471D-94C4-3371C4E822A0}" type="CELLRANGE">
                      <a:rPr lang="en-US" altLang="ja-JP"/>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1-033C-4530-84A9-991A3866ABD4}"/>
                </c:ext>
              </c:extLst>
            </c:dLbl>
            <c:dLbl>
              <c:idx val="10"/>
              <c:tx>
                <c:rich>
                  <a:bodyPr/>
                  <a:lstStyle/>
                  <a:p>
                    <a:fld id="{B1F7EB80-BF5F-44D3-951E-E1888CFFC746}" type="CELLRANGE">
                      <a:rPr lang="en-US" altLang="ja-JP"/>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3-033C-4530-84A9-991A3866ABD4}"/>
                </c:ext>
              </c:extLst>
            </c:dLbl>
            <c:dLbl>
              <c:idx val="11"/>
              <c:tx>
                <c:rich>
                  <a:bodyPr/>
                  <a:lstStyle/>
                  <a:p>
                    <a:fld id="{62F95D51-BA8F-4A3F-AB0D-25763946D4B6}" type="CELLRANGE">
                      <a:rPr lang="en-US" altLang="ja-JP"/>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5-033C-4530-84A9-991A3866ABD4}"/>
                </c:ext>
              </c:extLst>
            </c:dLbl>
            <c:dLbl>
              <c:idx val="12"/>
              <c:tx>
                <c:rich>
                  <a:bodyPr/>
                  <a:lstStyle/>
                  <a:p>
                    <a:fld id="{D5AF8F92-E289-4248-90C2-FEF3FA606544}" type="CELLRANGE">
                      <a:rPr lang="en-US" altLang="ja-JP"/>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7-033C-4530-84A9-991A3866ABD4}"/>
                </c:ext>
              </c:extLst>
            </c:dLbl>
            <c:dLbl>
              <c:idx val="13"/>
              <c:tx>
                <c:rich>
                  <a:bodyPr/>
                  <a:lstStyle/>
                  <a:p>
                    <a:endParaRPr lang="en-US"/>
                  </a:p>
                </c:rich>
              </c:tx>
              <c:dLblPos val="outEnd"/>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9-033C-4530-84A9-991A3866ABD4}"/>
                </c:ext>
              </c:extLst>
            </c:dLbl>
            <c:dLbl>
              <c:idx val="14"/>
              <c:tx>
                <c:rich>
                  <a:bodyPr/>
                  <a:lstStyle/>
                  <a:p>
                    <a:fld id="{7B3A725D-4849-4CD1-AFA5-73138332699C}" type="CELLRANGE">
                      <a:rPr lang="ja-JP" alt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B-033C-4530-84A9-991A3866ABD4}"/>
                </c:ext>
              </c:extLst>
            </c:dLbl>
            <c:dLbl>
              <c:idx val="15"/>
              <c:tx>
                <c:rich>
                  <a:bodyPr/>
                  <a:lstStyle/>
                  <a:p>
                    <a:fld id="{3BCC9DD1-A074-4CF6-A7DF-0FC53C514076}" type="CELLRANGE">
                      <a:rPr lang="ja-JP" alt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D-033C-4530-84A9-991A3866ABD4}"/>
                </c:ext>
              </c:extLst>
            </c:dLbl>
            <c:dLbl>
              <c:idx val="16"/>
              <c:tx>
                <c:rich>
                  <a:bodyPr/>
                  <a:lstStyle/>
                  <a:p>
                    <a:fld id="{85259856-EDEB-4A48-B871-3B0F734580CF}" type="CELLRANGE">
                      <a:rPr lang="ja-JP" alt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F-033C-4530-84A9-991A3866ABD4}"/>
                </c:ext>
              </c:extLst>
            </c:dLbl>
            <c:dLbl>
              <c:idx val="17"/>
              <c:tx>
                <c:rich>
                  <a:bodyPr/>
                  <a:lstStyle/>
                  <a:p>
                    <a:fld id="{45840A36-CA0D-423A-B7F6-F59DCAECEAB0}" type="CELLRANGE">
                      <a:rPr lang="en-US" altLang="ja-JP"/>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1-033C-4530-84A9-991A3866ABD4}"/>
                </c:ext>
              </c:extLst>
            </c:dLbl>
            <c:dLbl>
              <c:idx val="18"/>
              <c:tx>
                <c:rich>
                  <a:bodyPr/>
                  <a:lstStyle/>
                  <a:p>
                    <a:fld id="{F5A2B0A0-D772-4D8B-8D00-21BB86029B48}" type="CELLRANGE">
                      <a:rPr lang="en-US" altLang="ja-JP"/>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3-033C-4530-84A9-991A3866ABD4}"/>
                </c:ext>
              </c:extLst>
            </c:dLbl>
            <c:dLbl>
              <c:idx val="19"/>
              <c:tx>
                <c:rich>
                  <a:bodyPr/>
                  <a:lstStyle/>
                  <a:p>
                    <a:fld id="{E7934D31-F893-4117-A2FB-92620C7A01BC}" type="CELLRANGE">
                      <a:rPr lang="en-US" altLang="ja-JP"/>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5-033C-4530-84A9-991A3866ABD4}"/>
                </c:ext>
              </c:extLst>
            </c:dLbl>
            <c:dLbl>
              <c:idx val="20"/>
              <c:tx>
                <c:rich>
                  <a:bodyPr/>
                  <a:lstStyle/>
                  <a:p>
                    <a:fld id="{C44E590E-9B4C-4BDE-9D89-C81880EA7FAC}" type="CELLRANGE">
                      <a:rPr lang="en-US" altLang="ja-JP"/>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7-033C-4530-84A9-991A3866ABD4}"/>
                </c:ext>
              </c:extLst>
            </c:dLbl>
            <c:dLbl>
              <c:idx val="21"/>
              <c:tx>
                <c:rich>
                  <a:bodyPr/>
                  <a:lstStyle/>
                  <a:p>
                    <a:fld id="{B31BA3D9-DEE2-48A7-A913-509522CC2E91}" type="CELLRANGE">
                      <a:rPr lang="en-US" altLang="ja-JP"/>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9-033C-4530-84A9-991A3866ABD4}"/>
                </c:ext>
              </c:extLst>
            </c:dLbl>
            <c:dLbl>
              <c:idx val="29"/>
              <c:tx>
                <c:rich>
                  <a:bodyPr/>
                  <a:lstStyle/>
                  <a:p>
                    <a:endParaRPr lang="en-US"/>
                  </a:p>
                </c:rich>
              </c:tx>
              <c:dLblPos val="outEnd"/>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3-033C-4530-84A9-991A3866ABD4}"/>
                </c:ext>
              </c:extLst>
            </c:dLbl>
            <c:spPr>
              <a:noFill/>
              <a:ln>
                <a:noFill/>
              </a:ln>
              <a:effectLst/>
            </c:spPr>
            <c:txPr>
              <a:bodyPr wrap="square" lIns="38100" tIns="19050" rIns="38100" bIns="19050" anchor="ctr">
                <a:spAutoFit/>
              </a:bodyPr>
              <a:lstStyle/>
              <a:p>
                <a:pPr>
                  <a:defRPr lang="ja-JP"/>
                </a:pPr>
                <a:endParaRPr lang="en-US"/>
              </a:p>
            </c:tx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ext>
            </c:extLst>
          </c:dLbls>
          <c:errBars>
            <c:errBarType val="both"/>
            <c:errValType val="cust"/>
            <c:noEndCap val="0"/>
            <c:plus>
              <c:numRef>
                <c:f>'pooled normalised values'!$B$76:$W$76</c:f>
                <c:numCache>
                  <c:formatCode>General</c:formatCode>
                  <c:ptCount val="22"/>
                  <c:pt idx="0">
                    <c:v>3.8465770258179884E-2</c:v>
                  </c:pt>
                  <c:pt idx="1">
                    <c:v>4.0030766024424534E-2</c:v>
                  </c:pt>
                  <c:pt idx="2">
                    <c:v>6.7782868412846267E-2</c:v>
                  </c:pt>
                  <c:pt idx="3">
                    <c:v>7.1652186500216555E-2</c:v>
                  </c:pt>
                  <c:pt idx="4">
                    <c:v>9.2333403054473601E-2</c:v>
                  </c:pt>
                  <c:pt idx="5">
                    <c:v>0.13275602935882616</c:v>
                  </c:pt>
                  <c:pt idx="6">
                    <c:v>0.19099504576695545</c:v>
                  </c:pt>
                  <c:pt idx="7">
                    <c:v>6.1902876885996383E-2</c:v>
                  </c:pt>
                  <c:pt idx="8">
                    <c:v>4.612874195066325E-2</c:v>
                  </c:pt>
                  <c:pt idx="9">
                    <c:v>4.9326604323405146E-2</c:v>
                  </c:pt>
                  <c:pt idx="10">
                    <c:v>3.0860899230654472E-2</c:v>
                  </c:pt>
                  <c:pt idx="11">
                    <c:v>3.7947626363480716E-2</c:v>
                  </c:pt>
                  <c:pt idx="12">
                    <c:v>0</c:v>
                  </c:pt>
                  <c:pt idx="14">
                    <c:v>6.7444153004062868E-2</c:v>
                  </c:pt>
                  <c:pt idx="15">
                    <c:v>0.14329939487350454</c:v>
                  </c:pt>
                  <c:pt idx="16">
                    <c:v>2.6342727251701083E-2</c:v>
                  </c:pt>
                  <c:pt idx="17">
                    <c:v>0.14234235980997545</c:v>
                  </c:pt>
                  <c:pt idx="18">
                    <c:v>8.5984708747683533E-2</c:v>
                  </c:pt>
                  <c:pt idx="19">
                    <c:v>8.1243982333086287E-2</c:v>
                  </c:pt>
                  <c:pt idx="20">
                    <c:v>0.10779645757934775</c:v>
                  </c:pt>
                  <c:pt idx="21">
                    <c:v>7.9934579484235505E-2</c:v>
                  </c:pt>
                </c:numCache>
              </c:numRef>
            </c:plus>
            <c:minus>
              <c:numRef>
                <c:f>'pooled normalised values'!$B$76:$W$76</c:f>
                <c:numCache>
                  <c:formatCode>General</c:formatCode>
                  <c:ptCount val="22"/>
                  <c:pt idx="0">
                    <c:v>3.8465770258179884E-2</c:v>
                  </c:pt>
                  <c:pt idx="1">
                    <c:v>4.0030766024424534E-2</c:v>
                  </c:pt>
                  <c:pt idx="2">
                    <c:v>6.7782868412846267E-2</c:v>
                  </c:pt>
                  <c:pt idx="3">
                    <c:v>7.1652186500216555E-2</c:v>
                  </c:pt>
                  <c:pt idx="4">
                    <c:v>9.2333403054473601E-2</c:v>
                  </c:pt>
                  <c:pt idx="5">
                    <c:v>0.13275602935882616</c:v>
                  </c:pt>
                  <c:pt idx="6">
                    <c:v>0.19099504576695545</c:v>
                  </c:pt>
                  <c:pt idx="7">
                    <c:v>6.1902876885996383E-2</c:v>
                  </c:pt>
                  <c:pt idx="8">
                    <c:v>4.612874195066325E-2</c:v>
                  </c:pt>
                  <c:pt idx="9">
                    <c:v>4.9326604323405146E-2</c:v>
                  </c:pt>
                  <c:pt idx="10">
                    <c:v>3.0860899230654472E-2</c:v>
                  </c:pt>
                  <c:pt idx="11">
                    <c:v>3.7947626363480716E-2</c:v>
                  </c:pt>
                  <c:pt idx="12">
                    <c:v>0</c:v>
                  </c:pt>
                  <c:pt idx="14">
                    <c:v>6.7444153004062868E-2</c:v>
                  </c:pt>
                  <c:pt idx="15">
                    <c:v>0.14329939487350454</c:v>
                  </c:pt>
                  <c:pt idx="16">
                    <c:v>2.6342727251701083E-2</c:v>
                  </c:pt>
                  <c:pt idx="17">
                    <c:v>0.14234235980997545</c:v>
                  </c:pt>
                  <c:pt idx="18">
                    <c:v>8.5984708747683533E-2</c:v>
                  </c:pt>
                  <c:pt idx="19">
                    <c:v>8.1243982333086287E-2</c:v>
                  </c:pt>
                  <c:pt idx="20">
                    <c:v>0.10779645757934775</c:v>
                  </c:pt>
                  <c:pt idx="21">
                    <c:v>7.9934579484235505E-2</c:v>
                  </c:pt>
                </c:numCache>
              </c:numRef>
            </c:minus>
          </c:errBars>
          <c:cat>
            <c:strRef>
              <c:f>'pooled normalised values'!$B$74:$W$74</c:f>
              <c:strCache>
                <c:ptCount val="22"/>
                <c:pt idx="0">
                  <c:v>Solvent control</c:v>
                </c:pt>
                <c:pt idx="1">
                  <c:v>EE2-33.8ng/L</c:v>
                </c:pt>
                <c:pt idx="2">
                  <c:v>EE2-50.6ng/L</c:v>
                </c:pt>
                <c:pt idx="3">
                  <c:v>EE2-76ng/L</c:v>
                </c:pt>
                <c:pt idx="4">
                  <c:v>EE2-114ng/L</c:v>
                </c:pt>
                <c:pt idx="5">
                  <c:v>EE2-170.9ng/L</c:v>
                </c:pt>
                <c:pt idx="6">
                  <c:v>EE2-488ng/L</c:v>
                </c:pt>
                <c:pt idx="7">
                  <c:v>tamoxifen-483ng/L</c:v>
                </c:pt>
                <c:pt idx="8">
                  <c:v>tamoxifen-242ng/L</c:v>
                </c:pt>
                <c:pt idx="9">
                  <c:v>tamoxifen-121ng/L</c:v>
                </c:pt>
                <c:pt idx="10">
                  <c:v>tamoxifen-60.4ng/L</c:v>
                </c:pt>
                <c:pt idx="11">
                  <c:v>tamoxifen-30.2ng/L</c:v>
                </c:pt>
                <c:pt idx="12">
                  <c:v>#REF!</c:v>
                </c:pt>
                <c:pt idx="14">
                  <c:v>Testo -30µg/L</c:v>
                </c:pt>
                <c:pt idx="15">
                  <c:v>Testo 30µg/L + EE2 -64ng/L</c:v>
                </c:pt>
                <c:pt idx="16">
                  <c:v>Testo 30µg/L + FAD-10mg/L</c:v>
                </c:pt>
                <c:pt idx="17">
                  <c:v>tamoxifen-483ng/L + Testostérone</c:v>
                </c:pt>
                <c:pt idx="18">
                  <c:v>tamoxifen-242ng/L + Testostérone</c:v>
                </c:pt>
                <c:pt idx="19">
                  <c:v>tamoxifen-121ng/L + Testostérone</c:v>
                </c:pt>
                <c:pt idx="20">
                  <c:v>tamoxifen-60.4ng/L + Testostérone</c:v>
                </c:pt>
                <c:pt idx="21">
                  <c:v>tamoxifen-30.2ng/L + Testostérone</c:v>
                </c:pt>
              </c:strCache>
            </c:strRef>
          </c:cat>
          <c:val>
            <c:numRef>
              <c:f>'pooled normalised values'!$B$75:$W$75</c:f>
              <c:numCache>
                <c:formatCode>0.0000</c:formatCode>
                <c:ptCount val="22"/>
                <c:pt idx="0">
                  <c:v>0.21773378382887928</c:v>
                </c:pt>
                <c:pt idx="1">
                  <c:v>0.30547670314228453</c:v>
                </c:pt>
                <c:pt idx="2">
                  <c:v>0.56746345092438555</c:v>
                </c:pt>
                <c:pt idx="3">
                  <c:v>1.0615174072180609</c:v>
                </c:pt>
                <c:pt idx="4">
                  <c:v>1.5840662951240143</c:v>
                </c:pt>
                <c:pt idx="5">
                  <c:v>1.9948840714009526</c:v>
                </c:pt>
                <c:pt idx="6">
                  <c:v>2.6272321816788082</c:v>
                </c:pt>
                <c:pt idx="7">
                  <c:v>0.6953552499601976</c:v>
                </c:pt>
                <c:pt idx="8">
                  <c:v>0.26764762269663178</c:v>
                </c:pt>
                <c:pt idx="9">
                  <c:v>0.30143597596096822</c:v>
                </c:pt>
                <c:pt idx="10">
                  <c:v>0.16919507683896765</c:v>
                </c:pt>
                <c:pt idx="11">
                  <c:v>0.24066730917389489</c:v>
                </c:pt>
                <c:pt idx="12">
                  <c:v>0</c:v>
                </c:pt>
                <c:pt idx="14">
                  <c:v>1.0000000000000002</c:v>
                </c:pt>
                <c:pt idx="15">
                  <c:v>1.753901341194062</c:v>
                </c:pt>
                <c:pt idx="16">
                  <c:v>0.17331318663217754</c:v>
                </c:pt>
                <c:pt idx="17">
                  <c:v>1.4381656402616647</c:v>
                </c:pt>
                <c:pt idx="18">
                  <c:v>0.90979044537945597</c:v>
                </c:pt>
                <c:pt idx="19">
                  <c:v>1.0564124202428318</c:v>
                </c:pt>
                <c:pt idx="20">
                  <c:v>0.94472689083821937</c:v>
                </c:pt>
                <c:pt idx="21">
                  <c:v>0.84585366660483408</c:v>
                </c:pt>
              </c:numCache>
            </c:numRef>
          </c:val>
          <c:extLst>
            <c:ext xmlns:c15="http://schemas.microsoft.com/office/drawing/2012/chart" uri="{02D57815-91ED-43cb-92C2-25804820EDAC}">
              <c15:datalabelsRange>
                <c15:f>'pooled normalised values'!$B$83:$W$83</c15:f>
                <c15:dlblRangeCache>
                  <c:ptCount val="22"/>
                  <c:pt idx="1">
                    <c:v>ns</c:v>
                  </c:pt>
                  <c:pt idx="2">
                    <c:v>ns</c:v>
                  </c:pt>
                  <c:pt idx="3">
                    <c:v>****</c:v>
                  </c:pt>
                  <c:pt idx="4">
                    <c:v>****</c:v>
                  </c:pt>
                  <c:pt idx="5">
                    <c:v>****</c:v>
                  </c:pt>
                  <c:pt idx="6">
                    <c:v>****</c:v>
                  </c:pt>
                  <c:pt idx="7">
                    <c:v>****</c:v>
                  </c:pt>
                  <c:pt idx="8">
                    <c:v>ns</c:v>
                  </c:pt>
                  <c:pt idx="9">
                    <c:v>ns</c:v>
                  </c:pt>
                  <c:pt idx="10">
                    <c:v>ns</c:v>
                  </c:pt>
                  <c:pt idx="11">
                    <c:v>ns</c:v>
                  </c:pt>
                  <c:pt idx="12">
                    <c:v>#NAME?</c:v>
                  </c:pt>
                  <c:pt idx="14">
                    <c:v>****</c:v>
                  </c:pt>
                  <c:pt idx="15">
                    <c:v>****</c:v>
                  </c:pt>
                  <c:pt idx="16">
                    <c:v>****</c:v>
                  </c:pt>
                  <c:pt idx="17">
                    <c:v>ns</c:v>
                  </c:pt>
                  <c:pt idx="18">
                    <c:v>ns</c:v>
                  </c:pt>
                  <c:pt idx="19">
                    <c:v>ns</c:v>
                  </c:pt>
                  <c:pt idx="20">
                    <c:v>ns</c:v>
                  </c:pt>
                  <c:pt idx="21">
                    <c:v>ns</c:v>
                  </c:pt>
                </c15:dlblRangeCache>
              </c15:datalabelsRange>
            </c:ext>
            <c:ext xmlns:c16="http://schemas.microsoft.com/office/drawing/2014/chart" uri="{C3380CC4-5D6E-409C-BE32-E72D297353CC}">
              <c16:uniqueId val="{0000004B-033C-4530-84A9-991A3866ABD4}"/>
            </c:ext>
          </c:extLst>
        </c:ser>
        <c:dLbls>
          <c:showLegendKey val="0"/>
          <c:showVal val="0"/>
          <c:showCatName val="0"/>
          <c:showSerName val="0"/>
          <c:showPercent val="0"/>
          <c:showBubbleSize val="0"/>
        </c:dLbls>
        <c:gapWidth val="150"/>
        <c:axId val="434374272"/>
        <c:axId val="434374664"/>
      </c:barChart>
      <c:catAx>
        <c:axId val="434374272"/>
        <c:scaling>
          <c:orientation val="minMax"/>
        </c:scaling>
        <c:delete val="0"/>
        <c:axPos val="b"/>
        <c:numFmt formatCode="General" sourceLinked="0"/>
        <c:majorTickMark val="out"/>
        <c:minorTickMark val="none"/>
        <c:tickLblPos val="nextTo"/>
        <c:txPr>
          <a:bodyPr rot="-2700000"/>
          <a:lstStyle/>
          <a:p>
            <a:pPr>
              <a:defRPr lang="en-GB" sz="1000"/>
            </a:pPr>
            <a:endParaRPr lang="en-US"/>
          </a:p>
        </c:txPr>
        <c:crossAx val="434374664"/>
        <c:crosses val="autoZero"/>
        <c:auto val="1"/>
        <c:lblAlgn val="ctr"/>
        <c:lblOffset val="100"/>
        <c:noMultiLvlLbl val="0"/>
      </c:catAx>
      <c:valAx>
        <c:axId val="434374664"/>
        <c:scaling>
          <c:orientation val="minMax"/>
          <c:min val="0"/>
        </c:scaling>
        <c:delete val="0"/>
        <c:axPos val="l"/>
        <c:majorGridlines/>
        <c:title>
          <c:tx>
            <c:rich>
              <a:bodyPr rot="-5400000" vert="horz"/>
              <a:lstStyle/>
              <a:p>
                <a:pPr>
                  <a:defRPr lang="en-GB" sz="1400"/>
                </a:pPr>
                <a:r>
                  <a:rPr lang="en-US" sz="1400"/>
                  <a:t>fluorescence totale (unités arbitraires)</a:t>
                </a:r>
              </a:p>
            </c:rich>
          </c:tx>
          <c:overlay val="0"/>
        </c:title>
        <c:numFmt formatCode="0.0" sourceLinked="0"/>
        <c:majorTickMark val="out"/>
        <c:minorTickMark val="none"/>
        <c:tickLblPos val="nextTo"/>
        <c:txPr>
          <a:bodyPr/>
          <a:lstStyle/>
          <a:p>
            <a:pPr>
              <a:defRPr lang="en-GB"/>
            </a:pPr>
            <a:endParaRPr lang="en-US"/>
          </a:p>
        </c:txPr>
        <c:crossAx val="434374272"/>
        <c:crosses val="autoZero"/>
        <c:crossBetween val="between"/>
      </c:valAx>
    </c:plotArea>
    <c:plotVisOnly val="1"/>
    <c:dispBlanksAs val="gap"/>
    <c:showDLblsOverMax val="0"/>
  </c:chart>
</c:chartSpace>
</file>

<file path=xl/chart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chartsheets/_rels/sheet2.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chartsheets/_rels/sheet3.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7.bin"/></Relationships>
</file>

<file path=xl/chartsheets/_rels/sheet4.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9.bin"/></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400-000000000000}">
  <sheetPr/>
  <sheetViews>
    <sheetView zoomScale="79" workbookViewId="0" zoomToFit="1"/>
  </sheetViews>
  <pageMargins left="0.7" right="0.7" top="0.75" bottom="0.75" header="0.3" footer="0.3"/>
  <pageSetup paperSize="9" orientation="landscape" r:id="rId1"/>
  <headerFooter>
    <oddFooter>&amp;C&amp;1#&amp;"Arial"&amp;10&amp;K000000Internal</oddFooter>
  </headerFooter>
  <drawing r:id="rId2"/>
</chartsheet>
</file>

<file path=xl/chartsheets/sheet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700-000000000000}">
  <sheetPr/>
  <sheetViews>
    <sheetView zoomScale="70" workbookViewId="0" zoomToFit="1"/>
  </sheetViews>
  <pageMargins left="0.7" right="0.7" top="0.75" bottom="0.75" header="0.3" footer="0.3"/>
  <pageSetup paperSize="9" orientation="landscape" r:id="rId1"/>
  <headerFooter>
    <oddFooter>&amp;C&amp;1#&amp;"Arial"&amp;10&amp;K000000Internal</oddFooter>
  </headerFooter>
  <drawing r:id="rId2"/>
</chartsheet>
</file>

<file path=xl/chartsheets/sheet3.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A00-000000000000}">
  <sheetPr/>
  <sheetViews>
    <sheetView zoomScale="75" workbookViewId="0" zoomToFit="1"/>
  </sheetViews>
  <pageMargins left="0.7" right="0.7" top="0.75" bottom="0.75" header="0.3" footer="0.3"/>
  <pageSetup paperSize="9" orientation="landscape" r:id="rId1"/>
  <headerFooter>
    <oddFooter>&amp;C&amp;1#&amp;"Arial"&amp;10&amp;K000000Internal</oddFooter>
  </headerFooter>
  <drawing r:id="rId2"/>
</chartsheet>
</file>

<file path=xl/chartsheets/sheet4.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C00-000000000000}">
  <sheetPr/>
  <sheetViews>
    <sheetView zoomScale="75" workbookViewId="0" zoomToFit="1"/>
  </sheetViews>
  <pageMargins left="0.7" right="0.7" top="0.75" bottom="0.75" header="0.3" footer="0.3"/>
  <pageSetup paperSize="9" orientation="landscape" r:id="rId1"/>
  <headerFooter>
    <oddFooter>&amp;C&amp;1#&amp;"Arial"&amp;10&amp;K000000Internal</oddFooter>
  </headerFooter>
  <drawing r:id="rId2"/>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_rels/drawing7.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absoluteAnchor>
    <xdr:pos x="0" y="0"/>
    <xdr:ext cx="9293311" cy="6066824"/>
    <xdr:graphicFrame macro="">
      <xdr:nvGraphicFramePr>
        <xdr:cNvPr id="2" name="Graphique 1">
          <a:extLst>
            <a:ext uri="{FF2B5EF4-FFF2-40B4-BE49-F238E27FC236}">
              <a16:creationId xmlns:a16="http://schemas.microsoft.com/office/drawing/2014/main" id="{00000000-0008-0000-03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c:userShapes xmlns:c="http://schemas.openxmlformats.org/drawingml/2006/chart">
  <cdr:relSizeAnchor xmlns:cdr="http://schemas.openxmlformats.org/drawingml/2006/chartDrawing">
    <cdr:from>
      <cdr:x>0.42494</cdr:x>
      <cdr:y>0.01696</cdr:y>
    </cdr:from>
    <cdr:to>
      <cdr:x>0.59244</cdr:x>
      <cdr:y>0.10431</cdr:y>
    </cdr:to>
    <cdr:sp macro="" textlink="">
      <cdr:nvSpPr>
        <cdr:cNvPr id="2" name="ZoneTexte 1"/>
        <cdr:cNvSpPr txBox="1"/>
      </cdr:nvSpPr>
      <cdr:spPr>
        <a:xfrm xmlns:a="http://schemas.openxmlformats.org/drawingml/2006/main">
          <a:off x="3954923" y="103035"/>
          <a:ext cx="1558925" cy="530658"/>
        </a:xfrm>
        <a:prstGeom xmlns:a="http://schemas.openxmlformats.org/drawingml/2006/main" prst="rect">
          <a:avLst/>
        </a:prstGeom>
      </cdr:spPr>
      <cdr:txBody>
        <a:bodyPr xmlns:a="http://schemas.openxmlformats.org/drawingml/2006/main" vertOverflow="clip" horzOverflow="clip" wrap="square" rtlCol="0">
          <a:spAutoFit/>
        </a:bodyPr>
        <a:lstStyle xmlns:a="http://schemas.openxmlformats.org/drawingml/2006/main"/>
        <a:p xmlns:a="http://schemas.openxmlformats.org/drawingml/2006/main">
          <a:pPr algn="ctr"/>
          <a:r>
            <a:rPr lang="fr-FR" sz="1400" b="1"/>
            <a:t>tamoxifen run1</a:t>
          </a:r>
        </a:p>
        <a:p xmlns:a="http://schemas.openxmlformats.org/drawingml/2006/main">
          <a:pPr algn="ctr"/>
          <a:r>
            <a:rPr lang="fr-FR" sz="1400" b="1"/>
            <a:t>20210716</a:t>
          </a:r>
        </a:p>
      </cdr:txBody>
    </cdr:sp>
  </cdr:relSizeAnchor>
</c:userShapes>
</file>

<file path=xl/drawings/drawing3.xml><?xml version="1.0" encoding="utf-8"?>
<xdr:wsDr xmlns:xdr="http://schemas.openxmlformats.org/drawingml/2006/spreadsheetDrawing" xmlns:a="http://schemas.openxmlformats.org/drawingml/2006/main">
  <xdr:absoluteAnchor>
    <xdr:pos x="0" y="0"/>
    <xdr:ext cx="9289143" cy="6059714"/>
    <xdr:graphicFrame macro="">
      <xdr:nvGraphicFramePr>
        <xdr:cNvPr id="2" name="Graphique 1">
          <a:extLst>
            <a:ext uri="{FF2B5EF4-FFF2-40B4-BE49-F238E27FC236}">
              <a16:creationId xmlns:a16="http://schemas.microsoft.com/office/drawing/2014/main" id="{00000000-0008-0000-06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4.xml><?xml version="1.0" encoding="utf-8"?>
<c:userShapes xmlns:c="http://schemas.openxmlformats.org/drawingml/2006/chart">
  <cdr:relSizeAnchor xmlns:cdr="http://schemas.openxmlformats.org/drawingml/2006/chartDrawing">
    <cdr:from>
      <cdr:x>0.37494</cdr:x>
      <cdr:y>0.01504</cdr:y>
    </cdr:from>
    <cdr:to>
      <cdr:x>0.5575</cdr:x>
      <cdr:y>0.10239</cdr:y>
    </cdr:to>
    <cdr:sp macro="" textlink="">
      <cdr:nvSpPr>
        <cdr:cNvPr id="2" name="ZoneTexte 1"/>
        <cdr:cNvSpPr txBox="1"/>
      </cdr:nvSpPr>
      <cdr:spPr>
        <a:xfrm xmlns:a="http://schemas.openxmlformats.org/drawingml/2006/main">
          <a:off x="3489572" y="91370"/>
          <a:ext cx="1699089" cy="530658"/>
        </a:xfrm>
        <a:prstGeom xmlns:a="http://schemas.openxmlformats.org/drawingml/2006/main" prst="rect">
          <a:avLst/>
        </a:prstGeom>
      </cdr:spPr>
      <cdr:txBody>
        <a:bodyPr xmlns:a="http://schemas.openxmlformats.org/drawingml/2006/main" vertOverflow="clip" horzOverflow="clip" wrap="square" rtlCol="0">
          <a:spAutoFit/>
        </a:bodyPr>
        <a:lstStyle xmlns:a="http://schemas.openxmlformats.org/drawingml/2006/main"/>
        <a:p xmlns:a="http://schemas.openxmlformats.org/drawingml/2006/main">
          <a:pPr algn="ctr"/>
          <a:r>
            <a:rPr lang="fr-FR" sz="1400" b="1"/>
            <a:t>tamoxifen</a:t>
          </a:r>
          <a:r>
            <a:rPr lang="fr-FR" sz="1400" b="1" baseline="0"/>
            <a:t> run2</a:t>
          </a:r>
        </a:p>
        <a:p xmlns:a="http://schemas.openxmlformats.org/drawingml/2006/main">
          <a:pPr algn="ctr"/>
          <a:r>
            <a:rPr lang="fr-FR" sz="1400" b="1" baseline="0"/>
            <a:t>20210730</a:t>
          </a:r>
          <a:endParaRPr lang="fr-FR" sz="1400" b="1"/>
        </a:p>
      </cdr:txBody>
    </cdr:sp>
  </cdr:relSizeAnchor>
</c:userShapes>
</file>

<file path=xl/drawings/drawing5.xml><?xml version="1.0" encoding="utf-8"?>
<xdr:wsDr xmlns:xdr="http://schemas.openxmlformats.org/drawingml/2006/spreadsheetDrawing" xmlns:a="http://schemas.openxmlformats.org/drawingml/2006/main">
  <xdr:absoluteAnchor>
    <xdr:pos x="0" y="0"/>
    <xdr:ext cx="9289143" cy="6059714"/>
    <xdr:graphicFrame macro="">
      <xdr:nvGraphicFramePr>
        <xdr:cNvPr id="2" name="Graphique 1">
          <a:extLst>
            <a:ext uri="{FF2B5EF4-FFF2-40B4-BE49-F238E27FC236}">
              <a16:creationId xmlns:a16="http://schemas.microsoft.com/office/drawing/2014/main" id="{00000000-0008-0000-09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6.xml><?xml version="1.0" encoding="utf-8"?>
<c:userShapes xmlns:c="http://schemas.openxmlformats.org/drawingml/2006/chart">
  <cdr:relSizeAnchor xmlns:cdr="http://schemas.openxmlformats.org/drawingml/2006/chartDrawing">
    <cdr:from>
      <cdr:x>0.4166</cdr:x>
      <cdr:y>0.02635</cdr:y>
    </cdr:from>
    <cdr:to>
      <cdr:x>0.59916</cdr:x>
      <cdr:y>0.1137</cdr:y>
    </cdr:to>
    <cdr:sp macro="" textlink="">
      <cdr:nvSpPr>
        <cdr:cNvPr id="5" name="ZoneTexte 1">
          <a:extLst xmlns:a="http://schemas.openxmlformats.org/drawingml/2006/main">
            <a:ext uri="{FF2B5EF4-FFF2-40B4-BE49-F238E27FC236}">
              <a16:creationId xmlns:a16="http://schemas.microsoft.com/office/drawing/2014/main" id="{F3DC3432-7651-4223-B982-DD12189A0519}"/>
            </a:ext>
          </a:extLst>
        </cdr:cNvPr>
        <cdr:cNvSpPr txBox="1"/>
      </cdr:nvSpPr>
      <cdr:spPr>
        <a:xfrm xmlns:a="http://schemas.openxmlformats.org/drawingml/2006/main">
          <a:off x="3869871" y="159657"/>
          <a:ext cx="1695826" cy="529316"/>
        </a:xfrm>
        <a:prstGeom xmlns:a="http://schemas.openxmlformats.org/drawingml/2006/main" prst="rect">
          <a:avLst/>
        </a:prstGeom>
      </cdr:spPr>
      <cdr:txBody>
        <a:bodyPr xmlns:a="http://schemas.openxmlformats.org/drawingml/2006/main"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fr-FR" sz="1400" b="1"/>
            <a:t>tamoxifen</a:t>
          </a:r>
          <a:r>
            <a:rPr lang="fr-FR" sz="1400" b="1" baseline="0"/>
            <a:t> run3</a:t>
          </a:r>
        </a:p>
        <a:p xmlns:a="http://schemas.openxmlformats.org/drawingml/2006/main">
          <a:pPr algn="ctr"/>
          <a:r>
            <a:rPr lang="fr-FR" sz="1400" b="1" baseline="0"/>
            <a:t>20210902</a:t>
          </a:r>
          <a:endParaRPr lang="fr-FR" sz="1400" b="1"/>
        </a:p>
      </cdr:txBody>
    </cdr:sp>
  </cdr:relSizeAnchor>
</c:userShapes>
</file>

<file path=xl/drawings/drawing7.xml><?xml version="1.0" encoding="utf-8"?>
<xdr:wsDr xmlns:xdr="http://schemas.openxmlformats.org/drawingml/2006/spreadsheetDrawing" xmlns:a="http://schemas.openxmlformats.org/drawingml/2006/main">
  <xdr:absoluteAnchor>
    <xdr:pos x="0" y="0"/>
    <xdr:ext cx="9296400" cy="6070600"/>
    <xdr:graphicFrame macro="">
      <xdr:nvGraphicFramePr>
        <xdr:cNvPr id="2" name="Graphique 1">
          <a:extLst>
            <a:ext uri="{FF2B5EF4-FFF2-40B4-BE49-F238E27FC236}">
              <a16:creationId xmlns:a16="http://schemas.microsoft.com/office/drawing/2014/main" id="{00000000-0008-0000-0B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RealStats/RealStats%202013%202016.xla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fig"/>
      <sheetName val="Wilcoxon Table"/>
      <sheetName val="Mann Table"/>
      <sheetName val="Runs Table"/>
      <sheetName val="KS Table"/>
      <sheetName val="KS2 Table"/>
      <sheetName val="Lil Table"/>
      <sheetName val="AD Table"/>
      <sheetName val="SW Table"/>
      <sheetName val="Stud. Q Table"/>
      <sheetName val="Stud. Q Table 2"/>
      <sheetName val="Sp Rho Table"/>
      <sheetName val="Ken Tau Table"/>
      <sheetName val="Durbin Table"/>
      <sheetName val="Dunnett Table"/>
      <sheetName val="Prime"/>
      <sheetName val="RealStats 2013 2016"/>
    </sheetNames>
    <definedNames>
      <definedName name="DPTEST"/>
      <definedName name="MTEST"/>
      <definedName name="SWTEST"/>
    </defined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liste_groupe" displayName="liste_groupe" ref="A6:F57" totalsRowShown="0" headerRowDxfId="8" dataDxfId="7" tableBorderDxfId="6">
  <autoFilter ref="A6:F57" xr:uid="{00000000-0009-0000-0100-000001000000}"/>
  <tableColumns count="6">
    <tableColumn id="4" xr3:uid="{00000000-0010-0000-0000-000004000000}" name="Do not fill in" dataDxfId="5">
      <calculatedColumnFormula>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calculatedColumnFormula>
    </tableColumn>
    <tableColumn id="1" xr3:uid="{00000000-0010-0000-0000-000001000000}" name="Do not fill in2" dataDxfId="4">
      <calculatedColumnFormula>A2</calculatedColumnFormula>
    </tableColumn>
    <tableColumn id="2" xr3:uid="{00000000-0010-0000-0000-000002000000}" name="Concentration" dataDxfId="3">
      <calculatedColumnFormula>B2</calculatedColumnFormula>
    </tableColumn>
    <tableColumn id="10" xr3:uid="{00000000-0010-0000-0000-00000A000000}" name="Units" dataDxfId="2"/>
    <tableColumn id="3" xr3:uid="{00000000-0010-0000-0000-000003000000}" name="Chemical name" dataDxfId="1">
      <calculatedColumnFormula>C2</calculatedColumnFormula>
    </tableColumn>
    <tableColumn id="9" xr3:uid="{00000000-0010-0000-0000-000009000000}" name="Do not fill in3" dataDxfId="0"/>
  </tableColumns>
  <tableStyleInfo name="TableStyleLight15"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I57"/>
  <sheetViews>
    <sheetView showGridLines="0" topLeftCell="A16" zoomScale="55" zoomScaleNormal="55" workbookViewId="0">
      <selection activeCell="C19" sqref="C19"/>
    </sheetView>
  </sheetViews>
  <sheetFormatPr defaultColWidth="11" defaultRowHeight="39" customHeight="1"/>
  <cols>
    <col min="1" max="1" width="42" bestFit="1" customWidth="1"/>
    <col min="2" max="2" width="33.85546875" style="28" bestFit="1" customWidth="1"/>
    <col min="3" max="3" width="21.28515625" customWidth="1"/>
    <col min="4" max="4" width="30.42578125" customWidth="1"/>
    <col min="5" max="5" width="62.28515625" style="89" bestFit="1" customWidth="1"/>
    <col min="6" max="6" width="56.7109375" bestFit="1" customWidth="1"/>
    <col min="7" max="7" width="19.42578125" customWidth="1"/>
    <col min="8" max="8" width="15.28515625" customWidth="1"/>
    <col min="9" max="9" width="18" customWidth="1"/>
    <col min="10" max="10" width="19.42578125" bestFit="1" customWidth="1"/>
  </cols>
  <sheetData>
    <row r="1" spans="1:9" ht="39" customHeight="1" thickBot="1">
      <c r="A1" s="123"/>
      <c r="B1" s="124"/>
      <c r="C1" s="124"/>
      <c r="D1" s="124"/>
      <c r="E1" s="124"/>
      <c r="F1" s="124"/>
      <c r="G1" s="124"/>
      <c r="H1" s="124"/>
      <c r="I1" s="125"/>
    </row>
    <row r="2" spans="1:9" ht="21.75" thickBot="1">
      <c r="A2" s="108" t="s">
        <v>8</v>
      </c>
      <c r="B2" s="27" t="s">
        <v>57</v>
      </c>
      <c r="C2" s="126"/>
      <c r="D2" s="127"/>
      <c r="E2" s="27" t="s">
        <v>68</v>
      </c>
      <c r="F2" s="138"/>
      <c r="G2" s="139"/>
      <c r="H2" s="139"/>
      <c r="I2" s="140"/>
    </row>
    <row r="3" spans="1:9" ht="21.75" thickBot="1">
      <c r="A3" s="109" t="s">
        <v>9</v>
      </c>
      <c r="B3" s="27" t="s">
        <v>57</v>
      </c>
      <c r="C3" s="128"/>
      <c r="D3" s="129"/>
      <c r="E3" s="27" t="s">
        <v>69</v>
      </c>
      <c r="F3" s="135"/>
      <c r="G3" s="136"/>
      <c r="H3" s="136"/>
      <c r="I3" s="137"/>
    </row>
    <row r="4" spans="1:9" ht="21.75" thickBot="1">
      <c r="A4" s="110" t="s">
        <v>12</v>
      </c>
      <c r="B4" s="27" t="s">
        <v>57</v>
      </c>
      <c r="C4" s="130"/>
      <c r="D4" s="131"/>
      <c r="E4" s="27" t="s">
        <v>73</v>
      </c>
      <c r="F4" s="132"/>
      <c r="G4" s="133"/>
      <c r="H4" s="133"/>
      <c r="I4" s="134"/>
    </row>
    <row r="5" spans="1:9" s="1" customFormat="1" ht="65.25" customHeight="1" thickBot="1">
      <c r="A5" s="123" t="s">
        <v>18</v>
      </c>
      <c r="B5" s="124"/>
      <c r="C5" s="124"/>
      <c r="D5" s="124"/>
      <c r="E5" s="124"/>
      <c r="F5" s="124"/>
      <c r="G5" s="124"/>
      <c r="H5" s="124"/>
      <c r="I5" s="125"/>
    </row>
    <row r="6" spans="1:9" s="68" customFormat="1" ht="39" customHeight="1">
      <c r="A6" s="58" t="s">
        <v>58</v>
      </c>
      <c r="B6" s="59" t="s">
        <v>59</v>
      </c>
      <c r="C6" s="47" t="s">
        <v>10</v>
      </c>
      <c r="D6" s="47" t="s">
        <v>60</v>
      </c>
      <c r="E6" s="86" t="s">
        <v>61</v>
      </c>
      <c r="F6" s="67" t="s">
        <v>62</v>
      </c>
    </row>
    <row r="7" spans="1:9" s="95" customFormat="1" ht="39" customHeight="1">
      <c r="A7" s="90"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Solvent control</v>
      </c>
      <c r="B7" s="91" t="s">
        <v>50</v>
      </c>
      <c r="C7" s="92">
        <v>0</v>
      </c>
      <c r="D7" s="93"/>
      <c r="E7" s="94" t="s">
        <v>64</v>
      </c>
      <c r="F7" s="69"/>
    </row>
    <row r="8" spans="1:9" s="95" customFormat="1" ht="39" customHeight="1">
      <c r="A8" s="90"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EE2-33.8ng/L</v>
      </c>
      <c r="B8" s="91" t="s">
        <v>50</v>
      </c>
      <c r="C8" s="92" t="s">
        <v>65</v>
      </c>
      <c r="D8" s="93" t="s">
        <v>51</v>
      </c>
      <c r="E8" s="94" t="s">
        <v>52</v>
      </c>
      <c r="F8" s="69"/>
    </row>
    <row r="9" spans="1:9" s="95" customFormat="1" ht="39" customHeight="1">
      <c r="A9" s="90"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EE2-50.6ng/L</v>
      </c>
      <c r="B9" s="91" t="s">
        <v>50</v>
      </c>
      <c r="C9" s="92" t="s">
        <v>66</v>
      </c>
      <c r="D9" s="93" t="s">
        <v>51</v>
      </c>
      <c r="E9" s="94" t="s">
        <v>52</v>
      </c>
      <c r="F9" s="69"/>
    </row>
    <row r="10" spans="1:9" s="95" customFormat="1" ht="39" customHeight="1">
      <c r="A10" s="90"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EE2-76ng/L</v>
      </c>
      <c r="B10" s="91" t="s">
        <v>50</v>
      </c>
      <c r="C10" s="92">
        <v>76</v>
      </c>
      <c r="D10" s="93" t="s">
        <v>51</v>
      </c>
      <c r="E10" s="94" t="s">
        <v>52</v>
      </c>
      <c r="F10" s="69"/>
    </row>
    <row r="11" spans="1:9" s="95" customFormat="1" ht="39" customHeight="1">
      <c r="A11" s="90"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EE2-114ng/L</v>
      </c>
      <c r="B11" s="91" t="s">
        <v>50</v>
      </c>
      <c r="C11" s="92">
        <v>114</v>
      </c>
      <c r="D11" s="93" t="s">
        <v>51</v>
      </c>
      <c r="E11" s="94" t="s">
        <v>52</v>
      </c>
      <c r="F11" s="69"/>
    </row>
    <row r="12" spans="1:9" s="95" customFormat="1" ht="39" customHeight="1">
      <c r="A12" s="90"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EE2-170.9ng/L</v>
      </c>
      <c r="B12" s="91" t="s">
        <v>50</v>
      </c>
      <c r="C12" s="92" t="s">
        <v>67</v>
      </c>
      <c r="D12" s="93" t="s">
        <v>51</v>
      </c>
      <c r="E12" s="94" t="s">
        <v>52</v>
      </c>
      <c r="F12" s="69"/>
    </row>
    <row r="13" spans="1:9" s="95" customFormat="1" ht="39" customHeight="1">
      <c r="A13" s="90"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EE2-488ng/L</v>
      </c>
      <c r="B13" s="91" t="s">
        <v>50</v>
      </c>
      <c r="C13" s="92">
        <v>488</v>
      </c>
      <c r="D13" s="93" t="s">
        <v>51</v>
      </c>
      <c r="E13" s="94" t="s">
        <v>52</v>
      </c>
      <c r="F13" s="69"/>
    </row>
    <row r="14" spans="1:9" s="95" customFormat="1" ht="39" customHeight="1">
      <c r="A14" s="90"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tamoxifen-483ng/L</v>
      </c>
      <c r="B14" s="91" t="s">
        <v>63</v>
      </c>
      <c r="C14" s="92">
        <v>483</v>
      </c>
      <c r="D14" s="93" t="s">
        <v>74</v>
      </c>
      <c r="E14" s="94" t="s">
        <v>75</v>
      </c>
      <c r="F14" s="69"/>
    </row>
    <row r="15" spans="1:9" s="70" customFormat="1" ht="39" customHeight="1">
      <c r="A15" s="48"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tamoxifen-242ng/L</v>
      </c>
      <c r="B15" s="91" t="s">
        <v>63</v>
      </c>
      <c r="C15" s="64">
        <v>242</v>
      </c>
      <c r="D15" s="93" t="s">
        <v>74</v>
      </c>
      <c r="E15" s="94" t="s">
        <v>75</v>
      </c>
      <c r="F15" s="69"/>
    </row>
    <row r="16" spans="1:9" s="70" customFormat="1" ht="39" customHeight="1">
      <c r="A16" s="48"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tamoxifen-121ng/L</v>
      </c>
      <c r="B16" s="91" t="s">
        <v>63</v>
      </c>
      <c r="C16" s="64">
        <v>121</v>
      </c>
      <c r="D16" s="93" t="s">
        <v>74</v>
      </c>
      <c r="E16" s="94" t="s">
        <v>75</v>
      </c>
      <c r="F16" s="69"/>
    </row>
    <row r="17" spans="1:6" s="70" customFormat="1" ht="39" customHeight="1">
      <c r="A17" s="48"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tamoxifen-60.4ng/L</v>
      </c>
      <c r="B17" s="91" t="s">
        <v>63</v>
      </c>
      <c r="C17" s="64">
        <v>60.4</v>
      </c>
      <c r="D17" s="93" t="s">
        <v>74</v>
      </c>
      <c r="E17" s="94" t="s">
        <v>75</v>
      </c>
      <c r="F17" s="69"/>
    </row>
    <row r="18" spans="1:6" s="70" customFormat="1" ht="39" customHeight="1">
      <c r="A18" s="48"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tamoxifen-30.2ng/L</v>
      </c>
      <c r="B18" s="91" t="s">
        <v>63</v>
      </c>
      <c r="C18" s="64">
        <v>30.2</v>
      </c>
      <c r="D18" s="93" t="s">
        <v>74</v>
      </c>
      <c r="E18" s="94" t="s">
        <v>75</v>
      </c>
      <c r="F18" s="69"/>
    </row>
    <row r="19" spans="1:6" s="70" customFormat="1" ht="39" customHeight="1">
      <c r="A19" s="48"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
      </c>
      <c r="B19" s="91" t="s">
        <v>63</v>
      </c>
      <c r="C19" s="64"/>
      <c r="D19" s="64"/>
      <c r="E19" s="25"/>
      <c r="F19" s="69"/>
    </row>
    <row r="20" spans="1:6" s="70" customFormat="1" ht="39" customHeight="1">
      <c r="A20" s="48"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
      </c>
      <c r="B20" s="91" t="s">
        <v>63</v>
      </c>
      <c r="C20" s="64"/>
      <c r="D20" s="64"/>
      <c r="E20" s="60"/>
      <c r="F20" s="69"/>
    </row>
    <row r="21" spans="1:6" s="70" customFormat="1" ht="39" customHeight="1">
      <c r="A21" s="48"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
      </c>
      <c r="B21" s="91" t="s">
        <v>63</v>
      </c>
      <c r="C21" s="64"/>
      <c r="D21" s="64"/>
      <c r="E21" s="25"/>
      <c r="F21" s="69"/>
    </row>
    <row r="22" spans="1:6" s="70" customFormat="1" ht="39" customHeight="1">
      <c r="A22" s="48"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
      </c>
      <c r="B22" s="91" t="s">
        <v>63</v>
      </c>
      <c r="C22" s="64"/>
      <c r="D22" s="64"/>
      <c r="E22" s="60"/>
      <c r="F22" s="69"/>
    </row>
    <row r="23" spans="1:6" s="70" customFormat="1" ht="39" customHeight="1">
      <c r="A23" s="48"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
      </c>
      <c r="B23" s="91" t="s">
        <v>63</v>
      </c>
      <c r="C23" s="64"/>
      <c r="D23" s="64"/>
      <c r="E23" s="25"/>
      <c r="F23" s="69"/>
    </row>
    <row r="24" spans="1:6" s="70" customFormat="1" ht="39" customHeight="1">
      <c r="A24" s="48"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
      </c>
      <c r="B24" s="91" t="s">
        <v>63</v>
      </c>
      <c r="C24" s="64"/>
      <c r="D24" s="64"/>
      <c r="E24" s="60"/>
      <c r="F24" s="69"/>
    </row>
    <row r="25" spans="1:6" s="70" customFormat="1" ht="39" customHeight="1">
      <c r="A25" s="48"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
      </c>
      <c r="B25" s="91" t="s">
        <v>63</v>
      </c>
      <c r="C25" s="64"/>
      <c r="D25" s="64"/>
      <c r="E25" s="25"/>
      <c r="F25" s="69"/>
    </row>
    <row r="26" spans="1:6" s="70" customFormat="1" ht="39" customHeight="1">
      <c r="A26" s="48"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
      </c>
      <c r="B26" s="91" t="s">
        <v>63</v>
      </c>
      <c r="C26" s="64"/>
      <c r="D26" s="64"/>
      <c r="E26" s="60"/>
      <c r="F26" s="69"/>
    </row>
    <row r="27" spans="1:6" s="70" customFormat="1" ht="39" customHeight="1">
      <c r="A27" s="48"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
      </c>
      <c r="B27" s="91" t="s">
        <v>63</v>
      </c>
      <c r="C27" s="64"/>
      <c r="D27" s="64"/>
      <c r="E27" s="25"/>
      <c r="F27" s="69"/>
    </row>
    <row r="28" spans="1:6" s="70" customFormat="1" ht="39" customHeight="1">
      <c r="A28" s="48"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
      </c>
      <c r="B28" s="91" t="s">
        <v>63</v>
      </c>
      <c r="C28" s="64"/>
      <c r="D28" s="64"/>
      <c r="E28" s="60"/>
      <c r="F28" s="69"/>
    </row>
    <row r="29" spans="1:6" s="70" customFormat="1" ht="39" customHeight="1">
      <c r="A29" s="48"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
      </c>
      <c r="B29" s="91" t="s">
        <v>63</v>
      </c>
      <c r="C29" s="64"/>
      <c r="D29" s="73"/>
      <c r="E29" s="25"/>
      <c r="F29" s="69"/>
    </row>
    <row r="30" spans="1:6" s="70" customFormat="1" ht="39" customHeight="1">
      <c r="A30" s="48"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
      </c>
      <c r="B30" s="91" t="s">
        <v>63</v>
      </c>
      <c r="C30" s="64"/>
      <c r="D30" s="73"/>
      <c r="E30" s="60"/>
      <c r="F30" s="69"/>
    </row>
    <row r="31" spans="1:6" s="70" customFormat="1" ht="39" customHeight="1">
      <c r="A31" s="48"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
      </c>
      <c r="B31" s="91" t="s">
        <v>63</v>
      </c>
      <c r="C31" s="64"/>
      <c r="D31" s="73"/>
      <c r="E31" s="25"/>
      <c r="F31" s="69"/>
    </row>
    <row r="32" spans="1:6" s="70" customFormat="1" ht="39" customHeight="1">
      <c r="A32" s="48"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
      </c>
      <c r="B32" s="91" t="s">
        <v>63</v>
      </c>
      <c r="C32" s="64"/>
      <c r="D32" s="73"/>
      <c r="E32" s="60"/>
      <c r="F32" s="69"/>
    </row>
    <row r="33" spans="1:6" s="70" customFormat="1" ht="39" customHeight="1">
      <c r="A33" s="48"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
      </c>
      <c r="B33" s="91" t="s">
        <v>63</v>
      </c>
      <c r="C33" s="64"/>
      <c r="D33" s="73"/>
      <c r="E33" s="25"/>
      <c r="F33" s="69"/>
    </row>
    <row r="34" spans="1:6" s="70" customFormat="1" ht="39" customHeight="1" thickBot="1">
      <c r="A34" s="56"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
      </c>
      <c r="B34" s="91" t="s">
        <v>63</v>
      </c>
      <c r="C34" s="97"/>
      <c r="D34" s="74"/>
      <c r="E34" s="96"/>
      <c r="F34" s="69"/>
    </row>
    <row r="35" spans="1:6" s="70" customFormat="1" ht="39" customHeight="1">
      <c r="A35" s="98"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Testo -30µg/L</v>
      </c>
      <c r="B35" s="61" t="s">
        <v>50</v>
      </c>
      <c r="C35" s="65">
        <v>30</v>
      </c>
      <c r="D35" s="75" t="s">
        <v>53</v>
      </c>
      <c r="E35" s="87" t="s">
        <v>11</v>
      </c>
      <c r="F35" s="99"/>
    </row>
    <row r="36" spans="1:6" s="70" customFormat="1" ht="39" customHeight="1">
      <c r="A36" s="100"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Testo 30µg/L + EE2 -64ng/L</v>
      </c>
      <c r="B36" s="62" t="s">
        <v>50</v>
      </c>
      <c r="C36" s="66">
        <v>64</v>
      </c>
      <c r="D36" s="76" t="s">
        <v>51</v>
      </c>
      <c r="E36" s="88" t="s">
        <v>54</v>
      </c>
      <c r="F36" s="101"/>
    </row>
    <row r="37" spans="1:6" s="70" customFormat="1" ht="39" customHeight="1" thickBot="1">
      <c r="A37" s="102"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Testo 30µg/L + FAD-10mg/L</v>
      </c>
      <c r="B37" s="103" t="s">
        <v>50</v>
      </c>
      <c r="C37" s="104">
        <v>10</v>
      </c>
      <c r="D37" s="105" t="s">
        <v>55</v>
      </c>
      <c r="E37" s="106" t="s">
        <v>56</v>
      </c>
      <c r="F37" s="107"/>
    </row>
    <row r="38" spans="1:6" s="70" customFormat="1" ht="39" customHeight="1">
      <c r="A38" s="36"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tamoxifen-483ng/L + Testostérone</v>
      </c>
      <c r="B38" s="111" t="str">
        <f>B14</f>
        <v>test chemical</v>
      </c>
      <c r="C38" s="111">
        <f t="shared" ref="C38:E38" si="0">C14</f>
        <v>483</v>
      </c>
      <c r="D38" s="111" t="str">
        <f t="shared" si="0"/>
        <v>ng/L</v>
      </c>
      <c r="E38" s="121" t="str">
        <f t="shared" si="0"/>
        <v>tamoxifen</v>
      </c>
      <c r="F38" s="71" t="s">
        <v>30</v>
      </c>
    </row>
    <row r="39" spans="1:6" s="70" customFormat="1" ht="39" customHeight="1">
      <c r="A39" s="57"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tamoxifen-242ng/L + Testostérone</v>
      </c>
      <c r="B39" s="113" t="str">
        <f t="shared" ref="B39:E39" si="1">B15</f>
        <v>test chemical</v>
      </c>
      <c r="C39" s="113">
        <f t="shared" si="1"/>
        <v>242</v>
      </c>
      <c r="D39" s="113" t="str">
        <f t="shared" si="1"/>
        <v>ng/L</v>
      </c>
      <c r="E39" s="66" t="str">
        <f t="shared" si="1"/>
        <v>tamoxifen</v>
      </c>
      <c r="F39" s="72" t="s">
        <v>30</v>
      </c>
    </row>
    <row r="40" spans="1:6" s="70" customFormat="1" ht="39" customHeight="1">
      <c r="A40" s="57"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tamoxifen-121ng/L + Testostérone</v>
      </c>
      <c r="B40" s="113" t="str">
        <f t="shared" ref="B40:E40" si="2">B16</f>
        <v>test chemical</v>
      </c>
      <c r="C40" s="113">
        <f t="shared" si="2"/>
        <v>121</v>
      </c>
      <c r="D40" s="113" t="str">
        <f t="shared" si="2"/>
        <v>ng/L</v>
      </c>
      <c r="E40" s="66" t="str">
        <f t="shared" si="2"/>
        <v>tamoxifen</v>
      </c>
      <c r="F40" s="72" t="s">
        <v>30</v>
      </c>
    </row>
    <row r="41" spans="1:6" s="70" customFormat="1" ht="39" customHeight="1">
      <c r="A41" s="57"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tamoxifen-60.4ng/L + Testostérone</v>
      </c>
      <c r="B41" s="113" t="str">
        <f t="shared" ref="B41:E41" si="3">B17</f>
        <v>test chemical</v>
      </c>
      <c r="C41" s="113">
        <f t="shared" si="3"/>
        <v>60.4</v>
      </c>
      <c r="D41" s="113" t="str">
        <f t="shared" si="3"/>
        <v>ng/L</v>
      </c>
      <c r="E41" s="66" t="str">
        <f t="shared" si="3"/>
        <v>tamoxifen</v>
      </c>
      <c r="F41" s="72" t="s">
        <v>30</v>
      </c>
    </row>
    <row r="42" spans="1:6" s="70" customFormat="1" ht="39" customHeight="1">
      <c r="A42" s="57"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tamoxifen-30.2ng/L + Testostérone</v>
      </c>
      <c r="B42" s="113" t="str">
        <f t="shared" ref="B42:E42" si="4">B18</f>
        <v>test chemical</v>
      </c>
      <c r="C42" s="113">
        <f t="shared" si="4"/>
        <v>30.2</v>
      </c>
      <c r="D42" s="113" t="str">
        <f t="shared" si="4"/>
        <v>ng/L</v>
      </c>
      <c r="E42" s="66" t="str">
        <f t="shared" si="4"/>
        <v>tamoxifen</v>
      </c>
      <c r="F42" s="72" t="s">
        <v>30</v>
      </c>
    </row>
    <row r="43" spans="1:6" s="70" customFormat="1" ht="39" customHeight="1">
      <c r="A43" s="57"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0-00 + Testostérone</v>
      </c>
      <c r="B43" s="113" t="str">
        <f t="shared" ref="B43:E43" si="5">B19</f>
        <v>test chemical</v>
      </c>
      <c r="C43" s="113">
        <f t="shared" si="5"/>
        <v>0</v>
      </c>
      <c r="D43" s="113">
        <f t="shared" si="5"/>
        <v>0</v>
      </c>
      <c r="E43" s="113">
        <f t="shared" si="5"/>
        <v>0</v>
      </c>
      <c r="F43" s="72" t="s">
        <v>30</v>
      </c>
    </row>
    <row r="44" spans="1:6" s="70" customFormat="1" ht="39" customHeight="1">
      <c r="A44" s="57"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0-00 + Testostérone</v>
      </c>
      <c r="B44" s="113" t="str">
        <f t="shared" ref="B44:E44" si="6">B20</f>
        <v>test chemical</v>
      </c>
      <c r="C44" s="113">
        <f t="shared" si="6"/>
        <v>0</v>
      </c>
      <c r="D44" s="113">
        <f t="shared" si="6"/>
        <v>0</v>
      </c>
      <c r="E44" s="113">
        <f t="shared" si="6"/>
        <v>0</v>
      </c>
      <c r="F44" s="72" t="s">
        <v>30</v>
      </c>
    </row>
    <row r="45" spans="1:6" s="70" customFormat="1" ht="39" customHeight="1">
      <c r="A45" s="57"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0-00 + Testostérone</v>
      </c>
      <c r="B45" s="113" t="str">
        <f t="shared" ref="B45:E45" si="7">B21</f>
        <v>test chemical</v>
      </c>
      <c r="C45" s="113">
        <f t="shared" si="7"/>
        <v>0</v>
      </c>
      <c r="D45" s="113">
        <f t="shared" si="7"/>
        <v>0</v>
      </c>
      <c r="E45" s="113">
        <f t="shared" si="7"/>
        <v>0</v>
      </c>
      <c r="F45" s="72" t="s">
        <v>30</v>
      </c>
    </row>
    <row r="46" spans="1:6" s="70" customFormat="1" ht="39" customHeight="1">
      <c r="A46" s="57"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0-00 + Testostérone</v>
      </c>
      <c r="B46" s="113" t="str">
        <f t="shared" ref="B46:E46" si="8">B22</f>
        <v>test chemical</v>
      </c>
      <c r="C46" s="113">
        <f t="shared" si="8"/>
        <v>0</v>
      </c>
      <c r="D46" s="113">
        <f t="shared" si="8"/>
        <v>0</v>
      </c>
      <c r="E46" s="113">
        <f t="shared" si="8"/>
        <v>0</v>
      </c>
      <c r="F46" s="72" t="s">
        <v>30</v>
      </c>
    </row>
    <row r="47" spans="1:6" s="70" customFormat="1" ht="39" customHeight="1">
      <c r="A47" s="57"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0-00 + Testostérone</v>
      </c>
      <c r="B47" s="113" t="str">
        <f t="shared" ref="B47:E47" si="9">B23</f>
        <v>test chemical</v>
      </c>
      <c r="C47" s="113">
        <f t="shared" si="9"/>
        <v>0</v>
      </c>
      <c r="D47" s="113">
        <f t="shared" si="9"/>
        <v>0</v>
      </c>
      <c r="E47" s="113">
        <f t="shared" si="9"/>
        <v>0</v>
      </c>
      <c r="F47" s="72" t="s">
        <v>30</v>
      </c>
    </row>
    <row r="48" spans="1:6" s="70" customFormat="1" ht="39" customHeight="1">
      <c r="A48" s="57"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0-00 + Testostérone</v>
      </c>
      <c r="B48" s="113" t="str">
        <f t="shared" ref="B48:E48" si="10">B24</f>
        <v>test chemical</v>
      </c>
      <c r="C48" s="113">
        <f t="shared" si="10"/>
        <v>0</v>
      </c>
      <c r="D48" s="113">
        <f t="shared" si="10"/>
        <v>0</v>
      </c>
      <c r="E48" s="113">
        <f t="shared" si="10"/>
        <v>0</v>
      </c>
      <c r="F48" s="72" t="s">
        <v>30</v>
      </c>
    </row>
    <row r="49" spans="1:6" s="70" customFormat="1" ht="39" customHeight="1">
      <c r="A49" s="57"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0-00 + Testostérone</v>
      </c>
      <c r="B49" s="113" t="str">
        <f t="shared" ref="B49:E49" si="11">B25</f>
        <v>test chemical</v>
      </c>
      <c r="C49" s="113">
        <f t="shared" si="11"/>
        <v>0</v>
      </c>
      <c r="D49" s="113">
        <f t="shared" si="11"/>
        <v>0</v>
      </c>
      <c r="E49" s="113">
        <f t="shared" si="11"/>
        <v>0</v>
      </c>
      <c r="F49" s="72" t="s">
        <v>30</v>
      </c>
    </row>
    <row r="50" spans="1:6" s="70" customFormat="1" ht="39" customHeight="1">
      <c r="A50" s="57"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0-00 + Testostérone</v>
      </c>
      <c r="B50" s="113" t="str">
        <f t="shared" ref="B50:E50" si="12">B26</f>
        <v>test chemical</v>
      </c>
      <c r="C50" s="113">
        <f t="shared" si="12"/>
        <v>0</v>
      </c>
      <c r="D50" s="113">
        <f t="shared" si="12"/>
        <v>0</v>
      </c>
      <c r="E50" s="113">
        <f t="shared" si="12"/>
        <v>0</v>
      </c>
      <c r="F50" s="72" t="s">
        <v>30</v>
      </c>
    </row>
    <row r="51" spans="1:6" s="70" customFormat="1" ht="39" customHeight="1">
      <c r="A51" s="57"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0-00 + Testostérone</v>
      </c>
      <c r="B51" s="113" t="str">
        <f t="shared" ref="B51:E51" si="13">B27</f>
        <v>test chemical</v>
      </c>
      <c r="C51" s="113">
        <f t="shared" si="13"/>
        <v>0</v>
      </c>
      <c r="D51" s="113">
        <f t="shared" si="13"/>
        <v>0</v>
      </c>
      <c r="E51" s="113">
        <f t="shared" si="13"/>
        <v>0</v>
      </c>
      <c r="F51" s="72" t="s">
        <v>30</v>
      </c>
    </row>
    <row r="52" spans="1:6" s="70" customFormat="1" ht="39" customHeight="1">
      <c r="A52" s="57"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0-00 + Testostérone</v>
      </c>
      <c r="B52" s="113" t="str">
        <f t="shared" ref="B52:E52" si="14">B28</f>
        <v>test chemical</v>
      </c>
      <c r="C52" s="113">
        <f t="shared" si="14"/>
        <v>0</v>
      </c>
      <c r="D52" s="113">
        <f t="shared" si="14"/>
        <v>0</v>
      </c>
      <c r="E52" s="113">
        <f t="shared" si="14"/>
        <v>0</v>
      </c>
      <c r="F52" s="72" t="s">
        <v>30</v>
      </c>
    </row>
    <row r="53" spans="1:6" s="70" customFormat="1" ht="39" customHeight="1">
      <c r="A53" s="57"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0-00 + Testostérone</v>
      </c>
      <c r="B53" s="113" t="str">
        <f t="shared" ref="B53:E53" si="15">B29</f>
        <v>test chemical</v>
      </c>
      <c r="C53" s="113">
        <f t="shared" si="15"/>
        <v>0</v>
      </c>
      <c r="D53" s="113">
        <f t="shared" si="15"/>
        <v>0</v>
      </c>
      <c r="E53" s="113">
        <f t="shared" si="15"/>
        <v>0</v>
      </c>
      <c r="F53" s="72" t="s">
        <v>30</v>
      </c>
    </row>
    <row r="54" spans="1:6" s="70" customFormat="1" ht="39" customHeight="1">
      <c r="A54" s="57"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0-00 + Testostérone</v>
      </c>
      <c r="B54" s="113" t="str">
        <f t="shared" ref="B54:E54" si="16">B30</f>
        <v>test chemical</v>
      </c>
      <c r="C54" s="113">
        <f t="shared" si="16"/>
        <v>0</v>
      </c>
      <c r="D54" s="113">
        <f t="shared" si="16"/>
        <v>0</v>
      </c>
      <c r="E54" s="113">
        <f t="shared" si="16"/>
        <v>0</v>
      </c>
      <c r="F54" s="72" t="s">
        <v>30</v>
      </c>
    </row>
    <row r="55" spans="1:6" s="70" customFormat="1" ht="39" customHeight="1">
      <c r="A55" s="57"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0-00 + Testostérone</v>
      </c>
      <c r="B55" s="113" t="str">
        <f t="shared" ref="B55:E55" si="17">B31</f>
        <v>test chemical</v>
      </c>
      <c r="C55" s="113">
        <f t="shared" si="17"/>
        <v>0</v>
      </c>
      <c r="D55" s="113">
        <f t="shared" si="17"/>
        <v>0</v>
      </c>
      <c r="E55" s="113">
        <f t="shared" si="17"/>
        <v>0</v>
      </c>
      <c r="F55" s="72" t="s">
        <v>30</v>
      </c>
    </row>
    <row r="56" spans="1:6" s="70" customFormat="1" ht="39" customHeight="1">
      <c r="A56" s="57"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0-00 + Testostérone</v>
      </c>
      <c r="B56" s="113" t="str">
        <f t="shared" ref="B56:E56" si="18">B32</f>
        <v>test chemical</v>
      </c>
      <c r="C56" s="113">
        <f t="shared" si="18"/>
        <v>0</v>
      </c>
      <c r="D56" s="113">
        <f t="shared" si="18"/>
        <v>0</v>
      </c>
      <c r="E56" s="113">
        <f t="shared" si="18"/>
        <v>0</v>
      </c>
      <c r="F56" s="72" t="s">
        <v>30</v>
      </c>
    </row>
    <row r="57" spans="1:6" s="70" customFormat="1" ht="39" customHeight="1">
      <c r="A57" s="63"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0-00 + Testostérone</v>
      </c>
      <c r="B57" s="112" t="str">
        <f t="shared" ref="B57:E57" si="19">B33</f>
        <v>test chemical</v>
      </c>
      <c r="C57" s="112">
        <f t="shared" si="19"/>
        <v>0</v>
      </c>
      <c r="D57" s="112">
        <f t="shared" si="19"/>
        <v>0</v>
      </c>
      <c r="E57" s="112">
        <f t="shared" si="19"/>
        <v>0</v>
      </c>
      <c r="F57" s="72" t="s">
        <v>30</v>
      </c>
    </row>
  </sheetData>
  <protectedRanges>
    <protectedRange sqref="C19:D37 A15:A51 C15:C18" name="Plage1_1"/>
  </protectedRanges>
  <mergeCells count="8">
    <mergeCell ref="A5:I5"/>
    <mergeCell ref="A1:I1"/>
    <mergeCell ref="C2:D2"/>
    <mergeCell ref="C3:D3"/>
    <mergeCell ref="C4:D4"/>
    <mergeCell ref="F4:I4"/>
    <mergeCell ref="F3:I3"/>
    <mergeCell ref="F2:I2"/>
  </mergeCells>
  <phoneticPr fontId="12"/>
  <dataValidations count="1">
    <dataValidation type="custom" allowBlank="1" showInputMessage="1" showErrorMessage="1" sqref="E7:E37" xr:uid="{E0A8F951-ED76-4488-98E3-F13AD7875916}">
      <formula1>ISERROR(SEARCH("-",E7))=TRUE</formula1>
    </dataValidation>
  </dataValidations>
  <pageMargins left="0.7" right="0.7" top="0.75" bottom="0.75" header="0.3" footer="0.3"/>
  <pageSetup paperSize="9" scale="25" orientation="landscape" r:id="rId1"/>
  <headerFooter>
    <oddHeader>&amp;C&amp;"-,Gras"&amp;20Résultats&amp;R&amp;"-,Gras"&amp;20Page : &amp;P/&amp;P</oddHeader>
    <oddFooter>&amp;C&amp;1#&amp;"Arial"&amp;10&amp;K000000Internal</oddFooter>
  </headerFooter>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V74"/>
  <sheetViews>
    <sheetView showGridLines="0" topLeftCell="A10" zoomScale="85" zoomScaleNormal="85" zoomScaleSheetLayoutView="40" zoomScalePageLayoutView="30" workbookViewId="0">
      <pane xSplit="1" topLeftCell="M1" activePane="topRight" state="frozen"/>
      <selection pane="topRight" activeCell="N10" sqref="N1:N1048576"/>
    </sheetView>
  </sheetViews>
  <sheetFormatPr defaultColWidth="9.140625" defaultRowHeight="15"/>
  <cols>
    <col min="1" max="1" width="29.42578125" style="1" customWidth="1"/>
    <col min="2" max="2" width="14.85546875" style="1" customWidth="1"/>
    <col min="3" max="5" width="25.85546875" style="1" bestFit="1" customWidth="1"/>
    <col min="6" max="8" width="26.42578125" style="1" bestFit="1" customWidth="1"/>
    <col min="9" max="9" width="26.42578125" style="1" customWidth="1"/>
    <col min="10" max="10" width="25.85546875" style="1" bestFit="1" customWidth="1"/>
    <col min="11" max="11" width="26.42578125" style="1" bestFit="1" customWidth="1"/>
    <col min="12" max="13" width="26.42578125" style="1" customWidth="1"/>
    <col min="14" max="14" width="18.28515625" bestFit="1" customWidth="1"/>
    <col min="15" max="15" width="14.85546875" customWidth="1"/>
    <col min="16" max="16" width="26.42578125" customWidth="1"/>
    <col min="17" max="18" width="25.85546875" bestFit="1" customWidth="1"/>
    <col min="19" max="22" width="25.85546875" style="1" customWidth="1"/>
  </cols>
  <sheetData>
    <row r="1" spans="1:22" s="1" customFormat="1" ht="27" thickBot="1">
      <c r="A1" s="141" t="s">
        <v>21</v>
      </c>
      <c r="B1" s="142"/>
      <c r="C1" s="142"/>
      <c r="D1" s="142"/>
      <c r="E1" s="142"/>
      <c r="F1" s="142"/>
      <c r="G1" s="142"/>
      <c r="H1" s="142"/>
      <c r="I1" s="142"/>
      <c r="J1" s="142"/>
      <c r="K1" s="142"/>
      <c r="L1" s="142"/>
      <c r="M1" s="142"/>
      <c r="N1" s="142"/>
      <c r="O1" s="142"/>
      <c r="P1" s="142"/>
      <c r="Q1" s="142"/>
      <c r="R1" s="142"/>
      <c r="S1" s="142"/>
      <c r="T1" s="142"/>
      <c r="U1" s="142"/>
      <c r="V1" s="142"/>
    </row>
    <row r="2" spans="1:22" ht="15.75" thickBot="1">
      <c r="A2"/>
      <c r="B2"/>
      <c r="C2"/>
      <c r="D2"/>
      <c r="E2"/>
      <c r="F2"/>
      <c r="G2"/>
      <c r="H2"/>
      <c r="I2"/>
      <c r="J2"/>
      <c r="K2"/>
      <c r="L2"/>
      <c r="M2"/>
      <c r="S2"/>
      <c r="T2"/>
      <c r="U2"/>
      <c r="V2"/>
    </row>
    <row r="3" spans="1:22" ht="15.75" thickBot="1">
      <c r="A3" s="35" t="s">
        <v>8</v>
      </c>
      <c r="B3" s="149" t="s">
        <v>6</v>
      </c>
      <c r="C3" s="150"/>
      <c r="D3" s="150"/>
      <c r="E3" s="150"/>
      <c r="F3" s="150"/>
      <c r="G3" s="150"/>
      <c r="H3" s="150"/>
      <c r="I3" s="150"/>
      <c r="J3" s="150"/>
      <c r="K3" s="150"/>
      <c r="L3" s="150"/>
      <c r="M3" s="150"/>
      <c r="O3" s="149" t="s">
        <v>3</v>
      </c>
      <c r="P3" s="150"/>
      <c r="Q3" s="150"/>
      <c r="R3" s="150"/>
      <c r="S3" s="150"/>
      <c r="T3" s="150"/>
      <c r="U3" s="150"/>
      <c r="V3" s="150"/>
    </row>
    <row r="4" spans="1:22">
      <c r="A4" s="19" t="s">
        <v>22</v>
      </c>
      <c r="B4" s="20" t="str">
        <f>'Front page'!A7</f>
        <v>Solvent control</v>
      </c>
      <c r="C4" s="20" t="str">
        <f>'Front page'!A8</f>
        <v>EE2-33.8ng/L</v>
      </c>
      <c r="D4" s="20" t="str">
        <f>'Front page'!A9</f>
        <v>EE2-50.6ng/L</v>
      </c>
      <c r="E4" s="20" t="str">
        <f>'Front page'!A10</f>
        <v>EE2-76ng/L</v>
      </c>
      <c r="F4" s="20" t="str">
        <f>'Front page'!A11</f>
        <v>EE2-114ng/L</v>
      </c>
      <c r="G4" s="20" t="str">
        <f>'Front page'!A12</f>
        <v>EE2-170.9ng/L</v>
      </c>
      <c r="H4" s="20" t="str">
        <f>'Front page'!A13</f>
        <v>EE2-488ng/L</v>
      </c>
      <c r="I4" s="20" t="str">
        <f>'Front page'!A14</f>
        <v>tamoxifen-483ng/L</v>
      </c>
      <c r="J4" s="20" t="str">
        <f>'Front page'!A15</f>
        <v>tamoxifen-242ng/L</v>
      </c>
      <c r="K4" s="20" t="str">
        <f>'Front page'!A16</f>
        <v>tamoxifen-121ng/L</v>
      </c>
      <c r="L4" s="20" t="str">
        <f>'Front page'!A17</f>
        <v>tamoxifen-60.4ng/L</v>
      </c>
      <c r="M4" s="20" t="str">
        <f>'Front page'!A18</f>
        <v>tamoxifen-30.2ng/L</v>
      </c>
      <c r="N4" s="3"/>
      <c r="O4" s="21" t="str">
        <f>'Front page'!A35</f>
        <v>Testo -30µg/L</v>
      </c>
      <c r="P4" s="21" t="str">
        <f>'Front page'!A36</f>
        <v>Testo 30µg/L + EE2 -64ng/L</v>
      </c>
      <c r="Q4" s="21" t="str">
        <f>'Front page'!A37</f>
        <v>Testo 30µg/L + FAD-10mg/L</v>
      </c>
      <c r="R4" s="21" t="str">
        <f>'Front page'!A38</f>
        <v>tamoxifen-483ng/L + Testostérone</v>
      </c>
      <c r="S4" s="21" t="str">
        <f>'Front page'!A39</f>
        <v>tamoxifen-242ng/L + Testostérone</v>
      </c>
      <c r="T4" s="21" t="str">
        <f>'Front page'!A40</f>
        <v>tamoxifen-121ng/L + Testostérone</v>
      </c>
      <c r="U4" s="21" t="str">
        <f>'Front page'!A41</f>
        <v>tamoxifen-60.4ng/L + Testostérone</v>
      </c>
      <c r="V4" s="21" t="str">
        <f>'Front page'!A42</f>
        <v>tamoxifen-30.2ng/L + Testostérone</v>
      </c>
    </row>
    <row r="5" spans="1:22" ht="16.5">
      <c r="A5" s="145" t="s">
        <v>71</v>
      </c>
      <c r="B5" s="120">
        <v>1472951</v>
      </c>
      <c r="C5" s="116">
        <v>1388022</v>
      </c>
      <c r="D5" s="81">
        <v>4858775</v>
      </c>
      <c r="E5" s="81">
        <v>4436170</v>
      </c>
      <c r="F5" s="81">
        <v>13008274</v>
      </c>
      <c r="G5" s="81">
        <v>13687380</v>
      </c>
      <c r="H5" s="81">
        <v>25848246</v>
      </c>
      <c r="I5" s="81">
        <v>3523989</v>
      </c>
      <c r="J5" s="81">
        <v>825493</v>
      </c>
      <c r="K5" s="116">
        <v>566219</v>
      </c>
      <c r="L5" s="116">
        <v>267261</v>
      </c>
      <c r="M5" s="116">
        <v>583782</v>
      </c>
      <c r="N5" s="3"/>
      <c r="O5" s="81">
        <v>9882531</v>
      </c>
      <c r="P5" s="116">
        <v>5310627</v>
      </c>
      <c r="Q5" s="116">
        <v>1429386</v>
      </c>
      <c r="R5" s="81">
        <v>3935784</v>
      </c>
      <c r="S5" s="81">
        <v>1959158</v>
      </c>
      <c r="T5" s="81">
        <v>5951920</v>
      </c>
      <c r="U5" s="81">
        <v>1842884</v>
      </c>
      <c r="V5" s="81">
        <v>650252</v>
      </c>
    </row>
    <row r="6" spans="1:22" ht="16.5">
      <c r="A6" s="146"/>
      <c r="B6" s="120">
        <v>816709</v>
      </c>
      <c r="C6" s="116">
        <v>1860448</v>
      </c>
      <c r="D6" s="81">
        <v>10209762</v>
      </c>
      <c r="E6" s="81">
        <v>6051141</v>
      </c>
      <c r="F6" s="81">
        <v>14506594</v>
      </c>
      <c r="G6" s="81">
        <v>15395263</v>
      </c>
      <c r="H6" s="81">
        <v>14482207</v>
      </c>
      <c r="I6" s="81">
        <v>3637570</v>
      </c>
      <c r="J6" s="81">
        <v>1778927</v>
      </c>
      <c r="K6" s="116">
        <v>977425</v>
      </c>
      <c r="L6" s="116">
        <v>1724928</v>
      </c>
      <c r="M6" s="116">
        <v>915318</v>
      </c>
      <c r="N6" s="3"/>
      <c r="O6" s="81">
        <v>11767221</v>
      </c>
      <c r="P6" s="116">
        <v>15784800</v>
      </c>
      <c r="Q6" s="116">
        <v>1355032</v>
      </c>
      <c r="R6" s="81">
        <v>4014225</v>
      </c>
      <c r="S6" s="81">
        <v>2217448</v>
      </c>
      <c r="T6" s="81">
        <v>3246058</v>
      </c>
      <c r="U6" s="81">
        <v>2034763</v>
      </c>
      <c r="V6" s="81">
        <v>9000283</v>
      </c>
    </row>
    <row r="7" spans="1:22" ht="16.5">
      <c r="A7" s="146"/>
      <c r="B7" s="120">
        <v>2494406</v>
      </c>
      <c r="C7" s="116">
        <v>1535502</v>
      </c>
      <c r="D7" s="81">
        <v>2602483</v>
      </c>
      <c r="E7" s="81">
        <v>8533173</v>
      </c>
      <c r="F7" s="81">
        <v>10543169</v>
      </c>
      <c r="G7" s="81">
        <v>12651346</v>
      </c>
      <c r="H7" s="81">
        <v>20363493</v>
      </c>
      <c r="I7" s="81">
        <v>3453548</v>
      </c>
      <c r="J7" s="81">
        <v>95946</v>
      </c>
      <c r="K7" s="116">
        <v>1296409</v>
      </c>
      <c r="L7" s="116">
        <v>214553</v>
      </c>
      <c r="M7" s="116">
        <v>469727</v>
      </c>
      <c r="N7" s="3"/>
      <c r="O7" s="81">
        <v>10335007</v>
      </c>
      <c r="P7" s="116">
        <v>13091888</v>
      </c>
      <c r="Q7" s="116">
        <v>1753850</v>
      </c>
      <c r="R7" s="81">
        <v>6952074</v>
      </c>
      <c r="S7" s="81">
        <v>4153197</v>
      </c>
      <c r="T7" s="81">
        <v>10032045</v>
      </c>
      <c r="U7" s="81">
        <v>6847718</v>
      </c>
      <c r="V7" s="81">
        <v>5791449</v>
      </c>
    </row>
    <row r="8" spans="1:22" ht="16.5">
      <c r="A8" s="146"/>
      <c r="B8" s="120">
        <v>635378</v>
      </c>
      <c r="C8" s="116">
        <v>1808635</v>
      </c>
      <c r="D8" s="81">
        <v>4621808</v>
      </c>
      <c r="E8" s="81">
        <v>11727785</v>
      </c>
      <c r="F8" s="81">
        <v>13070891</v>
      </c>
      <c r="G8" s="81">
        <v>17449101</v>
      </c>
      <c r="H8" s="81">
        <v>15475426</v>
      </c>
      <c r="I8" s="81">
        <v>3474528</v>
      </c>
      <c r="J8" s="81">
        <v>126335</v>
      </c>
      <c r="K8" s="116">
        <v>2687510</v>
      </c>
      <c r="L8" s="116">
        <v>443954</v>
      </c>
      <c r="M8" s="116">
        <v>513570</v>
      </c>
      <c r="N8" s="3"/>
      <c r="O8" s="81">
        <v>8113737</v>
      </c>
      <c r="P8" s="116">
        <v>13927756</v>
      </c>
      <c r="Q8" s="116">
        <v>3248687</v>
      </c>
      <c r="R8" s="81">
        <v>3655643</v>
      </c>
      <c r="S8" s="81">
        <v>6100803</v>
      </c>
      <c r="T8" s="81">
        <v>11223778</v>
      </c>
      <c r="U8" s="81">
        <v>1023746</v>
      </c>
      <c r="V8" s="81">
        <v>4105321</v>
      </c>
    </row>
    <row r="9" spans="1:22" ht="16.5">
      <c r="A9" s="146"/>
      <c r="B9" s="120">
        <v>521122</v>
      </c>
      <c r="C9" s="116">
        <v>4047222</v>
      </c>
      <c r="D9" s="81">
        <v>2664740</v>
      </c>
      <c r="E9" s="81">
        <v>11518378</v>
      </c>
      <c r="F9" s="81">
        <v>9044171</v>
      </c>
      <c r="G9" s="81">
        <v>11789281</v>
      </c>
      <c r="H9" s="81">
        <v>23597188</v>
      </c>
      <c r="I9" s="81">
        <v>5673654</v>
      </c>
      <c r="J9" s="81">
        <v>501483</v>
      </c>
      <c r="K9" s="116">
        <v>786286</v>
      </c>
      <c r="L9" s="116">
        <v>452344</v>
      </c>
      <c r="M9" s="116">
        <v>2769</v>
      </c>
      <c r="N9" s="3"/>
      <c r="O9" s="81">
        <v>13593556</v>
      </c>
      <c r="P9" s="116">
        <v>12367835</v>
      </c>
      <c r="Q9" s="116">
        <v>1870351</v>
      </c>
      <c r="R9" s="81">
        <v>7651957</v>
      </c>
      <c r="S9" s="81">
        <v>6928300</v>
      </c>
      <c r="T9" s="81">
        <v>8826398</v>
      </c>
      <c r="U9" s="81">
        <v>5470965</v>
      </c>
      <c r="V9" s="81">
        <v>3399804</v>
      </c>
    </row>
    <row r="10" spans="1:22" ht="16.5">
      <c r="A10" s="146"/>
      <c r="B10" s="120">
        <v>2611159</v>
      </c>
      <c r="C10" s="116">
        <v>3122728</v>
      </c>
      <c r="D10" s="81">
        <v>3396651</v>
      </c>
      <c r="E10" s="81">
        <v>6488634</v>
      </c>
      <c r="F10" s="81">
        <v>16440973</v>
      </c>
      <c r="G10" s="81">
        <v>14180835</v>
      </c>
      <c r="H10" s="81">
        <v>25330504</v>
      </c>
      <c r="I10" s="81">
        <v>1098517</v>
      </c>
      <c r="J10" s="81">
        <v>2650253</v>
      </c>
      <c r="K10" s="116">
        <v>1147552</v>
      </c>
      <c r="L10" s="116">
        <v>1063238</v>
      </c>
      <c r="M10" s="116">
        <v>1812138</v>
      </c>
      <c r="N10" s="3"/>
      <c r="O10" s="81">
        <v>12028431</v>
      </c>
      <c r="P10" s="116">
        <v>5318398</v>
      </c>
      <c r="Q10" s="116">
        <v>896448</v>
      </c>
      <c r="R10" s="81">
        <v>10624533</v>
      </c>
      <c r="S10" s="81">
        <v>6952592</v>
      </c>
      <c r="T10" s="81">
        <v>5090358</v>
      </c>
      <c r="U10" s="81">
        <v>6129770</v>
      </c>
      <c r="V10" s="81">
        <v>4954873</v>
      </c>
    </row>
    <row r="11" spans="1:22" ht="16.5">
      <c r="A11" s="146"/>
      <c r="B11" s="120">
        <v>1331685</v>
      </c>
      <c r="C11" s="116">
        <v>3902300</v>
      </c>
      <c r="D11" s="81">
        <v>4651025</v>
      </c>
      <c r="E11" s="81">
        <v>5520110</v>
      </c>
      <c r="F11" s="81">
        <v>18707279</v>
      </c>
      <c r="G11" s="81">
        <v>19302462</v>
      </c>
      <c r="H11" s="81">
        <v>16854473</v>
      </c>
      <c r="I11" s="81">
        <v>6464072</v>
      </c>
      <c r="J11" s="81">
        <v>792033</v>
      </c>
      <c r="K11" s="116">
        <v>2338766</v>
      </c>
      <c r="L11" s="116">
        <v>289715</v>
      </c>
      <c r="M11" s="116">
        <v>1139796</v>
      </c>
      <c r="N11" s="3"/>
      <c r="O11" s="81">
        <v>12960409</v>
      </c>
      <c r="P11" s="116">
        <v>8162033</v>
      </c>
      <c r="Q11" s="116">
        <v>2027422</v>
      </c>
      <c r="R11" s="81">
        <v>3789369</v>
      </c>
      <c r="S11" s="81">
        <v>4543421</v>
      </c>
      <c r="T11" s="81">
        <v>1854981</v>
      </c>
      <c r="U11" s="81">
        <v>4471508</v>
      </c>
      <c r="V11" s="81">
        <v>3621805</v>
      </c>
    </row>
    <row r="12" spans="1:22" ht="16.5">
      <c r="A12" s="146"/>
      <c r="B12" s="120">
        <v>594499</v>
      </c>
      <c r="C12" s="116">
        <v>787293</v>
      </c>
      <c r="D12" s="81">
        <v>4359022</v>
      </c>
      <c r="E12" s="81">
        <v>11707985</v>
      </c>
      <c r="F12" s="81">
        <v>14195145</v>
      </c>
      <c r="G12" s="81">
        <v>13589395</v>
      </c>
      <c r="H12" s="81">
        <v>22142441</v>
      </c>
      <c r="I12" s="81">
        <v>6245818</v>
      </c>
      <c r="J12" s="81">
        <v>330250</v>
      </c>
      <c r="K12" s="116">
        <v>596591</v>
      </c>
      <c r="L12" s="116">
        <v>958468</v>
      </c>
      <c r="M12" s="116">
        <v>84887</v>
      </c>
      <c r="N12" s="3"/>
      <c r="O12" s="81">
        <v>5765967</v>
      </c>
      <c r="P12" s="116">
        <v>17579851</v>
      </c>
      <c r="Q12" s="116">
        <v>1792254</v>
      </c>
      <c r="R12" s="81">
        <v>7748132</v>
      </c>
      <c r="S12" s="81">
        <v>7002953</v>
      </c>
      <c r="T12" s="81">
        <v>6279804</v>
      </c>
      <c r="U12" s="81">
        <v>3095987</v>
      </c>
      <c r="V12" s="81">
        <v>3827456</v>
      </c>
    </row>
    <row r="13" spans="1:22" ht="16.5">
      <c r="A13" s="146"/>
      <c r="B13" s="14"/>
      <c r="C13" s="13"/>
      <c r="D13" s="16"/>
      <c r="E13" s="16"/>
      <c r="F13" s="16"/>
      <c r="G13" s="16"/>
      <c r="H13" s="16"/>
      <c r="I13" s="17"/>
      <c r="J13" s="16"/>
      <c r="K13" s="13"/>
      <c r="L13" s="13"/>
      <c r="M13" s="13"/>
      <c r="N13" s="3"/>
      <c r="O13" s="17">
        <v>5463680</v>
      </c>
      <c r="P13" s="13"/>
      <c r="Q13" s="13"/>
      <c r="R13" s="4"/>
      <c r="S13" s="17"/>
      <c r="T13" s="17"/>
      <c r="U13" s="17"/>
      <c r="V13" s="17"/>
    </row>
    <row r="14" spans="1:22" ht="16.5">
      <c r="A14" s="146"/>
      <c r="B14" s="14"/>
      <c r="C14" s="16"/>
      <c r="D14" s="16"/>
      <c r="E14" s="16"/>
      <c r="F14" s="16"/>
      <c r="G14" s="16"/>
      <c r="H14" s="16"/>
      <c r="I14" s="17"/>
      <c r="J14" s="16"/>
      <c r="K14" s="13"/>
      <c r="L14" s="13"/>
      <c r="M14" s="13"/>
      <c r="N14" s="3"/>
      <c r="O14" s="17">
        <v>6446106</v>
      </c>
      <c r="P14" s="13"/>
      <c r="Q14" s="13"/>
      <c r="R14" s="4"/>
      <c r="S14" s="17"/>
      <c r="T14" s="17"/>
      <c r="U14" s="17"/>
      <c r="V14" s="17"/>
    </row>
    <row r="15" spans="1:22" ht="16.5">
      <c r="A15" s="146"/>
      <c r="B15" s="14"/>
      <c r="C15" s="16"/>
      <c r="D15" s="16"/>
      <c r="E15" s="16"/>
      <c r="F15" s="16"/>
      <c r="G15" s="16"/>
      <c r="H15" s="16"/>
      <c r="I15" s="17"/>
      <c r="J15" s="16"/>
      <c r="K15" s="13"/>
      <c r="L15" s="13"/>
      <c r="M15" s="13"/>
      <c r="N15" s="3"/>
      <c r="O15" s="17">
        <v>3625788</v>
      </c>
      <c r="P15" s="13"/>
      <c r="Q15" s="13"/>
      <c r="R15" s="4"/>
      <c r="S15" s="17"/>
      <c r="T15" s="17"/>
      <c r="U15" s="17"/>
      <c r="V15" s="17"/>
    </row>
    <row r="16" spans="1:22" ht="16.5">
      <c r="A16" s="146"/>
      <c r="B16" s="14"/>
      <c r="C16" s="16"/>
      <c r="D16" s="16"/>
      <c r="E16" s="16"/>
      <c r="F16" s="16"/>
      <c r="G16" s="16"/>
      <c r="H16" s="16"/>
      <c r="I16" s="17"/>
      <c r="J16" s="16"/>
      <c r="K16" s="13"/>
      <c r="L16" s="13"/>
      <c r="M16" s="13"/>
      <c r="N16" s="3"/>
      <c r="O16" s="17">
        <v>10815847</v>
      </c>
      <c r="P16" s="13"/>
      <c r="Q16" s="13"/>
      <c r="R16" s="4"/>
      <c r="S16" s="17"/>
      <c r="T16" s="17"/>
      <c r="U16" s="17"/>
      <c r="V16" s="17"/>
    </row>
    <row r="17" spans="1:22" s="1" customFormat="1" ht="16.5">
      <c r="A17" s="146"/>
      <c r="B17" s="14"/>
      <c r="C17" s="17"/>
      <c r="D17" s="17"/>
      <c r="E17" s="17"/>
      <c r="F17" s="17"/>
      <c r="G17" s="17"/>
      <c r="H17" s="17"/>
      <c r="I17" s="17"/>
      <c r="J17" s="17"/>
      <c r="K17" s="13"/>
      <c r="L17" s="13"/>
      <c r="M17" s="13"/>
      <c r="N17" s="3"/>
      <c r="O17" s="17">
        <v>1120330</v>
      </c>
      <c r="P17" s="13"/>
      <c r="Q17" s="13"/>
      <c r="R17" s="17"/>
      <c r="S17" s="17"/>
      <c r="T17" s="17"/>
      <c r="U17" s="17"/>
      <c r="V17" s="17"/>
    </row>
    <row r="18" spans="1:22" s="1" customFormat="1" ht="16.5">
      <c r="A18" s="146"/>
      <c r="B18" s="14"/>
      <c r="C18" s="17"/>
      <c r="D18" s="17"/>
      <c r="E18" s="17"/>
      <c r="F18" s="17"/>
      <c r="G18" s="17"/>
      <c r="H18" s="17"/>
      <c r="I18" s="17"/>
      <c r="J18" s="17"/>
      <c r="K18" s="13"/>
      <c r="L18" s="13"/>
      <c r="M18" s="13"/>
      <c r="N18" s="3"/>
      <c r="O18" s="17">
        <v>4914149</v>
      </c>
      <c r="P18" s="13"/>
      <c r="Q18" s="13"/>
      <c r="R18" s="17"/>
      <c r="S18" s="17"/>
      <c r="T18" s="17"/>
      <c r="U18" s="17"/>
      <c r="V18" s="17"/>
    </row>
    <row r="19" spans="1:22" s="1" customFormat="1" ht="16.5">
      <c r="A19" s="146"/>
      <c r="B19" s="14"/>
      <c r="C19" s="17"/>
      <c r="D19" s="17"/>
      <c r="E19" s="17"/>
      <c r="F19" s="17"/>
      <c r="G19" s="17"/>
      <c r="H19" s="17"/>
      <c r="I19" s="17"/>
      <c r="J19" s="17"/>
      <c r="K19" s="13"/>
      <c r="L19" s="13"/>
      <c r="M19" s="13"/>
      <c r="N19" s="3"/>
      <c r="O19" s="17">
        <v>6059745</v>
      </c>
      <c r="P19" s="13"/>
      <c r="Q19" s="13"/>
      <c r="R19" s="17"/>
      <c r="S19" s="17"/>
      <c r="T19" s="17"/>
      <c r="U19" s="17"/>
      <c r="V19" s="17"/>
    </row>
    <row r="20" spans="1:22" ht="16.5">
      <c r="A20" s="146"/>
      <c r="B20" s="14"/>
      <c r="C20" s="16"/>
      <c r="D20" s="16"/>
      <c r="E20" s="16"/>
      <c r="F20" s="16"/>
      <c r="G20" s="16"/>
      <c r="H20" s="16"/>
      <c r="I20" s="17"/>
      <c r="J20" s="16"/>
      <c r="K20" s="13"/>
      <c r="L20" s="13"/>
      <c r="M20" s="13"/>
      <c r="N20" s="3"/>
      <c r="O20" s="17">
        <v>4674599</v>
      </c>
      <c r="P20" s="13"/>
      <c r="Q20" s="13"/>
      <c r="R20" s="4"/>
      <c r="S20" s="17"/>
      <c r="T20" s="17"/>
      <c r="U20" s="17"/>
      <c r="V20" s="17"/>
    </row>
    <row r="21" spans="1:22" s="1" customFormat="1" ht="16.5">
      <c r="A21" s="49"/>
      <c r="B21" s="50"/>
      <c r="C21" s="7"/>
      <c r="D21" s="7"/>
      <c r="E21" s="7"/>
      <c r="F21" s="7"/>
      <c r="G21" s="7"/>
      <c r="H21" s="7"/>
      <c r="I21" s="7"/>
      <c r="J21" s="7"/>
      <c r="K21" s="18"/>
      <c r="L21" s="18"/>
      <c r="M21" s="18"/>
      <c r="N21" s="3"/>
      <c r="O21" s="7"/>
      <c r="P21" s="18"/>
      <c r="Q21" s="18"/>
      <c r="R21" s="7"/>
      <c r="S21" s="7"/>
      <c r="T21" s="7"/>
      <c r="U21" s="7"/>
      <c r="V21" s="7"/>
    </row>
    <row r="22" spans="1:22" s="52" customFormat="1">
      <c r="A22" s="51" t="str">
        <f t="shared" ref="A22:M22" si="0">A4</f>
        <v>Noms des groupes</v>
      </c>
      <c r="B22" s="51" t="str">
        <f t="shared" si="0"/>
        <v>Solvent control</v>
      </c>
      <c r="C22" s="51" t="str">
        <f t="shared" si="0"/>
        <v>EE2-33.8ng/L</v>
      </c>
      <c r="D22" s="51" t="str">
        <f t="shared" si="0"/>
        <v>EE2-50.6ng/L</v>
      </c>
      <c r="E22" s="51" t="str">
        <f t="shared" si="0"/>
        <v>EE2-76ng/L</v>
      </c>
      <c r="F22" s="51" t="str">
        <f t="shared" si="0"/>
        <v>EE2-114ng/L</v>
      </c>
      <c r="G22" s="51" t="str">
        <f t="shared" si="0"/>
        <v>EE2-170.9ng/L</v>
      </c>
      <c r="H22" s="51" t="str">
        <f t="shared" si="0"/>
        <v>EE2-488ng/L</v>
      </c>
      <c r="I22" s="51" t="str">
        <f t="shared" si="0"/>
        <v>tamoxifen-483ng/L</v>
      </c>
      <c r="J22" s="51" t="str">
        <f t="shared" si="0"/>
        <v>tamoxifen-242ng/L</v>
      </c>
      <c r="K22" s="51" t="str">
        <f t="shared" si="0"/>
        <v>tamoxifen-121ng/L</v>
      </c>
      <c r="L22" s="51" t="str">
        <f t="shared" si="0"/>
        <v>tamoxifen-60.4ng/L</v>
      </c>
      <c r="M22" s="51" t="str">
        <f t="shared" si="0"/>
        <v>tamoxifen-30.2ng/L</v>
      </c>
      <c r="N22" s="51" t="s">
        <v>27</v>
      </c>
      <c r="O22" s="51" t="str">
        <f t="shared" ref="O22:V22" si="1">O4</f>
        <v>Testo -30µg/L</v>
      </c>
      <c r="P22" s="51" t="str">
        <f t="shared" si="1"/>
        <v>Testo 30µg/L + EE2 -64ng/L</v>
      </c>
      <c r="Q22" s="51" t="str">
        <f t="shared" si="1"/>
        <v>Testo 30µg/L + FAD-10mg/L</v>
      </c>
      <c r="R22" s="51" t="str">
        <f t="shared" si="1"/>
        <v>tamoxifen-483ng/L + Testostérone</v>
      </c>
      <c r="S22" s="51" t="str">
        <f t="shared" si="1"/>
        <v>tamoxifen-242ng/L + Testostérone</v>
      </c>
      <c r="T22" s="51" t="str">
        <f t="shared" si="1"/>
        <v>tamoxifen-121ng/L + Testostérone</v>
      </c>
      <c r="U22" s="51" t="str">
        <f t="shared" si="1"/>
        <v>tamoxifen-60.4ng/L + Testostérone</v>
      </c>
      <c r="V22" s="51" t="str">
        <f t="shared" si="1"/>
        <v>tamoxifen-30.2ng/L + Testostérone</v>
      </c>
    </row>
    <row r="23" spans="1:22">
      <c r="A23" s="5" t="s">
        <v>0</v>
      </c>
      <c r="B23" s="5">
        <f t="shared" ref="B23:M23" si="2">AVERAGE(B5:B20)</f>
        <v>1309738.625</v>
      </c>
      <c r="C23" s="5">
        <f t="shared" si="2"/>
        <v>2306518.75</v>
      </c>
      <c r="D23" s="5">
        <f t="shared" si="2"/>
        <v>4670533.25</v>
      </c>
      <c r="E23" s="5">
        <f t="shared" si="2"/>
        <v>8247922</v>
      </c>
      <c r="F23" s="5">
        <f t="shared" si="2"/>
        <v>13689562</v>
      </c>
      <c r="G23" s="5">
        <f t="shared" si="2"/>
        <v>14755632.875</v>
      </c>
      <c r="H23" s="5">
        <f t="shared" si="2"/>
        <v>20511747.25</v>
      </c>
      <c r="I23" s="5">
        <f>AVERAGE(I5:I20)</f>
        <v>4196462</v>
      </c>
      <c r="J23" s="5">
        <f t="shared" si="2"/>
        <v>887590</v>
      </c>
      <c r="K23" s="5">
        <f t="shared" si="2"/>
        <v>1299594.75</v>
      </c>
      <c r="L23" s="5">
        <f t="shared" si="2"/>
        <v>676807.625</v>
      </c>
      <c r="M23" s="5">
        <f t="shared" si="2"/>
        <v>690248.375</v>
      </c>
      <c r="N23" s="5" t="s">
        <v>0</v>
      </c>
      <c r="O23" s="5">
        <f t="shared" ref="O23:V23" si="3">AVERAGE(O5:O20)</f>
        <v>7972943.9375</v>
      </c>
      <c r="P23" s="5">
        <f t="shared" si="3"/>
        <v>11442898.5</v>
      </c>
      <c r="Q23" s="5">
        <f t="shared" si="3"/>
        <v>1796678.75</v>
      </c>
      <c r="R23" s="5">
        <f t="shared" si="3"/>
        <v>6046464.625</v>
      </c>
      <c r="S23" s="5">
        <f t="shared" si="3"/>
        <v>4982234</v>
      </c>
      <c r="T23" s="5">
        <f t="shared" si="3"/>
        <v>6563167.75</v>
      </c>
      <c r="U23" s="5">
        <f t="shared" si="3"/>
        <v>3864667.625</v>
      </c>
      <c r="V23" s="5">
        <f t="shared" si="3"/>
        <v>4418905.375</v>
      </c>
    </row>
    <row r="24" spans="1:22">
      <c r="A24" s="3" t="s">
        <v>1</v>
      </c>
      <c r="B24" s="3">
        <f t="shared" ref="B24:M24" si="4">STDEV(B5:B20)</f>
        <v>841391.37068632385</v>
      </c>
      <c r="C24" s="3">
        <f t="shared" si="4"/>
        <v>1220993.7681320724</v>
      </c>
      <c r="D24" s="3">
        <f t="shared" si="4"/>
        <v>2412500.1396620981</v>
      </c>
      <c r="E24" s="3">
        <f t="shared" si="4"/>
        <v>3041383.2776134708</v>
      </c>
      <c r="F24" s="3">
        <f t="shared" si="4"/>
        <v>3070534.0494177882</v>
      </c>
      <c r="G24" s="3">
        <f t="shared" si="4"/>
        <v>2518403.3096642517</v>
      </c>
      <c r="H24" s="3">
        <f t="shared" si="4"/>
        <v>4456059.5000259317</v>
      </c>
      <c r="I24" s="3">
        <f>STDEV(I5:I20)</f>
        <v>1811036.1939220636</v>
      </c>
      <c r="J24" s="3">
        <f t="shared" si="4"/>
        <v>892857.81667679723</v>
      </c>
      <c r="K24" s="3">
        <f t="shared" si="4"/>
        <v>795401.62888977036</v>
      </c>
      <c r="L24" s="3">
        <f t="shared" si="4"/>
        <v>529564.58238198922</v>
      </c>
      <c r="M24" s="3">
        <f t="shared" si="4"/>
        <v>590599.69925804774</v>
      </c>
      <c r="N24" s="3" t="s">
        <v>1</v>
      </c>
      <c r="O24" s="3">
        <f t="shared" ref="O24:V24" si="5">STDEV(O5:O20)</f>
        <v>3722790.099803417</v>
      </c>
      <c r="P24" s="3">
        <f t="shared" si="5"/>
        <v>4662032.4180969764</v>
      </c>
      <c r="Q24" s="3">
        <f t="shared" si="5"/>
        <v>687565.3844629199</v>
      </c>
      <c r="R24" s="3">
        <f t="shared" si="5"/>
        <v>2581461.250220167</v>
      </c>
      <c r="S24" s="3">
        <f t="shared" si="5"/>
        <v>2093079.574391762</v>
      </c>
      <c r="T24" s="3">
        <f t="shared" si="5"/>
        <v>3266057.811475425</v>
      </c>
      <c r="U24" s="3">
        <f t="shared" si="5"/>
        <v>2173725.9109726744</v>
      </c>
      <c r="V24" s="3">
        <f t="shared" si="5"/>
        <v>2375018.5155702285</v>
      </c>
    </row>
    <row r="25" spans="1:22" ht="15.75" thickBot="1"/>
    <row r="26" spans="1:22" ht="15.75" thickBot="1">
      <c r="B26" s="149" t="s">
        <v>6</v>
      </c>
      <c r="C26" s="150"/>
      <c r="D26" s="150"/>
      <c r="E26" s="150"/>
      <c r="F26" s="150"/>
      <c r="G26" s="150"/>
      <c r="H26" s="150"/>
      <c r="I26" s="150"/>
      <c r="J26" s="150"/>
      <c r="K26" s="150"/>
      <c r="L26" s="150"/>
      <c r="M26" s="150"/>
      <c r="N26" s="1"/>
      <c r="O26" s="149" t="s">
        <v>3</v>
      </c>
      <c r="P26" s="150"/>
      <c r="Q26" s="150"/>
      <c r="R26" s="150"/>
      <c r="S26" s="150"/>
      <c r="T26" s="150"/>
      <c r="U26" s="150"/>
      <c r="V26" s="150"/>
    </row>
    <row r="27" spans="1:22" s="1" customFormat="1">
      <c r="A27" s="19" t="s">
        <v>22</v>
      </c>
      <c r="B27" s="20" t="str">
        <f t="shared" ref="B27:M27" si="6">B4</f>
        <v>Solvent control</v>
      </c>
      <c r="C27" s="20" t="str">
        <f t="shared" si="6"/>
        <v>EE2-33.8ng/L</v>
      </c>
      <c r="D27" s="20" t="str">
        <f t="shared" si="6"/>
        <v>EE2-50.6ng/L</v>
      </c>
      <c r="E27" s="20" t="str">
        <f t="shared" si="6"/>
        <v>EE2-76ng/L</v>
      </c>
      <c r="F27" s="20" t="str">
        <f t="shared" si="6"/>
        <v>EE2-114ng/L</v>
      </c>
      <c r="G27" s="20" t="str">
        <f t="shared" si="6"/>
        <v>EE2-170.9ng/L</v>
      </c>
      <c r="H27" s="20" t="str">
        <f t="shared" si="6"/>
        <v>EE2-488ng/L</v>
      </c>
      <c r="I27" s="20" t="str">
        <f t="shared" si="6"/>
        <v>tamoxifen-483ng/L</v>
      </c>
      <c r="J27" s="20" t="str">
        <f t="shared" si="6"/>
        <v>tamoxifen-242ng/L</v>
      </c>
      <c r="K27" s="20" t="str">
        <f t="shared" si="6"/>
        <v>tamoxifen-121ng/L</v>
      </c>
      <c r="L27" s="20" t="str">
        <f t="shared" si="6"/>
        <v>tamoxifen-60.4ng/L</v>
      </c>
      <c r="M27" s="20" t="str">
        <f t="shared" si="6"/>
        <v>tamoxifen-30.2ng/L</v>
      </c>
      <c r="N27" s="3"/>
      <c r="O27" s="21" t="str">
        <f t="shared" ref="O27:V27" si="7">O4</f>
        <v>Testo -30µg/L</v>
      </c>
      <c r="P27" s="21" t="str">
        <f t="shared" si="7"/>
        <v>Testo 30µg/L + EE2 -64ng/L</v>
      </c>
      <c r="Q27" s="21" t="str">
        <f t="shared" si="7"/>
        <v>Testo 30µg/L + FAD-10mg/L</v>
      </c>
      <c r="R27" s="21" t="str">
        <f t="shared" si="7"/>
        <v>tamoxifen-483ng/L + Testostérone</v>
      </c>
      <c r="S27" s="21" t="str">
        <f t="shared" si="7"/>
        <v>tamoxifen-242ng/L + Testostérone</v>
      </c>
      <c r="T27" s="21" t="str">
        <f t="shared" si="7"/>
        <v>tamoxifen-121ng/L + Testostérone</v>
      </c>
      <c r="U27" s="21" t="str">
        <f t="shared" si="7"/>
        <v>tamoxifen-60.4ng/L + Testostérone</v>
      </c>
      <c r="V27" s="21" t="str">
        <f t="shared" si="7"/>
        <v>tamoxifen-30.2ng/L + Testostérone</v>
      </c>
    </row>
    <row r="28" spans="1:22">
      <c r="A28" s="147" t="s">
        <v>72</v>
      </c>
      <c r="B28" s="77">
        <f>IF(B5="","",(B5/$O$23))</f>
        <v>0.18474367956760765</v>
      </c>
      <c r="C28" s="77">
        <f>IF(C5="","",(C5/$O$23))</f>
        <v>0.17409152891086663</v>
      </c>
      <c r="D28" s="77">
        <f>IF(D5="","",(D5/$O$23))</f>
        <v>0.6094078972695649</v>
      </c>
      <c r="E28" s="77">
        <f>IF(E5="","",(E5/$O$23))</f>
        <v>0.55640300932443376</v>
      </c>
      <c r="F28" s="77">
        <f>IF(F5="","",(F5/$O$23))</f>
        <v>1.6315521721928576</v>
      </c>
      <c r="G28" s="77">
        <f>IF(G5="","",(G5/$O$23))</f>
        <v>1.7167284891622883</v>
      </c>
      <c r="H28" s="77">
        <f>IF(H5="","",(H5/$O$23))</f>
        <v>3.2419952031049886</v>
      </c>
      <c r="I28" s="11">
        <f>IF(I5="","",(I5/$O$23))</f>
        <v>0.44199345030199516</v>
      </c>
      <c r="J28" s="11">
        <f>IF(J5="","",(J5/$O$23))</f>
        <v>0.10353678722327025</v>
      </c>
      <c r="K28" s="11">
        <f>IF(K5="","",(K5/$O$23))</f>
        <v>7.1017556932369941E-2</v>
      </c>
      <c r="L28" s="11">
        <f>IF(L5="","",(L5/$O$23))</f>
        <v>3.3520993261091772E-2</v>
      </c>
      <c r="M28" s="11">
        <f>IF(M5="","",(M5/$O$23))</f>
        <v>7.3220381903632323E-2</v>
      </c>
      <c r="N28" s="6"/>
      <c r="O28" s="77">
        <f t="shared" ref="O28:V28" si="8">IF(O5="","",(O5/$O$23))</f>
        <v>1.2395084020995601</v>
      </c>
      <c r="P28" s="77">
        <f t="shared" si="8"/>
        <v>0.66608106637022246</v>
      </c>
      <c r="Q28" s="77">
        <f t="shared" si="8"/>
        <v>0.1792795749230113</v>
      </c>
      <c r="R28" s="77">
        <f t="shared" si="8"/>
        <v>0.49364250280105521</v>
      </c>
      <c r="S28" s="77">
        <f t="shared" si="8"/>
        <v>0.24572579656371127</v>
      </c>
      <c r="T28" s="77">
        <f t="shared" si="8"/>
        <v>0.7465147186104869</v>
      </c>
      <c r="U28" s="77">
        <f t="shared" si="8"/>
        <v>0.23114222481010641</v>
      </c>
      <c r="V28" s="77">
        <f t="shared" si="8"/>
        <v>8.1557327518835321E-2</v>
      </c>
    </row>
    <row r="29" spans="1:22">
      <c r="A29" s="148"/>
      <c r="B29" s="77">
        <f>IF(B6="","",(B6/$O$23))</f>
        <v>0.10243506117717512</v>
      </c>
      <c r="C29" s="77">
        <f>IF(C6="","",(C6/$O$23))</f>
        <v>0.23334517520555437</v>
      </c>
      <c r="D29" s="77">
        <f>IF(D6="","",(D6/$O$23))</f>
        <v>1.2805510837696141</v>
      </c>
      <c r="E29" s="77">
        <f>IF(E6="","",(E6/$O$23))</f>
        <v>0.75895943172747282</v>
      </c>
      <c r="F29" s="77">
        <f>IF(F6="","",(F6/$O$23))</f>
        <v>1.8194777379243299</v>
      </c>
      <c r="G29" s="77">
        <f>IF(G6="","",(G6/$O$23))</f>
        <v>1.9309383234955175</v>
      </c>
      <c r="H29" s="77">
        <f>IF(H6="","",(H6/$O$23))</f>
        <v>1.8164190183107003</v>
      </c>
      <c r="I29" s="11">
        <f>IF(I6="","",(I6/$O$23))</f>
        <v>0.45623925472384524</v>
      </c>
      <c r="J29" s="11">
        <f>IF(J6="","",(J6/$O$23))</f>
        <v>0.22312047017325462</v>
      </c>
      <c r="K29" s="11">
        <f>IF(K6="","",(K6/$O$23))</f>
        <v>0.12259273458612602</v>
      </c>
      <c r="L29" s="11">
        <f>IF(L6="","",(L6/$O$23))</f>
        <v>0.21634768957636358</v>
      </c>
      <c r="M29" s="11">
        <f>IF(M6="","",(M6/$O$23))</f>
        <v>0.11480301469258888</v>
      </c>
      <c r="N29" s="6"/>
      <c r="O29" s="77">
        <f t="shared" ref="O29:V29" si="9">IF(O6="","",(O6/$O$23))</f>
        <v>1.4758941104118355</v>
      </c>
      <c r="P29" s="77">
        <f t="shared" si="9"/>
        <v>1.9797956844720381</v>
      </c>
      <c r="Q29" s="77">
        <f t="shared" si="9"/>
        <v>0.16995378502873112</v>
      </c>
      <c r="R29" s="77">
        <f t="shared" si="9"/>
        <v>0.50348090134178247</v>
      </c>
      <c r="S29" s="77">
        <f t="shared" si="9"/>
        <v>0.27812160945600528</v>
      </c>
      <c r="T29" s="77">
        <f t="shared" si="9"/>
        <v>0.40713418098081289</v>
      </c>
      <c r="U29" s="77">
        <f t="shared" si="9"/>
        <v>0.25520849211414637</v>
      </c>
      <c r="V29" s="77">
        <f t="shared" si="9"/>
        <v>1.1288531652239528</v>
      </c>
    </row>
    <row r="30" spans="1:22">
      <c r="A30" s="148"/>
      <c r="B30" s="77">
        <f>IF(B7="","",(B7/$O$23))</f>
        <v>0.31285884104462258</v>
      </c>
      <c r="C30" s="77">
        <f>IF(C7="","",(C7/$O$23))</f>
        <v>0.19258908779954029</v>
      </c>
      <c r="D30" s="77">
        <f>IF(D7="","",(D7/$O$23))</f>
        <v>0.32641431074906513</v>
      </c>
      <c r="E30" s="77">
        <f>IF(E7="","",(E7/$O$23))</f>
        <v>1.0702662738997843</v>
      </c>
      <c r="F30" s="77">
        <f>IF(F7="","",(F7/$O$23))</f>
        <v>1.3223683852097825</v>
      </c>
      <c r="G30" s="77">
        <f>IF(G7="","",(G7/$O$23))</f>
        <v>1.5867847684837681</v>
      </c>
      <c r="H30" s="77">
        <f>IF(H7="","",(H7/$O$23))</f>
        <v>2.5540745249972479</v>
      </c>
      <c r="I30" s="11">
        <f>IF(I7="","",(I7/$O$23))</f>
        <v>0.43315844524587188</v>
      </c>
      <c r="J30" s="11">
        <f>IF(J7="","",(J7/$O$23))</f>
        <v>1.2033948909226228E-2</v>
      </c>
      <c r="K30" s="11">
        <f>IF(K7="","",(K7/$O$23))</f>
        <v>0.162601042997739</v>
      </c>
      <c r="L30" s="11">
        <f>IF(L7="","",(L7/$O$23))</f>
        <v>2.6910135287778698E-2</v>
      </c>
      <c r="M30" s="11">
        <f>IF(M7="","",(M7/$O$23))</f>
        <v>5.8915126417819492E-2</v>
      </c>
      <c r="N30" s="6"/>
      <c r="O30" s="77">
        <f t="shared" ref="O30:V30" si="10">IF(O7="","",(O7/$O$23))</f>
        <v>1.2962598358920168</v>
      </c>
      <c r="P30" s="77">
        <f t="shared" si="10"/>
        <v>1.6420393900455668</v>
      </c>
      <c r="Q30" s="77">
        <f t="shared" si="10"/>
        <v>0.21997520787157798</v>
      </c>
      <c r="R30" s="77">
        <f t="shared" si="10"/>
        <v>0.8719582195105583</v>
      </c>
      <c r="S30" s="77">
        <f t="shared" si="10"/>
        <v>0.52091135125957988</v>
      </c>
      <c r="T30" s="77">
        <f t="shared" si="10"/>
        <v>1.2582610737816944</v>
      </c>
      <c r="U30" s="77">
        <f t="shared" si="10"/>
        <v>0.85886945320064223</v>
      </c>
      <c r="V30" s="77">
        <f t="shared" si="10"/>
        <v>0.72638777412700206</v>
      </c>
    </row>
    <row r="31" spans="1:22">
      <c r="A31" s="148"/>
      <c r="B31" s="77">
        <f>IF(B8="","",(B8/$O$23))</f>
        <v>7.9691768182585443E-2</v>
      </c>
      <c r="C31" s="77">
        <f>IF(C8="","",(C8/$O$23))</f>
        <v>0.22684657187833135</v>
      </c>
      <c r="D31" s="77">
        <f>IF(D8="","",(D8/$O$23))</f>
        <v>0.57968650428629709</v>
      </c>
      <c r="E31" s="77">
        <f>IF(E8="","",(E8/$O$23))</f>
        <v>1.4709478822294804</v>
      </c>
      <c r="F31" s="77">
        <f>IF(F8="","",(F8/$O$23))</f>
        <v>1.6394058584210383</v>
      </c>
      <c r="G31" s="77">
        <f>IF(G8="","",(G8/$O$23))</f>
        <v>2.1885392819495162</v>
      </c>
      <c r="H31" s="77">
        <f>IF(H8="","",(H8/$O$23))</f>
        <v>1.9409927024838056</v>
      </c>
      <c r="I31" s="11">
        <f>IF(I8="","",(I8/$O$23))</f>
        <v>0.43578984465924575</v>
      </c>
      <c r="J31" s="11">
        <f>IF(J8="","",(J8/$O$23))</f>
        <v>1.584546448467988E-2</v>
      </c>
      <c r="K31" s="11">
        <f>IF(K8="","",(K8/$O$23))</f>
        <v>0.33707875297599255</v>
      </c>
      <c r="L31" s="11">
        <f>IF(L8="","",(L8/$O$23))</f>
        <v>5.5682568882982314E-2</v>
      </c>
      <c r="M31" s="11">
        <f>IF(M8="","",(M8/$O$23))</f>
        <v>6.4414098986005822E-2</v>
      </c>
      <c r="N31" s="6"/>
      <c r="O31" s="77">
        <f t="shared" ref="O31:V31" si="11">IF(O8="","",(O8/$O$23))</f>
        <v>1.017658855198742</v>
      </c>
      <c r="P31" s="77">
        <f t="shared" si="11"/>
        <v>1.7468774531941829</v>
      </c>
      <c r="Q31" s="77">
        <f t="shared" si="11"/>
        <v>0.40746392116469088</v>
      </c>
      <c r="R31" s="77">
        <f t="shared" si="11"/>
        <v>0.45850604602975109</v>
      </c>
      <c r="S31" s="77">
        <f t="shared" si="11"/>
        <v>0.76518824763152304</v>
      </c>
      <c r="T31" s="77">
        <f t="shared" si="11"/>
        <v>1.4077332147301331</v>
      </c>
      <c r="U31" s="77">
        <f t="shared" si="11"/>
        <v>0.12840250828616842</v>
      </c>
      <c r="V31" s="77">
        <f t="shared" si="11"/>
        <v>0.51490654295096749</v>
      </c>
    </row>
    <row r="32" spans="1:22">
      <c r="A32" s="148"/>
      <c r="B32" s="77">
        <f>IF(B9="","",(B9/$O$23))</f>
        <v>6.5361302435471946E-2</v>
      </c>
      <c r="C32" s="77">
        <f>IF(C9="","",(C9/$O$23))</f>
        <v>0.50761952319321701</v>
      </c>
      <c r="D32" s="77">
        <f>IF(D9="","",(D9/$O$23))</f>
        <v>0.33422284427043858</v>
      </c>
      <c r="E32" s="77">
        <f>IF(E9="","",(E9/$O$23))</f>
        <v>1.4446831798006732</v>
      </c>
      <c r="F32" s="77">
        <f>IF(F9="","",(F9/$O$23))</f>
        <v>1.13435778188049</v>
      </c>
      <c r="G32" s="77">
        <f>IF(G9="","",(G9/$O$23))</f>
        <v>1.4786609679456308</v>
      </c>
      <c r="H32" s="77">
        <f>IF(H9="","",(H9/$O$23))</f>
        <v>2.9596580867717912</v>
      </c>
      <c r="I32" s="11">
        <f>IF(I9="","",(I9/$O$23))</f>
        <v>0.7116134321871368</v>
      </c>
      <c r="J32" s="11">
        <f>IF(J9="","",(J9/$O$23))</f>
        <v>6.2898096854954844E-2</v>
      </c>
      <c r="K32" s="11">
        <f>IF(K9="","",(K9/$O$23))</f>
        <v>9.8619281179411905E-2</v>
      </c>
      <c r="L32" s="11">
        <f>IF(L9="","",(L9/$O$23))</f>
        <v>5.6734877799960698E-2</v>
      </c>
      <c r="M32" s="11">
        <f>IF(M9="","",(M9/$O$23))</f>
        <v>3.4729956985853945E-4</v>
      </c>
      <c r="N32" s="6"/>
      <c r="O32" s="77">
        <f t="shared" ref="O32:V32" si="12">IF(O9="","",(O9/$O$23))</f>
        <v>1.7049606903748531</v>
      </c>
      <c r="P32" s="77">
        <f t="shared" si="12"/>
        <v>1.5512256322070745</v>
      </c>
      <c r="Q32" s="77">
        <f t="shared" si="12"/>
        <v>0.23458725091530847</v>
      </c>
      <c r="R32" s="77">
        <f t="shared" si="12"/>
        <v>0.95974047478369096</v>
      </c>
      <c r="S32" s="77">
        <f t="shared" si="12"/>
        <v>0.86897638492268658</v>
      </c>
      <c r="T32" s="77">
        <f t="shared" si="12"/>
        <v>1.1070437807151583</v>
      </c>
      <c r="U32" s="77">
        <f t="shared" si="12"/>
        <v>0.68619132943702577</v>
      </c>
      <c r="V32" s="77">
        <f t="shared" si="12"/>
        <v>0.42641764781630259</v>
      </c>
    </row>
    <row r="33" spans="1:22">
      <c r="A33" s="148"/>
      <c r="B33" s="77">
        <f>IF(B10="","",(B10/$O$23))</f>
        <v>0.32750249098311812</v>
      </c>
      <c r="C33" s="77">
        <f>IF(C10="","",(C10/$O$23))</f>
        <v>0.39166561617378737</v>
      </c>
      <c r="D33" s="77">
        <f>IF(D10="","",(D10/$O$23))</f>
        <v>0.42602218535918307</v>
      </c>
      <c r="E33" s="77">
        <f>IF(E10="","",(E10/$O$23))</f>
        <v>0.81383163494745192</v>
      </c>
      <c r="F33" s="77">
        <f>IF(F10="","",(F10/$O$23))</f>
        <v>2.0620956485936661</v>
      </c>
      <c r="G33" s="77">
        <f>IF(G10="","",(G10/$O$23))</f>
        <v>1.7786196806554431</v>
      </c>
      <c r="H33" s="77">
        <f>IF(H10="","",(H10/$O$23))</f>
        <v>3.1770578344167619</v>
      </c>
      <c r="I33" s="11">
        <f>IF(I10="","",(I10/$O$23))</f>
        <v>0.13778060006583359</v>
      </c>
      <c r="J33" s="11">
        <f>IF(J10="","",(J10/$O$23))</f>
        <v>0.33240582409400643</v>
      </c>
      <c r="K33" s="11">
        <f>IF(K10="","",(K10/$O$23))</f>
        <v>0.14393077500552787</v>
      </c>
      <c r="L33" s="11">
        <f>IF(L10="","",(L10/$O$23))</f>
        <v>0.13335576022291579</v>
      </c>
      <c r="M33" s="11">
        <f>IF(M10="","",(M10/$O$23))</f>
        <v>0.22728593280040232</v>
      </c>
      <c r="N33" s="6"/>
      <c r="O33" s="77">
        <f t="shared" ref="O33:V33" si="13">IF(O10="","",(O10/$O$23))</f>
        <v>1.5086561619260099</v>
      </c>
      <c r="P33" s="77">
        <f t="shared" si="13"/>
        <v>0.66705573771632953</v>
      </c>
      <c r="Q33" s="77">
        <f t="shared" si="13"/>
        <v>0.11243626031077934</v>
      </c>
      <c r="R33" s="77">
        <f t="shared" si="13"/>
        <v>1.3325733986449468</v>
      </c>
      <c r="S33" s="77">
        <f t="shared" si="13"/>
        <v>0.87202318923868638</v>
      </c>
      <c r="T33" s="77">
        <f t="shared" si="13"/>
        <v>0.63845400643769423</v>
      </c>
      <c r="U33" s="77">
        <f t="shared" si="13"/>
        <v>0.7688214100150883</v>
      </c>
      <c r="V33" s="77">
        <f t="shared" si="13"/>
        <v>0.62146091065499853</v>
      </c>
    </row>
    <row r="34" spans="1:22">
      <c r="A34" s="148"/>
      <c r="B34" s="77">
        <f>IF(B11="","",(B11/$O$23))</f>
        <v>0.16702550656810009</v>
      </c>
      <c r="C34" s="77">
        <f>IF(C11="","",(C11/$O$23))</f>
        <v>0.48944279937124541</v>
      </c>
      <c r="D34" s="77">
        <f>IF(D11="","",(D11/$O$23))</f>
        <v>0.58335102271625627</v>
      </c>
      <c r="E34" s="77">
        <f>IF(E11="","",(E11/$O$23))</f>
        <v>0.69235530103713339</v>
      </c>
      <c r="F34" s="77">
        <f>IF(F11="","",(F11/$O$23))</f>
        <v>2.3463452329085186</v>
      </c>
      <c r="G34" s="77">
        <f>IF(G11="","",(G11/$O$23))</f>
        <v>2.4209955759518973</v>
      </c>
      <c r="H34" s="77">
        <f>IF(H11="","",(H11/$O$23))</f>
        <v>2.1139585493291322</v>
      </c>
      <c r="I34" s="11">
        <f>IF(I11="","",(I11/$O$23))</f>
        <v>0.81075096610134667</v>
      </c>
      <c r="J34" s="11">
        <f>IF(J11="","",(J11/$O$23))</f>
        <v>9.9340093973914259E-2</v>
      </c>
      <c r="K34" s="11">
        <f>IF(K11="","",(K11/$O$23))</f>
        <v>0.29333782080165294</v>
      </c>
      <c r="L34" s="11">
        <f>IF(L11="","",(L11/$O$23))</f>
        <v>3.6337267924003887E-2</v>
      </c>
      <c r="M34" s="11">
        <f>IF(M11="","",(M11/$O$23))</f>
        <v>0.14295798502220436</v>
      </c>
      <c r="N34" s="6"/>
      <c r="O34" s="77">
        <f t="shared" ref="O34:V34" si="14">IF(O11="","",(O11/$O$23))</f>
        <v>1.6255487435502867</v>
      </c>
      <c r="P34" s="77">
        <f t="shared" si="14"/>
        <v>1.0237163416652959</v>
      </c>
      <c r="Q34" s="77">
        <f t="shared" si="14"/>
        <v>0.25428775316783669</v>
      </c>
      <c r="R34" s="77">
        <f t="shared" si="14"/>
        <v>0.47527852067001947</v>
      </c>
      <c r="S34" s="77">
        <f t="shared" si="14"/>
        <v>0.5698548786515909</v>
      </c>
      <c r="T34" s="77">
        <f t="shared" si="14"/>
        <v>0.23265948118301313</v>
      </c>
      <c r="U34" s="77">
        <f t="shared" si="14"/>
        <v>0.5608352491943005</v>
      </c>
      <c r="V34" s="77">
        <f t="shared" si="14"/>
        <v>0.45426194243824758</v>
      </c>
    </row>
    <row r="35" spans="1:22">
      <c r="A35" s="148"/>
      <c r="B35" s="77">
        <f>IF(B12="","",(B12/$O$23))</f>
        <v>7.4564552900444878E-2</v>
      </c>
      <c r="C35" s="77">
        <f>IF(C12="","",(C12/$O$23))</f>
        <v>9.874558333428643E-2</v>
      </c>
      <c r="D35" s="77">
        <f>IF(D12="","",(D12/$O$23))</f>
        <v>0.54672678425565568</v>
      </c>
      <c r="E35" s="77">
        <f>IF(E12="","",(E12/$O$23))</f>
        <v>1.4684644833550857</v>
      </c>
      <c r="F35" s="77">
        <f>IF(F12="","",(F12/$O$23))</f>
        <v>1.7804145007510284</v>
      </c>
      <c r="G35" s="77">
        <f>IF(G12="","",(G12/$O$23))</f>
        <v>1.7044388003386735</v>
      </c>
      <c r="H35" s="77">
        <f>IF(H12="","",(H12/$O$23))</f>
        <v>2.7771976290783997</v>
      </c>
      <c r="I35" s="11">
        <f>IF(I12="","",(I12/$O$23))</f>
        <v>0.78337663590275308</v>
      </c>
      <c r="J35" s="11">
        <f>IF(J12="","",(J12/$O$23))</f>
        <v>4.1421337286306488E-2</v>
      </c>
      <c r="K35" s="11">
        <f>IF(K12="","",(K12/$O$23))</f>
        <v>7.4826940296668809E-2</v>
      </c>
      <c r="L35" s="11">
        <f>IF(L12="","",(L12/$O$23))</f>
        <v>0.1202150683001714</v>
      </c>
      <c r="M35" s="11">
        <f>IF(M12="","",(M12/$O$23))</f>
        <v>1.0646882840946854E-2</v>
      </c>
      <c r="N35" s="6"/>
      <c r="O35" s="77">
        <f t="shared" ref="O35:V35" si="15">IF(O12="","",(O12/$O$23))</f>
        <v>0.72319171503016733</v>
      </c>
      <c r="P35" s="77">
        <f t="shared" si="15"/>
        <v>2.2049384942135122</v>
      </c>
      <c r="Q35" s="77">
        <f t="shared" si="15"/>
        <v>0.2247919982944192</v>
      </c>
      <c r="R35" s="77">
        <f t="shared" si="15"/>
        <v>0.97180314583141392</v>
      </c>
      <c r="S35" s="77">
        <f t="shared" si="15"/>
        <v>0.8783396766484538</v>
      </c>
      <c r="T35" s="77">
        <f t="shared" si="15"/>
        <v>0.78763930227372181</v>
      </c>
      <c r="U35" s="77">
        <f t="shared" si="15"/>
        <v>0.38831164802731311</v>
      </c>
      <c r="V35" s="77">
        <f t="shared" si="15"/>
        <v>0.48005555162603325</v>
      </c>
    </row>
    <row r="36" spans="1:22" s="1" customFormat="1">
      <c r="A36" s="148"/>
      <c r="B36" s="11" t="str">
        <f>IF(B13="","",(B13/$O$23))</f>
        <v/>
      </c>
      <c r="C36" s="11" t="str">
        <f>IF(C13="","",(C13/$O$23))</f>
        <v/>
      </c>
      <c r="D36" s="11" t="str">
        <f>IF(D13="","",(D13/$O$23))</f>
        <v/>
      </c>
      <c r="E36" s="11" t="str">
        <f>IF(E13="","",(E13/$O$23))</f>
        <v/>
      </c>
      <c r="F36" s="11" t="str">
        <f>IF(F13="","",(F13/$O$23))</f>
        <v/>
      </c>
      <c r="G36" s="11" t="str">
        <f>IF(G13="","",(G13/$O$23))</f>
        <v/>
      </c>
      <c r="H36" s="11" t="str">
        <f>IF(H13="","",(H13/$O$23))</f>
        <v/>
      </c>
      <c r="I36" s="11" t="str">
        <f>IF(I13="","",(I13/$O$23))</f>
        <v/>
      </c>
      <c r="J36" s="11" t="str">
        <f>IF(J13="","",(J13/$O$23))</f>
        <v/>
      </c>
      <c r="K36" s="11" t="str">
        <f>IF(K13="","",(K13/$O$23))</f>
        <v/>
      </c>
      <c r="L36" s="11" t="str">
        <f>IF(L13="","",(L13/$O$23))</f>
        <v/>
      </c>
      <c r="M36" s="11" t="str">
        <f>IF(M13="","",(M13/$O$23))</f>
        <v/>
      </c>
      <c r="N36" s="6"/>
      <c r="O36" s="11">
        <f t="shared" ref="O36:V36" si="16">IF(O13="","",(O13/$O$23))</f>
        <v>0.68527761424510836</v>
      </c>
      <c r="P36" s="11" t="str">
        <f t="shared" si="16"/>
        <v/>
      </c>
      <c r="Q36" s="11" t="str">
        <f t="shared" si="16"/>
        <v/>
      </c>
      <c r="R36" s="11" t="str">
        <f t="shared" si="16"/>
        <v/>
      </c>
      <c r="S36" s="11" t="str">
        <f t="shared" si="16"/>
        <v/>
      </c>
      <c r="T36" s="11" t="str">
        <f t="shared" si="16"/>
        <v/>
      </c>
      <c r="U36" s="11" t="str">
        <f t="shared" si="16"/>
        <v/>
      </c>
      <c r="V36" s="11" t="str">
        <f t="shared" si="16"/>
        <v/>
      </c>
    </row>
    <row r="37" spans="1:22" s="1" customFormat="1">
      <c r="A37" s="148"/>
      <c r="B37" s="11" t="str">
        <f>IF(B14="","",(B14/$O$23))</f>
        <v/>
      </c>
      <c r="C37" s="11" t="str">
        <f>IF(C14="","",(C14/$O$23))</f>
        <v/>
      </c>
      <c r="D37" s="11" t="str">
        <f>IF(D14="","",(D14/$O$23))</f>
        <v/>
      </c>
      <c r="E37" s="11" t="str">
        <f>IF(E14="","",(E14/$O$23))</f>
        <v/>
      </c>
      <c r="F37" s="11" t="str">
        <f>IF(F14="","",(F14/$O$23))</f>
        <v/>
      </c>
      <c r="G37" s="11" t="str">
        <f>IF(G14="","",(G14/$O$23))</f>
        <v/>
      </c>
      <c r="H37" s="11" t="str">
        <f>IF(H14="","",(H14/$O$23))</f>
        <v/>
      </c>
      <c r="I37" s="11" t="str">
        <f>IF(I14="","",(I14/$O$23))</f>
        <v/>
      </c>
      <c r="J37" s="11" t="str">
        <f>IF(J14="","",(J14/$O$23))</f>
        <v/>
      </c>
      <c r="K37" s="11" t="str">
        <f>IF(K14="","",(K14/$O$23))</f>
        <v/>
      </c>
      <c r="L37" s="11" t="str">
        <f>IF(L14="","",(L14/$O$23))</f>
        <v/>
      </c>
      <c r="M37" s="11" t="str">
        <f>IF(M14="","",(M14/$O$23))</f>
        <v/>
      </c>
      <c r="N37" s="6"/>
      <c r="O37" s="11">
        <f t="shared" ref="O37:V37" si="17">IF(O14="","",(O14/$O$23))</f>
        <v>0.80849759518329734</v>
      </c>
      <c r="P37" s="11" t="str">
        <f t="shared" si="17"/>
        <v/>
      </c>
      <c r="Q37" s="11" t="str">
        <f t="shared" si="17"/>
        <v/>
      </c>
      <c r="R37" s="11" t="str">
        <f t="shared" si="17"/>
        <v/>
      </c>
      <c r="S37" s="11" t="str">
        <f t="shared" si="17"/>
        <v/>
      </c>
      <c r="T37" s="11" t="str">
        <f t="shared" si="17"/>
        <v/>
      </c>
      <c r="U37" s="11" t="str">
        <f t="shared" si="17"/>
        <v/>
      </c>
      <c r="V37" s="11" t="str">
        <f t="shared" si="17"/>
        <v/>
      </c>
    </row>
    <row r="38" spans="1:22" s="1" customFormat="1">
      <c r="A38" s="148"/>
      <c r="B38" s="11" t="str">
        <f>IF(B15="","",(B15/$O$23))</f>
        <v/>
      </c>
      <c r="C38" s="11" t="str">
        <f>IF(C15="","",(C15/$O$23))</f>
        <v/>
      </c>
      <c r="D38" s="11" t="str">
        <f>IF(D15="","",(D15/$O$23))</f>
        <v/>
      </c>
      <c r="E38" s="11" t="str">
        <f>IF(E15="","",(E15/$O$23))</f>
        <v/>
      </c>
      <c r="F38" s="11" t="str">
        <f>IF(F15="","",(F15/$O$23))</f>
        <v/>
      </c>
      <c r="G38" s="11" t="str">
        <f>IF(G15="","",(G15/$O$23))</f>
        <v/>
      </c>
      <c r="H38" s="11" t="str">
        <f>IF(H15="","",(H15/$O$23))</f>
        <v/>
      </c>
      <c r="I38" s="11" t="str">
        <f>IF(I15="","",(I15/$O$23))</f>
        <v/>
      </c>
      <c r="J38" s="11" t="str">
        <f>IF(J15="","",(J15/$O$23))</f>
        <v/>
      </c>
      <c r="K38" s="11" t="str">
        <f>IF(K15="","",(K15/$O$23))</f>
        <v/>
      </c>
      <c r="L38" s="11" t="str">
        <f>IF(L15="","",(L15/$O$23))</f>
        <v/>
      </c>
      <c r="M38" s="11" t="str">
        <f>IF(M15="","",(M15/$O$23))</f>
        <v/>
      </c>
      <c r="N38" s="6"/>
      <c r="O38" s="11">
        <f t="shared" ref="O38:R38" si="18">IF(O15="","",(O15/$O$23))</f>
        <v>0.45476150696939477</v>
      </c>
      <c r="P38" s="11" t="str">
        <f t="shared" si="18"/>
        <v/>
      </c>
      <c r="Q38" s="11" t="str">
        <f t="shared" si="18"/>
        <v/>
      </c>
      <c r="R38" s="11" t="str">
        <f t="shared" si="18"/>
        <v/>
      </c>
      <c r="S38" s="11" t="str">
        <f t="shared" ref="S38:V38" si="19">IF(S15="","",(S15/$O$23))</f>
        <v/>
      </c>
      <c r="T38" s="11" t="str">
        <f t="shared" si="19"/>
        <v/>
      </c>
      <c r="U38" s="11" t="str">
        <f t="shared" si="19"/>
        <v/>
      </c>
      <c r="V38" s="11" t="str">
        <f t="shared" si="19"/>
        <v/>
      </c>
    </row>
    <row r="39" spans="1:22" s="1" customFormat="1">
      <c r="A39" s="148"/>
      <c r="B39" s="11" t="str">
        <f>IF(B16="","",(B16/$O$23))</f>
        <v/>
      </c>
      <c r="C39" s="11" t="str">
        <f>IF(C16="","",(C16/$O$23))</f>
        <v/>
      </c>
      <c r="D39" s="11" t="str">
        <f>IF(D16="","",(D16/$O$23))</f>
        <v/>
      </c>
      <c r="E39" s="11" t="str">
        <f>IF(E16="","",(E16/$O$23))</f>
        <v/>
      </c>
      <c r="F39" s="11" t="str">
        <f>IF(F16="","",(F16/$O$23))</f>
        <v/>
      </c>
      <c r="G39" s="11" t="str">
        <f>IF(G16="","",(G16/$O$23))</f>
        <v/>
      </c>
      <c r="H39" s="11" t="str">
        <f>IF(H16="","",(H16/$O$23))</f>
        <v/>
      </c>
      <c r="I39" s="11" t="str">
        <f>IF(I16="","",(I16/$O$23))</f>
        <v/>
      </c>
      <c r="J39" s="11" t="str">
        <f>IF(J16="","",(J16/$O$23))</f>
        <v/>
      </c>
      <c r="K39" s="11" t="str">
        <f>IF(K16="","",(K16/$O$23))</f>
        <v/>
      </c>
      <c r="L39" s="11" t="str">
        <f>IF(L16="","",(L16/$O$23))</f>
        <v/>
      </c>
      <c r="M39" s="11" t="str">
        <f>IF(M16="","",(M16/$O$23))</f>
        <v/>
      </c>
      <c r="N39" s="6"/>
      <c r="O39" s="11">
        <f t="shared" ref="O39:R39" si="20">IF(O16="","",(O16/$O$23))</f>
        <v>1.3565688012841368</v>
      </c>
      <c r="P39" s="11" t="str">
        <f t="shared" si="20"/>
        <v/>
      </c>
      <c r="Q39" s="11" t="str">
        <f t="shared" si="20"/>
        <v/>
      </c>
      <c r="R39" s="11" t="str">
        <f t="shared" si="20"/>
        <v/>
      </c>
      <c r="S39" s="11" t="str">
        <f t="shared" ref="S39:V39" si="21">IF(S16="","",(S16/$O$23))</f>
        <v/>
      </c>
      <c r="T39" s="11" t="str">
        <f t="shared" si="21"/>
        <v/>
      </c>
      <c r="U39" s="11" t="str">
        <f t="shared" si="21"/>
        <v/>
      </c>
      <c r="V39" s="11" t="str">
        <f t="shared" si="21"/>
        <v/>
      </c>
    </row>
    <row r="40" spans="1:22" s="1" customFormat="1">
      <c r="A40" s="148"/>
      <c r="B40" s="11" t="str">
        <f>IF(B17="","",(B17/$O$23))</f>
        <v/>
      </c>
      <c r="C40" s="11" t="str">
        <f>IF(C17="","",(C17/$O$23))</f>
        <v/>
      </c>
      <c r="D40" s="11" t="str">
        <f>IF(D17="","",(D17/$O$23))</f>
        <v/>
      </c>
      <c r="E40" s="11" t="str">
        <f>IF(E17="","",(E17/$O$23))</f>
        <v/>
      </c>
      <c r="F40" s="11" t="str">
        <f>IF(F17="","",(F17/$O$23))</f>
        <v/>
      </c>
      <c r="G40" s="11" t="str">
        <f>IF(G17="","",(G17/$O$23))</f>
        <v/>
      </c>
      <c r="H40" s="11" t="str">
        <f>IF(H17="","",(H17/$O$23))</f>
        <v/>
      </c>
      <c r="I40" s="11" t="str">
        <f>IF(I17="","",(I17/$O$23))</f>
        <v/>
      </c>
      <c r="J40" s="11" t="str">
        <f>IF(J17="","",(J17/$O$23))</f>
        <v/>
      </c>
      <c r="K40" s="11" t="str">
        <f>IF(K17="","",(K17/$O$23))</f>
        <v/>
      </c>
      <c r="L40" s="11" t="str">
        <f>IF(L17="","",(L17/$O$23))</f>
        <v/>
      </c>
      <c r="M40" s="11" t="str">
        <f>IF(M17="","",(M17/$O$23))</f>
        <v/>
      </c>
      <c r="N40" s="6"/>
      <c r="O40" s="11">
        <f t="shared" ref="O40:R40" si="22">IF(O17="","",(O17/$O$23))</f>
        <v>0.14051647782579182</v>
      </c>
      <c r="P40" s="11" t="str">
        <f t="shared" si="22"/>
        <v/>
      </c>
      <c r="Q40" s="11" t="str">
        <f t="shared" si="22"/>
        <v/>
      </c>
      <c r="R40" s="11" t="str">
        <f t="shared" si="22"/>
        <v/>
      </c>
      <c r="S40" s="11" t="str">
        <f t="shared" ref="S40:V40" si="23">IF(S17="","",(S17/$O$23))</f>
        <v/>
      </c>
      <c r="T40" s="11" t="str">
        <f t="shared" si="23"/>
        <v/>
      </c>
      <c r="U40" s="11" t="str">
        <f t="shared" si="23"/>
        <v/>
      </c>
      <c r="V40" s="11" t="str">
        <f t="shared" si="23"/>
        <v/>
      </c>
    </row>
    <row r="41" spans="1:22" s="1" customFormat="1">
      <c r="A41" s="148"/>
      <c r="B41" s="11" t="str">
        <f>IF(B18="","",(B18/$O$23))</f>
        <v/>
      </c>
      <c r="C41" s="11" t="str">
        <f>IF(C18="","",(C18/$O$23))</f>
        <v/>
      </c>
      <c r="D41" s="11" t="str">
        <f>IF(D18="","",(D18/$O$23))</f>
        <v/>
      </c>
      <c r="E41" s="11" t="str">
        <f>IF(E18="","",(E18/$O$23))</f>
        <v/>
      </c>
      <c r="F41" s="11" t="str">
        <f>IF(F18="","",(F18/$O$23))</f>
        <v/>
      </c>
      <c r="G41" s="11" t="str">
        <f>IF(G18="","",(G18/$O$23))</f>
        <v/>
      </c>
      <c r="H41" s="11" t="str">
        <f>IF(H18="","",(H18/$O$23))</f>
        <v/>
      </c>
      <c r="I41" s="11" t="str">
        <f>IF(I18="","",(I18/$O$23))</f>
        <v/>
      </c>
      <c r="J41" s="11" t="str">
        <f>IF(J18="","",(J18/$O$23))</f>
        <v/>
      </c>
      <c r="K41" s="11" t="str">
        <f>IF(K18="","",(K18/$O$23))</f>
        <v/>
      </c>
      <c r="L41" s="11" t="str">
        <f>IF(L18="","",(L18/$O$23))</f>
        <v/>
      </c>
      <c r="M41" s="11" t="str">
        <f>IF(M18="","",(M18/$O$23))</f>
        <v/>
      </c>
      <c r="N41" s="6"/>
      <c r="O41" s="11">
        <f t="shared" ref="O41:R41" si="24">IF(O18="","",(O18/$O$23))</f>
        <v>0.61635313612162224</v>
      </c>
      <c r="P41" s="11" t="str">
        <f t="shared" si="24"/>
        <v/>
      </c>
      <c r="Q41" s="11" t="str">
        <f t="shared" si="24"/>
        <v/>
      </c>
      <c r="R41" s="11" t="str">
        <f t="shared" si="24"/>
        <v/>
      </c>
      <c r="S41" s="11" t="str">
        <f t="shared" ref="S41:V41" si="25">IF(S18="","",(S18/$O$23))</f>
        <v/>
      </c>
      <c r="T41" s="11" t="str">
        <f t="shared" si="25"/>
        <v/>
      </c>
      <c r="U41" s="11" t="str">
        <f t="shared" si="25"/>
        <v/>
      </c>
      <c r="V41" s="11" t="str">
        <f t="shared" si="25"/>
        <v/>
      </c>
    </row>
    <row r="42" spans="1:22" s="1" customFormat="1">
      <c r="A42" s="148"/>
      <c r="B42" s="11" t="str">
        <f>IF(B19="","",(B19/$O$23))</f>
        <v/>
      </c>
      <c r="C42" s="11" t="str">
        <f>IF(C19="","",(C19/$O$23))</f>
        <v/>
      </c>
      <c r="D42" s="11" t="str">
        <f>IF(D19="","",(D19/$O$23))</f>
        <v/>
      </c>
      <c r="E42" s="11" t="str">
        <f>IF(E19="","",(E19/$O$23))</f>
        <v/>
      </c>
      <c r="F42" s="11" t="str">
        <f>IF(F19="","",(F19/$O$23))</f>
        <v/>
      </c>
      <c r="G42" s="11" t="str">
        <f>IF(G19="","",(G19/$O$23))</f>
        <v/>
      </c>
      <c r="H42" s="11" t="str">
        <f>IF(H19="","",(H19/$O$23))</f>
        <v/>
      </c>
      <c r="I42" s="11" t="str">
        <f>IF(I19="","",(I19/$O$23))</f>
        <v/>
      </c>
      <c r="J42" s="11" t="str">
        <f>IF(J19="","",(J19/$O$23))</f>
        <v/>
      </c>
      <c r="K42" s="11" t="str">
        <f>IF(K19="","",(K19/$O$23))</f>
        <v/>
      </c>
      <c r="L42" s="11" t="str">
        <f>IF(L19="","",(L19/$O$23))</f>
        <v/>
      </c>
      <c r="M42" s="11" t="str">
        <f>IF(M19="","",(M19/$O$23))</f>
        <v/>
      </c>
      <c r="N42" s="6"/>
      <c r="O42" s="11">
        <f t="shared" ref="O42:R42" si="26">IF(O19="","",(O19/$O$23))</f>
        <v>0.76003858142016445</v>
      </c>
      <c r="P42" s="11" t="str">
        <f t="shared" si="26"/>
        <v/>
      </c>
      <c r="Q42" s="11" t="str">
        <f t="shared" si="26"/>
        <v/>
      </c>
      <c r="R42" s="11" t="str">
        <f t="shared" si="26"/>
        <v/>
      </c>
      <c r="S42" s="11" t="str">
        <f t="shared" ref="S42:V42" si="27">IF(S19="","",(S19/$O$23))</f>
        <v/>
      </c>
      <c r="T42" s="11" t="str">
        <f t="shared" si="27"/>
        <v/>
      </c>
      <c r="U42" s="11" t="str">
        <f t="shared" si="27"/>
        <v/>
      </c>
      <c r="V42" s="11" t="str">
        <f t="shared" si="27"/>
        <v/>
      </c>
    </row>
    <row r="43" spans="1:22" s="1" customFormat="1">
      <c r="A43" s="148"/>
      <c r="B43" s="11" t="str">
        <f>IF(B20="","",(B20/$O$23))</f>
        <v/>
      </c>
      <c r="C43" s="11" t="str">
        <f>IF(C20="","",(C20/$O$23))</f>
        <v/>
      </c>
      <c r="D43" s="11" t="str">
        <f>IF(D20="","",(D20/$O$23))</f>
        <v/>
      </c>
      <c r="E43" s="11" t="str">
        <f>IF(E20="","",(E20/$O$23))</f>
        <v/>
      </c>
      <c r="F43" s="11" t="str">
        <f>IF(F20="","",(F20/$O$23))</f>
        <v/>
      </c>
      <c r="G43" s="11" t="str">
        <f>IF(G20="","",(G20/$O$23))</f>
        <v/>
      </c>
      <c r="H43" s="11" t="str">
        <f>IF(H20="","",(H20/$O$23))</f>
        <v/>
      </c>
      <c r="I43" s="11" t="str">
        <f>IF(I20="","",(I20/$O$23))</f>
        <v/>
      </c>
      <c r="J43" s="11" t="str">
        <f>IF(J20="","",(J20/$O$23))</f>
        <v/>
      </c>
      <c r="K43" s="11" t="str">
        <f>IF(K20="","",(K20/$O$23))</f>
        <v/>
      </c>
      <c r="L43" s="11" t="str">
        <f>IF(L20="","",(L20/$O$23))</f>
        <v/>
      </c>
      <c r="M43" s="11" t="str">
        <f>IF(M20="","",(M20/$O$23))</f>
        <v/>
      </c>
      <c r="N43" s="6"/>
      <c r="O43" s="11">
        <f t="shared" ref="O43:R43" si="28">IF(O20="","",(O20/$O$23))</f>
        <v>0.58630777246701293</v>
      </c>
      <c r="P43" s="11" t="str">
        <f t="shared" si="28"/>
        <v/>
      </c>
      <c r="Q43" s="11" t="str">
        <f t="shared" si="28"/>
        <v/>
      </c>
      <c r="R43" s="11" t="str">
        <f t="shared" si="28"/>
        <v/>
      </c>
      <c r="S43" s="11" t="str">
        <f t="shared" ref="S43:V43" si="29">IF(S20="","",(S20/$O$23))</f>
        <v/>
      </c>
      <c r="T43" s="11" t="str">
        <f t="shared" si="29"/>
        <v/>
      </c>
      <c r="U43" s="11" t="str">
        <f t="shared" si="29"/>
        <v/>
      </c>
      <c r="V43" s="11" t="str">
        <f t="shared" si="29"/>
        <v/>
      </c>
    </row>
    <row r="44" spans="1:22">
      <c r="A44" s="7"/>
      <c r="B44" s="3"/>
      <c r="C44" s="3"/>
      <c r="D44" s="3"/>
      <c r="E44" s="3"/>
      <c r="F44" s="3"/>
      <c r="G44" s="3"/>
      <c r="H44" s="3"/>
      <c r="I44" s="3"/>
      <c r="J44" s="3"/>
      <c r="N44" s="7"/>
      <c r="O44" s="3"/>
      <c r="P44" s="3"/>
      <c r="Q44" s="3"/>
      <c r="R44" s="3"/>
      <c r="S44" s="3"/>
      <c r="T44" s="3"/>
      <c r="U44" s="3"/>
      <c r="V44" s="3"/>
    </row>
    <row r="45" spans="1:22" s="52" customFormat="1">
      <c r="A45" s="53" t="str">
        <f t="shared" ref="A45:M45" si="30">A4</f>
        <v>Noms des groupes</v>
      </c>
      <c r="B45" s="53" t="str">
        <f t="shared" si="30"/>
        <v>Solvent control</v>
      </c>
      <c r="C45" s="53" t="str">
        <f t="shared" si="30"/>
        <v>EE2-33.8ng/L</v>
      </c>
      <c r="D45" s="53" t="str">
        <f t="shared" si="30"/>
        <v>EE2-50.6ng/L</v>
      </c>
      <c r="E45" s="53" t="str">
        <f t="shared" si="30"/>
        <v>EE2-76ng/L</v>
      </c>
      <c r="F45" s="53" t="str">
        <f t="shared" si="30"/>
        <v>EE2-114ng/L</v>
      </c>
      <c r="G45" s="53" t="str">
        <f t="shared" si="30"/>
        <v>EE2-170.9ng/L</v>
      </c>
      <c r="H45" s="53" t="str">
        <f t="shared" si="30"/>
        <v>EE2-488ng/L</v>
      </c>
      <c r="I45" s="53" t="str">
        <f t="shared" si="30"/>
        <v>tamoxifen-483ng/L</v>
      </c>
      <c r="J45" s="53" t="str">
        <f t="shared" si="30"/>
        <v>tamoxifen-242ng/L</v>
      </c>
      <c r="K45" s="53" t="str">
        <f t="shared" si="30"/>
        <v>tamoxifen-121ng/L</v>
      </c>
      <c r="L45" s="53" t="str">
        <f t="shared" si="30"/>
        <v>tamoxifen-60.4ng/L</v>
      </c>
      <c r="M45" s="53" t="str">
        <f t="shared" si="30"/>
        <v>tamoxifen-30.2ng/L</v>
      </c>
      <c r="N45" s="53" t="str">
        <f>N22</f>
        <v>Nom des groupes</v>
      </c>
      <c r="O45" s="53" t="str">
        <f t="shared" ref="O45:V45" si="31">O4</f>
        <v>Testo -30µg/L</v>
      </c>
      <c r="P45" s="53" t="str">
        <f t="shared" si="31"/>
        <v>Testo 30µg/L + EE2 -64ng/L</v>
      </c>
      <c r="Q45" s="53" t="str">
        <f t="shared" si="31"/>
        <v>Testo 30µg/L + FAD-10mg/L</v>
      </c>
      <c r="R45" s="53" t="str">
        <f t="shared" si="31"/>
        <v>tamoxifen-483ng/L + Testostérone</v>
      </c>
      <c r="S45" s="53" t="str">
        <f t="shared" si="31"/>
        <v>tamoxifen-242ng/L + Testostérone</v>
      </c>
      <c r="T45" s="53" t="str">
        <f t="shared" si="31"/>
        <v>tamoxifen-121ng/L + Testostérone</v>
      </c>
      <c r="U45" s="53" t="str">
        <f t="shared" si="31"/>
        <v>tamoxifen-60.4ng/L + Testostérone</v>
      </c>
      <c r="V45" s="53" t="str">
        <f t="shared" si="31"/>
        <v>tamoxifen-30.2ng/L + Testostérone</v>
      </c>
    </row>
    <row r="46" spans="1:22">
      <c r="A46" s="8" t="s">
        <v>0</v>
      </c>
      <c r="B46" s="10">
        <f t="shared" ref="B46:H46" si="32">AVERAGE(B28:B43)</f>
        <v>0.16427290035739073</v>
      </c>
      <c r="C46" s="10">
        <f t="shared" si="32"/>
        <v>0.28929323573335358</v>
      </c>
      <c r="D46" s="10">
        <f t="shared" si="32"/>
        <v>0.58579782908450928</v>
      </c>
      <c r="E46" s="10">
        <f t="shared" si="32"/>
        <v>1.0344888995401893</v>
      </c>
      <c r="F46" s="10">
        <f t="shared" si="32"/>
        <v>1.7170021647352138</v>
      </c>
      <c r="G46" s="10">
        <f t="shared" si="32"/>
        <v>1.850713235997842</v>
      </c>
      <c r="H46" s="10">
        <f t="shared" si="32"/>
        <v>2.5726691935616035</v>
      </c>
      <c r="I46" s="10">
        <f>AVERAGE(I28:I43)</f>
        <v>0.52633782864850354</v>
      </c>
      <c r="J46" s="9">
        <f>AVERAGE(J28:J43)</f>
        <v>0.11132525287495162</v>
      </c>
      <c r="K46" s="9">
        <f>AVERAGE(K28:K43)</f>
        <v>0.16300061309693614</v>
      </c>
      <c r="L46" s="9">
        <f t="shared" ref="L46:M46" si="33">AVERAGE(L28:L43)</f>
        <v>8.4888045156908523E-2</v>
      </c>
      <c r="M46" s="9">
        <f t="shared" si="33"/>
        <v>8.6573840279182315E-2</v>
      </c>
      <c r="N46" s="8" t="s">
        <v>0</v>
      </c>
      <c r="O46" s="10">
        <f>AVERAGE(O28:O43)</f>
        <v>1</v>
      </c>
      <c r="P46" s="10">
        <f>AVERAGE(P28:P43)</f>
        <v>1.435216224985528</v>
      </c>
      <c r="Q46" s="10">
        <f>AVERAGE(Q28:Q43)</f>
        <v>0.22534696895954437</v>
      </c>
      <c r="R46" s="10">
        <f>AVERAGE(R28:R43)</f>
        <v>0.75837290120165235</v>
      </c>
      <c r="S46" s="10">
        <f t="shared" ref="S46:V46" si="34">AVERAGE(S28:S43)</f>
        <v>0.6248926417965297</v>
      </c>
      <c r="T46" s="10">
        <f t="shared" si="34"/>
        <v>0.82317996983908948</v>
      </c>
      <c r="U46" s="10">
        <f t="shared" si="34"/>
        <v>0.48472278938559893</v>
      </c>
      <c r="V46" s="10">
        <f t="shared" si="34"/>
        <v>0.55423760779454245</v>
      </c>
    </row>
    <row r="47" spans="1:22">
      <c r="A47" s="8" t="s">
        <v>1</v>
      </c>
      <c r="B47" s="8">
        <f t="shared" ref="B47:K47" si="35">STDEV(B28:B43)</f>
        <v>0.10553082741857965</v>
      </c>
      <c r="C47" s="8">
        <f t="shared" si="35"/>
        <v>0.15314214896071732</v>
      </c>
      <c r="D47" s="8">
        <f t="shared" si="35"/>
        <v>0.30258586521788133</v>
      </c>
      <c r="E47" s="8">
        <f t="shared" si="35"/>
        <v>0.38146302061759307</v>
      </c>
      <c r="F47" s="8">
        <f t="shared" si="35"/>
        <v>0.3851192324300462</v>
      </c>
      <c r="G47" s="8">
        <f t="shared" si="35"/>
        <v>0.31586868406526358</v>
      </c>
      <c r="H47" s="8">
        <f t="shared" si="35"/>
        <v>0.55889763366668899</v>
      </c>
      <c r="I47" s="8">
        <f>STDEV(I28:I43)</f>
        <v>0.22714773967041499</v>
      </c>
      <c r="J47" s="8">
        <f t="shared" si="35"/>
        <v>0.11198596449139991</v>
      </c>
      <c r="K47" s="8">
        <f t="shared" si="35"/>
        <v>9.9762601508919788E-2</v>
      </c>
      <c r="L47" s="8">
        <f t="shared" ref="L47:M47" si="36">STDEV(L28:L43)</f>
        <v>6.6420206454886943E-2</v>
      </c>
      <c r="M47" s="8">
        <f t="shared" si="36"/>
        <v>7.407548628057159E-2</v>
      </c>
      <c r="N47" s="8" t="s">
        <v>1</v>
      </c>
      <c r="O47" s="8">
        <f>STDEV(O28:O43)</f>
        <v>0.466927916336351</v>
      </c>
      <c r="P47" s="8">
        <f>STDEV(P28:P43)</f>
        <v>0.58473161916635796</v>
      </c>
      <c r="Q47" s="8">
        <f>STDEV(Q28:Q43)</f>
        <v>8.6237328376162339E-2</v>
      </c>
      <c r="R47" s="8">
        <f>STDEV(R28:R43)</f>
        <v>0.32377767490355741</v>
      </c>
      <c r="S47" s="8">
        <f t="shared" ref="S47:V47" si="37">STDEV(S28:S43)</f>
        <v>0.2625228009627858</v>
      </c>
      <c r="T47" s="8">
        <f t="shared" si="37"/>
        <v>0.40964264104678122</v>
      </c>
      <c r="U47" s="8">
        <f t="shared" si="37"/>
        <v>0.27263780204809379</v>
      </c>
      <c r="V47" s="8">
        <f t="shared" si="37"/>
        <v>0.29788476304211164</v>
      </c>
    </row>
    <row r="48" spans="1:22">
      <c r="A48" s="8" t="s">
        <v>2</v>
      </c>
      <c r="B48" s="8">
        <f t="shared" ref="B48:K48" si="38" xml:space="preserve"> B47/SQRT(COUNT(B28:B43))</f>
        <v>3.7310781845952455E-2</v>
      </c>
      <c r="C48" s="8">
        <f t="shared" si="38"/>
        <v>5.4143926007801803E-2</v>
      </c>
      <c r="D48" s="8">
        <f t="shared" si="38"/>
        <v>0.10698025859338128</v>
      </c>
      <c r="E48" s="8">
        <f t="shared" si="38"/>
        <v>0.13486754432530193</v>
      </c>
      <c r="F48" s="8">
        <f t="shared" si="38"/>
        <v>0.13616021040832191</v>
      </c>
      <c r="G48" s="8">
        <f t="shared" si="38"/>
        <v>0.11167644423350952</v>
      </c>
      <c r="H48" s="8">
        <f t="shared" si="38"/>
        <v>0.19760015337741532</v>
      </c>
      <c r="I48" s="8">
        <f xml:space="preserve"> I47/SQRT(COUNT(I28:I43))</f>
        <v>8.030885352607349E-2</v>
      </c>
      <c r="J48" s="8">
        <f t="shared" si="38"/>
        <v>3.9593017444792399E-2</v>
      </c>
      <c r="K48" s="8">
        <f t="shared" si="38"/>
        <v>3.5271406017884241E-2</v>
      </c>
      <c r="L48" s="8">
        <f t="shared" ref="L48:M48" si="39" xml:space="preserve"> L47/SQRT(COUNT(L28:L43))</f>
        <v>2.3483089196030524E-2</v>
      </c>
      <c r="M48" s="8">
        <f t="shared" si="39"/>
        <v>2.6189639334341618E-2</v>
      </c>
      <c r="N48" s="8" t="s">
        <v>2</v>
      </c>
      <c r="O48" s="8">
        <f xml:space="preserve"> O47/SQRT(COUNT(O28:O43))</f>
        <v>0.11673197908408775</v>
      </c>
      <c r="P48" s="8">
        <f xml:space="preserve"> P47/SQRT(COUNT(P28:P43))</f>
        <v>0.20673384654336074</v>
      </c>
      <c r="Q48" s="8">
        <f xml:space="preserve"> Q47/SQRT(COUNT(Q28:Q43))</f>
        <v>3.0489499843097734E-2</v>
      </c>
      <c r="R48" s="8">
        <f xml:space="preserve"> R47/SQRT(COUNT(R28:R43))</f>
        <v>0.11447269476055943</v>
      </c>
      <c r="S48" s="8">
        <f t="shared" ref="S48:V48" si="40" xml:space="preserve"> S47/SQRT(COUNT(S28:S43))</f>
        <v>9.2815826388436065E-2</v>
      </c>
      <c r="T48" s="8">
        <f t="shared" si="40"/>
        <v>0.14483054467367287</v>
      </c>
      <c r="U48" s="8">
        <f t="shared" si="40"/>
        <v>9.6392019318001357E-2</v>
      </c>
      <c r="V48" s="8">
        <f t="shared" si="40"/>
        <v>0.10531816797961249</v>
      </c>
    </row>
    <row r="49" spans="1:22" s="1" customFormat="1" ht="15.75" thickBot="1">
      <c r="A49" s="8"/>
      <c r="B49" s="8"/>
      <c r="C49" s="8"/>
      <c r="D49" s="8"/>
      <c r="E49" s="8"/>
      <c r="F49" s="8"/>
      <c r="G49" s="8"/>
      <c r="H49" s="8"/>
      <c r="I49" s="8"/>
      <c r="J49" s="8"/>
      <c r="K49" s="8"/>
      <c r="L49" s="8"/>
      <c r="M49" s="8"/>
      <c r="N49" s="8"/>
      <c r="O49" s="8"/>
      <c r="P49" s="8"/>
      <c r="Q49" s="8"/>
      <c r="R49" s="8"/>
      <c r="S49" s="8"/>
      <c r="T49" s="8"/>
      <c r="U49" s="8"/>
      <c r="V49" s="8"/>
    </row>
    <row r="50" spans="1:22" ht="27" thickBot="1">
      <c r="A50" s="143" t="s">
        <v>19</v>
      </c>
      <c r="B50" s="144"/>
      <c r="C50" s="144"/>
      <c r="D50" s="144"/>
      <c r="E50" s="144"/>
      <c r="F50" s="144"/>
      <c r="G50" s="144"/>
      <c r="H50" s="144"/>
      <c r="I50" s="144"/>
      <c r="J50" s="144"/>
      <c r="K50" s="144"/>
      <c r="L50" s="144"/>
      <c r="M50" s="144"/>
      <c r="N50" s="144"/>
      <c r="O50" s="144"/>
      <c r="P50" s="144"/>
      <c r="Q50" s="144"/>
      <c r="R50" s="144"/>
      <c r="S50" s="144"/>
      <c r="T50" s="144"/>
      <c r="U50" s="144"/>
      <c r="V50" s="144"/>
    </row>
    <row r="51" spans="1:22" ht="15.75" thickBot="1">
      <c r="A51"/>
      <c r="B51"/>
      <c r="C51"/>
      <c r="D51"/>
      <c r="E51"/>
      <c r="F51"/>
      <c r="G51"/>
      <c r="H51"/>
      <c r="I51"/>
      <c r="J51"/>
      <c r="K51"/>
      <c r="L51"/>
      <c r="M51"/>
      <c r="S51"/>
      <c r="T51"/>
      <c r="U51"/>
      <c r="V51"/>
    </row>
    <row r="52" spans="1:22">
      <c r="A52" s="29" t="str">
        <f t="shared" ref="A52:H52" si="41">A27</f>
        <v>Noms des groupes</v>
      </c>
      <c r="B52" s="30" t="str">
        <f t="shared" si="41"/>
        <v>Solvent control</v>
      </c>
      <c r="C52" s="30" t="str">
        <f t="shared" si="41"/>
        <v>EE2-33.8ng/L</v>
      </c>
      <c r="D52" s="30" t="str">
        <f t="shared" si="41"/>
        <v>EE2-50.6ng/L</v>
      </c>
      <c r="E52" s="30" t="str">
        <f t="shared" si="41"/>
        <v>EE2-76ng/L</v>
      </c>
      <c r="F52" s="30" t="str">
        <f t="shared" si="41"/>
        <v>EE2-114ng/L</v>
      </c>
      <c r="G52" s="30" t="str">
        <f t="shared" si="41"/>
        <v>EE2-170.9ng/L</v>
      </c>
      <c r="H52" s="30" t="str">
        <f t="shared" si="41"/>
        <v>EE2-488ng/L</v>
      </c>
      <c r="I52" s="30" t="str">
        <f>I4</f>
        <v>tamoxifen-483ng/L</v>
      </c>
      <c r="J52" s="30" t="str">
        <f>J4</f>
        <v>tamoxifen-242ng/L</v>
      </c>
      <c r="K52" s="30" t="str">
        <f>K27</f>
        <v>tamoxifen-121ng/L</v>
      </c>
      <c r="L52" s="30" t="str">
        <f t="shared" ref="L52:M52" si="42">L27</f>
        <v>tamoxifen-60.4ng/L</v>
      </c>
      <c r="M52" s="30" t="str">
        <f t="shared" si="42"/>
        <v>tamoxifen-30.2ng/L</v>
      </c>
      <c r="N52" s="31"/>
      <c r="O52" s="30" t="str">
        <f>O27</f>
        <v>Testo -30µg/L</v>
      </c>
      <c r="P52" s="30" t="str">
        <f>P27</f>
        <v>Testo 30µg/L + EE2 -64ng/L</v>
      </c>
      <c r="Q52" s="30" t="str">
        <f>Q27</f>
        <v>Testo 30µg/L + FAD-10mg/L</v>
      </c>
      <c r="R52" s="30" t="str">
        <f>R27</f>
        <v>tamoxifen-483ng/L + Testostérone</v>
      </c>
      <c r="S52" s="30" t="str">
        <f t="shared" ref="S52:V52" si="43">S27</f>
        <v>tamoxifen-242ng/L + Testostérone</v>
      </c>
      <c r="T52" s="30" t="str">
        <f t="shared" si="43"/>
        <v>tamoxifen-121ng/L + Testostérone</v>
      </c>
      <c r="U52" s="30" t="str">
        <f t="shared" si="43"/>
        <v>tamoxifen-60.4ng/L + Testostérone</v>
      </c>
      <c r="V52" s="30" t="str">
        <f t="shared" si="43"/>
        <v>tamoxifen-30.2ng/L + Testostérone</v>
      </c>
    </row>
    <row r="53" spans="1:22" s="3" customFormat="1">
      <c r="A53" s="45" t="s">
        <v>15</v>
      </c>
      <c r="B53" s="77">
        <f t="shared" ref="B53:M53" si="44">B46</f>
        <v>0.16427290035739073</v>
      </c>
      <c r="C53" s="77">
        <f t="shared" si="44"/>
        <v>0.28929323573335358</v>
      </c>
      <c r="D53" s="77">
        <f t="shared" si="44"/>
        <v>0.58579782908450928</v>
      </c>
      <c r="E53" s="77">
        <f t="shared" si="44"/>
        <v>1.0344888995401893</v>
      </c>
      <c r="F53" s="77">
        <f t="shared" si="44"/>
        <v>1.7170021647352138</v>
      </c>
      <c r="G53" s="77">
        <f t="shared" si="44"/>
        <v>1.850713235997842</v>
      </c>
      <c r="H53" s="77">
        <f t="shared" si="44"/>
        <v>2.5726691935616035</v>
      </c>
      <c r="I53" s="77">
        <f t="shared" si="44"/>
        <v>0.52633782864850354</v>
      </c>
      <c r="J53" s="77">
        <f t="shared" si="44"/>
        <v>0.11132525287495162</v>
      </c>
      <c r="K53" s="77">
        <f t="shared" si="44"/>
        <v>0.16300061309693614</v>
      </c>
      <c r="L53" s="77">
        <f t="shared" si="44"/>
        <v>8.4888045156908523E-2</v>
      </c>
      <c r="M53" s="77">
        <f t="shared" si="44"/>
        <v>8.6573840279182315E-2</v>
      </c>
      <c r="N53" s="77"/>
      <c r="O53" s="77">
        <f t="shared" ref="O53:V53" si="45">O46</f>
        <v>1</v>
      </c>
      <c r="P53" s="77">
        <f t="shared" si="45"/>
        <v>1.435216224985528</v>
      </c>
      <c r="Q53" s="77">
        <f t="shared" si="45"/>
        <v>0.22534696895954437</v>
      </c>
      <c r="R53" s="77">
        <f t="shared" si="45"/>
        <v>0.75837290120165235</v>
      </c>
      <c r="S53" s="77">
        <f t="shared" si="45"/>
        <v>0.6248926417965297</v>
      </c>
      <c r="T53" s="77">
        <f t="shared" si="45"/>
        <v>0.82317996983908948</v>
      </c>
      <c r="U53" s="77">
        <f t="shared" si="45"/>
        <v>0.48472278938559893</v>
      </c>
      <c r="V53" s="77">
        <f t="shared" si="45"/>
        <v>0.55423760779454245</v>
      </c>
    </row>
    <row r="54" spans="1:22" s="3" customFormat="1">
      <c r="A54" s="45" t="s">
        <v>2</v>
      </c>
      <c r="B54" s="77">
        <f t="shared" ref="B54:M54" si="46">B48</f>
        <v>3.7310781845952455E-2</v>
      </c>
      <c r="C54" s="77">
        <f t="shared" si="46"/>
        <v>5.4143926007801803E-2</v>
      </c>
      <c r="D54" s="77">
        <f t="shared" si="46"/>
        <v>0.10698025859338128</v>
      </c>
      <c r="E54" s="77">
        <f t="shared" si="46"/>
        <v>0.13486754432530193</v>
      </c>
      <c r="F54" s="77">
        <f t="shared" si="46"/>
        <v>0.13616021040832191</v>
      </c>
      <c r="G54" s="77">
        <f t="shared" si="46"/>
        <v>0.11167644423350952</v>
      </c>
      <c r="H54" s="77">
        <f t="shared" si="46"/>
        <v>0.19760015337741532</v>
      </c>
      <c r="I54" s="77">
        <f t="shared" si="46"/>
        <v>8.030885352607349E-2</v>
      </c>
      <c r="J54" s="77">
        <f t="shared" si="46"/>
        <v>3.9593017444792399E-2</v>
      </c>
      <c r="K54" s="77">
        <f t="shared" si="46"/>
        <v>3.5271406017884241E-2</v>
      </c>
      <c r="L54" s="77">
        <f t="shared" si="46"/>
        <v>2.3483089196030524E-2</v>
      </c>
      <c r="M54" s="77">
        <f t="shared" si="46"/>
        <v>2.6189639334341618E-2</v>
      </c>
      <c r="N54" s="77"/>
      <c r="O54" s="77">
        <f t="shared" ref="O54:V54" si="47">O48</f>
        <v>0.11673197908408775</v>
      </c>
      <c r="P54" s="77">
        <f t="shared" si="47"/>
        <v>0.20673384654336074</v>
      </c>
      <c r="Q54" s="77">
        <f t="shared" si="47"/>
        <v>3.0489499843097734E-2</v>
      </c>
      <c r="R54" s="77">
        <f t="shared" si="47"/>
        <v>0.11447269476055943</v>
      </c>
      <c r="S54" s="77">
        <f t="shared" si="47"/>
        <v>9.2815826388436065E-2</v>
      </c>
      <c r="T54" s="77">
        <f t="shared" si="47"/>
        <v>0.14483054467367287</v>
      </c>
      <c r="U54" s="77">
        <f t="shared" si="47"/>
        <v>9.6392019318001357E-2</v>
      </c>
      <c r="V54" s="77">
        <f t="shared" si="47"/>
        <v>0.10531816797961249</v>
      </c>
    </row>
    <row r="55" spans="1:22" s="3" customFormat="1">
      <c r="A55" s="45" t="s">
        <v>42</v>
      </c>
      <c r="B55" s="77">
        <f t="shared" ref="B55:M55" si="48">(B53*100/$B$53)-100</f>
        <v>0</v>
      </c>
      <c r="C55" s="77">
        <f t="shared" si="48"/>
        <v>76.10527062222053</v>
      </c>
      <c r="D55" s="77">
        <f t="shared" si="48"/>
        <v>256.60040567254401</v>
      </c>
      <c r="E55" s="77">
        <f t="shared" si="48"/>
        <v>529.73801356740159</v>
      </c>
      <c r="F55" s="77">
        <f t="shared" si="48"/>
        <v>945.21327680933291</v>
      </c>
      <c r="G55" s="77">
        <f t="shared" si="48"/>
        <v>1026.608973221661</v>
      </c>
      <c r="H55" s="77">
        <f t="shared" si="48"/>
        <v>1466.0947045827561</v>
      </c>
      <c r="I55" s="77">
        <f t="shared" si="48"/>
        <v>220.40453873000808</v>
      </c>
      <c r="J55" s="77">
        <f t="shared" si="48"/>
        <v>-32.231516803591248</v>
      </c>
      <c r="K55" s="77">
        <f t="shared" si="48"/>
        <v>-0.77449613276846208</v>
      </c>
      <c r="L55" s="77">
        <f t="shared" si="48"/>
        <v>-48.324985452727255</v>
      </c>
      <c r="M55" s="77">
        <f t="shared" si="48"/>
        <v>-47.298769248711743</v>
      </c>
      <c r="N55" s="77"/>
      <c r="O55" s="77">
        <f>(O53*100/$O$53)-100</f>
        <v>0</v>
      </c>
      <c r="P55" s="77">
        <f t="shared" ref="P55:V55" si="49">(P53*100/$O$53)-100</f>
        <v>43.521622498552802</v>
      </c>
      <c r="Q55" s="77">
        <f t="shared" si="49"/>
        <v>-77.46530310404556</v>
      </c>
      <c r="R55" s="77">
        <f t="shared" si="49"/>
        <v>-24.162709879834765</v>
      </c>
      <c r="S55" s="77">
        <f t="shared" si="49"/>
        <v>-37.51073582034703</v>
      </c>
      <c r="T55" s="77">
        <f t="shared" si="49"/>
        <v>-17.682003016091059</v>
      </c>
      <c r="U55" s="77">
        <f t="shared" si="49"/>
        <v>-51.527721061440104</v>
      </c>
      <c r="V55" s="77">
        <f t="shared" si="49"/>
        <v>-44.576239220545752</v>
      </c>
    </row>
    <row r="56" spans="1:22" s="3" customFormat="1">
      <c r="A56" s="45" t="s">
        <v>43</v>
      </c>
      <c r="B56" s="77" t="e">
        <f ca="1">[1]!SWTEST(B28:B43)</f>
        <v>#NAME?</v>
      </c>
      <c r="C56" s="77" t="e">
        <f ca="1">[1]!SWTEST(C28:C43)</f>
        <v>#NAME?</v>
      </c>
      <c r="D56" s="77" t="e">
        <f ca="1">[1]!SWTEST(D28:D43)</f>
        <v>#NAME?</v>
      </c>
      <c r="E56" s="77" t="e">
        <f ca="1">[1]!SWTEST(E28:E43)</f>
        <v>#NAME?</v>
      </c>
      <c r="F56" s="77" t="e">
        <f ca="1">[1]!SWTEST(F28:F43)</f>
        <v>#NAME?</v>
      </c>
      <c r="G56" s="77" t="e">
        <f ca="1">[1]!SWTEST(G28:G43)</f>
        <v>#NAME?</v>
      </c>
      <c r="H56" s="77" t="e">
        <f ca="1">[1]!SWTEST(H28:H43)</f>
        <v>#NAME?</v>
      </c>
      <c r="I56" s="77" t="e">
        <f ca="1">[1]!SWTEST(I28:I43)</f>
        <v>#NAME?</v>
      </c>
      <c r="J56" s="77" t="e">
        <f ca="1">[1]!SWTEST(J28:J43)</f>
        <v>#NAME?</v>
      </c>
      <c r="K56" s="77" t="e">
        <f ca="1">[1]!SWTEST(K28:K43)</f>
        <v>#NAME?</v>
      </c>
      <c r="L56" s="77" t="e">
        <f ca="1">[1]!SWTEST(L28:L43)</f>
        <v>#NAME?</v>
      </c>
      <c r="M56" s="77" t="e">
        <f ca="1">[1]!SWTEST(M28:M43)</f>
        <v>#NAME?</v>
      </c>
      <c r="N56" s="77"/>
      <c r="O56" s="77" t="e">
        <f ca="1">[1]!SWTEST(O28:O43)</f>
        <v>#NAME?</v>
      </c>
      <c r="P56" s="77" t="e">
        <f ca="1">[1]!SWTEST(P28:P43)</f>
        <v>#NAME?</v>
      </c>
      <c r="Q56" s="77" t="e">
        <f ca="1">[1]!SWTEST(Q28:Q43)</f>
        <v>#NAME?</v>
      </c>
      <c r="R56" s="77" t="e">
        <f ca="1">[1]!SWTEST(R28:R43)</f>
        <v>#NAME?</v>
      </c>
      <c r="S56" s="77" t="e">
        <f ca="1">[1]!SWTEST(S28:S43)</f>
        <v>#NAME?</v>
      </c>
      <c r="T56" s="77" t="e">
        <f ca="1">[1]!SWTEST(T28:T43)</f>
        <v>#NAME?</v>
      </c>
      <c r="U56" s="77" t="e">
        <f ca="1">[1]!SWTEST(U28:U43)</f>
        <v>#NAME?</v>
      </c>
      <c r="V56" s="77" t="e">
        <f ca="1">[1]!SWTEST(V28:V43)</f>
        <v>#NAME?</v>
      </c>
    </row>
    <row r="57" spans="1:22" s="3" customFormat="1">
      <c r="A57" s="45" t="s">
        <v>47</v>
      </c>
      <c r="B57" s="77" t="e">
        <f t="shared" ref="B57:M57" ca="1" si="50">IF(B56&gt;0.05,"Oui","Non")</f>
        <v>#NAME?</v>
      </c>
      <c r="C57" s="77" t="e">
        <f t="shared" ca="1" si="50"/>
        <v>#NAME?</v>
      </c>
      <c r="D57" s="77" t="e">
        <f t="shared" ca="1" si="50"/>
        <v>#NAME?</v>
      </c>
      <c r="E57" s="77" t="e">
        <f t="shared" ca="1" si="50"/>
        <v>#NAME?</v>
      </c>
      <c r="F57" s="77" t="e">
        <f t="shared" ca="1" si="50"/>
        <v>#NAME?</v>
      </c>
      <c r="G57" s="77" t="e">
        <f t="shared" ca="1" si="50"/>
        <v>#NAME?</v>
      </c>
      <c r="H57" s="77" t="e">
        <f t="shared" ca="1" si="50"/>
        <v>#NAME?</v>
      </c>
      <c r="I57" s="77" t="e">
        <f t="shared" ca="1" si="50"/>
        <v>#NAME?</v>
      </c>
      <c r="J57" s="77" t="e">
        <f t="shared" ca="1" si="50"/>
        <v>#NAME?</v>
      </c>
      <c r="K57" s="77" t="e">
        <f t="shared" ca="1" si="50"/>
        <v>#NAME?</v>
      </c>
      <c r="L57" s="77" t="e">
        <f t="shared" ca="1" si="50"/>
        <v>#NAME?</v>
      </c>
      <c r="M57" s="77" t="e">
        <f t="shared" ca="1" si="50"/>
        <v>#NAME?</v>
      </c>
      <c r="N57" s="77"/>
      <c r="O57" s="77" t="e">
        <f t="shared" ref="O57:V57" ca="1" si="51">IF(O56&gt;0.05,"Oui","Non")</f>
        <v>#NAME?</v>
      </c>
      <c r="P57" s="77" t="e">
        <f t="shared" ca="1" si="51"/>
        <v>#NAME?</v>
      </c>
      <c r="Q57" s="77" t="e">
        <f t="shared" ca="1" si="51"/>
        <v>#NAME?</v>
      </c>
      <c r="R57" s="77" t="e">
        <f t="shared" ca="1" si="51"/>
        <v>#NAME?</v>
      </c>
      <c r="S57" s="77" t="e">
        <f t="shared" ca="1" si="51"/>
        <v>#NAME?</v>
      </c>
      <c r="T57" s="77" t="e">
        <f t="shared" ca="1" si="51"/>
        <v>#NAME?</v>
      </c>
      <c r="U57" s="77" t="e">
        <f t="shared" ca="1" si="51"/>
        <v>#NAME?</v>
      </c>
      <c r="V57" s="77" t="e">
        <f t="shared" ca="1" si="51"/>
        <v>#NAME?</v>
      </c>
    </row>
    <row r="58" spans="1:22" s="3" customFormat="1">
      <c r="A58" s="45"/>
      <c r="B58" s="77"/>
      <c r="C58" s="77"/>
      <c r="D58" s="77"/>
      <c r="E58" s="77"/>
      <c r="F58" s="77"/>
      <c r="G58" s="77"/>
      <c r="H58" s="77"/>
      <c r="I58" s="77"/>
      <c r="J58" s="77"/>
      <c r="K58" s="77"/>
      <c r="L58" s="77"/>
      <c r="M58" s="77"/>
      <c r="N58" s="79"/>
      <c r="O58" s="80"/>
      <c r="P58" s="77"/>
      <c r="Q58" s="77"/>
      <c r="R58" s="77"/>
      <c r="S58" s="77"/>
      <c r="T58" s="77"/>
      <c r="U58" s="77"/>
      <c r="V58" s="77"/>
    </row>
    <row r="59" spans="1:22" s="3" customFormat="1">
      <c r="A59" s="45" t="s">
        <v>44</v>
      </c>
      <c r="B59" s="81"/>
      <c r="C59" s="81" t="e">
        <f t="shared" ref="C59:M59" ca="1" si="52">IF($B57="Non",IF(C$57="Non","Mann Withney",IF(C$57="Oui","Mann Withney","")),IF($B$57="Oui",IF(C$57="Oui","T-Test Welch",IF(C$57="Non","Mann Withney",""))))</f>
        <v>#NAME?</v>
      </c>
      <c r="D59" s="81" t="e">
        <f t="shared" ca="1" si="52"/>
        <v>#NAME?</v>
      </c>
      <c r="E59" s="81" t="e">
        <f t="shared" ca="1" si="52"/>
        <v>#NAME?</v>
      </c>
      <c r="F59" s="81" t="e">
        <f t="shared" ca="1" si="52"/>
        <v>#NAME?</v>
      </c>
      <c r="G59" s="81" t="e">
        <f t="shared" ca="1" si="52"/>
        <v>#NAME?</v>
      </c>
      <c r="H59" s="81" t="e">
        <f t="shared" ca="1" si="52"/>
        <v>#NAME?</v>
      </c>
      <c r="I59" s="81" t="e">
        <f t="shared" ca="1" si="52"/>
        <v>#NAME?</v>
      </c>
      <c r="J59" s="81" t="e">
        <f t="shared" ca="1" si="52"/>
        <v>#NAME?</v>
      </c>
      <c r="K59" s="81" t="e">
        <f t="shared" ca="1" si="52"/>
        <v>#NAME?</v>
      </c>
      <c r="L59" s="81" t="e">
        <f t="shared" ca="1" si="52"/>
        <v>#NAME?</v>
      </c>
      <c r="M59" s="81" t="e">
        <f t="shared" ca="1" si="52"/>
        <v>#NAME?</v>
      </c>
      <c r="N59" s="81"/>
      <c r="O59" s="81" t="e">
        <f ca="1">IF($B57="Non",IF(O$57="Non","Mann Withney",IF(O$57="Oui","Mann Withney","")),IF($B$57="Oui",IF(O$57="Oui","T-Test Welch",IF(O$57="Non","Mann Withney",""))))</f>
        <v>#NAME?</v>
      </c>
      <c r="P59" s="81" t="e">
        <f ca="1">IF($O57="Non",IF(P$57="Non","Mann Withney",IF(P$57="Oui","Mann Withney","")),IF($O$57="Oui",IF(P$57="Oui","T-Test Welch",IF(P$57="Non","Mann Withney",""))))</f>
        <v>#NAME?</v>
      </c>
      <c r="Q59" s="81" t="e">
        <f t="shared" ref="Q59:V59" ca="1" si="53">IF($O57="Non",IF(Q$57="Non","Mann Withney",IF(Q$57="Oui","Mann Withney","")),IF($O$57="Oui",IF(Q$57="Oui","T-Test Welch",IF(Q$57="Non","Mann Withney",""))))</f>
        <v>#NAME?</v>
      </c>
      <c r="R59" s="81" t="e">
        <f t="shared" ca="1" si="53"/>
        <v>#NAME?</v>
      </c>
      <c r="S59" s="81" t="e">
        <f t="shared" ca="1" si="53"/>
        <v>#NAME?</v>
      </c>
      <c r="T59" s="81" t="e">
        <f t="shared" ca="1" si="53"/>
        <v>#NAME?</v>
      </c>
      <c r="U59" s="81" t="e">
        <f t="shared" ca="1" si="53"/>
        <v>#NAME?</v>
      </c>
      <c r="V59" s="81" t="e">
        <f t="shared" ca="1" si="53"/>
        <v>#NAME?</v>
      </c>
    </row>
    <row r="60" spans="1:22" s="3" customFormat="1">
      <c r="A60" s="45" t="s">
        <v>45</v>
      </c>
      <c r="B60" s="82"/>
      <c r="C60" s="82" t="e">
        <f ca="1">IF(C59="Mann Withney",[1]!MTEST($B28:$B43,C28:C43,2), IF(C59="T-Test Welch",_xlfn.T.TEST($B28:$B43,C28:C43,2,3),""))</f>
        <v>#NAME?</v>
      </c>
      <c r="D60" s="82" t="e">
        <f ca="1">IF(D59="Mann Withney",[1]!MTEST($B28:$B43,D28:D43,2), IF(D59="T-Test Welch",_xlfn.T.TEST($B28:$B43,D28:D43,2,3),""))</f>
        <v>#NAME?</v>
      </c>
      <c r="E60" s="82" t="e">
        <f ca="1">IF(E59="Mann Withney",[1]!MTEST($B28:$B43,E28:E43,2), IF(E59="T-Test Welch",_xlfn.T.TEST($B28:$B43,E28:E43,2,3),""))</f>
        <v>#NAME?</v>
      </c>
      <c r="F60" s="82" t="e">
        <f ca="1">IF(F59="Mann Withney",[1]!MTEST($B28:$B43,F28:F43,2), IF(F59="T-Test Welch",_xlfn.T.TEST($B28:$B43,F28:F43,2,3),""))</f>
        <v>#NAME?</v>
      </c>
      <c r="G60" s="82" t="e">
        <f ca="1">IF(G59="Mann Withney",[1]!MTEST($B28:$B43,G28:G43,2), IF(G59="T-Test Welch",_xlfn.T.TEST($B28:$B43,G28:G43,2,3),""))</f>
        <v>#NAME?</v>
      </c>
      <c r="H60" s="82" t="e">
        <f ca="1">IF(H59="Mann Withney",[1]!MTEST($B28:$B43,H28:H43,2), IF(H59="T-Test Welch",_xlfn.T.TEST($B28:$B43,H28:H43,2,3),""))</f>
        <v>#NAME?</v>
      </c>
      <c r="I60" s="82" t="e">
        <f ca="1">IF(I59="Mann Withney",[1]!MTEST($B28:$B43,I28:I43,2), IF(I59="T-Test Welch",_xlfn.T.TEST($B28:$B43,I28:I43,2,3),""))</f>
        <v>#NAME?</v>
      </c>
      <c r="J60" s="82" t="e">
        <f ca="1">IF(J59="Mann Withney",[1]!MTEST($B28:$B43,J28:J43,2), IF(J59="T-Test Welch",_xlfn.T.TEST($B28:$B43,J28:J43,2,3),""))</f>
        <v>#NAME?</v>
      </c>
      <c r="K60" s="82" t="e">
        <f ca="1">IF(K59="Mann Withney",[1]!MTEST($B28:$B43,K28:K43,2), IF(K59="T-Test Welch",_xlfn.T.TEST($B28:$B43,K28:K43,2,3),""))</f>
        <v>#NAME?</v>
      </c>
      <c r="L60" s="82" t="e">
        <f ca="1">IF(L59="Mann Withney",[1]!MTEST($B28:$B43,L28:L43,2), IF(L59="T-Test Welch",_xlfn.T.TEST($B28:$B43,L28:L43,2,3),""))</f>
        <v>#NAME?</v>
      </c>
      <c r="M60" s="82" t="e">
        <f ca="1">IF(M59="Mann Withney",[1]!MTEST($B28:$B43,M28:M43,2), IF(M59="T-Test Welch",_xlfn.T.TEST($B28:$B43,M28:M43,2,3),""))</f>
        <v>#NAME?</v>
      </c>
      <c r="N60" s="82"/>
      <c r="O60" s="82" t="e">
        <f ca="1">IF(O59="Mann Withney",[1]!MTEST($B28:$B43,O28:O43,2), IF(O59="T-Test Welch",_xlfn.T.TEST($B28:$B43,O28:O43,2,3),""))</f>
        <v>#NAME?</v>
      </c>
      <c r="P60" s="82" t="e">
        <f ca="1">IF(P59="Mann Withney",[1]!MTEST($O28:$O43,P28:P43,2), IF(P59="T-Test Welch",_xlfn.T.TEST($O28:$O43,P28:P43,2,3),""))</f>
        <v>#NAME?</v>
      </c>
      <c r="Q60" s="82" t="e">
        <f ca="1">IF(Q59="Mann Withney",[1]!MTEST($O28:$O43,Q28:Q43,2), IF(Q59="T-Test Welch",_xlfn.T.TEST($O28:$O43,Q28:Q43,2,3),""))</f>
        <v>#NAME?</v>
      </c>
      <c r="R60" s="82" t="e">
        <f ca="1">IF(R59="Mann Withney",[1]!MTEST($O28:$O43,R28:R43,2), IF(R59="T-Test Welch",_xlfn.T.TEST($O28:$O43,R28:R43,2,3),""))</f>
        <v>#NAME?</v>
      </c>
      <c r="S60" s="82" t="e">
        <f ca="1">IF(S59="Mann Withney",[1]!MTEST($O28:$O43,S28:S43,2), IF(S59="T-Test Welch",_xlfn.T.TEST($O28:$O43,S28:S43,2,3),""))</f>
        <v>#NAME?</v>
      </c>
      <c r="T60" s="82" t="e">
        <f ca="1">IF(T59="Mann Withney",[1]!MTEST($O28:$O43,T28:T43,2), IF(T59="T-Test Welch",_xlfn.T.TEST($O28:$O43,T28:T43,2,3),""))</f>
        <v>#NAME?</v>
      </c>
      <c r="U60" s="82" t="e">
        <f ca="1">IF(U59="Mann Withney",[1]!MTEST($O28:$O43,U28:U43,2), IF(U59="T-Test Welch",_xlfn.T.TEST($O28:$O43,U28:U43,2,3),""))</f>
        <v>#NAME?</v>
      </c>
      <c r="V60" s="82" t="e">
        <f ca="1">IF(V59="Mann Withney",[1]!MTEST($O28:$O43,V28:V43,2), IF(V59="T-Test Welch",_xlfn.T.TEST($O28:$O43,V28:V43,2,3),""))</f>
        <v>#NAME?</v>
      </c>
    </row>
    <row r="61" spans="1:22" s="3" customFormat="1" ht="15.75" thickBot="1">
      <c r="A61" s="46" t="s">
        <v>46</v>
      </c>
      <c r="B61" s="78"/>
      <c r="C61" s="78" t="e">
        <f t="shared" ref="C61:M61" ca="1" si="54">IF(C60&gt;0.05,"NS",IF(C60&gt;0.01,"*",IF(C60&gt;0.001,"**","***")))</f>
        <v>#NAME?</v>
      </c>
      <c r="D61" s="78" t="e">
        <f t="shared" ca="1" si="54"/>
        <v>#NAME?</v>
      </c>
      <c r="E61" s="78" t="e">
        <f t="shared" ca="1" si="54"/>
        <v>#NAME?</v>
      </c>
      <c r="F61" s="78" t="e">
        <f t="shared" ca="1" si="54"/>
        <v>#NAME?</v>
      </c>
      <c r="G61" s="78" t="e">
        <f t="shared" ca="1" si="54"/>
        <v>#NAME?</v>
      </c>
      <c r="H61" s="78" t="e">
        <f t="shared" ca="1" si="54"/>
        <v>#NAME?</v>
      </c>
      <c r="I61" s="78" t="e">
        <f t="shared" ca="1" si="54"/>
        <v>#NAME?</v>
      </c>
      <c r="J61" s="78" t="e">
        <f t="shared" ca="1" si="54"/>
        <v>#NAME?</v>
      </c>
      <c r="K61" s="78" t="e">
        <f t="shared" ca="1" si="54"/>
        <v>#NAME?</v>
      </c>
      <c r="L61" s="78" t="e">
        <f t="shared" ca="1" si="54"/>
        <v>#NAME?</v>
      </c>
      <c r="M61" s="78" t="e">
        <f t="shared" ca="1" si="54"/>
        <v>#NAME?</v>
      </c>
      <c r="N61" s="78"/>
      <c r="O61" s="78" t="e">
        <f ca="1">IF(O60&gt;0.05,"NS",IF(O60&gt;0.01,"*",IF(O60&gt;0.001,"**","***")))</f>
        <v>#NAME?</v>
      </c>
      <c r="P61" s="78" t="e">
        <f ca="1">IF(P60&gt;0.05,"NS",IF(P60&gt;0.01,"*",IF(P60&gt;0.001,"**","***")))</f>
        <v>#NAME?</v>
      </c>
      <c r="Q61" s="78" t="e">
        <f t="shared" ref="Q61" ca="1" si="55">IF(Q60&gt;0.05,"NS",IF(Q60&gt;0.01,"*",IF(Q60&gt;0.001,"**","***")))</f>
        <v>#NAME?</v>
      </c>
      <c r="R61" s="78" t="e">
        <f t="shared" ref="R61" ca="1" si="56">IF(R60&gt;0.05,"NS",IF(R60&gt;0.01,"*",IF(R60&gt;0.001,"**","***")))</f>
        <v>#NAME?</v>
      </c>
      <c r="S61" s="78" t="e">
        <f t="shared" ref="S61" ca="1" si="57">IF(S60&gt;0.05,"NS",IF(S60&gt;0.01,"*",IF(S60&gt;0.001,"**","***")))</f>
        <v>#NAME?</v>
      </c>
      <c r="T61" s="78" t="e">
        <f t="shared" ref="T61" ca="1" si="58">IF(T60&gt;0.05,"NS",IF(T60&gt;0.01,"*",IF(T60&gt;0.001,"**","***")))</f>
        <v>#NAME?</v>
      </c>
      <c r="U61" s="78" t="e">
        <f t="shared" ref="U61" ca="1" si="59">IF(U60&gt;0.05,"NS",IF(U60&gt;0.01,"*",IF(U60&gt;0.001,"**","***")))</f>
        <v>#NAME?</v>
      </c>
      <c r="V61" s="78" t="e">
        <f t="shared" ref="V61" ca="1" si="60">IF(V60&gt;0.05,"NS",IF(V60&gt;0.01,"*",IF(V60&gt;0.001,"**","***")))</f>
        <v>#NAME?</v>
      </c>
    </row>
    <row r="63" spans="1:22">
      <c r="A63" s="2" t="s">
        <v>20</v>
      </c>
    </row>
    <row r="64" spans="1:22">
      <c r="A64" s="1" t="s">
        <v>13</v>
      </c>
      <c r="B64" s="1">
        <f>B46+(3*B47)</f>
        <v>0.48086538261312967</v>
      </c>
    </row>
    <row r="65" spans="1:22">
      <c r="A65" s="1" t="s">
        <v>14</v>
      </c>
      <c r="B65" s="1">
        <f>B46+(10*B47)</f>
        <v>1.2195811745431873</v>
      </c>
    </row>
    <row r="66" spans="1:22" ht="15.75" thickBot="1"/>
    <row r="67" spans="1:22" s="1" customFormat="1" ht="27" thickBot="1">
      <c r="A67" s="143" t="s">
        <v>31</v>
      </c>
      <c r="B67" s="144"/>
      <c r="C67" s="144"/>
      <c r="D67" s="144"/>
      <c r="E67" s="144"/>
      <c r="F67" s="144"/>
      <c r="G67" s="144"/>
      <c r="H67" s="144"/>
      <c r="I67" s="144"/>
      <c r="J67" s="144"/>
      <c r="K67" s="144"/>
      <c r="L67" s="144"/>
      <c r="M67" s="144"/>
      <c r="N67" s="144"/>
      <c r="O67" s="144"/>
      <c r="P67" s="144"/>
      <c r="Q67" s="144"/>
      <c r="R67" s="144"/>
      <c r="S67" s="144"/>
      <c r="T67" s="144"/>
      <c r="U67" s="144"/>
      <c r="V67" s="144"/>
    </row>
    <row r="68" spans="1:22" ht="16.5">
      <c r="A68" s="12"/>
      <c r="B68" s="12"/>
      <c r="C68" s="12"/>
      <c r="D68" s="12"/>
      <c r="E68" s="12"/>
      <c r="F68" s="12"/>
      <c r="N68" s="12"/>
      <c r="O68" s="12"/>
      <c r="P68" s="12"/>
      <c r="Q68" s="12"/>
      <c r="R68" s="12"/>
      <c r="S68" s="12"/>
      <c r="T68" s="12"/>
      <c r="U68" s="12"/>
      <c r="V68" s="12"/>
    </row>
    <row r="69" spans="1:22" ht="16.5">
      <c r="A69" s="12"/>
      <c r="B69" s="12"/>
      <c r="C69" s="12"/>
      <c r="D69" s="12"/>
      <c r="E69" s="12"/>
      <c r="F69" s="12"/>
      <c r="N69" s="12"/>
      <c r="O69" s="12"/>
      <c r="P69" s="12"/>
      <c r="Q69" s="12"/>
      <c r="R69" s="12"/>
      <c r="S69" s="12"/>
      <c r="T69" s="12"/>
      <c r="U69" s="12"/>
      <c r="V69" s="12"/>
    </row>
    <row r="70" spans="1:22" ht="16.5">
      <c r="A70" s="12"/>
      <c r="B70" s="12"/>
      <c r="C70" s="12"/>
      <c r="D70" s="12"/>
      <c r="E70" s="12"/>
      <c r="F70" s="12"/>
      <c r="N70" s="12"/>
      <c r="O70" s="12"/>
      <c r="P70" s="12"/>
      <c r="Q70" s="12"/>
      <c r="R70" s="12"/>
      <c r="S70" s="12"/>
      <c r="T70" s="12"/>
      <c r="U70" s="12"/>
      <c r="V70" s="12"/>
    </row>
    <row r="71" spans="1:22" ht="16.5">
      <c r="A71" s="12"/>
      <c r="B71" s="12"/>
      <c r="C71" s="12"/>
      <c r="D71" s="12"/>
      <c r="E71" s="12"/>
      <c r="F71" s="12"/>
      <c r="N71" s="12"/>
      <c r="O71" s="12"/>
      <c r="P71" s="12"/>
      <c r="Q71" s="12"/>
      <c r="R71" s="12"/>
      <c r="S71" s="12"/>
      <c r="T71" s="12"/>
      <c r="U71" s="12"/>
      <c r="V71" s="12"/>
    </row>
    <row r="72" spans="1:22" ht="16.5">
      <c r="A72" s="12"/>
      <c r="B72" s="12"/>
      <c r="C72" s="12"/>
      <c r="D72" s="12"/>
      <c r="E72" s="12"/>
      <c r="F72" s="12"/>
      <c r="N72" s="12"/>
      <c r="O72" s="12"/>
      <c r="P72" s="12"/>
      <c r="Q72" s="12"/>
      <c r="R72" s="12"/>
      <c r="S72" s="12"/>
      <c r="T72" s="12"/>
      <c r="U72" s="12"/>
      <c r="V72" s="12"/>
    </row>
    <row r="73" spans="1:22" ht="16.5">
      <c r="A73" s="12"/>
      <c r="B73" s="12"/>
      <c r="C73" s="12"/>
      <c r="D73" s="12"/>
      <c r="E73" s="12"/>
      <c r="F73" s="12"/>
      <c r="N73" s="12"/>
      <c r="O73" s="12"/>
      <c r="P73" s="12"/>
      <c r="Q73" s="12"/>
      <c r="R73" s="12"/>
      <c r="S73" s="12"/>
      <c r="T73" s="12"/>
      <c r="U73" s="12"/>
      <c r="V73" s="12"/>
    </row>
    <row r="74" spans="1:22" ht="16.5">
      <c r="A74" s="12"/>
      <c r="B74" s="12"/>
      <c r="C74" s="12"/>
      <c r="D74" s="12"/>
      <c r="E74" s="12"/>
      <c r="F74" s="12"/>
      <c r="N74" s="12"/>
      <c r="O74" s="12"/>
      <c r="P74" s="12"/>
      <c r="Q74" s="12"/>
      <c r="R74" s="12"/>
      <c r="S74" s="12"/>
      <c r="T74" s="12"/>
      <c r="U74" s="12"/>
      <c r="V74" s="12"/>
    </row>
  </sheetData>
  <protectedRanges>
    <protectedRange sqref="O51:V51" name="Plage2"/>
    <protectedRange sqref="R5:V21" name="Plage1"/>
    <protectedRange sqref="B51:J51" name="Plage2_1"/>
    <protectedRange sqref="O5:O21 J5:J12 B13:J21" name="Plage1_1"/>
    <protectedRange sqref="B5:I12" name="Plage1_1_1"/>
  </protectedRanges>
  <mergeCells count="9">
    <mergeCell ref="A1:V1"/>
    <mergeCell ref="A67:V67"/>
    <mergeCell ref="A50:V50"/>
    <mergeCell ref="A5:A20"/>
    <mergeCell ref="A28:A43"/>
    <mergeCell ref="B3:M3"/>
    <mergeCell ref="B26:M26"/>
    <mergeCell ref="O26:V26"/>
    <mergeCell ref="O3:V3"/>
  </mergeCells>
  <phoneticPr fontId="12"/>
  <pageMargins left="0.7" right="0.7" top="0.75" bottom="0.75" header="0.3" footer="0.3"/>
  <pageSetup paperSize="9" scale="21" orientation="landscape" r:id="rId1"/>
  <headerFooter>
    <oddHeader>&amp;C&amp;"-,Gras"&amp;14Données brutes et normalisées R1&amp;R&amp;"-,Gras"&amp;14Page : &amp;P/&amp;P</oddHeader>
    <oddFooter>&amp;C&amp;1#&amp;"Arial"&amp;10&amp;K000000Internal</oddFooter>
  </headerFooter>
  <colBreaks count="1" manualBreakCount="1">
    <brk id="14" max="1048575" man="1"/>
  </col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V74"/>
  <sheetViews>
    <sheetView showGridLines="0" zoomScale="70" zoomScaleNormal="70" zoomScaleSheetLayoutView="40" zoomScalePageLayoutView="30" workbookViewId="0">
      <selection activeCell="N2" sqref="N1:N1048576"/>
    </sheetView>
  </sheetViews>
  <sheetFormatPr defaultColWidth="9.140625" defaultRowHeight="15"/>
  <cols>
    <col min="1" max="1" width="33.42578125" style="1" customWidth="1"/>
    <col min="2" max="2" width="14.85546875" style="1" customWidth="1"/>
    <col min="3" max="5" width="25.85546875" style="1" bestFit="1" customWidth="1"/>
    <col min="6" max="8" width="26.42578125" style="1" bestFit="1" customWidth="1"/>
    <col min="9" max="9" width="26.42578125" style="1" customWidth="1"/>
    <col min="10" max="10" width="25.85546875" style="1" bestFit="1" customWidth="1"/>
    <col min="11" max="11" width="26.42578125" style="1" bestFit="1" customWidth="1"/>
    <col min="12" max="13" width="26.42578125" style="1" customWidth="1"/>
    <col min="14" max="14" width="11.7109375" style="1" customWidth="1"/>
    <col min="15" max="15" width="14.85546875" style="1" customWidth="1"/>
    <col min="16" max="16" width="17.7109375" style="1" customWidth="1"/>
    <col min="17" max="18" width="25.85546875" style="1" bestFit="1" customWidth="1"/>
    <col min="19" max="22" width="25.85546875" style="1" customWidth="1"/>
    <col min="23" max="16384" width="9.140625" style="1"/>
  </cols>
  <sheetData>
    <row r="1" spans="1:22" ht="27" thickBot="1">
      <c r="A1" s="141" t="s">
        <v>23</v>
      </c>
      <c r="B1" s="142"/>
      <c r="C1" s="142"/>
      <c r="D1" s="142"/>
      <c r="E1" s="142"/>
      <c r="F1" s="142"/>
      <c r="G1" s="142"/>
      <c r="H1" s="142"/>
      <c r="I1" s="142"/>
      <c r="J1" s="142"/>
      <c r="K1" s="142"/>
      <c r="L1" s="142"/>
      <c r="M1" s="142"/>
      <c r="N1" s="142"/>
      <c r="O1" s="142"/>
      <c r="P1" s="142"/>
      <c r="Q1" s="142"/>
      <c r="R1" s="142"/>
      <c r="S1" s="142"/>
      <c r="T1" s="142"/>
      <c r="U1" s="142"/>
      <c r="V1" s="142"/>
    </row>
    <row r="2" spans="1:22" customFormat="1" ht="15.75" thickBot="1"/>
    <row r="3" spans="1:22" ht="15.75" thickBot="1">
      <c r="A3" s="35" t="s">
        <v>9</v>
      </c>
      <c r="B3" s="149" t="s">
        <v>6</v>
      </c>
      <c r="C3" s="150"/>
      <c r="D3" s="150"/>
      <c r="E3" s="150"/>
      <c r="F3" s="150"/>
      <c r="G3" s="150"/>
      <c r="H3" s="150"/>
      <c r="I3" s="150"/>
      <c r="J3" s="150"/>
      <c r="K3" s="150"/>
      <c r="L3" s="150"/>
      <c r="M3" s="150"/>
      <c r="O3" s="149" t="s">
        <v>3</v>
      </c>
      <c r="P3" s="150"/>
      <c r="Q3" s="150"/>
      <c r="R3" s="150"/>
      <c r="S3" s="150"/>
      <c r="T3" s="150"/>
      <c r="U3" s="150"/>
      <c r="V3" s="150"/>
    </row>
    <row r="4" spans="1:22">
      <c r="A4" s="19" t="s">
        <v>22</v>
      </c>
      <c r="B4" s="20" t="str">
        <f>'Front page'!A7</f>
        <v>Solvent control</v>
      </c>
      <c r="C4" s="20" t="str">
        <f>'Front page'!A8</f>
        <v>EE2-33.8ng/L</v>
      </c>
      <c r="D4" s="20" t="str">
        <f>'Front page'!A9</f>
        <v>EE2-50.6ng/L</v>
      </c>
      <c r="E4" s="20" t="str">
        <f>'Front page'!A10</f>
        <v>EE2-76ng/L</v>
      </c>
      <c r="F4" s="20" t="str">
        <f>'Front page'!A11</f>
        <v>EE2-114ng/L</v>
      </c>
      <c r="G4" s="20" t="str">
        <f>'Front page'!A12</f>
        <v>EE2-170.9ng/L</v>
      </c>
      <c r="H4" s="20" t="str">
        <f>'Front page'!A13</f>
        <v>EE2-488ng/L</v>
      </c>
      <c r="I4" s="20" t="str">
        <f>'Front page'!A14</f>
        <v>tamoxifen-483ng/L</v>
      </c>
      <c r="J4" s="20" t="str">
        <f>'Front page'!A15</f>
        <v>tamoxifen-242ng/L</v>
      </c>
      <c r="K4" s="20" t="str">
        <f>'Front page'!A16</f>
        <v>tamoxifen-121ng/L</v>
      </c>
      <c r="L4" s="20" t="str">
        <f>'Front page'!A17</f>
        <v>tamoxifen-60.4ng/L</v>
      </c>
      <c r="M4" s="20" t="str">
        <f>'Front page'!A18</f>
        <v>tamoxifen-30.2ng/L</v>
      </c>
      <c r="N4" s="3"/>
      <c r="O4" s="21" t="str">
        <f>'Front page'!A35</f>
        <v>Testo -30µg/L</v>
      </c>
      <c r="P4" s="21" t="str">
        <f>'Front page'!A36</f>
        <v>Testo 30µg/L + EE2 -64ng/L</v>
      </c>
      <c r="Q4" s="21" t="str">
        <f>'Front page'!A37</f>
        <v>Testo 30µg/L + FAD-10mg/L</v>
      </c>
      <c r="R4" s="21" t="str">
        <f>'Front page'!A38</f>
        <v>tamoxifen-483ng/L + Testostérone</v>
      </c>
      <c r="S4" s="21" t="str">
        <f>'Front page'!A39</f>
        <v>tamoxifen-242ng/L + Testostérone</v>
      </c>
      <c r="T4" s="21" t="str">
        <f>'Front page'!A40</f>
        <v>tamoxifen-121ng/L + Testostérone</v>
      </c>
      <c r="U4" s="21" t="str">
        <f>'Front page'!A41</f>
        <v>tamoxifen-60.4ng/L + Testostérone</v>
      </c>
      <c r="V4" s="21" t="str">
        <f>'Front page'!A42</f>
        <v>tamoxifen-30.2ng/L + Testostérone</v>
      </c>
    </row>
    <row r="5" spans="1:22">
      <c r="A5" s="151" t="s">
        <v>16</v>
      </c>
      <c r="B5" s="17">
        <v>508039</v>
      </c>
      <c r="C5" s="17">
        <v>2974128</v>
      </c>
      <c r="D5" s="17">
        <v>6234656</v>
      </c>
      <c r="E5" s="17">
        <v>9104714</v>
      </c>
      <c r="F5" s="17">
        <v>5178800</v>
      </c>
      <c r="G5" s="17">
        <v>16846963</v>
      </c>
      <c r="H5" s="17">
        <v>7699005</v>
      </c>
      <c r="I5" s="17">
        <v>5709842</v>
      </c>
      <c r="J5" s="17">
        <v>5618915</v>
      </c>
      <c r="K5" s="13">
        <v>5157235</v>
      </c>
      <c r="L5" s="13">
        <v>853266</v>
      </c>
      <c r="M5" s="13">
        <v>3289694</v>
      </c>
      <c r="N5" s="3"/>
      <c r="O5" s="17">
        <v>8645083</v>
      </c>
      <c r="P5" s="13">
        <v>14916165</v>
      </c>
      <c r="Q5" s="13">
        <v>839540</v>
      </c>
      <c r="R5" s="17">
        <v>10454086</v>
      </c>
      <c r="S5" s="17">
        <v>6733880</v>
      </c>
      <c r="T5" s="17">
        <v>5517000</v>
      </c>
      <c r="U5" s="17">
        <v>7270766</v>
      </c>
      <c r="V5" s="17">
        <v>5930424</v>
      </c>
    </row>
    <row r="6" spans="1:22" ht="16.5">
      <c r="A6" s="151"/>
      <c r="B6" s="14">
        <v>2704369</v>
      </c>
      <c r="C6" s="13">
        <v>2732051</v>
      </c>
      <c r="D6" s="17">
        <v>7053099</v>
      </c>
      <c r="E6" s="17">
        <v>9395153</v>
      </c>
      <c r="F6" s="17">
        <v>14309689</v>
      </c>
      <c r="G6" s="17">
        <v>15453039</v>
      </c>
      <c r="H6" s="17">
        <v>11141239</v>
      </c>
      <c r="I6" s="17">
        <v>3455081</v>
      </c>
      <c r="J6" s="17">
        <v>2389067</v>
      </c>
      <c r="K6" s="13">
        <v>2149489</v>
      </c>
      <c r="L6" s="13">
        <v>84812</v>
      </c>
      <c r="M6" s="13">
        <v>975368</v>
      </c>
      <c r="N6" s="3"/>
      <c r="O6" s="17">
        <v>4126639</v>
      </c>
      <c r="P6" s="13">
        <v>13636074</v>
      </c>
      <c r="Q6" s="13">
        <v>191704</v>
      </c>
      <c r="R6" s="17">
        <v>15817409</v>
      </c>
      <c r="S6" s="17">
        <v>7084591</v>
      </c>
      <c r="T6" s="17">
        <v>8668930</v>
      </c>
      <c r="U6" s="17">
        <v>6467621</v>
      </c>
      <c r="V6" s="17">
        <v>4199657</v>
      </c>
    </row>
    <row r="7" spans="1:22" ht="16.5">
      <c r="A7" s="151"/>
      <c r="B7" s="14">
        <v>5253480</v>
      </c>
      <c r="C7" s="13">
        <v>3232913</v>
      </c>
      <c r="D7" s="17">
        <v>2008302</v>
      </c>
      <c r="E7" s="17">
        <v>9928099</v>
      </c>
      <c r="F7" s="17">
        <v>14085098</v>
      </c>
      <c r="G7" s="17">
        <v>13938624</v>
      </c>
      <c r="H7" s="17">
        <v>19010298</v>
      </c>
      <c r="I7" s="17">
        <v>4609366</v>
      </c>
      <c r="J7" s="17">
        <v>163500</v>
      </c>
      <c r="K7" s="13">
        <v>4255930</v>
      </c>
      <c r="L7" s="13">
        <v>467507</v>
      </c>
      <c r="M7" s="13">
        <v>768973</v>
      </c>
      <c r="N7" s="3"/>
      <c r="O7" s="17">
        <v>7163356</v>
      </c>
      <c r="P7" s="13">
        <v>8435620</v>
      </c>
      <c r="Q7" s="13">
        <v>980</v>
      </c>
      <c r="R7" s="17">
        <v>5735821</v>
      </c>
      <c r="S7" s="17">
        <v>13953066</v>
      </c>
      <c r="T7" s="17">
        <v>10953339</v>
      </c>
      <c r="U7" s="17">
        <v>10506985</v>
      </c>
      <c r="V7" s="17">
        <v>7892311</v>
      </c>
    </row>
    <row r="8" spans="1:22" ht="16.5">
      <c r="A8" s="151"/>
      <c r="B8" s="14">
        <v>378335</v>
      </c>
      <c r="C8" s="13">
        <v>3568299</v>
      </c>
      <c r="D8" s="17">
        <v>3617067</v>
      </c>
      <c r="E8" s="17">
        <v>6312388</v>
      </c>
      <c r="F8" s="17">
        <v>15374065</v>
      </c>
      <c r="G8" s="17">
        <v>12077602</v>
      </c>
      <c r="H8" s="17">
        <v>14495819</v>
      </c>
      <c r="I8" s="17">
        <v>6458491</v>
      </c>
      <c r="J8" s="17">
        <v>1540322</v>
      </c>
      <c r="K8" s="13">
        <v>4958178</v>
      </c>
      <c r="L8" s="13">
        <v>2541452</v>
      </c>
      <c r="M8" s="13">
        <v>1506952</v>
      </c>
      <c r="N8" s="3"/>
      <c r="O8" s="17">
        <v>7707511</v>
      </c>
      <c r="P8" s="13">
        <v>11158443</v>
      </c>
      <c r="Q8" s="13">
        <v>132182</v>
      </c>
      <c r="R8" s="17">
        <v>8323347</v>
      </c>
      <c r="S8" s="17">
        <v>4483779</v>
      </c>
      <c r="T8" s="17">
        <v>6251454</v>
      </c>
      <c r="U8" s="17">
        <v>12689422</v>
      </c>
      <c r="V8" s="17">
        <v>3495932</v>
      </c>
    </row>
    <row r="9" spans="1:22" ht="16.5">
      <c r="A9" s="151"/>
      <c r="B9" s="14">
        <v>327790</v>
      </c>
      <c r="C9" s="13">
        <v>1369659</v>
      </c>
      <c r="D9" s="17">
        <v>5160418</v>
      </c>
      <c r="E9" s="17">
        <v>5436427</v>
      </c>
      <c r="F9" s="17">
        <v>10045505</v>
      </c>
      <c r="G9" s="17">
        <v>20740777</v>
      </c>
      <c r="H9" s="17">
        <v>19243193</v>
      </c>
      <c r="I9" s="17">
        <v>5164707</v>
      </c>
      <c r="J9" s="17">
        <v>3247539</v>
      </c>
      <c r="K9" s="13">
        <v>3727046</v>
      </c>
      <c r="L9" s="13">
        <v>1767410</v>
      </c>
      <c r="M9" s="13">
        <v>2324467</v>
      </c>
      <c r="N9" s="3"/>
      <c r="O9" s="17">
        <v>9077993</v>
      </c>
      <c r="P9" s="13">
        <v>7578273</v>
      </c>
      <c r="Q9" s="13">
        <v>874661</v>
      </c>
      <c r="R9" s="17">
        <v>7630884</v>
      </c>
      <c r="S9" s="17">
        <v>6023921</v>
      </c>
      <c r="T9" s="17">
        <v>10626057</v>
      </c>
      <c r="U9" s="17">
        <v>10632169</v>
      </c>
      <c r="V9" s="17">
        <v>4236990</v>
      </c>
    </row>
    <row r="10" spans="1:22" ht="16.5">
      <c r="A10" s="151"/>
      <c r="B10" s="14">
        <v>1440526</v>
      </c>
      <c r="C10" s="13">
        <v>1572362</v>
      </c>
      <c r="D10" s="17">
        <v>6454310</v>
      </c>
      <c r="E10" s="17">
        <v>5652367</v>
      </c>
      <c r="F10" s="17">
        <v>9582748</v>
      </c>
      <c r="G10" s="17">
        <v>10536179</v>
      </c>
      <c r="H10" s="17">
        <v>4445432</v>
      </c>
      <c r="I10" s="17">
        <v>3806401</v>
      </c>
      <c r="J10" s="17">
        <v>1666360</v>
      </c>
      <c r="K10" s="13">
        <v>895979</v>
      </c>
      <c r="L10" s="13">
        <v>1678046</v>
      </c>
      <c r="M10" s="13">
        <v>3779609</v>
      </c>
      <c r="N10" s="3"/>
      <c r="O10" s="17">
        <v>7583795</v>
      </c>
      <c r="P10" s="13">
        <v>7093556</v>
      </c>
      <c r="Q10" s="13">
        <v>515762</v>
      </c>
      <c r="R10" s="17">
        <v>11591557</v>
      </c>
      <c r="S10" s="17">
        <v>5252279</v>
      </c>
      <c r="T10" s="17">
        <v>7038272</v>
      </c>
      <c r="U10" s="17">
        <v>12052299</v>
      </c>
      <c r="V10" s="17">
        <v>5127745</v>
      </c>
    </row>
    <row r="11" spans="1:22" ht="16.5">
      <c r="A11" s="151"/>
      <c r="B11" s="14">
        <v>1457797</v>
      </c>
      <c r="C11" s="13">
        <v>700334</v>
      </c>
      <c r="D11" s="17">
        <v>7963676</v>
      </c>
      <c r="E11" s="17">
        <v>10063012</v>
      </c>
      <c r="F11" s="17">
        <v>7877685</v>
      </c>
      <c r="G11" s="17">
        <v>12170844</v>
      </c>
      <c r="H11" s="17">
        <v>20716548</v>
      </c>
      <c r="I11" s="17">
        <v>3555408</v>
      </c>
      <c r="J11" s="17">
        <v>3169848</v>
      </c>
      <c r="K11" s="13">
        <v>2901887</v>
      </c>
      <c r="L11" s="13">
        <v>1910069</v>
      </c>
      <c r="M11" s="13">
        <v>2592650</v>
      </c>
      <c r="N11" s="3"/>
      <c r="O11" s="17">
        <v>9720711</v>
      </c>
      <c r="P11" s="13">
        <v>12705698</v>
      </c>
      <c r="Q11" s="13">
        <v>1776327</v>
      </c>
      <c r="R11" s="17">
        <v>10074904</v>
      </c>
      <c r="S11" s="17">
        <v>4756303</v>
      </c>
      <c r="T11" s="17">
        <v>8870351</v>
      </c>
      <c r="U11" s="17">
        <v>6290600</v>
      </c>
      <c r="V11" s="17">
        <v>7127504</v>
      </c>
    </row>
    <row r="12" spans="1:22" ht="16.5">
      <c r="A12" s="151"/>
      <c r="B12" s="14">
        <v>1409433</v>
      </c>
      <c r="C12" s="13">
        <v>1913331</v>
      </c>
      <c r="D12" s="17">
        <v>4252217</v>
      </c>
      <c r="E12" s="17">
        <v>10221237</v>
      </c>
      <c r="F12" s="17">
        <v>11077768</v>
      </c>
      <c r="G12" s="17">
        <v>6537739</v>
      </c>
      <c r="H12" s="17">
        <v>16827833</v>
      </c>
      <c r="I12" s="17">
        <v>4399594</v>
      </c>
      <c r="J12" s="17">
        <v>1939199</v>
      </c>
      <c r="K12" s="13">
        <v>415747</v>
      </c>
      <c r="L12" s="13">
        <v>139762</v>
      </c>
      <c r="M12" s="13">
        <v>1428654</v>
      </c>
      <c r="N12" s="3"/>
      <c r="O12" s="17">
        <v>8831741</v>
      </c>
      <c r="P12" s="13">
        <v>13761959</v>
      </c>
      <c r="Q12" s="13">
        <v>43580</v>
      </c>
      <c r="R12" s="17">
        <v>8785255</v>
      </c>
      <c r="S12" s="17">
        <v>4805969</v>
      </c>
      <c r="T12" s="17">
        <v>9059555</v>
      </c>
      <c r="U12" s="17">
        <v>8894051</v>
      </c>
      <c r="V12" s="17">
        <v>11229668</v>
      </c>
    </row>
    <row r="13" spans="1:22" ht="16.5">
      <c r="A13" s="151"/>
      <c r="B13" s="14"/>
      <c r="C13" s="13"/>
      <c r="D13" s="17"/>
      <c r="E13" s="17"/>
      <c r="F13" s="17"/>
      <c r="G13" s="17"/>
      <c r="H13" s="17"/>
      <c r="I13" s="17"/>
      <c r="J13" s="17"/>
      <c r="K13" s="13"/>
      <c r="L13" s="13"/>
      <c r="M13" s="13"/>
      <c r="N13" s="3"/>
      <c r="O13" s="17">
        <v>3744794</v>
      </c>
      <c r="P13" s="13"/>
      <c r="Q13" s="13"/>
      <c r="R13" s="17"/>
      <c r="S13" s="17"/>
      <c r="T13" s="17"/>
      <c r="U13" s="17"/>
      <c r="V13" s="17"/>
    </row>
    <row r="14" spans="1:22" ht="16.5">
      <c r="A14" s="151"/>
      <c r="B14" s="14"/>
      <c r="C14" s="17"/>
      <c r="D14" s="17"/>
      <c r="E14" s="17"/>
      <c r="F14" s="17"/>
      <c r="G14" s="17"/>
      <c r="H14" s="17"/>
      <c r="I14" s="17"/>
      <c r="J14" s="17"/>
      <c r="K14" s="13"/>
      <c r="L14" s="13"/>
      <c r="M14" s="13"/>
      <c r="N14" s="3"/>
      <c r="O14" s="17">
        <v>8837627</v>
      </c>
      <c r="P14" s="13"/>
      <c r="Q14" s="13"/>
      <c r="R14" s="17"/>
      <c r="S14" s="17"/>
      <c r="T14" s="17"/>
      <c r="U14" s="17"/>
      <c r="V14" s="17"/>
    </row>
    <row r="15" spans="1:22" ht="16.5">
      <c r="A15" s="151"/>
      <c r="B15" s="14"/>
      <c r="C15" s="17"/>
      <c r="D15" s="17"/>
      <c r="E15" s="17"/>
      <c r="F15" s="17"/>
      <c r="G15" s="17"/>
      <c r="H15" s="17"/>
      <c r="I15" s="17"/>
      <c r="J15" s="17"/>
      <c r="K15" s="13"/>
      <c r="L15" s="13"/>
      <c r="M15" s="13"/>
      <c r="N15" s="3"/>
      <c r="O15" s="17">
        <v>3708978</v>
      </c>
      <c r="P15" s="13"/>
      <c r="Q15" s="13"/>
      <c r="R15" s="17"/>
      <c r="S15" s="17"/>
      <c r="T15" s="17"/>
      <c r="U15" s="17"/>
      <c r="V15" s="17"/>
    </row>
    <row r="16" spans="1:22" ht="16.5">
      <c r="A16" s="151"/>
      <c r="B16" s="14"/>
      <c r="C16" s="17"/>
      <c r="D16" s="17"/>
      <c r="E16" s="17"/>
      <c r="F16" s="17"/>
      <c r="G16" s="17"/>
      <c r="H16" s="17"/>
      <c r="I16" s="17"/>
      <c r="J16" s="17"/>
      <c r="K16" s="13"/>
      <c r="L16" s="13"/>
      <c r="M16" s="13"/>
      <c r="N16" s="3"/>
      <c r="O16" s="17">
        <v>3451927</v>
      </c>
      <c r="P16" s="13"/>
      <c r="Q16" s="13"/>
      <c r="R16" s="17"/>
      <c r="S16" s="17"/>
      <c r="T16" s="17"/>
      <c r="U16" s="17"/>
      <c r="V16" s="17"/>
    </row>
    <row r="17" spans="1:22" ht="16.5">
      <c r="A17" s="151"/>
      <c r="B17" s="14"/>
      <c r="C17" s="17"/>
      <c r="D17" s="17"/>
      <c r="E17" s="17"/>
      <c r="F17" s="17"/>
      <c r="G17" s="17"/>
      <c r="H17" s="17"/>
      <c r="I17" s="17"/>
      <c r="J17" s="17"/>
      <c r="K17" s="13"/>
      <c r="L17" s="13"/>
      <c r="M17" s="13"/>
      <c r="N17" s="3"/>
      <c r="O17" s="17">
        <v>5080551</v>
      </c>
      <c r="P17" s="13"/>
      <c r="Q17" s="13"/>
      <c r="R17" s="17"/>
      <c r="S17" s="17"/>
      <c r="T17" s="17"/>
      <c r="U17" s="17"/>
      <c r="V17" s="17"/>
    </row>
    <row r="18" spans="1:22" ht="16.5">
      <c r="A18" s="151"/>
      <c r="B18" s="14"/>
      <c r="C18" s="17"/>
      <c r="D18" s="17"/>
      <c r="E18" s="17"/>
      <c r="F18" s="17"/>
      <c r="G18" s="17"/>
      <c r="H18" s="17"/>
      <c r="I18" s="17"/>
      <c r="J18" s="17"/>
      <c r="K18" s="13"/>
      <c r="L18" s="13"/>
      <c r="M18" s="13"/>
      <c r="N18" s="3"/>
      <c r="O18" s="17">
        <v>7053879</v>
      </c>
      <c r="P18" s="13"/>
      <c r="Q18" s="13"/>
      <c r="R18" s="17"/>
      <c r="S18" s="17"/>
      <c r="T18" s="17"/>
      <c r="U18" s="17"/>
      <c r="V18" s="17"/>
    </row>
    <row r="19" spans="1:22" ht="16.5">
      <c r="A19" s="151"/>
      <c r="B19" s="14"/>
      <c r="C19" s="17"/>
      <c r="D19" s="17"/>
      <c r="E19" s="17"/>
      <c r="F19" s="17"/>
      <c r="G19" s="17"/>
      <c r="H19" s="17"/>
      <c r="I19" s="17"/>
      <c r="J19" s="17"/>
      <c r="K19" s="13"/>
      <c r="L19" s="13"/>
      <c r="M19" s="13"/>
      <c r="N19" s="3"/>
      <c r="O19" s="17">
        <v>4981780</v>
      </c>
      <c r="P19" s="13"/>
      <c r="Q19" s="13"/>
      <c r="R19" s="17"/>
      <c r="S19" s="17"/>
      <c r="T19" s="17"/>
      <c r="U19" s="17"/>
      <c r="V19" s="17"/>
    </row>
    <row r="20" spans="1:22" ht="16.5">
      <c r="A20" s="151"/>
      <c r="B20" s="14"/>
      <c r="C20" s="17"/>
      <c r="D20" s="17"/>
      <c r="E20" s="17"/>
      <c r="F20" s="17"/>
      <c r="G20" s="17"/>
      <c r="H20" s="17"/>
      <c r="I20" s="17"/>
      <c r="J20" s="17"/>
      <c r="K20" s="13"/>
      <c r="L20" s="13"/>
      <c r="M20" s="13"/>
      <c r="N20" s="3"/>
      <c r="O20" s="17">
        <v>5275126</v>
      </c>
      <c r="P20" s="13"/>
      <c r="Q20" s="13"/>
      <c r="R20" s="17"/>
      <c r="S20" s="17"/>
      <c r="T20" s="17"/>
      <c r="U20" s="17"/>
      <c r="V20" s="17"/>
    </row>
    <row r="21" spans="1:22">
      <c r="A21" s="3"/>
      <c r="B21" s="7"/>
      <c r="C21" s="7"/>
      <c r="D21" s="7"/>
      <c r="E21" s="7"/>
      <c r="F21" s="7"/>
      <c r="G21" s="7"/>
      <c r="H21" s="7"/>
      <c r="I21" s="7"/>
      <c r="J21" s="7"/>
      <c r="N21" s="3"/>
      <c r="O21" s="7"/>
      <c r="R21" s="7"/>
      <c r="S21" s="7"/>
      <c r="T21" s="7"/>
      <c r="U21" s="7"/>
      <c r="V21" s="7"/>
    </row>
    <row r="22" spans="1:22">
      <c r="A22" s="3" t="str">
        <f>A4</f>
        <v>Noms des groupes</v>
      </c>
      <c r="B22" s="3" t="str">
        <f t="shared" ref="B22:V22" si="0">B4</f>
        <v>Solvent control</v>
      </c>
      <c r="C22" s="3" t="str">
        <f t="shared" si="0"/>
        <v>EE2-33.8ng/L</v>
      </c>
      <c r="D22" s="3" t="str">
        <f t="shared" si="0"/>
        <v>EE2-50.6ng/L</v>
      </c>
      <c r="E22" s="3" t="str">
        <f t="shared" si="0"/>
        <v>EE2-76ng/L</v>
      </c>
      <c r="F22" s="3" t="str">
        <f t="shared" si="0"/>
        <v>EE2-114ng/L</v>
      </c>
      <c r="G22" s="3" t="str">
        <f t="shared" si="0"/>
        <v>EE2-170.9ng/L</v>
      </c>
      <c r="H22" s="3" t="str">
        <f t="shared" si="0"/>
        <v>EE2-488ng/L</v>
      </c>
      <c r="I22" s="3" t="str">
        <f t="shared" si="0"/>
        <v>tamoxifen-483ng/L</v>
      </c>
      <c r="J22" s="3" t="str">
        <f t="shared" si="0"/>
        <v>tamoxifen-242ng/L</v>
      </c>
      <c r="K22" s="3" t="str">
        <f t="shared" si="0"/>
        <v>tamoxifen-121ng/L</v>
      </c>
      <c r="L22" s="3" t="str">
        <f t="shared" si="0"/>
        <v>tamoxifen-60.4ng/L</v>
      </c>
      <c r="M22" s="3" t="str">
        <f t="shared" si="0"/>
        <v>tamoxifen-30.2ng/L</v>
      </c>
      <c r="N22" s="3" t="s">
        <v>22</v>
      </c>
      <c r="O22" s="3" t="str">
        <f t="shared" si="0"/>
        <v>Testo -30µg/L</v>
      </c>
      <c r="P22" s="3" t="str">
        <f t="shared" si="0"/>
        <v>Testo 30µg/L + EE2 -64ng/L</v>
      </c>
      <c r="Q22" s="3" t="str">
        <f t="shared" si="0"/>
        <v>Testo 30µg/L + FAD-10mg/L</v>
      </c>
      <c r="R22" s="3" t="str">
        <f t="shared" si="0"/>
        <v>tamoxifen-483ng/L + Testostérone</v>
      </c>
      <c r="S22" s="3" t="str">
        <f t="shared" si="0"/>
        <v>tamoxifen-242ng/L + Testostérone</v>
      </c>
      <c r="T22" s="3" t="str">
        <f t="shared" si="0"/>
        <v>tamoxifen-121ng/L + Testostérone</v>
      </c>
      <c r="U22" s="3" t="str">
        <f t="shared" si="0"/>
        <v>tamoxifen-60.4ng/L + Testostérone</v>
      </c>
      <c r="V22" s="3" t="str">
        <f t="shared" si="0"/>
        <v>tamoxifen-30.2ng/L + Testostérone</v>
      </c>
    </row>
    <row r="23" spans="1:22">
      <c r="A23" s="5" t="s">
        <v>0</v>
      </c>
      <c r="B23" s="5">
        <f t="shared" ref="B23:J23" si="1">AVERAGE(B5:B20)</f>
        <v>1684971.125</v>
      </c>
      <c r="C23" s="5">
        <f t="shared" si="1"/>
        <v>2257884.625</v>
      </c>
      <c r="D23" s="5">
        <f t="shared" si="1"/>
        <v>5342968.125</v>
      </c>
      <c r="E23" s="5">
        <f t="shared" si="1"/>
        <v>8264174.625</v>
      </c>
      <c r="F23" s="5">
        <f t="shared" si="1"/>
        <v>10941419.75</v>
      </c>
      <c r="G23" s="5">
        <f t="shared" si="1"/>
        <v>13537720.875</v>
      </c>
      <c r="H23" s="5">
        <f t="shared" si="1"/>
        <v>14197420.875</v>
      </c>
      <c r="I23" s="5">
        <f t="shared" si="1"/>
        <v>4644861.25</v>
      </c>
      <c r="J23" s="5">
        <f t="shared" si="1"/>
        <v>2466843.75</v>
      </c>
      <c r="K23" s="5"/>
      <c r="L23" s="5">
        <f>AVERAGE(L5:L20)</f>
        <v>1180290.5</v>
      </c>
      <c r="M23" s="5"/>
      <c r="N23" s="5" t="s">
        <v>0</v>
      </c>
      <c r="O23" s="5">
        <f>AVERAGE(O5:O20)</f>
        <v>6561968.1875</v>
      </c>
      <c r="P23" s="5">
        <f>AVERAGE(P5:P20)</f>
        <v>11160723.5</v>
      </c>
      <c r="Q23" s="5">
        <f>AVERAGE(Q5:Q20)</f>
        <v>546842</v>
      </c>
      <c r="R23" s="5">
        <f>AVERAGE(R5:R20)</f>
        <v>9801657.875</v>
      </c>
      <c r="S23" s="5">
        <f>AVERAGE(S5:S20)</f>
        <v>6636723.5</v>
      </c>
      <c r="T23" s="5">
        <f t="shared" ref="T23:V23" si="2">AVERAGE(T5:T20)</f>
        <v>8373119.75</v>
      </c>
      <c r="U23" s="5">
        <f t="shared" si="2"/>
        <v>9350489.125</v>
      </c>
      <c r="V23" s="5">
        <f t="shared" si="2"/>
        <v>6155028.875</v>
      </c>
    </row>
    <row r="24" spans="1:22">
      <c r="A24" s="3" t="s">
        <v>1</v>
      </c>
      <c r="B24" s="3">
        <f t="shared" ref="B24:J24" si="3">STDEV(B5:B20)</f>
        <v>1642955.4456662575</v>
      </c>
      <c r="C24" s="3">
        <f t="shared" si="3"/>
        <v>1014837.8948599113</v>
      </c>
      <c r="D24" s="3">
        <f t="shared" si="3"/>
        <v>1969214.52174613</v>
      </c>
      <c r="E24" s="3">
        <f t="shared" si="3"/>
        <v>2085574.2142814521</v>
      </c>
      <c r="F24" s="3">
        <f t="shared" si="3"/>
        <v>3507905.2479997128</v>
      </c>
      <c r="G24" s="3">
        <f t="shared" si="3"/>
        <v>4287416.2585009998</v>
      </c>
      <c r="H24" s="3">
        <f t="shared" si="3"/>
        <v>5913684.7828175016</v>
      </c>
      <c r="I24" s="3">
        <f t="shared" si="3"/>
        <v>1073085.8990047281</v>
      </c>
      <c r="J24" s="3">
        <f t="shared" si="3"/>
        <v>1609273.1561134539</v>
      </c>
      <c r="K24" s="3"/>
      <c r="L24" s="3">
        <f>STDEV(L5:L20)</f>
        <v>916171.00540019269</v>
      </c>
      <c r="M24" s="3"/>
      <c r="N24" s="3" t="s">
        <v>1</v>
      </c>
      <c r="O24" s="3">
        <f>STDEV(O5:O20)</f>
        <v>2190353.0942665613</v>
      </c>
      <c r="P24" s="3">
        <f>STDEV(P5:P20)</f>
        <v>3074923.2425793284</v>
      </c>
      <c r="Q24" s="3">
        <f>STDEV(Q5:Q20)</f>
        <v>604157.10183953214</v>
      </c>
      <c r="R24" s="3">
        <f>STDEV(R5:R20)</f>
        <v>3032092.4631744912</v>
      </c>
      <c r="S24" s="3">
        <f>STDEV(S5:S20)</f>
        <v>3106535.0255345814</v>
      </c>
      <c r="T24" s="3">
        <f t="shared" ref="T24:V24" si="4">STDEV(T5:T20)</f>
        <v>1963229.7623950292</v>
      </c>
      <c r="U24" s="3">
        <f t="shared" si="4"/>
        <v>2496736.998487737</v>
      </c>
      <c r="V24" s="3">
        <f t="shared" si="4"/>
        <v>2546558.6665555672</v>
      </c>
    </row>
    <row r="25" spans="1:22" ht="15.75" thickBot="1"/>
    <row r="26" spans="1:22" ht="15.75" thickBot="1">
      <c r="B26" s="149" t="s">
        <v>6</v>
      </c>
      <c r="C26" s="150"/>
      <c r="D26" s="150"/>
      <c r="E26" s="150"/>
      <c r="F26" s="150"/>
      <c r="G26" s="150"/>
      <c r="H26" s="150"/>
      <c r="I26" s="150"/>
      <c r="J26" s="150"/>
      <c r="K26" s="150"/>
      <c r="L26" s="150"/>
      <c r="M26" s="150"/>
      <c r="O26" s="149" t="s">
        <v>3</v>
      </c>
      <c r="P26" s="150"/>
      <c r="Q26" s="150"/>
      <c r="R26" s="150"/>
      <c r="S26" s="150"/>
      <c r="T26" s="150"/>
      <c r="U26" s="150"/>
      <c r="V26" s="150"/>
    </row>
    <row r="27" spans="1:22">
      <c r="A27" s="19" t="s">
        <v>22</v>
      </c>
      <c r="B27" s="20" t="str">
        <f>B4</f>
        <v>Solvent control</v>
      </c>
      <c r="C27" s="20" t="str">
        <f t="shared" ref="C27:M27" si="5">C4</f>
        <v>EE2-33.8ng/L</v>
      </c>
      <c r="D27" s="20" t="str">
        <f t="shared" si="5"/>
        <v>EE2-50.6ng/L</v>
      </c>
      <c r="E27" s="20" t="str">
        <f t="shared" si="5"/>
        <v>EE2-76ng/L</v>
      </c>
      <c r="F27" s="20" t="str">
        <f t="shared" si="5"/>
        <v>EE2-114ng/L</v>
      </c>
      <c r="G27" s="20" t="str">
        <f t="shared" si="5"/>
        <v>EE2-170.9ng/L</v>
      </c>
      <c r="H27" s="20" t="str">
        <f t="shared" si="5"/>
        <v>EE2-488ng/L</v>
      </c>
      <c r="I27" s="20" t="str">
        <f t="shared" si="5"/>
        <v>tamoxifen-483ng/L</v>
      </c>
      <c r="J27" s="20" t="str">
        <f t="shared" si="5"/>
        <v>tamoxifen-242ng/L</v>
      </c>
      <c r="K27" s="20" t="str">
        <f t="shared" si="5"/>
        <v>tamoxifen-121ng/L</v>
      </c>
      <c r="L27" s="20" t="str">
        <f t="shared" si="5"/>
        <v>tamoxifen-60.4ng/L</v>
      </c>
      <c r="M27" s="20" t="str">
        <f t="shared" si="5"/>
        <v>tamoxifen-30.2ng/L</v>
      </c>
      <c r="N27" s="3"/>
      <c r="O27" s="21" t="str">
        <f>O4</f>
        <v>Testo -30µg/L</v>
      </c>
      <c r="P27" s="21" t="str">
        <f t="shared" ref="P27:R27" si="6">P4</f>
        <v>Testo 30µg/L + EE2 -64ng/L</v>
      </c>
      <c r="Q27" s="21" t="str">
        <f t="shared" si="6"/>
        <v>Testo 30µg/L + FAD-10mg/L</v>
      </c>
      <c r="R27" s="21" t="str">
        <f t="shared" si="6"/>
        <v>tamoxifen-483ng/L + Testostérone</v>
      </c>
      <c r="S27" s="21" t="str">
        <f t="shared" ref="S27:V27" si="7">S4</f>
        <v>tamoxifen-242ng/L + Testostérone</v>
      </c>
      <c r="T27" s="21" t="str">
        <f t="shared" si="7"/>
        <v>tamoxifen-121ng/L + Testostérone</v>
      </c>
      <c r="U27" s="21" t="str">
        <f t="shared" si="7"/>
        <v>tamoxifen-60.4ng/L + Testostérone</v>
      </c>
      <c r="V27" s="21" t="str">
        <f t="shared" si="7"/>
        <v>tamoxifen-30.2ng/L + Testostérone</v>
      </c>
    </row>
    <row r="28" spans="1:22">
      <c r="A28" s="152" t="s">
        <v>17</v>
      </c>
      <c r="B28" s="11">
        <f>IF(B5="","",(B5/$O$23))</f>
        <v>7.7421740777069259E-2</v>
      </c>
      <c r="C28" s="11">
        <f>IF(C5="","",(C5/$O$23))</f>
        <v>0.45323718662115198</v>
      </c>
      <c r="D28" s="11">
        <f>IF(D5="","",(D5/$O$23))</f>
        <v>0.95011981494767039</v>
      </c>
      <c r="E28" s="11">
        <f>IF(E5="","",(E5/$O$23))</f>
        <v>1.387497430625116</v>
      </c>
      <c r="F28" s="11">
        <f>IF(F5="","",(F5/$O$23))</f>
        <v>0.78921443262483049</v>
      </c>
      <c r="G28" s="11">
        <f>IF(G5="","",(G5/$O$23))</f>
        <v>2.5673643209810213</v>
      </c>
      <c r="H28" s="11">
        <f>IF(H5="","",(H5/$O$23))</f>
        <v>1.1732767944023197</v>
      </c>
      <c r="I28" s="11">
        <f>IF(I5="","",(I5/$O$23))</f>
        <v>0.87014167652881513</v>
      </c>
      <c r="J28" s="11">
        <f>IF(J5="","",(J5/$O$23))</f>
        <v>0.85628501075387142</v>
      </c>
      <c r="K28" s="11">
        <f>IF(K5="","",(K5/$O$23))</f>
        <v>0.78592807106625429</v>
      </c>
      <c r="L28" s="11">
        <f>IF(L5="","",(L5/$O$23))</f>
        <v>0.1300320232617708</v>
      </c>
      <c r="M28" s="11">
        <f>IF(M5="","",(M5/$O$23))</f>
        <v>0.50132733137393015</v>
      </c>
      <c r="N28" s="6"/>
      <c r="O28" s="11">
        <f t="shared" ref="O28:S37" si="8">IF(O5="","",(O5/$O$23))</f>
        <v>1.3174527448133868</v>
      </c>
      <c r="P28" s="11">
        <f t="shared" si="8"/>
        <v>2.2731236381813074</v>
      </c>
      <c r="Q28" s="11">
        <f t="shared" si="8"/>
        <v>0.12794027279791656</v>
      </c>
      <c r="R28" s="11">
        <f t="shared" si="8"/>
        <v>1.5931326853906667</v>
      </c>
      <c r="S28" s="11">
        <f t="shared" si="8"/>
        <v>1.0261982087672228</v>
      </c>
      <c r="T28" s="11">
        <f t="shared" ref="T28:V28" si="9">IF(T5="","",(T5/$O$23))</f>
        <v>0.84075384737606973</v>
      </c>
      <c r="U28" s="11">
        <f t="shared" si="9"/>
        <v>1.1080160391283518</v>
      </c>
      <c r="V28" s="11">
        <f t="shared" si="9"/>
        <v>0.90375689588025754</v>
      </c>
    </row>
    <row r="29" spans="1:22">
      <c r="A29" s="152"/>
      <c r="B29" s="11">
        <f>IF(B6="","",(B6/$O$23))</f>
        <v>0.41212772185509777</v>
      </c>
      <c r="C29" s="11">
        <f>IF(C6="","",(C6/$O$23))</f>
        <v>0.41634627324227635</v>
      </c>
      <c r="D29" s="11">
        <f>IF(D6="","",(D6/$O$23))</f>
        <v>1.0748450462523673</v>
      </c>
      <c r="E29" s="11">
        <f>IF(E6="","",(E6/$O$23))</f>
        <v>1.4317583888774377</v>
      </c>
      <c r="F29" s="11">
        <f>IF(F6="","",(F6/$O$23))</f>
        <v>2.180700757930945</v>
      </c>
      <c r="G29" s="11">
        <f>IF(G6="","",(G6/$O$23))</f>
        <v>2.354939639822812</v>
      </c>
      <c r="H29" s="11">
        <f>IF(H6="","",(H6/$O$23))</f>
        <v>1.6978502000700229</v>
      </c>
      <c r="I29" s="11">
        <f>IF(I6="","",(I6/$O$23))</f>
        <v>0.52653120241906082</v>
      </c>
      <c r="J29" s="11">
        <f>IF(J6="","",(J6/$O$23))</f>
        <v>0.36407780893405922</v>
      </c>
      <c r="K29" s="11">
        <f>IF(K6="","",(K6/$O$23))</f>
        <v>0.32756772641699128</v>
      </c>
      <c r="L29" s="11">
        <f>IF(L6="","",(L6/$O$23))</f>
        <v>1.2924780732945302E-2</v>
      </c>
      <c r="M29" s="11">
        <f>IF(M6="","",(M6/$O$23))</f>
        <v>0.14863955022793229</v>
      </c>
      <c r="N29" s="6"/>
      <c r="O29" s="11">
        <f t="shared" si="8"/>
        <v>0.62887214355304277</v>
      </c>
      <c r="P29" s="11">
        <f t="shared" si="8"/>
        <v>2.078046343774659</v>
      </c>
      <c r="Q29" s="11">
        <f t="shared" si="8"/>
        <v>2.9214405575019409E-2</v>
      </c>
      <c r="R29" s="11">
        <f t="shared" si="8"/>
        <v>2.4104671872885395</v>
      </c>
      <c r="S29" s="11">
        <f t="shared" si="8"/>
        <v>1.079644216120333</v>
      </c>
      <c r="T29" s="11">
        <f t="shared" ref="T29:V29" si="10">IF(T6="","",(T6/$O$23))</f>
        <v>1.3210868678872272</v>
      </c>
      <c r="U29" s="11">
        <f t="shared" si="10"/>
        <v>0.98562212055832221</v>
      </c>
      <c r="V29" s="11">
        <f t="shared" si="10"/>
        <v>0.63999959768168257</v>
      </c>
    </row>
    <row r="30" spans="1:22">
      <c r="A30" s="152"/>
      <c r="B30" s="11">
        <f>IF(B7="","",(B7/$O$23))</f>
        <v>0.80059516442146728</v>
      </c>
      <c r="C30" s="11">
        <f>IF(C7="","",(C7/$O$23))</f>
        <v>0.49267428729057672</v>
      </c>
      <c r="D30" s="11">
        <f>IF(D7="","",(D7/$O$23))</f>
        <v>0.30605177328132238</v>
      </c>
      <c r="E30" s="11">
        <f>IF(E7="","",(E7/$O$23))</f>
        <v>1.5129757896285139</v>
      </c>
      <c r="F30" s="11">
        <f>IF(F7="","",(F7/$O$23))</f>
        <v>2.1464745938316088</v>
      </c>
      <c r="G30" s="11">
        <f>IF(G7="","",(G7/$O$23))</f>
        <v>2.1241529373080339</v>
      </c>
      <c r="H30" s="11">
        <f>IF(H7="","",(H7/$O$23))</f>
        <v>2.897042085058112</v>
      </c>
      <c r="I30" s="11">
        <f>IF(I7="","",(I7/$O$23))</f>
        <v>0.70243650506877742</v>
      </c>
      <c r="J30" s="11">
        <f>IF(J7="","",(J7/$O$23))</f>
        <v>2.4916304884173901E-2</v>
      </c>
      <c r="K30" s="11">
        <f>IF(K7="","",(K7/$O$23))</f>
        <v>0.64857522596759765</v>
      </c>
      <c r="L30" s="11">
        <f>IF(L7="","",(L7/$O$23))</f>
        <v>7.1244935458626826E-2</v>
      </c>
      <c r="M30" s="11">
        <f>IF(M7="","",(M7/$O$23))</f>
        <v>0.11718633465258628</v>
      </c>
      <c r="N30" s="6"/>
      <c r="O30" s="11">
        <f t="shared" si="8"/>
        <v>1.0916474745558189</v>
      </c>
      <c r="P30" s="11">
        <f t="shared" si="8"/>
        <v>1.2855319865873702</v>
      </c>
      <c r="Q30" s="11">
        <f t="shared" si="8"/>
        <v>1.4934543600299952E-4</v>
      </c>
      <c r="R30" s="11">
        <f t="shared" si="8"/>
        <v>0.87410070212261293</v>
      </c>
      <c r="S30" s="11">
        <f t="shared" si="8"/>
        <v>2.1263538013761516</v>
      </c>
      <c r="T30" s="11">
        <f t="shared" ref="T30:V30" si="11">IF(T7="","",(T7/$O$23))</f>
        <v>1.6692154986159784</v>
      </c>
      <c r="U30" s="11">
        <f t="shared" si="11"/>
        <v>1.6011941386754855</v>
      </c>
      <c r="V30" s="11">
        <f t="shared" si="11"/>
        <v>1.2027353340472133</v>
      </c>
    </row>
    <row r="31" spans="1:22">
      <c r="A31" s="152"/>
      <c r="B31" s="11">
        <f>IF(B8="","",(B8/$O$23))</f>
        <v>5.7655719928770228E-2</v>
      </c>
      <c r="C31" s="11">
        <f>IF(C8="","",(C8/$O$23))</f>
        <v>0.54378486728986453</v>
      </c>
      <c r="D31" s="11">
        <f>IF(D8="","",(D8/$O$23))</f>
        <v>0.55121678384394024</v>
      </c>
      <c r="E31" s="11">
        <f>IF(E8="","",(E8/$O$23))</f>
        <v>0.96196565110214505</v>
      </c>
      <c r="F31" s="11">
        <f>IF(F8="","",(F8/$O$23))</f>
        <v>2.342904531187199</v>
      </c>
      <c r="G31" s="11">
        <f>IF(G8="","",(G8/$O$23))</f>
        <v>1.8405456495517336</v>
      </c>
      <c r="H31" s="11">
        <f>IF(H8="","",(H8/$O$23))</f>
        <v>2.2090657232403719</v>
      </c>
      <c r="I31" s="11">
        <f>IF(I8="","",(I8/$O$23))</f>
        <v>0.98423076971066159</v>
      </c>
      <c r="J31" s="11">
        <f>IF(J8="","",(J8/$O$23))</f>
        <v>0.23473475579082881</v>
      </c>
      <c r="K31" s="11">
        <f>IF(K8="","",(K8/$O$23))</f>
        <v>0.75559311754130631</v>
      </c>
      <c r="L31" s="11">
        <f>IF(L8="","",(L8/$O$23))</f>
        <v>0.38730026226601544</v>
      </c>
      <c r="M31" s="11">
        <f>IF(M8="","",(M8/$O$23))</f>
        <v>0.22964939130162462</v>
      </c>
      <c r="N31" s="6"/>
      <c r="O31" s="11">
        <f t="shared" si="8"/>
        <v>1.174573051829505</v>
      </c>
      <c r="P31" s="11">
        <f t="shared" si="8"/>
        <v>1.7004719744383856</v>
      </c>
      <c r="Q31" s="11">
        <f t="shared" si="8"/>
        <v>2.0143651450763758E-2</v>
      </c>
      <c r="R31" s="11">
        <f t="shared" si="8"/>
        <v>1.2684223333869979</v>
      </c>
      <c r="S31" s="11">
        <f t="shared" si="8"/>
        <v>0.68329788744499309</v>
      </c>
      <c r="T31" s="11">
        <f t="shared" ref="T31:V31" si="12">IF(T8="","",(T8/$O$23))</f>
        <v>0.95267971763540338</v>
      </c>
      <c r="U31" s="11">
        <f t="shared" si="12"/>
        <v>1.9337829196082186</v>
      </c>
      <c r="V31" s="11">
        <f t="shared" si="12"/>
        <v>0.53275662120085521</v>
      </c>
    </row>
    <row r="32" spans="1:22">
      <c r="A32" s="152"/>
      <c r="B32" s="11">
        <f>IF(B9="","",(B9/$O$23))</f>
        <v>4.995300047696246E-2</v>
      </c>
      <c r="C32" s="11">
        <f>IF(C9="","",(C9/$O$23))</f>
        <v>0.20872685768411461</v>
      </c>
      <c r="D32" s="11">
        <f>IF(D9="","",(D9/$O$23))</f>
        <v>0.78641313894665998</v>
      </c>
      <c r="E32" s="11">
        <f>IF(E9="","",(E9/$O$23))</f>
        <v>0.82847506185048847</v>
      </c>
      <c r="F32" s="11">
        <f>IF(F9="","",(F9/$O$23))</f>
        <v>1.5308676776482772</v>
      </c>
      <c r="G32" s="11">
        <f>IF(G9="","",(G9/$O$23))</f>
        <v>3.1607554939856981</v>
      </c>
      <c r="H32" s="11">
        <f>IF(H9="","",(H9/$O$23))</f>
        <v>2.9325337231376207</v>
      </c>
      <c r="I32" s="11">
        <f>IF(I9="","",(I9/$O$23))</f>
        <v>0.78706675381912616</v>
      </c>
      <c r="J32" s="11">
        <f>IF(J9="","",(J9/$O$23))</f>
        <v>0.49490319172627045</v>
      </c>
      <c r="K32" s="11">
        <f>IF(K9="","",(K9/$O$23))</f>
        <v>0.56797684680942384</v>
      </c>
      <c r="L32" s="11">
        <f>IF(L9="","",(L9/$O$23))</f>
        <v>0.26934144596536874</v>
      </c>
      <c r="M32" s="11">
        <f>IF(M9="","",(M9/$O$23))</f>
        <v>0.35423320162202476</v>
      </c>
      <c r="N32" s="6"/>
      <c r="O32" s="11">
        <f t="shared" si="8"/>
        <v>1.3834253292012018</v>
      </c>
      <c r="P32" s="11">
        <f t="shared" si="8"/>
        <v>1.1548780462599584</v>
      </c>
      <c r="Q32" s="11">
        <f t="shared" si="8"/>
        <v>0.13329247795899957</v>
      </c>
      <c r="R32" s="11">
        <f t="shared" si="8"/>
        <v>1.1628956102737888</v>
      </c>
      <c r="S32" s="11">
        <f t="shared" si="8"/>
        <v>0.91800521244145394</v>
      </c>
      <c r="T32" s="11">
        <f t="shared" ref="T32:V32" si="13">IF(T9="","",(T9/$O$23))</f>
        <v>1.6193399139364542</v>
      </c>
      <c r="U32" s="11">
        <f t="shared" si="13"/>
        <v>1.6202713417985464</v>
      </c>
      <c r="V32" s="11">
        <f t="shared" si="13"/>
        <v>0.64568889682688668</v>
      </c>
    </row>
    <row r="33" spans="1:22">
      <c r="A33" s="152"/>
      <c r="B33" s="11">
        <f>IF(B10="","",(B10/$O$23))</f>
        <v>0.21952651382005806</v>
      </c>
      <c r="C33" s="11">
        <f>IF(C10="","",(C10/$O$23))</f>
        <v>0.23961743718831463</v>
      </c>
      <c r="D33" s="11">
        <f>IF(D10="","",(D10/$O$23))</f>
        <v>0.9835936133148161</v>
      </c>
      <c r="E33" s="11">
        <f>IF(E10="","",(E10/$O$23))</f>
        <v>0.86138287149384329</v>
      </c>
      <c r="F33" s="11">
        <f>IF(F10="","",(F10/$O$23))</f>
        <v>1.4603466103743588</v>
      </c>
      <c r="G33" s="11">
        <f>IF(G10="","",(G10/$O$23))</f>
        <v>1.6056431087353547</v>
      </c>
      <c r="H33" s="11">
        <f>IF(H10="","",(H10/$O$23))</f>
        <v>0.67745406149151643</v>
      </c>
      <c r="I33" s="11">
        <f>IF(I10="","",(I10/$O$23))</f>
        <v>0.58007001729311569</v>
      </c>
      <c r="J33" s="11">
        <f>IF(J10="","",(J10/$O$23))</f>
        <v>0.253942102793835</v>
      </c>
      <c r="K33" s="11">
        <f>IF(K10="","",(K10/$O$23))</f>
        <v>0.13654119837197093</v>
      </c>
      <c r="L33" s="11">
        <f>IF(L10="","",(L10/$O$23))</f>
        <v>0.25572297092151974</v>
      </c>
      <c r="M33" s="11">
        <f>IF(M10="","",(M10/$O$23))</f>
        <v>0.57598709594475617</v>
      </c>
      <c r="N33" s="6"/>
      <c r="O33" s="11">
        <f t="shared" si="8"/>
        <v>1.1557195620738447</v>
      </c>
      <c r="P33" s="11">
        <f t="shared" si="8"/>
        <v>1.0810104220731565</v>
      </c>
      <c r="Q33" s="11">
        <f t="shared" si="8"/>
        <v>7.8598674248754122E-2</v>
      </c>
      <c r="R33" s="11">
        <f t="shared" si="8"/>
        <v>1.7664756470598175</v>
      </c>
      <c r="S33" s="11">
        <f t="shared" si="8"/>
        <v>0.8004121400657126</v>
      </c>
      <c r="T33" s="11">
        <f t="shared" ref="T33:V33" si="14">IF(T10="","",(T10/$O$23))</f>
        <v>1.0725855107629627</v>
      </c>
      <c r="U33" s="11">
        <f t="shared" si="14"/>
        <v>1.8366896418301175</v>
      </c>
      <c r="V33" s="11">
        <f t="shared" si="14"/>
        <v>0.78143399258898039</v>
      </c>
    </row>
    <row r="34" spans="1:22">
      <c r="A34" s="152"/>
      <c r="B34" s="11">
        <f>IF(B11="","",(B11/$O$23))</f>
        <v>0.22215849853965786</v>
      </c>
      <c r="C34" s="11">
        <f>IF(C11="","",(C11/$O$23))</f>
        <v>0.10672621079359659</v>
      </c>
      <c r="D34" s="11">
        <f>IF(D11="","",(D11/$O$23))</f>
        <v>1.2136108820475746</v>
      </c>
      <c r="E34" s="11">
        <f>IF(E11="","",(E11/$O$23))</f>
        <v>1.5335356271871594</v>
      </c>
      <c r="F34" s="11">
        <f>IF(F11="","",(F11/$O$23))</f>
        <v>1.2005064296115198</v>
      </c>
      <c r="G34" s="11">
        <f>IF(G11="","",(G11/$O$23))</f>
        <v>1.8547551058209089</v>
      </c>
      <c r="H34" s="11">
        <f>IF(H11="","",(H11/$O$23))</f>
        <v>3.1570631566704774</v>
      </c>
      <c r="I34" s="11">
        <f>IF(I11="","",(I11/$O$23))</f>
        <v>0.54182036523321686</v>
      </c>
      <c r="J34" s="11">
        <f>IF(J11="","",(J11/$O$23))</f>
        <v>0.4830636036971796</v>
      </c>
      <c r="K34" s="11">
        <f>IF(K11="","",(K11/$O$23))</f>
        <v>0.44222814208820027</v>
      </c>
      <c r="L34" s="11">
        <f>IF(L11="","",(L11/$O$23))</f>
        <v>0.29108172204164623</v>
      </c>
      <c r="M34" s="11">
        <f>IF(M11="","",(M11/$O$23))</f>
        <v>0.39510249454405788</v>
      </c>
      <c r="N34" s="6"/>
      <c r="O34" s="11">
        <f t="shared" si="8"/>
        <v>1.4813712475042382</v>
      </c>
      <c r="P34" s="11">
        <f t="shared" si="8"/>
        <v>1.9362632729922846</v>
      </c>
      <c r="Q34" s="11">
        <f t="shared" si="8"/>
        <v>0.27070033703969398</v>
      </c>
      <c r="R34" s="11">
        <f t="shared" si="8"/>
        <v>1.5353478883350651</v>
      </c>
      <c r="S34" s="11">
        <f t="shared" si="8"/>
        <v>0.72482871969119855</v>
      </c>
      <c r="T34" s="11">
        <f t="shared" ref="T34:V34" si="15">IF(T11="","",(T11/$O$23))</f>
        <v>1.3517820791782069</v>
      </c>
      <c r="U34" s="11">
        <f t="shared" si="15"/>
        <v>0.95864530583721308</v>
      </c>
      <c r="V34" s="11">
        <f t="shared" si="15"/>
        <v>1.0861838698909418</v>
      </c>
    </row>
    <row r="35" spans="1:22">
      <c r="A35" s="152"/>
      <c r="B35" s="11">
        <f>IF(B12="","",(B12/$O$23))</f>
        <v>0.21478814887960779</v>
      </c>
      <c r="C35" s="11">
        <f>IF(C12="","",(C12/$O$23))</f>
        <v>0.29157882899291332</v>
      </c>
      <c r="D35" s="11">
        <f>IF(D12="","",(D12/$O$23))</f>
        <v>0.64800938963710875</v>
      </c>
      <c r="E35" s="11">
        <f>IF(E12="","",(E12/$O$23))</f>
        <v>1.5576480574030518</v>
      </c>
      <c r="F35" s="11">
        <f>IF(F12="","",(F12/$O$23))</f>
        <v>1.688177644795996</v>
      </c>
      <c r="G35" s="11">
        <f>IF(G12="","",(G12/$O$23))</f>
        <v>0.99630763411103473</v>
      </c>
      <c r="H35" s="11">
        <f>IF(H12="","",(H12/$O$23))</f>
        <v>2.5644490371129218</v>
      </c>
      <c r="I35" s="11">
        <f>IF(I12="","",(I12/$O$23))</f>
        <v>0.67046865731242922</v>
      </c>
      <c r="J35" s="11">
        <f>IF(J12="","",(J12/$O$23))</f>
        <v>0.29552093893018433</v>
      </c>
      <c r="K35" s="11">
        <f>IF(K12="","",(K12/$O$23))</f>
        <v>6.3357058144835762E-2</v>
      </c>
      <c r="L35" s="11">
        <f>IF(L12="","",(L12/$O$23))</f>
        <v>2.1298792680256345E-2</v>
      </c>
      <c r="M35" s="11">
        <f>IF(M12="","",(M12/$O$23))</f>
        <v>0.21771730053819313</v>
      </c>
      <c r="N35" s="6"/>
      <c r="O35" s="11">
        <f t="shared" si="8"/>
        <v>1.3458981737862927</v>
      </c>
      <c r="P35" s="11">
        <f t="shared" si="8"/>
        <v>2.0972303746024523</v>
      </c>
      <c r="Q35" s="11">
        <f t="shared" si="8"/>
        <v>6.6413001030721621E-3</v>
      </c>
      <c r="R35" s="11">
        <f t="shared" si="8"/>
        <v>1.3388140187474811</v>
      </c>
      <c r="S35" s="11">
        <f t="shared" si="8"/>
        <v>0.73239748543050975</v>
      </c>
      <c r="T35" s="11">
        <f t="shared" ref="T35:V35" si="16">IF(T12="","",(T12/$O$23))</f>
        <v>1.3806155014981167</v>
      </c>
      <c r="U35" s="11">
        <f t="shared" si="16"/>
        <v>1.3553938004366468</v>
      </c>
      <c r="V35" s="11">
        <f t="shared" si="16"/>
        <v>1.7113261873764609</v>
      </c>
    </row>
    <row r="36" spans="1:22">
      <c r="A36" s="152"/>
      <c r="B36" s="11" t="str">
        <f>IF(B13="","",(B13/$O$23))</f>
        <v/>
      </c>
      <c r="C36" s="11" t="str">
        <f>IF(C13="","",(C13/$O$23))</f>
        <v/>
      </c>
      <c r="D36" s="11" t="str">
        <f>IF(D13="","",(D13/$O$23))</f>
        <v/>
      </c>
      <c r="E36" s="11" t="str">
        <f>IF(E13="","",(E13/$O$23))</f>
        <v/>
      </c>
      <c r="F36" s="11" t="str">
        <f>IF(F13="","",(F13/$O$23))</f>
        <v/>
      </c>
      <c r="G36" s="11" t="str">
        <f>IF(G13="","",(G13/$O$23))</f>
        <v/>
      </c>
      <c r="H36" s="11" t="str">
        <f>IF(H13="","",(H13/$O$23))</f>
        <v/>
      </c>
      <c r="I36" s="11" t="str">
        <f>IF(I13="","",(I13/$O$23))</f>
        <v/>
      </c>
      <c r="J36" s="11" t="str">
        <f>IF(J13="","",(J13/$O$23))</f>
        <v/>
      </c>
      <c r="K36" s="11" t="str">
        <f>IF(K13="","",(K13/$O$23))</f>
        <v/>
      </c>
      <c r="L36" s="11" t="str">
        <f>IF(L13="","",(L13/$O$23))</f>
        <v/>
      </c>
      <c r="M36" s="11" t="str">
        <f>IF(M13="","",(M13/$O$23))</f>
        <v/>
      </c>
      <c r="N36" s="6"/>
      <c r="O36" s="11">
        <f t="shared" si="8"/>
        <v>0.57068152313409859</v>
      </c>
      <c r="P36" s="11" t="str">
        <f t="shared" si="8"/>
        <v/>
      </c>
      <c r="Q36" s="11" t="str">
        <f t="shared" si="8"/>
        <v/>
      </c>
      <c r="R36" s="11" t="str">
        <f t="shared" si="8"/>
        <v/>
      </c>
      <c r="S36" s="11" t="str">
        <f t="shared" si="8"/>
        <v/>
      </c>
      <c r="T36" s="11" t="str">
        <f t="shared" ref="T36:V36" si="17">IF(T13="","",(T13/$O$23))</f>
        <v/>
      </c>
      <c r="U36" s="11" t="str">
        <f t="shared" si="17"/>
        <v/>
      </c>
      <c r="V36" s="11" t="str">
        <f t="shared" si="17"/>
        <v/>
      </c>
    </row>
    <row r="37" spans="1:22">
      <c r="A37" s="152"/>
      <c r="B37" s="11" t="str">
        <f>IF(B14="","",(B14/$O$23))</f>
        <v/>
      </c>
      <c r="C37" s="11" t="str">
        <f>IF(C14="","",(C14/$O$23))</f>
        <v/>
      </c>
      <c r="D37" s="11" t="str">
        <f>IF(D14="","",(D14/$O$23))</f>
        <v/>
      </c>
      <c r="E37" s="11" t="str">
        <f>IF(E14="","",(E14/$O$23))</f>
        <v/>
      </c>
      <c r="F37" s="11" t="str">
        <f>IF(F14="","",(F14/$O$23))</f>
        <v/>
      </c>
      <c r="G37" s="11" t="str">
        <f>IF(G14="","",(G14/$O$23))</f>
        <v/>
      </c>
      <c r="H37" s="11" t="str">
        <f>IF(H14="","",(H14/$O$23))</f>
        <v/>
      </c>
      <c r="I37" s="11" t="str">
        <f>IF(I14="","",(I14/$O$23))</f>
        <v/>
      </c>
      <c r="J37" s="11" t="str">
        <f>IF(J14="","",(J14/$O$23))</f>
        <v/>
      </c>
      <c r="K37" s="11" t="str">
        <f>IF(K14="","",(K14/$O$23))</f>
        <v/>
      </c>
      <c r="L37" s="11" t="str">
        <f>IF(L14="","",(L14/$O$23))</f>
        <v/>
      </c>
      <c r="M37" s="11" t="str">
        <f>IF(M14="","",(M14/$O$23))</f>
        <v/>
      </c>
      <c r="N37" s="6"/>
      <c r="O37" s="11">
        <f t="shared" si="8"/>
        <v>1.3467951607621231</v>
      </c>
      <c r="P37" s="11" t="str">
        <f t="shared" si="8"/>
        <v/>
      </c>
      <c r="Q37" s="11" t="str">
        <f t="shared" si="8"/>
        <v/>
      </c>
      <c r="R37" s="11" t="str">
        <f t="shared" si="8"/>
        <v/>
      </c>
      <c r="S37" s="11" t="str">
        <f t="shared" si="8"/>
        <v/>
      </c>
      <c r="T37" s="11" t="str">
        <f t="shared" ref="T37:V37" si="18">IF(T14="","",(T14/$O$23))</f>
        <v/>
      </c>
      <c r="U37" s="11" t="str">
        <f t="shared" si="18"/>
        <v/>
      </c>
      <c r="V37" s="11" t="str">
        <f t="shared" si="18"/>
        <v/>
      </c>
    </row>
    <row r="38" spans="1:22">
      <c r="A38" s="152"/>
      <c r="B38" s="11" t="str">
        <f>IF(B15="","",(B15/$O$23))</f>
        <v/>
      </c>
      <c r="C38" s="11" t="str">
        <f>IF(C15="","",(C15/$O$23))</f>
        <v/>
      </c>
      <c r="D38" s="11" t="str">
        <f>IF(D15="","",(D15/$O$23))</f>
        <v/>
      </c>
      <c r="E38" s="11" t="str">
        <f>IF(E15="","",(E15/$O$23))</f>
        <v/>
      </c>
      <c r="F38" s="11" t="str">
        <f>IF(F15="","",(F15/$O$23))</f>
        <v/>
      </c>
      <c r="G38" s="11" t="str">
        <f>IF(G15="","",(G15/$O$23))</f>
        <v/>
      </c>
      <c r="H38" s="11" t="str">
        <f>IF(H15="","",(H15/$O$23))</f>
        <v/>
      </c>
      <c r="I38" s="11" t="str">
        <f>IF(I15="","",(I15/$O$23))</f>
        <v/>
      </c>
      <c r="J38" s="11" t="str">
        <f>IF(J15="","",(J15/$O$23))</f>
        <v/>
      </c>
      <c r="K38" s="11" t="str">
        <f>IF(K15="","",(K15/$O$23))</f>
        <v/>
      </c>
      <c r="L38" s="11" t="str">
        <f>IF(L15="","",(L15/$O$23))</f>
        <v/>
      </c>
      <c r="M38" s="11" t="str">
        <f>IF(M15="","",(M15/$O$23))</f>
        <v/>
      </c>
      <c r="N38" s="6"/>
      <c r="O38" s="11">
        <f t="shared" ref="O38:V38" si="19">IF(O15="","",(O15/$O$23))</f>
        <v>0.56522340462809506</v>
      </c>
      <c r="P38" s="11" t="str">
        <f t="shared" si="19"/>
        <v/>
      </c>
      <c r="Q38" s="11" t="str">
        <f t="shared" si="19"/>
        <v/>
      </c>
      <c r="R38" s="11" t="str">
        <f t="shared" si="19"/>
        <v/>
      </c>
      <c r="S38" s="11" t="str">
        <f t="shared" si="19"/>
        <v/>
      </c>
      <c r="T38" s="11" t="str">
        <f t="shared" si="19"/>
        <v/>
      </c>
      <c r="U38" s="11" t="str">
        <f t="shared" si="19"/>
        <v/>
      </c>
      <c r="V38" s="11" t="str">
        <f t="shared" si="19"/>
        <v/>
      </c>
    </row>
    <row r="39" spans="1:22">
      <c r="A39" s="152"/>
      <c r="B39" s="11" t="str">
        <f>IF(B16="","",(B16/$O$23))</f>
        <v/>
      </c>
      <c r="C39" s="11" t="str">
        <f>IF(C16="","",(C16/$O$23))</f>
        <v/>
      </c>
      <c r="D39" s="11" t="str">
        <f>IF(D16="","",(D16/$O$23))</f>
        <v/>
      </c>
      <c r="E39" s="11" t="str">
        <f>IF(E16="","",(E16/$O$23))</f>
        <v/>
      </c>
      <c r="F39" s="11" t="str">
        <f>IF(F16="","",(F16/$O$23))</f>
        <v/>
      </c>
      <c r="G39" s="11" t="str">
        <f>IF(G16="","",(G16/$O$23))</f>
        <v/>
      </c>
      <c r="H39" s="11" t="str">
        <f>IF(H16="","",(H16/$O$23))</f>
        <v/>
      </c>
      <c r="I39" s="11" t="str">
        <f>IF(I16="","",(I16/$O$23))</f>
        <v/>
      </c>
      <c r="J39" s="11" t="str">
        <f>IF(J16="","",(J16/$O$23))</f>
        <v/>
      </c>
      <c r="K39" s="11" t="str">
        <f>IF(K16="","",(K16/$O$23))</f>
        <v/>
      </c>
      <c r="L39" s="11" t="str">
        <f>IF(L16="","",(L16/$O$23))</f>
        <v/>
      </c>
      <c r="M39" s="11" t="str">
        <f>IF(M16="","",(M16/$O$23))</f>
        <v/>
      </c>
      <c r="N39" s="6"/>
      <c r="O39" s="11">
        <f t="shared" ref="O39:V39" si="20">IF(O16="","",(O16/$O$23))</f>
        <v>0.52605055394441436</v>
      </c>
      <c r="P39" s="11" t="str">
        <f t="shared" si="20"/>
        <v/>
      </c>
      <c r="Q39" s="11" t="str">
        <f t="shared" si="20"/>
        <v/>
      </c>
      <c r="R39" s="11" t="str">
        <f t="shared" si="20"/>
        <v/>
      </c>
      <c r="S39" s="11" t="str">
        <f t="shared" si="20"/>
        <v/>
      </c>
      <c r="T39" s="11" t="str">
        <f t="shared" si="20"/>
        <v/>
      </c>
      <c r="U39" s="11" t="str">
        <f t="shared" si="20"/>
        <v/>
      </c>
      <c r="V39" s="11" t="str">
        <f t="shared" si="20"/>
        <v/>
      </c>
    </row>
    <row r="40" spans="1:22">
      <c r="A40" s="152"/>
      <c r="B40" s="11" t="str">
        <f>IF(B17="","",(B17/$O$23))</f>
        <v/>
      </c>
      <c r="C40" s="11" t="str">
        <f>IF(C17="","",(C17/$O$23))</f>
        <v/>
      </c>
      <c r="D40" s="11" t="str">
        <f>IF(D17="","",(D17/$O$23))</f>
        <v/>
      </c>
      <c r="E40" s="11" t="str">
        <f>IF(E17="","",(E17/$O$23))</f>
        <v/>
      </c>
      <c r="F40" s="11" t="str">
        <f>IF(F17="","",(F17/$O$23))</f>
        <v/>
      </c>
      <c r="G40" s="11" t="str">
        <f>IF(G17="","",(G17/$O$23))</f>
        <v/>
      </c>
      <c r="H40" s="11" t="str">
        <f>IF(H17="","",(H17/$O$23))</f>
        <v/>
      </c>
      <c r="I40" s="11" t="str">
        <f>IF(I17="","",(I17/$O$23))</f>
        <v/>
      </c>
      <c r="J40" s="11" t="str">
        <f>IF(J17="","",(J17/$O$23))</f>
        <v/>
      </c>
      <c r="K40" s="11" t="str">
        <f>IF(K17="","",(K17/$O$23))</f>
        <v/>
      </c>
      <c r="L40" s="11" t="str">
        <f>IF(L17="","",(L17/$O$23))</f>
        <v/>
      </c>
      <c r="M40" s="11" t="str">
        <f>IF(M17="","",(M17/$O$23))</f>
        <v/>
      </c>
      <c r="N40" s="6"/>
      <c r="O40" s="11">
        <f t="shared" ref="O40:V40" si="21">IF(O17="","",(O17/$O$23))</f>
        <v>0.77424194309232164</v>
      </c>
      <c r="P40" s="11" t="str">
        <f t="shared" si="21"/>
        <v/>
      </c>
      <c r="Q40" s="11" t="str">
        <f t="shared" si="21"/>
        <v/>
      </c>
      <c r="R40" s="11" t="str">
        <f t="shared" si="21"/>
        <v/>
      </c>
      <c r="S40" s="11" t="str">
        <f t="shared" si="21"/>
        <v/>
      </c>
      <c r="T40" s="11" t="str">
        <f t="shared" si="21"/>
        <v/>
      </c>
      <c r="U40" s="11" t="str">
        <f t="shared" si="21"/>
        <v/>
      </c>
      <c r="V40" s="11" t="str">
        <f t="shared" si="21"/>
        <v/>
      </c>
    </row>
    <row r="41" spans="1:22">
      <c r="A41" s="152"/>
      <c r="B41" s="11" t="str">
        <f>IF(B18="","",(B18/$O$23))</f>
        <v/>
      </c>
      <c r="C41" s="11" t="str">
        <f>IF(C18="","",(C18/$O$23))</f>
        <v/>
      </c>
      <c r="D41" s="11" t="str">
        <f>IF(D18="","",(D18/$O$23))</f>
        <v/>
      </c>
      <c r="E41" s="11" t="str">
        <f>IF(E18="","",(E18/$O$23))</f>
        <v/>
      </c>
      <c r="F41" s="11" t="str">
        <f>IF(F18="","",(F18/$O$23))</f>
        <v/>
      </c>
      <c r="G41" s="11" t="str">
        <f>IF(G18="","",(G18/$O$23))</f>
        <v/>
      </c>
      <c r="H41" s="11" t="str">
        <f>IF(H18="","",(H18/$O$23))</f>
        <v/>
      </c>
      <c r="I41" s="11" t="str">
        <f>IF(I18="","",(I18/$O$23))</f>
        <v/>
      </c>
      <c r="J41" s="11" t="str">
        <f>IF(J18="","",(J18/$O$23))</f>
        <v/>
      </c>
      <c r="K41" s="11" t="str">
        <f>IF(K18="","",(K18/$O$23))</f>
        <v/>
      </c>
      <c r="L41" s="11" t="str">
        <f>IF(L18="","",(L18/$O$23))</f>
        <v/>
      </c>
      <c r="M41" s="11" t="str">
        <f>IF(M18="","",(M18/$O$23))</f>
        <v/>
      </c>
      <c r="N41" s="6"/>
      <c r="O41" s="11">
        <f t="shared" ref="O41:V41" si="22">IF(O18="","",(O18/$O$23))</f>
        <v>1.0749639130279616</v>
      </c>
      <c r="P41" s="11" t="str">
        <f t="shared" si="22"/>
        <v/>
      </c>
      <c r="Q41" s="11" t="str">
        <f t="shared" si="22"/>
        <v/>
      </c>
      <c r="R41" s="11" t="str">
        <f t="shared" si="22"/>
        <v/>
      </c>
      <c r="S41" s="11" t="str">
        <f t="shared" si="22"/>
        <v/>
      </c>
      <c r="T41" s="11" t="str">
        <f t="shared" si="22"/>
        <v/>
      </c>
      <c r="U41" s="11" t="str">
        <f t="shared" si="22"/>
        <v/>
      </c>
      <c r="V41" s="11" t="str">
        <f t="shared" si="22"/>
        <v/>
      </c>
    </row>
    <row r="42" spans="1:22">
      <c r="A42" s="152"/>
      <c r="B42" s="11" t="str">
        <f>IF(B19="","",(B19/$O$23))</f>
        <v/>
      </c>
      <c r="C42" s="11" t="str">
        <f>IF(C19="","",(C19/$O$23))</f>
        <v/>
      </c>
      <c r="D42" s="11" t="str">
        <f>IF(D19="","",(D19/$O$23))</f>
        <v/>
      </c>
      <c r="E42" s="11" t="str">
        <f>IF(E19="","",(E19/$O$23))</f>
        <v/>
      </c>
      <c r="F42" s="11" t="str">
        <f>IF(F19="","",(F19/$O$23))</f>
        <v/>
      </c>
      <c r="G42" s="11" t="str">
        <f>IF(G19="","",(G19/$O$23))</f>
        <v/>
      </c>
      <c r="H42" s="11" t="str">
        <f>IF(H19="","",(H19/$O$23))</f>
        <v/>
      </c>
      <c r="I42" s="11" t="str">
        <f>IF(I19="","",(I19/$O$23))</f>
        <v/>
      </c>
      <c r="J42" s="11" t="str">
        <f>IF(J19="","",(J19/$O$23))</f>
        <v/>
      </c>
      <c r="K42" s="11" t="str">
        <f>IF(K19="","",(K19/$O$23))</f>
        <v/>
      </c>
      <c r="L42" s="11" t="str">
        <f>IF(L19="","",(L19/$O$23))</f>
        <v/>
      </c>
      <c r="M42" s="11" t="str">
        <f>IF(M19="","",(M19/$O$23))</f>
        <v/>
      </c>
      <c r="N42" s="6"/>
      <c r="O42" s="11">
        <f t="shared" ref="O42:V42" si="23">IF(O19="","",(O19/$O$23))</f>
        <v>0.75918990425614585</v>
      </c>
      <c r="P42" s="11" t="str">
        <f t="shared" si="23"/>
        <v/>
      </c>
      <c r="Q42" s="11" t="str">
        <f t="shared" si="23"/>
        <v/>
      </c>
      <c r="R42" s="11" t="str">
        <f t="shared" si="23"/>
        <v/>
      </c>
      <c r="S42" s="11" t="str">
        <f t="shared" si="23"/>
        <v/>
      </c>
      <c r="T42" s="11" t="str">
        <f t="shared" si="23"/>
        <v/>
      </c>
      <c r="U42" s="11" t="str">
        <f t="shared" si="23"/>
        <v/>
      </c>
      <c r="V42" s="11" t="str">
        <f t="shared" si="23"/>
        <v/>
      </c>
    </row>
    <row r="43" spans="1:22">
      <c r="A43" s="152"/>
      <c r="B43" s="11" t="str">
        <f>IF(B20="","",(B20/$O$23))</f>
        <v/>
      </c>
      <c r="C43" s="11" t="str">
        <f>IF(C20="","",(C20/$O$23))</f>
        <v/>
      </c>
      <c r="D43" s="11" t="str">
        <f>IF(D20="","",(D20/$O$23))</f>
        <v/>
      </c>
      <c r="E43" s="11" t="str">
        <f>IF(E20="","",(E20/$O$23))</f>
        <v/>
      </c>
      <c r="F43" s="11" t="str">
        <f>IF(F20="","",(F20/$O$23))</f>
        <v/>
      </c>
      <c r="G43" s="11" t="str">
        <f>IF(G20="","",(G20/$O$23))</f>
        <v/>
      </c>
      <c r="H43" s="11" t="str">
        <f>IF(H20="","",(H20/$O$23))</f>
        <v/>
      </c>
      <c r="I43" s="11" t="str">
        <f>IF(I20="","",(I20/$O$23))</f>
        <v/>
      </c>
      <c r="J43" s="11" t="str">
        <f>IF(J20="","",(J20/$O$23))</f>
        <v/>
      </c>
      <c r="K43" s="11" t="str">
        <f>IF(K20="","",(K20/$O$23))</f>
        <v/>
      </c>
      <c r="L43" s="11" t="str">
        <f>IF(L20="","",(L20/$O$23))</f>
        <v/>
      </c>
      <c r="M43" s="11" t="str">
        <f>IF(M20="","",(M20/$O$23))</f>
        <v/>
      </c>
      <c r="N43" s="6"/>
      <c r="O43" s="11">
        <f t="shared" ref="O43:V43" si="24">IF(O20="","",(O20/$O$23))</f>
        <v>0.80389386983750899</v>
      </c>
      <c r="P43" s="11" t="str">
        <f t="shared" si="24"/>
        <v/>
      </c>
      <c r="Q43" s="11" t="str">
        <f t="shared" si="24"/>
        <v/>
      </c>
      <c r="R43" s="11" t="str">
        <f t="shared" si="24"/>
        <v/>
      </c>
      <c r="S43" s="11" t="str">
        <f t="shared" si="24"/>
        <v/>
      </c>
      <c r="T43" s="11" t="str">
        <f t="shared" si="24"/>
        <v/>
      </c>
      <c r="U43" s="11" t="str">
        <f t="shared" si="24"/>
        <v/>
      </c>
      <c r="V43" s="11" t="str">
        <f t="shared" si="24"/>
        <v/>
      </c>
    </row>
    <row r="44" spans="1:22">
      <c r="A44" s="7"/>
      <c r="B44" s="3"/>
      <c r="C44" s="3"/>
      <c r="D44" s="3"/>
      <c r="E44" s="3"/>
      <c r="F44" s="3"/>
      <c r="G44" s="3"/>
      <c r="H44" s="3"/>
      <c r="I44" s="3"/>
      <c r="J44" s="3"/>
      <c r="K44" s="3"/>
      <c r="L44" s="3"/>
      <c r="M44" s="3"/>
      <c r="N44" s="7"/>
      <c r="O44" s="3"/>
      <c r="P44" s="3"/>
      <c r="Q44" s="3"/>
      <c r="R44" s="3"/>
      <c r="S44" s="3"/>
      <c r="T44" s="3"/>
      <c r="U44" s="3"/>
      <c r="V44" s="3"/>
    </row>
    <row r="45" spans="1:22">
      <c r="A45" s="7" t="str">
        <f>A4</f>
        <v>Noms des groupes</v>
      </c>
      <c r="B45" s="7" t="str">
        <f t="shared" ref="B45:R45" si="25">B4</f>
        <v>Solvent control</v>
      </c>
      <c r="C45" s="7" t="str">
        <f t="shared" si="25"/>
        <v>EE2-33.8ng/L</v>
      </c>
      <c r="D45" s="7" t="str">
        <f t="shared" si="25"/>
        <v>EE2-50.6ng/L</v>
      </c>
      <c r="E45" s="7" t="str">
        <f t="shared" si="25"/>
        <v>EE2-76ng/L</v>
      </c>
      <c r="F45" s="7" t="str">
        <f t="shared" si="25"/>
        <v>EE2-114ng/L</v>
      </c>
      <c r="G45" s="7" t="str">
        <f t="shared" si="25"/>
        <v>EE2-170.9ng/L</v>
      </c>
      <c r="H45" s="7" t="str">
        <f t="shared" si="25"/>
        <v>EE2-488ng/L</v>
      </c>
      <c r="I45" s="7" t="str">
        <f t="shared" si="25"/>
        <v>tamoxifen-483ng/L</v>
      </c>
      <c r="J45" s="7" t="str">
        <f t="shared" si="25"/>
        <v>tamoxifen-242ng/L</v>
      </c>
      <c r="K45" s="7" t="str">
        <f t="shared" ref="K45:M45" si="26">K4</f>
        <v>tamoxifen-121ng/L</v>
      </c>
      <c r="L45" s="7" t="str">
        <f t="shared" si="26"/>
        <v>tamoxifen-60.4ng/L</v>
      </c>
      <c r="M45" s="7" t="str">
        <f t="shared" si="26"/>
        <v>tamoxifen-30.2ng/L</v>
      </c>
      <c r="N45" s="7"/>
      <c r="O45" s="7" t="str">
        <f t="shared" si="25"/>
        <v>Testo -30µg/L</v>
      </c>
      <c r="P45" s="7" t="str">
        <f t="shared" si="25"/>
        <v>Testo 30µg/L + EE2 -64ng/L</v>
      </c>
      <c r="Q45" s="7" t="str">
        <f t="shared" si="25"/>
        <v>Testo 30µg/L + FAD-10mg/L</v>
      </c>
      <c r="R45" s="7" t="str">
        <f t="shared" si="25"/>
        <v>tamoxifen-483ng/L + Testostérone</v>
      </c>
      <c r="S45" s="7" t="str">
        <f t="shared" ref="S45:V45" si="27">S4</f>
        <v>tamoxifen-242ng/L + Testostérone</v>
      </c>
      <c r="T45" s="7" t="str">
        <f t="shared" si="27"/>
        <v>tamoxifen-121ng/L + Testostérone</v>
      </c>
      <c r="U45" s="7" t="str">
        <f t="shared" si="27"/>
        <v>tamoxifen-60.4ng/L + Testostérone</v>
      </c>
      <c r="V45" s="7" t="str">
        <f t="shared" si="27"/>
        <v>tamoxifen-30.2ng/L + Testostérone</v>
      </c>
    </row>
    <row r="46" spans="1:22">
      <c r="A46" s="8" t="s">
        <v>0</v>
      </c>
      <c r="B46" s="10">
        <f t="shared" ref="B46:H46" si="28">AVERAGE(B28:B43)</f>
        <v>0.25677831358733633</v>
      </c>
      <c r="C46" s="10">
        <f t="shared" si="28"/>
        <v>0.34408649363785104</v>
      </c>
      <c r="D46" s="10">
        <f t="shared" si="28"/>
        <v>0.81423255528393235</v>
      </c>
      <c r="E46" s="10">
        <f t="shared" si="28"/>
        <v>1.2594048597709693</v>
      </c>
      <c r="F46" s="10">
        <f t="shared" si="28"/>
        <v>1.667399084750592</v>
      </c>
      <c r="G46" s="10">
        <f t="shared" si="28"/>
        <v>2.0630579862895746</v>
      </c>
      <c r="H46" s="10">
        <f t="shared" si="28"/>
        <v>2.1635918476479206</v>
      </c>
      <c r="I46" s="10">
        <f>AVERAGE(I28:I43)</f>
        <v>0.70784574342315032</v>
      </c>
      <c r="J46" s="9">
        <f>AVERAGE(J28:J43)</f>
        <v>0.37593046468880037</v>
      </c>
      <c r="K46" s="9">
        <f t="shared" ref="K46:M46" si="29">AVERAGE(K28:K43)</f>
        <v>0.46597092330082257</v>
      </c>
      <c r="L46" s="9">
        <f t="shared" si="29"/>
        <v>0.17986836666601869</v>
      </c>
      <c r="M46" s="9">
        <f t="shared" si="29"/>
        <v>0.31748033752563815</v>
      </c>
      <c r="N46" s="8" t="s">
        <v>0</v>
      </c>
      <c r="O46" s="10">
        <f t="shared" ref="O46:R46" si="30">AVERAGE(O28:O43)</f>
        <v>1</v>
      </c>
      <c r="P46" s="10">
        <f t="shared" si="30"/>
        <v>1.7008195073636967</v>
      </c>
      <c r="Q46" s="10">
        <f t="shared" si="30"/>
        <v>8.3335058076277821E-2</v>
      </c>
      <c r="R46" s="10">
        <f t="shared" si="30"/>
        <v>1.4937070090756213</v>
      </c>
      <c r="S46" s="10">
        <f t="shared" ref="S46:V46" si="31">AVERAGE(S28:S43)</f>
        <v>1.0113922089171967</v>
      </c>
      <c r="T46" s="10">
        <f t="shared" si="31"/>
        <v>1.2760073671113024</v>
      </c>
      <c r="U46" s="10">
        <f t="shared" si="31"/>
        <v>1.4249519134841127</v>
      </c>
      <c r="V46" s="10">
        <f t="shared" si="31"/>
        <v>0.93798517443665974</v>
      </c>
    </row>
    <row r="47" spans="1:22">
      <c r="A47" s="8" t="s">
        <v>1</v>
      </c>
      <c r="B47" s="8">
        <f t="shared" ref="B47:J47" si="32">STDEV(B28:B43)</f>
        <v>0.25037540547605064</v>
      </c>
      <c r="C47" s="8">
        <f t="shared" si="32"/>
        <v>0.15465449783695892</v>
      </c>
      <c r="D47" s="8">
        <f t="shared" si="32"/>
        <v>0.30009510340164713</v>
      </c>
      <c r="E47" s="8">
        <f t="shared" si="32"/>
        <v>0.31782754117191619</v>
      </c>
      <c r="F47" s="8">
        <f t="shared" si="32"/>
        <v>0.53458126399972183</v>
      </c>
      <c r="G47" s="8">
        <f t="shared" si="32"/>
        <v>0.65337352086957101</v>
      </c>
      <c r="H47" s="8">
        <f t="shared" si="32"/>
        <v>0.9012059513001861</v>
      </c>
      <c r="I47" s="8">
        <f t="shared" si="32"/>
        <v>0.16353110352605332</v>
      </c>
      <c r="J47" s="8">
        <f t="shared" si="32"/>
        <v>0.24524245015070079</v>
      </c>
      <c r="K47" s="8">
        <f t="shared" ref="K47:M47" si="33">STDEV(K28:K43)</f>
        <v>0.27264423816605543</v>
      </c>
      <c r="L47" s="8">
        <f t="shared" si="33"/>
        <v>0.13961832474979408</v>
      </c>
      <c r="M47" s="8">
        <f t="shared" si="33"/>
        <v>0.16660186557036297</v>
      </c>
      <c r="N47" s="8" t="s">
        <v>1</v>
      </c>
      <c r="O47" s="8">
        <f t="shared" ref="O47:R47" si="34">STDEV(O28:O43)</f>
        <v>0.33379514067730442</v>
      </c>
      <c r="P47" s="8">
        <f t="shared" si="34"/>
        <v>0.46859770646812932</v>
      </c>
      <c r="Q47" s="8">
        <f t="shared" si="34"/>
        <v>9.20694957025852E-2</v>
      </c>
      <c r="R47" s="8">
        <f t="shared" si="34"/>
        <v>0.46207058256551387</v>
      </c>
      <c r="S47" s="8">
        <f t="shared" ref="S47:V47" si="35">STDEV(S28:S43)</f>
        <v>0.47341513045617556</v>
      </c>
      <c r="T47" s="8">
        <f t="shared" si="35"/>
        <v>0.29918306616219514</v>
      </c>
      <c r="U47" s="8">
        <f t="shared" si="35"/>
        <v>0.38048599553466533</v>
      </c>
      <c r="V47" s="8">
        <f t="shared" si="35"/>
        <v>0.3880784840448554</v>
      </c>
    </row>
    <row r="48" spans="1:22">
      <c r="A48" s="8" t="s">
        <v>2</v>
      </c>
      <c r="B48" s="8">
        <f t="shared" ref="B48:J48" si="36" xml:space="preserve"> B47/SQRT(COUNT(B28:B43))</f>
        <v>8.8521073527223423E-2</v>
      </c>
      <c r="C48" s="8">
        <f t="shared" si="36"/>
        <v>5.4678622080756946E-2</v>
      </c>
      <c r="D48" s="8">
        <f t="shared" si="36"/>
        <v>0.10609964130809142</v>
      </c>
      <c r="E48" s="8">
        <f t="shared" si="36"/>
        <v>0.11236900480525427</v>
      </c>
      <c r="F48" s="8">
        <f t="shared" si="36"/>
        <v>0.18900301843473963</v>
      </c>
      <c r="G48" s="8">
        <f t="shared" si="36"/>
        <v>0.23100242362730192</v>
      </c>
      <c r="H48" s="8">
        <f t="shared" si="36"/>
        <v>0.31862441970501754</v>
      </c>
      <c r="I48" s="8">
        <f t="shared" si="36"/>
        <v>5.7816976119095816E-2</v>
      </c>
      <c r="J48" s="8">
        <f t="shared" si="36"/>
        <v>8.6706299768182185E-2</v>
      </c>
      <c r="K48" s="8">
        <f t="shared" ref="K48:M48" si="37" xml:space="preserve"> K47/SQRT(COUNT(K28:K43))</f>
        <v>9.6394294829328944E-2</v>
      </c>
      <c r="L48" s="8">
        <f t="shared" si="37"/>
        <v>4.9362532104242483E-2</v>
      </c>
      <c r="M48" s="8">
        <f t="shared" si="37"/>
        <v>5.8902654451566623E-2</v>
      </c>
      <c r="N48" s="8" t="s">
        <v>2</v>
      </c>
      <c r="O48" s="8">
        <f t="shared" ref="O48:R48" si="38" xml:space="preserve"> O47/SQRT(COUNT(O28:O43))</f>
        <v>8.3448785169326106E-2</v>
      </c>
      <c r="P48" s="8">
        <f t="shared" si="38"/>
        <v>0.16567430794603877</v>
      </c>
      <c r="Q48" s="8">
        <f t="shared" si="38"/>
        <v>3.2551482375861841E-2</v>
      </c>
      <c r="R48" s="8">
        <f t="shared" si="38"/>
        <v>0.16336662115944667</v>
      </c>
      <c r="S48" s="8">
        <f t="shared" ref="S48:V48" si="39" xml:space="preserve"> S47/SQRT(COUNT(S28:S43))</f>
        <v>0.16737752453093788</v>
      </c>
      <c r="T48" s="8">
        <f t="shared" si="39"/>
        <v>0.10577718744973584</v>
      </c>
      <c r="U48" s="8">
        <f t="shared" si="39"/>
        <v>0.13452211379453813</v>
      </c>
      <c r="V48" s="8">
        <f t="shared" si="39"/>
        <v>0.13720646385035631</v>
      </c>
    </row>
    <row r="49" spans="1:22" ht="15.75" thickBot="1">
      <c r="A49" s="8"/>
      <c r="B49" s="8"/>
      <c r="C49" s="8"/>
      <c r="D49" s="8"/>
      <c r="E49" s="8"/>
      <c r="F49" s="8"/>
      <c r="G49" s="8"/>
      <c r="H49" s="8"/>
      <c r="I49" s="8"/>
      <c r="J49" s="8"/>
      <c r="K49" s="8"/>
      <c r="L49" s="8"/>
      <c r="M49" s="8"/>
      <c r="N49" s="8"/>
      <c r="O49" s="8"/>
      <c r="P49" s="8"/>
      <c r="Q49" s="8"/>
      <c r="R49" s="8"/>
      <c r="S49" s="8"/>
      <c r="T49" s="8"/>
      <c r="U49" s="8"/>
      <c r="V49" s="8"/>
    </row>
    <row r="50" spans="1:22" ht="27" thickBot="1">
      <c r="A50" s="143" t="s">
        <v>24</v>
      </c>
      <c r="B50" s="144"/>
      <c r="C50" s="144"/>
      <c r="D50" s="144"/>
      <c r="E50" s="144"/>
      <c r="F50" s="144"/>
      <c r="G50" s="144"/>
      <c r="H50" s="144"/>
      <c r="I50" s="144"/>
      <c r="J50" s="144"/>
      <c r="K50" s="144"/>
      <c r="L50" s="144"/>
      <c r="M50" s="144"/>
      <c r="N50" s="144"/>
      <c r="O50" s="144"/>
      <c r="P50" s="144"/>
      <c r="Q50" s="144"/>
      <c r="R50" s="144"/>
      <c r="S50" s="144"/>
      <c r="T50" s="144"/>
      <c r="U50" s="144"/>
      <c r="V50" s="144"/>
    </row>
    <row r="51" spans="1:22" customFormat="1" ht="15.75" thickBot="1"/>
    <row r="52" spans="1:22">
      <c r="A52" s="29" t="str">
        <f t="shared" ref="A52:H52" si="40">A27</f>
        <v>Noms des groupes</v>
      </c>
      <c r="B52" s="30" t="str">
        <f t="shared" si="40"/>
        <v>Solvent control</v>
      </c>
      <c r="C52" s="30" t="str">
        <f t="shared" si="40"/>
        <v>EE2-33.8ng/L</v>
      </c>
      <c r="D52" s="30" t="str">
        <f t="shared" si="40"/>
        <v>EE2-50.6ng/L</v>
      </c>
      <c r="E52" s="30" t="str">
        <f t="shared" si="40"/>
        <v>EE2-76ng/L</v>
      </c>
      <c r="F52" s="30" t="str">
        <f t="shared" si="40"/>
        <v>EE2-114ng/L</v>
      </c>
      <c r="G52" s="30" t="str">
        <f t="shared" si="40"/>
        <v>EE2-170.9ng/L</v>
      </c>
      <c r="H52" s="30" t="str">
        <f t="shared" si="40"/>
        <v>EE2-488ng/L</v>
      </c>
      <c r="I52" s="30" t="str">
        <f>I4</f>
        <v>tamoxifen-483ng/L</v>
      </c>
      <c r="J52" s="30" t="str">
        <f>J4</f>
        <v>tamoxifen-242ng/L</v>
      </c>
      <c r="K52" s="30" t="str">
        <f t="shared" ref="K52:M52" si="41">K4</f>
        <v>tamoxifen-121ng/L</v>
      </c>
      <c r="L52" s="30" t="str">
        <f t="shared" si="41"/>
        <v>tamoxifen-60.4ng/L</v>
      </c>
      <c r="M52" s="30" t="str">
        <f t="shared" si="41"/>
        <v>tamoxifen-30.2ng/L</v>
      </c>
      <c r="N52" s="31"/>
      <c r="O52" s="30" t="str">
        <f>O27</f>
        <v>Testo -30µg/L</v>
      </c>
      <c r="P52" s="30" t="str">
        <f>P27</f>
        <v>Testo 30µg/L + EE2 -64ng/L</v>
      </c>
      <c r="Q52" s="30" t="str">
        <f>Q27</f>
        <v>Testo 30µg/L + FAD-10mg/L</v>
      </c>
      <c r="R52" s="30" t="str">
        <f>R27</f>
        <v>tamoxifen-483ng/L + Testostérone</v>
      </c>
      <c r="S52" s="30" t="str">
        <f t="shared" ref="S52:V52" si="42">S27</f>
        <v>tamoxifen-242ng/L + Testostérone</v>
      </c>
      <c r="T52" s="30" t="str">
        <f t="shared" si="42"/>
        <v>tamoxifen-121ng/L + Testostérone</v>
      </c>
      <c r="U52" s="30" t="str">
        <f t="shared" si="42"/>
        <v>tamoxifen-60.4ng/L + Testostérone</v>
      </c>
      <c r="V52" s="30" t="str">
        <f t="shared" si="42"/>
        <v>tamoxifen-30.2ng/L + Testostérone</v>
      </c>
    </row>
    <row r="53" spans="1:22" s="3" customFormat="1">
      <c r="A53" s="45" t="s">
        <v>15</v>
      </c>
      <c r="B53" s="77">
        <f t="shared" ref="B53" si="43">B46</f>
        <v>0.25677831358733633</v>
      </c>
      <c r="C53" s="77">
        <f t="shared" ref="C53:V53" si="44">C46</f>
        <v>0.34408649363785104</v>
      </c>
      <c r="D53" s="77">
        <f t="shared" si="44"/>
        <v>0.81423255528393235</v>
      </c>
      <c r="E53" s="77">
        <f t="shared" si="44"/>
        <v>1.2594048597709693</v>
      </c>
      <c r="F53" s="77">
        <f t="shared" si="44"/>
        <v>1.667399084750592</v>
      </c>
      <c r="G53" s="77">
        <f t="shared" si="44"/>
        <v>2.0630579862895746</v>
      </c>
      <c r="H53" s="77">
        <f t="shared" si="44"/>
        <v>2.1635918476479206</v>
      </c>
      <c r="I53" s="77">
        <f t="shared" si="44"/>
        <v>0.70784574342315032</v>
      </c>
      <c r="J53" s="77">
        <f t="shared" si="44"/>
        <v>0.37593046468880037</v>
      </c>
      <c r="K53" s="77">
        <f t="shared" si="44"/>
        <v>0.46597092330082257</v>
      </c>
      <c r="L53" s="77">
        <f t="shared" si="44"/>
        <v>0.17986836666601869</v>
      </c>
      <c r="M53" s="77">
        <f t="shared" si="44"/>
        <v>0.31748033752563815</v>
      </c>
      <c r="N53" s="77"/>
      <c r="O53" s="77">
        <f t="shared" si="44"/>
        <v>1</v>
      </c>
      <c r="P53" s="77">
        <f t="shared" si="44"/>
        <v>1.7008195073636967</v>
      </c>
      <c r="Q53" s="77">
        <f t="shared" si="44"/>
        <v>8.3335058076277821E-2</v>
      </c>
      <c r="R53" s="77">
        <f t="shared" si="44"/>
        <v>1.4937070090756213</v>
      </c>
      <c r="S53" s="77">
        <f t="shared" si="44"/>
        <v>1.0113922089171967</v>
      </c>
      <c r="T53" s="77">
        <f t="shared" si="44"/>
        <v>1.2760073671113024</v>
      </c>
      <c r="U53" s="77">
        <f t="shared" si="44"/>
        <v>1.4249519134841127</v>
      </c>
      <c r="V53" s="77">
        <f t="shared" si="44"/>
        <v>0.93798517443665974</v>
      </c>
    </row>
    <row r="54" spans="1:22" s="3" customFormat="1">
      <c r="A54" s="45" t="s">
        <v>2</v>
      </c>
      <c r="B54" s="77">
        <f t="shared" ref="B54" si="45">B48</f>
        <v>8.8521073527223423E-2</v>
      </c>
      <c r="C54" s="77">
        <f t="shared" ref="C54:V54" si="46">C48</f>
        <v>5.4678622080756946E-2</v>
      </c>
      <c r="D54" s="77">
        <f t="shared" si="46"/>
        <v>0.10609964130809142</v>
      </c>
      <c r="E54" s="77">
        <f t="shared" si="46"/>
        <v>0.11236900480525427</v>
      </c>
      <c r="F54" s="77">
        <f t="shared" si="46"/>
        <v>0.18900301843473963</v>
      </c>
      <c r="G54" s="77">
        <f t="shared" si="46"/>
        <v>0.23100242362730192</v>
      </c>
      <c r="H54" s="77">
        <f t="shared" si="46"/>
        <v>0.31862441970501754</v>
      </c>
      <c r="I54" s="77">
        <f t="shared" si="46"/>
        <v>5.7816976119095816E-2</v>
      </c>
      <c r="J54" s="77">
        <f t="shared" si="46"/>
        <v>8.6706299768182185E-2</v>
      </c>
      <c r="K54" s="77">
        <f t="shared" si="46"/>
        <v>9.6394294829328944E-2</v>
      </c>
      <c r="L54" s="77">
        <f t="shared" si="46"/>
        <v>4.9362532104242483E-2</v>
      </c>
      <c r="M54" s="77">
        <f t="shared" si="46"/>
        <v>5.8902654451566623E-2</v>
      </c>
      <c r="N54" s="77"/>
      <c r="O54" s="77">
        <f t="shared" si="46"/>
        <v>8.3448785169326106E-2</v>
      </c>
      <c r="P54" s="77">
        <f t="shared" si="46"/>
        <v>0.16567430794603877</v>
      </c>
      <c r="Q54" s="77">
        <f t="shared" si="46"/>
        <v>3.2551482375861841E-2</v>
      </c>
      <c r="R54" s="77">
        <f t="shared" si="46"/>
        <v>0.16336662115944667</v>
      </c>
      <c r="S54" s="77">
        <f t="shared" si="46"/>
        <v>0.16737752453093788</v>
      </c>
      <c r="T54" s="77">
        <f t="shared" si="46"/>
        <v>0.10577718744973584</v>
      </c>
      <c r="U54" s="77">
        <f t="shared" si="46"/>
        <v>0.13452211379453813</v>
      </c>
      <c r="V54" s="77">
        <f t="shared" si="46"/>
        <v>0.13720646385035631</v>
      </c>
    </row>
    <row r="55" spans="1:22" s="3" customFormat="1">
      <c r="A55" s="45" t="s">
        <v>42</v>
      </c>
      <c r="B55" s="77">
        <f>(B53*100/$B53)-100</f>
        <v>0</v>
      </c>
      <c r="C55" s="77">
        <f t="shared" ref="C55:M55" si="47">(C53*100/$B53)-100</f>
        <v>34.001383851607528</v>
      </c>
      <c r="D55" s="77">
        <f t="shared" si="47"/>
        <v>217.09553034625441</v>
      </c>
      <c r="E55" s="77">
        <f t="shared" si="47"/>
        <v>390.4638721924685</v>
      </c>
      <c r="F55" s="77">
        <f t="shared" si="47"/>
        <v>549.35354604370457</v>
      </c>
      <c r="G55" s="77">
        <f t="shared" si="47"/>
        <v>703.43933935366397</v>
      </c>
      <c r="H55" s="77">
        <f t="shared" si="47"/>
        <v>742.59134559353356</v>
      </c>
      <c r="I55" s="77">
        <f t="shared" si="47"/>
        <v>175.66414528320178</v>
      </c>
      <c r="J55" s="77">
        <f t="shared" si="47"/>
        <v>46.402731382117906</v>
      </c>
      <c r="K55" s="77">
        <f t="shared" si="47"/>
        <v>81.468176494715891</v>
      </c>
      <c r="L55" s="77">
        <f t="shared" si="47"/>
        <v>-29.95188567400524</v>
      </c>
      <c r="M55" s="77">
        <f t="shared" si="47"/>
        <v>23.639856142935386</v>
      </c>
      <c r="N55" s="77"/>
      <c r="O55" s="77">
        <f>(O53*100/$O53)-100</f>
        <v>0</v>
      </c>
      <c r="P55" s="77">
        <f t="shared" ref="P55:V55" si="48">(P53*100/$O53)-100</f>
        <v>70.081950736369663</v>
      </c>
      <c r="Q55" s="77">
        <f t="shared" si="48"/>
        <v>-91.666494192372213</v>
      </c>
      <c r="R55" s="77">
        <f t="shared" si="48"/>
        <v>49.370700907562139</v>
      </c>
      <c r="S55" s="77">
        <f t="shared" si="48"/>
        <v>1.139220891719674</v>
      </c>
      <c r="T55" s="77">
        <f t="shared" si="48"/>
        <v>27.600736711130239</v>
      </c>
      <c r="U55" s="77">
        <f t="shared" si="48"/>
        <v>42.495191348411254</v>
      </c>
      <c r="V55" s="77">
        <f t="shared" si="48"/>
        <v>-6.2014825563340281</v>
      </c>
    </row>
    <row r="56" spans="1:22" s="3" customFormat="1">
      <c r="A56" s="45" t="s">
        <v>43</v>
      </c>
      <c r="B56" s="77" t="e">
        <f ca="1">[1]!SWTEST(B28:B43)</f>
        <v>#NAME?</v>
      </c>
      <c r="C56" s="77" t="e">
        <f ca="1">[1]!SWTEST(C28:C43)</f>
        <v>#NAME?</v>
      </c>
      <c r="D56" s="77" t="e">
        <f ca="1">[1]!SWTEST(D28:D43)</f>
        <v>#NAME?</v>
      </c>
      <c r="E56" s="77" t="e">
        <f ca="1">[1]!SWTEST(E28:E43)</f>
        <v>#NAME?</v>
      </c>
      <c r="F56" s="77" t="e">
        <f ca="1">[1]!SWTEST(F28:F43)</f>
        <v>#NAME?</v>
      </c>
      <c r="G56" s="77" t="e">
        <f ca="1">[1]!SWTEST(G28:G43)</f>
        <v>#NAME?</v>
      </c>
      <c r="H56" s="77" t="e">
        <f ca="1">[1]!SWTEST(H28:H43)</f>
        <v>#NAME?</v>
      </c>
      <c r="I56" s="77" t="e">
        <f ca="1">[1]!SWTEST(I28:I43)</f>
        <v>#NAME?</v>
      </c>
      <c r="J56" s="77" t="e">
        <f ca="1">[1]!SWTEST(J28:J43)</f>
        <v>#NAME?</v>
      </c>
      <c r="K56" s="77" t="e">
        <f ca="1">[1]!SWTEST(K28:K43)</f>
        <v>#NAME?</v>
      </c>
      <c r="L56" s="77" t="e">
        <f ca="1">[1]!SWTEST(L28:L43)</f>
        <v>#NAME?</v>
      </c>
      <c r="M56" s="77" t="e">
        <f ca="1">[1]!SWTEST(M28:M43)</f>
        <v>#NAME?</v>
      </c>
      <c r="N56" s="77"/>
      <c r="O56" s="77" t="e">
        <f ca="1">[1]!SWTEST(O28:O43)</f>
        <v>#NAME?</v>
      </c>
      <c r="P56" s="77" t="e">
        <f ca="1">[1]!SWTEST(P28:P43)</f>
        <v>#NAME?</v>
      </c>
      <c r="Q56" s="77" t="e">
        <f ca="1">[1]!SWTEST(Q28:Q43)</f>
        <v>#NAME?</v>
      </c>
      <c r="R56" s="77" t="e">
        <f ca="1">[1]!SWTEST(R28:R43)</f>
        <v>#NAME?</v>
      </c>
      <c r="S56" s="77" t="e">
        <f ca="1">[1]!SWTEST(S28:S43)</f>
        <v>#NAME?</v>
      </c>
      <c r="T56" s="77" t="e">
        <f ca="1">[1]!SWTEST(T28:T43)</f>
        <v>#NAME?</v>
      </c>
      <c r="U56" s="77" t="e">
        <f ca="1">[1]!SWTEST(U28:U43)</f>
        <v>#NAME?</v>
      </c>
      <c r="V56" s="77" t="e">
        <f ca="1">[1]!SWTEST(V28:V43)</f>
        <v>#NAME?</v>
      </c>
    </row>
    <row r="57" spans="1:22" s="3" customFormat="1">
      <c r="A57" s="45" t="s">
        <v>47</v>
      </c>
      <c r="B57" s="77" t="e">
        <f ca="1">IF(B56&gt;0.05,"Oui","Non")</f>
        <v>#NAME?</v>
      </c>
      <c r="C57" s="77" t="e">
        <f t="shared" ref="C57:V57" ca="1" si="49">IF(C56&gt;0.05,"Oui","Non")</f>
        <v>#NAME?</v>
      </c>
      <c r="D57" s="77" t="e">
        <f t="shared" ca="1" si="49"/>
        <v>#NAME?</v>
      </c>
      <c r="E57" s="77" t="e">
        <f t="shared" ca="1" si="49"/>
        <v>#NAME?</v>
      </c>
      <c r="F57" s="77" t="e">
        <f t="shared" ca="1" si="49"/>
        <v>#NAME?</v>
      </c>
      <c r="G57" s="77" t="e">
        <f t="shared" ca="1" si="49"/>
        <v>#NAME?</v>
      </c>
      <c r="H57" s="77" t="e">
        <f t="shared" ca="1" si="49"/>
        <v>#NAME?</v>
      </c>
      <c r="I57" s="77" t="e">
        <f t="shared" ca="1" si="49"/>
        <v>#NAME?</v>
      </c>
      <c r="J57" s="77" t="e">
        <f t="shared" ca="1" si="49"/>
        <v>#NAME?</v>
      </c>
      <c r="K57" s="77" t="e">
        <f t="shared" ca="1" si="49"/>
        <v>#NAME?</v>
      </c>
      <c r="L57" s="77" t="e">
        <f t="shared" ca="1" si="49"/>
        <v>#NAME?</v>
      </c>
      <c r="M57" s="77" t="e">
        <f t="shared" ca="1" si="49"/>
        <v>#NAME?</v>
      </c>
      <c r="N57" s="77"/>
      <c r="O57" s="77" t="e">
        <f t="shared" ca="1" si="49"/>
        <v>#NAME?</v>
      </c>
      <c r="P57" s="77" t="e">
        <f t="shared" ca="1" si="49"/>
        <v>#NAME?</v>
      </c>
      <c r="Q57" s="77" t="e">
        <f t="shared" ca="1" si="49"/>
        <v>#NAME?</v>
      </c>
      <c r="R57" s="77" t="e">
        <f t="shared" ca="1" si="49"/>
        <v>#NAME?</v>
      </c>
      <c r="S57" s="77" t="e">
        <f t="shared" ca="1" si="49"/>
        <v>#NAME?</v>
      </c>
      <c r="T57" s="77" t="e">
        <f t="shared" ca="1" si="49"/>
        <v>#NAME?</v>
      </c>
      <c r="U57" s="77" t="e">
        <f t="shared" ca="1" si="49"/>
        <v>#NAME?</v>
      </c>
      <c r="V57" s="77" t="e">
        <f t="shared" ca="1" si="49"/>
        <v>#NAME?</v>
      </c>
    </row>
    <row r="58" spans="1:22" s="3" customFormat="1">
      <c r="A58" s="45"/>
      <c r="B58" s="77"/>
      <c r="C58" s="77"/>
      <c r="D58" s="77"/>
      <c r="E58" s="77"/>
      <c r="F58" s="77"/>
      <c r="G58" s="77"/>
      <c r="H58" s="77"/>
      <c r="I58" s="77"/>
      <c r="J58" s="77"/>
      <c r="K58" s="77"/>
      <c r="L58" s="77"/>
      <c r="M58" s="77"/>
      <c r="N58" s="79"/>
      <c r="O58" s="80"/>
      <c r="P58" s="77"/>
      <c r="Q58" s="77"/>
      <c r="R58" s="77"/>
      <c r="S58" s="77"/>
      <c r="T58" s="77"/>
      <c r="U58" s="77"/>
      <c r="V58" s="77"/>
    </row>
    <row r="59" spans="1:22" s="3" customFormat="1">
      <c r="A59" s="45" t="s">
        <v>44</v>
      </c>
      <c r="B59" s="81"/>
      <c r="C59" s="81" t="e">
        <f t="shared" ref="C59:O59" ca="1" si="50">IF($B57="Non",IF(C57="Non","MW",IF(C57="Oui","MW","")),IF($B57="Oui",IF(C57="Oui","T-Test Welch",IF(C57="Non","MW",""))))</f>
        <v>#NAME?</v>
      </c>
      <c r="D59" s="81" t="e">
        <f t="shared" ca="1" si="50"/>
        <v>#NAME?</v>
      </c>
      <c r="E59" s="81" t="e">
        <f t="shared" ca="1" si="50"/>
        <v>#NAME?</v>
      </c>
      <c r="F59" s="81" t="e">
        <f t="shared" ca="1" si="50"/>
        <v>#NAME?</v>
      </c>
      <c r="G59" s="81" t="e">
        <f t="shared" ca="1" si="50"/>
        <v>#NAME?</v>
      </c>
      <c r="H59" s="81" t="e">
        <f t="shared" ca="1" si="50"/>
        <v>#NAME?</v>
      </c>
      <c r="I59" s="81" t="e">
        <f t="shared" ca="1" si="50"/>
        <v>#NAME?</v>
      </c>
      <c r="J59" s="81" t="e">
        <f t="shared" ca="1" si="50"/>
        <v>#NAME?</v>
      </c>
      <c r="K59" s="81" t="e">
        <f t="shared" ca="1" si="50"/>
        <v>#NAME?</v>
      </c>
      <c r="L59" s="81" t="e">
        <f t="shared" ca="1" si="50"/>
        <v>#NAME?</v>
      </c>
      <c r="M59" s="81" t="e">
        <f t="shared" ca="1" si="50"/>
        <v>#NAME?</v>
      </c>
      <c r="N59" s="81"/>
      <c r="O59" s="81" t="e">
        <f t="shared" ca="1" si="50"/>
        <v>#NAME?</v>
      </c>
      <c r="P59" s="81" t="e">
        <f ca="1">IF($O57="Non",IF(P57="Non","MW",IF(P57="Oui","MW","")),IF($O57="Oui",IF(P57="Oui","T-Test Welch",IF(P57="Non","MW",""))))</f>
        <v>#NAME?</v>
      </c>
      <c r="Q59" s="81" t="e">
        <f t="shared" ref="Q59:V59" ca="1" si="51">IF($O57="Non",IF(Q57="Non","MW",IF(Q57="Oui","MW","")),IF($O57="Oui",IF(Q57="Oui","T-Test Welch",IF(Q57="Non","MW",""))))</f>
        <v>#NAME?</v>
      </c>
      <c r="R59" s="81" t="e">
        <f t="shared" ca="1" si="51"/>
        <v>#NAME?</v>
      </c>
      <c r="S59" s="81" t="e">
        <f t="shared" ca="1" si="51"/>
        <v>#NAME?</v>
      </c>
      <c r="T59" s="81" t="e">
        <f t="shared" ca="1" si="51"/>
        <v>#NAME?</v>
      </c>
      <c r="U59" s="81" t="e">
        <f t="shared" ca="1" si="51"/>
        <v>#NAME?</v>
      </c>
      <c r="V59" s="81" t="e">
        <f t="shared" ca="1" si="51"/>
        <v>#NAME?</v>
      </c>
    </row>
    <row r="60" spans="1:22" s="3" customFormat="1">
      <c r="A60" s="45" t="s">
        <v>45</v>
      </c>
      <c r="B60" s="82"/>
      <c r="C60" s="82" t="e">
        <f ca="1">IF(C59="MW",[1]!MTEST($B28:$B43,C28:C43,2), IF(C59="T-Test Welch",_xlfn.T.TEST($B28:$B43,C28:C43,2,3),""))</f>
        <v>#NAME?</v>
      </c>
      <c r="D60" s="82" t="e">
        <f ca="1">IF(D59="MW",[1]!MTEST($B28:$B43,D28:D43,2), IF(D59="T-Test Welch",_xlfn.T.TEST($B28:$B43,D28:D43,2,3),""))</f>
        <v>#NAME?</v>
      </c>
      <c r="E60" s="82" t="e">
        <f ca="1">IF(E59="MW",[1]!MTEST($B28:$B43,E28:E43,2), IF(E59="T-Test Welch",_xlfn.T.TEST($B28:$B43,E28:E43,2,3),""))</f>
        <v>#NAME?</v>
      </c>
      <c r="F60" s="82" t="e">
        <f ca="1">IF(F59="MW",[1]!MTEST($B28:$B43,F28:F43,2), IF(F59="T-Test Welch",_xlfn.T.TEST($B28:$B43,F28:F43,2,3),""))</f>
        <v>#NAME?</v>
      </c>
      <c r="G60" s="82" t="e">
        <f ca="1">IF(G59="MW",[1]!MTEST($B28:$B43,G28:G43,2), IF(G59="T-Test Welch",_xlfn.T.TEST($B28:$B43,G28:G43,2,3),""))</f>
        <v>#NAME?</v>
      </c>
      <c r="H60" s="82" t="e">
        <f ca="1">IF(H59="MW",[1]!MTEST($B28:$B43,H28:H43,2), IF(H59="T-Test Welch",_xlfn.T.TEST($B28:$B43,H28:H43,2,3),""))</f>
        <v>#NAME?</v>
      </c>
      <c r="I60" s="82" t="e">
        <f ca="1">IF(I59="MW",[1]!MTEST($B28:$B43,I28:I43,2), IF(I59="T-Test Welch",_xlfn.T.TEST($B28:$B43,I28:I43,2,3),""))</f>
        <v>#NAME?</v>
      </c>
      <c r="J60" s="82" t="e">
        <f ca="1">IF(J59="MW",[1]!MTEST($B28:$B43,J28:J43,2), IF(J59="T-Test Welch",_xlfn.T.TEST($B28:$B43,J28:J43,2,3),""))</f>
        <v>#NAME?</v>
      </c>
      <c r="K60" s="82" t="e">
        <f ca="1">IF(K59="MW",[1]!MTEST($B28:$B43,K28:K43,2), IF(K59="T-Test Welch",_xlfn.T.TEST($B28:$B43,K28:K43,2,3),""))</f>
        <v>#NAME?</v>
      </c>
      <c r="L60" s="82" t="e">
        <f ca="1">IF(L59="MW",[1]!MTEST($B28:$B43,L28:L43,2), IF(L59="T-Test Welch",_xlfn.T.TEST($B28:$B43,L28:L43,2,3),""))</f>
        <v>#NAME?</v>
      </c>
      <c r="M60" s="82" t="e">
        <f ca="1">IF(M59="MW",[1]!MTEST($B28:$B43,M28:M43,2), IF(M59="T-Test Welch",_xlfn.T.TEST($B28:$B43,M28:M43,2,3),""))</f>
        <v>#NAME?</v>
      </c>
      <c r="N60" s="82"/>
      <c r="O60" s="82" t="e">
        <f ca="1">IF(O59="MW",[1]!MTEST($B28:$B43,O28:O43,2), IF(O59="T-Test Welch",_xlfn.T.TEST($B28:$B43,O28:O43,2,3),""))</f>
        <v>#NAME?</v>
      </c>
      <c r="P60" s="82" t="e">
        <f ca="1">IF(P59="MW",[1]!MTEST($O28:$O43,P28:P43,2), IF(P59="T-Test Welch",_xlfn.T.TEST($O28:$O43,P28:P43,2,3),""))</f>
        <v>#NAME?</v>
      </c>
      <c r="Q60" s="82" t="e">
        <f ca="1">IF(Q59="MW",[1]!MTEST($O28:$O43,Q28:Q43,2), IF(Q59="T-Test Welch",_xlfn.T.TEST($O28:$O43,Q28:Q43,2,3),""))</f>
        <v>#NAME?</v>
      </c>
      <c r="R60" s="82" t="e">
        <f ca="1">IF(R59="MW",[1]!MTEST($O28:$O43,R28:R43,2), IF(R59="T-Test Welch",_xlfn.T.TEST($O28:$O43,R28:R43,2,3),""))</f>
        <v>#NAME?</v>
      </c>
      <c r="S60" s="82" t="e">
        <f ca="1">IF(S59="MW",[1]!MTEST($O28:$O43,S28:S43,2), IF(S59="T-Test Welch",_xlfn.T.TEST($O28:$O43,S28:S43,2,3),""))</f>
        <v>#NAME?</v>
      </c>
      <c r="T60" s="82" t="e">
        <f ca="1">IF(T59="MW",[1]!MTEST($O28:$O43,T28:T43,2), IF(T59="T-Test Welch",_xlfn.T.TEST($O28:$O43,T28:T43,2,3),""))</f>
        <v>#NAME?</v>
      </c>
      <c r="U60" s="82" t="e">
        <f ca="1">IF(U59="MW",[1]!MTEST($O28:$O43,U28:U43,2), IF(U59="T-Test Welch",_xlfn.T.TEST($O28:$O43,U28:U43,2,3),""))</f>
        <v>#NAME?</v>
      </c>
      <c r="V60" s="82" t="e">
        <f ca="1">IF(V59="MW",[1]!MTEST($O28:$O43,V28:V43,2), IF(V59="T-Test Welch",_xlfn.T.TEST($O28:$O43,V28:V43,2,3),""))</f>
        <v>#NAME?</v>
      </c>
    </row>
    <row r="61" spans="1:22" s="3" customFormat="1" ht="15.75" thickBot="1">
      <c r="A61" s="46" t="s">
        <v>46</v>
      </c>
      <c r="B61" s="78"/>
      <c r="C61" s="78" t="e">
        <f t="shared" ref="C61:O61" ca="1" si="52">IF(C60&gt;0.05,"NS",IF(C60&gt;0.01,"*",IF(C60&gt;0.001,"**","***")))</f>
        <v>#NAME?</v>
      </c>
      <c r="D61" s="78" t="e">
        <f t="shared" ca="1" si="52"/>
        <v>#NAME?</v>
      </c>
      <c r="E61" s="78" t="e">
        <f t="shared" ca="1" si="52"/>
        <v>#NAME?</v>
      </c>
      <c r="F61" s="78" t="e">
        <f t="shared" ca="1" si="52"/>
        <v>#NAME?</v>
      </c>
      <c r="G61" s="78" t="e">
        <f t="shared" ca="1" si="52"/>
        <v>#NAME?</v>
      </c>
      <c r="H61" s="78" t="e">
        <f t="shared" ca="1" si="52"/>
        <v>#NAME?</v>
      </c>
      <c r="I61" s="78" t="e">
        <f t="shared" ca="1" si="52"/>
        <v>#NAME?</v>
      </c>
      <c r="J61" s="78" t="e">
        <f t="shared" ca="1" si="52"/>
        <v>#NAME?</v>
      </c>
      <c r="K61" s="78" t="e">
        <f t="shared" ca="1" si="52"/>
        <v>#NAME?</v>
      </c>
      <c r="L61" s="78" t="e">
        <f t="shared" ca="1" si="52"/>
        <v>#NAME?</v>
      </c>
      <c r="M61" s="78" t="e">
        <f t="shared" ca="1" si="52"/>
        <v>#NAME?</v>
      </c>
      <c r="N61" s="78"/>
      <c r="O61" s="78" t="e">
        <f t="shared" ca="1" si="52"/>
        <v>#NAME?</v>
      </c>
      <c r="P61" s="78" t="e">
        <f ca="1">IF(P60&gt;0.05,"NS",IF(P60&gt;0.01,"*",IF(P60&gt;0.001,"**","***")))</f>
        <v>#NAME?</v>
      </c>
      <c r="Q61" s="78" t="e">
        <f t="shared" ref="Q61:V61" ca="1" si="53">IF(Q60&gt;0.05,"NS",IF(Q60&gt;0.01,"*",IF(Q60&gt;0.001,"**","***")))</f>
        <v>#NAME?</v>
      </c>
      <c r="R61" s="78" t="e">
        <f t="shared" ca="1" si="53"/>
        <v>#NAME?</v>
      </c>
      <c r="S61" s="78" t="e">
        <f t="shared" ca="1" si="53"/>
        <v>#NAME?</v>
      </c>
      <c r="T61" s="78" t="e">
        <f t="shared" ca="1" si="53"/>
        <v>#NAME?</v>
      </c>
      <c r="U61" s="78" t="e">
        <f t="shared" ca="1" si="53"/>
        <v>#NAME?</v>
      </c>
      <c r="V61" s="78" t="e">
        <f t="shared" ca="1" si="53"/>
        <v>#NAME?</v>
      </c>
    </row>
    <row r="63" spans="1:22">
      <c r="A63" s="2" t="s">
        <v>20</v>
      </c>
    </row>
    <row r="64" spans="1:22">
      <c r="A64" s="1" t="s">
        <v>13</v>
      </c>
      <c r="B64" s="1">
        <f>B46+(3*B47)</f>
        <v>1.0079045300154883</v>
      </c>
    </row>
    <row r="65" spans="1:22">
      <c r="A65" s="1" t="s">
        <v>14</v>
      </c>
      <c r="B65" s="1">
        <f>B46+(10*B47)</f>
        <v>2.7605323683478424</v>
      </c>
    </row>
    <row r="66" spans="1:22" ht="15.75" thickBot="1"/>
    <row r="67" spans="1:22" ht="27" thickBot="1">
      <c r="A67" s="143" t="s">
        <v>25</v>
      </c>
      <c r="B67" s="144"/>
      <c r="C67" s="144"/>
      <c r="D67" s="144"/>
      <c r="E67" s="144"/>
      <c r="F67" s="144"/>
      <c r="G67" s="144"/>
      <c r="H67" s="144"/>
      <c r="I67" s="144"/>
      <c r="J67" s="144"/>
      <c r="K67" s="144"/>
      <c r="L67" s="144"/>
      <c r="M67" s="144"/>
      <c r="N67" s="144"/>
      <c r="O67" s="144"/>
      <c r="P67" s="144"/>
      <c r="Q67" s="144"/>
      <c r="R67" s="144"/>
      <c r="S67" s="144"/>
      <c r="T67" s="144"/>
      <c r="U67" s="144"/>
      <c r="V67" s="144"/>
    </row>
    <row r="68" spans="1:22" ht="16.5">
      <c r="A68" s="12"/>
      <c r="B68" s="12"/>
      <c r="C68" s="12"/>
      <c r="D68" s="12"/>
      <c r="E68" s="12"/>
      <c r="F68" s="12"/>
      <c r="N68" s="12"/>
      <c r="O68" s="12"/>
      <c r="P68" s="12"/>
      <c r="Q68" s="12"/>
      <c r="R68" s="12"/>
      <c r="S68" s="12"/>
      <c r="T68" s="12"/>
      <c r="U68" s="12"/>
      <c r="V68" s="12"/>
    </row>
    <row r="69" spans="1:22" ht="16.5">
      <c r="A69" s="12"/>
      <c r="B69" s="12"/>
      <c r="C69" s="12"/>
      <c r="D69" s="12"/>
      <c r="E69" s="12"/>
      <c r="F69" s="12"/>
      <c r="N69" s="12"/>
      <c r="O69" s="12"/>
      <c r="P69" s="12"/>
      <c r="Q69" s="12"/>
      <c r="R69" s="12"/>
      <c r="S69" s="12"/>
      <c r="T69" s="12"/>
      <c r="U69" s="12"/>
      <c r="V69" s="12"/>
    </row>
    <row r="70" spans="1:22" ht="16.5">
      <c r="A70" s="12"/>
      <c r="B70" s="12"/>
      <c r="C70" s="12"/>
      <c r="D70" s="12"/>
      <c r="E70" s="12"/>
      <c r="F70" s="12"/>
      <c r="N70" s="12"/>
      <c r="O70" s="12"/>
      <c r="P70" s="12"/>
      <c r="Q70" s="12"/>
      <c r="R70" s="12"/>
      <c r="S70" s="12"/>
      <c r="T70" s="12"/>
      <c r="U70" s="12"/>
      <c r="V70" s="12"/>
    </row>
    <row r="71" spans="1:22" ht="16.5">
      <c r="A71" s="12"/>
      <c r="B71" s="12"/>
      <c r="C71" s="12"/>
      <c r="D71" s="12"/>
      <c r="E71" s="12"/>
      <c r="F71" s="12"/>
      <c r="N71" s="12"/>
      <c r="O71" s="12"/>
      <c r="P71" s="12"/>
      <c r="Q71" s="12"/>
      <c r="R71" s="12"/>
      <c r="S71" s="12"/>
      <c r="T71" s="12"/>
      <c r="U71" s="12"/>
      <c r="V71" s="12"/>
    </row>
    <row r="72" spans="1:22" ht="16.5">
      <c r="A72" s="12"/>
      <c r="B72" s="12"/>
      <c r="C72" s="12"/>
      <c r="D72" s="12"/>
      <c r="E72" s="12"/>
      <c r="F72" s="12"/>
      <c r="N72" s="12"/>
      <c r="O72" s="12"/>
      <c r="P72" s="12"/>
      <c r="Q72" s="12"/>
      <c r="R72" s="12"/>
      <c r="S72" s="12"/>
      <c r="T72" s="12"/>
      <c r="U72" s="12"/>
      <c r="V72" s="12"/>
    </row>
    <row r="73" spans="1:22" ht="16.5">
      <c r="A73" s="12"/>
      <c r="B73" s="12"/>
      <c r="C73" s="12"/>
      <c r="D73" s="12"/>
      <c r="E73" s="12"/>
      <c r="F73" s="12"/>
      <c r="N73" s="12"/>
      <c r="O73" s="12"/>
      <c r="P73" s="12"/>
      <c r="Q73" s="12"/>
      <c r="R73" s="12"/>
      <c r="S73" s="12"/>
      <c r="T73" s="12"/>
      <c r="U73" s="12"/>
      <c r="V73" s="12"/>
    </row>
    <row r="74" spans="1:22" ht="16.5">
      <c r="A74" s="12"/>
      <c r="B74" s="12"/>
      <c r="C74" s="12"/>
      <c r="D74" s="12"/>
      <c r="E74" s="12"/>
      <c r="F74" s="12"/>
      <c r="N74" s="12"/>
      <c r="O74" s="12"/>
      <c r="P74" s="12"/>
      <c r="Q74" s="12"/>
      <c r="R74" s="12"/>
      <c r="S74" s="12"/>
      <c r="T74" s="12"/>
      <c r="U74" s="12"/>
      <c r="V74" s="12"/>
    </row>
  </sheetData>
  <protectedRanges>
    <protectedRange sqref="O51:V51" name="Plage2"/>
    <protectedRange sqref="R5:V20" name="Plage1"/>
    <protectedRange sqref="B51:J51" name="Plage2_1"/>
    <protectedRange sqref="O5:O20 B5:J20" name="Plage1_1"/>
  </protectedRanges>
  <mergeCells count="9">
    <mergeCell ref="A1:V1"/>
    <mergeCell ref="A67:V67"/>
    <mergeCell ref="A5:A20"/>
    <mergeCell ref="B3:M3"/>
    <mergeCell ref="O3:V3"/>
    <mergeCell ref="B26:M26"/>
    <mergeCell ref="O26:V26"/>
    <mergeCell ref="A28:A43"/>
    <mergeCell ref="A50:V50"/>
  </mergeCells>
  <phoneticPr fontId="12"/>
  <pageMargins left="0.7" right="0.7" top="0.75" bottom="0.75" header="0.3" footer="0.3"/>
  <pageSetup paperSize="9" scale="21" orientation="landscape" r:id="rId1"/>
  <headerFooter>
    <oddHeader>&amp;C&amp;"-,Gras"&amp;14Données brutes et normalisées R1&amp;R&amp;"-,Gras"&amp;14Page : &amp;P/&amp;P</oddHeader>
    <oddFooter>&amp;C&amp;1#&amp;"Arial"&amp;10&amp;K000000Internal</oddFooter>
  </headerFooter>
  <colBreaks count="1" manualBreakCount="1">
    <brk id="14" max="1048575" man="1"/>
  </col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V74"/>
  <sheetViews>
    <sheetView showGridLines="0" tabSelected="1" topLeftCell="K1" zoomScale="70" zoomScaleNormal="70" zoomScaleSheetLayoutView="40" zoomScalePageLayoutView="30" workbookViewId="0">
      <selection activeCell="N2" sqref="N1:N1048576"/>
    </sheetView>
  </sheetViews>
  <sheetFormatPr defaultColWidth="9.140625" defaultRowHeight="15"/>
  <cols>
    <col min="1" max="1" width="33.42578125" style="1" customWidth="1"/>
    <col min="2" max="2" width="14.85546875" style="1" customWidth="1"/>
    <col min="3" max="5" width="25.85546875" style="1" bestFit="1" customWidth="1"/>
    <col min="6" max="8" width="26.42578125" style="1" bestFit="1" customWidth="1"/>
    <col min="9" max="9" width="26.42578125" style="1" customWidth="1"/>
    <col min="10" max="10" width="25.85546875" style="1" bestFit="1" customWidth="1"/>
    <col min="11" max="11" width="26.42578125" style="1" bestFit="1" customWidth="1"/>
    <col min="12" max="13" width="26.42578125" style="1" customWidth="1"/>
    <col min="14" max="14" width="11.7109375" style="1" customWidth="1"/>
    <col min="15" max="15" width="14.85546875" style="1" customWidth="1"/>
    <col min="16" max="22" width="25.85546875" style="1" customWidth="1"/>
    <col min="23" max="16384" width="9.140625" style="1"/>
  </cols>
  <sheetData>
    <row r="1" spans="1:22" ht="60" customHeight="1" thickBot="1">
      <c r="A1" s="153" t="s">
        <v>70</v>
      </c>
      <c r="B1" s="142"/>
      <c r="C1" s="142"/>
      <c r="D1" s="142"/>
      <c r="E1" s="142"/>
      <c r="F1" s="142"/>
      <c r="G1" s="142"/>
      <c r="H1" s="142"/>
      <c r="I1" s="142"/>
      <c r="J1" s="142"/>
      <c r="K1" s="142"/>
      <c r="L1" s="142"/>
      <c r="M1" s="142"/>
      <c r="N1" s="142"/>
      <c r="O1" s="142"/>
      <c r="P1" s="142"/>
      <c r="Q1" s="142"/>
      <c r="R1" s="142"/>
      <c r="S1" s="142"/>
      <c r="T1" s="142"/>
      <c r="U1" s="142"/>
      <c r="V1" s="142"/>
    </row>
    <row r="2" spans="1:22" ht="15.75" thickBot="1"/>
    <row r="3" spans="1:22" ht="15.75" thickBot="1">
      <c r="A3" s="83" t="s">
        <v>12</v>
      </c>
      <c r="B3" s="149" t="s">
        <v>6</v>
      </c>
      <c r="C3" s="150"/>
      <c r="D3" s="150"/>
      <c r="E3" s="150"/>
      <c r="F3" s="150"/>
      <c r="G3" s="150"/>
      <c r="H3" s="150"/>
      <c r="I3" s="150"/>
      <c r="J3" s="150"/>
      <c r="K3" s="150"/>
      <c r="L3" s="150"/>
      <c r="M3" s="150"/>
      <c r="O3" s="149" t="s">
        <v>3</v>
      </c>
      <c r="P3" s="150"/>
      <c r="Q3" s="150"/>
      <c r="R3" s="150"/>
      <c r="S3" s="150"/>
      <c r="T3" s="150"/>
      <c r="U3" s="150"/>
      <c r="V3" s="150"/>
    </row>
    <row r="4" spans="1:22">
      <c r="A4" s="19" t="s">
        <v>22</v>
      </c>
      <c r="B4" s="20" t="str">
        <f>'Front page'!A7</f>
        <v>Solvent control</v>
      </c>
      <c r="C4" s="20" t="str">
        <f>'Front page'!A8</f>
        <v>EE2-33.8ng/L</v>
      </c>
      <c r="D4" s="20" t="str">
        <f>'Front page'!A9</f>
        <v>EE2-50.6ng/L</v>
      </c>
      <c r="E4" s="20" t="str">
        <f>'Front page'!A10</f>
        <v>EE2-76ng/L</v>
      </c>
      <c r="F4" s="20" t="str">
        <f>'Front page'!A11</f>
        <v>EE2-114ng/L</v>
      </c>
      <c r="G4" s="20" t="str">
        <f>'Front page'!A12</f>
        <v>EE2-170.9ng/L</v>
      </c>
      <c r="H4" s="20" t="str">
        <f>'Front page'!A13</f>
        <v>EE2-488ng/L</v>
      </c>
      <c r="I4" s="20" t="str">
        <f>'Front page'!A14</f>
        <v>tamoxifen-483ng/L</v>
      </c>
      <c r="J4" s="20" t="str">
        <f>'Front page'!A15</f>
        <v>tamoxifen-242ng/L</v>
      </c>
      <c r="K4" s="20" t="str">
        <f>'Front page'!A16</f>
        <v>tamoxifen-121ng/L</v>
      </c>
      <c r="L4" s="20" t="str">
        <f>'Front page'!A17</f>
        <v>tamoxifen-60.4ng/L</v>
      </c>
      <c r="M4" s="20" t="str">
        <f>'Front page'!A18</f>
        <v>tamoxifen-30.2ng/L</v>
      </c>
      <c r="N4" s="3"/>
      <c r="O4" s="21" t="str">
        <f>'Front page'!A35</f>
        <v>Testo -30µg/L</v>
      </c>
      <c r="P4" s="21" t="str">
        <f>'Front page'!A36</f>
        <v>Testo 30µg/L + EE2 -64ng/L</v>
      </c>
      <c r="Q4" s="21" t="str">
        <f>'Front page'!A37</f>
        <v>Testo 30µg/L + FAD-10mg/L</v>
      </c>
      <c r="R4" s="21" t="str">
        <f>'Front page'!A38</f>
        <v>tamoxifen-483ng/L + Testostérone</v>
      </c>
      <c r="S4" s="21" t="str">
        <f>'Front page'!A39</f>
        <v>tamoxifen-242ng/L + Testostérone</v>
      </c>
      <c r="T4" s="21" t="str">
        <f>'Front page'!A40</f>
        <v>tamoxifen-121ng/L + Testostérone</v>
      </c>
      <c r="U4" s="21" t="str">
        <f>'Front page'!A41</f>
        <v>tamoxifen-60.4ng/L + Testostérone</v>
      </c>
      <c r="V4" s="21" t="str">
        <f>'Front page'!A42</f>
        <v>tamoxifen-30.2ng/L + Testostérone</v>
      </c>
    </row>
    <row r="5" spans="1:22">
      <c r="A5" s="152" t="s">
        <v>71</v>
      </c>
      <c r="B5" s="81">
        <v>54117</v>
      </c>
      <c r="C5" s="81">
        <v>2398030</v>
      </c>
      <c r="D5" s="81">
        <v>2149316</v>
      </c>
      <c r="E5" s="81">
        <v>8003766</v>
      </c>
      <c r="F5" s="81">
        <v>7142867</v>
      </c>
      <c r="G5" s="81">
        <v>19217393</v>
      </c>
      <c r="H5" s="81">
        <v>14122082</v>
      </c>
      <c r="I5" s="17">
        <v>7615218</v>
      </c>
      <c r="J5" s="17">
        <v>2706138</v>
      </c>
      <c r="K5" s="13">
        <v>2006063</v>
      </c>
      <c r="L5" s="13">
        <v>262377</v>
      </c>
      <c r="M5" s="13">
        <v>1837547</v>
      </c>
      <c r="N5" s="3"/>
      <c r="O5" s="117">
        <v>7742245</v>
      </c>
      <c r="P5" s="116">
        <v>20750818</v>
      </c>
      <c r="Q5" s="116">
        <v>390972</v>
      </c>
      <c r="R5" s="81">
        <v>7353912</v>
      </c>
      <c r="S5" s="81">
        <v>6991688</v>
      </c>
      <c r="T5" s="81">
        <v>5078066</v>
      </c>
      <c r="U5" s="81">
        <v>4530801</v>
      </c>
      <c r="V5" s="81">
        <v>5704394</v>
      </c>
    </row>
    <row r="6" spans="1:22" ht="16.5">
      <c r="A6" s="151"/>
      <c r="B6" s="115">
        <v>3188123</v>
      </c>
      <c r="C6" s="116">
        <v>4956223</v>
      </c>
      <c r="D6" s="81">
        <v>1487841</v>
      </c>
      <c r="E6" s="81">
        <v>5562752</v>
      </c>
      <c r="F6" s="81">
        <v>5971228</v>
      </c>
      <c r="G6" s="81">
        <v>5383807</v>
      </c>
      <c r="H6" s="81">
        <v>26942560</v>
      </c>
      <c r="I6" s="17">
        <v>2193755</v>
      </c>
      <c r="J6" s="17">
        <v>268403</v>
      </c>
      <c r="K6" s="13">
        <v>425092</v>
      </c>
      <c r="L6" s="13">
        <v>2303396</v>
      </c>
      <c r="M6" s="13">
        <v>1285020</v>
      </c>
      <c r="N6" s="3"/>
      <c r="O6" s="117">
        <v>5090050</v>
      </c>
      <c r="P6" s="116">
        <v>19774036</v>
      </c>
      <c r="Q6" s="116">
        <v>2195022</v>
      </c>
      <c r="R6" s="81">
        <v>10940954</v>
      </c>
      <c r="S6" s="81">
        <v>7369686</v>
      </c>
      <c r="T6" s="81">
        <v>5519596</v>
      </c>
      <c r="U6" s="81">
        <v>4095996</v>
      </c>
      <c r="V6" s="81">
        <v>3045010</v>
      </c>
    </row>
    <row r="7" spans="1:22" ht="16.5">
      <c r="A7" s="151"/>
      <c r="B7" s="115">
        <v>1347792</v>
      </c>
      <c r="C7" s="116">
        <v>9230</v>
      </c>
      <c r="D7" s="81">
        <v>3658187</v>
      </c>
      <c r="E7" s="81">
        <v>6721422</v>
      </c>
      <c r="F7" s="81">
        <v>10010714</v>
      </c>
      <c r="G7" s="81">
        <v>7130414</v>
      </c>
      <c r="H7" s="81">
        <v>9822402</v>
      </c>
      <c r="I7" s="17">
        <v>7217362</v>
      </c>
      <c r="J7" s="17">
        <v>4528212</v>
      </c>
      <c r="K7" s="13">
        <v>1781737</v>
      </c>
      <c r="L7" s="13">
        <v>1886467</v>
      </c>
      <c r="M7" s="13">
        <v>1910176</v>
      </c>
      <c r="N7" s="3"/>
      <c r="O7" s="117">
        <v>11232083</v>
      </c>
      <c r="P7" s="116">
        <v>11846225</v>
      </c>
      <c r="Q7" s="116">
        <v>1773488</v>
      </c>
      <c r="R7" s="81">
        <v>15163515</v>
      </c>
      <c r="S7" s="81">
        <v>3454195</v>
      </c>
      <c r="T7" s="81">
        <v>2682698</v>
      </c>
      <c r="U7" s="81">
        <v>8396455</v>
      </c>
      <c r="V7" s="81">
        <v>7161487</v>
      </c>
    </row>
    <row r="8" spans="1:22" ht="16.5">
      <c r="A8" s="151"/>
      <c r="B8" s="115">
        <v>2578161</v>
      </c>
      <c r="C8" s="116">
        <v>195749</v>
      </c>
      <c r="D8" s="81">
        <v>1651231</v>
      </c>
      <c r="E8" s="81">
        <v>5811782</v>
      </c>
      <c r="F8" s="81">
        <v>8916558</v>
      </c>
      <c r="G8" s="81">
        <v>16038178</v>
      </c>
      <c r="H8" s="81">
        <v>20789308</v>
      </c>
      <c r="I8" s="17">
        <v>7401637</v>
      </c>
      <c r="J8" s="17">
        <v>1418167</v>
      </c>
      <c r="K8" s="13">
        <v>4600690</v>
      </c>
      <c r="L8" s="13">
        <v>2469650</v>
      </c>
      <c r="M8" s="13">
        <v>2374673</v>
      </c>
      <c r="N8" s="3"/>
      <c r="O8" s="117">
        <v>4643689</v>
      </c>
      <c r="P8" s="116">
        <v>7825005</v>
      </c>
      <c r="Q8" s="116">
        <v>758334</v>
      </c>
      <c r="R8" s="81">
        <v>10517828</v>
      </c>
      <c r="S8" s="81">
        <v>8118813</v>
      </c>
      <c r="T8" s="81">
        <v>9984355</v>
      </c>
      <c r="U8" s="81">
        <v>5955075</v>
      </c>
      <c r="V8" s="81">
        <v>4068514</v>
      </c>
    </row>
    <row r="9" spans="1:22" ht="16.5">
      <c r="A9" s="151"/>
      <c r="B9" s="115">
        <v>2333980</v>
      </c>
      <c r="C9" s="116">
        <v>2009732</v>
      </c>
      <c r="D9" s="81">
        <v>2318740</v>
      </c>
      <c r="E9" s="81">
        <v>5293350</v>
      </c>
      <c r="F9" s="81">
        <v>9609875</v>
      </c>
      <c r="G9" s="81">
        <v>9459343</v>
      </c>
      <c r="H9" s="81">
        <v>26998927</v>
      </c>
      <c r="I9" s="17">
        <v>1620439</v>
      </c>
      <c r="J9" s="17">
        <v>2760606</v>
      </c>
      <c r="K9" s="13">
        <v>2042071</v>
      </c>
      <c r="L9" s="13">
        <v>596302</v>
      </c>
      <c r="M9" s="13">
        <v>1083634</v>
      </c>
      <c r="N9" s="3"/>
      <c r="O9" s="117">
        <v>11237334</v>
      </c>
      <c r="P9" s="116">
        <v>13711370</v>
      </c>
      <c r="Q9" s="116">
        <v>1902104</v>
      </c>
      <c r="R9" s="81">
        <v>17391019</v>
      </c>
      <c r="S9" s="81">
        <v>9878359</v>
      </c>
      <c r="T9" s="81">
        <v>8848396</v>
      </c>
      <c r="U9" s="81">
        <v>5547900</v>
      </c>
      <c r="V9" s="81">
        <v>8653238</v>
      </c>
    </row>
    <row r="10" spans="1:22" ht="16.5">
      <c r="A10" s="151"/>
      <c r="B10" s="115">
        <v>283124</v>
      </c>
      <c r="C10" s="116">
        <v>472417</v>
      </c>
      <c r="D10" s="81">
        <v>90788</v>
      </c>
      <c r="E10" s="81">
        <v>2406106</v>
      </c>
      <c r="F10" s="81">
        <v>11345554</v>
      </c>
      <c r="G10" s="81">
        <v>19731487</v>
      </c>
      <c r="H10" s="81">
        <v>22952872</v>
      </c>
      <c r="I10" s="17">
        <v>6745681</v>
      </c>
      <c r="J10" s="17">
        <v>1850195</v>
      </c>
      <c r="K10" s="13">
        <v>92827</v>
      </c>
      <c r="L10" s="13">
        <v>55452</v>
      </c>
      <c r="M10" s="13">
        <v>4234436</v>
      </c>
      <c r="N10" s="3"/>
      <c r="O10" s="117">
        <v>2409423</v>
      </c>
      <c r="P10" s="116">
        <v>9110594</v>
      </c>
      <c r="Q10" s="116">
        <v>447887</v>
      </c>
      <c r="R10" s="81">
        <v>11322641</v>
      </c>
      <c r="S10" s="81">
        <v>6538810</v>
      </c>
      <c r="T10" s="81">
        <v>5708442</v>
      </c>
      <c r="U10" s="81">
        <v>3070288</v>
      </c>
      <c r="V10" s="81">
        <v>5916899</v>
      </c>
    </row>
    <row r="11" spans="1:22" ht="16.5">
      <c r="A11" s="151"/>
      <c r="B11" s="115">
        <v>1157536</v>
      </c>
      <c r="C11" s="116">
        <v>2821945</v>
      </c>
      <c r="D11" s="81">
        <v>982162</v>
      </c>
      <c r="E11" s="81">
        <v>5715329</v>
      </c>
      <c r="F11" s="81">
        <v>4041994</v>
      </c>
      <c r="G11" s="81">
        <v>14482236</v>
      </c>
      <c r="H11" s="81">
        <v>19582869</v>
      </c>
      <c r="I11" s="17">
        <v>5154551</v>
      </c>
      <c r="J11" s="17">
        <v>1012361</v>
      </c>
      <c r="K11" s="13">
        <v>654823</v>
      </c>
      <c r="L11" s="13">
        <v>3246347</v>
      </c>
      <c r="M11" s="13">
        <v>2570963</v>
      </c>
      <c r="N11" s="3"/>
      <c r="O11" s="117">
        <v>8463481</v>
      </c>
      <c r="P11" s="116">
        <v>9604862</v>
      </c>
      <c r="Q11" s="116">
        <v>141761</v>
      </c>
      <c r="R11" s="81">
        <v>11556218</v>
      </c>
      <c r="S11" s="81">
        <v>3002716</v>
      </c>
      <c r="T11" s="81">
        <v>6342444</v>
      </c>
      <c r="U11" s="81">
        <v>10494493</v>
      </c>
      <c r="V11" s="81">
        <v>8145022</v>
      </c>
    </row>
    <row r="12" spans="1:22" ht="16.5">
      <c r="A12" s="151"/>
      <c r="B12" s="115">
        <v>336057</v>
      </c>
      <c r="C12" s="116">
        <v>888525</v>
      </c>
      <c r="D12" s="81">
        <v>2351732</v>
      </c>
      <c r="E12" s="81">
        <v>3757657</v>
      </c>
      <c r="F12" s="81">
        <v>9414925</v>
      </c>
      <c r="G12" s="81">
        <v>9169785</v>
      </c>
      <c r="H12" s="81">
        <v>11608278</v>
      </c>
      <c r="I12" s="17">
        <v>3439596</v>
      </c>
      <c r="J12" s="17">
        <v>793409</v>
      </c>
      <c r="K12" s="13">
        <v>1773768</v>
      </c>
      <c r="L12" s="13">
        <v>977717</v>
      </c>
      <c r="M12" s="13">
        <v>150872</v>
      </c>
      <c r="N12" s="3"/>
      <c r="O12" s="117">
        <v>2534619</v>
      </c>
      <c r="P12" s="116"/>
      <c r="Q12" s="116">
        <v>2654266</v>
      </c>
      <c r="R12" s="81">
        <v>15955338</v>
      </c>
      <c r="S12" s="81">
        <v>7752754</v>
      </c>
      <c r="T12" s="81">
        <v>7823805</v>
      </c>
      <c r="U12" s="81">
        <v>2825619</v>
      </c>
      <c r="V12" s="81">
        <v>8092633</v>
      </c>
    </row>
    <row r="13" spans="1:22" ht="16.5">
      <c r="A13" s="151"/>
      <c r="B13" s="14"/>
      <c r="C13" s="13"/>
      <c r="D13" s="17"/>
      <c r="E13" s="17"/>
      <c r="F13" s="17"/>
      <c r="G13" s="17"/>
      <c r="H13" s="17"/>
      <c r="I13" s="17"/>
      <c r="J13" s="17"/>
      <c r="K13" s="13"/>
      <c r="L13" s="13"/>
      <c r="M13" s="13"/>
      <c r="N13" s="3"/>
      <c r="O13" s="117">
        <v>8249170</v>
      </c>
      <c r="P13" s="118"/>
      <c r="Q13" s="118"/>
      <c r="R13" s="119"/>
      <c r="S13" s="119"/>
      <c r="T13" s="119"/>
      <c r="U13" s="119"/>
      <c r="V13" s="119"/>
    </row>
    <row r="14" spans="1:22" ht="16.5">
      <c r="A14" s="151"/>
      <c r="B14" s="14"/>
      <c r="C14" s="17"/>
      <c r="D14" s="17"/>
      <c r="E14" s="17"/>
      <c r="F14" s="17"/>
      <c r="G14" s="17"/>
      <c r="H14" s="17"/>
      <c r="I14" s="17"/>
      <c r="J14" s="17"/>
      <c r="K14" s="13"/>
      <c r="L14" s="13"/>
      <c r="M14" s="13"/>
      <c r="N14" s="3"/>
      <c r="O14" s="117">
        <v>4382841</v>
      </c>
      <c r="P14" s="13"/>
      <c r="Q14" s="13"/>
      <c r="R14" s="17"/>
      <c r="S14" s="17"/>
      <c r="T14" s="17"/>
      <c r="U14" s="17"/>
      <c r="V14" s="17"/>
    </row>
    <row r="15" spans="1:22" ht="16.5">
      <c r="A15" s="151"/>
      <c r="B15" s="14"/>
      <c r="C15" s="17"/>
      <c r="D15" s="17"/>
      <c r="E15" s="17"/>
      <c r="F15" s="17"/>
      <c r="G15" s="17"/>
      <c r="H15" s="17"/>
      <c r="I15" s="17"/>
      <c r="J15" s="17"/>
      <c r="K15" s="13"/>
      <c r="L15" s="13"/>
      <c r="M15" s="13"/>
      <c r="N15" s="3"/>
      <c r="O15" s="117">
        <v>318418</v>
      </c>
      <c r="P15" s="13"/>
      <c r="Q15" s="13"/>
      <c r="R15" s="17"/>
      <c r="S15" s="17"/>
      <c r="T15" s="17"/>
      <c r="U15" s="17"/>
      <c r="V15" s="17"/>
    </row>
    <row r="16" spans="1:22" ht="16.5">
      <c r="A16" s="151"/>
      <c r="B16" s="14"/>
      <c r="C16" s="17"/>
      <c r="D16" s="17"/>
      <c r="E16" s="17"/>
      <c r="F16" s="17"/>
      <c r="G16" s="17"/>
      <c r="H16" s="17"/>
      <c r="I16" s="17"/>
      <c r="J16" s="17"/>
      <c r="K16" s="13"/>
      <c r="L16" s="13"/>
      <c r="M16" s="13"/>
      <c r="N16" s="3"/>
      <c r="O16" s="117">
        <v>3286820</v>
      </c>
      <c r="P16" s="13"/>
      <c r="Q16" s="13"/>
      <c r="R16" s="17"/>
      <c r="S16" s="17"/>
      <c r="T16" s="17"/>
      <c r="U16" s="17"/>
      <c r="V16" s="17"/>
    </row>
    <row r="17" spans="1:22" ht="16.5">
      <c r="A17" s="151"/>
      <c r="B17" s="14"/>
      <c r="C17" s="17"/>
      <c r="D17" s="17"/>
      <c r="E17" s="17"/>
      <c r="F17" s="17"/>
      <c r="G17" s="17"/>
      <c r="H17" s="17"/>
      <c r="I17" s="17"/>
      <c r="J17" s="17"/>
      <c r="K17" s="13"/>
      <c r="L17" s="13"/>
      <c r="M17" s="13"/>
      <c r="N17" s="3"/>
      <c r="O17" s="117">
        <v>6082691</v>
      </c>
      <c r="P17" s="13"/>
      <c r="Q17" s="13"/>
      <c r="R17" s="17"/>
      <c r="S17" s="17"/>
      <c r="T17" s="17"/>
      <c r="U17" s="17"/>
      <c r="V17" s="17"/>
    </row>
    <row r="18" spans="1:22" ht="16.5">
      <c r="A18" s="151"/>
      <c r="B18" s="14"/>
      <c r="C18" s="17"/>
      <c r="D18" s="17"/>
      <c r="E18" s="17"/>
      <c r="F18" s="17"/>
      <c r="G18" s="17"/>
      <c r="H18" s="17"/>
      <c r="I18" s="17"/>
      <c r="J18" s="17"/>
      <c r="K18" s="13"/>
      <c r="L18" s="13"/>
      <c r="M18" s="13"/>
      <c r="N18" s="3"/>
      <c r="O18" s="117">
        <v>12158904</v>
      </c>
      <c r="P18" s="13"/>
      <c r="Q18" s="13"/>
      <c r="R18" s="17"/>
      <c r="S18" s="17"/>
      <c r="T18" s="17"/>
      <c r="U18" s="17"/>
      <c r="V18" s="17"/>
    </row>
    <row r="19" spans="1:22" ht="16.5">
      <c r="A19" s="151"/>
      <c r="B19" s="14"/>
      <c r="C19" s="17"/>
      <c r="D19" s="17"/>
      <c r="E19" s="17"/>
      <c r="F19" s="17"/>
      <c r="G19" s="17"/>
      <c r="H19" s="17"/>
      <c r="I19" s="17"/>
      <c r="J19" s="17"/>
      <c r="K19" s="13"/>
      <c r="L19" s="13"/>
      <c r="M19" s="13"/>
      <c r="N19" s="3"/>
      <c r="O19" s="117">
        <v>1837402</v>
      </c>
      <c r="P19" s="13"/>
      <c r="Q19" s="13"/>
      <c r="R19" s="17"/>
      <c r="S19" s="17"/>
      <c r="T19" s="17"/>
      <c r="U19" s="17"/>
      <c r="V19" s="17"/>
    </row>
    <row r="20" spans="1:22" ht="16.5">
      <c r="A20" s="151"/>
      <c r="B20" s="14"/>
      <c r="C20" s="17"/>
      <c r="D20" s="17"/>
      <c r="E20" s="17"/>
      <c r="F20" s="17"/>
      <c r="G20" s="17"/>
      <c r="H20" s="17"/>
      <c r="I20" s="17"/>
      <c r="J20" s="17"/>
      <c r="K20" s="13"/>
      <c r="L20" s="13"/>
      <c r="M20" s="13"/>
      <c r="N20" s="3"/>
      <c r="O20" s="117">
        <v>7499758</v>
      </c>
      <c r="P20" s="13"/>
      <c r="Q20" s="13"/>
      <c r="R20" s="17"/>
      <c r="S20" s="17"/>
      <c r="T20" s="17"/>
      <c r="U20" s="17"/>
      <c r="V20" s="17"/>
    </row>
    <row r="21" spans="1:22">
      <c r="A21" s="3"/>
      <c r="B21" s="7"/>
      <c r="C21" s="7"/>
      <c r="D21" s="7"/>
      <c r="E21" s="7"/>
      <c r="F21" s="7"/>
      <c r="G21" s="7"/>
      <c r="H21" s="7"/>
      <c r="I21" s="7"/>
      <c r="J21" s="7"/>
      <c r="N21" s="3"/>
      <c r="O21" s="7"/>
      <c r="R21" s="7"/>
      <c r="S21" s="7"/>
      <c r="T21" s="7"/>
      <c r="U21" s="7"/>
      <c r="V21" s="7"/>
    </row>
    <row r="22" spans="1:22">
      <c r="A22" s="3" t="str">
        <f>A4</f>
        <v>Noms des groupes</v>
      </c>
      <c r="B22" s="3" t="str">
        <f t="shared" ref="B22:V22" si="0">B4</f>
        <v>Solvent control</v>
      </c>
      <c r="C22" s="3" t="str">
        <f t="shared" si="0"/>
        <v>EE2-33.8ng/L</v>
      </c>
      <c r="D22" s="3" t="str">
        <f t="shared" si="0"/>
        <v>EE2-50.6ng/L</v>
      </c>
      <c r="E22" s="3" t="str">
        <f t="shared" si="0"/>
        <v>EE2-76ng/L</v>
      </c>
      <c r="F22" s="3" t="str">
        <f t="shared" si="0"/>
        <v>EE2-114ng/L</v>
      </c>
      <c r="G22" s="3" t="str">
        <f t="shared" si="0"/>
        <v>EE2-170.9ng/L</v>
      </c>
      <c r="H22" s="3" t="str">
        <f t="shared" si="0"/>
        <v>EE2-488ng/L</v>
      </c>
      <c r="I22" s="3" t="str">
        <f t="shared" si="0"/>
        <v>tamoxifen-483ng/L</v>
      </c>
      <c r="J22" s="3" t="str">
        <f t="shared" si="0"/>
        <v>tamoxifen-242ng/L</v>
      </c>
      <c r="K22" s="3" t="str">
        <f t="shared" si="0"/>
        <v>tamoxifen-121ng/L</v>
      </c>
      <c r="L22" s="3" t="str">
        <f t="shared" si="0"/>
        <v>tamoxifen-60.4ng/L</v>
      </c>
      <c r="M22" s="3" t="str">
        <f t="shared" si="0"/>
        <v>tamoxifen-30.2ng/L</v>
      </c>
      <c r="N22" s="3" t="s">
        <v>22</v>
      </c>
      <c r="O22" s="3" t="str">
        <f t="shared" si="0"/>
        <v>Testo -30µg/L</v>
      </c>
      <c r="P22" s="3" t="str">
        <f t="shared" si="0"/>
        <v>Testo 30µg/L + EE2 -64ng/L</v>
      </c>
      <c r="Q22" s="3" t="str">
        <f t="shared" si="0"/>
        <v>Testo 30µg/L + FAD-10mg/L</v>
      </c>
      <c r="R22" s="3" t="str">
        <f t="shared" si="0"/>
        <v>tamoxifen-483ng/L + Testostérone</v>
      </c>
      <c r="S22" s="3" t="str">
        <f t="shared" si="0"/>
        <v>tamoxifen-242ng/L + Testostérone</v>
      </c>
      <c r="T22" s="3" t="str">
        <f t="shared" si="0"/>
        <v>tamoxifen-121ng/L + Testostérone</v>
      </c>
      <c r="U22" s="3" t="str">
        <f t="shared" si="0"/>
        <v>tamoxifen-60.4ng/L + Testostérone</v>
      </c>
      <c r="V22" s="3" t="str">
        <f t="shared" si="0"/>
        <v>tamoxifen-30.2ng/L + Testostérone</v>
      </c>
    </row>
    <row r="23" spans="1:22">
      <c r="A23" s="5" t="s">
        <v>0</v>
      </c>
      <c r="B23" s="5">
        <f t="shared" ref="B23:J23" si="1">AVERAGE(B5:B20)</f>
        <v>1409861.25</v>
      </c>
      <c r="C23" s="5">
        <f t="shared" si="1"/>
        <v>1718981.375</v>
      </c>
      <c r="D23" s="5">
        <f t="shared" si="1"/>
        <v>1836249.625</v>
      </c>
      <c r="E23" s="5">
        <f t="shared" si="1"/>
        <v>5409020.5</v>
      </c>
      <c r="F23" s="5">
        <f t="shared" si="1"/>
        <v>8306714.375</v>
      </c>
      <c r="G23" s="5">
        <f t="shared" si="1"/>
        <v>12576580.375</v>
      </c>
      <c r="H23" s="5">
        <f t="shared" si="1"/>
        <v>19102412.25</v>
      </c>
      <c r="I23" s="5">
        <f t="shared" si="1"/>
        <v>5173529.875</v>
      </c>
      <c r="J23" s="5">
        <f t="shared" si="1"/>
        <v>1917186.375</v>
      </c>
      <c r="K23" s="5"/>
      <c r="L23" s="5">
        <f>AVERAGE(L5:L20)</f>
        <v>1474713.5</v>
      </c>
      <c r="M23" s="5"/>
      <c r="N23" s="5" t="s">
        <v>0</v>
      </c>
      <c r="O23" s="5">
        <f>AVERAGE(O5:O20)</f>
        <v>6073058</v>
      </c>
      <c r="P23" s="5">
        <f>AVERAGE(P5:P20)</f>
        <v>13231844.285714285</v>
      </c>
      <c r="Q23" s="5">
        <f>AVERAGE(Q5:Q20)</f>
        <v>1282979.25</v>
      </c>
      <c r="R23" s="5">
        <f>AVERAGE(R5:R20)</f>
        <v>12525178.125</v>
      </c>
      <c r="S23" s="5">
        <f>AVERAGE(S5:S20)</f>
        <v>6638377.625</v>
      </c>
      <c r="T23" s="5">
        <f t="shared" ref="T23:V23" si="2">AVERAGE(T5:T20)</f>
        <v>6498475.25</v>
      </c>
      <c r="U23" s="5">
        <f t="shared" si="2"/>
        <v>5614578.375</v>
      </c>
      <c r="V23" s="5">
        <f t="shared" si="2"/>
        <v>6348399.625</v>
      </c>
    </row>
    <row r="24" spans="1:22">
      <c r="A24" s="3" t="s">
        <v>1</v>
      </c>
      <c r="B24" s="3">
        <f t="shared" ref="B24:J24" si="3">STDEV(B5:B20)</f>
        <v>1177727.2370551862</v>
      </c>
      <c r="C24" s="3">
        <f t="shared" si="3"/>
        <v>1678816.4292619061</v>
      </c>
      <c r="D24" s="3">
        <f t="shared" si="3"/>
        <v>1058820.6250067556</v>
      </c>
      <c r="E24" s="3">
        <f t="shared" si="3"/>
        <v>1711000.274364677</v>
      </c>
      <c r="F24" s="3">
        <f t="shared" si="3"/>
        <v>2403369.8317268095</v>
      </c>
      <c r="G24" s="3">
        <f t="shared" si="3"/>
        <v>5524328.0547933225</v>
      </c>
      <c r="H24" s="3">
        <f t="shared" si="3"/>
        <v>6641962.7690846827</v>
      </c>
      <c r="I24" s="3">
        <f t="shared" si="3"/>
        <v>2451984.943076611</v>
      </c>
      <c r="J24" s="3">
        <f t="shared" si="3"/>
        <v>1373464.6228354604</v>
      </c>
      <c r="K24" s="3"/>
      <c r="L24" s="3">
        <f>STDEV(L5:L20)</f>
        <v>1164198.9770335653</v>
      </c>
      <c r="M24" s="3"/>
      <c r="N24" s="3" t="s">
        <v>1</v>
      </c>
      <c r="O24" s="3">
        <f>STDEV(O5:O20)</f>
        <v>3616839.6424455796</v>
      </c>
      <c r="P24" s="3">
        <f>STDEV(P5:P20)</f>
        <v>5177817.0969711663</v>
      </c>
      <c r="Q24" s="3">
        <f>STDEV(Q5:Q20)</f>
        <v>956694.55873450765</v>
      </c>
      <c r="R24" s="3">
        <f>STDEV(R5:R20)</f>
        <v>3339576.9375743861</v>
      </c>
      <c r="S24" s="3">
        <f>STDEV(S5:S20)</f>
        <v>2328629.6162667335</v>
      </c>
      <c r="T24" s="3">
        <f t="shared" ref="T24:V24" si="4">STDEV(T5:T20)</f>
        <v>2318078.1892779046</v>
      </c>
      <c r="U24" s="3">
        <f t="shared" si="4"/>
        <v>2656667.1386016156</v>
      </c>
      <c r="V24" s="3">
        <f t="shared" si="4"/>
        <v>2033813.8189518962</v>
      </c>
    </row>
    <row r="25" spans="1:22" ht="15.75" thickBot="1"/>
    <row r="26" spans="1:22" ht="15.75" thickBot="1">
      <c r="B26" s="149" t="s">
        <v>6</v>
      </c>
      <c r="C26" s="150"/>
      <c r="D26" s="150"/>
      <c r="E26" s="150"/>
      <c r="F26" s="150"/>
      <c r="G26" s="150"/>
      <c r="H26" s="150"/>
      <c r="I26" s="150"/>
      <c r="J26" s="150"/>
      <c r="K26" s="150"/>
      <c r="L26" s="150"/>
      <c r="M26" s="150"/>
      <c r="O26" s="149" t="s">
        <v>3</v>
      </c>
      <c r="P26" s="150"/>
      <c r="Q26" s="150"/>
      <c r="R26" s="150"/>
      <c r="S26" s="150"/>
      <c r="T26" s="150"/>
      <c r="U26" s="150"/>
      <c r="V26" s="150"/>
    </row>
    <row r="27" spans="1:22">
      <c r="A27" s="19" t="s">
        <v>22</v>
      </c>
      <c r="B27" s="20" t="str">
        <f>B4</f>
        <v>Solvent control</v>
      </c>
      <c r="C27" s="20" t="str">
        <f t="shared" ref="C27:M27" si="5">C4</f>
        <v>EE2-33.8ng/L</v>
      </c>
      <c r="D27" s="20" t="str">
        <f t="shared" si="5"/>
        <v>EE2-50.6ng/L</v>
      </c>
      <c r="E27" s="20" t="str">
        <f t="shared" si="5"/>
        <v>EE2-76ng/L</v>
      </c>
      <c r="F27" s="20" t="str">
        <f t="shared" si="5"/>
        <v>EE2-114ng/L</v>
      </c>
      <c r="G27" s="20" t="str">
        <f t="shared" si="5"/>
        <v>EE2-170.9ng/L</v>
      </c>
      <c r="H27" s="20" t="str">
        <f t="shared" si="5"/>
        <v>EE2-488ng/L</v>
      </c>
      <c r="I27" s="20" t="str">
        <f t="shared" si="5"/>
        <v>tamoxifen-483ng/L</v>
      </c>
      <c r="J27" s="20" t="str">
        <f t="shared" si="5"/>
        <v>tamoxifen-242ng/L</v>
      </c>
      <c r="K27" s="20" t="str">
        <f t="shared" si="5"/>
        <v>tamoxifen-121ng/L</v>
      </c>
      <c r="L27" s="20" t="str">
        <f t="shared" si="5"/>
        <v>tamoxifen-60.4ng/L</v>
      </c>
      <c r="M27" s="20" t="str">
        <f t="shared" si="5"/>
        <v>tamoxifen-30.2ng/L</v>
      </c>
      <c r="N27" s="3"/>
      <c r="O27" s="21" t="str">
        <f>O4</f>
        <v>Testo -30µg/L</v>
      </c>
      <c r="P27" s="21" t="str">
        <f t="shared" ref="P27:V27" si="6">P4</f>
        <v>Testo 30µg/L + EE2 -64ng/L</v>
      </c>
      <c r="Q27" s="21" t="str">
        <f t="shared" si="6"/>
        <v>Testo 30µg/L + FAD-10mg/L</v>
      </c>
      <c r="R27" s="21" t="str">
        <f t="shared" si="6"/>
        <v>tamoxifen-483ng/L + Testostérone</v>
      </c>
      <c r="S27" s="21" t="str">
        <f t="shared" si="6"/>
        <v>tamoxifen-242ng/L + Testostérone</v>
      </c>
      <c r="T27" s="21" t="str">
        <f t="shared" si="6"/>
        <v>tamoxifen-121ng/L + Testostérone</v>
      </c>
      <c r="U27" s="21" t="str">
        <f t="shared" si="6"/>
        <v>tamoxifen-60.4ng/L + Testostérone</v>
      </c>
      <c r="V27" s="21" t="str">
        <f t="shared" si="6"/>
        <v>tamoxifen-30.2ng/L + Testostérone</v>
      </c>
    </row>
    <row r="28" spans="1:22">
      <c r="A28" s="152" t="s">
        <v>72</v>
      </c>
      <c r="B28" s="11">
        <f>IF(B5="","",(B5/$O$23))</f>
        <v>8.9109967334413728E-3</v>
      </c>
      <c r="C28" s="11">
        <f>IF(C5="","",(C5/$O$23))</f>
        <v>0.39486367493937979</v>
      </c>
      <c r="D28" s="11">
        <f>IF(D5="","",(D5/$O$23))</f>
        <v>0.3539100071166783</v>
      </c>
      <c r="E28" s="11">
        <f>IF(E5="","",(E5/$O$23))</f>
        <v>1.3179136441641097</v>
      </c>
      <c r="F28" s="11">
        <f>IF(F5="","",(F5/$O$23))</f>
        <v>1.1761565590185372</v>
      </c>
      <c r="G28" s="11">
        <f>IF(G5="","",(G5/$O$23))</f>
        <v>3.1643684285577383</v>
      </c>
      <c r="H28" s="11">
        <f>IF(H5="","",(H5/$O$23))</f>
        <v>2.3253659029767211</v>
      </c>
      <c r="I28" s="11">
        <f>IF(I5="","",(I5/$O$23))</f>
        <v>1.2539346734379946</v>
      </c>
      <c r="J28" s="11">
        <f>IF(J5="","",(J5/$O$23))</f>
        <v>0.44559725923908516</v>
      </c>
      <c r="K28" s="11">
        <f>IF(K5="","",(K5/$O$23))</f>
        <v>0.33032172589163483</v>
      </c>
      <c r="L28" s="11">
        <f>IF(L5="","",(L5/$O$23))</f>
        <v>4.3203440507237047E-2</v>
      </c>
      <c r="M28" s="11">
        <f>IF(M5="","",(M5/$O$23))</f>
        <v>0.30257359636611408</v>
      </c>
      <c r="N28" s="6"/>
      <c r="O28" s="11">
        <f t="shared" ref="O28:V39" si="7">IF(O5="","",(O5/$O$23))</f>
        <v>1.2748511540643939</v>
      </c>
      <c r="P28" s="11">
        <f t="shared" si="7"/>
        <v>3.4168647821245903</v>
      </c>
      <c r="Q28" s="11">
        <f t="shared" si="7"/>
        <v>6.4378110665170657E-2</v>
      </c>
      <c r="R28" s="11">
        <f t="shared" si="7"/>
        <v>1.2109075856018501</v>
      </c>
      <c r="S28" s="11">
        <f t="shared" si="7"/>
        <v>1.1512631692303943</v>
      </c>
      <c r="T28" s="11">
        <f t="shared" si="7"/>
        <v>0.83616293471921399</v>
      </c>
      <c r="U28" s="11">
        <f t="shared" si="7"/>
        <v>0.74604935437797559</v>
      </c>
      <c r="V28" s="11">
        <f t="shared" si="7"/>
        <v>0.93929516233831456</v>
      </c>
    </row>
    <row r="29" spans="1:22">
      <c r="A29" s="152"/>
      <c r="B29" s="11">
        <f>IF(B6="","",(B6/$O$23))</f>
        <v>0.52496172438992017</v>
      </c>
      <c r="C29" s="11">
        <f>IF(C6="","",(C6/$O$23))</f>
        <v>0.81610006029911131</v>
      </c>
      <c r="D29" s="11">
        <f>IF(D6="","",(D6/$O$23))</f>
        <v>0.24499041504296518</v>
      </c>
      <c r="E29" s="11">
        <f>IF(E6="","",(E6/$O$23))</f>
        <v>0.91597215109751962</v>
      </c>
      <c r="F29" s="11">
        <f>IF(F6="","",(F6/$O$23))</f>
        <v>0.98323250000246998</v>
      </c>
      <c r="G29" s="11">
        <f>IF(G6="","",(G6/$O$23))</f>
        <v>0.88650676479625257</v>
      </c>
      <c r="H29" s="11">
        <f>IF(H6="","",(H6/$O$23))</f>
        <v>4.4364074902627308</v>
      </c>
      <c r="I29" s="11">
        <f>IF(I6="","",(I6/$O$23))</f>
        <v>0.3612274080043365</v>
      </c>
      <c r="J29" s="11">
        <f>IF(J6="","",(J6/$O$23))</f>
        <v>4.4195691857380578E-2</v>
      </c>
      <c r="K29" s="11">
        <f>IF(K6="","",(K6/$O$23))</f>
        <v>6.9996367563095893E-2</v>
      </c>
      <c r="L29" s="11">
        <f>IF(L6="","",(L6/$O$23))</f>
        <v>0.37928108047049774</v>
      </c>
      <c r="M29" s="11">
        <f>IF(M6="","",(M6/$O$23))</f>
        <v>0.21159356620667874</v>
      </c>
      <c r="N29" s="6"/>
      <c r="O29" s="11">
        <f t="shared" si="7"/>
        <v>0.83813624042451096</v>
      </c>
      <c r="P29" s="11">
        <f t="shared" si="7"/>
        <v>3.2560262062374505</v>
      </c>
      <c r="Q29" s="11">
        <f t="shared" si="7"/>
        <v>0.36143603436687088</v>
      </c>
      <c r="R29" s="11">
        <f t="shared" si="7"/>
        <v>1.801555987115552</v>
      </c>
      <c r="S29" s="11">
        <f t="shared" si="7"/>
        <v>1.2135049591161486</v>
      </c>
      <c r="T29" s="11">
        <f t="shared" si="7"/>
        <v>0.90886601115945209</v>
      </c>
      <c r="U29" s="11">
        <f t="shared" si="7"/>
        <v>0.67445362780991058</v>
      </c>
      <c r="V29" s="11">
        <f t="shared" si="7"/>
        <v>0.50139649580162082</v>
      </c>
    </row>
    <row r="30" spans="1:22">
      <c r="A30" s="152"/>
      <c r="B30" s="11">
        <f>IF(B7="","",(B7/$O$23))</f>
        <v>0.2219297098759801</v>
      </c>
      <c r="C30" s="11">
        <f>IF(C7="","",(C7/$O$23))</f>
        <v>1.5198274082019307E-3</v>
      </c>
      <c r="D30" s="11">
        <f>IF(D7="","",(D7/$O$23))</f>
        <v>0.60236325752199305</v>
      </c>
      <c r="E30" s="11">
        <f>IF(E7="","",(E7/$O$23))</f>
        <v>1.1067607126426258</v>
      </c>
      <c r="F30" s="11">
        <f>IF(F7="","",(F7/$O$23))</f>
        <v>1.6483810956523057</v>
      </c>
      <c r="G30" s="11">
        <f>IF(G7="","",(G7/$O$23))</f>
        <v>1.1741060269801473</v>
      </c>
      <c r="H30" s="11">
        <f>IF(H7="","",(H7/$O$23))</f>
        <v>1.6173733232911656</v>
      </c>
      <c r="I30" s="11">
        <f>IF(I7="","",(I7/$O$23))</f>
        <v>1.188423031691777</v>
      </c>
      <c r="J30" s="11">
        <f>IF(J7="","",(J7/$O$23))</f>
        <v>0.74562304525990042</v>
      </c>
      <c r="K30" s="11">
        <f>IF(K7="","",(K7/$O$23))</f>
        <v>0.29338382738975982</v>
      </c>
      <c r="L30" s="11">
        <f>IF(L7="","",(L7/$O$23))</f>
        <v>0.31062884629127535</v>
      </c>
      <c r="M30" s="11">
        <f>IF(M7="","",(M7/$O$23))</f>
        <v>0.31453281032389285</v>
      </c>
      <c r="N30" s="6"/>
      <c r="O30" s="11">
        <f t="shared" si="7"/>
        <v>1.8494937805632681</v>
      </c>
      <c r="P30" s="11">
        <f t="shared" si="7"/>
        <v>1.9506194408154838</v>
      </c>
      <c r="Q30" s="11">
        <f t="shared" si="7"/>
        <v>0.29202553310045781</v>
      </c>
      <c r="R30" s="11">
        <f t="shared" si="7"/>
        <v>2.4968500218506064</v>
      </c>
      <c r="S30" s="11">
        <f t="shared" si="7"/>
        <v>0.56877358984551107</v>
      </c>
      <c r="T30" s="11">
        <f t="shared" si="7"/>
        <v>0.44173758920135459</v>
      </c>
      <c r="U30" s="11">
        <f t="shared" si="7"/>
        <v>1.3825744789527781</v>
      </c>
      <c r="V30" s="11">
        <f t="shared" si="7"/>
        <v>1.1792225597055059</v>
      </c>
    </row>
    <row r="31" spans="1:22">
      <c r="A31" s="152"/>
      <c r="B31" s="11">
        <f>IF(B8="","",(B8/$O$23))</f>
        <v>0.42452435000620775</v>
      </c>
      <c r="C31" s="11">
        <f>IF(C8="","",(C8/$O$23))</f>
        <v>3.2232361357326079E-2</v>
      </c>
      <c r="D31" s="11">
        <f>IF(D8="","",(D8/$O$23))</f>
        <v>0.27189448874026889</v>
      </c>
      <c r="E31" s="11">
        <f>IF(E8="","",(E8/$O$23))</f>
        <v>0.95697785201458641</v>
      </c>
      <c r="F31" s="11">
        <f>IF(F8="","",(F8/$O$23))</f>
        <v>1.468215518442274</v>
      </c>
      <c r="G31" s="11">
        <f>IF(G8="","",(G8/$O$23))</f>
        <v>2.6408735105115082</v>
      </c>
      <c r="H31" s="11">
        <f>IF(H8="","",(H8/$O$23))</f>
        <v>3.4232026106123143</v>
      </c>
      <c r="I31" s="11">
        <f>IF(I8="","",(I8/$O$23))</f>
        <v>1.2187660648062311</v>
      </c>
      <c r="J31" s="11">
        <f>IF(J8="","",(J8/$O$23))</f>
        <v>0.23351777638217847</v>
      </c>
      <c r="K31" s="11">
        <f>IF(K8="","",(K8/$O$23))</f>
        <v>0.75755739530233368</v>
      </c>
      <c r="L31" s="11">
        <f>IF(L8="","",(L8/$O$23))</f>
        <v>0.40665674525090983</v>
      </c>
      <c r="M31" s="11">
        <f>IF(M8="","",(M8/$O$23))</f>
        <v>0.39101767182200464</v>
      </c>
      <c r="N31" s="6"/>
      <c r="O31" s="11">
        <f t="shared" si="7"/>
        <v>0.76463768335490956</v>
      </c>
      <c r="P31" s="11">
        <f t="shared" si="7"/>
        <v>1.2884785556139922</v>
      </c>
      <c r="Q31" s="11">
        <f t="shared" si="7"/>
        <v>0.12486855880513573</v>
      </c>
      <c r="R31" s="11">
        <f t="shared" si="7"/>
        <v>1.7318833444370201</v>
      </c>
      <c r="S31" s="11">
        <f t="shared" si="7"/>
        <v>1.3368574777319762</v>
      </c>
      <c r="T31" s="11">
        <f t="shared" si="7"/>
        <v>1.6440407781384601</v>
      </c>
      <c r="U31" s="11">
        <f t="shared" si="7"/>
        <v>0.980572719707271</v>
      </c>
      <c r="V31" s="11">
        <f t="shared" si="7"/>
        <v>0.66992839521703895</v>
      </c>
    </row>
    <row r="32" spans="1:22">
      <c r="A32" s="152"/>
      <c r="B32" s="11">
        <f>IF(B9="","",(B9/$O$23))</f>
        <v>0.38431709362894279</v>
      </c>
      <c r="C32" s="11">
        <f>IF(C9="","",(C9/$O$23))</f>
        <v>0.33092586963602194</v>
      </c>
      <c r="D32" s="11">
        <f>IF(D9="","",(D9/$O$23))</f>
        <v>0.38180764945765377</v>
      </c>
      <c r="E32" s="11">
        <f>IF(E9="","",(E9/$O$23))</f>
        <v>0.87161196221080051</v>
      </c>
      <c r="F32" s="11">
        <f>IF(F9="","",(F9/$O$23))</f>
        <v>1.5823782680817473</v>
      </c>
      <c r="G32" s="11">
        <f>IF(G9="","",(G9/$O$23))</f>
        <v>1.5575914144077003</v>
      </c>
      <c r="H32" s="11">
        <f>IF(H9="","",(H9/$O$23))</f>
        <v>4.445688975800989</v>
      </c>
      <c r="I32" s="11">
        <f>IF(I9="","",(I9/$O$23))</f>
        <v>0.2668242259500897</v>
      </c>
      <c r="J32" s="11">
        <f>IF(J9="","",(J9/$O$23))</f>
        <v>0.45456605222607788</v>
      </c>
      <c r="K32" s="11">
        <f>IF(K9="","",(K9/$O$23))</f>
        <v>0.33625086406222365</v>
      </c>
      <c r="L32" s="11">
        <f>IF(L9="","",(L9/$O$23))</f>
        <v>9.8188095684250007E-2</v>
      </c>
      <c r="M32" s="11">
        <f>IF(M9="","",(M9/$O$23))</f>
        <v>0.1784330068970196</v>
      </c>
      <c r="N32" s="6"/>
      <c r="O32" s="11">
        <f t="shared" si="7"/>
        <v>1.8503584191028639</v>
      </c>
      <c r="P32" s="11">
        <f t="shared" si="7"/>
        <v>2.257737370530629</v>
      </c>
      <c r="Q32" s="11">
        <f t="shared" si="7"/>
        <v>0.31320366115390302</v>
      </c>
      <c r="R32" s="11">
        <f t="shared" si="7"/>
        <v>2.8636345972654964</v>
      </c>
      <c r="S32" s="11">
        <f t="shared" si="7"/>
        <v>1.6265872975361013</v>
      </c>
      <c r="T32" s="11">
        <f t="shared" si="7"/>
        <v>1.456991848258324</v>
      </c>
      <c r="U32" s="11">
        <f t="shared" si="7"/>
        <v>0.91352659566235006</v>
      </c>
      <c r="V32" s="11">
        <f t="shared" si="7"/>
        <v>1.4248568019603962</v>
      </c>
    </row>
    <row r="33" spans="1:22">
      <c r="A33" s="152"/>
      <c r="B33" s="11">
        <f>IF(B10="","",(B10/$O$23))</f>
        <v>4.6619676611025285E-2</v>
      </c>
      <c r="C33" s="11">
        <f>IF(C10="","",(C10/$O$23))</f>
        <v>7.7788982091065162E-2</v>
      </c>
      <c r="D33" s="11">
        <f>IF(D10="","",(D10/$O$23))</f>
        <v>1.4949305605182759E-2</v>
      </c>
      <c r="E33" s="11">
        <f>IF(E10="","",(E10/$O$23))</f>
        <v>0.39619348275613375</v>
      </c>
      <c r="F33" s="11">
        <f>IF(F10="","",(F10/$O$23))</f>
        <v>1.8681781073060721</v>
      </c>
      <c r="G33" s="11">
        <f>IF(G10="","",(G10/$O$23))</f>
        <v>3.2490200159458382</v>
      </c>
      <c r="H33" s="11">
        <f>IF(H10="","",(H10/$O$23))</f>
        <v>3.7794587175027803</v>
      </c>
      <c r="I33" s="11">
        <f>IF(I10="","",(I10/$O$23))</f>
        <v>1.1107552406053096</v>
      </c>
      <c r="J33" s="11">
        <f>IF(J10="","",(J10/$O$23))</f>
        <v>0.30465623743425468</v>
      </c>
      <c r="K33" s="11">
        <f>IF(K10="","",(K10/$O$23))</f>
        <v>1.5285050793191831E-2</v>
      </c>
      <c r="L33" s="11">
        <f>IF(L10="","",(L10/$O$23))</f>
        <v>9.130820090965705E-3</v>
      </c>
      <c r="M33" s="11">
        <f>IF(M10="","",(M10/$O$23))</f>
        <v>0.69724939231602923</v>
      </c>
      <c r="N33" s="6"/>
      <c r="O33" s="11">
        <f t="shared" si="7"/>
        <v>0.39673966558527846</v>
      </c>
      <c r="P33" s="11">
        <f t="shared" si="7"/>
        <v>1.5001658143228667</v>
      </c>
      <c r="Q33" s="11">
        <f t="shared" si="7"/>
        <v>7.3749830810112466E-2</v>
      </c>
      <c r="R33" s="11">
        <f t="shared" si="7"/>
        <v>1.8644052139795142</v>
      </c>
      <c r="S33" s="11">
        <f t="shared" si="7"/>
        <v>1.0766915119203537</v>
      </c>
      <c r="T33" s="11">
        <f t="shared" si="7"/>
        <v>0.93996171286360186</v>
      </c>
      <c r="U33" s="11">
        <f t="shared" si="7"/>
        <v>0.50555881402746361</v>
      </c>
      <c r="V33" s="11">
        <f t="shared" si="7"/>
        <v>0.97428659499053027</v>
      </c>
    </row>
    <row r="34" spans="1:22">
      <c r="A34" s="152"/>
      <c r="B34" s="11">
        <f>IF(B11="","",(B11/$O$23))</f>
        <v>0.19060183518747886</v>
      </c>
      <c r="C34" s="11">
        <f>IF(C11="","",(C11/$O$23))</f>
        <v>0.464666235692134</v>
      </c>
      <c r="D34" s="11">
        <f>IF(D11="","",(D11/$O$23))</f>
        <v>0.16172445578487807</v>
      </c>
      <c r="E34" s="11">
        <f>IF(E11="","",(E11/$O$23))</f>
        <v>0.94109573792972168</v>
      </c>
      <c r="F34" s="11">
        <f>IF(F11="","",(F11/$O$23))</f>
        <v>0.66556156717093762</v>
      </c>
      <c r="G34" s="11">
        <f>IF(G11="","",(G11/$O$23))</f>
        <v>2.3846694696477457</v>
      </c>
      <c r="H34" s="11">
        <f>IF(H11="","",(H11/$O$23))</f>
        <v>3.2245483247484215</v>
      </c>
      <c r="I34" s="11">
        <f>IF(I11="","",(I11/$O$23))</f>
        <v>0.84875708415760232</v>
      </c>
      <c r="J34" s="11">
        <f>IF(J11="","",(J11/$O$23))</f>
        <v>0.16669707419227678</v>
      </c>
      <c r="K34" s="11">
        <f>IF(K11="","",(K11/$O$23))</f>
        <v>0.10782426250498513</v>
      </c>
      <c r="L34" s="11">
        <f>IF(L11="","",(L11/$O$23))</f>
        <v>0.53454898668841955</v>
      </c>
      <c r="M34" s="11">
        <f>IF(M11="","",(M11/$O$23))</f>
        <v>0.42333911515417766</v>
      </c>
      <c r="N34" s="6"/>
      <c r="O34" s="11">
        <f t="shared" si="7"/>
        <v>1.3936110934557187</v>
      </c>
      <c r="P34" s="11">
        <f t="shared" si="7"/>
        <v>1.5815528190246166</v>
      </c>
      <c r="Q34" s="11">
        <f t="shared" si="7"/>
        <v>2.3342605982027507E-2</v>
      </c>
      <c r="R34" s="11">
        <f t="shared" si="7"/>
        <v>1.9028663977851026</v>
      </c>
      <c r="S34" s="11">
        <f t="shared" si="7"/>
        <v>0.49443229424122082</v>
      </c>
      <c r="T34" s="11">
        <f t="shared" si="7"/>
        <v>1.0443575542996626</v>
      </c>
      <c r="U34" s="11">
        <f t="shared" si="7"/>
        <v>1.7280409638768475</v>
      </c>
      <c r="V34" s="11">
        <f t="shared" si="7"/>
        <v>1.3411730959921673</v>
      </c>
    </row>
    <row r="35" spans="1:22">
      <c r="A35" s="152"/>
      <c r="B35" s="11">
        <f>IF(B12="","",(B12/$O$23))</f>
        <v>5.5335713902287774E-2</v>
      </c>
      <c r="C35" s="11">
        <f>IF(C12="","",(C12/$O$23))</f>
        <v>0.14630602902195236</v>
      </c>
      <c r="D35" s="11">
        <f>IF(D12="","",(D12/$O$23))</f>
        <v>0.38724016796809779</v>
      </c>
      <c r="E35" s="11">
        <f>IF(E12="","",(E12/$O$23))</f>
        <v>0.61874215592869364</v>
      </c>
      <c r="F35" s="11">
        <f>IF(F12="","",(F12/$O$23))</f>
        <v>1.5502774714155538</v>
      </c>
      <c r="G35" s="11">
        <f>IF(G12="","",(G12/$O$23))</f>
        <v>1.5099123044765916</v>
      </c>
      <c r="H35" s="11">
        <f>IF(H12="","",(H12/$O$23))</f>
        <v>1.9114386854200964</v>
      </c>
      <c r="I35" s="11">
        <f>IF(I12="","",(I12/$O$23))</f>
        <v>0.56636969381817204</v>
      </c>
      <c r="J35" s="11">
        <f>IF(J12="","",(J12/$O$23))</f>
        <v>0.1306440676179941</v>
      </c>
      <c r="K35" s="11">
        <f>IF(K12="","",(K12/$O$23))</f>
        <v>0.29207163837394606</v>
      </c>
      <c r="L35" s="11">
        <f>IF(L12="","",(L12/$O$23))</f>
        <v>0.1609925345682521</v>
      </c>
      <c r="M35" s="11">
        <f>IF(M12="","",(M12/$O$23))</f>
        <v>2.4842838648996932E-2</v>
      </c>
      <c r="N35" s="6"/>
      <c r="O35" s="11">
        <f t="shared" si="7"/>
        <v>0.41735465065540295</v>
      </c>
      <c r="P35" s="11" t="str">
        <f t="shared" si="7"/>
        <v/>
      </c>
      <c r="Q35" s="11">
        <f t="shared" si="7"/>
        <v>0.43705592800200493</v>
      </c>
      <c r="R35" s="11">
        <f t="shared" si="7"/>
        <v>2.6272329360266276</v>
      </c>
      <c r="S35" s="11">
        <f t="shared" si="7"/>
        <v>1.2765815837754226</v>
      </c>
      <c r="T35" s="11">
        <f t="shared" si="7"/>
        <v>1.2882809615847568</v>
      </c>
      <c r="U35" s="11">
        <f t="shared" si="7"/>
        <v>0.46527120274497624</v>
      </c>
      <c r="V35" s="11">
        <f t="shared" si="7"/>
        <v>1.332546634660825</v>
      </c>
    </row>
    <row r="36" spans="1:22">
      <c r="A36" s="152"/>
      <c r="B36" s="11" t="str">
        <f>IF(B13="","",(B13/$O$23))</f>
        <v/>
      </c>
      <c r="C36" s="11" t="str">
        <f>IF(C13="","",(C13/$O$23))</f>
        <v/>
      </c>
      <c r="D36" s="11" t="str">
        <f>IF(D13="","",(D13/$O$23))</f>
        <v/>
      </c>
      <c r="E36" s="11" t="str">
        <f>IF(E13="","",(E13/$O$23))</f>
        <v/>
      </c>
      <c r="F36" s="11" t="str">
        <f>IF(F13="","",(F13/$O$23))</f>
        <v/>
      </c>
      <c r="G36" s="11" t="str">
        <f>IF(G13="","",(G13/$O$23))</f>
        <v/>
      </c>
      <c r="H36" s="11" t="str">
        <f>IF(H13="","",(H13/$O$23))</f>
        <v/>
      </c>
      <c r="I36" s="11" t="str">
        <f>IF(I13="","",(I13/$O$23))</f>
        <v/>
      </c>
      <c r="J36" s="11" t="str">
        <f>IF(J13="","",(J13/$O$23))</f>
        <v/>
      </c>
      <c r="K36" s="11" t="str">
        <f>IF(K13="","",(K13/$O$23))</f>
        <v/>
      </c>
      <c r="L36" s="11" t="str">
        <f>IF(L13="","",(L13/$O$23))</f>
        <v/>
      </c>
      <c r="M36" s="11" t="str">
        <f>IF(M13="","",(M13/$O$23))</f>
        <v/>
      </c>
      <c r="N36" s="6"/>
      <c r="O36" s="11">
        <f t="shared" si="7"/>
        <v>1.3583222817895038</v>
      </c>
      <c r="P36" s="11" t="str">
        <f t="shared" si="7"/>
        <v/>
      </c>
      <c r="Q36" s="11" t="str">
        <f t="shared" si="7"/>
        <v/>
      </c>
      <c r="R36" s="11" t="str">
        <f t="shared" si="7"/>
        <v/>
      </c>
      <c r="S36" s="11" t="str">
        <f t="shared" si="7"/>
        <v/>
      </c>
      <c r="T36" s="11" t="str">
        <f t="shared" si="7"/>
        <v/>
      </c>
      <c r="U36" s="11" t="str">
        <f t="shared" si="7"/>
        <v/>
      </c>
      <c r="V36" s="11" t="str">
        <f t="shared" si="7"/>
        <v/>
      </c>
    </row>
    <row r="37" spans="1:22">
      <c r="A37" s="152"/>
      <c r="B37" s="11" t="str">
        <f>IF(B14="","",(B14/$O$23))</f>
        <v/>
      </c>
      <c r="C37" s="11" t="str">
        <f>IF(C14="","",(C14/$O$23))</f>
        <v/>
      </c>
      <c r="D37" s="11" t="str">
        <f>IF(D14="","",(D14/$O$23))</f>
        <v/>
      </c>
      <c r="E37" s="11" t="str">
        <f>IF(E14="","",(E14/$O$23))</f>
        <v/>
      </c>
      <c r="F37" s="11" t="str">
        <f>IF(F14="","",(F14/$O$23))</f>
        <v/>
      </c>
      <c r="G37" s="11" t="str">
        <f>IF(G14="","",(G14/$O$23))</f>
        <v/>
      </c>
      <c r="H37" s="11" t="str">
        <f>IF(H14="","",(H14/$O$23))</f>
        <v/>
      </c>
      <c r="I37" s="11" t="str">
        <f>IF(I14="","",(I14/$O$23))</f>
        <v/>
      </c>
      <c r="J37" s="11" t="str">
        <f>IF(J14="","",(J14/$O$23))</f>
        <v/>
      </c>
      <c r="K37" s="11" t="str">
        <f>IF(K14="","",(K14/$O$23))</f>
        <v/>
      </c>
      <c r="L37" s="11" t="str">
        <f>IF(L14="","",(L14/$O$23))</f>
        <v/>
      </c>
      <c r="M37" s="11" t="str">
        <f>IF(M14="","",(M14/$O$23))</f>
        <v/>
      </c>
      <c r="N37" s="6"/>
      <c r="O37" s="11">
        <f t="shared" si="7"/>
        <v>0.72168601057325654</v>
      </c>
      <c r="P37" s="11" t="str">
        <f t="shared" si="7"/>
        <v/>
      </c>
      <c r="Q37" s="11" t="str">
        <f t="shared" si="7"/>
        <v/>
      </c>
      <c r="R37" s="11" t="str">
        <f t="shared" si="7"/>
        <v/>
      </c>
      <c r="S37" s="11" t="str">
        <f t="shared" si="7"/>
        <v/>
      </c>
      <c r="T37" s="11" t="str">
        <f t="shared" si="7"/>
        <v/>
      </c>
      <c r="U37" s="11" t="str">
        <f t="shared" si="7"/>
        <v/>
      </c>
      <c r="V37" s="11" t="str">
        <f t="shared" si="7"/>
        <v/>
      </c>
    </row>
    <row r="38" spans="1:22">
      <c r="A38" s="152"/>
      <c r="B38" s="11" t="str">
        <f>IF(B15="","",(B15/$O$23))</f>
        <v/>
      </c>
      <c r="C38" s="11" t="str">
        <f>IF(C15="","",(C15/$O$23))</f>
        <v/>
      </c>
      <c r="D38" s="11" t="str">
        <f>IF(D15="","",(D15/$O$23))</f>
        <v/>
      </c>
      <c r="E38" s="11" t="str">
        <f>IF(E15="","",(E15/$O$23))</f>
        <v/>
      </c>
      <c r="F38" s="11" t="str">
        <f>IF(F15="","",(F15/$O$23))</f>
        <v/>
      </c>
      <c r="G38" s="11" t="str">
        <f>IF(G15="","",(G15/$O$23))</f>
        <v/>
      </c>
      <c r="H38" s="11" t="str">
        <f>IF(H15="","",(H15/$O$23))</f>
        <v/>
      </c>
      <c r="I38" s="11" t="str">
        <f>IF(I15="","",(I15/$O$23))</f>
        <v/>
      </c>
      <c r="J38" s="11" t="str">
        <f>IF(J15="","",(J15/$O$23))</f>
        <v/>
      </c>
      <c r="K38" s="11" t="str">
        <f>IF(K15="","",(K15/$O$23))</f>
        <v/>
      </c>
      <c r="L38" s="11" t="str">
        <f>IF(L15="","",(L15/$O$23))</f>
        <v/>
      </c>
      <c r="M38" s="11" t="str">
        <f>IF(M15="","",(M15/$O$23))</f>
        <v/>
      </c>
      <c r="N38" s="6"/>
      <c r="O38" s="11">
        <f t="shared" si="7"/>
        <v>5.2431246334219105E-2</v>
      </c>
      <c r="P38" s="11" t="str">
        <f t="shared" si="7"/>
        <v/>
      </c>
      <c r="Q38" s="11" t="str">
        <f t="shared" si="7"/>
        <v/>
      </c>
      <c r="R38" s="11" t="str">
        <f t="shared" si="7"/>
        <v/>
      </c>
      <c r="S38" s="11" t="str">
        <f t="shared" si="7"/>
        <v/>
      </c>
      <c r="T38" s="11" t="str">
        <f t="shared" si="7"/>
        <v/>
      </c>
      <c r="U38" s="11" t="str">
        <f t="shared" si="7"/>
        <v/>
      </c>
      <c r="V38" s="11" t="str">
        <f t="shared" si="7"/>
        <v/>
      </c>
    </row>
    <row r="39" spans="1:22">
      <c r="A39" s="152"/>
      <c r="B39" s="11" t="str">
        <f>IF(B16="","",(B16/$O$23))</f>
        <v/>
      </c>
      <c r="C39" s="11" t="str">
        <f>IF(C16="","",(C16/$O$23))</f>
        <v/>
      </c>
      <c r="D39" s="11" t="str">
        <f>IF(D16="","",(D16/$O$23))</f>
        <v/>
      </c>
      <c r="E39" s="11" t="str">
        <f>IF(E16="","",(E16/$O$23))</f>
        <v/>
      </c>
      <c r="F39" s="11" t="str">
        <f>IF(F16="","",(F16/$O$23))</f>
        <v/>
      </c>
      <c r="G39" s="11" t="str">
        <f>IF(G16="","",(G16/$O$23))</f>
        <v/>
      </c>
      <c r="H39" s="11" t="str">
        <f>IF(H16="","",(H16/$O$23))</f>
        <v/>
      </c>
      <c r="I39" s="11" t="str">
        <f>IF(I16="","",(I16/$O$23))</f>
        <v/>
      </c>
      <c r="J39" s="11" t="str">
        <f>IF(J16="","",(J16/$O$23))</f>
        <v/>
      </c>
      <c r="K39" s="11" t="str">
        <f>IF(K16="","",(K16/$O$23))</f>
        <v/>
      </c>
      <c r="L39" s="11" t="str">
        <f>IF(L16="","",(L16/$O$23))</f>
        <v/>
      </c>
      <c r="M39" s="11" t="str">
        <f>IF(M16="","",(M16/$O$23))</f>
        <v/>
      </c>
      <c r="N39" s="6"/>
      <c r="O39" s="11">
        <f t="shared" si="7"/>
        <v>0.54121333930945492</v>
      </c>
      <c r="P39" s="11" t="str">
        <f t="shared" si="7"/>
        <v/>
      </c>
      <c r="Q39" s="11" t="str">
        <f t="shared" ref="Q39:V39" si="8">IF(Q16="","",(Q16/$O$23))</f>
        <v/>
      </c>
      <c r="R39" s="11" t="str">
        <f t="shared" si="8"/>
        <v/>
      </c>
      <c r="S39" s="11" t="str">
        <f t="shared" si="8"/>
        <v/>
      </c>
      <c r="T39" s="11" t="str">
        <f t="shared" si="8"/>
        <v/>
      </c>
      <c r="U39" s="11" t="str">
        <f t="shared" si="8"/>
        <v/>
      </c>
      <c r="V39" s="11" t="str">
        <f t="shared" si="8"/>
        <v/>
      </c>
    </row>
    <row r="40" spans="1:22">
      <c r="A40" s="152"/>
      <c r="B40" s="11" t="str">
        <f>IF(B17="","",(B17/$O$23))</f>
        <v/>
      </c>
      <c r="C40" s="11" t="str">
        <f>IF(C17="","",(C17/$O$23))</f>
        <v/>
      </c>
      <c r="D40" s="11" t="str">
        <f>IF(D17="","",(D17/$O$23))</f>
        <v/>
      </c>
      <c r="E40" s="11" t="str">
        <f>IF(E17="","",(E17/$O$23))</f>
        <v/>
      </c>
      <c r="F40" s="11" t="str">
        <f>IF(F17="","",(F17/$O$23))</f>
        <v/>
      </c>
      <c r="G40" s="11" t="str">
        <f>IF(G17="","",(G17/$O$23))</f>
        <v/>
      </c>
      <c r="H40" s="11" t="str">
        <f>IF(H17="","",(H17/$O$23))</f>
        <v/>
      </c>
      <c r="I40" s="11" t="str">
        <f>IF(I17="","",(I17/$O$23))</f>
        <v/>
      </c>
      <c r="J40" s="11" t="str">
        <f>IF(J17="","",(J17/$O$23))</f>
        <v/>
      </c>
      <c r="K40" s="11" t="str">
        <f>IF(K17="","",(K17/$O$23))</f>
        <v/>
      </c>
      <c r="L40" s="11" t="str">
        <f>IF(L17="","",(L17/$O$23))</f>
        <v/>
      </c>
      <c r="M40" s="11" t="str">
        <f>IF(M17="","",(M17/$O$23))</f>
        <v/>
      </c>
      <c r="N40" s="6"/>
      <c r="O40" s="11">
        <f t="shared" ref="O40:V43" si="9">IF(O17="","",(O17/$O$23))</f>
        <v>1.0015861860696869</v>
      </c>
      <c r="P40" s="11" t="str">
        <f t="shared" si="9"/>
        <v/>
      </c>
      <c r="Q40" s="11" t="str">
        <f t="shared" si="9"/>
        <v/>
      </c>
      <c r="R40" s="11" t="str">
        <f t="shared" si="9"/>
        <v/>
      </c>
      <c r="S40" s="11" t="str">
        <f t="shared" si="9"/>
        <v/>
      </c>
      <c r="T40" s="11" t="str">
        <f t="shared" si="9"/>
        <v/>
      </c>
      <c r="U40" s="11" t="str">
        <f t="shared" si="9"/>
        <v/>
      </c>
      <c r="V40" s="11" t="str">
        <f t="shared" si="9"/>
        <v/>
      </c>
    </row>
    <row r="41" spans="1:22">
      <c r="A41" s="152"/>
      <c r="B41" s="11" t="str">
        <f>IF(B18="","",(B18/$O$23))</f>
        <v/>
      </c>
      <c r="C41" s="11" t="str">
        <f>IF(C18="","",(C18/$O$23))</f>
        <v/>
      </c>
      <c r="D41" s="11" t="str">
        <f>IF(D18="","",(D18/$O$23))</f>
        <v/>
      </c>
      <c r="E41" s="11" t="str">
        <f>IF(E18="","",(E18/$O$23))</f>
        <v/>
      </c>
      <c r="F41" s="11" t="str">
        <f>IF(F18="","",(F18/$O$23))</f>
        <v/>
      </c>
      <c r="G41" s="11" t="str">
        <f>IF(G18="","",(G18/$O$23))</f>
        <v/>
      </c>
      <c r="H41" s="11" t="str">
        <f>IF(H18="","",(H18/$O$23))</f>
        <v/>
      </c>
      <c r="I41" s="11" t="str">
        <f>IF(I18="","",(I18/$O$23))</f>
        <v/>
      </c>
      <c r="J41" s="11" t="str">
        <f>IF(J18="","",(J18/$O$23))</f>
        <v/>
      </c>
      <c r="K41" s="11" t="str">
        <f>IF(K18="","",(K18/$O$23))</f>
        <v/>
      </c>
      <c r="L41" s="11" t="str">
        <f>IF(L18="","",(L18/$O$23))</f>
        <v/>
      </c>
      <c r="M41" s="11" t="str">
        <f>IF(M18="","",(M18/$O$23))</f>
        <v/>
      </c>
      <c r="N41" s="6"/>
      <c r="O41" s="11">
        <f t="shared" si="9"/>
        <v>2.0021056937048849</v>
      </c>
      <c r="P41" s="11" t="str">
        <f t="shared" si="9"/>
        <v/>
      </c>
      <c r="Q41" s="11" t="str">
        <f t="shared" si="9"/>
        <v/>
      </c>
      <c r="R41" s="11" t="str">
        <f t="shared" si="9"/>
        <v/>
      </c>
      <c r="S41" s="11" t="str">
        <f t="shared" si="9"/>
        <v/>
      </c>
      <c r="T41" s="11" t="str">
        <f t="shared" si="9"/>
        <v/>
      </c>
      <c r="U41" s="11" t="str">
        <f t="shared" si="9"/>
        <v/>
      </c>
      <c r="V41" s="11" t="str">
        <f t="shared" si="9"/>
        <v/>
      </c>
    </row>
    <row r="42" spans="1:22">
      <c r="A42" s="152"/>
      <c r="B42" s="11" t="str">
        <f>IF(B19="","",(B19/$O$23))</f>
        <v/>
      </c>
      <c r="C42" s="11" t="str">
        <f>IF(C19="","",(C19/$O$23))</f>
        <v/>
      </c>
      <c r="D42" s="11" t="str">
        <f>IF(D19="","",(D19/$O$23))</f>
        <v/>
      </c>
      <c r="E42" s="11" t="str">
        <f>IF(E19="","",(E19/$O$23))</f>
        <v/>
      </c>
      <c r="F42" s="11" t="str">
        <f>IF(F19="","",(F19/$O$23))</f>
        <v/>
      </c>
      <c r="G42" s="11" t="str">
        <f>IF(G19="","",(G19/$O$23))</f>
        <v/>
      </c>
      <c r="H42" s="11" t="str">
        <f>IF(H19="","",(H19/$O$23))</f>
        <v/>
      </c>
      <c r="I42" s="11" t="str">
        <f>IF(I19="","",(I19/$O$23))</f>
        <v/>
      </c>
      <c r="J42" s="11" t="str">
        <f>IF(J19="","",(J19/$O$23))</f>
        <v/>
      </c>
      <c r="K42" s="11" t="str">
        <f>IF(K19="","",(K19/$O$23))</f>
        <v/>
      </c>
      <c r="L42" s="11" t="str">
        <f>IF(L19="","",(L19/$O$23))</f>
        <v/>
      </c>
      <c r="M42" s="11" t="str">
        <f>IF(M19="","",(M19/$O$23))</f>
        <v/>
      </c>
      <c r="N42" s="6"/>
      <c r="O42" s="11">
        <f t="shared" si="9"/>
        <v>0.30254972042091482</v>
      </c>
      <c r="P42" s="11" t="str">
        <f t="shared" si="9"/>
        <v/>
      </c>
      <c r="Q42" s="11" t="str">
        <f t="shared" si="9"/>
        <v/>
      </c>
      <c r="R42" s="11" t="str">
        <f t="shared" si="9"/>
        <v/>
      </c>
      <c r="S42" s="11" t="str">
        <f t="shared" si="9"/>
        <v/>
      </c>
      <c r="T42" s="11" t="str">
        <f t="shared" si="9"/>
        <v/>
      </c>
      <c r="U42" s="11" t="str">
        <f t="shared" si="9"/>
        <v/>
      </c>
      <c r="V42" s="11" t="str">
        <f t="shared" si="9"/>
        <v/>
      </c>
    </row>
    <row r="43" spans="1:22">
      <c r="A43" s="152"/>
      <c r="B43" s="11" t="str">
        <f>IF(B20="","",(B20/$O$23))</f>
        <v/>
      </c>
      <c r="C43" s="11" t="str">
        <f>IF(C20="","",(C20/$O$23))</f>
        <v/>
      </c>
      <c r="D43" s="11" t="str">
        <f>IF(D20="","",(D20/$O$23))</f>
        <v/>
      </c>
      <c r="E43" s="11" t="str">
        <f>IF(E20="","",(E20/$O$23))</f>
        <v/>
      </c>
      <c r="F43" s="11" t="str">
        <f>IF(F20="","",(F20/$O$23))</f>
        <v/>
      </c>
      <c r="G43" s="11" t="str">
        <f>IF(G20="","",(G20/$O$23))</f>
        <v/>
      </c>
      <c r="H43" s="11" t="str">
        <f>IF(H20="","",(H20/$O$23))</f>
        <v/>
      </c>
      <c r="I43" s="11" t="str">
        <f>IF(I20="","",(I20/$O$23))</f>
        <v/>
      </c>
      <c r="J43" s="11" t="str">
        <f>IF(J20="","",(J20/$O$23))</f>
        <v/>
      </c>
      <c r="K43" s="11" t="str">
        <f>IF(K20="","",(K20/$O$23))</f>
        <v/>
      </c>
      <c r="L43" s="11" t="str">
        <f>IF(L20="","",(L20/$O$23))</f>
        <v/>
      </c>
      <c r="M43" s="11" t="str">
        <f>IF(M20="","",(M20/$O$23))</f>
        <v/>
      </c>
      <c r="N43" s="6"/>
      <c r="O43" s="11">
        <f t="shared" si="9"/>
        <v>1.2349228345917329</v>
      </c>
      <c r="P43" s="11" t="str">
        <f t="shared" si="9"/>
        <v/>
      </c>
      <c r="Q43" s="11" t="str">
        <f t="shared" si="9"/>
        <v/>
      </c>
      <c r="R43" s="11" t="str">
        <f t="shared" si="9"/>
        <v/>
      </c>
      <c r="S43" s="11" t="str">
        <f t="shared" si="9"/>
        <v/>
      </c>
      <c r="T43" s="11" t="str">
        <f t="shared" si="9"/>
        <v/>
      </c>
      <c r="U43" s="11" t="str">
        <f t="shared" si="9"/>
        <v/>
      </c>
      <c r="V43" s="11" t="str">
        <f t="shared" si="9"/>
        <v/>
      </c>
    </row>
    <row r="44" spans="1:22">
      <c r="A44" s="7"/>
      <c r="B44" s="3"/>
      <c r="C44" s="3"/>
      <c r="D44" s="3"/>
      <c r="E44" s="3"/>
      <c r="F44" s="3"/>
      <c r="G44" s="3"/>
      <c r="H44" s="3"/>
      <c r="I44" s="3"/>
      <c r="J44" s="3"/>
      <c r="K44" s="3"/>
      <c r="L44" s="3"/>
      <c r="M44" s="3"/>
      <c r="N44" s="7"/>
      <c r="O44" s="3"/>
      <c r="P44" s="3"/>
      <c r="Q44" s="3"/>
      <c r="R44" s="3"/>
      <c r="S44" s="3"/>
      <c r="T44" s="3"/>
      <c r="U44" s="3"/>
      <c r="V44" s="3"/>
    </row>
    <row r="45" spans="1:22">
      <c r="A45" s="7" t="str">
        <f>A4</f>
        <v>Noms des groupes</v>
      </c>
      <c r="B45" s="7" t="str">
        <f t="shared" ref="B45:V45" si="10">B4</f>
        <v>Solvent control</v>
      </c>
      <c r="C45" s="7" t="str">
        <f t="shared" si="10"/>
        <v>EE2-33.8ng/L</v>
      </c>
      <c r="D45" s="7" t="str">
        <f t="shared" si="10"/>
        <v>EE2-50.6ng/L</v>
      </c>
      <c r="E45" s="7" t="str">
        <f t="shared" si="10"/>
        <v>EE2-76ng/L</v>
      </c>
      <c r="F45" s="7" t="str">
        <f t="shared" si="10"/>
        <v>EE2-114ng/L</v>
      </c>
      <c r="G45" s="7" t="str">
        <f t="shared" si="10"/>
        <v>EE2-170.9ng/L</v>
      </c>
      <c r="H45" s="7" t="str">
        <f t="shared" si="10"/>
        <v>EE2-488ng/L</v>
      </c>
      <c r="I45" s="7" t="str">
        <f t="shared" si="10"/>
        <v>tamoxifen-483ng/L</v>
      </c>
      <c r="J45" s="7" t="str">
        <f t="shared" si="10"/>
        <v>tamoxifen-242ng/L</v>
      </c>
      <c r="K45" s="7" t="str">
        <f t="shared" si="10"/>
        <v>tamoxifen-121ng/L</v>
      </c>
      <c r="L45" s="7" t="str">
        <f t="shared" si="10"/>
        <v>tamoxifen-60.4ng/L</v>
      </c>
      <c r="M45" s="7" t="str">
        <f t="shared" si="10"/>
        <v>tamoxifen-30.2ng/L</v>
      </c>
      <c r="N45" s="7"/>
      <c r="O45" s="7" t="str">
        <f t="shared" si="10"/>
        <v>Testo -30µg/L</v>
      </c>
      <c r="P45" s="7" t="str">
        <f t="shared" si="10"/>
        <v>Testo 30µg/L + EE2 -64ng/L</v>
      </c>
      <c r="Q45" s="7" t="str">
        <f t="shared" si="10"/>
        <v>Testo 30µg/L + FAD-10mg/L</v>
      </c>
      <c r="R45" s="7" t="str">
        <f t="shared" si="10"/>
        <v>tamoxifen-483ng/L + Testostérone</v>
      </c>
      <c r="S45" s="7" t="str">
        <f t="shared" si="10"/>
        <v>tamoxifen-242ng/L + Testostérone</v>
      </c>
      <c r="T45" s="7" t="str">
        <f t="shared" si="10"/>
        <v>tamoxifen-121ng/L + Testostérone</v>
      </c>
      <c r="U45" s="7" t="str">
        <f t="shared" si="10"/>
        <v>tamoxifen-60.4ng/L + Testostérone</v>
      </c>
      <c r="V45" s="7" t="str">
        <f t="shared" si="10"/>
        <v>tamoxifen-30.2ng/L + Testostérone</v>
      </c>
    </row>
    <row r="46" spans="1:22">
      <c r="A46" s="8" t="s">
        <v>0</v>
      </c>
      <c r="B46" s="10">
        <f t="shared" ref="B46:H46" si="11">AVERAGE(B28:B43)</f>
        <v>0.2321501375419105</v>
      </c>
      <c r="C46" s="10">
        <f t="shared" si="11"/>
        <v>0.28305038005564909</v>
      </c>
      <c r="D46" s="10">
        <f t="shared" si="11"/>
        <v>0.30235996840471474</v>
      </c>
      <c r="E46" s="10">
        <f t="shared" si="11"/>
        <v>0.89065846234302382</v>
      </c>
      <c r="F46" s="10">
        <f t="shared" si="11"/>
        <v>1.3677976358862372</v>
      </c>
      <c r="G46" s="10">
        <f t="shared" si="11"/>
        <v>2.0708809919154403</v>
      </c>
      <c r="H46" s="10">
        <f t="shared" si="11"/>
        <v>3.1454355038269024</v>
      </c>
      <c r="I46" s="10">
        <f>AVERAGE(I28:I43)</f>
        <v>0.85188217780893905</v>
      </c>
      <c r="J46" s="9">
        <f>AVERAGE(J28:J43)</f>
        <v>0.31568715052614355</v>
      </c>
      <c r="K46" s="9">
        <f t="shared" ref="K46:M46" si="12">AVERAGE(K28:K43)</f>
        <v>0.27533639148514638</v>
      </c>
      <c r="L46" s="9">
        <f t="shared" si="12"/>
        <v>0.24282881869397593</v>
      </c>
      <c r="M46" s="9">
        <f t="shared" si="12"/>
        <v>0.31794774971686424</v>
      </c>
      <c r="N46" s="8" t="s">
        <v>0</v>
      </c>
      <c r="O46" s="10">
        <f t="shared" ref="O46:V46" si="13">AVERAGE(O28:O43)</f>
        <v>1</v>
      </c>
      <c r="P46" s="10">
        <f t="shared" si="13"/>
        <v>2.1787778555242325</v>
      </c>
      <c r="Q46" s="10">
        <f t="shared" si="13"/>
        <v>0.21125753286071039</v>
      </c>
      <c r="R46" s="10">
        <f t="shared" si="13"/>
        <v>2.0624170105077209</v>
      </c>
      <c r="S46" s="10">
        <f t="shared" si="13"/>
        <v>1.0930864854246409</v>
      </c>
      <c r="T46" s="10">
        <f t="shared" si="13"/>
        <v>1.0700499237781034</v>
      </c>
      <c r="U46" s="10">
        <f t="shared" si="13"/>
        <v>0.92450596964494658</v>
      </c>
      <c r="V46" s="10">
        <f t="shared" si="13"/>
        <v>1.0453382175832999</v>
      </c>
    </row>
    <row r="47" spans="1:22">
      <c r="A47" s="8" t="s">
        <v>1</v>
      </c>
      <c r="B47" s="8">
        <f t="shared" ref="B47:M47" si="14">STDEV(B28:B43)</f>
        <v>0.19392655842496259</v>
      </c>
      <c r="C47" s="8">
        <f t="shared" si="14"/>
        <v>0.27643675217030794</v>
      </c>
      <c r="D47" s="8">
        <f t="shared" si="14"/>
        <v>0.17434719461048373</v>
      </c>
      <c r="E47" s="8">
        <f t="shared" si="14"/>
        <v>0.28173619852876042</v>
      </c>
      <c r="F47" s="8">
        <f t="shared" si="14"/>
        <v>0.39574294066132937</v>
      </c>
      <c r="G47" s="8">
        <f t="shared" si="14"/>
        <v>0.90964519930376442</v>
      </c>
      <c r="H47" s="8">
        <f t="shared" si="14"/>
        <v>1.0936768213122103</v>
      </c>
      <c r="I47" s="8">
        <f t="shared" si="14"/>
        <v>0.40374798710577309</v>
      </c>
      <c r="J47" s="8">
        <f t="shared" si="14"/>
        <v>0.22615700736522854</v>
      </c>
      <c r="K47" s="8">
        <f t="shared" si="14"/>
        <v>0.23229549331407626</v>
      </c>
      <c r="L47" s="8">
        <f t="shared" si="14"/>
        <v>0.19169897225311613</v>
      </c>
      <c r="M47" s="8">
        <f t="shared" si="14"/>
        <v>0.19901557032131767</v>
      </c>
      <c r="N47" s="8" t="s">
        <v>1</v>
      </c>
      <c r="O47" s="8">
        <f t="shared" ref="O47:V47" si="15">STDEV(O28:O43)</f>
        <v>0.5955549317074823</v>
      </c>
      <c r="P47" s="8">
        <f t="shared" si="15"/>
        <v>0.8525881190285296</v>
      </c>
      <c r="Q47" s="8">
        <f t="shared" si="15"/>
        <v>0.15753094383990859</v>
      </c>
      <c r="R47" s="8">
        <f t="shared" si="15"/>
        <v>0.54990038586399059</v>
      </c>
      <c r="S47" s="8">
        <f t="shared" si="15"/>
        <v>0.38343609039576715</v>
      </c>
      <c r="T47" s="8">
        <f t="shared" si="15"/>
        <v>0.38169867458501155</v>
      </c>
      <c r="U47" s="8">
        <f t="shared" si="15"/>
        <v>0.4374513035445432</v>
      </c>
      <c r="V47" s="8">
        <f t="shared" si="15"/>
        <v>0.33489122266770599</v>
      </c>
    </row>
    <row r="48" spans="1:22">
      <c r="A48" s="8" t="s">
        <v>2</v>
      </c>
      <c r="B48" s="8">
        <f t="shared" ref="B48:M48" si="16" xml:space="preserve"> B47/SQRT(COUNT(B28:B43))</f>
        <v>6.8563392257230113E-2</v>
      </c>
      <c r="C48" s="8">
        <f t="shared" si="16"/>
        <v>9.77351510144049E-2</v>
      </c>
      <c r="D48" s="8">
        <f t="shared" si="16"/>
        <v>6.1641041794961861E-2</v>
      </c>
      <c r="E48" s="8">
        <f t="shared" si="16"/>
        <v>9.9608788242702945E-2</v>
      </c>
      <c r="F48" s="8">
        <f t="shared" si="16"/>
        <v>0.13991625847416572</v>
      </c>
      <c r="G48" s="8">
        <f t="shared" si="16"/>
        <v>0.32160814445074015</v>
      </c>
      <c r="H48" s="8">
        <f t="shared" si="16"/>
        <v>0.38667314838820593</v>
      </c>
      <c r="I48" s="8">
        <f t="shared" si="16"/>
        <v>0.14274646978645544</v>
      </c>
      <c r="J48" s="8">
        <f t="shared" si="16"/>
        <v>7.9958576760404534E-2</v>
      </c>
      <c r="K48" s="8">
        <f t="shared" si="16"/>
        <v>8.2128859280728814E-2</v>
      </c>
      <c r="L48" s="8">
        <f t="shared" si="16"/>
        <v>6.7775821613335119E-2</v>
      </c>
      <c r="M48" s="8">
        <f t="shared" si="16"/>
        <v>7.0362629667955964E-2</v>
      </c>
      <c r="N48" s="8" t="s">
        <v>2</v>
      </c>
      <c r="O48" s="8">
        <f t="shared" ref="O48:V48" si="17" xml:space="preserve"> O47/SQRT(COUNT(O28:O43))</f>
        <v>0.14888873292687058</v>
      </c>
      <c r="P48" s="8">
        <f t="shared" si="17"/>
        <v>0.32224801910254647</v>
      </c>
      <c r="Q48" s="8">
        <f t="shared" si="17"/>
        <v>5.5695599317958269E-2</v>
      </c>
      <c r="R48" s="8">
        <f t="shared" si="17"/>
        <v>0.1944191459107634</v>
      </c>
      <c r="S48" s="8">
        <f t="shared" si="17"/>
        <v>0.13556512983525248</v>
      </c>
      <c r="T48" s="8">
        <f t="shared" si="17"/>
        <v>0.13495086058448949</v>
      </c>
      <c r="U48" s="8">
        <f t="shared" si="17"/>
        <v>0.15466239158762063</v>
      </c>
      <c r="V48" s="8">
        <f t="shared" si="17"/>
        <v>0.11840192725409446</v>
      </c>
    </row>
    <row r="49" spans="1:22" ht="15.75" thickBot="1">
      <c r="A49" s="8"/>
      <c r="B49" s="8"/>
      <c r="C49" s="8"/>
      <c r="D49" s="8"/>
      <c r="E49" s="8"/>
      <c r="F49" s="8"/>
      <c r="G49" s="8"/>
      <c r="H49" s="8"/>
      <c r="I49" s="8"/>
      <c r="J49" s="8"/>
      <c r="K49" s="8"/>
      <c r="L49" s="8"/>
      <c r="M49" s="8"/>
      <c r="N49" s="8"/>
      <c r="O49" s="8"/>
      <c r="P49" s="8"/>
      <c r="Q49" s="8"/>
      <c r="R49" s="8"/>
      <c r="S49" s="8"/>
      <c r="T49" s="8"/>
      <c r="U49" s="8"/>
      <c r="V49" s="8"/>
    </row>
    <row r="50" spans="1:22" ht="27" thickBot="1">
      <c r="A50" s="143" t="s">
        <v>24</v>
      </c>
      <c r="B50" s="144"/>
      <c r="C50" s="144"/>
      <c r="D50" s="144"/>
      <c r="E50" s="144"/>
      <c r="F50" s="144"/>
      <c r="G50" s="144"/>
      <c r="H50" s="144"/>
      <c r="I50" s="144"/>
      <c r="J50" s="144"/>
      <c r="K50" s="144"/>
      <c r="L50" s="144"/>
      <c r="M50" s="144"/>
      <c r="N50" s="144"/>
      <c r="O50" s="144"/>
      <c r="P50" s="144"/>
      <c r="Q50" s="144"/>
      <c r="R50" s="144"/>
      <c r="S50" s="144"/>
      <c r="T50" s="144"/>
      <c r="U50" s="144"/>
      <c r="V50" s="144"/>
    </row>
    <row r="51" spans="1:22" ht="15.75" thickBot="1"/>
    <row r="52" spans="1:22">
      <c r="A52" s="29" t="str">
        <f t="shared" ref="A52:H52" si="18">A27</f>
        <v>Noms des groupes</v>
      </c>
      <c r="B52" s="30" t="str">
        <f t="shared" si="18"/>
        <v>Solvent control</v>
      </c>
      <c r="C52" s="30" t="str">
        <f t="shared" si="18"/>
        <v>EE2-33.8ng/L</v>
      </c>
      <c r="D52" s="30" t="str">
        <f t="shared" si="18"/>
        <v>EE2-50.6ng/L</v>
      </c>
      <c r="E52" s="30" t="str">
        <f t="shared" si="18"/>
        <v>EE2-76ng/L</v>
      </c>
      <c r="F52" s="30" t="str">
        <f t="shared" si="18"/>
        <v>EE2-114ng/L</v>
      </c>
      <c r="G52" s="30" t="str">
        <f t="shared" si="18"/>
        <v>EE2-170.9ng/L</v>
      </c>
      <c r="H52" s="30" t="str">
        <f t="shared" si="18"/>
        <v>EE2-488ng/L</v>
      </c>
      <c r="I52" s="30" t="str">
        <f>I4</f>
        <v>tamoxifen-483ng/L</v>
      </c>
      <c r="J52" s="30" t="str">
        <f>J4</f>
        <v>tamoxifen-242ng/L</v>
      </c>
      <c r="K52" s="30" t="str">
        <f t="shared" ref="K52:M52" si="19">K4</f>
        <v>tamoxifen-121ng/L</v>
      </c>
      <c r="L52" s="30" t="str">
        <f t="shared" si="19"/>
        <v>tamoxifen-60.4ng/L</v>
      </c>
      <c r="M52" s="30" t="str">
        <f t="shared" si="19"/>
        <v>tamoxifen-30.2ng/L</v>
      </c>
      <c r="N52" s="31"/>
      <c r="O52" s="30" t="str">
        <f>O27</f>
        <v>Testo -30µg/L</v>
      </c>
      <c r="P52" s="30" t="str">
        <f>P27</f>
        <v>Testo 30µg/L + EE2 -64ng/L</v>
      </c>
      <c r="Q52" s="30" t="str">
        <f>Q27</f>
        <v>Testo 30µg/L + FAD-10mg/L</v>
      </c>
      <c r="R52" s="30" t="str">
        <f>R27</f>
        <v>tamoxifen-483ng/L + Testostérone</v>
      </c>
      <c r="S52" s="30" t="str">
        <f t="shared" ref="S52:V52" si="20">S27</f>
        <v>tamoxifen-242ng/L + Testostérone</v>
      </c>
      <c r="T52" s="30" t="str">
        <f t="shared" si="20"/>
        <v>tamoxifen-121ng/L + Testostérone</v>
      </c>
      <c r="U52" s="30" t="str">
        <f t="shared" si="20"/>
        <v>tamoxifen-60.4ng/L + Testostérone</v>
      </c>
      <c r="V52" s="30" t="str">
        <f t="shared" si="20"/>
        <v>tamoxifen-30.2ng/L + Testostérone</v>
      </c>
    </row>
    <row r="53" spans="1:22" s="3" customFormat="1">
      <c r="A53" s="45" t="s">
        <v>15</v>
      </c>
      <c r="B53" s="77">
        <f t="shared" ref="B53:V53" si="21">B46</f>
        <v>0.2321501375419105</v>
      </c>
      <c r="C53" s="77">
        <f t="shared" si="21"/>
        <v>0.28305038005564909</v>
      </c>
      <c r="D53" s="77">
        <f t="shared" si="21"/>
        <v>0.30235996840471474</v>
      </c>
      <c r="E53" s="77">
        <f t="shared" si="21"/>
        <v>0.89065846234302382</v>
      </c>
      <c r="F53" s="77">
        <f t="shared" si="21"/>
        <v>1.3677976358862372</v>
      </c>
      <c r="G53" s="77">
        <f t="shared" si="21"/>
        <v>2.0708809919154403</v>
      </c>
      <c r="H53" s="77">
        <f t="shared" si="21"/>
        <v>3.1454355038269024</v>
      </c>
      <c r="I53" s="77">
        <f t="shared" si="21"/>
        <v>0.85188217780893905</v>
      </c>
      <c r="J53" s="77">
        <f t="shared" si="21"/>
        <v>0.31568715052614355</v>
      </c>
      <c r="K53" s="77">
        <f t="shared" si="21"/>
        <v>0.27533639148514638</v>
      </c>
      <c r="L53" s="77">
        <f t="shared" si="21"/>
        <v>0.24282881869397593</v>
      </c>
      <c r="M53" s="77">
        <f t="shared" si="21"/>
        <v>0.31794774971686424</v>
      </c>
      <c r="N53" s="77"/>
      <c r="O53" s="77">
        <f t="shared" si="21"/>
        <v>1</v>
      </c>
      <c r="P53" s="77">
        <f t="shared" si="21"/>
        <v>2.1787778555242325</v>
      </c>
      <c r="Q53" s="77">
        <f t="shared" si="21"/>
        <v>0.21125753286071039</v>
      </c>
      <c r="R53" s="77">
        <f t="shared" si="21"/>
        <v>2.0624170105077209</v>
      </c>
      <c r="S53" s="77">
        <f t="shared" si="21"/>
        <v>1.0930864854246409</v>
      </c>
      <c r="T53" s="77">
        <f t="shared" si="21"/>
        <v>1.0700499237781034</v>
      </c>
      <c r="U53" s="77">
        <f t="shared" si="21"/>
        <v>0.92450596964494658</v>
      </c>
      <c r="V53" s="77">
        <f t="shared" si="21"/>
        <v>1.0453382175832999</v>
      </c>
    </row>
    <row r="54" spans="1:22" s="3" customFormat="1">
      <c r="A54" s="45" t="s">
        <v>2</v>
      </c>
      <c r="B54" s="77">
        <f t="shared" ref="B54:V54" si="22">B48</f>
        <v>6.8563392257230113E-2</v>
      </c>
      <c r="C54" s="77">
        <f t="shared" si="22"/>
        <v>9.77351510144049E-2</v>
      </c>
      <c r="D54" s="77">
        <f t="shared" si="22"/>
        <v>6.1641041794961861E-2</v>
      </c>
      <c r="E54" s="77">
        <f t="shared" si="22"/>
        <v>9.9608788242702945E-2</v>
      </c>
      <c r="F54" s="77">
        <f t="shared" si="22"/>
        <v>0.13991625847416572</v>
      </c>
      <c r="G54" s="77">
        <f t="shared" si="22"/>
        <v>0.32160814445074015</v>
      </c>
      <c r="H54" s="77">
        <f t="shared" si="22"/>
        <v>0.38667314838820593</v>
      </c>
      <c r="I54" s="77">
        <f t="shared" si="22"/>
        <v>0.14274646978645544</v>
      </c>
      <c r="J54" s="77">
        <f t="shared" si="22"/>
        <v>7.9958576760404534E-2</v>
      </c>
      <c r="K54" s="77">
        <f t="shared" si="22"/>
        <v>8.2128859280728814E-2</v>
      </c>
      <c r="L54" s="77">
        <f t="shared" si="22"/>
        <v>6.7775821613335119E-2</v>
      </c>
      <c r="M54" s="77">
        <f t="shared" si="22"/>
        <v>7.0362629667955964E-2</v>
      </c>
      <c r="N54" s="77"/>
      <c r="O54" s="77">
        <f t="shared" si="22"/>
        <v>0.14888873292687058</v>
      </c>
      <c r="P54" s="77">
        <f t="shared" si="22"/>
        <v>0.32224801910254647</v>
      </c>
      <c r="Q54" s="77">
        <f t="shared" si="22"/>
        <v>5.5695599317958269E-2</v>
      </c>
      <c r="R54" s="77">
        <f t="shared" si="22"/>
        <v>0.1944191459107634</v>
      </c>
      <c r="S54" s="77">
        <f t="shared" si="22"/>
        <v>0.13556512983525248</v>
      </c>
      <c r="T54" s="77">
        <f t="shared" si="22"/>
        <v>0.13495086058448949</v>
      </c>
      <c r="U54" s="77">
        <f t="shared" si="22"/>
        <v>0.15466239158762063</v>
      </c>
      <c r="V54" s="77">
        <f t="shared" si="22"/>
        <v>0.11840192725409446</v>
      </c>
    </row>
    <row r="55" spans="1:22" s="3" customFormat="1">
      <c r="A55" s="45" t="s">
        <v>42</v>
      </c>
      <c r="B55" s="77">
        <f>(B53*100/$B53)-100</f>
        <v>0</v>
      </c>
      <c r="C55" s="77">
        <f t="shared" ref="C55:M55" si="23">(C53*100/$B53)-100</f>
        <v>21.925570690023605</v>
      </c>
      <c r="D55" s="77">
        <f t="shared" si="23"/>
        <v>30.243286351759821</v>
      </c>
      <c r="E55" s="77">
        <f t="shared" si="23"/>
        <v>283.6562285827772</v>
      </c>
      <c r="F55" s="77">
        <f t="shared" si="23"/>
        <v>489.18665755229461</v>
      </c>
      <c r="G55" s="77">
        <f t="shared" si="23"/>
        <v>792.04383587392022</v>
      </c>
      <c r="H55" s="77">
        <f t="shared" si="23"/>
        <v>1254.9143399749444</v>
      </c>
      <c r="I55" s="77">
        <f t="shared" si="23"/>
        <v>266.95312216007073</v>
      </c>
      <c r="J55" s="77">
        <f t="shared" si="23"/>
        <v>35.984046302428737</v>
      </c>
      <c r="K55" s="77">
        <f t="shared" si="23"/>
        <v>18.602725977467657</v>
      </c>
      <c r="L55" s="77">
        <f t="shared" si="23"/>
        <v>4.599903004639657</v>
      </c>
      <c r="M55" s="77">
        <f t="shared" si="23"/>
        <v>36.957812337916238</v>
      </c>
      <c r="N55" s="77"/>
      <c r="O55" s="77">
        <f>(O53*100/$O53)-100</f>
        <v>0</v>
      </c>
      <c r="P55" s="77">
        <f t="shared" ref="P55:V55" si="24">(P53*100/$O53)-100</f>
        <v>117.87778555242326</v>
      </c>
      <c r="Q55" s="77">
        <f t="shared" si="24"/>
        <v>-78.874246713928954</v>
      </c>
      <c r="R55" s="77">
        <f t="shared" si="24"/>
        <v>106.24170105077209</v>
      </c>
      <c r="S55" s="77">
        <f t="shared" si="24"/>
        <v>9.3086485424640983</v>
      </c>
      <c r="T55" s="77">
        <f t="shared" si="24"/>
        <v>7.0049923778103391</v>
      </c>
      <c r="U55" s="77">
        <f t="shared" si="24"/>
        <v>-7.5494030355053354</v>
      </c>
      <c r="V55" s="77">
        <f t="shared" si="24"/>
        <v>4.5338217583299922</v>
      </c>
    </row>
    <row r="56" spans="1:22" s="3" customFormat="1">
      <c r="A56" s="45" t="s">
        <v>43</v>
      </c>
      <c r="B56" s="77" t="e">
        <f ca="1">[1]!SWTEST(B28:B43)</f>
        <v>#NAME?</v>
      </c>
      <c r="C56" s="77" t="e">
        <f ca="1">[1]!SWTEST(C28:C43)</f>
        <v>#NAME?</v>
      </c>
      <c r="D56" s="77" t="e">
        <f ca="1">[1]!SWTEST(D28:D43)</f>
        <v>#NAME?</v>
      </c>
      <c r="E56" s="77" t="e">
        <f ca="1">[1]!SWTEST(E28:E43)</f>
        <v>#NAME?</v>
      </c>
      <c r="F56" s="77" t="e">
        <f ca="1">[1]!SWTEST(F28:F43)</f>
        <v>#NAME?</v>
      </c>
      <c r="G56" s="77" t="e">
        <f ca="1">[1]!SWTEST(G28:G43)</f>
        <v>#NAME?</v>
      </c>
      <c r="H56" s="77" t="e">
        <f ca="1">[1]!SWTEST(H28:H43)</f>
        <v>#NAME?</v>
      </c>
      <c r="I56" s="77" t="e">
        <f ca="1">[1]!SWTEST(I28:I43)</f>
        <v>#NAME?</v>
      </c>
      <c r="J56" s="77" t="e">
        <f ca="1">[1]!SWTEST(J28:J43)</f>
        <v>#NAME?</v>
      </c>
      <c r="K56" s="77" t="e">
        <f ca="1">[1]!SWTEST(K28:K43)</f>
        <v>#NAME?</v>
      </c>
      <c r="L56" s="77" t="e">
        <f ca="1">[1]!SWTEST(L28:L43)</f>
        <v>#NAME?</v>
      </c>
      <c r="M56" s="77" t="e">
        <f ca="1">[1]!SWTEST(M28:M43)</f>
        <v>#NAME?</v>
      </c>
      <c r="N56" s="77"/>
      <c r="O56" s="77" t="e">
        <f ca="1">[1]!SWTEST(O28:O43)</f>
        <v>#NAME?</v>
      </c>
      <c r="P56" s="77" t="e">
        <f ca="1">[1]!SWTEST(P28:P43)</f>
        <v>#NAME?</v>
      </c>
      <c r="Q56" s="77" t="e">
        <f ca="1">[1]!SWTEST(Q28:Q43)</f>
        <v>#NAME?</v>
      </c>
      <c r="R56" s="77" t="e">
        <f ca="1">[1]!SWTEST(R28:R43)</f>
        <v>#NAME?</v>
      </c>
      <c r="S56" s="77" t="e">
        <f ca="1">[1]!SWTEST(S28:S43)</f>
        <v>#NAME?</v>
      </c>
      <c r="T56" s="77" t="e">
        <f ca="1">[1]!SWTEST(T28:T43)</f>
        <v>#NAME?</v>
      </c>
      <c r="U56" s="77" t="e">
        <f ca="1">[1]!SWTEST(U28:U43)</f>
        <v>#NAME?</v>
      </c>
      <c r="V56" s="77" t="e">
        <f ca="1">[1]!SWTEST(V28:V43)</f>
        <v>#NAME?</v>
      </c>
    </row>
    <row r="57" spans="1:22" s="3" customFormat="1">
      <c r="A57" s="45" t="s">
        <v>47</v>
      </c>
      <c r="B57" s="77" t="e">
        <f ca="1">IF(B56&gt;0.05,"Oui","Non")</f>
        <v>#NAME?</v>
      </c>
      <c r="C57" s="77" t="e">
        <f t="shared" ref="C57:V57" ca="1" si="25">IF(C56&gt;0.05,"Oui","Non")</f>
        <v>#NAME?</v>
      </c>
      <c r="D57" s="77" t="e">
        <f t="shared" ca="1" si="25"/>
        <v>#NAME?</v>
      </c>
      <c r="E57" s="77" t="e">
        <f t="shared" ca="1" si="25"/>
        <v>#NAME?</v>
      </c>
      <c r="F57" s="77" t="e">
        <f t="shared" ca="1" si="25"/>
        <v>#NAME?</v>
      </c>
      <c r="G57" s="77" t="e">
        <f t="shared" ca="1" si="25"/>
        <v>#NAME?</v>
      </c>
      <c r="H57" s="77" t="e">
        <f t="shared" ca="1" si="25"/>
        <v>#NAME?</v>
      </c>
      <c r="I57" s="77" t="e">
        <f t="shared" ca="1" si="25"/>
        <v>#NAME?</v>
      </c>
      <c r="J57" s="77" t="e">
        <f t="shared" ca="1" si="25"/>
        <v>#NAME?</v>
      </c>
      <c r="K57" s="77" t="e">
        <f t="shared" ca="1" si="25"/>
        <v>#NAME?</v>
      </c>
      <c r="L57" s="77" t="e">
        <f t="shared" ca="1" si="25"/>
        <v>#NAME?</v>
      </c>
      <c r="M57" s="77" t="e">
        <f t="shared" ca="1" si="25"/>
        <v>#NAME?</v>
      </c>
      <c r="N57" s="77"/>
      <c r="O57" s="77" t="e">
        <f t="shared" ca="1" si="25"/>
        <v>#NAME?</v>
      </c>
      <c r="P57" s="77" t="e">
        <f t="shared" ca="1" si="25"/>
        <v>#NAME?</v>
      </c>
      <c r="Q57" s="77" t="e">
        <f t="shared" ca="1" si="25"/>
        <v>#NAME?</v>
      </c>
      <c r="R57" s="77" t="e">
        <f t="shared" ca="1" si="25"/>
        <v>#NAME?</v>
      </c>
      <c r="S57" s="77" t="e">
        <f t="shared" ca="1" si="25"/>
        <v>#NAME?</v>
      </c>
      <c r="T57" s="77" t="e">
        <f t="shared" ca="1" si="25"/>
        <v>#NAME?</v>
      </c>
      <c r="U57" s="77" t="e">
        <f t="shared" ca="1" si="25"/>
        <v>#NAME?</v>
      </c>
      <c r="V57" s="77" t="e">
        <f t="shared" ca="1" si="25"/>
        <v>#NAME?</v>
      </c>
    </row>
    <row r="58" spans="1:22" s="3" customFormat="1">
      <c r="A58" s="45"/>
      <c r="B58" s="77"/>
      <c r="C58" s="77"/>
      <c r="D58" s="77"/>
      <c r="E58" s="77"/>
      <c r="F58" s="77"/>
      <c r="G58" s="77"/>
      <c r="H58" s="77"/>
      <c r="I58" s="77"/>
      <c r="J58" s="77"/>
      <c r="K58" s="77"/>
      <c r="L58" s="77"/>
      <c r="M58" s="77"/>
      <c r="N58" s="79"/>
      <c r="O58" s="80"/>
      <c r="P58" s="77"/>
      <c r="Q58" s="77"/>
      <c r="R58" s="77"/>
      <c r="S58" s="77"/>
      <c r="T58" s="77"/>
      <c r="U58" s="77"/>
      <c r="V58" s="77"/>
    </row>
    <row r="59" spans="1:22" s="3" customFormat="1">
      <c r="A59" s="45" t="s">
        <v>44</v>
      </c>
      <c r="B59" s="81"/>
      <c r="C59" s="81" t="e">
        <f t="shared" ref="C59:O59" ca="1" si="26">IF($B57="Non",IF(C57="Non","MW",IF(C57="Oui","MW","")),IF($B57="Oui",IF(C57="Oui","T-Test Welch",IF(C57="Non","MW",""))))</f>
        <v>#NAME?</v>
      </c>
      <c r="D59" s="81" t="e">
        <f t="shared" ca="1" si="26"/>
        <v>#NAME?</v>
      </c>
      <c r="E59" s="81" t="e">
        <f t="shared" ca="1" si="26"/>
        <v>#NAME?</v>
      </c>
      <c r="F59" s="81" t="e">
        <f t="shared" ca="1" si="26"/>
        <v>#NAME?</v>
      </c>
      <c r="G59" s="81" t="e">
        <f t="shared" ca="1" si="26"/>
        <v>#NAME?</v>
      </c>
      <c r="H59" s="81" t="e">
        <f t="shared" ca="1" si="26"/>
        <v>#NAME?</v>
      </c>
      <c r="I59" s="81" t="e">
        <f t="shared" ca="1" si="26"/>
        <v>#NAME?</v>
      </c>
      <c r="J59" s="81" t="e">
        <f t="shared" ca="1" si="26"/>
        <v>#NAME?</v>
      </c>
      <c r="K59" s="81" t="e">
        <f t="shared" ca="1" si="26"/>
        <v>#NAME?</v>
      </c>
      <c r="L59" s="81" t="e">
        <f t="shared" ca="1" si="26"/>
        <v>#NAME?</v>
      </c>
      <c r="M59" s="81" t="e">
        <f t="shared" ca="1" si="26"/>
        <v>#NAME?</v>
      </c>
      <c r="N59" s="81"/>
      <c r="O59" s="81" t="e">
        <f t="shared" ca="1" si="26"/>
        <v>#NAME?</v>
      </c>
      <c r="P59" s="81" t="e">
        <f ca="1">IF($O57="Non",IF(P57="Non","MW",IF(P57="Oui","MW","")),IF($O57="Oui",IF(P57="Oui","T-Test Welch",IF(P57="Non","MW",""))))</f>
        <v>#NAME?</v>
      </c>
      <c r="Q59" s="81" t="e">
        <f t="shared" ref="Q59:V59" ca="1" si="27">IF($O57="Non",IF(Q57="Non","MW",IF(Q57="Oui","MW","")),IF($O57="Oui",IF(Q57="Oui","T-Test Welch",IF(Q57="Non","MW",""))))</f>
        <v>#NAME?</v>
      </c>
      <c r="R59" s="81" t="e">
        <f t="shared" ca="1" si="27"/>
        <v>#NAME?</v>
      </c>
      <c r="S59" s="81" t="e">
        <f t="shared" ca="1" si="27"/>
        <v>#NAME?</v>
      </c>
      <c r="T59" s="81" t="e">
        <f t="shared" ca="1" si="27"/>
        <v>#NAME?</v>
      </c>
      <c r="U59" s="81" t="e">
        <f t="shared" ca="1" si="27"/>
        <v>#NAME?</v>
      </c>
      <c r="V59" s="81" t="e">
        <f t="shared" ca="1" si="27"/>
        <v>#NAME?</v>
      </c>
    </row>
    <row r="60" spans="1:22" s="3" customFormat="1">
      <c r="A60" s="45" t="s">
        <v>45</v>
      </c>
      <c r="B60" s="82"/>
      <c r="C60" s="82" t="e">
        <f ca="1">IF(C59="MW",[1]!MTEST($B28:$B43,C28:C43,2), IF(C59="T-Test Welch",_xlfn.T.TEST($B28:$B43,C28:C43,2,3),""))</f>
        <v>#NAME?</v>
      </c>
      <c r="D60" s="82" t="e">
        <f ca="1">IF(D59="MW",[1]!MTEST($B28:$B43,D28:D43,2), IF(D59="T-Test Welch",_xlfn.T.TEST($B28:$B43,D28:D43,2,3),""))</f>
        <v>#NAME?</v>
      </c>
      <c r="E60" s="82" t="e">
        <f ca="1">IF(E59="MW",[1]!MTEST($B28:$B43,E28:E43,2), IF(E59="T-Test Welch",_xlfn.T.TEST($B28:$B43,E28:E43,2,3),""))</f>
        <v>#NAME?</v>
      </c>
      <c r="F60" s="82" t="e">
        <f ca="1">IF(F59="MW",[1]!MTEST($B28:$B43,F28:F43,2), IF(F59="T-Test Welch",_xlfn.T.TEST($B28:$B43,F28:F43,2,3),""))</f>
        <v>#NAME?</v>
      </c>
      <c r="G60" s="82" t="e">
        <f ca="1">IF(G59="MW",[1]!MTEST($B28:$B43,G28:G43,2), IF(G59="T-Test Welch",_xlfn.T.TEST($B28:$B43,G28:G43,2,3),""))</f>
        <v>#NAME?</v>
      </c>
      <c r="H60" s="82" t="e">
        <f ca="1">IF(H59="MW",[1]!MTEST($B28:$B43,H28:H43,2), IF(H59="T-Test Welch",_xlfn.T.TEST($B28:$B43,H28:H43,2,3),""))</f>
        <v>#NAME?</v>
      </c>
      <c r="I60" s="82" t="e">
        <f ca="1">IF(I59="MW",[1]!MTEST($B28:$B43,I28:I43,2), IF(I59="T-Test Welch",_xlfn.T.TEST($B28:$B43,I28:I43,2,3),""))</f>
        <v>#NAME?</v>
      </c>
      <c r="J60" s="82" t="e">
        <f ca="1">IF(J59="MW",[1]!MTEST($B28:$B43,J28:J43,2), IF(J59="T-Test Welch",_xlfn.T.TEST($B28:$B43,J28:J43,2,3),""))</f>
        <v>#NAME?</v>
      </c>
      <c r="K60" s="82" t="e">
        <f ca="1">IF(K59="MW",[1]!MTEST($B28:$B43,K28:K43,2), IF(K59="T-Test Welch",_xlfn.T.TEST($B28:$B43,K28:K43,2,3),""))</f>
        <v>#NAME?</v>
      </c>
      <c r="L60" s="82" t="e">
        <f ca="1">IF(L59="MW",[1]!MTEST($B28:$B43,L28:L43,2), IF(L59="T-Test Welch",_xlfn.T.TEST($B28:$B43,L28:L43,2,3),""))</f>
        <v>#NAME?</v>
      </c>
      <c r="M60" s="82" t="e">
        <f ca="1">IF(M59="MW",[1]!MTEST($B28:$B43,M28:M43,2), IF(M59="T-Test Welch",_xlfn.T.TEST($B28:$B43,M28:M43,2,3),""))</f>
        <v>#NAME?</v>
      </c>
      <c r="N60" s="82"/>
      <c r="O60" s="82" t="e">
        <f ca="1">IF(O59="MW",[1]!MTEST($B28:$B43,O28:O43,2), IF(O59="T-Test Welch",_xlfn.T.TEST($B28:$B43,O28:O43,2,3),""))</f>
        <v>#NAME?</v>
      </c>
      <c r="P60" s="82" t="e">
        <f ca="1">IF(P59="MW",[1]!MTEST($O28:$O43,P28:P43,2), IF(P59="T-Test Welch",_xlfn.T.TEST($O28:$O43,P28:P43,2,3),""))</f>
        <v>#NAME?</v>
      </c>
      <c r="Q60" s="82" t="e">
        <f ca="1">IF(Q59="MW",[1]!MTEST($O28:$O43,Q28:Q43,2), IF(Q59="T-Test Welch",_xlfn.T.TEST($O28:$O43,Q28:Q43,2,3),""))</f>
        <v>#NAME?</v>
      </c>
      <c r="R60" s="82" t="e">
        <f ca="1">IF(R59="MW",[1]!MTEST($O28:$O43,R28:R43,2), IF(R59="T-Test Welch",_xlfn.T.TEST($O28:$O43,R28:R43,2,3),""))</f>
        <v>#NAME?</v>
      </c>
      <c r="S60" s="82" t="e">
        <f ca="1">IF(S59="MW",[1]!MTEST($O28:$O43,S28:S43,2), IF(S59="T-Test Welch",_xlfn.T.TEST($O28:$O43,S28:S43,2,3),""))</f>
        <v>#NAME?</v>
      </c>
      <c r="T60" s="82" t="e">
        <f ca="1">IF(T59="MW",[1]!MTEST($O28:$O43,T28:T43,2), IF(T59="T-Test Welch",_xlfn.T.TEST($O28:$O43,T28:T43,2,3),""))</f>
        <v>#NAME?</v>
      </c>
      <c r="U60" s="82" t="e">
        <f ca="1">IF(U59="MW",[1]!MTEST($O28:$O43,U28:U43,2), IF(U59="T-Test Welch",_xlfn.T.TEST($O28:$O43,U28:U43,2,3),""))</f>
        <v>#NAME?</v>
      </c>
      <c r="V60" s="82" t="e">
        <f ca="1">IF(V59="MW",[1]!MTEST($O28:$O43,V28:V43,2), IF(V59="T-Test Welch",_xlfn.T.TEST($O28:$O43,V28:V43,2,3),""))</f>
        <v>#NAME?</v>
      </c>
    </row>
    <row r="61" spans="1:22" s="3" customFormat="1" ht="15.75" thickBot="1">
      <c r="A61" s="46" t="s">
        <v>46</v>
      </c>
      <c r="B61" s="78"/>
      <c r="C61" s="78" t="e">
        <f t="shared" ref="C61:O61" ca="1" si="28">IF(C60&gt;0.05,"NS",IF(C60&gt;0.01,"*",IF(C60&gt;0.001,"**","***")))</f>
        <v>#NAME?</v>
      </c>
      <c r="D61" s="78" t="e">
        <f t="shared" ca="1" si="28"/>
        <v>#NAME?</v>
      </c>
      <c r="E61" s="78" t="e">
        <f t="shared" ca="1" si="28"/>
        <v>#NAME?</v>
      </c>
      <c r="F61" s="78" t="e">
        <f t="shared" ca="1" si="28"/>
        <v>#NAME?</v>
      </c>
      <c r="G61" s="78" t="e">
        <f t="shared" ca="1" si="28"/>
        <v>#NAME?</v>
      </c>
      <c r="H61" s="78" t="e">
        <f t="shared" ca="1" si="28"/>
        <v>#NAME?</v>
      </c>
      <c r="I61" s="78" t="e">
        <f t="shared" ca="1" si="28"/>
        <v>#NAME?</v>
      </c>
      <c r="J61" s="78" t="e">
        <f t="shared" ca="1" si="28"/>
        <v>#NAME?</v>
      </c>
      <c r="K61" s="78" t="e">
        <f t="shared" ca="1" si="28"/>
        <v>#NAME?</v>
      </c>
      <c r="L61" s="78" t="e">
        <f t="shared" ca="1" si="28"/>
        <v>#NAME?</v>
      </c>
      <c r="M61" s="78" t="e">
        <f t="shared" ca="1" si="28"/>
        <v>#NAME?</v>
      </c>
      <c r="N61" s="78"/>
      <c r="O61" s="78" t="e">
        <f t="shared" ca="1" si="28"/>
        <v>#NAME?</v>
      </c>
      <c r="P61" s="78" t="e">
        <f ca="1">IF(P60&gt;0.05,"NS",IF(P60&gt;0.01,"*",IF(P60&gt;0.001,"**","***")))</f>
        <v>#NAME?</v>
      </c>
      <c r="Q61" s="78" t="e">
        <f t="shared" ref="Q61:V61" ca="1" si="29">IF(Q60&gt;0.05,"NS",IF(Q60&gt;0.01,"*",IF(Q60&gt;0.001,"**","***")))</f>
        <v>#NAME?</v>
      </c>
      <c r="R61" s="78" t="e">
        <f t="shared" ca="1" si="29"/>
        <v>#NAME?</v>
      </c>
      <c r="S61" s="78" t="e">
        <f t="shared" ca="1" si="29"/>
        <v>#NAME?</v>
      </c>
      <c r="T61" s="78" t="e">
        <f t="shared" ca="1" si="29"/>
        <v>#NAME?</v>
      </c>
      <c r="U61" s="78" t="e">
        <f t="shared" ca="1" si="29"/>
        <v>#NAME?</v>
      </c>
      <c r="V61" s="78" t="e">
        <f t="shared" ca="1" si="29"/>
        <v>#NAME?</v>
      </c>
    </row>
    <row r="63" spans="1:22">
      <c r="A63" s="2" t="s">
        <v>20</v>
      </c>
    </row>
    <row r="64" spans="1:22">
      <c r="A64" s="1" t="s">
        <v>13</v>
      </c>
      <c r="B64" s="1">
        <f>B46+(3*B47)</f>
        <v>0.81392981281679833</v>
      </c>
    </row>
    <row r="65" spans="1:22">
      <c r="A65" s="1" t="s">
        <v>14</v>
      </c>
      <c r="B65" s="1">
        <f>B46+(10*B47)</f>
        <v>2.1714157217915364</v>
      </c>
    </row>
    <row r="66" spans="1:22" ht="15.75" thickBot="1"/>
    <row r="67" spans="1:22" ht="27" thickBot="1">
      <c r="A67" s="143" t="s">
        <v>25</v>
      </c>
      <c r="B67" s="144"/>
      <c r="C67" s="144"/>
      <c r="D67" s="144"/>
      <c r="E67" s="144"/>
      <c r="F67" s="144"/>
      <c r="G67" s="144"/>
      <c r="H67" s="144"/>
      <c r="I67" s="144"/>
      <c r="J67" s="144"/>
      <c r="K67" s="144"/>
      <c r="L67" s="144"/>
      <c r="M67" s="144"/>
      <c r="N67" s="144"/>
      <c r="O67" s="144"/>
      <c r="P67" s="144"/>
      <c r="Q67" s="144"/>
      <c r="R67" s="144"/>
      <c r="S67" s="144"/>
      <c r="T67" s="144"/>
      <c r="U67" s="144"/>
      <c r="V67" s="144"/>
    </row>
    <row r="68" spans="1:22" ht="16.5">
      <c r="A68" s="12"/>
      <c r="B68" s="12"/>
      <c r="C68" s="12"/>
      <c r="D68" s="12"/>
      <c r="E68" s="12"/>
      <c r="F68" s="12"/>
      <c r="N68" s="12"/>
      <c r="O68" s="12"/>
      <c r="P68" s="12"/>
      <c r="Q68" s="12"/>
      <c r="R68" s="12"/>
      <c r="S68" s="12"/>
      <c r="T68" s="12"/>
      <c r="U68" s="12"/>
      <c r="V68" s="12"/>
    </row>
    <row r="69" spans="1:22" ht="16.5">
      <c r="A69" s="12"/>
      <c r="B69" s="12"/>
      <c r="C69" s="12"/>
      <c r="D69" s="12"/>
      <c r="E69" s="12"/>
      <c r="F69" s="12"/>
      <c r="N69" s="12"/>
      <c r="O69" s="12"/>
      <c r="P69" s="12"/>
      <c r="Q69" s="12"/>
      <c r="R69" s="12"/>
      <c r="S69" s="12"/>
      <c r="T69" s="12"/>
      <c r="U69" s="12"/>
      <c r="V69" s="12"/>
    </row>
    <row r="70" spans="1:22" ht="16.5">
      <c r="A70" s="12"/>
      <c r="B70" s="12"/>
      <c r="C70" s="12"/>
      <c r="D70" s="12"/>
      <c r="E70" s="12"/>
      <c r="F70" s="12"/>
      <c r="N70" s="12"/>
      <c r="O70" s="12"/>
      <c r="P70" s="12"/>
      <c r="Q70" s="12"/>
      <c r="R70" s="12"/>
      <c r="S70" s="12"/>
      <c r="T70" s="12"/>
      <c r="U70" s="12"/>
      <c r="V70" s="12"/>
    </row>
    <row r="71" spans="1:22" ht="16.5">
      <c r="A71" s="12"/>
      <c r="B71" s="12"/>
      <c r="C71" s="12"/>
      <c r="D71" s="12"/>
      <c r="E71" s="12"/>
      <c r="F71" s="12"/>
      <c r="N71" s="12"/>
      <c r="O71" s="12"/>
      <c r="P71" s="12"/>
      <c r="Q71" s="12"/>
      <c r="R71" s="12"/>
      <c r="S71" s="12"/>
      <c r="T71" s="12"/>
      <c r="U71" s="12"/>
      <c r="V71" s="12"/>
    </row>
    <row r="72" spans="1:22" ht="16.5">
      <c r="A72" s="12"/>
      <c r="B72" s="12"/>
      <c r="C72" s="12"/>
      <c r="D72" s="12"/>
      <c r="E72" s="12"/>
      <c r="F72" s="12"/>
      <c r="N72" s="12"/>
      <c r="O72" s="12"/>
      <c r="P72" s="12"/>
      <c r="Q72" s="12"/>
      <c r="R72" s="12"/>
      <c r="S72" s="12"/>
      <c r="T72" s="12"/>
      <c r="U72" s="12"/>
      <c r="V72" s="12"/>
    </row>
    <row r="73" spans="1:22" ht="16.5">
      <c r="A73" s="12"/>
      <c r="B73" s="12"/>
      <c r="C73" s="12"/>
      <c r="D73" s="12"/>
      <c r="E73" s="12"/>
      <c r="F73" s="12"/>
      <c r="N73" s="12"/>
      <c r="O73" s="12"/>
      <c r="P73" s="12"/>
      <c r="Q73" s="12"/>
      <c r="R73" s="12"/>
      <c r="S73" s="12"/>
      <c r="T73" s="12"/>
      <c r="U73" s="12"/>
      <c r="V73" s="12"/>
    </row>
    <row r="74" spans="1:22" ht="16.5">
      <c r="A74" s="12"/>
      <c r="B74" s="12"/>
      <c r="C74" s="12"/>
      <c r="D74" s="12"/>
      <c r="E74" s="12"/>
      <c r="F74" s="12"/>
      <c r="N74" s="12"/>
      <c r="O74" s="12"/>
      <c r="P74" s="12"/>
      <c r="Q74" s="12"/>
      <c r="R74" s="12"/>
      <c r="S74" s="12"/>
      <c r="T74" s="12"/>
      <c r="U74" s="12"/>
      <c r="V74" s="12"/>
    </row>
  </sheetData>
  <protectedRanges>
    <protectedRange sqref="O51:V51" name="Plage2"/>
    <protectedRange sqref="R5:V20" name="Plage1"/>
    <protectedRange sqref="B51:J51" name="Plage2_1"/>
    <protectedRange sqref="O5:O20 B5:J20" name="Plage1_1"/>
  </protectedRanges>
  <mergeCells count="9">
    <mergeCell ref="A28:A43"/>
    <mergeCell ref="A50:V50"/>
    <mergeCell ref="A67:V67"/>
    <mergeCell ref="A1:V1"/>
    <mergeCell ref="B3:M3"/>
    <mergeCell ref="O3:V3"/>
    <mergeCell ref="A5:A20"/>
    <mergeCell ref="B26:M26"/>
    <mergeCell ref="O26:V26"/>
  </mergeCells>
  <phoneticPr fontId="12"/>
  <pageMargins left="0.7" right="0.7" top="0.75" bottom="0.75" header="0.3" footer="0.3"/>
  <pageSetup paperSize="9" scale="21" orientation="landscape" r:id="rId1"/>
  <headerFooter>
    <oddHeader>&amp;C&amp;"-,Gras"&amp;14Données brutes et normalisées R1&amp;R&amp;"-,Gras"&amp;14Page : &amp;P/&amp;P</oddHeader>
    <oddFooter>&amp;C&amp;1#&amp;"Arial"&amp;10&amp;K000000Internal</oddFooter>
  </headerFooter>
  <colBreaks count="1" manualBreakCount="1">
    <brk id="14" max="1048575" man="1"/>
  </colBreak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A105"/>
  <sheetViews>
    <sheetView showGridLines="0" topLeftCell="A67" zoomScale="70" zoomScaleNormal="70" workbookViewId="0">
      <selection activeCell="E108" sqref="E108"/>
    </sheetView>
  </sheetViews>
  <sheetFormatPr defaultColWidth="11" defaultRowHeight="15"/>
  <cols>
    <col min="1" max="1" width="42.85546875" customWidth="1"/>
    <col min="2" max="2" width="14" bestFit="1" customWidth="1"/>
    <col min="3" max="14" width="22.7109375" bestFit="1" customWidth="1"/>
    <col min="15" max="15" width="8.42578125" customWidth="1"/>
    <col min="16" max="16" width="22.7109375" customWidth="1"/>
    <col min="19" max="23" width="29.140625" customWidth="1"/>
  </cols>
  <sheetData>
    <row r="1" spans="1:23" s="1" customFormat="1" ht="21.75" thickBot="1">
      <c r="A1" s="22" t="s">
        <v>7</v>
      </c>
      <c r="B1" s="39" t="e">
        <f>'Front page'!#REF!</f>
        <v>#REF!</v>
      </c>
      <c r="C1" s="23"/>
      <c r="D1" s="23"/>
      <c r="E1" s="23"/>
      <c r="F1" s="23"/>
      <c r="G1" s="23"/>
      <c r="H1" s="40"/>
      <c r="I1" s="39"/>
      <c r="J1" s="41"/>
      <c r="K1" s="41"/>
      <c r="L1" s="41"/>
      <c r="M1" s="41"/>
      <c r="N1" s="41"/>
      <c r="O1" s="41"/>
      <c r="P1" s="41"/>
      <c r="Q1" s="41"/>
      <c r="R1" s="41"/>
      <c r="S1" s="41"/>
      <c r="T1" s="41"/>
      <c r="U1" s="41"/>
      <c r="V1" s="41"/>
      <c r="W1" s="41"/>
    </row>
    <row r="2" spans="1:23" ht="15.75" thickBot="1">
      <c r="A2" s="1"/>
      <c r="B2" s="1"/>
      <c r="C2" s="1"/>
      <c r="D2" s="1"/>
      <c r="E2" s="1"/>
      <c r="F2" s="1"/>
      <c r="G2" s="1"/>
      <c r="H2" s="1"/>
      <c r="I2" s="1"/>
      <c r="J2" s="1"/>
      <c r="K2" s="1"/>
      <c r="L2" s="1"/>
      <c r="M2" s="1"/>
      <c r="N2" s="1"/>
    </row>
    <row r="3" spans="1:23" s="18" customFormat="1" ht="15.75" thickBot="1">
      <c r="B3" s="149" t="s">
        <v>6</v>
      </c>
      <c r="C3" s="150"/>
      <c r="D3" s="150"/>
      <c r="E3" s="150"/>
      <c r="F3" s="150"/>
      <c r="G3" s="150"/>
      <c r="H3" s="150"/>
      <c r="I3" s="150"/>
      <c r="J3" s="150"/>
      <c r="K3" s="150"/>
      <c r="L3" s="150"/>
      <c r="M3" s="150"/>
      <c r="N3" s="150"/>
      <c r="O3" s="55"/>
      <c r="P3" s="149" t="s">
        <v>3</v>
      </c>
      <c r="Q3" s="150"/>
      <c r="R3" s="150"/>
      <c r="S3" s="150"/>
      <c r="T3" s="150"/>
      <c r="U3" s="150"/>
      <c r="V3" s="150"/>
      <c r="W3" s="150"/>
    </row>
    <row r="4" spans="1:23">
      <c r="A4" s="19" t="s">
        <v>22</v>
      </c>
      <c r="B4" s="20" t="str">
        <f>'R1'!B4</f>
        <v>Solvent control</v>
      </c>
      <c r="C4" s="20" t="str">
        <f>'R1'!C4</f>
        <v>EE2-33.8ng/L</v>
      </c>
      <c r="D4" s="20" t="str">
        <f>'R1'!D4</f>
        <v>EE2-50.6ng/L</v>
      </c>
      <c r="E4" s="20" t="str">
        <f>'R1'!E4</f>
        <v>EE2-76ng/L</v>
      </c>
      <c r="F4" s="20" t="str">
        <f>'R1'!F4</f>
        <v>EE2-114ng/L</v>
      </c>
      <c r="G4" s="20" t="str">
        <f>'R1'!G4</f>
        <v>EE2-170.9ng/L</v>
      </c>
      <c r="H4" s="20" t="str">
        <f>'R1'!H4</f>
        <v>EE2-488ng/L</v>
      </c>
      <c r="I4" s="20" t="str">
        <f>'R1'!I4</f>
        <v>tamoxifen-483ng/L</v>
      </c>
      <c r="J4" s="20" t="str">
        <f>'R1'!J4</f>
        <v>tamoxifen-242ng/L</v>
      </c>
      <c r="K4" s="20" t="str">
        <f>'R1'!K4</f>
        <v>tamoxifen-121ng/L</v>
      </c>
      <c r="L4" s="20" t="str">
        <f>'R1'!L4</f>
        <v>tamoxifen-60.4ng/L</v>
      </c>
      <c r="M4" s="20" t="str">
        <f>'R1'!M4</f>
        <v>tamoxifen-30.2ng/L</v>
      </c>
      <c r="N4" s="20" t="e">
        <f>'R1'!#REF!</f>
        <v>#REF!</v>
      </c>
      <c r="P4" s="20" t="str">
        <f>'R1'!O4</f>
        <v>Testo -30µg/L</v>
      </c>
      <c r="Q4" s="20" t="str">
        <f>'R1'!P4</f>
        <v>Testo 30µg/L + EE2 -64ng/L</v>
      </c>
      <c r="R4" s="20" t="str">
        <f>'R1'!Q4</f>
        <v>Testo 30µg/L + FAD-10mg/L</v>
      </c>
      <c r="S4" s="20" t="str">
        <f>'R1'!R4</f>
        <v>tamoxifen-483ng/L + Testostérone</v>
      </c>
      <c r="T4" s="20" t="str">
        <f>'R1'!S4</f>
        <v>tamoxifen-242ng/L + Testostérone</v>
      </c>
      <c r="U4" s="20" t="str">
        <f>'R1'!T4</f>
        <v>tamoxifen-121ng/L + Testostérone</v>
      </c>
      <c r="V4" s="20" t="str">
        <f>'R1'!U4</f>
        <v>tamoxifen-60.4ng/L + Testostérone</v>
      </c>
      <c r="W4" s="20" t="str">
        <f>'R1'!V4</f>
        <v>tamoxifen-30.2ng/L + Testostérone</v>
      </c>
    </row>
    <row r="5" spans="1:23" s="1" customFormat="1">
      <c r="A5" s="19"/>
      <c r="B5" s="20"/>
      <c r="C5" s="114"/>
      <c r="D5" s="20"/>
      <c r="E5" s="20"/>
      <c r="F5" s="20"/>
      <c r="G5" s="20"/>
      <c r="H5" s="20"/>
      <c r="I5" s="20"/>
      <c r="J5" s="20"/>
      <c r="K5" s="20"/>
      <c r="L5" s="20"/>
      <c r="M5" s="20"/>
      <c r="N5" s="20"/>
      <c r="P5" s="20"/>
      <c r="Q5" s="20"/>
      <c r="R5" s="20"/>
      <c r="S5" s="20"/>
      <c r="T5" s="20"/>
      <c r="U5" s="20"/>
      <c r="V5" s="20"/>
      <c r="W5" s="20"/>
    </row>
    <row r="6" spans="1:23" s="1" customFormat="1">
      <c r="A6" s="54" t="s">
        <v>4</v>
      </c>
      <c r="B6" s="37">
        <f>'R1'!B28</f>
        <v>0.18474367956760765</v>
      </c>
      <c r="C6" s="37">
        <f>'R1'!C28</f>
        <v>0.17409152891086663</v>
      </c>
      <c r="D6" s="37">
        <f>'R1'!D28</f>
        <v>0.6094078972695649</v>
      </c>
      <c r="E6" s="37">
        <f>'R1'!E28</f>
        <v>0.55640300932443376</v>
      </c>
      <c r="F6" s="37">
        <f>'R1'!F28</f>
        <v>1.6315521721928576</v>
      </c>
      <c r="G6" s="37">
        <f>'R1'!G28</f>
        <v>1.7167284891622883</v>
      </c>
      <c r="H6" s="37">
        <f>'R1'!H28</f>
        <v>3.2419952031049886</v>
      </c>
      <c r="I6" s="37">
        <f>'R1'!I28</f>
        <v>0.44199345030199516</v>
      </c>
      <c r="J6" s="37">
        <f>'R1'!J28</f>
        <v>0.10353678722327025</v>
      </c>
      <c r="K6" s="37">
        <f>'R1'!K28</f>
        <v>7.1017556932369941E-2</v>
      </c>
      <c r="L6" s="37">
        <f>'R1'!L28</f>
        <v>3.3520993261091772E-2</v>
      </c>
      <c r="M6" s="37">
        <f>'R1'!M28</f>
        <v>7.3220381903632323E-2</v>
      </c>
      <c r="N6" s="37" t="e">
        <f>'R1'!#REF!</f>
        <v>#REF!</v>
      </c>
      <c r="O6"/>
      <c r="P6" s="37">
        <f>'R1'!O28</f>
        <v>1.2395084020995601</v>
      </c>
      <c r="Q6" s="37">
        <f>'R1'!P28</f>
        <v>0.66608106637022246</v>
      </c>
      <c r="R6" s="37">
        <f>'R1'!Q28</f>
        <v>0.1792795749230113</v>
      </c>
      <c r="S6" s="37">
        <f>'R1'!R28</f>
        <v>0.49364250280105521</v>
      </c>
      <c r="T6" s="37">
        <f>'R1'!S28</f>
        <v>0.24572579656371127</v>
      </c>
      <c r="U6" s="37">
        <f>'R1'!T28</f>
        <v>0.7465147186104869</v>
      </c>
      <c r="V6" s="37">
        <f>'R1'!U28</f>
        <v>0.23114222481010641</v>
      </c>
      <c r="W6" s="37">
        <f>'R1'!V28</f>
        <v>8.1557327518835321E-2</v>
      </c>
    </row>
    <row r="7" spans="1:23" s="1" customFormat="1">
      <c r="A7" s="145" t="s">
        <v>17</v>
      </c>
      <c r="B7" s="37">
        <f>'R1'!B29</f>
        <v>0.10243506117717512</v>
      </c>
      <c r="C7" s="37">
        <f>'R1'!C29</f>
        <v>0.23334517520555437</v>
      </c>
      <c r="D7" s="37">
        <f>'R1'!D29</f>
        <v>1.2805510837696141</v>
      </c>
      <c r="E7" s="37">
        <f>'R1'!E29</f>
        <v>0.75895943172747282</v>
      </c>
      <c r="F7" s="37">
        <f>'R1'!F29</f>
        <v>1.8194777379243299</v>
      </c>
      <c r="G7" s="37">
        <f>'R1'!G29</f>
        <v>1.9309383234955175</v>
      </c>
      <c r="H7" s="37">
        <f>'R1'!H29</f>
        <v>1.8164190183107003</v>
      </c>
      <c r="I7" s="37">
        <f>'R1'!I29</f>
        <v>0.45623925472384524</v>
      </c>
      <c r="J7" s="37">
        <f>'R1'!J29</f>
        <v>0.22312047017325462</v>
      </c>
      <c r="K7" s="37">
        <f>'R1'!K29</f>
        <v>0.12259273458612602</v>
      </c>
      <c r="L7" s="37">
        <f>'R1'!L29</f>
        <v>0.21634768957636358</v>
      </c>
      <c r="M7" s="37">
        <f>'R1'!M29</f>
        <v>0.11480301469258888</v>
      </c>
      <c r="N7" s="37" t="e">
        <f>'R1'!#REF!</f>
        <v>#REF!</v>
      </c>
      <c r="O7"/>
      <c r="P7" s="37">
        <f>'R1'!O29</f>
        <v>1.4758941104118355</v>
      </c>
      <c r="Q7" s="37">
        <f>'R1'!P29</f>
        <v>1.9797956844720381</v>
      </c>
      <c r="R7" s="37">
        <f>'R1'!Q29</f>
        <v>0.16995378502873112</v>
      </c>
      <c r="S7" s="37">
        <f>'R1'!R29</f>
        <v>0.50348090134178247</v>
      </c>
      <c r="T7" s="37">
        <f>'R1'!S29</f>
        <v>0.27812160945600528</v>
      </c>
      <c r="U7" s="37">
        <f>'R1'!T29</f>
        <v>0.40713418098081289</v>
      </c>
      <c r="V7" s="37">
        <f>'R1'!U29</f>
        <v>0.25520849211414637</v>
      </c>
      <c r="W7" s="37">
        <f>'R1'!V29</f>
        <v>1.1288531652239528</v>
      </c>
    </row>
    <row r="8" spans="1:23" s="1" customFormat="1">
      <c r="A8" s="154"/>
      <c r="B8" s="37">
        <f>'R1'!B30</f>
        <v>0.31285884104462258</v>
      </c>
      <c r="C8" s="37">
        <f>'R1'!C30</f>
        <v>0.19258908779954029</v>
      </c>
      <c r="D8" s="37">
        <f>'R1'!D30</f>
        <v>0.32641431074906513</v>
      </c>
      <c r="E8" s="37">
        <f>'R1'!E30</f>
        <v>1.0702662738997843</v>
      </c>
      <c r="F8" s="37">
        <f>'R1'!F30</f>
        <v>1.3223683852097825</v>
      </c>
      <c r="G8" s="37">
        <f>'R1'!G30</f>
        <v>1.5867847684837681</v>
      </c>
      <c r="H8" s="37">
        <f>'R1'!H30</f>
        <v>2.5540745249972479</v>
      </c>
      <c r="I8" s="37">
        <f>'R1'!I30</f>
        <v>0.43315844524587188</v>
      </c>
      <c r="J8" s="37">
        <f>'R1'!J30</f>
        <v>1.2033948909226228E-2</v>
      </c>
      <c r="K8" s="37">
        <f>'R1'!K30</f>
        <v>0.162601042997739</v>
      </c>
      <c r="L8" s="37">
        <f>'R1'!L30</f>
        <v>2.6910135287778698E-2</v>
      </c>
      <c r="M8" s="37">
        <f>'R1'!M30</f>
        <v>5.8915126417819492E-2</v>
      </c>
      <c r="N8" s="37" t="e">
        <f>'R1'!#REF!</f>
        <v>#REF!</v>
      </c>
      <c r="O8"/>
      <c r="P8" s="37">
        <f>'R1'!O30</f>
        <v>1.2962598358920168</v>
      </c>
      <c r="Q8" s="37">
        <f>'R1'!P30</f>
        <v>1.6420393900455668</v>
      </c>
      <c r="R8" s="37">
        <f>'R1'!Q30</f>
        <v>0.21997520787157798</v>
      </c>
      <c r="S8" s="37">
        <f>'R1'!R30</f>
        <v>0.8719582195105583</v>
      </c>
      <c r="T8" s="37">
        <f>'R1'!S30</f>
        <v>0.52091135125957988</v>
      </c>
      <c r="U8" s="37">
        <f>'R1'!T30</f>
        <v>1.2582610737816944</v>
      </c>
      <c r="V8" s="37">
        <f>'R1'!U30</f>
        <v>0.85886945320064223</v>
      </c>
      <c r="W8" s="37">
        <f>'R1'!V30</f>
        <v>0.72638777412700206</v>
      </c>
    </row>
    <row r="9" spans="1:23" s="1" customFormat="1">
      <c r="A9" s="154"/>
      <c r="B9" s="37">
        <f>'R1'!B31</f>
        <v>7.9691768182585443E-2</v>
      </c>
      <c r="C9" s="37">
        <f>'R1'!C31</f>
        <v>0.22684657187833135</v>
      </c>
      <c r="D9" s="37">
        <f>'R1'!D31</f>
        <v>0.57968650428629709</v>
      </c>
      <c r="E9" s="37">
        <f>'R1'!E31</f>
        <v>1.4709478822294804</v>
      </c>
      <c r="F9" s="37">
        <f>'R1'!F31</f>
        <v>1.6394058584210383</v>
      </c>
      <c r="G9" s="37">
        <f>'R1'!G31</f>
        <v>2.1885392819495162</v>
      </c>
      <c r="H9" s="37">
        <f>'R1'!H31</f>
        <v>1.9409927024838056</v>
      </c>
      <c r="I9" s="37">
        <f>'R1'!I31</f>
        <v>0.43578984465924575</v>
      </c>
      <c r="J9" s="37">
        <f>'R1'!J31</f>
        <v>1.584546448467988E-2</v>
      </c>
      <c r="K9" s="37">
        <f>'R1'!K31</f>
        <v>0.33707875297599255</v>
      </c>
      <c r="L9" s="37">
        <f>'R1'!L31</f>
        <v>5.5682568882982314E-2</v>
      </c>
      <c r="M9" s="37">
        <f>'R1'!M31</f>
        <v>6.4414098986005822E-2</v>
      </c>
      <c r="N9" s="37" t="e">
        <f>'R1'!#REF!</f>
        <v>#REF!</v>
      </c>
      <c r="O9"/>
      <c r="P9" s="37">
        <f>'R1'!O31</f>
        <v>1.017658855198742</v>
      </c>
      <c r="Q9" s="37">
        <f>'R1'!P31</f>
        <v>1.7468774531941829</v>
      </c>
      <c r="R9" s="37">
        <f>'R1'!Q31</f>
        <v>0.40746392116469088</v>
      </c>
      <c r="S9" s="37">
        <f>'R1'!R31</f>
        <v>0.45850604602975109</v>
      </c>
      <c r="T9" s="37">
        <f>'R1'!S31</f>
        <v>0.76518824763152304</v>
      </c>
      <c r="U9" s="37">
        <f>'R1'!T31</f>
        <v>1.4077332147301331</v>
      </c>
      <c r="V9" s="37">
        <f>'R1'!U31</f>
        <v>0.12840250828616842</v>
      </c>
      <c r="W9" s="37">
        <f>'R1'!V31</f>
        <v>0.51490654295096749</v>
      </c>
    </row>
    <row r="10" spans="1:23" s="1" customFormat="1">
      <c r="A10" s="154"/>
      <c r="B10" s="37">
        <f>'R1'!B32</f>
        <v>6.5361302435471946E-2</v>
      </c>
      <c r="C10" s="37">
        <f>'R1'!C32</f>
        <v>0.50761952319321701</v>
      </c>
      <c r="D10" s="37">
        <f>'R1'!D32</f>
        <v>0.33422284427043858</v>
      </c>
      <c r="E10" s="37">
        <f>'R1'!E32</f>
        <v>1.4446831798006732</v>
      </c>
      <c r="F10" s="37">
        <f>'R1'!F32</f>
        <v>1.13435778188049</v>
      </c>
      <c r="G10" s="37">
        <f>'R1'!G32</f>
        <v>1.4786609679456308</v>
      </c>
      <c r="H10" s="37">
        <f>'R1'!H32</f>
        <v>2.9596580867717912</v>
      </c>
      <c r="I10" s="37">
        <f>'R1'!I32</f>
        <v>0.7116134321871368</v>
      </c>
      <c r="J10" s="37">
        <f>'R1'!J32</f>
        <v>6.2898096854954844E-2</v>
      </c>
      <c r="K10" s="37">
        <f>'R1'!K32</f>
        <v>9.8619281179411905E-2</v>
      </c>
      <c r="L10" s="37">
        <f>'R1'!L32</f>
        <v>5.6734877799960698E-2</v>
      </c>
      <c r="M10" s="37">
        <f>'R1'!M32</f>
        <v>3.4729956985853945E-4</v>
      </c>
      <c r="N10" s="37" t="e">
        <f>'R1'!#REF!</f>
        <v>#REF!</v>
      </c>
      <c r="O10"/>
      <c r="P10" s="37">
        <f>'R1'!O32</f>
        <v>1.7049606903748531</v>
      </c>
      <c r="Q10" s="37">
        <f>'R1'!P32</f>
        <v>1.5512256322070745</v>
      </c>
      <c r="R10" s="37">
        <f>'R1'!Q32</f>
        <v>0.23458725091530847</v>
      </c>
      <c r="S10" s="37">
        <f>'R1'!R32</f>
        <v>0.95974047478369096</v>
      </c>
      <c r="T10" s="37">
        <f>'R1'!S32</f>
        <v>0.86897638492268658</v>
      </c>
      <c r="U10" s="37">
        <f>'R1'!T32</f>
        <v>1.1070437807151583</v>
      </c>
      <c r="V10" s="37">
        <f>'R1'!U32</f>
        <v>0.68619132943702577</v>
      </c>
      <c r="W10" s="37">
        <f>'R1'!V32</f>
        <v>0.42641764781630259</v>
      </c>
    </row>
    <row r="11" spans="1:23" s="1" customFormat="1">
      <c r="A11" s="154"/>
      <c r="B11" s="37">
        <f>'R1'!B33</f>
        <v>0.32750249098311812</v>
      </c>
      <c r="C11" s="37">
        <f>'R1'!C33</f>
        <v>0.39166561617378737</v>
      </c>
      <c r="D11" s="37">
        <f>'R1'!D33</f>
        <v>0.42602218535918307</v>
      </c>
      <c r="E11" s="37">
        <f>'R1'!E33</f>
        <v>0.81383163494745192</v>
      </c>
      <c r="F11" s="37">
        <f>'R1'!F33</f>
        <v>2.0620956485936661</v>
      </c>
      <c r="G11" s="37">
        <f>'R1'!G33</f>
        <v>1.7786196806554431</v>
      </c>
      <c r="H11" s="37">
        <f>'R1'!H33</f>
        <v>3.1770578344167619</v>
      </c>
      <c r="I11" s="37">
        <f>'R1'!I33</f>
        <v>0.13778060006583359</v>
      </c>
      <c r="J11" s="37">
        <f>'R1'!J33</f>
        <v>0.33240582409400643</v>
      </c>
      <c r="K11" s="37">
        <f>'R1'!K33</f>
        <v>0.14393077500552787</v>
      </c>
      <c r="L11" s="37">
        <f>'R1'!L33</f>
        <v>0.13335576022291579</v>
      </c>
      <c r="M11" s="37">
        <f>'R1'!M33</f>
        <v>0.22728593280040232</v>
      </c>
      <c r="N11" s="37" t="e">
        <f>'R1'!#REF!</f>
        <v>#REF!</v>
      </c>
      <c r="O11"/>
      <c r="P11" s="37">
        <f>'R1'!O33</f>
        <v>1.5086561619260099</v>
      </c>
      <c r="Q11" s="37">
        <f>'R1'!P33</f>
        <v>0.66705573771632953</v>
      </c>
      <c r="R11" s="37">
        <f>'R1'!Q33</f>
        <v>0.11243626031077934</v>
      </c>
      <c r="S11" s="37">
        <f>'R1'!R33</f>
        <v>1.3325733986449468</v>
      </c>
      <c r="T11" s="37">
        <f>'R1'!S33</f>
        <v>0.87202318923868638</v>
      </c>
      <c r="U11" s="37">
        <f>'R1'!T33</f>
        <v>0.63845400643769423</v>
      </c>
      <c r="V11" s="37">
        <f>'R1'!U33</f>
        <v>0.7688214100150883</v>
      </c>
      <c r="W11" s="37">
        <f>'R1'!V33</f>
        <v>0.62146091065499853</v>
      </c>
    </row>
    <row r="12" spans="1:23" s="1" customFormat="1">
      <c r="A12" s="154"/>
      <c r="B12" s="37">
        <f>'R1'!B34</f>
        <v>0.16702550656810009</v>
      </c>
      <c r="C12" s="37">
        <f>'R1'!C34</f>
        <v>0.48944279937124541</v>
      </c>
      <c r="D12" s="37">
        <f>'R1'!D34</f>
        <v>0.58335102271625627</v>
      </c>
      <c r="E12" s="37">
        <f>'R1'!E34</f>
        <v>0.69235530103713339</v>
      </c>
      <c r="F12" s="37">
        <f>'R1'!F34</f>
        <v>2.3463452329085186</v>
      </c>
      <c r="G12" s="37">
        <f>'R1'!G34</f>
        <v>2.4209955759518973</v>
      </c>
      <c r="H12" s="37">
        <f>'R1'!H34</f>
        <v>2.1139585493291322</v>
      </c>
      <c r="I12" s="37">
        <f>'R1'!I34</f>
        <v>0.81075096610134667</v>
      </c>
      <c r="J12" s="37">
        <f>'R1'!J34</f>
        <v>9.9340093973914259E-2</v>
      </c>
      <c r="K12" s="37">
        <f>'R1'!K34</f>
        <v>0.29333782080165294</v>
      </c>
      <c r="L12" s="37">
        <f>'R1'!L34</f>
        <v>3.6337267924003887E-2</v>
      </c>
      <c r="M12" s="37">
        <f>'R1'!M34</f>
        <v>0.14295798502220436</v>
      </c>
      <c r="N12" s="37" t="e">
        <f>'R1'!#REF!</f>
        <v>#REF!</v>
      </c>
      <c r="O12"/>
      <c r="P12" s="37">
        <f>'R1'!O34</f>
        <v>1.6255487435502867</v>
      </c>
      <c r="Q12" s="37">
        <f>'R1'!P34</f>
        <v>1.0237163416652959</v>
      </c>
      <c r="R12" s="37">
        <f>'R1'!Q34</f>
        <v>0.25428775316783669</v>
      </c>
      <c r="S12" s="37">
        <f>'R1'!R34</f>
        <v>0.47527852067001947</v>
      </c>
      <c r="T12" s="37">
        <f>'R1'!S34</f>
        <v>0.5698548786515909</v>
      </c>
      <c r="U12" s="37">
        <f>'R1'!T34</f>
        <v>0.23265948118301313</v>
      </c>
      <c r="V12" s="37">
        <f>'R1'!U34</f>
        <v>0.5608352491943005</v>
      </c>
      <c r="W12" s="37">
        <f>'R1'!V34</f>
        <v>0.45426194243824758</v>
      </c>
    </row>
    <row r="13" spans="1:23" s="1" customFormat="1">
      <c r="A13" s="154"/>
      <c r="B13" s="37">
        <f>'R1'!B35</f>
        <v>7.4564552900444878E-2</v>
      </c>
      <c r="C13" s="37">
        <f>'R1'!C35</f>
        <v>9.874558333428643E-2</v>
      </c>
      <c r="D13" s="37">
        <f>'R1'!D35</f>
        <v>0.54672678425565568</v>
      </c>
      <c r="E13" s="37">
        <f>'R1'!E35</f>
        <v>1.4684644833550857</v>
      </c>
      <c r="F13" s="37">
        <f>'R1'!F35</f>
        <v>1.7804145007510284</v>
      </c>
      <c r="G13" s="37">
        <f>'R1'!G35</f>
        <v>1.7044388003386735</v>
      </c>
      <c r="H13" s="37">
        <f>'R1'!H35</f>
        <v>2.7771976290783997</v>
      </c>
      <c r="I13" s="37">
        <f>'R1'!I35</f>
        <v>0.78337663590275308</v>
      </c>
      <c r="J13" s="37">
        <f>'R1'!J35</f>
        <v>4.1421337286306488E-2</v>
      </c>
      <c r="K13" s="37">
        <f>'R1'!K35</f>
        <v>7.4826940296668809E-2</v>
      </c>
      <c r="L13" s="37">
        <f>'R1'!L35</f>
        <v>0.1202150683001714</v>
      </c>
      <c r="M13" s="37">
        <f>'R1'!M35</f>
        <v>1.0646882840946854E-2</v>
      </c>
      <c r="N13" s="37" t="e">
        <f>'R1'!#REF!</f>
        <v>#REF!</v>
      </c>
      <c r="O13"/>
      <c r="P13" s="37">
        <f>'R1'!O35</f>
        <v>0.72319171503016733</v>
      </c>
      <c r="Q13" s="37">
        <f>'R1'!P35</f>
        <v>2.2049384942135122</v>
      </c>
      <c r="R13" s="37">
        <f>'R1'!Q35</f>
        <v>0.2247919982944192</v>
      </c>
      <c r="S13" s="37">
        <f>'R1'!R35</f>
        <v>0.97180314583141392</v>
      </c>
      <c r="T13" s="37">
        <f>'R1'!S35</f>
        <v>0.8783396766484538</v>
      </c>
      <c r="U13" s="37">
        <f>'R1'!T35</f>
        <v>0.78763930227372181</v>
      </c>
      <c r="V13" s="37">
        <f>'R1'!U35</f>
        <v>0.38831164802731311</v>
      </c>
      <c r="W13" s="37">
        <f>'R1'!V35</f>
        <v>0.48005555162603325</v>
      </c>
    </row>
    <row r="14" spans="1:23" s="1" customFormat="1">
      <c r="A14" s="154"/>
      <c r="B14" s="37" t="str">
        <f>'R1'!B36</f>
        <v/>
      </c>
      <c r="C14" s="37" t="str">
        <f>'R1'!C36</f>
        <v/>
      </c>
      <c r="D14" s="37" t="str">
        <f>'R1'!D36</f>
        <v/>
      </c>
      <c r="E14" s="37" t="str">
        <f>'R1'!E36</f>
        <v/>
      </c>
      <c r="F14" s="37" t="str">
        <f>'R1'!F36</f>
        <v/>
      </c>
      <c r="G14" s="37" t="str">
        <f>'R1'!G36</f>
        <v/>
      </c>
      <c r="H14" s="37" t="str">
        <f>'R1'!H36</f>
        <v/>
      </c>
      <c r="I14" s="37" t="str">
        <f>'R1'!I36</f>
        <v/>
      </c>
      <c r="J14" s="37" t="str">
        <f>'R1'!J36</f>
        <v/>
      </c>
      <c r="K14" s="37" t="str">
        <f>'R1'!K36</f>
        <v/>
      </c>
      <c r="L14" s="37" t="str">
        <f>'R1'!L36</f>
        <v/>
      </c>
      <c r="M14" s="37" t="str">
        <f>'R1'!M36</f>
        <v/>
      </c>
      <c r="N14" s="37" t="e">
        <f>'R1'!#REF!</f>
        <v>#REF!</v>
      </c>
      <c r="O14"/>
      <c r="P14" s="37">
        <f>'R1'!O36</f>
        <v>0.68527761424510836</v>
      </c>
      <c r="Q14" s="37" t="str">
        <f>'R1'!P36</f>
        <v/>
      </c>
      <c r="R14" s="37" t="str">
        <f>'R1'!Q36</f>
        <v/>
      </c>
      <c r="S14" s="37" t="str">
        <f>'R1'!R36</f>
        <v/>
      </c>
      <c r="T14" s="37" t="str">
        <f>'R1'!S36</f>
        <v/>
      </c>
      <c r="U14" s="37" t="str">
        <f>'R1'!T36</f>
        <v/>
      </c>
      <c r="V14" s="37" t="str">
        <f>'R1'!U36</f>
        <v/>
      </c>
      <c r="W14" s="37" t="str">
        <f>'R1'!V36</f>
        <v/>
      </c>
    </row>
    <row r="15" spans="1:23" s="1" customFormat="1">
      <c r="A15" s="154"/>
      <c r="B15" s="37" t="str">
        <f>'R1'!B37</f>
        <v/>
      </c>
      <c r="C15" s="37" t="str">
        <f>'R1'!C37</f>
        <v/>
      </c>
      <c r="D15" s="37" t="str">
        <f>'R1'!D37</f>
        <v/>
      </c>
      <c r="E15" s="37" t="str">
        <f>'R1'!E37</f>
        <v/>
      </c>
      <c r="F15" s="37" t="str">
        <f>'R1'!F37</f>
        <v/>
      </c>
      <c r="G15" s="37" t="str">
        <f>'R1'!G37</f>
        <v/>
      </c>
      <c r="H15" s="37" t="str">
        <f>'R1'!H37</f>
        <v/>
      </c>
      <c r="I15" s="37" t="str">
        <f>'R1'!I37</f>
        <v/>
      </c>
      <c r="J15" s="37" t="str">
        <f>'R1'!J37</f>
        <v/>
      </c>
      <c r="K15" s="37" t="str">
        <f>'R1'!K37</f>
        <v/>
      </c>
      <c r="L15" s="37" t="str">
        <f>'R1'!L37</f>
        <v/>
      </c>
      <c r="M15" s="37" t="str">
        <f>'R1'!M37</f>
        <v/>
      </c>
      <c r="N15" s="37" t="e">
        <f>'R1'!#REF!</f>
        <v>#REF!</v>
      </c>
      <c r="O15"/>
      <c r="P15" s="37">
        <f>'R1'!O37</f>
        <v>0.80849759518329734</v>
      </c>
      <c r="Q15" s="37" t="str">
        <f>'R1'!P37</f>
        <v/>
      </c>
      <c r="R15" s="37" t="str">
        <f>'R1'!Q37</f>
        <v/>
      </c>
      <c r="S15" s="37" t="str">
        <f>'R1'!R37</f>
        <v/>
      </c>
      <c r="T15" s="37" t="str">
        <f>'R1'!S37</f>
        <v/>
      </c>
      <c r="U15" s="37" t="str">
        <f>'R1'!T37</f>
        <v/>
      </c>
      <c r="V15" s="37" t="str">
        <f>'R1'!U37</f>
        <v/>
      </c>
      <c r="W15" s="37" t="str">
        <f>'R1'!V37</f>
        <v/>
      </c>
    </row>
    <row r="16" spans="1:23" s="1" customFormat="1">
      <c r="A16" s="154"/>
      <c r="B16" s="37" t="str">
        <f>'R1'!B38</f>
        <v/>
      </c>
      <c r="C16" s="37" t="str">
        <f>'R1'!C38</f>
        <v/>
      </c>
      <c r="D16" s="37" t="str">
        <f>'R1'!D38</f>
        <v/>
      </c>
      <c r="E16" s="37" t="str">
        <f>'R1'!E38</f>
        <v/>
      </c>
      <c r="F16" s="37" t="str">
        <f>'R1'!F38</f>
        <v/>
      </c>
      <c r="G16" s="37" t="str">
        <f>'R1'!G38</f>
        <v/>
      </c>
      <c r="H16" s="37" t="str">
        <f>'R1'!H38</f>
        <v/>
      </c>
      <c r="I16" s="37" t="str">
        <f>'R1'!I38</f>
        <v/>
      </c>
      <c r="J16" s="37" t="str">
        <f>'R1'!J38</f>
        <v/>
      </c>
      <c r="K16" s="37" t="str">
        <f>'R1'!K38</f>
        <v/>
      </c>
      <c r="L16" s="37" t="str">
        <f>'R1'!L38</f>
        <v/>
      </c>
      <c r="M16" s="37" t="str">
        <f>'R1'!M38</f>
        <v/>
      </c>
      <c r="N16" s="37" t="e">
        <f>'R1'!#REF!</f>
        <v>#REF!</v>
      </c>
      <c r="O16"/>
      <c r="P16" s="37">
        <f>'R1'!O38</f>
        <v>0.45476150696939477</v>
      </c>
      <c r="Q16" s="37" t="str">
        <f>'R1'!P38</f>
        <v/>
      </c>
      <c r="R16" s="37" t="str">
        <f>'R1'!Q38</f>
        <v/>
      </c>
      <c r="S16" s="37" t="str">
        <f>'R1'!R38</f>
        <v/>
      </c>
      <c r="T16" s="37" t="str">
        <f>'R1'!S38</f>
        <v/>
      </c>
      <c r="U16" s="37" t="str">
        <f>'R1'!T38</f>
        <v/>
      </c>
      <c r="V16" s="37" t="str">
        <f>'R1'!U38</f>
        <v/>
      </c>
      <c r="W16" s="37" t="str">
        <f>'R1'!V38</f>
        <v/>
      </c>
    </row>
    <row r="17" spans="1:23" s="1" customFormat="1">
      <c r="A17" s="154"/>
      <c r="B17" s="37" t="str">
        <f>'R1'!B39</f>
        <v/>
      </c>
      <c r="C17" s="37" t="str">
        <f>'R1'!C39</f>
        <v/>
      </c>
      <c r="D17" s="37" t="str">
        <f>'R1'!D39</f>
        <v/>
      </c>
      <c r="E17" s="37" t="str">
        <f>'R1'!E39</f>
        <v/>
      </c>
      <c r="F17" s="37" t="str">
        <f>'R1'!F39</f>
        <v/>
      </c>
      <c r="G17" s="37" t="str">
        <f>'R1'!G39</f>
        <v/>
      </c>
      <c r="H17" s="37" t="str">
        <f>'R1'!H39</f>
        <v/>
      </c>
      <c r="I17" s="37" t="str">
        <f>'R1'!I39</f>
        <v/>
      </c>
      <c r="J17" s="37" t="str">
        <f>'R1'!J39</f>
        <v/>
      </c>
      <c r="K17" s="37" t="str">
        <f>'R1'!K39</f>
        <v/>
      </c>
      <c r="L17" s="37" t="str">
        <f>'R1'!L39</f>
        <v/>
      </c>
      <c r="M17" s="37" t="str">
        <f>'R1'!M39</f>
        <v/>
      </c>
      <c r="N17" s="37" t="e">
        <f>'R1'!#REF!</f>
        <v>#REF!</v>
      </c>
      <c r="O17"/>
      <c r="P17" s="37">
        <f>'R1'!O39</f>
        <v>1.3565688012841368</v>
      </c>
      <c r="Q17" s="37" t="str">
        <f>'R1'!P39</f>
        <v/>
      </c>
      <c r="R17" s="37" t="str">
        <f>'R1'!Q39</f>
        <v/>
      </c>
      <c r="S17" s="37" t="str">
        <f>'R1'!R39</f>
        <v/>
      </c>
      <c r="T17" s="37" t="str">
        <f>'R1'!S39</f>
        <v/>
      </c>
      <c r="U17" s="37" t="str">
        <f>'R1'!T39</f>
        <v/>
      </c>
      <c r="V17" s="37" t="str">
        <f>'R1'!U39</f>
        <v/>
      </c>
      <c r="W17" s="37" t="str">
        <f>'R1'!V39</f>
        <v/>
      </c>
    </row>
    <row r="18" spans="1:23" s="1" customFormat="1">
      <c r="A18" s="154"/>
      <c r="B18" s="37" t="str">
        <f>'R1'!B40</f>
        <v/>
      </c>
      <c r="C18" s="37" t="str">
        <f>'R1'!C40</f>
        <v/>
      </c>
      <c r="D18" s="37" t="str">
        <f>'R1'!D40</f>
        <v/>
      </c>
      <c r="E18" s="37" t="str">
        <f>'R1'!E40</f>
        <v/>
      </c>
      <c r="F18" s="37" t="str">
        <f>'R1'!F40</f>
        <v/>
      </c>
      <c r="G18" s="37" t="str">
        <f>'R1'!G40</f>
        <v/>
      </c>
      <c r="H18" s="37" t="str">
        <f>'R1'!H40</f>
        <v/>
      </c>
      <c r="I18" s="37" t="str">
        <f>'R1'!I40</f>
        <v/>
      </c>
      <c r="J18" s="37" t="str">
        <f>'R1'!J40</f>
        <v/>
      </c>
      <c r="K18" s="37" t="str">
        <f>'R1'!K40</f>
        <v/>
      </c>
      <c r="L18" s="37" t="str">
        <f>'R1'!L40</f>
        <v/>
      </c>
      <c r="M18" s="37" t="str">
        <f>'R1'!M40</f>
        <v/>
      </c>
      <c r="N18" s="37" t="e">
        <f>'R1'!#REF!</f>
        <v>#REF!</v>
      </c>
      <c r="O18"/>
      <c r="P18" s="37">
        <f>'R1'!O40</f>
        <v>0.14051647782579182</v>
      </c>
      <c r="Q18" s="37" t="str">
        <f>'R1'!P40</f>
        <v/>
      </c>
      <c r="R18" s="37" t="str">
        <f>'R1'!Q40</f>
        <v/>
      </c>
      <c r="S18" s="37" t="str">
        <f>'R1'!R40</f>
        <v/>
      </c>
      <c r="T18" s="37" t="str">
        <f>'R1'!S40</f>
        <v/>
      </c>
      <c r="U18" s="37" t="str">
        <f>'R1'!T40</f>
        <v/>
      </c>
      <c r="V18" s="37" t="str">
        <f>'R1'!U40</f>
        <v/>
      </c>
      <c r="W18" s="37" t="str">
        <f>'R1'!V40</f>
        <v/>
      </c>
    </row>
    <row r="19" spans="1:23" s="1" customFormat="1">
      <c r="A19" s="154"/>
      <c r="B19" s="37" t="str">
        <f>'R1'!B41</f>
        <v/>
      </c>
      <c r="C19" s="37" t="str">
        <f>'R1'!C41</f>
        <v/>
      </c>
      <c r="D19" s="37" t="str">
        <f>'R1'!D41</f>
        <v/>
      </c>
      <c r="E19" s="37" t="str">
        <f>'R1'!E41</f>
        <v/>
      </c>
      <c r="F19" s="37" t="str">
        <f>'R1'!F41</f>
        <v/>
      </c>
      <c r="G19" s="37" t="str">
        <f>'R1'!G41</f>
        <v/>
      </c>
      <c r="H19" s="37" t="str">
        <f>'R1'!H41</f>
        <v/>
      </c>
      <c r="I19" s="37" t="str">
        <f>'R1'!I41</f>
        <v/>
      </c>
      <c r="J19" s="37" t="str">
        <f>'R1'!J41</f>
        <v/>
      </c>
      <c r="K19" s="37" t="str">
        <f>'R1'!K41</f>
        <v/>
      </c>
      <c r="L19" s="37" t="str">
        <f>'R1'!L41</f>
        <v/>
      </c>
      <c r="M19" s="37" t="str">
        <f>'R1'!M41</f>
        <v/>
      </c>
      <c r="N19" s="37" t="e">
        <f>'R1'!#REF!</f>
        <v>#REF!</v>
      </c>
      <c r="O19"/>
      <c r="P19" s="37">
        <f>'R1'!O41</f>
        <v>0.61635313612162224</v>
      </c>
      <c r="Q19" s="37" t="str">
        <f>'R1'!P41</f>
        <v/>
      </c>
      <c r="R19" s="37" t="str">
        <f>'R1'!Q41</f>
        <v/>
      </c>
      <c r="S19" s="37" t="str">
        <f>'R1'!R41</f>
        <v/>
      </c>
      <c r="T19" s="37" t="str">
        <f>'R1'!S41</f>
        <v/>
      </c>
      <c r="U19" s="37" t="str">
        <f>'R1'!T41</f>
        <v/>
      </c>
      <c r="V19" s="37" t="str">
        <f>'R1'!U41</f>
        <v/>
      </c>
      <c r="W19" s="37" t="str">
        <f>'R1'!V41</f>
        <v/>
      </c>
    </row>
    <row r="20" spans="1:23" s="1" customFormat="1">
      <c r="A20" s="154"/>
      <c r="B20" s="37" t="str">
        <f>'R1'!B42</f>
        <v/>
      </c>
      <c r="C20" s="37" t="str">
        <f>'R1'!C42</f>
        <v/>
      </c>
      <c r="D20" s="37" t="str">
        <f>'R1'!D42</f>
        <v/>
      </c>
      <c r="E20" s="37" t="str">
        <f>'R1'!E42</f>
        <v/>
      </c>
      <c r="F20" s="37" t="str">
        <f>'R1'!F42</f>
        <v/>
      </c>
      <c r="G20" s="37" t="str">
        <f>'R1'!G42</f>
        <v/>
      </c>
      <c r="H20" s="37" t="str">
        <f>'R1'!H42</f>
        <v/>
      </c>
      <c r="I20" s="37" t="str">
        <f>'R1'!I42</f>
        <v/>
      </c>
      <c r="J20" s="37" t="str">
        <f>'R1'!J42</f>
        <v/>
      </c>
      <c r="K20" s="37" t="str">
        <f>'R1'!K42</f>
        <v/>
      </c>
      <c r="L20" s="37" t="str">
        <f>'R1'!L42</f>
        <v/>
      </c>
      <c r="M20" s="37" t="str">
        <f>'R1'!M42</f>
        <v/>
      </c>
      <c r="N20" s="37" t="e">
        <f>'R1'!#REF!</f>
        <v>#REF!</v>
      </c>
      <c r="O20"/>
      <c r="P20" s="37">
        <f>'R1'!O42</f>
        <v>0.76003858142016445</v>
      </c>
      <c r="Q20" s="37" t="str">
        <f>'R1'!P42</f>
        <v/>
      </c>
      <c r="R20" s="37" t="str">
        <f>'R1'!Q42</f>
        <v/>
      </c>
      <c r="S20" s="37" t="str">
        <f>'R1'!R42</f>
        <v/>
      </c>
      <c r="T20" s="37" t="str">
        <f>'R1'!S42</f>
        <v/>
      </c>
      <c r="U20" s="37" t="str">
        <f>'R1'!T42</f>
        <v/>
      </c>
      <c r="V20" s="37" t="str">
        <f>'R1'!U42</f>
        <v/>
      </c>
      <c r="W20" s="37" t="str">
        <f>'R1'!V42</f>
        <v/>
      </c>
    </row>
    <row r="21" spans="1:23" s="1" customFormat="1">
      <c r="A21" s="155"/>
      <c r="B21" s="37" t="str">
        <f>'R1'!B43</f>
        <v/>
      </c>
      <c r="C21" s="37" t="str">
        <f>'R1'!C43</f>
        <v/>
      </c>
      <c r="D21" s="37" t="str">
        <f>'R1'!D43</f>
        <v/>
      </c>
      <c r="E21" s="37" t="str">
        <f>'R1'!E43</f>
        <v/>
      </c>
      <c r="F21" s="37" t="str">
        <f>'R1'!F43</f>
        <v/>
      </c>
      <c r="G21" s="37" t="str">
        <f>'R1'!G43</f>
        <v/>
      </c>
      <c r="H21" s="37" t="str">
        <f>'R1'!H43</f>
        <v/>
      </c>
      <c r="I21" s="37" t="str">
        <f>'R1'!I43</f>
        <v/>
      </c>
      <c r="J21" s="37" t="str">
        <f>'R1'!J43</f>
        <v/>
      </c>
      <c r="K21" s="37" t="str">
        <f>'R1'!K43</f>
        <v/>
      </c>
      <c r="L21" s="37" t="str">
        <f>'R1'!L43</f>
        <v/>
      </c>
      <c r="M21" s="37" t="str">
        <f>'R1'!M43</f>
        <v/>
      </c>
      <c r="N21" s="37" t="e">
        <f>'R1'!#REF!</f>
        <v>#REF!</v>
      </c>
      <c r="O21"/>
      <c r="P21" s="37">
        <f>'R1'!O43</f>
        <v>0.58630777246701293</v>
      </c>
      <c r="Q21" s="37" t="str">
        <f>'R1'!P43</f>
        <v/>
      </c>
      <c r="R21" s="37" t="str">
        <f>'R1'!Q43</f>
        <v/>
      </c>
      <c r="S21" s="37" t="str">
        <f>'R1'!R43</f>
        <v/>
      </c>
      <c r="T21" s="37" t="str">
        <f>'R1'!S43</f>
        <v/>
      </c>
      <c r="U21" s="37" t="str">
        <f>'R1'!T43</f>
        <v/>
      </c>
      <c r="V21" s="37" t="str">
        <f>'R1'!U43</f>
        <v/>
      </c>
      <c r="W21" s="37" t="str">
        <f>'R1'!V43</f>
        <v/>
      </c>
    </row>
    <row r="22" spans="1:23">
      <c r="A22" s="24" t="s">
        <v>5</v>
      </c>
      <c r="B22" s="38">
        <f>'R2'!B28</f>
        <v>7.7421740777069259E-2</v>
      </c>
      <c r="C22" s="38">
        <f>'R2'!C28</f>
        <v>0.45323718662115198</v>
      </c>
      <c r="D22" s="38">
        <f>'R2'!D28</f>
        <v>0.95011981494767039</v>
      </c>
      <c r="E22" s="38">
        <f>'R2'!E28</f>
        <v>1.387497430625116</v>
      </c>
      <c r="F22" s="38">
        <f>'R2'!F28</f>
        <v>0.78921443262483049</v>
      </c>
      <c r="G22" s="38">
        <f>'R2'!G28</f>
        <v>2.5673643209810213</v>
      </c>
      <c r="H22" s="38">
        <f>'R2'!H28</f>
        <v>1.1732767944023197</v>
      </c>
      <c r="I22" s="38">
        <f>'R2'!I28</f>
        <v>0.87014167652881513</v>
      </c>
      <c r="J22" s="38">
        <f>'R2'!J28</f>
        <v>0.85628501075387142</v>
      </c>
      <c r="K22" s="38">
        <f>'R2'!K28</f>
        <v>0.78592807106625429</v>
      </c>
      <c r="L22" s="38">
        <f>'R2'!L28</f>
        <v>0.1300320232617708</v>
      </c>
      <c r="M22" s="38">
        <f>'R2'!M28</f>
        <v>0.50132733137393015</v>
      </c>
      <c r="N22" s="38" t="e">
        <f>'R2'!#REF!</f>
        <v>#REF!</v>
      </c>
      <c r="P22" s="38">
        <f>'R2'!O28</f>
        <v>1.3174527448133868</v>
      </c>
      <c r="Q22" s="38">
        <f>'R2'!P28</f>
        <v>2.2731236381813074</v>
      </c>
      <c r="R22" s="38">
        <f>'R2'!Q28</f>
        <v>0.12794027279791656</v>
      </c>
      <c r="S22" s="38">
        <f>'R2'!R28</f>
        <v>1.5931326853906667</v>
      </c>
      <c r="T22" s="38">
        <f>'R2'!S28</f>
        <v>1.0261982087672228</v>
      </c>
      <c r="U22" s="38">
        <f>'R2'!T28</f>
        <v>0.84075384737606973</v>
      </c>
      <c r="V22" s="38">
        <f>'R2'!U28</f>
        <v>1.1080160391283518</v>
      </c>
      <c r="W22" s="38">
        <f>'R2'!V28</f>
        <v>0.90375689588025754</v>
      </c>
    </row>
    <row r="23" spans="1:23">
      <c r="A23" s="145" t="s">
        <v>17</v>
      </c>
      <c r="B23" s="38">
        <f>'R2'!B29</f>
        <v>0.41212772185509777</v>
      </c>
      <c r="C23" s="38">
        <f>'R2'!C29</f>
        <v>0.41634627324227635</v>
      </c>
      <c r="D23" s="38">
        <f>'R2'!D29</f>
        <v>1.0748450462523673</v>
      </c>
      <c r="E23" s="38">
        <f>'R2'!E29</f>
        <v>1.4317583888774377</v>
      </c>
      <c r="F23" s="38">
        <f>'R2'!F29</f>
        <v>2.180700757930945</v>
      </c>
      <c r="G23" s="38">
        <f>'R2'!G29</f>
        <v>2.354939639822812</v>
      </c>
      <c r="H23" s="38">
        <f>'R2'!H29</f>
        <v>1.6978502000700229</v>
      </c>
      <c r="I23" s="38">
        <f>'R2'!I29</f>
        <v>0.52653120241906082</v>
      </c>
      <c r="J23" s="38">
        <f>'R2'!J29</f>
        <v>0.36407780893405922</v>
      </c>
      <c r="K23" s="38">
        <f>'R2'!K29</f>
        <v>0.32756772641699128</v>
      </c>
      <c r="L23" s="38">
        <f>'R2'!L29</f>
        <v>1.2924780732945302E-2</v>
      </c>
      <c r="M23" s="38">
        <f>'R2'!M29</f>
        <v>0.14863955022793229</v>
      </c>
      <c r="N23" s="38" t="e">
        <f>'R2'!#REF!</f>
        <v>#REF!</v>
      </c>
      <c r="P23" s="38">
        <f>'R2'!O29</f>
        <v>0.62887214355304277</v>
      </c>
      <c r="Q23" s="38">
        <f>'R2'!P29</f>
        <v>2.078046343774659</v>
      </c>
      <c r="R23" s="38">
        <f>'R2'!Q29</f>
        <v>2.9214405575019409E-2</v>
      </c>
      <c r="S23" s="38">
        <f>'R2'!R29</f>
        <v>2.4104671872885395</v>
      </c>
      <c r="T23" s="38">
        <f>'R2'!S29</f>
        <v>1.079644216120333</v>
      </c>
      <c r="U23" s="38">
        <f>'R2'!T29</f>
        <v>1.3210868678872272</v>
      </c>
      <c r="V23" s="38">
        <f>'R2'!U29</f>
        <v>0.98562212055832221</v>
      </c>
      <c r="W23" s="38">
        <f>'R2'!V29</f>
        <v>0.63999959768168257</v>
      </c>
    </row>
    <row r="24" spans="1:23">
      <c r="A24" s="154"/>
      <c r="B24" s="38">
        <f>'R2'!B30</f>
        <v>0.80059516442146728</v>
      </c>
      <c r="C24" s="38">
        <f>'R2'!C30</f>
        <v>0.49267428729057672</v>
      </c>
      <c r="D24" s="38">
        <f>'R2'!D30</f>
        <v>0.30605177328132238</v>
      </c>
      <c r="E24" s="38">
        <f>'R2'!E30</f>
        <v>1.5129757896285139</v>
      </c>
      <c r="F24" s="38">
        <f>'R2'!F30</f>
        <v>2.1464745938316088</v>
      </c>
      <c r="G24" s="38">
        <f>'R2'!G30</f>
        <v>2.1241529373080339</v>
      </c>
      <c r="H24" s="38">
        <f>'R2'!H30</f>
        <v>2.897042085058112</v>
      </c>
      <c r="I24" s="38">
        <f>'R2'!I30</f>
        <v>0.70243650506877742</v>
      </c>
      <c r="J24" s="38">
        <f>'R2'!J30</f>
        <v>2.4916304884173901E-2</v>
      </c>
      <c r="K24" s="38">
        <f>'R2'!K30</f>
        <v>0.64857522596759765</v>
      </c>
      <c r="L24" s="38">
        <f>'R2'!L30</f>
        <v>7.1244935458626826E-2</v>
      </c>
      <c r="M24" s="38">
        <f>'R2'!M30</f>
        <v>0.11718633465258628</v>
      </c>
      <c r="N24" s="38" t="e">
        <f>'R2'!#REF!</f>
        <v>#REF!</v>
      </c>
      <c r="P24" s="38">
        <f>'R2'!O30</f>
        <v>1.0916474745558189</v>
      </c>
      <c r="Q24" s="38">
        <f>'R2'!P30</f>
        <v>1.2855319865873702</v>
      </c>
      <c r="R24" s="38">
        <f>'R2'!Q30</f>
        <v>1.4934543600299952E-4</v>
      </c>
      <c r="S24" s="38">
        <f>'R2'!R30</f>
        <v>0.87410070212261293</v>
      </c>
      <c r="T24" s="38">
        <f>'R2'!S30</f>
        <v>2.1263538013761516</v>
      </c>
      <c r="U24" s="38">
        <f>'R2'!T30</f>
        <v>1.6692154986159784</v>
      </c>
      <c r="V24" s="38">
        <f>'R2'!U30</f>
        <v>1.6011941386754855</v>
      </c>
      <c r="W24" s="38">
        <f>'R2'!V30</f>
        <v>1.2027353340472133</v>
      </c>
    </row>
    <row r="25" spans="1:23">
      <c r="A25" s="154"/>
      <c r="B25" s="38">
        <f>'R2'!B31</f>
        <v>5.7655719928770228E-2</v>
      </c>
      <c r="C25" s="38">
        <f>'R2'!C31</f>
        <v>0.54378486728986453</v>
      </c>
      <c r="D25" s="38">
        <f>'R2'!D31</f>
        <v>0.55121678384394024</v>
      </c>
      <c r="E25" s="38">
        <f>'R2'!E31</f>
        <v>0.96196565110214505</v>
      </c>
      <c r="F25" s="38">
        <f>'R2'!F31</f>
        <v>2.342904531187199</v>
      </c>
      <c r="G25" s="38">
        <f>'R2'!G31</f>
        <v>1.8405456495517336</v>
      </c>
      <c r="H25" s="38">
        <f>'R2'!H31</f>
        <v>2.2090657232403719</v>
      </c>
      <c r="I25" s="38">
        <f>'R2'!I31</f>
        <v>0.98423076971066159</v>
      </c>
      <c r="J25" s="38">
        <f>'R2'!J31</f>
        <v>0.23473475579082881</v>
      </c>
      <c r="K25" s="38">
        <f>'R2'!K31</f>
        <v>0.75559311754130631</v>
      </c>
      <c r="L25" s="38">
        <f>'R2'!L31</f>
        <v>0.38730026226601544</v>
      </c>
      <c r="M25" s="38">
        <f>'R2'!M31</f>
        <v>0.22964939130162462</v>
      </c>
      <c r="N25" s="38" t="e">
        <f>'R2'!#REF!</f>
        <v>#REF!</v>
      </c>
      <c r="P25" s="38">
        <f>'R2'!O31</f>
        <v>1.174573051829505</v>
      </c>
      <c r="Q25" s="38">
        <f>'R2'!P31</f>
        <v>1.7004719744383856</v>
      </c>
      <c r="R25" s="38">
        <f>'R2'!Q31</f>
        <v>2.0143651450763758E-2</v>
      </c>
      <c r="S25" s="38">
        <f>'R2'!R31</f>
        <v>1.2684223333869979</v>
      </c>
      <c r="T25" s="38">
        <f>'R2'!S31</f>
        <v>0.68329788744499309</v>
      </c>
      <c r="U25" s="38">
        <f>'R2'!T31</f>
        <v>0.95267971763540338</v>
      </c>
      <c r="V25" s="38">
        <f>'R2'!U31</f>
        <v>1.9337829196082186</v>
      </c>
      <c r="W25" s="38">
        <f>'R2'!V31</f>
        <v>0.53275662120085521</v>
      </c>
    </row>
    <row r="26" spans="1:23">
      <c r="A26" s="154"/>
      <c r="B26" s="38">
        <f>'R2'!B32</f>
        <v>4.995300047696246E-2</v>
      </c>
      <c r="C26" s="38">
        <f>'R2'!C32</f>
        <v>0.20872685768411461</v>
      </c>
      <c r="D26" s="38">
        <f>'R2'!D32</f>
        <v>0.78641313894665998</v>
      </c>
      <c r="E26" s="38">
        <f>'R2'!E32</f>
        <v>0.82847506185048847</v>
      </c>
      <c r="F26" s="38">
        <f>'R2'!F32</f>
        <v>1.5308676776482772</v>
      </c>
      <c r="G26" s="38">
        <f>'R2'!G32</f>
        <v>3.1607554939856981</v>
      </c>
      <c r="H26" s="38">
        <f>'R2'!H32</f>
        <v>2.9325337231376207</v>
      </c>
      <c r="I26" s="38">
        <f>'R2'!I32</f>
        <v>0.78706675381912616</v>
      </c>
      <c r="J26" s="38">
        <f>'R2'!J32</f>
        <v>0.49490319172627045</v>
      </c>
      <c r="K26" s="38">
        <f>'R2'!K32</f>
        <v>0.56797684680942384</v>
      </c>
      <c r="L26" s="38">
        <f>'R2'!L32</f>
        <v>0.26934144596536874</v>
      </c>
      <c r="M26" s="38">
        <f>'R2'!M32</f>
        <v>0.35423320162202476</v>
      </c>
      <c r="N26" s="38" t="e">
        <f>'R2'!#REF!</f>
        <v>#REF!</v>
      </c>
      <c r="P26" s="38">
        <f>'R2'!O32</f>
        <v>1.3834253292012018</v>
      </c>
      <c r="Q26" s="38">
        <f>'R2'!P32</f>
        <v>1.1548780462599584</v>
      </c>
      <c r="R26" s="38">
        <f>'R2'!Q32</f>
        <v>0.13329247795899957</v>
      </c>
      <c r="S26" s="38">
        <f>'R2'!R32</f>
        <v>1.1628956102737888</v>
      </c>
      <c r="T26" s="38">
        <f>'R2'!S32</f>
        <v>0.91800521244145394</v>
      </c>
      <c r="U26" s="38">
        <f>'R2'!T32</f>
        <v>1.6193399139364542</v>
      </c>
      <c r="V26" s="38">
        <f>'R2'!U32</f>
        <v>1.6202713417985464</v>
      </c>
      <c r="W26" s="38">
        <f>'R2'!V32</f>
        <v>0.64568889682688668</v>
      </c>
    </row>
    <row r="27" spans="1:23">
      <c r="A27" s="154"/>
      <c r="B27" s="38">
        <f>'R2'!B33</f>
        <v>0.21952651382005806</v>
      </c>
      <c r="C27" s="38">
        <f>'R2'!C33</f>
        <v>0.23961743718831463</v>
      </c>
      <c r="D27" s="38">
        <f>'R2'!D33</f>
        <v>0.9835936133148161</v>
      </c>
      <c r="E27" s="38">
        <f>'R2'!E33</f>
        <v>0.86138287149384329</v>
      </c>
      <c r="F27" s="38">
        <f>'R2'!F33</f>
        <v>1.4603466103743588</v>
      </c>
      <c r="G27" s="38">
        <f>'R2'!G33</f>
        <v>1.6056431087353547</v>
      </c>
      <c r="H27" s="38">
        <f>'R2'!H33</f>
        <v>0.67745406149151643</v>
      </c>
      <c r="I27" s="38">
        <f>'R2'!I33</f>
        <v>0.58007001729311569</v>
      </c>
      <c r="J27" s="38">
        <f>'R2'!J33</f>
        <v>0.253942102793835</v>
      </c>
      <c r="K27" s="38">
        <f>'R2'!K33</f>
        <v>0.13654119837197093</v>
      </c>
      <c r="L27" s="38">
        <f>'R2'!L33</f>
        <v>0.25572297092151974</v>
      </c>
      <c r="M27" s="38">
        <f>'R2'!M33</f>
        <v>0.57598709594475617</v>
      </c>
      <c r="N27" s="38" t="e">
        <f>'R2'!#REF!</f>
        <v>#REF!</v>
      </c>
      <c r="P27" s="38">
        <f>'R2'!O33</f>
        <v>1.1557195620738447</v>
      </c>
      <c r="Q27" s="38">
        <f>'R2'!P33</f>
        <v>1.0810104220731565</v>
      </c>
      <c r="R27" s="38">
        <f>'R2'!Q33</f>
        <v>7.8598674248754122E-2</v>
      </c>
      <c r="S27" s="38">
        <f>'R2'!R33</f>
        <v>1.7664756470598175</v>
      </c>
      <c r="T27" s="38">
        <f>'R2'!S33</f>
        <v>0.8004121400657126</v>
      </c>
      <c r="U27" s="38">
        <f>'R2'!T33</f>
        <v>1.0725855107629627</v>
      </c>
      <c r="V27" s="38">
        <f>'R2'!U33</f>
        <v>1.8366896418301175</v>
      </c>
      <c r="W27" s="38">
        <f>'R2'!V33</f>
        <v>0.78143399258898039</v>
      </c>
    </row>
    <row r="28" spans="1:23">
      <c r="A28" s="154"/>
      <c r="B28" s="38">
        <f>'R2'!B34</f>
        <v>0.22215849853965786</v>
      </c>
      <c r="C28" s="38">
        <f>'R2'!C34</f>
        <v>0.10672621079359659</v>
      </c>
      <c r="D28" s="38">
        <f>'R2'!D34</f>
        <v>1.2136108820475746</v>
      </c>
      <c r="E28" s="38">
        <f>'R2'!E34</f>
        <v>1.5335356271871594</v>
      </c>
      <c r="F28" s="38">
        <f>'R2'!F34</f>
        <v>1.2005064296115198</v>
      </c>
      <c r="G28" s="38">
        <f>'R2'!G34</f>
        <v>1.8547551058209089</v>
      </c>
      <c r="H28" s="38">
        <f>'R2'!H34</f>
        <v>3.1570631566704774</v>
      </c>
      <c r="I28" s="38">
        <f>'R2'!I34</f>
        <v>0.54182036523321686</v>
      </c>
      <c r="J28" s="38">
        <f>'R2'!J34</f>
        <v>0.4830636036971796</v>
      </c>
      <c r="K28" s="38">
        <f>'R2'!K34</f>
        <v>0.44222814208820027</v>
      </c>
      <c r="L28" s="38">
        <f>'R2'!L34</f>
        <v>0.29108172204164623</v>
      </c>
      <c r="M28" s="38">
        <f>'R2'!M34</f>
        <v>0.39510249454405788</v>
      </c>
      <c r="N28" s="38" t="e">
        <f>'R2'!#REF!</f>
        <v>#REF!</v>
      </c>
      <c r="P28" s="38">
        <f>'R2'!O34</f>
        <v>1.4813712475042382</v>
      </c>
      <c r="Q28" s="38">
        <f>'R2'!P34</f>
        <v>1.9362632729922846</v>
      </c>
      <c r="R28" s="38">
        <f>'R2'!Q34</f>
        <v>0.27070033703969398</v>
      </c>
      <c r="S28" s="38">
        <f>'R2'!R34</f>
        <v>1.5353478883350651</v>
      </c>
      <c r="T28" s="38">
        <f>'R2'!S34</f>
        <v>0.72482871969119855</v>
      </c>
      <c r="U28" s="38">
        <f>'R2'!T34</f>
        <v>1.3517820791782069</v>
      </c>
      <c r="V28" s="38">
        <f>'R2'!U34</f>
        <v>0.95864530583721308</v>
      </c>
      <c r="W28" s="38">
        <f>'R2'!V34</f>
        <v>1.0861838698909418</v>
      </c>
    </row>
    <row r="29" spans="1:23">
      <c r="A29" s="154"/>
      <c r="B29" s="38">
        <f>'R2'!B35</f>
        <v>0.21478814887960779</v>
      </c>
      <c r="C29" s="38">
        <f>'R2'!C35</f>
        <v>0.29157882899291332</v>
      </c>
      <c r="D29" s="38">
        <f>'R2'!D35</f>
        <v>0.64800938963710875</v>
      </c>
      <c r="E29" s="38">
        <f>'R2'!E35</f>
        <v>1.5576480574030518</v>
      </c>
      <c r="F29" s="38">
        <f>'R2'!F35</f>
        <v>1.688177644795996</v>
      </c>
      <c r="G29" s="38">
        <f>'R2'!G35</f>
        <v>0.99630763411103473</v>
      </c>
      <c r="H29" s="38">
        <f>'R2'!H35</f>
        <v>2.5644490371129218</v>
      </c>
      <c r="I29" s="38">
        <f>'R2'!I35</f>
        <v>0.67046865731242922</v>
      </c>
      <c r="J29" s="38">
        <f>'R2'!J35</f>
        <v>0.29552093893018433</v>
      </c>
      <c r="K29" s="38">
        <f>'R2'!K35</f>
        <v>6.3357058144835762E-2</v>
      </c>
      <c r="L29" s="38">
        <f>'R2'!L35</f>
        <v>2.1298792680256345E-2</v>
      </c>
      <c r="M29" s="38">
        <f>'R2'!M35</f>
        <v>0.21771730053819313</v>
      </c>
      <c r="N29" s="38" t="e">
        <f>'R2'!#REF!</f>
        <v>#REF!</v>
      </c>
      <c r="P29" s="38">
        <f>'R2'!O35</f>
        <v>1.3458981737862927</v>
      </c>
      <c r="Q29" s="38">
        <f>'R2'!P35</f>
        <v>2.0972303746024523</v>
      </c>
      <c r="R29" s="38">
        <f>'R2'!Q35</f>
        <v>6.6413001030721621E-3</v>
      </c>
      <c r="S29" s="38">
        <f>'R2'!R35</f>
        <v>1.3388140187474811</v>
      </c>
      <c r="T29" s="38">
        <f>'R2'!S35</f>
        <v>0.73239748543050975</v>
      </c>
      <c r="U29" s="38">
        <f>'R2'!T35</f>
        <v>1.3806155014981167</v>
      </c>
      <c r="V29" s="38">
        <f>'R2'!U35</f>
        <v>1.3553938004366468</v>
      </c>
      <c r="W29" s="38">
        <f>'R2'!V35</f>
        <v>1.7113261873764609</v>
      </c>
    </row>
    <row r="30" spans="1:23">
      <c r="A30" s="154"/>
      <c r="B30" s="38" t="str">
        <f>'R2'!B36</f>
        <v/>
      </c>
      <c r="C30" s="38" t="str">
        <f>'R2'!C36</f>
        <v/>
      </c>
      <c r="D30" s="38" t="str">
        <f>'R2'!D36</f>
        <v/>
      </c>
      <c r="E30" s="38" t="str">
        <f>'R2'!E36</f>
        <v/>
      </c>
      <c r="F30" s="38" t="str">
        <f>'R2'!F36</f>
        <v/>
      </c>
      <c r="G30" s="38" t="str">
        <f>'R2'!G36</f>
        <v/>
      </c>
      <c r="H30" s="38" t="str">
        <f>'R2'!H36</f>
        <v/>
      </c>
      <c r="I30" s="38" t="str">
        <f>'R2'!I36</f>
        <v/>
      </c>
      <c r="J30" s="38" t="str">
        <f>'R2'!J36</f>
        <v/>
      </c>
      <c r="K30" s="38" t="str">
        <f>'R2'!K36</f>
        <v/>
      </c>
      <c r="L30" s="38" t="str">
        <f>'R2'!L36</f>
        <v/>
      </c>
      <c r="M30" s="38" t="str">
        <f>'R2'!M36</f>
        <v/>
      </c>
      <c r="N30" s="38" t="e">
        <f>'R2'!#REF!</f>
        <v>#REF!</v>
      </c>
      <c r="P30" s="38">
        <f>'R2'!O36</f>
        <v>0.57068152313409859</v>
      </c>
      <c r="Q30" s="38" t="str">
        <f>'R2'!P36</f>
        <v/>
      </c>
      <c r="R30" s="38" t="str">
        <f>'R2'!Q36</f>
        <v/>
      </c>
      <c r="S30" s="38" t="str">
        <f>'R2'!R36</f>
        <v/>
      </c>
      <c r="T30" s="38" t="str">
        <f>'R2'!S36</f>
        <v/>
      </c>
      <c r="U30" s="38" t="str">
        <f>'R2'!T36</f>
        <v/>
      </c>
      <c r="V30" s="38" t="str">
        <f>'R2'!U36</f>
        <v/>
      </c>
      <c r="W30" s="38" t="str">
        <f>'R2'!V36</f>
        <v/>
      </c>
    </row>
    <row r="31" spans="1:23" s="1" customFormat="1">
      <c r="A31" s="154"/>
      <c r="B31" s="38" t="str">
        <f>'R2'!B37</f>
        <v/>
      </c>
      <c r="C31" s="38" t="str">
        <f>'R2'!C37</f>
        <v/>
      </c>
      <c r="D31" s="38" t="str">
        <f>'R2'!D37</f>
        <v/>
      </c>
      <c r="E31" s="38" t="str">
        <f>'R2'!E37</f>
        <v/>
      </c>
      <c r="F31" s="38" t="str">
        <f>'R2'!F37</f>
        <v/>
      </c>
      <c r="G31" s="38" t="str">
        <f>'R2'!G37</f>
        <v/>
      </c>
      <c r="H31" s="38" t="str">
        <f>'R2'!H37</f>
        <v/>
      </c>
      <c r="I31" s="38" t="str">
        <f>'R2'!I37</f>
        <v/>
      </c>
      <c r="J31" s="38" t="str">
        <f>'R2'!J37</f>
        <v/>
      </c>
      <c r="K31" s="38" t="str">
        <f>'R2'!K37</f>
        <v/>
      </c>
      <c r="L31" s="38" t="str">
        <f>'R2'!L37</f>
        <v/>
      </c>
      <c r="M31" s="38" t="str">
        <f>'R2'!M37</f>
        <v/>
      </c>
      <c r="N31" s="38" t="e">
        <f>'R2'!#REF!</f>
        <v>#REF!</v>
      </c>
      <c r="O31"/>
      <c r="P31" s="38">
        <f>'R2'!O37</f>
        <v>1.3467951607621231</v>
      </c>
      <c r="Q31" s="38" t="str">
        <f>'R2'!P37</f>
        <v/>
      </c>
      <c r="R31" s="38" t="str">
        <f>'R2'!Q37</f>
        <v/>
      </c>
      <c r="S31" s="38" t="str">
        <f>'R2'!R37</f>
        <v/>
      </c>
      <c r="T31" s="38" t="str">
        <f>'R2'!S37</f>
        <v/>
      </c>
      <c r="U31" s="38" t="str">
        <f>'R2'!T37</f>
        <v/>
      </c>
      <c r="V31" s="38" t="str">
        <f>'R2'!U37</f>
        <v/>
      </c>
      <c r="W31" s="38" t="str">
        <f>'R2'!V37</f>
        <v/>
      </c>
    </row>
    <row r="32" spans="1:23" s="1" customFormat="1">
      <c r="A32" s="154"/>
      <c r="B32" s="38" t="str">
        <f>'R2'!B38</f>
        <v/>
      </c>
      <c r="C32" s="38" t="str">
        <f>'R2'!C38</f>
        <v/>
      </c>
      <c r="D32" s="38" t="str">
        <f>'R2'!D38</f>
        <v/>
      </c>
      <c r="E32" s="38" t="str">
        <f>'R2'!E38</f>
        <v/>
      </c>
      <c r="F32" s="38" t="str">
        <f>'R2'!F38</f>
        <v/>
      </c>
      <c r="G32" s="38" t="str">
        <f>'R2'!G38</f>
        <v/>
      </c>
      <c r="H32" s="38" t="str">
        <f>'R2'!H38</f>
        <v/>
      </c>
      <c r="I32" s="38" t="str">
        <f>'R2'!I38</f>
        <v/>
      </c>
      <c r="J32" s="38" t="str">
        <f>'R2'!J38</f>
        <v/>
      </c>
      <c r="K32" s="38" t="str">
        <f>'R2'!K38</f>
        <v/>
      </c>
      <c r="L32" s="38" t="str">
        <f>'R2'!L38</f>
        <v/>
      </c>
      <c r="M32" s="38" t="str">
        <f>'R2'!M38</f>
        <v/>
      </c>
      <c r="N32" s="38" t="e">
        <f>'R2'!#REF!</f>
        <v>#REF!</v>
      </c>
      <c r="O32"/>
      <c r="P32" s="38">
        <f>'R2'!O38</f>
        <v>0.56522340462809506</v>
      </c>
      <c r="Q32" s="38" t="str">
        <f>'R2'!P38</f>
        <v/>
      </c>
      <c r="R32" s="38" t="str">
        <f>'R2'!Q38</f>
        <v/>
      </c>
      <c r="S32" s="38" t="str">
        <f>'R2'!R38</f>
        <v/>
      </c>
      <c r="T32" s="38" t="str">
        <f>'R2'!S38</f>
        <v/>
      </c>
      <c r="U32" s="38" t="str">
        <f>'R2'!T38</f>
        <v/>
      </c>
      <c r="V32" s="38" t="str">
        <f>'R2'!U38</f>
        <v/>
      </c>
      <c r="W32" s="38" t="str">
        <f>'R2'!V38</f>
        <v/>
      </c>
    </row>
    <row r="33" spans="1:23" s="1" customFormat="1">
      <c r="A33" s="154"/>
      <c r="B33" s="38" t="str">
        <f>'R2'!B39</f>
        <v/>
      </c>
      <c r="C33" s="38" t="str">
        <f>'R2'!C39</f>
        <v/>
      </c>
      <c r="D33" s="38" t="str">
        <f>'R2'!D39</f>
        <v/>
      </c>
      <c r="E33" s="38" t="str">
        <f>'R2'!E39</f>
        <v/>
      </c>
      <c r="F33" s="38" t="str">
        <f>'R2'!F39</f>
        <v/>
      </c>
      <c r="G33" s="38" t="str">
        <f>'R2'!G39</f>
        <v/>
      </c>
      <c r="H33" s="38" t="str">
        <f>'R2'!H39</f>
        <v/>
      </c>
      <c r="I33" s="38" t="str">
        <f>'R2'!I39</f>
        <v/>
      </c>
      <c r="J33" s="38" t="str">
        <f>'R2'!J39</f>
        <v/>
      </c>
      <c r="K33" s="38" t="str">
        <f>'R2'!K39</f>
        <v/>
      </c>
      <c r="L33" s="38" t="str">
        <f>'R2'!L39</f>
        <v/>
      </c>
      <c r="M33" s="38" t="str">
        <f>'R2'!M39</f>
        <v/>
      </c>
      <c r="N33" s="38" t="e">
        <f>'R2'!#REF!</f>
        <v>#REF!</v>
      </c>
      <c r="O33"/>
      <c r="P33" s="38">
        <f>'R2'!O39</f>
        <v>0.52605055394441436</v>
      </c>
      <c r="Q33" s="38" t="str">
        <f>'R2'!P39</f>
        <v/>
      </c>
      <c r="R33" s="38" t="str">
        <f>'R2'!Q39</f>
        <v/>
      </c>
      <c r="S33" s="38" t="str">
        <f>'R2'!R39</f>
        <v/>
      </c>
      <c r="T33" s="38" t="str">
        <f>'R2'!S39</f>
        <v/>
      </c>
      <c r="U33" s="38" t="str">
        <f>'R2'!T39</f>
        <v/>
      </c>
      <c r="V33" s="38" t="str">
        <f>'R2'!U39</f>
        <v/>
      </c>
      <c r="W33" s="38" t="str">
        <f>'R2'!V39</f>
        <v/>
      </c>
    </row>
    <row r="34" spans="1:23" s="1" customFormat="1">
      <c r="A34" s="154"/>
      <c r="B34" s="38" t="str">
        <f>'R2'!B40</f>
        <v/>
      </c>
      <c r="C34" s="38" t="str">
        <f>'R2'!C40</f>
        <v/>
      </c>
      <c r="D34" s="38" t="str">
        <f>'R2'!D40</f>
        <v/>
      </c>
      <c r="E34" s="38" t="str">
        <f>'R2'!E40</f>
        <v/>
      </c>
      <c r="F34" s="38" t="str">
        <f>'R2'!F40</f>
        <v/>
      </c>
      <c r="G34" s="38" t="str">
        <f>'R2'!G40</f>
        <v/>
      </c>
      <c r="H34" s="38" t="str">
        <f>'R2'!H40</f>
        <v/>
      </c>
      <c r="I34" s="38" t="str">
        <f>'R2'!I40</f>
        <v/>
      </c>
      <c r="J34" s="38" t="str">
        <f>'R2'!J40</f>
        <v/>
      </c>
      <c r="K34" s="38" t="str">
        <f>'R2'!K40</f>
        <v/>
      </c>
      <c r="L34" s="38" t="str">
        <f>'R2'!L40</f>
        <v/>
      </c>
      <c r="M34" s="38" t="str">
        <f>'R2'!M40</f>
        <v/>
      </c>
      <c r="N34" s="38" t="e">
        <f>'R2'!#REF!</f>
        <v>#REF!</v>
      </c>
      <c r="O34"/>
      <c r="P34" s="38">
        <f>'R2'!O40</f>
        <v>0.77424194309232164</v>
      </c>
      <c r="Q34" s="38" t="str">
        <f>'R2'!P40</f>
        <v/>
      </c>
      <c r="R34" s="38" t="str">
        <f>'R2'!Q40</f>
        <v/>
      </c>
      <c r="S34" s="38" t="str">
        <f>'R2'!R40</f>
        <v/>
      </c>
      <c r="T34" s="38" t="str">
        <f>'R2'!S40</f>
        <v/>
      </c>
      <c r="U34" s="38" t="str">
        <f>'R2'!T40</f>
        <v/>
      </c>
      <c r="V34" s="38" t="str">
        <f>'R2'!U40</f>
        <v/>
      </c>
      <c r="W34" s="38" t="str">
        <f>'R2'!V40</f>
        <v/>
      </c>
    </row>
    <row r="35" spans="1:23" s="1" customFormat="1">
      <c r="A35" s="154"/>
      <c r="B35" s="38" t="str">
        <f>'R2'!B41</f>
        <v/>
      </c>
      <c r="C35" s="38" t="str">
        <f>'R2'!C41</f>
        <v/>
      </c>
      <c r="D35" s="38" t="str">
        <f>'R2'!D41</f>
        <v/>
      </c>
      <c r="E35" s="38" t="str">
        <f>'R2'!E41</f>
        <v/>
      </c>
      <c r="F35" s="38" t="str">
        <f>'R2'!F41</f>
        <v/>
      </c>
      <c r="G35" s="38" t="str">
        <f>'R2'!G41</f>
        <v/>
      </c>
      <c r="H35" s="38" t="str">
        <f>'R2'!H41</f>
        <v/>
      </c>
      <c r="I35" s="38" t="str">
        <f>'R2'!I41</f>
        <v/>
      </c>
      <c r="J35" s="38" t="str">
        <f>'R2'!J41</f>
        <v/>
      </c>
      <c r="K35" s="38" t="str">
        <f>'R2'!K41</f>
        <v/>
      </c>
      <c r="L35" s="38" t="str">
        <f>'R2'!L41</f>
        <v/>
      </c>
      <c r="M35" s="38" t="str">
        <f>'R2'!M41</f>
        <v/>
      </c>
      <c r="N35" s="38" t="e">
        <f>'R2'!#REF!</f>
        <v>#REF!</v>
      </c>
      <c r="O35"/>
      <c r="P35" s="38">
        <f>'R2'!O41</f>
        <v>1.0749639130279616</v>
      </c>
      <c r="Q35" s="38" t="str">
        <f>'R2'!P41</f>
        <v/>
      </c>
      <c r="R35" s="38" t="str">
        <f>'R2'!Q41</f>
        <v/>
      </c>
      <c r="S35" s="38" t="str">
        <f>'R2'!R41</f>
        <v/>
      </c>
      <c r="T35" s="38" t="str">
        <f>'R2'!S41</f>
        <v/>
      </c>
      <c r="U35" s="38" t="str">
        <f>'R2'!T41</f>
        <v/>
      </c>
      <c r="V35" s="38" t="str">
        <f>'R2'!U41</f>
        <v/>
      </c>
      <c r="W35" s="38" t="str">
        <f>'R2'!V41</f>
        <v/>
      </c>
    </row>
    <row r="36" spans="1:23">
      <c r="A36" s="154"/>
      <c r="B36" s="38" t="str">
        <f>'R2'!B42</f>
        <v/>
      </c>
      <c r="C36" s="38" t="str">
        <f>'R2'!C42</f>
        <v/>
      </c>
      <c r="D36" s="38" t="str">
        <f>'R2'!D42</f>
        <v/>
      </c>
      <c r="E36" s="38" t="str">
        <f>'R2'!E42</f>
        <v/>
      </c>
      <c r="F36" s="38" t="str">
        <f>'R2'!F42</f>
        <v/>
      </c>
      <c r="G36" s="38" t="str">
        <f>'R2'!G42</f>
        <v/>
      </c>
      <c r="H36" s="38" t="str">
        <f>'R2'!H42</f>
        <v/>
      </c>
      <c r="I36" s="38" t="str">
        <f>'R2'!I42</f>
        <v/>
      </c>
      <c r="J36" s="38" t="str">
        <f>'R2'!J42</f>
        <v/>
      </c>
      <c r="K36" s="38" t="str">
        <f>'R2'!K42</f>
        <v/>
      </c>
      <c r="L36" s="38" t="str">
        <f>'R2'!L42</f>
        <v/>
      </c>
      <c r="M36" s="38" t="str">
        <f>'R2'!M42</f>
        <v/>
      </c>
      <c r="N36" s="38" t="e">
        <f>'R2'!#REF!</f>
        <v>#REF!</v>
      </c>
      <c r="P36" s="38">
        <f>'R2'!O42</f>
        <v>0.75918990425614585</v>
      </c>
      <c r="Q36" s="38" t="str">
        <f>'R2'!P42</f>
        <v/>
      </c>
      <c r="R36" s="38" t="str">
        <f>'R2'!Q42</f>
        <v/>
      </c>
      <c r="S36" s="38" t="str">
        <f>'R2'!R42</f>
        <v/>
      </c>
      <c r="T36" s="38" t="str">
        <f>'R2'!S42</f>
        <v/>
      </c>
      <c r="U36" s="38" t="str">
        <f>'R2'!T42</f>
        <v/>
      </c>
      <c r="V36" s="38" t="str">
        <f>'R2'!U42</f>
        <v/>
      </c>
      <c r="W36" s="38" t="str">
        <f>'R2'!V42</f>
        <v/>
      </c>
    </row>
    <row r="37" spans="1:23">
      <c r="A37" s="155"/>
      <c r="B37" s="38" t="str">
        <f>'R2'!B43</f>
        <v/>
      </c>
      <c r="C37" s="38" t="str">
        <f>'R2'!C43</f>
        <v/>
      </c>
      <c r="D37" s="38" t="str">
        <f>'R2'!D43</f>
        <v/>
      </c>
      <c r="E37" s="38" t="str">
        <f>'R2'!E43</f>
        <v/>
      </c>
      <c r="F37" s="38" t="str">
        <f>'R2'!F43</f>
        <v/>
      </c>
      <c r="G37" s="38" t="str">
        <f>'R2'!G43</f>
        <v/>
      </c>
      <c r="H37" s="38" t="str">
        <f>'R2'!H43</f>
        <v/>
      </c>
      <c r="I37" s="38" t="str">
        <f>'R2'!I43</f>
        <v/>
      </c>
      <c r="J37" s="38" t="str">
        <f>'R2'!J43</f>
        <v/>
      </c>
      <c r="K37" s="38" t="str">
        <f>'R2'!K43</f>
        <v/>
      </c>
      <c r="L37" s="38" t="str">
        <f>'R2'!L43</f>
        <v/>
      </c>
      <c r="M37" s="38" t="str">
        <f>'R2'!M43</f>
        <v/>
      </c>
      <c r="N37" s="38" t="e">
        <f>'R2'!#REF!</f>
        <v>#REF!</v>
      </c>
      <c r="P37" s="38">
        <f>'R2'!O43</f>
        <v>0.80389386983750899</v>
      </c>
      <c r="Q37" s="38" t="str">
        <f>'R2'!P43</f>
        <v/>
      </c>
      <c r="R37" s="38" t="str">
        <f>'R2'!Q43</f>
        <v/>
      </c>
      <c r="S37" s="38" t="str">
        <f>'R2'!R43</f>
        <v/>
      </c>
      <c r="T37" s="38" t="str">
        <f>'R2'!S43</f>
        <v/>
      </c>
      <c r="U37" s="38" t="str">
        <f>'R2'!T43</f>
        <v/>
      </c>
      <c r="V37" s="38" t="str">
        <f>'R2'!U43</f>
        <v/>
      </c>
      <c r="W37" s="38" t="str">
        <f>'R2'!V43</f>
        <v/>
      </c>
    </row>
    <row r="38" spans="1:23" s="1" customFormat="1">
      <c r="A38" s="84" t="s">
        <v>48</v>
      </c>
      <c r="B38" s="85">
        <f>'R3'!B28</f>
        <v>8.9109967334413728E-3</v>
      </c>
      <c r="C38" s="85">
        <f>'R3'!C28</f>
        <v>0.39486367493937979</v>
      </c>
      <c r="D38" s="85">
        <f>'R3'!D28</f>
        <v>0.3539100071166783</v>
      </c>
      <c r="E38" s="85">
        <f>'R3'!E28</f>
        <v>1.3179136441641097</v>
      </c>
      <c r="F38" s="85">
        <f>'R3'!F28</f>
        <v>1.1761565590185372</v>
      </c>
      <c r="G38" s="85">
        <f>'R3'!G28</f>
        <v>3.1643684285577383</v>
      </c>
      <c r="H38" s="85">
        <f>'R3'!H28</f>
        <v>2.3253659029767211</v>
      </c>
      <c r="I38" s="85">
        <f>'R3'!I28</f>
        <v>1.2539346734379946</v>
      </c>
      <c r="J38" s="85">
        <f>'R3'!J28</f>
        <v>0.44559725923908516</v>
      </c>
      <c r="K38" s="85">
        <f>'R3'!K28</f>
        <v>0.33032172589163483</v>
      </c>
      <c r="L38" s="85">
        <f>'R3'!L28</f>
        <v>4.3203440507237047E-2</v>
      </c>
      <c r="M38" s="85">
        <f>'R3'!M28</f>
        <v>0.30257359636611408</v>
      </c>
      <c r="N38" s="85" t="e">
        <f>'R3'!#REF!</f>
        <v>#REF!</v>
      </c>
      <c r="O38"/>
      <c r="P38" s="85">
        <f>'R3'!O28</f>
        <v>1.2748511540643939</v>
      </c>
      <c r="Q38" s="85">
        <f>'R3'!P28</f>
        <v>3.4168647821245903</v>
      </c>
      <c r="R38" s="85">
        <f>'R3'!Q28</f>
        <v>6.4378110665170657E-2</v>
      </c>
      <c r="S38" s="85">
        <f>'R3'!R28</f>
        <v>1.2109075856018501</v>
      </c>
      <c r="T38" s="85">
        <f>'R3'!S28</f>
        <v>1.1512631692303943</v>
      </c>
      <c r="U38" s="85">
        <f>'R3'!T28</f>
        <v>0.83616293471921399</v>
      </c>
      <c r="V38" s="85">
        <f>'R3'!U28</f>
        <v>0.74604935437797559</v>
      </c>
      <c r="W38" s="85">
        <f>'R3'!V28</f>
        <v>0.93929516233831456</v>
      </c>
    </row>
    <row r="39" spans="1:23" s="1" customFormat="1">
      <c r="A39" s="145" t="s">
        <v>17</v>
      </c>
      <c r="B39" s="85">
        <f>'R3'!B29</f>
        <v>0.52496172438992017</v>
      </c>
      <c r="C39" s="85">
        <f>'R3'!C29</f>
        <v>0.81610006029911131</v>
      </c>
      <c r="D39" s="85">
        <f>'R3'!D29</f>
        <v>0.24499041504296518</v>
      </c>
      <c r="E39" s="85">
        <f>'R3'!E29</f>
        <v>0.91597215109751962</v>
      </c>
      <c r="F39" s="85">
        <f>'R3'!F29</f>
        <v>0.98323250000246998</v>
      </c>
      <c r="G39" s="85">
        <f>'R3'!G29</f>
        <v>0.88650676479625257</v>
      </c>
      <c r="H39" s="85">
        <f>'R3'!H29</f>
        <v>4.4364074902627308</v>
      </c>
      <c r="I39" s="85">
        <f>'R3'!I29</f>
        <v>0.3612274080043365</v>
      </c>
      <c r="J39" s="85">
        <f>'R3'!J29</f>
        <v>4.4195691857380578E-2</v>
      </c>
      <c r="K39" s="85">
        <f>'R3'!K29</f>
        <v>6.9996367563095893E-2</v>
      </c>
      <c r="L39" s="85">
        <f>'R3'!L29</f>
        <v>0.37928108047049774</v>
      </c>
      <c r="M39" s="85">
        <f>'R3'!M29</f>
        <v>0.21159356620667874</v>
      </c>
      <c r="N39" s="85" t="e">
        <f>'R3'!#REF!</f>
        <v>#REF!</v>
      </c>
      <c r="O39"/>
      <c r="P39" s="85">
        <f>'R3'!O29</f>
        <v>0.83813624042451096</v>
      </c>
      <c r="Q39" s="85">
        <f>'R3'!P29</f>
        <v>3.2560262062374505</v>
      </c>
      <c r="R39" s="85">
        <f>'R3'!Q29</f>
        <v>0.36143603436687088</v>
      </c>
      <c r="S39" s="85">
        <f>'R3'!R29</f>
        <v>1.801555987115552</v>
      </c>
      <c r="T39" s="85">
        <f>'R3'!S29</f>
        <v>1.2135049591161486</v>
      </c>
      <c r="U39" s="85">
        <f>'R3'!T29</f>
        <v>0.90886601115945209</v>
      </c>
      <c r="V39" s="85">
        <f>'R3'!U29</f>
        <v>0.67445362780991058</v>
      </c>
      <c r="W39" s="85">
        <f>'R3'!V29</f>
        <v>0.50139649580162082</v>
      </c>
    </row>
    <row r="40" spans="1:23" s="1" customFormat="1">
      <c r="A40" s="154"/>
      <c r="B40" s="85">
        <f>'R3'!B30</f>
        <v>0.2219297098759801</v>
      </c>
      <c r="C40" s="85">
        <f>'R3'!C30</f>
        <v>1.5198274082019307E-3</v>
      </c>
      <c r="D40" s="85">
        <f>'R3'!D30</f>
        <v>0.60236325752199305</v>
      </c>
      <c r="E40" s="85">
        <f>'R3'!E30</f>
        <v>1.1067607126426258</v>
      </c>
      <c r="F40" s="85">
        <f>'R3'!F30</f>
        <v>1.6483810956523057</v>
      </c>
      <c r="G40" s="85">
        <f>'R3'!G30</f>
        <v>1.1741060269801473</v>
      </c>
      <c r="H40" s="85">
        <f>'R3'!H30</f>
        <v>1.6173733232911656</v>
      </c>
      <c r="I40" s="85">
        <f>'R3'!I30</f>
        <v>1.188423031691777</v>
      </c>
      <c r="J40" s="85">
        <f>'R3'!J30</f>
        <v>0.74562304525990042</v>
      </c>
      <c r="K40" s="85">
        <f>'R3'!K30</f>
        <v>0.29338382738975982</v>
      </c>
      <c r="L40" s="85">
        <f>'R3'!L30</f>
        <v>0.31062884629127535</v>
      </c>
      <c r="M40" s="85">
        <f>'R3'!M30</f>
        <v>0.31453281032389285</v>
      </c>
      <c r="N40" s="85" t="e">
        <f>'R3'!#REF!</f>
        <v>#REF!</v>
      </c>
      <c r="O40"/>
      <c r="P40" s="85">
        <f>'R3'!O30</f>
        <v>1.8494937805632681</v>
      </c>
      <c r="Q40" s="85">
        <f>'R3'!P30</f>
        <v>1.9506194408154838</v>
      </c>
      <c r="R40" s="85">
        <f>'R3'!Q30</f>
        <v>0.29202553310045781</v>
      </c>
      <c r="S40" s="85">
        <f>'R3'!R30</f>
        <v>2.4968500218506064</v>
      </c>
      <c r="T40" s="85">
        <f>'R3'!S30</f>
        <v>0.56877358984551107</v>
      </c>
      <c r="U40" s="85">
        <f>'R3'!T30</f>
        <v>0.44173758920135459</v>
      </c>
      <c r="V40" s="85">
        <f>'R3'!U30</f>
        <v>1.3825744789527781</v>
      </c>
      <c r="W40" s="85">
        <f>'R3'!V30</f>
        <v>1.1792225597055059</v>
      </c>
    </row>
    <row r="41" spans="1:23" s="1" customFormat="1">
      <c r="A41" s="154"/>
      <c r="B41" s="85">
        <f>'R3'!B31</f>
        <v>0.42452435000620775</v>
      </c>
      <c r="C41" s="85">
        <f>'R3'!C31</f>
        <v>3.2232361357326079E-2</v>
      </c>
      <c r="D41" s="85">
        <f>'R3'!D31</f>
        <v>0.27189448874026889</v>
      </c>
      <c r="E41" s="85">
        <f>'R3'!E31</f>
        <v>0.95697785201458641</v>
      </c>
      <c r="F41" s="85">
        <f>'R3'!F31</f>
        <v>1.468215518442274</v>
      </c>
      <c r="G41" s="85">
        <f>'R3'!G31</f>
        <v>2.6408735105115082</v>
      </c>
      <c r="H41" s="85">
        <f>'R3'!H31</f>
        <v>3.4232026106123143</v>
      </c>
      <c r="I41" s="85">
        <f>'R3'!I31</f>
        <v>1.2187660648062311</v>
      </c>
      <c r="J41" s="85">
        <f>'R3'!J31</f>
        <v>0.23351777638217847</v>
      </c>
      <c r="K41" s="85">
        <f>'R3'!K31</f>
        <v>0.75755739530233368</v>
      </c>
      <c r="L41" s="85">
        <f>'R3'!L31</f>
        <v>0.40665674525090983</v>
      </c>
      <c r="M41" s="85">
        <f>'R3'!M31</f>
        <v>0.39101767182200464</v>
      </c>
      <c r="N41" s="85" t="e">
        <f>'R3'!#REF!</f>
        <v>#REF!</v>
      </c>
      <c r="O41"/>
      <c r="P41" s="85">
        <f>'R3'!O31</f>
        <v>0.76463768335490956</v>
      </c>
      <c r="Q41" s="85">
        <f>'R3'!P31</f>
        <v>1.2884785556139922</v>
      </c>
      <c r="R41" s="85">
        <f>'R3'!Q31</f>
        <v>0.12486855880513573</v>
      </c>
      <c r="S41" s="85">
        <f>'R3'!R31</f>
        <v>1.7318833444370201</v>
      </c>
      <c r="T41" s="85">
        <f>'R3'!S31</f>
        <v>1.3368574777319762</v>
      </c>
      <c r="U41" s="85">
        <f>'R3'!T31</f>
        <v>1.6440407781384601</v>
      </c>
      <c r="V41" s="85">
        <f>'R3'!U31</f>
        <v>0.980572719707271</v>
      </c>
      <c r="W41" s="85">
        <f>'R3'!V31</f>
        <v>0.66992839521703895</v>
      </c>
    </row>
    <row r="42" spans="1:23" s="1" customFormat="1">
      <c r="A42" s="154"/>
      <c r="B42" s="85">
        <f>'R3'!B32</f>
        <v>0.38431709362894279</v>
      </c>
      <c r="C42" s="85">
        <f>'R3'!C32</f>
        <v>0.33092586963602194</v>
      </c>
      <c r="D42" s="85">
        <f>'R3'!D32</f>
        <v>0.38180764945765377</v>
      </c>
      <c r="E42" s="85">
        <f>'R3'!E32</f>
        <v>0.87161196221080051</v>
      </c>
      <c r="F42" s="85">
        <f>'R3'!F32</f>
        <v>1.5823782680817473</v>
      </c>
      <c r="G42" s="85">
        <f>'R3'!G32</f>
        <v>1.5575914144077003</v>
      </c>
      <c r="H42" s="85">
        <f>'R3'!H32</f>
        <v>4.445688975800989</v>
      </c>
      <c r="I42" s="85">
        <f>'R3'!I32</f>
        <v>0.2668242259500897</v>
      </c>
      <c r="J42" s="85">
        <f>'R3'!J32</f>
        <v>0.45456605222607788</v>
      </c>
      <c r="K42" s="85">
        <f>'R3'!K32</f>
        <v>0.33625086406222365</v>
      </c>
      <c r="L42" s="85">
        <f>'R3'!L32</f>
        <v>9.8188095684250007E-2</v>
      </c>
      <c r="M42" s="85">
        <f>'R3'!M32</f>
        <v>0.1784330068970196</v>
      </c>
      <c r="N42" s="85" t="e">
        <f>'R3'!#REF!</f>
        <v>#REF!</v>
      </c>
      <c r="O42"/>
      <c r="P42" s="85">
        <f>'R3'!O32</f>
        <v>1.8503584191028639</v>
      </c>
      <c r="Q42" s="85">
        <f>'R3'!P32</f>
        <v>2.257737370530629</v>
      </c>
      <c r="R42" s="85">
        <f>'R3'!Q32</f>
        <v>0.31320366115390302</v>
      </c>
      <c r="S42" s="85">
        <f>'R3'!R32</f>
        <v>2.8636345972654964</v>
      </c>
      <c r="T42" s="85">
        <f>'R3'!S32</f>
        <v>1.6265872975361013</v>
      </c>
      <c r="U42" s="85">
        <f>'R3'!T32</f>
        <v>1.456991848258324</v>
      </c>
      <c r="V42" s="85">
        <f>'R3'!U32</f>
        <v>0.91352659566235006</v>
      </c>
      <c r="W42" s="85">
        <f>'R3'!V32</f>
        <v>1.4248568019603962</v>
      </c>
    </row>
    <row r="43" spans="1:23" s="1" customFormat="1">
      <c r="A43" s="154"/>
      <c r="B43" s="85">
        <f>'R3'!B33</f>
        <v>4.6619676611025285E-2</v>
      </c>
      <c r="C43" s="85">
        <f>'R3'!C33</f>
        <v>7.7788982091065162E-2</v>
      </c>
      <c r="D43" s="85">
        <f>'R3'!D33</f>
        <v>1.4949305605182759E-2</v>
      </c>
      <c r="E43" s="85">
        <f>'R3'!E33</f>
        <v>0.39619348275613375</v>
      </c>
      <c r="F43" s="85">
        <f>'R3'!F33</f>
        <v>1.8681781073060721</v>
      </c>
      <c r="G43" s="85">
        <f>'R3'!G33</f>
        <v>3.2490200159458382</v>
      </c>
      <c r="H43" s="85">
        <f>'R3'!H33</f>
        <v>3.7794587175027803</v>
      </c>
      <c r="I43" s="85">
        <f>'R3'!I33</f>
        <v>1.1107552406053096</v>
      </c>
      <c r="J43" s="85">
        <f>'R3'!J33</f>
        <v>0.30465623743425468</v>
      </c>
      <c r="K43" s="85">
        <f>'R3'!K33</f>
        <v>1.5285050793191831E-2</v>
      </c>
      <c r="L43" s="85">
        <f>'R3'!L33</f>
        <v>9.130820090965705E-3</v>
      </c>
      <c r="M43" s="85">
        <f>'R3'!M33</f>
        <v>0.69724939231602923</v>
      </c>
      <c r="N43" s="85" t="e">
        <f>'R3'!#REF!</f>
        <v>#REF!</v>
      </c>
      <c r="O43"/>
      <c r="P43" s="85">
        <f>'R3'!O33</f>
        <v>0.39673966558527846</v>
      </c>
      <c r="Q43" s="85">
        <f>'R3'!P33</f>
        <v>1.5001658143228667</v>
      </c>
      <c r="R43" s="85">
        <f>'R3'!Q33</f>
        <v>7.3749830810112466E-2</v>
      </c>
      <c r="S43" s="85">
        <f>'R3'!R33</f>
        <v>1.8644052139795142</v>
      </c>
      <c r="T43" s="85">
        <f>'R3'!S33</f>
        <v>1.0766915119203537</v>
      </c>
      <c r="U43" s="85">
        <f>'R3'!T33</f>
        <v>0.93996171286360186</v>
      </c>
      <c r="V43" s="85">
        <f>'R3'!U33</f>
        <v>0.50555881402746361</v>
      </c>
      <c r="W43" s="85">
        <f>'R3'!V33</f>
        <v>0.97428659499053027</v>
      </c>
    </row>
    <row r="44" spans="1:23" s="1" customFormat="1">
      <c r="A44" s="154"/>
      <c r="B44" s="85">
        <f>'R3'!B34</f>
        <v>0.19060183518747886</v>
      </c>
      <c r="C44" s="85">
        <f>'R3'!C34</f>
        <v>0.464666235692134</v>
      </c>
      <c r="D44" s="85">
        <f>'R3'!D34</f>
        <v>0.16172445578487807</v>
      </c>
      <c r="E44" s="85">
        <f>'R3'!E34</f>
        <v>0.94109573792972168</v>
      </c>
      <c r="F44" s="85">
        <f>'R3'!F34</f>
        <v>0.66556156717093762</v>
      </c>
      <c r="G44" s="85">
        <f>'R3'!G34</f>
        <v>2.3846694696477457</v>
      </c>
      <c r="H44" s="85">
        <f>'R3'!H34</f>
        <v>3.2245483247484215</v>
      </c>
      <c r="I44" s="85">
        <f>'R3'!I34</f>
        <v>0.84875708415760232</v>
      </c>
      <c r="J44" s="85">
        <f>'R3'!J34</f>
        <v>0.16669707419227678</v>
      </c>
      <c r="K44" s="85">
        <f>'R3'!K34</f>
        <v>0.10782426250498513</v>
      </c>
      <c r="L44" s="85">
        <f>'R3'!L34</f>
        <v>0.53454898668841955</v>
      </c>
      <c r="M44" s="85">
        <f>'R3'!M34</f>
        <v>0.42333911515417766</v>
      </c>
      <c r="N44" s="85" t="e">
        <f>'R3'!#REF!</f>
        <v>#REF!</v>
      </c>
      <c r="O44"/>
      <c r="P44" s="85">
        <f>'R3'!O34</f>
        <v>1.3936110934557187</v>
      </c>
      <c r="Q44" s="85">
        <f>'R3'!P34</f>
        <v>1.5815528190246166</v>
      </c>
      <c r="R44" s="85">
        <f>'R3'!Q34</f>
        <v>2.3342605982027507E-2</v>
      </c>
      <c r="S44" s="85">
        <f>'R3'!R34</f>
        <v>1.9028663977851026</v>
      </c>
      <c r="T44" s="85">
        <f>'R3'!S34</f>
        <v>0.49443229424122082</v>
      </c>
      <c r="U44" s="85">
        <f>'R3'!T34</f>
        <v>1.0443575542996626</v>
      </c>
      <c r="V44" s="85">
        <f>'R3'!U34</f>
        <v>1.7280409638768475</v>
      </c>
      <c r="W44" s="85">
        <f>'R3'!V34</f>
        <v>1.3411730959921673</v>
      </c>
    </row>
    <row r="45" spans="1:23" s="1" customFormat="1">
      <c r="A45" s="154"/>
      <c r="B45" s="85">
        <f>'R3'!B35</f>
        <v>5.5335713902287774E-2</v>
      </c>
      <c r="C45" s="85">
        <f>'R3'!C35</f>
        <v>0.14630602902195236</v>
      </c>
      <c r="D45" s="85">
        <f>'R3'!D35</f>
        <v>0.38724016796809779</v>
      </c>
      <c r="E45" s="85">
        <f>'R3'!E35</f>
        <v>0.61874215592869364</v>
      </c>
      <c r="F45" s="85">
        <f>'R3'!F35</f>
        <v>1.5502774714155538</v>
      </c>
      <c r="G45" s="85">
        <f>'R3'!G35</f>
        <v>1.5099123044765916</v>
      </c>
      <c r="H45" s="85">
        <f>'R3'!H35</f>
        <v>1.9114386854200964</v>
      </c>
      <c r="I45" s="85">
        <f>'R3'!I35</f>
        <v>0.56636969381817204</v>
      </c>
      <c r="J45" s="85">
        <f>'R3'!J35</f>
        <v>0.1306440676179941</v>
      </c>
      <c r="K45" s="85">
        <f>'R3'!K35</f>
        <v>0.29207163837394606</v>
      </c>
      <c r="L45" s="85">
        <f>'R3'!L35</f>
        <v>0.1609925345682521</v>
      </c>
      <c r="M45" s="85">
        <f>'R3'!M35</f>
        <v>2.4842838648996932E-2</v>
      </c>
      <c r="N45" s="85" t="e">
        <f>'R3'!#REF!</f>
        <v>#REF!</v>
      </c>
      <c r="O45"/>
      <c r="P45" s="85">
        <f>'R3'!O35</f>
        <v>0.41735465065540295</v>
      </c>
      <c r="Q45" s="85" t="str">
        <f>'R3'!P35</f>
        <v/>
      </c>
      <c r="R45" s="85">
        <f>'R3'!Q35</f>
        <v>0.43705592800200493</v>
      </c>
      <c r="S45" s="85">
        <f>'R3'!R35</f>
        <v>2.6272329360266276</v>
      </c>
      <c r="T45" s="85">
        <f>'R3'!S35</f>
        <v>1.2765815837754226</v>
      </c>
      <c r="U45" s="85">
        <f>'R3'!T35</f>
        <v>1.2882809615847568</v>
      </c>
      <c r="V45" s="85">
        <f>'R3'!U35</f>
        <v>0.46527120274497624</v>
      </c>
      <c r="W45" s="85">
        <f>'R3'!V35</f>
        <v>1.332546634660825</v>
      </c>
    </row>
    <row r="46" spans="1:23" s="1" customFormat="1">
      <c r="A46" s="154"/>
      <c r="B46" s="85" t="str">
        <f>'R3'!B36</f>
        <v/>
      </c>
      <c r="C46" s="85" t="str">
        <f>'R3'!C36</f>
        <v/>
      </c>
      <c r="D46" s="85" t="str">
        <f>'R3'!D36</f>
        <v/>
      </c>
      <c r="E46" s="85" t="str">
        <f>'R3'!E36</f>
        <v/>
      </c>
      <c r="F46" s="85" t="str">
        <f>'R3'!F36</f>
        <v/>
      </c>
      <c r="G46" s="85" t="str">
        <f>'R3'!G36</f>
        <v/>
      </c>
      <c r="H46" s="85" t="str">
        <f>'R3'!H36</f>
        <v/>
      </c>
      <c r="I46" s="85" t="str">
        <f>'R3'!I36</f>
        <v/>
      </c>
      <c r="J46" s="85" t="str">
        <f>'R3'!J36</f>
        <v/>
      </c>
      <c r="K46" s="85" t="str">
        <f>'R3'!K36</f>
        <v/>
      </c>
      <c r="L46" s="85" t="str">
        <f>'R3'!L36</f>
        <v/>
      </c>
      <c r="M46" s="85" t="str">
        <f>'R3'!M36</f>
        <v/>
      </c>
      <c r="N46" s="85" t="e">
        <f>'R3'!#REF!</f>
        <v>#REF!</v>
      </c>
      <c r="O46"/>
      <c r="P46" s="85">
        <f>'R3'!O36</f>
        <v>1.3583222817895038</v>
      </c>
      <c r="Q46" s="85" t="str">
        <f>'R3'!P36</f>
        <v/>
      </c>
      <c r="R46" s="85" t="str">
        <f>'R3'!Q36</f>
        <v/>
      </c>
      <c r="S46" s="85" t="str">
        <f>'R3'!R36</f>
        <v/>
      </c>
      <c r="T46" s="85" t="str">
        <f>'R3'!S36</f>
        <v/>
      </c>
      <c r="U46" s="85" t="str">
        <f>'R3'!T36</f>
        <v/>
      </c>
      <c r="V46" s="85" t="str">
        <f>'R3'!U36</f>
        <v/>
      </c>
      <c r="W46" s="85" t="str">
        <f>'R3'!V36</f>
        <v/>
      </c>
    </row>
    <row r="47" spans="1:23" s="1" customFormat="1">
      <c r="A47" s="154"/>
      <c r="B47" s="85" t="str">
        <f>'R3'!B37</f>
        <v/>
      </c>
      <c r="C47" s="85" t="str">
        <f>'R3'!C37</f>
        <v/>
      </c>
      <c r="D47" s="85" t="str">
        <f>'R3'!D37</f>
        <v/>
      </c>
      <c r="E47" s="85" t="str">
        <f>'R3'!E37</f>
        <v/>
      </c>
      <c r="F47" s="85" t="str">
        <f>'R3'!F37</f>
        <v/>
      </c>
      <c r="G47" s="85" t="str">
        <f>'R3'!G37</f>
        <v/>
      </c>
      <c r="H47" s="85" t="str">
        <f>'R3'!H37</f>
        <v/>
      </c>
      <c r="I47" s="85" t="str">
        <f>'R3'!I37</f>
        <v/>
      </c>
      <c r="J47" s="85" t="str">
        <f>'R3'!J37</f>
        <v/>
      </c>
      <c r="K47" s="85" t="str">
        <f>'R3'!K37</f>
        <v/>
      </c>
      <c r="L47" s="85" t="str">
        <f>'R3'!L37</f>
        <v/>
      </c>
      <c r="M47" s="85" t="str">
        <f>'R3'!M37</f>
        <v/>
      </c>
      <c r="N47" s="85" t="e">
        <f>'R3'!#REF!</f>
        <v>#REF!</v>
      </c>
      <c r="O47"/>
      <c r="P47" s="85">
        <f>'R3'!O37</f>
        <v>0.72168601057325654</v>
      </c>
      <c r="Q47" s="85" t="str">
        <f>'R3'!P37</f>
        <v/>
      </c>
      <c r="R47" s="85" t="str">
        <f>'R3'!Q37</f>
        <v/>
      </c>
      <c r="S47" s="85" t="str">
        <f>'R3'!R37</f>
        <v/>
      </c>
      <c r="T47" s="85" t="str">
        <f>'R3'!S37</f>
        <v/>
      </c>
      <c r="U47" s="85" t="str">
        <f>'R3'!T37</f>
        <v/>
      </c>
      <c r="V47" s="85" t="str">
        <f>'R3'!U37</f>
        <v/>
      </c>
      <c r="W47" s="85" t="str">
        <f>'R3'!V37</f>
        <v/>
      </c>
    </row>
    <row r="48" spans="1:23" s="1" customFormat="1">
      <c r="A48" s="154"/>
      <c r="B48" s="85" t="str">
        <f>'R3'!B38</f>
        <v/>
      </c>
      <c r="C48" s="85" t="str">
        <f>'R3'!C38</f>
        <v/>
      </c>
      <c r="D48" s="85" t="str">
        <f>'R3'!D38</f>
        <v/>
      </c>
      <c r="E48" s="85" t="str">
        <f>'R3'!E38</f>
        <v/>
      </c>
      <c r="F48" s="85" t="str">
        <f>'R3'!F38</f>
        <v/>
      </c>
      <c r="G48" s="85" t="str">
        <f>'R3'!G38</f>
        <v/>
      </c>
      <c r="H48" s="85" t="str">
        <f>'R3'!H38</f>
        <v/>
      </c>
      <c r="I48" s="85" t="str">
        <f>'R3'!I38</f>
        <v/>
      </c>
      <c r="J48" s="85" t="str">
        <f>'R3'!J38</f>
        <v/>
      </c>
      <c r="K48" s="85" t="str">
        <f>'R3'!K38</f>
        <v/>
      </c>
      <c r="L48" s="85" t="str">
        <f>'R3'!L38</f>
        <v/>
      </c>
      <c r="M48" s="85" t="str">
        <f>'R3'!M38</f>
        <v/>
      </c>
      <c r="N48" s="85" t="e">
        <f>'R3'!#REF!</f>
        <v>#REF!</v>
      </c>
      <c r="O48"/>
      <c r="P48" s="85">
        <f>'R3'!O38</f>
        <v>5.2431246334219105E-2</v>
      </c>
      <c r="Q48" s="85" t="str">
        <f>'R3'!P38</f>
        <v/>
      </c>
      <c r="R48" s="85" t="str">
        <f>'R3'!Q38</f>
        <v/>
      </c>
      <c r="S48" s="85" t="str">
        <f>'R3'!R38</f>
        <v/>
      </c>
      <c r="T48" s="85" t="str">
        <f>'R3'!S38</f>
        <v/>
      </c>
      <c r="U48" s="85" t="str">
        <f>'R3'!T38</f>
        <v/>
      </c>
      <c r="V48" s="85" t="str">
        <f>'R3'!U38</f>
        <v/>
      </c>
      <c r="W48" s="85" t="str">
        <f>'R3'!V38</f>
        <v/>
      </c>
    </row>
    <row r="49" spans="1:25" s="1" customFormat="1">
      <c r="A49" s="154"/>
      <c r="B49" s="85" t="str">
        <f>'R3'!B39</f>
        <v/>
      </c>
      <c r="C49" s="85" t="str">
        <f>'R3'!C39</f>
        <v/>
      </c>
      <c r="D49" s="85" t="str">
        <f>'R3'!D39</f>
        <v/>
      </c>
      <c r="E49" s="85" t="str">
        <f>'R3'!E39</f>
        <v/>
      </c>
      <c r="F49" s="85" t="str">
        <f>'R3'!F39</f>
        <v/>
      </c>
      <c r="G49" s="85" t="str">
        <f>'R3'!G39</f>
        <v/>
      </c>
      <c r="H49" s="85" t="str">
        <f>'R3'!H39</f>
        <v/>
      </c>
      <c r="I49" s="85" t="str">
        <f>'R3'!I39</f>
        <v/>
      </c>
      <c r="J49" s="85" t="str">
        <f>'R3'!J39</f>
        <v/>
      </c>
      <c r="K49" s="85" t="str">
        <f>'R3'!K39</f>
        <v/>
      </c>
      <c r="L49" s="85" t="str">
        <f>'R3'!L39</f>
        <v/>
      </c>
      <c r="M49" s="85" t="str">
        <f>'R3'!M39</f>
        <v/>
      </c>
      <c r="N49" s="85" t="e">
        <f>'R3'!#REF!</f>
        <v>#REF!</v>
      </c>
      <c r="O49"/>
      <c r="P49" s="85">
        <f>'R3'!O39</f>
        <v>0.54121333930945492</v>
      </c>
      <c r="Q49" s="85" t="str">
        <f>'R3'!P39</f>
        <v/>
      </c>
      <c r="R49" s="85" t="str">
        <f>'R3'!Q39</f>
        <v/>
      </c>
      <c r="S49" s="85" t="str">
        <f>'R3'!R39</f>
        <v/>
      </c>
      <c r="T49" s="85" t="str">
        <f>'R3'!S39</f>
        <v/>
      </c>
      <c r="U49" s="85" t="str">
        <f>'R3'!T39</f>
        <v/>
      </c>
      <c r="V49" s="85" t="str">
        <f>'R3'!U39</f>
        <v/>
      </c>
      <c r="W49" s="85" t="str">
        <f>'R3'!V39</f>
        <v/>
      </c>
    </row>
    <row r="50" spans="1:25" s="1" customFormat="1">
      <c r="A50" s="154"/>
      <c r="B50" s="85" t="str">
        <f>'R3'!B40</f>
        <v/>
      </c>
      <c r="C50" s="85" t="str">
        <f>'R3'!C40</f>
        <v/>
      </c>
      <c r="D50" s="85" t="str">
        <f>'R3'!D40</f>
        <v/>
      </c>
      <c r="E50" s="85" t="str">
        <f>'R3'!E40</f>
        <v/>
      </c>
      <c r="F50" s="85" t="str">
        <f>'R3'!F40</f>
        <v/>
      </c>
      <c r="G50" s="85" t="str">
        <f>'R3'!G40</f>
        <v/>
      </c>
      <c r="H50" s="85" t="str">
        <f>'R3'!H40</f>
        <v/>
      </c>
      <c r="I50" s="85" t="str">
        <f>'R3'!I40</f>
        <v/>
      </c>
      <c r="J50" s="85" t="str">
        <f>'R3'!J40</f>
        <v/>
      </c>
      <c r="K50" s="85" t="str">
        <f>'R3'!K40</f>
        <v/>
      </c>
      <c r="L50" s="85" t="str">
        <f>'R3'!L40</f>
        <v/>
      </c>
      <c r="M50" s="85" t="str">
        <f>'R3'!M40</f>
        <v/>
      </c>
      <c r="N50" s="85" t="e">
        <f>'R3'!#REF!</f>
        <v>#REF!</v>
      </c>
      <c r="O50"/>
      <c r="P50" s="85">
        <f>'R3'!O40</f>
        <v>1.0015861860696869</v>
      </c>
      <c r="Q50" s="85" t="str">
        <f>'R3'!P40</f>
        <v/>
      </c>
      <c r="R50" s="85" t="str">
        <f>'R3'!Q40</f>
        <v/>
      </c>
      <c r="S50" s="85" t="str">
        <f>'R3'!R40</f>
        <v/>
      </c>
      <c r="T50" s="85" t="str">
        <f>'R3'!S40</f>
        <v/>
      </c>
      <c r="U50" s="85" t="str">
        <f>'R3'!T40</f>
        <v/>
      </c>
      <c r="V50" s="85" t="str">
        <f>'R3'!U40</f>
        <v/>
      </c>
      <c r="W50" s="85" t="str">
        <f>'R3'!V40</f>
        <v/>
      </c>
    </row>
    <row r="51" spans="1:25" s="1" customFormat="1">
      <c r="A51" s="154"/>
      <c r="B51" s="85" t="str">
        <f>'R3'!B41</f>
        <v/>
      </c>
      <c r="C51" s="85" t="str">
        <f>'R3'!C41</f>
        <v/>
      </c>
      <c r="D51" s="85" t="str">
        <f>'R3'!D41</f>
        <v/>
      </c>
      <c r="E51" s="85" t="str">
        <f>'R3'!E41</f>
        <v/>
      </c>
      <c r="F51" s="85" t="str">
        <f>'R3'!F41</f>
        <v/>
      </c>
      <c r="G51" s="85" t="str">
        <f>'R3'!G41</f>
        <v/>
      </c>
      <c r="H51" s="85" t="str">
        <f>'R3'!H41</f>
        <v/>
      </c>
      <c r="I51" s="85" t="str">
        <f>'R3'!I41</f>
        <v/>
      </c>
      <c r="J51" s="85" t="str">
        <f>'R3'!J41</f>
        <v/>
      </c>
      <c r="K51" s="85" t="str">
        <f>'R3'!K41</f>
        <v/>
      </c>
      <c r="L51" s="85" t="str">
        <f>'R3'!L41</f>
        <v/>
      </c>
      <c r="M51" s="85" t="str">
        <f>'R3'!M41</f>
        <v/>
      </c>
      <c r="N51" s="85" t="e">
        <f>'R3'!#REF!</f>
        <v>#REF!</v>
      </c>
      <c r="O51"/>
      <c r="P51" s="85">
        <f>'R3'!O41</f>
        <v>2.0021056937048849</v>
      </c>
      <c r="Q51" s="85" t="str">
        <f>'R3'!P41</f>
        <v/>
      </c>
      <c r="R51" s="85" t="str">
        <f>'R3'!Q41</f>
        <v/>
      </c>
      <c r="S51" s="85" t="str">
        <f>'R3'!R41</f>
        <v/>
      </c>
      <c r="T51" s="85" t="str">
        <f>'R3'!S41</f>
        <v/>
      </c>
      <c r="U51" s="85" t="str">
        <f>'R3'!T41</f>
        <v/>
      </c>
      <c r="V51" s="85" t="str">
        <f>'R3'!U41</f>
        <v/>
      </c>
      <c r="W51" s="85" t="str">
        <f>'R3'!V41</f>
        <v/>
      </c>
    </row>
    <row r="52" spans="1:25" s="1" customFormat="1">
      <c r="A52" s="154"/>
      <c r="B52" s="85" t="str">
        <f>'R3'!B42</f>
        <v/>
      </c>
      <c r="C52" s="85" t="str">
        <f>'R3'!C42</f>
        <v/>
      </c>
      <c r="D52" s="85" t="str">
        <f>'R3'!D42</f>
        <v/>
      </c>
      <c r="E52" s="85" t="str">
        <f>'R3'!E42</f>
        <v/>
      </c>
      <c r="F52" s="85" t="str">
        <f>'R3'!F42</f>
        <v/>
      </c>
      <c r="G52" s="85" t="str">
        <f>'R3'!G42</f>
        <v/>
      </c>
      <c r="H52" s="85" t="str">
        <f>'R3'!H42</f>
        <v/>
      </c>
      <c r="I52" s="85" t="str">
        <f>'R3'!I42</f>
        <v/>
      </c>
      <c r="J52" s="85" t="str">
        <f>'R3'!J42</f>
        <v/>
      </c>
      <c r="K52" s="85" t="str">
        <f>'R3'!K42</f>
        <v/>
      </c>
      <c r="L52" s="85" t="str">
        <f>'R3'!L42</f>
        <v/>
      </c>
      <c r="M52" s="85" t="str">
        <f>'R3'!M42</f>
        <v/>
      </c>
      <c r="N52" s="85" t="e">
        <f>'R3'!#REF!</f>
        <v>#REF!</v>
      </c>
      <c r="O52"/>
      <c r="P52" s="85">
        <f>'R3'!O42</f>
        <v>0.30254972042091482</v>
      </c>
      <c r="Q52" s="85" t="str">
        <f>'R3'!P42</f>
        <v/>
      </c>
      <c r="R52" s="85" t="str">
        <f>'R3'!Q42</f>
        <v/>
      </c>
      <c r="S52" s="85" t="str">
        <f>'R3'!R42</f>
        <v/>
      </c>
      <c r="T52" s="85" t="str">
        <f>'R3'!S42</f>
        <v/>
      </c>
      <c r="U52" s="85" t="str">
        <f>'R3'!T42</f>
        <v/>
      </c>
      <c r="V52" s="85" t="str">
        <f>'R3'!U42</f>
        <v/>
      </c>
      <c r="W52" s="85" t="str">
        <f>'R3'!V42</f>
        <v/>
      </c>
    </row>
    <row r="53" spans="1:25" s="1" customFormat="1">
      <c r="A53" s="155"/>
      <c r="B53" s="85" t="str">
        <f>'R3'!B43</f>
        <v/>
      </c>
      <c r="C53" s="85" t="str">
        <f>'R3'!C43</f>
        <v/>
      </c>
      <c r="D53" s="85" t="str">
        <f>'R3'!D43</f>
        <v/>
      </c>
      <c r="E53" s="85" t="str">
        <f>'R3'!E43</f>
        <v/>
      </c>
      <c r="F53" s="85" t="str">
        <f>'R3'!F43</f>
        <v/>
      </c>
      <c r="G53" s="85" t="str">
        <f>'R3'!G43</f>
        <v/>
      </c>
      <c r="H53" s="85" t="str">
        <f>'R3'!H43</f>
        <v/>
      </c>
      <c r="I53" s="85" t="str">
        <f>'R3'!I43</f>
        <v/>
      </c>
      <c r="J53" s="85" t="str">
        <f>'R3'!J43</f>
        <v/>
      </c>
      <c r="K53" s="85" t="str">
        <f>'R3'!K43</f>
        <v/>
      </c>
      <c r="L53" s="85" t="str">
        <f>'R3'!L43</f>
        <v/>
      </c>
      <c r="M53" s="85" t="str">
        <f>'R3'!M43</f>
        <v/>
      </c>
      <c r="N53" s="85" t="e">
        <f>'R3'!#REF!</f>
        <v>#REF!</v>
      </c>
      <c r="O53"/>
      <c r="P53" s="85">
        <f>'R3'!O43</f>
        <v>1.2349228345917329</v>
      </c>
      <c r="Q53" s="85" t="str">
        <f>'R3'!P43</f>
        <v/>
      </c>
      <c r="R53" s="85" t="str">
        <f>'R3'!Q43</f>
        <v/>
      </c>
      <c r="S53" s="85" t="str">
        <f>'R3'!R43</f>
        <v/>
      </c>
      <c r="T53" s="85" t="str">
        <f>'R3'!S43</f>
        <v/>
      </c>
      <c r="U53" s="85" t="str">
        <f>'R3'!T43</f>
        <v/>
      </c>
      <c r="V53" s="85" t="str">
        <f>'R3'!U43</f>
        <v/>
      </c>
      <c r="W53" s="85" t="str">
        <f>'R3'!V43</f>
        <v/>
      </c>
    </row>
    <row r="54" spans="1:25" s="44" customFormat="1">
      <c r="A54" s="42"/>
      <c r="B54" s="43"/>
      <c r="C54" s="43"/>
      <c r="D54" s="43"/>
      <c r="E54" s="43"/>
      <c r="F54" s="43"/>
      <c r="G54" s="43"/>
      <c r="H54" s="43"/>
      <c r="I54" s="43"/>
      <c r="J54" s="43"/>
      <c r="K54" s="43"/>
      <c r="L54" s="43"/>
      <c r="M54" s="43"/>
      <c r="N54" s="43"/>
      <c r="O54"/>
      <c r="P54" s="43"/>
      <c r="Q54" s="43"/>
      <c r="R54" s="43"/>
      <c r="S54" s="43"/>
      <c r="T54" s="43"/>
      <c r="U54" s="43"/>
      <c r="V54" s="43"/>
      <c r="W54" s="43"/>
    </row>
    <row r="55" spans="1:25" s="26" customFormat="1">
      <c r="A55" s="26" t="s">
        <v>27</v>
      </c>
      <c r="B55" s="15" t="str">
        <f t="shared" ref="B55:N55" si="0">B4</f>
        <v>Solvent control</v>
      </c>
      <c r="C55" s="15" t="str">
        <f t="shared" si="0"/>
        <v>EE2-33.8ng/L</v>
      </c>
      <c r="D55" s="15" t="str">
        <f t="shared" si="0"/>
        <v>EE2-50.6ng/L</v>
      </c>
      <c r="E55" s="15" t="str">
        <f t="shared" si="0"/>
        <v>EE2-76ng/L</v>
      </c>
      <c r="F55" s="15" t="str">
        <f t="shared" si="0"/>
        <v>EE2-114ng/L</v>
      </c>
      <c r="G55" s="15" t="str">
        <f t="shared" si="0"/>
        <v>EE2-170.9ng/L</v>
      </c>
      <c r="H55" s="15" t="str">
        <f t="shared" si="0"/>
        <v>EE2-488ng/L</v>
      </c>
      <c r="I55" s="15" t="str">
        <f t="shared" si="0"/>
        <v>tamoxifen-483ng/L</v>
      </c>
      <c r="J55" s="15" t="str">
        <f t="shared" si="0"/>
        <v>tamoxifen-242ng/L</v>
      </c>
      <c r="K55" s="15" t="str">
        <f t="shared" si="0"/>
        <v>tamoxifen-121ng/L</v>
      </c>
      <c r="L55" s="15" t="str">
        <f t="shared" si="0"/>
        <v>tamoxifen-60.4ng/L</v>
      </c>
      <c r="M55" s="15" t="str">
        <f t="shared" si="0"/>
        <v>tamoxifen-30.2ng/L</v>
      </c>
      <c r="N55" s="15" t="e">
        <f t="shared" si="0"/>
        <v>#REF!</v>
      </c>
      <c r="P55" s="15" t="str">
        <f t="shared" ref="P55:W55" si="1">P4</f>
        <v>Testo -30µg/L</v>
      </c>
      <c r="Q55" s="15" t="str">
        <f t="shared" si="1"/>
        <v>Testo 30µg/L + EE2 -64ng/L</v>
      </c>
      <c r="R55" s="15" t="str">
        <f t="shared" si="1"/>
        <v>Testo 30µg/L + FAD-10mg/L</v>
      </c>
      <c r="S55" s="15" t="str">
        <f t="shared" si="1"/>
        <v>tamoxifen-483ng/L + Testostérone</v>
      </c>
      <c r="T55" s="15" t="str">
        <f t="shared" si="1"/>
        <v>tamoxifen-242ng/L + Testostérone</v>
      </c>
      <c r="U55" s="15" t="str">
        <f t="shared" si="1"/>
        <v>tamoxifen-121ng/L + Testostérone</v>
      </c>
      <c r="V55" s="15" t="str">
        <f t="shared" si="1"/>
        <v>tamoxifen-60.4ng/L + Testostérone</v>
      </c>
      <c r="W55" s="15" t="str">
        <f t="shared" si="1"/>
        <v>tamoxifen-30.2ng/L + Testostérone</v>
      </c>
    </row>
    <row r="56" spans="1:25">
      <c r="A56" t="s">
        <v>28</v>
      </c>
      <c r="B56" s="9">
        <f t="shared" ref="B56:W56" si="2">AVERAGE(B6:B53)</f>
        <v>0.21773378382887928</v>
      </c>
      <c r="C56" s="9">
        <f t="shared" si="2"/>
        <v>0.30547670314228453</v>
      </c>
      <c r="D56" s="9">
        <f t="shared" si="2"/>
        <v>0.56746345092438555</v>
      </c>
      <c r="E56" s="9">
        <f t="shared" si="2"/>
        <v>1.0615174072180609</v>
      </c>
      <c r="F56" s="9">
        <f t="shared" si="2"/>
        <v>1.5840662951240143</v>
      </c>
      <c r="G56" s="9">
        <f t="shared" si="2"/>
        <v>1.9948840714009526</v>
      </c>
      <c r="H56" s="9">
        <f t="shared" si="2"/>
        <v>2.6272321816788082</v>
      </c>
      <c r="I56" s="9">
        <f t="shared" si="2"/>
        <v>0.6953552499601976</v>
      </c>
      <c r="J56" s="9">
        <f t="shared" si="2"/>
        <v>0.26764762269663178</v>
      </c>
      <c r="K56" s="9">
        <f t="shared" si="2"/>
        <v>0.30143597596096822</v>
      </c>
      <c r="L56" s="9">
        <f t="shared" si="2"/>
        <v>0.16919507683896765</v>
      </c>
      <c r="M56" s="9">
        <f t="shared" si="2"/>
        <v>0.24066730917389489</v>
      </c>
      <c r="N56" s="9" t="e">
        <f t="shared" si="2"/>
        <v>#REF!</v>
      </c>
      <c r="O56" s="9"/>
      <c r="P56" s="9">
        <f t="shared" si="2"/>
        <v>1.0000000000000002</v>
      </c>
      <c r="Q56" s="9">
        <f t="shared" si="2"/>
        <v>1.753901341194062</v>
      </c>
      <c r="R56" s="9">
        <f t="shared" si="2"/>
        <v>0.17331318663217754</v>
      </c>
      <c r="S56" s="9">
        <f t="shared" si="2"/>
        <v>1.4381656402616647</v>
      </c>
      <c r="T56" s="9">
        <f t="shared" si="2"/>
        <v>0.90979044537945597</v>
      </c>
      <c r="U56" s="9">
        <f t="shared" si="2"/>
        <v>1.0564124202428318</v>
      </c>
      <c r="V56" s="9">
        <f t="shared" si="2"/>
        <v>0.94472689083821937</v>
      </c>
      <c r="W56" s="9">
        <f t="shared" si="2"/>
        <v>0.84585366660483408</v>
      </c>
    </row>
    <row r="57" spans="1:25">
      <c r="A57" t="s">
        <v>1</v>
      </c>
      <c r="B57" s="3">
        <f>STDEV(B6:B53)</f>
        <v>0.18844301939133171</v>
      </c>
      <c r="C57" s="3">
        <f t="shared" ref="C57:W57" si="3">STDEV(C6:C53)</f>
        <v>0.19610990154516245</v>
      </c>
      <c r="D57" s="3">
        <f t="shared" si="3"/>
        <v>0.33206688182737759</v>
      </c>
      <c r="E57" s="3">
        <f t="shared" si="3"/>
        <v>0.35102259176053546</v>
      </c>
      <c r="F57" s="3">
        <f t="shared" si="3"/>
        <v>0.45233944739639609</v>
      </c>
      <c r="G57" s="3">
        <f t="shared" si="3"/>
        <v>0.65036906441413422</v>
      </c>
      <c r="H57" s="3">
        <f t="shared" si="3"/>
        <v>0.93568081105712197</v>
      </c>
      <c r="I57" s="3">
        <f t="shared" si="3"/>
        <v>0.30326092396203602</v>
      </c>
      <c r="J57" s="3">
        <f t="shared" si="3"/>
        <v>0.22598376051128341</v>
      </c>
      <c r="K57" s="3">
        <f t="shared" si="3"/>
        <v>0.24165002267301053</v>
      </c>
      <c r="L57" s="3">
        <f t="shared" si="3"/>
        <v>0.15118691223710679</v>
      </c>
      <c r="M57" s="3">
        <f t="shared" si="3"/>
        <v>0.18590464308062904</v>
      </c>
      <c r="N57" s="3" t="e">
        <f t="shared" si="3"/>
        <v>#REF!</v>
      </c>
      <c r="O57" s="3"/>
      <c r="P57" s="3">
        <f t="shared" si="3"/>
        <v>0.46726679870594401</v>
      </c>
      <c r="Q57" s="3">
        <f t="shared" si="3"/>
        <v>0.68723975520599012</v>
      </c>
      <c r="R57" s="3">
        <f t="shared" si="3"/>
        <v>0.1290524803999534</v>
      </c>
      <c r="S57" s="3">
        <f t="shared" si="3"/>
        <v>0.69733230063617457</v>
      </c>
      <c r="T57" s="3">
        <f t="shared" si="3"/>
        <v>0.42123732422729959</v>
      </c>
      <c r="U57" s="3">
        <f t="shared" si="3"/>
        <v>0.39801260277550515</v>
      </c>
      <c r="V57" s="3">
        <f t="shared" si="3"/>
        <v>0.5280926342979485</v>
      </c>
      <c r="W57" s="3">
        <f t="shared" si="3"/>
        <v>0.39159786508064304</v>
      </c>
      <c r="X57" s="3"/>
      <c r="Y57" s="3"/>
    </row>
    <row r="58" spans="1:25">
      <c r="A58" t="s">
        <v>2</v>
      </c>
      <c r="B58" s="3">
        <f xml:space="preserve"> B57/SQRT(COUNT(B6:B53))</f>
        <v>3.8465770258179884E-2</v>
      </c>
      <c r="C58" s="3">
        <f t="shared" ref="C58:W58" si="4" xml:space="preserve"> C57/SQRT(COUNT(C6:C53))</f>
        <v>4.0030766024424534E-2</v>
      </c>
      <c r="D58" s="3">
        <f t="shared" si="4"/>
        <v>6.7782868412846267E-2</v>
      </c>
      <c r="E58" s="3">
        <f t="shared" si="4"/>
        <v>7.1652186500216555E-2</v>
      </c>
      <c r="F58" s="3">
        <f t="shared" si="4"/>
        <v>9.2333403054473601E-2</v>
      </c>
      <c r="G58" s="3">
        <f t="shared" si="4"/>
        <v>0.13275602935882616</v>
      </c>
      <c r="H58" s="3">
        <f t="shared" si="4"/>
        <v>0.19099504576695545</v>
      </c>
      <c r="I58" s="3">
        <f t="shared" si="4"/>
        <v>6.1902876885996383E-2</v>
      </c>
      <c r="J58" s="3">
        <f t="shared" si="4"/>
        <v>4.612874195066325E-2</v>
      </c>
      <c r="K58" s="3">
        <f t="shared" si="4"/>
        <v>4.9326604323405146E-2</v>
      </c>
      <c r="L58" s="3">
        <f t="shared" si="4"/>
        <v>3.0860899230654472E-2</v>
      </c>
      <c r="M58" s="3">
        <f t="shared" si="4"/>
        <v>3.7947626363480716E-2</v>
      </c>
      <c r="N58" s="3" t="e">
        <f t="shared" si="4"/>
        <v>#REF!</v>
      </c>
      <c r="O58" s="3"/>
      <c r="P58" s="3">
        <f t="shared" si="4"/>
        <v>6.7444153004062868E-2</v>
      </c>
      <c r="Q58" s="3">
        <f t="shared" si="4"/>
        <v>0.14329939487350454</v>
      </c>
      <c r="R58" s="3">
        <f t="shared" si="4"/>
        <v>2.6342727251701083E-2</v>
      </c>
      <c r="S58" s="3">
        <f t="shared" si="4"/>
        <v>0.14234235980997545</v>
      </c>
      <c r="T58" s="3">
        <f t="shared" si="4"/>
        <v>8.5984708747683533E-2</v>
      </c>
      <c r="U58" s="3">
        <f t="shared" si="4"/>
        <v>8.1243982333086287E-2</v>
      </c>
      <c r="V58" s="3">
        <f t="shared" si="4"/>
        <v>0.10779645757934775</v>
      </c>
      <c r="W58" s="3">
        <f t="shared" si="4"/>
        <v>7.9934579484235505E-2</v>
      </c>
      <c r="X58" s="3"/>
      <c r="Y58" s="3"/>
    </row>
    <row r="59" spans="1:25" s="1" customFormat="1" ht="15.75" thickBot="1">
      <c r="B59" s="3"/>
      <c r="C59" s="3"/>
      <c r="D59" s="3"/>
      <c r="E59" s="3"/>
      <c r="F59" s="3"/>
      <c r="G59" s="3"/>
      <c r="H59" s="3"/>
      <c r="I59" s="3"/>
      <c r="J59" s="3"/>
      <c r="K59" s="3"/>
      <c r="L59" s="3"/>
      <c r="M59" s="3"/>
      <c r="N59" s="3"/>
      <c r="O59" s="3"/>
      <c r="P59" s="3"/>
      <c r="Q59" s="3"/>
      <c r="R59" s="3"/>
      <c r="S59" s="3"/>
      <c r="T59" s="3"/>
      <c r="U59" s="3"/>
      <c r="V59" s="3"/>
      <c r="W59" s="3"/>
    </row>
    <row r="60" spans="1:25" s="32" customFormat="1" ht="27" thickBot="1">
      <c r="A60" s="156" t="s">
        <v>26</v>
      </c>
      <c r="B60" s="157"/>
      <c r="C60" s="157"/>
      <c r="D60" s="157"/>
      <c r="E60" s="157"/>
      <c r="F60" s="157"/>
      <c r="G60" s="157"/>
      <c r="H60" s="157"/>
      <c r="I60" s="157"/>
      <c r="J60" s="157"/>
      <c r="K60" s="157"/>
      <c r="L60" s="157"/>
      <c r="M60" s="157"/>
      <c r="N60" s="157"/>
      <c r="O60" s="157"/>
      <c r="P60" s="157"/>
      <c r="Q60" s="157"/>
      <c r="R60" s="157"/>
      <c r="S60" s="157"/>
      <c r="T60" s="157"/>
      <c r="U60" s="157"/>
      <c r="V60" s="157"/>
      <c r="W60" s="157"/>
    </row>
    <row r="61" spans="1:25" s="1" customFormat="1">
      <c r="B61" s="3"/>
      <c r="C61" s="3"/>
      <c r="D61" s="3"/>
      <c r="E61" s="3"/>
      <c r="F61" s="3"/>
      <c r="G61" s="3"/>
      <c r="H61" s="3"/>
      <c r="I61" s="3"/>
      <c r="J61" s="3"/>
      <c r="K61" s="3"/>
      <c r="L61" s="3"/>
      <c r="M61" s="3"/>
      <c r="N61" s="3"/>
      <c r="O61" s="3"/>
      <c r="P61" s="3"/>
      <c r="Q61" s="3"/>
      <c r="R61" s="3"/>
      <c r="S61" s="3"/>
      <c r="T61" s="3"/>
      <c r="U61" s="3"/>
      <c r="V61" s="3"/>
      <c r="W61" s="3"/>
    </row>
    <row r="62" spans="1:25" s="1" customFormat="1">
      <c r="A62" s="1" t="s">
        <v>27</v>
      </c>
      <c r="B62" s="3" t="str">
        <f t="shared" ref="B62" si="5">B4</f>
        <v>Solvent control</v>
      </c>
      <c r="C62" s="3" t="str">
        <f t="shared" ref="C62:W62" si="6">C4</f>
        <v>EE2-33.8ng/L</v>
      </c>
      <c r="D62" s="3" t="str">
        <f t="shared" si="6"/>
        <v>EE2-50.6ng/L</v>
      </c>
      <c r="E62" s="3" t="str">
        <f t="shared" si="6"/>
        <v>EE2-76ng/L</v>
      </c>
      <c r="F62" s="3" t="str">
        <f t="shared" si="6"/>
        <v>EE2-114ng/L</v>
      </c>
      <c r="G62" s="3" t="str">
        <f t="shared" si="6"/>
        <v>EE2-170.9ng/L</v>
      </c>
      <c r="H62" s="3" t="str">
        <f t="shared" si="6"/>
        <v>EE2-488ng/L</v>
      </c>
      <c r="I62" s="3" t="str">
        <f t="shared" si="6"/>
        <v>tamoxifen-483ng/L</v>
      </c>
      <c r="J62" s="3" t="str">
        <f t="shared" si="6"/>
        <v>tamoxifen-242ng/L</v>
      </c>
      <c r="K62" s="3" t="str">
        <f t="shared" si="6"/>
        <v>tamoxifen-121ng/L</v>
      </c>
      <c r="L62" s="3" t="str">
        <f t="shared" si="6"/>
        <v>tamoxifen-60.4ng/L</v>
      </c>
      <c r="M62" s="3" t="str">
        <f t="shared" si="6"/>
        <v>tamoxifen-30.2ng/L</v>
      </c>
      <c r="N62" s="3" t="e">
        <f t="shared" si="6"/>
        <v>#REF!</v>
      </c>
      <c r="O62" s="3"/>
      <c r="P62" s="3" t="str">
        <f t="shared" si="6"/>
        <v>Testo -30µg/L</v>
      </c>
      <c r="Q62" s="3" t="str">
        <f t="shared" si="6"/>
        <v>Testo 30µg/L + EE2 -64ng/L</v>
      </c>
      <c r="R62" s="3" t="str">
        <f t="shared" si="6"/>
        <v>Testo 30µg/L + FAD-10mg/L</v>
      </c>
      <c r="S62" s="3" t="str">
        <f t="shared" si="6"/>
        <v>tamoxifen-483ng/L + Testostérone</v>
      </c>
      <c r="T62" s="3" t="str">
        <f t="shared" si="6"/>
        <v>tamoxifen-242ng/L + Testostérone</v>
      </c>
      <c r="U62" s="3" t="str">
        <f t="shared" si="6"/>
        <v>tamoxifen-121ng/L + Testostérone</v>
      </c>
      <c r="V62" s="3" t="str">
        <f t="shared" si="6"/>
        <v>tamoxifen-60.4ng/L + Testostérone</v>
      </c>
      <c r="W62" s="3" t="str">
        <f t="shared" si="6"/>
        <v>tamoxifen-30.2ng/L + Testostérone</v>
      </c>
    </row>
    <row r="63" spans="1:25" s="1" customFormat="1">
      <c r="A63" s="1" t="s">
        <v>29</v>
      </c>
      <c r="B63" s="3">
        <f>COUNT(B6:B53)</f>
        <v>24</v>
      </c>
      <c r="C63" s="3">
        <f t="shared" ref="C63:W63" si="7">COUNT(C6:C53)</f>
        <v>24</v>
      </c>
      <c r="D63" s="3">
        <f t="shared" si="7"/>
        <v>24</v>
      </c>
      <c r="E63" s="3">
        <f t="shared" si="7"/>
        <v>24</v>
      </c>
      <c r="F63" s="3">
        <f t="shared" si="7"/>
        <v>24</v>
      </c>
      <c r="G63" s="3">
        <f t="shared" si="7"/>
        <v>24</v>
      </c>
      <c r="H63" s="3">
        <f t="shared" si="7"/>
        <v>24</v>
      </c>
      <c r="I63" s="3">
        <f t="shared" si="7"/>
        <v>24</v>
      </c>
      <c r="J63" s="3">
        <f t="shared" si="7"/>
        <v>24</v>
      </c>
      <c r="K63" s="3">
        <f t="shared" si="7"/>
        <v>24</v>
      </c>
      <c r="L63" s="3">
        <f t="shared" si="7"/>
        <v>24</v>
      </c>
      <c r="M63" s="3">
        <f t="shared" si="7"/>
        <v>24</v>
      </c>
      <c r="N63" s="3">
        <f t="shared" si="7"/>
        <v>0</v>
      </c>
      <c r="O63" s="3"/>
      <c r="P63" s="3">
        <f t="shared" si="7"/>
        <v>48</v>
      </c>
      <c r="Q63" s="3">
        <f t="shared" si="7"/>
        <v>23</v>
      </c>
      <c r="R63" s="3">
        <f t="shared" si="7"/>
        <v>24</v>
      </c>
      <c r="S63" s="3">
        <f t="shared" si="7"/>
        <v>24</v>
      </c>
      <c r="T63" s="3">
        <f t="shared" si="7"/>
        <v>24</v>
      </c>
      <c r="U63" s="3">
        <f t="shared" si="7"/>
        <v>24</v>
      </c>
      <c r="V63" s="3">
        <f t="shared" si="7"/>
        <v>24</v>
      </c>
      <c r="W63" s="3">
        <f t="shared" si="7"/>
        <v>24</v>
      </c>
    </row>
    <row r="64" spans="1:25" s="1" customFormat="1" ht="15.75" thickBot="1">
      <c r="B64" s="3" t="str">
        <f>IF(B63&gt;=21,"OK","ATTENTION")</f>
        <v>OK</v>
      </c>
      <c r="C64" s="3" t="str">
        <f t="shared" ref="C64:W64" si="8">IF(C63&gt;=21,"OK","ATTENTION")</f>
        <v>OK</v>
      </c>
      <c r="D64" s="3" t="str">
        <f t="shared" si="8"/>
        <v>OK</v>
      </c>
      <c r="E64" s="3" t="str">
        <f t="shared" si="8"/>
        <v>OK</v>
      </c>
      <c r="F64" s="3" t="str">
        <f t="shared" si="8"/>
        <v>OK</v>
      </c>
      <c r="G64" s="3" t="str">
        <f t="shared" si="8"/>
        <v>OK</v>
      </c>
      <c r="H64" s="3" t="str">
        <f t="shared" si="8"/>
        <v>OK</v>
      </c>
      <c r="I64" s="3" t="str">
        <f t="shared" si="8"/>
        <v>OK</v>
      </c>
      <c r="J64" s="3" t="str">
        <f t="shared" si="8"/>
        <v>OK</v>
      </c>
      <c r="K64" s="3" t="str">
        <f t="shared" si="8"/>
        <v>OK</v>
      </c>
      <c r="L64" s="3" t="str">
        <f t="shared" si="8"/>
        <v>OK</v>
      </c>
      <c r="M64" s="3" t="str">
        <f t="shared" si="8"/>
        <v>OK</v>
      </c>
      <c r="N64" s="3" t="str">
        <f t="shared" si="8"/>
        <v>ATTENTION</v>
      </c>
      <c r="O64" s="3"/>
      <c r="P64" s="3" t="str">
        <f>IF(P63&gt;=41,"OK","ATTENTION")</f>
        <v>OK</v>
      </c>
      <c r="Q64" s="3" t="str">
        <f t="shared" si="8"/>
        <v>OK</v>
      </c>
      <c r="R64" s="3" t="str">
        <f t="shared" si="8"/>
        <v>OK</v>
      </c>
      <c r="S64" s="3" t="str">
        <f t="shared" si="8"/>
        <v>OK</v>
      </c>
      <c r="T64" s="3" t="str">
        <f t="shared" si="8"/>
        <v>OK</v>
      </c>
      <c r="U64" s="3" t="str">
        <f t="shared" si="8"/>
        <v>OK</v>
      </c>
      <c r="V64" s="3" t="str">
        <f t="shared" si="8"/>
        <v>OK</v>
      </c>
      <c r="W64" s="3" t="str">
        <f t="shared" si="8"/>
        <v>OK</v>
      </c>
    </row>
    <row r="65" spans="1:23" s="32" customFormat="1" ht="27" thickBot="1">
      <c r="A65" s="156" t="s">
        <v>37</v>
      </c>
      <c r="B65" s="157"/>
      <c r="C65" s="157"/>
      <c r="D65" s="157"/>
      <c r="E65" s="157"/>
      <c r="F65" s="157"/>
      <c r="G65" s="157"/>
      <c r="H65" s="157"/>
      <c r="I65" s="157"/>
      <c r="J65" s="157"/>
      <c r="K65" s="157"/>
      <c r="L65" s="157"/>
      <c r="M65" s="157"/>
      <c r="N65" s="157"/>
      <c r="O65" s="157"/>
      <c r="P65" s="157"/>
      <c r="Q65" s="157"/>
      <c r="R65" s="157"/>
      <c r="S65" s="157"/>
      <c r="T65" s="157"/>
      <c r="U65" s="157"/>
      <c r="V65" s="157"/>
      <c r="W65" s="157"/>
    </row>
    <row r="66" spans="1:23" s="1" customFormat="1">
      <c r="B66" s="1" t="s">
        <v>39</v>
      </c>
      <c r="C66" s="3"/>
      <c r="D66" s="3"/>
      <c r="E66" s="3"/>
      <c r="F66" s="3"/>
      <c r="G66" s="3"/>
      <c r="H66" s="3"/>
      <c r="I66" s="3"/>
      <c r="J66" s="3"/>
      <c r="K66" s="3"/>
      <c r="L66" s="3"/>
      <c r="M66" s="3"/>
      <c r="N66" s="3"/>
      <c r="O66" s="3"/>
      <c r="P66" s="3"/>
      <c r="Q66" s="3"/>
      <c r="R66" s="3"/>
      <c r="S66" s="3"/>
      <c r="T66" s="3"/>
      <c r="U66" s="3"/>
      <c r="V66" s="3"/>
      <c r="W66" s="3"/>
    </row>
    <row r="67" spans="1:23" s="1" customFormat="1">
      <c r="A67" s="1" t="s">
        <v>38</v>
      </c>
      <c r="B67" s="3">
        <v>3.5</v>
      </c>
      <c r="C67" s="3"/>
      <c r="D67" s="3"/>
      <c r="E67" s="3"/>
      <c r="F67" s="3"/>
      <c r="G67" s="3"/>
      <c r="H67" s="3"/>
      <c r="I67" s="3"/>
      <c r="J67" s="3"/>
      <c r="K67" s="3"/>
      <c r="L67" s="3"/>
      <c r="M67" s="3"/>
      <c r="N67" s="3"/>
      <c r="O67" s="3"/>
      <c r="P67" s="3"/>
      <c r="Q67" s="3"/>
      <c r="R67" s="3"/>
      <c r="S67" s="3"/>
      <c r="T67" s="3"/>
      <c r="U67" s="3"/>
      <c r="V67" s="3"/>
      <c r="W67" s="3"/>
    </row>
    <row r="68" spans="1:23" s="1" customFormat="1">
      <c r="A68" s="1" t="s">
        <v>40</v>
      </c>
      <c r="B68" s="3">
        <v>2</v>
      </c>
      <c r="C68" s="3"/>
      <c r="D68" s="3"/>
      <c r="E68" s="3"/>
      <c r="F68" s="3"/>
      <c r="G68" s="3"/>
      <c r="H68" s="3"/>
      <c r="I68" s="3"/>
      <c r="J68" s="3"/>
      <c r="K68" s="3"/>
      <c r="L68" s="3"/>
      <c r="M68" s="3"/>
      <c r="N68" s="3"/>
      <c r="O68" s="3"/>
      <c r="P68" s="3"/>
      <c r="Q68" s="3"/>
      <c r="R68" s="3"/>
      <c r="S68" s="3"/>
      <c r="T68" s="3"/>
      <c r="U68" s="3"/>
      <c r="V68" s="3"/>
      <c r="W68" s="3"/>
    </row>
    <row r="69" spans="1:23" s="1" customFormat="1" ht="15.75" thickBot="1">
      <c r="A69" s="1" t="s">
        <v>41</v>
      </c>
      <c r="B69" s="3">
        <v>0.5</v>
      </c>
      <c r="C69" s="3"/>
      <c r="D69" s="3"/>
      <c r="E69" s="3"/>
      <c r="F69" s="3"/>
      <c r="G69" s="3"/>
      <c r="H69" s="3"/>
      <c r="I69" s="3"/>
      <c r="J69" s="3"/>
      <c r="K69" s="3"/>
      <c r="L69" s="3"/>
      <c r="M69" s="3"/>
      <c r="N69" s="3"/>
      <c r="O69" s="3"/>
      <c r="P69" s="3"/>
      <c r="Q69" s="3"/>
      <c r="R69" s="3"/>
      <c r="S69" s="3"/>
      <c r="T69" s="3"/>
      <c r="U69" s="3"/>
      <c r="V69" s="3"/>
      <c r="W69" s="3"/>
    </row>
    <row r="70" spans="1:23" s="32" customFormat="1" ht="27" thickBot="1">
      <c r="A70" s="156" t="s">
        <v>32</v>
      </c>
      <c r="B70" s="157"/>
      <c r="C70" s="157"/>
      <c r="D70" s="157"/>
      <c r="E70" s="157"/>
      <c r="F70" s="157"/>
      <c r="G70" s="157"/>
      <c r="H70" s="157"/>
      <c r="I70" s="157"/>
      <c r="J70" s="157"/>
      <c r="K70" s="157"/>
      <c r="L70" s="157"/>
      <c r="M70" s="157"/>
      <c r="N70" s="157"/>
      <c r="O70" s="157"/>
      <c r="P70" s="157"/>
      <c r="Q70" s="157"/>
      <c r="R70" s="157"/>
      <c r="S70" s="157"/>
      <c r="T70" s="157"/>
      <c r="U70" s="157"/>
      <c r="V70" s="157"/>
      <c r="W70" s="157"/>
    </row>
    <row r="71" spans="1:23" ht="15.75" thickBot="1"/>
    <row r="72" spans="1:23" s="32" customFormat="1" ht="27" thickBot="1">
      <c r="A72" s="156" t="s">
        <v>33</v>
      </c>
      <c r="B72" s="157"/>
      <c r="C72" s="157"/>
      <c r="D72" s="157"/>
      <c r="E72" s="157"/>
      <c r="F72" s="157"/>
      <c r="G72" s="157"/>
      <c r="H72" s="157"/>
      <c r="I72" s="157"/>
      <c r="J72" s="157"/>
      <c r="K72" s="157"/>
      <c r="L72" s="157"/>
      <c r="M72" s="157"/>
      <c r="N72" s="157"/>
      <c r="O72" s="157"/>
      <c r="P72" s="157"/>
      <c r="Q72" s="157"/>
      <c r="R72" s="157"/>
      <c r="S72" s="157"/>
      <c r="T72" s="157"/>
      <c r="U72" s="157"/>
      <c r="V72" s="157"/>
      <c r="W72" s="157"/>
    </row>
    <row r="73" spans="1:23" ht="15.75" thickBot="1">
      <c r="J73" s="3">
        <v>1</v>
      </c>
      <c r="K73" s="3">
        <v>2</v>
      </c>
      <c r="L73" s="3">
        <v>3</v>
      </c>
      <c r="M73" s="3">
        <v>4</v>
      </c>
      <c r="N73" s="3">
        <v>5</v>
      </c>
      <c r="S73" s="3">
        <v>1</v>
      </c>
      <c r="T73" s="3">
        <v>2</v>
      </c>
      <c r="U73" s="3">
        <v>3</v>
      </c>
      <c r="V73" s="3">
        <v>4</v>
      </c>
      <c r="W73" s="3">
        <v>5</v>
      </c>
    </row>
    <row r="74" spans="1:23" s="1" customFormat="1">
      <c r="A74" s="29" t="s">
        <v>22</v>
      </c>
      <c r="B74" s="30" t="str">
        <f t="shared" ref="B74:N74" si="9">B4</f>
        <v>Solvent control</v>
      </c>
      <c r="C74" s="30" t="str">
        <f t="shared" si="9"/>
        <v>EE2-33.8ng/L</v>
      </c>
      <c r="D74" s="30" t="str">
        <f t="shared" si="9"/>
        <v>EE2-50.6ng/L</v>
      </c>
      <c r="E74" s="30" t="str">
        <f t="shared" si="9"/>
        <v>EE2-76ng/L</v>
      </c>
      <c r="F74" s="30" t="str">
        <f t="shared" si="9"/>
        <v>EE2-114ng/L</v>
      </c>
      <c r="G74" s="30" t="str">
        <f t="shared" si="9"/>
        <v>EE2-170.9ng/L</v>
      </c>
      <c r="H74" s="30" t="str">
        <f t="shared" si="9"/>
        <v>EE2-488ng/L</v>
      </c>
      <c r="I74" s="30" t="str">
        <f t="shared" si="9"/>
        <v>tamoxifen-483ng/L</v>
      </c>
      <c r="J74" s="30" t="str">
        <f t="shared" si="9"/>
        <v>tamoxifen-242ng/L</v>
      </c>
      <c r="K74" s="30" t="str">
        <f t="shared" si="9"/>
        <v>tamoxifen-121ng/L</v>
      </c>
      <c r="L74" s="30" t="str">
        <f t="shared" si="9"/>
        <v>tamoxifen-60.4ng/L</v>
      </c>
      <c r="M74" s="30" t="str">
        <f t="shared" si="9"/>
        <v>tamoxifen-30.2ng/L</v>
      </c>
      <c r="N74" s="30" t="e">
        <f t="shared" si="9"/>
        <v>#REF!</v>
      </c>
      <c r="O74" s="30"/>
      <c r="P74" s="30" t="str">
        <f t="shared" ref="P74:W74" si="10">P4</f>
        <v>Testo -30µg/L</v>
      </c>
      <c r="Q74" s="30" t="str">
        <f t="shared" si="10"/>
        <v>Testo 30µg/L + EE2 -64ng/L</v>
      </c>
      <c r="R74" s="30" t="str">
        <f t="shared" si="10"/>
        <v>Testo 30µg/L + FAD-10mg/L</v>
      </c>
      <c r="S74" s="30" t="str">
        <f t="shared" si="10"/>
        <v>tamoxifen-483ng/L + Testostérone</v>
      </c>
      <c r="T74" s="30" t="str">
        <f t="shared" si="10"/>
        <v>tamoxifen-242ng/L + Testostérone</v>
      </c>
      <c r="U74" s="30" t="str">
        <f t="shared" si="10"/>
        <v>tamoxifen-121ng/L + Testostérone</v>
      </c>
      <c r="V74" s="30" t="str">
        <f t="shared" si="10"/>
        <v>tamoxifen-60.4ng/L + Testostérone</v>
      </c>
      <c r="W74" s="30" t="str">
        <f t="shared" si="10"/>
        <v>tamoxifen-30.2ng/L + Testostérone</v>
      </c>
    </row>
    <row r="75" spans="1:23" s="3" customFormat="1">
      <c r="A75" s="45" t="s">
        <v>15</v>
      </c>
      <c r="B75" s="77">
        <f>B56</f>
        <v>0.21773378382887928</v>
      </c>
      <c r="C75" s="77">
        <f t="shared" ref="C75:W75" si="11">C56</f>
        <v>0.30547670314228453</v>
      </c>
      <c r="D75" s="77">
        <f t="shared" si="11"/>
        <v>0.56746345092438555</v>
      </c>
      <c r="E75" s="77">
        <f t="shared" si="11"/>
        <v>1.0615174072180609</v>
      </c>
      <c r="F75" s="77">
        <f t="shared" si="11"/>
        <v>1.5840662951240143</v>
      </c>
      <c r="G75" s="77">
        <f t="shared" si="11"/>
        <v>1.9948840714009526</v>
      </c>
      <c r="H75" s="77">
        <f t="shared" si="11"/>
        <v>2.6272321816788082</v>
      </c>
      <c r="I75" s="77">
        <f t="shared" si="11"/>
        <v>0.6953552499601976</v>
      </c>
      <c r="J75" s="77">
        <f t="shared" si="11"/>
        <v>0.26764762269663178</v>
      </c>
      <c r="K75" s="77">
        <f t="shared" si="11"/>
        <v>0.30143597596096822</v>
      </c>
      <c r="L75" s="77">
        <f t="shared" si="11"/>
        <v>0.16919507683896765</v>
      </c>
      <c r="M75" s="77">
        <f t="shared" si="11"/>
        <v>0.24066730917389489</v>
      </c>
      <c r="N75" s="77" t="e">
        <f t="shared" si="11"/>
        <v>#REF!</v>
      </c>
      <c r="O75" s="77"/>
      <c r="P75" s="77">
        <f t="shared" si="11"/>
        <v>1.0000000000000002</v>
      </c>
      <c r="Q75" s="77">
        <f t="shared" si="11"/>
        <v>1.753901341194062</v>
      </c>
      <c r="R75" s="77">
        <f t="shared" si="11"/>
        <v>0.17331318663217754</v>
      </c>
      <c r="S75" s="77">
        <f t="shared" si="11"/>
        <v>1.4381656402616647</v>
      </c>
      <c r="T75" s="77">
        <f t="shared" si="11"/>
        <v>0.90979044537945597</v>
      </c>
      <c r="U75" s="77">
        <f t="shared" si="11"/>
        <v>1.0564124202428318</v>
      </c>
      <c r="V75" s="77">
        <f t="shared" si="11"/>
        <v>0.94472689083821937</v>
      </c>
      <c r="W75" s="77">
        <f t="shared" si="11"/>
        <v>0.84585366660483408</v>
      </c>
    </row>
    <row r="76" spans="1:23" s="3" customFormat="1">
      <c r="A76" s="45" t="s">
        <v>2</v>
      </c>
      <c r="B76" s="77">
        <f>B58</f>
        <v>3.8465770258179884E-2</v>
      </c>
      <c r="C76" s="77">
        <f t="shared" ref="C76:W76" si="12">C58</f>
        <v>4.0030766024424534E-2</v>
      </c>
      <c r="D76" s="77">
        <f t="shared" si="12"/>
        <v>6.7782868412846267E-2</v>
      </c>
      <c r="E76" s="77">
        <f t="shared" si="12"/>
        <v>7.1652186500216555E-2</v>
      </c>
      <c r="F76" s="77">
        <f t="shared" si="12"/>
        <v>9.2333403054473601E-2</v>
      </c>
      <c r="G76" s="77">
        <f t="shared" si="12"/>
        <v>0.13275602935882616</v>
      </c>
      <c r="H76" s="77">
        <f t="shared" si="12"/>
        <v>0.19099504576695545</v>
      </c>
      <c r="I76" s="77">
        <f t="shared" si="12"/>
        <v>6.1902876885996383E-2</v>
      </c>
      <c r="J76" s="77">
        <f t="shared" si="12"/>
        <v>4.612874195066325E-2</v>
      </c>
      <c r="K76" s="77">
        <f t="shared" si="12"/>
        <v>4.9326604323405146E-2</v>
      </c>
      <c r="L76" s="77">
        <f t="shared" si="12"/>
        <v>3.0860899230654472E-2</v>
      </c>
      <c r="M76" s="77">
        <f t="shared" si="12"/>
        <v>3.7947626363480716E-2</v>
      </c>
      <c r="N76" s="77" t="e">
        <f t="shared" si="12"/>
        <v>#REF!</v>
      </c>
      <c r="O76" s="77"/>
      <c r="P76" s="77">
        <f t="shared" si="12"/>
        <v>6.7444153004062868E-2</v>
      </c>
      <c r="Q76" s="77">
        <f t="shared" si="12"/>
        <v>0.14329939487350454</v>
      </c>
      <c r="R76" s="77">
        <f t="shared" si="12"/>
        <v>2.6342727251701083E-2</v>
      </c>
      <c r="S76" s="77">
        <f t="shared" si="12"/>
        <v>0.14234235980997545</v>
      </c>
      <c r="T76" s="77">
        <f t="shared" si="12"/>
        <v>8.5984708747683533E-2</v>
      </c>
      <c r="U76" s="77">
        <f t="shared" si="12"/>
        <v>8.1243982333086287E-2</v>
      </c>
      <c r="V76" s="77">
        <f t="shared" si="12"/>
        <v>0.10779645757934775</v>
      </c>
      <c r="W76" s="77">
        <f t="shared" si="12"/>
        <v>7.9934579484235505E-2</v>
      </c>
    </row>
    <row r="77" spans="1:23" s="3" customFormat="1">
      <c r="A77" s="45" t="s">
        <v>42</v>
      </c>
      <c r="B77" s="77">
        <f>(B75*100/$B$75)-100</f>
        <v>0</v>
      </c>
      <c r="C77" s="77">
        <f t="shared" ref="C77:N77" si="13">(C75*100/$B$75)-100</f>
        <v>40.298256784240664</v>
      </c>
      <c r="D77" s="77">
        <f t="shared" si="13"/>
        <v>160.62260111658406</v>
      </c>
      <c r="E77" s="77">
        <f t="shared" si="13"/>
        <v>387.52994990080441</v>
      </c>
      <c r="F77" s="77">
        <f t="shared" si="13"/>
        <v>627.52434981287013</v>
      </c>
      <c r="G77" s="77">
        <f t="shared" si="13"/>
        <v>816.20328105296062</v>
      </c>
      <c r="H77" s="77">
        <f t="shared" si="13"/>
        <v>1106.6258783908311</v>
      </c>
      <c r="I77" s="77">
        <f t="shared" si="13"/>
        <v>219.36029298360478</v>
      </c>
      <c r="J77" s="77">
        <f t="shared" si="13"/>
        <v>22.924250885650636</v>
      </c>
      <c r="K77" s="77">
        <f t="shared" si="13"/>
        <v>38.442445935662391</v>
      </c>
      <c r="L77" s="77">
        <f t="shared" si="13"/>
        <v>-22.292685193979381</v>
      </c>
      <c r="M77" s="77">
        <f t="shared" si="13"/>
        <v>10.53282818207002</v>
      </c>
      <c r="N77" s="77" t="e">
        <f t="shared" si="13"/>
        <v>#REF!</v>
      </c>
      <c r="O77" s="77"/>
      <c r="P77" s="77">
        <f>(P75*100/$P$75)-100</f>
        <v>0</v>
      </c>
      <c r="Q77" s="77">
        <f t="shared" ref="Q77:W77" si="14">(Q75*100/$P$75)-100</f>
        <v>75.390134119406184</v>
      </c>
      <c r="R77" s="77">
        <f t="shared" si="14"/>
        <v>-82.668681336782242</v>
      </c>
      <c r="S77" s="77">
        <f t="shared" si="14"/>
        <v>43.816564026166446</v>
      </c>
      <c r="T77" s="77">
        <f t="shared" si="14"/>
        <v>-9.0209554620544168</v>
      </c>
      <c r="U77" s="77">
        <f t="shared" si="14"/>
        <v>5.6412420242831445</v>
      </c>
      <c r="V77" s="77">
        <f t="shared" si="14"/>
        <v>-5.5273109161780809</v>
      </c>
      <c r="W77" s="77">
        <f t="shared" si="14"/>
        <v>-15.414633339516612</v>
      </c>
    </row>
    <row r="78" spans="1:23" s="3" customFormat="1">
      <c r="A78" s="45" t="s">
        <v>43</v>
      </c>
      <c r="B78" s="77" t="e">
        <f ca="1">[1]!DPTEST(B6:B53)</f>
        <v>#NAME?</v>
      </c>
      <c r="C78" s="77" t="e">
        <f ca="1">[1]!DPTEST(C6:C53)</f>
        <v>#NAME?</v>
      </c>
      <c r="D78" s="77" t="e">
        <f ca="1">[1]!DPTEST(D6:D53)</f>
        <v>#NAME?</v>
      </c>
      <c r="E78" s="77" t="e">
        <f ca="1">[1]!DPTEST(E6:E53)</f>
        <v>#NAME?</v>
      </c>
      <c r="F78" s="77" t="e">
        <f ca="1">[1]!DPTEST(F6:F53)</f>
        <v>#NAME?</v>
      </c>
      <c r="G78" s="77" t="e">
        <f ca="1">[1]!DPTEST(G6:G53)</f>
        <v>#NAME?</v>
      </c>
      <c r="H78" s="77" t="e">
        <f ca="1">[1]!DPTEST(H6:H53)</f>
        <v>#NAME?</v>
      </c>
      <c r="I78" s="77" t="e">
        <f ca="1">[1]!DPTEST(I6:I53)</f>
        <v>#NAME?</v>
      </c>
      <c r="J78" s="77" t="e">
        <f ca="1">[1]!DPTEST(J6:J53)</f>
        <v>#NAME?</v>
      </c>
      <c r="K78" s="77" t="e">
        <f ca="1">[1]!DPTEST(K6:K53)</f>
        <v>#NAME?</v>
      </c>
      <c r="L78" s="77" t="e">
        <f ca="1">[1]!DPTEST(L6:L53)</f>
        <v>#NAME?</v>
      </c>
      <c r="M78" s="77" t="e">
        <f ca="1">[1]!DPTEST(M6:M53)</f>
        <v>#NAME?</v>
      </c>
      <c r="N78" s="77" t="e">
        <f ca="1">[1]!DPTEST(N6:N53)</f>
        <v>#NAME?</v>
      </c>
      <c r="O78" s="77"/>
      <c r="P78" s="77" t="e">
        <f ca="1">[1]!DPTEST(P6:P53)</f>
        <v>#NAME?</v>
      </c>
      <c r="Q78" s="77" t="e">
        <f ca="1">[1]!DPTEST(Q6:Q53)</f>
        <v>#NAME?</v>
      </c>
      <c r="R78" s="77" t="e">
        <f ca="1">[1]!DPTEST(R6:R53)</f>
        <v>#NAME?</v>
      </c>
      <c r="S78" s="77" t="e">
        <f ca="1">[1]!DPTEST(S6:S53)</f>
        <v>#NAME?</v>
      </c>
      <c r="T78" s="77" t="e">
        <f ca="1">[1]!DPTEST(T6:T53)</f>
        <v>#NAME?</v>
      </c>
      <c r="U78" s="77" t="e">
        <f ca="1">[1]!DPTEST(U6:U53)</f>
        <v>#NAME?</v>
      </c>
      <c r="V78" s="77" t="e">
        <f ca="1">[1]!DPTEST(V6:V53)</f>
        <v>#NAME?</v>
      </c>
      <c r="W78" s="77" t="e">
        <f ca="1">[1]!DPTEST(W6:W53)</f>
        <v>#NAME?</v>
      </c>
    </row>
    <row r="79" spans="1:23" s="3" customFormat="1">
      <c r="A79" s="45" t="s">
        <v>47</v>
      </c>
      <c r="B79" s="77" t="e">
        <f ca="1">IF(B78&gt;0.05,"Oui","Non")</f>
        <v>#NAME?</v>
      </c>
      <c r="C79" s="77" t="e">
        <f t="shared" ref="C79:W79" ca="1" si="15">IF(C78&gt;0.05,"Oui","Non")</f>
        <v>#NAME?</v>
      </c>
      <c r="D79" s="77" t="e">
        <f t="shared" ca="1" si="15"/>
        <v>#NAME?</v>
      </c>
      <c r="E79" s="77" t="e">
        <f t="shared" ca="1" si="15"/>
        <v>#NAME?</v>
      </c>
      <c r="F79" s="77" t="e">
        <f t="shared" ca="1" si="15"/>
        <v>#NAME?</v>
      </c>
      <c r="G79" s="77" t="e">
        <f t="shared" ca="1" si="15"/>
        <v>#NAME?</v>
      </c>
      <c r="H79" s="77" t="e">
        <f t="shared" ca="1" si="15"/>
        <v>#NAME?</v>
      </c>
      <c r="I79" s="77" t="e">
        <f t="shared" ca="1" si="15"/>
        <v>#NAME?</v>
      </c>
      <c r="J79" s="77" t="e">
        <f t="shared" ca="1" si="15"/>
        <v>#NAME?</v>
      </c>
      <c r="K79" s="77" t="e">
        <f t="shared" ca="1" si="15"/>
        <v>#NAME?</v>
      </c>
      <c r="L79" s="77" t="e">
        <f t="shared" ca="1" si="15"/>
        <v>#NAME?</v>
      </c>
      <c r="M79" s="77" t="e">
        <f t="shared" ca="1" si="15"/>
        <v>#NAME?</v>
      </c>
      <c r="N79" s="77" t="e">
        <f t="shared" ca="1" si="15"/>
        <v>#NAME?</v>
      </c>
      <c r="O79" s="77"/>
      <c r="P79" s="77" t="e">
        <f t="shared" ca="1" si="15"/>
        <v>#NAME?</v>
      </c>
      <c r="Q79" s="77" t="e">
        <f t="shared" ca="1" si="15"/>
        <v>#NAME?</v>
      </c>
      <c r="R79" s="77" t="e">
        <f t="shared" ca="1" si="15"/>
        <v>#NAME?</v>
      </c>
      <c r="S79" s="77" t="e">
        <f t="shared" ca="1" si="15"/>
        <v>#NAME?</v>
      </c>
      <c r="T79" s="77" t="e">
        <f t="shared" ca="1" si="15"/>
        <v>#NAME?</v>
      </c>
      <c r="U79" s="77" t="e">
        <f t="shared" ca="1" si="15"/>
        <v>#NAME?</v>
      </c>
      <c r="V79" s="77" t="e">
        <f t="shared" ca="1" si="15"/>
        <v>#NAME?</v>
      </c>
      <c r="W79" s="77" t="e">
        <f t="shared" ca="1" si="15"/>
        <v>#NAME?</v>
      </c>
    </row>
    <row r="80" spans="1:23" s="3" customFormat="1">
      <c r="A80" s="45" t="s">
        <v>49</v>
      </c>
      <c r="B80" s="77" t="str">
        <f ca="1">IF(COUNTIF(B79:I79, "Non")=0, "Oui","Non")</f>
        <v>Oui</v>
      </c>
      <c r="C80" s="77"/>
      <c r="D80" s="77"/>
      <c r="E80" s="77"/>
      <c r="F80" s="77"/>
      <c r="G80" s="77"/>
      <c r="H80" s="77"/>
      <c r="I80" s="77"/>
      <c r="J80" s="77" t="str">
        <f ca="1">IF(COUNTIF(J79:N79, "Non")&gt;0, "Oui","Non")</f>
        <v>Non</v>
      </c>
      <c r="K80" s="77"/>
      <c r="L80" s="77"/>
      <c r="M80" s="77"/>
      <c r="N80" s="77"/>
      <c r="O80" s="77"/>
      <c r="P80" s="77"/>
      <c r="Q80" s="77"/>
      <c r="R80" s="77"/>
      <c r="S80" s="77" t="str">
        <f ca="1">IF(COUNTIF(S79:W79, "Non")&gt;0, "Oui","Non")</f>
        <v>Non</v>
      </c>
      <c r="T80" s="77"/>
      <c r="U80" s="77"/>
      <c r="V80" s="77"/>
      <c r="W80" s="77"/>
    </row>
    <row r="81" spans="1:23" s="3" customFormat="1">
      <c r="A81" s="45" t="s">
        <v>44</v>
      </c>
      <c r="B81" s="77"/>
      <c r="C81" s="77" t="s">
        <v>80</v>
      </c>
      <c r="D81" s="77" t="s">
        <v>80</v>
      </c>
      <c r="E81" s="77" t="s">
        <v>80</v>
      </c>
      <c r="F81" s="77" t="s">
        <v>80</v>
      </c>
      <c r="G81" s="77" t="s">
        <v>80</v>
      </c>
      <c r="H81" s="77" t="s">
        <v>80</v>
      </c>
      <c r="I81" s="77" t="s">
        <v>80</v>
      </c>
      <c r="J81" s="77" t="s">
        <v>80</v>
      </c>
      <c r="K81" s="77" t="s">
        <v>80</v>
      </c>
      <c r="L81" s="77" t="s">
        <v>80</v>
      </c>
      <c r="M81" s="77" t="s">
        <v>80</v>
      </c>
      <c r="N81" s="77" t="e">
        <f t="shared" ref="N81" ca="1" si="16">IF($B79="Non",IF(N79="Non","Mann Withney",IF(N79="Oui","Mann Withney","")),IF($B79="Oui",IF(N79="Oui","T-Test Welch",IF(N79="Non","Mann Withney",""))))</f>
        <v>#NAME?</v>
      </c>
      <c r="O81" s="77"/>
      <c r="P81" s="77" t="s">
        <v>81</v>
      </c>
      <c r="Q81" s="77" t="s">
        <v>82</v>
      </c>
      <c r="R81" s="77" t="s">
        <v>82</v>
      </c>
      <c r="S81" s="77" t="s">
        <v>80</v>
      </c>
      <c r="T81" s="77" t="s">
        <v>80</v>
      </c>
      <c r="U81" s="77" t="s">
        <v>80</v>
      </c>
      <c r="V81" s="77" t="s">
        <v>80</v>
      </c>
      <c r="W81" s="77" t="s">
        <v>80</v>
      </c>
    </row>
    <row r="82" spans="1:23" s="3" customFormat="1">
      <c r="A82" s="45" t="s">
        <v>45</v>
      </c>
      <c r="B82" s="77"/>
      <c r="C82" s="77" t="s">
        <v>77</v>
      </c>
      <c r="D82" s="77">
        <v>0.1648</v>
      </c>
      <c r="E82" s="77" t="s">
        <v>79</v>
      </c>
      <c r="F82" s="77" t="s">
        <v>79</v>
      </c>
      <c r="G82" s="77" t="s">
        <v>79</v>
      </c>
      <c r="H82" s="77" t="s">
        <v>79</v>
      </c>
      <c r="I82" s="77" t="s">
        <v>79</v>
      </c>
      <c r="J82" s="77" t="s">
        <v>77</v>
      </c>
      <c r="K82" s="77" t="s">
        <v>77</v>
      </c>
      <c r="L82" s="77" t="s">
        <v>77</v>
      </c>
      <c r="M82" s="77" t="s">
        <v>77</v>
      </c>
      <c r="N82" s="77" t="e">
        <f ca="1">IF(N81="Mann Withney",[1]!MTEST($B6:$B53,N6:N53,2), IF(N81="T-Test Welch",_xlfn.T.TEST($B6:$B53,N6:N53,2,3),""))</f>
        <v>#NAME?</v>
      </c>
      <c r="O82" s="77"/>
      <c r="P82" s="77" t="s">
        <v>79</v>
      </c>
      <c r="Q82" s="77" t="s">
        <v>79</v>
      </c>
      <c r="R82" s="77" t="s">
        <v>79</v>
      </c>
      <c r="S82" s="77">
        <v>8.1900000000000001E-2</v>
      </c>
      <c r="T82" s="77" t="s">
        <v>77</v>
      </c>
      <c r="U82" s="77" t="s">
        <v>77</v>
      </c>
      <c r="V82" s="77" t="s">
        <v>77</v>
      </c>
      <c r="W82" s="77">
        <v>0.87409999999999999</v>
      </c>
    </row>
    <row r="83" spans="1:23" s="3" customFormat="1" ht="15.75" thickBot="1">
      <c r="A83" s="46" t="s">
        <v>46</v>
      </c>
      <c r="B83" s="78"/>
      <c r="C83" s="78" t="s">
        <v>76</v>
      </c>
      <c r="D83" s="78" t="s">
        <v>76</v>
      </c>
      <c r="E83" s="78" t="s">
        <v>78</v>
      </c>
      <c r="F83" s="78" t="s">
        <v>78</v>
      </c>
      <c r="G83" s="78" t="s">
        <v>78</v>
      </c>
      <c r="H83" s="78" t="s">
        <v>78</v>
      </c>
      <c r="I83" s="78" t="s">
        <v>78</v>
      </c>
      <c r="J83" s="78" t="s">
        <v>76</v>
      </c>
      <c r="K83" s="78" t="s">
        <v>76</v>
      </c>
      <c r="L83" s="78" t="s">
        <v>76</v>
      </c>
      <c r="M83" s="78" t="s">
        <v>76</v>
      </c>
      <c r="N83" s="78" t="e">
        <f t="shared" ref="N83" ca="1" si="17">IF(N82&gt;0.05,"NS",IF(N82&gt;0.01,"*",IF(N82&gt;0.001,"**","***")))</f>
        <v>#NAME?</v>
      </c>
      <c r="O83" s="78"/>
      <c r="P83" s="78" t="s">
        <v>78</v>
      </c>
      <c r="Q83" s="78" t="s">
        <v>78</v>
      </c>
      <c r="R83" s="78" t="s">
        <v>78</v>
      </c>
      <c r="S83" s="78" t="s">
        <v>76</v>
      </c>
      <c r="T83" s="78" t="s">
        <v>76</v>
      </c>
      <c r="U83" s="78" t="s">
        <v>76</v>
      </c>
      <c r="V83" s="78" t="s">
        <v>76</v>
      </c>
      <c r="W83" s="78" t="s">
        <v>76</v>
      </c>
    </row>
    <row r="84" spans="1:23" s="1" customFormat="1"/>
    <row r="85" spans="1:23" s="1" customFormat="1">
      <c r="A85" s="2" t="s">
        <v>20</v>
      </c>
    </row>
    <row r="86" spans="1:23">
      <c r="A86" s="1" t="s">
        <v>13</v>
      </c>
      <c r="B86" s="1">
        <f>B56+(3*B57)</f>
        <v>0.78306284200287446</v>
      </c>
    </row>
    <row r="87" spans="1:23">
      <c r="A87" s="1" t="s">
        <v>14</v>
      </c>
      <c r="B87" s="1">
        <f>B56+(10*B57)</f>
        <v>2.1021639777421961</v>
      </c>
    </row>
    <row r="88" spans="1:23" ht="15.75" thickBot="1"/>
    <row r="89" spans="1:23" s="32" customFormat="1" ht="27" thickBot="1">
      <c r="A89" s="33" t="s">
        <v>34</v>
      </c>
      <c r="B89" s="34"/>
      <c r="C89" s="34"/>
      <c r="D89" s="34"/>
      <c r="E89" s="34"/>
      <c r="F89" s="34"/>
      <c r="G89" s="34"/>
      <c r="H89" s="34"/>
      <c r="I89" s="34"/>
      <c r="J89" s="34"/>
      <c r="K89" s="34"/>
      <c r="L89" s="34"/>
      <c r="M89" s="34"/>
      <c r="N89" s="34"/>
      <c r="O89" s="34"/>
      <c r="P89" s="34"/>
      <c r="Q89" s="34"/>
      <c r="R89" s="34"/>
      <c r="S89" s="34"/>
      <c r="T89" s="34"/>
      <c r="U89" s="34"/>
      <c r="V89" s="34"/>
      <c r="W89" s="34"/>
    </row>
    <row r="90" spans="1:23" ht="15.75" thickBot="1"/>
    <row r="91" spans="1:23" s="32" customFormat="1" ht="27" thickBot="1">
      <c r="A91" s="33" t="s">
        <v>35</v>
      </c>
      <c r="B91" s="34"/>
      <c r="C91" s="34"/>
      <c r="D91" s="34"/>
      <c r="E91" s="34"/>
      <c r="F91" s="34"/>
      <c r="G91" s="34"/>
      <c r="H91" s="34"/>
      <c r="I91" s="34"/>
      <c r="J91" s="34"/>
      <c r="K91" s="34"/>
      <c r="L91" s="34"/>
      <c r="M91" s="34"/>
      <c r="N91" s="34"/>
      <c r="O91" s="34"/>
      <c r="P91" s="34"/>
      <c r="Q91" s="34"/>
      <c r="R91" s="34"/>
      <c r="S91" s="34"/>
      <c r="T91" s="34"/>
      <c r="U91" s="34"/>
      <c r="V91" s="34"/>
      <c r="W91" s="34"/>
    </row>
    <row r="92" spans="1:23" ht="15.75" thickBot="1"/>
    <row r="93" spans="1:23" s="32" customFormat="1" ht="27" thickBot="1">
      <c r="A93" s="156" t="s">
        <v>36</v>
      </c>
      <c r="B93" s="157"/>
      <c r="C93" s="157"/>
      <c r="D93" s="157"/>
      <c r="E93" s="157"/>
      <c r="F93" s="157"/>
      <c r="G93" s="157"/>
      <c r="H93" s="157"/>
      <c r="I93" s="157"/>
      <c r="J93" s="157"/>
      <c r="K93" s="157"/>
      <c r="L93" s="157"/>
      <c r="M93" s="157"/>
      <c r="N93" s="157"/>
      <c r="O93" s="157"/>
      <c r="P93" s="157"/>
      <c r="Q93" s="157"/>
      <c r="R93" s="157"/>
      <c r="S93" s="157"/>
      <c r="T93" s="157"/>
      <c r="U93" s="157"/>
      <c r="V93" s="157"/>
      <c r="W93" s="157"/>
    </row>
    <row r="94" spans="1:23">
      <c r="B94" s="1">
        <f t="shared" ref="B94:V94" si="18">B75/$B$75</f>
        <v>1</v>
      </c>
      <c r="C94" s="1">
        <f t="shared" si="18"/>
        <v>1.4029825678424066</v>
      </c>
      <c r="D94" s="1">
        <f t="shared" si="18"/>
        <v>2.6062260111658411</v>
      </c>
      <c r="E94" s="1">
        <f t="shared" si="18"/>
        <v>4.8752994990080438</v>
      </c>
      <c r="F94" s="1">
        <f t="shared" si="18"/>
        <v>7.2752434981287015</v>
      </c>
      <c r="G94" s="1">
        <f t="shared" si="18"/>
        <v>9.1620328105296061</v>
      </c>
      <c r="H94" s="1">
        <f>H75/$B$75</f>
        <v>12.066258783908312</v>
      </c>
      <c r="I94" s="1">
        <f t="shared" si="18"/>
        <v>3.193602929836048</v>
      </c>
      <c r="J94" s="1">
        <f t="shared" si="18"/>
        <v>1.2292425088565064</v>
      </c>
      <c r="K94" s="1">
        <f t="shared" si="18"/>
        <v>1.3844244593566239</v>
      </c>
      <c r="L94" s="1">
        <f t="shared" si="18"/>
        <v>0.77707314806020622</v>
      </c>
      <c r="M94" s="1">
        <f t="shared" si="18"/>
        <v>1.1053282818207002</v>
      </c>
      <c r="N94" s="1" t="e">
        <f t="shared" si="18"/>
        <v>#REF!</v>
      </c>
      <c r="O94" s="1">
        <f t="shared" si="18"/>
        <v>0</v>
      </c>
      <c r="P94" s="1">
        <f t="shared" si="18"/>
        <v>4.5927645329762763</v>
      </c>
      <c r="Q94" s="1">
        <f t="shared" si="18"/>
        <v>8.0552558741756091</v>
      </c>
      <c r="R94" s="1">
        <f t="shared" si="18"/>
        <v>0.79598665666136292</v>
      </c>
      <c r="S94" s="1">
        <f t="shared" si="18"/>
        <v>6.6051561451388903</v>
      </c>
      <c r="T94" s="1">
        <f t="shared" si="18"/>
        <v>4.178453289979454</v>
      </c>
      <c r="U94" s="1">
        <f t="shared" si="18"/>
        <v>4.851853495886906</v>
      </c>
      <c r="V94" s="1">
        <f t="shared" si="18"/>
        <v>4.3389081575907227</v>
      </c>
    </row>
    <row r="98" spans="2:27">
      <c r="H98" s="1"/>
      <c r="I98" s="1"/>
      <c r="J98" s="1"/>
      <c r="K98" s="1"/>
      <c r="L98" s="1"/>
      <c r="M98" s="1"/>
      <c r="V98" s="122"/>
      <c r="W98" s="122"/>
      <c r="X98" s="122"/>
      <c r="Y98" s="122"/>
      <c r="Z98" s="122"/>
    </row>
    <row r="99" spans="2:27">
      <c r="E99" s="1"/>
      <c r="F99" s="1"/>
      <c r="H99" s="1"/>
      <c r="I99" s="1"/>
      <c r="J99" s="1"/>
      <c r="K99" s="1"/>
      <c r="L99" s="1"/>
      <c r="M99" s="1"/>
      <c r="V99" s="122"/>
      <c r="W99" s="122"/>
      <c r="X99" s="122"/>
      <c r="Y99" s="122"/>
      <c r="Z99" s="122"/>
      <c r="AA99" s="1"/>
    </row>
    <row r="100" spans="2:27">
      <c r="B100" s="122"/>
      <c r="C100" s="122"/>
      <c r="E100" s="1"/>
      <c r="F100" s="1"/>
      <c r="AA100" s="1"/>
    </row>
    <row r="101" spans="2:27">
      <c r="B101" s="122"/>
      <c r="C101" s="122"/>
      <c r="E101" s="1"/>
      <c r="F101" s="1"/>
      <c r="S101" s="122"/>
      <c r="T101" s="122"/>
    </row>
    <row r="102" spans="2:27">
      <c r="B102" s="122"/>
      <c r="C102" s="122"/>
      <c r="E102" s="122"/>
      <c r="F102" s="122"/>
      <c r="G102" s="122"/>
      <c r="H102" s="122"/>
      <c r="I102" s="122"/>
      <c r="S102" s="122"/>
      <c r="T102" s="122"/>
    </row>
    <row r="103" spans="2:27">
      <c r="B103" s="122"/>
      <c r="C103" s="122"/>
      <c r="E103" s="122"/>
      <c r="F103" s="122"/>
      <c r="G103" s="122"/>
      <c r="H103" s="122"/>
      <c r="I103" s="122"/>
      <c r="S103" s="122"/>
      <c r="T103" s="122"/>
    </row>
    <row r="104" spans="2:27">
      <c r="B104" s="122"/>
      <c r="C104" s="122"/>
      <c r="E104" s="1"/>
      <c r="F104" s="1"/>
      <c r="S104" s="122"/>
      <c r="T104" s="122"/>
    </row>
    <row r="105" spans="2:27">
      <c r="S105" s="122"/>
      <c r="T105" s="122"/>
    </row>
  </sheetData>
  <mergeCells count="10">
    <mergeCell ref="A7:A21"/>
    <mergeCell ref="A23:A37"/>
    <mergeCell ref="A93:W93"/>
    <mergeCell ref="P3:W3"/>
    <mergeCell ref="B3:N3"/>
    <mergeCell ref="A60:W60"/>
    <mergeCell ref="A72:W72"/>
    <mergeCell ref="A70:W70"/>
    <mergeCell ref="A65:W65"/>
    <mergeCell ref="A39:A53"/>
  </mergeCells>
  <phoneticPr fontId="12"/>
  <pageMargins left="0.7" right="0.7" top="0.75" bottom="0.75" header="0.3" footer="0.3"/>
  <pageSetup paperSize="9" orientation="portrait" r:id="rId1"/>
  <headerFooter>
    <oddHeader>&amp;C&amp;"-,Gras"&amp;14Données poolées normalisées&amp;R&amp;"-,Gras"&amp;14Page : &amp;P/&amp;P</oddHeader>
    <oddFooter>&amp;C&amp;1#&amp;"Arial"&amp;10&amp;K000000Internal</oddFooter>
  </headerFooter>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776C436BD700BD428C1C0C71E54D8B5E" ma:contentTypeVersion="18" ma:contentTypeDescription="Create a new document." ma:contentTypeScope="" ma:versionID="782111b43a65dadfbc410eb6ccb7aa06">
  <xsd:schema xmlns:xsd="http://www.w3.org/2001/XMLSchema" xmlns:xs="http://www.w3.org/2001/XMLSchema" xmlns:p="http://schemas.microsoft.com/office/2006/metadata/properties" xmlns:ns2="cc801401-75a6-4297-ad63-d4d786ff6e7c" xmlns:ns3="508cc0b8-c8e1-4e41-95d2-be8416ed53ba" targetNamespace="http://schemas.microsoft.com/office/2006/metadata/properties" ma:root="true" ma:fieldsID="7f493af8791a6264672b29a70f2a6765" ns2:_="" ns3:_="">
    <xsd:import namespace="cc801401-75a6-4297-ad63-d4d786ff6e7c"/>
    <xsd:import namespace="508cc0b8-c8e1-4e41-95d2-be8416ed53ba"/>
    <xsd:element name="properties">
      <xsd:complexType>
        <xsd:sequence>
          <xsd:element name="documentManagement">
            <xsd:complexType>
              <xsd:all>
                <xsd:element ref="ns2:SharedWithUsers" minOccurs="0"/>
                <xsd:element ref="ns2:SharedWithDetails" minOccurs="0"/>
                <xsd:element ref="ns2:LastSharedByUser" minOccurs="0"/>
                <xsd:element ref="ns2:LastSharedByTime" minOccurs="0"/>
                <xsd:element ref="ns3:MediaServiceMetadata" minOccurs="0"/>
                <xsd:element ref="ns3:MediaServiceFastMetadata"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element ref="ns3:MediaServiceAutoKeyPoints" minOccurs="0"/>
                <xsd:element ref="ns3:MediaServiceKeyPoints" minOccurs="0"/>
                <xsd:element ref="ns3:MediaLengthInSeconds" minOccurs="0"/>
                <xsd:element ref="ns3:lcf76f155ced4ddcb4097134ff3c332f" minOccurs="0"/>
                <xsd:element ref="ns2: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c801401-75a6-4297-ad63-d4d786ff6e7c" elementFormDefault="qualified">
    <xsd:import namespace="http://schemas.microsoft.com/office/2006/documentManagement/types"/>
    <xsd:import namespace="http://schemas.microsoft.com/office/infopath/2007/PartnerControls"/>
    <xsd:element name="SharedWithUsers" ma:index="8"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description="" ma:internalName="SharedWithDetails" ma:readOnly="true">
      <xsd:simpleType>
        <xsd:restriction base="dms:Note">
          <xsd:maxLength value="255"/>
        </xsd:restriction>
      </xsd:simpleType>
    </xsd:element>
    <xsd:element name="LastSharedByUser" ma:index="10" nillable="true" ma:displayName="Last Shared By User" ma:description="" ma:internalName="LastSharedByUser" ma:readOnly="true">
      <xsd:simpleType>
        <xsd:restriction base="dms:Note">
          <xsd:maxLength value="255"/>
        </xsd:restriction>
      </xsd:simpleType>
    </xsd:element>
    <xsd:element name="LastSharedByTime" ma:index="11" nillable="true" ma:displayName="Last Shared By Time" ma:description="" ma:internalName="LastSharedByTime" ma:readOnly="true">
      <xsd:simpleType>
        <xsd:restriction base="dms:DateTime"/>
      </xsd:simpleType>
    </xsd:element>
    <xsd:element name="TaxCatchAll" ma:index="25" nillable="true" ma:displayName="Taxonomy Catch All Column" ma:hidden="true" ma:list="2e281972-ae1b-43a4-854f-cb1565a95e46" ma:internalName="TaxCatchAll" ma:showField="CatchAllData" ma:web="cc801401-75a6-4297-ad63-d4d786ff6e7c">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508cc0b8-c8e1-4e41-95d2-be8416ed53ba" elementFormDefault="qualified">
    <xsd:import namespace="http://schemas.microsoft.com/office/2006/documentManagement/types"/>
    <xsd:import namespace="http://schemas.microsoft.com/office/infopath/2007/PartnerControls"/>
    <xsd:element name="MediaServiceMetadata" ma:index="12" nillable="true" ma:displayName="MediaServiceMetadata" ma:description="" ma:hidden="true" ma:internalName="MediaServiceMetadata" ma:readOnly="true">
      <xsd:simpleType>
        <xsd:restriction base="dms:Note"/>
      </xsd:simpleType>
    </xsd:element>
    <xsd:element name="MediaServiceFastMetadata" ma:index="13" nillable="true" ma:displayName="MediaServiceFastMetadata" ma:description="" ma:hidden="true" ma:internalName="MediaServiceFastMetadata" ma:readOnly="true">
      <xsd:simpleType>
        <xsd:restriction base="dms:Note"/>
      </xsd:simpleType>
    </xsd:element>
    <xsd:element name="MediaServiceDateTaken" ma:index="14" nillable="true" ma:displayName="MediaServiceDateTaken" ma:description="" ma:hidden="true" ma:internalName="MediaServiceDateTaken" ma:readOnly="true">
      <xsd:simpleType>
        <xsd:restriction base="dms:Text"/>
      </xsd:simpleType>
    </xsd:element>
    <xsd:element name="MediaServiceAutoTags" ma:index="15" nillable="true" ma:displayName="MediaServiceAutoTags" ma:description="" ma:internalName="MediaServiceAutoTags" ma:readOnly="true">
      <xsd:simpleType>
        <xsd:restriction base="dms:Text"/>
      </xsd:simpleType>
    </xsd:element>
    <xsd:element name="MediaServiceLocation" ma:index="16" nillable="true" ma:displayName="MediaServiceLocation" ma:internalName="MediaServiceLocation" ma:readOnly="true">
      <xsd:simpleType>
        <xsd:restriction base="dms:Text"/>
      </xsd:simpleType>
    </xsd:element>
    <xsd:element name="MediaServiceOCR" ma:index="17" nillable="true" ma:displayName="MediaServiceOCR"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AutoKeyPoints" ma:index="20" nillable="true" ma:displayName="MediaServiceAutoKeyPoints" ma:hidden="true" ma:internalName="MediaServiceAutoKeyPoints" ma:readOnly="true">
      <xsd:simpleType>
        <xsd:restriction base="dms:Note"/>
      </xsd:simpleType>
    </xsd:element>
    <xsd:element name="MediaServiceKeyPoints" ma:index="21" nillable="true" ma:displayName="KeyPoints" ma:internalName="MediaServiceKeyPoints" ma:readOnly="true">
      <xsd:simpleType>
        <xsd:restriction base="dms:Note">
          <xsd:maxLength value="255"/>
        </xsd:restriction>
      </xsd:simpleType>
    </xsd:element>
    <xsd:element name="MediaLengthInSeconds" ma:index="22" nillable="true" ma:displayName="Length (seconds)" ma:internalName="MediaLengthInSeconds" ma:readOnly="true">
      <xsd:simpleType>
        <xsd:restriction base="dms:Unknown"/>
      </xsd:simpleType>
    </xsd:element>
    <xsd:element name="lcf76f155ced4ddcb4097134ff3c332f" ma:index="24" nillable="true" ma:taxonomy="true" ma:internalName="lcf76f155ced4ddcb4097134ff3c332f" ma:taxonomyFieldName="MediaServiceImageTags" ma:displayName="Image Tags" ma:readOnly="false" ma:fieldId="{5cf76f15-5ced-4ddc-b409-7134ff3c332f}" ma:taxonomyMulti="true" ma:sspId="04f2cd92-8d93-4e4c-83d3-86703d91558f" ma:termSetId="09814cd3-568e-fe90-9814-8d621ff8fb84" ma:anchorId="fba54fb3-c3e1-fe81-a776-ca4b69148c4d" ma:open="true" ma:isKeyword="fals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858659D-120D-4458-9331-327FFB9CA06C}">
  <ds:schemaRefs>
    <ds:schemaRef ds:uri="http://schemas.microsoft.com/sharepoint/v3/contenttype/forms"/>
  </ds:schemaRefs>
</ds:datastoreItem>
</file>

<file path=customXml/itemProps2.xml><?xml version="1.0" encoding="utf-8"?>
<ds:datastoreItem xmlns:ds="http://schemas.openxmlformats.org/officeDocument/2006/customXml" ds:itemID="{A597E4FD-B789-4261-8CBE-42E32AF90F0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c801401-75a6-4297-ad63-d4d786ff6e7c"/>
    <ds:schemaRef ds:uri="508cc0b8-c8e1-4e41-95d2-be8416ed53b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6" baseType="variant">
      <vt:variant>
        <vt:lpstr>Worksheets</vt:lpstr>
      </vt:variant>
      <vt:variant>
        <vt:i4>5</vt:i4>
      </vt:variant>
      <vt:variant>
        <vt:lpstr>Charts</vt:lpstr>
      </vt:variant>
      <vt:variant>
        <vt:i4>4</vt:i4>
      </vt:variant>
      <vt:variant>
        <vt:lpstr>Named Ranges</vt:lpstr>
      </vt:variant>
      <vt:variant>
        <vt:i4>1</vt:i4>
      </vt:variant>
    </vt:vector>
  </HeadingPairs>
  <TitlesOfParts>
    <vt:vector size="10" baseType="lpstr">
      <vt:lpstr>Front page</vt:lpstr>
      <vt:lpstr>R1</vt:lpstr>
      <vt:lpstr>R2</vt:lpstr>
      <vt:lpstr>R3</vt:lpstr>
      <vt:lpstr>pooled normalised values</vt:lpstr>
      <vt:lpstr>Graph R1</vt:lpstr>
      <vt:lpstr>Graph R2</vt:lpstr>
      <vt:lpstr>Graph R3</vt:lpstr>
      <vt:lpstr>pooled normalised graphe</vt:lpstr>
      <vt:lpstr>'Front page'!Print_Area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2023-04-03T08:39:27Z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6530cf4-8573-4c29-a912-bbcdac835909_Enabled">
    <vt:lpwstr>true</vt:lpwstr>
  </property>
  <property fmtid="{D5CDD505-2E9C-101B-9397-08002B2CF9AE}" pid="3" name="MSIP_Label_06530cf4-8573-4c29-a912-bbcdac835909_SetDate">
    <vt:lpwstr>2023-04-03T08:39:27Z</vt:lpwstr>
  </property>
  <property fmtid="{D5CDD505-2E9C-101B-9397-08002B2CF9AE}" pid="4" name="MSIP_Label_06530cf4-8573-4c29-a912-bbcdac835909_Method">
    <vt:lpwstr>Standard</vt:lpwstr>
  </property>
  <property fmtid="{D5CDD505-2E9C-101B-9397-08002B2CF9AE}" pid="5" name="MSIP_Label_06530cf4-8573-4c29-a912-bbcdac835909_Name">
    <vt:lpwstr>06530cf4-8573-4c29-a912-bbcdac835909</vt:lpwstr>
  </property>
  <property fmtid="{D5CDD505-2E9C-101B-9397-08002B2CF9AE}" pid="6" name="MSIP_Label_06530cf4-8573-4c29-a912-bbcdac835909_SiteId">
    <vt:lpwstr>ecaa386b-c8df-4ce0-ad01-740cbdb5ba55</vt:lpwstr>
  </property>
  <property fmtid="{D5CDD505-2E9C-101B-9397-08002B2CF9AE}" pid="7" name="MSIP_Label_06530cf4-8573-4c29-a912-bbcdac835909_ActionId">
    <vt:lpwstr>bdc52276-fba1-4f29-bebc-82e794b0d22f</vt:lpwstr>
  </property>
  <property fmtid="{D5CDD505-2E9C-101B-9397-08002B2CF9AE}" pid="8" name="MSIP_Label_06530cf4-8573-4c29-a912-bbcdac835909_ContentBits">
    <vt:lpwstr>2</vt:lpwstr>
  </property>
</Properties>
</file>