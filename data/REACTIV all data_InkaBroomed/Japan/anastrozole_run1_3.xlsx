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14" documentId="13_ncr:1_{CB56F9B6-6EDC-4FC7-9BAA-DF08B5D007F6}" xr6:coauthVersionLast="47" xr6:coauthVersionMax="47" xr10:uidLastSave="{F77C8255-0CCE-4111-A8BE-241CA33854A0}"/>
  <bookViews>
    <workbookView xWindow="-120" yWindow="-120" windowWidth="29040" windowHeight="15840" firstSheet="1"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C78" i="4"/>
  <c r="S78" i="4"/>
  <c r="D78" i="4"/>
  <c r="T78" i="4"/>
  <c r="M78" i="4"/>
  <c r="R78" i="4"/>
  <c r="O78" i="4"/>
  <c r="F78" i="4"/>
  <c r="G78" i="4"/>
  <c r="W78" i="4"/>
  <c r="H78" i="4"/>
  <c r="N78" i="4"/>
  <c r="Q78" i="4"/>
  <c r="B78" i="4"/>
  <c r="V78" i="4"/>
  <c r="I78" i="4"/>
  <c r="K78" i="4"/>
  <c r="J78" i="4"/>
  <c r="L78" i="4"/>
  <c r="E78" i="4"/>
  <c r="U78" i="4"/>
  <c r="P78" i="4"/>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43" i="33"/>
  <c r="N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42" i="33"/>
  <c r="N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41" i="33"/>
  <c r="N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40" i="33"/>
  <c r="N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39" i="33"/>
  <c r="N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38" i="33"/>
  <c r="N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37" i="33"/>
  <c r="N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36" i="33"/>
  <c r="N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N35" i="33"/>
  <c r="N45" i="4" s="1"/>
  <c r="N34" i="33"/>
  <c r="N44" i="4" s="1"/>
  <c r="N33" i="33"/>
  <c r="N43" i="4" s="1"/>
  <c r="N32" i="33"/>
  <c r="N42" i="4" s="1"/>
  <c r="N31" i="33"/>
  <c r="N41" i="4" s="1"/>
  <c r="N30" i="33"/>
  <c r="N40" i="4" s="1"/>
  <c r="N29" i="33"/>
  <c r="N39" i="4" s="1"/>
  <c r="N28" i="33"/>
  <c r="V24" i="33"/>
  <c r="U24" i="33"/>
  <c r="T24" i="33"/>
  <c r="S24" i="33"/>
  <c r="R24" i="33"/>
  <c r="Q24" i="33"/>
  <c r="P24" i="33"/>
  <c r="O24" i="33"/>
  <c r="N24" i="33"/>
  <c r="L24" i="33"/>
  <c r="J24" i="33"/>
  <c r="I24" i="33"/>
  <c r="H24" i="33"/>
  <c r="G24" i="33"/>
  <c r="F24" i="33"/>
  <c r="E24" i="33"/>
  <c r="D24" i="33"/>
  <c r="C24" i="33"/>
  <c r="B24" i="33"/>
  <c r="V23" i="33"/>
  <c r="U23" i="33"/>
  <c r="T23" i="33"/>
  <c r="S23" i="33"/>
  <c r="R23" i="33"/>
  <c r="Q23" i="33"/>
  <c r="P23" i="33"/>
  <c r="O23" i="33"/>
  <c r="J35" i="33" s="1"/>
  <c r="J45" i="4" s="1"/>
  <c r="N23" i="33"/>
  <c r="L23" i="33"/>
  <c r="J23" i="33"/>
  <c r="I23" i="33"/>
  <c r="H23" i="33"/>
  <c r="G23" i="33"/>
  <c r="F23" i="33"/>
  <c r="E23" i="33"/>
  <c r="D23" i="33"/>
  <c r="C23" i="33"/>
  <c r="B23" i="33"/>
  <c r="A22" i="33"/>
  <c r="H22" i="33"/>
  <c r="G45" i="33"/>
  <c r="F27" i="33"/>
  <c r="F52" i="33" s="1"/>
  <c r="E45" i="33"/>
  <c r="D22" i="33"/>
  <c r="C45" i="33"/>
  <c r="B45" i="33"/>
  <c r="O56" i="33"/>
  <c r="N56" i="33"/>
  <c r="V56" i="33"/>
  <c r="Q56" i="33"/>
  <c r="K56" i="33"/>
  <c r="J56" i="33"/>
  <c r="M56" i="33"/>
  <c r="L56" i="33"/>
  <c r="T56" i="33"/>
  <c r="C56" i="33"/>
  <c r="F56" i="33"/>
  <c r="R56" i="33"/>
  <c r="E56" i="33"/>
  <c r="G56" i="33"/>
  <c r="H56" i="33"/>
  <c r="S56" i="33"/>
  <c r="B56" i="33"/>
  <c r="I56" i="33"/>
  <c r="P56" i="33"/>
  <c r="U56" i="33"/>
  <c r="D56" i="33"/>
  <c r="V30" i="33" l="1"/>
  <c r="W40" i="4" s="1"/>
  <c r="O31" i="33"/>
  <c r="P41" i="4" s="1"/>
  <c r="P28" i="33"/>
  <c r="S31" i="33"/>
  <c r="T41" i="4" s="1"/>
  <c r="P32" i="33"/>
  <c r="Q42" i="4" s="1"/>
  <c r="T28" i="33"/>
  <c r="U38" i="4" s="1"/>
  <c r="Q29" i="33"/>
  <c r="R39" i="4" s="1"/>
  <c r="T32" i="33"/>
  <c r="U42" i="4" s="1"/>
  <c r="Q33" i="33"/>
  <c r="R43" i="4" s="1"/>
  <c r="U29" i="33"/>
  <c r="V39" i="4" s="1"/>
  <c r="R30" i="33"/>
  <c r="S40" i="4" s="1"/>
  <c r="U33" i="33"/>
  <c r="V43" i="4" s="1"/>
  <c r="R34" i="33"/>
  <c r="S44" i="4" s="1"/>
  <c r="T31" i="33"/>
  <c r="U41" i="4" s="1"/>
  <c r="V33" i="33"/>
  <c r="W43" i="4" s="1"/>
  <c r="O34" i="33"/>
  <c r="P44" i="4" s="1"/>
  <c r="O38" i="33"/>
  <c r="P48" i="4" s="1"/>
  <c r="O42" i="33"/>
  <c r="P52" i="4" s="1"/>
  <c r="Q35" i="33"/>
  <c r="R45" i="4" s="1"/>
  <c r="U35" i="33"/>
  <c r="V45" i="4" s="1"/>
  <c r="O37" i="33"/>
  <c r="P47" i="4" s="1"/>
  <c r="O41" i="33"/>
  <c r="P51" i="4" s="1"/>
  <c r="Q28" i="33"/>
  <c r="R38" i="4" s="1"/>
  <c r="U28" i="33"/>
  <c r="R29" i="33"/>
  <c r="S39" i="4" s="1"/>
  <c r="V29" i="33"/>
  <c r="W39" i="4" s="1"/>
  <c r="O30" i="33"/>
  <c r="P40" i="4" s="1"/>
  <c r="S30" i="33"/>
  <c r="T40" i="4" s="1"/>
  <c r="P31" i="33"/>
  <c r="Q41" i="4" s="1"/>
  <c r="Q32" i="33"/>
  <c r="R42" i="4" s="1"/>
  <c r="U32" i="33"/>
  <c r="V42" i="4" s="1"/>
  <c r="R33" i="33"/>
  <c r="S43" i="4" s="1"/>
  <c r="S34" i="33"/>
  <c r="T44" i="4" s="1"/>
  <c r="P35" i="33"/>
  <c r="Q45" i="4" s="1"/>
  <c r="T35" i="33"/>
  <c r="U45" i="4" s="1"/>
  <c r="R28" i="33"/>
  <c r="V28" i="33"/>
  <c r="V47" i="33" s="1"/>
  <c r="V48" i="33" s="1"/>
  <c r="V54" i="33" s="1"/>
  <c r="O29" i="33"/>
  <c r="P39" i="4" s="1"/>
  <c r="S29" i="33"/>
  <c r="T39" i="4" s="1"/>
  <c r="P30" i="33"/>
  <c r="Q40" i="4" s="1"/>
  <c r="T30" i="33"/>
  <c r="U40" i="4" s="1"/>
  <c r="Q31" i="33"/>
  <c r="R41" i="4" s="1"/>
  <c r="U31" i="33"/>
  <c r="V41" i="4" s="1"/>
  <c r="R32" i="33"/>
  <c r="S42" i="4" s="1"/>
  <c r="V32" i="33"/>
  <c r="W42" i="4" s="1"/>
  <c r="O33" i="33"/>
  <c r="P43" i="4" s="1"/>
  <c r="S33" i="33"/>
  <c r="T43" i="4" s="1"/>
  <c r="P34" i="33"/>
  <c r="Q44" i="4" s="1"/>
  <c r="T34" i="33"/>
  <c r="U44" i="4" s="1"/>
  <c r="O28" i="33"/>
  <c r="P38" i="4" s="1"/>
  <c r="S28" i="33"/>
  <c r="P29" i="33"/>
  <c r="Q39" i="4" s="1"/>
  <c r="T29" i="33"/>
  <c r="U39" i="4" s="1"/>
  <c r="Q30" i="33"/>
  <c r="R40" i="4" s="1"/>
  <c r="U30" i="33"/>
  <c r="V40" i="4" s="1"/>
  <c r="R31" i="33"/>
  <c r="S41" i="4" s="1"/>
  <c r="V31" i="33"/>
  <c r="W41" i="4" s="1"/>
  <c r="O32" i="33"/>
  <c r="P42" i="4" s="1"/>
  <c r="S32" i="33"/>
  <c r="T42" i="4" s="1"/>
  <c r="P33" i="33"/>
  <c r="Q43" i="4" s="1"/>
  <c r="T33" i="33"/>
  <c r="U43" i="4" s="1"/>
  <c r="Q34" i="33"/>
  <c r="R44" i="4" s="1"/>
  <c r="U34" i="33"/>
  <c r="V44" i="4" s="1"/>
  <c r="R35" i="33"/>
  <c r="S45" i="4" s="1"/>
  <c r="V35" i="33"/>
  <c r="W45" i="4" s="1"/>
  <c r="O36" i="33"/>
  <c r="P46" i="4" s="1"/>
  <c r="O40" i="33"/>
  <c r="P50" i="4" s="1"/>
  <c r="V34" i="33"/>
  <c r="W44" i="4" s="1"/>
  <c r="O35" i="33"/>
  <c r="P45" i="4" s="1"/>
  <c r="S35" i="33"/>
  <c r="T45" i="4" s="1"/>
  <c r="O39" i="33"/>
  <c r="P49" i="4" s="1"/>
  <c r="O43" i="33"/>
  <c r="P53" i="4" s="1"/>
  <c r="E28" i="33"/>
  <c r="I28" i="33"/>
  <c r="M28" i="33"/>
  <c r="M38" i="4" s="1"/>
  <c r="E29" i="33"/>
  <c r="E39" i="4" s="1"/>
  <c r="I29" i="33"/>
  <c r="I39" i="4" s="1"/>
  <c r="M29" i="33"/>
  <c r="M39" i="4" s="1"/>
  <c r="B30" i="33"/>
  <c r="B40" i="4" s="1"/>
  <c r="F30" i="33"/>
  <c r="F40" i="4" s="1"/>
  <c r="J30" i="33"/>
  <c r="J40" i="4" s="1"/>
  <c r="C31" i="33"/>
  <c r="C41" i="4" s="1"/>
  <c r="G31" i="33"/>
  <c r="G41" i="4" s="1"/>
  <c r="K31" i="33"/>
  <c r="K41" i="4" s="1"/>
  <c r="D32" i="33"/>
  <c r="D42" i="4" s="1"/>
  <c r="H32" i="33"/>
  <c r="H42" i="4" s="1"/>
  <c r="L32" i="33"/>
  <c r="L42" i="4" s="1"/>
  <c r="E33" i="33"/>
  <c r="E43" i="4" s="1"/>
  <c r="I33" i="33"/>
  <c r="I43" i="4" s="1"/>
  <c r="M33" i="33"/>
  <c r="M43" i="4" s="1"/>
  <c r="B34" i="33"/>
  <c r="B44" i="4" s="1"/>
  <c r="F34" i="33"/>
  <c r="F44" i="4" s="1"/>
  <c r="J34" i="33"/>
  <c r="J44" i="4" s="1"/>
  <c r="C35" i="33"/>
  <c r="C45" i="4" s="1"/>
  <c r="G35" i="33"/>
  <c r="G45" i="4" s="1"/>
  <c r="K35" i="33"/>
  <c r="K45" i="4" s="1"/>
  <c r="B28" i="33"/>
  <c r="B38" i="4" s="1"/>
  <c r="F28" i="33"/>
  <c r="F38" i="4" s="1"/>
  <c r="J28" i="33"/>
  <c r="J38" i="4" s="1"/>
  <c r="B29" i="33"/>
  <c r="B39" i="4" s="1"/>
  <c r="F29" i="33"/>
  <c r="F39" i="4" s="1"/>
  <c r="J29" i="33"/>
  <c r="J39" i="4" s="1"/>
  <c r="C30" i="33"/>
  <c r="C40" i="4" s="1"/>
  <c r="G30" i="33"/>
  <c r="G40" i="4" s="1"/>
  <c r="K30" i="33"/>
  <c r="K40" i="4" s="1"/>
  <c r="D31" i="33"/>
  <c r="D41" i="4" s="1"/>
  <c r="H31" i="33"/>
  <c r="H41" i="4" s="1"/>
  <c r="L31" i="33"/>
  <c r="L41" i="4" s="1"/>
  <c r="E32" i="33"/>
  <c r="E42" i="4" s="1"/>
  <c r="I32" i="33"/>
  <c r="I42" i="4" s="1"/>
  <c r="M32" i="33"/>
  <c r="M42" i="4" s="1"/>
  <c r="B33" i="33"/>
  <c r="B43" i="4" s="1"/>
  <c r="F33" i="33"/>
  <c r="F43" i="4" s="1"/>
  <c r="J33" i="33"/>
  <c r="J43" i="4" s="1"/>
  <c r="C34" i="33"/>
  <c r="C44" i="4" s="1"/>
  <c r="G34" i="33"/>
  <c r="G44" i="4" s="1"/>
  <c r="K34" i="33"/>
  <c r="K44" i="4" s="1"/>
  <c r="D35" i="33"/>
  <c r="D45" i="4" s="1"/>
  <c r="H35" i="33"/>
  <c r="H45" i="4" s="1"/>
  <c r="L35" i="33"/>
  <c r="L45" i="4" s="1"/>
  <c r="C28" i="33"/>
  <c r="C38" i="4" s="1"/>
  <c r="G28" i="33"/>
  <c r="G38" i="4" s="1"/>
  <c r="K28" i="33"/>
  <c r="K38" i="4" s="1"/>
  <c r="C29" i="33"/>
  <c r="C39" i="4" s="1"/>
  <c r="G29" i="33"/>
  <c r="G39" i="4" s="1"/>
  <c r="K29" i="33"/>
  <c r="K39" i="4" s="1"/>
  <c r="D30" i="33"/>
  <c r="D40" i="4" s="1"/>
  <c r="H30" i="33"/>
  <c r="H40" i="4" s="1"/>
  <c r="L30" i="33"/>
  <c r="L40" i="4" s="1"/>
  <c r="E31" i="33"/>
  <c r="E41" i="4" s="1"/>
  <c r="I31" i="33"/>
  <c r="I41" i="4" s="1"/>
  <c r="M31" i="33"/>
  <c r="M41" i="4" s="1"/>
  <c r="B32" i="33"/>
  <c r="B42" i="4" s="1"/>
  <c r="F32" i="33"/>
  <c r="F42" i="4" s="1"/>
  <c r="J32" i="33"/>
  <c r="J42" i="4" s="1"/>
  <c r="C33" i="33"/>
  <c r="C43" i="4" s="1"/>
  <c r="G33" i="33"/>
  <c r="G43" i="4" s="1"/>
  <c r="K33" i="33"/>
  <c r="K43" i="4" s="1"/>
  <c r="D34" i="33"/>
  <c r="D44" i="4" s="1"/>
  <c r="H34" i="33"/>
  <c r="H44" i="4" s="1"/>
  <c r="L34" i="33"/>
  <c r="L44" i="4" s="1"/>
  <c r="E35" i="33"/>
  <c r="E45" i="4" s="1"/>
  <c r="I35" i="33"/>
  <c r="I45" i="4" s="1"/>
  <c r="M35" i="33"/>
  <c r="M45" i="4" s="1"/>
  <c r="D28" i="33"/>
  <c r="D38" i="4" s="1"/>
  <c r="H28" i="33"/>
  <c r="H38" i="4" s="1"/>
  <c r="L28" i="33"/>
  <c r="L38" i="4" s="1"/>
  <c r="D29" i="33"/>
  <c r="D39" i="4" s="1"/>
  <c r="H29" i="33"/>
  <c r="H39" i="4" s="1"/>
  <c r="L29" i="33"/>
  <c r="L39" i="4" s="1"/>
  <c r="E30" i="33"/>
  <c r="E40" i="4" s="1"/>
  <c r="I30" i="33"/>
  <c r="I40" i="4" s="1"/>
  <c r="M30" i="33"/>
  <c r="M40" i="4" s="1"/>
  <c r="B31" i="33"/>
  <c r="B41" i="4" s="1"/>
  <c r="F31" i="33"/>
  <c r="F41" i="4" s="1"/>
  <c r="J31" i="33"/>
  <c r="J41" i="4" s="1"/>
  <c r="C32" i="33"/>
  <c r="C42" i="4" s="1"/>
  <c r="G32" i="33"/>
  <c r="G42" i="4" s="1"/>
  <c r="K32" i="33"/>
  <c r="K42" i="4" s="1"/>
  <c r="D33" i="33"/>
  <c r="D43" i="4" s="1"/>
  <c r="H33" i="33"/>
  <c r="H43" i="4" s="1"/>
  <c r="L33" i="33"/>
  <c r="L43" i="4" s="1"/>
  <c r="E34" i="33"/>
  <c r="E44" i="4" s="1"/>
  <c r="I34" i="33"/>
  <c r="I44" i="4" s="1"/>
  <c r="M34" i="33"/>
  <c r="M44" i="4" s="1"/>
  <c r="B35" i="33"/>
  <c r="B45" i="4" s="1"/>
  <c r="F35" i="33"/>
  <c r="F45" i="4" s="1"/>
  <c r="V38" i="4"/>
  <c r="I38" i="4"/>
  <c r="W38" i="4"/>
  <c r="S38" i="4"/>
  <c r="N46" i="33"/>
  <c r="N53" i="33" s="1"/>
  <c r="B22" i="33"/>
  <c r="E22" i="33"/>
  <c r="I45" i="33"/>
  <c r="I52" i="33"/>
  <c r="I27" i="33"/>
  <c r="Q38" i="4"/>
  <c r="B27" i="33"/>
  <c r="B52" i="33" s="1"/>
  <c r="D27" i="33"/>
  <c r="D52" i="33" s="1"/>
  <c r="I22" i="33"/>
  <c r="E27" i="33"/>
  <c r="E52" i="33" s="1"/>
  <c r="N38" i="4"/>
  <c r="N47" i="33"/>
  <c r="N48" i="33" s="1"/>
  <c r="N54" i="33" s="1"/>
  <c r="T38" i="4"/>
  <c r="D45" i="33"/>
  <c r="G57" i="33"/>
  <c r="N57" i="33"/>
  <c r="T57" i="33"/>
  <c r="H57" i="33"/>
  <c r="O57" i="33"/>
  <c r="U57" i="33"/>
  <c r="C57" i="33"/>
  <c r="J57" i="33"/>
  <c r="P57" i="33"/>
  <c r="D57" i="33"/>
  <c r="L57" i="33"/>
  <c r="S57" i="33"/>
  <c r="F57" i="33"/>
  <c r="K57" i="33"/>
  <c r="Q57" i="33"/>
  <c r="B57" i="33"/>
  <c r="E57" i="33"/>
  <c r="I57" i="33"/>
  <c r="M57" i="33"/>
  <c r="R57" i="33"/>
  <c r="V57" i="33"/>
  <c r="F22" i="33"/>
  <c r="F45" i="33"/>
  <c r="G22" i="33"/>
  <c r="G27" i="33"/>
  <c r="G52" i="33" s="1"/>
  <c r="C22" i="33"/>
  <c r="C27" i="33"/>
  <c r="C52" i="33" s="1"/>
  <c r="H27" i="33"/>
  <c r="H52" i="33" s="1"/>
  <c r="H45" i="33"/>
  <c r="R47" i="33" l="1"/>
  <c r="R48" i="33" s="1"/>
  <c r="R54" i="33" s="1"/>
  <c r="B47" i="33"/>
  <c r="I47" i="33"/>
  <c r="O47" i="33"/>
  <c r="O48" i="33" s="1"/>
  <c r="O54" i="33" s="1"/>
  <c r="U47" i="33"/>
  <c r="U48" i="33" s="1"/>
  <c r="U54" i="33" s="1"/>
  <c r="S47" i="33"/>
  <c r="S48" i="33" s="1"/>
  <c r="S54" i="33" s="1"/>
  <c r="G47" i="33"/>
  <c r="G48" i="33" s="1"/>
  <c r="G54" i="33" s="1"/>
  <c r="C47" i="33"/>
  <c r="C48" i="33" s="1"/>
  <c r="C54" i="33" s="1"/>
  <c r="B46" i="33"/>
  <c r="E46" i="33"/>
  <c r="E53" i="33" s="1"/>
  <c r="V46" i="33"/>
  <c r="V53" i="33" s="1"/>
  <c r="E47" i="33"/>
  <c r="E48" i="33" s="1"/>
  <c r="E54" i="33" s="1"/>
  <c r="Q46" i="33"/>
  <c r="Q53" i="33" s="1"/>
  <c r="U46" i="33"/>
  <c r="U53" i="33" s="1"/>
  <c r="Q47" i="33"/>
  <c r="Q48" i="33" s="1"/>
  <c r="Q54" i="33" s="1"/>
  <c r="D46" i="33"/>
  <c r="D53" i="33" s="1"/>
  <c r="I46" i="33"/>
  <c r="I53" i="33" s="1"/>
  <c r="H47" i="33"/>
  <c r="O46" i="33"/>
  <c r="O53" i="33" s="1"/>
  <c r="O55" i="33" s="1"/>
  <c r="J46" i="33"/>
  <c r="J53" i="33" s="1"/>
  <c r="P47" i="33"/>
  <c r="P48" i="33" s="1"/>
  <c r="P54" i="33" s="1"/>
  <c r="H46" i="33"/>
  <c r="H53" i="33" s="1"/>
  <c r="F47" i="33"/>
  <c r="F48" i="33" s="1"/>
  <c r="F54" i="33" s="1"/>
  <c r="T47" i="33"/>
  <c r="T48" i="33" s="1"/>
  <c r="T54" i="33" s="1"/>
  <c r="C46" i="33"/>
  <c r="C53" i="33" s="1"/>
  <c r="E38" i="4"/>
  <c r="L47" i="33"/>
  <c r="L48" i="33" s="1"/>
  <c r="L54" i="33" s="1"/>
  <c r="R46" i="33"/>
  <c r="R53" i="33" s="1"/>
  <c r="D47" i="33"/>
  <c r="D48" i="33" s="1"/>
  <c r="D54" i="33" s="1"/>
  <c r="S46" i="33"/>
  <c r="S53" i="33" s="1"/>
  <c r="G46" i="33"/>
  <c r="G53" i="33" s="1"/>
  <c r="T46" i="33"/>
  <c r="T53" i="33" s="1"/>
  <c r="P46" i="33"/>
  <c r="P53" i="33" s="1"/>
  <c r="F46" i="33"/>
  <c r="F53" i="33" s="1"/>
  <c r="I48" i="33"/>
  <c r="I54" i="33" s="1"/>
  <c r="B48" i="33"/>
  <c r="B54" i="33" s="1"/>
  <c r="H48" i="33"/>
  <c r="H54" i="33" s="1"/>
  <c r="J47" i="33"/>
  <c r="J48" i="33" s="1"/>
  <c r="J54" i="33" s="1"/>
  <c r="K47" i="33"/>
  <c r="K48" i="33" s="1"/>
  <c r="K54" i="33" s="1"/>
  <c r="M46" i="33"/>
  <c r="M53" i="33" s="1"/>
  <c r="M47" i="33"/>
  <c r="M48" i="33" s="1"/>
  <c r="M54" i="33" s="1"/>
  <c r="L46" i="33"/>
  <c r="L53" i="33" s="1"/>
  <c r="K46" i="33"/>
  <c r="K53" i="33" s="1"/>
  <c r="O59" i="33"/>
  <c r="O60" i="33" s="1"/>
  <c r="O61" i="33" s="1"/>
  <c r="N59" i="33"/>
  <c r="N60" i="33" s="1"/>
  <c r="N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53" i="33"/>
  <c r="B65" i="33"/>
  <c r="B64" i="33"/>
  <c r="M55" i="33" l="1"/>
  <c r="S55" i="33"/>
  <c r="P55" i="33"/>
  <c r="Q55" i="33"/>
  <c r="R55" i="33"/>
  <c r="U55" i="33"/>
  <c r="T55" i="33"/>
  <c r="V55" i="33"/>
  <c r="D55" i="33"/>
  <c r="B55" i="33"/>
  <c r="K55" i="33"/>
  <c r="L55" i="33"/>
  <c r="N55" i="33"/>
  <c r="G55" i="33"/>
  <c r="F55" i="33"/>
  <c r="C55" i="33"/>
  <c r="J55" i="33"/>
  <c r="H55" i="33"/>
  <c r="I55" i="33"/>
  <c r="E55" i="33"/>
  <c r="M4" i="33" l="1"/>
  <c r="N4" i="33"/>
  <c r="L4" i="33" l="1"/>
  <c r="L22" i="33" s="1"/>
  <c r="K4" i="33"/>
  <c r="K22" i="33" s="1"/>
  <c r="J4" i="33"/>
  <c r="J52" i="33" s="1"/>
  <c r="M45" i="33"/>
  <c r="M52" i="33"/>
  <c r="M27" i="33"/>
  <c r="M22" i="33"/>
  <c r="N27" i="33"/>
  <c r="N52" i="33"/>
  <c r="N22" i="33"/>
  <c r="N45"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N4" i="1" l="1"/>
  <c r="N45" i="1" s="1"/>
  <c r="P22" i="1"/>
  <c r="Q45" i="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8" i="23"/>
  <c r="N29" i="23"/>
  <c r="N23" i="4" s="1"/>
  <c r="N30" i="23"/>
  <c r="N24" i="4" s="1"/>
  <c r="N31" i="23"/>
  <c r="N25" i="4" s="1"/>
  <c r="N32" i="23"/>
  <c r="N26" i="4" s="1"/>
  <c r="N33" i="23"/>
  <c r="N27" i="4" s="1"/>
  <c r="N34" i="23"/>
  <c r="N28" i="4" s="1"/>
  <c r="N35" i="23"/>
  <c r="N29" i="4" s="1"/>
  <c r="K36" i="23"/>
  <c r="K30" i="4" s="1"/>
  <c r="L36" i="23"/>
  <c r="L30" i="4" s="1"/>
  <c r="M36" i="23"/>
  <c r="M30" i="4" s="1"/>
  <c r="N36" i="23"/>
  <c r="N30" i="4" s="1"/>
  <c r="K37" i="23"/>
  <c r="K31" i="4" s="1"/>
  <c r="L37" i="23"/>
  <c r="L31" i="4" s="1"/>
  <c r="M37" i="23"/>
  <c r="M31" i="4" s="1"/>
  <c r="N37" i="23"/>
  <c r="N31" i="4" s="1"/>
  <c r="K38" i="23"/>
  <c r="K32" i="4" s="1"/>
  <c r="L38" i="23"/>
  <c r="L32" i="4" s="1"/>
  <c r="M38" i="23"/>
  <c r="M32" i="4" s="1"/>
  <c r="N38" i="23"/>
  <c r="N32" i="4" s="1"/>
  <c r="K39" i="23"/>
  <c r="K33" i="4" s="1"/>
  <c r="L39" i="23"/>
  <c r="L33" i="4" s="1"/>
  <c r="M39" i="23"/>
  <c r="M33" i="4" s="1"/>
  <c r="N39" i="23"/>
  <c r="N33" i="4" s="1"/>
  <c r="K40" i="23"/>
  <c r="K34" i="4" s="1"/>
  <c r="L40" i="23"/>
  <c r="L34" i="4" s="1"/>
  <c r="M40" i="23"/>
  <c r="M34" i="4" s="1"/>
  <c r="N40" i="23"/>
  <c r="N34" i="4" s="1"/>
  <c r="K41" i="23"/>
  <c r="K35" i="4" s="1"/>
  <c r="L41" i="23"/>
  <c r="L35" i="4" s="1"/>
  <c r="M41" i="23"/>
  <c r="M35" i="4" s="1"/>
  <c r="N41" i="23"/>
  <c r="N35" i="4" s="1"/>
  <c r="K42" i="23"/>
  <c r="K36" i="4" s="1"/>
  <c r="L42" i="23"/>
  <c r="L36" i="4" s="1"/>
  <c r="M42" i="23"/>
  <c r="M36" i="4" s="1"/>
  <c r="N42" i="23"/>
  <c r="N36" i="4" s="1"/>
  <c r="K43" i="23"/>
  <c r="L43" i="23"/>
  <c r="M43" i="23"/>
  <c r="N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28" i="1"/>
  <c r="N29" i="1"/>
  <c r="N7" i="4" s="1"/>
  <c r="N30" i="1"/>
  <c r="N8" i="4" s="1"/>
  <c r="N31" i="1"/>
  <c r="N9" i="4" s="1"/>
  <c r="N32" i="1"/>
  <c r="N10" i="4" s="1"/>
  <c r="N33" i="1"/>
  <c r="N11" i="4" s="1"/>
  <c r="N34" i="1"/>
  <c r="N12" i="4" s="1"/>
  <c r="N35" i="1"/>
  <c r="N13" i="4" s="1"/>
  <c r="K36" i="1"/>
  <c r="K14" i="4" s="1"/>
  <c r="L36" i="1"/>
  <c r="L14" i="4" s="1"/>
  <c r="N36" i="1"/>
  <c r="N14" i="4" s="1"/>
  <c r="K37" i="1"/>
  <c r="K15" i="4" s="1"/>
  <c r="L37" i="1"/>
  <c r="L15" i="4" s="1"/>
  <c r="M37" i="1"/>
  <c r="M15" i="4" s="1"/>
  <c r="N37" i="1"/>
  <c r="N15" i="4" s="1"/>
  <c r="K38" i="1"/>
  <c r="K16" i="4" s="1"/>
  <c r="L38" i="1"/>
  <c r="L16" i="4" s="1"/>
  <c r="M38" i="1"/>
  <c r="M16" i="4" s="1"/>
  <c r="N38" i="1"/>
  <c r="N16" i="4" s="1"/>
  <c r="K39" i="1"/>
  <c r="K17" i="4" s="1"/>
  <c r="L39" i="1"/>
  <c r="L17" i="4" s="1"/>
  <c r="M39" i="1"/>
  <c r="M17" i="4" s="1"/>
  <c r="N39" i="1"/>
  <c r="N17" i="4" s="1"/>
  <c r="K40" i="1"/>
  <c r="K18" i="4" s="1"/>
  <c r="L40" i="1"/>
  <c r="L18" i="4" s="1"/>
  <c r="M40" i="1"/>
  <c r="M18" i="4" s="1"/>
  <c r="N40" i="1"/>
  <c r="N18" i="4" s="1"/>
  <c r="K41" i="1"/>
  <c r="K19" i="4" s="1"/>
  <c r="L41" i="1"/>
  <c r="L19" i="4" s="1"/>
  <c r="M41" i="1"/>
  <c r="M19" i="4" s="1"/>
  <c r="N41" i="1"/>
  <c r="N19" i="4" s="1"/>
  <c r="K42" i="1"/>
  <c r="K20" i="4" s="1"/>
  <c r="L42" i="1"/>
  <c r="L20" i="4" s="1"/>
  <c r="M42" i="1"/>
  <c r="M20" i="4" s="1"/>
  <c r="N42" i="1"/>
  <c r="N20" i="4" s="1"/>
  <c r="K43" i="1"/>
  <c r="L43" i="1"/>
  <c r="M43" i="1"/>
  <c r="N43"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N24" i="23"/>
  <c r="L24" i="23"/>
  <c r="J24" i="23"/>
  <c r="I24" i="23"/>
  <c r="H24" i="23"/>
  <c r="G24" i="23"/>
  <c r="F24" i="23"/>
  <c r="E24" i="23"/>
  <c r="D24" i="23"/>
  <c r="C24" i="23"/>
  <c r="B24" i="23"/>
  <c r="V23" i="23"/>
  <c r="U23" i="23"/>
  <c r="T23" i="23"/>
  <c r="S23" i="23"/>
  <c r="R23" i="23"/>
  <c r="Q23" i="23"/>
  <c r="P23" i="23"/>
  <c r="O23" i="23"/>
  <c r="B32" i="23" s="1"/>
  <c r="B26" i="4" s="1"/>
  <c r="N23" i="23"/>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32" i="23"/>
  <c r="J26" i="4" s="1"/>
  <c r="J42" i="23"/>
  <c r="J36" i="4" s="1"/>
  <c r="J38" i="23"/>
  <c r="J32" i="4" s="1"/>
  <c r="H32" i="23"/>
  <c r="H26" i="4" s="1"/>
  <c r="J41" i="23"/>
  <c r="J35" i="4" s="1"/>
  <c r="J37" i="23"/>
  <c r="J31" i="4" s="1"/>
  <c r="J43" i="23"/>
  <c r="J39" i="23"/>
  <c r="J33" i="4" s="1"/>
  <c r="E32" i="23"/>
  <c r="E26" i="4" s="1"/>
  <c r="I28" i="23"/>
  <c r="H28" i="23"/>
  <c r="I30" i="23"/>
  <c r="I24" i="4" s="1"/>
  <c r="P22" i="23"/>
  <c r="S23" i="1"/>
  <c r="T23" i="1"/>
  <c r="U23" i="1"/>
  <c r="V23" i="1"/>
  <c r="S24" i="1"/>
  <c r="T24" i="1"/>
  <c r="U24" i="1"/>
  <c r="V24" i="1"/>
  <c r="L23" i="1"/>
  <c r="M23" i="1"/>
  <c r="N23" i="1"/>
  <c r="L24" i="1"/>
  <c r="M24" i="1"/>
  <c r="N24" i="1"/>
  <c r="I23" i="1"/>
  <c r="I24" i="1"/>
  <c r="J35" i="1"/>
  <c r="J13" i="4" s="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0" i="1"/>
  <c r="H8" i="4" s="1"/>
  <c r="H34" i="1"/>
  <c r="H12" i="4" s="1"/>
  <c r="H35" i="1"/>
  <c r="H13" i="4" s="1"/>
  <c r="D33" i="1"/>
  <c r="D11" i="4" s="1"/>
  <c r="H33" i="1"/>
  <c r="H11" i="4" s="1"/>
  <c r="I34" i="1"/>
  <c r="I12" i="4" s="1"/>
  <c r="F35" i="1"/>
  <c r="F13" i="4" s="1"/>
  <c r="F34" i="1"/>
  <c r="F12" i="4" s="1"/>
  <c r="C35" i="1"/>
  <c r="C13" i="4" s="1"/>
  <c r="F29" i="1"/>
  <c r="F7" i="4" s="1"/>
  <c r="G34" i="1"/>
  <c r="G12" i="4" s="1"/>
  <c r="O39" i="1"/>
  <c r="P17" i="4" s="1"/>
  <c r="P28" i="1"/>
  <c r="P30" i="1"/>
  <c r="Q8" i="4" s="1"/>
  <c r="P33" i="1"/>
  <c r="Q11" i="4" s="1"/>
  <c r="P34" i="1"/>
  <c r="Q12" i="4" s="1"/>
  <c r="B33" i="1"/>
  <c r="B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N56" i="23"/>
  <c r="J56" i="23"/>
  <c r="Q56" i="23"/>
  <c r="C56" i="23"/>
  <c r="R56" i="23"/>
  <c r="M56" i="1"/>
  <c r="S56" i="1"/>
  <c r="J56" i="1"/>
  <c r="F56" i="23"/>
  <c r="E56" i="23"/>
  <c r="L56" i="1"/>
  <c r="U56" i="23"/>
  <c r="I56" i="23"/>
  <c r="M56" i="23"/>
  <c r="V56" i="23"/>
  <c r="L56" i="23"/>
  <c r="K56" i="1"/>
  <c r="K56" i="23"/>
  <c r="H56" i="23"/>
  <c r="D56" i="23"/>
  <c r="U56" i="1"/>
  <c r="N56" i="1"/>
  <c r="T56" i="1"/>
  <c r="O42" i="1" l="1"/>
  <c r="P20" i="4" s="1"/>
  <c r="I33" i="1"/>
  <c r="I11" i="4" s="1"/>
  <c r="E32" i="1"/>
  <c r="E10" i="4" s="1"/>
  <c r="O38" i="1"/>
  <c r="P16" i="4" s="1"/>
  <c r="Q31" i="1"/>
  <c r="R9" i="4" s="1"/>
  <c r="E33" i="1"/>
  <c r="E11" i="4" s="1"/>
  <c r="H31" i="1"/>
  <c r="H9" i="4" s="1"/>
  <c r="T35" i="1"/>
  <c r="U13" i="4" s="1"/>
  <c r="Q35" i="1"/>
  <c r="R13" i="4" s="1"/>
  <c r="O43" i="1"/>
  <c r="I29" i="1"/>
  <c r="E35" i="1"/>
  <c r="E13" i="4" s="1"/>
  <c r="M34" i="1"/>
  <c r="M12" i="4" s="1"/>
  <c r="T34" i="1"/>
  <c r="U12" i="4" s="1"/>
  <c r="T33" i="1"/>
  <c r="U11" i="4" s="1"/>
  <c r="M36" i="1"/>
  <c r="M14" i="4" s="1"/>
  <c r="U30" i="1"/>
  <c r="V8" i="4" s="1"/>
  <c r="Q33" i="1"/>
  <c r="R11" i="4" s="1"/>
  <c r="O40" i="1"/>
  <c r="P18" i="4" s="1"/>
  <c r="F33" i="1"/>
  <c r="F11" i="4" s="1"/>
  <c r="H32" i="1"/>
  <c r="H10" i="4" s="1"/>
  <c r="I30" i="1"/>
  <c r="I8" i="4" s="1"/>
  <c r="C33" i="1"/>
  <c r="C11" i="4" s="1"/>
  <c r="E29" i="23"/>
  <c r="E23" i="4" s="1"/>
  <c r="U28" i="1"/>
  <c r="Q28" i="1"/>
  <c r="O32" i="1"/>
  <c r="P10" i="4" s="1"/>
  <c r="G30" i="1"/>
  <c r="G8" i="4" s="1"/>
  <c r="F30" i="1"/>
  <c r="F8" i="4" s="1"/>
  <c r="E30" i="1"/>
  <c r="E8" i="4" s="1"/>
  <c r="F32" i="1"/>
  <c r="F10" i="4" s="1"/>
  <c r="O41" i="1"/>
  <c r="P19" i="4" s="1"/>
  <c r="Q34" i="1"/>
  <c r="R12" i="4" s="1"/>
  <c r="G35" i="1"/>
  <c r="G13" i="4" s="1"/>
  <c r="E29" i="1"/>
  <c r="D35" i="1"/>
  <c r="D13" i="4" s="1"/>
  <c r="G29" i="1"/>
  <c r="G7" i="4" s="1"/>
  <c r="L28" i="1"/>
  <c r="L6" i="4" s="1"/>
  <c r="P34" i="23"/>
  <c r="Q28" i="4" s="1"/>
  <c r="P28" i="23"/>
  <c r="G28" i="23"/>
  <c r="G29" i="23"/>
  <c r="G23" i="4" s="1"/>
  <c r="D29" i="23"/>
  <c r="D23" i="4" s="1"/>
  <c r="I32" i="23"/>
  <c r="I26" i="4" s="1"/>
  <c r="C33" i="23"/>
  <c r="C27" i="4" s="1"/>
  <c r="I29" i="23"/>
  <c r="I23" i="4" s="1"/>
  <c r="D34" i="23"/>
  <c r="D28" i="4" s="1"/>
  <c r="D31" i="23"/>
  <c r="D25" i="4" s="1"/>
  <c r="P30" i="23"/>
  <c r="Q24" i="4" s="1"/>
  <c r="G32" i="23"/>
  <c r="G26" i="4" s="1"/>
  <c r="G33" i="23"/>
  <c r="G27" i="4" s="1"/>
  <c r="C30" i="23"/>
  <c r="C24" i="4" s="1"/>
  <c r="C34" i="23"/>
  <c r="C28" i="4" s="1"/>
  <c r="E34" i="23"/>
  <c r="E28" i="4" s="1"/>
  <c r="F30" i="23"/>
  <c r="F24" i="4" s="1"/>
  <c r="H30" i="23"/>
  <c r="H24" i="4" s="1"/>
  <c r="H34" i="23"/>
  <c r="H28" i="4" s="1"/>
  <c r="F29" i="23"/>
  <c r="F23" i="4" s="1"/>
  <c r="O29" i="23"/>
  <c r="P23" i="4" s="1"/>
  <c r="F33" i="23"/>
  <c r="F27" i="4" s="1"/>
  <c r="E35" i="23"/>
  <c r="E29" i="4" s="1"/>
  <c r="G30" i="23"/>
  <c r="G24" i="4" s="1"/>
  <c r="J35" i="23"/>
  <c r="J29" i="4" s="1"/>
  <c r="I34" i="23"/>
  <c r="I28" i="4" s="1"/>
  <c r="J30" i="23"/>
  <c r="J24" i="4" s="1"/>
  <c r="C31" i="23"/>
  <c r="C25" i="4" s="1"/>
  <c r="V33" i="23"/>
  <c r="W27" i="4" s="1"/>
  <c r="O43" i="23"/>
  <c r="V35" i="23"/>
  <c r="W29" i="4" s="1"/>
  <c r="R33" i="23"/>
  <c r="S27" i="4" s="1"/>
  <c r="T32" i="23"/>
  <c r="U26" i="4" s="1"/>
  <c r="V31" i="23"/>
  <c r="W25" i="4" s="1"/>
  <c r="V29" i="23"/>
  <c r="W23" i="4" s="1"/>
  <c r="O39" i="23"/>
  <c r="P33" i="4" s="1"/>
  <c r="R35" i="23"/>
  <c r="S29" i="4" s="1"/>
  <c r="T34" i="23"/>
  <c r="U28" i="4" s="1"/>
  <c r="P32" i="23"/>
  <c r="Q26" i="4" s="1"/>
  <c r="R31" i="23"/>
  <c r="S25" i="4" s="1"/>
  <c r="T30" i="23"/>
  <c r="U24" i="4" s="1"/>
  <c r="R29" i="23"/>
  <c r="S23" i="4" s="1"/>
  <c r="T28" i="23"/>
  <c r="U22" i="4" s="1"/>
  <c r="K35" i="23"/>
  <c r="K29" i="4" s="1"/>
  <c r="O42" i="23"/>
  <c r="P36" i="4" s="1"/>
  <c r="O36" i="23"/>
  <c r="P30" i="4" s="1"/>
  <c r="U35" i="23"/>
  <c r="Q35" i="23"/>
  <c r="R29" i="4" s="1"/>
  <c r="S34" i="23"/>
  <c r="T28" i="4" s="1"/>
  <c r="U33" i="23"/>
  <c r="V27" i="4" s="1"/>
  <c r="Q33" i="23"/>
  <c r="R27" i="4" s="1"/>
  <c r="S32" i="23"/>
  <c r="T26" i="4" s="1"/>
  <c r="U31" i="23"/>
  <c r="V25" i="4" s="1"/>
  <c r="Q31" i="23"/>
  <c r="R25" i="4" s="1"/>
  <c r="S30" i="23"/>
  <c r="T24" i="4" s="1"/>
  <c r="U29" i="23"/>
  <c r="V23" i="4" s="1"/>
  <c r="Q29" i="23"/>
  <c r="R23" i="4" s="1"/>
  <c r="S28" i="23"/>
  <c r="T22" i="4" s="1"/>
  <c r="M33" i="23"/>
  <c r="M27" i="4" s="1"/>
  <c r="M31" i="23"/>
  <c r="M25" i="4" s="1"/>
  <c r="K30" i="23"/>
  <c r="K24" i="4" s="1"/>
  <c r="O41" i="23"/>
  <c r="P35" i="4" s="1"/>
  <c r="O35" i="23"/>
  <c r="P29" i="4" s="1"/>
  <c r="T35" i="23"/>
  <c r="U29" i="4" s="1"/>
  <c r="P35" i="23"/>
  <c r="Q29" i="4" s="1"/>
  <c r="V34" i="23"/>
  <c r="W28" i="4" s="1"/>
  <c r="R34" i="23"/>
  <c r="S28" i="4" s="1"/>
  <c r="T33" i="23"/>
  <c r="U27" i="4" s="1"/>
  <c r="P33" i="23"/>
  <c r="Q27" i="4" s="1"/>
  <c r="V32" i="23"/>
  <c r="W26" i="4" s="1"/>
  <c r="R32" i="23"/>
  <c r="S26" i="4" s="1"/>
  <c r="T31" i="23"/>
  <c r="U25" i="4" s="1"/>
  <c r="P31" i="23"/>
  <c r="Q25" i="4" s="1"/>
  <c r="V30" i="23"/>
  <c r="W24" i="4" s="1"/>
  <c r="R30" i="23"/>
  <c r="S24" i="4" s="1"/>
  <c r="T29" i="23"/>
  <c r="U23" i="4" s="1"/>
  <c r="P29" i="23"/>
  <c r="V28" i="23"/>
  <c r="R28" i="23"/>
  <c r="S22" i="4" s="1"/>
  <c r="L32" i="23"/>
  <c r="L26" i="4" s="1"/>
  <c r="O40" i="23"/>
  <c r="P34" i="4" s="1"/>
  <c r="O33" i="23"/>
  <c r="P27" i="4" s="1"/>
  <c r="S35" i="23"/>
  <c r="T29" i="4" s="1"/>
  <c r="U34" i="23"/>
  <c r="V28" i="4" s="1"/>
  <c r="Q34" i="23"/>
  <c r="R28" i="4" s="1"/>
  <c r="S33" i="23"/>
  <c r="T27" i="4" s="1"/>
  <c r="U32" i="23"/>
  <c r="V26" i="4" s="1"/>
  <c r="Q32" i="23"/>
  <c r="R26" i="4" s="1"/>
  <c r="S31" i="23"/>
  <c r="T25" i="4" s="1"/>
  <c r="U30" i="23"/>
  <c r="V24" i="4" s="1"/>
  <c r="Q30" i="23"/>
  <c r="R24" i="4" s="1"/>
  <c r="S29" i="23"/>
  <c r="T23" i="4" s="1"/>
  <c r="U28" i="23"/>
  <c r="V22" i="4" s="1"/>
  <c r="Q28" i="23"/>
  <c r="R22" i="4" s="1"/>
  <c r="H31" i="23"/>
  <c r="H25" i="4" s="1"/>
  <c r="J33" i="23"/>
  <c r="J27" i="4" s="1"/>
  <c r="I35" i="23"/>
  <c r="I29" i="4" s="1"/>
  <c r="H29" i="23"/>
  <c r="H23" i="4" s="1"/>
  <c r="F31" i="23"/>
  <c r="F25" i="4" s="1"/>
  <c r="D33" i="23"/>
  <c r="D27" i="4" s="1"/>
  <c r="G34" i="23"/>
  <c r="G28" i="4" s="1"/>
  <c r="H35" i="23"/>
  <c r="H29" i="4" s="1"/>
  <c r="D28" i="23"/>
  <c r="D22" i="4" s="1"/>
  <c r="E31" i="23"/>
  <c r="E25" i="4" s="1"/>
  <c r="F34" i="23"/>
  <c r="F28" i="4" s="1"/>
  <c r="F28" i="23"/>
  <c r="G31" i="23"/>
  <c r="G25" i="4" s="1"/>
  <c r="E33" i="23"/>
  <c r="E27" i="4" s="1"/>
  <c r="C35" i="23"/>
  <c r="C29" i="4" s="1"/>
  <c r="J29" i="23"/>
  <c r="J23" i="4" s="1"/>
  <c r="E30" i="23"/>
  <c r="E24" i="4" s="1"/>
  <c r="M34" i="23"/>
  <c r="M28" i="4" s="1"/>
  <c r="L33" i="23"/>
  <c r="L27" i="4" s="1"/>
  <c r="K32" i="23"/>
  <c r="K26" i="4" s="1"/>
  <c r="L31" i="23"/>
  <c r="L25" i="4" s="1"/>
  <c r="M29" i="23"/>
  <c r="M23" i="4" s="1"/>
  <c r="M28" i="23"/>
  <c r="M22" i="4" s="1"/>
  <c r="D35" i="23"/>
  <c r="D29" i="4" s="1"/>
  <c r="D32" i="23"/>
  <c r="D26" i="4" s="1"/>
  <c r="E28" i="23"/>
  <c r="E22" i="4" s="1"/>
  <c r="J31" i="23"/>
  <c r="J25" i="4" s="1"/>
  <c r="H33" i="23"/>
  <c r="H27" i="4" s="1"/>
  <c r="F35" i="23"/>
  <c r="F29" i="4" s="1"/>
  <c r="C32" i="23"/>
  <c r="C26" i="4" s="1"/>
  <c r="C29" i="23"/>
  <c r="C23" i="4" s="1"/>
  <c r="I31" i="23"/>
  <c r="I25" i="4" s="1"/>
  <c r="J34" i="23"/>
  <c r="J28" i="4" s="1"/>
  <c r="J28" i="23"/>
  <c r="D30" i="23"/>
  <c r="D24" i="4" s="1"/>
  <c r="F32" i="23"/>
  <c r="F26" i="4" s="1"/>
  <c r="I33" i="23"/>
  <c r="I27" i="4" s="1"/>
  <c r="G35" i="23"/>
  <c r="G29" i="4" s="1"/>
  <c r="C28" i="23"/>
  <c r="C22" i="4" s="1"/>
  <c r="M35" i="23"/>
  <c r="M29" i="4" s="1"/>
  <c r="L34" i="23"/>
  <c r="L28" i="4" s="1"/>
  <c r="K33" i="23"/>
  <c r="K27" i="4" s="1"/>
  <c r="K31" i="23"/>
  <c r="K25" i="4" s="1"/>
  <c r="M30" i="23"/>
  <c r="M24" i="4" s="1"/>
  <c r="L29" i="23"/>
  <c r="L23" i="4" s="1"/>
  <c r="L28" i="23"/>
  <c r="L22" i="4" s="1"/>
  <c r="L35" i="23"/>
  <c r="L29" i="4" s="1"/>
  <c r="K34" i="23"/>
  <c r="K28" i="4" s="1"/>
  <c r="M32" i="23"/>
  <c r="M26" i="4" s="1"/>
  <c r="L30" i="23"/>
  <c r="L24" i="4" s="1"/>
  <c r="K29" i="23"/>
  <c r="K23" i="4" s="1"/>
  <c r="K28" i="23"/>
  <c r="K2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V35" i="1"/>
  <c r="W13" i="4" s="1"/>
  <c r="S32" i="1"/>
  <c r="T10" i="4" s="1"/>
  <c r="V31" i="1"/>
  <c r="W9" i="4" s="1"/>
  <c r="T29" i="1"/>
  <c r="U7" i="4" s="1"/>
  <c r="S28" i="1"/>
  <c r="T6" i="4" s="1"/>
  <c r="J33" i="1"/>
  <c r="J11" i="4" s="1"/>
  <c r="J29" i="1"/>
  <c r="J7" i="4" s="1"/>
  <c r="J28" i="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H22" i="4"/>
  <c r="I22" i="4"/>
  <c r="G22" i="4"/>
  <c r="N22" i="4"/>
  <c r="Q22" i="4"/>
  <c r="J6" i="4"/>
  <c r="K6" i="4"/>
  <c r="R6" i="4"/>
  <c r="N6" i="4"/>
  <c r="Q6" i="4"/>
  <c r="V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K37" i="4"/>
  <c r="I45" i="23"/>
  <c r="U4" i="33"/>
  <c r="P21" i="4"/>
  <c r="S21" i="4"/>
  <c r="R21" i="4"/>
  <c r="S4" i="33"/>
  <c r="C27" i="23"/>
  <c r="C52" i="23" s="1"/>
  <c r="I27" i="23"/>
  <c r="W21" i="4"/>
  <c r="U21" i="4"/>
  <c r="B21" i="4"/>
  <c r="O37" i="23"/>
  <c r="P31" i="4" s="1"/>
  <c r="O34" i="23"/>
  <c r="P28" i="4" s="1"/>
  <c r="O38" i="23"/>
  <c r="U37" i="4"/>
  <c r="B38" i="23"/>
  <c r="F37" i="4"/>
  <c r="N37" i="4"/>
  <c r="L37" i="4"/>
  <c r="Q37" i="4"/>
  <c r="T37" i="4"/>
  <c r="J37" i="4"/>
  <c r="H37" i="4"/>
  <c r="M37" i="4"/>
  <c r="P37" i="4"/>
  <c r="R4" i="4"/>
  <c r="R62" i="4" s="1"/>
  <c r="N4" i="23"/>
  <c r="N22" i="23"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G47" i="23"/>
  <c r="G48" i="23" s="1"/>
  <c r="G54" i="23" s="1"/>
  <c r="B29" i="23"/>
  <c r="B23" i="4" s="1"/>
  <c r="Q32" i="1"/>
  <c r="P32" i="1"/>
  <c r="Q10" i="4" s="1"/>
  <c r="D4" i="4"/>
  <c r="Q23" i="4"/>
  <c r="O29" i="1"/>
  <c r="P7" i="4" s="1"/>
  <c r="B27" i="23"/>
  <c r="B52" i="23" s="1"/>
  <c r="K45" i="23"/>
  <c r="E27" i="23"/>
  <c r="E52" i="23" s="1"/>
  <c r="Q30" i="1"/>
  <c r="R8" i="4" s="1"/>
  <c r="B29" i="1"/>
  <c r="B7" i="4" s="1"/>
  <c r="P35" i="1"/>
  <c r="Q13" i="4" s="1"/>
  <c r="P31" i="1"/>
  <c r="Q9" i="4" s="1"/>
  <c r="H22" i="23"/>
  <c r="N47" i="23"/>
  <c r="N48" i="23" s="1"/>
  <c r="N54" i="23" s="1"/>
  <c r="P37" i="1"/>
  <c r="F22" i="23"/>
  <c r="O36" i="1"/>
  <c r="H45" i="23"/>
  <c r="R31" i="1"/>
  <c r="S9" i="4" s="1"/>
  <c r="W22" i="4"/>
  <c r="V29" i="4"/>
  <c r="N46" i="23"/>
  <c r="N53" i="23" s="1"/>
  <c r="J57" i="1"/>
  <c r="E57" i="23"/>
  <c r="M57" i="1"/>
  <c r="V57" i="1"/>
  <c r="N57" i="23"/>
  <c r="U57" i="23"/>
  <c r="Q57" i="23"/>
  <c r="J57" i="23"/>
  <c r="H57" i="23"/>
  <c r="L57" i="1"/>
  <c r="U57" i="1"/>
  <c r="M57" i="23"/>
  <c r="T57" i="23"/>
  <c r="P57" i="23"/>
  <c r="C57" i="23"/>
  <c r="F57" i="23"/>
  <c r="I57" i="23"/>
  <c r="K57" i="1"/>
  <c r="T57" i="1"/>
  <c r="L57" i="23"/>
  <c r="S57" i="23"/>
  <c r="D57" i="23"/>
  <c r="G57" i="23"/>
  <c r="N57" i="1"/>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N47" i="1"/>
  <c r="N48" i="1" s="1"/>
  <c r="N54" i="1" s="1"/>
  <c r="D32" i="1"/>
  <c r="B30" i="1"/>
  <c r="B8" i="4" s="1"/>
  <c r="C28" i="1"/>
  <c r="D31" i="1"/>
  <c r="D9" i="4" s="1"/>
  <c r="N46" i="1"/>
  <c r="N53" i="1" s="1"/>
  <c r="O28" i="1"/>
  <c r="C30" i="1"/>
  <c r="C8" i="4" s="1"/>
  <c r="C31" i="1"/>
  <c r="C9" i="4" s="1"/>
  <c r="D29" i="1"/>
  <c r="D7" i="4" s="1"/>
  <c r="D30" i="1"/>
  <c r="G21" i="4"/>
  <c r="I21" i="4"/>
  <c r="F21" i="4"/>
  <c r="H21" i="4"/>
  <c r="E21" i="4"/>
  <c r="L52" i="23"/>
  <c r="E7" i="4"/>
  <c r="D17" i="4"/>
  <c r="C4" i="4"/>
  <c r="G27" i="23"/>
  <c r="G52" i="23"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N4" i="4"/>
  <c r="G22" i="1"/>
  <c r="N27" i="1"/>
  <c r="N52" i="1" s="1"/>
  <c r="F45" i="1"/>
  <c r="C22" i="1"/>
  <c r="B22" i="1"/>
  <c r="G45" i="1"/>
  <c r="E27" i="1"/>
  <c r="E52" i="1" s="1"/>
  <c r="E22" i="1"/>
  <c r="I22" i="1"/>
  <c r="I27" i="1"/>
  <c r="P27" i="1"/>
  <c r="P52" i="1" s="1"/>
  <c r="H4" i="4"/>
  <c r="F22" i="1"/>
  <c r="I4" i="4"/>
  <c r="N22" i="1"/>
  <c r="G4" i="4"/>
  <c r="C27" i="1"/>
  <c r="C52" i="1" s="1"/>
  <c r="B45" i="1"/>
  <c r="K74" i="4"/>
  <c r="K22" i="1"/>
  <c r="H22" i="1"/>
  <c r="P4" i="4"/>
  <c r="H45" i="1"/>
  <c r="O45" i="1"/>
  <c r="Q4" i="4"/>
  <c r="K45" i="1"/>
  <c r="P45" i="1"/>
  <c r="O27" i="1"/>
  <c r="O52" i="1" s="1"/>
  <c r="I52" i="1"/>
  <c r="K55" i="4"/>
  <c r="B55" i="4"/>
  <c r="L55" i="4"/>
  <c r="E74" i="4"/>
  <c r="B74" i="4"/>
  <c r="Q56" i="1"/>
  <c r="C56" i="1"/>
  <c r="P56" i="1"/>
  <c r="E56" i="1"/>
  <c r="D56" i="1"/>
  <c r="G56" i="1"/>
  <c r="B56" i="1"/>
  <c r="I56" i="1"/>
  <c r="H56" i="1"/>
  <c r="B56" i="23"/>
  <c r="F56" i="1"/>
  <c r="O56" i="1"/>
  <c r="R56" i="1"/>
  <c r="O56" i="23"/>
  <c r="V47" i="23" l="1"/>
  <c r="V48" i="23" s="1"/>
  <c r="V54" i="23" s="1"/>
  <c r="I47" i="23"/>
  <c r="I46" i="23"/>
  <c r="I53" i="23" s="1"/>
  <c r="K46" i="1"/>
  <c r="K53" i="1" s="1"/>
  <c r="E46" i="23"/>
  <c r="E53" i="23" s="1"/>
  <c r="C47" i="23"/>
  <c r="C48" i="23" s="1"/>
  <c r="C54" i="23" s="1"/>
  <c r="L46" i="23"/>
  <c r="L53" i="23" s="1"/>
  <c r="P46" i="23"/>
  <c r="P53" i="23" s="1"/>
  <c r="P47" i="23"/>
  <c r="P48" i="23" s="1"/>
  <c r="P54" i="23" s="1"/>
  <c r="V46" i="23"/>
  <c r="V53" i="23" s="1"/>
  <c r="H47" i="23"/>
  <c r="H48" i="23" s="1"/>
  <c r="H54" i="23" s="1"/>
  <c r="H46" i="23"/>
  <c r="H53" i="23" s="1"/>
  <c r="K47" i="1"/>
  <c r="C46" i="23"/>
  <c r="C53" i="23" s="1"/>
  <c r="T47" i="23"/>
  <c r="T48" i="23" s="1"/>
  <c r="T54" i="23" s="1"/>
  <c r="J47" i="23"/>
  <c r="J48" i="23" s="1"/>
  <c r="J54" i="23" s="1"/>
  <c r="S47" i="23"/>
  <c r="S48" i="23" s="1"/>
  <c r="S54" i="23" s="1"/>
  <c r="E47" i="23"/>
  <c r="E48" i="23" s="1"/>
  <c r="E54" i="23" s="1"/>
  <c r="Q47" i="23"/>
  <c r="Q48" i="23" s="1"/>
  <c r="Q54" i="23" s="1"/>
  <c r="L47" i="23"/>
  <c r="L48" i="23" s="1"/>
  <c r="L54" i="23" s="1"/>
  <c r="T46" i="23"/>
  <c r="T53" i="23" s="1"/>
  <c r="D46" i="23"/>
  <c r="D53" i="23" s="1"/>
  <c r="Q46" i="23"/>
  <c r="Q53" i="23" s="1"/>
  <c r="G46" i="23"/>
  <c r="G53" i="23" s="1"/>
  <c r="K47" i="23"/>
  <c r="K48" i="23" s="1"/>
  <c r="K54" i="23" s="1"/>
  <c r="J22" i="4"/>
  <c r="J57" i="4" s="1"/>
  <c r="J58" i="4" s="1"/>
  <c r="J76" i="4" s="1"/>
  <c r="S46" i="23"/>
  <c r="S53" i="23" s="1"/>
  <c r="J46" i="23"/>
  <c r="J53" i="23" s="1"/>
  <c r="U47" i="23"/>
  <c r="U48" i="23" s="1"/>
  <c r="U54" i="23" s="1"/>
  <c r="U46" i="23"/>
  <c r="U53" i="23" s="1"/>
  <c r="D47" i="23"/>
  <c r="D48" i="23" s="1"/>
  <c r="D54" i="23" s="1"/>
  <c r="R47" i="23"/>
  <c r="R48" i="23" s="1"/>
  <c r="R54" i="23" s="1"/>
  <c r="R46" i="23"/>
  <c r="R53" i="23" s="1"/>
  <c r="F47" i="23"/>
  <c r="F48" i="23" s="1"/>
  <c r="F54" i="23" s="1"/>
  <c r="M47" i="23"/>
  <c r="M48" i="23" s="1"/>
  <c r="M54" i="23" s="1"/>
  <c r="M46" i="23"/>
  <c r="M53" i="23" s="1"/>
  <c r="F22" i="4"/>
  <c r="F46" i="23"/>
  <c r="F53" i="23" s="1"/>
  <c r="K46" i="23"/>
  <c r="K53" i="23" s="1"/>
  <c r="I48" i="23"/>
  <c r="I54" i="23" s="1"/>
  <c r="U46" i="1"/>
  <c r="U53" i="1"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M63" i="4"/>
  <c r="M64" i="4" s="1"/>
  <c r="S46" i="1"/>
  <c r="S53" i="1" s="1"/>
  <c r="T63" i="4"/>
  <c r="T64" i="4" s="1"/>
  <c r="K48" i="1"/>
  <c r="K54" i="1" s="1"/>
  <c r="F46" i="1"/>
  <c r="F53" i="1" s="1"/>
  <c r="B22" i="4"/>
  <c r="D6" i="4"/>
  <c r="S6" i="4"/>
  <c r="I6" i="4"/>
  <c r="Q7" i="4"/>
  <c r="E6" i="4"/>
  <c r="P6" i="4"/>
  <c r="B6" i="4"/>
  <c r="C6" i="4"/>
  <c r="H6" i="4"/>
  <c r="F6" i="4"/>
  <c r="P47" i="1"/>
  <c r="P48" i="1" s="1"/>
  <c r="P54" i="1" s="1"/>
  <c r="L63" i="4"/>
  <c r="L64" i="4" s="1"/>
  <c r="G6" i="4"/>
  <c r="R7" i="4"/>
  <c r="K63" i="4"/>
  <c r="K64" i="4" s="1"/>
  <c r="V63" i="4"/>
  <c r="V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U76"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L56" i="4"/>
  <c r="L75" i="4" s="1"/>
  <c r="T56" i="4"/>
  <c r="T75" i="4" s="1"/>
  <c r="K57" i="4"/>
  <c r="K58" i="4" s="1"/>
  <c r="K76" i="4" s="1"/>
  <c r="P55" i="4"/>
  <c r="P62" i="4"/>
  <c r="F55" i="4"/>
  <c r="F62" i="4"/>
  <c r="M55" i="4"/>
  <c r="M62" i="4"/>
  <c r="J55" i="4"/>
  <c r="J62" i="4"/>
  <c r="L57" i="4"/>
  <c r="L58" i="4" s="1"/>
  <c r="L76" i="4" s="1"/>
  <c r="N57" i="4"/>
  <c r="N58" i="4" s="1"/>
  <c r="N76" i="4" s="1"/>
  <c r="K56" i="4"/>
  <c r="K75"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N52" i="23"/>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N27" i="23"/>
  <c r="N45" i="23"/>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O46" i="1"/>
  <c r="O53" i="1" s="1"/>
  <c r="O55" i="1" s="1"/>
  <c r="D47" i="1"/>
  <c r="D48" i="1" s="1"/>
  <c r="D54" i="1" s="1"/>
  <c r="D8" i="4"/>
  <c r="T4" i="1"/>
  <c r="T4" i="23"/>
  <c r="F74" i="4"/>
  <c r="I74" i="4"/>
  <c r="P74" i="4"/>
  <c r="Q74" i="4"/>
  <c r="F55" i="23" l="1"/>
  <c r="I63" i="4"/>
  <c r="I64" i="4" s="1"/>
  <c r="J56" i="4"/>
  <c r="J75" i="4" s="1"/>
  <c r="J63" i="4"/>
  <c r="J64" i="4" s="1"/>
  <c r="H56" i="4"/>
  <c r="H75" i="4" s="1"/>
  <c r="C63" i="4"/>
  <c r="C64" i="4" s="1"/>
  <c r="I57" i="4"/>
  <c r="I58" i="4" s="1"/>
  <c r="I76" i="4" s="1"/>
  <c r="W4" i="4"/>
  <c r="W55" i="4" s="1"/>
  <c r="F63" i="4"/>
  <c r="F64" i="4" s="1"/>
  <c r="S63" i="4"/>
  <c r="S64" i="4" s="1"/>
  <c r="C55" i="23"/>
  <c r="N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N59" i="23"/>
  <c r="N60" i="23" s="1"/>
  <c r="E59" i="23"/>
  <c r="E60" i="23" s="1"/>
  <c r="J59" i="23"/>
  <c r="J60" i="23" s="1"/>
  <c r="K59" i="23"/>
  <c r="K60" i="23" s="1"/>
  <c r="D59" i="23"/>
  <c r="D60" i="23" s="1"/>
  <c r="I59" i="23"/>
  <c r="I60" i="23" s="1"/>
  <c r="O59" i="23"/>
  <c r="O60" i="23" s="1"/>
  <c r="G59" i="23"/>
  <c r="G60" i="23" s="1"/>
  <c r="H59" i="23"/>
  <c r="H60" i="23" s="1"/>
  <c r="M59" i="23"/>
  <c r="M60" i="23" s="1"/>
  <c r="C55" i="1"/>
  <c r="H55" i="1"/>
  <c r="F55" i="1"/>
  <c r="N55" i="1"/>
  <c r="I55" i="1"/>
  <c r="L55" i="1"/>
  <c r="J55" i="1"/>
  <c r="D55" i="1"/>
  <c r="K55" i="1"/>
  <c r="E55" i="1"/>
  <c r="O59" i="1"/>
  <c r="O60" i="1" s="1"/>
  <c r="N59" i="1"/>
  <c r="N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W74" i="4" l="1"/>
  <c r="U77" i="4"/>
  <c r="W62" i="4"/>
  <c r="B80" i="4"/>
  <c r="Q75" i="4"/>
  <c r="P81" i="4"/>
  <c r="V74" i="4"/>
  <c r="V62" i="4"/>
  <c r="R61" i="23"/>
  <c r="V55" i="4"/>
  <c r="W77" i="4"/>
  <c r="V77" i="4"/>
  <c r="P77" i="4"/>
  <c r="T77" i="4"/>
  <c r="R77" i="4"/>
  <c r="S77" i="4"/>
  <c r="U81" i="4"/>
  <c r="V81" i="4"/>
  <c r="Q81" i="4"/>
  <c r="W81" i="4"/>
  <c r="T81" i="4"/>
  <c r="R81" i="4"/>
  <c r="S81" i="4"/>
  <c r="B86" i="4"/>
  <c r="B87" i="4"/>
  <c r="B75" i="4"/>
  <c r="F94" i="4" s="1"/>
  <c r="N81" i="4"/>
  <c r="N82" i="4" s="1"/>
  <c r="M81" i="4"/>
  <c r="J81" i="4"/>
  <c r="K81" i="4"/>
  <c r="L81" i="4"/>
  <c r="M61" i="23"/>
  <c r="I61" i="23"/>
  <c r="E61" i="23"/>
  <c r="D61" i="23"/>
  <c r="C61" i="23"/>
  <c r="Q61" i="23"/>
  <c r="U61" i="23"/>
  <c r="P61" i="23"/>
  <c r="F61" i="23"/>
  <c r="H61" i="23"/>
  <c r="K61" i="23"/>
  <c r="N61" i="23"/>
  <c r="G61" i="23"/>
  <c r="J61" i="23"/>
  <c r="S61" i="23"/>
  <c r="T61" i="23"/>
  <c r="V61" i="23"/>
  <c r="L61" i="23"/>
  <c r="D61" i="1"/>
  <c r="U61" i="1"/>
  <c r="S61" i="1"/>
  <c r="G61" i="1"/>
  <c r="M61" i="1"/>
  <c r="L61" i="1"/>
  <c r="T61" i="1"/>
  <c r="E61" i="1"/>
  <c r="F61" i="1"/>
  <c r="K61" i="1"/>
  <c r="I61" i="1"/>
  <c r="J61" i="1"/>
  <c r="V61" i="1"/>
  <c r="H61" i="1"/>
  <c r="N61" i="1"/>
  <c r="T55" i="4"/>
  <c r="T74" i="4"/>
  <c r="S55" i="4"/>
  <c r="S74" i="4"/>
  <c r="O61" i="1"/>
  <c r="Q61" i="1"/>
  <c r="P61" i="1"/>
  <c r="C61" i="1"/>
  <c r="R61" i="1"/>
  <c r="U55" i="4"/>
  <c r="U74" i="4"/>
  <c r="E94" i="4" l="1"/>
  <c r="G94" i="4"/>
  <c r="C94" i="4"/>
  <c r="S94" i="4"/>
  <c r="Q77" i="4"/>
  <c r="Q94" i="4"/>
  <c r="B94" i="4"/>
  <c r="O94" i="4"/>
  <c r="L94" i="4"/>
  <c r="U94" i="4"/>
  <c r="K94" i="4"/>
  <c r="N94" i="4"/>
  <c r="V94" i="4"/>
  <c r="M94" i="4"/>
  <c r="T94" i="4"/>
  <c r="P94" i="4"/>
  <c r="I94" i="4"/>
  <c r="J94" i="4"/>
  <c r="D94" i="4"/>
  <c r="H94" i="4"/>
  <c r="R94" i="4"/>
  <c r="I81" i="4"/>
  <c r="F81" i="4"/>
  <c r="G81" i="4"/>
  <c r="H81" i="4"/>
  <c r="D81" i="4"/>
  <c r="D83" i="4" s="1"/>
  <c r="E81" i="4"/>
  <c r="C81" i="4"/>
  <c r="K77" i="4"/>
  <c r="J77" i="4"/>
  <c r="G77" i="4"/>
  <c r="N77" i="4"/>
  <c r="F77" i="4"/>
  <c r="L77" i="4"/>
  <c r="B77" i="4"/>
  <c r="M77" i="4"/>
  <c r="I77" i="4"/>
  <c r="H77" i="4"/>
  <c r="D77" i="4"/>
  <c r="C77" i="4"/>
  <c r="E77" i="4"/>
  <c r="L83" i="4"/>
  <c r="M83" i="4"/>
  <c r="N83" i="4"/>
  <c r="K83" i="4"/>
  <c r="J83" i="4"/>
  <c r="S83" i="4"/>
  <c r="T83" i="4"/>
  <c r="O61" i="23"/>
  <c r="I83" i="4" l="1"/>
  <c r="C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<sst xmlns="http://schemas.openxmlformats.org/spreadsheetml/2006/main" count="249" uniqueCount="79">
  <si>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</si>
  <si>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</si>
  <si>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</si>
  <si>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</si>
  <si>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</si>
  <si>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</si>
  <si>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</si>
  <si>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</si>
  <si>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</si>
  <si>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</si>
  <si>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</si>
  <si>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</si>
  <si>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</si>
  <si>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</si>
  <si>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</si>
  <si>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</si>
  <si>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</si>
  <si>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</si>
  <si>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</si>
  <si>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</si>
  <si>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</si>
  <si>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</si>
  <si>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</si>
  <si>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</si>
  <si>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</si>
  <si>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</si>
  <si>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</si>
  <si>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</si>
  <si>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</si>
  <si>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</si>
  <si>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</si>
  <si>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</si>
  <si>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</si>
  <si>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</si>
  <si>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</si>
  <si>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</si>
  <si>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</si>
  <si>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</si>
  <si>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</si>
  <si>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</si>
  <si>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</si>
  <si>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</si>
  <si>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</si>
  <si>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</si>
  <si>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</si>
  <si>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</si>
  <si>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</si>
  <si>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</si>
  <si>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</si>
  <si>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</si>
  <si>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</si>
  <si>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</si>
  <si>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</si>
  <si>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</si>
  <si>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</si>
  <si>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</si>
  <si>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</si>
  <si>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</si>
  <si>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</si>
  <si>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</si>
  <si>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</si>
  <si>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</si>
  <si>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</si>
  <si>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</si>
  <si>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</si>
  <si>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</si>
  <si>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</si>
  <si>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</si>
  <si>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</si>
  <si>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</si>
  <si>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</si>
  <si>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</si>
  <si>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</si>
  <si>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</si>
  <si>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anastrozole</t>
    <phoneticPr fontId="12"/>
  </si>
  <si>
    <t>µg/L</t>
    <phoneticPr fontId="12"/>
  </si>
  <si>
    <t>&gt;0,9999</t>
  </si>
  <si>
    <t>&lt;0,0001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</si>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</sst>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
      <sz val="8"/>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13"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BA3838"/>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'R1'!$O$48:$V$48</c:f>
                <c:numCache>
                  <c:formatCode>General</c:formatCode>
                  <c:ptCount val="8"/>
                  <c:pt idx="0">
                    <c:v>6.4488256331197188E-2</c:v>
                  </c:pt>
                  <c:pt idx="1">
                    <c:v>8.756190760520044E-2</c:v>
                  </c:pt>
                  <c:pt idx="2">
                    <c:v>3.5947809426545137E-2</c:v>
                  </c:pt>
                  <c:pt idx="3">
                    <c:v>3.4339681792506654E-2</c:v>
                  </c:pt>
                  <c:pt idx="4">
                    <c:v>2.0269077939445487E-2</c:v>
                  </c:pt>
                  <c:pt idx="5">
                    <c:v>5.6327348975721996E-2</c:v>
                  </c:pt>
                  <c:pt idx="6">
                    <c:v>0.12119607508568769</c:v>
                  </c:pt>
                  <c:pt idx="7">
                    <c:v>0.13446402061706461</c:v>
                  </c:pt>
                </c:numCache>
              </c:numRef>
            </c:plus>
            <c:minus>
              <c:numRef>
                <c:f>'R1'!$O$48:$V$48</c:f>
                <c:numCache>
                  <c:formatCode>General</c:formatCode>
                  <c:ptCount val="8"/>
                  <c:pt idx="0">
                    <c:v>6.4488256331197188E-2</c:v>
                  </c:pt>
                  <c:pt idx="1">
                    <c:v>8.756190760520044E-2</c:v>
                  </c:pt>
                  <c:pt idx="2">
                    <c:v>3.5947809426545137E-2</c:v>
                  </c:pt>
                  <c:pt idx="3">
                    <c:v>3.4339681792506654E-2</c:v>
                  </c:pt>
                  <c:pt idx="4">
                    <c:v>2.0269077939445487E-2</c:v>
                  </c:pt>
                  <c:pt idx="5">
                    <c:v>5.6327348975721996E-2</c:v>
                  </c:pt>
                  <c:pt idx="6">
                    <c:v>0.12119607508568769</c:v>
                  </c:pt>
                  <c:pt idx="7">
                    <c:v>0.13446402061706461</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anastrozole-20µg/L</c:v>
                </c:pt>
                <c:pt idx="8">
                  <c:v>anastrozole-4µg/L</c:v>
                </c:pt>
                <c:pt idx="9">
                  <c:v>anastrozole-0.8µg/L</c:v>
                </c:pt>
                <c:pt idx="10">
                  <c:v>anastrozole-0.16µg/L</c:v>
                </c:pt>
                <c:pt idx="11">
                  <c:v>anastrozole-0.032µg/L</c:v>
                </c:pt>
                <c:pt idx="13">
                  <c:v>Testo -30µg/L</c:v>
                </c:pt>
                <c:pt idx="14">
                  <c:v>Testo 30µg/L + EE2 -64ng/L</c:v>
                </c:pt>
                <c:pt idx="15">
                  <c:v>Testo 30µg/L + FAD-10mg/L</c:v>
                </c:pt>
                <c:pt idx="16">
                  <c:v>anastrozole-20µg/L + Testostérone</c:v>
                </c:pt>
                <c:pt idx="17">
                  <c:v>anastrozole-4µg/L + Testostérone</c:v>
                </c:pt>
                <c:pt idx="18">
                  <c:v>anastrozole-0.8µg/L + Testostérone</c:v>
                </c:pt>
                <c:pt idx="19">
                  <c:v>anastrozole-0.16µg/L + Testostérone</c:v>
                </c:pt>
                <c:pt idx="20">
                  <c:v>anastrozole-0.032µg/L + Testostérone</c:v>
                </c:pt>
              </c:strCache>
            </c:strRef>
          </c:cat>
          <c:val>
            <c:numRef>
              <c:f>'R1'!$B$53:$V$53</c:f>
              <c:numCache>
                <c:formatCode>0.0000</c:formatCode>
                <c:ptCount val="21"/>
                <c:pt idx="0">
                  <c:v>0.17544673436515715</c:v>
                </c:pt>
                <c:pt idx="1">
                  <c:v>0.44925198817155204</c:v>
                </c:pt>
                <c:pt idx="2">
                  <c:v>0.56059687829939675</c:v>
                </c:pt>
                <c:pt idx="3">
                  <c:v>0.72933426414592584</c:v>
                </c:pt>
                <c:pt idx="4">
                  <c:v>1.1721061080292667</c:v>
                </c:pt>
                <c:pt idx="5">
                  <c:v>1.2831195274558314</c:v>
                </c:pt>
                <c:pt idx="6">
                  <c:v>2.3983175338710057</c:v>
                </c:pt>
                <c:pt idx="7">
                  <c:v>0.14033561716326298</c:v>
                </c:pt>
                <c:pt idx="8">
                  <c:v>0.25541836179747379</c:v>
                </c:pt>
                <c:pt idx="9">
                  <c:v>0.17767328802373589</c:v>
                </c:pt>
                <c:pt idx="10">
                  <c:v>0.12608486369833483</c:v>
                </c:pt>
                <c:pt idx="11">
                  <c:v>0.17087463705017669</c:v>
                </c:pt>
                <c:pt idx="12">
                  <c:v>0</c:v>
                </c:pt>
                <c:pt idx="13">
                  <c:v>1</c:v>
                </c:pt>
                <c:pt idx="14">
                  <c:v>1.2014077128634355</c:v>
                </c:pt>
                <c:pt idx="15">
                  <c:v>0.19289282031916724</c:v>
                </c:pt>
                <c:pt idx="16">
                  <c:v>0.18147899709137441</c:v>
                </c:pt>
                <c:pt idx="17">
                  <c:v>0.1863841943184012</c:v>
                </c:pt>
                <c:pt idx="18">
                  <c:v>0.46174420958614254</c:v>
                </c:pt>
                <c:pt idx="19">
                  <c:v>0.89054946330210027</c:v>
                </c:pt>
                <c:pt idx="20">
                  <c:v>0.84852028308820604</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BA3838"/>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4.4116007672809508E-2</c:v>
                  </c:pt>
                  <c:pt idx="1">
                    <c:v>7.6824002512276945E-2</c:v>
                  </c:pt>
                  <c:pt idx="2">
                    <c:v>0.13366086061107829</c:v>
                  </c:pt>
                  <c:pt idx="3">
                    <c:v>0.22790281571345733</c:v>
                  </c:pt>
                  <c:pt idx="4">
                    <c:v>0.13365931695594749</c:v>
                  </c:pt>
                  <c:pt idx="5">
                    <c:v>0.17662104928265748</c:v>
                  </c:pt>
                  <c:pt idx="6">
                    <c:v>0.14275140344127518</c:v>
                  </c:pt>
                  <c:pt idx="7">
                    <c:v>9.2520323948588362E-2</c:v>
                  </c:pt>
                  <c:pt idx="8">
                    <c:v>6.4416322239977633E-2</c:v>
                  </c:pt>
                  <c:pt idx="9">
                    <c:v>8.1502985609280321E-2</c:v>
                  </c:pt>
                  <c:pt idx="10">
                    <c:v>7.3391260175377254E-2</c:v>
                  </c:pt>
                  <c:pt idx="11">
                    <c:v>8.5442219442143447E-2</c:v>
                  </c:pt>
                  <c:pt idx="12">
                    <c:v>0</c:v>
                  </c:pt>
                  <c:pt idx="13">
                    <c:v>0.12834139921481358</c:v>
                  </c:pt>
                  <c:pt idx="14">
                    <c:v>0.15665379736268104</c:v>
                  </c:pt>
                  <c:pt idx="15">
                    <c:v>5.5424160654842319E-2</c:v>
                  </c:pt>
                  <c:pt idx="16">
                    <c:v>5.4318393418063271E-2</c:v>
                  </c:pt>
                  <c:pt idx="17">
                    <c:v>5.2415481957100045E-2</c:v>
                  </c:pt>
                  <c:pt idx="18">
                    <c:v>8.8128707937658049E-2</c:v>
                  </c:pt>
                  <c:pt idx="19">
                    <c:v>0.10679060349597828</c:v>
                  </c:pt>
                  <c:pt idx="20">
                    <c:v>0.13189367823191134</c:v>
                  </c:pt>
                </c:numCache>
              </c:numRef>
            </c:plus>
            <c:minus>
              <c:numRef>
                <c:f>'R1'!$O$48:$V$48</c:f>
                <c:numCache>
                  <c:formatCode>General</c:formatCode>
                  <c:ptCount val="8"/>
                  <c:pt idx="0">
                    <c:v>6.4488256331197188E-2</c:v>
                  </c:pt>
                  <c:pt idx="1">
                    <c:v>8.756190760520044E-2</c:v>
                  </c:pt>
                  <c:pt idx="2">
                    <c:v>3.5947809426545137E-2</c:v>
                  </c:pt>
                  <c:pt idx="3">
                    <c:v>3.4339681792506654E-2</c:v>
                  </c:pt>
                  <c:pt idx="4">
                    <c:v>2.0269077939445487E-2</c:v>
                  </c:pt>
                  <c:pt idx="5">
                    <c:v>5.6327348975721996E-2</c:v>
                  </c:pt>
                  <c:pt idx="6">
                    <c:v>0.12119607508568769</c:v>
                  </c:pt>
                  <c:pt idx="7">
                    <c:v>0.13446402061706461</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anastrozole-20µg/L</c:v>
                </c:pt>
                <c:pt idx="8">
                  <c:v>anastrozole-4µg/L</c:v>
                </c:pt>
                <c:pt idx="9">
                  <c:v>anastrozole-0.8µg/L</c:v>
                </c:pt>
                <c:pt idx="10">
                  <c:v>anastrozole-0.16µg/L</c:v>
                </c:pt>
                <c:pt idx="11">
                  <c:v>anastrozole-0.032µg/L</c:v>
                </c:pt>
                <c:pt idx="13">
                  <c:v>Testo -30µg/L</c:v>
                </c:pt>
                <c:pt idx="14">
                  <c:v>Testo 30µg/L + EE2 -64ng/L</c:v>
                </c:pt>
                <c:pt idx="15">
                  <c:v>Testo 30µg/L + FAD-10mg/L</c:v>
                </c:pt>
                <c:pt idx="16">
                  <c:v>anastrozole-20µg/L + Testostérone</c:v>
                </c:pt>
                <c:pt idx="17">
                  <c:v>anastrozole-4µg/L + Testostérone</c:v>
                </c:pt>
                <c:pt idx="18">
                  <c:v>anastrozole-0.8µg/L + Testostérone</c:v>
                </c:pt>
                <c:pt idx="19">
                  <c:v>anastrozole-0.16µg/L + Testostérone</c:v>
                </c:pt>
                <c:pt idx="20">
                  <c:v>anastrozole-0.032µg/L + Testostérone</c:v>
                </c:pt>
              </c:strCache>
            </c:strRef>
          </c:cat>
          <c:val>
            <c:numRef>
              <c:f>'R2'!$B$53:$V$53</c:f>
              <c:numCache>
                <c:formatCode>0.0000</c:formatCode>
                <c:ptCount val="21"/>
                <c:pt idx="0">
                  <c:v>0.23419613140447876</c:v>
                </c:pt>
                <c:pt idx="1">
                  <c:v>0.23781637806197573</c:v>
                </c:pt>
                <c:pt idx="2">
                  <c:v>0.54186968489058185</c:v>
                </c:pt>
                <c:pt idx="3">
                  <c:v>1.5634036994778369</c:v>
                </c:pt>
                <c:pt idx="4">
                  <c:v>1.9581237861107634</c:v>
                </c:pt>
                <c:pt idx="5">
                  <c:v>2.9512576062240776</c:v>
                </c:pt>
                <c:pt idx="6">
                  <c:v>3.5505171655446839</c:v>
                </c:pt>
                <c:pt idx="7">
                  <c:v>0.25168862459924413</c:v>
                </c:pt>
                <c:pt idx="8">
                  <c:v>0.49033753308599742</c:v>
                </c:pt>
                <c:pt idx="9">
                  <c:v>0.28647384737176468</c:v>
                </c:pt>
                <c:pt idx="10">
                  <c:v>0.1898246054549855</c:v>
                </c:pt>
                <c:pt idx="11">
                  <c:v>0.40851619317497889</c:v>
                </c:pt>
                <c:pt idx="12">
                  <c:v>0</c:v>
                </c:pt>
                <c:pt idx="13">
                  <c:v>1</c:v>
                </c:pt>
                <c:pt idx="14">
                  <c:v>1.5167183201470511</c:v>
                </c:pt>
                <c:pt idx="15">
                  <c:v>0.29160371722721645</c:v>
                </c:pt>
                <c:pt idx="16">
                  <c:v>0.3891373416889955</c:v>
                </c:pt>
                <c:pt idx="17">
                  <c:v>0.28390208667271832</c:v>
                </c:pt>
                <c:pt idx="18">
                  <c:v>0.48679164578772033</c:v>
                </c:pt>
                <c:pt idx="19">
                  <c:v>0.83186470433299009</c:v>
                </c:pt>
                <c:pt idx="20">
                  <c:v>1.0319058631405071</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5"/>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3.7992416701634099E-2</c:v>
                  </c:pt>
                  <c:pt idx="1">
                    <c:v>4.8598170315827569E-2</c:v>
                  </c:pt>
                  <c:pt idx="2">
                    <c:v>0.12474935587958284</c:v>
                  </c:pt>
                  <c:pt idx="3">
                    <c:v>9.8536543957417497E-2</c:v>
                  </c:pt>
                  <c:pt idx="4">
                    <c:v>0.16513195150983545</c:v>
                  </c:pt>
                  <c:pt idx="5">
                    <c:v>0.10125446644924502</c:v>
                  </c:pt>
                  <c:pt idx="6">
                    <c:v>0.15243339067071274</c:v>
                  </c:pt>
                  <c:pt idx="7">
                    <c:v>1.6110782926540803E-2</c:v>
                  </c:pt>
                  <c:pt idx="8">
                    <c:v>2.7580102285457698E-2</c:v>
                  </c:pt>
                  <c:pt idx="9">
                    <c:v>2.7615603920996722E-2</c:v>
                  </c:pt>
                  <c:pt idx="10">
                    <c:v>1.9344654983899354E-2</c:v>
                  </c:pt>
                  <c:pt idx="11">
                    <c:v>2.0013571692047892E-2</c:v>
                  </c:pt>
                  <c:pt idx="12">
                    <c:v>0</c:v>
                  </c:pt>
                  <c:pt idx="13">
                    <c:v>9.4876008091096267E-2</c:v>
                  </c:pt>
                  <c:pt idx="14">
                    <c:v>9.2802410337754992E-2</c:v>
                  </c:pt>
                  <c:pt idx="15">
                    <c:v>5.4649142132479331E-2</c:v>
                  </c:pt>
                  <c:pt idx="16">
                    <c:v>2.7174294292237857E-2</c:v>
                  </c:pt>
                  <c:pt idx="17">
                    <c:v>6.1048437173977545E-2</c:v>
                  </c:pt>
                  <c:pt idx="18">
                    <c:v>0.13916749618975521</c:v>
                  </c:pt>
                  <c:pt idx="19">
                    <c:v>0.11403959043019903</c:v>
                  </c:pt>
                  <c:pt idx="20">
                    <c:v>0.11234351008898573</c:v>
                  </c:pt>
                </c:numCache>
              </c:numRef>
            </c:plus>
            <c:minus>
              <c:numRef>
                <c:f>'R1'!$O$48:$V$48</c:f>
                <c:numCache>
                  <c:formatCode>General</c:formatCode>
                  <c:ptCount val="8"/>
                  <c:pt idx="0">
                    <c:v>6.4488256331197188E-2</c:v>
                  </c:pt>
                  <c:pt idx="1">
                    <c:v>8.756190760520044E-2</c:v>
                  </c:pt>
                  <c:pt idx="2">
                    <c:v>3.5947809426545137E-2</c:v>
                  </c:pt>
                  <c:pt idx="3">
                    <c:v>3.4339681792506654E-2</c:v>
                  </c:pt>
                  <c:pt idx="4">
                    <c:v>2.0269077939445487E-2</c:v>
                  </c:pt>
                  <c:pt idx="5">
                    <c:v>5.6327348975721996E-2</c:v>
                  </c:pt>
                  <c:pt idx="6">
                    <c:v>0.12119607508568769</c:v>
                  </c:pt>
                  <c:pt idx="7">
                    <c:v>0.13446402061706461</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anastrozole-20µg/L</c:v>
                </c:pt>
                <c:pt idx="8">
                  <c:v>anastrozole-4µg/L</c:v>
                </c:pt>
                <c:pt idx="9">
                  <c:v>anastrozole-0.8µg/L</c:v>
                </c:pt>
                <c:pt idx="10">
                  <c:v>anastrozole-0.16µg/L</c:v>
                </c:pt>
                <c:pt idx="11">
                  <c:v>anastrozole-0.032µg/L</c:v>
                </c:pt>
                <c:pt idx="13">
                  <c:v>Testo -30µg/L</c:v>
                </c:pt>
                <c:pt idx="14">
                  <c:v>Testo 30µg/L + EE2 -64ng/L</c:v>
                </c:pt>
                <c:pt idx="15">
                  <c:v>Testo 30µg/L + FAD-10mg/L</c:v>
                </c:pt>
                <c:pt idx="16">
                  <c:v>anastrozole-20µg/L + Testostérone</c:v>
                </c:pt>
                <c:pt idx="17">
                  <c:v>anastrozole-4µg/L + Testostérone</c:v>
                </c:pt>
                <c:pt idx="18">
                  <c:v>anastrozole-0.8µg/L + Testostérone</c:v>
                </c:pt>
                <c:pt idx="19">
                  <c:v>anastrozole-0.16µg/L + Testostérone</c:v>
                </c:pt>
                <c:pt idx="20">
                  <c:v>anastrozole-0.032µg/L + Testostérone</c:v>
                </c:pt>
              </c:strCache>
            </c:strRef>
          </c:cat>
          <c:val>
            <c:numRef>
              <c:f>'R3'!$B$53:$V$53</c:f>
              <c:numCache>
                <c:formatCode>0.0000</c:formatCode>
                <c:ptCount val="21"/>
                <c:pt idx="0">
                  <c:v>0.15463174179376474</c:v>
                </c:pt>
                <c:pt idx="1">
                  <c:v>0.25422686661956401</c:v>
                </c:pt>
                <c:pt idx="2">
                  <c:v>0.46071602697105768</c:v>
                </c:pt>
                <c:pt idx="3">
                  <c:v>0.88388989931530093</c:v>
                </c:pt>
                <c:pt idx="4">
                  <c:v>1.4502357468438269</c:v>
                </c:pt>
                <c:pt idx="5">
                  <c:v>1.6824555904426171</c:v>
                </c:pt>
                <c:pt idx="6">
                  <c:v>2.2669006790006403</c:v>
                </c:pt>
                <c:pt idx="7">
                  <c:v>8.0907074686915562E-2</c:v>
                </c:pt>
                <c:pt idx="8">
                  <c:v>8.8498706793415802E-2</c:v>
                </c:pt>
                <c:pt idx="9">
                  <c:v>8.5026120222259138E-2</c:v>
                </c:pt>
                <c:pt idx="10">
                  <c:v>9.427897883584388E-2</c:v>
                </c:pt>
                <c:pt idx="11">
                  <c:v>8.0271836709981823E-2</c:v>
                </c:pt>
                <c:pt idx="12">
                  <c:v>0</c:v>
                </c:pt>
                <c:pt idx="13">
                  <c:v>1</c:v>
                </c:pt>
                <c:pt idx="14">
                  <c:v>1.4832315639931561</c:v>
                </c:pt>
                <c:pt idx="15">
                  <c:v>0.22231950149609503</c:v>
                </c:pt>
                <c:pt idx="16">
                  <c:v>0.15229188949236749</c:v>
                </c:pt>
                <c:pt idx="17">
                  <c:v>0.23177453302784168</c:v>
                </c:pt>
                <c:pt idx="18">
                  <c:v>0.55895090794496394</c:v>
                </c:pt>
                <c:pt idx="19">
                  <c:v>0.97029834759335154</c:v>
                </c:pt>
                <c:pt idx="20">
                  <c:v>0.7913324150717016</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75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02B3D46B-F2FF-4F0D-B658-A1F589A933B8}"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4157E0ED-F749-42E5-80D6-26096AA767F3}"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664FACE0-DEEF-4C84-9DE9-DBDF767D232A}"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43C6C580-6154-4444-B6DD-272DD3C8E524}"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0C0012CF-1BD6-4B91-8135-4CF9A7269B55}"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96319770-5EB7-4A2A-9111-4D6A8DD377B3}"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D88743F6-FBF6-4034-A381-CB2819F6CD5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3B5107C3-E7B1-4F63-96E0-FAA2E5C8266F}"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E147C0C8-2591-4B23-8583-31A4B4CE27D3}"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42F35CAB-8E42-4C6A-B03F-722636CAC00C}"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287F1BFC-718F-42DB-99D3-66E6694D7FF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76D6606E-C834-4A3C-BBC2-0714AFA87C77}"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D8461180-6967-489B-9107-8828A31FA610}"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17767A11-6437-4BDC-A23A-7AF6F99D40E4}"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04E4B4F9-C0C8-444A-A84D-21CF8D058C3B}"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21B9DF20-090B-4981-8BE8-7E24F6C89F4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9993C06B-3EC0-4475-8F1D-22CEB5B684C5}"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E3580C2E-F4CB-4634-92DD-DD0AF498FB4F}"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19A595C7-5C9D-4BBD-BFD6-03B5E0A65315}"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9F478D57-3640-4BEA-8F87-F35F63C8D34F}"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2F578F0F-514D-4CFC-BED5-75229768E0BC}"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2.1227557892589066E-2</c:v>
                  </c:pt>
                  <c:pt idx="1">
                    <c:v>4.8535048131627269E-2</c:v>
                  </c:pt>
                  <c:pt idx="2">
                    <c:v>6.4101256912715468E-2</c:v>
                  </c:pt>
                  <c:pt idx="3">
                    <c:v>0.11286310964438352</c:v>
                  </c:pt>
                  <c:pt idx="4">
                    <c:v>0.10134904185504699</c:v>
                  </c:pt>
                  <c:pt idx="5">
                    <c:v>0.16654777487930911</c:v>
                  </c:pt>
                  <c:pt idx="6">
                    <c:v>0.1654711193965766</c:v>
                  </c:pt>
                  <c:pt idx="7">
                    <c:v>3.4381582248188172E-2</c:v>
                  </c:pt>
                  <c:pt idx="8">
                    <c:v>4.518815017667159E-2</c:v>
                  </c:pt>
                  <c:pt idx="9">
                    <c:v>3.5190521718963357E-2</c:v>
                  </c:pt>
                  <c:pt idx="10">
                    <c:v>2.7070926646504918E-2</c:v>
                  </c:pt>
                  <c:pt idx="11">
                    <c:v>4.1298865670787936E-2</c:v>
                  </c:pt>
                  <c:pt idx="12">
                    <c:v>0</c:v>
                  </c:pt>
                  <c:pt idx="14">
                    <c:v>5.6145429389349841E-2</c:v>
                  </c:pt>
                  <c:pt idx="15">
                    <c:v>7.0785187639197389E-2</c:v>
                  </c:pt>
                  <c:pt idx="16">
                    <c:v>2.8638418088714649E-2</c:v>
                  </c:pt>
                  <c:pt idx="17">
                    <c:v>3.1261764164405847E-2</c:v>
                  </c:pt>
                  <c:pt idx="18">
                    <c:v>2.7704011201835958E-2</c:v>
                  </c:pt>
                  <c:pt idx="19">
                    <c:v>5.6111136046496153E-2</c:v>
                  </c:pt>
                  <c:pt idx="20">
                    <c:v>6.4081032818923356E-2</c:v>
                  </c:pt>
                  <c:pt idx="21">
                    <c:v>7.3056971870034543E-2</c:v>
                  </c:pt>
                </c:numCache>
              </c:numRef>
            </c:plus>
            <c:minus>
              <c:numRef>
                <c:f>'pooled normalised values'!$B$76:$W$76</c:f>
                <c:numCache>
                  <c:formatCode>General</c:formatCode>
                  <c:ptCount val="22"/>
                  <c:pt idx="0">
                    <c:v>2.1227557892589066E-2</c:v>
                  </c:pt>
                  <c:pt idx="1">
                    <c:v>4.8535048131627269E-2</c:v>
                  </c:pt>
                  <c:pt idx="2">
                    <c:v>6.4101256912715468E-2</c:v>
                  </c:pt>
                  <c:pt idx="3">
                    <c:v>0.11286310964438352</c:v>
                  </c:pt>
                  <c:pt idx="4">
                    <c:v>0.10134904185504699</c:v>
                  </c:pt>
                  <c:pt idx="5">
                    <c:v>0.16654777487930911</c:v>
                  </c:pt>
                  <c:pt idx="6">
                    <c:v>0.1654711193965766</c:v>
                  </c:pt>
                  <c:pt idx="7">
                    <c:v>3.4381582248188172E-2</c:v>
                  </c:pt>
                  <c:pt idx="8">
                    <c:v>4.518815017667159E-2</c:v>
                  </c:pt>
                  <c:pt idx="9">
                    <c:v>3.5190521718963357E-2</c:v>
                  </c:pt>
                  <c:pt idx="10">
                    <c:v>2.7070926646504918E-2</c:v>
                  </c:pt>
                  <c:pt idx="11">
                    <c:v>4.1298865670787936E-2</c:v>
                  </c:pt>
                  <c:pt idx="12">
                    <c:v>0</c:v>
                  </c:pt>
                  <c:pt idx="14">
                    <c:v>5.6145429389349841E-2</c:v>
                  </c:pt>
                  <c:pt idx="15">
                    <c:v>7.0785187639197389E-2</c:v>
                  </c:pt>
                  <c:pt idx="16">
                    <c:v>2.8638418088714649E-2</c:v>
                  </c:pt>
                  <c:pt idx="17">
                    <c:v>3.1261764164405847E-2</c:v>
                  </c:pt>
                  <c:pt idx="18">
                    <c:v>2.7704011201835958E-2</c:v>
                  </c:pt>
                  <c:pt idx="19">
                    <c:v>5.6111136046496153E-2</c:v>
                  </c:pt>
                  <c:pt idx="20">
                    <c:v>6.4081032818923356E-2</c:v>
                  </c:pt>
                  <c:pt idx="21">
                    <c:v>7.3056971870034543E-2</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anastrozole-20µg/L</c:v>
                </c:pt>
                <c:pt idx="8">
                  <c:v>anastrozole-4µg/L</c:v>
                </c:pt>
                <c:pt idx="9">
                  <c:v>anastrozole-0.8µg/L</c:v>
                </c:pt>
                <c:pt idx="10">
                  <c:v>anastrozole-0.16µg/L</c:v>
                </c:pt>
                <c:pt idx="11">
                  <c:v>anastrozole-0.032µg/L</c:v>
                </c:pt>
                <c:pt idx="14">
                  <c:v>Testo -30µg/L</c:v>
                </c:pt>
                <c:pt idx="15">
                  <c:v>Testo 30µg/L + EE2 -64ng/L</c:v>
                </c:pt>
                <c:pt idx="16">
                  <c:v>Testo 30µg/L + FAD-10mg/L</c:v>
                </c:pt>
                <c:pt idx="17">
                  <c:v>anastrozole-20µg/L + Testostérone</c:v>
                </c:pt>
                <c:pt idx="18">
                  <c:v>anastrozole-4µg/L + Testostérone</c:v>
                </c:pt>
                <c:pt idx="19">
                  <c:v>anastrozole-0.8µg/L + Testostérone</c:v>
                </c:pt>
                <c:pt idx="20">
                  <c:v>anastrozole-0.16µg/L + Testostérone</c:v>
                </c:pt>
                <c:pt idx="21">
                  <c:v>anastrozole-0.032µg/L + Testostérone</c:v>
                </c:pt>
              </c:strCache>
            </c:strRef>
          </c:cat>
          <c:val>
            <c:numRef>
              <c:f>'pooled normalised values'!$B$75:$W$75</c:f>
              <c:numCache>
                <c:formatCode>0.0000</c:formatCode>
                <c:ptCount val="22"/>
                <c:pt idx="0">
                  <c:v>0.18809153585446683</c:v>
                </c:pt>
                <c:pt idx="1">
                  <c:v>0.31376507761769723</c:v>
                </c:pt>
                <c:pt idx="2">
                  <c:v>0.52106086338701207</c:v>
                </c:pt>
                <c:pt idx="3">
                  <c:v>1.0588759543130213</c:v>
                </c:pt>
                <c:pt idx="4">
                  <c:v>1.5268218803279525</c:v>
                </c:pt>
                <c:pt idx="5">
                  <c:v>1.9722775747075085</c:v>
                </c:pt>
                <c:pt idx="6">
                  <c:v>2.689969755814809</c:v>
                </c:pt>
                <c:pt idx="7">
                  <c:v>0.15695144595034577</c:v>
                </c:pt>
                <c:pt idx="8">
                  <c:v>0.27907036746163577</c:v>
                </c:pt>
                <c:pt idx="9">
                  <c:v>0.18305775187258658</c:v>
                </c:pt>
                <c:pt idx="10">
                  <c:v>0.13672948266305474</c:v>
                </c:pt>
                <c:pt idx="11">
                  <c:v>0.21792703890125101</c:v>
                </c:pt>
                <c:pt idx="12">
                  <c:v>0</c:v>
                </c:pt>
                <c:pt idx="14">
                  <c:v>1.0000000000000002</c:v>
                </c:pt>
                <c:pt idx="15">
                  <c:v>1.4004525323345478</c:v>
                </c:pt>
                <c:pt idx="16">
                  <c:v>0.23560534634749289</c:v>
                </c:pt>
                <c:pt idx="17">
                  <c:v>0.24096940942424575</c:v>
                </c:pt>
                <c:pt idx="18">
                  <c:v>0.23402027133965372</c:v>
                </c:pt>
                <c:pt idx="19">
                  <c:v>0.50249558777294234</c:v>
                </c:pt>
                <c:pt idx="20">
                  <c:v>0.8975708384094806</c:v>
                </c:pt>
                <c:pt idx="21">
                  <c:v>0.89058618710013837</c:v>
                </c:pt>
              </c:numCache>
            </c:numRef>
          </c:val>
          <c:extLst>
            <c:ext xmlns:c15="http://schemas.microsoft.com/office/drawing/2012/chart" uri="{02D57815-91ED-43cb-92C2-25804820EDAC}">
              <c15:datalabelsRange>
                <c15:f>'pooled normalised values'!$B$83:$W$83</c15:f>
                <c15:dlblRangeCache>
                  <c:ptCount val="22"/>
                  <c:pt idx="1">
                    <c:v>NS</c:v>
                  </c:pt>
                  <c:pt idx="2">
                    <c:v>NS</c:v>
                  </c:pt>
                  <c:pt idx="3">
                    <c:v>***</c:v>
                  </c:pt>
                  <c:pt idx="4">
                    <c:v>***</c:v>
                  </c:pt>
                  <c:pt idx="5">
                    <c:v>***</c:v>
                  </c:pt>
                  <c:pt idx="6">
                    <c:v>***</c:v>
                  </c:pt>
                  <c:pt idx="7">
                    <c:v>NS</c:v>
                  </c:pt>
                  <c:pt idx="8">
                    <c:v>NS</c:v>
                  </c:pt>
                  <c:pt idx="9">
                    <c:v>NS</c:v>
                  </c:pt>
                  <c:pt idx="10">
                    <c:v>NS</c:v>
                  </c:pt>
                  <c:pt idx="11">
                    <c:v>NS</c:v>
                  </c:pt>
                  <c:pt idx="12">
                    <c:v>#NAME?</c:v>
                  </c:pt>
                  <c:pt idx="14">
                    <c:v>***</c:v>
                  </c:pt>
                  <c:pt idx="15">
                    <c:v>***</c:v>
                  </c:pt>
                  <c:pt idx="16">
                    <c:v>***</c:v>
                  </c:pt>
                  <c:pt idx="17">
                    <c:v>NS</c:v>
                  </c:pt>
                  <c:pt idx="18">
                    <c:v>NS</c:v>
                  </c:pt>
                  <c:pt idx="19">
                    <c:v>***</c:v>
                  </c:pt>
                  <c:pt idx="20">
                    <c:v>***</c:v>
                  </c:pt>
                  <c:pt idx="21">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5400000" vert="horz"/>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95"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2465" cy="6063803"/>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anastrozole run1</a:t>
          </a:r>
        </a:p>
        <a:p xmlns:a="http://schemas.openxmlformats.org/drawingml/2006/main">
          <a:pPr algn="ctr"/>
          <a:r>
            <a:rPr lang="fr-FR" sz="1400" b="1"/>
            <a:t>20210602</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2465" cy="6063803"/>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0.41933</cdr:x>
      <cdr:y>0.0069</cdr:y>
    </cdr:from>
    <cdr:to>
      <cdr:x>0.58683</cdr:x>
      <cdr:y>0.09425</cdr:y>
    </cdr:to>
    <cdr:sp macro="" textlink="">
      <cdr:nvSpPr>
        <cdr:cNvPr id="3" name="ZoneTexte 1">
          <a:extLst xmlns:a="http://schemas.openxmlformats.org/drawingml/2006/main">
            <a:ext uri="{FF2B5EF4-FFF2-40B4-BE49-F238E27FC236}">
              <a16:creationId xmlns:a16="http://schemas.microsoft.com/office/drawing/2014/main" id="{2A1264B5-FFB2-4DA3-A400-DC75433650C4}"/>
            </a:ext>
          </a:extLst>
        </cdr:cNvPr>
        <cdr:cNvSpPr txBox="1"/>
      </cdr:nvSpPr>
      <cdr:spPr>
        <a:xfrm xmlns:a="http://schemas.openxmlformats.org/drawingml/2006/main">
          <a:off x="3896575" y="41857"/>
          <a:ext cx="1556488" cy="529673"/>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anastrozole run2</a:t>
          </a:r>
        </a:p>
        <a:p xmlns:a="http://schemas.openxmlformats.org/drawingml/2006/main">
          <a:pPr algn="ctr"/>
          <a:r>
            <a:rPr lang="fr-FR" sz="1400" b="1"/>
            <a:t>20210623</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2465" cy="6063803"/>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0.44628</cdr:x>
      <cdr:y>0.02608</cdr:y>
    </cdr:from>
    <cdr:to>
      <cdr:x>0.61378</cdr:x>
      <cdr:y>0.11343</cdr:y>
    </cdr:to>
    <cdr:sp macro="" textlink="">
      <cdr:nvSpPr>
        <cdr:cNvPr id="3" name="ZoneTexte 1">
          <a:extLst xmlns:a="http://schemas.openxmlformats.org/drawingml/2006/main">
            <a:ext uri="{FF2B5EF4-FFF2-40B4-BE49-F238E27FC236}">
              <a16:creationId xmlns:a16="http://schemas.microsoft.com/office/drawing/2014/main" id="{707F2CFF-DDC1-434A-B526-67F03CFD9B3C}"/>
            </a:ext>
          </a:extLst>
        </cdr:cNvPr>
        <cdr:cNvSpPr txBox="1"/>
      </cdr:nvSpPr>
      <cdr:spPr>
        <a:xfrm xmlns:a="http://schemas.openxmlformats.org/drawingml/2006/main">
          <a:off x="4146997" y="158124"/>
          <a:ext cx="1556488" cy="529673"/>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anastrozole run3</a:t>
          </a:r>
        </a:p>
        <a:p xmlns:a="http://schemas.openxmlformats.org/drawingml/2006/main">
          <a:pPr algn="ctr"/>
          <a:r>
            <a:rPr lang="fr-FR" sz="1400" b="1"/>
            <a:t>20210701</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4368" cy="60458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7" zoomScale="55" zoomScaleNormal="55" workbookViewId="0">
      <selection activeCell="D14" sqref="D14:D18"/>
    </sheetView>
  </sheetViews>
  <sheetFormatPr defaultColWidth="11" defaultRowHeight="39" customHeight="1"/>
  <cols>
    <col min="1" max="1" width="42" bestFit="1" customWidth="1"/>
    <col min="2" max="2" width="33.85546875" style="27" bestFit="1" customWidth="1"/>
    <col min="3" max="3" width="21.28515625" customWidth="1"/>
    <col min="4" max="4" width="30.42578125" customWidth="1"/>
    <col min="5" max="5" width="62.28515625" style="86"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0"/>
      <c r="B1" s="121"/>
      <c r="C1" s="121"/>
      <c r="D1" s="121"/>
      <c r="E1" s="121"/>
      <c r="F1" s="121"/>
      <c r="G1" s="121"/>
      <c r="H1" s="121"/>
      <c r="I1" s="122"/>
    </row>
    <row r="2" spans="1:9" ht="21.75" thickBot="1">
      <c r="A2" s="105" t="s">
        <v>8</v>
      </c>
      <c r="B2" s="26" t="s">
        <v>57</v>
      </c>
      <c r="C2" s="123"/>
      <c r="D2" s="124"/>
      <c r="E2" s="26" t="s">
        <v>68</v>
      </c>
      <c r="F2" s="135"/>
      <c r="G2" s="136"/>
      <c r="H2" s="136"/>
      <c r="I2" s="137"/>
    </row>
    <row r="3" spans="1:9" ht="21.75" thickBot="1">
      <c r="A3" s="106" t="s">
        <v>9</v>
      </c>
      <c r="B3" s="26" t="s">
        <v>57</v>
      </c>
      <c r="C3" s="125"/>
      <c r="D3" s="126"/>
      <c r="E3" s="26" t="s">
        <v>69</v>
      </c>
      <c r="F3" s="132"/>
      <c r="G3" s="133"/>
      <c r="H3" s="133"/>
      <c r="I3" s="134"/>
    </row>
    <row r="4" spans="1:9" ht="21.75" thickBot="1">
      <c r="A4" s="107" t="s">
        <v>12</v>
      </c>
      <c r="B4" s="26" t="s">
        <v>57</v>
      </c>
      <c r="C4" s="127"/>
      <c r="D4" s="128"/>
      <c r="E4" s="26" t="s">
        <v>73</v>
      </c>
      <c r="F4" s="129"/>
      <c r="G4" s="130"/>
      <c r="H4" s="130"/>
      <c r="I4" s="131"/>
    </row>
    <row r="5" spans="1:9" s="1" customFormat="1" ht="65.25" customHeight="1" thickBot="1">
      <c r="A5" s="120" t="s">
        <v>18</v>
      </c>
      <c r="B5" s="121"/>
      <c r="C5" s="121"/>
      <c r="D5" s="121"/>
      <c r="E5" s="121"/>
      <c r="F5" s="121"/>
      <c r="G5" s="121"/>
      <c r="H5" s="121"/>
      <c r="I5" s="122"/>
    </row>
    <row r="6" spans="1:9" s="66" customFormat="1" ht="39" customHeight="1">
      <c r="A6" s="56" t="s">
        <v>58</v>
      </c>
      <c r="B6" s="57" t="s">
        <v>59</v>
      </c>
      <c r="C6" s="45" t="s">
        <v>10</v>
      </c>
      <c r="D6" s="45" t="s">
        <v>60</v>
      </c>
      <c r="E6" s="83" t="s">
        <v>61</v>
      </c>
      <c r="F6" s="65" t="s">
        <v>62</v>
      </c>
    </row>
    <row r="7" spans="1:9" s="92" customFormat="1" ht="39" customHeight="1">
      <c r="A7"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88" t="s">
        <v>50</v>
      </c>
      <c r="C7" s="89">
        <v>0</v>
      </c>
      <c r="D7" s="90"/>
      <c r="E7" s="91" t="s">
        <v>64</v>
      </c>
      <c r="F7" s="67"/>
    </row>
    <row r="8" spans="1:9" s="92" customFormat="1" ht="39" customHeight="1">
      <c r="A8"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88" t="s">
        <v>50</v>
      </c>
      <c r="C8" s="89" t="s">
        <v>65</v>
      </c>
      <c r="D8" s="90" t="s">
        <v>51</v>
      </c>
      <c r="E8" s="91" t="s">
        <v>52</v>
      </c>
      <c r="F8" s="67"/>
    </row>
    <row r="9" spans="1:9" s="92" customFormat="1" ht="39" customHeight="1">
      <c r="A9"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88" t="s">
        <v>50</v>
      </c>
      <c r="C9" s="89" t="s">
        <v>66</v>
      </c>
      <c r="D9" s="90" t="s">
        <v>51</v>
      </c>
      <c r="E9" s="91" t="s">
        <v>52</v>
      </c>
      <c r="F9" s="67"/>
    </row>
    <row r="10" spans="1:9" s="92" customFormat="1" ht="39" customHeight="1">
      <c r="A10"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88" t="s">
        <v>50</v>
      </c>
      <c r="C10" s="89">
        <v>76</v>
      </c>
      <c r="D10" s="90" t="s">
        <v>51</v>
      </c>
      <c r="E10" s="91" t="s">
        <v>52</v>
      </c>
      <c r="F10" s="67"/>
    </row>
    <row r="11" spans="1:9" s="92" customFormat="1" ht="39" customHeight="1">
      <c r="A11"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88" t="s">
        <v>50</v>
      </c>
      <c r="C11" s="89">
        <v>114</v>
      </c>
      <c r="D11" s="90" t="s">
        <v>51</v>
      </c>
      <c r="E11" s="91" t="s">
        <v>52</v>
      </c>
      <c r="F11" s="67"/>
    </row>
    <row r="12" spans="1:9" s="92" customFormat="1" ht="39" customHeight="1">
      <c r="A12"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88" t="s">
        <v>50</v>
      </c>
      <c r="C12" s="89" t="s">
        <v>67</v>
      </c>
      <c r="D12" s="90" t="s">
        <v>51</v>
      </c>
      <c r="E12" s="91" t="s">
        <v>52</v>
      </c>
      <c r="F12" s="67"/>
    </row>
    <row r="13" spans="1:9" s="92" customFormat="1" ht="39" customHeight="1">
      <c r="A13"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88" t="s">
        <v>50</v>
      </c>
      <c r="C13" s="89">
        <v>488</v>
      </c>
      <c r="D13" s="90" t="s">
        <v>51</v>
      </c>
      <c r="E13" s="91" t="s">
        <v>52</v>
      </c>
      <c r="F13" s="67"/>
    </row>
    <row r="14" spans="1:9" s="92" customFormat="1" ht="39" customHeight="1">
      <c r="A14"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anastrozole-20µg/L</v>
      </c>
      <c r="B14" s="88" t="s">
        <v>63</v>
      </c>
      <c r="C14" s="89">
        <v>20</v>
      </c>
      <c r="D14" s="90" t="s">
        <v>75</v>
      </c>
      <c r="E14" s="91" t="s">
        <v>74</v>
      </c>
      <c r="F14" s="67"/>
    </row>
    <row r="15" spans="1:9" s="68" customFormat="1" ht="39" customHeight="1">
      <c r="A1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anastrozole-4µg/L</v>
      </c>
      <c r="B15" s="88" t="s">
        <v>63</v>
      </c>
      <c r="C15" s="62">
        <v>4</v>
      </c>
      <c r="D15" s="90" t="s">
        <v>75</v>
      </c>
      <c r="E15" s="91" t="s">
        <v>74</v>
      </c>
      <c r="F15" s="67"/>
    </row>
    <row r="16" spans="1:9" s="68" customFormat="1" ht="39" customHeight="1">
      <c r="A1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anastrozole-0.8µg/L</v>
      </c>
      <c r="B16" s="88" t="s">
        <v>63</v>
      </c>
      <c r="C16" s="62">
        <v>0.8</v>
      </c>
      <c r="D16" s="90" t="s">
        <v>75</v>
      </c>
      <c r="E16" s="91" t="s">
        <v>74</v>
      </c>
      <c r="F16" s="67"/>
    </row>
    <row r="17" spans="1:6" s="68" customFormat="1" ht="39" customHeight="1">
      <c r="A1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anastrozole-0.16µg/L</v>
      </c>
      <c r="B17" s="88" t="s">
        <v>63</v>
      </c>
      <c r="C17" s="62">
        <v>0.16</v>
      </c>
      <c r="D17" s="90" t="s">
        <v>75</v>
      </c>
      <c r="E17" s="91" t="s">
        <v>74</v>
      </c>
      <c r="F17" s="67"/>
    </row>
    <row r="18" spans="1:6" s="68" customFormat="1" ht="39" customHeight="1">
      <c r="A1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anastrozole-0.032µg/L</v>
      </c>
      <c r="B18" s="88" t="s">
        <v>63</v>
      </c>
      <c r="C18" s="62">
        <v>3.2000000000000001E-2</v>
      </c>
      <c r="D18" s="90" t="s">
        <v>75</v>
      </c>
      <c r="E18" s="91" t="s">
        <v>74</v>
      </c>
      <c r="F18" s="67"/>
    </row>
    <row r="19" spans="1:6" s="68" customFormat="1" ht="39" customHeight="1">
      <c r="A1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88" t="s">
        <v>63</v>
      </c>
      <c r="C19" s="62"/>
      <c r="D19" s="62"/>
      <c r="E19" s="24"/>
      <c r="F19" s="67"/>
    </row>
    <row r="20" spans="1:6" s="68" customFormat="1" ht="39" customHeight="1">
      <c r="A2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88" t="s">
        <v>63</v>
      </c>
      <c r="C20" s="62"/>
      <c r="D20" s="62"/>
      <c r="E20" s="58"/>
      <c r="F20" s="67"/>
    </row>
    <row r="21" spans="1:6" s="68" customFormat="1" ht="39" customHeight="1">
      <c r="A2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88" t="s">
        <v>63</v>
      </c>
      <c r="C21" s="62"/>
      <c r="D21" s="62"/>
      <c r="E21" s="24"/>
      <c r="F21" s="67"/>
    </row>
    <row r="22" spans="1:6" s="68" customFormat="1" ht="39" customHeight="1">
      <c r="A2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88" t="s">
        <v>63</v>
      </c>
      <c r="C22" s="62"/>
      <c r="D22" s="62"/>
      <c r="E22" s="58"/>
      <c r="F22" s="67"/>
    </row>
    <row r="23" spans="1:6" s="68" customFormat="1" ht="39" customHeight="1">
      <c r="A2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88" t="s">
        <v>63</v>
      </c>
      <c r="C23" s="62"/>
      <c r="D23" s="62"/>
      <c r="E23" s="24"/>
      <c r="F23" s="67"/>
    </row>
    <row r="24" spans="1:6" s="68" customFormat="1" ht="39" customHeight="1">
      <c r="A24"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88" t="s">
        <v>63</v>
      </c>
      <c r="C24" s="62"/>
      <c r="D24" s="62"/>
      <c r="E24" s="58"/>
      <c r="F24" s="67"/>
    </row>
    <row r="25" spans="1:6" s="68" customFormat="1" ht="39" customHeight="1">
      <c r="A2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88" t="s">
        <v>63</v>
      </c>
      <c r="C25" s="62"/>
      <c r="D25" s="62"/>
      <c r="E25" s="24"/>
      <c r="F25" s="67"/>
    </row>
    <row r="26" spans="1:6" s="68" customFormat="1" ht="39" customHeight="1">
      <c r="A2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88" t="s">
        <v>63</v>
      </c>
      <c r="C26" s="62"/>
      <c r="D26" s="62"/>
      <c r="E26" s="58"/>
      <c r="F26" s="67"/>
    </row>
    <row r="27" spans="1:6" s="68" customFormat="1" ht="39" customHeight="1">
      <c r="A2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88" t="s">
        <v>63</v>
      </c>
      <c r="C27" s="62"/>
      <c r="D27" s="62"/>
      <c r="E27" s="24"/>
      <c r="F27" s="67"/>
    </row>
    <row r="28" spans="1:6" s="68" customFormat="1" ht="39" customHeight="1">
      <c r="A2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88" t="s">
        <v>63</v>
      </c>
      <c r="C28" s="62"/>
      <c r="D28" s="62"/>
      <c r="E28" s="58"/>
      <c r="F28" s="67"/>
    </row>
    <row r="29" spans="1:6" s="68" customFormat="1" ht="39" customHeight="1">
      <c r="A2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88" t="s">
        <v>63</v>
      </c>
      <c r="C29" s="62"/>
      <c r="D29" s="71"/>
      <c r="E29" s="24"/>
      <c r="F29" s="67"/>
    </row>
    <row r="30" spans="1:6" s="68" customFormat="1" ht="39" customHeight="1">
      <c r="A3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88" t="s">
        <v>63</v>
      </c>
      <c r="C30" s="62"/>
      <c r="D30" s="71"/>
      <c r="E30" s="58"/>
      <c r="F30" s="67"/>
    </row>
    <row r="31" spans="1:6" s="68" customFormat="1" ht="39" customHeight="1">
      <c r="A3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88" t="s">
        <v>63</v>
      </c>
      <c r="C31" s="62"/>
      <c r="D31" s="71"/>
      <c r="E31" s="24"/>
      <c r="F31" s="67"/>
    </row>
    <row r="32" spans="1:6" s="68" customFormat="1" ht="39" customHeight="1">
      <c r="A3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88" t="s">
        <v>63</v>
      </c>
      <c r="C32" s="62"/>
      <c r="D32" s="71"/>
      <c r="E32" s="58"/>
      <c r="F32" s="67"/>
    </row>
    <row r="33" spans="1:6" s="68" customFormat="1" ht="39" customHeight="1">
      <c r="A3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88" t="s">
        <v>63</v>
      </c>
      <c r="C33" s="62"/>
      <c r="D33" s="71"/>
      <c r="E33" s="24"/>
      <c r="F33" s="67"/>
    </row>
    <row r="34" spans="1:6" s="68" customFormat="1" ht="39" customHeight="1" thickBot="1">
      <c r="A34"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88" t="s">
        <v>63</v>
      </c>
      <c r="C34" s="94"/>
      <c r="D34" s="72"/>
      <c r="E34" s="93"/>
      <c r="F34" s="67"/>
    </row>
    <row r="35" spans="1:6" s="68" customFormat="1" ht="39" customHeight="1">
      <c r="A35" s="9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59" t="s">
        <v>50</v>
      </c>
      <c r="C35" s="63">
        <v>30</v>
      </c>
      <c r="D35" s="73" t="s">
        <v>53</v>
      </c>
      <c r="E35" s="84" t="s">
        <v>11</v>
      </c>
      <c r="F35" s="96"/>
    </row>
    <row r="36" spans="1:6" s="68" customFormat="1" ht="39" customHeight="1">
      <c r="A36" s="9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0" t="s">
        <v>50</v>
      </c>
      <c r="C36" s="64">
        <v>64</v>
      </c>
      <c r="D36" s="74" t="s">
        <v>51</v>
      </c>
      <c r="E36" s="85" t="s">
        <v>54</v>
      </c>
      <c r="F36" s="98"/>
    </row>
    <row r="37" spans="1:6" s="68" customFormat="1" ht="39" customHeight="1" thickBot="1">
      <c r="A3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0" t="s">
        <v>50</v>
      </c>
      <c r="C37" s="101">
        <v>10</v>
      </c>
      <c r="D37" s="102" t="s">
        <v>55</v>
      </c>
      <c r="E37" s="103" t="s">
        <v>56</v>
      </c>
      <c r="F37" s="104"/>
    </row>
    <row r="38" spans="1:6" s="68" customFormat="1" ht="39" customHeight="1">
      <c r="A38" s="3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anastrozole-20µg/L + Testostérone</v>
      </c>
      <c r="B38" s="108" t="str">
        <f>B14</f>
        <v>test chemical</v>
      </c>
      <c r="C38" s="108">
        <f t="shared" ref="C38:E38" si="0">C14</f>
        <v>20</v>
      </c>
      <c r="D38" s="108" t="str">
        <f t="shared" si="0"/>
        <v>µg/L</v>
      </c>
      <c r="E38" s="118" t="str">
        <f t="shared" si="0"/>
        <v>anastrozole</v>
      </c>
      <c r="F38" s="69" t="s">
        <v>30</v>
      </c>
    </row>
    <row r="39" spans="1:6" s="68" customFormat="1" ht="39" customHeight="1">
      <c r="A3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anastrozole-4µg/L + Testostérone</v>
      </c>
      <c r="B39" s="110" t="str">
        <f t="shared" ref="B39:E39" si="1">B15</f>
        <v>test chemical</v>
      </c>
      <c r="C39" s="110">
        <f t="shared" si="1"/>
        <v>4</v>
      </c>
      <c r="D39" s="110" t="str">
        <f t="shared" si="1"/>
        <v>µg/L</v>
      </c>
      <c r="E39" s="64" t="str">
        <f t="shared" si="1"/>
        <v>anastrozole</v>
      </c>
      <c r="F39" s="70" t="s">
        <v>30</v>
      </c>
    </row>
    <row r="40" spans="1:6" s="68" customFormat="1" ht="39" customHeight="1">
      <c r="A4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anastrozole-0.8µg/L + Testostérone</v>
      </c>
      <c r="B40" s="110" t="str">
        <f t="shared" ref="B40:E40" si="2">B16</f>
        <v>test chemical</v>
      </c>
      <c r="C40" s="110">
        <f t="shared" si="2"/>
        <v>0.8</v>
      </c>
      <c r="D40" s="110" t="str">
        <f t="shared" si="2"/>
        <v>µg/L</v>
      </c>
      <c r="E40" s="64" t="str">
        <f t="shared" si="2"/>
        <v>anastrozole</v>
      </c>
      <c r="F40" s="70" t="s">
        <v>30</v>
      </c>
    </row>
    <row r="41" spans="1:6" s="68" customFormat="1" ht="39" customHeight="1">
      <c r="A4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anastrozole-0.16µg/L + Testostérone</v>
      </c>
      <c r="B41" s="110" t="str">
        <f t="shared" ref="B41:E41" si="3">B17</f>
        <v>test chemical</v>
      </c>
      <c r="C41" s="110">
        <f t="shared" si="3"/>
        <v>0.16</v>
      </c>
      <c r="D41" s="110" t="str">
        <f t="shared" si="3"/>
        <v>µg/L</v>
      </c>
      <c r="E41" s="64" t="str">
        <f t="shared" si="3"/>
        <v>anastrozole</v>
      </c>
      <c r="F41" s="70" t="s">
        <v>30</v>
      </c>
    </row>
    <row r="42" spans="1:6" s="68" customFormat="1" ht="39" customHeight="1">
      <c r="A4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anastrozole-0.032µg/L + Testostérone</v>
      </c>
      <c r="B42" s="110" t="str">
        <f t="shared" ref="B42:E42" si="4">B18</f>
        <v>test chemical</v>
      </c>
      <c r="C42" s="110">
        <f t="shared" si="4"/>
        <v>3.2000000000000001E-2</v>
      </c>
      <c r="D42" s="110" t="str">
        <f t="shared" si="4"/>
        <v>µg/L</v>
      </c>
      <c r="E42" s="64" t="str">
        <f t="shared" si="4"/>
        <v>anastrozole</v>
      </c>
      <c r="F42" s="70" t="s">
        <v>30</v>
      </c>
    </row>
    <row r="43" spans="1:6" s="68" customFormat="1" ht="39" customHeight="1">
      <c r="A4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0" t="str">
        <f t="shared" ref="B43:E43" si="5">B19</f>
        <v>test chemical</v>
      </c>
      <c r="C43" s="110">
        <f t="shared" si="5"/>
        <v>0</v>
      </c>
      <c r="D43" s="110">
        <f t="shared" si="5"/>
        <v>0</v>
      </c>
      <c r="E43" s="110">
        <f t="shared" si="5"/>
        <v>0</v>
      </c>
      <c r="F43" s="70" t="s">
        <v>30</v>
      </c>
    </row>
    <row r="44" spans="1:6" s="68" customFormat="1" ht="39" customHeight="1">
      <c r="A4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0" t="str">
        <f t="shared" ref="B44:E44" si="6">B20</f>
        <v>test chemical</v>
      </c>
      <c r="C44" s="110">
        <f t="shared" si="6"/>
        <v>0</v>
      </c>
      <c r="D44" s="110">
        <f t="shared" si="6"/>
        <v>0</v>
      </c>
      <c r="E44" s="110">
        <f t="shared" si="6"/>
        <v>0</v>
      </c>
      <c r="F44" s="70" t="s">
        <v>30</v>
      </c>
    </row>
    <row r="45" spans="1:6" s="68" customFormat="1" ht="39" customHeight="1">
      <c r="A4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0" t="str">
        <f t="shared" ref="B45:E45" si="7">B21</f>
        <v>test chemical</v>
      </c>
      <c r="C45" s="110">
        <f t="shared" si="7"/>
        <v>0</v>
      </c>
      <c r="D45" s="110">
        <f t="shared" si="7"/>
        <v>0</v>
      </c>
      <c r="E45" s="110">
        <f t="shared" si="7"/>
        <v>0</v>
      </c>
      <c r="F45" s="70" t="s">
        <v>30</v>
      </c>
    </row>
    <row r="46" spans="1:6" s="68" customFormat="1" ht="39" customHeight="1">
      <c r="A4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0" t="str">
        <f t="shared" ref="B46:E46" si="8">B22</f>
        <v>test chemical</v>
      </c>
      <c r="C46" s="110">
        <f t="shared" si="8"/>
        <v>0</v>
      </c>
      <c r="D46" s="110">
        <f t="shared" si="8"/>
        <v>0</v>
      </c>
      <c r="E46" s="110">
        <f t="shared" si="8"/>
        <v>0</v>
      </c>
      <c r="F46" s="70" t="s">
        <v>30</v>
      </c>
    </row>
    <row r="47" spans="1:6" s="68" customFormat="1" ht="39" customHeight="1">
      <c r="A47"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0" t="str">
        <f t="shared" ref="B47:E47" si="9">B23</f>
        <v>test chemical</v>
      </c>
      <c r="C47" s="110">
        <f t="shared" si="9"/>
        <v>0</v>
      </c>
      <c r="D47" s="110">
        <f t="shared" si="9"/>
        <v>0</v>
      </c>
      <c r="E47" s="110">
        <f t="shared" si="9"/>
        <v>0</v>
      </c>
      <c r="F47" s="70" t="s">
        <v>30</v>
      </c>
    </row>
    <row r="48" spans="1:6" s="68" customFormat="1" ht="39" customHeight="1">
      <c r="A48"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0" t="str">
        <f t="shared" ref="B48:E48" si="10">B24</f>
        <v>test chemical</v>
      </c>
      <c r="C48" s="110">
        <f t="shared" si="10"/>
        <v>0</v>
      </c>
      <c r="D48" s="110">
        <f t="shared" si="10"/>
        <v>0</v>
      </c>
      <c r="E48" s="110">
        <f t="shared" si="10"/>
        <v>0</v>
      </c>
      <c r="F48" s="70" t="s">
        <v>30</v>
      </c>
    </row>
    <row r="49" spans="1:6" s="68" customFormat="1" ht="39" customHeight="1">
      <c r="A4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0" t="str">
        <f t="shared" ref="B49:E49" si="11">B25</f>
        <v>test chemical</v>
      </c>
      <c r="C49" s="110">
        <f t="shared" si="11"/>
        <v>0</v>
      </c>
      <c r="D49" s="110">
        <f t="shared" si="11"/>
        <v>0</v>
      </c>
      <c r="E49" s="110">
        <f t="shared" si="11"/>
        <v>0</v>
      </c>
      <c r="F49" s="70" t="s">
        <v>30</v>
      </c>
    </row>
    <row r="50" spans="1:6" s="68" customFormat="1" ht="39" customHeight="1">
      <c r="A5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0" t="str">
        <f t="shared" ref="B50:E50" si="12">B26</f>
        <v>test chemical</v>
      </c>
      <c r="C50" s="110">
        <f t="shared" si="12"/>
        <v>0</v>
      </c>
      <c r="D50" s="110">
        <f t="shared" si="12"/>
        <v>0</v>
      </c>
      <c r="E50" s="110">
        <f t="shared" si="12"/>
        <v>0</v>
      </c>
      <c r="F50" s="70" t="s">
        <v>30</v>
      </c>
    </row>
    <row r="51" spans="1:6" s="68" customFormat="1" ht="39" customHeight="1">
      <c r="A5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0" t="str">
        <f t="shared" ref="B51:E51" si="13">B27</f>
        <v>test chemical</v>
      </c>
      <c r="C51" s="110">
        <f t="shared" si="13"/>
        <v>0</v>
      </c>
      <c r="D51" s="110">
        <f t="shared" si="13"/>
        <v>0</v>
      </c>
      <c r="E51" s="110">
        <f t="shared" si="13"/>
        <v>0</v>
      </c>
      <c r="F51" s="70" t="s">
        <v>30</v>
      </c>
    </row>
    <row r="52" spans="1:6" s="68" customFormat="1" ht="39" customHeight="1">
      <c r="A5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0" t="str">
        <f t="shared" ref="B52:E52" si="14">B28</f>
        <v>test chemical</v>
      </c>
      <c r="C52" s="110">
        <f t="shared" si="14"/>
        <v>0</v>
      </c>
      <c r="D52" s="110">
        <f t="shared" si="14"/>
        <v>0</v>
      </c>
      <c r="E52" s="110">
        <f t="shared" si="14"/>
        <v>0</v>
      </c>
      <c r="F52" s="70" t="s">
        <v>30</v>
      </c>
    </row>
    <row r="53" spans="1:6" s="68" customFormat="1" ht="39" customHeight="1">
      <c r="A5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0" t="str">
        <f t="shared" ref="B53:E53" si="15">B29</f>
        <v>test chemical</v>
      </c>
      <c r="C53" s="110">
        <f t="shared" si="15"/>
        <v>0</v>
      </c>
      <c r="D53" s="110">
        <f t="shared" si="15"/>
        <v>0</v>
      </c>
      <c r="E53" s="110">
        <f t="shared" si="15"/>
        <v>0</v>
      </c>
      <c r="F53" s="70" t="s">
        <v>30</v>
      </c>
    </row>
    <row r="54" spans="1:6" s="68" customFormat="1" ht="39" customHeight="1">
      <c r="A5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0" t="str">
        <f t="shared" ref="B54:E54" si="16">B30</f>
        <v>test chemical</v>
      </c>
      <c r="C54" s="110">
        <f t="shared" si="16"/>
        <v>0</v>
      </c>
      <c r="D54" s="110">
        <f t="shared" si="16"/>
        <v>0</v>
      </c>
      <c r="E54" s="110">
        <f t="shared" si="16"/>
        <v>0</v>
      </c>
      <c r="F54" s="70" t="s">
        <v>30</v>
      </c>
    </row>
    <row r="55" spans="1:6" s="68" customFormat="1" ht="39" customHeight="1">
      <c r="A5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0" t="str">
        <f t="shared" ref="B55:E55" si="17">B31</f>
        <v>test chemical</v>
      </c>
      <c r="C55" s="110">
        <f t="shared" si="17"/>
        <v>0</v>
      </c>
      <c r="D55" s="110">
        <f t="shared" si="17"/>
        <v>0</v>
      </c>
      <c r="E55" s="110">
        <f t="shared" si="17"/>
        <v>0</v>
      </c>
      <c r="F55" s="70" t="s">
        <v>30</v>
      </c>
    </row>
    <row r="56" spans="1:6" s="68" customFormat="1" ht="39" customHeight="1">
      <c r="A5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0" t="str">
        <f t="shared" ref="B56:E56" si="18">B32</f>
        <v>test chemical</v>
      </c>
      <c r="C56" s="110">
        <f t="shared" si="18"/>
        <v>0</v>
      </c>
      <c r="D56" s="110">
        <f t="shared" si="18"/>
        <v>0</v>
      </c>
      <c r="E56" s="110">
        <f t="shared" si="18"/>
        <v>0</v>
      </c>
      <c r="F56" s="70" t="s">
        <v>30</v>
      </c>
    </row>
    <row r="57" spans="1:6" s="68" customFormat="1" ht="39" customHeight="1">
      <c r="A57"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09" t="str">
        <f t="shared" ref="B57:E57" si="19">B33</f>
        <v>test chemical</v>
      </c>
      <c r="C57" s="109">
        <f t="shared" si="19"/>
        <v>0</v>
      </c>
      <c r="D57" s="109">
        <f t="shared" si="19"/>
        <v>0</v>
      </c>
      <c r="E57" s="109">
        <f t="shared" si="19"/>
        <v>0</v>
      </c>
      <c r="F57" s="70"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K1" activePane="topRight" state="frozen"/>
      <selection pane="topRight" activeCell="O2" sqref="O1:O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38" t="s">
        <v>21</v>
      </c>
      <c r="B1" s="139"/>
      <c r="C1" s="139"/>
      <c r="D1" s="139"/>
      <c r="E1" s="139"/>
      <c r="F1" s="139"/>
      <c r="G1" s="139"/>
      <c r="H1" s="139"/>
      <c r="I1" s="139"/>
      <c r="J1" s="139"/>
      <c r="K1" s="139"/>
      <c r="L1" s="139"/>
      <c r="M1" s="139"/>
      <c r="N1" s="139"/>
      <c r="O1" s="139"/>
      <c r="P1" s="139"/>
      <c r="Q1" s="139"/>
      <c r="R1" s="139"/>
      <c r="S1" s="139"/>
      <c r="T1" s="139"/>
      <c r="U1" s="139"/>
      <c r="V1" s="139"/>
    </row>
    <row r="2" spans="1:22" ht="15.75" thickBot="1">
      <c r="A2"/>
      <c r="B2"/>
      <c r="C2"/>
      <c r="D2"/>
      <c r="E2"/>
      <c r="F2"/>
      <c r="G2"/>
      <c r="H2"/>
      <c r="I2"/>
      <c r="J2"/>
      <c r="K2"/>
      <c r="L2"/>
      <c r="M2"/>
      <c r="N2"/>
      <c r="S2"/>
      <c r="T2"/>
      <c r="U2"/>
      <c r="V2"/>
    </row>
    <row r="3" spans="1:22" ht="15.75" thickBot="1">
      <c r="A3" s="33" t="s">
        <v>8</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anastrozole-20µg/L</v>
      </c>
      <c r="J4" s="19" t="str">
        <f>'Front page'!A15</f>
        <v>anastrozole-4µg/L</v>
      </c>
      <c r="K4" s="19" t="str">
        <f>'Front page'!A16</f>
        <v>anastrozole-0.8µg/L</v>
      </c>
      <c r="L4" s="19" t="str">
        <f>'Front page'!A17</f>
        <v>anastrozole-0.16µg/L</v>
      </c>
      <c r="M4" s="19" t="str">
        <f>'Front page'!A18</f>
        <v>anastrozole-0.032µg/L</v>
      </c>
      <c r="N4" s="19" t="str">
        <f>'Front page'!A19</f>
        <v/>
      </c>
      <c r="O4" s="20" t="str">
        <f>'Front page'!A35</f>
        <v>Testo -30µg/L</v>
      </c>
      <c r="P4" s="20" t="str">
        <f>'Front page'!A36</f>
        <v>Testo 30µg/L + EE2 -64ng/L</v>
      </c>
      <c r="Q4" s="20" t="str">
        <f>'Front page'!A37</f>
        <v>Testo 30µg/L + FAD-10mg/L</v>
      </c>
      <c r="R4" s="20" t="str">
        <f>'Front page'!A38</f>
        <v>anastrozole-20µg/L + Testostérone</v>
      </c>
      <c r="S4" s="20" t="str">
        <f>'Front page'!A39</f>
        <v>anastrozole-4µg/L + Testostérone</v>
      </c>
      <c r="T4" s="20" t="str">
        <f>'Front page'!A40</f>
        <v>anastrozole-0.8µg/L + Testostérone</v>
      </c>
      <c r="U4" s="20" t="str">
        <f>'Front page'!A41</f>
        <v>anastrozole-0.16µg/L + Testostérone</v>
      </c>
      <c r="V4" s="20" t="str">
        <f>'Front page'!A42</f>
        <v>anastrozole-0.032µg/L + Testostérone</v>
      </c>
    </row>
    <row r="5" spans="1:22" ht="16.5">
      <c r="A5" s="142" t="s">
        <v>71</v>
      </c>
      <c r="B5" s="117">
        <v>821598</v>
      </c>
      <c r="C5" s="113">
        <v>7247522</v>
      </c>
      <c r="D5" s="78">
        <v>1552456</v>
      </c>
      <c r="E5" s="78">
        <v>10578933</v>
      </c>
      <c r="F5" s="78">
        <v>15083885</v>
      </c>
      <c r="G5" s="78">
        <v>8603301</v>
      </c>
      <c r="H5" s="78">
        <v>40060688</v>
      </c>
      <c r="I5" s="78">
        <v>550514</v>
      </c>
      <c r="J5" s="78">
        <v>4535879</v>
      </c>
      <c r="K5" s="113">
        <v>224875</v>
      </c>
      <c r="L5" s="113">
        <v>896444</v>
      </c>
      <c r="M5" s="113">
        <v>1818678</v>
      </c>
      <c r="N5" s="12"/>
      <c r="O5" s="78">
        <v>14728879</v>
      </c>
      <c r="P5" s="113">
        <v>14237774</v>
      </c>
      <c r="Q5" s="113">
        <v>1395219</v>
      </c>
      <c r="R5" s="78">
        <v>1626926</v>
      </c>
      <c r="S5" s="78">
        <v>2490813</v>
      </c>
      <c r="T5" s="78">
        <v>5811449</v>
      </c>
      <c r="U5" s="78">
        <v>3581458</v>
      </c>
      <c r="V5" s="78">
        <v>10786963</v>
      </c>
    </row>
    <row r="6" spans="1:22" ht="16.5">
      <c r="A6" s="143"/>
      <c r="B6" s="117">
        <v>1559183</v>
      </c>
      <c r="C6" s="113">
        <v>5288127</v>
      </c>
      <c r="D6" s="78">
        <v>4273057</v>
      </c>
      <c r="E6" s="78">
        <v>7374988</v>
      </c>
      <c r="F6" s="78">
        <v>15523588</v>
      </c>
      <c r="G6" s="78">
        <v>20834404</v>
      </c>
      <c r="H6" s="78">
        <v>40544560</v>
      </c>
      <c r="I6" s="78">
        <v>382254</v>
      </c>
      <c r="J6" s="78">
        <v>1352237</v>
      </c>
      <c r="K6" s="113">
        <v>1722616</v>
      </c>
      <c r="L6" s="113">
        <v>1121319</v>
      </c>
      <c r="M6" s="113">
        <v>2268705</v>
      </c>
      <c r="N6" s="12"/>
      <c r="O6" s="78">
        <v>10389448</v>
      </c>
      <c r="P6" s="113">
        <v>13986023</v>
      </c>
      <c r="Q6" s="113">
        <v>1698927</v>
      </c>
      <c r="R6" s="78">
        <v>3235235</v>
      </c>
      <c r="S6" s="78">
        <v>1882927</v>
      </c>
      <c r="T6" s="78">
        <v>4862351</v>
      </c>
      <c r="U6" s="78">
        <v>10936311</v>
      </c>
      <c r="V6" s="78">
        <v>6300079</v>
      </c>
    </row>
    <row r="7" spans="1:22" ht="16.5">
      <c r="A7" s="143"/>
      <c r="B7" s="117">
        <v>1978272</v>
      </c>
      <c r="C7" s="113">
        <v>1301971</v>
      </c>
      <c r="D7" s="78">
        <v>6608441</v>
      </c>
      <c r="E7" s="78">
        <v>5851862</v>
      </c>
      <c r="F7" s="78">
        <v>14824429</v>
      </c>
      <c r="G7" s="78">
        <v>15567452</v>
      </c>
      <c r="H7" s="78">
        <v>31796728</v>
      </c>
      <c r="I7" s="78">
        <v>1090633</v>
      </c>
      <c r="J7" s="78">
        <v>3042776</v>
      </c>
      <c r="K7" s="113">
        <v>310516</v>
      </c>
      <c r="L7" s="113">
        <v>2330643</v>
      </c>
      <c r="M7" s="113">
        <v>455388</v>
      </c>
      <c r="N7" s="12"/>
      <c r="O7" s="78">
        <v>8935159</v>
      </c>
      <c r="P7" s="113">
        <v>12518615</v>
      </c>
      <c r="Q7" s="113">
        <v>4050813</v>
      </c>
      <c r="R7" s="78">
        <v>2861267</v>
      </c>
      <c r="S7" s="78">
        <v>2256765</v>
      </c>
      <c r="T7" s="78">
        <v>5606799</v>
      </c>
      <c r="U7" s="78">
        <v>13568013</v>
      </c>
      <c r="V7" s="78">
        <v>15217924</v>
      </c>
    </row>
    <row r="8" spans="1:22" ht="16.5">
      <c r="A8" s="143"/>
      <c r="B8" s="117">
        <v>1437719</v>
      </c>
      <c r="C8" s="113">
        <v>1580231</v>
      </c>
      <c r="D8" s="78">
        <v>4888762</v>
      </c>
      <c r="E8" s="78">
        <v>9894190</v>
      </c>
      <c r="F8" s="78">
        <v>6693111</v>
      </c>
      <c r="G8" s="78">
        <v>11991987</v>
      </c>
      <c r="H8" s="78">
        <v>37129205</v>
      </c>
      <c r="I8" s="78">
        <v>2215123</v>
      </c>
      <c r="J8" s="78">
        <v>712350</v>
      </c>
      <c r="K8" s="113">
        <v>1542054</v>
      </c>
      <c r="L8" s="113">
        <v>1303719</v>
      </c>
      <c r="M8" s="113">
        <v>4033418</v>
      </c>
      <c r="N8" s="12"/>
      <c r="O8" s="78">
        <v>4220826</v>
      </c>
      <c r="P8" s="113">
        <v>15073666</v>
      </c>
      <c r="Q8" s="113">
        <v>2811002</v>
      </c>
      <c r="R8" s="78">
        <v>1209451</v>
      </c>
      <c r="S8" s="78">
        <v>2316896</v>
      </c>
      <c r="T8" s="78">
        <v>6573180</v>
      </c>
      <c r="U8" s="78">
        <v>13751341</v>
      </c>
      <c r="V8" s="78">
        <v>4377467</v>
      </c>
    </row>
    <row r="9" spans="1:22" ht="16.5">
      <c r="A9" s="143"/>
      <c r="B9" s="117">
        <v>2399242</v>
      </c>
      <c r="C9" s="113">
        <v>1593343</v>
      </c>
      <c r="D9" s="78">
        <v>5207453</v>
      </c>
      <c r="E9" s="78">
        <v>4013010</v>
      </c>
      <c r="F9" s="78">
        <v>12534984</v>
      </c>
      <c r="G9" s="78">
        <v>11482482</v>
      </c>
      <c r="H9" s="78">
        <v>20515301</v>
      </c>
      <c r="I9" s="78">
        <v>1394752</v>
      </c>
      <c r="J9" s="78">
        <v>1801506</v>
      </c>
      <c r="K9" s="113">
        <v>2379279</v>
      </c>
      <c r="L9" s="113">
        <v>1053200</v>
      </c>
      <c r="M9" s="113">
        <v>940998</v>
      </c>
      <c r="N9" s="12"/>
      <c r="O9" s="78">
        <v>12396840</v>
      </c>
      <c r="P9" s="113">
        <v>11730473</v>
      </c>
      <c r="Q9" s="113">
        <v>647422</v>
      </c>
      <c r="R9" s="78">
        <v>2522699</v>
      </c>
      <c r="S9" s="78">
        <v>1962294</v>
      </c>
      <c r="T9" s="78">
        <v>2016788</v>
      </c>
      <c r="U9" s="78">
        <v>10087241</v>
      </c>
      <c r="V9" s="78">
        <v>11878861</v>
      </c>
    </row>
    <row r="10" spans="1:22" ht="16.5">
      <c r="A10" s="143"/>
      <c r="B10" s="117">
        <v>2873830</v>
      </c>
      <c r="C10" s="113">
        <v>5701518</v>
      </c>
      <c r="D10" s="78">
        <v>8291699</v>
      </c>
      <c r="E10" s="78">
        <v>8870566</v>
      </c>
      <c r="F10" s="78">
        <v>11754063</v>
      </c>
      <c r="G10" s="78">
        <v>13230751</v>
      </c>
      <c r="H10" s="78">
        <v>22029580</v>
      </c>
      <c r="I10" s="78">
        <v>3562816</v>
      </c>
      <c r="J10" s="78">
        <v>3538251</v>
      </c>
      <c r="K10" s="113">
        <v>4185238</v>
      </c>
      <c r="L10" s="113">
        <v>102215</v>
      </c>
      <c r="M10" s="113">
        <v>986519</v>
      </c>
      <c r="N10" s="12"/>
      <c r="O10" s="78">
        <v>12380379</v>
      </c>
      <c r="P10" s="113">
        <v>9890906</v>
      </c>
      <c r="Q10" s="113">
        <v>1888654</v>
      </c>
      <c r="R10" s="78">
        <v>2341720</v>
      </c>
      <c r="S10" s="78">
        <v>2474188</v>
      </c>
      <c r="T10" s="78">
        <v>6170819</v>
      </c>
      <c r="U10" s="78">
        <v>8591973</v>
      </c>
      <c r="V10" s="78">
        <v>4534349</v>
      </c>
    </row>
    <row r="11" spans="1:22" ht="16.5">
      <c r="A11" s="143"/>
      <c r="B11" s="117">
        <v>1144627</v>
      </c>
      <c r="C11" s="113">
        <v>4604449</v>
      </c>
      <c r="D11" s="78">
        <v>8554383</v>
      </c>
      <c r="E11" s="78">
        <v>9551877</v>
      </c>
      <c r="F11" s="78">
        <v>9628414</v>
      </c>
      <c r="G11" s="78">
        <v>11744822</v>
      </c>
      <c r="H11" s="78">
        <v>16855775</v>
      </c>
      <c r="I11" s="78">
        <v>629944</v>
      </c>
      <c r="J11" s="78">
        <v>3551206</v>
      </c>
      <c r="K11" s="113">
        <v>1776435</v>
      </c>
      <c r="L11" s="113">
        <v>977976</v>
      </c>
      <c r="M11" s="113">
        <v>3479367</v>
      </c>
      <c r="N11" s="12"/>
      <c r="O11" s="78">
        <v>6406401</v>
      </c>
      <c r="P11" s="113">
        <v>7708788</v>
      </c>
      <c r="Q11" s="113">
        <v>2248264</v>
      </c>
      <c r="R11" s="78">
        <v>709544</v>
      </c>
      <c r="S11" s="78">
        <v>1088245</v>
      </c>
      <c r="T11" s="78">
        <v>2653846</v>
      </c>
      <c r="U11" s="78">
        <v>6509639</v>
      </c>
      <c r="V11" s="78">
        <v>6385700</v>
      </c>
    </row>
    <row r="12" spans="1:22" ht="16.5">
      <c r="A12" s="143"/>
      <c r="B12" s="117">
        <v>2335398</v>
      </c>
      <c r="C12" s="113">
        <v>9939489</v>
      </c>
      <c r="D12" s="78">
        <v>7114276</v>
      </c>
      <c r="E12" s="78">
        <v>4348561</v>
      </c>
      <c r="F12" s="78">
        <v>11160762</v>
      </c>
      <c r="G12" s="78">
        <v>12954425</v>
      </c>
      <c r="H12" s="78">
        <v>17107234</v>
      </c>
      <c r="I12" s="78">
        <v>556786</v>
      </c>
      <c r="J12" s="78"/>
      <c r="K12" s="113">
        <v>2593505</v>
      </c>
      <c r="L12" s="113">
        <v>2670753</v>
      </c>
      <c r="M12" s="113">
        <v>144564</v>
      </c>
      <c r="N12" s="12"/>
      <c r="O12" s="78">
        <v>9301469</v>
      </c>
      <c r="P12" s="113">
        <v>14486985</v>
      </c>
      <c r="Q12" s="113">
        <v>1256379</v>
      </c>
      <c r="R12" s="78">
        <v>543285</v>
      </c>
      <c r="S12" s="78">
        <v>984789</v>
      </c>
      <c r="T12" s="78">
        <v>4597403</v>
      </c>
      <c r="U12" s="78">
        <v>6827653</v>
      </c>
      <c r="V12" s="78">
        <v>10886789</v>
      </c>
    </row>
    <row r="13" spans="1:22" ht="16.5">
      <c r="A13" s="143"/>
      <c r="B13" s="13"/>
      <c r="C13" s="12"/>
      <c r="D13" s="15"/>
      <c r="E13" s="15"/>
      <c r="F13" s="15"/>
      <c r="G13" s="15"/>
      <c r="H13" s="15">
        <v>24191960</v>
      </c>
      <c r="I13" s="16">
        <v>2710029</v>
      </c>
      <c r="J13" s="15"/>
      <c r="K13" s="12"/>
      <c r="L13" s="12"/>
      <c r="M13" s="12">
        <v>1814404</v>
      </c>
      <c r="N13" s="12"/>
      <c r="O13" s="16">
        <v>9032207</v>
      </c>
      <c r="P13" s="12"/>
      <c r="Q13" s="12"/>
      <c r="R13" s="4"/>
      <c r="S13" s="16"/>
      <c r="T13" s="16"/>
      <c r="U13" s="16"/>
      <c r="V13" s="16"/>
    </row>
    <row r="14" spans="1:22" ht="16.5">
      <c r="A14" s="143"/>
      <c r="B14" s="13"/>
      <c r="C14" s="15"/>
      <c r="D14" s="15"/>
      <c r="E14" s="15"/>
      <c r="F14" s="15"/>
      <c r="G14" s="15"/>
      <c r="H14" s="15">
        <v>16477604</v>
      </c>
      <c r="I14" s="16"/>
      <c r="J14" s="15"/>
      <c r="K14" s="12"/>
      <c r="L14" s="12"/>
      <c r="M14" s="12"/>
      <c r="N14" s="12"/>
      <c r="O14" s="16">
        <v>13353785</v>
      </c>
      <c r="P14" s="12"/>
      <c r="Q14" s="12"/>
      <c r="R14" s="4"/>
      <c r="S14" s="16"/>
      <c r="T14" s="16"/>
      <c r="U14" s="16"/>
      <c r="V14" s="16"/>
    </row>
    <row r="15" spans="1:22" ht="16.5">
      <c r="A15" s="143"/>
      <c r="B15" s="13"/>
      <c r="C15" s="15"/>
      <c r="D15" s="15"/>
      <c r="E15" s="15"/>
      <c r="F15" s="15"/>
      <c r="G15" s="15"/>
      <c r="H15" s="15">
        <v>16394654</v>
      </c>
      <c r="I15" s="16"/>
      <c r="J15" s="15"/>
      <c r="K15" s="12"/>
      <c r="L15" s="12"/>
      <c r="M15" s="12"/>
      <c r="N15" s="12"/>
      <c r="O15" s="16">
        <v>11377243</v>
      </c>
      <c r="P15" s="12"/>
      <c r="Q15" s="12"/>
      <c r="R15" s="4"/>
      <c r="S15" s="16"/>
      <c r="T15" s="16"/>
      <c r="U15" s="16"/>
      <c r="V15" s="16"/>
    </row>
    <row r="16" spans="1:22" ht="16.5">
      <c r="A16" s="143"/>
      <c r="B16" s="13"/>
      <c r="C16" s="15"/>
      <c r="D16" s="15"/>
      <c r="E16" s="15"/>
      <c r="F16" s="15"/>
      <c r="G16" s="15"/>
      <c r="H16" s="15">
        <v>15236883</v>
      </c>
      <c r="I16" s="16"/>
      <c r="J16" s="15"/>
      <c r="K16" s="12"/>
      <c r="L16" s="12"/>
      <c r="M16" s="12"/>
      <c r="N16" s="12"/>
      <c r="O16" s="16">
        <v>8380041</v>
      </c>
      <c r="P16" s="12"/>
      <c r="Q16" s="12"/>
      <c r="R16" s="4"/>
      <c r="S16" s="16"/>
      <c r="T16" s="16"/>
      <c r="U16" s="16"/>
      <c r="V16" s="16"/>
    </row>
    <row r="17" spans="1:22" s="1" customFormat="1" ht="16.5">
      <c r="A17" s="143"/>
      <c r="B17" s="13"/>
      <c r="C17" s="16"/>
      <c r="D17" s="16"/>
      <c r="E17" s="16"/>
      <c r="F17" s="16"/>
      <c r="G17" s="16"/>
      <c r="H17" s="16"/>
      <c r="I17" s="16"/>
      <c r="J17" s="16"/>
      <c r="K17" s="12"/>
      <c r="L17" s="12"/>
      <c r="M17" s="12"/>
      <c r="N17" s="12"/>
      <c r="O17" s="16">
        <v>9663803</v>
      </c>
      <c r="P17" s="12"/>
      <c r="Q17" s="12"/>
      <c r="R17" s="16"/>
      <c r="S17" s="16"/>
      <c r="T17" s="16"/>
      <c r="U17" s="16"/>
      <c r="V17" s="16"/>
    </row>
    <row r="18" spans="1:22" s="1" customFormat="1" ht="16.5">
      <c r="A18" s="143"/>
      <c r="B18" s="13"/>
      <c r="C18" s="16"/>
      <c r="D18" s="16"/>
      <c r="E18" s="16"/>
      <c r="F18" s="16"/>
      <c r="G18" s="16"/>
      <c r="H18" s="16"/>
      <c r="I18" s="16"/>
      <c r="J18" s="16"/>
      <c r="K18" s="12"/>
      <c r="L18" s="12"/>
      <c r="M18" s="12"/>
      <c r="N18" s="12"/>
      <c r="O18" s="16">
        <v>12722313</v>
      </c>
      <c r="P18" s="12"/>
      <c r="Q18" s="12"/>
      <c r="R18" s="16"/>
      <c r="S18" s="16"/>
      <c r="T18" s="16"/>
      <c r="U18" s="16"/>
      <c r="V18" s="16"/>
    </row>
    <row r="19" spans="1:22" s="1" customFormat="1" ht="16.5">
      <c r="A19" s="143"/>
      <c r="B19" s="13"/>
      <c r="C19" s="16"/>
      <c r="D19" s="16"/>
      <c r="E19" s="16"/>
      <c r="F19" s="16"/>
      <c r="G19" s="16"/>
      <c r="H19" s="16"/>
      <c r="I19" s="16"/>
      <c r="J19" s="16"/>
      <c r="K19" s="12"/>
      <c r="L19" s="12"/>
      <c r="M19" s="12"/>
      <c r="N19" s="12"/>
      <c r="O19" s="16">
        <v>11233169</v>
      </c>
      <c r="P19" s="12"/>
      <c r="Q19" s="12"/>
      <c r="R19" s="16"/>
      <c r="S19" s="16"/>
      <c r="T19" s="16"/>
      <c r="U19" s="16"/>
      <c r="V19" s="16"/>
    </row>
    <row r="20" spans="1:22" ht="16.5">
      <c r="A20" s="143"/>
      <c r="B20" s="13"/>
      <c r="C20" s="15"/>
      <c r="D20" s="15"/>
      <c r="E20" s="15"/>
      <c r="F20" s="15"/>
      <c r="G20" s="15"/>
      <c r="H20" s="15"/>
      <c r="I20" s="16"/>
      <c r="J20" s="15"/>
      <c r="K20" s="12"/>
      <c r="L20" s="12"/>
      <c r="M20" s="12"/>
      <c r="N20" s="12"/>
      <c r="O20" s="16">
        <v>11338851</v>
      </c>
      <c r="P20" s="12"/>
      <c r="Q20" s="12"/>
      <c r="R20" s="4"/>
      <c r="S20" s="16"/>
      <c r="T20" s="16"/>
      <c r="U20" s="16"/>
      <c r="V20" s="16"/>
    </row>
    <row r="21" spans="1:22" s="1" customFormat="1" ht="16.5">
      <c r="A21" s="47"/>
      <c r="B21" s="48"/>
      <c r="C21" s="6"/>
      <c r="D21" s="6"/>
      <c r="E21" s="6"/>
      <c r="F21" s="6"/>
      <c r="G21" s="6"/>
      <c r="H21" s="6"/>
      <c r="I21" s="6"/>
      <c r="J21" s="6"/>
      <c r="K21" s="17"/>
      <c r="L21" s="17"/>
      <c r="M21" s="17"/>
      <c r="N21" s="17"/>
      <c r="O21" s="6"/>
      <c r="P21" s="17"/>
      <c r="Q21" s="17"/>
      <c r="R21" s="6"/>
      <c r="S21" s="6"/>
      <c r="T21" s="6"/>
      <c r="U21" s="6"/>
      <c r="V21" s="6"/>
    </row>
    <row r="22" spans="1:22" s="50" customFormat="1">
      <c r="A22" s="49" t="str">
        <f t="shared" ref="A22:N22" si="0">A4</f>
        <v>Noms des groupes</v>
      </c>
      <c r="B22" s="49" t="str">
        <f t="shared" si="0"/>
        <v>Solvent control</v>
      </c>
      <c r="C22" s="49" t="str">
        <f t="shared" si="0"/>
        <v>EE2-33.8ng/L</v>
      </c>
      <c r="D22" s="49" t="str">
        <f t="shared" si="0"/>
        <v>EE2-50.6ng/L</v>
      </c>
      <c r="E22" s="49" t="str">
        <f t="shared" si="0"/>
        <v>EE2-76ng/L</v>
      </c>
      <c r="F22" s="49" t="str">
        <f t="shared" si="0"/>
        <v>EE2-114ng/L</v>
      </c>
      <c r="G22" s="49" t="str">
        <f t="shared" si="0"/>
        <v>EE2-170.9ng/L</v>
      </c>
      <c r="H22" s="49" t="str">
        <f t="shared" si="0"/>
        <v>EE2-488ng/L</v>
      </c>
      <c r="I22" s="49" t="str">
        <f t="shared" si="0"/>
        <v>anastrozole-20µg/L</v>
      </c>
      <c r="J22" s="49" t="str">
        <f t="shared" si="0"/>
        <v>anastrozole-4µg/L</v>
      </c>
      <c r="K22" s="49" t="str">
        <f t="shared" si="0"/>
        <v>anastrozole-0.8µg/L</v>
      </c>
      <c r="L22" s="49" t="str">
        <f t="shared" si="0"/>
        <v>anastrozole-0.16µg/L</v>
      </c>
      <c r="M22" s="49" t="str">
        <f t="shared" si="0"/>
        <v>anastrozole-0.032µg/L</v>
      </c>
      <c r="N22" s="49" t="str">
        <f t="shared" si="0"/>
        <v/>
      </c>
      <c r="O22" s="49" t="str">
        <f t="shared" ref="O22:V22" si="1">O4</f>
        <v>Testo -30µg/L</v>
      </c>
      <c r="P22" s="49" t="str">
        <f t="shared" si="1"/>
        <v>Testo 30µg/L + EE2 -64ng/L</v>
      </c>
      <c r="Q22" s="49" t="str">
        <f t="shared" si="1"/>
        <v>Testo 30µg/L + FAD-10mg/L</v>
      </c>
      <c r="R22" s="49" t="str">
        <f t="shared" si="1"/>
        <v>anastrozole-20µg/L + Testostérone</v>
      </c>
      <c r="S22" s="49" t="str">
        <f t="shared" si="1"/>
        <v>anastrozole-4µg/L + Testostérone</v>
      </c>
      <c r="T22" s="49" t="str">
        <f t="shared" si="1"/>
        <v>anastrozole-0.8µg/L + Testostérone</v>
      </c>
      <c r="U22" s="49" t="str">
        <f t="shared" si="1"/>
        <v>anastrozole-0.16µg/L + Testostérone</v>
      </c>
      <c r="V22" s="49" t="str">
        <f t="shared" si="1"/>
        <v>anastrozole-0.032µg/L + Testostérone</v>
      </c>
    </row>
    <row r="23" spans="1:22">
      <c r="A23" s="5" t="s">
        <v>0</v>
      </c>
      <c r="B23" s="5">
        <f t="shared" ref="B23:N23" si="2">AVERAGE(B5:B20)</f>
        <v>1818733.625</v>
      </c>
      <c r="C23" s="5">
        <f t="shared" si="2"/>
        <v>4657081.25</v>
      </c>
      <c r="D23" s="5">
        <f t="shared" si="2"/>
        <v>5811315.875</v>
      </c>
      <c r="E23" s="5">
        <f t="shared" si="2"/>
        <v>7560498.375</v>
      </c>
      <c r="F23" s="5">
        <f t="shared" si="2"/>
        <v>12150404.5</v>
      </c>
      <c r="G23" s="5">
        <f t="shared" si="2"/>
        <v>13301203</v>
      </c>
      <c r="H23" s="5">
        <f t="shared" si="2"/>
        <v>24861681</v>
      </c>
      <c r="I23" s="5">
        <f>AVERAGE(I5:I20)</f>
        <v>1454761.2222222222</v>
      </c>
      <c r="J23" s="5">
        <f t="shared" si="2"/>
        <v>2647743.5714285714</v>
      </c>
      <c r="K23" s="5">
        <f t="shared" si="2"/>
        <v>1841814.75</v>
      </c>
      <c r="L23" s="5">
        <f t="shared" si="2"/>
        <v>1307033.625</v>
      </c>
      <c r="M23" s="5">
        <f t="shared" si="2"/>
        <v>1771337.888888889</v>
      </c>
      <c r="N23" s="5" t="e">
        <f t="shared" si="2"/>
        <v>#DIV/0!</v>
      </c>
      <c r="O23" s="5">
        <f t="shared" ref="O23:V23" si="3">AVERAGE(O5:O20)</f>
        <v>10366300.8125</v>
      </c>
      <c r="P23" s="5">
        <f t="shared" si="3"/>
        <v>12454153.75</v>
      </c>
      <c r="Q23" s="5">
        <f t="shared" si="3"/>
        <v>1999585</v>
      </c>
      <c r="R23" s="5">
        <f t="shared" si="3"/>
        <v>1881265.875</v>
      </c>
      <c r="S23" s="5">
        <f t="shared" si="3"/>
        <v>1932114.625</v>
      </c>
      <c r="T23" s="5">
        <f t="shared" si="3"/>
        <v>4786579.375</v>
      </c>
      <c r="U23" s="5">
        <f t="shared" si="3"/>
        <v>9231703.625</v>
      </c>
      <c r="V23" s="5">
        <f t="shared" si="3"/>
        <v>8796016.5</v>
      </c>
    </row>
    <row r="24" spans="1:22">
      <c r="A24" s="3" t="s">
        <v>1</v>
      </c>
      <c r="B24" s="3">
        <f t="shared" ref="B24:N24" si="4">STDEV(B5:B20)</f>
        <v>697326.60634227865</v>
      </c>
      <c r="C24" s="3">
        <f t="shared" si="4"/>
        <v>3075625.7493092245</v>
      </c>
      <c r="D24" s="3">
        <f t="shared" si="4"/>
        <v>2321628.5871519735</v>
      </c>
      <c r="E24" s="3">
        <f t="shared" si="4"/>
        <v>2566097.5938756797</v>
      </c>
      <c r="F24" s="3">
        <f t="shared" si="4"/>
        <v>3036938.0838656272</v>
      </c>
      <c r="G24" s="3">
        <f t="shared" si="4"/>
        <v>3615929.399027349</v>
      </c>
      <c r="H24" s="3">
        <f t="shared" si="4"/>
        <v>9824625.276000116</v>
      </c>
      <c r="I24" s="3">
        <f>STDEV(I5:I20)</f>
        <v>1128525.0535837449</v>
      </c>
      <c r="J24" s="3">
        <f t="shared" si="4"/>
        <v>1382663.9406516268</v>
      </c>
      <c r="K24" s="3">
        <f t="shared" si="4"/>
        <v>1276896.2346502272</v>
      </c>
      <c r="L24" s="3">
        <f t="shared" si="4"/>
        <v>822443.20551390189</v>
      </c>
      <c r="M24" s="3">
        <f t="shared" si="4"/>
        <v>1321427.3583810278</v>
      </c>
      <c r="N24" s="3" t="e">
        <f t="shared" si="4"/>
        <v>#DIV/0!</v>
      </c>
      <c r="O24" s="3">
        <f t="shared" ref="O24:V24" si="5">STDEV(O5:O20)</f>
        <v>2674018.6560111917</v>
      </c>
      <c r="P24" s="3">
        <f t="shared" si="5"/>
        <v>2567343.7113096234</v>
      </c>
      <c r="Q24" s="3">
        <f t="shared" si="5"/>
        <v>1054001.5057999545</v>
      </c>
      <c r="R24" s="3">
        <f t="shared" si="5"/>
        <v>1006850.6786749091</v>
      </c>
      <c r="S24" s="3">
        <f t="shared" si="5"/>
        <v>594295.98103901476</v>
      </c>
      <c r="T24" s="3">
        <f t="shared" si="5"/>
        <v>1651536.2572911093</v>
      </c>
      <c r="U24" s="3">
        <f t="shared" si="5"/>
        <v>3553508.4800753081</v>
      </c>
      <c r="V24" s="3">
        <f t="shared" si="5"/>
        <v>3942528.9737306577</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s="1" customFormat="1">
      <c r="A27" s="18" t="s">
        <v>22</v>
      </c>
      <c r="B27" s="19" t="str">
        <f t="shared" ref="B27:N27" si="6">B4</f>
        <v>Solvent control</v>
      </c>
      <c r="C27" s="19" t="str">
        <f t="shared" si="6"/>
        <v>EE2-33.8ng/L</v>
      </c>
      <c r="D27" s="19" t="str">
        <f t="shared" si="6"/>
        <v>EE2-50.6ng/L</v>
      </c>
      <c r="E27" s="19" t="str">
        <f t="shared" si="6"/>
        <v>EE2-76ng/L</v>
      </c>
      <c r="F27" s="19" t="str">
        <f t="shared" si="6"/>
        <v>EE2-114ng/L</v>
      </c>
      <c r="G27" s="19" t="str">
        <f t="shared" si="6"/>
        <v>EE2-170.9ng/L</v>
      </c>
      <c r="H27" s="19" t="str">
        <f t="shared" si="6"/>
        <v>EE2-488ng/L</v>
      </c>
      <c r="I27" s="19" t="str">
        <f t="shared" si="6"/>
        <v>anastrozole-20µg/L</v>
      </c>
      <c r="J27" s="19" t="str">
        <f t="shared" si="6"/>
        <v>anastrozole-4µg/L</v>
      </c>
      <c r="K27" s="19" t="str">
        <f t="shared" si="6"/>
        <v>anastrozole-0.8µg/L</v>
      </c>
      <c r="L27" s="19" t="str">
        <f t="shared" si="6"/>
        <v>anastrozole-0.16µg/L</v>
      </c>
      <c r="M27" s="19" t="str">
        <f t="shared" si="6"/>
        <v>anastrozole-0.032µg/L</v>
      </c>
      <c r="N27" s="19" t="str">
        <f t="shared" si="6"/>
        <v/>
      </c>
      <c r="O27" s="20" t="str">
        <f t="shared" ref="O27:V27" si="7">O4</f>
        <v>Testo -30µg/L</v>
      </c>
      <c r="P27" s="20" t="str">
        <f t="shared" si="7"/>
        <v>Testo 30µg/L + EE2 -64ng/L</v>
      </c>
      <c r="Q27" s="20" t="str">
        <f t="shared" si="7"/>
        <v>Testo 30µg/L + FAD-10mg/L</v>
      </c>
      <c r="R27" s="20" t="str">
        <f t="shared" si="7"/>
        <v>anastrozole-20µg/L + Testostérone</v>
      </c>
      <c r="S27" s="20" t="str">
        <f t="shared" si="7"/>
        <v>anastrozole-4µg/L + Testostérone</v>
      </c>
      <c r="T27" s="20" t="str">
        <f t="shared" si="7"/>
        <v>anastrozole-0.8µg/L + Testostérone</v>
      </c>
      <c r="U27" s="20" t="str">
        <f t="shared" si="7"/>
        <v>anastrozole-0.16µg/L + Testostérone</v>
      </c>
      <c r="V27" s="20" t="str">
        <f t="shared" si="7"/>
        <v>anastrozole-0.032µg/L + Testostérone</v>
      </c>
    </row>
    <row r="28" spans="1:22">
      <c r="A28" s="144" t="s">
        <v>72</v>
      </c>
      <c r="B28" s="75">
        <f>IF(B5="","",(B5/$O$23))</f>
        <v>7.925662344365815E-2</v>
      </c>
      <c r="C28" s="75">
        <f>IF(C5="","",(C5/$O$23))</f>
        <v>0.69914255153204874</v>
      </c>
      <c r="D28" s="75">
        <f>IF(D5="","",(D5/$O$23))</f>
        <v>0.14975988330649265</v>
      </c>
      <c r="E28" s="75">
        <f>IF(E5="","",(E5/$O$23))</f>
        <v>1.0205118673812361</v>
      </c>
      <c r="F28" s="75">
        <f>IF(F5="","",(F5/$O$23))</f>
        <v>1.4550884903717431</v>
      </c>
      <c r="G28" s="75">
        <f>IF(G5="","",(G5/$O$23))</f>
        <v>0.82992970738663874</v>
      </c>
      <c r="H28" s="75">
        <f>IF(H5="","",(H5/$O$23))</f>
        <v>3.8645114322453007</v>
      </c>
      <c r="I28" s="10">
        <f>IF(I5="","",(I5/$O$23))</f>
        <v>5.3106118562194674E-2</v>
      </c>
      <c r="J28" s="10">
        <f>IF(J5="","",(J5/$O$23))</f>
        <v>0.43756004017657868</v>
      </c>
      <c r="K28" s="10">
        <f>IF(K5="","",(K5/$O$23))</f>
        <v>2.1692887758846327E-2</v>
      </c>
      <c r="L28" s="10">
        <f>IF(L5="","",(L5/$O$23))</f>
        <v>8.6476749634646979E-2</v>
      </c>
      <c r="M28" s="10">
        <f>IF(M5="","",(M5/$O$23))</f>
        <v>0.17544136842015842</v>
      </c>
      <c r="N28" s="10" t="str">
        <f>IF(N5="","",(N5/$O$23))</f>
        <v/>
      </c>
      <c r="O28" s="75">
        <f t="shared" ref="O28:V28" si="8">IF(O5="","",(O5/$O$23))</f>
        <v>1.4208423300083546</v>
      </c>
      <c r="P28" s="75">
        <f t="shared" si="8"/>
        <v>1.3734671854044269</v>
      </c>
      <c r="Q28" s="75">
        <f t="shared" si="8"/>
        <v>0.13459179173322874</v>
      </c>
      <c r="R28" s="75">
        <f t="shared" si="8"/>
        <v>0.15694373812095086</v>
      </c>
      <c r="S28" s="75">
        <f t="shared" si="8"/>
        <v>0.24027983029360889</v>
      </c>
      <c r="T28" s="75">
        <f t="shared" si="8"/>
        <v>0.56060972039248358</v>
      </c>
      <c r="U28" s="75">
        <f t="shared" si="8"/>
        <v>0.34549045650704729</v>
      </c>
      <c r="V28" s="75">
        <f t="shared" si="8"/>
        <v>1.0405797781782247</v>
      </c>
    </row>
    <row r="29" spans="1:22">
      <c r="A29" s="145"/>
      <c r="B29" s="75">
        <f>IF(B6="","",(B6/$O$23))</f>
        <v>0.1504088129605394</v>
      </c>
      <c r="C29" s="75">
        <f>IF(C6="","",(C6/$O$23))</f>
        <v>0.51012671691172762</v>
      </c>
      <c r="D29" s="75">
        <f>IF(D6="","",(D6/$O$23))</f>
        <v>0.41220654091451969</v>
      </c>
      <c r="E29" s="75">
        <f>IF(E6="","",(E6/$O$23))</f>
        <v>0.71143874110878735</v>
      </c>
      <c r="F29" s="75">
        <f>IF(F6="","",(F6/$O$23))</f>
        <v>1.4975050676979378</v>
      </c>
      <c r="G29" s="75">
        <f>IF(G6="","",(G6/$O$23))</f>
        <v>2.0098205113705792</v>
      </c>
      <c r="H29" s="75">
        <f>IF(H6="","",(H6/$O$23))</f>
        <v>3.9111888351831485</v>
      </c>
      <c r="I29" s="10">
        <f>IF(I6="","",(I6/$O$23))</f>
        <v>3.6874677564736162E-2</v>
      </c>
      <c r="J29" s="10">
        <f>IF(J6="","",(J6/$O$23))</f>
        <v>0.13044547177035723</v>
      </c>
      <c r="K29" s="10">
        <f>IF(K6="","",(K6/$O$23))</f>
        <v>0.16617461051514321</v>
      </c>
      <c r="L29" s="10">
        <f>IF(L6="","",(L6/$O$23))</f>
        <v>0.10816963739349331</v>
      </c>
      <c r="M29" s="10">
        <f>IF(M6="","",(M6/$O$23))</f>
        <v>0.21885386513811433</v>
      </c>
      <c r="N29" s="10" t="str">
        <f>IF(N6="","",(N6/$O$23))</f>
        <v/>
      </c>
      <c r="O29" s="75">
        <f t="shared" ref="O29:V29" si="9">IF(O6="","",(O6/$O$23))</f>
        <v>1.0022329264719088</v>
      </c>
      <c r="P29" s="75">
        <f t="shared" si="9"/>
        <v>1.349181665955056</v>
      </c>
      <c r="Q29" s="75">
        <f t="shared" si="9"/>
        <v>0.16388941732728635</v>
      </c>
      <c r="R29" s="75">
        <f t="shared" si="9"/>
        <v>0.31209156077150063</v>
      </c>
      <c r="S29" s="75">
        <f t="shared" si="9"/>
        <v>0.18163923988483041</v>
      </c>
      <c r="T29" s="75">
        <f t="shared" si="9"/>
        <v>0.46905362751357066</v>
      </c>
      <c r="U29" s="75">
        <f t="shared" si="9"/>
        <v>1.0549868461093339</v>
      </c>
      <c r="V29" s="75">
        <f t="shared" si="9"/>
        <v>0.60774611058972683</v>
      </c>
    </row>
    <row r="30" spans="1:22">
      <c r="A30" s="145"/>
      <c r="B30" s="75">
        <f>IF(B7="","",(B7/$O$23))</f>
        <v>0.19083683136172738</v>
      </c>
      <c r="C30" s="75">
        <f>IF(C7="","",(C7/$O$23))</f>
        <v>0.12559649035363163</v>
      </c>
      <c r="D30" s="75">
        <f>IF(D7="","",(D7/$O$23))</f>
        <v>0.63749269093477789</v>
      </c>
      <c r="E30" s="75">
        <f>IF(E7="","",(E7/$O$23))</f>
        <v>0.564508218104538</v>
      </c>
      <c r="F30" s="75">
        <f>IF(F7="","",(F7/$O$23))</f>
        <v>1.430059697102775</v>
      </c>
      <c r="G30" s="75">
        <f>IF(G7="","",(G7/$O$23))</f>
        <v>1.5017364710493732</v>
      </c>
      <c r="H30" s="75">
        <f>IF(H7="","",(H7/$O$23))</f>
        <v>3.0673167386439859</v>
      </c>
      <c r="I30" s="10">
        <f>IF(I7="","",(I7/$O$23))</f>
        <v>0.10520946861631505</v>
      </c>
      <c r="J30" s="10">
        <f>IF(J7="","",(J7/$O$23))</f>
        <v>0.29352572870844423</v>
      </c>
      <c r="K30" s="10">
        <f>IF(K7="","",(K7/$O$23))</f>
        <v>2.9954369028686721E-2</v>
      </c>
      <c r="L30" s="10">
        <f>IF(L7="","",(L7/$O$23))</f>
        <v>0.22482880269012065</v>
      </c>
      <c r="M30" s="10">
        <f>IF(M7="","",(M7/$O$23))</f>
        <v>4.3929653232798273E-2</v>
      </c>
      <c r="N30" s="10" t="str">
        <f>IF(N7="","",(N7/$O$23))</f>
        <v/>
      </c>
      <c r="O30" s="75">
        <f t="shared" ref="O30:V30" si="10">IF(O7="","",(O7/$O$23))</f>
        <v>0.86194286289914668</v>
      </c>
      <c r="P30" s="75">
        <f t="shared" si="10"/>
        <v>1.2076260593272263</v>
      </c>
      <c r="Q30" s="75">
        <f t="shared" si="10"/>
        <v>0.39076745632496085</v>
      </c>
      <c r="R30" s="75">
        <f t="shared" si="10"/>
        <v>0.2760162040204156</v>
      </c>
      <c r="S30" s="75">
        <f t="shared" si="10"/>
        <v>0.21770205600041284</v>
      </c>
      <c r="T30" s="75">
        <f t="shared" si="10"/>
        <v>0.54086786611856297</v>
      </c>
      <c r="U30" s="75">
        <f t="shared" si="10"/>
        <v>1.3088577348285397</v>
      </c>
      <c r="V30" s="75">
        <f t="shared" si="10"/>
        <v>1.4680187537727794</v>
      </c>
    </row>
    <row r="31" spans="1:22">
      <c r="A31" s="145"/>
      <c r="B31" s="75">
        <f>IF(B8="","",(B8/$O$23))</f>
        <v>0.13869161487831366</v>
      </c>
      <c r="C31" s="75">
        <f>IF(C8="","",(C8/$O$23))</f>
        <v>0.15243923831483933</v>
      </c>
      <c r="D31" s="75">
        <f>IF(D8="","",(D8/$O$23))</f>
        <v>0.47160140231556685</v>
      </c>
      <c r="E31" s="75">
        <f>IF(E8="","",(E8/$O$23))</f>
        <v>0.95445715679688603</v>
      </c>
      <c r="F31" s="75">
        <f>IF(F8="","",(F8/$O$23))</f>
        <v>0.64566050330405655</v>
      </c>
      <c r="G31" s="75">
        <f>IF(G8="","",(G8/$O$23))</f>
        <v>1.1568241378389963</v>
      </c>
      <c r="H31" s="75">
        <f>IF(H8="","",(H8/$O$23))</f>
        <v>3.581721741590643</v>
      </c>
      <c r="I31" s="10">
        <f>IF(I8="","",(I8/$O$23))</f>
        <v>0.21368500104964516</v>
      </c>
      <c r="J31" s="10">
        <f>IF(J8="","",(J8/$O$23))</f>
        <v>6.8717859232970233E-2</v>
      </c>
      <c r="K31" s="10">
        <f>IF(K8="","",(K8/$O$23))</f>
        <v>0.14875643953342976</v>
      </c>
      <c r="L31" s="10">
        <f>IF(L8="","",(L8/$O$23))</f>
        <v>0.12576511366792831</v>
      </c>
      <c r="M31" s="10">
        <f>IF(M8="","",(M8/$O$23))</f>
        <v>0.38908942282828435</v>
      </c>
      <c r="N31" s="10" t="str">
        <f>IF(N8="","",(N8/$O$23))</f>
        <v/>
      </c>
      <c r="O31" s="75">
        <f t="shared" ref="O31:V31" si="11">IF(O8="","",(O8/$O$23))</f>
        <v>0.40716800296885075</v>
      </c>
      <c r="P31" s="75">
        <f t="shared" si="11"/>
        <v>1.454102699954811</v>
      </c>
      <c r="Q31" s="75">
        <f t="shared" si="11"/>
        <v>0.27116731907011693</v>
      </c>
      <c r="R31" s="75">
        <f t="shared" si="11"/>
        <v>0.11667141653284914</v>
      </c>
      <c r="S31" s="75">
        <f t="shared" si="11"/>
        <v>0.22350267871893284</v>
      </c>
      <c r="T31" s="75">
        <f t="shared" si="11"/>
        <v>0.63409118825433464</v>
      </c>
      <c r="U31" s="75">
        <f t="shared" si="11"/>
        <v>1.3265427319471779</v>
      </c>
      <c r="V31" s="75">
        <f t="shared" si="11"/>
        <v>0.4222786005516565</v>
      </c>
    </row>
    <row r="32" spans="1:22">
      <c r="A32" s="145"/>
      <c r="B32" s="75">
        <f>IF(B9="","",(B9/$O$23))</f>
        <v>0.23144630311199549</v>
      </c>
      <c r="C32" s="75">
        <f>IF(C9="","",(C9/$O$23))</f>
        <v>0.15370410610491822</v>
      </c>
      <c r="D32" s="75">
        <f>IF(D9="","",(D9/$O$23))</f>
        <v>0.50234438438451401</v>
      </c>
      <c r="E32" s="75">
        <f>IF(E9="","",(E9/$O$23))</f>
        <v>0.38712073598722802</v>
      </c>
      <c r="F32" s="75">
        <f>IF(F9="","",(F9/$O$23))</f>
        <v>1.2092051182698591</v>
      </c>
      <c r="G32" s="75">
        <f>IF(G9="","",(G9/$O$23))</f>
        <v>1.1076740109793144</v>
      </c>
      <c r="H32" s="75">
        <f>IF(H9="","",(H9/$O$23))</f>
        <v>1.9790377851337313</v>
      </c>
      <c r="I32" s="10">
        <f>IF(I9="","",(I9/$O$23))</f>
        <v>0.13454674191184629</v>
      </c>
      <c r="J32" s="10">
        <f>IF(J9="","",(J9/$O$23))</f>
        <v>0.17378484693669022</v>
      </c>
      <c r="K32" s="10">
        <f>IF(K9="","",(K9/$O$23))</f>
        <v>0.22952054383092887</v>
      </c>
      <c r="L32" s="10">
        <f>IF(L9="","",(L9/$O$23))</f>
        <v>0.1015984408565512</v>
      </c>
      <c r="M32" s="10">
        <f>IF(M9="","",(M9/$O$23))</f>
        <v>9.0774714820673161E-2</v>
      </c>
      <c r="N32" s="10" t="str">
        <f>IF(N9="","",(N9/$O$23))</f>
        <v/>
      </c>
      <c r="O32" s="75">
        <f t="shared" ref="O32:V32" si="12">IF(O9="","",(O9/$O$23))</f>
        <v>1.1958788601862214</v>
      </c>
      <c r="P32" s="75">
        <f t="shared" si="12"/>
        <v>1.131596816663379</v>
      </c>
      <c r="Q32" s="75">
        <f t="shared" si="12"/>
        <v>6.2454487064403812E-2</v>
      </c>
      <c r="R32" s="75">
        <f t="shared" si="12"/>
        <v>0.24335575878311896</v>
      </c>
      <c r="S32" s="75">
        <f t="shared" si="12"/>
        <v>0.18929549079202934</v>
      </c>
      <c r="T32" s="75">
        <f t="shared" si="12"/>
        <v>0.19455233226187069</v>
      </c>
      <c r="U32" s="75">
        <f t="shared" si="12"/>
        <v>0.97308009698469278</v>
      </c>
      <c r="V32" s="75">
        <f t="shared" si="12"/>
        <v>1.1459112768246229</v>
      </c>
    </row>
    <row r="33" spans="1:22">
      <c r="A33" s="145"/>
      <c r="B33" s="75">
        <f>IF(B10="","",(B10/$O$23))</f>
        <v>0.27722811174210271</v>
      </c>
      <c r="C33" s="75">
        <f>IF(C10="","",(C10/$O$23))</f>
        <v>0.55000506961219342</v>
      </c>
      <c r="D33" s="75">
        <f>IF(D10="","",(D10/$O$23))</f>
        <v>0.79987057581829168</v>
      </c>
      <c r="E33" s="75">
        <f>IF(E10="","",(E10/$O$23))</f>
        <v>0.85571180698360616</v>
      </c>
      <c r="F33" s="75">
        <f>IF(F10="","",(F10/$O$23))</f>
        <v>1.1338724596749685</v>
      </c>
      <c r="G33" s="75">
        <f>IF(G10="","",(G10/$O$23))</f>
        <v>1.2763232747448308</v>
      </c>
      <c r="H33" s="75">
        <f>IF(H10="","",(H10/$O$23))</f>
        <v>2.1251148696588147</v>
      </c>
      <c r="I33" s="10">
        <f>IF(I10="","",(I10/$O$23))</f>
        <v>0.3436921293759726</v>
      </c>
      <c r="J33" s="10">
        <f>IF(J10="","",(J10/$O$23))</f>
        <v>0.34132243159811354</v>
      </c>
      <c r="K33" s="10">
        <f>IF(K10="","",(K10/$O$23))</f>
        <v>0.40373495576679708</v>
      </c>
      <c r="L33" s="10">
        <f>IF(L10="","",(L10/$O$23))</f>
        <v>9.8603158299965642E-3</v>
      </c>
      <c r="M33" s="10">
        <f>IF(M10="","",(M10/$O$23))</f>
        <v>9.5165963041553406E-2</v>
      </c>
      <c r="N33" s="10" t="str">
        <f>IF(N10="","",(N10/$O$23))</f>
        <v/>
      </c>
      <c r="O33" s="75">
        <f t="shared" ref="O33:V33" si="13">IF(O10="","",(O10/$O$23))</f>
        <v>1.1942909263323098</v>
      </c>
      <c r="P33" s="75">
        <f t="shared" si="13"/>
        <v>0.95414036105080469</v>
      </c>
      <c r="Q33" s="75">
        <f t="shared" si="13"/>
        <v>0.18219170311193397</v>
      </c>
      <c r="R33" s="75">
        <f t="shared" si="13"/>
        <v>0.2258973613013702</v>
      </c>
      <c r="S33" s="75">
        <f t="shared" si="13"/>
        <v>0.23867607594567863</v>
      </c>
      <c r="T33" s="75">
        <f t="shared" si="13"/>
        <v>0.59527686024305215</v>
      </c>
      <c r="U33" s="75">
        <f t="shared" si="13"/>
        <v>0.82883693570222639</v>
      </c>
      <c r="V33" s="75">
        <f t="shared" si="13"/>
        <v>0.43741244654335559</v>
      </c>
    </row>
    <row r="34" spans="1:22">
      <c r="A34" s="145"/>
      <c r="B34" s="75">
        <f>IF(B11="","",(B11/$O$23))</f>
        <v>0.1104180768726848</v>
      </c>
      <c r="C34" s="75">
        <f>IF(C11="","",(C11/$O$23))</f>
        <v>0.44417474307207211</v>
      </c>
      <c r="D34" s="75">
        <f>IF(D11="","",(D11/$O$23))</f>
        <v>0.82521076271343252</v>
      </c>
      <c r="E34" s="75">
        <f>IF(E11="","",(E11/$O$23))</f>
        <v>0.92143544479068729</v>
      </c>
      <c r="F34" s="75">
        <f>IF(F11="","",(F11/$O$23))</f>
        <v>0.92881869570963693</v>
      </c>
      <c r="G34" s="75">
        <f>IF(G11="","",(G11/$O$23))</f>
        <v>1.1329810134235867</v>
      </c>
      <c r="H34" s="75">
        <f>IF(H11="","",(H11/$O$23))</f>
        <v>1.6260163876080844</v>
      </c>
      <c r="I34" s="10">
        <f>IF(I11="","",(I11/$O$23))</f>
        <v>6.0768446854291017E-2</v>
      </c>
      <c r="J34" s="10">
        <f>IF(J11="","",(J11/$O$23))</f>
        <v>0.34257215415916237</v>
      </c>
      <c r="K34" s="10">
        <f>IF(K11="","",(K11/$O$23))</f>
        <v>0.17136633714679789</v>
      </c>
      <c r="L34" s="10">
        <f>IF(L11="","",(L11/$O$23))</f>
        <v>9.434185035617787E-2</v>
      </c>
      <c r="M34" s="10">
        <f>IF(M11="","",(M11/$O$23))</f>
        <v>0.33564210251399168</v>
      </c>
      <c r="N34" s="10" t="str">
        <f>IF(N11="","",(N11/$O$23))</f>
        <v/>
      </c>
      <c r="O34" s="75">
        <f t="shared" ref="O34:V34" si="14">IF(O11="","",(O11/$O$23))</f>
        <v>0.61800261403517898</v>
      </c>
      <c r="P34" s="75">
        <f t="shared" si="14"/>
        <v>0.74363923442241897</v>
      </c>
      <c r="Q34" s="75">
        <f t="shared" si="14"/>
        <v>0.2168819949049689</v>
      </c>
      <c r="R34" s="75">
        <f t="shared" si="14"/>
        <v>6.8447174438967695E-2</v>
      </c>
      <c r="S34" s="75">
        <f t="shared" si="14"/>
        <v>0.10497910678877476</v>
      </c>
      <c r="T34" s="75">
        <f t="shared" si="14"/>
        <v>0.25600704127743545</v>
      </c>
      <c r="U34" s="75">
        <f t="shared" si="14"/>
        <v>0.62796161501993841</v>
      </c>
      <c r="V34" s="75">
        <f t="shared" si="14"/>
        <v>0.6160056625310284</v>
      </c>
    </row>
    <row r="35" spans="1:22">
      <c r="A35" s="145"/>
      <c r="B35" s="75">
        <f>IF(B12="","",(B12/$O$23))</f>
        <v>0.22528750055023544</v>
      </c>
      <c r="C35" s="75">
        <f>IF(C12="","",(C12/$O$23))</f>
        <v>0.95882698947098488</v>
      </c>
      <c r="D35" s="75">
        <f>IF(D12="","",(D12/$O$23))</f>
        <v>0.68628878600757859</v>
      </c>
      <c r="E35" s="75">
        <f>IF(E12="","",(E12/$O$23))</f>
        <v>0.41949014201443713</v>
      </c>
      <c r="F35" s="75">
        <f>IF(F12="","",(F12/$O$23))</f>
        <v>1.0766388321031564</v>
      </c>
      <c r="G35" s="75">
        <f>IF(G12="","",(G12/$O$23))</f>
        <v>1.2496670928533311</v>
      </c>
      <c r="H35" s="75">
        <f>IF(H12="","",(H12/$O$23))</f>
        <v>1.650273738860788</v>
      </c>
      <c r="I35" s="10">
        <f>IF(I12="","",(I12/$O$23))</f>
        <v>5.3711155991982264E-2</v>
      </c>
      <c r="J35" s="10" t="str">
        <f>IF(J12="","",(J12/$O$23))</f>
        <v/>
      </c>
      <c r="K35" s="10">
        <f>IF(K12="","",(K12/$O$23))</f>
        <v>0.25018616060925736</v>
      </c>
      <c r="L35" s="10">
        <f>IF(L12="","",(L12/$O$23))</f>
        <v>0.2576379991577637</v>
      </c>
      <c r="M35" s="10">
        <f>IF(M12="","",(M12/$O$23))</f>
        <v>1.3945572544613054E-2</v>
      </c>
      <c r="N35" s="10" t="str">
        <f>IF(N12="","",(N12/$O$23))</f>
        <v/>
      </c>
      <c r="O35" s="75">
        <f t="shared" ref="O35:V35" si="15">IF(O12="","",(O12/$O$23))</f>
        <v>0.89727947975270084</v>
      </c>
      <c r="P35" s="75">
        <f t="shared" si="15"/>
        <v>1.3975076801293624</v>
      </c>
      <c r="Q35" s="75">
        <f t="shared" si="15"/>
        <v>0.12119839301643842</v>
      </c>
      <c r="R35" s="75">
        <f t="shared" si="15"/>
        <v>5.2408762761822471E-2</v>
      </c>
      <c r="S35" s="75">
        <f t="shared" si="15"/>
        <v>9.4999076122941714E-2</v>
      </c>
      <c r="T35" s="75">
        <f t="shared" si="15"/>
        <v>0.44349504062783052</v>
      </c>
      <c r="U35" s="75">
        <f t="shared" si="15"/>
        <v>0.6586392893178451</v>
      </c>
      <c r="V35" s="75">
        <f t="shared" si="15"/>
        <v>1.0502096357142541</v>
      </c>
    </row>
    <row r="36" spans="1:22" s="1" customFormat="1">
      <c r="A36" s="145"/>
      <c r="B36" s="10" t="str">
        <f>IF(B13="","",(B13/$O$23))</f>
        <v/>
      </c>
      <c r="C36" s="10" t="str">
        <f>IF(C13="","",(C13/$O$23))</f>
        <v/>
      </c>
      <c r="D36" s="10" t="str">
        <f>IF(D13="","",(D13/$O$23))</f>
        <v/>
      </c>
      <c r="E36" s="10" t="str">
        <f>IF(E13="","",(E13/$O$23))</f>
        <v/>
      </c>
      <c r="F36" s="10" t="str">
        <f>IF(F13="","",(F13/$O$23))</f>
        <v/>
      </c>
      <c r="G36" s="10" t="str">
        <f>IF(G13="","",(G13/$O$23))</f>
        <v/>
      </c>
      <c r="H36" s="10">
        <f>IF(H13="","",(H13/$O$23))</f>
        <v>2.3337119419521959</v>
      </c>
      <c r="I36" s="10">
        <f>IF(I13="","",(I13/$O$23))</f>
        <v>0.26142681454238381</v>
      </c>
      <c r="J36" s="10" t="str">
        <f>IF(J13="","",(J13/$O$23))</f>
        <v/>
      </c>
      <c r="K36" s="10" t="str">
        <f>IF(K13="","",(K13/$O$23))</f>
        <v/>
      </c>
      <c r="L36" s="10" t="str">
        <f>IF(L13="","",(L13/$O$23))</f>
        <v/>
      </c>
      <c r="M36" s="10">
        <f>IF(M13="","",(M13/$O$23))</f>
        <v>0.17502907091140329</v>
      </c>
      <c r="N36" s="10" t="str">
        <f>IF(N13="","",(N13/$O$23))</f>
        <v/>
      </c>
      <c r="O36" s="10">
        <f t="shared" ref="O36:V36" si="16">IF(O13="","",(O13/$O$23))</f>
        <v>0.87130473670112785</v>
      </c>
      <c r="P36" s="10" t="str">
        <f t="shared" si="16"/>
        <v/>
      </c>
      <c r="Q36" s="10" t="str">
        <f t="shared" si="16"/>
        <v/>
      </c>
      <c r="R36" s="10" t="str">
        <f t="shared" si="16"/>
        <v/>
      </c>
      <c r="S36" s="10" t="str">
        <f t="shared" si="16"/>
        <v/>
      </c>
      <c r="T36" s="10" t="str">
        <f t="shared" si="16"/>
        <v/>
      </c>
      <c r="U36" s="10" t="str">
        <f t="shared" si="16"/>
        <v/>
      </c>
      <c r="V36" s="10" t="str">
        <f t="shared" si="16"/>
        <v/>
      </c>
    </row>
    <row r="37" spans="1:22" s="1" customFormat="1">
      <c r="A37" s="145"/>
      <c r="B37" s="10" t="str">
        <f>IF(B14="","",(B14/$O$23))</f>
        <v/>
      </c>
      <c r="C37" s="10" t="str">
        <f>IF(C14="","",(C14/$O$23))</f>
        <v/>
      </c>
      <c r="D37" s="10" t="str">
        <f>IF(D14="","",(D14/$O$23))</f>
        <v/>
      </c>
      <c r="E37" s="10" t="str">
        <f>IF(E14="","",(E14/$O$23))</f>
        <v/>
      </c>
      <c r="F37" s="10" t="str">
        <f>IF(F14="","",(F14/$O$23))</f>
        <v/>
      </c>
      <c r="G37" s="10" t="str">
        <f>IF(G14="","",(G14/$O$23))</f>
        <v/>
      </c>
      <c r="H37" s="10">
        <f>IF(H14="","",(H14/$O$23))</f>
        <v>1.5895355824645572</v>
      </c>
      <c r="I37" s="10" t="str">
        <f>IF(I14="","",(I14/$O$23))</f>
        <v/>
      </c>
      <c r="J37" s="10" t="str">
        <f>IF(J14="","",(J14/$O$23))</f>
        <v/>
      </c>
      <c r="K37" s="10" t="str">
        <f>IF(K14="","",(K14/$O$23))</f>
        <v/>
      </c>
      <c r="L37" s="10" t="str">
        <f>IF(L14="","",(L14/$O$23))</f>
        <v/>
      </c>
      <c r="M37" s="10" t="str">
        <f>IF(M14="","",(M14/$O$23))</f>
        <v/>
      </c>
      <c r="N37" s="10" t="str">
        <f>IF(N14="","",(N14/$O$23))</f>
        <v/>
      </c>
      <c r="O37" s="10">
        <f t="shared" ref="O37:V37" si="17">IF(O14="","",(O14/$O$23))</f>
        <v>1.2881919251173573</v>
      </c>
      <c r="P37" s="10" t="str">
        <f t="shared" si="17"/>
        <v/>
      </c>
      <c r="Q37" s="10" t="str">
        <f t="shared" si="17"/>
        <v/>
      </c>
      <c r="R37" s="10" t="str">
        <f t="shared" si="17"/>
        <v/>
      </c>
      <c r="S37" s="10" t="str">
        <f t="shared" si="17"/>
        <v/>
      </c>
      <c r="T37" s="10" t="str">
        <f t="shared" si="17"/>
        <v/>
      </c>
      <c r="U37" s="10" t="str">
        <f t="shared" si="17"/>
        <v/>
      </c>
      <c r="V37" s="10" t="str">
        <f t="shared" si="17"/>
        <v/>
      </c>
    </row>
    <row r="38" spans="1:22" s="1" customFormat="1">
      <c r="A38" s="145"/>
      <c r="B38" s="10" t="str">
        <f>IF(B15="","",(B15/$O$23))</f>
        <v/>
      </c>
      <c r="C38" s="10" t="str">
        <f>IF(C15="","",(C15/$O$23))</f>
        <v/>
      </c>
      <c r="D38" s="10" t="str">
        <f>IF(D15="","",(D15/$O$23))</f>
        <v/>
      </c>
      <c r="E38" s="10" t="str">
        <f>IF(E15="","",(E15/$O$23))</f>
        <v/>
      </c>
      <c r="F38" s="10" t="str">
        <f>IF(F15="","",(F15/$O$23))</f>
        <v/>
      </c>
      <c r="G38" s="10" t="str">
        <f>IF(G15="","",(G15/$O$23))</f>
        <v/>
      </c>
      <c r="H38" s="10">
        <f>IF(H15="","",(H15/$O$23))</f>
        <v>1.5815336923496208</v>
      </c>
      <c r="I38" s="10" t="str">
        <f>IF(I15="","",(I15/$O$23))</f>
        <v/>
      </c>
      <c r="J38" s="10" t="str">
        <f>IF(J15="","",(J15/$O$23))</f>
        <v/>
      </c>
      <c r="K38" s="10" t="str">
        <f>IF(K15="","",(K15/$O$23))</f>
        <v/>
      </c>
      <c r="L38" s="10" t="str">
        <f>IF(L15="","",(L15/$O$23))</f>
        <v/>
      </c>
      <c r="M38" s="10" t="str">
        <f>IF(M15="","",(M15/$O$23))</f>
        <v/>
      </c>
      <c r="N38" s="10" t="str">
        <f>IF(N15="","",(N15/$O$23))</f>
        <v/>
      </c>
      <c r="O38" s="10">
        <f t="shared" ref="O38:R38" si="18">IF(O15="","",(O15/$O$23))</f>
        <v>1.0975219806742416</v>
      </c>
      <c r="P38" s="10" t="str">
        <f t="shared" si="18"/>
        <v/>
      </c>
      <c r="Q38" s="10" t="str">
        <f t="shared" si="18"/>
        <v/>
      </c>
      <c r="R38" s="10" t="str">
        <f t="shared" si="18"/>
        <v/>
      </c>
      <c r="S38" s="10" t="str">
        <f t="shared" ref="S38:V38" si="19">IF(S15="","",(S15/$O$23))</f>
        <v/>
      </c>
      <c r="T38" s="10" t="str">
        <f t="shared" si="19"/>
        <v/>
      </c>
      <c r="U38" s="10" t="str">
        <f t="shared" si="19"/>
        <v/>
      </c>
      <c r="V38" s="10" t="str">
        <f t="shared" si="19"/>
        <v/>
      </c>
    </row>
    <row r="39" spans="1:22" s="1" customFormat="1">
      <c r="A39" s="145"/>
      <c r="B39" s="10" t="str">
        <f>IF(B16="","",(B16/$O$23))</f>
        <v/>
      </c>
      <c r="C39" s="10" t="str">
        <f>IF(C16="","",(C16/$O$23))</f>
        <v/>
      </c>
      <c r="D39" s="10" t="str">
        <f>IF(D16="","",(D16/$O$23))</f>
        <v/>
      </c>
      <c r="E39" s="10" t="str">
        <f>IF(E16="","",(E16/$O$23))</f>
        <v/>
      </c>
      <c r="F39" s="10" t="str">
        <f>IF(F16="","",(F16/$O$23))</f>
        <v/>
      </c>
      <c r="G39" s="10" t="str">
        <f>IF(G16="","",(G16/$O$23))</f>
        <v/>
      </c>
      <c r="H39" s="10">
        <f>IF(H16="","",(H16/$O$23))</f>
        <v>1.469847660761195</v>
      </c>
      <c r="I39" s="10" t="str">
        <f>IF(I16="","",(I16/$O$23))</f>
        <v/>
      </c>
      <c r="J39" s="10" t="str">
        <f>IF(J16="","",(J16/$O$23))</f>
        <v/>
      </c>
      <c r="K39" s="10" t="str">
        <f>IF(K16="","",(K16/$O$23))</f>
        <v/>
      </c>
      <c r="L39" s="10" t="str">
        <f>IF(L16="","",(L16/$O$23))</f>
        <v/>
      </c>
      <c r="M39" s="10" t="str">
        <f>IF(M16="","",(M16/$O$23))</f>
        <v/>
      </c>
      <c r="N39" s="10" t="str">
        <f>IF(N16="","",(N16/$O$23))</f>
        <v/>
      </c>
      <c r="O39" s="10">
        <f t="shared" ref="O39:R39" si="20">IF(O16="","",(O16/$O$23))</f>
        <v>0.80839261290730557</v>
      </c>
      <c r="P39" s="10" t="str">
        <f t="shared" si="20"/>
        <v/>
      </c>
      <c r="Q39" s="10" t="str">
        <f t="shared" si="20"/>
        <v/>
      </c>
      <c r="R39" s="10" t="str">
        <f t="shared" si="20"/>
        <v/>
      </c>
      <c r="S39" s="10" t="str">
        <f t="shared" ref="S39:V39" si="21">IF(S16="","",(S16/$O$23))</f>
        <v/>
      </c>
      <c r="T39" s="10" t="str">
        <f t="shared" si="21"/>
        <v/>
      </c>
      <c r="U39" s="10" t="str">
        <f t="shared" si="21"/>
        <v/>
      </c>
      <c r="V39" s="10" t="str">
        <f t="shared" si="21"/>
        <v/>
      </c>
    </row>
    <row r="40" spans="1:22" s="1" customFormat="1">
      <c r="A40" s="145"/>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R40" si="22">IF(O17="","",(O17/$O$23))</f>
        <v>0.93223254609272899</v>
      </c>
      <c r="P40" s="10" t="str">
        <f t="shared" si="22"/>
        <v/>
      </c>
      <c r="Q40" s="10" t="str">
        <f t="shared" si="22"/>
        <v/>
      </c>
      <c r="R40" s="10" t="str">
        <f t="shared" si="22"/>
        <v/>
      </c>
      <c r="S40" s="10" t="str">
        <f t="shared" ref="S40:V40" si="23">IF(S17="","",(S17/$O$23))</f>
        <v/>
      </c>
      <c r="T40" s="10" t="str">
        <f t="shared" si="23"/>
        <v/>
      </c>
      <c r="U40" s="10" t="str">
        <f t="shared" si="23"/>
        <v/>
      </c>
      <c r="V40" s="10" t="str">
        <f t="shared" si="23"/>
        <v/>
      </c>
    </row>
    <row r="41" spans="1:22" s="1" customFormat="1">
      <c r="A41" s="145"/>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R41" si="24">IF(O18="","",(O18/$O$23))</f>
        <v>1.2272760775626972</v>
      </c>
      <c r="P41" s="10" t="str">
        <f t="shared" si="24"/>
        <v/>
      </c>
      <c r="Q41" s="10" t="str">
        <f t="shared" si="24"/>
        <v/>
      </c>
      <c r="R41" s="10" t="str">
        <f t="shared" si="24"/>
        <v/>
      </c>
      <c r="S41" s="10" t="str">
        <f t="shared" ref="S41:V41" si="25">IF(S18="","",(S18/$O$23))</f>
        <v/>
      </c>
      <c r="T41" s="10" t="str">
        <f t="shared" si="25"/>
        <v/>
      </c>
      <c r="U41" s="10" t="str">
        <f t="shared" si="25"/>
        <v/>
      </c>
      <c r="V41" s="10" t="str">
        <f t="shared" si="25"/>
        <v/>
      </c>
    </row>
    <row r="42" spans="1:22" s="1" customFormat="1">
      <c r="A42" s="145"/>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R42" si="26">IF(O19="","",(O19/$O$23))</f>
        <v>1.0836236766788307</v>
      </c>
      <c r="P42" s="10" t="str">
        <f t="shared" si="26"/>
        <v/>
      </c>
      <c r="Q42" s="10" t="str">
        <f t="shared" si="26"/>
        <v/>
      </c>
      <c r="R42" s="10" t="str">
        <f t="shared" si="26"/>
        <v/>
      </c>
      <c r="S42" s="10" t="str">
        <f t="shared" ref="S42:V42" si="27">IF(S19="","",(S19/$O$23))</f>
        <v/>
      </c>
      <c r="T42" s="10" t="str">
        <f t="shared" si="27"/>
        <v/>
      </c>
      <c r="U42" s="10" t="str">
        <f t="shared" si="27"/>
        <v/>
      </c>
      <c r="V42" s="10" t="str">
        <f t="shared" si="27"/>
        <v/>
      </c>
    </row>
    <row r="43" spans="1:22" s="1" customFormat="1">
      <c r="A43" s="145"/>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R43" si="28">IF(O20="","",(O20/$O$23))</f>
        <v>1.0938184416110392</v>
      </c>
      <c r="P43" s="10" t="str">
        <f t="shared" si="28"/>
        <v/>
      </c>
      <c r="Q43" s="10" t="str">
        <f t="shared" si="28"/>
        <v/>
      </c>
      <c r="R43" s="10" t="str">
        <f t="shared" si="28"/>
        <v/>
      </c>
      <c r="S43" s="10" t="str">
        <f t="shared" ref="S43:V43" si="29">IF(S20="","",(S20/$O$23))</f>
        <v/>
      </c>
      <c r="T43" s="10" t="str">
        <f t="shared" si="29"/>
        <v/>
      </c>
      <c r="U43" s="10" t="str">
        <f t="shared" si="29"/>
        <v/>
      </c>
      <c r="V43" s="10" t="str">
        <f t="shared" si="29"/>
        <v/>
      </c>
    </row>
    <row r="44" spans="1:22">
      <c r="A44" s="6"/>
      <c r="B44" s="3"/>
      <c r="C44" s="3"/>
      <c r="D44" s="3"/>
      <c r="E44" s="3"/>
      <c r="F44" s="3"/>
      <c r="G44" s="3"/>
      <c r="H44" s="3"/>
      <c r="I44" s="3"/>
      <c r="J44" s="3"/>
      <c r="O44" s="3"/>
      <c r="P44" s="3"/>
      <c r="Q44" s="3"/>
      <c r="R44" s="3"/>
      <c r="S44" s="3"/>
      <c r="T44" s="3"/>
      <c r="U44" s="3"/>
      <c r="V44" s="3"/>
    </row>
    <row r="45" spans="1:22" s="50" customFormat="1">
      <c r="A45" s="51" t="str">
        <f t="shared" ref="A45:N45" si="30">A4</f>
        <v>Noms des groupes</v>
      </c>
      <c r="B45" s="51" t="str">
        <f t="shared" si="30"/>
        <v>Solvent control</v>
      </c>
      <c r="C45" s="51" t="str">
        <f t="shared" si="30"/>
        <v>EE2-33.8ng/L</v>
      </c>
      <c r="D45" s="51" t="str">
        <f t="shared" si="30"/>
        <v>EE2-50.6ng/L</v>
      </c>
      <c r="E45" s="51" t="str">
        <f t="shared" si="30"/>
        <v>EE2-76ng/L</v>
      </c>
      <c r="F45" s="51" t="str">
        <f t="shared" si="30"/>
        <v>EE2-114ng/L</v>
      </c>
      <c r="G45" s="51" t="str">
        <f t="shared" si="30"/>
        <v>EE2-170.9ng/L</v>
      </c>
      <c r="H45" s="51" t="str">
        <f t="shared" si="30"/>
        <v>EE2-488ng/L</v>
      </c>
      <c r="I45" s="51" t="str">
        <f t="shared" si="30"/>
        <v>anastrozole-20µg/L</v>
      </c>
      <c r="J45" s="51" t="str">
        <f t="shared" si="30"/>
        <v>anastrozole-4µg/L</v>
      </c>
      <c r="K45" s="51" t="str">
        <f t="shared" si="30"/>
        <v>anastrozole-0.8µg/L</v>
      </c>
      <c r="L45" s="51" t="str">
        <f t="shared" si="30"/>
        <v>anastrozole-0.16µg/L</v>
      </c>
      <c r="M45" s="51" t="str">
        <f t="shared" si="30"/>
        <v>anastrozole-0.032µg/L</v>
      </c>
      <c r="N45" s="51" t="str">
        <f t="shared" si="30"/>
        <v/>
      </c>
      <c r="O45" s="51" t="str">
        <f t="shared" ref="O45:V45" si="31">O4</f>
        <v>Testo -30µg/L</v>
      </c>
      <c r="P45" s="51" t="str">
        <f t="shared" si="31"/>
        <v>Testo 30µg/L + EE2 -64ng/L</v>
      </c>
      <c r="Q45" s="51" t="str">
        <f t="shared" si="31"/>
        <v>Testo 30µg/L + FAD-10mg/L</v>
      </c>
      <c r="R45" s="51" t="str">
        <f t="shared" si="31"/>
        <v>anastrozole-20µg/L + Testostérone</v>
      </c>
      <c r="S45" s="51" t="str">
        <f t="shared" si="31"/>
        <v>anastrozole-4µg/L + Testostérone</v>
      </c>
      <c r="T45" s="51" t="str">
        <f t="shared" si="31"/>
        <v>anastrozole-0.8µg/L + Testostérone</v>
      </c>
      <c r="U45" s="51" t="str">
        <f t="shared" si="31"/>
        <v>anastrozole-0.16µg/L + Testostérone</v>
      </c>
      <c r="V45" s="51" t="str">
        <f t="shared" si="31"/>
        <v>anastrozole-0.032µg/L + Testostérone</v>
      </c>
    </row>
    <row r="46" spans="1:22">
      <c r="A46" s="7" t="s">
        <v>0</v>
      </c>
      <c r="B46" s="9">
        <f t="shared" ref="B46:H46" si="32">AVERAGE(B28:B43)</f>
        <v>0.17544673436515715</v>
      </c>
      <c r="C46" s="9">
        <f t="shared" si="32"/>
        <v>0.44925198817155204</v>
      </c>
      <c r="D46" s="9">
        <f t="shared" si="32"/>
        <v>0.56059687829939675</v>
      </c>
      <c r="E46" s="9">
        <f t="shared" si="32"/>
        <v>0.72933426414592584</v>
      </c>
      <c r="F46" s="9">
        <f t="shared" si="32"/>
        <v>1.1721061080292667</v>
      </c>
      <c r="G46" s="9">
        <f t="shared" si="32"/>
        <v>1.2831195274558314</v>
      </c>
      <c r="H46" s="9">
        <f t="shared" si="32"/>
        <v>2.3983175338710057</v>
      </c>
      <c r="I46" s="9">
        <f>AVERAGE(I28:I43)</f>
        <v>0.14033561716326298</v>
      </c>
      <c r="J46" s="8">
        <f>AVERAGE(J28:J43)</f>
        <v>0.25541836179747379</v>
      </c>
      <c r="K46" s="8">
        <f>AVERAGE(K28:K43)</f>
        <v>0.17767328802373589</v>
      </c>
      <c r="L46" s="8">
        <f t="shared" ref="L46:N46" si="33">AVERAGE(L28:L43)</f>
        <v>0.12608486369833483</v>
      </c>
      <c r="M46" s="8">
        <f t="shared" si="33"/>
        <v>0.17087463705017669</v>
      </c>
      <c r="N46" s="8" t="e">
        <f t="shared" si="33"/>
        <v>#DIV/0!</v>
      </c>
      <c r="O46" s="9">
        <f>AVERAGE(O28:O43)</f>
        <v>1</v>
      </c>
      <c r="P46" s="9">
        <f>AVERAGE(P28:P43)</f>
        <v>1.2014077128634355</v>
      </c>
      <c r="Q46" s="9">
        <f>AVERAGE(Q28:Q43)</f>
        <v>0.19289282031916724</v>
      </c>
      <c r="R46" s="9">
        <f>AVERAGE(R28:R43)</f>
        <v>0.18147899709137441</v>
      </c>
      <c r="S46" s="9">
        <f t="shared" ref="S46:V46" si="34">AVERAGE(S28:S43)</f>
        <v>0.1863841943184012</v>
      </c>
      <c r="T46" s="9">
        <f t="shared" si="34"/>
        <v>0.46174420958614254</v>
      </c>
      <c r="U46" s="9">
        <f t="shared" si="34"/>
        <v>0.89054946330210027</v>
      </c>
      <c r="V46" s="9">
        <f t="shared" si="34"/>
        <v>0.84852028308820604</v>
      </c>
    </row>
    <row r="47" spans="1:22">
      <c r="A47" s="7" t="s">
        <v>1</v>
      </c>
      <c r="B47" s="7">
        <f t="shared" ref="B47:K47" si="35">STDEV(B28:B43)</f>
        <v>6.7268606126249075E-2</v>
      </c>
      <c r="C47" s="7">
        <f t="shared" si="35"/>
        <v>0.29669462665028401</v>
      </c>
      <c r="D47" s="7">
        <f t="shared" si="35"/>
        <v>0.22395921449168071</v>
      </c>
      <c r="E47" s="7">
        <f t="shared" si="35"/>
        <v>0.24754226606866361</v>
      </c>
      <c r="F47" s="7">
        <f t="shared" si="35"/>
        <v>0.29296256579816726</v>
      </c>
      <c r="G47" s="7">
        <f t="shared" si="35"/>
        <v>0.34881578920294826</v>
      </c>
      <c r="H47" s="7">
        <f t="shared" si="35"/>
        <v>0.94774649643132758</v>
      </c>
      <c r="I47" s="7">
        <f>STDEV(I28:I43)</f>
        <v>0.10886477963507828</v>
      </c>
      <c r="J47" s="7">
        <f t="shared" si="35"/>
        <v>0.1333806500178317</v>
      </c>
      <c r="K47" s="7">
        <f t="shared" si="35"/>
        <v>0.12317761733390059</v>
      </c>
      <c r="L47" s="7">
        <f t="shared" ref="L47:N47" si="36">STDEV(L28:L43)</f>
        <v>7.9338157399616929E-2</v>
      </c>
      <c r="M47" s="7">
        <f t="shared" si="36"/>
        <v>0.12747337572797526</v>
      </c>
      <c r="N47" s="7" t="e">
        <f t="shared" si="36"/>
        <v>#DIV/0!</v>
      </c>
      <c r="O47" s="7">
        <f>STDEV(O28:O43)</f>
        <v>0.25795302532478875</v>
      </c>
      <c r="P47" s="7">
        <f>STDEV(P28:P43)</f>
        <v>0.24766247456506865</v>
      </c>
      <c r="Q47" s="7">
        <f>STDEV(Q28:Q43)</f>
        <v>0.10167575925724706</v>
      </c>
      <c r="R47" s="7">
        <f>STDEV(R28:R43)</f>
        <v>9.7127287437078699E-2</v>
      </c>
      <c r="S47" s="7">
        <f t="shared" ref="S47:V47" si="37">STDEV(S28:S43)</f>
        <v>5.7329609837522229E-2</v>
      </c>
      <c r="T47" s="7">
        <f t="shared" si="37"/>
        <v>0.15931780170797663</v>
      </c>
      <c r="U47" s="7">
        <f t="shared" si="37"/>
        <v>0.34279426618513503</v>
      </c>
      <c r="V47" s="7">
        <f t="shared" si="37"/>
        <v>0.38032168321573651</v>
      </c>
    </row>
    <row r="48" spans="1:22">
      <c r="A48" s="7" t="s">
        <v>2</v>
      </c>
      <c r="B48" s="7">
        <f t="shared" ref="B48:K48" si="38" xml:space="preserve"> B47/SQRT(COUNT(B28:B43))</f>
        <v>2.3783043776418825E-2</v>
      </c>
      <c r="C48" s="7">
        <f t="shared" si="38"/>
        <v>0.10489739122301339</v>
      </c>
      <c r="D48" s="7">
        <f t="shared" si="38"/>
        <v>7.9181539638139967E-2</v>
      </c>
      <c r="E48" s="7">
        <f t="shared" si="38"/>
        <v>8.7519407483718323E-2</v>
      </c>
      <c r="F48" s="7">
        <f t="shared" si="38"/>
        <v>0.10357790845484709</v>
      </c>
      <c r="G48" s="7">
        <f t="shared" si="38"/>
        <v>0.123325004965171</v>
      </c>
      <c r="H48" s="7">
        <f t="shared" si="38"/>
        <v>0.27359084741907586</v>
      </c>
      <c r="I48" s="7">
        <f xml:space="preserve"> I47/SQRT(COUNT(I28:I43))</f>
        <v>3.6288259878359423E-2</v>
      </c>
      <c r="J48" s="7">
        <f t="shared" si="38"/>
        <v>5.0413147093617931E-2</v>
      </c>
      <c r="K48" s="7">
        <f t="shared" si="38"/>
        <v>4.3549864253601363E-2</v>
      </c>
      <c r="L48" s="7">
        <f t="shared" ref="L48:N48" si="39" xml:space="preserve"> L47/SQRT(COUNT(L28:L43))</f>
        <v>2.8050274552057396E-2</v>
      </c>
      <c r="M48" s="7">
        <f t="shared" si="39"/>
        <v>4.2491125242658419E-2</v>
      </c>
      <c r="N48" s="7" t="e">
        <f t="shared" si="39"/>
        <v>#DIV/0!</v>
      </c>
      <c r="O48" s="7">
        <f xml:space="preserve"> O47/SQRT(COUNT(O28:O43))</f>
        <v>6.4488256331197188E-2</v>
      </c>
      <c r="P48" s="7">
        <f xml:space="preserve"> P47/SQRT(COUNT(P28:P43))</f>
        <v>8.756190760520044E-2</v>
      </c>
      <c r="Q48" s="7">
        <f xml:space="preserve"> Q47/SQRT(COUNT(Q28:Q43))</f>
        <v>3.5947809426545137E-2</v>
      </c>
      <c r="R48" s="7">
        <f xml:space="preserve"> R47/SQRT(COUNT(R28:R43))</f>
        <v>3.4339681792506654E-2</v>
      </c>
      <c r="S48" s="7">
        <f t="shared" ref="S48:V48" si="40" xml:space="preserve"> S47/SQRT(COUNT(S28:S43))</f>
        <v>2.0269077939445487E-2</v>
      </c>
      <c r="T48" s="7">
        <f t="shared" si="40"/>
        <v>5.6327348975721996E-2</v>
      </c>
      <c r="U48" s="7">
        <f t="shared" si="40"/>
        <v>0.12119607508568769</v>
      </c>
      <c r="V48" s="7">
        <f t="shared" si="40"/>
        <v>0.13446402061706461</v>
      </c>
    </row>
    <row r="49" spans="1:22" s="1" customFormat="1"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19</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c r="A51"/>
      <c r="B51"/>
      <c r="C51"/>
      <c r="D51"/>
      <c r="E51"/>
      <c r="F51"/>
      <c r="G51"/>
      <c r="H51"/>
      <c r="I51"/>
      <c r="J51"/>
      <c r="K51"/>
      <c r="L51"/>
      <c r="M51"/>
      <c r="N51"/>
      <c r="S51"/>
      <c r="T51"/>
      <c r="U51"/>
      <c r="V51"/>
    </row>
    <row r="52" spans="1:22">
      <c r="A52" s="28" t="str">
        <f t="shared" ref="A52:H52" si="41">A27</f>
        <v>Noms des groupes</v>
      </c>
      <c r="B52" s="29" t="str">
        <f t="shared" si="41"/>
        <v>Solvent control</v>
      </c>
      <c r="C52" s="29" t="str">
        <f t="shared" si="41"/>
        <v>EE2-33.8ng/L</v>
      </c>
      <c r="D52" s="29" t="str">
        <f t="shared" si="41"/>
        <v>EE2-50.6ng/L</v>
      </c>
      <c r="E52" s="29" t="str">
        <f t="shared" si="41"/>
        <v>EE2-76ng/L</v>
      </c>
      <c r="F52" s="29" t="str">
        <f t="shared" si="41"/>
        <v>EE2-114ng/L</v>
      </c>
      <c r="G52" s="29" t="str">
        <f t="shared" si="41"/>
        <v>EE2-170.9ng/L</v>
      </c>
      <c r="H52" s="29" t="str">
        <f t="shared" si="41"/>
        <v>EE2-488ng/L</v>
      </c>
      <c r="I52" s="29" t="str">
        <f>I4</f>
        <v>anastrozole-20µg/L</v>
      </c>
      <c r="J52" s="29" t="str">
        <f>J4</f>
        <v>anastrozole-4µg/L</v>
      </c>
      <c r="K52" s="29" t="str">
        <f>K27</f>
        <v>anastrozole-0.8µg/L</v>
      </c>
      <c r="L52" s="29" t="str">
        <f t="shared" ref="L52:N52" si="42">L27</f>
        <v>anastrozole-0.16µg/L</v>
      </c>
      <c r="M52" s="29" t="str">
        <f t="shared" si="42"/>
        <v>anastrozole-0.032µg/L</v>
      </c>
      <c r="N52" s="29" t="str">
        <f t="shared" si="42"/>
        <v/>
      </c>
      <c r="O52" s="29" t="str">
        <f>O27</f>
        <v>Testo -30µg/L</v>
      </c>
      <c r="P52" s="29" t="str">
        <f>P27</f>
        <v>Testo 30µg/L + EE2 -64ng/L</v>
      </c>
      <c r="Q52" s="29" t="str">
        <f>Q27</f>
        <v>Testo 30µg/L + FAD-10mg/L</v>
      </c>
      <c r="R52" s="29" t="str">
        <f>R27</f>
        <v>anastrozole-20µg/L + Testostérone</v>
      </c>
      <c r="S52" s="29" t="str">
        <f t="shared" ref="S52:V52" si="43">S27</f>
        <v>anastrozole-4µg/L + Testostérone</v>
      </c>
      <c r="T52" s="29" t="str">
        <f t="shared" si="43"/>
        <v>anastrozole-0.8µg/L + Testostérone</v>
      </c>
      <c r="U52" s="29" t="str">
        <f t="shared" si="43"/>
        <v>anastrozole-0.16µg/L + Testostérone</v>
      </c>
      <c r="V52" s="29" t="str">
        <f t="shared" si="43"/>
        <v>anastrozole-0.032µg/L + Testostérone</v>
      </c>
    </row>
    <row r="53" spans="1:22" s="3" customFormat="1">
      <c r="A53" s="43" t="s">
        <v>15</v>
      </c>
      <c r="B53" s="75">
        <f t="shared" ref="B53:N53" si="44">B46</f>
        <v>0.17544673436515715</v>
      </c>
      <c r="C53" s="75">
        <f t="shared" si="44"/>
        <v>0.44925198817155204</v>
      </c>
      <c r="D53" s="75">
        <f t="shared" si="44"/>
        <v>0.56059687829939675</v>
      </c>
      <c r="E53" s="75">
        <f t="shared" si="44"/>
        <v>0.72933426414592584</v>
      </c>
      <c r="F53" s="75">
        <f t="shared" si="44"/>
        <v>1.1721061080292667</v>
      </c>
      <c r="G53" s="75">
        <f t="shared" si="44"/>
        <v>1.2831195274558314</v>
      </c>
      <c r="H53" s="75">
        <f t="shared" si="44"/>
        <v>2.3983175338710057</v>
      </c>
      <c r="I53" s="75">
        <f t="shared" si="44"/>
        <v>0.14033561716326298</v>
      </c>
      <c r="J53" s="75">
        <f t="shared" si="44"/>
        <v>0.25541836179747379</v>
      </c>
      <c r="K53" s="75">
        <f t="shared" si="44"/>
        <v>0.17767328802373589</v>
      </c>
      <c r="L53" s="75">
        <f t="shared" si="44"/>
        <v>0.12608486369833483</v>
      </c>
      <c r="M53" s="75">
        <f t="shared" si="44"/>
        <v>0.17087463705017669</v>
      </c>
      <c r="N53" s="75" t="e">
        <f t="shared" si="44"/>
        <v>#DIV/0!</v>
      </c>
      <c r="O53" s="75">
        <f t="shared" ref="O53:V53" si="45">O46</f>
        <v>1</v>
      </c>
      <c r="P53" s="75">
        <f t="shared" si="45"/>
        <v>1.2014077128634355</v>
      </c>
      <c r="Q53" s="75">
        <f t="shared" si="45"/>
        <v>0.19289282031916724</v>
      </c>
      <c r="R53" s="75">
        <f t="shared" si="45"/>
        <v>0.18147899709137441</v>
      </c>
      <c r="S53" s="75">
        <f t="shared" si="45"/>
        <v>0.1863841943184012</v>
      </c>
      <c r="T53" s="75">
        <f t="shared" si="45"/>
        <v>0.46174420958614254</v>
      </c>
      <c r="U53" s="75">
        <f t="shared" si="45"/>
        <v>0.89054946330210027</v>
      </c>
      <c r="V53" s="75">
        <f t="shared" si="45"/>
        <v>0.84852028308820604</v>
      </c>
    </row>
    <row r="54" spans="1:22" s="3" customFormat="1">
      <c r="A54" s="43" t="s">
        <v>2</v>
      </c>
      <c r="B54" s="75">
        <f t="shared" ref="B54:N54" si="46">B48</f>
        <v>2.3783043776418825E-2</v>
      </c>
      <c r="C54" s="75">
        <f t="shared" si="46"/>
        <v>0.10489739122301339</v>
      </c>
      <c r="D54" s="75">
        <f t="shared" si="46"/>
        <v>7.9181539638139967E-2</v>
      </c>
      <c r="E54" s="75">
        <f t="shared" si="46"/>
        <v>8.7519407483718323E-2</v>
      </c>
      <c r="F54" s="75">
        <f t="shared" si="46"/>
        <v>0.10357790845484709</v>
      </c>
      <c r="G54" s="75">
        <f t="shared" si="46"/>
        <v>0.123325004965171</v>
      </c>
      <c r="H54" s="75">
        <f t="shared" si="46"/>
        <v>0.27359084741907586</v>
      </c>
      <c r="I54" s="75">
        <f t="shared" si="46"/>
        <v>3.6288259878359423E-2</v>
      </c>
      <c r="J54" s="75">
        <f t="shared" si="46"/>
        <v>5.0413147093617931E-2</v>
      </c>
      <c r="K54" s="75">
        <f t="shared" si="46"/>
        <v>4.3549864253601363E-2</v>
      </c>
      <c r="L54" s="75">
        <f t="shared" si="46"/>
        <v>2.8050274552057396E-2</v>
      </c>
      <c r="M54" s="75">
        <f t="shared" si="46"/>
        <v>4.2491125242658419E-2</v>
      </c>
      <c r="N54" s="75" t="e">
        <f t="shared" si="46"/>
        <v>#DIV/0!</v>
      </c>
      <c r="O54" s="75">
        <f t="shared" ref="O54:V54" si="47">O48</f>
        <v>6.4488256331197188E-2</v>
      </c>
      <c r="P54" s="75">
        <f t="shared" si="47"/>
        <v>8.756190760520044E-2</v>
      </c>
      <c r="Q54" s="75">
        <f t="shared" si="47"/>
        <v>3.5947809426545137E-2</v>
      </c>
      <c r="R54" s="75">
        <f t="shared" si="47"/>
        <v>3.4339681792506654E-2</v>
      </c>
      <c r="S54" s="75">
        <f t="shared" si="47"/>
        <v>2.0269077939445487E-2</v>
      </c>
      <c r="T54" s="75">
        <f t="shared" si="47"/>
        <v>5.6327348975721996E-2</v>
      </c>
      <c r="U54" s="75">
        <f t="shared" si="47"/>
        <v>0.12119607508568769</v>
      </c>
      <c r="V54" s="75">
        <f t="shared" si="47"/>
        <v>0.13446402061706461</v>
      </c>
    </row>
    <row r="55" spans="1:22" s="3" customFormat="1">
      <c r="A55" s="43" t="s">
        <v>42</v>
      </c>
      <c r="B55" s="75">
        <f t="shared" ref="B55:N55" si="48">(B53*100/$B$53)-100</f>
        <v>0</v>
      </c>
      <c r="C55" s="75">
        <f t="shared" si="48"/>
        <v>156.06175560755906</v>
      </c>
      <c r="D55" s="75">
        <f t="shared" si="48"/>
        <v>219.52539916338765</v>
      </c>
      <c r="E55" s="75">
        <f t="shared" si="48"/>
        <v>315.70124789439689</v>
      </c>
      <c r="F55" s="75">
        <f t="shared" si="48"/>
        <v>568.0694925844349</v>
      </c>
      <c r="G55" s="75">
        <f t="shared" si="48"/>
        <v>631.34420660419687</v>
      </c>
      <c r="H55" s="75">
        <f t="shared" si="48"/>
        <v>1266.9775858463056</v>
      </c>
      <c r="I55" s="75">
        <f t="shared" si="48"/>
        <v>-20.012408511871996</v>
      </c>
      <c r="J55" s="75">
        <f t="shared" si="48"/>
        <v>45.581713288474077</v>
      </c>
      <c r="K55" s="75">
        <f t="shared" si="48"/>
        <v>1.269076718147744</v>
      </c>
      <c r="L55" s="75">
        <f t="shared" si="48"/>
        <v>-28.134961215114728</v>
      </c>
      <c r="M55" s="75">
        <f t="shared" si="48"/>
        <v>-2.6059745891106445</v>
      </c>
      <c r="N55" s="75" t="e">
        <f t="shared" si="48"/>
        <v>#DIV/0!</v>
      </c>
      <c r="O55" s="75">
        <f>(O53*100/$O$53)-100</f>
        <v>0</v>
      </c>
      <c r="P55" s="75">
        <f t="shared" ref="P55:V55" si="49">(P53*100/$O$53)-100</f>
        <v>20.140771286343551</v>
      </c>
      <c r="Q55" s="75">
        <f t="shared" si="49"/>
        <v>-80.710717968083273</v>
      </c>
      <c r="R55" s="75">
        <f t="shared" si="49"/>
        <v>-81.852100290862552</v>
      </c>
      <c r="S55" s="75">
        <f t="shared" si="49"/>
        <v>-81.36158056815988</v>
      </c>
      <c r="T55" s="75">
        <f t="shared" si="49"/>
        <v>-53.825579041385744</v>
      </c>
      <c r="U55" s="75">
        <f t="shared" si="49"/>
        <v>-10.945053669789971</v>
      </c>
      <c r="V55" s="75">
        <f t="shared" si="49"/>
        <v>-15.147971691179393</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t="shared" ref="B57:N57" ca="1" si="50">IF(B56&gt;0.05,"Oui","Non")</f>
        <v>#NAME?</v>
      </c>
      <c r="C57" s="75" t="e">
        <f t="shared" ca="1" si="50"/>
        <v>#NAME?</v>
      </c>
      <c r="D57" s="75" t="e">
        <f t="shared" ca="1" si="50"/>
        <v>#NAME?</v>
      </c>
      <c r="E57" s="75" t="e">
        <f t="shared" ca="1" si="50"/>
        <v>#NAME?</v>
      </c>
      <c r="F57" s="75" t="e">
        <f t="shared" ca="1" si="50"/>
        <v>#NAME?</v>
      </c>
      <c r="G57" s="75" t="e">
        <f t="shared" ca="1" si="50"/>
        <v>#NAME?</v>
      </c>
      <c r="H57" s="75" t="e">
        <f t="shared" ca="1" si="50"/>
        <v>#NAME?</v>
      </c>
      <c r="I57" s="75" t="e">
        <f t="shared" ca="1" si="50"/>
        <v>#NAME?</v>
      </c>
      <c r="J57" s="75" t="e">
        <f t="shared" ca="1" si="50"/>
        <v>#NAME?</v>
      </c>
      <c r="K57" s="75" t="e">
        <f t="shared" ca="1" si="50"/>
        <v>#NAME?</v>
      </c>
      <c r="L57" s="75" t="e">
        <f t="shared" ca="1" si="50"/>
        <v>#NAME?</v>
      </c>
      <c r="M57" s="75" t="e">
        <f t="shared" ca="1" si="50"/>
        <v>#NAME?</v>
      </c>
      <c r="N57" s="75" t="e">
        <f t="shared" ca="1" si="50"/>
        <v>#NAME?</v>
      </c>
      <c r="O57" s="75" t="e">
        <f t="shared" ref="O57:V57" ca="1" si="51">IF(O56&gt;0.05,"Oui","Non")</f>
        <v>#NAME?</v>
      </c>
      <c r="P57" s="75" t="e">
        <f t="shared" ca="1" si="51"/>
        <v>#NAME?</v>
      </c>
      <c r="Q57" s="75" t="e">
        <f t="shared" ca="1" si="51"/>
        <v>#NAME?</v>
      </c>
      <c r="R57" s="75" t="e">
        <f t="shared" ca="1" si="51"/>
        <v>#NAME?</v>
      </c>
      <c r="S57" s="75" t="e">
        <f t="shared" ca="1" si="51"/>
        <v>#NAME?</v>
      </c>
      <c r="T57" s="75" t="e">
        <f t="shared" ca="1" si="51"/>
        <v>#NAME?</v>
      </c>
      <c r="U57" s="75" t="e">
        <f t="shared" ca="1" si="51"/>
        <v>#NAME?</v>
      </c>
      <c r="V57" s="75" t="e">
        <f t="shared" ca="1" si="51"/>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N59" ca="1" si="52">IF($B57="Non",IF(C$57="Non","Mann Withney",IF(C$57="Oui","Mann Withney","")),IF($B$57="Oui",IF(C$57="Oui","T-Test Welch",IF(C$57="Non","Mann Withney",""))))</f>
        <v>#NAME?</v>
      </c>
      <c r="D59" s="78" t="e">
        <f t="shared" ca="1" si="52"/>
        <v>#NAME?</v>
      </c>
      <c r="E59" s="78" t="e">
        <f t="shared" ca="1" si="52"/>
        <v>#NAME?</v>
      </c>
      <c r="F59" s="78" t="e">
        <f t="shared" ca="1" si="52"/>
        <v>#NAME?</v>
      </c>
      <c r="G59" s="78" t="e">
        <f t="shared" ca="1" si="52"/>
        <v>#NAME?</v>
      </c>
      <c r="H59" s="78" t="e">
        <f t="shared" ca="1" si="52"/>
        <v>#NAME?</v>
      </c>
      <c r="I59" s="78" t="e">
        <f t="shared" ca="1" si="52"/>
        <v>#NAME?</v>
      </c>
      <c r="J59" s="78" t="e">
        <f t="shared" ca="1" si="52"/>
        <v>#NAME?</v>
      </c>
      <c r="K59" s="78" t="e">
        <f t="shared" ca="1" si="52"/>
        <v>#NAME?</v>
      </c>
      <c r="L59" s="78" t="e">
        <f t="shared" ca="1" si="52"/>
        <v>#NAME?</v>
      </c>
      <c r="M59" s="78" t="e">
        <f t="shared" ca="1" si="52"/>
        <v>#NAME?</v>
      </c>
      <c r="N59" s="78" t="e">
        <f t="shared" ca="1" si="52"/>
        <v>#NAME?</v>
      </c>
      <c r="O59" s="78" t="e">
        <f ca="1">IF($B57="Non",IF(O$57="Non","Mann Withney",IF(O$57="Oui","Mann Withney","")),IF($B$57="Oui",IF(O$57="Oui","T-Test Welch",IF(O$57="Non","Mann Withney",""))))</f>
        <v>#NAME?</v>
      </c>
      <c r="P59" s="78" t="e">
        <f ca="1">IF($O57="Non",IF(P$57="Non","Mann Withney",IF(P$57="Oui","Mann Withney","")),IF($O$57="Oui",IF(P$57="Oui","T-Test Welch",IF(P$57="Non","Mann Withney",""))))</f>
        <v>#NAME?</v>
      </c>
      <c r="Q59" s="78" t="e">
        <f t="shared" ref="Q59:V59" ca="1" si="53">IF($O57="Non",IF(Q$57="Non","Mann Withney",IF(Q$57="Oui","Mann Withney","")),IF($O$57="Oui",IF(Q$57="Oui","T-Test Welch",IF(Q$57="Non","Mann Withney",""))))</f>
        <v>#NAME?</v>
      </c>
      <c r="R59" s="78" t="e">
        <f t="shared" ca="1" si="53"/>
        <v>#NAME?</v>
      </c>
      <c r="S59" s="78" t="e">
        <f t="shared" ca="1" si="53"/>
        <v>#NAME?</v>
      </c>
      <c r="T59" s="78" t="e">
        <f t="shared" ca="1" si="53"/>
        <v>#NAME?</v>
      </c>
      <c r="U59" s="78" t="e">
        <f t="shared" ca="1" si="53"/>
        <v>#NAME?</v>
      </c>
      <c r="V59" s="78" t="e">
        <f t="shared" ca="1" si="53"/>
        <v>#NAME?</v>
      </c>
    </row>
    <row r="60" spans="1:22" s="3" customFormat="1">
      <c r="A60" s="43" t="s">
        <v>45</v>
      </c>
      <c r="B60" s="79"/>
      <c r="C60" s="79" t="e">
        <f ca="1">IF(C59="Mann Withney",[1]!MTEST($B28:$B43,C28:C43,2), IF(C59="T-Test Welch",_xlfn.T.TEST($B28:$B43,C28:C43,2,3),""))</f>
        <v>#NAME?</v>
      </c>
      <c r="D60" s="79" t="e">
        <f ca="1">IF(D59="Mann Withney",[1]!MTEST($B28:$B43,D28:D43,2), IF(D59="T-Test Welch",_xlfn.T.TEST($B28:$B43,D28:D43,2,3),""))</f>
        <v>#NAME?</v>
      </c>
      <c r="E60" s="79" t="e">
        <f ca="1">IF(E59="Mann Withney",[1]!MTEST($B28:$B43,E28:E43,2), IF(E59="T-Test Welch",_xlfn.T.TEST($B28:$B43,E28:E43,2,3),""))</f>
        <v>#NAME?</v>
      </c>
      <c r="F60" s="79" t="e">
        <f ca="1">IF(F59="Mann Withney",[1]!MTEST($B28:$B43,F28:F43,2), IF(F59="T-Test Welch",_xlfn.T.TEST($B28:$B43,F28:F43,2,3),""))</f>
        <v>#NAME?</v>
      </c>
      <c r="G60" s="79" t="e">
        <f ca="1">IF(G59="Mann Withney",[1]!MTEST($B28:$B43,G28:G43,2), IF(G59="T-Test Welch",_xlfn.T.TEST($B28:$B43,G28:G43,2,3),""))</f>
        <v>#NAME?</v>
      </c>
      <c r="H60" s="79" t="e">
        <f ca="1">IF(H59="Mann Withney",[1]!MTEST($B28:$B43,H28:H43,2), IF(H59="T-Test Welch",_xlfn.T.TEST($B28:$B43,H28:H43,2,3),""))</f>
        <v>#NAME?</v>
      </c>
      <c r="I60" s="79" t="e">
        <f ca="1">IF(I59="Mann Withney",[1]!MTEST($B28:$B43,I28:I43,2), IF(I59="T-Test Welch",_xlfn.T.TEST($B28:$B43,I28:I43,2,3),""))</f>
        <v>#NAME?</v>
      </c>
      <c r="J60" s="79" t="e">
        <f ca="1">IF(J59="Mann Withney",[1]!MTEST($B28:$B43,J28:J43,2), IF(J59="T-Test Welch",_xlfn.T.TEST($B28:$B43,J28:J43,2,3),""))</f>
        <v>#NAME?</v>
      </c>
      <c r="K60" s="79" t="e">
        <f ca="1">IF(K59="Mann Withney",[1]!MTEST($B28:$B43,K28:K43,2), IF(K59="T-Test Welch",_xlfn.T.TEST($B28:$B43,K28:K43,2,3),""))</f>
        <v>#NAME?</v>
      </c>
      <c r="L60" s="79" t="e">
        <f ca="1">IF(L59="Mann Withney",[1]!MTEST($B28:$B43,L28:L43,2), IF(L59="T-Test Welch",_xlfn.T.TEST($B28:$B43,L28:L43,2,3),""))</f>
        <v>#NAME?</v>
      </c>
      <c r="M60" s="79" t="e">
        <f ca="1">IF(M59="Mann Withney",[1]!MTEST($B28:$B43,M28:M43,2), IF(M59="T-Test Welch",_xlfn.T.TEST($B28:$B43,M28:M43,2,3),""))</f>
        <v>#NAME?</v>
      </c>
      <c r="N60" s="79" t="e">
        <f ca="1">IF(N59="Mann Withney",[1]!MTEST($B28:$B43,N28:N43,2), IF(N59="T-Test Welch",_xlfn.T.TEST($B28:$B43,N28:N43,2,3),""))</f>
        <v>#NAME?</v>
      </c>
      <c r="O60" s="79" t="e">
        <f ca="1">IF(O59="Mann Withney",[1]!MTEST($B28:$B43,O28:O43,2), IF(O59="T-Test Welch",_xlfn.T.TEST($B28:$B43,O28:O43,2,3),""))</f>
        <v>#NAME?</v>
      </c>
      <c r="P60" s="79" t="e">
        <f ca="1">IF(P59="Mann Withney",[1]!MTEST($O28:$O43,P28:P43,2), IF(P59="T-Test Welch",_xlfn.T.TEST($O28:$O43,P28:P43,2,3),""))</f>
        <v>#NAME?</v>
      </c>
      <c r="Q60" s="79" t="e">
        <f ca="1">IF(Q59="Mann Withney",[1]!MTEST($O28:$O43,Q28:Q43,2), IF(Q59="T-Test Welch",_xlfn.T.TEST($O28:$O43,Q28:Q43,2,3),""))</f>
        <v>#NAME?</v>
      </c>
      <c r="R60" s="79" t="e">
        <f ca="1">IF(R59="Mann Withney",[1]!MTEST($O28:$O43,R28:R43,2), IF(R59="T-Test Welch",_xlfn.T.TEST($O28:$O43,R28:R43,2,3),""))</f>
        <v>#NAME?</v>
      </c>
      <c r="S60" s="79" t="e">
        <f ca="1">IF(S59="Mann Withney",[1]!MTEST($O28:$O43,S28:S43,2), IF(S59="T-Test Welch",_xlfn.T.TEST($O28:$O43,S28:S43,2,3),""))</f>
        <v>#NAME?</v>
      </c>
      <c r="T60" s="79" t="e">
        <f ca="1">IF(T59="Mann Withney",[1]!MTEST($O28:$O43,T28:T43,2), IF(T59="T-Test Welch",_xlfn.T.TEST($O28:$O43,T28:T43,2,3),""))</f>
        <v>#NAME?</v>
      </c>
      <c r="U60" s="79" t="e">
        <f ca="1">IF(U59="Mann Withney",[1]!MTEST($O28:$O43,U28:U43,2), IF(U59="T-Test Welch",_xlfn.T.TEST($O28:$O43,U28:U43,2,3),""))</f>
        <v>#NAME?</v>
      </c>
      <c r="V60" s="79" t="e">
        <f ca="1">IF(V59="Mann Withney",[1]!MTEST($O28:$O43,V28:V43,2), IF(V59="T-Test Welch",_xlfn.T.TEST($O28:$O43,V28:V43,2,3),""))</f>
        <v>#NAME?</v>
      </c>
    </row>
    <row r="61" spans="1:22" s="3" customFormat="1" ht="15.75" thickBot="1">
      <c r="A61" s="44" t="s">
        <v>46</v>
      </c>
      <c r="B61" s="76"/>
      <c r="C61" s="76" t="e">
        <f t="shared" ref="C61:N61" ca="1" si="54">IF(C60&gt;0.05,"NS",IF(C60&gt;0.01,"*",IF(C60&gt;0.001,"**","***")))</f>
        <v>#NAME?</v>
      </c>
      <c r="D61" s="76" t="e">
        <f t="shared" ca="1" si="54"/>
        <v>#NAME?</v>
      </c>
      <c r="E61" s="76" t="e">
        <f t="shared" ca="1" si="54"/>
        <v>#NAME?</v>
      </c>
      <c r="F61" s="76" t="e">
        <f t="shared" ca="1" si="54"/>
        <v>#NAME?</v>
      </c>
      <c r="G61" s="76" t="e">
        <f t="shared" ca="1" si="54"/>
        <v>#NAME?</v>
      </c>
      <c r="H61" s="76" t="e">
        <f t="shared" ca="1" si="54"/>
        <v>#NAME?</v>
      </c>
      <c r="I61" s="76" t="e">
        <f t="shared" ca="1" si="54"/>
        <v>#NAME?</v>
      </c>
      <c r="J61" s="76" t="e">
        <f t="shared" ca="1" si="54"/>
        <v>#NAME?</v>
      </c>
      <c r="K61" s="76" t="e">
        <f t="shared" ca="1" si="54"/>
        <v>#NAME?</v>
      </c>
      <c r="L61" s="76" t="e">
        <f t="shared" ca="1" si="54"/>
        <v>#NAME?</v>
      </c>
      <c r="M61" s="76" t="e">
        <f t="shared" ca="1" si="54"/>
        <v>#NAME?</v>
      </c>
      <c r="N61" s="76" t="e">
        <f t="shared" ca="1" si="54"/>
        <v>#NAME?</v>
      </c>
      <c r="O61" s="76" t="e">
        <f ca="1">IF(O60&gt;0.05,"NS",IF(O60&gt;0.01,"*",IF(O60&gt;0.001,"**","***")))</f>
        <v>#NAME?</v>
      </c>
      <c r="P61" s="76" t="e">
        <f ca="1">IF(P60&gt;0.05,"NS",IF(P60&gt;0.01,"*",IF(P60&gt;0.001,"**","***")))</f>
        <v>#NAME?</v>
      </c>
      <c r="Q61" s="76" t="e">
        <f t="shared" ref="Q61" ca="1" si="55">IF(Q60&gt;0.05,"NS",IF(Q60&gt;0.01,"*",IF(Q60&gt;0.001,"**","***")))</f>
        <v>#NAME?</v>
      </c>
      <c r="R61" s="76" t="e">
        <f t="shared" ref="R61" ca="1" si="56">IF(R60&gt;0.05,"NS",IF(R60&gt;0.01,"*",IF(R60&gt;0.001,"**","***")))</f>
        <v>#NAME?</v>
      </c>
      <c r="S61" s="76" t="e">
        <f t="shared" ref="S61" ca="1" si="57">IF(S60&gt;0.05,"NS",IF(S60&gt;0.01,"*",IF(S60&gt;0.001,"**","***")))</f>
        <v>#NAME?</v>
      </c>
      <c r="T61" s="76" t="e">
        <f t="shared" ref="T61" ca="1" si="58">IF(T60&gt;0.05,"NS",IF(T60&gt;0.01,"*",IF(T60&gt;0.001,"**","***")))</f>
        <v>#NAME?</v>
      </c>
      <c r="U61" s="76" t="e">
        <f t="shared" ref="U61" ca="1" si="59">IF(U60&gt;0.05,"NS",IF(U60&gt;0.01,"*",IF(U60&gt;0.001,"**","***")))</f>
        <v>#NAME?</v>
      </c>
      <c r="V61" s="76" t="e">
        <f t="shared" ref="V61" ca="1" si="60">IF(V60&gt;0.05,"NS",IF(V60&gt;0.01,"*",IF(V60&gt;0.001,"**","***")))</f>
        <v>#NAME?</v>
      </c>
    </row>
    <row r="63" spans="1:22">
      <c r="A63" s="2" t="s">
        <v>20</v>
      </c>
    </row>
    <row r="64" spans="1:22">
      <c r="A64" s="1" t="s">
        <v>13</v>
      </c>
      <c r="B64" s="1">
        <f>B46+(3*B47)</f>
        <v>0.37725255274390435</v>
      </c>
    </row>
    <row r="65" spans="1:22">
      <c r="A65" s="1" t="s">
        <v>14</v>
      </c>
      <c r="B65" s="1">
        <f>B46+(10*B47)</f>
        <v>0.84813279562764787</v>
      </c>
    </row>
    <row r="66" spans="1:22" ht="15.75" thickBot="1"/>
    <row r="67" spans="1:22" s="1" customFormat="1" ht="27" thickBot="1">
      <c r="A67" s="140" t="s">
        <v>31</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N3"/>
    <mergeCell ref="B26:N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zoomScale="70" zoomScaleNormal="70" zoomScaleSheetLayoutView="40" zoomScalePageLayoutView="30" workbookViewId="0">
      <selection activeCell="O2"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38" t="s">
        <v>23</v>
      </c>
      <c r="B1" s="139"/>
      <c r="C1" s="139"/>
      <c r="D1" s="139"/>
      <c r="E1" s="139"/>
      <c r="F1" s="139"/>
      <c r="G1" s="139"/>
      <c r="H1" s="139"/>
      <c r="I1" s="139"/>
      <c r="J1" s="139"/>
      <c r="K1" s="139"/>
      <c r="L1" s="139"/>
      <c r="M1" s="139"/>
      <c r="N1" s="139"/>
      <c r="O1" s="139"/>
      <c r="P1" s="139"/>
      <c r="Q1" s="139"/>
      <c r="R1" s="139"/>
      <c r="S1" s="139"/>
      <c r="T1" s="139"/>
      <c r="U1" s="139"/>
      <c r="V1" s="139"/>
    </row>
    <row r="2" spans="1:22" customFormat="1" ht="15.75" thickBot="1"/>
    <row r="3" spans="1:22" ht="15.75" thickBot="1">
      <c r="A3" s="33" t="s">
        <v>9</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anastrozole-20µg/L</v>
      </c>
      <c r="J4" s="19" t="str">
        <f>'Front page'!A15</f>
        <v>anastrozole-4µg/L</v>
      </c>
      <c r="K4" s="19" t="str">
        <f>'Front page'!A16</f>
        <v>anastrozole-0.8µg/L</v>
      </c>
      <c r="L4" s="19" t="str">
        <f>'Front page'!A17</f>
        <v>anastrozole-0.16µg/L</v>
      </c>
      <c r="M4" s="19" t="str">
        <f>'Front page'!A18</f>
        <v>anastrozole-0.032µg/L</v>
      </c>
      <c r="N4" s="19" t="str">
        <f>'Front page'!A19</f>
        <v/>
      </c>
      <c r="O4" s="20" t="str">
        <f>'Front page'!A35</f>
        <v>Testo -30µg/L</v>
      </c>
      <c r="P4" s="20" t="str">
        <f>'Front page'!A36</f>
        <v>Testo 30µg/L + EE2 -64ng/L</v>
      </c>
      <c r="Q4" s="20" t="str">
        <f>'Front page'!A37</f>
        <v>Testo 30µg/L + FAD-10mg/L</v>
      </c>
      <c r="R4" s="20" t="str">
        <f>'Front page'!A38</f>
        <v>anastrozole-20µg/L + Testostérone</v>
      </c>
      <c r="S4" s="20" t="str">
        <f>'Front page'!A39</f>
        <v>anastrozole-4µg/L + Testostérone</v>
      </c>
      <c r="T4" s="20" t="str">
        <f>'Front page'!A40</f>
        <v>anastrozole-0.8µg/L + Testostérone</v>
      </c>
      <c r="U4" s="20" t="str">
        <f>'Front page'!A41</f>
        <v>anastrozole-0.16µg/L + Testostérone</v>
      </c>
      <c r="V4" s="20" t="str">
        <f>'Front page'!A42</f>
        <v>anastrozole-0.032µg/L + Testostérone</v>
      </c>
    </row>
    <row r="5" spans="1:22">
      <c r="A5" s="148" t="s">
        <v>16</v>
      </c>
      <c r="B5" s="16">
        <v>1053057</v>
      </c>
      <c r="C5" s="16">
        <v>1349069</v>
      </c>
      <c r="D5" s="16">
        <v>710529</v>
      </c>
      <c r="E5" s="16">
        <v>10091937</v>
      </c>
      <c r="F5" s="16">
        <v>7624180</v>
      </c>
      <c r="G5" s="16">
        <v>14729902</v>
      </c>
      <c r="H5" s="16">
        <v>15219656</v>
      </c>
      <c r="I5" s="16">
        <v>848137</v>
      </c>
      <c r="J5" s="16">
        <v>3160463</v>
      </c>
      <c r="K5" s="12">
        <v>2125678</v>
      </c>
      <c r="L5" s="12">
        <v>2663157</v>
      </c>
      <c r="M5" s="12">
        <v>1556006</v>
      </c>
      <c r="N5" s="12"/>
      <c r="O5" s="16">
        <v>9909734</v>
      </c>
      <c r="P5" s="12">
        <v>6908413</v>
      </c>
      <c r="Q5" s="12">
        <v>2115532</v>
      </c>
      <c r="R5" s="16">
        <v>1539412</v>
      </c>
      <c r="S5" s="16">
        <v>1003303</v>
      </c>
      <c r="T5" s="16">
        <v>1072629</v>
      </c>
      <c r="U5" s="16">
        <v>4382161</v>
      </c>
      <c r="V5" s="16">
        <v>6094586</v>
      </c>
    </row>
    <row r="6" spans="1:22" ht="16.5">
      <c r="A6" s="148"/>
      <c r="B6" s="13">
        <v>903789</v>
      </c>
      <c r="C6" s="12">
        <v>306755</v>
      </c>
      <c r="D6" s="16">
        <v>835690</v>
      </c>
      <c r="E6" s="16">
        <v>3228718</v>
      </c>
      <c r="F6" s="16">
        <v>7399958</v>
      </c>
      <c r="G6" s="16">
        <v>13861168</v>
      </c>
      <c r="H6" s="16">
        <v>17278626</v>
      </c>
      <c r="I6" s="16">
        <v>4500473</v>
      </c>
      <c r="J6" s="16">
        <v>1091318</v>
      </c>
      <c r="K6" s="12">
        <v>380605</v>
      </c>
      <c r="L6" s="12">
        <v>156997</v>
      </c>
      <c r="M6" s="12">
        <v>4678267</v>
      </c>
      <c r="N6" s="12"/>
      <c r="O6" s="16">
        <v>2249781</v>
      </c>
      <c r="P6" s="12">
        <v>10279702</v>
      </c>
      <c r="Q6" s="12">
        <v>1256320</v>
      </c>
      <c r="R6" s="16">
        <v>3189581</v>
      </c>
      <c r="S6" s="16">
        <v>1898535</v>
      </c>
      <c r="T6" s="16">
        <v>703148</v>
      </c>
      <c r="U6" s="16">
        <v>5601282</v>
      </c>
      <c r="V6" s="16">
        <v>3504651</v>
      </c>
    </row>
    <row r="7" spans="1:22" ht="16.5">
      <c r="A7" s="148"/>
      <c r="B7" s="13">
        <v>1486899</v>
      </c>
      <c r="C7" s="12">
        <v>282108</v>
      </c>
      <c r="D7" s="16">
        <v>2289623</v>
      </c>
      <c r="E7" s="16">
        <v>8455720</v>
      </c>
      <c r="F7" s="16">
        <v>9479822</v>
      </c>
      <c r="G7" s="16">
        <v>14970538</v>
      </c>
      <c r="H7" s="16">
        <v>19127681</v>
      </c>
      <c r="I7" s="16">
        <v>151043</v>
      </c>
      <c r="J7" s="16">
        <v>3371507</v>
      </c>
      <c r="K7" s="12">
        <v>3654181</v>
      </c>
      <c r="L7" s="12">
        <v>25815</v>
      </c>
      <c r="M7" s="12">
        <v>1861881</v>
      </c>
      <c r="N7" s="12"/>
      <c r="O7" s="16">
        <v>1442749</v>
      </c>
      <c r="P7" s="12">
        <v>5699180</v>
      </c>
      <c r="Q7" s="12">
        <v>1260876</v>
      </c>
      <c r="R7" s="16">
        <v>2721611</v>
      </c>
      <c r="S7" s="16">
        <v>1996219</v>
      </c>
      <c r="T7" s="16">
        <v>2906192</v>
      </c>
      <c r="U7" s="16">
        <v>3292765</v>
      </c>
      <c r="V7" s="16">
        <v>4402863</v>
      </c>
    </row>
    <row r="8" spans="1:22" ht="16.5">
      <c r="A8" s="148"/>
      <c r="B8" s="13">
        <v>1813159</v>
      </c>
      <c r="C8" s="12">
        <v>3263388</v>
      </c>
      <c r="D8" s="16">
        <v>5760224</v>
      </c>
      <c r="E8" s="16">
        <v>13187669</v>
      </c>
      <c r="F8" s="16">
        <v>11044709</v>
      </c>
      <c r="G8" s="16">
        <v>11158478</v>
      </c>
      <c r="H8" s="16">
        <v>21937170</v>
      </c>
      <c r="I8" s="16">
        <v>1413377</v>
      </c>
      <c r="J8" s="16">
        <v>1201697</v>
      </c>
      <c r="K8" s="12">
        <v>2661026</v>
      </c>
      <c r="L8" s="12">
        <v>0</v>
      </c>
      <c r="M8" s="12">
        <v>1948469</v>
      </c>
      <c r="N8" s="12"/>
      <c r="O8" s="16">
        <v>3744432</v>
      </c>
      <c r="P8" s="12">
        <v>9391350</v>
      </c>
      <c r="Q8" s="12">
        <v>1171992</v>
      </c>
      <c r="R8" s="16">
        <v>2044565</v>
      </c>
      <c r="S8" s="16">
        <v>1751507</v>
      </c>
      <c r="T8" s="16">
        <v>1709269</v>
      </c>
      <c r="U8" s="16">
        <v>2704117</v>
      </c>
      <c r="V8" s="16">
        <v>3865325</v>
      </c>
    </row>
    <row r="9" spans="1:22" ht="16.5">
      <c r="A9" s="148"/>
      <c r="B9" s="13">
        <v>861343</v>
      </c>
      <c r="C9" s="12">
        <v>1193461</v>
      </c>
      <c r="D9" s="16">
        <v>1896981</v>
      </c>
      <c r="E9" s="16">
        <v>4715132</v>
      </c>
      <c r="F9" s="16">
        <v>10553461</v>
      </c>
      <c r="G9" s="16">
        <v>17574326</v>
      </c>
      <c r="H9" s="16">
        <v>19039676</v>
      </c>
      <c r="I9" s="16">
        <v>1306740</v>
      </c>
      <c r="J9" s="16">
        <v>2861973</v>
      </c>
      <c r="K9" s="12">
        <v>581007</v>
      </c>
      <c r="L9" s="12">
        <v>2657459</v>
      </c>
      <c r="M9" s="12">
        <v>3478936</v>
      </c>
      <c r="N9" s="12"/>
      <c r="O9" s="16">
        <v>9550661</v>
      </c>
      <c r="P9" s="12">
        <v>9839808</v>
      </c>
      <c r="Q9" s="12">
        <v>552199</v>
      </c>
      <c r="R9" s="16">
        <v>1025504</v>
      </c>
      <c r="S9" s="16">
        <v>2567425</v>
      </c>
      <c r="T9" s="16">
        <v>3181837</v>
      </c>
      <c r="U9" s="16">
        <v>2723488</v>
      </c>
      <c r="V9" s="16">
        <v>7093982</v>
      </c>
    </row>
    <row r="10" spans="1:22" ht="16.5">
      <c r="A10" s="148"/>
      <c r="B10" s="13">
        <v>2052335</v>
      </c>
      <c r="C10" s="12">
        <v>2639378</v>
      </c>
      <c r="D10" s="16">
        <v>5864764</v>
      </c>
      <c r="E10" s="16">
        <v>9974293</v>
      </c>
      <c r="F10" s="16">
        <v>12826432</v>
      </c>
      <c r="G10" s="16">
        <v>19400429</v>
      </c>
      <c r="H10" s="16">
        <v>20930160</v>
      </c>
      <c r="I10" s="16">
        <v>1497346</v>
      </c>
      <c r="J10" s="16">
        <v>3125735</v>
      </c>
      <c r="K10" s="12">
        <v>480220</v>
      </c>
      <c r="L10" s="12">
        <v>1073592</v>
      </c>
      <c r="M10" s="12">
        <v>1393489</v>
      </c>
      <c r="N10" s="12"/>
      <c r="O10" s="16">
        <v>4150322</v>
      </c>
      <c r="P10" s="12">
        <v>10681473</v>
      </c>
      <c r="Q10" s="12">
        <v>1608451</v>
      </c>
      <c r="R10" s="16">
        <v>2838931</v>
      </c>
      <c r="S10" s="16">
        <v>1847212</v>
      </c>
      <c r="T10" s="16">
        <v>3596207</v>
      </c>
      <c r="U10" s="16">
        <v>4640328</v>
      </c>
      <c r="V10" s="16">
        <v>6117862</v>
      </c>
    </row>
    <row r="11" spans="1:22" ht="16.5">
      <c r="A11" s="148"/>
      <c r="B11" s="13">
        <v>18697</v>
      </c>
      <c r="C11" s="12">
        <v>796943</v>
      </c>
      <c r="D11" s="16">
        <v>2352132</v>
      </c>
      <c r="E11" s="16">
        <v>5640096</v>
      </c>
      <c r="F11" s="16">
        <v>11504361</v>
      </c>
      <c r="G11" s="16">
        <v>17920310</v>
      </c>
      <c r="H11" s="16">
        <v>17379053</v>
      </c>
      <c r="I11" s="16">
        <v>416119</v>
      </c>
      <c r="J11" s="16">
        <v>2306389</v>
      </c>
      <c r="K11" s="12">
        <v>611465</v>
      </c>
      <c r="L11" s="12">
        <v>791892</v>
      </c>
      <c r="M11" s="12">
        <v>1373475</v>
      </c>
      <c r="N11" s="12"/>
      <c r="O11" s="16">
        <v>2363026</v>
      </c>
      <c r="P11" s="12">
        <v>6495591</v>
      </c>
      <c r="Q11" s="12">
        <v>3253486</v>
      </c>
      <c r="R11" s="16">
        <v>1111629</v>
      </c>
      <c r="S11" s="16">
        <v>257393</v>
      </c>
      <c r="T11" s="16">
        <v>4572875</v>
      </c>
      <c r="U11" s="16">
        <v>7444616</v>
      </c>
      <c r="V11" s="16">
        <v>3458296</v>
      </c>
    </row>
    <row r="12" spans="1:22" ht="16.5">
      <c r="A12" s="148"/>
      <c r="B12" s="13">
        <v>1675011</v>
      </c>
      <c r="C12" s="12">
        <v>185672</v>
      </c>
      <c r="D12" s="16">
        <v>3113490</v>
      </c>
      <c r="E12" s="16">
        <v>10556658</v>
      </c>
      <c r="F12" s="16">
        <v>12042824</v>
      </c>
      <c r="G12" s="16">
        <v>14691176</v>
      </c>
      <c r="H12" s="16">
        <v>18634987</v>
      </c>
      <c r="I12" s="16">
        <v>467835</v>
      </c>
      <c r="J12" s="16">
        <v>3533828</v>
      </c>
      <c r="K12" s="12">
        <v>1572034</v>
      </c>
      <c r="L12" s="12">
        <v>626459</v>
      </c>
      <c r="M12" s="12">
        <v>916090</v>
      </c>
      <c r="N12" s="12"/>
      <c r="O12" s="16">
        <v>5531376</v>
      </c>
      <c r="P12" s="12">
        <v>4588328</v>
      </c>
      <c r="Q12" s="12">
        <v>1063429</v>
      </c>
      <c r="R12" s="16">
        <v>1919147</v>
      </c>
      <c r="S12" s="16">
        <v>636300</v>
      </c>
      <c r="T12" s="16">
        <v>2761401</v>
      </c>
      <c r="U12" s="16">
        <v>4249203</v>
      </c>
      <c r="V12" s="16">
        <v>8926085</v>
      </c>
    </row>
    <row r="13" spans="1:22" ht="16.5">
      <c r="A13" s="148"/>
      <c r="B13" s="13"/>
      <c r="C13" s="12"/>
      <c r="D13" s="16"/>
      <c r="E13" s="16"/>
      <c r="F13" s="16"/>
      <c r="G13" s="16"/>
      <c r="H13" s="16"/>
      <c r="I13" s="16"/>
      <c r="J13" s="16"/>
      <c r="K13" s="12"/>
      <c r="L13" s="12"/>
      <c r="M13" s="12"/>
      <c r="N13" s="12"/>
      <c r="O13" s="16">
        <v>9341978</v>
      </c>
      <c r="P13" s="12"/>
      <c r="Q13" s="12"/>
      <c r="R13" s="16"/>
      <c r="S13" s="16"/>
      <c r="T13" s="16"/>
      <c r="U13" s="16"/>
      <c r="V13" s="16"/>
    </row>
    <row r="14" spans="1:22" ht="16.5">
      <c r="A14" s="148"/>
      <c r="B14" s="13"/>
      <c r="C14" s="16"/>
      <c r="D14" s="16"/>
      <c r="E14" s="16"/>
      <c r="F14" s="16"/>
      <c r="G14" s="16"/>
      <c r="H14" s="16"/>
      <c r="I14" s="16"/>
      <c r="J14" s="16"/>
      <c r="K14" s="12"/>
      <c r="L14" s="12"/>
      <c r="M14" s="12"/>
      <c r="N14" s="12"/>
      <c r="O14" s="16">
        <v>6953865</v>
      </c>
      <c r="P14" s="12"/>
      <c r="Q14" s="12"/>
      <c r="R14" s="16"/>
      <c r="S14" s="16"/>
      <c r="T14" s="16"/>
      <c r="U14" s="16"/>
      <c r="V14" s="16"/>
    </row>
    <row r="15" spans="1:22" ht="16.5">
      <c r="A15" s="148"/>
      <c r="B15" s="13"/>
      <c r="C15" s="16"/>
      <c r="D15" s="16"/>
      <c r="E15" s="16"/>
      <c r="F15" s="16"/>
      <c r="G15" s="16"/>
      <c r="H15" s="16"/>
      <c r="I15" s="16"/>
      <c r="J15" s="16"/>
      <c r="K15" s="12"/>
      <c r="L15" s="12"/>
      <c r="M15" s="12"/>
      <c r="N15" s="12"/>
      <c r="O15" s="16">
        <v>5395954</v>
      </c>
      <c r="P15" s="12"/>
      <c r="Q15" s="12"/>
      <c r="R15" s="16"/>
      <c r="S15" s="16"/>
      <c r="T15" s="16"/>
      <c r="U15" s="16"/>
      <c r="V15" s="16"/>
    </row>
    <row r="16" spans="1:22" ht="16.5">
      <c r="A16" s="148"/>
      <c r="B16" s="13"/>
      <c r="C16" s="16"/>
      <c r="D16" s="16"/>
      <c r="E16" s="16"/>
      <c r="F16" s="16"/>
      <c r="G16" s="16"/>
      <c r="H16" s="16"/>
      <c r="I16" s="16"/>
      <c r="J16" s="16"/>
      <c r="K16" s="12"/>
      <c r="L16" s="12"/>
      <c r="M16" s="12"/>
      <c r="N16" s="12"/>
      <c r="O16" s="16">
        <v>4743470</v>
      </c>
      <c r="P16" s="12"/>
      <c r="Q16" s="12"/>
      <c r="R16" s="16"/>
      <c r="S16" s="16"/>
      <c r="T16" s="16"/>
      <c r="U16" s="16"/>
      <c r="V16" s="16"/>
    </row>
    <row r="17" spans="1:22" ht="16.5">
      <c r="A17" s="148"/>
      <c r="B17" s="13"/>
      <c r="C17" s="16"/>
      <c r="D17" s="16"/>
      <c r="E17" s="16"/>
      <c r="F17" s="16"/>
      <c r="G17" s="16"/>
      <c r="H17" s="16"/>
      <c r="I17" s="16"/>
      <c r="J17" s="16"/>
      <c r="K17" s="12"/>
      <c r="L17" s="12"/>
      <c r="M17" s="12"/>
      <c r="N17" s="12"/>
      <c r="O17" s="16">
        <v>4882737</v>
      </c>
      <c r="P17" s="12"/>
      <c r="Q17" s="12"/>
      <c r="R17" s="16"/>
      <c r="S17" s="16"/>
      <c r="T17" s="16"/>
      <c r="U17" s="16"/>
      <c r="V17" s="16"/>
    </row>
    <row r="18" spans="1:22" ht="16.5">
      <c r="A18" s="148"/>
      <c r="B18" s="13"/>
      <c r="C18" s="16"/>
      <c r="D18" s="16"/>
      <c r="E18" s="16"/>
      <c r="F18" s="16"/>
      <c r="G18" s="16"/>
      <c r="H18" s="16"/>
      <c r="I18" s="16"/>
      <c r="J18" s="16"/>
      <c r="K18" s="12"/>
      <c r="L18" s="12"/>
      <c r="M18" s="12"/>
      <c r="N18" s="12"/>
      <c r="O18" s="16">
        <v>4735393</v>
      </c>
      <c r="P18" s="12"/>
      <c r="Q18" s="12"/>
      <c r="R18" s="16"/>
      <c r="S18" s="16"/>
      <c r="T18" s="16"/>
      <c r="U18" s="16"/>
      <c r="V18" s="16"/>
    </row>
    <row r="19" spans="1:22" ht="16.5">
      <c r="A19" s="148"/>
      <c r="B19" s="13"/>
      <c r="C19" s="16"/>
      <c r="D19" s="16"/>
      <c r="E19" s="16"/>
      <c r="F19" s="16"/>
      <c r="G19" s="16"/>
      <c r="H19" s="16"/>
      <c r="I19" s="16"/>
      <c r="J19" s="16"/>
      <c r="K19" s="12"/>
      <c r="L19" s="12"/>
      <c r="M19" s="12"/>
      <c r="N19" s="12"/>
      <c r="O19" s="16">
        <v>2084696</v>
      </c>
      <c r="P19" s="12"/>
      <c r="Q19" s="12"/>
      <c r="R19" s="16"/>
      <c r="S19" s="16"/>
      <c r="T19" s="16"/>
      <c r="U19" s="16"/>
      <c r="V19" s="16"/>
    </row>
    <row r="20" spans="1:22" ht="16.5">
      <c r="A20" s="148"/>
      <c r="B20" s="13"/>
      <c r="C20" s="16"/>
      <c r="D20" s="16"/>
      <c r="E20" s="16"/>
      <c r="F20" s="16"/>
      <c r="G20" s="16"/>
      <c r="H20" s="16"/>
      <c r="I20" s="16"/>
      <c r="J20" s="16"/>
      <c r="K20" s="12"/>
      <c r="L20" s="12"/>
      <c r="M20" s="12"/>
      <c r="N20" s="12"/>
      <c r="O20" s="16">
        <v>7159390</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anastrozole-20µg/L</v>
      </c>
      <c r="J22" s="3" t="str">
        <f t="shared" si="0"/>
        <v>anastrozole-4µg/L</v>
      </c>
      <c r="K22" s="3" t="str">
        <f t="shared" si="0"/>
        <v>anastrozole-0.8µg/L</v>
      </c>
      <c r="L22" s="3" t="str">
        <f t="shared" si="0"/>
        <v>anastrozole-0.16µg/L</v>
      </c>
      <c r="M22" s="3" t="str">
        <f t="shared" si="0"/>
        <v>anastrozole-0.032µg/L</v>
      </c>
      <c r="N22" s="3" t="str">
        <f t="shared" si="0"/>
        <v/>
      </c>
      <c r="O22" s="3" t="str">
        <f t="shared" si="0"/>
        <v>Testo -30µg/L</v>
      </c>
      <c r="P22" s="3" t="str">
        <f t="shared" si="0"/>
        <v>Testo 30µg/L + EE2 -64ng/L</v>
      </c>
      <c r="Q22" s="3" t="str">
        <f t="shared" si="0"/>
        <v>Testo 30µg/L + FAD-10mg/L</v>
      </c>
      <c r="R22" s="3" t="str">
        <f t="shared" si="0"/>
        <v>anastrozole-20µg/L + Testostérone</v>
      </c>
      <c r="S22" s="3" t="str">
        <f t="shared" si="0"/>
        <v>anastrozole-4µg/L + Testostérone</v>
      </c>
      <c r="T22" s="3" t="str">
        <f t="shared" si="0"/>
        <v>anastrozole-0.8µg/L + Testostérone</v>
      </c>
      <c r="U22" s="3" t="str">
        <f t="shared" si="0"/>
        <v>anastrozole-0.16µg/L + Testostérone</v>
      </c>
      <c r="V22" s="3" t="str">
        <f t="shared" si="0"/>
        <v>anastrozole-0.032µg/L + Testostérone</v>
      </c>
    </row>
    <row r="23" spans="1:22">
      <c r="A23" s="5" t="s">
        <v>0</v>
      </c>
      <c r="B23" s="5">
        <f t="shared" ref="B23:J23" si="1">AVERAGE(B5:B20)</f>
        <v>1233036.25</v>
      </c>
      <c r="C23" s="5">
        <f t="shared" si="1"/>
        <v>1252096.75</v>
      </c>
      <c r="D23" s="5">
        <f t="shared" si="1"/>
        <v>2852929.125</v>
      </c>
      <c r="E23" s="5">
        <f t="shared" si="1"/>
        <v>8231277.875</v>
      </c>
      <c r="F23" s="5">
        <f t="shared" si="1"/>
        <v>10309468.375</v>
      </c>
      <c r="G23" s="5">
        <f t="shared" si="1"/>
        <v>15538290.875</v>
      </c>
      <c r="H23" s="5">
        <f t="shared" si="1"/>
        <v>18693376.125</v>
      </c>
      <c r="I23" s="5">
        <f t="shared" si="1"/>
        <v>1325133.75</v>
      </c>
      <c r="J23" s="5">
        <f t="shared" si="1"/>
        <v>2581613.75</v>
      </c>
      <c r="K23" s="5"/>
      <c r="L23" s="5">
        <f>AVERAGE(L5:L20)</f>
        <v>999421.375</v>
      </c>
      <c r="M23" s="5"/>
      <c r="N23" s="5" t="e">
        <f>AVERAGE(N5:N20)</f>
        <v>#DIV/0!</v>
      </c>
      <c r="O23" s="5">
        <f>AVERAGE(O5:O20)</f>
        <v>5264972.75</v>
      </c>
      <c r="P23" s="5">
        <f>AVERAGE(P5:P20)</f>
        <v>7985480.625</v>
      </c>
      <c r="Q23" s="5">
        <f>AVERAGE(Q5:Q20)</f>
        <v>1535285.625</v>
      </c>
      <c r="R23" s="5">
        <f>AVERAGE(R5:R20)</f>
        <v>2048797.5</v>
      </c>
      <c r="S23" s="5">
        <f>AVERAGE(S5:S20)</f>
        <v>1494736.75</v>
      </c>
      <c r="T23" s="5">
        <f t="shared" ref="T23:V23" si="2">AVERAGE(T5:T20)</f>
        <v>2562944.75</v>
      </c>
      <c r="U23" s="5">
        <f t="shared" si="2"/>
        <v>4379745</v>
      </c>
      <c r="V23" s="5">
        <f t="shared" si="2"/>
        <v>5432956.25</v>
      </c>
    </row>
    <row r="24" spans="1:22">
      <c r="A24" s="3" t="s">
        <v>1</v>
      </c>
      <c r="B24" s="3">
        <f t="shared" ref="B24:J24" si="3">STDEV(B5:B20)</f>
        <v>656957.57533643569</v>
      </c>
      <c r="C24" s="3">
        <f t="shared" si="3"/>
        <v>1144031.6810265789</v>
      </c>
      <c r="D24" s="3">
        <f t="shared" si="3"/>
        <v>1990422.9674562309</v>
      </c>
      <c r="E24" s="3">
        <f t="shared" si="3"/>
        <v>3393835.6873516361</v>
      </c>
      <c r="F24" s="3">
        <f t="shared" si="3"/>
        <v>1990399.9799742289</v>
      </c>
      <c r="G24" s="3">
        <f t="shared" si="3"/>
        <v>2630168.5581042953</v>
      </c>
      <c r="H24" s="3">
        <f t="shared" si="3"/>
        <v>2125795.6199525795</v>
      </c>
      <c r="I24" s="3">
        <f t="shared" si="3"/>
        <v>1377774.8916311972</v>
      </c>
      <c r="J24" s="3">
        <f t="shared" si="3"/>
        <v>959261.57200641278</v>
      </c>
      <c r="K24" s="3"/>
      <c r="L24" s="3">
        <f>STDEV(L5:L20)</f>
        <v>1092912.6836066402</v>
      </c>
      <c r="M24" s="3"/>
      <c r="N24" s="3" t="e">
        <f>STDEV(N5:N20)</f>
        <v>#DIV/0!</v>
      </c>
      <c r="O24" s="3">
        <f>STDEV(O5:O20)</f>
        <v>2702855.878251459</v>
      </c>
      <c r="P24" s="3">
        <f>STDEV(P5:P20)</f>
        <v>2332824.3943991973</v>
      </c>
      <c r="Q24" s="3">
        <f>STDEV(Q5:Q20)</f>
        <v>825353.97284609906</v>
      </c>
      <c r="R24" s="3">
        <f>STDEV(R5:R20)</f>
        <v>808887.33859966998</v>
      </c>
      <c r="S24" s="3">
        <f>STDEV(S5:S20)</f>
        <v>780549.95801106247</v>
      </c>
      <c r="T24" s="3">
        <f t="shared" ref="T24:V24" si="4">STDEV(T5:T20)</f>
        <v>1312376.7389300931</v>
      </c>
      <c r="U24" s="3">
        <f t="shared" si="4"/>
        <v>1590282.0686259225</v>
      </c>
      <c r="V24" s="3">
        <f t="shared" si="4"/>
        <v>1964106.8089405897</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anastrozole-20µg/L</v>
      </c>
      <c r="J27" s="19" t="str">
        <f t="shared" si="5"/>
        <v>anastrozole-4µg/L</v>
      </c>
      <c r="K27" s="19" t="str">
        <f t="shared" si="5"/>
        <v>anastrozole-0.8µg/L</v>
      </c>
      <c r="L27" s="19" t="str">
        <f t="shared" si="5"/>
        <v>anastrozole-0.16µg/L</v>
      </c>
      <c r="M27" s="19" t="str">
        <f t="shared" si="5"/>
        <v>anastrozole-0.032µg/L</v>
      </c>
      <c r="N27" s="19" t="str">
        <f t="shared" si="5"/>
        <v/>
      </c>
      <c r="O27" s="20" t="str">
        <f>O4</f>
        <v>Testo -30µg/L</v>
      </c>
      <c r="P27" s="20" t="str">
        <f t="shared" ref="P27:R27" si="6">P4</f>
        <v>Testo 30µg/L + EE2 -64ng/L</v>
      </c>
      <c r="Q27" s="20" t="str">
        <f t="shared" si="6"/>
        <v>Testo 30µg/L + FAD-10mg/L</v>
      </c>
      <c r="R27" s="20" t="str">
        <f t="shared" si="6"/>
        <v>anastrozole-20µg/L + Testostérone</v>
      </c>
      <c r="S27" s="20" t="str">
        <f t="shared" ref="S27:V27" si="7">S4</f>
        <v>anastrozole-4µg/L + Testostérone</v>
      </c>
      <c r="T27" s="20" t="str">
        <f t="shared" si="7"/>
        <v>anastrozole-0.8µg/L + Testostérone</v>
      </c>
      <c r="U27" s="20" t="str">
        <f t="shared" si="7"/>
        <v>anastrozole-0.16µg/L + Testostérone</v>
      </c>
      <c r="V27" s="20" t="str">
        <f t="shared" si="7"/>
        <v>anastrozole-0.032µg/L + Testostérone</v>
      </c>
    </row>
    <row r="28" spans="1:22">
      <c r="A28" s="149" t="s">
        <v>17</v>
      </c>
      <c r="B28" s="10">
        <f>IF(B5="","",(B5/$O$23))</f>
        <v>0.20001186140991897</v>
      </c>
      <c r="C28" s="10">
        <f>IF(C5="","",(C5/$O$23))</f>
        <v>0.2562347544913694</v>
      </c>
      <c r="D28" s="10">
        <f>IF(D5="","",(D5/$O$23))</f>
        <v>0.13495397483301314</v>
      </c>
      <c r="E28" s="10">
        <f>IF(E5="","",(E5/$O$23))</f>
        <v>1.9168070717934864</v>
      </c>
      <c r="F28" s="10">
        <f>IF(F5="","",(F5/$O$23))</f>
        <v>1.448094864308652</v>
      </c>
      <c r="G28" s="10">
        <f>IF(G5="","",(G5/$O$23))</f>
        <v>2.7977166643455087</v>
      </c>
      <c r="H28" s="10">
        <f>IF(H5="","",(H5/$O$23))</f>
        <v>2.8907378485482189</v>
      </c>
      <c r="I28" s="10">
        <f>IF(I5="","",(I5/$O$23))</f>
        <v>0.16109048237714052</v>
      </c>
      <c r="J28" s="10">
        <f>IF(J5="","",(J5/$O$23))</f>
        <v>0.60028097961190774</v>
      </c>
      <c r="K28" s="10">
        <f>IF(K5="","",(K5/$O$23))</f>
        <v>0.40373960150126131</v>
      </c>
      <c r="L28" s="10">
        <f>IF(L5="","",(L5/$O$23))</f>
        <v>0.50582541001755421</v>
      </c>
      <c r="M28" s="10">
        <f>IF(M5="","",(M5/$O$23))</f>
        <v>0.29553923142337252</v>
      </c>
      <c r="N28" s="10" t="str">
        <f>IF(N5="","",(N5/$O$23))</f>
        <v/>
      </c>
      <c r="O28" s="10">
        <f t="shared" ref="O28:S37" si="8">IF(O5="","",(O5/$O$23))</f>
        <v>1.8822004349405228</v>
      </c>
      <c r="P28" s="10">
        <f t="shared" si="8"/>
        <v>1.3121460125315938</v>
      </c>
      <c r="Q28" s="10">
        <f t="shared" si="8"/>
        <v>0.4018125260002533</v>
      </c>
      <c r="R28" s="10">
        <f t="shared" si="8"/>
        <v>0.29238745822568596</v>
      </c>
      <c r="S28" s="10">
        <f t="shared" si="8"/>
        <v>0.19056185998303599</v>
      </c>
      <c r="T28" s="10">
        <f t="shared" ref="T28:V28" si="9">IF(T5="","",(T5/$O$23))</f>
        <v>0.20372925956739282</v>
      </c>
      <c r="U28" s="10">
        <f t="shared" si="9"/>
        <v>0.83232358610023194</v>
      </c>
      <c r="V28" s="10">
        <f t="shared" si="9"/>
        <v>1.1575721830659047</v>
      </c>
    </row>
    <row r="29" spans="1:22">
      <c r="A29" s="149"/>
      <c r="B29" s="10">
        <f>IF(B6="","",(B6/$O$23))</f>
        <v>0.17166071752223219</v>
      </c>
      <c r="C29" s="10">
        <f>IF(C6="","",(C6/$O$23))</f>
        <v>5.8263359482724771E-2</v>
      </c>
      <c r="D29" s="10">
        <f>IF(D6="","",(D6/$O$23))</f>
        <v>0.15872636757711614</v>
      </c>
      <c r="E29" s="10">
        <f>IF(E6="","",(E6/$O$23))</f>
        <v>0.613244959340008</v>
      </c>
      <c r="F29" s="10">
        <f>IF(F6="","",(F6/$O$23))</f>
        <v>1.405507369435103</v>
      </c>
      <c r="G29" s="10">
        <f>IF(G6="","",(G6/$O$23))</f>
        <v>2.6327141009419281</v>
      </c>
      <c r="H29" s="10">
        <f>IF(H6="","",(H6/$O$23))</f>
        <v>3.2818072990026397</v>
      </c>
      <c r="I29" s="10">
        <f>IF(I6="","",(I6/$O$23))</f>
        <v>0.85479511741062664</v>
      </c>
      <c r="J29" s="10">
        <f>IF(J6="","",(J6/$O$23))</f>
        <v>0.2072789455557961</v>
      </c>
      <c r="K29" s="10">
        <f>IF(K6="","",(K6/$O$23))</f>
        <v>7.2290022773622148E-2</v>
      </c>
      <c r="L29" s="10">
        <f>IF(L6="","",(L6/$O$23))</f>
        <v>2.9819147686946719E-2</v>
      </c>
      <c r="M29" s="10">
        <f>IF(M6="","",(M6/$O$23))</f>
        <v>0.88856433302527538</v>
      </c>
      <c r="N29" s="10" t="str">
        <f>IF(N6="","",(N6/$O$23))</f>
        <v/>
      </c>
      <c r="O29" s="10">
        <f t="shared" si="8"/>
        <v>0.42731104353768973</v>
      </c>
      <c r="P29" s="10">
        <f t="shared" si="8"/>
        <v>1.9524701243705394</v>
      </c>
      <c r="Q29" s="10">
        <f t="shared" si="8"/>
        <v>0.23861851896574393</v>
      </c>
      <c r="R29" s="10">
        <f t="shared" si="8"/>
        <v>0.60581149256660449</v>
      </c>
      <c r="S29" s="10">
        <f t="shared" si="8"/>
        <v>0.36059730793478467</v>
      </c>
      <c r="T29" s="10">
        <f t="shared" ref="T29:V29" si="10">IF(T6="","",(T6/$O$23))</f>
        <v>0.13355206824194865</v>
      </c>
      <c r="U29" s="10">
        <f t="shared" si="10"/>
        <v>1.0638767313657986</v>
      </c>
      <c r="V29" s="10">
        <f t="shared" si="10"/>
        <v>0.66565415746928602</v>
      </c>
    </row>
    <row r="30" spans="1:22">
      <c r="A30" s="149"/>
      <c r="B30" s="10">
        <f>IF(B7="","",(B7/$O$23))</f>
        <v>0.28241342749589732</v>
      </c>
      <c r="C30" s="10">
        <f>IF(C7="","",(C7/$O$23))</f>
        <v>5.3582043705734279E-2</v>
      </c>
      <c r="D30" s="10">
        <f>IF(D7="","",(D7/$O$23))</f>
        <v>0.4348784141380409</v>
      </c>
      <c r="E30" s="10">
        <f>IF(E7="","",(E7/$O$23))</f>
        <v>1.6060330036845869</v>
      </c>
      <c r="F30" s="10">
        <f>IF(F7="","",(F7/$O$23))</f>
        <v>1.8005453114643375</v>
      </c>
      <c r="G30" s="10">
        <f>IF(G7="","",(G7/$O$23))</f>
        <v>2.8434217442056084</v>
      </c>
      <c r="H30" s="10">
        <f>IF(H7="","",(H7/$O$23))</f>
        <v>3.6330066475652698</v>
      </c>
      <c r="I30" s="10">
        <f>IF(I7="","",(I7/$O$23))</f>
        <v>2.8688277636384728E-2</v>
      </c>
      <c r="J30" s="10">
        <f>IF(J7="","",(J7/$O$23))</f>
        <v>0.64036551756132076</v>
      </c>
      <c r="K30" s="10">
        <f>IF(K7="","",(K7/$O$23))</f>
        <v>0.69405506419762575</v>
      </c>
      <c r="L30" s="10">
        <f>IF(L7="","",(L7/$O$23))</f>
        <v>4.9031592803590483E-3</v>
      </c>
      <c r="M30" s="10">
        <f>IF(M7="","",(M7/$O$23))</f>
        <v>0.35363544854054563</v>
      </c>
      <c r="N30" s="10" t="str">
        <f>IF(N7="","",(N7/$O$23))</f>
        <v/>
      </c>
      <c r="O30" s="10">
        <f t="shared" si="8"/>
        <v>0.27402781904236828</v>
      </c>
      <c r="P30" s="10">
        <f t="shared" si="8"/>
        <v>1.0824709396644077</v>
      </c>
      <c r="Q30" s="10">
        <f t="shared" si="8"/>
        <v>0.23948386057648635</v>
      </c>
      <c r="R30" s="10">
        <f t="shared" si="8"/>
        <v>0.51692784164932293</v>
      </c>
      <c r="S30" s="10">
        <f t="shared" si="8"/>
        <v>0.37915087024904354</v>
      </c>
      <c r="T30" s="10">
        <f t="shared" ref="T30:V30" si="11">IF(T7="","",(T7/$O$23))</f>
        <v>0.55198614275828872</v>
      </c>
      <c r="U30" s="10">
        <f t="shared" si="11"/>
        <v>0.62540969466556118</v>
      </c>
      <c r="V30" s="10">
        <f t="shared" si="11"/>
        <v>0.83625561024983464</v>
      </c>
    </row>
    <row r="31" spans="1:22">
      <c r="A31" s="149"/>
      <c r="B31" s="10">
        <f>IF(B8="","",(B8/$O$23))</f>
        <v>0.34438145952417321</v>
      </c>
      <c r="C31" s="10">
        <f>IF(C8="","",(C8/$O$23))</f>
        <v>0.61982998867373051</v>
      </c>
      <c r="D31" s="10">
        <f>IF(D8="","",(D8/$O$23))</f>
        <v>1.0940653016675157</v>
      </c>
      <c r="E31" s="10">
        <f>IF(E8="","",(E8/$O$23))</f>
        <v>2.5047934008775261</v>
      </c>
      <c r="F31" s="10">
        <f>IF(F8="","",(F8/$O$23))</f>
        <v>2.0977713512382374</v>
      </c>
      <c r="G31" s="10">
        <f>IF(G8="","",(G8/$O$23))</f>
        <v>2.1193800100864721</v>
      </c>
      <c r="H31" s="10">
        <f>IF(H8="","",(H8/$O$23))</f>
        <v>4.1666255537599888</v>
      </c>
      <c r="I31" s="10">
        <f>IF(I8="","",(I8/$O$23))</f>
        <v>0.26844906272306918</v>
      </c>
      <c r="J31" s="10">
        <f>IF(J8="","",(J8/$O$23))</f>
        <v>0.2282437264276439</v>
      </c>
      <c r="K31" s="10">
        <f>IF(K8="","",(K8/$O$23))</f>
        <v>0.50542065958461035</v>
      </c>
      <c r="L31" s="10">
        <f>IF(L8="","",(L8/$O$23))</f>
        <v>0</v>
      </c>
      <c r="M31" s="10">
        <f>IF(M8="","",(M8/$O$23))</f>
        <v>0.37008149757280318</v>
      </c>
      <c r="N31" s="10" t="str">
        <f>IF(N8="","",(N8/$O$23))</f>
        <v/>
      </c>
      <c r="O31" s="10">
        <f t="shared" si="8"/>
        <v>0.71119684332649202</v>
      </c>
      <c r="P31" s="10">
        <f t="shared" si="8"/>
        <v>1.7837414258221944</v>
      </c>
      <c r="Q31" s="10">
        <f t="shared" si="8"/>
        <v>0.22260172191774402</v>
      </c>
      <c r="R31" s="10">
        <f t="shared" si="8"/>
        <v>0.38833344389104391</v>
      </c>
      <c r="S31" s="10">
        <f t="shared" si="8"/>
        <v>0.33267161734122935</v>
      </c>
      <c r="T31" s="10">
        <f t="shared" ref="T31:V31" si="12">IF(T8="","",(T8/$O$23))</f>
        <v>0.32464916366376256</v>
      </c>
      <c r="U31" s="10">
        <f t="shared" si="12"/>
        <v>0.51360512739595854</v>
      </c>
      <c r="V31" s="10">
        <f t="shared" si="12"/>
        <v>0.73415859559766949</v>
      </c>
    </row>
    <row r="32" spans="1:22">
      <c r="A32" s="149"/>
      <c r="B32" s="10">
        <f>IF(B9="","",(B9/$O$23))</f>
        <v>0.16359875746745317</v>
      </c>
      <c r="C32" s="10">
        <f>IF(C9="","",(C9/$O$23))</f>
        <v>0.22667942583368547</v>
      </c>
      <c r="D32" s="10">
        <f>IF(D9="","",(D9/$O$23))</f>
        <v>0.36030214971198093</v>
      </c>
      <c r="E32" s="10">
        <f>IF(E9="","",(E9/$O$23))</f>
        <v>0.89556626860034561</v>
      </c>
      <c r="F32" s="10">
        <f>IF(F9="","",(F9/$O$23))</f>
        <v>2.004466404883102</v>
      </c>
      <c r="G32" s="10">
        <f>IF(G9="","",(G9/$O$23))</f>
        <v>3.3379709325181217</v>
      </c>
      <c r="H32" s="10">
        <f>IF(H9="","",(H9/$O$23))</f>
        <v>3.616291461337573</v>
      </c>
      <c r="I32" s="10">
        <f>IF(I9="","",(I9/$O$23))</f>
        <v>0.24819501677382852</v>
      </c>
      <c r="J32" s="10">
        <f>IF(J9="","",(J9/$O$23))</f>
        <v>0.54358742882382438</v>
      </c>
      <c r="K32" s="10">
        <f>IF(K9="","",(K9/$O$23))</f>
        <v>0.11035327770689791</v>
      </c>
      <c r="L32" s="10">
        <f>IF(L9="","",(L9/$O$23))</f>
        <v>0.5047431632006073</v>
      </c>
      <c r="M32" s="10">
        <f>IF(M9="","",(M9/$O$23))</f>
        <v>0.66076999163955785</v>
      </c>
      <c r="N32" s="10" t="str">
        <f>IF(N9="","",(N9/$O$23))</f>
        <v/>
      </c>
      <c r="O32" s="10">
        <f t="shared" si="8"/>
        <v>1.8140000819567395</v>
      </c>
      <c r="P32" s="10">
        <f t="shared" si="8"/>
        <v>1.8689190746523807</v>
      </c>
      <c r="Q32" s="10">
        <f t="shared" si="8"/>
        <v>0.10488164444915693</v>
      </c>
      <c r="R32" s="10">
        <f t="shared" si="8"/>
        <v>0.19477859595759542</v>
      </c>
      <c r="S32" s="10">
        <f t="shared" si="8"/>
        <v>0.48764259985960989</v>
      </c>
      <c r="T32" s="10">
        <f t="shared" ref="T32:V32" si="13">IF(T9="","",(T9/$O$23))</f>
        <v>0.60434063974974994</v>
      </c>
      <c r="U32" s="10">
        <f t="shared" si="13"/>
        <v>0.51728434871766427</v>
      </c>
      <c r="V32" s="10">
        <f t="shared" si="13"/>
        <v>1.3473919689327927</v>
      </c>
    </row>
    <row r="33" spans="1:22">
      <c r="A33" s="149"/>
      <c r="B33" s="10">
        <f>IF(B10="","",(B10/$O$23))</f>
        <v>0.38980923500506248</v>
      </c>
      <c r="C33" s="10">
        <f>IF(C10="","",(C10/$O$23))</f>
        <v>0.50130895739203973</v>
      </c>
      <c r="D33" s="10">
        <f>IF(D10="","",(D10/$O$23))</f>
        <v>1.1139210549570271</v>
      </c>
      <c r="E33" s="10">
        <f>IF(E10="","",(E10/$O$23))</f>
        <v>1.894462416733306</v>
      </c>
      <c r="F33" s="10">
        <f>IF(F10="","",(F10/$O$23))</f>
        <v>2.4361820296220906</v>
      </c>
      <c r="G33" s="10">
        <f>IF(G10="","",(G10/$O$23))</f>
        <v>3.6848109042919548</v>
      </c>
      <c r="H33" s="10">
        <f>IF(H10="","",(H10/$O$23))</f>
        <v>3.9753596065620664</v>
      </c>
      <c r="I33" s="10">
        <f>IF(I10="","",(I10/$O$23))</f>
        <v>0.28439767328330429</v>
      </c>
      <c r="J33" s="10">
        <f>IF(J10="","",(J10/$O$23))</f>
        <v>0.59368493407681933</v>
      </c>
      <c r="K33" s="10">
        <f>IF(K10="","",(K10/$O$23))</f>
        <v>9.1210348619563134E-2</v>
      </c>
      <c r="L33" s="10">
        <f>IF(L10="","",(L10/$O$23))</f>
        <v>0.20391216649696811</v>
      </c>
      <c r="M33" s="10">
        <f>IF(M10="","",(M10/$O$23))</f>
        <v>0.26467164526160181</v>
      </c>
      <c r="N33" s="10" t="str">
        <f>IF(N10="","",(N10/$O$23))</f>
        <v/>
      </c>
      <c r="O33" s="10">
        <f t="shared" si="8"/>
        <v>0.78828936009212958</v>
      </c>
      <c r="P33" s="10">
        <f t="shared" si="8"/>
        <v>2.0287803009046912</v>
      </c>
      <c r="Q33" s="10">
        <f t="shared" si="8"/>
        <v>0.3055003466067322</v>
      </c>
      <c r="R33" s="10">
        <f t="shared" si="8"/>
        <v>0.53921095792945939</v>
      </c>
      <c r="S33" s="10">
        <f t="shared" si="8"/>
        <v>0.35084929926750336</v>
      </c>
      <c r="T33" s="10">
        <f t="shared" ref="T33:V33" si="14">IF(T10="","",(T10/$O$23))</f>
        <v>0.68304380112888519</v>
      </c>
      <c r="U33" s="10">
        <f t="shared" si="14"/>
        <v>0.88135840779042973</v>
      </c>
      <c r="V33" s="10">
        <f t="shared" si="14"/>
        <v>1.161993098634746</v>
      </c>
    </row>
    <row r="34" spans="1:22">
      <c r="A34" s="149"/>
      <c r="B34" s="10">
        <f>IF(B11="","",(B11/$O$23))</f>
        <v>3.5512054644537333E-3</v>
      </c>
      <c r="C34" s="10">
        <f>IF(C11="","",(C11/$O$23))</f>
        <v>0.15136697526117301</v>
      </c>
      <c r="D34" s="10">
        <f>IF(D11="","",(D11/$O$23))</f>
        <v>0.44675103019289131</v>
      </c>
      <c r="E34" s="10">
        <f>IF(E11="","",(E11/$O$23))</f>
        <v>1.0712488492936645</v>
      </c>
      <c r="F34" s="10">
        <f>IF(F11="","",(F11/$O$23))</f>
        <v>2.1850751269320434</v>
      </c>
      <c r="G34" s="10">
        <f>IF(G11="","",(G11/$O$23))</f>
        <v>3.4036852327488303</v>
      </c>
      <c r="H34" s="10">
        <f>IF(H11="","",(H11/$O$23))</f>
        <v>3.3008818516677034</v>
      </c>
      <c r="I34" s="10">
        <f>IF(I11="","",(I11/$O$23))</f>
        <v>7.9035356830669257E-2</v>
      </c>
      <c r="J34" s="10">
        <f>IF(J11="","",(J11/$O$23))</f>
        <v>0.43806285607081252</v>
      </c>
      <c r="K34" s="10">
        <f>IF(K11="","",(K11/$O$23))</f>
        <v>0.11613830290004824</v>
      </c>
      <c r="L34" s="10">
        <f>IF(L11="","",(L11/$O$23))</f>
        <v>0.15040761606980776</v>
      </c>
      <c r="M34" s="10">
        <f>IF(M11="","",(M11/$O$23))</f>
        <v>0.26087029605233947</v>
      </c>
      <c r="N34" s="10" t="str">
        <f>IF(N11="","",(N11/$O$23))</f>
        <v/>
      </c>
      <c r="O34" s="10">
        <f t="shared" si="8"/>
        <v>0.44882017670461827</v>
      </c>
      <c r="P34" s="10">
        <f t="shared" si="8"/>
        <v>1.2337368697682243</v>
      </c>
      <c r="Q34" s="10">
        <f t="shared" si="8"/>
        <v>0.61794925719226179</v>
      </c>
      <c r="R34" s="10">
        <f t="shared" si="8"/>
        <v>0.21113670531343207</v>
      </c>
      <c r="S34" s="10">
        <f t="shared" si="8"/>
        <v>4.8887812382314801E-2</v>
      </c>
      <c r="T34" s="10">
        <f t="shared" ref="T34:V34" si="15">IF(T11="","",(T11/$O$23))</f>
        <v>0.86854675553638905</v>
      </c>
      <c r="U34" s="10">
        <f t="shared" si="15"/>
        <v>1.4139894646178368</v>
      </c>
      <c r="V34" s="10">
        <f t="shared" si="15"/>
        <v>0.65684974342934632</v>
      </c>
    </row>
    <row r="35" spans="1:22">
      <c r="A35" s="149"/>
      <c r="B35" s="10">
        <f>IF(B12="","",(B12/$O$23))</f>
        <v>0.31814238734663919</v>
      </c>
      <c r="C35" s="10">
        <f>IF(C12="","",(C12/$O$23))</f>
        <v>3.5265519655348646E-2</v>
      </c>
      <c r="D35" s="10">
        <f>IF(D12="","",(D12/$O$23))</f>
        <v>0.59135918604706927</v>
      </c>
      <c r="E35" s="10">
        <f>IF(E12="","",(E12/$O$23))</f>
        <v>2.005073625499771</v>
      </c>
      <c r="F35" s="10">
        <f>IF(F12="","",(F12/$O$23))</f>
        <v>2.2873478310025441</v>
      </c>
      <c r="G35" s="10">
        <f>IF(G12="","",(G12/$O$23))</f>
        <v>2.7903612606541981</v>
      </c>
      <c r="H35" s="10">
        <f>IF(H12="","",(H12/$O$23))</f>
        <v>3.539427055914012</v>
      </c>
      <c r="I35" s="10">
        <f>IF(I12="","",(I12/$O$23))</f>
        <v>8.8858009758929907E-2</v>
      </c>
      <c r="J35" s="10">
        <f>IF(J12="","",(J12/$O$23))</f>
        <v>0.67119587655985491</v>
      </c>
      <c r="K35" s="10">
        <f>IF(K12="","",(K12/$O$23))</f>
        <v>0.29858350169048831</v>
      </c>
      <c r="L35" s="10">
        <f>IF(L12="","",(L12/$O$23))</f>
        <v>0.11898618088764087</v>
      </c>
      <c r="M35" s="10">
        <f>IF(M12="","",(M12/$O$23))</f>
        <v>0.17399710188433548</v>
      </c>
      <c r="N35" s="10" t="str">
        <f>IF(N12="","",(N12/$O$23))</f>
        <v/>
      </c>
      <c r="O35" s="10">
        <f t="shared" si="8"/>
        <v>1.0505991697677828</v>
      </c>
      <c r="P35" s="10">
        <f t="shared" si="8"/>
        <v>0.87148181346237741</v>
      </c>
      <c r="Q35" s="10">
        <f t="shared" si="8"/>
        <v>0.20198186210935279</v>
      </c>
      <c r="R35" s="10">
        <f t="shared" si="8"/>
        <v>0.36451223797881954</v>
      </c>
      <c r="S35" s="10">
        <f t="shared" si="8"/>
        <v>0.12085532636422477</v>
      </c>
      <c r="T35" s="10">
        <f t="shared" ref="T35:V35" si="16">IF(T12="","",(T12/$O$23))</f>
        <v>0.52448533565534594</v>
      </c>
      <c r="U35" s="10">
        <f t="shared" si="16"/>
        <v>0.80707027401044007</v>
      </c>
      <c r="V35" s="10">
        <f t="shared" si="16"/>
        <v>1.695371547744478</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1.7743639793767214</v>
      </c>
      <c r="P36" s="10" t="str">
        <f t="shared" si="8"/>
        <v/>
      </c>
      <c r="Q36" s="10" t="str">
        <f t="shared" si="8"/>
        <v/>
      </c>
      <c r="R36" s="10" t="str">
        <f t="shared" si="8"/>
        <v/>
      </c>
      <c r="S36" s="10" t="str">
        <f t="shared" si="8"/>
        <v/>
      </c>
      <c r="T36" s="10" t="str">
        <f t="shared" ref="T36:V36" si="17">IF(T13="","",(T13/$O$23))</f>
        <v/>
      </c>
      <c r="U36" s="10" t="str">
        <f t="shared" si="17"/>
        <v/>
      </c>
      <c r="V36" s="10" t="str">
        <f t="shared" si="1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1.3207789157123369</v>
      </c>
      <c r="P37" s="10" t="str">
        <f t="shared" si="8"/>
        <v/>
      </c>
      <c r="Q37" s="10" t="str">
        <f t="shared" si="8"/>
        <v/>
      </c>
      <c r="R37" s="10" t="str">
        <f t="shared" si="8"/>
        <v/>
      </c>
      <c r="S37" s="10" t="str">
        <f t="shared" si="8"/>
        <v/>
      </c>
      <c r="T37" s="10" t="str">
        <f t="shared" ref="T37:V37" si="18">IF(T14="","",(T14/$O$23))</f>
        <v/>
      </c>
      <c r="U37" s="10" t="str">
        <f t="shared" si="18"/>
        <v/>
      </c>
      <c r="V37" s="10" t="str">
        <f t="shared" si="18"/>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V38" si="19">IF(O15="","",(O15/$O$23))</f>
        <v>1.0248778590544463</v>
      </c>
      <c r="P38" s="10" t="str">
        <f t="shared" si="19"/>
        <v/>
      </c>
      <c r="Q38" s="10" t="str">
        <f t="shared" si="19"/>
        <v/>
      </c>
      <c r="R38" s="10" t="str">
        <f t="shared" si="19"/>
        <v/>
      </c>
      <c r="S38" s="10" t="str">
        <f t="shared" si="19"/>
        <v/>
      </c>
      <c r="T38" s="10" t="str">
        <f t="shared" si="19"/>
        <v/>
      </c>
      <c r="U38" s="10" t="str">
        <f t="shared" si="19"/>
        <v/>
      </c>
      <c r="V38" s="10" t="str">
        <f t="shared" si="19"/>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V39" si="20">IF(O16="","",(O16/$O$23))</f>
        <v>0.90094863264012148</v>
      </c>
      <c r="P39" s="10" t="str">
        <f t="shared" si="20"/>
        <v/>
      </c>
      <c r="Q39" s="10" t="str">
        <f t="shared" si="20"/>
        <v/>
      </c>
      <c r="R39" s="10" t="str">
        <f t="shared" si="20"/>
        <v/>
      </c>
      <c r="S39" s="10" t="str">
        <f t="shared" si="20"/>
        <v/>
      </c>
      <c r="T39" s="10" t="str">
        <f t="shared" si="20"/>
        <v/>
      </c>
      <c r="U39" s="10" t="str">
        <f t="shared" si="20"/>
        <v/>
      </c>
      <c r="V39" s="10" t="str">
        <f t="shared" si="20"/>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0" si="21">IF(O17="","",(O17/$O$23))</f>
        <v>0.92740024153021494</v>
      </c>
      <c r="P40" s="10" t="str">
        <f t="shared" si="21"/>
        <v/>
      </c>
      <c r="Q40" s="10" t="str">
        <f t="shared" si="21"/>
        <v/>
      </c>
      <c r="R40" s="10" t="str">
        <f t="shared" si="21"/>
        <v/>
      </c>
      <c r="S40" s="10" t="str">
        <f t="shared" si="21"/>
        <v/>
      </c>
      <c r="T40" s="10" t="str">
        <f t="shared" si="21"/>
        <v/>
      </c>
      <c r="U40" s="10" t="str">
        <f t="shared" si="21"/>
        <v/>
      </c>
      <c r="V40" s="10" t="str">
        <f t="shared" si="21"/>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V41" si="22">IF(O18="","",(O18/$O$23))</f>
        <v>0.89941453163266605</v>
      </c>
      <c r="P41" s="10" t="str">
        <f t="shared" si="22"/>
        <v/>
      </c>
      <c r="Q41" s="10" t="str">
        <f t="shared" si="22"/>
        <v/>
      </c>
      <c r="R41" s="10" t="str">
        <f t="shared" si="22"/>
        <v/>
      </c>
      <c r="S41" s="10" t="str">
        <f t="shared" si="22"/>
        <v/>
      </c>
      <c r="T41" s="10" t="str">
        <f t="shared" si="22"/>
        <v/>
      </c>
      <c r="U41" s="10" t="str">
        <f t="shared" si="22"/>
        <v/>
      </c>
      <c r="V41" s="10" t="str">
        <f t="shared" si="22"/>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V42" si="23">IF(O19="","",(O19/$O$23))</f>
        <v>0.39595570556371823</v>
      </c>
      <c r="P42" s="10" t="str">
        <f t="shared" si="23"/>
        <v/>
      </c>
      <c r="Q42" s="10" t="str">
        <f t="shared" si="23"/>
        <v/>
      </c>
      <c r="R42" s="10" t="str">
        <f t="shared" si="23"/>
        <v/>
      </c>
      <c r="S42" s="10" t="str">
        <f t="shared" si="23"/>
        <v/>
      </c>
      <c r="T42" s="10" t="str">
        <f t="shared" si="23"/>
        <v/>
      </c>
      <c r="U42" s="10" t="str">
        <f t="shared" si="23"/>
        <v/>
      </c>
      <c r="V42" s="10" t="str">
        <f t="shared" si="23"/>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V43" si="24">IF(O20="","",(O20/$O$23))</f>
        <v>1.3598152051214321</v>
      </c>
      <c r="P43" s="10" t="str">
        <f t="shared" si="24"/>
        <v/>
      </c>
      <c r="Q43" s="10" t="str">
        <f t="shared" si="24"/>
        <v/>
      </c>
      <c r="R43" s="10" t="str">
        <f t="shared" si="24"/>
        <v/>
      </c>
      <c r="S43" s="10" t="str">
        <f t="shared" si="24"/>
        <v/>
      </c>
      <c r="T43" s="10" t="str">
        <f t="shared" si="24"/>
        <v/>
      </c>
      <c r="U43" s="10" t="str">
        <f t="shared" si="24"/>
        <v/>
      </c>
      <c r="V43" s="10" t="str">
        <f t="shared" si="24"/>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R45" si="25">B4</f>
        <v>Solvent control</v>
      </c>
      <c r="C45" s="6" t="str">
        <f t="shared" si="25"/>
        <v>EE2-33.8ng/L</v>
      </c>
      <c r="D45" s="6" t="str">
        <f t="shared" si="25"/>
        <v>EE2-50.6ng/L</v>
      </c>
      <c r="E45" s="6" t="str">
        <f t="shared" si="25"/>
        <v>EE2-76ng/L</v>
      </c>
      <c r="F45" s="6" t="str">
        <f t="shared" si="25"/>
        <v>EE2-114ng/L</v>
      </c>
      <c r="G45" s="6" t="str">
        <f t="shared" si="25"/>
        <v>EE2-170.9ng/L</v>
      </c>
      <c r="H45" s="6" t="str">
        <f t="shared" si="25"/>
        <v>EE2-488ng/L</v>
      </c>
      <c r="I45" s="6" t="str">
        <f t="shared" si="25"/>
        <v>anastrozole-20µg/L</v>
      </c>
      <c r="J45" s="6" t="str">
        <f t="shared" si="25"/>
        <v>anastrozole-4µg/L</v>
      </c>
      <c r="K45" s="6" t="str">
        <f t="shared" ref="K45:N45" si="26">K4</f>
        <v>anastrozole-0.8µg/L</v>
      </c>
      <c r="L45" s="6" t="str">
        <f t="shared" si="26"/>
        <v>anastrozole-0.16µg/L</v>
      </c>
      <c r="M45" s="6" t="str">
        <f t="shared" si="26"/>
        <v>anastrozole-0.032µg/L</v>
      </c>
      <c r="N45" s="6" t="str">
        <f t="shared" si="26"/>
        <v/>
      </c>
      <c r="O45" s="6" t="str">
        <f t="shared" si="25"/>
        <v>Testo -30µg/L</v>
      </c>
      <c r="P45" s="6" t="str">
        <f t="shared" si="25"/>
        <v>Testo 30µg/L + EE2 -64ng/L</v>
      </c>
      <c r="Q45" s="6" t="str">
        <f t="shared" si="25"/>
        <v>Testo 30µg/L + FAD-10mg/L</v>
      </c>
      <c r="R45" s="6" t="str">
        <f t="shared" si="25"/>
        <v>anastrozole-20µg/L + Testostérone</v>
      </c>
      <c r="S45" s="6" t="str">
        <f t="shared" ref="S45:V45" si="27">S4</f>
        <v>anastrozole-4µg/L + Testostérone</v>
      </c>
      <c r="T45" s="6" t="str">
        <f t="shared" si="27"/>
        <v>anastrozole-0.8µg/L + Testostérone</v>
      </c>
      <c r="U45" s="6" t="str">
        <f t="shared" si="27"/>
        <v>anastrozole-0.16µg/L + Testostérone</v>
      </c>
      <c r="V45" s="6" t="str">
        <f t="shared" si="27"/>
        <v>anastrozole-0.032µg/L + Testostérone</v>
      </c>
    </row>
    <row r="46" spans="1:22">
      <c r="A46" s="7" t="s">
        <v>0</v>
      </c>
      <c r="B46" s="9">
        <f t="shared" ref="B46:H46" si="28">AVERAGE(B28:B43)</f>
        <v>0.23419613140447876</v>
      </c>
      <c r="C46" s="9">
        <f t="shared" si="28"/>
        <v>0.23781637806197573</v>
      </c>
      <c r="D46" s="9">
        <f t="shared" si="28"/>
        <v>0.54186968489058185</v>
      </c>
      <c r="E46" s="9">
        <f t="shared" si="28"/>
        <v>1.5634036994778369</v>
      </c>
      <c r="F46" s="9">
        <f t="shared" si="28"/>
        <v>1.9581237861107634</v>
      </c>
      <c r="G46" s="9">
        <f t="shared" si="28"/>
        <v>2.9512576062240776</v>
      </c>
      <c r="H46" s="9">
        <f t="shared" si="28"/>
        <v>3.5505171655446839</v>
      </c>
      <c r="I46" s="9">
        <f>AVERAGE(I28:I43)</f>
        <v>0.25168862459924413</v>
      </c>
      <c r="J46" s="8">
        <f>AVERAGE(J28:J43)</f>
        <v>0.49033753308599742</v>
      </c>
      <c r="K46" s="8">
        <f t="shared" ref="K46:N46" si="29">AVERAGE(K28:K43)</f>
        <v>0.28647384737176468</v>
      </c>
      <c r="L46" s="8">
        <f t="shared" si="29"/>
        <v>0.1898246054549855</v>
      </c>
      <c r="M46" s="8">
        <f t="shared" si="29"/>
        <v>0.40851619317497889</v>
      </c>
      <c r="N46" s="8" t="e">
        <f t="shared" si="29"/>
        <v>#DIV/0!</v>
      </c>
      <c r="O46" s="9">
        <f t="shared" ref="O46:R46" si="30">AVERAGE(O28:O43)</f>
        <v>1</v>
      </c>
      <c r="P46" s="9">
        <f t="shared" si="30"/>
        <v>1.5167183201470511</v>
      </c>
      <c r="Q46" s="9">
        <f t="shared" si="30"/>
        <v>0.29160371722721645</v>
      </c>
      <c r="R46" s="9">
        <f t="shared" si="30"/>
        <v>0.3891373416889955</v>
      </c>
      <c r="S46" s="9">
        <f t="shared" ref="S46:V46" si="31">AVERAGE(S28:S43)</f>
        <v>0.28390208667271832</v>
      </c>
      <c r="T46" s="9">
        <f t="shared" si="31"/>
        <v>0.48679164578772033</v>
      </c>
      <c r="U46" s="9">
        <f t="shared" si="31"/>
        <v>0.83186470433299009</v>
      </c>
      <c r="V46" s="9">
        <f t="shared" si="31"/>
        <v>1.0319058631405071</v>
      </c>
    </row>
    <row r="47" spans="1:22">
      <c r="A47" s="7" t="s">
        <v>1</v>
      </c>
      <c r="B47" s="7">
        <f t="shared" ref="B47:J47" si="32">STDEV(B28:B43)</f>
        <v>0.12477891273728546</v>
      </c>
      <c r="C47" s="7">
        <f t="shared" si="32"/>
        <v>0.21729109253729356</v>
      </c>
      <c r="D47" s="7">
        <f t="shared" si="32"/>
        <v>0.37805000366929348</v>
      </c>
      <c r="E47" s="7">
        <f t="shared" si="32"/>
        <v>0.64460650576997502</v>
      </c>
      <c r="F47" s="7">
        <f t="shared" si="32"/>
        <v>0.37804563755325027</v>
      </c>
      <c r="G47" s="7">
        <f t="shared" si="32"/>
        <v>0.49955976659220208</v>
      </c>
      <c r="H47" s="7">
        <f t="shared" si="32"/>
        <v>0.40376194158888934</v>
      </c>
      <c r="I47" s="7">
        <f t="shared" si="32"/>
        <v>0.26168699384649186</v>
      </c>
      <c r="J47" s="7">
        <f t="shared" si="32"/>
        <v>0.18219687309994401</v>
      </c>
      <c r="K47" s="7">
        <f t="shared" ref="K47:N47" si="33">STDEV(K28:K43)</f>
        <v>0.23052525524508688</v>
      </c>
      <c r="L47" s="7">
        <f t="shared" si="33"/>
        <v>0.20758183099934188</v>
      </c>
      <c r="M47" s="7">
        <f t="shared" si="33"/>
        <v>0.24166709106867482</v>
      </c>
      <c r="N47" s="7" t="e">
        <f t="shared" si="33"/>
        <v>#DIV/0!</v>
      </c>
      <c r="O47" s="7">
        <f t="shared" ref="O47:R47" si="34">STDEV(O28:O43)</f>
        <v>0.51336559685925431</v>
      </c>
      <c r="P47" s="7">
        <f t="shared" si="34"/>
        <v>0.44308384965510028</v>
      </c>
      <c r="Q47" s="7">
        <f t="shared" si="34"/>
        <v>0.15676319936244659</v>
      </c>
      <c r="R47" s="7">
        <f t="shared" si="34"/>
        <v>0.15363561731628508</v>
      </c>
      <c r="S47" s="7">
        <f t="shared" ref="S47:V47" si="35">STDEV(S28:S43)</f>
        <v>0.14825337092410629</v>
      </c>
      <c r="T47" s="7">
        <f t="shared" si="35"/>
        <v>0.24926562799970692</v>
      </c>
      <c r="U47" s="7">
        <f t="shared" si="35"/>
        <v>0.3020494395960403</v>
      </c>
      <c r="V47" s="7">
        <f t="shared" si="35"/>
        <v>0.37305165709368421</v>
      </c>
    </row>
    <row r="48" spans="1:22">
      <c r="A48" s="7" t="s">
        <v>2</v>
      </c>
      <c r="B48" s="7">
        <f t="shared" ref="B48:J48" si="36" xml:space="preserve"> B47/SQRT(COUNT(B28:B43))</f>
        <v>4.4116007672809508E-2</v>
      </c>
      <c r="C48" s="7">
        <f t="shared" si="36"/>
        <v>7.6824002512276945E-2</v>
      </c>
      <c r="D48" s="7">
        <f t="shared" si="36"/>
        <v>0.13366086061107829</v>
      </c>
      <c r="E48" s="7">
        <f t="shared" si="36"/>
        <v>0.22790281571345733</v>
      </c>
      <c r="F48" s="7">
        <f t="shared" si="36"/>
        <v>0.13365931695594749</v>
      </c>
      <c r="G48" s="7">
        <f t="shared" si="36"/>
        <v>0.17662104928265748</v>
      </c>
      <c r="H48" s="7">
        <f t="shared" si="36"/>
        <v>0.14275140344127518</v>
      </c>
      <c r="I48" s="7">
        <f t="shared" si="36"/>
        <v>9.2520323948588362E-2</v>
      </c>
      <c r="J48" s="7">
        <f t="shared" si="36"/>
        <v>6.4416322239977633E-2</v>
      </c>
      <c r="K48" s="7">
        <f t="shared" ref="K48:N48" si="37" xml:space="preserve"> K47/SQRT(COUNT(K28:K43))</f>
        <v>8.1502985609280321E-2</v>
      </c>
      <c r="L48" s="7">
        <f t="shared" si="37"/>
        <v>7.3391260175377254E-2</v>
      </c>
      <c r="M48" s="7">
        <f t="shared" si="37"/>
        <v>8.5442219442143447E-2</v>
      </c>
      <c r="N48" s="7" t="e">
        <f t="shared" si="37"/>
        <v>#DIV/0!</v>
      </c>
      <c r="O48" s="7">
        <f t="shared" ref="O48:R48" si="38" xml:space="preserve"> O47/SQRT(COUNT(O28:O43))</f>
        <v>0.12834139921481358</v>
      </c>
      <c r="P48" s="7">
        <f t="shared" si="38"/>
        <v>0.15665379736268104</v>
      </c>
      <c r="Q48" s="7">
        <f t="shared" si="38"/>
        <v>5.5424160654842319E-2</v>
      </c>
      <c r="R48" s="7">
        <f t="shared" si="38"/>
        <v>5.4318393418063271E-2</v>
      </c>
      <c r="S48" s="7">
        <f t="shared" ref="S48:V48" si="39" xml:space="preserve"> S47/SQRT(COUNT(S28:S43))</f>
        <v>5.2415481957100045E-2</v>
      </c>
      <c r="T48" s="7">
        <f t="shared" si="39"/>
        <v>8.8128707937658049E-2</v>
      </c>
      <c r="U48" s="7">
        <f t="shared" si="39"/>
        <v>0.10679060349597828</v>
      </c>
      <c r="V48" s="7">
        <f t="shared" si="39"/>
        <v>0.13189367823191134</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customFormat="1" ht="15.75" thickBot="1"/>
    <row r="52" spans="1:22">
      <c r="A52" s="28" t="str">
        <f t="shared" ref="A52:H52" si="40">A27</f>
        <v>Noms des groupes</v>
      </c>
      <c r="B52" s="29" t="str">
        <f t="shared" si="40"/>
        <v>Solvent control</v>
      </c>
      <c r="C52" s="29" t="str">
        <f t="shared" si="40"/>
        <v>EE2-33.8ng/L</v>
      </c>
      <c r="D52" s="29" t="str">
        <f t="shared" si="40"/>
        <v>EE2-50.6ng/L</v>
      </c>
      <c r="E52" s="29" t="str">
        <f t="shared" si="40"/>
        <v>EE2-76ng/L</v>
      </c>
      <c r="F52" s="29" t="str">
        <f t="shared" si="40"/>
        <v>EE2-114ng/L</v>
      </c>
      <c r="G52" s="29" t="str">
        <f t="shared" si="40"/>
        <v>EE2-170.9ng/L</v>
      </c>
      <c r="H52" s="29" t="str">
        <f t="shared" si="40"/>
        <v>EE2-488ng/L</v>
      </c>
      <c r="I52" s="29" t="str">
        <f>I4</f>
        <v>anastrozole-20µg/L</v>
      </c>
      <c r="J52" s="29" t="str">
        <f>J4</f>
        <v>anastrozole-4µg/L</v>
      </c>
      <c r="K52" s="29" t="str">
        <f t="shared" ref="K52:N52" si="41">K4</f>
        <v>anastrozole-0.8µg/L</v>
      </c>
      <c r="L52" s="29" t="str">
        <f t="shared" si="41"/>
        <v>anastrozole-0.16µg/L</v>
      </c>
      <c r="M52" s="29" t="str">
        <f t="shared" si="41"/>
        <v>anastrozole-0.032µg/L</v>
      </c>
      <c r="N52" s="29" t="str">
        <f t="shared" si="41"/>
        <v/>
      </c>
      <c r="O52" s="29" t="str">
        <f>O27</f>
        <v>Testo -30µg/L</v>
      </c>
      <c r="P52" s="29" t="str">
        <f>P27</f>
        <v>Testo 30µg/L + EE2 -64ng/L</v>
      </c>
      <c r="Q52" s="29" t="str">
        <f>Q27</f>
        <v>Testo 30µg/L + FAD-10mg/L</v>
      </c>
      <c r="R52" s="29" t="str">
        <f>R27</f>
        <v>anastrozole-20µg/L + Testostérone</v>
      </c>
      <c r="S52" s="29" t="str">
        <f t="shared" ref="S52:V52" si="42">S27</f>
        <v>anastrozole-4µg/L + Testostérone</v>
      </c>
      <c r="T52" s="29" t="str">
        <f t="shared" si="42"/>
        <v>anastrozole-0.8µg/L + Testostérone</v>
      </c>
      <c r="U52" s="29" t="str">
        <f t="shared" si="42"/>
        <v>anastrozole-0.16µg/L + Testostérone</v>
      </c>
      <c r="V52" s="29" t="str">
        <f t="shared" si="42"/>
        <v>anastrozole-0.032µg/L + Testostérone</v>
      </c>
    </row>
    <row r="53" spans="1:22" s="3" customFormat="1">
      <c r="A53" s="43" t="s">
        <v>15</v>
      </c>
      <c r="B53" s="75">
        <f t="shared" ref="B53" si="43">B46</f>
        <v>0.23419613140447876</v>
      </c>
      <c r="C53" s="75">
        <f t="shared" ref="C53:V53" si="44">C46</f>
        <v>0.23781637806197573</v>
      </c>
      <c r="D53" s="75">
        <f t="shared" si="44"/>
        <v>0.54186968489058185</v>
      </c>
      <c r="E53" s="75">
        <f t="shared" si="44"/>
        <v>1.5634036994778369</v>
      </c>
      <c r="F53" s="75">
        <f t="shared" si="44"/>
        <v>1.9581237861107634</v>
      </c>
      <c r="G53" s="75">
        <f t="shared" si="44"/>
        <v>2.9512576062240776</v>
      </c>
      <c r="H53" s="75">
        <f t="shared" si="44"/>
        <v>3.5505171655446839</v>
      </c>
      <c r="I53" s="75">
        <f t="shared" si="44"/>
        <v>0.25168862459924413</v>
      </c>
      <c r="J53" s="75">
        <f t="shared" si="44"/>
        <v>0.49033753308599742</v>
      </c>
      <c r="K53" s="75">
        <f t="shared" si="44"/>
        <v>0.28647384737176468</v>
      </c>
      <c r="L53" s="75">
        <f t="shared" si="44"/>
        <v>0.1898246054549855</v>
      </c>
      <c r="M53" s="75">
        <f t="shared" si="44"/>
        <v>0.40851619317497889</v>
      </c>
      <c r="N53" s="75" t="e">
        <f t="shared" si="44"/>
        <v>#DIV/0!</v>
      </c>
      <c r="O53" s="75">
        <f t="shared" si="44"/>
        <v>1</v>
      </c>
      <c r="P53" s="75">
        <f t="shared" si="44"/>
        <v>1.5167183201470511</v>
      </c>
      <c r="Q53" s="75">
        <f t="shared" si="44"/>
        <v>0.29160371722721645</v>
      </c>
      <c r="R53" s="75">
        <f t="shared" si="44"/>
        <v>0.3891373416889955</v>
      </c>
      <c r="S53" s="75">
        <f t="shared" si="44"/>
        <v>0.28390208667271832</v>
      </c>
      <c r="T53" s="75">
        <f t="shared" si="44"/>
        <v>0.48679164578772033</v>
      </c>
      <c r="U53" s="75">
        <f t="shared" si="44"/>
        <v>0.83186470433299009</v>
      </c>
      <c r="V53" s="75">
        <f t="shared" si="44"/>
        <v>1.0319058631405071</v>
      </c>
    </row>
    <row r="54" spans="1:22" s="3" customFormat="1">
      <c r="A54" s="43" t="s">
        <v>2</v>
      </c>
      <c r="B54" s="75">
        <f t="shared" ref="B54" si="45">B48</f>
        <v>4.4116007672809508E-2</v>
      </c>
      <c r="C54" s="75">
        <f t="shared" ref="C54:V54" si="46">C48</f>
        <v>7.6824002512276945E-2</v>
      </c>
      <c r="D54" s="75">
        <f t="shared" si="46"/>
        <v>0.13366086061107829</v>
      </c>
      <c r="E54" s="75">
        <f t="shared" si="46"/>
        <v>0.22790281571345733</v>
      </c>
      <c r="F54" s="75">
        <f t="shared" si="46"/>
        <v>0.13365931695594749</v>
      </c>
      <c r="G54" s="75">
        <f t="shared" si="46"/>
        <v>0.17662104928265748</v>
      </c>
      <c r="H54" s="75">
        <f t="shared" si="46"/>
        <v>0.14275140344127518</v>
      </c>
      <c r="I54" s="75">
        <f t="shared" si="46"/>
        <v>9.2520323948588362E-2</v>
      </c>
      <c r="J54" s="75">
        <f t="shared" si="46"/>
        <v>6.4416322239977633E-2</v>
      </c>
      <c r="K54" s="75">
        <f t="shared" si="46"/>
        <v>8.1502985609280321E-2</v>
      </c>
      <c r="L54" s="75">
        <f t="shared" si="46"/>
        <v>7.3391260175377254E-2</v>
      </c>
      <c r="M54" s="75">
        <f t="shared" si="46"/>
        <v>8.5442219442143447E-2</v>
      </c>
      <c r="N54" s="75" t="e">
        <f t="shared" si="46"/>
        <v>#DIV/0!</v>
      </c>
      <c r="O54" s="75">
        <f t="shared" si="46"/>
        <v>0.12834139921481358</v>
      </c>
      <c r="P54" s="75">
        <f t="shared" si="46"/>
        <v>0.15665379736268104</v>
      </c>
      <c r="Q54" s="75">
        <f t="shared" si="46"/>
        <v>5.5424160654842319E-2</v>
      </c>
      <c r="R54" s="75">
        <f t="shared" si="46"/>
        <v>5.4318393418063271E-2</v>
      </c>
      <c r="S54" s="75">
        <f t="shared" si="46"/>
        <v>5.2415481957100045E-2</v>
      </c>
      <c r="T54" s="75">
        <f t="shared" si="46"/>
        <v>8.8128707937658049E-2</v>
      </c>
      <c r="U54" s="75">
        <f t="shared" si="46"/>
        <v>0.10679060349597828</v>
      </c>
      <c r="V54" s="75">
        <f t="shared" si="46"/>
        <v>0.13189367823191134</v>
      </c>
    </row>
    <row r="55" spans="1:22" s="3" customFormat="1">
      <c r="A55" s="43" t="s">
        <v>42</v>
      </c>
      <c r="B55" s="75">
        <f>(B53*100/$B53)-100</f>
        <v>0</v>
      </c>
      <c r="C55" s="75">
        <f t="shared" ref="C55:N55" si="47">(C53*100/$B53)-100</f>
        <v>1.5458183001513675</v>
      </c>
      <c r="D55" s="75">
        <f t="shared" si="47"/>
        <v>131.3743107714798</v>
      </c>
      <c r="E55" s="75">
        <f t="shared" si="47"/>
        <v>567.56170996594801</v>
      </c>
      <c r="F55" s="75">
        <f t="shared" si="47"/>
        <v>736.10424064985921</v>
      </c>
      <c r="G55" s="75">
        <f t="shared" si="47"/>
        <v>1160.1649687914692</v>
      </c>
      <c r="H55" s="75">
        <f t="shared" si="47"/>
        <v>1416.0443275694449</v>
      </c>
      <c r="I55" s="75">
        <f t="shared" si="47"/>
        <v>7.4691640249830584</v>
      </c>
      <c r="J55" s="75">
        <f t="shared" si="47"/>
        <v>109.37046660225926</v>
      </c>
      <c r="K55" s="75">
        <f t="shared" si="47"/>
        <v>22.322194501580967</v>
      </c>
      <c r="L55" s="75">
        <f t="shared" si="47"/>
        <v>-18.946310378141746</v>
      </c>
      <c r="M55" s="75">
        <f t="shared" si="47"/>
        <v>74.433365199117247</v>
      </c>
      <c r="N55" s="75" t="e">
        <f t="shared" si="47"/>
        <v>#DIV/0!</v>
      </c>
      <c r="O55" s="75">
        <f>(O53*100/$O53)-100</f>
        <v>0</v>
      </c>
      <c r="P55" s="75">
        <f t="shared" ref="P55:V55" si="48">(P53*100/$O53)-100</f>
        <v>51.671832014705103</v>
      </c>
      <c r="Q55" s="75">
        <f t="shared" si="48"/>
        <v>-70.839628277278351</v>
      </c>
      <c r="R55" s="75">
        <f t="shared" si="48"/>
        <v>-61.086265831100448</v>
      </c>
      <c r="S55" s="75">
        <f t="shared" si="48"/>
        <v>-71.609791332728165</v>
      </c>
      <c r="T55" s="75">
        <f t="shared" si="48"/>
        <v>-51.320835421227969</v>
      </c>
      <c r="U55" s="75">
        <f t="shared" si="48"/>
        <v>-16.813529566700993</v>
      </c>
      <c r="V55" s="75">
        <f t="shared" si="48"/>
        <v>3.1905863140507194</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49">IF(C56&gt;0.05,"Oui","Non")</f>
        <v>#NAME?</v>
      </c>
      <c r="D57" s="75" t="e">
        <f t="shared" ca="1" si="49"/>
        <v>#NAME?</v>
      </c>
      <c r="E57" s="75" t="e">
        <f t="shared" ca="1" si="49"/>
        <v>#NAME?</v>
      </c>
      <c r="F57" s="75" t="e">
        <f t="shared" ca="1" si="49"/>
        <v>#NAME?</v>
      </c>
      <c r="G57" s="75" t="e">
        <f t="shared" ca="1" si="49"/>
        <v>#NAME?</v>
      </c>
      <c r="H57" s="75" t="e">
        <f t="shared" ca="1" si="49"/>
        <v>#NAME?</v>
      </c>
      <c r="I57" s="75" t="e">
        <f t="shared" ca="1" si="49"/>
        <v>#NAME?</v>
      </c>
      <c r="J57" s="75" t="e">
        <f t="shared" ca="1" si="49"/>
        <v>#NAME?</v>
      </c>
      <c r="K57" s="75" t="e">
        <f t="shared" ca="1" si="49"/>
        <v>#NAME?</v>
      </c>
      <c r="L57" s="75" t="e">
        <f t="shared" ca="1" si="49"/>
        <v>#NAME?</v>
      </c>
      <c r="M57" s="75" t="e">
        <f t="shared" ca="1" si="49"/>
        <v>#NAME?</v>
      </c>
      <c r="N57" s="75" t="e">
        <f t="shared" ca="1" si="49"/>
        <v>#NAME?</v>
      </c>
      <c r="O57" s="75" t="e">
        <f t="shared" ca="1" si="49"/>
        <v>#NAME?</v>
      </c>
      <c r="P57" s="75" t="e">
        <f t="shared" ca="1" si="49"/>
        <v>#NAME?</v>
      </c>
      <c r="Q57" s="75" t="e">
        <f t="shared" ca="1" si="49"/>
        <v>#NAME?</v>
      </c>
      <c r="R57" s="75" t="e">
        <f t="shared" ca="1" si="49"/>
        <v>#NAME?</v>
      </c>
      <c r="S57" s="75" t="e">
        <f t="shared" ca="1" si="49"/>
        <v>#NAME?</v>
      </c>
      <c r="T57" s="75" t="e">
        <f t="shared" ca="1" si="49"/>
        <v>#NAME?</v>
      </c>
      <c r="U57" s="75" t="e">
        <f t="shared" ca="1" si="49"/>
        <v>#NAME?</v>
      </c>
      <c r="V57" s="75" t="e">
        <f t="shared" ca="1" si="49"/>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50">IF($B57="Non",IF(C57="Non","MW",IF(C57="Oui","MW","")),IF($B57="Oui",IF(C57="Oui","T-Test Welch",IF(C57="Non","MW",""))))</f>
        <v>#NAME?</v>
      </c>
      <c r="D59" s="78" t="e">
        <f t="shared" ca="1" si="50"/>
        <v>#NAME?</v>
      </c>
      <c r="E59" s="78" t="e">
        <f t="shared" ca="1" si="50"/>
        <v>#NAME?</v>
      </c>
      <c r="F59" s="78" t="e">
        <f t="shared" ca="1" si="50"/>
        <v>#NAME?</v>
      </c>
      <c r="G59" s="78" t="e">
        <f t="shared" ca="1" si="50"/>
        <v>#NAME?</v>
      </c>
      <c r="H59" s="78" t="e">
        <f t="shared" ca="1" si="50"/>
        <v>#NAME?</v>
      </c>
      <c r="I59" s="78" t="e">
        <f t="shared" ca="1" si="50"/>
        <v>#NAME?</v>
      </c>
      <c r="J59" s="78" t="e">
        <f t="shared" ca="1" si="50"/>
        <v>#NAME?</v>
      </c>
      <c r="K59" s="78" t="e">
        <f t="shared" ca="1" si="50"/>
        <v>#NAME?</v>
      </c>
      <c r="L59" s="78" t="e">
        <f t="shared" ca="1" si="50"/>
        <v>#NAME?</v>
      </c>
      <c r="M59" s="78" t="e">
        <f t="shared" ca="1" si="50"/>
        <v>#NAME?</v>
      </c>
      <c r="N59" s="78" t="e">
        <f t="shared" ca="1" si="50"/>
        <v>#NAME?</v>
      </c>
      <c r="O59" s="78" t="e">
        <f t="shared" ca="1" si="50"/>
        <v>#NAME?</v>
      </c>
      <c r="P59" s="78" t="e">
        <f ca="1">IF($O57="Non",IF(P57="Non","MW",IF(P57="Oui","MW","")),IF($O57="Oui",IF(P57="Oui","T-Test Welch",IF(P57="Non","MW",""))))</f>
        <v>#NAME?</v>
      </c>
      <c r="Q59" s="78" t="e">
        <f t="shared" ref="Q59:V59" ca="1" si="51">IF($O57="Non",IF(Q57="Non","MW",IF(Q57="Oui","MW","")),IF($O57="Oui",IF(Q57="Oui","T-Test Welch",IF(Q57="Non","MW",""))))</f>
        <v>#NAME?</v>
      </c>
      <c r="R59" s="78" t="e">
        <f t="shared" ca="1" si="51"/>
        <v>#NAME?</v>
      </c>
      <c r="S59" s="78" t="e">
        <f t="shared" ca="1" si="51"/>
        <v>#NAME?</v>
      </c>
      <c r="T59" s="78" t="e">
        <f t="shared" ca="1" si="51"/>
        <v>#NAME?</v>
      </c>
      <c r="U59" s="78" t="e">
        <f t="shared" ca="1" si="51"/>
        <v>#NAME?</v>
      </c>
      <c r="V59" s="78" t="e">
        <f t="shared" ca="1" si="51"/>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52">IF(C60&gt;0.05,"NS",IF(C60&gt;0.01,"*",IF(C60&gt;0.001,"**","***")))</f>
        <v>#NAME?</v>
      </c>
      <c r="D61" s="76" t="e">
        <f t="shared" ca="1" si="52"/>
        <v>#NAME?</v>
      </c>
      <c r="E61" s="76" t="e">
        <f t="shared" ca="1" si="52"/>
        <v>#NAME?</v>
      </c>
      <c r="F61" s="76" t="e">
        <f t="shared" ca="1" si="52"/>
        <v>#NAME?</v>
      </c>
      <c r="G61" s="76" t="e">
        <f t="shared" ca="1" si="52"/>
        <v>#NAME?</v>
      </c>
      <c r="H61" s="76" t="e">
        <f t="shared" ca="1" si="52"/>
        <v>#NAME?</v>
      </c>
      <c r="I61" s="76" t="e">
        <f t="shared" ca="1" si="52"/>
        <v>#NAME?</v>
      </c>
      <c r="J61" s="76" t="e">
        <f t="shared" ca="1" si="52"/>
        <v>#NAME?</v>
      </c>
      <c r="K61" s="76" t="e">
        <f t="shared" ca="1" si="52"/>
        <v>#NAME?</v>
      </c>
      <c r="L61" s="76" t="e">
        <f t="shared" ca="1" si="52"/>
        <v>#NAME?</v>
      </c>
      <c r="M61" s="76" t="e">
        <f t="shared" ca="1" si="52"/>
        <v>#NAME?</v>
      </c>
      <c r="N61" s="76" t="e">
        <f t="shared" ca="1" si="52"/>
        <v>#NAME?</v>
      </c>
      <c r="O61" s="76" t="e">
        <f t="shared" ca="1" si="52"/>
        <v>#NAME?</v>
      </c>
      <c r="P61" s="76" t="e">
        <f ca="1">IF(P60&gt;0.05,"NS",IF(P60&gt;0.01,"*",IF(P60&gt;0.001,"**","***")))</f>
        <v>#NAME?</v>
      </c>
      <c r="Q61" s="76" t="e">
        <f t="shared" ref="Q61:V61" ca="1" si="53">IF(Q60&gt;0.05,"NS",IF(Q60&gt;0.01,"*",IF(Q60&gt;0.001,"**","***")))</f>
        <v>#NAME?</v>
      </c>
      <c r="R61" s="76" t="e">
        <f t="shared" ca="1" si="53"/>
        <v>#NAME?</v>
      </c>
      <c r="S61" s="76" t="e">
        <f t="shared" ca="1" si="53"/>
        <v>#NAME?</v>
      </c>
      <c r="T61" s="76" t="e">
        <f t="shared" ca="1" si="53"/>
        <v>#NAME?</v>
      </c>
      <c r="U61" s="76" t="e">
        <f t="shared" ca="1" si="53"/>
        <v>#NAME?</v>
      </c>
      <c r="V61" s="76" t="e">
        <f t="shared" ca="1" si="53"/>
        <v>#NAME?</v>
      </c>
    </row>
    <row r="63" spans="1:22">
      <c r="A63" s="2" t="s">
        <v>20</v>
      </c>
    </row>
    <row r="64" spans="1:22">
      <c r="A64" s="1" t="s">
        <v>13</v>
      </c>
      <c r="B64" s="1">
        <f>B46+(3*B47)</f>
        <v>0.60853286961633513</v>
      </c>
    </row>
    <row r="65" spans="1:22">
      <c r="A65" s="1" t="s">
        <v>14</v>
      </c>
      <c r="B65" s="1">
        <f>B46+(10*B47)</f>
        <v>1.4819852587773332</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N3"/>
    <mergeCell ref="O3:V3"/>
    <mergeCell ref="B26:N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J1" zoomScale="70" zoomScaleNormal="70" zoomScaleSheetLayoutView="40" zoomScalePageLayoutView="30" workbookViewId="0">
      <selection activeCell="O2"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22" width="25.85546875" style="1" customWidth="1"/>
    <col min="23" max="16384" width="9.140625" style="1"/>
  </cols>
  <sheetData>
    <row r="1" spans="1:22" ht="60" customHeight="1" thickBot="1">
      <c r="A1" s="150" t="s">
        <v>70</v>
      </c>
      <c r="B1" s="139"/>
      <c r="C1" s="139"/>
      <c r="D1" s="139"/>
      <c r="E1" s="139"/>
      <c r="F1" s="139"/>
      <c r="G1" s="139"/>
      <c r="H1" s="139"/>
      <c r="I1" s="139"/>
      <c r="J1" s="139"/>
      <c r="K1" s="139"/>
      <c r="L1" s="139"/>
      <c r="M1" s="139"/>
      <c r="N1" s="139"/>
      <c r="O1" s="139"/>
      <c r="P1" s="139"/>
      <c r="Q1" s="139"/>
      <c r="R1" s="139"/>
      <c r="S1" s="139"/>
      <c r="T1" s="139"/>
      <c r="U1" s="139"/>
      <c r="V1" s="139"/>
    </row>
    <row r="2" spans="1:22" ht="15.75" thickBot="1"/>
    <row r="3" spans="1:22" ht="15.75" thickBot="1">
      <c r="A3" s="80" t="s">
        <v>12</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anastrozole-20µg/L</v>
      </c>
      <c r="J4" s="19" t="str">
        <f>'Front page'!A15</f>
        <v>anastrozole-4µg/L</v>
      </c>
      <c r="K4" s="19" t="str">
        <f>'Front page'!A16</f>
        <v>anastrozole-0.8µg/L</v>
      </c>
      <c r="L4" s="19" t="str">
        <f>'Front page'!A17</f>
        <v>anastrozole-0.16µg/L</v>
      </c>
      <c r="M4" s="19" t="str">
        <f>'Front page'!A18</f>
        <v>anastrozole-0.032µg/L</v>
      </c>
      <c r="N4" s="19" t="str">
        <f>'Front page'!A19</f>
        <v/>
      </c>
      <c r="O4" s="20" t="str">
        <f>'Front page'!A35</f>
        <v>Testo -30µg/L</v>
      </c>
      <c r="P4" s="20" t="str">
        <f>'Front page'!A36</f>
        <v>Testo 30µg/L + EE2 -64ng/L</v>
      </c>
      <c r="Q4" s="20" t="str">
        <f>'Front page'!A37</f>
        <v>Testo 30µg/L + FAD-10mg/L</v>
      </c>
      <c r="R4" s="20" t="str">
        <f>'Front page'!A38</f>
        <v>anastrozole-20µg/L + Testostérone</v>
      </c>
      <c r="S4" s="20" t="str">
        <f>'Front page'!A39</f>
        <v>anastrozole-4µg/L + Testostérone</v>
      </c>
      <c r="T4" s="20" t="str">
        <f>'Front page'!A40</f>
        <v>anastrozole-0.8µg/L + Testostérone</v>
      </c>
      <c r="U4" s="20" t="str">
        <f>'Front page'!A41</f>
        <v>anastrozole-0.16µg/L + Testostérone</v>
      </c>
      <c r="V4" s="20" t="str">
        <f>'Front page'!A42</f>
        <v>anastrozole-0.032µg/L + Testostérone</v>
      </c>
    </row>
    <row r="5" spans="1:22">
      <c r="A5" s="149" t="s">
        <v>71</v>
      </c>
      <c r="B5" s="78">
        <v>878012</v>
      </c>
      <c r="C5" s="78">
        <v>3628330</v>
      </c>
      <c r="D5" s="78">
        <v>8919798</v>
      </c>
      <c r="E5" s="78">
        <v>10769599</v>
      </c>
      <c r="F5" s="78">
        <v>15347091</v>
      </c>
      <c r="G5" s="78">
        <v>12778339</v>
      </c>
      <c r="H5" s="78">
        <v>18909465</v>
      </c>
      <c r="I5" s="16">
        <v>254703</v>
      </c>
      <c r="J5" s="16">
        <v>0</v>
      </c>
      <c r="K5" s="12">
        <v>1864466</v>
      </c>
      <c r="L5" s="12">
        <v>797633</v>
      </c>
      <c r="M5" s="12">
        <v>21284</v>
      </c>
      <c r="N5" s="12"/>
      <c r="O5" s="114">
        <v>3947823</v>
      </c>
      <c r="P5" s="113">
        <v>10852177</v>
      </c>
      <c r="Q5" s="113">
        <v>2318281</v>
      </c>
      <c r="R5" s="78">
        <v>1681243</v>
      </c>
      <c r="S5" s="78">
        <v>1749775</v>
      </c>
      <c r="T5" s="78">
        <v>7554540</v>
      </c>
      <c r="U5" s="78">
        <v>9794353</v>
      </c>
      <c r="V5" s="78">
        <v>4537724</v>
      </c>
    </row>
    <row r="6" spans="1:22" ht="16.5">
      <c r="A6" s="148"/>
      <c r="B6" s="112">
        <v>2561524</v>
      </c>
      <c r="C6" s="113">
        <v>1001372</v>
      </c>
      <c r="D6" s="78">
        <v>926297</v>
      </c>
      <c r="E6" s="78">
        <v>5686741</v>
      </c>
      <c r="F6" s="78">
        <v>13822244</v>
      </c>
      <c r="G6" s="78">
        <v>11923005</v>
      </c>
      <c r="H6" s="78">
        <v>15614086</v>
      </c>
      <c r="I6" s="16">
        <v>95820</v>
      </c>
      <c r="J6" s="16">
        <v>0</v>
      </c>
      <c r="K6" s="12">
        <v>165549</v>
      </c>
      <c r="L6" s="12">
        <v>1347643</v>
      </c>
      <c r="M6" s="12">
        <v>802039</v>
      </c>
      <c r="N6" s="12"/>
      <c r="O6" s="114">
        <v>12097591</v>
      </c>
      <c r="P6" s="113">
        <v>10061795</v>
      </c>
      <c r="Q6" s="113">
        <v>1258566</v>
      </c>
      <c r="R6" s="78">
        <v>2292589</v>
      </c>
      <c r="S6" s="78">
        <v>3884896</v>
      </c>
      <c r="T6" s="78">
        <v>951904</v>
      </c>
      <c r="U6" s="78">
        <v>6299354</v>
      </c>
      <c r="V6" s="78">
        <v>10207151</v>
      </c>
    </row>
    <row r="7" spans="1:22" ht="16.5">
      <c r="A7" s="148"/>
      <c r="B7" s="112">
        <v>344318</v>
      </c>
      <c r="C7" s="113">
        <v>2373333</v>
      </c>
      <c r="D7" s="78">
        <v>718213</v>
      </c>
      <c r="E7" s="78">
        <v>8601676</v>
      </c>
      <c r="F7" s="78">
        <v>15561612</v>
      </c>
      <c r="G7" s="78">
        <v>15088367</v>
      </c>
      <c r="H7" s="78">
        <v>12043836</v>
      </c>
      <c r="I7" s="16">
        <v>419136</v>
      </c>
      <c r="J7" s="16">
        <v>1247250</v>
      </c>
      <c r="K7" s="12">
        <v>220330</v>
      </c>
      <c r="L7" s="12">
        <v>670027</v>
      </c>
      <c r="M7" s="12">
        <v>270209</v>
      </c>
      <c r="N7" s="12"/>
      <c r="O7" s="114">
        <v>11916400</v>
      </c>
      <c r="P7" s="113">
        <v>10997622</v>
      </c>
      <c r="Q7" s="113">
        <v>427722</v>
      </c>
      <c r="R7" s="78">
        <v>769488</v>
      </c>
      <c r="S7" s="78">
        <v>3362655</v>
      </c>
      <c r="T7" s="78">
        <v>3651088</v>
      </c>
      <c r="U7" s="78">
        <v>5390547</v>
      </c>
      <c r="V7" s="78">
        <v>6771280</v>
      </c>
    </row>
    <row r="8" spans="1:22" ht="16.5">
      <c r="A8" s="148"/>
      <c r="B8" s="112">
        <v>2038154</v>
      </c>
      <c r="C8" s="113">
        <v>1550417</v>
      </c>
      <c r="D8" s="78">
        <v>5126021</v>
      </c>
      <c r="E8" s="78">
        <v>5798536</v>
      </c>
      <c r="F8" s="78">
        <v>9568803</v>
      </c>
      <c r="G8" s="78">
        <v>9978065</v>
      </c>
      <c r="H8" s="78">
        <v>16307906</v>
      </c>
      <c r="I8" s="16">
        <v>618546</v>
      </c>
      <c r="J8" s="16">
        <v>883922</v>
      </c>
      <c r="K8" s="12">
        <v>1261751</v>
      </c>
      <c r="L8" s="12">
        <v>444740</v>
      </c>
      <c r="M8" s="12">
        <v>216167</v>
      </c>
      <c r="N8" s="12"/>
      <c r="O8" s="114">
        <v>7937068</v>
      </c>
      <c r="P8" s="113">
        <v>13040793</v>
      </c>
      <c r="Q8" s="113">
        <v>2885754</v>
      </c>
      <c r="R8" s="78">
        <v>1285813</v>
      </c>
      <c r="S8" s="78">
        <v>2059392</v>
      </c>
      <c r="T8" s="78">
        <v>1802687</v>
      </c>
      <c r="U8" s="78">
        <v>9041666</v>
      </c>
      <c r="V8" s="78">
        <v>4226269</v>
      </c>
    </row>
    <row r="9" spans="1:22" ht="16.5">
      <c r="A9" s="148"/>
      <c r="B9" s="112">
        <v>1400401</v>
      </c>
      <c r="C9" s="113">
        <v>2305616</v>
      </c>
      <c r="D9" s="78">
        <v>2414294</v>
      </c>
      <c r="E9" s="78">
        <v>7161695</v>
      </c>
      <c r="F9" s="78">
        <v>6305534</v>
      </c>
      <c r="G9" s="78">
        <v>10515110</v>
      </c>
      <c r="H9" s="78">
        <v>20203345</v>
      </c>
      <c r="I9" s="16">
        <v>652765</v>
      </c>
      <c r="J9" s="16">
        <v>178980</v>
      </c>
      <c r="K9" s="12">
        <v>456653</v>
      </c>
      <c r="L9" s="12">
        <v>810425</v>
      </c>
      <c r="M9" s="12">
        <v>1282188</v>
      </c>
      <c r="N9" s="12"/>
      <c r="O9" s="114">
        <v>4534078</v>
      </c>
      <c r="P9" s="113">
        <v>13940340</v>
      </c>
      <c r="Q9" s="113">
        <v>2064681</v>
      </c>
      <c r="R9" s="78">
        <v>376965</v>
      </c>
      <c r="S9" s="78">
        <v>1498342</v>
      </c>
      <c r="T9" s="78">
        <v>2582273</v>
      </c>
      <c r="U9" s="78">
        <v>3278509</v>
      </c>
      <c r="V9" s="78">
        <v>3040479</v>
      </c>
    </row>
    <row r="10" spans="1:22" ht="16.5">
      <c r="A10" s="148"/>
      <c r="B10" s="112">
        <v>846469</v>
      </c>
      <c r="C10" s="113">
        <v>2813628</v>
      </c>
      <c r="D10" s="78">
        <v>4966312</v>
      </c>
      <c r="E10" s="78">
        <v>6592155</v>
      </c>
      <c r="F10" s="78">
        <v>12350743</v>
      </c>
      <c r="G10" s="78">
        <v>15614561</v>
      </c>
      <c r="H10" s="78">
        <v>15033707</v>
      </c>
      <c r="I10" s="16">
        <v>1056800</v>
      </c>
      <c r="J10" s="16">
        <v>1642902</v>
      </c>
      <c r="K10" s="12">
        <v>328620</v>
      </c>
      <c r="L10" s="12">
        <v>370573</v>
      </c>
      <c r="M10" s="12">
        <v>1010973</v>
      </c>
      <c r="N10" s="12"/>
      <c r="O10" s="114">
        <v>6162950</v>
      </c>
      <c r="P10" s="113">
        <v>8248797</v>
      </c>
      <c r="Q10" s="113">
        <v>880566</v>
      </c>
      <c r="R10" s="78">
        <v>902109</v>
      </c>
      <c r="S10" s="78">
        <v>1277256</v>
      </c>
      <c r="T10" s="78">
        <v>4438195</v>
      </c>
      <c r="U10" s="78">
        <v>6510743</v>
      </c>
      <c r="V10" s="78">
        <v>8117061</v>
      </c>
    </row>
    <row r="11" spans="1:22" ht="16.5">
      <c r="A11" s="148"/>
      <c r="B11" s="112">
        <v>104059</v>
      </c>
      <c r="C11" s="113">
        <v>1688985</v>
      </c>
      <c r="D11" s="78">
        <v>3003336</v>
      </c>
      <c r="E11" s="78">
        <v>3593813</v>
      </c>
      <c r="F11" s="78">
        <v>7867348</v>
      </c>
      <c r="G11" s="78">
        <v>15365595</v>
      </c>
      <c r="H11" s="78">
        <v>22520246</v>
      </c>
      <c r="I11" s="16">
        <v>851324</v>
      </c>
      <c r="J11" s="16">
        <v>599433</v>
      </c>
      <c r="K11" s="12">
        <v>313697</v>
      </c>
      <c r="L11" s="12">
        <v>118578</v>
      </c>
      <c r="M11" s="12">
        <v>504467</v>
      </c>
      <c r="N11" s="12"/>
      <c r="O11" s="114">
        <v>12576915</v>
      </c>
      <c r="P11" s="113">
        <v>10248546</v>
      </c>
      <c r="Q11" s="113">
        <v>3557887</v>
      </c>
      <c r="R11" s="78">
        <v>969259</v>
      </c>
      <c r="S11" s="78">
        <v>44960</v>
      </c>
      <c r="T11" s="78">
        <v>9949151</v>
      </c>
      <c r="U11" s="78">
        <v>8885241</v>
      </c>
      <c r="V11" s="78">
        <v>4304880</v>
      </c>
    </row>
    <row r="12" spans="1:22" ht="16.5">
      <c r="A12" s="148"/>
      <c r="B12" s="112">
        <v>1335665</v>
      </c>
      <c r="C12" s="113">
        <v>271216</v>
      </c>
      <c r="D12" s="78">
        <v>2256040</v>
      </c>
      <c r="E12" s="78">
        <v>6147868</v>
      </c>
      <c r="F12" s="78">
        <v>8354399</v>
      </c>
      <c r="G12" s="78">
        <v>12194375</v>
      </c>
      <c r="H12" s="78">
        <v>18763474</v>
      </c>
      <c r="I12" s="16">
        <v>1026037</v>
      </c>
      <c r="J12" s="16">
        <v>889468</v>
      </c>
      <c r="K12" s="12">
        <v>617353</v>
      </c>
      <c r="L12" s="12">
        <v>1237776</v>
      </c>
      <c r="M12" s="12">
        <v>828742</v>
      </c>
      <c r="N12" s="12"/>
      <c r="O12" s="114">
        <v>7555340</v>
      </c>
      <c r="P12" s="113">
        <v>13816680</v>
      </c>
      <c r="Q12" s="113">
        <v>277395</v>
      </c>
      <c r="R12" s="78">
        <v>1087254</v>
      </c>
      <c r="S12" s="78">
        <v>374984</v>
      </c>
      <c r="T12" s="78">
        <v>3441124</v>
      </c>
      <c r="U12" s="78">
        <v>10465091</v>
      </c>
      <c r="V12" s="78">
        <v>7455702</v>
      </c>
    </row>
    <row r="13" spans="1:22" ht="16.5">
      <c r="A13" s="148"/>
      <c r="B13" s="13"/>
      <c r="C13" s="12"/>
      <c r="D13" s="16"/>
      <c r="E13" s="16"/>
      <c r="F13" s="16"/>
      <c r="G13" s="16"/>
      <c r="H13" s="16"/>
      <c r="I13" s="16"/>
      <c r="J13" s="16"/>
      <c r="K13" s="12"/>
      <c r="L13" s="12"/>
      <c r="M13" s="12"/>
      <c r="N13" s="12"/>
      <c r="O13" s="114">
        <v>3567371</v>
      </c>
      <c r="P13" s="115"/>
      <c r="Q13" s="115"/>
      <c r="R13" s="116"/>
      <c r="S13" s="116"/>
      <c r="T13" s="116"/>
      <c r="U13" s="116"/>
      <c r="V13" s="116"/>
    </row>
    <row r="14" spans="1:22" ht="16.5">
      <c r="A14" s="148"/>
      <c r="B14" s="13"/>
      <c r="C14" s="16"/>
      <c r="D14" s="16"/>
      <c r="E14" s="16"/>
      <c r="F14" s="16"/>
      <c r="G14" s="16"/>
      <c r="H14" s="16"/>
      <c r="I14" s="16"/>
      <c r="J14" s="16"/>
      <c r="K14" s="12"/>
      <c r="L14" s="12"/>
      <c r="M14" s="12"/>
      <c r="N14" s="12"/>
      <c r="O14" s="114">
        <v>7050343</v>
      </c>
      <c r="P14" s="12"/>
      <c r="Q14" s="12"/>
      <c r="R14" s="16"/>
      <c r="S14" s="16"/>
      <c r="T14" s="16"/>
      <c r="U14" s="16"/>
      <c r="V14" s="16"/>
    </row>
    <row r="15" spans="1:22" ht="16.5">
      <c r="A15" s="148"/>
      <c r="B15" s="13"/>
      <c r="C15" s="16"/>
      <c r="D15" s="16"/>
      <c r="E15" s="16"/>
      <c r="F15" s="16"/>
      <c r="G15" s="16"/>
      <c r="H15" s="16"/>
      <c r="I15" s="16"/>
      <c r="J15" s="16"/>
      <c r="K15" s="12"/>
      <c r="L15" s="12"/>
      <c r="M15" s="12"/>
      <c r="N15" s="12"/>
      <c r="O15" s="114">
        <v>6865518</v>
      </c>
      <c r="P15" s="12"/>
      <c r="Q15" s="12"/>
      <c r="R15" s="16"/>
      <c r="S15" s="16"/>
      <c r="T15" s="16"/>
      <c r="U15" s="16"/>
      <c r="V15" s="16"/>
    </row>
    <row r="16" spans="1:22" ht="16.5">
      <c r="A16" s="148"/>
      <c r="B16" s="13"/>
      <c r="C16" s="16"/>
      <c r="D16" s="16"/>
      <c r="E16" s="16"/>
      <c r="F16" s="16"/>
      <c r="G16" s="16"/>
      <c r="H16" s="16"/>
      <c r="I16" s="16"/>
      <c r="J16" s="16"/>
      <c r="K16" s="12"/>
      <c r="L16" s="12"/>
      <c r="M16" s="12"/>
      <c r="N16" s="12"/>
      <c r="O16" s="114">
        <v>10055827</v>
      </c>
      <c r="P16" s="12"/>
      <c r="Q16" s="12"/>
      <c r="R16" s="16"/>
      <c r="S16" s="16"/>
      <c r="T16" s="16"/>
      <c r="U16" s="16"/>
      <c r="V16" s="16"/>
    </row>
    <row r="17" spans="1:22" ht="16.5">
      <c r="A17" s="148"/>
      <c r="B17" s="13"/>
      <c r="C17" s="16"/>
      <c r="D17" s="16"/>
      <c r="E17" s="16"/>
      <c r="F17" s="16"/>
      <c r="G17" s="16"/>
      <c r="H17" s="16"/>
      <c r="I17" s="16"/>
      <c r="J17" s="16"/>
      <c r="K17" s="12"/>
      <c r="L17" s="12"/>
      <c r="M17" s="12"/>
      <c r="N17" s="12"/>
      <c r="O17" s="114">
        <v>5975309</v>
      </c>
      <c r="P17" s="12"/>
      <c r="Q17" s="12"/>
      <c r="R17" s="16"/>
      <c r="S17" s="16"/>
      <c r="T17" s="16"/>
      <c r="U17" s="16"/>
      <c r="V17" s="16"/>
    </row>
    <row r="18" spans="1:22" ht="16.5">
      <c r="A18" s="148"/>
      <c r="B18" s="13"/>
      <c r="C18" s="16"/>
      <c r="D18" s="16"/>
      <c r="E18" s="16"/>
      <c r="F18" s="16"/>
      <c r="G18" s="16"/>
      <c r="H18" s="16"/>
      <c r="I18" s="16"/>
      <c r="J18" s="16"/>
      <c r="K18" s="12"/>
      <c r="L18" s="12"/>
      <c r="M18" s="12"/>
      <c r="N18" s="12"/>
      <c r="O18" s="114">
        <v>5966858</v>
      </c>
      <c r="P18" s="12"/>
      <c r="Q18" s="12"/>
      <c r="R18" s="16"/>
      <c r="S18" s="16"/>
      <c r="T18" s="16"/>
      <c r="U18" s="16"/>
      <c r="V18" s="16"/>
    </row>
    <row r="19" spans="1:22" ht="16.5">
      <c r="A19" s="148"/>
      <c r="B19" s="13"/>
      <c r="C19" s="16"/>
      <c r="D19" s="16"/>
      <c r="E19" s="16"/>
      <c r="F19" s="16"/>
      <c r="G19" s="16"/>
      <c r="H19" s="16"/>
      <c r="I19" s="16"/>
      <c r="J19" s="16"/>
      <c r="K19" s="12"/>
      <c r="L19" s="12"/>
      <c r="M19" s="12"/>
      <c r="N19" s="12"/>
      <c r="O19" s="114">
        <v>6204511</v>
      </c>
      <c r="P19" s="12"/>
      <c r="Q19" s="12"/>
      <c r="R19" s="16"/>
      <c r="S19" s="16"/>
      <c r="T19" s="16"/>
      <c r="U19" s="16"/>
      <c r="V19" s="16"/>
    </row>
    <row r="20" spans="1:22" ht="16.5">
      <c r="A20" s="148"/>
      <c r="B20" s="13"/>
      <c r="C20" s="16"/>
      <c r="D20" s="16"/>
      <c r="E20" s="16"/>
      <c r="F20" s="16"/>
      <c r="G20" s="16"/>
      <c r="H20" s="16"/>
      <c r="I20" s="16"/>
      <c r="J20" s="16"/>
      <c r="K20" s="12"/>
      <c r="L20" s="12"/>
      <c r="M20" s="12"/>
      <c r="N20" s="12"/>
      <c r="O20" s="114">
        <v>10569929</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anastrozole-20µg/L</v>
      </c>
      <c r="J22" s="3" t="str">
        <f t="shared" si="0"/>
        <v>anastrozole-4µg/L</v>
      </c>
      <c r="K22" s="3" t="str">
        <f t="shared" si="0"/>
        <v>anastrozole-0.8µg/L</v>
      </c>
      <c r="L22" s="3" t="str">
        <f t="shared" si="0"/>
        <v>anastrozole-0.16µg/L</v>
      </c>
      <c r="M22" s="3" t="str">
        <f t="shared" si="0"/>
        <v>anastrozole-0.032µg/L</v>
      </c>
      <c r="N22" s="3" t="str">
        <f t="shared" si="0"/>
        <v/>
      </c>
      <c r="O22" s="3" t="str">
        <f t="shared" si="0"/>
        <v>Testo -30µg/L</v>
      </c>
      <c r="P22" s="3" t="str">
        <f t="shared" si="0"/>
        <v>Testo 30µg/L + EE2 -64ng/L</v>
      </c>
      <c r="Q22" s="3" t="str">
        <f t="shared" si="0"/>
        <v>Testo 30µg/L + FAD-10mg/L</v>
      </c>
      <c r="R22" s="3" t="str">
        <f t="shared" si="0"/>
        <v>anastrozole-20µg/L + Testostérone</v>
      </c>
      <c r="S22" s="3" t="str">
        <f t="shared" si="0"/>
        <v>anastrozole-4µg/L + Testostérone</v>
      </c>
      <c r="T22" s="3" t="str">
        <f t="shared" si="0"/>
        <v>anastrozole-0.8µg/L + Testostérone</v>
      </c>
      <c r="U22" s="3" t="str">
        <f t="shared" si="0"/>
        <v>anastrozole-0.16µg/L + Testostérone</v>
      </c>
      <c r="V22" s="3" t="str">
        <f t="shared" si="0"/>
        <v>anastrozole-0.032µg/L + Testostérone</v>
      </c>
    </row>
    <row r="23" spans="1:22">
      <c r="A23" s="5" t="s">
        <v>0</v>
      </c>
      <c r="B23" s="5">
        <f t="shared" ref="B23:J23" si="1">AVERAGE(B5:B20)</f>
        <v>1188575.25</v>
      </c>
      <c r="C23" s="5">
        <f t="shared" si="1"/>
        <v>1954112.125</v>
      </c>
      <c r="D23" s="5">
        <f t="shared" si="1"/>
        <v>3541288.875</v>
      </c>
      <c r="E23" s="5">
        <f t="shared" si="1"/>
        <v>6794010.375</v>
      </c>
      <c r="F23" s="5">
        <f t="shared" si="1"/>
        <v>11147221.75</v>
      </c>
      <c r="G23" s="5">
        <f t="shared" si="1"/>
        <v>12932177.125</v>
      </c>
      <c r="H23" s="5">
        <f t="shared" si="1"/>
        <v>17424508.125</v>
      </c>
      <c r="I23" s="5">
        <f t="shared" si="1"/>
        <v>621891.375</v>
      </c>
      <c r="J23" s="5">
        <f t="shared" si="1"/>
        <v>680244.375</v>
      </c>
      <c r="K23" s="5"/>
      <c r="L23" s="5">
        <f>AVERAGE(L5:L20)</f>
        <v>724674.375</v>
      </c>
      <c r="M23" s="5"/>
      <c r="N23" s="5" t="e">
        <f>AVERAGE(N5:N20)</f>
        <v>#DIV/0!</v>
      </c>
      <c r="O23" s="5">
        <f>AVERAGE(O5:O20)</f>
        <v>7686489.4375</v>
      </c>
      <c r="P23" s="5">
        <f>AVERAGE(P5:P20)</f>
        <v>11400843.75</v>
      </c>
      <c r="Q23" s="5">
        <f>AVERAGE(Q5:Q20)</f>
        <v>1708856.5</v>
      </c>
      <c r="R23" s="5">
        <f>AVERAGE(R5:R20)</f>
        <v>1170590</v>
      </c>
      <c r="S23" s="5">
        <f>AVERAGE(S5:S20)</f>
        <v>1781532.5</v>
      </c>
      <c r="T23" s="5">
        <f t="shared" ref="T23:V23" si="2">AVERAGE(T5:T20)</f>
        <v>4296370.25</v>
      </c>
      <c r="U23" s="5">
        <f t="shared" si="2"/>
        <v>7458188</v>
      </c>
      <c r="V23" s="5">
        <f t="shared" si="2"/>
        <v>6082568.25</v>
      </c>
    </row>
    <row r="24" spans="1:22">
      <c r="A24" s="3" t="s">
        <v>1</v>
      </c>
      <c r="B24" s="3">
        <f t="shared" ref="B24:J24" si="3">STDEV(B5:B20)</f>
        <v>825980.79229894071</v>
      </c>
      <c r="C24" s="3">
        <f t="shared" si="3"/>
        <v>1056557.037078918</v>
      </c>
      <c r="D24" s="3">
        <f t="shared" si="3"/>
        <v>2712135.2299699448</v>
      </c>
      <c r="E24" s="3">
        <f t="shared" si="3"/>
        <v>2142250.9993907902</v>
      </c>
      <c r="F24" s="3">
        <f t="shared" si="3"/>
        <v>3590080.1260715118</v>
      </c>
      <c r="G24" s="3">
        <f t="shared" si="3"/>
        <v>2201340.4695563177</v>
      </c>
      <c r="H24" s="3">
        <f t="shared" si="3"/>
        <v>3314004.8391181803</v>
      </c>
      <c r="I24" s="3">
        <f t="shared" si="3"/>
        <v>350259.29913134663</v>
      </c>
      <c r="J24" s="3">
        <f t="shared" si="3"/>
        <v>599610.04629769584</v>
      </c>
      <c r="K24" s="3"/>
      <c r="L24" s="3">
        <f>STDEV(L5:L20)</f>
        <v>420565.86123050161</v>
      </c>
      <c r="M24" s="3"/>
      <c r="N24" s="3" t="e">
        <f>STDEV(N5:N20)</f>
        <v>#DIV/0!</v>
      </c>
      <c r="O24" s="3">
        <f>STDEV(O5:O20)</f>
        <v>2917053.7362575042</v>
      </c>
      <c r="P24" s="3">
        <f>STDEV(P5:P20)</f>
        <v>2017587.0627027829</v>
      </c>
      <c r="Q24" s="3">
        <f>STDEV(Q5:Q20)</f>
        <v>1188109.2501046718</v>
      </c>
      <c r="R24" s="3">
        <f>STDEV(R5:R20)</f>
        <v>590787.5065157885</v>
      </c>
      <c r="S24" s="3">
        <f>STDEV(S5:S20)</f>
        <v>1327234.2452330817</v>
      </c>
      <c r="T24" s="3">
        <f t="shared" ref="T24:V24" si="4">STDEV(T5:T20)</f>
        <v>3025595.3357168166</v>
      </c>
      <c r="U24" s="3">
        <f t="shared" si="4"/>
        <v>2479297.6976621537</v>
      </c>
      <c r="V24" s="3">
        <f t="shared" si="4"/>
        <v>2442423.7658183342</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anastrozole-20µg/L</v>
      </c>
      <c r="J27" s="19" t="str">
        <f t="shared" si="5"/>
        <v>anastrozole-4µg/L</v>
      </c>
      <c r="K27" s="19" t="str">
        <f t="shared" si="5"/>
        <v>anastrozole-0.8µg/L</v>
      </c>
      <c r="L27" s="19" t="str">
        <f t="shared" si="5"/>
        <v>anastrozole-0.16µg/L</v>
      </c>
      <c r="M27" s="19" t="str">
        <f t="shared" si="5"/>
        <v>anastrozole-0.032µg/L</v>
      </c>
      <c r="N27" s="19" t="str">
        <f t="shared" si="5"/>
        <v/>
      </c>
      <c r="O27" s="20" t="str">
        <f>O4</f>
        <v>Testo -30µg/L</v>
      </c>
      <c r="P27" s="20" t="str">
        <f t="shared" ref="P27:V27" si="6">P4</f>
        <v>Testo 30µg/L + EE2 -64ng/L</v>
      </c>
      <c r="Q27" s="20" t="str">
        <f t="shared" si="6"/>
        <v>Testo 30µg/L + FAD-10mg/L</v>
      </c>
      <c r="R27" s="20" t="str">
        <f t="shared" si="6"/>
        <v>anastrozole-20µg/L + Testostérone</v>
      </c>
      <c r="S27" s="20" t="str">
        <f t="shared" si="6"/>
        <v>anastrozole-4µg/L + Testostérone</v>
      </c>
      <c r="T27" s="20" t="str">
        <f t="shared" si="6"/>
        <v>anastrozole-0.8µg/L + Testostérone</v>
      </c>
      <c r="U27" s="20" t="str">
        <f t="shared" si="6"/>
        <v>anastrozole-0.16µg/L + Testostérone</v>
      </c>
      <c r="V27" s="20" t="str">
        <f t="shared" si="6"/>
        <v>anastrozole-0.032µg/L + Testostérone</v>
      </c>
    </row>
    <row r="28" spans="1:22">
      <c r="A28" s="149" t="s">
        <v>72</v>
      </c>
      <c r="B28" s="10">
        <f>IF(B5="","",(B5/$O$23))</f>
        <v>0.11422795895827964</v>
      </c>
      <c r="C28" s="10">
        <f>IF(C5="","",(C5/$O$23))</f>
        <v>0.4720399383232744</v>
      </c>
      <c r="D28" s="10">
        <f>IF(D5="","",(D5/$O$23))</f>
        <v>1.1604514743080332</v>
      </c>
      <c r="E28" s="10">
        <f>IF(E5="","",(E5/$O$23))</f>
        <v>1.4011076301566829</v>
      </c>
      <c r="F28" s="10">
        <f>IF(F5="","",(F5/$O$23))</f>
        <v>1.996632028807104</v>
      </c>
      <c r="G28" s="10">
        <f>IF(G5="","",(G5/$O$23))</f>
        <v>1.6624414960695117</v>
      </c>
      <c r="H28" s="10">
        <f>IF(H5="","",(H5/$O$23))</f>
        <v>2.4600911968663586</v>
      </c>
      <c r="I28" s="10">
        <f>IF(I5="","",(I5/$O$23))</f>
        <v>3.3136453522902537E-2</v>
      </c>
      <c r="J28" s="10">
        <f>IF(J5="","",(J5/$O$23))</f>
        <v>0</v>
      </c>
      <c r="K28" s="10">
        <f>IF(K5="","",(K5/$O$23))</f>
        <v>0.24256404892770009</v>
      </c>
      <c r="L28" s="10">
        <f>IF(L5="","",(L5/$O$23))</f>
        <v>0.10377077942872019</v>
      </c>
      <c r="M28" s="10">
        <f>IF(M5="","",(M5/$O$23))</f>
        <v>2.7690144080810102E-3</v>
      </c>
      <c r="N28" s="10" t="str">
        <f>IF(N5="","",(N5/$O$23))</f>
        <v/>
      </c>
      <c r="O28" s="10">
        <f t="shared" ref="O28:V39" si="7">IF(O5="","",(O5/$O$23))</f>
        <v>0.51360546737237356</v>
      </c>
      <c r="P28" s="10">
        <f t="shared" si="7"/>
        <v>1.4118508960742977</v>
      </c>
      <c r="Q28" s="10">
        <f t="shared" si="7"/>
        <v>0.30160465565591299</v>
      </c>
      <c r="R28" s="10">
        <f t="shared" si="7"/>
        <v>0.21872702924663323</v>
      </c>
      <c r="S28" s="10">
        <f t="shared" si="7"/>
        <v>0.22764293299661481</v>
      </c>
      <c r="T28" s="10">
        <f t="shared" si="7"/>
        <v>0.9828335889130011</v>
      </c>
      <c r="U28" s="10">
        <f t="shared" si="7"/>
        <v>1.2742296830873645</v>
      </c>
      <c r="V28" s="10">
        <f t="shared" si="7"/>
        <v>0.59035064536247861</v>
      </c>
    </row>
    <row r="29" spans="1:22">
      <c r="A29" s="149"/>
      <c r="B29" s="10">
        <f>IF(B6="","",(B6/$O$23))</f>
        <v>0.33325018148117375</v>
      </c>
      <c r="C29" s="10">
        <f>IF(C6="","",(C6/$O$23))</f>
        <v>0.13027689794441352</v>
      </c>
      <c r="D29" s="10">
        <f>IF(D6="","",(D6/$O$23))</f>
        <v>0.12050976034402441</v>
      </c>
      <c r="E29" s="10">
        <f>IF(E6="","",(E6/$O$23))</f>
        <v>0.73983592200831672</v>
      </c>
      <c r="F29" s="10">
        <f>IF(F6="","",(F6/$O$23))</f>
        <v>1.7982518693859846</v>
      </c>
      <c r="G29" s="10">
        <f>IF(G6="","",(G6/$O$23))</f>
        <v>1.5511639086930054</v>
      </c>
      <c r="H29" s="10">
        <f>IF(H6="","",(H6/$O$23))</f>
        <v>2.0313676518988908</v>
      </c>
      <c r="I29" s="10">
        <f>IF(I6="","",(I6/$O$23))</f>
        <v>1.2466028969287841E-2</v>
      </c>
      <c r="J29" s="10">
        <f>IF(J6="","",(J6/$O$23))</f>
        <v>0</v>
      </c>
      <c r="K29" s="10">
        <f>IF(K6="","",(K6/$O$23))</f>
        <v>2.1537660507583309E-2</v>
      </c>
      <c r="L29" s="10">
        <f>IF(L6="","",(L6/$O$23))</f>
        <v>0.1753262020273218</v>
      </c>
      <c r="M29" s="10">
        <f>IF(M6="","",(M6/$O$23))</f>
        <v>0.10434399299205438</v>
      </c>
      <c r="N29" s="10" t="str">
        <f>IF(N6="","",(N6/$O$23))</f>
        <v/>
      </c>
      <c r="O29" s="10">
        <f t="shared" si="7"/>
        <v>1.5738772684679176</v>
      </c>
      <c r="P29" s="10">
        <f t="shared" si="7"/>
        <v>1.3090234601652635</v>
      </c>
      <c r="Q29" s="10">
        <f t="shared" si="7"/>
        <v>0.1637374265890286</v>
      </c>
      <c r="R29" s="10">
        <f t="shared" si="7"/>
        <v>0.29826216748769196</v>
      </c>
      <c r="S29" s="10">
        <f t="shared" si="7"/>
        <v>0.50541876517084594</v>
      </c>
      <c r="T29" s="10">
        <f t="shared" si="7"/>
        <v>0.12384119014799595</v>
      </c>
      <c r="U29" s="10">
        <f t="shared" si="7"/>
        <v>0.81953589492589474</v>
      </c>
      <c r="V29" s="10">
        <f t="shared" si="7"/>
        <v>1.3279340436223686</v>
      </c>
    </row>
    <row r="30" spans="1:22">
      <c r="A30" s="149"/>
      <c r="B30" s="10">
        <f>IF(B7="","",(B7/$O$23))</f>
        <v>4.4795221901975067E-2</v>
      </c>
      <c r="C30" s="10">
        <f>IF(C7="","",(C7/$O$23))</f>
        <v>0.30876683293432289</v>
      </c>
      <c r="D30" s="10">
        <f>IF(D7="","",(D7/$O$23))</f>
        <v>9.3438364267575957E-2</v>
      </c>
      <c r="E30" s="10">
        <f>IF(E7="","",(E7/$O$23))</f>
        <v>1.1190643101693587</v>
      </c>
      <c r="F30" s="10">
        <f>IF(F7="","",(F7/$O$23))</f>
        <v>2.0245408683032489</v>
      </c>
      <c r="G30" s="10">
        <f>IF(G7="","",(G7/$O$23))</f>
        <v>1.9629724496059975</v>
      </c>
      <c r="H30" s="10">
        <f>IF(H7="","",(H7/$O$23))</f>
        <v>1.5668838288181151</v>
      </c>
      <c r="I30" s="10">
        <f>IF(I7="","",(I7/$O$23))</f>
        <v>5.4528924212809728E-2</v>
      </c>
      <c r="J30" s="10">
        <f>IF(J7="","",(J7/$O$23))</f>
        <v>0.16226523306140953</v>
      </c>
      <c r="K30" s="10">
        <f>IF(K7="","",(K7/$O$23))</f>
        <v>2.866458111879764E-2</v>
      </c>
      <c r="L30" s="10">
        <f>IF(L7="","",(L7/$O$23))</f>
        <v>8.716944262372181E-2</v>
      </c>
      <c r="M30" s="10">
        <f>IF(M7="","",(M7/$O$23))</f>
        <v>3.5153759358821729E-2</v>
      </c>
      <c r="N30" s="10" t="str">
        <f>IF(N7="","",(N7/$O$23))</f>
        <v/>
      </c>
      <c r="O30" s="10">
        <f t="shared" si="7"/>
        <v>1.5503046087416159</v>
      </c>
      <c r="P30" s="10">
        <f t="shared" si="7"/>
        <v>1.4307730582892642</v>
      </c>
      <c r="Q30" s="10">
        <f t="shared" si="7"/>
        <v>5.564594910041467E-2</v>
      </c>
      <c r="R30" s="10">
        <f t="shared" si="7"/>
        <v>0.10010915987809813</v>
      </c>
      <c r="S30" s="10">
        <f t="shared" si="7"/>
        <v>0.43747604512336258</v>
      </c>
      <c r="T30" s="10">
        <f t="shared" si="7"/>
        <v>0.47500071777728242</v>
      </c>
      <c r="U30" s="10">
        <f t="shared" si="7"/>
        <v>0.7013015556492137</v>
      </c>
      <c r="V30" s="10">
        <f t="shared" si="7"/>
        <v>0.88093271382967409</v>
      </c>
    </row>
    <row r="31" spans="1:22">
      <c r="A31" s="149"/>
      <c r="B31" s="10">
        <f>IF(B8="","",(B8/$O$23))</f>
        <v>0.26516058033677614</v>
      </c>
      <c r="C31" s="10">
        <f>IF(C8="","",(C8/$O$23))</f>
        <v>0.20170677558418229</v>
      </c>
      <c r="D31" s="10">
        <f>IF(D8="","",(D8/$O$23))</f>
        <v>0.66688714551427497</v>
      </c>
      <c r="E31" s="10">
        <f>IF(E8="","",(E8/$O$23))</f>
        <v>0.7543802729645005</v>
      </c>
      <c r="F31" s="10">
        <f>IF(F8="","",(F8/$O$23))</f>
        <v>1.2448859883052432</v>
      </c>
      <c r="G31" s="10">
        <f>IF(G8="","",(G8/$O$23))</f>
        <v>1.2981303208874668</v>
      </c>
      <c r="H31" s="10">
        <f>IF(H8="","",(H8/$O$23))</f>
        <v>2.1216325258236588</v>
      </c>
      <c r="I31" s="10">
        <f>IF(I8="","",(I8/$O$23))</f>
        <v>8.0471846742194916E-2</v>
      </c>
      <c r="J31" s="10">
        <f>IF(J8="","",(J8/$O$23))</f>
        <v>0.11499684051962895</v>
      </c>
      <c r="K31" s="10">
        <f>IF(K8="","",(K8/$O$23))</f>
        <v>0.16415179000237845</v>
      </c>
      <c r="L31" s="10">
        <f>IF(L8="","",(L8/$O$23))</f>
        <v>5.7859963721572476E-2</v>
      </c>
      <c r="M31" s="10">
        <f>IF(M8="","",(M8/$O$23))</f>
        <v>2.8122981467376795E-2</v>
      </c>
      <c r="N31" s="10" t="str">
        <f>IF(N8="","",(N8/$O$23))</f>
        <v/>
      </c>
      <c r="O31" s="10">
        <f t="shared" si="7"/>
        <v>1.0325998707911448</v>
      </c>
      <c r="P31" s="10">
        <f t="shared" si="7"/>
        <v>1.6965863423135681</v>
      </c>
      <c r="Q31" s="10">
        <f t="shared" si="7"/>
        <v>0.37543198666497873</v>
      </c>
      <c r="R31" s="10">
        <f t="shared" si="7"/>
        <v>0.16728221777381452</v>
      </c>
      <c r="S31" s="10">
        <f t="shared" si="7"/>
        <v>0.26792361021832212</v>
      </c>
      <c r="T31" s="10">
        <f t="shared" si="7"/>
        <v>0.23452669969274254</v>
      </c>
      <c r="U31" s="10">
        <f t="shared" si="7"/>
        <v>1.1763063064769872</v>
      </c>
      <c r="V31" s="10">
        <f t="shared" si="7"/>
        <v>0.5498308472761757</v>
      </c>
    </row>
    <row r="32" spans="1:22">
      <c r="A32" s="149"/>
      <c r="B32" s="10">
        <f>IF(B9="","",(B9/$O$23))</f>
        <v>0.18218993356939742</v>
      </c>
      <c r="C32" s="10">
        <f>IF(C9="","",(C9/$O$23))</f>
        <v>0.29995695938273381</v>
      </c>
      <c r="D32" s="10">
        <f>IF(D9="","",(D9/$O$23))</f>
        <v>0.31409579361696743</v>
      </c>
      <c r="E32" s="10">
        <f>IF(E9="","",(E9/$O$23))</f>
        <v>0.93172508181177083</v>
      </c>
      <c r="F32" s="10">
        <f>IF(F9="","",(F9/$O$23))</f>
        <v>0.82033990305603666</v>
      </c>
      <c r="G32" s="10">
        <f>IF(G9="","",(G9/$O$23))</f>
        <v>1.3679990176920087</v>
      </c>
      <c r="H32" s="10">
        <f>IF(H9="","",(H9/$O$23))</f>
        <v>2.6284229184566548</v>
      </c>
      <c r="I32" s="10">
        <f>IF(I9="","",(I9/$O$23))</f>
        <v>8.4923683992247728E-2</v>
      </c>
      <c r="J32" s="10">
        <f>IF(J9="","",(J9/$O$23))</f>
        <v>2.3285012157411165E-2</v>
      </c>
      <c r="K32" s="10">
        <f>IF(K9="","",(K9/$O$23))</f>
        <v>5.9409825995744105E-2</v>
      </c>
      <c r="L32" s="10">
        <f>IF(L9="","",(L9/$O$23))</f>
        <v>0.10543499819907221</v>
      </c>
      <c r="M32" s="10">
        <f>IF(M9="","",(M9/$O$23))</f>
        <v>0.16681061106317302</v>
      </c>
      <c r="N32" s="10" t="str">
        <f>IF(N9="","",(N9/$O$23))</f>
        <v/>
      </c>
      <c r="O32" s="10">
        <f t="shared" si="7"/>
        <v>0.58987630658537549</v>
      </c>
      <c r="P32" s="10">
        <f t="shared" si="7"/>
        <v>1.8136159703790655</v>
      </c>
      <c r="Q32" s="10">
        <f t="shared" si="7"/>
        <v>0.26861170067144841</v>
      </c>
      <c r="R32" s="10">
        <f t="shared" si="7"/>
        <v>4.9042544462613136E-2</v>
      </c>
      <c r="S32" s="10">
        <f t="shared" si="7"/>
        <v>0.19493190125131166</v>
      </c>
      <c r="T32" s="10">
        <f t="shared" si="7"/>
        <v>0.33594959324368423</v>
      </c>
      <c r="U32" s="10">
        <f t="shared" si="7"/>
        <v>0.42652878490994478</v>
      </c>
      <c r="V32" s="10">
        <f t="shared" si="7"/>
        <v>0.3955614620591873</v>
      </c>
    </row>
    <row r="33" spans="1:22">
      <c r="A33" s="149"/>
      <c r="B33" s="10">
        <f>IF(B10="","",(B10/$O$23))</f>
        <v>0.11012426503448246</v>
      </c>
      <c r="C33" s="10">
        <f>IF(C10="","",(C10/$O$23))</f>
        <v>0.36604850925484667</v>
      </c>
      <c r="D33" s="10">
        <f>IF(D10="","",(D10/$O$23))</f>
        <v>0.64610925967983546</v>
      </c>
      <c r="E33" s="10">
        <f>IF(E10="","",(E10/$O$23))</f>
        <v>0.85762883740383722</v>
      </c>
      <c r="F33" s="10">
        <f>IF(F10="","",(F10/$O$23))</f>
        <v>1.606811939367867</v>
      </c>
      <c r="G33" s="10">
        <f>IF(G10="","",(G10/$O$23))</f>
        <v>2.0314294486402851</v>
      </c>
      <c r="H33" s="10">
        <f>IF(H10="","",(H10/$O$23))</f>
        <v>1.9558612709015382</v>
      </c>
      <c r="I33" s="10">
        <f>IF(I10="","",(I10/$O$23))</f>
        <v>0.13748799222232719</v>
      </c>
      <c r="J33" s="10">
        <f>IF(J10="","",(J10/$O$23))</f>
        <v>0.21373892637967995</v>
      </c>
      <c r="K33" s="10">
        <f>IF(K10="","",(K10/$O$23))</f>
        <v>4.275293717269224E-2</v>
      </c>
      <c r="L33" s="10">
        <f>IF(L10="","",(L10/$O$23))</f>
        <v>4.8210955471048873E-2</v>
      </c>
      <c r="M33" s="10">
        <f>IF(M10="","",(M10/$O$23))</f>
        <v>0.13152597271099808</v>
      </c>
      <c r="N33" s="10" t="str">
        <f>IF(N10="","",(N10/$O$23))</f>
        <v/>
      </c>
      <c r="O33" s="10">
        <f t="shared" si="7"/>
        <v>0.80178995237186912</v>
      </c>
      <c r="P33" s="10">
        <f t="shared" si="7"/>
        <v>1.0731553158398521</v>
      </c>
      <c r="Q33" s="10">
        <f t="shared" si="7"/>
        <v>0.11456023027937713</v>
      </c>
      <c r="R33" s="10">
        <f t="shared" si="7"/>
        <v>0.11736294017381846</v>
      </c>
      <c r="S33" s="10">
        <f t="shared" si="7"/>
        <v>0.1661689657398947</v>
      </c>
      <c r="T33" s="10">
        <f t="shared" si="7"/>
        <v>0.57740208141670268</v>
      </c>
      <c r="U33" s="10">
        <f t="shared" si="7"/>
        <v>0.84703726622404529</v>
      </c>
      <c r="V33" s="10">
        <f t="shared" si="7"/>
        <v>1.0560166726307298</v>
      </c>
    </row>
    <row r="34" spans="1:22">
      <c r="A34" s="149"/>
      <c r="B34" s="10">
        <f>IF(B11="","",(B11/$O$23))</f>
        <v>1.3537909711074133E-2</v>
      </c>
      <c r="C34" s="10">
        <f>IF(C11="","",(C11/$O$23))</f>
        <v>0.21973425108216055</v>
      </c>
      <c r="D34" s="10">
        <f>IF(D11="","",(D11/$O$23))</f>
        <v>0.39072921707895081</v>
      </c>
      <c r="E34" s="10">
        <f>IF(E11="","",(E11/$O$23))</f>
        <v>0.46754933174914676</v>
      </c>
      <c r="F34" s="10">
        <f>IF(F11="","",(F11/$O$23))</f>
        <v>1.0235294101384758</v>
      </c>
      <c r="G34" s="10">
        <f>IF(G11="","",(G11/$O$23))</f>
        <v>1.9990393696550239</v>
      </c>
      <c r="H34" s="10">
        <f>IF(H11="","",(H11/$O$23))</f>
        <v>2.9298480383165164</v>
      </c>
      <c r="I34" s="10">
        <f>IF(I11="","",(I11/$O$23))</f>
        <v>0.11075589278073474</v>
      </c>
      <c r="J34" s="10">
        <f>IF(J11="","",(J11/$O$23))</f>
        <v>7.7985275966887063E-2</v>
      </c>
      <c r="K34" s="10">
        <f>IF(K11="","",(K11/$O$23))</f>
        <v>4.0811478705684488E-2</v>
      </c>
      <c r="L34" s="10">
        <f>IF(L11="","",(L11/$O$23))</f>
        <v>1.5426808423295905E-2</v>
      </c>
      <c r="M34" s="10">
        <f>IF(M11="","",(M11/$O$23))</f>
        <v>6.5630351033706208E-2</v>
      </c>
      <c r="N34" s="10" t="str">
        <f>IF(N11="","",(N11/$O$23))</f>
        <v/>
      </c>
      <c r="O34" s="10">
        <f t="shared" si="7"/>
        <v>1.6362365553566143</v>
      </c>
      <c r="P34" s="10">
        <f t="shared" si="7"/>
        <v>1.3333194670118871</v>
      </c>
      <c r="Q34" s="10">
        <f t="shared" si="7"/>
        <v>0.46287541652528291</v>
      </c>
      <c r="R34" s="10">
        <f t="shared" si="7"/>
        <v>0.12609904793094306</v>
      </c>
      <c r="S34" s="10">
        <f t="shared" si="7"/>
        <v>5.8492241959839418E-3</v>
      </c>
      <c r="T34" s="10">
        <f t="shared" si="7"/>
        <v>1.2943686556649874</v>
      </c>
      <c r="U34" s="10">
        <f t="shared" si="7"/>
        <v>1.1559556637977881</v>
      </c>
      <c r="V34" s="10">
        <f t="shared" si="7"/>
        <v>0.56005801282934498</v>
      </c>
    </row>
    <row r="35" spans="1:22">
      <c r="A35" s="149"/>
      <c r="B35" s="10">
        <f>IF(B12="","",(B12/$O$23))</f>
        <v>0.17376788335695934</v>
      </c>
      <c r="C35" s="10">
        <f>IF(C12="","",(C12/$O$23))</f>
        <v>3.5284768450577868E-2</v>
      </c>
      <c r="D35" s="10">
        <f>IF(D12="","",(D12/$O$23))</f>
        <v>0.29350720095879923</v>
      </c>
      <c r="E35" s="10">
        <f>IF(E12="","",(E12/$O$23))</f>
        <v>0.79982780825879463</v>
      </c>
      <c r="F35" s="10">
        <f>IF(F12="","",(F12/$O$23))</f>
        <v>1.086893967386656</v>
      </c>
      <c r="G35" s="10">
        <f>IF(G12="","",(G12/$O$23))</f>
        <v>1.5864687122976353</v>
      </c>
      <c r="H35" s="10">
        <f>IF(H12="","",(H12/$O$23))</f>
        <v>2.4410980009233896</v>
      </c>
      <c r="I35" s="10">
        <f>IF(I12="","",(I12/$O$23))</f>
        <v>0.13348577505281975</v>
      </c>
      <c r="J35" s="10">
        <f>IF(J12="","",(J12/$O$23))</f>
        <v>0.11571836626230972</v>
      </c>
      <c r="K35" s="10">
        <f>IF(K12="","",(K12/$O$23))</f>
        <v>8.0316639347492766E-2</v>
      </c>
      <c r="L35" s="10">
        <f>IF(L12="","",(L12/$O$23))</f>
        <v>0.16103268079199778</v>
      </c>
      <c r="M35" s="10">
        <f>IF(M12="","",(M12/$O$23))</f>
        <v>0.10781801064564332</v>
      </c>
      <c r="N35" s="10" t="str">
        <f>IF(N12="","",(N12/$O$23))</f>
        <v/>
      </c>
      <c r="O35" s="10">
        <f t="shared" si="7"/>
        <v>0.98293766763534951</v>
      </c>
      <c r="P35" s="10">
        <f t="shared" si="7"/>
        <v>1.797528001872051</v>
      </c>
      <c r="Q35" s="10">
        <f t="shared" si="7"/>
        <v>3.6088646482316848E-2</v>
      </c>
      <c r="R35" s="10">
        <f t="shared" si="7"/>
        <v>0.1414500089853275</v>
      </c>
      <c r="S35" s="10">
        <f t="shared" si="7"/>
        <v>4.8784819526397745E-2</v>
      </c>
      <c r="T35" s="10">
        <f t="shared" si="7"/>
        <v>0.4476847367033151</v>
      </c>
      <c r="U35" s="10">
        <f t="shared" si="7"/>
        <v>1.3614916256755736</v>
      </c>
      <c r="V35" s="10">
        <f t="shared" si="7"/>
        <v>0.96997492296365362</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7"/>
        <v>0.46410926977872402</v>
      </c>
      <c r="P36" s="10" t="str">
        <f t="shared" si="7"/>
        <v/>
      </c>
      <c r="Q36" s="10" t="str">
        <f t="shared" si="7"/>
        <v/>
      </c>
      <c r="R36" s="10" t="str">
        <f t="shared" si="7"/>
        <v/>
      </c>
      <c r="S36" s="10" t="str">
        <f t="shared" si="7"/>
        <v/>
      </c>
      <c r="T36" s="10" t="str">
        <f t="shared" si="7"/>
        <v/>
      </c>
      <c r="U36" s="10" t="str">
        <f t="shared" si="7"/>
        <v/>
      </c>
      <c r="V36" s="10" t="str">
        <f t="shared" si="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7"/>
        <v>0.91723836444808748</v>
      </c>
      <c r="P37" s="10" t="str">
        <f t="shared" si="7"/>
        <v/>
      </c>
      <c r="Q37" s="10" t="str">
        <f t="shared" si="7"/>
        <v/>
      </c>
      <c r="R37" s="10" t="str">
        <f t="shared" si="7"/>
        <v/>
      </c>
      <c r="S37" s="10" t="str">
        <f t="shared" si="7"/>
        <v/>
      </c>
      <c r="T37" s="10" t="str">
        <f t="shared" si="7"/>
        <v/>
      </c>
      <c r="U37" s="10" t="str">
        <f t="shared" si="7"/>
        <v/>
      </c>
      <c r="V37" s="10" t="str">
        <f t="shared" si="7"/>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si="7"/>
        <v>0.89319292712551779</v>
      </c>
      <c r="P38" s="10" t="str">
        <f t="shared" si="7"/>
        <v/>
      </c>
      <c r="Q38" s="10" t="str">
        <f t="shared" si="7"/>
        <v/>
      </c>
      <c r="R38" s="10" t="str">
        <f t="shared" si="7"/>
        <v/>
      </c>
      <c r="S38" s="10" t="str">
        <f t="shared" si="7"/>
        <v/>
      </c>
      <c r="T38" s="10" t="str">
        <f t="shared" si="7"/>
        <v/>
      </c>
      <c r="U38" s="10" t="str">
        <f t="shared" si="7"/>
        <v/>
      </c>
      <c r="V38" s="10" t="str">
        <f t="shared" si="7"/>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si="7"/>
        <v>1.3082470328965439</v>
      </c>
      <c r="P39" s="10" t="str">
        <f t="shared" si="7"/>
        <v/>
      </c>
      <c r="Q39" s="10" t="str">
        <f t="shared" ref="Q39:V39" si="8">IF(Q16="","",(Q16/$O$23))</f>
        <v/>
      </c>
      <c r="R39" s="10" t="str">
        <f t="shared" si="8"/>
        <v/>
      </c>
      <c r="S39" s="10" t="str">
        <f t="shared" si="8"/>
        <v/>
      </c>
      <c r="T39" s="10" t="str">
        <f t="shared" si="8"/>
        <v/>
      </c>
      <c r="U39" s="10" t="str">
        <f t="shared" si="8"/>
        <v/>
      </c>
      <c r="V39" s="10" t="str">
        <f t="shared" si="8"/>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3" si="9">IF(O17="","",(O17/$O$23))</f>
        <v>0.77737815794663279</v>
      </c>
      <c r="P40" s="10" t="str">
        <f t="shared" si="9"/>
        <v/>
      </c>
      <c r="Q40" s="10" t="str">
        <f t="shared" si="9"/>
        <v/>
      </c>
      <c r="R40" s="10" t="str">
        <f t="shared" si="9"/>
        <v/>
      </c>
      <c r="S40" s="10" t="str">
        <f t="shared" si="9"/>
        <v/>
      </c>
      <c r="T40" s="10" t="str">
        <f t="shared" si="9"/>
        <v/>
      </c>
      <c r="U40" s="10" t="str">
        <f t="shared" si="9"/>
        <v/>
      </c>
      <c r="V40" s="10" t="str">
        <f t="shared" si="9"/>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si="9"/>
        <v>0.77627869634342417</v>
      </c>
      <c r="P41" s="10" t="str">
        <f t="shared" si="9"/>
        <v/>
      </c>
      <c r="Q41" s="10" t="str">
        <f t="shared" si="9"/>
        <v/>
      </c>
      <c r="R41" s="10" t="str">
        <f t="shared" si="9"/>
        <v/>
      </c>
      <c r="S41" s="10" t="str">
        <f t="shared" si="9"/>
        <v/>
      </c>
      <c r="T41" s="10" t="str">
        <f t="shared" si="9"/>
        <v/>
      </c>
      <c r="U41" s="10" t="str">
        <f t="shared" si="9"/>
        <v/>
      </c>
      <c r="V41" s="10" t="str">
        <f t="shared" si="9"/>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si="9"/>
        <v>0.80719697209627495</v>
      </c>
      <c r="P42" s="10" t="str">
        <f t="shared" si="9"/>
        <v/>
      </c>
      <c r="Q42" s="10" t="str">
        <f t="shared" si="9"/>
        <v/>
      </c>
      <c r="R42" s="10" t="str">
        <f t="shared" si="9"/>
        <v/>
      </c>
      <c r="S42" s="10" t="str">
        <f t="shared" si="9"/>
        <v/>
      </c>
      <c r="T42" s="10" t="str">
        <f t="shared" si="9"/>
        <v/>
      </c>
      <c r="U42" s="10" t="str">
        <f t="shared" si="9"/>
        <v/>
      </c>
      <c r="V42" s="10" t="str">
        <f t="shared" si="9"/>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si="9"/>
        <v>1.3751308820425345</v>
      </c>
      <c r="P43" s="10" t="str">
        <f t="shared" si="9"/>
        <v/>
      </c>
      <c r="Q43" s="10" t="str">
        <f t="shared" si="9"/>
        <v/>
      </c>
      <c r="R43" s="10" t="str">
        <f t="shared" si="9"/>
        <v/>
      </c>
      <c r="S43" s="10" t="str">
        <f t="shared" si="9"/>
        <v/>
      </c>
      <c r="T43" s="10" t="str">
        <f t="shared" si="9"/>
        <v/>
      </c>
      <c r="U43" s="10" t="str">
        <f t="shared" si="9"/>
        <v/>
      </c>
      <c r="V43" s="10" t="str">
        <f t="shared" si="9"/>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V45" si="10">B4</f>
        <v>Solvent control</v>
      </c>
      <c r="C45" s="6" t="str">
        <f t="shared" si="10"/>
        <v>EE2-33.8ng/L</v>
      </c>
      <c r="D45" s="6" t="str">
        <f t="shared" si="10"/>
        <v>EE2-50.6ng/L</v>
      </c>
      <c r="E45" s="6" t="str">
        <f t="shared" si="10"/>
        <v>EE2-76ng/L</v>
      </c>
      <c r="F45" s="6" t="str">
        <f t="shared" si="10"/>
        <v>EE2-114ng/L</v>
      </c>
      <c r="G45" s="6" t="str">
        <f t="shared" si="10"/>
        <v>EE2-170.9ng/L</v>
      </c>
      <c r="H45" s="6" t="str">
        <f t="shared" si="10"/>
        <v>EE2-488ng/L</v>
      </c>
      <c r="I45" s="6" t="str">
        <f t="shared" si="10"/>
        <v>anastrozole-20µg/L</v>
      </c>
      <c r="J45" s="6" t="str">
        <f t="shared" si="10"/>
        <v>anastrozole-4µg/L</v>
      </c>
      <c r="K45" s="6" t="str">
        <f t="shared" si="10"/>
        <v>anastrozole-0.8µg/L</v>
      </c>
      <c r="L45" s="6" t="str">
        <f t="shared" si="10"/>
        <v>anastrozole-0.16µg/L</v>
      </c>
      <c r="M45" s="6" t="str">
        <f t="shared" si="10"/>
        <v>anastrozole-0.032µg/L</v>
      </c>
      <c r="N45" s="6" t="str">
        <f t="shared" si="10"/>
        <v/>
      </c>
      <c r="O45" s="6" t="str">
        <f t="shared" si="10"/>
        <v>Testo -30µg/L</v>
      </c>
      <c r="P45" s="6" t="str">
        <f t="shared" si="10"/>
        <v>Testo 30µg/L + EE2 -64ng/L</v>
      </c>
      <c r="Q45" s="6" t="str">
        <f t="shared" si="10"/>
        <v>Testo 30µg/L + FAD-10mg/L</v>
      </c>
      <c r="R45" s="6" t="str">
        <f t="shared" si="10"/>
        <v>anastrozole-20µg/L + Testostérone</v>
      </c>
      <c r="S45" s="6" t="str">
        <f t="shared" si="10"/>
        <v>anastrozole-4µg/L + Testostérone</v>
      </c>
      <c r="T45" s="6" t="str">
        <f t="shared" si="10"/>
        <v>anastrozole-0.8µg/L + Testostérone</v>
      </c>
      <c r="U45" s="6" t="str">
        <f t="shared" si="10"/>
        <v>anastrozole-0.16µg/L + Testostérone</v>
      </c>
      <c r="V45" s="6" t="str">
        <f t="shared" si="10"/>
        <v>anastrozole-0.032µg/L + Testostérone</v>
      </c>
    </row>
    <row r="46" spans="1:22">
      <c r="A46" s="7" t="s">
        <v>0</v>
      </c>
      <c r="B46" s="9">
        <f t="shared" ref="B46:H46" si="11">AVERAGE(B28:B43)</f>
        <v>0.15463174179376474</v>
      </c>
      <c r="C46" s="9">
        <f t="shared" si="11"/>
        <v>0.25422686661956401</v>
      </c>
      <c r="D46" s="9">
        <f t="shared" si="11"/>
        <v>0.46071602697105768</v>
      </c>
      <c r="E46" s="9">
        <f t="shared" si="11"/>
        <v>0.88388989931530093</v>
      </c>
      <c r="F46" s="9">
        <f t="shared" si="11"/>
        <v>1.4502357468438269</v>
      </c>
      <c r="G46" s="9">
        <f t="shared" si="11"/>
        <v>1.6824555904426171</v>
      </c>
      <c r="H46" s="9">
        <f t="shared" si="11"/>
        <v>2.2669006790006403</v>
      </c>
      <c r="I46" s="9">
        <f>AVERAGE(I28:I43)</f>
        <v>8.0907074686915562E-2</v>
      </c>
      <c r="J46" s="8">
        <f>AVERAGE(J28:J43)</f>
        <v>8.8498706793415802E-2</v>
      </c>
      <c r="K46" s="8">
        <f t="shared" ref="K46:N46" si="12">AVERAGE(K28:K43)</f>
        <v>8.5026120222259138E-2</v>
      </c>
      <c r="L46" s="8">
        <f t="shared" si="12"/>
        <v>9.427897883584388E-2</v>
      </c>
      <c r="M46" s="8">
        <f t="shared" si="12"/>
        <v>8.0271836709981823E-2</v>
      </c>
      <c r="N46" s="8" t="e">
        <f t="shared" si="12"/>
        <v>#DIV/0!</v>
      </c>
      <c r="O46" s="9">
        <f t="shared" ref="O46:V46" si="13">AVERAGE(O28:O43)</f>
        <v>1</v>
      </c>
      <c r="P46" s="9">
        <f t="shared" si="13"/>
        <v>1.4832315639931561</v>
      </c>
      <c r="Q46" s="9">
        <f t="shared" si="13"/>
        <v>0.22231950149609503</v>
      </c>
      <c r="R46" s="9">
        <f t="shared" si="13"/>
        <v>0.15229188949236749</v>
      </c>
      <c r="S46" s="9">
        <f t="shared" si="13"/>
        <v>0.23177453302784168</v>
      </c>
      <c r="T46" s="9">
        <f t="shared" si="13"/>
        <v>0.55895090794496394</v>
      </c>
      <c r="U46" s="9">
        <f t="shared" si="13"/>
        <v>0.97029834759335154</v>
      </c>
      <c r="V46" s="9">
        <f t="shared" si="13"/>
        <v>0.7913324150717016</v>
      </c>
    </row>
    <row r="47" spans="1:22">
      <c r="A47" s="7" t="s">
        <v>1</v>
      </c>
      <c r="B47" s="7">
        <f t="shared" ref="B47:N47" si="14">STDEV(B28:B43)</f>
        <v>0.10745878193356208</v>
      </c>
      <c r="C47" s="7">
        <f t="shared" si="14"/>
        <v>0.13745638313432182</v>
      </c>
      <c r="D47" s="7">
        <f t="shared" si="14"/>
        <v>0.35284446196442776</v>
      </c>
      <c r="E47" s="7">
        <f t="shared" si="14"/>
        <v>0.27870343370790496</v>
      </c>
      <c r="F47" s="7">
        <f t="shared" si="14"/>
        <v>0.46706369081269122</v>
      </c>
      <c r="G47" s="7">
        <f t="shared" si="14"/>
        <v>0.28639087940674768</v>
      </c>
      <c r="H47" s="7">
        <f t="shared" si="14"/>
        <v>0.43114673689007676</v>
      </c>
      <c r="I47" s="7">
        <f t="shared" si="14"/>
        <v>4.5568175430325819E-2</v>
      </c>
      <c r="J47" s="7">
        <f t="shared" si="14"/>
        <v>7.800830940746295E-2</v>
      </c>
      <c r="K47" s="7">
        <f t="shared" si="14"/>
        <v>7.8108723196394378E-2</v>
      </c>
      <c r="L47" s="7">
        <f t="shared" si="14"/>
        <v>5.4714946875317506E-2</v>
      </c>
      <c r="M47" s="7">
        <f t="shared" si="14"/>
        <v>5.6606929036840767E-2</v>
      </c>
      <c r="N47" s="7" t="e">
        <f t="shared" si="14"/>
        <v>#DIV/0!</v>
      </c>
      <c r="O47" s="7">
        <f t="shared" ref="O47:V47" si="15">STDEV(O28:O43)</f>
        <v>0.37950403236438507</v>
      </c>
      <c r="P47" s="7">
        <f t="shared" si="15"/>
        <v>0.26248485464113247</v>
      </c>
      <c r="Q47" s="7">
        <f t="shared" si="15"/>
        <v>0.15457111595161441</v>
      </c>
      <c r="R47" s="7">
        <f t="shared" si="15"/>
        <v>7.6860511072001134E-2</v>
      </c>
      <c r="S47" s="7">
        <f t="shared" si="15"/>
        <v>0.17267105562624174</v>
      </c>
      <c r="T47" s="7">
        <f t="shared" si="15"/>
        <v>0.39362512110611575</v>
      </c>
      <c r="U47" s="7">
        <f t="shared" si="15"/>
        <v>0.32255267086772099</v>
      </c>
      <c r="V47" s="7">
        <f t="shared" si="15"/>
        <v>0.31775543122488453</v>
      </c>
    </row>
    <row r="48" spans="1:22">
      <c r="A48" s="7" t="s">
        <v>2</v>
      </c>
      <c r="B48" s="7">
        <f t="shared" ref="B48:N48" si="16" xml:space="preserve"> B47/SQRT(COUNT(B28:B43))</f>
        <v>3.7992416701634099E-2</v>
      </c>
      <c r="C48" s="7">
        <f t="shared" si="16"/>
        <v>4.8598170315827569E-2</v>
      </c>
      <c r="D48" s="7">
        <f t="shared" si="16"/>
        <v>0.12474935587958284</v>
      </c>
      <c r="E48" s="7">
        <f t="shared" si="16"/>
        <v>9.8536543957417497E-2</v>
      </c>
      <c r="F48" s="7">
        <f t="shared" si="16"/>
        <v>0.16513195150983545</v>
      </c>
      <c r="G48" s="7">
        <f t="shared" si="16"/>
        <v>0.10125446644924502</v>
      </c>
      <c r="H48" s="7">
        <f t="shared" si="16"/>
        <v>0.15243339067071274</v>
      </c>
      <c r="I48" s="7">
        <f t="shared" si="16"/>
        <v>1.6110782926540803E-2</v>
      </c>
      <c r="J48" s="7">
        <f t="shared" si="16"/>
        <v>2.7580102285457698E-2</v>
      </c>
      <c r="K48" s="7">
        <f t="shared" si="16"/>
        <v>2.7615603920996722E-2</v>
      </c>
      <c r="L48" s="7">
        <f t="shared" si="16"/>
        <v>1.9344654983899354E-2</v>
      </c>
      <c r="M48" s="7">
        <f t="shared" si="16"/>
        <v>2.0013571692047892E-2</v>
      </c>
      <c r="N48" s="7" t="e">
        <f t="shared" si="16"/>
        <v>#DIV/0!</v>
      </c>
      <c r="O48" s="7">
        <f t="shared" ref="O48:V48" si="17" xml:space="preserve"> O47/SQRT(COUNT(O28:O43))</f>
        <v>9.4876008091096267E-2</v>
      </c>
      <c r="P48" s="7">
        <f t="shared" si="17"/>
        <v>9.2802410337754992E-2</v>
      </c>
      <c r="Q48" s="7">
        <f t="shared" si="17"/>
        <v>5.4649142132479331E-2</v>
      </c>
      <c r="R48" s="7">
        <f t="shared" si="17"/>
        <v>2.7174294292237857E-2</v>
      </c>
      <c r="S48" s="7">
        <f t="shared" si="17"/>
        <v>6.1048437173977545E-2</v>
      </c>
      <c r="T48" s="7">
        <f t="shared" si="17"/>
        <v>0.13916749618975521</v>
      </c>
      <c r="U48" s="7">
        <f t="shared" si="17"/>
        <v>0.11403959043019903</v>
      </c>
      <c r="V48" s="7">
        <f t="shared" si="17"/>
        <v>0.11234351008898573</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row r="52" spans="1:22">
      <c r="A52" s="28" t="str">
        <f t="shared" ref="A52:H52" si="18">A27</f>
        <v>Noms des groupes</v>
      </c>
      <c r="B52" s="29" t="str">
        <f t="shared" si="18"/>
        <v>Solvent control</v>
      </c>
      <c r="C52" s="29" t="str">
        <f t="shared" si="18"/>
        <v>EE2-33.8ng/L</v>
      </c>
      <c r="D52" s="29" t="str">
        <f t="shared" si="18"/>
        <v>EE2-50.6ng/L</v>
      </c>
      <c r="E52" s="29" t="str">
        <f t="shared" si="18"/>
        <v>EE2-76ng/L</v>
      </c>
      <c r="F52" s="29" t="str">
        <f t="shared" si="18"/>
        <v>EE2-114ng/L</v>
      </c>
      <c r="G52" s="29" t="str">
        <f t="shared" si="18"/>
        <v>EE2-170.9ng/L</v>
      </c>
      <c r="H52" s="29" t="str">
        <f t="shared" si="18"/>
        <v>EE2-488ng/L</v>
      </c>
      <c r="I52" s="29" t="str">
        <f>I4</f>
        <v>anastrozole-20µg/L</v>
      </c>
      <c r="J52" s="29" t="str">
        <f>J4</f>
        <v>anastrozole-4µg/L</v>
      </c>
      <c r="K52" s="29" t="str">
        <f t="shared" ref="K52:N52" si="19">K4</f>
        <v>anastrozole-0.8µg/L</v>
      </c>
      <c r="L52" s="29" t="str">
        <f t="shared" si="19"/>
        <v>anastrozole-0.16µg/L</v>
      </c>
      <c r="M52" s="29" t="str">
        <f t="shared" si="19"/>
        <v>anastrozole-0.032µg/L</v>
      </c>
      <c r="N52" s="29" t="str">
        <f t="shared" si="19"/>
        <v/>
      </c>
      <c r="O52" s="29" t="str">
        <f>O27</f>
        <v>Testo -30µg/L</v>
      </c>
      <c r="P52" s="29" t="str">
        <f>P27</f>
        <v>Testo 30µg/L + EE2 -64ng/L</v>
      </c>
      <c r="Q52" s="29" t="str">
        <f>Q27</f>
        <v>Testo 30µg/L + FAD-10mg/L</v>
      </c>
      <c r="R52" s="29" t="str">
        <f>R27</f>
        <v>anastrozole-20µg/L + Testostérone</v>
      </c>
      <c r="S52" s="29" t="str">
        <f t="shared" ref="S52:V52" si="20">S27</f>
        <v>anastrozole-4µg/L + Testostérone</v>
      </c>
      <c r="T52" s="29" t="str">
        <f t="shared" si="20"/>
        <v>anastrozole-0.8µg/L + Testostérone</v>
      </c>
      <c r="U52" s="29" t="str">
        <f t="shared" si="20"/>
        <v>anastrozole-0.16µg/L + Testostérone</v>
      </c>
      <c r="V52" s="29" t="str">
        <f t="shared" si="20"/>
        <v>anastrozole-0.032µg/L + Testostérone</v>
      </c>
    </row>
    <row r="53" spans="1:22" s="3" customFormat="1">
      <c r="A53" s="43" t="s">
        <v>15</v>
      </c>
      <c r="B53" s="75">
        <f t="shared" ref="B53:V53" si="21">B46</f>
        <v>0.15463174179376474</v>
      </c>
      <c r="C53" s="75">
        <f t="shared" si="21"/>
        <v>0.25422686661956401</v>
      </c>
      <c r="D53" s="75">
        <f t="shared" si="21"/>
        <v>0.46071602697105768</v>
      </c>
      <c r="E53" s="75">
        <f t="shared" si="21"/>
        <v>0.88388989931530093</v>
      </c>
      <c r="F53" s="75">
        <f t="shared" si="21"/>
        <v>1.4502357468438269</v>
      </c>
      <c r="G53" s="75">
        <f t="shared" si="21"/>
        <v>1.6824555904426171</v>
      </c>
      <c r="H53" s="75">
        <f t="shared" si="21"/>
        <v>2.2669006790006403</v>
      </c>
      <c r="I53" s="75">
        <f t="shared" si="21"/>
        <v>8.0907074686915562E-2</v>
      </c>
      <c r="J53" s="75">
        <f t="shared" si="21"/>
        <v>8.8498706793415802E-2</v>
      </c>
      <c r="K53" s="75">
        <f t="shared" si="21"/>
        <v>8.5026120222259138E-2</v>
      </c>
      <c r="L53" s="75">
        <f t="shared" si="21"/>
        <v>9.427897883584388E-2</v>
      </c>
      <c r="M53" s="75">
        <f t="shared" si="21"/>
        <v>8.0271836709981823E-2</v>
      </c>
      <c r="N53" s="75" t="e">
        <f t="shared" si="21"/>
        <v>#DIV/0!</v>
      </c>
      <c r="O53" s="75">
        <f t="shared" si="21"/>
        <v>1</v>
      </c>
      <c r="P53" s="75">
        <f t="shared" si="21"/>
        <v>1.4832315639931561</v>
      </c>
      <c r="Q53" s="75">
        <f t="shared" si="21"/>
        <v>0.22231950149609503</v>
      </c>
      <c r="R53" s="75">
        <f t="shared" si="21"/>
        <v>0.15229188949236749</v>
      </c>
      <c r="S53" s="75">
        <f t="shared" si="21"/>
        <v>0.23177453302784168</v>
      </c>
      <c r="T53" s="75">
        <f t="shared" si="21"/>
        <v>0.55895090794496394</v>
      </c>
      <c r="U53" s="75">
        <f t="shared" si="21"/>
        <v>0.97029834759335154</v>
      </c>
      <c r="V53" s="75">
        <f t="shared" si="21"/>
        <v>0.7913324150717016</v>
      </c>
    </row>
    <row r="54" spans="1:22" s="3" customFormat="1">
      <c r="A54" s="43" t="s">
        <v>2</v>
      </c>
      <c r="B54" s="75">
        <f t="shared" ref="B54:V54" si="22">B48</f>
        <v>3.7992416701634099E-2</v>
      </c>
      <c r="C54" s="75">
        <f t="shared" si="22"/>
        <v>4.8598170315827569E-2</v>
      </c>
      <c r="D54" s="75">
        <f t="shared" si="22"/>
        <v>0.12474935587958284</v>
      </c>
      <c r="E54" s="75">
        <f t="shared" si="22"/>
        <v>9.8536543957417497E-2</v>
      </c>
      <c r="F54" s="75">
        <f t="shared" si="22"/>
        <v>0.16513195150983545</v>
      </c>
      <c r="G54" s="75">
        <f t="shared" si="22"/>
        <v>0.10125446644924502</v>
      </c>
      <c r="H54" s="75">
        <f t="shared" si="22"/>
        <v>0.15243339067071274</v>
      </c>
      <c r="I54" s="75">
        <f t="shared" si="22"/>
        <v>1.6110782926540803E-2</v>
      </c>
      <c r="J54" s="75">
        <f t="shared" si="22"/>
        <v>2.7580102285457698E-2</v>
      </c>
      <c r="K54" s="75">
        <f t="shared" si="22"/>
        <v>2.7615603920996722E-2</v>
      </c>
      <c r="L54" s="75">
        <f t="shared" si="22"/>
        <v>1.9344654983899354E-2</v>
      </c>
      <c r="M54" s="75">
        <f t="shared" si="22"/>
        <v>2.0013571692047892E-2</v>
      </c>
      <c r="N54" s="75" t="e">
        <f t="shared" si="22"/>
        <v>#DIV/0!</v>
      </c>
      <c r="O54" s="75">
        <f t="shared" si="22"/>
        <v>9.4876008091096267E-2</v>
      </c>
      <c r="P54" s="75">
        <f t="shared" si="22"/>
        <v>9.2802410337754992E-2</v>
      </c>
      <c r="Q54" s="75">
        <f t="shared" si="22"/>
        <v>5.4649142132479331E-2</v>
      </c>
      <c r="R54" s="75">
        <f t="shared" si="22"/>
        <v>2.7174294292237857E-2</v>
      </c>
      <c r="S54" s="75">
        <f t="shared" si="22"/>
        <v>6.1048437173977545E-2</v>
      </c>
      <c r="T54" s="75">
        <f t="shared" si="22"/>
        <v>0.13916749618975521</v>
      </c>
      <c r="U54" s="75">
        <f t="shared" si="22"/>
        <v>0.11403959043019903</v>
      </c>
      <c r="V54" s="75">
        <f t="shared" si="22"/>
        <v>0.11234351008898573</v>
      </c>
    </row>
    <row r="55" spans="1:22" s="3" customFormat="1">
      <c r="A55" s="43" t="s">
        <v>42</v>
      </c>
      <c r="B55" s="75">
        <f>(B53*100/$B53)-100</f>
        <v>0</v>
      </c>
      <c r="C55" s="75">
        <f t="shared" ref="C55:N55" si="23">(C53*100/$B53)-100</f>
        <v>64.407943460037558</v>
      </c>
      <c r="D55" s="75">
        <f t="shared" si="23"/>
        <v>197.94401953094683</v>
      </c>
      <c r="E55" s="75">
        <f t="shared" si="23"/>
        <v>471.60961201236512</v>
      </c>
      <c r="F55" s="75">
        <f t="shared" si="23"/>
        <v>837.86419917460012</v>
      </c>
      <c r="G55" s="75">
        <f t="shared" si="23"/>
        <v>988.04025029126274</v>
      </c>
      <c r="H55" s="75">
        <f t="shared" si="23"/>
        <v>1365.9995759629019</v>
      </c>
      <c r="I55" s="75">
        <f t="shared" si="23"/>
        <v>-47.677576577503181</v>
      </c>
      <c r="J55" s="75">
        <f t="shared" si="23"/>
        <v>-42.768085150687767</v>
      </c>
      <c r="K55" s="75">
        <f t="shared" si="23"/>
        <v>-45.013799084239714</v>
      </c>
      <c r="L55" s="75">
        <f t="shared" si="23"/>
        <v>-39.029996207644402</v>
      </c>
      <c r="M55" s="75">
        <f t="shared" si="23"/>
        <v>-48.088383549968746</v>
      </c>
      <c r="N55" s="75" t="e">
        <f t="shared" si="23"/>
        <v>#DIV/0!</v>
      </c>
      <c r="O55" s="75">
        <f>(O53*100/$O53)-100</f>
        <v>0</v>
      </c>
      <c r="P55" s="75">
        <f t="shared" ref="P55:V55" si="24">(P53*100/$O53)-100</f>
        <v>48.323156399315621</v>
      </c>
      <c r="Q55" s="75">
        <f t="shared" si="24"/>
        <v>-77.768049850390497</v>
      </c>
      <c r="R55" s="75">
        <f t="shared" si="24"/>
        <v>-84.770811050763257</v>
      </c>
      <c r="S55" s="75">
        <f t="shared" si="24"/>
        <v>-76.822546697215827</v>
      </c>
      <c r="T55" s="75">
        <f t="shared" si="24"/>
        <v>-44.104909205503603</v>
      </c>
      <c r="U55" s="75">
        <f t="shared" si="24"/>
        <v>-2.9701652406648407</v>
      </c>
      <c r="V55" s="75">
        <f t="shared" si="24"/>
        <v>-20.866758492829845</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25">IF(C56&gt;0.05,"Oui","Non")</f>
        <v>#NAME?</v>
      </c>
      <c r="D57" s="75" t="e">
        <f t="shared" ca="1" si="25"/>
        <v>#NAME?</v>
      </c>
      <c r="E57" s="75" t="e">
        <f t="shared" ca="1" si="25"/>
        <v>#NAME?</v>
      </c>
      <c r="F57" s="75" t="e">
        <f t="shared" ca="1" si="25"/>
        <v>#NAME?</v>
      </c>
      <c r="G57" s="75" t="e">
        <f t="shared" ca="1" si="25"/>
        <v>#NAME?</v>
      </c>
      <c r="H57" s="75" t="e">
        <f t="shared" ca="1" si="25"/>
        <v>#NAME?</v>
      </c>
      <c r="I57" s="75" t="e">
        <f t="shared" ca="1" si="25"/>
        <v>#NAME?</v>
      </c>
      <c r="J57" s="75" t="e">
        <f t="shared" ca="1" si="25"/>
        <v>#NAME?</v>
      </c>
      <c r="K57" s="75" t="e">
        <f t="shared" ca="1" si="25"/>
        <v>#NAME?</v>
      </c>
      <c r="L57" s="75" t="e">
        <f t="shared" ca="1" si="25"/>
        <v>#NAME?</v>
      </c>
      <c r="M57" s="75" t="e">
        <f t="shared" ca="1" si="25"/>
        <v>#NAME?</v>
      </c>
      <c r="N57" s="75" t="e">
        <f t="shared" ca="1" si="25"/>
        <v>#NAME?</v>
      </c>
      <c r="O57" s="75" t="e">
        <f t="shared" ca="1" si="25"/>
        <v>#NAME?</v>
      </c>
      <c r="P57" s="75" t="e">
        <f t="shared" ca="1" si="25"/>
        <v>#NAME?</v>
      </c>
      <c r="Q57" s="75" t="e">
        <f t="shared" ca="1" si="25"/>
        <v>#NAME?</v>
      </c>
      <c r="R57" s="75" t="e">
        <f t="shared" ca="1" si="25"/>
        <v>#NAME?</v>
      </c>
      <c r="S57" s="75" t="e">
        <f t="shared" ca="1" si="25"/>
        <v>#NAME?</v>
      </c>
      <c r="T57" s="75" t="e">
        <f t="shared" ca="1" si="25"/>
        <v>#NAME?</v>
      </c>
      <c r="U57" s="75" t="e">
        <f t="shared" ca="1" si="25"/>
        <v>#NAME?</v>
      </c>
      <c r="V57" s="75" t="e">
        <f t="shared" ca="1" si="25"/>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26">IF($B57="Non",IF(C57="Non","MW",IF(C57="Oui","MW","")),IF($B57="Oui",IF(C57="Oui","T-Test Welch",IF(C57="Non","MW",""))))</f>
        <v>#NAME?</v>
      </c>
      <c r="D59" s="78" t="e">
        <f t="shared" ca="1" si="26"/>
        <v>#NAME?</v>
      </c>
      <c r="E59" s="78" t="e">
        <f t="shared" ca="1" si="26"/>
        <v>#NAME?</v>
      </c>
      <c r="F59" s="78" t="e">
        <f t="shared" ca="1" si="26"/>
        <v>#NAME?</v>
      </c>
      <c r="G59" s="78" t="e">
        <f t="shared" ca="1" si="26"/>
        <v>#NAME?</v>
      </c>
      <c r="H59" s="78" t="e">
        <f t="shared" ca="1" si="26"/>
        <v>#NAME?</v>
      </c>
      <c r="I59" s="78" t="e">
        <f t="shared" ca="1" si="26"/>
        <v>#NAME?</v>
      </c>
      <c r="J59" s="78" t="e">
        <f t="shared" ca="1" si="26"/>
        <v>#NAME?</v>
      </c>
      <c r="K59" s="78" t="e">
        <f t="shared" ca="1" si="26"/>
        <v>#NAME?</v>
      </c>
      <c r="L59" s="78" t="e">
        <f t="shared" ca="1" si="26"/>
        <v>#NAME?</v>
      </c>
      <c r="M59" s="78" t="e">
        <f t="shared" ca="1" si="26"/>
        <v>#NAME?</v>
      </c>
      <c r="N59" s="78" t="e">
        <f t="shared" ca="1" si="26"/>
        <v>#NAME?</v>
      </c>
      <c r="O59" s="78" t="e">
        <f t="shared" ca="1" si="26"/>
        <v>#NAME?</v>
      </c>
      <c r="P59" s="78" t="e">
        <f ca="1">IF($O57="Non",IF(P57="Non","MW",IF(P57="Oui","MW","")),IF($O57="Oui",IF(P57="Oui","T-Test Welch",IF(P57="Non","MW",""))))</f>
        <v>#NAME?</v>
      </c>
      <c r="Q59" s="78" t="e">
        <f t="shared" ref="Q59:V59" ca="1" si="27">IF($O57="Non",IF(Q57="Non","MW",IF(Q57="Oui","MW","")),IF($O57="Oui",IF(Q57="Oui","T-Test Welch",IF(Q57="Non","MW",""))))</f>
        <v>#NAME?</v>
      </c>
      <c r="R59" s="78" t="e">
        <f t="shared" ca="1" si="27"/>
        <v>#NAME?</v>
      </c>
      <c r="S59" s="78" t="e">
        <f t="shared" ca="1" si="27"/>
        <v>#NAME?</v>
      </c>
      <c r="T59" s="78" t="e">
        <f t="shared" ca="1" si="27"/>
        <v>#NAME?</v>
      </c>
      <c r="U59" s="78" t="e">
        <f t="shared" ca="1" si="27"/>
        <v>#NAME?</v>
      </c>
      <c r="V59" s="78" t="e">
        <f t="shared" ca="1" si="27"/>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28">IF(C60&gt;0.05,"NS",IF(C60&gt;0.01,"*",IF(C60&gt;0.001,"**","***")))</f>
        <v>#NAME?</v>
      </c>
      <c r="D61" s="76" t="e">
        <f t="shared" ca="1" si="28"/>
        <v>#NAME?</v>
      </c>
      <c r="E61" s="76" t="e">
        <f t="shared" ca="1" si="28"/>
        <v>#NAME?</v>
      </c>
      <c r="F61" s="76" t="e">
        <f t="shared" ca="1" si="28"/>
        <v>#NAME?</v>
      </c>
      <c r="G61" s="76" t="e">
        <f t="shared" ca="1" si="28"/>
        <v>#NAME?</v>
      </c>
      <c r="H61" s="76" t="e">
        <f t="shared" ca="1" si="28"/>
        <v>#NAME?</v>
      </c>
      <c r="I61" s="76" t="e">
        <f t="shared" ca="1" si="28"/>
        <v>#NAME?</v>
      </c>
      <c r="J61" s="76" t="e">
        <f t="shared" ca="1" si="28"/>
        <v>#NAME?</v>
      </c>
      <c r="K61" s="76" t="e">
        <f t="shared" ca="1" si="28"/>
        <v>#NAME?</v>
      </c>
      <c r="L61" s="76" t="e">
        <f t="shared" ca="1" si="28"/>
        <v>#NAME?</v>
      </c>
      <c r="M61" s="76" t="e">
        <f t="shared" ca="1" si="28"/>
        <v>#NAME?</v>
      </c>
      <c r="N61" s="76" t="e">
        <f t="shared" ca="1" si="28"/>
        <v>#NAME?</v>
      </c>
      <c r="O61" s="76" t="e">
        <f t="shared" ca="1" si="28"/>
        <v>#NAME?</v>
      </c>
      <c r="P61" s="76" t="e">
        <f ca="1">IF(P60&gt;0.05,"NS",IF(P60&gt;0.01,"*",IF(P60&gt;0.001,"**","***")))</f>
        <v>#NAME?</v>
      </c>
      <c r="Q61" s="76" t="e">
        <f t="shared" ref="Q61:V61" ca="1" si="29">IF(Q60&gt;0.05,"NS",IF(Q60&gt;0.01,"*",IF(Q60&gt;0.001,"**","***")))</f>
        <v>#NAME?</v>
      </c>
      <c r="R61" s="76" t="e">
        <f t="shared" ca="1" si="29"/>
        <v>#NAME?</v>
      </c>
      <c r="S61" s="76" t="e">
        <f t="shared" ca="1" si="29"/>
        <v>#NAME?</v>
      </c>
      <c r="T61" s="76" t="e">
        <f t="shared" ca="1" si="29"/>
        <v>#NAME?</v>
      </c>
      <c r="U61" s="76" t="e">
        <f t="shared" ca="1" si="29"/>
        <v>#NAME?</v>
      </c>
      <c r="V61" s="76" t="e">
        <f t="shared" ca="1" si="29"/>
        <v>#NAME?</v>
      </c>
    </row>
    <row r="63" spans="1:22">
      <c r="A63" s="2" t="s">
        <v>20</v>
      </c>
    </row>
    <row r="64" spans="1:22">
      <c r="A64" s="1" t="s">
        <v>13</v>
      </c>
      <c r="B64" s="1">
        <f>B46+(3*B47)</f>
        <v>0.47700808759445101</v>
      </c>
    </row>
    <row r="65" spans="1:22">
      <c r="A65" s="1" t="s">
        <v>14</v>
      </c>
      <c r="B65" s="1">
        <f>B46+(10*B47)</f>
        <v>1.2292195611293857</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N3"/>
    <mergeCell ref="O3:V3"/>
    <mergeCell ref="A5:A20"/>
    <mergeCell ref="B26:N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94"/>
  <sheetViews>
    <sheetView showGridLines="0" topLeftCell="A64" zoomScale="70" zoomScaleNormal="70" workbookViewId="0">
      <selection activeCell="B94" sqref="B94:V94"/>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1" t="s">
        <v>7</v>
      </c>
      <c r="B1" s="37" t="e">
        <f>'Front page'!#REF!</f>
        <v>#REF!</v>
      </c>
      <c r="C1" s="22"/>
      <c r="D1" s="22"/>
      <c r="E1" s="22"/>
      <c r="F1" s="22"/>
      <c r="G1" s="22"/>
      <c r="H1" s="38"/>
      <c r="I1" s="37"/>
      <c r="J1" s="39"/>
      <c r="K1" s="39"/>
      <c r="L1" s="39"/>
      <c r="M1" s="39"/>
      <c r="N1" s="39"/>
      <c r="O1" s="39"/>
      <c r="P1" s="39"/>
      <c r="Q1" s="39"/>
      <c r="R1" s="39"/>
      <c r="S1" s="39"/>
      <c r="T1" s="39"/>
      <c r="U1" s="39"/>
      <c r="V1" s="39"/>
      <c r="W1" s="39"/>
    </row>
    <row r="2" spans="1:23" ht="15.75" thickBot="1">
      <c r="A2" s="1"/>
      <c r="B2" s="1"/>
      <c r="C2" s="1"/>
      <c r="D2" s="1"/>
      <c r="E2" s="1"/>
      <c r="F2" s="1"/>
      <c r="G2" s="1"/>
      <c r="H2" s="1"/>
      <c r="I2" s="1"/>
      <c r="J2" s="1"/>
      <c r="K2" s="1"/>
      <c r="L2" s="1"/>
      <c r="M2" s="1"/>
      <c r="N2" s="1"/>
    </row>
    <row r="3" spans="1:23" s="17" customFormat="1" ht="15.75" thickBot="1">
      <c r="B3" s="146" t="s">
        <v>6</v>
      </c>
      <c r="C3" s="147"/>
      <c r="D3" s="147"/>
      <c r="E3" s="147"/>
      <c r="F3" s="147"/>
      <c r="G3" s="147"/>
      <c r="H3" s="147"/>
      <c r="I3" s="147"/>
      <c r="J3" s="147"/>
      <c r="K3" s="147"/>
      <c r="L3" s="147"/>
      <c r="M3" s="147"/>
      <c r="N3" s="147"/>
      <c r="O3" s="53"/>
      <c r="P3" s="146" t="s">
        <v>3</v>
      </c>
      <c r="Q3" s="147"/>
      <c r="R3" s="147"/>
      <c r="S3" s="147"/>
      <c r="T3" s="147"/>
      <c r="U3" s="147"/>
      <c r="V3" s="147"/>
      <c r="W3" s="147"/>
    </row>
    <row r="4" spans="1:23">
      <c r="A4" s="18" t="s">
        <v>22</v>
      </c>
      <c r="B4" s="19" t="str">
        <f>'R1'!B4</f>
        <v>Solvent control</v>
      </c>
      <c r="C4" s="19" t="str">
        <f>'R1'!C4</f>
        <v>EE2-33.8ng/L</v>
      </c>
      <c r="D4" s="19" t="str">
        <f>'R1'!D4</f>
        <v>EE2-50.6ng/L</v>
      </c>
      <c r="E4" s="19" t="str">
        <f>'R1'!E4</f>
        <v>EE2-76ng/L</v>
      </c>
      <c r="F4" s="19" t="str">
        <f>'R1'!F4</f>
        <v>EE2-114ng/L</v>
      </c>
      <c r="G4" s="19" t="str">
        <f>'R1'!G4</f>
        <v>EE2-170.9ng/L</v>
      </c>
      <c r="H4" s="19" t="str">
        <f>'R1'!H4</f>
        <v>EE2-488ng/L</v>
      </c>
      <c r="I4" s="19" t="str">
        <f>'R1'!I4</f>
        <v>anastrozole-20µg/L</v>
      </c>
      <c r="J4" s="19" t="str">
        <f>'R1'!J4</f>
        <v>anastrozole-4µg/L</v>
      </c>
      <c r="K4" s="19" t="str">
        <f>'R1'!K4</f>
        <v>anastrozole-0.8µg/L</v>
      </c>
      <c r="L4" s="19" t="str">
        <f>'R1'!L4</f>
        <v>anastrozole-0.16µg/L</v>
      </c>
      <c r="M4" s="19" t="str">
        <f>'R1'!M4</f>
        <v>anastrozole-0.032µg/L</v>
      </c>
      <c r="N4" s="19" t="str">
        <f>'R1'!N4</f>
        <v/>
      </c>
      <c r="P4" s="19" t="str">
        <f>'R1'!O4</f>
        <v>Testo -30µg/L</v>
      </c>
      <c r="Q4" s="19" t="str">
        <f>'R1'!P4</f>
        <v>Testo 30µg/L + EE2 -64ng/L</v>
      </c>
      <c r="R4" s="19" t="str">
        <f>'R1'!Q4</f>
        <v>Testo 30µg/L + FAD-10mg/L</v>
      </c>
      <c r="S4" s="19" t="str">
        <f>'R1'!R4</f>
        <v>anastrozole-20µg/L + Testostérone</v>
      </c>
      <c r="T4" s="19" t="str">
        <f>'R1'!S4</f>
        <v>anastrozole-4µg/L + Testostérone</v>
      </c>
      <c r="U4" s="19" t="str">
        <f>'R1'!T4</f>
        <v>anastrozole-0.8µg/L + Testostérone</v>
      </c>
      <c r="V4" s="19" t="str">
        <f>'R1'!U4</f>
        <v>anastrozole-0.16µg/L + Testostérone</v>
      </c>
      <c r="W4" s="19" t="str">
        <f>'R1'!V4</f>
        <v>anastrozole-0.032µg/L + Testostérone</v>
      </c>
    </row>
    <row r="5" spans="1:23" s="1" customFormat="1">
      <c r="A5" s="18"/>
      <c r="B5" s="19"/>
      <c r="C5" s="111"/>
      <c r="D5" s="19"/>
      <c r="E5" s="19"/>
      <c r="F5" s="19"/>
      <c r="G5" s="19"/>
      <c r="H5" s="19"/>
      <c r="I5" s="19"/>
      <c r="J5" s="19"/>
      <c r="K5" s="19"/>
      <c r="L5" s="19"/>
      <c r="M5" s="19"/>
      <c r="N5" s="19"/>
      <c r="P5" s="19"/>
      <c r="Q5" s="19"/>
      <c r="R5" s="19"/>
      <c r="S5" s="19"/>
      <c r="T5" s="19"/>
      <c r="U5" s="19"/>
      <c r="V5" s="19"/>
      <c r="W5" s="19"/>
    </row>
    <row r="6" spans="1:23" s="1" customFormat="1">
      <c r="A6" s="52" t="s">
        <v>4</v>
      </c>
      <c r="B6" s="35">
        <f>'R1'!B28</f>
        <v>7.925662344365815E-2</v>
      </c>
      <c r="C6" s="35">
        <f>'R1'!C28</f>
        <v>0.69914255153204874</v>
      </c>
      <c r="D6" s="35">
        <f>'R1'!D28</f>
        <v>0.14975988330649265</v>
      </c>
      <c r="E6" s="35">
        <f>'R1'!E28</f>
        <v>1.0205118673812361</v>
      </c>
      <c r="F6" s="35">
        <f>'R1'!F28</f>
        <v>1.4550884903717431</v>
      </c>
      <c r="G6" s="35">
        <f>'R1'!G28</f>
        <v>0.82992970738663874</v>
      </c>
      <c r="H6" s="35">
        <f>'R1'!H28</f>
        <v>3.8645114322453007</v>
      </c>
      <c r="I6" s="35">
        <f>'R1'!I28</f>
        <v>5.3106118562194674E-2</v>
      </c>
      <c r="J6" s="35">
        <f>'R1'!J28</f>
        <v>0.43756004017657868</v>
      </c>
      <c r="K6" s="35">
        <f>'R1'!K28</f>
        <v>2.1692887758846327E-2</v>
      </c>
      <c r="L6" s="35">
        <f>'R1'!L28</f>
        <v>8.6476749634646979E-2</v>
      </c>
      <c r="M6" s="35">
        <f>'R1'!M28</f>
        <v>0.17544136842015842</v>
      </c>
      <c r="N6" s="35" t="str">
        <f>'R1'!N28</f>
        <v/>
      </c>
      <c r="O6"/>
      <c r="P6" s="35">
        <f>'R1'!O28</f>
        <v>1.4208423300083546</v>
      </c>
      <c r="Q6" s="35">
        <f>'R1'!P28</f>
        <v>1.3734671854044269</v>
      </c>
      <c r="R6" s="35">
        <f>'R1'!Q28</f>
        <v>0.13459179173322874</v>
      </c>
      <c r="S6" s="35">
        <f>'R1'!R28</f>
        <v>0.15694373812095086</v>
      </c>
      <c r="T6" s="35">
        <f>'R1'!S28</f>
        <v>0.24027983029360889</v>
      </c>
      <c r="U6" s="35">
        <f>'R1'!T28</f>
        <v>0.56060972039248358</v>
      </c>
      <c r="V6" s="35">
        <f>'R1'!U28</f>
        <v>0.34549045650704729</v>
      </c>
      <c r="W6" s="35">
        <f>'R1'!V28</f>
        <v>1.0405797781782247</v>
      </c>
    </row>
    <row r="7" spans="1:23" s="1" customFormat="1">
      <c r="A7" s="142" t="s">
        <v>17</v>
      </c>
      <c r="B7" s="35">
        <f>'R1'!B29</f>
        <v>0.1504088129605394</v>
      </c>
      <c r="C7" s="35">
        <f>'R1'!C29</f>
        <v>0.51012671691172762</v>
      </c>
      <c r="D7" s="35">
        <f>'R1'!D29</f>
        <v>0.41220654091451969</v>
      </c>
      <c r="E7" s="35">
        <f>'R1'!E29</f>
        <v>0.71143874110878735</v>
      </c>
      <c r="F7" s="35">
        <f>'R1'!F29</f>
        <v>1.4975050676979378</v>
      </c>
      <c r="G7" s="35">
        <f>'R1'!G29</f>
        <v>2.0098205113705792</v>
      </c>
      <c r="H7" s="35">
        <f>'R1'!H29</f>
        <v>3.9111888351831485</v>
      </c>
      <c r="I7" s="35">
        <f>'R1'!I29</f>
        <v>3.6874677564736162E-2</v>
      </c>
      <c r="J7" s="35">
        <f>'R1'!J29</f>
        <v>0.13044547177035723</v>
      </c>
      <c r="K7" s="35">
        <f>'R1'!K29</f>
        <v>0.16617461051514321</v>
      </c>
      <c r="L7" s="35">
        <f>'R1'!L29</f>
        <v>0.10816963739349331</v>
      </c>
      <c r="M7" s="35">
        <f>'R1'!M29</f>
        <v>0.21885386513811433</v>
      </c>
      <c r="N7" s="35" t="str">
        <f>'R1'!N29</f>
        <v/>
      </c>
      <c r="O7"/>
      <c r="P7" s="35">
        <f>'R1'!O29</f>
        <v>1.0022329264719088</v>
      </c>
      <c r="Q7" s="35">
        <f>'R1'!P29</f>
        <v>1.349181665955056</v>
      </c>
      <c r="R7" s="35">
        <f>'R1'!Q29</f>
        <v>0.16388941732728635</v>
      </c>
      <c r="S7" s="35">
        <f>'R1'!R29</f>
        <v>0.31209156077150063</v>
      </c>
      <c r="T7" s="35">
        <f>'R1'!S29</f>
        <v>0.18163923988483041</v>
      </c>
      <c r="U7" s="35">
        <f>'R1'!T29</f>
        <v>0.46905362751357066</v>
      </c>
      <c r="V7" s="35">
        <f>'R1'!U29</f>
        <v>1.0549868461093339</v>
      </c>
      <c r="W7" s="35">
        <f>'R1'!V29</f>
        <v>0.60774611058972683</v>
      </c>
    </row>
    <row r="8" spans="1:23" s="1" customFormat="1">
      <c r="A8" s="151"/>
      <c r="B8" s="35">
        <f>'R1'!B30</f>
        <v>0.19083683136172738</v>
      </c>
      <c r="C8" s="35">
        <f>'R1'!C30</f>
        <v>0.12559649035363163</v>
      </c>
      <c r="D8" s="35">
        <f>'R1'!D30</f>
        <v>0.63749269093477789</v>
      </c>
      <c r="E8" s="35">
        <f>'R1'!E30</f>
        <v>0.564508218104538</v>
      </c>
      <c r="F8" s="35">
        <f>'R1'!F30</f>
        <v>1.430059697102775</v>
      </c>
      <c r="G8" s="35">
        <f>'R1'!G30</f>
        <v>1.5017364710493732</v>
      </c>
      <c r="H8" s="35">
        <f>'R1'!H30</f>
        <v>3.0673167386439859</v>
      </c>
      <c r="I8" s="35">
        <f>'R1'!I30</f>
        <v>0.10520946861631505</v>
      </c>
      <c r="J8" s="35">
        <f>'R1'!J30</f>
        <v>0.29352572870844423</v>
      </c>
      <c r="K8" s="35">
        <f>'R1'!K30</f>
        <v>2.9954369028686721E-2</v>
      </c>
      <c r="L8" s="35">
        <f>'R1'!L30</f>
        <v>0.22482880269012065</v>
      </c>
      <c r="M8" s="35">
        <f>'R1'!M30</f>
        <v>4.3929653232798273E-2</v>
      </c>
      <c r="N8" s="35" t="str">
        <f>'R1'!N30</f>
        <v/>
      </c>
      <c r="O8"/>
      <c r="P8" s="35">
        <f>'R1'!O30</f>
        <v>0.86194286289914668</v>
      </c>
      <c r="Q8" s="35">
        <f>'R1'!P30</f>
        <v>1.2076260593272263</v>
      </c>
      <c r="R8" s="35">
        <f>'R1'!Q30</f>
        <v>0.39076745632496085</v>
      </c>
      <c r="S8" s="35">
        <f>'R1'!R30</f>
        <v>0.2760162040204156</v>
      </c>
      <c r="T8" s="35">
        <f>'R1'!S30</f>
        <v>0.21770205600041284</v>
      </c>
      <c r="U8" s="35">
        <f>'R1'!T30</f>
        <v>0.54086786611856297</v>
      </c>
      <c r="V8" s="35">
        <f>'R1'!U30</f>
        <v>1.3088577348285397</v>
      </c>
      <c r="W8" s="35">
        <f>'R1'!V30</f>
        <v>1.4680187537727794</v>
      </c>
    </row>
    <row r="9" spans="1:23" s="1" customFormat="1">
      <c r="A9" s="151"/>
      <c r="B9" s="35">
        <f>'R1'!B31</f>
        <v>0.13869161487831366</v>
      </c>
      <c r="C9" s="35">
        <f>'R1'!C31</f>
        <v>0.15243923831483933</v>
      </c>
      <c r="D9" s="35">
        <f>'R1'!D31</f>
        <v>0.47160140231556685</v>
      </c>
      <c r="E9" s="35">
        <f>'R1'!E31</f>
        <v>0.95445715679688603</v>
      </c>
      <c r="F9" s="35">
        <f>'R1'!F31</f>
        <v>0.64566050330405655</v>
      </c>
      <c r="G9" s="35">
        <f>'R1'!G31</f>
        <v>1.1568241378389963</v>
      </c>
      <c r="H9" s="35">
        <f>'R1'!H31</f>
        <v>3.581721741590643</v>
      </c>
      <c r="I9" s="35">
        <f>'R1'!I31</f>
        <v>0.21368500104964516</v>
      </c>
      <c r="J9" s="35">
        <f>'R1'!J31</f>
        <v>6.8717859232970233E-2</v>
      </c>
      <c r="K9" s="35">
        <f>'R1'!K31</f>
        <v>0.14875643953342976</v>
      </c>
      <c r="L9" s="35">
        <f>'R1'!L31</f>
        <v>0.12576511366792831</v>
      </c>
      <c r="M9" s="35">
        <f>'R1'!M31</f>
        <v>0.38908942282828435</v>
      </c>
      <c r="N9" s="35" t="str">
        <f>'R1'!N31</f>
        <v/>
      </c>
      <c r="O9"/>
      <c r="P9" s="35">
        <f>'R1'!O31</f>
        <v>0.40716800296885075</v>
      </c>
      <c r="Q9" s="35">
        <f>'R1'!P31</f>
        <v>1.454102699954811</v>
      </c>
      <c r="R9" s="35">
        <f>'R1'!Q31</f>
        <v>0.27116731907011693</v>
      </c>
      <c r="S9" s="35">
        <f>'R1'!R31</f>
        <v>0.11667141653284914</v>
      </c>
      <c r="T9" s="35">
        <f>'R1'!S31</f>
        <v>0.22350267871893284</v>
      </c>
      <c r="U9" s="35">
        <f>'R1'!T31</f>
        <v>0.63409118825433464</v>
      </c>
      <c r="V9" s="35">
        <f>'R1'!U31</f>
        <v>1.3265427319471779</v>
      </c>
      <c r="W9" s="35">
        <f>'R1'!V31</f>
        <v>0.4222786005516565</v>
      </c>
    </row>
    <row r="10" spans="1:23" s="1" customFormat="1">
      <c r="A10" s="151"/>
      <c r="B10" s="35">
        <f>'R1'!B32</f>
        <v>0.23144630311199549</v>
      </c>
      <c r="C10" s="35">
        <f>'R1'!C32</f>
        <v>0.15370410610491822</v>
      </c>
      <c r="D10" s="35">
        <f>'R1'!D32</f>
        <v>0.50234438438451401</v>
      </c>
      <c r="E10" s="35">
        <f>'R1'!E32</f>
        <v>0.38712073598722802</v>
      </c>
      <c r="F10" s="35">
        <f>'R1'!F32</f>
        <v>1.2092051182698591</v>
      </c>
      <c r="G10" s="35">
        <f>'R1'!G32</f>
        <v>1.1076740109793144</v>
      </c>
      <c r="H10" s="35">
        <f>'R1'!H32</f>
        <v>1.9790377851337313</v>
      </c>
      <c r="I10" s="35">
        <f>'R1'!I32</f>
        <v>0.13454674191184629</v>
      </c>
      <c r="J10" s="35">
        <f>'R1'!J32</f>
        <v>0.17378484693669022</v>
      </c>
      <c r="K10" s="35">
        <f>'R1'!K32</f>
        <v>0.22952054383092887</v>
      </c>
      <c r="L10" s="35">
        <f>'R1'!L32</f>
        <v>0.1015984408565512</v>
      </c>
      <c r="M10" s="35">
        <f>'R1'!M32</f>
        <v>9.0774714820673161E-2</v>
      </c>
      <c r="N10" s="35" t="str">
        <f>'R1'!N32</f>
        <v/>
      </c>
      <c r="O10"/>
      <c r="P10" s="35">
        <f>'R1'!O32</f>
        <v>1.1958788601862214</v>
      </c>
      <c r="Q10" s="35">
        <f>'R1'!P32</f>
        <v>1.131596816663379</v>
      </c>
      <c r="R10" s="35">
        <f>'R1'!Q32</f>
        <v>6.2454487064403812E-2</v>
      </c>
      <c r="S10" s="35">
        <f>'R1'!R32</f>
        <v>0.24335575878311896</v>
      </c>
      <c r="T10" s="35">
        <f>'R1'!S32</f>
        <v>0.18929549079202934</v>
      </c>
      <c r="U10" s="35">
        <f>'R1'!T32</f>
        <v>0.19455233226187069</v>
      </c>
      <c r="V10" s="35">
        <f>'R1'!U32</f>
        <v>0.97308009698469278</v>
      </c>
      <c r="W10" s="35">
        <f>'R1'!V32</f>
        <v>1.1459112768246229</v>
      </c>
    </row>
    <row r="11" spans="1:23" s="1" customFormat="1">
      <c r="A11" s="151"/>
      <c r="B11" s="35">
        <f>'R1'!B33</f>
        <v>0.27722811174210271</v>
      </c>
      <c r="C11" s="35">
        <f>'R1'!C33</f>
        <v>0.55000506961219342</v>
      </c>
      <c r="D11" s="35">
        <f>'R1'!D33</f>
        <v>0.79987057581829168</v>
      </c>
      <c r="E11" s="35">
        <f>'R1'!E33</f>
        <v>0.85571180698360616</v>
      </c>
      <c r="F11" s="35">
        <f>'R1'!F33</f>
        <v>1.1338724596749685</v>
      </c>
      <c r="G11" s="35">
        <f>'R1'!G33</f>
        <v>1.2763232747448308</v>
      </c>
      <c r="H11" s="35">
        <f>'R1'!H33</f>
        <v>2.1251148696588147</v>
      </c>
      <c r="I11" s="35">
        <f>'R1'!I33</f>
        <v>0.3436921293759726</v>
      </c>
      <c r="J11" s="35">
        <f>'R1'!J33</f>
        <v>0.34132243159811354</v>
      </c>
      <c r="K11" s="35">
        <f>'R1'!K33</f>
        <v>0.40373495576679708</v>
      </c>
      <c r="L11" s="35">
        <f>'R1'!L33</f>
        <v>9.8603158299965642E-3</v>
      </c>
      <c r="M11" s="35">
        <f>'R1'!M33</f>
        <v>9.5165963041553406E-2</v>
      </c>
      <c r="N11" s="35" t="str">
        <f>'R1'!N33</f>
        <v/>
      </c>
      <c r="O11"/>
      <c r="P11" s="35">
        <f>'R1'!O33</f>
        <v>1.1942909263323098</v>
      </c>
      <c r="Q11" s="35">
        <f>'R1'!P33</f>
        <v>0.95414036105080469</v>
      </c>
      <c r="R11" s="35">
        <f>'R1'!Q33</f>
        <v>0.18219170311193397</v>
      </c>
      <c r="S11" s="35">
        <f>'R1'!R33</f>
        <v>0.2258973613013702</v>
      </c>
      <c r="T11" s="35">
        <f>'R1'!S33</f>
        <v>0.23867607594567863</v>
      </c>
      <c r="U11" s="35">
        <f>'R1'!T33</f>
        <v>0.59527686024305215</v>
      </c>
      <c r="V11" s="35">
        <f>'R1'!U33</f>
        <v>0.82883693570222639</v>
      </c>
      <c r="W11" s="35">
        <f>'R1'!V33</f>
        <v>0.43741244654335559</v>
      </c>
    </row>
    <row r="12" spans="1:23" s="1" customFormat="1">
      <c r="A12" s="151"/>
      <c r="B12" s="35">
        <f>'R1'!B34</f>
        <v>0.1104180768726848</v>
      </c>
      <c r="C12" s="35">
        <f>'R1'!C34</f>
        <v>0.44417474307207211</v>
      </c>
      <c r="D12" s="35">
        <f>'R1'!D34</f>
        <v>0.82521076271343252</v>
      </c>
      <c r="E12" s="35">
        <f>'R1'!E34</f>
        <v>0.92143544479068729</v>
      </c>
      <c r="F12" s="35">
        <f>'R1'!F34</f>
        <v>0.92881869570963693</v>
      </c>
      <c r="G12" s="35">
        <f>'R1'!G34</f>
        <v>1.1329810134235867</v>
      </c>
      <c r="H12" s="35">
        <f>'R1'!H34</f>
        <v>1.6260163876080844</v>
      </c>
      <c r="I12" s="35">
        <f>'R1'!I34</f>
        <v>6.0768446854291017E-2</v>
      </c>
      <c r="J12" s="35">
        <f>'R1'!J34</f>
        <v>0.34257215415916237</v>
      </c>
      <c r="K12" s="35">
        <f>'R1'!K34</f>
        <v>0.17136633714679789</v>
      </c>
      <c r="L12" s="35">
        <f>'R1'!L34</f>
        <v>9.434185035617787E-2</v>
      </c>
      <c r="M12" s="35">
        <f>'R1'!M34</f>
        <v>0.33564210251399168</v>
      </c>
      <c r="N12" s="35" t="str">
        <f>'R1'!N34</f>
        <v/>
      </c>
      <c r="O12"/>
      <c r="P12" s="35">
        <f>'R1'!O34</f>
        <v>0.61800261403517898</v>
      </c>
      <c r="Q12" s="35">
        <f>'R1'!P34</f>
        <v>0.74363923442241897</v>
      </c>
      <c r="R12" s="35">
        <f>'R1'!Q34</f>
        <v>0.2168819949049689</v>
      </c>
      <c r="S12" s="35">
        <f>'R1'!R34</f>
        <v>6.8447174438967695E-2</v>
      </c>
      <c r="T12" s="35">
        <f>'R1'!S34</f>
        <v>0.10497910678877476</v>
      </c>
      <c r="U12" s="35">
        <f>'R1'!T34</f>
        <v>0.25600704127743545</v>
      </c>
      <c r="V12" s="35">
        <f>'R1'!U34</f>
        <v>0.62796161501993841</v>
      </c>
      <c r="W12" s="35">
        <f>'R1'!V34</f>
        <v>0.6160056625310284</v>
      </c>
    </row>
    <row r="13" spans="1:23" s="1" customFormat="1">
      <c r="A13" s="151"/>
      <c r="B13" s="35">
        <f>'R1'!B35</f>
        <v>0.22528750055023544</v>
      </c>
      <c r="C13" s="35">
        <f>'R1'!C35</f>
        <v>0.95882698947098488</v>
      </c>
      <c r="D13" s="35">
        <f>'R1'!D35</f>
        <v>0.68628878600757859</v>
      </c>
      <c r="E13" s="35">
        <f>'R1'!E35</f>
        <v>0.41949014201443713</v>
      </c>
      <c r="F13" s="35">
        <f>'R1'!F35</f>
        <v>1.0766388321031564</v>
      </c>
      <c r="G13" s="35">
        <f>'R1'!G35</f>
        <v>1.2496670928533311</v>
      </c>
      <c r="H13" s="35">
        <f>'R1'!H35</f>
        <v>1.650273738860788</v>
      </c>
      <c r="I13" s="35">
        <f>'R1'!I35</f>
        <v>5.3711155991982264E-2</v>
      </c>
      <c r="J13" s="35" t="str">
        <f>'R1'!J35</f>
        <v/>
      </c>
      <c r="K13" s="35">
        <f>'R1'!K35</f>
        <v>0.25018616060925736</v>
      </c>
      <c r="L13" s="35">
        <f>'R1'!L35</f>
        <v>0.2576379991577637</v>
      </c>
      <c r="M13" s="35">
        <f>'R1'!M35</f>
        <v>1.3945572544613054E-2</v>
      </c>
      <c r="N13" s="35" t="str">
        <f>'R1'!N35</f>
        <v/>
      </c>
      <c r="O13"/>
      <c r="P13" s="35">
        <f>'R1'!O35</f>
        <v>0.89727947975270084</v>
      </c>
      <c r="Q13" s="35">
        <f>'R1'!P35</f>
        <v>1.3975076801293624</v>
      </c>
      <c r="R13" s="35">
        <f>'R1'!Q35</f>
        <v>0.12119839301643842</v>
      </c>
      <c r="S13" s="35">
        <f>'R1'!R35</f>
        <v>5.2408762761822471E-2</v>
      </c>
      <c r="T13" s="35">
        <f>'R1'!S35</f>
        <v>9.4999076122941714E-2</v>
      </c>
      <c r="U13" s="35">
        <f>'R1'!T35</f>
        <v>0.44349504062783052</v>
      </c>
      <c r="V13" s="35">
        <f>'R1'!U35</f>
        <v>0.6586392893178451</v>
      </c>
      <c r="W13" s="35">
        <f>'R1'!V35</f>
        <v>1.0502096357142541</v>
      </c>
    </row>
    <row r="14" spans="1:23" s="1" customFormat="1">
      <c r="A14" s="151"/>
      <c r="B14" s="35" t="str">
        <f>'R1'!B36</f>
        <v/>
      </c>
      <c r="C14" s="35" t="str">
        <f>'R1'!C36</f>
        <v/>
      </c>
      <c r="D14" s="35" t="str">
        <f>'R1'!D36</f>
        <v/>
      </c>
      <c r="E14" s="35" t="str">
        <f>'R1'!E36</f>
        <v/>
      </c>
      <c r="F14" s="35" t="str">
        <f>'R1'!F36</f>
        <v/>
      </c>
      <c r="G14" s="35" t="str">
        <f>'R1'!G36</f>
        <v/>
      </c>
      <c r="H14" s="35">
        <f>'R1'!H36</f>
        <v>2.3337119419521959</v>
      </c>
      <c r="I14" s="35">
        <f>'R1'!I36</f>
        <v>0.26142681454238381</v>
      </c>
      <c r="J14" s="35" t="str">
        <f>'R1'!J36</f>
        <v/>
      </c>
      <c r="K14" s="35" t="str">
        <f>'R1'!K36</f>
        <v/>
      </c>
      <c r="L14" s="35" t="str">
        <f>'R1'!L36</f>
        <v/>
      </c>
      <c r="M14" s="35">
        <f>'R1'!M36</f>
        <v>0.17502907091140329</v>
      </c>
      <c r="N14" s="35" t="str">
        <f>'R1'!N36</f>
        <v/>
      </c>
      <c r="O14"/>
      <c r="P14" s="35">
        <f>'R1'!O36</f>
        <v>0.87130473670112785</v>
      </c>
      <c r="Q14" s="35" t="str">
        <f>'R1'!P36</f>
        <v/>
      </c>
      <c r="R14" s="35" t="str">
        <f>'R1'!Q36</f>
        <v/>
      </c>
      <c r="S14" s="35" t="str">
        <f>'R1'!R36</f>
        <v/>
      </c>
      <c r="T14" s="35" t="str">
        <f>'R1'!S36</f>
        <v/>
      </c>
      <c r="U14" s="35" t="str">
        <f>'R1'!T36</f>
        <v/>
      </c>
      <c r="V14" s="35" t="str">
        <f>'R1'!U36</f>
        <v/>
      </c>
      <c r="W14" s="35" t="str">
        <f>'R1'!V36</f>
        <v/>
      </c>
    </row>
    <row r="15" spans="1:23" s="1" customFormat="1">
      <c r="A15" s="151"/>
      <c r="B15" s="35" t="str">
        <f>'R1'!B37</f>
        <v/>
      </c>
      <c r="C15" s="35" t="str">
        <f>'R1'!C37</f>
        <v/>
      </c>
      <c r="D15" s="35" t="str">
        <f>'R1'!D37</f>
        <v/>
      </c>
      <c r="E15" s="35" t="str">
        <f>'R1'!E37</f>
        <v/>
      </c>
      <c r="F15" s="35" t="str">
        <f>'R1'!F37</f>
        <v/>
      </c>
      <c r="G15" s="35" t="str">
        <f>'R1'!G37</f>
        <v/>
      </c>
      <c r="H15" s="35">
        <f>'R1'!H37</f>
        <v>1.5895355824645572</v>
      </c>
      <c r="I15" s="35" t="str">
        <f>'R1'!I37</f>
        <v/>
      </c>
      <c r="J15" s="35" t="str">
        <f>'R1'!J37</f>
        <v/>
      </c>
      <c r="K15" s="35" t="str">
        <f>'R1'!K37</f>
        <v/>
      </c>
      <c r="L15" s="35" t="str">
        <f>'R1'!L37</f>
        <v/>
      </c>
      <c r="M15" s="35" t="str">
        <f>'R1'!M37</f>
        <v/>
      </c>
      <c r="N15" s="35" t="str">
        <f>'R1'!N37</f>
        <v/>
      </c>
      <c r="O15"/>
      <c r="P15" s="35">
        <f>'R1'!O37</f>
        <v>1.2881919251173573</v>
      </c>
      <c r="Q15" s="35" t="str">
        <f>'R1'!P37</f>
        <v/>
      </c>
      <c r="R15" s="35" t="str">
        <f>'R1'!Q37</f>
        <v/>
      </c>
      <c r="S15" s="35" t="str">
        <f>'R1'!R37</f>
        <v/>
      </c>
      <c r="T15" s="35" t="str">
        <f>'R1'!S37</f>
        <v/>
      </c>
      <c r="U15" s="35" t="str">
        <f>'R1'!T37</f>
        <v/>
      </c>
      <c r="V15" s="35" t="str">
        <f>'R1'!U37</f>
        <v/>
      </c>
      <c r="W15" s="35" t="str">
        <f>'R1'!V37</f>
        <v/>
      </c>
    </row>
    <row r="16" spans="1:23" s="1" customFormat="1">
      <c r="A16" s="151"/>
      <c r="B16" s="35" t="str">
        <f>'R1'!B38</f>
        <v/>
      </c>
      <c r="C16" s="35" t="str">
        <f>'R1'!C38</f>
        <v/>
      </c>
      <c r="D16" s="35" t="str">
        <f>'R1'!D38</f>
        <v/>
      </c>
      <c r="E16" s="35" t="str">
        <f>'R1'!E38</f>
        <v/>
      </c>
      <c r="F16" s="35" t="str">
        <f>'R1'!F38</f>
        <v/>
      </c>
      <c r="G16" s="35" t="str">
        <f>'R1'!G38</f>
        <v/>
      </c>
      <c r="H16" s="35">
        <f>'R1'!H38</f>
        <v>1.5815336923496208</v>
      </c>
      <c r="I16" s="35" t="str">
        <f>'R1'!I38</f>
        <v/>
      </c>
      <c r="J16" s="35" t="str">
        <f>'R1'!J38</f>
        <v/>
      </c>
      <c r="K16" s="35" t="str">
        <f>'R1'!K38</f>
        <v/>
      </c>
      <c r="L16" s="35" t="str">
        <f>'R1'!L38</f>
        <v/>
      </c>
      <c r="M16" s="35" t="str">
        <f>'R1'!M38</f>
        <v/>
      </c>
      <c r="N16" s="35" t="str">
        <f>'R1'!N38</f>
        <v/>
      </c>
      <c r="O16"/>
      <c r="P16" s="35">
        <f>'R1'!O38</f>
        <v>1.0975219806742416</v>
      </c>
      <c r="Q16" s="35" t="str">
        <f>'R1'!P38</f>
        <v/>
      </c>
      <c r="R16" s="35" t="str">
        <f>'R1'!Q38</f>
        <v/>
      </c>
      <c r="S16" s="35" t="str">
        <f>'R1'!R38</f>
        <v/>
      </c>
      <c r="T16" s="35" t="str">
        <f>'R1'!S38</f>
        <v/>
      </c>
      <c r="U16" s="35" t="str">
        <f>'R1'!T38</f>
        <v/>
      </c>
      <c r="V16" s="35" t="str">
        <f>'R1'!U38</f>
        <v/>
      </c>
      <c r="W16" s="35" t="str">
        <f>'R1'!V38</f>
        <v/>
      </c>
    </row>
    <row r="17" spans="1:23" s="1" customFormat="1">
      <c r="A17" s="151"/>
      <c r="B17" s="35" t="str">
        <f>'R1'!B39</f>
        <v/>
      </c>
      <c r="C17" s="35" t="str">
        <f>'R1'!C39</f>
        <v/>
      </c>
      <c r="D17" s="35" t="str">
        <f>'R1'!D39</f>
        <v/>
      </c>
      <c r="E17" s="35" t="str">
        <f>'R1'!E39</f>
        <v/>
      </c>
      <c r="F17" s="35" t="str">
        <f>'R1'!F39</f>
        <v/>
      </c>
      <c r="G17" s="35" t="str">
        <f>'R1'!G39</f>
        <v/>
      </c>
      <c r="H17" s="35">
        <f>'R1'!H39</f>
        <v>1.469847660761195</v>
      </c>
      <c r="I17" s="35" t="str">
        <f>'R1'!I39</f>
        <v/>
      </c>
      <c r="J17" s="35" t="str">
        <f>'R1'!J39</f>
        <v/>
      </c>
      <c r="K17" s="35" t="str">
        <f>'R1'!K39</f>
        <v/>
      </c>
      <c r="L17" s="35" t="str">
        <f>'R1'!L39</f>
        <v/>
      </c>
      <c r="M17" s="35" t="str">
        <f>'R1'!M39</f>
        <v/>
      </c>
      <c r="N17" s="35" t="str">
        <f>'R1'!N39</f>
        <v/>
      </c>
      <c r="O17"/>
      <c r="P17" s="35">
        <f>'R1'!O39</f>
        <v>0.80839261290730557</v>
      </c>
      <c r="Q17" s="35" t="str">
        <f>'R1'!P39</f>
        <v/>
      </c>
      <c r="R17" s="35" t="str">
        <f>'R1'!Q39</f>
        <v/>
      </c>
      <c r="S17" s="35" t="str">
        <f>'R1'!R39</f>
        <v/>
      </c>
      <c r="T17" s="35" t="str">
        <f>'R1'!S39</f>
        <v/>
      </c>
      <c r="U17" s="35" t="str">
        <f>'R1'!T39</f>
        <v/>
      </c>
      <c r="V17" s="35" t="str">
        <f>'R1'!U39</f>
        <v/>
      </c>
      <c r="W17" s="35" t="str">
        <f>'R1'!V39</f>
        <v/>
      </c>
    </row>
    <row r="18" spans="1:23" s="1" customFormat="1">
      <c r="A18" s="151"/>
      <c r="B18" s="35" t="str">
        <f>'R1'!B40</f>
        <v/>
      </c>
      <c r="C18" s="35" t="str">
        <f>'R1'!C40</f>
        <v/>
      </c>
      <c r="D18" s="35" t="str">
        <f>'R1'!D40</f>
        <v/>
      </c>
      <c r="E18" s="35" t="str">
        <f>'R1'!E40</f>
        <v/>
      </c>
      <c r="F18" s="35" t="str">
        <f>'R1'!F40</f>
        <v/>
      </c>
      <c r="G18" s="35" t="str">
        <f>'R1'!G40</f>
        <v/>
      </c>
      <c r="H18" s="35" t="str">
        <f>'R1'!H40</f>
        <v/>
      </c>
      <c r="I18" s="35" t="str">
        <f>'R1'!I40</f>
        <v/>
      </c>
      <c r="J18" s="35" t="str">
        <f>'R1'!J40</f>
        <v/>
      </c>
      <c r="K18" s="35" t="str">
        <f>'R1'!K40</f>
        <v/>
      </c>
      <c r="L18" s="35" t="str">
        <f>'R1'!L40</f>
        <v/>
      </c>
      <c r="M18" s="35" t="str">
        <f>'R1'!M40</f>
        <v/>
      </c>
      <c r="N18" s="35" t="str">
        <f>'R1'!N40</f>
        <v/>
      </c>
      <c r="O18"/>
      <c r="P18" s="35">
        <f>'R1'!O40</f>
        <v>0.93223254609272899</v>
      </c>
      <c r="Q18" s="35" t="str">
        <f>'R1'!P40</f>
        <v/>
      </c>
      <c r="R18" s="35" t="str">
        <f>'R1'!Q40</f>
        <v/>
      </c>
      <c r="S18" s="35" t="str">
        <f>'R1'!R40</f>
        <v/>
      </c>
      <c r="T18" s="35" t="str">
        <f>'R1'!S40</f>
        <v/>
      </c>
      <c r="U18" s="35" t="str">
        <f>'R1'!T40</f>
        <v/>
      </c>
      <c r="V18" s="35" t="str">
        <f>'R1'!U40</f>
        <v/>
      </c>
      <c r="W18" s="35" t="str">
        <f>'R1'!V40</f>
        <v/>
      </c>
    </row>
    <row r="19" spans="1:23" s="1" customFormat="1">
      <c r="A19" s="151"/>
      <c r="B19" s="35" t="str">
        <f>'R1'!B41</f>
        <v/>
      </c>
      <c r="C19" s="35" t="str">
        <f>'R1'!C41</f>
        <v/>
      </c>
      <c r="D19" s="35" t="str">
        <f>'R1'!D41</f>
        <v/>
      </c>
      <c r="E19" s="35" t="str">
        <f>'R1'!E41</f>
        <v/>
      </c>
      <c r="F19" s="35" t="str">
        <f>'R1'!F41</f>
        <v/>
      </c>
      <c r="G19" s="35" t="str">
        <f>'R1'!G41</f>
        <v/>
      </c>
      <c r="H19" s="35" t="str">
        <f>'R1'!H41</f>
        <v/>
      </c>
      <c r="I19" s="35" t="str">
        <f>'R1'!I41</f>
        <v/>
      </c>
      <c r="J19" s="35" t="str">
        <f>'R1'!J41</f>
        <v/>
      </c>
      <c r="K19" s="35" t="str">
        <f>'R1'!K41</f>
        <v/>
      </c>
      <c r="L19" s="35" t="str">
        <f>'R1'!L41</f>
        <v/>
      </c>
      <c r="M19" s="35" t="str">
        <f>'R1'!M41</f>
        <v/>
      </c>
      <c r="N19" s="35" t="str">
        <f>'R1'!N41</f>
        <v/>
      </c>
      <c r="O19"/>
      <c r="P19" s="35">
        <f>'R1'!O41</f>
        <v>1.2272760775626972</v>
      </c>
      <c r="Q19" s="35" t="str">
        <f>'R1'!P41</f>
        <v/>
      </c>
      <c r="R19" s="35" t="str">
        <f>'R1'!Q41</f>
        <v/>
      </c>
      <c r="S19" s="35" t="str">
        <f>'R1'!R41</f>
        <v/>
      </c>
      <c r="T19" s="35" t="str">
        <f>'R1'!S41</f>
        <v/>
      </c>
      <c r="U19" s="35" t="str">
        <f>'R1'!T41</f>
        <v/>
      </c>
      <c r="V19" s="35" t="str">
        <f>'R1'!U41</f>
        <v/>
      </c>
      <c r="W19" s="35" t="str">
        <f>'R1'!V41</f>
        <v/>
      </c>
    </row>
    <row r="20" spans="1:23" s="1" customFormat="1">
      <c r="A20" s="151"/>
      <c r="B20" s="35" t="str">
        <f>'R1'!B42</f>
        <v/>
      </c>
      <c r="C20" s="35" t="str">
        <f>'R1'!C42</f>
        <v/>
      </c>
      <c r="D20" s="35" t="str">
        <f>'R1'!D42</f>
        <v/>
      </c>
      <c r="E20" s="35" t="str">
        <f>'R1'!E42</f>
        <v/>
      </c>
      <c r="F20" s="35" t="str">
        <f>'R1'!F42</f>
        <v/>
      </c>
      <c r="G20" s="35" t="str">
        <f>'R1'!G42</f>
        <v/>
      </c>
      <c r="H20" s="35" t="str">
        <f>'R1'!H42</f>
        <v/>
      </c>
      <c r="I20" s="35" t="str">
        <f>'R1'!I42</f>
        <v/>
      </c>
      <c r="J20" s="35" t="str">
        <f>'R1'!J42</f>
        <v/>
      </c>
      <c r="K20" s="35" t="str">
        <f>'R1'!K42</f>
        <v/>
      </c>
      <c r="L20" s="35" t="str">
        <f>'R1'!L42</f>
        <v/>
      </c>
      <c r="M20" s="35" t="str">
        <f>'R1'!M42</f>
        <v/>
      </c>
      <c r="N20" s="35" t="str">
        <f>'R1'!N42</f>
        <v/>
      </c>
      <c r="O20"/>
      <c r="P20" s="35">
        <f>'R1'!O42</f>
        <v>1.0836236766788307</v>
      </c>
      <c r="Q20" s="35" t="str">
        <f>'R1'!P42</f>
        <v/>
      </c>
      <c r="R20" s="35" t="str">
        <f>'R1'!Q42</f>
        <v/>
      </c>
      <c r="S20" s="35" t="str">
        <f>'R1'!R42</f>
        <v/>
      </c>
      <c r="T20" s="35" t="str">
        <f>'R1'!S42</f>
        <v/>
      </c>
      <c r="U20" s="35" t="str">
        <f>'R1'!T42</f>
        <v/>
      </c>
      <c r="V20" s="35" t="str">
        <f>'R1'!U42</f>
        <v/>
      </c>
      <c r="W20" s="35" t="str">
        <f>'R1'!V42</f>
        <v/>
      </c>
    </row>
    <row r="21" spans="1:23" s="1" customFormat="1">
      <c r="A21" s="152"/>
      <c r="B21" s="35" t="str">
        <f>'R1'!B43</f>
        <v/>
      </c>
      <c r="C21" s="35" t="str">
        <f>'R1'!C43</f>
        <v/>
      </c>
      <c r="D21" s="35" t="str">
        <f>'R1'!D43</f>
        <v/>
      </c>
      <c r="E21" s="35" t="str">
        <f>'R1'!E43</f>
        <v/>
      </c>
      <c r="F21" s="35" t="str">
        <f>'R1'!F43</f>
        <v/>
      </c>
      <c r="G21" s="35" t="str">
        <f>'R1'!G43</f>
        <v/>
      </c>
      <c r="H21" s="35" t="str">
        <f>'R1'!H43</f>
        <v/>
      </c>
      <c r="I21" s="35" t="str">
        <f>'R1'!I43</f>
        <v/>
      </c>
      <c r="J21" s="35" t="str">
        <f>'R1'!J43</f>
        <v/>
      </c>
      <c r="K21" s="35" t="str">
        <f>'R1'!K43</f>
        <v/>
      </c>
      <c r="L21" s="35" t="str">
        <f>'R1'!L43</f>
        <v/>
      </c>
      <c r="M21" s="35" t="str">
        <f>'R1'!M43</f>
        <v/>
      </c>
      <c r="N21" s="35" t="str">
        <f>'R1'!N43</f>
        <v/>
      </c>
      <c r="O21"/>
      <c r="P21" s="35">
        <f>'R1'!O43</f>
        <v>1.0938184416110392</v>
      </c>
      <c r="Q21" s="35" t="str">
        <f>'R1'!P43</f>
        <v/>
      </c>
      <c r="R21" s="35" t="str">
        <f>'R1'!Q43</f>
        <v/>
      </c>
      <c r="S21" s="35" t="str">
        <f>'R1'!R43</f>
        <v/>
      </c>
      <c r="T21" s="35" t="str">
        <f>'R1'!S43</f>
        <v/>
      </c>
      <c r="U21" s="35" t="str">
        <f>'R1'!T43</f>
        <v/>
      </c>
      <c r="V21" s="35" t="str">
        <f>'R1'!U43</f>
        <v/>
      </c>
      <c r="W21" s="35" t="str">
        <f>'R1'!V43</f>
        <v/>
      </c>
    </row>
    <row r="22" spans="1:23">
      <c r="A22" s="23" t="s">
        <v>5</v>
      </c>
      <c r="B22" s="36">
        <f>'R2'!B28</f>
        <v>0.20001186140991897</v>
      </c>
      <c r="C22" s="36">
        <f>'R2'!C28</f>
        <v>0.2562347544913694</v>
      </c>
      <c r="D22" s="36">
        <f>'R2'!D28</f>
        <v>0.13495397483301314</v>
      </c>
      <c r="E22" s="36">
        <f>'R2'!E28</f>
        <v>1.9168070717934864</v>
      </c>
      <c r="F22" s="36">
        <f>'R2'!F28</f>
        <v>1.448094864308652</v>
      </c>
      <c r="G22" s="36">
        <f>'R2'!G28</f>
        <v>2.7977166643455087</v>
      </c>
      <c r="H22" s="36">
        <f>'R2'!H28</f>
        <v>2.8907378485482189</v>
      </c>
      <c r="I22" s="36">
        <f>'R2'!I28</f>
        <v>0.16109048237714052</v>
      </c>
      <c r="J22" s="36">
        <f>'R2'!J28</f>
        <v>0.60028097961190774</v>
      </c>
      <c r="K22" s="36">
        <f>'R2'!K28</f>
        <v>0.40373960150126131</v>
      </c>
      <c r="L22" s="36">
        <f>'R2'!L28</f>
        <v>0.50582541001755421</v>
      </c>
      <c r="M22" s="36">
        <f>'R2'!M28</f>
        <v>0.29553923142337252</v>
      </c>
      <c r="N22" s="36" t="str">
        <f>'R2'!N28</f>
        <v/>
      </c>
      <c r="P22" s="36">
        <f>'R2'!O28</f>
        <v>1.8822004349405228</v>
      </c>
      <c r="Q22" s="36">
        <f>'R2'!P28</f>
        <v>1.3121460125315938</v>
      </c>
      <c r="R22" s="36">
        <f>'R2'!Q28</f>
        <v>0.4018125260002533</v>
      </c>
      <c r="S22" s="36">
        <f>'R2'!R28</f>
        <v>0.29238745822568596</v>
      </c>
      <c r="T22" s="36">
        <f>'R2'!S28</f>
        <v>0.19056185998303599</v>
      </c>
      <c r="U22" s="36">
        <f>'R2'!T28</f>
        <v>0.20372925956739282</v>
      </c>
      <c r="V22" s="36">
        <f>'R2'!U28</f>
        <v>0.83232358610023194</v>
      </c>
      <c r="W22" s="36">
        <f>'R2'!V28</f>
        <v>1.1575721830659047</v>
      </c>
    </row>
    <row r="23" spans="1:23">
      <c r="A23" s="142" t="s">
        <v>17</v>
      </c>
      <c r="B23" s="36">
        <f>'R2'!B29</f>
        <v>0.17166071752223219</v>
      </c>
      <c r="C23" s="36">
        <f>'R2'!C29</f>
        <v>5.8263359482724771E-2</v>
      </c>
      <c r="D23" s="36">
        <f>'R2'!D29</f>
        <v>0.15872636757711614</v>
      </c>
      <c r="E23" s="36">
        <f>'R2'!E29</f>
        <v>0.613244959340008</v>
      </c>
      <c r="F23" s="36">
        <f>'R2'!F29</f>
        <v>1.405507369435103</v>
      </c>
      <c r="G23" s="36">
        <f>'R2'!G29</f>
        <v>2.6327141009419281</v>
      </c>
      <c r="H23" s="36">
        <f>'R2'!H29</f>
        <v>3.2818072990026397</v>
      </c>
      <c r="I23" s="36">
        <f>'R2'!I29</f>
        <v>0.85479511741062664</v>
      </c>
      <c r="J23" s="36">
        <f>'R2'!J29</f>
        <v>0.2072789455557961</v>
      </c>
      <c r="K23" s="36">
        <f>'R2'!K29</f>
        <v>7.2290022773622148E-2</v>
      </c>
      <c r="L23" s="36">
        <f>'R2'!L29</f>
        <v>2.9819147686946719E-2</v>
      </c>
      <c r="M23" s="36">
        <f>'R2'!M29</f>
        <v>0.88856433302527538</v>
      </c>
      <c r="N23" s="36" t="str">
        <f>'R2'!N29</f>
        <v/>
      </c>
      <c r="P23" s="36">
        <f>'R2'!O29</f>
        <v>0.42731104353768973</v>
      </c>
      <c r="Q23" s="36">
        <f>'R2'!P29</f>
        <v>1.9524701243705394</v>
      </c>
      <c r="R23" s="36">
        <f>'R2'!Q29</f>
        <v>0.23861851896574393</v>
      </c>
      <c r="S23" s="36">
        <f>'R2'!R29</f>
        <v>0.60581149256660449</v>
      </c>
      <c r="T23" s="36">
        <f>'R2'!S29</f>
        <v>0.36059730793478467</v>
      </c>
      <c r="U23" s="36">
        <f>'R2'!T29</f>
        <v>0.13355206824194865</v>
      </c>
      <c r="V23" s="36">
        <f>'R2'!U29</f>
        <v>1.0638767313657986</v>
      </c>
      <c r="W23" s="36">
        <f>'R2'!V29</f>
        <v>0.66565415746928602</v>
      </c>
    </row>
    <row r="24" spans="1:23">
      <c r="A24" s="151"/>
      <c r="B24" s="36">
        <f>'R2'!B30</f>
        <v>0.28241342749589732</v>
      </c>
      <c r="C24" s="36">
        <f>'R2'!C30</f>
        <v>5.3582043705734279E-2</v>
      </c>
      <c r="D24" s="36">
        <f>'R2'!D30</f>
        <v>0.4348784141380409</v>
      </c>
      <c r="E24" s="36">
        <f>'R2'!E30</f>
        <v>1.6060330036845869</v>
      </c>
      <c r="F24" s="36">
        <f>'R2'!F30</f>
        <v>1.8005453114643375</v>
      </c>
      <c r="G24" s="36">
        <f>'R2'!G30</f>
        <v>2.8434217442056084</v>
      </c>
      <c r="H24" s="36">
        <f>'R2'!H30</f>
        <v>3.6330066475652698</v>
      </c>
      <c r="I24" s="36">
        <f>'R2'!I30</f>
        <v>2.8688277636384728E-2</v>
      </c>
      <c r="J24" s="36">
        <f>'R2'!J30</f>
        <v>0.64036551756132076</v>
      </c>
      <c r="K24" s="36">
        <f>'R2'!K30</f>
        <v>0.69405506419762575</v>
      </c>
      <c r="L24" s="36">
        <f>'R2'!L30</f>
        <v>4.9031592803590483E-3</v>
      </c>
      <c r="M24" s="36">
        <f>'R2'!M30</f>
        <v>0.35363544854054563</v>
      </c>
      <c r="N24" s="36" t="str">
        <f>'R2'!N30</f>
        <v/>
      </c>
      <c r="P24" s="36">
        <f>'R2'!O30</f>
        <v>0.27402781904236828</v>
      </c>
      <c r="Q24" s="36">
        <f>'R2'!P30</f>
        <v>1.0824709396644077</v>
      </c>
      <c r="R24" s="36">
        <f>'R2'!Q30</f>
        <v>0.23948386057648635</v>
      </c>
      <c r="S24" s="36">
        <f>'R2'!R30</f>
        <v>0.51692784164932293</v>
      </c>
      <c r="T24" s="36">
        <f>'R2'!S30</f>
        <v>0.37915087024904354</v>
      </c>
      <c r="U24" s="36">
        <f>'R2'!T30</f>
        <v>0.55198614275828872</v>
      </c>
      <c r="V24" s="36">
        <f>'R2'!U30</f>
        <v>0.62540969466556118</v>
      </c>
      <c r="W24" s="36">
        <f>'R2'!V30</f>
        <v>0.83625561024983464</v>
      </c>
    </row>
    <row r="25" spans="1:23">
      <c r="A25" s="151"/>
      <c r="B25" s="36">
        <f>'R2'!B31</f>
        <v>0.34438145952417321</v>
      </c>
      <c r="C25" s="36">
        <f>'R2'!C31</f>
        <v>0.61982998867373051</v>
      </c>
      <c r="D25" s="36">
        <f>'R2'!D31</f>
        <v>1.0940653016675157</v>
      </c>
      <c r="E25" s="36">
        <f>'R2'!E31</f>
        <v>2.5047934008775261</v>
      </c>
      <c r="F25" s="36">
        <f>'R2'!F31</f>
        <v>2.0977713512382374</v>
      </c>
      <c r="G25" s="36">
        <f>'R2'!G31</f>
        <v>2.1193800100864721</v>
      </c>
      <c r="H25" s="36">
        <f>'R2'!H31</f>
        <v>4.1666255537599888</v>
      </c>
      <c r="I25" s="36">
        <f>'R2'!I31</f>
        <v>0.26844906272306918</v>
      </c>
      <c r="J25" s="36">
        <f>'R2'!J31</f>
        <v>0.2282437264276439</v>
      </c>
      <c r="K25" s="36">
        <f>'R2'!K31</f>
        <v>0.50542065958461035</v>
      </c>
      <c r="L25" s="36">
        <f>'R2'!L31</f>
        <v>0</v>
      </c>
      <c r="M25" s="36">
        <f>'R2'!M31</f>
        <v>0.37008149757280318</v>
      </c>
      <c r="N25" s="36" t="str">
        <f>'R2'!N31</f>
        <v/>
      </c>
      <c r="P25" s="36">
        <f>'R2'!O31</f>
        <v>0.71119684332649202</v>
      </c>
      <c r="Q25" s="36">
        <f>'R2'!P31</f>
        <v>1.7837414258221944</v>
      </c>
      <c r="R25" s="36">
        <f>'R2'!Q31</f>
        <v>0.22260172191774402</v>
      </c>
      <c r="S25" s="36">
        <f>'R2'!R31</f>
        <v>0.38833344389104391</v>
      </c>
      <c r="T25" s="36">
        <f>'R2'!S31</f>
        <v>0.33267161734122935</v>
      </c>
      <c r="U25" s="36">
        <f>'R2'!T31</f>
        <v>0.32464916366376256</v>
      </c>
      <c r="V25" s="36">
        <f>'R2'!U31</f>
        <v>0.51360512739595854</v>
      </c>
      <c r="W25" s="36">
        <f>'R2'!V31</f>
        <v>0.73415859559766949</v>
      </c>
    </row>
    <row r="26" spans="1:23">
      <c r="A26" s="151"/>
      <c r="B26" s="36">
        <f>'R2'!B32</f>
        <v>0.16359875746745317</v>
      </c>
      <c r="C26" s="36">
        <f>'R2'!C32</f>
        <v>0.22667942583368547</v>
      </c>
      <c r="D26" s="36">
        <f>'R2'!D32</f>
        <v>0.36030214971198093</v>
      </c>
      <c r="E26" s="36">
        <f>'R2'!E32</f>
        <v>0.89556626860034561</v>
      </c>
      <c r="F26" s="36">
        <f>'R2'!F32</f>
        <v>2.004466404883102</v>
      </c>
      <c r="G26" s="36">
        <f>'R2'!G32</f>
        <v>3.3379709325181217</v>
      </c>
      <c r="H26" s="36">
        <f>'R2'!H32</f>
        <v>3.616291461337573</v>
      </c>
      <c r="I26" s="36">
        <f>'R2'!I32</f>
        <v>0.24819501677382852</v>
      </c>
      <c r="J26" s="36">
        <f>'R2'!J32</f>
        <v>0.54358742882382438</v>
      </c>
      <c r="K26" s="36">
        <f>'R2'!K32</f>
        <v>0.11035327770689791</v>
      </c>
      <c r="L26" s="36">
        <f>'R2'!L32</f>
        <v>0.5047431632006073</v>
      </c>
      <c r="M26" s="36">
        <f>'R2'!M32</f>
        <v>0.66076999163955785</v>
      </c>
      <c r="N26" s="36" t="str">
        <f>'R2'!N32</f>
        <v/>
      </c>
      <c r="P26" s="36">
        <f>'R2'!O32</f>
        <v>1.8140000819567395</v>
      </c>
      <c r="Q26" s="36">
        <f>'R2'!P32</f>
        <v>1.8689190746523807</v>
      </c>
      <c r="R26" s="36">
        <f>'R2'!Q32</f>
        <v>0.10488164444915693</v>
      </c>
      <c r="S26" s="36">
        <f>'R2'!R32</f>
        <v>0.19477859595759542</v>
      </c>
      <c r="T26" s="36">
        <f>'R2'!S32</f>
        <v>0.48764259985960989</v>
      </c>
      <c r="U26" s="36">
        <f>'R2'!T32</f>
        <v>0.60434063974974994</v>
      </c>
      <c r="V26" s="36">
        <f>'R2'!U32</f>
        <v>0.51728434871766427</v>
      </c>
      <c r="W26" s="36">
        <f>'R2'!V32</f>
        <v>1.3473919689327927</v>
      </c>
    </row>
    <row r="27" spans="1:23">
      <c r="A27" s="151"/>
      <c r="B27" s="36">
        <f>'R2'!B33</f>
        <v>0.38980923500506248</v>
      </c>
      <c r="C27" s="36">
        <f>'R2'!C33</f>
        <v>0.50130895739203973</v>
      </c>
      <c r="D27" s="36">
        <f>'R2'!D33</f>
        <v>1.1139210549570271</v>
      </c>
      <c r="E27" s="36">
        <f>'R2'!E33</f>
        <v>1.894462416733306</v>
      </c>
      <c r="F27" s="36">
        <f>'R2'!F33</f>
        <v>2.4361820296220906</v>
      </c>
      <c r="G27" s="36">
        <f>'R2'!G33</f>
        <v>3.6848109042919548</v>
      </c>
      <c r="H27" s="36">
        <f>'R2'!H33</f>
        <v>3.9753596065620664</v>
      </c>
      <c r="I27" s="36">
        <f>'R2'!I33</f>
        <v>0.28439767328330429</v>
      </c>
      <c r="J27" s="36">
        <f>'R2'!J33</f>
        <v>0.59368493407681933</v>
      </c>
      <c r="K27" s="36">
        <f>'R2'!K33</f>
        <v>9.1210348619563134E-2</v>
      </c>
      <c r="L27" s="36">
        <f>'R2'!L33</f>
        <v>0.20391216649696811</v>
      </c>
      <c r="M27" s="36">
        <f>'R2'!M33</f>
        <v>0.26467164526160181</v>
      </c>
      <c r="N27" s="36" t="str">
        <f>'R2'!N33</f>
        <v/>
      </c>
      <c r="P27" s="36">
        <f>'R2'!O33</f>
        <v>0.78828936009212958</v>
      </c>
      <c r="Q27" s="36">
        <f>'R2'!P33</f>
        <v>2.0287803009046912</v>
      </c>
      <c r="R27" s="36">
        <f>'R2'!Q33</f>
        <v>0.3055003466067322</v>
      </c>
      <c r="S27" s="36">
        <f>'R2'!R33</f>
        <v>0.53921095792945939</v>
      </c>
      <c r="T27" s="36">
        <f>'R2'!S33</f>
        <v>0.35084929926750336</v>
      </c>
      <c r="U27" s="36">
        <f>'R2'!T33</f>
        <v>0.68304380112888519</v>
      </c>
      <c r="V27" s="36">
        <f>'R2'!U33</f>
        <v>0.88135840779042973</v>
      </c>
      <c r="W27" s="36">
        <f>'R2'!V33</f>
        <v>1.161993098634746</v>
      </c>
    </row>
    <row r="28" spans="1:23">
      <c r="A28" s="151"/>
      <c r="B28" s="36">
        <f>'R2'!B34</f>
        <v>3.5512054644537333E-3</v>
      </c>
      <c r="C28" s="36">
        <f>'R2'!C34</f>
        <v>0.15136697526117301</v>
      </c>
      <c r="D28" s="36">
        <f>'R2'!D34</f>
        <v>0.44675103019289131</v>
      </c>
      <c r="E28" s="36">
        <f>'R2'!E34</f>
        <v>1.0712488492936645</v>
      </c>
      <c r="F28" s="36">
        <f>'R2'!F34</f>
        <v>2.1850751269320434</v>
      </c>
      <c r="G28" s="36">
        <f>'R2'!G34</f>
        <v>3.4036852327488303</v>
      </c>
      <c r="H28" s="36">
        <f>'R2'!H34</f>
        <v>3.3008818516677034</v>
      </c>
      <c r="I28" s="36">
        <f>'R2'!I34</f>
        <v>7.9035356830669257E-2</v>
      </c>
      <c r="J28" s="36">
        <f>'R2'!J34</f>
        <v>0.43806285607081252</v>
      </c>
      <c r="K28" s="36">
        <f>'R2'!K34</f>
        <v>0.11613830290004824</v>
      </c>
      <c r="L28" s="36">
        <f>'R2'!L34</f>
        <v>0.15040761606980776</v>
      </c>
      <c r="M28" s="36">
        <f>'R2'!M34</f>
        <v>0.26087029605233947</v>
      </c>
      <c r="N28" s="36" t="str">
        <f>'R2'!N34</f>
        <v/>
      </c>
      <c r="P28" s="36">
        <f>'R2'!O34</f>
        <v>0.44882017670461827</v>
      </c>
      <c r="Q28" s="36">
        <f>'R2'!P34</f>
        <v>1.2337368697682243</v>
      </c>
      <c r="R28" s="36">
        <f>'R2'!Q34</f>
        <v>0.61794925719226179</v>
      </c>
      <c r="S28" s="36">
        <f>'R2'!R34</f>
        <v>0.21113670531343207</v>
      </c>
      <c r="T28" s="36">
        <f>'R2'!S34</f>
        <v>4.8887812382314801E-2</v>
      </c>
      <c r="U28" s="36">
        <f>'R2'!T34</f>
        <v>0.86854675553638905</v>
      </c>
      <c r="V28" s="36">
        <f>'R2'!U34</f>
        <v>1.4139894646178368</v>
      </c>
      <c r="W28" s="36">
        <f>'R2'!V34</f>
        <v>0.65684974342934632</v>
      </c>
    </row>
    <row r="29" spans="1:23">
      <c r="A29" s="151"/>
      <c r="B29" s="36">
        <f>'R2'!B35</f>
        <v>0.31814238734663919</v>
      </c>
      <c r="C29" s="36">
        <f>'R2'!C35</f>
        <v>3.5265519655348646E-2</v>
      </c>
      <c r="D29" s="36">
        <f>'R2'!D35</f>
        <v>0.59135918604706927</v>
      </c>
      <c r="E29" s="36">
        <f>'R2'!E35</f>
        <v>2.005073625499771</v>
      </c>
      <c r="F29" s="36">
        <f>'R2'!F35</f>
        <v>2.2873478310025441</v>
      </c>
      <c r="G29" s="36">
        <f>'R2'!G35</f>
        <v>2.7903612606541981</v>
      </c>
      <c r="H29" s="36">
        <f>'R2'!H35</f>
        <v>3.539427055914012</v>
      </c>
      <c r="I29" s="36">
        <f>'R2'!I35</f>
        <v>8.8858009758929907E-2</v>
      </c>
      <c r="J29" s="36">
        <f>'R2'!J35</f>
        <v>0.67119587655985491</v>
      </c>
      <c r="K29" s="36">
        <f>'R2'!K35</f>
        <v>0.29858350169048831</v>
      </c>
      <c r="L29" s="36">
        <f>'R2'!L35</f>
        <v>0.11898618088764087</v>
      </c>
      <c r="M29" s="36">
        <f>'R2'!M35</f>
        <v>0.17399710188433548</v>
      </c>
      <c r="N29" s="36" t="str">
        <f>'R2'!N35</f>
        <v/>
      </c>
      <c r="P29" s="36">
        <f>'R2'!O35</f>
        <v>1.0505991697677828</v>
      </c>
      <c r="Q29" s="36">
        <f>'R2'!P35</f>
        <v>0.87148181346237741</v>
      </c>
      <c r="R29" s="36">
        <f>'R2'!Q35</f>
        <v>0.20198186210935279</v>
      </c>
      <c r="S29" s="36">
        <f>'R2'!R35</f>
        <v>0.36451223797881954</v>
      </c>
      <c r="T29" s="36">
        <f>'R2'!S35</f>
        <v>0.12085532636422477</v>
      </c>
      <c r="U29" s="36">
        <f>'R2'!T35</f>
        <v>0.52448533565534594</v>
      </c>
      <c r="V29" s="36">
        <f>'R2'!U35</f>
        <v>0.80707027401044007</v>
      </c>
      <c r="W29" s="36">
        <f>'R2'!V35</f>
        <v>1.695371547744478</v>
      </c>
    </row>
    <row r="30" spans="1:23">
      <c r="A30" s="151"/>
      <c r="B30" s="36" t="str">
        <f>'R2'!B36</f>
        <v/>
      </c>
      <c r="C30" s="36" t="str">
        <f>'R2'!C36</f>
        <v/>
      </c>
      <c r="D30" s="36" t="str">
        <f>'R2'!D36</f>
        <v/>
      </c>
      <c r="E30" s="36" t="str">
        <f>'R2'!E36</f>
        <v/>
      </c>
      <c r="F30" s="36" t="str">
        <f>'R2'!F36</f>
        <v/>
      </c>
      <c r="G30" s="36" t="str">
        <f>'R2'!G36</f>
        <v/>
      </c>
      <c r="H30" s="36" t="str">
        <f>'R2'!H36</f>
        <v/>
      </c>
      <c r="I30" s="36" t="str">
        <f>'R2'!I36</f>
        <v/>
      </c>
      <c r="J30" s="36" t="str">
        <f>'R2'!J36</f>
        <v/>
      </c>
      <c r="K30" s="36" t="str">
        <f>'R2'!K36</f>
        <v/>
      </c>
      <c r="L30" s="36" t="str">
        <f>'R2'!L36</f>
        <v/>
      </c>
      <c r="M30" s="36" t="str">
        <f>'R2'!M36</f>
        <v/>
      </c>
      <c r="N30" s="36" t="str">
        <f>'R2'!N36</f>
        <v/>
      </c>
      <c r="P30" s="36">
        <f>'R2'!O36</f>
        <v>1.7743639793767214</v>
      </c>
      <c r="Q30" s="36" t="str">
        <f>'R2'!P36</f>
        <v/>
      </c>
      <c r="R30" s="36" t="str">
        <f>'R2'!Q36</f>
        <v/>
      </c>
      <c r="S30" s="36" t="str">
        <f>'R2'!R36</f>
        <v/>
      </c>
      <c r="T30" s="36" t="str">
        <f>'R2'!S36</f>
        <v/>
      </c>
      <c r="U30" s="36" t="str">
        <f>'R2'!T36</f>
        <v/>
      </c>
      <c r="V30" s="36" t="str">
        <f>'R2'!U36</f>
        <v/>
      </c>
      <c r="W30" s="36" t="str">
        <f>'R2'!V36</f>
        <v/>
      </c>
    </row>
    <row r="31" spans="1:23" s="1" customFormat="1">
      <c r="A31" s="151"/>
      <c r="B31" s="36" t="str">
        <f>'R2'!B37</f>
        <v/>
      </c>
      <c r="C31" s="36" t="str">
        <f>'R2'!C37</f>
        <v/>
      </c>
      <c r="D31" s="36" t="str">
        <f>'R2'!D37</f>
        <v/>
      </c>
      <c r="E31" s="36" t="str">
        <f>'R2'!E37</f>
        <v/>
      </c>
      <c r="F31" s="36" t="str">
        <f>'R2'!F37</f>
        <v/>
      </c>
      <c r="G31" s="36" t="str">
        <f>'R2'!G37</f>
        <v/>
      </c>
      <c r="H31" s="36" t="str">
        <f>'R2'!H37</f>
        <v/>
      </c>
      <c r="I31" s="36" t="str">
        <f>'R2'!I37</f>
        <v/>
      </c>
      <c r="J31" s="36" t="str">
        <f>'R2'!J37</f>
        <v/>
      </c>
      <c r="K31" s="36" t="str">
        <f>'R2'!K37</f>
        <v/>
      </c>
      <c r="L31" s="36" t="str">
        <f>'R2'!L37</f>
        <v/>
      </c>
      <c r="M31" s="36" t="str">
        <f>'R2'!M37</f>
        <v/>
      </c>
      <c r="N31" s="36" t="str">
        <f>'R2'!N37</f>
        <v/>
      </c>
      <c r="O31"/>
      <c r="P31" s="36">
        <f>'R2'!O37</f>
        <v>1.3207789157123369</v>
      </c>
      <c r="Q31" s="36" t="str">
        <f>'R2'!P37</f>
        <v/>
      </c>
      <c r="R31" s="36" t="str">
        <f>'R2'!Q37</f>
        <v/>
      </c>
      <c r="S31" s="36" t="str">
        <f>'R2'!R37</f>
        <v/>
      </c>
      <c r="T31" s="36" t="str">
        <f>'R2'!S37</f>
        <v/>
      </c>
      <c r="U31" s="36" t="str">
        <f>'R2'!T37</f>
        <v/>
      </c>
      <c r="V31" s="36" t="str">
        <f>'R2'!U37</f>
        <v/>
      </c>
      <c r="W31" s="36" t="str">
        <f>'R2'!V37</f>
        <v/>
      </c>
    </row>
    <row r="32" spans="1:23" s="1" customFormat="1">
      <c r="A32" s="151"/>
      <c r="B32" s="36" t="str">
        <f>'R2'!B38</f>
        <v/>
      </c>
      <c r="C32" s="36" t="str">
        <f>'R2'!C38</f>
        <v/>
      </c>
      <c r="D32" s="36" t="str">
        <f>'R2'!D38</f>
        <v/>
      </c>
      <c r="E32" s="36" t="str">
        <f>'R2'!E38</f>
        <v/>
      </c>
      <c r="F32" s="36" t="str">
        <f>'R2'!F38</f>
        <v/>
      </c>
      <c r="G32" s="36" t="str">
        <f>'R2'!G38</f>
        <v/>
      </c>
      <c r="H32" s="36" t="str">
        <f>'R2'!H38</f>
        <v/>
      </c>
      <c r="I32" s="36" t="str">
        <f>'R2'!I38</f>
        <v/>
      </c>
      <c r="J32" s="36" t="str">
        <f>'R2'!J38</f>
        <v/>
      </c>
      <c r="K32" s="36" t="str">
        <f>'R2'!K38</f>
        <v/>
      </c>
      <c r="L32" s="36" t="str">
        <f>'R2'!L38</f>
        <v/>
      </c>
      <c r="M32" s="36" t="str">
        <f>'R2'!M38</f>
        <v/>
      </c>
      <c r="N32" s="36" t="str">
        <f>'R2'!N38</f>
        <v/>
      </c>
      <c r="O32"/>
      <c r="P32" s="36">
        <f>'R2'!O38</f>
        <v>1.0248778590544463</v>
      </c>
      <c r="Q32" s="36" t="str">
        <f>'R2'!P38</f>
        <v/>
      </c>
      <c r="R32" s="36" t="str">
        <f>'R2'!Q38</f>
        <v/>
      </c>
      <c r="S32" s="36" t="str">
        <f>'R2'!R38</f>
        <v/>
      </c>
      <c r="T32" s="36" t="str">
        <f>'R2'!S38</f>
        <v/>
      </c>
      <c r="U32" s="36" t="str">
        <f>'R2'!T38</f>
        <v/>
      </c>
      <c r="V32" s="36" t="str">
        <f>'R2'!U38</f>
        <v/>
      </c>
      <c r="W32" s="36" t="str">
        <f>'R2'!V38</f>
        <v/>
      </c>
    </row>
    <row r="33" spans="1:23" s="1" customFormat="1">
      <c r="A33" s="151"/>
      <c r="B33" s="36" t="str">
        <f>'R2'!B39</f>
        <v/>
      </c>
      <c r="C33" s="36" t="str">
        <f>'R2'!C39</f>
        <v/>
      </c>
      <c r="D33" s="36" t="str">
        <f>'R2'!D39</f>
        <v/>
      </c>
      <c r="E33" s="36" t="str">
        <f>'R2'!E39</f>
        <v/>
      </c>
      <c r="F33" s="36" t="str">
        <f>'R2'!F39</f>
        <v/>
      </c>
      <c r="G33" s="36" t="str">
        <f>'R2'!G39</f>
        <v/>
      </c>
      <c r="H33" s="36" t="str">
        <f>'R2'!H39</f>
        <v/>
      </c>
      <c r="I33" s="36" t="str">
        <f>'R2'!I39</f>
        <v/>
      </c>
      <c r="J33" s="36" t="str">
        <f>'R2'!J39</f>
        <v/>
      </c>
      <c r="K33" s="36" t="str">
        <f>'R2'!K39</f>
        <v/>
      </c>
      <c r="L33" s="36" t="str">
        <f>'R2'!L39</f>
        <v/>
      </c>
      <c r="M33" s="36" t="str">
        <f>'R2'!M39</f>
        <v/>
      </c>
      <c r="N33" s="36" t="str">
        <f>'R2'!N39</f>
        <v/>
      </c>
      <c r="O33"/>
      <c r="P33" s="36">
        <f>'R2'!O39</f>
        <v>0.90094863264012148</v>
      </c>
      <c r="Q33" s="36" t="str">
        <f>'R2'!P39</f>
        <v/>
      </c>
      <c r="R33" s="36" t="str">
        <f>'R2'!Q39</f>
        <v/>
      </c>
      <c r="S33" s="36" t="str">
        <f>'R2'!R39</f>
        <v/>
      </c>
      <c r="T33" s="36" t="str">
        <f>'R2'!S39</f>
        <v/>
      </c>
      <c r="U33" s="36" t="str">
        <f>'R2'!T39</f>
        <v/>
      </c>
      <c r="V33" s="36" t="str">
        <f>'R2'!U39</f>
        <v/>
      </c>
      <c r="W33" s="36" t="str">
        <f>'R2'!V39</f>
        <v/>
      </c>
    </row>
    <row r="34" spans="1:23" s="1" customFormat="1">
      <c r="A34" s="151"/>
      <c r="B34" s="36" t="str">
        <f>'R2'!B40</f>
        <v/>
      </c>
      <c r="C34" s="36" t="str">
        <f>'R2'!C40</f>
        <v/>
      </c>
      <c r="D34" s="36" t="str">
        <f>'R2'!D40</f>
        <v/>
      </c>
      <c r="E34" s="36" t="str">
        <f>'R2'!E40</f>
        <v/>
      </c>
      <c r="F34" s="36" t="str">
        <f>'R2'!F40</f>
        <v/>
      </c>
      <c r="G34" s="36" t="str">
        <f>'R2'!G40</f>
        <v/>
      </c>
      <c r="H34" s="36" t="str">
        <f>'R2'!H40</f>
        <v/>
      </c>
      <c r="I34" s="36" t="str">
        <f>'R2'!I40</f>
        <v/>
      </c>
      <c r="J34" s="36" t="str">
        <f>'R2'!J40</f>
        <v/>
      </c>
      <c r="K34" s="36" t="str">
        <f>'R2'!K40</f>
        <v/>
      </c>
      <c r="L34" s="36" t="str">
        <f>'R2'!L40</f>
        <v/>
      </c>
      <c r="M34" s="36" t="str">
        <f>'R2'!M40</f>
        <v/>
      </c>
      <c r="N34" s="36" t="str">
        <f>'R2'!N40</f>
        <v/>
      </c>
      <c r="O34"/>
      <c r="P34" s="36">
        <f>'R2'!O40</f>
        <v>0.92740024153021494</v>
      </c>
      <c r="Q34" s="36" t="str">
        <f>'R2'!P40</f>
        <v/>
      </c>
      <c r="R34" s="36" t="str">
        <f>'R2'!Q40</f>
        <v/>
      </c>
      <c r="S34" s="36" t="str">
        <f>'R2'!R40</f>
        <v/>
      </c>
      <c r="T34" s="36" t="str">
        <f>'R2'!S40</f>
        <v/>
      </c>
      <c r="U34" s="36" t="str">
        <f>'R2'!T40</f>
        <v/>
      </c>
      <c r="V34" s="36" t="str">
        <f>'R2'!U40</f>
        <v/>
      </c>
      <c r="W34" s="36" t="str">
        <f>'R2'!V40</f>
        <v/>
      </c>
    </row>
    <row r="35" spans="1:23" s="1" customFormat="1">
      <c r="A35" s="151"/>
      <c r="B35" s="36" t="str">
        <f>'R2'!B41</f>
        <v/>
      </c>
      <c r="C35" s="36" t="str">
        <f>'R2'!C41</f>
        <v/>
      </c>
      <c r="D35" s="36" t="str">
        <f>'R2'!D41</f>
        <v/>
      </c>
      <c r="E35" s="36" t="str">
        <f>'R2'!E41</f>
        <v/>
      </c>
      <c r="F35" s="36" t="str">
        <f>'R2'!F41</f>
        <v/>
      </c>
      <c r="G35" s="36" t="str">
        <f>'R2'!G41</f>
        <v/>
      </c>
      <c r="H35" s="36" t="str">
        <f>'R2'!H41</f>
        <v/>
      </c>
      <c r="I35" s="36" t="str">
        <f>'R2'!I41</f>
        <v/>
      </c>
      <c r="J35" s="36" t="str">
        <f>'R2'!J41</f>
        <v/>
      </c>
      <c r="K35" s="36" t="str">
        <f>'R2'!K41</f>
        <v/>
      </c>
      <c r="L35" s="36" t="str">
        <f>'R2'!L41</f>
        <v/>
      </c>
      <c r="M35" s="36" t="str">
        <f>'R2'!M41</f>
        <v/>
      </c>
      <c r="N35" s="36" t="str">
        <f>'R2'!N41</f>
        <v/>
      </c>
      <c r="O35"/>
      <c r="P35" s="36">
        <f>'R2'!O41</f>
        <v>0.89941453163266605</v>
      </c>
      <c r="Q35" s="36" t="str">
        <f>'R2'!P41</f>
        <v/>
      </c>
      <c r="R35" s="36" t="str">
        <f>'R2'!Q41</f>
        <v/>
      </c>
      <c r="S35" s="36" t="str">
        <f>'R2'!R41</f>
        <v/>
      </c>
      <c r="T35" s="36" t="str">
        <f>'R2'!S41</f>
        <v/>
      </c>
      <c r="U35" s="36" t="str">
        <f>'R2'!T41</f>
        <v/>
      </c>
      <c r="V35" s="36" t="str">
        <f>'R2'!U41</f>
        <v/>
      </c>
      <c r="W35" s="36" t="str">
        <f>'R2'!V41</f>
        <v/>
      </c>
    </row>
    <row r="36" spans="1:23">
      <c r="A36" s="151"/>
      <c r="B36" s="36" t="str">
        <f>'R2'!B42</f>
        <v/>
      </c>
      <c r="C36" s="36" t="str">
        <f>'R2'!C42</f>
        <v/>
      </c>
      <c r="D36" s="36" t="str">
        <f>'R2'!D42</f>
        <v/>
      </c>
      <c r="E36" s="36" t="str">
        <f>'R2'!E42</f>
        <v/>
      </c>
      <c r="F36" s="36" t="str">
        <f>'R2'!F42</f>
        <v/>
      </c>
      <c r="G36" s="36" t="str">
        <f>'R2'!G42</f>
        <v/>
      </c>
      <c r="H36" s="36" t="str">
        <f>'R2'!H42</f>
        <v/>
      </c>
      <c r="I36" s="36" t="str">
        <f>'R2'!I42</f>
        <v/>
      </c>
      <c r="J36" s="36" t="str">
        <f>'R2'!J42</f>
        <v/>
      </c>
      <c r="K36" s="36" t="str">
        <f>'R2'!K42</f>
        <v/>
      </c>
      <c r="L36" s="36" t="str">
        <f>'R2'!L42</f>
        <v/>
      </c>
      <c r="M36" s="36" t="str">
        <f>'R2'!M42</f>
        <v/>
      </c>
      <c r="N36" s="36" t="str">
        <f>'R2'!N42</f>
        <v/>
      </c>
      <c r="P36" s="36">
        <f>'R2'!O42</f>
        <v>0.39595570556371823</v>
      </c>
      <c r="Q36" s="36" t="str">
        <f>'R2'!P42</f>
        <v/>
      </c>
      <c r="R36" s="36" t="str">
        <f>'R2'!Q42</f>
        <v/>
      </c>
      <c r="S36" s="36" t="str">
        <f>'R2'!R42</f>
        <v/>
      </c>
      <c r="T36" s="36" t="str">
        <f>'R2'!S42</f>
        <v/>
      </c>
      <c r="U36" s="36" t="str">
        <f>'R2'!T42</f>
        <v/>
      </c>
      <c r="V36" s="36" t="str">
        <f>'R2'!U42</f>
        <v/>
      </c>
      <c r="W36" s="36" t="str">
        <f>'R2'!V42</f>
        <v/>
      </c>
    </row>
    <row r="37" spans="1:23">
      <c r="A37" s="152"/>
      <c r="B37" s="36" t="str">
        <f>'R2'!B43</f>
        <v/>
      </c>
      <c r="C37" s="36" t="str">
        <f>'R2'!C43</f>
        <v/>
      </c>
      <c r="D37" s="36" t="str">
        <f>'R2'!D43</f>
        <v/>
      </c>
      <c r="E37" s="36" t="str">
        <f>'R2'!E43</f>
        <v/>
      </c>
      <c r="F37" s="36" t="str">
        <f>'R2'!F43</f>
        <v/>
      </c>
      <c r="G37" s="36" t="str">
        <f>'R2'!G43</f>
        <v/>
      </c>
      <c r="H37" s="36" t="str">
        <f>'R2'!H43</f>
        <v/>
      </c>
      <c r="I37" s="36" t="str">
        <f>'R2'!I43</f>
        <v/>
      </c>
      <c r="J37" s="36" t="str">
        <f>'R2'!J43</f>
        <v/>
      </c>
      <c r="K37" s="36" t="str">
        <f>'R2'!K43</f>
        <v/>
      </c>
      <c r="L37" s="36" t="str">
        <f>'R2'!L43</f>
        <v/>
      </c>
      <c r="M37" s="36" t="str">
        <f>'R2'!M43</f>
        <v/>
      </c>
      <c r="N37" s="36" t="str">
        <f>'R2'!N43</f>
        <v/>
      </c>
      <c r="P37" s="36">
        <f>'R2'!O43</f>
        <v>1.3598152051214321</v>
      </c>
      <c r="Q37" s="36" t="str">
        <f>'R2'!P43</f>
        <v/>
      </c>
      <c r="R37" s="36" t="str">
        <f>'R2'!Q43</f>
        <v/>
      </c>
      <c r="S37" s="36" t="str">
        <f>'R2'!R43</f>
        <v/>
      </c>
      <c r="T37" s="36" t="str">
        <f>'R2'!S43</f>
        <v/>
      </c>
      <c r="U37" s="36" t="str">
        <f>'R2'!T43</f>
        <v/>
      </c>
      <c r="V37" s="36" t="str">
        <f>'R2'!U43</f>
        <v/>
      </c>
      <c r="W37" s="36" t="str">
        <f>'R2'!V43</f>
        <v/>
      </c>
    </row>
    <row r="38" spans="1:23" s="1" customFormat="1">
      <c r="A38" s="81" t="s">
        <v>48</v>
      </c>
      <c r="B38" s="82">
        <f>'R3'!B28</f>
        <v>0.11422795895827964</v>
      </c>
      <c r="C38" s="82">
        <f>'R3'!C28</f>
        <v>0.4720399383232744</v>
      </c>
      <c r="D38" s="82">
        <f>'R3'!D28</f>
        <v>1.1604514743080332</v>
      </c>
      <c r="E38" s="82">
        <f>'R3'!E28</f>
        <v>1.4011076301566829</v>
      </c>
      <c r="F38" s="82">
        <f>'R3'!F28</f>
        <v>1.996632028807104</v>
      </c>
      <c r="G38" s="82">
        <f>'R3'!G28</f>
        <v>1.6624414960695117</v>
      </c>
      <c r="H38" s="82">
        <f>'R3'!H28</f>
        <v>2.4600911968663586</v>
      </c>
      <c r="I38" s="82">
        <f>'R3'!I28</f>
        <v>3.3136453522902537E-2</v>
      </c>
      <c r="J38" s="82">
        <f>'R3'!J28</f>
        <v>0</v>
      </c>
      <c r="K38" s="82">
        <f>'R3'!K28</f>
        <v>0.24256404892770009</v>
      </c>
      <c r="L38" s="82">
        <f>'R3'!L28</f>
        <v>0.10377077942872019</v>
      </c>
      <c r="M38" s="82">
        <f>'R3'!M28</f>
        <v>2.7690144080810102E-3</v>
      </c>
      <c r="N38" s="82" t="str">
        <f>'R3'!N28</f>
        <v/>
      </c>
      <c r="O38"/>
      <c r="P38" s="82">
        <f>'R3'!O28</f>
        <v>0.51360546737237356</v>
      </c>
      <c r="Q38" s="82">
        <f>'R3'!P28</f>
        <v>1.4118508960742977</v>
      </c>
      <c r="R38" s="82">
        <f>'R3'!Q28</f>
        <v>0.30160465565591299</v>
      </c>
      <c r="S38" s="82">
        <f>'R3'!R28</f>
        <v>0.21872702924663323</v>
      </c>
      <c r="T38" s="82">
        <f>'R3'!S28</f>
        <v>0.22764293299661481</v>
      </c>
      <c r="U38" s="82">
        <f>'R3'!T28</f>
        <v>0.9828335889130011</v>
      </c>
      <c r="V38" s="82">
        <f>'R3'!U28</f>
        <v>1.2742296830873645</v>
      </c>
      <c r="W38" s="82">
        <f>'R3'!V28</f>
        <v>0.59035064536247861</v>
      </c>
    </row>
    <row r="39" spans="1:23" s="1" customFormat="1">
      <c r="A39" s="142" t="s">
        <v>17</v>
      </c>
      <c r="B39" s="82">
        <f>'R3'!B29</f>
        <v>0.33325018148117375</v>
      </c>
      <c r="C39" s="82">
        <f>'R3'!C29</f>
        <v>0.13027689794441352</v>
      </c>
      <c r="D39" s="82">
        <f>'R3'!D29</f>
        <v>0.12050976034402441</v>
      </c>
      <c r="E39" s="82">
        <f>'R3'!E29</f>
        <v>0.73983592200831672</v>
      </c>
      <c r="F39" s="82">
        <f>'R3'!F29</f>
        <v>1.7982518693859846</v>
      </c>
      <c r="G39" s="82">
        <f>'R3'!G29</f>
        <v>1.5511639086930054</v>
      </c>
      <c r="H39" s="82">
        <f>'R3'!H29</f>
        <v>2.0313676518988908</v>
      </c>
      <c r="I39" s="82">
        <f>'R3'!I29</f>
        <v>1.2466028969287841E-2</v>
      </c>
      <c r="J39" s="82">
        <f>'R3'!J29</f>
        <v>0</v>
      </c>
      <c r="K39" s="82">
        <f>'R3'!K29</f>
        <v>2.1537660507583309E-2</v>
      </c>
      <c r="L39" s="82">
        <f>'R3'!L29</f>
        <v>0.1753262020273218</v>
      </c>
      <c r="M39" s="82">
        <f>'R3'!M29</f>
        <v>0.10434399299205438</v>
      </c>
      <c r="N39" s="82" t="str">
        <f>'R3'!N29</f>
        <v/>
      </c>
      <c r="O39"/>
      <c r="P39" s="82">
        <f>'R3'!O29</f>
        <v>1.5738772684679176</v>
      </c>
      <c r="Q39" s="82">
        <f>'R3'!P29</f>
        <v>1.3090234601652635</v>
      </c>
      <c r="R39" s="82">
        <f>'R3'!Q29</f>
        <v>0.1637374265890286</v>
      </c>
      <c r="S39" s="82">
        <f>'R3'!R29</f>
        <v>0.29826216748769196</v>
      </c>
      <c r="T39" s="82">
        <f>'R3'!S29</f>
        <v>0.50541876517084594</v>
      </c>
      <c r="U39" s="82">
        <f>'R3'!T29</f>
        <v>0.12384119014799595</v>
      </c>
      <c r="V39" s="82">
        <f>'R3'!U29</f>
        <v>0.81953589492589474</v>
      </c>
      <c r="W39" s="82">
        <f>'R3'!V29</f>
        <v>1.3279340436223686</v>
      </c>
    </row>
    <row r="40" spans="1:23" s="1" customFormat="1">
      <c r="A40" s="151"/>
      <c r="B40" s="82">
        <f>'R3'!B30</f>
        <v>4.4795221901975067E-2</v>
      </c>
      <c r="C40" s="82">
        <f>'R3'!C30</f>
        <v>0.30876683293432289</v>
      </c>
      <c r="D40" s="82">
        <f>'R3'!D30</f>
        <v>9.3438364267575957E-2</v>
      </c>
      <c r="E40" s="82">
        <f>'R3'!E30</f>
        <v>1.1190643101693587</v>
      </c>
      <c r="F40" s="82">
        <f>'R3'!F30</f>
        <v>2.0245408683032489</v>
      </c>
      <c r="G40" s="82">
        <f>'R3'!G30</f>
        <v>1.9629724496059975</v>
      </c>
      <c r="H40" s="82">
        <f>'R3'!H30</f>
        <v>1.5668838288181151</v>
      </c>
      <c r="I40" s="82">
        <f>'R3'!I30</f>
        <v>5.4528924212809728E-2</v>
      </c>
      <c r="J40" s="82">
        <f>'R3'!J30</f>
        <v>0.16226523306140953</v>
      </c>
      <c r="K40" s="82">
        <f>'R3'!K30</f>
        <v>2.866458111879764E-2</v>
      </c>
      <c r="L40" s="82">
        <f>'R3'!L30</f>
        <v>8.716944262372181E-2</v>
      </c>
      <c r="M40" s="82">
        <f>'R3'!M30</f>
        <v>3.5153759358821729E-2</v>
      </c>
      <c r="N40" s="82" t="str">
        <f>'R3'!N30</f>
        <v/>
      </c>
      <c r="O40"/>
      <c r="P40" s="82">
        <f>'R3'!O30</f>
        <v>1.5503046087416159</v>
      </c>
      <c r="Q40" s="82">
        <f>'R3'!P30</f>
        <v>1.4307730582892642</v>
      </c>
      <c r="R40" s="82">
        <f>'R3'!Q30</f>
        <v>5.564594910041467E-2</v>
      </c>
      <c r="S40" s="82">
        <f>'R3'!R30</f>
        <v>0.10010915987809813</v>
      </c>
      <c r="T40" s="82">
        <f>'R3'!S30</f>
        <v>0.43747604512336258</v>
      </c>
      <c r="U40" s="82">
        <f>'R3'!T30</f>
        <v>0.47500071777728242</v>
      </c>
      <c r="V40" s="82">
        <f>'R3'!U30</f>
        <v>0.7013015556492137</v>
      </c>
      <c r="W40" s="82">
        <f>'R3'!V30</f>
        <v>0.88093271382967409</v>
      </c>
    </row>
    <row r="41" spans="1:23" s="1" customFormat="1">
      <c r="A41" s="151"/>
      <c r="B41" s="82">
        <f>'R3'!B31</f>
        <v>0.26516058033677614</v>
      </c>
      <c r="C41" s="82">
        <f>'R3'!C31</f>
        <v>0.20170677558418229</v>
      </c>
      <c r="D41" s="82">
        <f>'R3'!D31</f>
        <v>0.66688714551427497</v>
      </c>
      <c r="E41" s="82">
        <f>'R3'!E31</f>
        <v>0.7543802729645005</v>
      </c>
      <c r="F41" s="82">
        <f>'R3'!F31</f>
        <v>1.2448859883052432</v>
      </c>
      <c r="G41" s="82">
        <f>'R3'!G31</f>
        <v>1.2981303208874668</v>
      </c>
      <c r="H41" s="82">
        <f>'R3'!H31</f>
        <v>2.1216325258236588</v>
      </c>
      <c r="I41" s="82">
        <f>'R3'!I31</f>
        <v>8.0471846742194916E-2</v>
      </c>
      <c r="J41" s="82">
        <f>'R3'!J31</f>
        <v>0.11499684051962895</v>
      </c>
      <c r="K41" s="82">
        <f>'R3'!K31</f>
        <v>0.16415179000237845</v>
      </c>
      <c r="L41" s="82">
        <f>'R3'!L31</f>
        <v>5.7859963721572476E-2</v>
      </c>
      <c r="M41" s="82">
        <f>'R3'!M31</f>
        <v>2.8122981467376795E-2</v>
      </c>
      <c r="N41" s="82" t="str">
        <f>'R3'!N31</f>
        <v/>
      </c>
      <c r="O41"/>
      <c r="P41" s="82">
        <f>'R3'!O31</f>
        <v>1.0325998707911448</v>
      </c>
      <c r="Q41" s="82">
        <f>'R3'!P31</f>
        <v>1.6965863423135681</v>
      </c>
      <c r="R41" s="82">
        <f>'R3'!Q31</f>
        <v>0.37543198666497873</v>
      </c>
      <c r="S41" s="82">
        <f>'R3'!R31</f>
        <v>0.16728221777381452</v>
      </c>
      <c r="T41" s="82">
        <f>'R3'!S31</f>
        <v>0.26792361021832212</v>
      </c>
      <c r="U41" s="82">
        <f>'R3'!T31</f>
        <v>0.23452669969274254</v>
      </c>
      <c r="V41" s="82">
        <f>'R3'!U31</f>
        <v>1.1763063064769872</v>
      </c>
      <c r="W41" s="82">
        <f>'R3'!V31</f>
        <v>0.5498308472761757</v>
      </c>
    </row>
    <row r="42" spans="1:23" s="1" customFormat="1">
      <c r="A42" s="151"/>
      <c r="B42" s="82">
        <f>'R3'!B32</f>
        <v>0.18218993356939742</v>
      </c>
      <c r="C42" s="82">
        <f>'R3'!C32</f>
        <v>0.29995695938273381</v>
      </c>
      <c r="D42" s="82">
        <f>'R3'!D32</f>
        <v>0.31409579361696743</v>
      </c>
      <c r="E42" s="82">
        <f>'R3'!E32</f>
        <v>0.93172508181177083</v>
      </c>
      <c r="F42" s="82">
        <f>'R3'!F32</f>
        <v>0.82033990305603666</v>
      </c>
      <c r="G42" s="82">
        <f>'R3'!G32</f>
        <v>1.3679990176920087</v>
      </c>
      <c r="H42" s="82">
        <f>'R3'!H32</f>
        <v>2.6284229184566548</v>
      </c>
      <c r="I42" s="82">
        <f>'R3'!I32</f>
        <v>8.4923683992247728E-2</v>
      </c>
      <c r="J42" s="82">
        <f>'R3'!J32</f>
        <v>2.3285012157411165E-2</v>
      </c>
      <c r="K42" s="82">
        <f>'R3'!K32</f>
        <v>5.9409825995744105E-2</v>
      </c>
      <c r="L42" s="82">
        <f>'R3'!L32</f>
        <v>0.10543499819907221</v>
      </c>
      <c r="M42" s="82">
        <f>'R3'!M32</f>
        <v>0.16681061106317302</v>
      </c>
      <c r="N42" s="82" t="str">
        <f>'R3'!N32</f>
        <v/>
      </c>
      <c r="O42"/>
      <c r="P42" s="82">
        <f>'R3'!O32</f>
        <v>0.58987630658537549</v>
      </c>
      <c r="Q42" s="82">
        <f>'R3'!P32</f>
        <v>1.8136159703790655</v>
      </c>
      <c r="R42" s="82">
        <f>'R3'!Q32</f>
        <v>0.26861170067144841</v>
      </c>
      <c r="S42" s="82">
        <f>'R3'!R32</f>
        <v>4.9042544462613136E-2</v>
      </c>
      <c r="T42" s="82">
        <f>'R3'!S32</f>
        <v>0.19493190125131166</v>
      </c>
      <c r="U42" s="82">
        <f>'R3'!T32</f>
        <v>0.33594959324368423</v>
      </c>
      <c r="V42" s="82">
        <f>'R3'!U32</f>
        <v>0.42652878490994478</v>
      </c>
      <c r="W42" s="82">
        <f>'R3'!V32</f>
        <v>0.3955614620591873</v>
      </c>
    </row>
    <row r="43" spans="1:23" s="1" customFormat="1">
      <c r="A43" s="151"/>
      <c r="B43" s="82">
        <f>'R3'!B33</f>
        <v>0.11012426503448246</v>
      </c>
      <c r="C43" s="82">
        <f>'R3'!C33</f>
        <v>0.36604850925484667</v>
      </c>
      <c r="D43" s="82">
        <f>'R3'!D33</f>
        <v>0.64610925967983546</v>
      </c>
      <c r="E43" s="82">
        <f>'R3'!E33</f>
        <v>0.85762883740383722</v>
      </c>
      <c r="F43" s="82">
        <f>'R3'!F33</f>
        <v>1.606811939367867</v>
      </c>
      <c r="G43" s="82">
        <f>'R3'!G33</f>
        <v>2.0314294486402851</v>
      </c>
      <c r="H43" s="82">
        <f>'R3'!H33</f>
        <v>1.9558612709015382</v>
      </c>
      <c r="I43" s="82">
        <f>'R3'!I33</f>
        <v>0.13748799222232719</v>
      </c>
      <c r="J43" s="82">
        <f>'R3'!J33</f>
        <v>0.21373892637967995</v>
      </c>
      <c r="K43" s="82">
        <f>'R3'!K33</f>
        <v>4.275293717269224E-2</v>
      </c>
      <c r="L43" s="82">
        <f>'R3'!L33</f>
        <v>4.8210955471048873E-2</v>
      </c>
      <c r="M43" s="82">
        <f>'R3'!M33</f>
        <v>0.13152597271099808</v>
      </c>
      <c r="N43" s="82" t="str">
        <f>'R3'!N33</f>
        <v/>
      </c>
      <c r="O43"/>
      <c r="P43" s="82">
        <f>'R3'!O33</f>
        <v>0.80178995237186912</v>
      </c>
      <c r="Q43" s="82">
        <f>'R3'!P33</f>
        <v>1.0731553158398521</v>
      </c>
      <c r="R43" s="82">
        <f>'R3'!Q33</f>
        <v>0.11456023027937713</v>
      </c>
      <c r="S43" s="82">
        <f>'R3'!R33</f>
        <v>0.11736294017381846</v>
      </c>
      <c r="T43" s="82">
        <f>'R3'!S33</f>
        <v>0.1661689657398947</v>
      </c>
      <c r="U43" s="82">
        <f>'R3'!T33</f>
        <v>0.57740208141670268</v>
      </c>
      <c r="V43" s="82">
        <f>'R3'!U33</f>
        <v>0.84703726622404529</v>
      </c>
      <c r="W43" s="82">
        <f>'R3'!V33</f>
        <v>1.0560166726307298</v>
      </c>
    </row>
    <row r="44" spans="1:23" s="1" customFormat="1">
      <c r="A44" s="151"/>
      <c r="B44" s="82">
        <f>'R3'!B34</f>
        <v>1.3537909711074133E-2</v>
      </c>
      <c r="C44" s="82">
        <f>'R3'!C34</f>
        <v>0.21973425108216055</v>
      </c>
      <c r="D44" s="82">
        <f>'R3'!D34</f>
        <v>0.39072921707895081</v>
      </c>
      <c r="E44" s="82">
        <f>'R3'!E34</f>
        <v>0.46754933174914676</v>
      </c>
      <c r="F44" s="82">
        <f>'R3'!F34</f>
        <v>1.0235294101384758</v>
      </c>
      <c r="G44" s="82">
        <f>'R3'!G34</f>
        <v>1.9990393696550239</v>
      </c>
      <c r="H44" s="82">
        <f>'R3'!H34</f>
        <v>2.9298480383165164</v>
      </c>
      <c r="I44" s="82">
        <f>'R3'!I34</f>
        <v>0.11075589278073474</v>
      </c>
      <c r="J44" s="82">
        <f>'R3'!J34</f>
        <v>7.7985275966887063E-2</v>
      </c>
      <c r="K44" s="82">
        <f>'R3'!K34</f>
        <v>4.0811478705684488E-2</v>
      </c>
      <c r="L44" s="82">
        <f>'R3'!L34</f>
        <v>1.5426808423295905E-2</v>
      </c>
      <c r="M44" s="82">
        <f>'R3'!M34</f>
        <v>6.5630351033706208E-2</v>
      </c>
      <c r="N44" s="82" t="str">
        <f>'R3'!N34</f>
        <v/>
      </c>
      <c r="O44"/>
      <c r="P44" s="82">
        <f>'R3'!O34</f>
        <v>1.6362365553566143</v>
      </c>
      <c r="Q44" s="82">
        <f>'R3'!P34</f>
        <v>1.3333194670118871</v>
      </c>
      <c r="R44" s="82">
        <f>'R3'!Q34</f>
        <v>0.46287541652528291</v>
      </c>
      <c r="S44" s="82">
        <f>'R3'!R34</f>
        <v>0.12609904793094306</v>
      </c>
      <c r="T44" s="82">
        <f>'R3'!S34</f>
        <v>5.8492241959839418E-3</v>
      </c>
      <c r="U44" s="82">
        <f>'R3'!T34</f>
        <v>1.2943686556649874</v>
      </c>
      <c r="V44" s="82">
        <f>'R3'!U34</f>
        <v>1.1559556637977881</v>
      </c>
      <c r="W44" s="82">
        <f>'R3'!V34</f>
        <v>0.56005801282934498</v>
      </c>
    </row>
    <row r="45" spans="1:23" s="1" customFormat="1">
      <c r="A45" s="151"/>
      <c r="B45" s="82">
        <f>'R3'!B35</f>
        <v>0.17376788335695934</v>
      </c>
      <c r="C45" s="82">
        <f>'R3'!C35</f>
        <v>3.5284768450577868E-2</v>
      </c>
      <c r="D45" s="82">
        <f>'R3'!D35</f>
        <v>0.29350720095879923</v>
      </c>
      <c r="E45" s="82">
        <f>'R3'!E35</f>
        <v>0.79982780825879463</v>
      </c>
      <c r="F45" s="82">
        <f>'R3'!F35</f>
        <v>1.086893967386656</v>
      </c>
      <c r="G45" s="82">
        <f>'R3'!G35</f>
        <v>1.5864687122976353</v>
      </c>
      <c r="H45" s="82">
        <f>'R3'!H35</f>
        <v>2.4410980009233896</v>
      </c>
      <c r="I45" s="82">
        <f>'R3'!I35</f>
        <v>0.13348577505281975</v>
      </c>
      <c r="J45" s="82">
        <f>'R3'!J35</f>
        <v>0.11571836626230972</v>
      </c>
      <c r="K45" s="82">
        <f>'R3'!K35</f>
        <v>8.0316639347492766E-2</v>
      </c>
      <c r="L45" s="82">
        <f>'R3'!L35</f>
        <v>0.16103268079199778</v>
      </c>
      <c r="M45" s="82">
        <f>'R3'!M35</f>
        <v>0.10781801064564332</v>
      </c>
      <c r="N45" s="82" t="str">
        <f>'R3'!N35</f>
        <v/>
      </c>
      <c r="O45"/>
      <c r="P45" s="82">
        <f>'R3'!O35</f>
        <v>0.98293766763534951</v>
      </c>
      <c r="Q45" s="82">
        <f>'R3'!P35</f>
        <v>1.797528001872051</v>
      </c>
      <c r="R45" s="82">
        <f>'R3'!Q35</f>
        <v>3.6088646482316848E-2</v>
      </c>
      <c r="S45" s="82">
        <f>'R3'!R35</f>
        <v>0.1414500089853275</v>
      </c>
      <c r="T45" s="82">
        <f>'R3'!S35</f>
        <v>4.8784819526397745E-2</v>
      </c>
      <c r="U45" s="82">
        <f>'R3'!T35</f>
        <v>0.4476847367033151</v>
      </c>
      <c r="V45" s="82">
        <f>'R3'!U35</f>
        <v>1.3614916256755736</v>
      </c>
      <c r="W45" s="82">
        <f>'R3'!V35</f>
        <v>0.96997492296365362</v>
      </c>
    </row>
    <row r="46" spans="1:23" s="1" customFormat="1">
      <c r="A46" s="151"/>
      <c r="B46" s="82" t="str">
        <f>'R3'!B36</f>
        <v/>
      </c>
      <c r="C46" s="82" t="str">
        <f>'R3'!C36</f>
        <v/>
      </c>
      <c r="D46" s="82" t="str">
        <f>'R3'!D36</f>
        <v/>
      </c>
      <c r="E46" s="82" t="str">
        <f>'R3'!E36</f>
        <v/>
      </c>
      <c r="F46" s="82" t="str">
        <f>'R3'!F36</f>
        <v/>
      </c>
      <c r="G46" s="82" t="str">
        <f>'R3'!G36</f>
        <v/>
      </c>
      <c r="H46" s="82" t="str">
        <f>'R3'!H36</f>
        <v/>
      </c>
      <c r="I46" s="82" t="str">
        <f>'R3'!I36</f>
        <v/>
      </c>
      <c r="J46" s="82" t="str">
        <f>'R3'!J36</f>
        <v/>
      </c>
      <c r="K46" s="82" t="str">
        <f>'R3'!K36</f>
        <v/>
      </c>
      <c r="L46" s="82" t="str">
        <f>'R3'!L36</f>
        <v/>
      </c>
      <c r="M46" s="82" t="str">
        <f>'R3'!M36</f>
        <v/>
      </c>
      <c r="N46" s="82" t="str">
        <f>'R3'!N36</f>
        <v/>
      </c>
      <c r="O46"/>
      <c r="P46" s="82">
        <f>'R3'!O36</f>
        <v>0.46410926977872402</v>
      </c>
      <c r="Q46" s="82" t="str">
        <f>'R3'!P36</f>
        <v/>
      </c>
      <c r="R46" s="82" t="str">
        <f>'R3'!Q36</f>
        <v/>
      </c>
      <c r="S46" s="82" t="str">
        <f>'R3'!R36</f>
        <v/>
      </c>
      <c r="T46" s="82" t="str">
        <f>'R3'!S36</f>
        <v/>
      </c>
      <c r="U46" s="82" t="str">
        <f>'R3'!T36</f>
        <v/>
      </c>
      <c r="V46" s="82" t="str">
        <f>'R3'!U36</f>
        <v/>
      </c>
      <c r="W46" s="82" t="str">
        <f>'R3'!V36</f>
        <v/>
      </c>
    </row>
    <row r="47" spans="1:23" s="1" customFormat="1">
      <c r="A47" s="151"/>
      <c r="B47" s="82" t="str">
        <f>'R3'!B37</f>
        <v/>
      </c>
      <c r="C47" s="82" t="str">
        <f>'R3'!C37</f>
        <v/>
      </c>
      <c r="D47" s="82" t="str">
        <f>'R3'!D37</f>
        <v/>
      </c>
      <c r="E47" s="82" t="str">
        <f>'R3'!E37</f>
        <v/>
      </c>
      <c r="F47" s="82" t="str">
        <f>'R3'!F37</f>
        <v/>
      </c>
      <c r="G47" s="82" t="str">
        <f>'R3'!G37</f>
        <v/>
      </c>
      <c r="H47" s="82" t="str">
        <f>'R3'!H37</f>
        <v/>
      </c>
      <c r="I47" s="82" t="str">
        <f>'R3'!I37</f>
        <v/>
      </c>
      <c r="J47" s="82" t="str">
        <f>'R3'!J37</f>
        <v/>
      </c>
      <c r="K47" s="82" t="str">
        <f>'R3'!K37</f>
        <v/>
      </c>
      <c r="L47" s="82" t="str">
        <f>'R3'!L37</f>
        <v/>
      </c>
      <c r="M47" s="82" t="str">
        <f>'R3'!M37</f>
        <v/>
      </c>
      <c r="N47" s="82" t="str">
        <f>'R3'!N37</f>
        <v/>
      </c>
      <c r="O47"/>
      <c r="P47" s="82">
        <f>'R3'!O37</f>
        <v>0.91723836444808748</v>
      </c>
      <c r="Q47" s="82" t="str">
        <f>'R3'!P37</f>
        <v/>
      </c>
      <c r="R47" s="82" t="str">
        <f>'R3'!Q37</f>
        <v/>
      </c>
      <c r="S47" s="82" t="str">
        <f>'R3'!R37</f>
        <v/>
      </c>
      <c r="T47" s="82" t="str">
        <f>'R3'!S37</f>
        <v/>
      </c>
      <c r="U47" s="82" t="str">
        <f>'R3'!T37</f>
        <v/>
      </c>
      <c r="V47" s="82" t="str">
        <f>'R3'!U37</f>
        <v/>
      </c>
      <c r="W47" s="82" t="str">
        <f>'R3'!V37</f>
        <v/>
      </c>
    </row>
    <row r="48" spans="1:23" s="1" customFormat="1">
      <c r="A48" s="151"/>
      <c r="B48" s="82" t="str">
        <f>'R3'!B38</f>
        <v/>
      </c>
      <c r="C48" s="82" t="str">
        <f>'R3'!C38</f>
        <v/>
      </c>
      <c r="D48" s="82" t="str">
        <f>'R3'!D38</f>
        <v/>
      </c>
      <c r="E48" s="82" t="str">
        <f>'R3'!E38</f>
        <v/>
      </c>
      <c r="F48" s="82" t="str">
        <f>'R3'!F38</f>
        <v/>
      </c>
      <c r="G48" s="82" t="str">
        <f>'R3'!G38</f>
        <v/>
      </c>
      <c r="H48" s="82" t="str">
        <f>'R3'!H38</f>
        <v/>
      </c>
      <c r="I48" s="82" t="str">
        <f>'R3'!I38</f>
        <v/>
      </c>
      <c r="J48" s="82" t="str">
        <f>'R3'!J38</f>
        <v/>
      </c>
      <c r="K48" s="82" t="str">
        <f>'R3'!K38</f>
        <v/>
      </c>
      <c r="L48" s="82" t="str">
        <f>'R3'!L38</f>
        <v/>
      </c>
      <c r="M48" s="82" t="str">
        <f>'R3'!M38</f>
        <v/>
      </c>
      <c r="N48" s="82" t="str">
        <f>'R3'!N38</f>
        <v/>
      </c>
      <c r="O48"/>
      <c r="P48" s="82">
        <f>'R3'!O38</f>
        <v>0.89319292712551779</v>
      </c>
      <c r="Q48" s="82" t="str">
        <f>'R3'!P38</f>
        <v/>
      </c>
      <c r="R48" s="82" t="str">
        <f>'R3'!Q38</f>
        <v/>
      </c>
      <c r="S48" s="82" t="str">
        <f>'R3'!R38</f>
        <v/>
      </c>
      <c r="T48" s="82" t="str">
        <f>'R3'!S38</f>
        <v/>
      </c>
      <c r="U48" s="82" t="str">
        <f>'R3'!T38</f>
        <v/>
      </c>
      <c r="V48" s="82" t="str">
        <f>'R3'!U38</f>
        <v/>
      </c>
      <c r="W48" s="82" t="str">
        <f>'R3'!V38</f>
        <v/>
      </c>
    </row>
    <row r="49" spans="1:25" s="1" customFormat="1">
      <c r="A49" s="151"/>
      <c r="B49" s="82" t="str">
        <f>'R3'!B39</f>
        <v/>
      </c>
      <c r="C49" s="82" t="str">
        <f>'R3'!C39</f>
        <v/>
      </c>
      <c r="D49" s="82" t="str">
        <f>'R3'!D39</f>
        <v/>
      </c>
      <c r="E49" s="82" t="str">
        <f>'R3'!E39</f>
        <v/>
      </c>
      <c r="F49" s="82" t="str">
        <f>'R3'!F39</f>
        <v/>
      </c>
      <c r="G49" s="82" t="str">
        <f>'R3'!G39</f>
        <v/>
      </c>
      <c r="H49" s="82" t="str">
        <f>'R3'!H39</f>
        <v/>
      </c>
      <c r="I49" s="82" t="str">
        <f>'R3'!I39</f>
        <v/>
      </c>
      <c r="J49" s="82" t="str">
        <f>'R3'!J39</f>
        <v/>
      </c>
      <c r="K49" s="82" t="str">
        <f>'R3'!K39</f>
        <v/>
      </c>
      <c r="L49" s="82" t="str">
        <f>'R3'!L39</f>
        <v/>
      </c>
      <c r="M49" s="82" t="str">
        <f>'R3'!M39</f>
        <v/>
      </c>
      <c r="N49" s="82" t="str">
        <f>'R3'!N39</f>
        <v/>
      </c>
      <c r="O49"/>
      <c r="P49" s="82">
        <f>'R3'!O39</f>
        <v>1.3082470328965439</v>
      </c>
      <c r="Q49" s="82" t="str">
        <f>'R3'!P39</f>
        <v/>
      </c>
      <c r="R49" s="82" t="str">
        <f>'R3'!Q39</f>
        <v/>
      </c>
      <c r="S49" s="82" t="str">
        <f>'R3'!R39</f>
        <v/>
      </c>
      <c r="T49" s="82" t="str">
        <f>'R3'!S39</f>
        <v/>
      </c>
      <c r="U49" s="82" t="str">
        <f>'R3'!T39</f>
        <v/>
      </c>
      <c r="V49" s="82" t="str">
        <f>'R3'!U39</f>
        <v/>
      </c>
      <c r="W49" s="82" t="str">
        <f>'R3'!V39</f>
        <v/>
      </c>
    </row>
    <row r="50" spans="1:25" s="1" customFormat="1">
      <c r="A50" s="151"/>
      <c r="B50" s="82" t="str">
        <f>'R3'!B40</f>
        <v/>
      </c>
      <c r="C50" s="82" t="str">
        <f>'R3'!C40</f>
        <v/>
      </c>
      <c r="D50" s="82" t="str">
        <f>'R3'!D40</f>
        <v/>
      </c>
      <c r="E50" s="82" t="str">
        <f>'R3'!E40</f>
        <v/>
      </c>
      <c r="F50" s="82" t="str">
        <f>'R3'!F40</f>
        <v/>
      </c>
      <c r="G50" s="82" t="str">
        <f>'R3'!G40</f>
        <v/>
      </c>
      <c r="H50" s="82" t="str">
        <f>'R3'!H40</f>
        <v/>
      </c>
      <c r="I50" s="82" t="str">
        <f>'R3'!I40</f>
        <v/>
      </c>
      <c r="J50" s="82" t="str">
        <f>'R3'!J40</f>
        <v/>
      </c>
      <c r="K50" s="82" t="str">
        <f>'R3'!K40</f>
        <v/>
      </c>
      <c r="L50" s="82" t="str">
        <f>'R3'!L40</f>
        <v/>
      </c>
      <c r="M50" s="82" t="str">
        <f>'R3'!M40</f>
        <v/>
      </c>
      <c r="N50" s="82" t="str">
        <f>'R3'!N40</f>
        <v/>
      </c>
      <c r="O50"/>
      <c r="P50" s="82">
        <f>'R3'!O40</f>
        <v>0.77737815794663279</v>
      </c>
      <c r="Q50" s="82" t="str">
        <f>'R3'!P40</f>
        <v/>
      </c>
      <c r="R50" s="82" t="str">
        <f>'R3'!Q40</f>
        <v/>
      </c>
      <c r="S50" s="82" t="str">
        <f>'R3'!R40</f>
        <v/>
      </c>
      <c r="T50" s="82" t="str">
        <f>'R3'!S40</f>
        <v/>
      </c>
      <c r="U50" s="82" t="str">
        <f>'R3'!T40</f>
        <v/>
      </c>
      <c r="V50" s="82" t="str">
        <f>'R3'!U40</f>
        <v/>
      </c>
      <c r="W50" s="82" t="str">
        <f>'R3'!V40</f>
        <v/>
      </c>
    </row>
    <row r="51" spans="1:25" s="1" customFormat="1">
      <c r="A51" s="151"/>
      <c r="B51" s="82" t="str">
        <f>'R3'!B41</f>
        <v/>
      </c>
      <c r="C51" s="82" t="str">
        <f>'R3'!C41</f>
        <v/>
      </c>
      <c r="D51" s="82" t="str">
        <f>'R3'!D41</f>
        <v/>
      </c>
      <c r="E51" s="82" t="str">
        <f>'R3'!E41</f>
        <v/>
      </c>
      <c r="F51" s="82" t="str">
        <f>'R3'!F41</f>
        <v/>
      </c>
      <c r="G51" s="82" t="str">
        <f>'R3'!G41</f>
        <v/>
      </c>
      <c r="H51" s="82" t="str">
        <f>'R3'!H41</f>
        <v/>
      </c>
      <c r="I51" s="82" t="str">
        <f>'R3'!I41</f>
        <v/>
      </c>
      <c r="J51" s="82" t="str">
        <f>'R3'!J41</f>
        <v/>
      </c>
      <c r="K51" s="82" t="str">
        <f>'R3'!K41</f>
        <v/>
      </c>
      <c r="L51" s="82" t="str">
        <f>'R3'!L41</f>
        <v/>
      </c>
      <c r="M51" s="82" t="str">
        <f>'R3'!M41</f>
        <v/>
      </c>
      <c r="N51" s="82" t="str">
        <f>'R3'!N41</f>
        <v/>
      </c>
      <c r="O51"/>
      <c r="P51" s="82">
        <f>'R3'!O41</f>
        <v>0.77627869634342417</v>
      </c>
      <c r="Q51" s="82" t="str">
        <f>'R3'!P41</f>
        <v/>
      </c>
      <c r="R51" s="82" t="str">
        <f>'R3'!Q41</f>
        <v/>
      </c>
      <c r="S51" s="82" t="str">
        <f>'R3'!R41</f>
        <v/>
      </c>
      <c r="T51" s="82" t="str">
        <f>'R3'!S41</f>
        <v/>
      </c>
      <c r="U51" s="82" t="str">
        <f>'R3'!T41</f>
        <v/>
      </c>
      <c r="V51" s="82" t="str">
        <f>'R3'!U41</f>
        <v/>
      </c>
      <c r="W51" s="82" t="str">
        <f>'R3'!V41</f>
        <v/>
      </c>
    </row>
    <row r="52" spans="1:25" s="1" customFormat="1">
      <c r="A52" s="151"/>
      <c r="B52" s="82" t="str">
        <f>'R3'!B42</f>
        <v/>
      </c>
      <c r="C52" s="82" t="str">
        <f>'R3'!C42</f>
        <v/>
      </c>
      <c r="D52" s="82" t="str">
        <f>'R3'!D42</f>
        <v/>
      </c>
      <c r="E52" s="82" t="str">
        <f>'R3'!E42</f>
        <v/>
      </c>
      <c r="F52" s="82" t="str">
        <f>'R3'!F42</f>
        <v/>
      </c>
      <c r="G52" s="82" t="str">
        <f>'R3'!G42</f>
        <v/>
      </c>
      <c r="H52" s="82" t="str">
        <f>'R3'!H42</f>
        <v/>
      </c>
      <c r="I52" s="82" t="str">
        <f>'R3'!I42</f>
        <v/>
      </c>
      <c r="J52" s="82" t="str">
        <f>'R3'!J42</f>
        <v/>
      </c>
      <c r="K52" s="82" t="str">
        <f>'R3'!K42</f>
        <v/>
      </c>
      <c r="L52" s="82" t="str">
        <f>'R3'!L42</f>
        <v/>
      </c>
      <c r="M52" s="82" t="str">
        <f>'R3'!M42</f>
        <v/>
      </c>
      <c r="N52" s="82" t="str">
        <f>'R3'!N42</f>
        <v/>
      </c>
      <c r="O52"/>
      <c r="P52" s="82">
        <f>'R3'!O42</f>
        <v>0.80719697209627495</v>
      </c>
      <c r="Q52" s="82" t="str">
        <f>'R3'!P42</f>
        <v/>
      </c>
      <c r="R52" s="82" t="str">
        <f>'R3'!Q42</f>
        <v/>
      </c>
      <c r="S52" s="82" t="str">
        <f>'R3'!R42</f>
        <v/>
      </c>
      <c r="T52" s="82" t="str">
        <f>'R3'!S42</f>
        <v/>
      </c>
      <c r="U52" s="82" t="str">
        <f>'R3'!T42</f>
        <v/>
      </c>
      <c r="V52" s="82" t="str">
        <f>'R3'!U42</f>
        <v/>
      </c>
      <c r="W52" s="82" t="str">
        <f>'R3'!V42</f>
        <v/>
      </c>
    </row>
    <row r="53" spans="1:25" s="1" customFormat="1">
      <c r="A53" s="152"/>
      <c r="B53" s="82" t="str">
        <f>'R3'!B43</f>
        <v/>
      </c>
      <c r="C53" s="82" t="str">
        <f>'R3'!C43</f>
        <v/>
      </c>
      <c r="D53" s="82" t="str">
        <f>'R3'!D43</f>
        <v/>
      </c>
      <c r="E53" s="82" t="str">
        <f>'R3'!E43</f>
        <v/>
      </c>
      <c r="F53" s="82" t="str">
        <f>'R3'!F43</f>
        <v/>
      </c>
      <c r="G53" s="82" t="str">
        <f>'R3'!G43</f>
        <v/>
      </c>
      <c r="H53" s="82" t="str">
        <f>'R3'!H43</f>
        <v/>
      </c>
      <c r="I53" s="82" t="str">
        <f>'R3'!I43</f>
        <v/>
      </c>
      <c r="J53" s="82" t="str">
        <f>'R3'!J43</f>
        <v/>
      </c>
      <c r="K53" s="82" t="str">
        <f>'R3'!K43</f>
        <v/>
      </c>
      <c r="L53" s="82" t="str">
        <f>'R3'!L43</f>
        <v/>
      </c>
      <c r="M53" s="82" t="str">
        <f>'R3'!M43</f>
        <v/>
      </c>
      <c r="N53" s="82" t="str">
        <f>'R3'!N43</f>
        <v/>
      </c>
      <c r="O53"/>
      <c r="P53" s="82">
        <f>'R3'!O43</f>
        <v>1.3751308820425345</v>
      </c>
      <c r="Q53" s="82" t="str">
        <f>'R3'!P43</f>
        <v/>
      </c>
      <c r="R53" s="82" t="str">
        <f>'R3'!Q43</f>
        <v/>
      </c>
      <c r="S53" s="82" t="str">
        <f>'R3'!R43</f>
        <v/>
      </c>
      <c r="T53" s="82" t="str">
        <f>'R3'!S43</f>
        <v/>
      </c>
      <c r="U53" s="82" t="str">
        <f>'R3'!T43</f>
        <v/>
      </c>
      <c r="V53" s="82" t="str">
        <f>'R3'!U43</f>
        <v/>
      </c>
      <c r="W53" s="82" t="str">
        <f>'R3'!V43</f>
        <v/>
      </c>
    </row>
    <row r="54" spans="1:25" s="42" customFormat="1">
      <c r="A54" s="40"/>
      <c r="B54" s="41"/>
      <c r="C54" s="41"/>
      <c r="D54" s="41"/>
      <c r="E54" s="41"/>
      <c r="F54" s="41"/>
      <c r="G54" s="41"/>
      <c r="H54" s="41"/>
      <c r="I54" s="41"/>
      <c r="J54" s="41"/>
      <c r="K54" s="41"/>
      <c r="L54" s="41"/>
      <c r="M54" s="41"/>
      <c r="N54" s="41"/>
      <c r="O54"/>
      <c r="P54" s="41"/>
      <c r="Q54" s="41"/>
      <c r="R54" s="41"/>
      <c r="S54" s="41"/>
      <c r="T54" s="41"/>
      <c r="U54" s="41"/>
      <c r="V54" s="41"/>
      <c r="W54" s="41"/>
    </row>
    <row r="55" spans="1:25" s="25" customFormat="1">
      <c r="A55" s="25" t="s">
        <v>27</v>
      </c>
      <c r="B55" s="14" t="str">
        <f t="shared" ref="B55:N55" si="0">B4</f>
        <v>Solvent control</v>
      </c>
      <c r="C55" s="14" t="str">
        <f t="shared" si="0"/>
        <v>EE2-33.8ng/L</v>
      </c>
      <c r="D55" s="14" t="str">
        <f t="shared" si="0"/>
        <v>EE2-50.6ng/L</v>
      </c>
      <c r="E55" s="14" t="str">
        <f t="shared" si="0"/>
        <v>EE2-76ng/L</v>
      </c>
      <c r="F55" s="14" t="str">
        <f t="shared" si="0"/>
        <v>EE2-114ng/L</v>
      </c>
      <c r="G55" s="14" t="str">
        <f t="shared" si="0"/>
        <v>EE2-170.9ng/L</v>
      </c>
      <c r="H55" s="14" t="str">
        <f t="shared" si="0"/>
        <v>EE2-488ng/L</v>
      </c>
      <c r="I55" s="14" t="str">
        <f t="shared" si="0"/>
        <v>anastrozole-20µg/L</v>
      </c>
      <c r="J55" s="14" t="str">
        <f t="shared" si="0"/>
        <v>anastrozole-4µg/L</v>
      </c>
      <c r="K55" s="14" t="str">
        <f t="shared" si="0"/>
        <v>anastrozole-0.8µg/L</v>
      </c>
      <c r="L55" s="14" t="str">
        <f t="shared" si="0"/>
        <v>anastrozole-0.16µg/L</v>
      </c>
      <c r="M55" s="14" t="str">
        <f t="shared" si="0"/>
        <v>anastrozole-0.032µg/L</v>
      </c>
      <c r="N55" s="14" t="str">
        <f t="shared" si="0"/>
        <v/>
      </c>
      <c r="P55" s="14" t="str">
        <f t="shared" ref="P55:W55" si="1">P4</f>
        <v>Testo -30µg/L</v>
      </c>
      <c r="Q55" s="14" t="str">
        <f t="shared" si="1"/>
        <v>Testo 30µg/L + EE2 -64ng/L</v>
      </c>
      <c r="R55" s="14" t="str">
        <f t="shared" si="1"/>
        <v>Testo 30µg/L + FAD-10mg/L</v>
      </c>
      <c r="S55" s="14" t="str">
        <f t="shared" si="1"/>
        <v>anastrozole-20µg/L + Testostérone</v>
      </c>
      <c r="T55" s="14" t="str">
        <f t="shared" si="1"/>
        <v>anastrozole-4µg/L + Testostérone</v>
      </c>
      <c r="U55" s="14" t="str">
        <f t="shared" si="1"/>
        <v>anastrozole-0.8µg/L + Testostérone</v>
      </c>
      <c r="V55" s="14" t="str">
        <f t="shared" si="1"/>
        <v>anastrozole-0.16µg/L + Testostérone</v>
      </c>
      <c r="W55" s="14" t="str">
        <f t="shared" si="1"/>
        <v>anastrozole-0.032µg/L + Testostérone</v>
      </c>
    </row>
    <row r="56" spans="1:25">
      <c r="A56" t="s">
        <v>28</v>
      </c>
      <c r="B56" s="8">
        <f t="shared" ref="B56:W56" si="2">AVERAGE(B6:B53)</f>
        <v>0.18809153585446683</v>
      </c>
      <c r="C56" s="8">
        <f t="shared" si="2"/>
        <v>0.31376507761769723</v>
      </c>
      <c r="D56" s="8">
        <f t="shared" si="2"/>
        <v>0.52106086338701207</v>
      </c>
      <c r="E56" s="8">
        <f t="shared" si="2"/>
        <v>1.0588759543130213</v>
      </c>
      <c r="F56" s="8">
        <f t="shared" si="2"/>
        <v>1.5268218803279525</v>
      </c>
      <c r="G56" s="8">
        <f t="shared" si="2"/>
        <v>1.9722775747075085</v>
      </c>
      <c r="H56" s="8">
        <f t="shared" si="2"/>
        <v>2.689969755814809</v>
      </c>
      <c r="I56" s="8">
        <f t="shared" si="2"/>
        <v>0.15695144595034577</v>
      </c>
      <c r="J56" s="8">
        <f t="shared" si="2"/>
        <v>0.27907036746163577</v>
      </c>
      <c r="K56" s="8">
        <f t="shared" si="2"/>
        <v>0.18305775187258658</v>
      </c>
      <c r="L56" s="8">
        <f t="shared" si="2"/>
        <v>0.13672948266305474</v>
      </c>
      <c r="M56" s="8">
        <f t="shared" si="2"/>
        <v>0.21792703890125101</v>
      </c>
      <c r="N56" s="8" t="e">
        <f t="shared" si="2"/>
        <v>#DIV/0!</v>
      </c>
      <c r="O56" s="8"/>
      <c r="P56" s="8">
        <f t="shared" si="2"/>
        <v>1.0000000000000002</v>
      </c>
      <c r="Q56" s="8">
        <f t="shared" si="2"/>
        <v>1.4004525323345478</v>
      </c>
      <c r="R56" s="8">
        <f t="shared" si="2"/>
        <v>0.23560534634749289</v>
      </c>
      <c r="S56" s="8">
        <f t="shared" si="2"/>
        <v>0.24096940942424575</v>
      </c>
      <c r="T56" s="8">
        <f t="shared" si="2"/>
        <v>0.23402027133965372</v>
      </c>
      <c r="U56" s="8">
        <f t="shared" si="2"/>
        <v>0.50249558777294234</v>
      </c>
      <c r="V56" s="8">
        <f t="shared" si="2"/>
        <v>0.8975708384094806</v>
      </c>
      <c r="W56" s="8">
        <f t="shared" si="2"/>
        <v>0.89058618710013837</v>
      </c>
    </row>
    <row r="57" spans="1:25">
      <c r="A57" t="s">
        <v>1</v>
      </c>
      <c r="B57" s="3">
        <f>STDEV(B6:B53)</f>
        <v>0.10399337064446602</v>
      </c>
      <c r="C57" s="3">
        <f t="shared" ref="C57:W57" si="3">STDEV(C6:C53)</f>
        <v>0.23777220512781769</v>
      </c>
      <c r="D57" s="3">
        <f t="shared" si="3"/>
        <v>0.31403074261441166</v>
      </c>
      <c r="E57" s="3">
        <f t="shared" si="3"/>
        <v>0.55291405882506117</v>
      </c>
      <c r="F57" s="3">
        <f t="shared" si="3"/>
        <v>0.49650687692968121</v>
      </c>
      <c r="G57" s="3">
        <f t="shared" si="3"/>
        <v>0.81591413250045897</v>
      </c>
      <c r="H57" s="3">
        <f t="shared" si="3"/>
        <v>0.87559086217363602</v>
      </c>
      <c r="I57" s="3">
        <f t="shared" si="3"/>
        <v>0.17190791124094087</v>
      </c>
      <c r="J57" s="3">
        <f t="shared" si="3"/>
        <v>0.21671475509747085</v>
      </c>
      <c r="K57" s="3">
        <f t="shared" si="3"/>
        <v>0.17239764398757879</v>
      </c>
      <c r="L57" s="3">
        <f t="shared" si="3"/>
        <v>0.13261991429649922</v>
      </c>
      <c r="M57" s="3">
        <f t="shared" si="3"/>
        <v>0.20649432835393969</v>
      </c>
      <c r="N57" s="3" t="e">
        <f t="shared" si="3"/>
        <v>#DIV/0!</v>
      </c>
      <c r="O57" s="3"/>
      <c r="P57" s="3">
        <f t="shared" si="3"/>
        <v>0.38898694526049904</v>
      </c>
      <c r="Q57" s="3">
        <f t="shared" si="3"/>
        <v>0.34677518212639319</v>
      </c>
      <c r="R57" s="3">
        <f t="shared" si="3"/>
        <v>0.14029902271568551</v>
      </c>
      <c r="S57" s="3">
        <f t="shared" si="3"/>
        <v>0.15315074132403769</v>
      </c>
      <c r="T57" s="3">
        <f t="shared" si="3"/>
        <v>0.13572138254569488</v>
      </c>
      <c r="U57" s="3">
        <f t="shared" si="3"/>
        <v>0.27488730440360754</v>
      </c>
      <c r="V57" s="3">
        <f t="shared" si="3"/>
        <v>0.31393166519380988</v>
      </c>
      <c r="W57" s="3">
        <f t="shared" si="3"/>
        <v>0.35790460646889755</v>
      </c>
      <c r="X57" s="3"/>
      <c r="Y57" s="3"/>
    </row>
    <row r="58" spans="1:25">
      <c r="A58" t="s">
        <v>2</v>
      </c>
      <c r="B58" s="3">
        <f xml:space="preserve"> B57/SQRT(COUNT(B6:B53))</f>
        <v>2.1227557892589066E-2</v>
      </c>
      <c r="C58" s="3">
        <f t="shared" ref="C58:W58" si="4" xml:space="preserve"> C57/SQRT(COUNT(C6:C53))</f>
        <v>4.8535048131627269E-2</v>
      </c>
      <c r="D58" s="3">
        <f t="shared" si="4"/>
        <v>6.4101256912715468E-2</v>
      </c>
      <c r="E58" s="3">
        <f t="shared" si="4"/>
        <v>0.11286310964438352</v>
      </c>
      <c r="F58" s="3">
        <f t="shared" si="4"/>
        <v>0.10134904185504699</v>
      </c>
      <c r="G58" s="3">
        <f t="shared" si="4"/>
        <v>0.16654777487930911</v>
      </c>
      <c r="H58" s="3">
        <f t="shared" si="4"/>
        <v>0.1654711193965766</v>
      </c>
      <c r="I58" s="3">
        <f t="shared" si="4"/>
        <v>3.4381582248188172E-2</v>
      </c>
      <c r="J58" s="3">
        <f t="shared" si="4"/>
        <v>4.518815017667159E-2</v>
      </c>
      <c r="K58" s="3">
        <f t="shared" si="4"/>
        <v>3.5190521718963357E-2</v>
      </c>
      <c r="L58" s="3">
        <f t="shared" si="4"/>
        <v>2.7070926646504918E-2</v>
      </c>
      <c r="M58" s="3">
        <f t="shared" si="4"/>
        <v>4.1298865670787936E-2</v>
      </c>
      <c r="N58" s="3" t="e">
        <f t="shared" si="4"/>
        <v>#DIV/0!</v>
      </c>
      <c r="O58" s="3"/>
      <c r="P58" s="3">
        <f t="shared" si="4"/>
        <v>5.6145429389349841E-2</v>
      </c>
      <c r="Q58" s="3">
        <f t="shared" si="4"/>
        <v>7.0785187639197389E-2</v>
      </c>
      <c r="R58" s="3">
        <f t="shared" si="4"/>
        <v>2.8638418088714649E-2</v>
      </c>
      <c r="S58" s="3">
        <f t="shared" si="4"/>
        <v>3.1261764164405847E-2</v>
      </c>
      <c r="T58" s="3">
        <f t="shared" si="4"/>
        <v>2.7704011201835958E-2</v>
      </c>
      <c r="U58" s="3">
        <f t="shared" si="4"/>
        <v>5.6111136046496153E-2</v>
      </c>
      <c r="V58" s="3">
        <f t="shared" si="4"/>
        <v>6.4081032818923356E-2</v>
      </c>
      <c r="W58" s="3">
        <f t="shared" si="4"/>
        <v>7.3056971870034543E-2</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0" customFormat="1" ht="27" thickBot="1">
      <c r="A60" s="153" t="s">
        <v>26</v>
      </c>
      <c r="B60" s="154"/>
      <c r="C60" s="154"/>
      <c r="D60" s="154"/>
      <c r="E60" s="154"/>
      <c r="F60" s="154"/>
      <c r="G60" s="154"/>
      <c r="H60" s="154"/>
      <c r="I60" s="154"/>
      <c r="J60" s="154"/>
      <c r="K60" s="154"/>
      <c r="L60" s="154"/>
      <c r="M60" s="154"/>
      <c r="N60" s="154"/>
      <c r="O60" s="154"/>
      <c r="P60" s="154"/>
      <c r="Q60" s="154"/>
      <c r="R60" s="154"/>
      <c r="S60" s="154"/>
      <c r="T60" s="154"/>
      <c r="U60" s="154"/>
      <c r="V60" s="154"/>
      <c r="W60" s="154"/>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anastrozole-20µg/L</v>
      </c>
      <c r="J62" s="3" t="str">
        <f t="shared" si="6"/>
        <v>anastrozole-4µg/L</v>
      </c>
      <c r="K62" s="3" t="str">
        <f t="shared" si="6"/>
        <v>anastrozole-0.8µg/L</v>
      </c>
      <c r="L62" s="3" t="str">
        <f t="shared" si="6"/>
        <v>anastrozole-0.16µg/L</v>
      </c>
      <c r="M62" s="3" t="str">
        <f t="shared" si="6"/>
        <v>anastrozole-0.032µg/L</v>
      </c>
      <c r="N62" s="3" t="str">
        <f t="shared" si="6"/>
        <v/>
      </c>
      <c r="O62" s="3"/>
      <c r="P62" s="3" t="str">
        <f t="shared" si="6"/>
        <v>Testo -30µg/L</v>
      </c>
      <c r="Q62" s="3" t="str">
        <f t="shared" si="6"/>
        <v>Testo 30µg/L + EE2 -64ng/L</v>
      </c>
      <c r="R62" s="3" t="str">
        <f t="shared" si="6"/>
        <v>Testo 30µg/L + FAD-10mg/L</v>
      </c>
      <c r="S62" s="3" t="str">
        <f t="shared" si="6"/>
        <v>anastrozole-20µg/L + Testostérone</v>
      </c>
      <c r="T62" s="3" t="str">
        <f t="shared" si="6"/>
        <v>anastrozole-4µg/L + Testostérone</v>
      </c>
      <c r="U62" s="3" t="str">
        <f t="shared" si="6"/>
        <v>anastrozole-0.8µg/L + Testostérone</v>
      </c>
      <c r="V62" s="3" t="str">
        <f t="shared" si="6"/>
        <v>anastrozole-0.16µg/L + Testostérone</v>
      </c>
      <c r="W62" s="3" t="str">
        <f t="shared" si="6"/>
        <v>anastrozole-0.032µg/L + Testostérone</v>
      </c>
    </row>
    <row r="63" spans="1:25" s="1" customFormat="1">
      <c r="A63" s="1" t="s">
        <v>29</v>
      </c>
      <c r="B63" s="3">
        <f>COUNT(B6:B53)</f>
        <v>24</v>
      </c>
      <c r="C63" s="3">
        <f t="shared" ref="C63:W63" si="7">COUNT(C6:C53)</f>
        <v>24</v>
      </c>
      <c r="D63" s="3">
        <f t="shared" si="7"/>
        <v>24</v>
      </c>
      <c r="E63" s="3">
        <f t="shared" si="7"/>
        <v>24</v>
      </c>
      <c r="F63" s="3">
        <f t="shared" si="7"/>
        <v>24</v>
      </c>
      <c r="G63" s="3">
        <f t="shared" si="7"/>
        <v>24</v>
      </c>
      <c r="H63" s="3">
        <f t="shared" si="7"/>
        <v>28</v>
      </c>
      <c r="I63" s="3">
        <f t="shared" si="7"/>
        <v>25</v>
      </c>
      <c r="J63" s="3">
        <f t="shared" si="7"/>
        <v>23</v>
      </c>
      <c r="K63" s="3">
        <f t="shared" si="7"/>
        <v>24</v>
      </c>
      <c r="L63" s="3">
        <f t="shared" si="7"/>
        <v>24</v>
      </c>
      <c r="M63" s="3">
        <f t="shared" si="7"/>
        <v>25</v>
      </c>
      <c r="N63" s="3">
        <f t="shared" si="7"/>
        <v>0</v>
      </c>
      <c r="O63" s="3"/>
      <c r="P63" s="3">
        <f t="shared" si="7"/>
        <v>48</v>
      </c>
      <c r="Q63" s="3">
        <f t="shared" si="7"/>
        <v>24</v>
      </c>
      <c r="R63" s="3">
        <f t="shared" si="7"/>
        <v>24</v>
      </c>
      <c r="S63" s="3">
        <f t="shared" si="7"/>
        <v>24</v>
      </c>
      <c r="T63" s="3">
        <f t="shared" si="7"/>
        <v>24</v>
      </c>
      <c r="U63" s="3">
        <f t="shared" si="7"/>
        <v>24</v>
      </c>
      <c r="V63" s="3">
        <f t="shared" si="7"/>
        <v>24</v>
      </c>
      <c r="W63" s="3">
        <f t="shared" si="7"/>
        <v>24</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0" customFormat="1" ht="27" thickBot="1">
      <c r="A65" s="153" t="s">
        <v>37</v>
      </c>
      <c r="B65" s="154"/>
      <c r="C65" s="154"/>
      <c r="D65" s="154"/>
      <c r="E65" s="154"/>
      <c r="F65" s="154"/>
      <c r="G65" s="154"/>
      <c r="H65" s="154"/>
      <c r="I65" s="154"/>
      <c r="J65" s="154"/>
      <c r="K65" s="154"/>
      <c r="L65" s="154"/>
      <c r="M65" s="154"/>
      <c r="N65" s="154"/>
      <c r="O65" s="154"/>
      <c r="P65" s="154"/>
      <c r="Q65" s="154"/>
      <c r="R65" s="154"/>
      <c r="S65" s="154"/>
      <c r="T65" s="154"/>
      <c r="U65" s="154"/>
      <c r="V65" s="154"/>
      <c r="W65" s="154"/>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0" customFormat="1" ht="27" thickBot="1">
      <c r="A70" s="153" t="s">
        <v>32</v>
      </c>
      <c r="B70" s="154"/>
      <c r="C70" s="154"/>
      <c r="D70" s="154"/>
      <c r="E70" s="154"/>
      <c r="F70" s="154"/>
      <c r="G70" s="154"/>
      <c r="H70" s="154"/>
      <c r="I70" s="154"/>
      <c r="J70" s="154"/>
      <c r="K70" s="154"/>
      <c r="L70" s="154"/>
      <c r="M70" s="154"/>
      <c r="N70" s="154"/>
      <c r="O70" s="154"/>
      <c r="P70" s="154"/>
      <c r="Q70" s="154"/>
      <c r="R70" s="154"/>
      <c r="S70" s="154"/>
      <c r="T70" s="154"/>
      <c r="U70" s="154"/>
      <c r="V70" s="154"/>
      <c r="W70" s="154"/>
    </row>
    <row r="71" spans="1:23" ht="15.75" thickBot="1"/>
    <row r="72" spans="1:23" s="30" customFormat="1" ht="27" thickBot="1">
      <c r="A72" s="153" t="s">
        <v>33</v>
      </c>
      <c r="B72" s="154"/>
      <c r="C72" s="154"/>
      <c r="D72" s="154"/>
      <c r="E72" s="154"/>
      <c r="F72" s="154"/>
      <c r="G72" s="154"/>
      <c r="H72" s="154"/>
      <c r="I72" s="154"/>
      <c r="J72" s="154"/>
      <c r="K72" s="154"/>
      <c r="L72" s="154"/>
      <c r="M72" s="154"/>
      <c r="N72" s="154"/>
      <c r="O72" s="154"/>
      <c r="P72" s="154"/>
      <c r="Q72" s="154"/>
      <c r="R72" s="154"/>
      <c r="S72" s="154"/>
      <c r="T72" s="154"/>
      <c r="U72" s="154"/>
      <c r="V72" s="154"/>
      <c r="W72" s="154"/>
    </row>
    <row r="73" spans="1:23" ht="15.75" thickBot="1">
      <c r="J73" s="3">
        <v>1</v>
      </c>
      <c r="K73" s="3">
        <v>2</v>
      </c>
      <c r="L73" s="3">
        <v>3</v>
      </c>
      <c r="M73" s="3">
        <v>4</v>
      </c>
      <c r="N73" s="3">
        <v>5</v>
      </c>
      <c r="S73" s="3">
        <v>1</v>
      </c>
      <c r="T73" s="3">
        <v>2</v>
      </c>
      <c r="U73" s="3">
        <v>3</v>
      </c>
      <c r="V73" s="3">
        <v>4</v>
      </c>
      <c r="W73" s="3">
        <v>5</v>
      </c>
    </row>
    <row r="74" spans="1:23" s="1" customFormat="1">
      <c r="A74" s="28" t="s">
        <v>22</v>
      </c>
      <c r="B74" s="29" t="str">
        <f t="shared" ref="B74:N74" si="9">B4</f>
        <v>Solvent control</v>
      </c>
      <c r="C74" s="29" t="str">
        <f t="shared" si="9"/>
        <v>EE2-33.8ng/L</v>
      </c>
      <c r="D74" s="29" t="str">
        <f t="shared" si="9"/>
        <v>EE2-50.6ng/L</v>
      </c>
      <c r="E74" s="29" t="str">
        <f t="shared" si="9"/>
        <v>EE2-76ng/L</v>
      </c>
      <c r="F74" s="29" t="str">
        <f t="shared" si="9"/>
        <v>EE2-114ng/L</v>
      </c>
      <c r="G74" s="29" t="str">
        <f t="shared" si="9"/>
        <v>EE2-170.9ng/L</v>
      </c>
      <c r="H74" s="29" t="str">
        <f t="shared" si="9"/>
        <v>EE2-488ng/L</v>
      </c>
      <c r="I74" s="29" t="str">
        <f t="shared" si="9"/>
        <v>anastrozole-20µg/L</v>
      </c>
      <c r="J74" s="29" t="str">
        <f t="shared" si="9"/>
        <v>anastrozole-4µg/L</v>
      </c>
      <c r="K74" s="29" t="str">
        <f t="shared" si="9"/>
        <v>anastrozole-0.8µg/L</v>
      </c>
      <c r="L74" s="29" t="str">
        <f t="shared" si="9"/>
        <v>anastrozole-0.16µg/L</v>
      </c>
      <c r="M74" s="29" t="str">
        <f t="shared" si="9"/>
        <v>anastrozole-0.032µg/L</v>
      </c>
      <c r="N74" s="29" t="str">
        <f t="shared" si="9"/>
        <v/>
      </c>
      <c r="O74" s="29"/>
      <c r="P74" s="29" t="str">
        <f t="shared" ref="P74:W74" si="10">P4</f>
        <v>Testo -30µg/L</v>
      </c>
      <c r="Q74" s="29" t="str">
        <f t="shared" si="10"/>
        <v>Testo 30µg/L + EE2 -64ng/L</v>
      </c>
      <c r="R74" s="29" t="str">
        <f t="shared" si="10"/>
        <v>Testo 30µg/L + FAD-10mg/L</v>
      </c>
      <c r="S74" s="29" t="str">
        <f t="shared" si="10"/>
        <v>anastrozole-20µg/L + Testostérone</v>
      </c>
      <c r="T74" s="29" t="str">
        <f t="shared" si="10"/>
        <v>anastrozole-4µg/L + Testostérone</v>
      </c>
      <c r="U74" s="29" t="str">
        <f t="shared" si="10"/>
        <v>anastrozole-0.8µg/L + Testostérone</v>
      </c>
      <c r="V74" s="29" t="str">
        <f t="shared" si="10"/>
        <v>anastrozole-0.16µg/L + Testostérone</v>
      </c>
      <c r="W74" s="29" t="str">
        <f t="shared" si="10"/>
        <v>anastrozole-0.032µg/L + Testostérone</v>
      </c>
    </row>
    <row r="75" spans="1:23" s="3" customFormat="1">
      <c r="A75" s="43" t="s">
        <v>15</v>
      </c>
      <c r="B75" s="75">
        <f>B56</f>
        <v>0.18809153585446683</v>
      </c>
      <c r="C75" s="75">
        <f t="shared" ref="C75:W75" si="11">C56</f>
        <v>0.31376507761769723</v>
      </c>
      <c r="D75" s="75">
        <f t="shared" si="11"/>
        <v>0.52106086338701207</v>
      </c>
      <c r="E75" s="75">
        <f t="shared" si="11"/>
        <v>1.0588759543130213</v>
      </c>
      <c r="F75" s="75">
        <f t="shared" si="11"/>
        <v>1.5268218803279525</v>
      </c>
      <c r="G75" s="75">
        <f t="shared" si="11"/>
        <v>1.9722775747075085</v>
      </c>
      <c r="H75" s="75">
        <f t="shared" si="11"/>
        <v>2.689969755814809</v>
      </c>
      <c r="I75" s="75">
        <f t="shared" si="11"/>
        <v>0.15695144595034577</v>
      </c>
      <c r="J75" s="75">
        <f t="shared" si="11"/>
        <v>0.27907036746163577</v>
      </c>
      <c r="K75" s="75">
        <f t="shared" si="11"/>
        <v>0.18305775187258658</v>
      </c>
      <c r="L75" s="75">
        <f t="shared" si="11"/>
        <v>0.13672948266305474</v>
      </c>
      <c r="M75" s="75">
        <f t="shared" si="11"/>
        <v>0.21792703890125101</v>
      </c>
      <c r="N75" s="75" t="e">
        <f t="shared" si="11"/>
        <v>#DIV/0!</v>
      </c>
      <c r="O75" s="75"/>
      <c r="P75" s="75">
        <f t="shared" si="11"/>
        <v>1.0000000000000002</v>
      </c>
      <c r="Q75" s="75">
        <f t="shared" si="11"/>
        <v>1.4004525323345478</v>
      </c>
      <c r="R75" s="75">
        <f t="shared" si="11"/>
        <v>0.23560534634749289</v>
      </c>
      <c r="S75" s="75">
        <f t="shared" si="11"/>
        <v>0.24096940942424575</v>
      </c>
      <c r="T75" s="75">
        <f t="shared" si="11"/>
        <v>0.23402027133965372</v>
      </c>
      <c r="U75" s="75">
        <f t="shared" si="11"/>
        <v>0.50249558777294234</v>
      </c>
      <c r="V75" s="75">
        <f t="shared" si="11"/>
        <v>0.8975708384094806</v>
      </c>
      <c r="W75" s="75">
        <f t="shared" si="11"/>
        <v>0.89058618710013837</v>
      </c>
    </row>
    <row r="76" spans="1:23" s="3" customFormat="1">
      <c r="A76" s="43" t="s">
        <v>2</v>
      </c>
      <c r="B76" s="75">
        <f>B58</f>
        <v>2.1227557892589066E-2</v>
      </c>
      <c r="C76" s="75">
        <f t="shared" ref="C76:W76" si="12">C58</f>
        <v>4.8535048131627269E-2</v>
      </c>
      <c r="D76" s="75">
        <f t="shared" si="12"/>
        <v>6.4101256912715468E-2</v>
      </c>
      <c r="E76" s="75">
        <f t="shared" si="12"/>
        <v>0.11286310964438352</v>
      </c>
      <c r="F76" s="75">
        <f t="shared" si="12"/>
        <v>0.10134904185504699</v>
      </c>
      <c r="G76" s="75">
        <f t="shared" si="12"/>
        <v>0.16654777487930911</v>
      </c>
      <c r="H76" s="75">
        <f t="shared" si="12"/>
        <v>0.1654711193965766</v>
      </c>
      <c r="I76" s="75">
        <f t="shared" si="12"/>
        <v>3.4381582248188172E-2</v>
      </c>
      <c r="J76" s="75">
        <f t="shared" si="12"/>
        <v>4.518815017667159E-2</v>
      </c>
      <c r="K76" s="75">
        <f t="shared" si="12"/>
        <v>3.5190521718963357E-2</v>
      </c>
      <c r="L76" s="75">
        <f t="shared" si="12"/>
        <v>2.7070926646504918E-2</v>
      </c>
      <c r="M76" s="75">
        <f t="shared" si="12"/>
        <v>4.1298865670787936E-2</v>
      </c>
      <c r="N76" s="75" t="e">
        <f t="shared" si="12"/>
        <v>#DIV/0!</v>
      </c>
      <c r="O76" s="75"/>
      <c r="P76" s="75">
        <f t="shared" si="12"/>
        <v>5.6145429389349841E-2</v>
      </c>
      <c r="Q76" s="75">
        <f t="shared" si="12"/>
        <v>7.0785187639197389E-2</v>
      </c>
      <c r="R76" s="75">
        <f t="shared" si="12"/>
        <v>2.8638418088714649E-2</v>
      </c>
      <c r="S76" s="75">
        <f t="shared" si="12"/>
        <v>3.1261764164405847E-2</v>
      </c>
      <c r="T76" s="75">
        <f t="shared" si="12"/>
        <v>2.7704011201835958E-2</v>
      </c>
      <c r="U76" s="75">
        <f t="shared" si="12"/>
        <v>5.6111136046496153E-2</v>
      </c>
      <c r="V76" s="75">
        <f t="shared" si="12"/>
        <v>6.4081032818923356E-2</v>
      </c>
      <c r="W76" s="75">
        <f t="shared" si="12"/>
        <v>7.3056971870034543E-2</v>
      </c>
    </row>
    <row r="77" spans="1:23" s="3" customFormat="1">
      <c r="A77" s="43" t="s">
        <v>42</v>
      </c>
      <c r="B77" s="75">
        <f>(B75*100/$B$75)-100</f>
        <v>0</v>
      </c>
      <c r="C77" s="75">
        <f t="shared" ref="C77:N77" si="13">(C75*100/$B$75)-100</f>
        <v>66.81509680503035</v>
      </c>
      <c r="D77" s="75">
        <f t="shared" si="13"/>
        <v>177.02515215260701</v>
      </c>
      <c r="E77" s="75">
        <f t="shared" si="13"/>
        <v>462.95779047299163</v>
      </c>
      <c r="F77" s="75">
        <f t="shared" si="13"/>
        <v>711.74406567093445</v>
      </c>
      <c r="G77" s="75">
        <f t="shared" si="13"/>
        <v>948.57327351164304</v>
      </c>
      <c r="H77" s="75">
        <f t="shared" si="13"/>
        <v>1330.1386522231044</v>
      </c>
      <c r="I77" s="75">
        <f t="shared" si="13"/>
        <v>-16.55581669991534</v>
      </c>
      <c r="J77" s="75">
        <f t="shared" si="13"/>
        <v>48.369444799239943</v>
      </c>
      <c r="K77" s="75">
        <f t="shared" si="13"/>
        <v>-2.6762416283181807</v>
      </c>
      <c r="L77" s="75">
        <f t="shared" si="13"/>
        <v>-27.306945502934681</v>
      </c>
      <c r="M77" s="75">
        <f t="shared" si="13"/>
        <v>15.862225225205762</v>
      </c>
      <c r="N77" s="75" t="e">
        <f t="shared" si="13"/>
        <v>#DIV/0!</v>
      </c>
      <c r="O77" s="75"/>
      <c r="P77" s="75">
        <f>(P75*100/$P$75)-100</f>
        <v>0</v>
      </c>
      <c r="Q77" s="75">
        <f t="shared" ref="Q77:W77" si="14">(Q75*100/$P$75)-100</f>
        <v>40.045253233454758</v>
      </c>
      <c r="R77" s="75">
        <f t="shared" si="14"/>
        <v>-76.439465365250712</v>
      </c>
      <c r="S77" s="75">
        <f t="shared" si="14"/>
        <v>-75.903059057575433</v>
      </c>
      <c r="T77" s="75">
        <f t="shared" si="14"/>
        <v>-76.597972866034638</v>
      </c>
      <c r="U77" s="75">
        <f t="shared" si="14"/>
        <v>-49.750441222705781</v>
      </c>
      <c r="V77" s="75">
        <f t="shared" si="14"/>
        <v>-10.242916159051958</v>
      </c>
      <c r="W77" s="75">
        <f t="shared" si="14"/>
        <v>-10.941381289986182</v>
      </c>
    </row>
    <row r="78" spans="1:23" s="3" customFormat="1">
      <c r="A78" s="43" t="s">
        <v>43</v>
      </c>
      <c r="B78" s="75" t="e">
        <f ca="1">[2]!DPTEST(B6:B53)</f>
        <v>#NAME?</v>
      </c>
      <c r="C78" s="75" t="e">
        <f ca="1">[2]!DPTEST(C6:C53)</f>
        <v>#NAME?</v>
      </c>
      <c r="D78" s="75" t="e">
        <f ca="1">[2]!DPTEST(D6:D53)</f>
        <v>#NAME?</v>
      </c>
      <c r="E78" s="75" t="e">
        <f ca="1">[2]!DPTEST(E6:E53)</f>
        <v>#NAME?</v>
      </c>
      <c r="F78" s="75" t="e">
        <f ca="1">[2]!DPTEST(F6:F53)</f>
        <v>#NAME?</v>
      </c>
      <c r="G78" s="75" t="e">
        <f ca="1">[2]!DPTEST(G6:G53)</f>
        <v>#NAME?</v>
      </c>
      <c r="H78" s="75" t="e">
        <f ca="1">[2]!DPTEST(H6:H53)</f>
        <v>#NAME?</v>
      </c>
      <c r="I78" s="75" t="e">
        <f ca="1">[2]!DPTEST(I6:I53)</f>
        <v>#NAME?</v>
      </c>
      <c r="J78" s="75" t="e">
        <f ca="1">[2]!DPTEST(J6:J53)</f>
        <v>#NAME?</v>
      </c>
      <c r="K78" s="75" t="e">
        <f ca="1">[2]!DPTEST(K6:K53)</f>
        <v>#NAME?</v>
      </c>
      <c r="L78" s="75" t="e">
        <f ca="1">[2]!DPTEST(L6:L53)</f>
        <v>#NAME?</v>
      </c>
      <c r="M78" s="75" t="e">
        <f ca="1">[2]!DPTEST(M6:M53)</f>
        <v>#NAME?</v>
      </c>
      <c r="N78" s="75" t="e">
        <f ca="1">[2]!DPTEST(N6:N53)</f>
        <v>#NAME?</v>
      </c>
      <c r="O78" s="75" t="e">
        <f ca="1">[2]!DPTEST(O6:O53)</f>
        <v>#NAME?</v>
      </c>
      <c r="P78" s="75" t="e">
        <f ca="1">[2]!DPTEST(P6:P53)</f>
        <v>#NAME?</v>
      </c>
      <c r="Q78" s="75" t="e">
        <f ca="1">[2]!DPTEST(Q6:Q53)</f>
        <v>#NAME?</v>
      </c>
      <c r="R78" s="75" t="e">
        <f ca="1">[2]!DPTEST(R6:R53)</f>
        <v>#NAME?</v>
      </c>
      <c r="S78" s="75" t="e">
        <f ca="1">[2]!DPTEST(S6:S53)</f>
        <v>#NAME?</v>
      </c>
      <c r="T78" s="75" t="e">
        <f ca="1">[2]!DPTEST(T6:T53)</f>
        <v>#NAME?</v>
      </c>
      <c r="U78" s="75" t="e">
        <f ca="1">[2]!DPTEST(U6:U53)</f>
        <v>#NAME?</v>
      </c>
      <c r="V78" s="75" t="e">
        <f ca="1">[2]!DPTEST(V6:V53)</f>
        <v>#NAME?</v>
      </c>
      <c r="W78" s="75" t="e">
        <f ca="1">[2]!DPTEST(W6:W53)</f>
        <v>#NAME?</v>
      </c>
    </row>
    <row r="79" spans="1:23" s="3" customFormat="1">
      <c r="A79" s="43" t="s">
        <v>47</v>
      </c>
      <c r="B79" s="75" t="e">
        <f ca="1">IF(B78&gt;0.05,"Oui","Non")</f>
        <v>#NAME?</v>
      </c>
      <c r="C79" s="75" t="e">
        <f t="shared" ref="C79:W79" ca="1" si="15">IF(C78&gt;0.05,"Oui","Non")</f>
        <v>#NAME?</v>
      </c>
      <c r="D79" s="75" t="e">
        <f t="shared" ca="1" si="15"/>
        <v>#NAME?</v>
      </c>
      <c r="E79" s="75" t="e">
        <f t="shared" ca="1" si="15"/>
        <v>#NAME?</v>
      </c>
      <c r="F79" s="75" t="e">
        <f t="shared" ca="1" si="15"/>
        <v>#NAME?</v>
      </c>
      <c r="G79" s="75" t="e">
        <f t="shared" ca="1" si="15"/>
        <v>#NAME?</v>
      </c>
      <c r="H79" s="75" t="e">
        <f t="shared" ca="1" si="15"/>
        <v>#NAME?</v>
      </c>
      <c r="I79" s="75" t="e">
        <f t="shared" ca="1" si="15"/>
        <v>#NAME?</v>
      </c>
      <c r="J79" s="75" t="e">
        <f t="shared" ca="1" si="15"/>
        <v>#NAME?</v>
      </c>
      <c r="K79" s="75" t="e">
        <f t="shared" ca="1" si="15"/>
        <v>#NAME?</v>
      </c>
      <c r="L79" s="75" t="e">
        <f t="shared" ca="1" si="15"/>
        <v>#NAME?</v>
      </c>
      <c r="M79" s="75" t="e">
        <f t="shared" ca="1" si="15"/>
        <v>#NAME?</v>
      </c>
      <c r="N79" s="75" t="e">
        <f t="shared" ca="1" si="15"/>
        <v>#NAME?</v>
      </c>
      <c r="O79" s="75"/>
      <c r="P79" s="75" t="e">
        <f t="shared" ca="1" si="15"/>
        <v>#NAME?</v>
      </c>
      <c r="Q79" s="75" t="e">
        <f t="shared" ca="1" si="15"/>
        <v>#NAME?</v>
      </c>
      <c r="R79" s="75" t="e">
        <f t="shared" ca="1" si="15"/>
        <v>#NAME?</v>
      </c>
      <c r="S79" s="75" t="e">
        <f t="shared" ca="1" si="15"/>
        <v>#NAME?</v>
      </c>
      <c r="T79" s="75" t="e">
        <f t="shared" ca="1" si="15"/>
        <v>#NAME?</v>
      </c>
      <c r="U79" s="75" t="e">
        <f t="shared" ca="1" si="15"/>
        <v>#NAME?</v>
      </c>
      <c r="V79" s="75" t="e">
        <f t="shared" ca="1" si="15"/>
        <v>#NAME?</v>
      </c>
      <c r="W79" s="75" t="e">
        <f t="shared" ca="1" si="15"/>
        <v>#NAME?</v>
      </c>
    </row>
    <row r="80" spans="1:23" s="3" customFormat="1">
      <c r="A80" s="43" t="s">
        <v>49</v>
      </c>
      <c r="B80" s="75" t="str">
        <f ca="1">IF(COUNTIF(B79:I79, "Non")=0, "Oui","Non")</f>
        <v>Oui</v>
      </c>
      <c r="C80" s="75"/>
      <c r="D80" s="75"/>
      <c r="E80" s="75"/>
      <c r="F80" s="75"/>
      <c r="G80" s="75"/>
      <c r="H80" s="75"/>
      <c r="I80" s="75"/>
      <c r="J80" s="75" t="str">
        <f ca="1">IF(COUNTIF(J79:N79, "Non")&gt;0, "Oui","Non")</f>
        <v>Non</v>
      </c>
      <c r="K80" s="75"/>
      <c r="L80" s="75"/>
      <c r="M80" s="75"/>
      <c r="N80" s="75"/>
      <c r="O80" s="75"/>
      <c r="P80" s="75"/>
      <c r="Q80" s="75"/>
      <c r="R80" s="75"/>
      <c r="S80" s="75" t="str">
        <f ca="1">IF(COUNTIF(S79:W79, "Non")&gt;0, "Oui","Non")</f>
        <v>Non</v>
      </c>
      <c r="T80" s="75"/>
      <c r="U80" s="75"/>
      <c r="V80" s="75"/>
      <c r="W80" s="75"/>
    </row>
    <row r="81" spans="1:23" s="3" customFormat="1">
      <c r="A81" s="43" t="s">
        <v>44</v>
      </c>
      <c r="B81" s="75"/>
      <c r="C81" s="75" t="str">
        <f t="shared" ref="C81:I81" ca="1" si="16">IF($B80="Non","Kruskal-Wallis","ANOVA")</f>
        <v>ANOVA</v>
      </c>
      <c r="D81" s="75" t="str">
        <f t="shared" ca="1" si="16"/>
        <v>ANOVA</v>
      </c>
      <c r="E81" s="75" t="str">
        <f t="shared" ca="1" si="16"/>
        <v>ANOVA</v>
      </c>
      <c r="F81" s="75" t="str">
        <f t="shared" ca="1" si="16"/>
        <v>ANOVA</v>
      </c>
      <c r="G81" s="75" t="str">
        <f t="shared" ca="1" si="16"/>
        <v>ANOVA</v>
      </c>
      <c r="H81" s="75" t="str">
        <f t="shared" ca="1" si="16"/>
        <v>ANOVA</v>
      </c>
      <c r="I81" s="75" t="str">
        <f t="shared" ca="1" si="16"/>
        <v>ANOVA</v>
      </c>
      <c r="J81" s="75" t="e">
        <f t="shared" ref="J81:N81" ca="1" si="17">IF($B79="Non",IF(J79="Non","Mann Withney",IF(J79="Oui","Mann Withney","")),IF($B79="Oui",IF(J79="Oui","T-Test Welch",IF(J79="Non","Mann Withney",""))))</f>
        <v>#NAME?</v>
      </c>
      <c r="K81" s="75" t="e">
        <f t="shared" ca="1" si="17"/>
        <v>#NAME?</v>
      </c>
      <c r="L81" s="75" t="e">
        <f t="shared" ca="1" si="17"/>
        <v>#NAME?</v>
      </c>
      <c r="M81" s="75" t="e">
        <f t="shared" ca="1" si="17"/>
        <v>#NAME?</v>
      </c>
      <c r="N81" s="75" t="e">
        <f t="shared" ca="1" si="17"/>
        <v>#NAME?</v>
      </c>
      <c r="O81" s="75"/>
      <c r="P81" s="75" t="e">
        <f ca="1">IF($B79="Non",IF(P79="Non","Mann Withney",IF(P79="Oui","Mann Withney","")),IF($B79="Oui",IF(P79="Oui","T-Test Welch",IF(P79="Non","Mann Withney",""))))</f>
        <v>#NAME?</v>
      </c>
      <c r="Q81" s="75" t="e">
        <f t="shared" ref="Q81:W81" ca="1" si="18">IF($P79="Non",IF(Q79="Non","Mann Withney",IF(Q$79="Oui","Mann Withney","")),IF($P79="Oui",IF(Q79="Oui","T-Test Welch",IF(Q79="Non","Mann Withney",""))))</f>
        <v>#NAME?</v>
      </c>
      <c r="R81" s="75" t="e">
        <f t="shared" ca="1" si="18"/>
        <v>#NAME?</v>
      </c>
      <c r="S81" s="75" t="e">
        <f t="shared" ca="1" si="18"/>
        <v>#NAME?</v>
      </c>
      <c r="T81" s="75" t="e">
        <f t="shared" ca="1" si="18"/>
        <v>#NAME?</v>
      </c>
      <c r="U81" s="75" t="e">
        <f t="shared" ca="1" si="18"/>
        <v>#NAME?</v>
      </c>
      <c r="V81" s="75" t="e">
        <f t="shared" ca="1" si="18"/>
        <v>#NAME?</v>
      </c>
      <c r="W81" s="75" t="e">
        <f t="shared" ca="1" si="18"/>
        <v>#NAME?</v>
      </c>
    </row>
    <row r="82" spans="1:23" s="3" customFormat="1">
      <c r="A82" s="43" t="s">
        <v>45</v>
      </c>
      <c r="B82" s="75"/>
      <c r="C82" s="119" t="s">
        <v>76</v>
      </c>
      <c r="D82" s="119">
        <v>0.22450000000000001</v>
      </c>
      <c r="E82" s="119" t="s">
        <v>77</v>
      </c>
      <c r="F82" s="119" t="s">
        <v>77</v>
      </c>
      <c r="G82" s="119" t="s">
        <v>77</v>
      </c>
      <c r="H82" s="119" t="s">
        <v>77</v>
      </c>
      <c r="I82" s="119" t="s">
        <v>76</v>
      </c>
      <c r="J82" s="119">
        <v>0.2467</v>
      </c>
      <c r="K82" s="119" t="s">
        <v>76</v>
      </c>
      <c r="L82" s="119" t="s">
        <v>76</v>
      </c>
      <c r="M82" s="119">
        <v>0.53310000000000002</v>
      </c>
      <c r="N82" s="75" t="e">
        <f ca="1">IF(N81="Mann Withney",[1]!MTEST($B6:$B53,N6:N53,2), IF(N81="T-Test Welch",_xlfn.T.TEST($B6:$B53,N6:N53,2,3),""))</f>
        <v>#NAME?</v>
      </c>
      <c r="O82" s="75"/>
      <c r="P82" s="119" t="s">
        <v>77</v>
      </c>
      <c r="Q82" s="119" t="s">
        <v>77</v>
      </c>
      <c r="R82" s="119" t="s">
        <v>77</v>
      </c>
      <c r="S82" s="119" t="s">
        <v>76</v>
      </c>
      <c r="T82" s="119" t="s">
        <v>76</v>
      </c>
      <c r="U82" s="119" t="s">
        <v>77</v>
      </c>
      <c r="V82" s="119" t="s">
        <v>77</v>
      </c>
      <c r="W82" s="119" t="s">
        <v>77</v>
      </c>
    </row>
    <row r="83" spans="1:23" s="3" customFormat="1" ht="15.75" thickBot="1">
      <c r="A83" s="44" t="s">
        <v>46</v>
      </c>
      <c r="B83" s="76"/>
      <c r="C83" s="76" t="str">
        <f t="shared" ref="C83:N83" si="19">IF(C82&gt;0.05,"NS",IF(C82&gt;0.01,"*",IF(C82&gt;0.001,"**","***")))</f>
        <v>NS</v>
      </c>
      <c r="D83" s="76" t="str">
        <f t="shared" si="19"/>
        <v>NS</v>
      </c>
      <c r="E83" s="76" t="s">
        <v>78</v>
      </c>
      <c r="F83" s="76" t="s">
        <v>78</v>
      </c>
      <c r="G83" s="76" t="s">
        <v>78</v>
      </c>
      <c r="H83" s="76" t="s">
        <v>78</v>
      </c>
      <c r="I83" s="76" t="str">
        <f t="shared" si="19"/>
        <v>NS</v>
      </c>
      <c r="J83" s="76" t="str">
        <f t="shared" si="19"/>
        <v>NS</v>
      </c>
      <c r="K83" s="76" t="str">
        <f t="shared" si="19"/>
        <v>NS</v>
      </c>
      <c r="L83" s="76" t="str">
        <f t="shared" si="19"/>
        <v>NS</v>
      </c>
      <c r="M83" s="76" t="str">
        <f t="shared" si="19"/>
        <v>NS</v>
      </c>
      <c r="N83" s="76" t="e">
        <f t="shared" ca="1" si="19"/>
        <v>#NAME?</v>
      </c>
      <c r="O83" s="76"/>
      <c r="P83" s="76" t="s">
        <v>78</v>
      </c>
      <c r="Q83" s="76" t="s">
        <v>78</v>
      </c>
      <c r="R83" s="76" t="s">
        <v>78</v>
      </c>
      <c r="S83" s="76" t="str">
        <f t="shared" ref="S83:T83" si="20">IF(S82&gt;0.05,"NS",IF(S82&gt;0.01,"*",IF(S82&gt;0.001,"**","***")))</f>
        <v>NS</v>
      </c>
      <c r="T83" s="76" t="str">
        <f t="shared" si="20"/>
        <v>NS</v>
      </c>
      <c r="U83" s="76" t="s">
        <v>78</v>
      </c>
      <c r="V83" s="76" t="s">
        <v>78</v>
      </c>
      <c r="W83" s="76" t="s">
        <v>78</v>
      </c>
    </row>
    <row r="84" spans="1:23" s="1" customFormat="1"/>
    <row r="85" spans="1:23" s="1" customFormat="1">
      <c r="A85" s="2" t="s">
        <v>20</v>
      </c>
    </row>
    <row r="86" spans="1:23">
      <c r="A86" s="1" t="s">
        <v>13</v>
      </c>
      <c r="B86" s="1">
        <f>B56+(3*B57)</f>
        <v>0.50007164778786495</v>
      </c>
    </row>
    <row r="87" spans="1:23">
      <c r="A87" s="1" t="s">
        <v>14</v>
      </c>
      <c r="B87" s="1">
        <f>B56+(10*B57)</f>
        <v>1.2280252422991271</v>
      </c>
    </row>
    <row r="88" spans="1:23" ht="15.75" thickBot="1"/>
    <row r="89" spans="1:23" s="30" customFormat="1" ht="27" thickBot="1">
      <c r="A89" s="31" t="s">
        <v>34</v>
      </c>
      <c r="B89" s="32"/>
      <c r="C89" s="32"/>
      <c r="D89" s="32"/>
      <c r="E89" s="32"/>
      <c r="F89" s="32"/>
      <c r="G89" s="32"/>
      <c r="H89" s="32"/>
      <c r="I89" s="32"/>
      <c r="J89" s="32"/>
      <c r="K89" s="32"/>
      <c r="L89" s="32"/>
      <c r="M89" s="32"/>
      <c r="N89" s="32"/>
      <c r="O89" s="32"/>
      <c r="P89" s="32"/>
      <c r="Q89" s="32"/>
      <c r="R89" s="32"/>
      <c r="S89" s="32"/>
      <c r="T89" s="32"/>
      <c r="U89" s="32"/>
      <c r="V89" s="32"/>
      <c r="W89" s="32"/>
    </row>
    <row r="90" spans="1:23" ht="15.75" thickBot="1"/>
    <row r="91" spans="1:23" s="30" customFormat="1" ht="27" thickBot="1">
      <c r="A91" s="31" t="s">
        <v>35</v>
      </c>
      <c r="B91" s="32"/>
      <c r="C91" s="32"/>
      <c r="D91" s="32"/>
      <c r="E91" s="32"/>
      <c r="F91" s="32"/>
      <c r="G91" s="32"/>
      <c r="H91" s="32"/>
      <c r="I91" s="32"/>
      <c r="J91" s="32"/>
      <c r="K91" s="32"/>
      <c r="L91" s="32"/>
      <c r="M91" s="32"/>
      <c r="N91" s="32"/>
      <c r="O91" s="32"/>
      <c r="P91" s="32"/>
      <c r="Q91" s="32"/>
      <c r="R91" s="32"/>
      <c r="S91" s="32"/>
      <c r="T91" s="32"/>
      <c r="U91" s="32"/>
      <c r="V91" s="32"/>
      <c r="W91" s="32"/>
    </row>
    <row r="92" spans="1:23" ht="15.75" thickBot="1"/>
    <row r="93" spans="1:23" s="30" customFormat="1" ht="27" thickBot="1">
      <c r="A93" s="153" t="s">
        <v>36</v>
      </c>
      <c r="B93" s="154"/>
      <c r="C93" s="154"/>
      <c r="D93" s="154"/>
      <c r="E93" s="154"/>
      <c r="F93" s="154"/>
      <c r="G93" s="154"/>
      <c r="H93" s="154"/>
      <c r="I93" s="154"/>
      <c r="J93" s="154"/>
      <c r="K93" s="154"/>
      <c r="L93" s="154"/>
      <c r="M93" s="154"/>
      <c r="N93" s="154"/>
      <c r="O93" s="154"/>
      <c r="P93" s="154"/>
      <c r="Q93" s="154"/>
      <c r="R93" s="154"/>
      <c r="S93" s="154"/>
      <c r="T93" s="154"/>
      <c r="U93" s="154"/>
      <c r="V93" s="154"/>
      <c r="W93" s="154"/>
    </row>
    <row r="94" spans="1:23">
      <c r="B94" s="1">
        <f t="shared" ref="B94:V94" si="21">B75/$B$75</f>
        <v>1</v>
      </c>
      <c r="C94" s="1">
        <f t="shared" si="21"/>
        <v>1.6681509680503035</v>
      </c>
      <c r="D94" s="1">
        <f t="shared" si="21"/>
        <v>2.7702515215260699</v>
      </c>
      <c r="E94" s="1">
        <f t="shared" si="21"/>
        <v>5.6295779047299161</v>
      </c>
      <c r="F94" s="1">
        <f t="shared" si="21"/>
        <v>8.1174406567093449</v>
      </c>
      <c r="G94" s="1">
        <f t="shared" si="21"/>
        <v>10.48573273511643</v>
      </c>
      <c r="H94" s="1">
        <f>H75/$B$75</f>
        <v>14.301386522231043</v>
      </c>
      <c r="I94" s="1">
        <f t="shared" si="21"/>
        <v>0.83444183300084662</v>
      </c>
      <c r="J94" s="1">
        <f t="shared" si="21"/>
        <v>1.4836944479923995</v>
      </c>
      <c r="K94" s="1">
        <f t="shared" si="21"/>
        <v>0.97323758371681823</v>
      </c>
      <c r="L94" s="1">
        <f t="shared" si="21"/>
        <v>0.72693054497065324</v>
      </c>
      <c r="M94" s="1">
        <f t="shared" si="21"/>
        <v>1.1586222522520575</v>
      </c>
      <c r="N94" s="1" t="e">
        <f t="shared" si="21"/>
        <v>#DIV/0!</v>
      </c>
      <c r="O94" s="1">
        <f t="shared" si="21"/>
        <v>0</v>
      </c>
      <c r="P94" s="1">
        <f t="shared" si="21"/>
        <v>5.3165603409912929</v>
      </c>
      <c r="Q94" s="1">
        <f t="shared" si="21"/>
        <v>7.4455903928506819</v>
      </c>
      <c r="R94" s="1">
        <f t="shared" si="21"/>
        <v>1.2526100405165983</v>
      </c>
      <c r="S94" s="1">
        <f t="shared" si="21"/>
        <v>1.2811284055370382</v>
      </c>
      <c r="T94" s="1">
        <f t="shared" si="21"/>
        <v>1.244182893592424</v>
      </c>
      <c r="U94" s="1">
        <f t="shared" si="21"/>
        <v>2.6715481134767338</v>
      </c>
      <c r="V94" s="1">
        <f t="shared" si="21"/>
        <v>4.7719895227181484</v>
      </c>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46B3E9-CE31-4151-9B15-1C6BAED6E948}">
  <ds:schemaRefs>
    <ds:schemaRef ds:uri="http://schemas.microsoft.com/sharepoint/v3/contenttype/forms"/>
  </ds:schemaRefs>
</ds:datastoreItem>
</file>

<file path=customXml/itemProps2.xml><?xml version="1.0" encoding="utf-8"?>
<ds:datastoreItem xmlns:ds="http://schemas.openxmlformats.org/officeDocument/2006/customXml" ds:itemID="{4BAC57EB-B5EC-46E5-8274-8CE74BCB3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2023-04-03T08:23:41Z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3783bf7e-277a-44a0-a90b-21bbcb8f4199</vt:lpwstr>
  </property>
  <property fmtid="{D5CDD505-2E9C-101B-9397-08002B2CF9AE}" pid="8" name="MSIP_Label_06530cf4-8573-4c29-a912-bbcdac835909_ContentBits">
    <vt:lpwstr>2</vt:lpwstr>
  </property>
</Properties>
</file>