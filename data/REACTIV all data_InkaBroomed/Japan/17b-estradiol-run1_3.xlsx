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chartsheets/sheet2.xml" ContentType="application/vnd.openxmlformats-officedocument.spreadsheetml.chartsheet+xml"/>
  <Override PartName="/xl/worksheets/sheet4.xml" ContentType="application/vnd.openxmlformats-officedocument.spreadsheetml.worksheet+xml"/>
  <Override PartName="/xl/chartsheets/sheet3.xml" ContentType="application/vnd.openxmlformats-officedocument.spreadsheetml.chartsheet+xml"/>
  <Override PartName="/xl/worksheets/sheet5.xml" ContentType="application/vnd.openxmlformats-officedocument.spreadsheetml.worksheet+xml"/>
  <Override PartName="/xl/chartsheets/sheet4.xml" ContentType="application/vnd.openxmlformats-officedocument.spreadsheetml.chart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hidePivotFieldList="1" defaultThemeVersion="124226"/>
  <xr:revisionPtr revIDLastSave="20" documentId="13_ncr:1_{E202E428-CBCF-49E7-B711-CFD6F11CD20D}" xr6:coauthVersionLast="47" xr6:coauthVersionMax="47" xr10:uidLastSave="{9742A56C-B8B6-4AC3-B029-331A9D202E74}"/>
  <bookViews>
    <workbookView xWindow="-120" yWindow="-120" windowWidth="29040" windowHeight="15840" activeTab="5" xr2:uid="{00000000-000D-0000-FFFF-FFFF00000000}"/>
  </bookViews>
  <sheets>
    <sheet name="Front page" sheetId="10" r:id="rId1"/>
    <sheet name="R1" sheetId="1" r:id="rId2"/>
    <sheet name="Graph R1" sheetId="8" r:id="rId3"/>
    <sheet name="R2" sheetId="23" r:id="rId4"/>
    <sheet name="Graph R2" sheetId="19" r:id="rId5"/>
    <sheet name="R3" sheetId="33" r:id="rId6"/>
    <sheet name="Graph R3" sheetId="34" r:id="rId7"/>
    <sheet name="pooled normalised values" sheetId="4" r:id="rId8"/>
    <sheet name="pooled normalised graphe" sheetId="5" r:id="rId9"/>
  </sheets>
  <externalReferences>
    <externalReference r:id="rId10"/>
    <externalReference r:id="rId11"/>
  </externalReferences>
  <definedNames>
    <definedName name="_xlnm.Print_Area" localSheetId="0">'Front page'!$A$1:$I$51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78" i="4" l="1"/>
  <c r="M78" i="4"/>
  <c r="U78" i="4"/>
  <c r="P78" i="4"/>
  <c r="E78" i="4"/>
  <c r="O78" i="4"/>
  <c r="G78" i="4"/>
  <c r="N78" i="4"/>
  <c r="V78" i="4"/>
  <c r="L78" i="4"/>
  <c r="D78" i="4"/>
  <c r="H78" i="4"/>
  <c r="J78" i="4"/>
  <c r="I78" i="4"/>
  <c r="Q78" i="4"/>
  <c r="B78" i="4"/>
  <c r="F78" i="4"/>
  <c r="C78" i="4"/>
  <c r="S78" i="4"/>
  <c r="T78" i="4"/>
  <c r="W78" i="4"/>
  <c r="K78" i="4"/>
  <c r="B39" i="10" l="1"/>
  <c r="C39" i="10"/>
  <c r="D39" i="10"/>
  <c r="E39" i="10"/>
  <c r="B40" i="10"/>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C38" i="10"/>
  <c r="D38" i="10"/>
  <c r="E38" i="10"/>
  <c r="B38" i="10"/>
  <c r="A7" i="10" l="1"/>
  <c r="B4" i="33" s="1"/>
  <c r="A8" i="10"/>
  <c r="C4" i="33" s="1"/>
  <c r="A9" i="10"/>
  <c r="D4" i="33" s="1"/>
  <c r="A10" i="10"/>
  <c r="E4" i="33" s="1"/>
  <c r="A11" i="10"/>
  <c r="F4" i="33" s="1"/>
  <c r="A12" i="10"/>
  <c r="G4" i="33" s="1"/>
  <c r="A13" i="10"/>
  <c r="H4" i="33" s="1"/>
  <c r="A14" i="10"/>
  <c r="I4" i="33" s="1"/>
  <c r="A15" i="10"/>
  <c r="J4" i="33" s="1"/>
  <c r="A16" i="10"/>
  <c r="K4" i="33" s="1"/>
  <c r="A17" i="10"/>
  <c r="L4" i="33" s="1"/>
  <c r="A18" i="10"/>
  <c r="M4" i="33" s="1"/>
  <c r="A19" i="10"/>
  <c r="N4" i="33" s="1"/>
  <c r="A20" i="10"/>
  <c r="A21" i="10"/>
  <c r="A22" i="10"/>
  <c r="A23" i="10"/>
  <c r="A24" i="10"/>
  <c r="A25" i="10"/>
  <c r="A26" i="10"/>
  <c r="A27" i="10"/>
  <c r="A28" i="10"/>
  <c r="A29" i="10"/>
  <c r="A30" i="10"/>
  <c r="A31" i="10"/>
  <c r="A32" i="10"/>
  <c r="A33" i="10"/>
  <c r="A34" i="10"/>
  <c r="A35" i="10"/>
  <c r="O4" i="33" s="1"/>
  <c r="A36" i="10"/>
  <c r="P4" i="33" s="1"/>
  <c r="A37" i="10"/>
  <c r="Q4" i="33" s="1"/>
  <c r="A38" i="10"/>
  <c r="R4" i="33" s="1"/>
  <c r="A39" i="10"/>
  <c r="S4" i="33" s="1"/>
  <c r="A40" i="10"/>
  <c r="T4" i="33" s="1"/>
  <c r="A41" i="10"/>
  <c r="U4" i="33" s="1"/>
  <c r="A42" i="10"/>
  <c r="V4" i="33" s="1"/>
  <c r="A43" i="10"/>
  <c r="A44" i="10"/>
  <c r="A45" i="10"/>
  <c r="A46" i="10"/>
  <c r="A47" i="10"/>
  <c r="A48" i="10"/>
  <c r="A49" i="10"/>
  <c r="A50" i="10"/>
  <c r="A51" i="10"/>
  <c r="A52" i="10"/>
  <c r="A53" i="10"/>
  <c r="A54" i="10"/>
  <c r="A55" i="10"/>
  <c r="A56" i="10"/>
  <c r="A57" i="10"/>
  <c r="B4" i="23" l="1"/>
  <c r="B4" i="1"/>
  <c r="H4" i="23" l="1"/>
  <c r="H4" i="1"/>
  <c r="G4" i="23"/>
  <c r="G4" i="1"/>
  <c r="C4" i="23"/>
  <c r="C4" i="1"/>
  <c r="D4" i="23"/>
  <c r="D4" i="1"/>
  <c r="F4" i="23" l="1"/>
  <c r="F4" i="1"/>
  <c r="E4" i="23"/>
  <c r="E4" i="1"/>
  <c r="I4" i="23"/>
  <c r="I4" i="1"/>
  <c r="A52" i="33" l="1"/>
  <c r="A45" i="33"/>
  <c r="V43" i="33"/>
  <c r="W53" i="4" s="1"/>
  <c r="U43" i="33"/>
  <c r="V53" i="4" s="1"/>
  <c r="T43" i="33"/>
  <c r="U53" i="4" s="1"/>
  <c r="S43" i="33"/>
  <c r="T53" i="4" s="1"/>
  <c r="R43" i="33"/>
  <c r="S53" i="4" s="1"/>
  <c r="Q43" i="33"/>
  <c r="R53" i="4" s="1"/>
  <c r="P43" i="33"/>
  <c r="Q53" i="4" s="1"/>
  <c r="N43" i="33"/>
  <c r="N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W52" i="4" s="1"/>
  <c r="U42" i="33"/>
  <c r="V52" i="4" s="1"/>
  <c r="T42" i="33"/>
  <c r="U52" i="4" s="1"/>
  <c r="S42" i="33"/>
  <c r="T52" i="4" s="1"/>
  <c r="R42" i="33"/>
  <c r="S52" i="4" s="1"/>
  <c r="Q42" i="33"/>
  <c r="R52" i="4" s="1"/>
  <c r="P42" i="33"/>
  <c r="Q52" i="4" s="1"/>
  <c r="N42" i="33"/>
  <c r="N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W51" i="4" s="1"/>
  <c r="U41" i="33"/>
  <c r="V51" i="4" s="1"/>
  <c r="T41" i="33"/>
  <c r="U51" i="4" s="1"/>
  <c r="S41" i="33"/>
  <c r="T51" i="4" s="1"/>
  <c r="R41" i="33"/>
  <c r="S51" i="4" s="1"/>
  <c r="Q41" i="33"/>
  <c r="R51" i="4" s="1"/>
  <c r="P41" i="33"/>
  <c r="Q51" i="4" s="1"/>
  <c r="N41" i="33"/>
  <c r="N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W50" i="4" s="1"/>
  <c r="U40" i="33"/>
  <c r="V50" i="4" s="1"/>
  <c r="T40" i="33"/>
  <c r="U50" i="4" s="1"/>
  <c r="S40" i="33"/>
  <c r="T50" i="4" s="1"/>
  <c r="R40" i="33"/>
  <c r="S50" i="4" s="1"/>
  <c r="Q40" i="33"/>
  <c r="R50" i="4" s="1"/>
  <c r="P40" i="33"/>
  <c r="Q50" i="4" s="1"/>
  <c r="N40" i="33"/>
  <c r="N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W49" i="4" s="1"/>
  <c r="U39" i="33"/>
  <c r="V49" i="4" s="1"/>
  <c r="T39" i="33"/>
  <c r="U49" i="4" s="1"/>
  <c r="S39" i="33"/>
  <c r="T49" i="4" s="1"/>
  <c r="R39" i="33"/>
  <c r="S49" i="4" s="1"/>
  <c r="Q39" i="33"/>
  <c r="R49" i="4" s="1"/>
  <c r="P39" i="33"/>
  <c r="Q49" i="4" s="1"/>
  <c r="N39" i="33"/>
  <c r="N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W48" i="4" s="1"/>
  <c r="U38" i="33"/>
  <c r="V48" i="4" s="1"/>
  <c r="T38" i="33"/>
  <c r="U48" i="4" s="1"/>
  <c r="S38" i="33"/>
  <c r="T48" i="4" s="1"/>
  <c r="R38" i="33"/>
  <c r="S48" i="4" s="1"/>
  <c r="Q38" i="33"/>
  <c r="R48" i="4" s="1"/>
  <c r="P38" i="33"/>
  <c r="Q48" i="4" s="1"/>
  <c r="N38" i="33"/>
  <c r="N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W47" i="4" s="1"/>
  <c r="U37" i="33"/>
  <c r="V47" i="4" s="1"/>
  <c r="T37" i="33"/>
  <c r="U47" i="4" s="1"/>
  <c r="S37" i="33"/>
  <c r="T47" i="4" s="1"/>
  <c r="R37" i="33"/>
  <c r="S47" i="4" s="1"/>
  <c r="Q37" i="33"/>
  <c r="R47" i="4" s="1"/>
  <c r="P37" i="33"/>
  <c r="Q47" i="4" s="1"/>
  <c r="N37" i="33"/>
  <c r="N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W46" i="4" s="1"/>
  <c r="U36" i="33"/>
  <c r="V46" i="4" s="1"/>
  <c r="T36" i="33"/>
  <c r="U46" i="4" s="1"/>
  <c r="S36" i="33"/>
  <c r="T46" i="4" s="1"/>
  <c r="R36" i="33"/>
  <c r="S46" i="4" s="1"/>
  <c r="Q36" i="33"/>
  <c r="R46" i="4" s="1"/>
  <c r="P36" i="33"/>
  <c r="Q46" i="4" s="1"/>
  <c r="N36" i="33"/>
  <c r="N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N35" i="33"/>
  <c r="N45" i="4" s="1"/>
  <c r="N34" i="33"/>
  <c r="N44" i="4" s="1"/>
  <c r="N33" i="33"/>
  <c r="N43" i="4" s="1"/>
  <c r="N32" i="33"/>
  <c r="N42" i="4" s="1"/>
  <c r="N31" i="33"/>
  <c r="N41" i="4" s="1"/>
  <c r="N30" i="33"/>
  <c r="N40" i="4" s="1"/>
  <c r="N29" i="33"/>
  <c r="N39" i="4" s="1"/>
  <c r="N28" i="33"/>
  <c r="V24" i="33"/>
  <c r="U24" i="33"/>
  <c r="T24" i="33"/>
  <c r="S24" i="33"/>
  <c r="R24" i="33"/>
  <c r="Q24" i="33"/>
  <c r="P24" i="33"/>
  <c r="O24" i="33"/>
  <c r="N24" i="33"/>
  <c r="L24" i="33"/>
  <c r="J24" i="33"/>
  <c r="I24" i="33"/>
  <c r="H24" i="33"/>
  <c r="G24" i="33"/>
  <c r="F24" i="33"/>
  <c r="E24" i="33"/>
  <c r="D24" i="33"/>
  <c r="C24" i="33"/>
  <c r="B24" i="33"/>
  <c r="V23" i="33"/>
  <c r="U23" i="33"/>
  <c r="T23" i="33"/>
  <c r="S23" i="33"/>
  <c r="R23" i="33"/>
  <c r="Q23" i="33"/>
  <c r="P23" i="33"/>
  <c r="O23" i="33"/>
  <c r="J35" i="33" s="1"/>
  <c r="J45" i="4" s="1"/>
  <c r="N23" i="33"/>
  <c r="L23" i="33"/>
  <c r="J23" i="33"/>
  <c r="I23" i="33"/>
  <c r="H23" i="33"/>
  <c r="G23" i="33"/>
  <c r="F23" i="33"/>
  <c r="E23" i="33"/>
  <c r="D23" i="33"/>
  <c r="C23" i="33"/>
  <c r="B23" i="33"/>
  <c r="A22" i="33"/>
  <c r="H22" i="33"/>
  <c r="G45" i="33"/>
  <c r="F27" i="33"/>
  <c r="F52" i="33" s="1"/>
  <c r="E45" i="33"/>
  <c r="D22" i="33"/>
  <c r="C45" i="33"/>
  <c r="B45" i="33"/>
  <c r="O56" i="33"/>
  <c r="N56" i="33"/>
  <c r="V56" i="33"/>
  <c r="Q56" i="33"/>
  <c r="K56" i="33"/>
  <c r="J56" i="33"/>
  <c r="M56" i="33"/>
  <c r="L56" i="33"/>
  <c r="T56" i="33"/>
  <c r="C56" i="33"/>
  <c r="F56" i="33"/>
  <c r="R56" i="33"/>
  <c r="E56" i="33"/>
  <c r="G56" i="33"/>
  <c r="H56" i="33"/>
  <c r="S56" i="33"/>
  <c r="B56" i="33"/>
  <c r="I56" i="33"/>
  <c r="P56" i="33"/>
  <c r="U56" i="33"/>
  <c r="D56" i="33"/>
  <c r="U28" i="33" l="1"/>
  <c r="S30" i="33"/>
  <c r="T40" i="4" s="1"/>
  <c r="U32" i="33"/>
  <c r="V42" i="4" s="1"/>
  <c r="R33" i="33"/>
  <c r="S43" i="4" s="1"/>
  <c r="O42" i="33"/>
  <c r="P52" i="4" s="1"/>
  <c r="R28" i="33"/>
  <c r="V28" i="33"/>
  <c r="V47" i="33" s="1"/>
  <c r="V48" i="33" s="1"/>
  <c r="V54" i="33" s="1"/>
  <c r="O29" i="33"/>
  <c r="P39" i="4" s="1"/>
  <c r="S29" i="33"/>
  <c r="T39" i="4" s="1"/>
  <c r="P30" i="33"/>
  <c r="Q40" i="4" s="1"/>
  <c r="T30" i="33"/>
  <c r="U40" i="4" s="1"/>
  <c r="Q31" i="33"/>
  <c r="R41" i="4" s="1"/>
  <c r="U31" i="33"/>
  <c r="V41" i="4" s="1"/>
  <c r="R32" i="33"/>
  <c r="S42" i="4" s="1"/>
  <c r="V32" i="33"/>
  <c r="W42" i="4" s="1"/>
  <c r="O33" i="33"/>
  <c r="P43" i="4" s="1"/>
  <c r="S33" i="33"/>
  <c r="T43" i="4" s="1"/>
  <c r="P34" i="33"/>
  <c r="Q44" i="4" s="1"/>
  <c r="T34" i="33"/>
  <c r="U44" i="4" s="1"/>
  <c r="Q35" i="33"/>
  <c r="R45" i="4" s="1"/>
  <c r="U35" i="33"/>
  <c r="V45" i="4" s="1"/>
  <c r="O37" i="33"/>
  <c r="P47" i="4" s="1"/>
  <c r="O41" i="33"/>
  <c r="P51" i="4" s="1"/>
  <c r="Q28" i="33"/>
  <c r="R38" i="4" s="1"/>
  <c r="V29" i="33"/>
  <c r="W39" i="4" s="1"/>
  <c r="O30" i="33"/>
  <c r="P40" i="4" s="1"/>
  <c r="T31" i="33"/>
  <c r="U41" i="4" s="1"/>
  <c r="Q32" i="33"/>
  <c r="R42" i="4" s="1"/>
  <c r="V33" i="33"/>
  <c r="W43" i="4" s="1"/>
  <c r="O34" i="33"/>
  <c r="P44" i="4" s="1"/>
  <c r="T35" i="33"/>
  <c r="U45" i="4" s="1"/>
  <c r="O28" i="33"/>
  <c r="P38" i="4" s="1"/>
  <c r="P29" i="33"/>
  <c r="Q39" i="4" s="1"/>
  <c r="O32" i="33"/>
  <c r="P42" i="4" s="1"/>
  <c r="T33" i="33"/>
  <c r="U43" i="4" s="1"/>
  <c r="Q34" i="33"/>
  <c r="R44" i="4" s="1"/>
  <c r="R29" i="33"/>
  <c r="S39" i="4" s="1"/>
  <c r="P31" i="33"/>
  <c r="Q41" i="4" s="1"/>
  <c r="S34" i="33"/>
  <c r="T44" i="4" s="1"/>
  <c r="P35" i="33"/>
  <c r="Q45" i="4" s="1"/>
  <c r="O38" i="33"/>
  <c r="P48" i="4" s="1"/>
  <c r="S28" i="33"/>
  <c r="T29" i="33"/>
  <c r="U39" i="4" s="1"/>
  <c r="Q30" i="33"/>
  <c r="R40" i="4" s="1"/>
  <c r="U30" i="33"/>
  <c r="V40" i="4" s="1"/>
  <c r="R31" i="33"/>
  <c r="S41" i="4" s="1"/>
  <c r="V31" i="33"/>
  <c r="W41" i="4" s="1"/>
  <c r="S32" i="33"/>
  <c r="T42" i="4" s="1"/>
  <c r="P33" i="33"/>
  <c r="Q43" i="4" s="1"/>
  <c r="U34" i="33"/>
  <c r="V44" i="4" s="1"/>
  <c r="R35" i="33"/>
  <c r="S45" i="4" s="1"/>
  <c r="V35" i="33"/>
  <c r="W45" i="4" s="1"/>
  <c r="O36" i="33"/>
  <c r="P46" i="4" s="1"/>
  <c r="O40" i="33"/>
  <c r="P50" i="4" s="1"/>
  <c r="P28" i="33"/>
  <c r="Q38" i="4" s="1"/>
  <c r="T28" i="33"/>
  <c r="U38" i="4" s="1"/>
  <c r="Q29" i="33"/>
  <c r="R39" i="4" s="1"/>
  <c r="U29" i="33"/>
  <c r="V39" i="4" s="1"/>
  <c r="R30" i="33"/>
  <c r="S40" i="4" s="1"/>
  <c r="V30" i="33"/>
  <c r="W40" i="4" s="1"/>
  <c r="O31" i="33"/>
  <c r="P41" i="4" s="1"/>
  <c r="S31" i="33"/>
  <c r="T41" i="4" s="1"/>
  <c r="P32" i="33"/>
  <c r="Q42" i="4" s="1"/>
  <c r="T32" i="33"/>
  <c r="U42" i="4" s="1"/>
  <c r="Q33" i="33"/>
  <c r="R43" i="4" s="1"/>
  <c r="U33" i="33"/>
  <c r="V43" i="4" s="1"/>
  <c r="R34" i="33"/>
  <c r="S44" i="4" s="1"/>
  <c r="V34" i="33"/>
  <c r="W44" i="4" s="1"/>
  <c r="O35" i="33"/>
  <c r="P45" i="4" s="1"/>
  <c r="S35" i="33"/>
  <c r="T45" i="4" s="1"/>
  <c r="O39" i="33"/>
  <c r="P49" i="4" s="1"/>
  <c r="O43" i="33"/>
  <c r="P53" i="4" s="1"/>
  <c r="E28" i="33"/>
  <c r="J30" i="33"/>
  <c r="J40" i="4" s="1"/>
  <c r="C31" i="33"/>
  <c r="C41" i="4" s="1"/>
  <c r="L32" i="33"/>
  <c r="L42" i="4" s="1"/>
  <c r="E33" i="33"/>
  <c r="E43" i="4" s="1"/>
  <c r="I33" i="33"/>
  <c r="I43" i="4" s="1"/>
  <c r="M33" i="33"/>
  <c r="M43" i="4" s="1"/>
  <c r="B34" i="33"/>
  <c r="B44" i="4" s="1"/>
  <c r="F34" i="33"/>
  <c r="F44" i="4" s="1"/>
  <c r="J34" i="33"/>
  <c r="J44" i="4" s="1"/>
  <c r="C35" i="33"/>
  <c r="C45" i="4" s="1"/>
  <c r="G35" i="33"/>
  <c r="G45" i="4" s="1"/>
  <c r="K35" i="33"/>
  <c r="K45" i="4" s="1"/>
  <c r="I28" i="33"/>
  <c r="E29" i="33"/>
  <c r="E39" i="4" s="1"/>
  <c r="F30" i="33"/>
  <c r="F40" i="4" s="1"/>
  <c r="K31" i="33"/>
  <c r="K41" i="4" s="1"/>
  <c r="H32" i="33"/>
  <c r="H42" i="4" s="1"/>
  <c r="J28" i="33"/>
  <c r="J29" i="33"/>
  <c r="J39" i="4" s="1"/>
  <c r="K30" i="33"/>
  <c r="K40" i="4" s="1"/>
  <c r="D31" i="33"/>
  <c r="D41" i="4" s="1"/>
  <c r="E32" i="33"/>
  <c r="E42" i="4" s="1"/>
  <c r="B33" i="33"/>
  <c r="B43" i="4" s="1"/>
  <c r="C34" i="33"/>
  <c r="C44" i="4" s="1"/>
  <c r="G34" i="33"/>
  <c r="G44" i="4" s="1"/>
  <c r="K34" i="33"/>
  <c r="K44" i="4" s="1"/>
  <c r="D35" i="33"/>
  <c r="D45" i="4" s="1"/>
  <c r="H35" i="33"/>
  <c r="H45" i="4" s="1"/>
  <c r="L35" i="33"/>
  <c r="L45" i="4" s="1"/>
  <c r="M28" i="33"/>
  <c r="M38" i="4" s="1"/>
  <c r="M29" i="33"/>
  <c r="M39" i="4" s="1"/>
  <c r="B30" i="33"/>
  <c r="B40" i="4" s="1"/>
  <c r="B28" i="33"/>
  <c r="C30" i="33"/>
  <c r="C40" i="4" s="1"/>
  <c r="H31" i="33"/>
  <c r="H41" i="4" s="1"/>
  <c r="M32" i="33"/>
  <c r="M42" i="4" s="1"/>
  <c r="J33" i="33"/>
  <c r="J43" i="4" s="1"/>
  <c r="C28" i="33"/>
  <c r="C38" i="4" s="1"/>
  <c r="G28" i="33"/>
  <c r="G38" i="4" s="1"/>
  <c r="K28" i="33"/>
  <c r="C29" i="33"/>
  <c r="C39" i="4" s="1"/>
  <c r="G29" i="33"/>
  <c r="G39" i="4" s="1"/>
  <c r="K29" i="33"/>
  <c r="K39" i="4" s="1"/>
  <c r="D30" i="33"/>
  <c r="D40" i="4" s="1"/>
  <c r="H30" i="33"/>
  <c r="H40" i="4" s="1"/>
  <c r="L30" i="33"/>
  <c r="L40" i="4" s="1"/>
  <c r="E31" i="33"/>
  <c r="E41" i="4" s="1"/>
  <c r="I31" i="33"/>
  <c r="I41" i="4" s="1"/>
  <c r="M31" i="33"/>
  <c r="M41" i="4" s="1"/>
  <c r="B32" i="33"/>
  <c r="B42" i="4" s="1"/>
  <c r="F32" i="33"/>
  <c r="F42" i="4" s="1"/>
  <c r="J32" i="33"/>
  <c r="J42" i="4" s="1"/>
  <c r="C33" i="33"/>
  <c r="C43" i="4" s="1"/>
  <c r="G33" i="33"/>
  <c r="G43" i="4" s="1"/>
  <c r="K33" i="33"/>
  <c r="K43" i="4" s="1"/>
  <c r="D34" i="33"/>
  <c r="D44" i="4" s="1"/>
  <c r="H34" i="33"/>
  <c r="H44" i="4" s="1"/>
  <c r="L34" i="33"/>
  <c r="L44" i="4" s="1"/>
  <c r="E35" i="33"/>
  <c r="E45" i="4" s="1"/>
  <c r="I35" i="33"/>
  <c r="I45" i="4" s="1"/>
  <c r="M35" i="33"/>
  <c r="M45" i="4" s="1"/>
  <c r="I29" i="33"/>
  <c r="I39" i="4" s="1"/>
  <c r="G31" i="33"/>
  <c r="G41" i="4" s="1"/>
  <c r="D32" i="33"/>
  <c r="D42" i="4" s="1"/>
  <c r="F28" i="33"/>
  <c r="B29" i="33"/>
  <c r="B39" i="4" s="1"/>
  <c r="F29" i="33"/>
  <c r="F39" i="4" s="1"/>
  <c r="G30" i="33"/>
  <c r="G40" i="4" s="1"/>
  <c r="L31" i="33"/>
  <c r="L41" i="4" s="1"/>
  <c r="I32" i="33"/>
  <c r="I42" i="4" s="1"/>
  <c r="F33" i="33"/>
  <c r="F43" i="4" s="1"/>
  <c r="D28" i="33"/>
  <c r="H28" i="33"/>
  <c r="H38" i="4" s="1"/>
  <c r="L28" i="33"/>
  <c r="D29" i="33"/>
  <c r="D39" i="4" s="1"/>
  <c r="H29" i="33"/>
  <c r="H39" i="4" s="1"/>
  <c r="L29" i="33"/>
  <c r="L39" i="4" s="1"/>
  <c r="E30" i="33"/>
  <c r="E40" i="4" s="1"/>
  <c r="I30" i="33"/>
  <c r="I40" i="4" s="1"/>
  <c r="M30" i="33"/>
  <c r="M40" i="4" s="1"/>
  <c r="B31" i="33"/>
  <c r="B41" i="4" s="1"/>
  <c r="F31" i="33"/>
  <c r="F41" i="4" s="1"/>
  <c r="J31" i="33"/>
  <c r="J41" i="4" s="1"/>
  <c r="C32" i="33"/>
  <c r="C42" i="4" s="1"/>
  <c r="G32" i="33"/>
  <c r="G42" i="4" s="1"/>
  <c r="K32" i="33"/>
  <c r="K42" i="4" s="1"/>
  <c r="D33" i="33"/>
  <c r="D43" i="4" s="1"/>
  <c r="H33" i="33"/>
  <c r="H43" i="4" s="1"/>
  <c r="L33" i="33"/>
  <c r="L43" i="4" s="1"/>
  <c r="E34" i="33"/>
  <c r="E44" i="4" s="1"/>
  <c r="I34" i="33"/>
  <c r="I44" i="4" s="1"/>
  <c r="M34" i="33"/>
  <c r="M44" i="4" s="1"/>
  <c r="B35" i="33"/>
  <c r="B45" i="4" s="1"/>
  <c r="F35" i="33"/>
  <c r="F45" i="4" s="1"/>
  <c r="D38" i="4"/>
  <c r="V38" i="4"/>
  <c r="I38" i="4"/>
  <c r="E38" i="4"/>
  <c r="S38" i="4"/>
  <c r="B38" i="4"/>
  <c r="N46" i="33"/>
  <c r="N53" i="33" s="1"/>
  <c r="B22" i="33"/>
  <c r="E22" i="33"/>
  <c r="I45" i="33"/>
  <c r="I52" i="33"/>
  <c r="I27" i="33"/>
  <c r="C47" i="33"/>
  <c r="C48" i="33" s="1"/>
  <c r="C54" i="33" s="1"/>
  <c r="C46" i="33"/>
  <c r="C53" i="33" s="1"/>
  <c r="K38" i="4"/>
  <c r="B27" i="33"/>
  <c r="B52" i="33" s="1"/>
  <c r="L38" i="4"/>
  <c r="D27" i="33"/>
  <c r="D52" i="33" s="1"/>
  <c r="I22" i="33"/>
  <c r="E27" i="33"/>
  <c r="E52" i="33" s="1"/>
  <c r="F38" i="4"/>
  <c r="J38" i="4"/>
  <c r="N38" i="4"/>
  <c r="N47" i="33"/>
  <c r="N48" i="33" s="1"/>
  <c r="N54" i="33" s="1"/>
  <c r="T38" i="4"/>
  <c r="D45" i="33"/>
  <c r="G57" i="33"/>
  <c r="N57" i="33"/>
  <c r="T57" i="33"/>
  <c r="H57" i="33"/>
  <c r="O57" i="33"/>
  <c r="U57" i="33"/>
  <c r="C57" i="33"/>
  <c r="J57" i="33"/>
  <c r="P57" i="33"/>
  <c r="D57" i="33"/>
  <c r="L57" i="33"/>
  <c r="S57" i="33"/>
  <c r="F57" i="33"/>
  <c r="K57" i="33"/>
  <c r="Q57" i="33"/>
  <c r="B57" i="33"/>
  <c r="E57" i="33"/>
  <c r="I57" i="33"/>
  <c r="M57" i="33"/>
  <c r="R57" i="33"/>
  <c r="V57" i="33"/>
  <c r="U46" i="33"/>
  <c r="U53" i="33" s="1"/>
  <c r="U47" i="33"/>
  <c r="U48" i="33" s="1"/>
  <c r="U54" i="33" s="1"/>
  <c r="F22" i="33"/>
  <c r="R47" i="33"/>
  <c r="R48" i="33" s="1"/>
  <c r="R54" i="33" s="1"/>
  <c r="F45" i="33"/>
  <c r="G22" i="33"/>
  <c r="G27" i="33"/>
  <c r="G52" i="33" s="1"/>
  <c r="C22" i="33"/>
  <c r="C27" i="33"/>
  <c r="C52" i="33" s="1"/>
  <c r="H27" i="33"/>
  <c r="H52" i="33" s="1"/>
  <c r="H45" i="33"/>
  <c r="D47" i="33" l="1"/>
  <c r="W38" i="4"/>
  <c r="L46" i="33"/>
  <c r="L53" i="33" s="1"/>
  <c r="Q47" i="33"/>
  <c r="Q48" i="33" s="1"/>
  <c r="Q54" i="33" s="1"/>
  <c r="M47" i="33"/>
  <c r="M48" i="33" s="1"/>
  <c r="M54" i="33" s="1"/>
  <c r="E47" i="33"/>
  <c r="S46" i="33"/>
  <c r="S53" i="33" s="1"/>
  <c r="T46" i="33"/>
  <c r="T53" i="33" s="1"/>
  <c r="O47" i="33"/>
  <c r="O48" i="33" s="1"/>
  <c r="O54" i="33" s="1"/>
  <c r="F46" i="33"/>
  <c r="F53" i="33" s="1"/>
  <c r="K46" i="33"/>
  <c r="K53" i="33" s="1"/>
  <c r="R46" i="33"/>
  <c r="R53" i="33" s="1"/>
  <c r="I46" i="33"/>
  <c r="I53" i="33" s="1"/>
  <c r="B46" i="33"/>
  <c r="L47" i="33"/>
  <c r="L48" i="33" s="1"/>
  <c r="L54" i="33" s="1"/>
  <c r="D46" i="33"/>
  <c r="D53" i="33" s="1"/>
  <c r="F47" i="33"/>
  <c r="F48" i="33" s="1"/>
  <c r="F54" i="33" s="1"/>
  <c r="P47" i="33"/>
  <c r="P48" i="33" s="1"/>
  <c r="P54" i="33" s="1"/>
  <c r="I47" i="33"/>
  <c r="I48" i="33" s="1"/>
  <c r="I54" i="33" s="1"/>
  <c r="H47" i="33"/>
  <c r="H48" i="33" s="1"/>
  <c r="H54" i="33" s="1"/>
  <c r="O46" i="33"/>
  <c r="O53" i="33" s="1"/>
  <c r="O55" i="33" s="1"/>
  <c r="J47" i="33"/>
  <c r="J48" i="33" s="1"/>
  <c r="J54" i="33" s="1"/>
  <c r="G46" i="33"/>
  <c r="G53" i="33" s="1"/>
  <c r="T47" i="33"/>
  <c r="T48" i="33" s="1"/>
  <c r="T54" i="33" s="1"/>
  <c r="K47" i="33"/>
  <c r="K48" i="33" s="1"/>
  <c r="K54" i="33" s="1"/>
  <c r="B47" i="33"/>
  <c r="B48" i="33" s="1"/>
  <c r="B54" i="33" s="1"/>
  <c r="V46" i="33"/>
  <c r="V53" i="33" s="1"/>
  <c r="M46" i="33"/>
  <c r="M53" i="33" s="1"/>
  <c r="E46" i="33"/>
  <c r="E53" i="33" s="1"/>
  <c r="Q46" i="33"/>
  <c r="Q53" i="33" s="1"/>
  <c r="H46" i="33"/>
  <c r="H53" i="33" s="1"/>
  <c r="S47" i="33"/>
  <c r="S48" i="33" s="1"/>
  <c r="S54" i="33" s="1"/>
  <c r="J46" i="33"/>
  <c r="J53" i="33" s="1"/>
  <c r="P46" i="33"/>
  <c r="P53" i="33" s="1"/>
  <c r="G47" i="33"/>
  <c r="G48" i="33" s="1"/>
  <c r="G54" i="33" s="1"/>
  <c r="E48" i="33"/>
  <c r="E54" i="33" s="1"/>
  <c r="D48" i="33"/>
  <c r="D54" i="33" s="1"/>
  <c r="O59" i="33"/>
  <c r="O60" i="33" s="1"/>
  <c r="O61" i="33" s="1"/>
  <c r="N59" i="33"/>
  <c r="N60" i="33" s="1"/>
  <c r="N61" i="33" s="1"/>
  <c r="J59" i="33"/>
  <c r="J60" i="33" s="1"/>
  <c r="J61" i="33" s="1"/>
  <c r="F59" i="33"/>
  <c r="F60" i="33" s="1"/>
  <c r="F61" i="33" s="1"/>
  <c r="I59" i="33"/>
  <c r="I60" i="33" s="1"/>
  <c r="I61" i="33" s="1"/>
  <c r="D59" i="33"/>
  <c r="D60" i="33" s="1"/>
  <c r="D61" i="33" s="1"/>
  <c r="H59" i="33"/>
  <c r="H60" i="33" s="1"/>
  <c r="H61" i="33" s="1"/>
  <c r="M59" i="33"/>
  <c r="M60" i="33" s="1"/>
  <c r="M61" i="33" s="1"/>
  <c r="G59" i="33"/>
  <c r="G60" i="33" s="1"/>
  <c r="G61" i="33" s="1"/>
  <c r="L59" i="33"/>
  <c r="L60" i="33" s="1"/>
  <c r="L61" i="33" s="1"/>
  <c r="E59" i="33"/>
  <c r="E60" i="33" s="1"/>
  <c r="E61" i="33" s="1"/>
  <c r="K59" i="33"/>
  <c r="K60" i="33" s="1"/>
  <c r="K61" i="33" s="1"/>
  <c r="C59" i="33"/>
  <c r="C60" i="33" s="1"/>
  <c r="C61" i="33" s="1"/>
  <c r="S59" i="33"/>
  <c r="S60" i="33" s="1"/>
  <c r="S61" i="33" s="1"/>
  <c r="U59" i="33"/>
  <c r="U60" i="33" s="1"/>
  <c r="U61" i="33" s="1"/>
  <c r="P59" i="33"/>
  <c r="P60" i="33" s="1"/>
  <c r="P61" i="33" s="1"/>
  <c r="V59" i="33"/>
  <c r="V60" i="33" s="1"/>
  <c r="V61" i="33" s="1"/>
  <c r="T59" i="33"/>
  <c r="T60" i="33" s="1"/>
  <c r="T61" i="33" s="1"/>
  <c r="R59" i="33"/>
  <c r="R60" i="33" s="1"/>
  <c r="R61" i="33" s="1"/>
  <c r="Q59" i="33"/>
  <c r="Q60" i="33" s="1"/>
  <c r="Q61" i="33" s="1"/>
  <c r="B53" i="33"/>
  <c r="M55" i="33" s="1"/>
  <c r="B64" i="33" l="1"/>
  <c r="B65" i="33"/>
  <c r="P55" i="33"/>
  <c r="U55" i="33"/>
  <c r="V55" i="33"/>
  <c r="T55" i="33"/>
  <c r="S55" i="33"/>
  <c r="Q55" i="33"/>
  <c r="R55" i="33"/>
  <c r="D55" i="33"/>
  <c r="B55" i="33"/>
  <c r="K55" i="33"/>
  <c r="L55" i="33"/>
  <c r="N55" i="33"/>
  <c r="G55" i="33"/>
  <c r="F55" i="33"/>
  <c r="C55" i="33"/>
  <c r="J55" i="33"/>
  <c r="H55" i="33"/>
  <c r="I55" i="33"/>
  <c r="E55" i="33"/>
  <c r="L22" i="33" l="1"/>
  <c r="K22" i="33"/>
  <c r="J52" i="33"/>
  <c r="M45" i="33"/>
  <c r="M52" i="33"/>
  <c r="M27" i="33"/>
  <c r="M22" i="33"/>
  <c r="N27" i="33"/>
  <c r="N52" i="33"/>
  <c r="N22" i="33"/>
  <c r="N45" i="33"/>
  <c r="K45" i="33" l="1"/>
  <c r="K52" i="33"/>
  <c r="K27" i="33"/>
  <c r="O4" i="23"/>
  <c r="O4" i="1"/>
  <c r="Q4" i="1"/>
  <c r="Q4" i="23"/>
  <c r="P4" i="23"/>
  <c r="P4" i="1"/>
  <c r="J22" i="33"/>
  <c r="L52" i="33"/>
  <c r="J45" i="33"/>
  <c r="L27" i="33"/>
  <c r="J27" i="33"/>
  <c r="L45" i="33"/>
  <c r="Q22" i="33" l="1"/>
  <c r="Q45" i="33"/>
  <c r="Q27" i="33"/>
  <c r="Q52" i="33" s="1"/>
  <c r="O27" i="33"/>
  <c r="O52" i="33" s="1"/>
  <c r="O22" i="33"/>
  <c r="O45" i="33"/>
  <c r="P22" i="33"/>
  <c r="P45" i="33"/>
  <c r="P27" i="33"/>
  <c r="P52" i="33" s="1"/>
  <c r="N4" i="1" l="1"/>
  <c r="N45" i="1" s="1"/>
  <c r="P22" i="1"/>
  <c r="Q45" i="1"/>
  <c r="P36" i="23"/>
  <c r="Q30" i="4" s="1"/>
  <c r="Q36" i="23"/>
  <c r="R30" i="4" s="1"/>
  <c r="R36" i="23"/>
  <c r="S30" i="4" s="1"/>
  <c r="S36" i="23"/>
  <c r="T30" i="4" s="1"/>
  <c r="T36" i="23"/>
  <c r="U30" i="4" s="1"/>
  <c r="U36" i="23"/>
  <c r="V30" i="4" s="1"/>
  <c r="V36" i="23"/>
  <c r="W30" i="4" s="1"/>
  <c r="P37" i="23"/>
  <c r="Q31" i="4" s="1"/>
  <c r="Q37" i="23"/>
  <c r="R31" i="4" s="1"/>
  <c r="R37" i="23"/>
  <c r="S31" i="4" s="1"/>
  <c r="S37" i="23"/>
  <c r="T31" i="4" s="1"/>
  <c r="T37" i="23"/>
  <c r="U31" i="4" s="1"/>
  <c r="U37" i="23"/>
  <c r="V31" i="4" s="1"/>
  <c r="V37" i="23"/>
  <c r="W31" i="4" s="1"/>
  <c r="P38" i="23"/>
  <c r="Q32" i="4" s="1"/>
  <c r="Q38" i="23"/>
  <c r="R32" i="4" s="1"/>
  <c r="R38" i="23"/>
  <c r="S32" i="4" s="1"/>
  <c r="S38" i="23"/>
  <c r="T32" i="4" s="1"/>
  <c r="T38" i="23"/>
  <c r="U32" i="4" s="1"/>
  <c r="U38" i="23"/>
  <c r="V32" i="4" s="1"/>
  <c r="V38" i="23"/>
  <c r="W32" i="4" s="1"/>
  <c r="P39" i="23"/>
  <c r="Q33" i="4" s="1"/>
  <c r="Q39" i="23"/>
  <c r="R33" i="4" s="1"/>
  <c r="R39" i="23"/>
  <c r="S33" i="4" s="1"/>
  <c r="S39" i="23"/>
  <c r="T33" i="4" s="1"/>
  <c r="T39" i="23"/>
  <c r="U33" i="4" s="1"/>
  <c r="U39" i="23"/>
  <c r="V33" i="4" s="1"/>
  <c r="V39" i="23"/>
  <c r="W33" i="4" s="1"/>
  <c r="P40" i="23"/>
  <c r="Q34" i="4" s="1"/>
  <c r="Q40" i="23"/>
  <c r="R34" i="4" s="1"/>
  <c r="R40" i="23"/>
  <c r="S34" i="4" s="1"/>
  <c r="S40" i="23"/>
  <c r="T34" i="4" s="1"/>
  <c r="T40" i="23"/>
  <c r="U34" i="4" s="1"/>
  <c r="U40" i="23"/>
  <c r="V34" i="4" s="1"/>
  <c r="V40" i="23"/>
  <c r="W34" i="4" s="1"/>
  <c r="P41" i="23"/>
  <c r="Q35" i="4" s="1"/>
  <c r="Q41" i="23"/>
  <c r="R35" i="4" s="1"/>
  <c r="R41" i="23"/>
  <c r="S35" i="4" s="1"/>
  <c r="S41" i="23"/>
  <c r="T35" i="4" s="1"/>
  <c r="T41" i="23"/>
  <c r="U35" i="4" s="1"/>
  <c r="U41" i="23"/>
  <c r="V35" i="4" s="1"/>
  <c r="V41" i="23"/>
  <c r="W35" i="4" s="1"/>
  <c r="P42" i="23"/>
  <c r="Q36" i="4" s="1"/>
  <c r="Q42" i="23"/>
  <c r="R36" i="4" s="1"/>
  <c r="R42" i="23"/>
  <c r="S36" i="4" s="1"/>
  <c r="S42" i="23"/>
  <c r="T36" i="4" s="1"/>
  <c r="T42" i="23"/>
  <c r="U36" i="4" s="1"/>
  <c r="U42" i="23"/>
  <c r="V36" i="4" s="1"/>
  <c r="V42" i="23"/>
  <c r="W36" i="4" s="1"/>
  <c r="P43" i="23"/>
  <c r="Q43" i="23"/>
  <c r="R37" i="4" s="1"/>
  <c r="R43" i="23"/>
  <c r="S43" i="23"/>
  <c r="T43" i="23"/>
  <c r="U43" i="23"/>
  <c r="V37" i="4" s="1"/>
  <c r="V43" i="23"/>
  <c r="N28" i="23"/>
  <c r="N29" i="23"/>
  <c r="N23" i="4" s="1"/>
  <c r="N30" i="23"/>
  <c r="N24" i="4" s="1"/>
  <c r="N31" i="23"/>
  <c r="N25" i="4" s="1"/>
  <c r="N32" i="23"/>
  <c r="N26" i="4" s="1"/>
  <c r="N33" i="23"/>
  <c r="N27" i="4" s="1"/>
  <c r="N34" i="23"/>
  <c r="N28" i="4" s="1"/>
  <c r="N35" i="23"/>
  <c r="N29" i="4" s="1"/>
  <c r="K36" i="23"/>
  <c r="K30" i="4" s="1"/>
  <c r="L36" i="23"/>
  <c r="L30" i="4" s="1"/>
  <c r="M36" i="23"/>
  <c r="M30" i="4" s="1"/>
  <c r="N36" i="23"/>
  <c r="N30" i="4" s="1"/>
  <c r="K37" i="23"/>
  <c r="K31" i="4" s="1"/>
  <c r="L37" i="23"/>
  <c r="L31" i="4" s="1"/>
  <c r="M37" i="23"/>
  <c r="M31" i="4" s="1"/>
  <c r="N37" i="23"/>
  <c r="N31" i="4" s="1"/>
  <c r="K38" i="23"/>
  <c r="K32" i="4" s="1"/>
  <c r="L38" i="23"/>
  <c r="L32" i="4" s="1"/>
  <c r="M38" i="23"/>
  <c r="M32" i="4" s="1"/>
  <c r="N38" i="23"/>
  <c r="N32" i="4" s="1"/>
  <c r="K39" i="23"/>
  <c r="K33" i="4" s="1"/>
  <c r="L39" i="23"/>
  <c r="L33" i="4" s="1"/>
  <c r="M39" i="23"/>
  <c r="M33" i="4" s="1"/>
  <c r="N39" i="23"/>
  <c r="N33" i="4" s="1"/>
  <c r="K40" i="23"/>
  <c r="K34" i="4" s="1"/>
  <c r="L40" i="23"/>
  <c r="L34" i="4" s="1"/>
  <c r="M40" i="23"/>
  <c r="M34" i="4" s="1"/>
  <c r="N40" i="23"/>
  <c r="N34" i="4" s="1"/>
  <c r="K41" i="23"/>
  <c r="K35" i="4" s="1"/>
  <c r="L41" i="23"/>
  <c r="L35" i="4" s="1"/>
  <c r="M41" i="23"/>
  <c r="M35" i="4" s="1"/>
  <c r="N41" i="23"/>
  <c r="N35" i="4" s="1"/>
  <c r="K42" i="23"/>
  <c r="K36" i="4" s="1"/>
  <c r="L42" i="23"/>
  <c r="L36" i="4" s="1"/>
  <c r="M42" i="23"/>
  <c r="M36" i="4" s="1"/>
  <c r="N42" i="23"/>
  <c r="N36" i="4" s="1"/>
  <c r="K43" i="23"/>
  <c r="L43" i="23"/>
  <c r="M43" i="23"/>
  <c r="N43" i="23"/>
  <c r="T33" i="1"/>
  <c r="U11" i="4" s="1"/>
  <c r="T34" i="1"/>
  <c r="U12" i="4" s="1"/>
  <c r="T35" i="1"/>
  <c r="U13" i="4" s="1"/>
  <c r="S36" i="1"/>
  <c r="T14" i="4" s="1"/>
  <c r="T36" i="1"/>
  <c r="U14" i="4" s="1"/>
  <c r="U36" i="1"/>
  <c r="V14" i="4" s="1"/>
  <c r="V36" i="1"/>
  <c r="W14" i="4" s="1"/>
  <c r="S37" i="1"/>
  <c r="T15" i="4" s="1"/>
  <c r="T37" i="1"/>
  <c r="U15" i="4" s="1"/>
  <c r="U37" i="1"/>
  <c r="V15" i="4" s="1"/>
  <c r="V37" i="1"/>
  <c r="W15" i="4" s="1"/>
  <c r="S38" i="1"/>
  <c r="T16" i="4" s="1"/>
  <c r="T38" i="1"/>
  <c r="U16" i="4" s="1"/>
  <c r="U38" i="1"/>
  <c r="V16" i="4" s="1"/>
  <c r="V38" i="1"/>
  <c r="W16" i="4" s="1"/>
  <c r="S39" i="1"/>
  <c r="T17" i="4" s="1"/>
  <c r="T39" i="1"/>
  <c r="U17" i="4" s="1"/>
  <c r="U39" i="1"/>
  <c r="V17" i="4" s="1"/>
  <c r="V39" i="1"/>
  <c r="W17" i="4" s="1"/>
  <c r="S40" i="1"/>
  <c r="T18" i="4" s="1"/>
  <c r="T40" i="1"/>
  <c r="U18" i="4" s="1"/>
  <c r="U40" i="1"/>
  <c r="V18" i="4" s="1"/>
  <c r="V40" i="1"/>
  <c r="W18" i="4" s="1"/>
  <c r="S41" i="1"/>
  <c r="T19" i="4" s="1"/>
  <c r="T41" i="1"/>
  <c r="U19" i="4" s="1"/>
  <c r="U41" i="1"/>
  <c r="V19" i="4" s="1"/>
  <c r="V41" i="1"/>
  <c r="W19" i="4" s="1"/>
  <c r="S42" i="1"/>
  <c r="T20" i="4" s="1"/>
  <c r="T42" i="1"/>
  <c r="U20" i="4" s="1"/>
  <c r="U42" i="1"/>
  <c r="V20" i="4" s="1"/>
  <c r="V42" i="1"/>
  <c r="W20" i="4" s="1"/>
  <c r="S43" i="1"/>
  <c r="T21" i="4" s="1"/>
  <c r="T43" i="1"/>
  <c r="U43" i="1"/>
  <c r="V43" i="1"/>
  <c r="N28" i="1"/>
  <c r="N29" i="1"/>
  <c r="N7" i="4" s="1"/>
  <c r="N30" i="1"/>
  <c r="N8" i="4" s="1"/>
  <c r="N31" i="1"/>
  <c r="N9" i="4" s="1"/>
  <c r="N32" i="1"/>
  <c r="N10" i="4" s="1"/>
  <c r="N33" i="1"/>
  <c r="N11" i="4" s="1"/>
  <c r="N34" i="1"/>
  <c r="N12" i="4" s="1"/>
  <c r="N35" i="1"/>
  <c r="N13" i="4" s="1"/>
  <c r="K36" i="1"/>
  <c r="K14" i="4" s="1"/>
  <c r="L36" i="1"/>
  <c r="L14" i="4" s="1"/>
  <c r="M36" i="1"/>
  <c r="M14" i="4" s="1"/>
  <c r="N36" i="1"/>
  <c r="N14" i="4" s="1"/>
  <c r="K37" i="1"/>
  <c r="K15" i="4" s="1"/>
  <c r="L37" i="1"/>
  <c r="L15" i="4" s="1"/>
  <c r="M37" i="1"/>
  <c r="M15" i="4" s="1"/>
  <c r="N37" i="1"/>
  <c r="N15" i="4" s="1"/>
  <c r="K38" i="1"/>
  <c r="K16" i="4" s="1"/>
  <c r="L38" i="1"/>
  <c r="L16" i="4" s="1"/>
  <c r="M38" i="1"/>
  <c r="M16" i="4" s="1"/>
  <c r="N38" i="1"/>
  <c r="N16" i="4" s="1"/>
  <c r="K39" i="1"/>
  <c r="K17" i="4" s="1"/>
  <c r="L39" i="1"/>
  <c r="L17" i="4" s="1"/>
  <c r="M39" i="1"/>
  <c r="M17" i="4" s="1"/>
  <c r="N39" i="1"/>
  <c r="N17" i="4" s="1"/>
  <c r="K40" i="1"/>
  <c r="K18" i="4" s="1"/>
  <c r="L40" i="1"/>
  <c r="L18" i="4" s="1"/>
  <c r="M40" i="1"/>
  <c r="M18" i="4" s="1"/>
  <c r="N40" i="1"/>
  <c r="N18" i="4" s="1"/>
  <c r="K41" i="1"/>
  <c r="K19" i="4" s="1"/>
  <c r="L41" i="1"/>
  <c r="L19" i="4" s="1"/>
  <c r="M41" i="1"/>
  <c r="M19" i="4" s="1"/>
  <c r="N41" i="1"/>
  <c r="N19" i="4" s="1"/>
  <c r="K42" i="1"/>
  <c r="K20" i="4" s="1"/>
  <c r="L42" i="1"/>
  <c r="L20" i="4" s="1"/>
  <c r="M42" i="1"/>
  <c r="M20" i="4" s="1"/>
  <c r="N42" i="1"/>
  <c r="N20" i="4" s="1"/>
  <c r="K43" i="1"/>
  <c r="L43" i="1"/>
  <c r="M43" i="1"/>
  <c r="N43" i="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N24" i="23"/>
  <c r="L24" i="23"/>
  <c r="J24" i="23"/>
  <c r="I24" i="23"/>
  <c r="H24" i="23"/>
  <c r="G24" i="23"/>
  <c r="F24" i="23"/>
  <c r="E24" i="23"/>
  <c r="D24" i="23"/>
  <c r="C24" i="23"/>
  <c r="B24" i="23"/>
  <c r="V23" i="23"/>
  <c r="U23" i="23"/>
  <c r="T23" i="23"/>
  <c r="S23" i="23"/>
  <c r="R23" i="23"/>
  <c r="Q23" i="23"/>
  <c r="P23" i="23"/>
  <c r="O23" i="23"/>
  <c r="B32" i="23" s="1"/>
  <c r="B26" i="4" s="1"/>
  <c r="N23" i="23"/>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D34" i="23"/>
  <c r="D28" i="4" s="1"/>
  <c r="J32" i="23"/>
  <c r="J26" i="4" s="1"/>
  <c r="J42" i="23"/>
  <c r="J36" i="4" s="1"/>
  <c r="J38" i="23"/>
  <c r="J32" i="4" s="1"/>
  <c r="J41" i="23"/>
  <c r="J35" i="4" s="1"/>
  <c r="J37" i="23"/>
  <c r="J31" i="4" s="1"/>
  <c r="J43" i="23"/>
  <c r="J39" i="23"/>
  <c r="J33" i="4" s="1"/>
  <c r="J35" i="23"/>
  <c r="J29" i="4" s="1"/>
  <c r="I28" i="23"/>
  <c r="G33" i="23"/>
  <c r="G27" i="4" s="1"/>
  <c r="I30" i="23"/>
  <c r="I24" i="4" s="1"/>
  <c r="P22" i="23"/>
  <c r="S23" i="1"/>
  <c r="T23" i="1"/>
  <c r="U23" i="1"/>
  <c r="V23" i="1"/>
  <c r="S24" i="1"/>
  <c r="T24" i="1"/>
  <c r="U24" i="1"/>
  <c r="V24" i="1"/>
  <c r="L23" i="1"/>
  <c r="M23" i="1"/>
  <c r="N23" i="1"/>
  <c r="L24" i="1"/>
  <c r="M24" i="1"/>
  <c r="N24" i="1"/>
  <c r="I23" i="1"/>
  <c r="I24" i="1"/>
  <c r="C36" i="1"/>
  <c r="C14" i="4" s="1"/>
  <c r="D36" i="1"/>
  <c r="D14" i="4" s="1"/>
  <c r="E36" i="1"/>
  <c r="E14" i="4" s="1"/>
  <c r="F36" i="1"/>
  <c r="F14" i="4" s="1"/>
  <c r="G36" i="1"/>
  <c r="G14" i="4" s="1"/>
  <c r="I36" i="1"/>
  <c r="I14" i="4" s="1"/>
  <c r="J36" i="1"/>
  <c r="J14" i="4" s="1"/>
  <c r="C37" i="1"/>
  <c r="C15" i="4" s="1"/>
  <c r="D37" i="1"/>
  <c r="D15" i="4" s="1"/>
  <c r="E37" i="1"/>
  <c r="E15" i="4" s="1"/>
  <c r="F37" i="1"/>
  <c r="F15" i="4" s="1"/>
  <c r="G37" i="1"/>
  <c r="G15" i="4" s="1"/>
  <c r="I37" i="1"/>
  <c r="I15" i="4" s="1"/>
  <c r="J37" i="1"/>
  <c r="J15" i="4" s="1"/>
  <c r="C38" i="1"/>
  <c r="C16" i="4" s="1"/>
  <c r="D38" i="1"/>
  <c r="D16" i="4" s="1"/>
  <c r="E38" i="1"/>
  <c r="E16" i="4" s="1"/>
  <c r="F38" i="1"/>
  <c r="F16" i="4" s="1"/>
  <c r="G38" i="1"/>
  <c r="G16" i="4" s="1"/>
  <c r="I38" i="1"/>
  <c r="I16" i="4" s="1"/>
  <c r="J38" i="1"/>
  <c r="J16" i="4" s="1"/>
  <c r="C39" i="1"/>
  <c r="C17" i="4" s="1"/>
  <c r="D39" i="1"/>
  <c r="E39" i="1"/>
  <c r="E17" i="4" s="1"/>
  <c r="F39" i="1"/>
  <c r="F17" i="4" s="1"/>
  <c r="G39" i="1"/>
  <c r="G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R14" i="4" s="1"/>
  <c r="R36" i="1"/>
  <c r="S14" i="4" s="1"/>
  <c r="Q37" i="1"/>
  <c r="R15" i="4" s="1"/>
  <c r="P38" i="1"/>
  <c r="Q16" i="4" s="1"/>
  <c r="Q38" i="1"/>
  <c r="R16" i="4" s="1"/>
  <c r="P39" i="1"/>
  <c r="Q17" i="4" s="1"/>
  <c r="Q39" i="1"/>
  <c r="R17" i="4" s="1"/>
  <c r="R39" i="1"/>
  <c r="S17" i="4" s="1"/>
  <c r="P40" i="1"/>
  <c r="Q18" i="4" s="1"/>
  <c r="Q40" i="1"/>
  <c r="R18" i="4" s="1"/>
  <c r="R40" i="1"/>
  <c r="S18" i="4" s="1"/>
  <c r="P41" i="1"/>
  <c r="Q19" i="4" s="1"/>
  <c r="Q41" i="1"/>
  <c r="R19" i="4" s="1"/>
  <c r="P42" i="1"/>
  <c r="Q20" i="4" s="1"/>
  <c r="Q42" i="1"/>
  <c r="R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H30" i="1"/>
  <c r="H8" i="4" s="1"/>
  <c r="H34" i="1"/>
  <c r="H12" i="4" s="1"/>
  <c r="E35" i="1"/>
  <c r="E13" i="4" s="1"/>
  <c r="H31" i="1"/>
  <c r="H35" i="1"/>
  <c r="H13" i="4" s="1"/>
  <c r="D33" i="1"/>
  <c r="D11" i="4" s="1"/>
  <c r="H33" i="1"/>
  <c r="H11" i="4" s="1"/>
  <c r="I34" i="1"/>
  <c r="I12" i="4" s="1"/>
  <c r="I29" i="1"/>
  <c r="H32" i="1"/>
  <c r="H10" i="4" s="1"/>
  <c r="E33" i="1"/>
  <c r="E11" i="4" s="1"/>
  <c r="I33" i="1"/>
  <c r="I11" i="4" s="1"/>
  <c r="F34" i="1"/>
  <c r="F12" i="4" s="1"/>
  <c r="F29" i="1"/>
  <c r="F7" i="4" s="1"/>
  <c r="F33" i="1"/>
  <c r="F11" i="4" s="1"/>
  <c r="G34" i="1"/>
  <c r="G12" i="4" s="1"/>
  <c r="O39" i="1"/>
  <c r="P17" i="4" s="1"/>
  <c r="O43" i="1"/>
  <c r="Q31" i="1"/>
  <c r="R9" i="4" s="1"/>
  <c r="O42" i="1"/>
  <c r="P20" i="4" s="1"/>
  <c r="O40" i="1"/>
  <c r="P18" i="4" s="1"/>
  <c r="P28" i="1"/>
  <c r="P30" i="1"/>
  <c r="Q8" i="4" s="1"/>
  <c r="P33" i="1"/>
  <c r="Q11" i="4" s="1"/>
  <c r="P34" i="1"/>
  <c r="Q12" i="4" s="1"/>
  <c r="B33" i="1"/>
  <c r="B11" i="4" s="1"/>
  <c r="Q33" i="1"/>
  <c r="R11" i="4" s="1"/>
  <c r="Q35" i="1"/>
  <c r="R13" i="4" s="1"/>
  <c r="O38" i="1"/>
  <c r="P16"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P56" i="23"/>
  <c r="G56" i="23"/>
  <c r="V56" i="1"/>
  <c r="T56" i="23"/>
  <c r="S56" i="23"/>
  <c r="N56" i="23"/>
  <c r="J56" i="23"/>
  <c r="Q56" i="23"/>
  <c r="C56" i="23"/>
  <c r="R56" i="23"/>
  <c r="M56" i="1"/>
  <c r="S56" i="1"/>
  <c r="J56" i="1"/>
  <c r="F56" i="23"/>
  <c r="E56" i="23"/>
  <c r="L56" i="1"/>
  <c r="U56" i="23"/>
  <c r="I56" i="23"/>
  <c r="M56" i="23"/>
  <c r="V56" i="23"/>
  <c r="L56" i="23"/>
  <c r="K56" i="1"/>
  <c r="K56" i="23"/>
  <c r="H56" i="23"/>
  <c r="D56" i="23"/>
  <c r="U56" i="1"/>
  <c r="N56" i="1"/>
  <c r="T56" i="1"/>
  <c r="C33" i="1" l="1"/>
  <c r="C11" i="4" s="1"/>
  <c r="I30" i="1"/>
  <c r="I8" i="4" s="1"/>
  <c r="Q28" i="1"/>
  <c r="O32" i="1"/>
  <c r="P10" i="4" s="1"/>
  <c r="G30" i="1"/>
  <c r="G8" i="4" s="1"/>
  <c r="F30" i="1"/>
  <c r="E30" i="1"/>
  <c r="E8" i="4" s="1"/>
  <c r="F32" i="1"/>
  <c r="F10" i="4" s="1"/>
  <c r="M34" i="1"/>
  <c r="M12" i="4" s="1"/>
  <c r="O41" i="1"/>
  <c r="P19" i="4" s="1"/>
  <c r="Q34" i="1"/>
  <c r="R12" i="4" s="1"/>
  <c r="G35" i="1"/>
  <c r="G13" i="4" s="1"/>
  <c r="E29" i="1"/>
  <c r="D35" i="1"/>
  <c r="D13" i="4" s="1"/>
  <c r="G29" i="1"/>
  <c r="J35" i="1"/>
  <c r="J13" i="4" s="1"/>
  <c r="C35" i="1"/>
  <c r="C13" i="4" s="1"/>
  <c r="F35" i="1"/>
  <c r="F13" i="4" s="1"/>
  <c r="E32" i="1"/>
  <c r="E10" i="4" s="1"/>
  <c r="U30" i="1"/>
  <c r="V8" i="4" s="1"/>
  <c r="U28" i="1"/>
  <c r="V6" i="4" s="1"/>
  <c r="O36" i="23"/>
  <c r="P30" i="4" s="1"/>
  <c r="S28" i="23"/>
  <c r="T22" i="4" s="1"/>
  <c r="L28" i="1"/>
  <c r="U33" i="23"/>
  <c r="V27" i="4" s="1"/>
  <c r="U29" i="23"/>
  <c r="V23" i="4" s="1"/>
  <c r="U35" i="23"/>
  <c r="V29" i="4" s="1"/>
  <c r="Q33" i="23"/>
  <c r="R27" i="4" s="1"/>
  <c r="S32" i="23"/>
  <c r="T26" i="4" s="1"/>
  <c r="U31" i="23"/>
  <c r="V25" i="4" s="1"/>
  <c r="Q29" i="23"/>
  <c r="R23" i="4" s="1"/>
  <c r="O42" i="23"/>
  <c r="P36" i="4" s="1"/>
  <c r="Q35" i="23"/>
  <c r="R29" i="4" s="1"/>
  <c r="S34" i="23"/>
  <c r="T28" i="4" s="1"/>
  <c r="Q31" i="23"/>
  <c r="R25" i="4" s="1"/>
  <c r="S30" i="23"/>
  <c r="T24" i="4" s="1"/>
  <c r="O41" i="23"/>
  <c r="P35" i="4" s="1"/>
  <c r="O35" i="23"/>
  <c r="P29" i="4" s="1"/>
  <c r="T35" i="23"/>
  <c r="U29" i="4" s="1"/>
  <c r="P35" i="23"/>
  <c r="Q29" i="4" s="1"/>
  <c r="V34" i="23"/>
  <c r="W28" i="4" s="1"/>
  <c r="R34" i="23"/>
  <c r="S28" i="4" s="1"/>
  <c r="T33" i="23"/>
  <c r="P33" i="23"/>
  <c r="Q27" i="4" s="1"/>
  <c r="V32" i="23"/>
  <c r="W26" i="4" s="1"/>
  <c r="R32" i="23"/>
  <c r="S26" i="4" s="1"/>
  <c r="T31" i="23"/>
  <c r="U25" i="4" s="1"/>
  <c r="P31" i="23"/>
  <c r="Q25" i="4" s="1"/>
  <c r="V30" i="23"/>
  <c r="W24" i="4" s="1"/>
  <c r="R30" i="23"/>
  <c r="S24" i="4" s="1"/>
  <c r="T29" i="23"/>
  <c r="U23" i="4" s="1"/>
  <c r="P29" i="23"/>
  <c r="Q23" i="4" s="1"/>
  <c r="V28" i="23"/>
  <c r="R28" i="23"/>
  <c r="G32" i="23"/>
  <c r="G26" i="4" s="1"/>
  <c r="C30" i="23"/>
  <c r="C24" i="4" s="1"/>
  <c r="F30" i="23"/>
  <c r="F24" i="4" s="1"/>
  <c r="E29" i="23"/>
  <c r="E23" i="4" s="1"/>
  <c r="O40" i="23"/>
  <c r="P34" i="4" s="1"/>
  <c r="O33" i="23"/>
  <c r="P27" i="4" s="1"/>
  <c r="S35" i="23"/>
  <c r="T29" i="4" s="1"/>
  <c r="U34" i="23"/>
  <c r="V28" i="4" s="1"/>
  <c r="Q34" i="23"/>
  <c r="R28" i="4" s="1"/>
  <c r="S33" i="23"/>
  <c r="T27" i="4" s="1"/>
  <c r="U32" i="23"/>
  <c r="V26" i="4" s="1"/>
  <c r="Q32" i="23"/>
  <c r="R26" i="4" s="1"/>
  <c r="S31" i="23"/>
  <c r="T25" i="4" s="1"/>
  <c r="U30" i="23"/>
  <c r="V24" i="4" s="1"/>
  <c r="Q30" i="23"/>
  <c r="R24" i="4" s="1"/>
  <c r="S29" i="23"/>
  <c r="T23" i="4" s="1"/>
  <c r="U28" i="23"/>
  <c r="V22" i="4" s="1"/>
  <c r="Q28" i="23"/>
  <c r="R22" i="4" s="1"/>
  <c r="H28" i="23"/>
  <c r="E32" i="23"/>
  <c r="E26" i="4" s="1"/>
  <c r="E34" i="23"/>
  <c r="E28" i="4" s="1"/>
  <c r="H32" i="23"/>
  <c r="H26" i="4" s="1"/>
  <c r="H30" i="23"/>
  <c r="H24" i="4" s="1"/>
  <c r="O43" i="23"/>
  <c r="O39" i="23"/>
  <c r="P33" i="4" s="1"/>
  <c r="O29" i="23"/>
  <c r="P23" i="4" s="1"/>
  <c r="V35" i="23"/>
  <c r="W29" i="4" s="1"/>
  <c r="R35" i="23"/>
  <c r="S29" i="4" s="1"/>
  <c r="T34" i="23"/>
  <c r="U28" i="4" s="1"/>
  <c r="P34" i="23"/>
  <c r="Q28" i="4" s="1"/>
  <c r="V33" i="23"/>
  <c r="W27" i="4" s="1"/>
  <c r="R33" i="23"/>
  <c r="S27" i="4" s="1"/>
  <c r="T32" i="23"/>
  <c r="U26" i="4" s="1"/>
  <c r="P32" i="23"/>
  <c r="Q26" i="4" s="1"/>
  <c r="V31" i="23"/>
  <c r="W25" i="4" s="1"/>
  <c r="R31" i="23"/>
  <c r="S25" i="4" s="1"/>
  <c r="T30" i="23"/>
  <c r="U24" i="4" s="1"/>
  <c r="P30" i="23"/>
  <c r="Q24" i="4" s="1"/>
  <c r="V29" i="23"/>
  <c r="W23" i="4" s="1"/>
  <c r="R29" i="23"/>
  <c r="S23" i="4" s="1"/>
  <c r="T28" i="23"/>
  <c r="U22" i="4" s="1"/>
  <c r="P28" i="23"/>
  <c r="D31" i="23"/>
  <c r="D25" i="4" s="1"/>
  <c r="G28" i="23"/>
  <c r="G29" i="23"/>
  <c r="G23" i="4" s="1"/>
  <c r="E35" i="23"/>
  <c r="E29" i="4" s="1"/>
  <c r="G30" i="23"/>
  <c r="G24" i="4" s="1"/>
  <c r="I32" i="23"/>
  <c r="I26" i="4" s="1"/>
  <c r="C34" i="23"/>
  <c r="C28" i="4" s="1"/>
  <c r="I34" i="23"/>
  <c r="I28" i="4" s="1"/>
  <c r="J30" i="23"/>
  <c r="J24" i="4" s="1"/>
  <c r="I29" i="23"/>
  <c r="I23" i="4" s="1"/>
  <c r="C31" i="23"/>
  <c r="C25" i="4" s="1"/>
  <c r="H34" i="23"/>
  <c r="H28" i="4" s="1"/>
  <c r="F29" i="23"/>
  <c r="F23" i="4" s="1"/>
  <c r="K35" i="23"/>
  <c r="K29" i="4" s="1"/>
  <c r="M33" i="23"/>
  <c r="M27" i="4" s="1"/>
  <c r="M31" i="23"/>
  <c r="M25" i="4" s="1"/>
  <c r="K30" i="23"/>
  <c r="K24" i="4" s="1"/>
  <c r="H31" i="23"/>
  <c r="H25" i="4" s="1"/>
  <c r="J33" i="23"/>
  <c r="J27" i="4" s="1"/>
  <c r="I35" i="23"/>
  <c r="I29" i="4" s="1"/>
  <c r="H29" i="23"/>
  <c r="H23" i="4" s="1"/>
  <c r="F31" i="23"/>
  <c r="F25" i="4" s="1"/>
  <c r="D33" i="23"/>
  <c r="D27" i="4" s="1"/>
  <c r="G34" i="23"/>
  <c r="G28" i="4" s="1"/>
  <c r="H35" i="23"/>
  <c r="H29" i="4" s="1"/>
  <c r="D28" i="23"/>
  <c r="E31" i="23"/>
  <c r="E25" i="4" s="1"/>
  <c r="F34" i="23"/>
  <c r="F28" i="4" s="1"/>
  <c r="F28" i="23"/>
  <c r="F22" i="4" s="1"/>
  <c r="G31" i="23"/>
  <c r="G25" i="4" s="1"/>
  <c r="E33" i="23"/>
  <c r="E27" i="4" s="1"/>
  <c r="C35" i="23"/>
  <c r="C29" i="4" s="1"/>
  <c r="J29" i="23"/>
  <c r="J23" i="4" s="1"/>
  <c r="E30" i="23"/>
  <c r="E24" i="4" s="1"/>
  <c r="M34" i="23"/>
  <c r="M28" i="4" s="1"/>
  <c r="L33" i="23"/>
  <c r="L27" i="4" s="1"/>
  <c r="K32" i="23"/>
  <c r="K26" i="4" s="1"/>
  <c r="L31" i="23"/>
  <c r="L25" i="4" s="1"/>
  <c r="M29" i="23"/>
  <c r="M23" i="4" s="1"/>
  <c r="M28" i="23"/>
  <c r="F33" i="23"/>
  <c r="F27" i="4" s="1"/>
  <c r="D29" i="23"/>
  <c r="D23" i="4" s="1"/>
  <c r="C33" i="23"/>
  <c r="C27" i="4" s="1"/>
  <c r="L32" i="23"/>
  <c r="L26" i="4" s="1"/>
  <c r="D35" i="23"/>
  <c r="D29" i="4" s="1"/>
  <c r="D32" i="23"/>
  <c r="D26" i="4" s="1"/>
  <c r="E28" i="23"/>
  <c r="J31" i="23"/>
  <c r="J25" i="4" s="1"/>
  <c r="H33" i="23"/>
  <c r="H27" i="4" s="1"/>
  <c r="F35" i="23"/>
  <c r="F29" i="4" s="1"/>
  <c r="C32" i="23"/>
  <c r="C26" i="4" s="1"/>
  <c r="C29" i="23"/>
  <c r="C23" i="4" s="1"/>
  <c r="I31" i="23"/>
  <c r="I25" i="4" s="1"/>
  <c r="J34" i="23"/>
  <c r="J28" i="4" s="1"/>
  <c r="J28" i="23"/>
  <c r="J22" i="4" s="1"/>
  <c r="D30" i="23"/>
  <c r="D24" i="4" s="1"/>
  <c r="F32" i="23"/>
  <c r="F26" i="4" s="1"/>
  <c r="I33" i="23"/>
  <c r="I27" i="4" s="1"/>
  <c r="G35" i="23"/>
  <c r="G29" i="4" s="1"/>
  <c r="C28" i="23"/>
  <c r="C22" i="4" s="1"/>
  <c r="M35" i="23"/>
  <c r="M29" i="4" s="1"/>
  <c r="L34" i="23"/>
  <c r="L28" i="4" s="1"/>
  <c r="K33" i="23"/>
  <c r="K27" i="4" s="1"/>
  <c r="K31" i="23"/>
  <c r="K25" i="4" s="1"/>
  <c r="M30" i="23"/>
  <c r="M24" i="4" s="1"/>
  <c r="L29" i="23"/>
  <c r="L23" i="4" s="1"/>
  <c r="L28" i="23"/>
  <c r="L22" i="4" s="1"/>
  <c r="L35" i="23"/>
  <c r="L29" i="4" s="1"/>
  <c r="K34" i="23"/>
  <c r="K28" i="4" s="1"/>
  <c r="M32" i="23"/>
  <c r="M26" i="4" s="1"/>
  <c r="L30" i="23"/>
  <c r="L24" i="4" s="1"/>
  <c r="K29" i="23"/>
  <c r="K23" i="4" s="1"/>
  <c r="K28" i="23"/>
  <c r="K22" i="4" s="1"/>
  <c r="L34" i="1"/>
  <c r="L12" i="4" s="1"/>
  <c r="L32" i="1"/>
  <c r="L10" i="4" s="1"/>
  <c r="M29" i="1"/>
  <c r="M7" i="4" s="1"/>
  <c r="U33" i="1"/>
  <c r="V11" i="4" s="1"/>
  <c r="T28" i="1"/>
  <c r="K33" i="1"/>
  <c r="K11" i="4" s="1"/>
  <c r="L29" i="1"/>
  <c r="L7" i="4" s="1"/>
  <c r="U32" i="1"/>
  <c r="V10" i="4" s="1"/>
  <c r="U35" i="1"/>
  <c r="V13" i="4" s="1"/>
  <c r="U29" i="1"/>
  <c r="V7" i="4" s="1"/>
  <c r="J31" i="1"/>
  <c r="J9" i="4" s="1"/>
  <c r="M35" i="1"/>
  <c r="M13" i="4" s="1"/>
  <c r="M33" i="1"/>
  <c r="M11" i="4" s="1"/>
  <c r="M31" i="1"/>
  <c r="M9" i="4" s="1"/>
  <c r="M30" i="1"/>
  <c r="M8" i="4" s="1"/>
  <c r="S35" i="1"/>
  <c r="T13" i="4" s="1"/>
  <c r="V34" i="1"/>
  <c r="W12" i="4" s="1"/>
  <c r="T32" i="1"/>
  <c r="U10" i="4" s="1"/>
  <c r="U31" i="1"/>
  <c r="V9" i="4" s="1"/>
  <c r="R33" i="1"/>
  <c r="S11" i="4" s="1"/>
  <c r="H39" i="1"/>
  <c r="H17" i="4" s="1"/>
  <c r="H38" i="1"/>
  <c r="H16" i="4" s="1"/>
  <c r="H37" i="1"/>
  <c r="H15" i="4" s="1"/>
  <c r="H36" i="1"/>
  <c r="H14" i="4" s="1"/>
  <c r="L35" i="1"/>
  <c r="L13" i="4" s="1"/>
  <c r="L33" i="1"/>
  <c r="L11" i="4" s="1"/>
  <c r="M32" i="1"/>
  <c r="M10" i="4" s="1"/>
  <c r="L31" i="1"/>
  <c r="L9" i="4" s="1"/>
  <c r="L30" i="1"/>
  <c r="L8" i="4" s="1"/>
  <c r="M28" i="1"/>
  <c r="M6" i="4" s="1"/>
  <c r="U34" i="1"/>
  <c r="V12" i="4" s="1"/>
  <c r="S31" i="1"/>
  <c r="T9" i="4" s="1"/>
  <c r="V30" i="1"/>
  <c r="W8" i="4" s="1"/>
  <c r="J34" i="1"/>
  <c r="J12" i="4" s="1"/>
  <c r="J30" i="1"/>
  <c r="J8" i="4" s="1"/>
  <c r="K34" i="1"/>
  <c r="K12" i="4" s="1"/>
  <c r="K32" i="1"/>
  <c r="K10" i="4" s="1"/>
  <c r="K31" i="1"/>
  <c r="K9" i="4" s="1"/>
  <c r="K29" i="1"/>
  <c r="K7" i="4" s="1"/>
  <c r="K28" i="1"/>
  <c r="V35" i="1"/>
  <c r="W13" i="4" s="1"/>
  <c r="S32" i="1"/>
  <c r="T10" i="4" s="1"/>
  <c r="V31" i="1"/>
  <c r="W9" i="4" s="1"/>
  <c r="T29" i="1"/>
  <c r="U7" i="4" s="1"/>
  <c r="S28" i="1"/>
  <c r="T6" i="4" s="1"/>
  <c r="J33" i="1"/>
  <c r="J11" i="4" s="1"/>
  <c r="J29" i="1"/>
  <c r="J7" i="4" s="1"/>
  <c r="J28" i="1"/>
  <c r="J6" i="4" s="1"/>
  <c r="K35" i="1"/>
  <c r="K13" i="4" s="1"/>
  <c r="K30" i="1"/>
  <c r="K8" i="4" s="1"/>
  <c r="S33" i="1"/>
  <c r="T11" i="4" s="1"/>
  <c r="V32" i="1"/>
  <c r="W10" i="4" s="1"/>
  <c r="T30" i="1"/>
  <c r="U8" i="4" s="1"/>
  <c r="S29" i="1"/>
  <c r="T7" i="4" s="1"/>
  <c r="V28" i="1"/>
  <c r="W6" i="4" s="1"/>
  <c r="J32" i="1"/>
  <c r="J10" i="4" s="1"/>
  <c r="S34" i="1"/>
  <c r="T12" i="4" s="1"/>
  <c r="V33" i="1"/>
  <c r="W11" i="4" s="1"/>
  <c r="T31" i="1"/>
  <c r="U9" i="4" s="1"/>
  <c r="S30" i="1"/>
  <c r="T8" i="4" s="1"/>
  <c r="V29" i="1"/>
  <c r="W7" i="4" s="1"/>
  <c r="D22" i="4"/>
  <c r="E22" i="4"/>
  <c r="H22" i="4"/>
  <c r="I22" i="4"/>
  <c r="G22" i="4"/>
  <c r="N22" i="4"/>
  <c r="U6" i="4"/>
  <c r="R6" i="4"/>
  <c r="L6" i="4"/>
  <c r="N6" i="4"/>
  <c r="Q6" i="4"/>
  <c r="T22" i="33"/>
  <c r="Q22" i="1"/>
  <c r="R35" i="1"/>
  <c r="S13" i="4" s="1"/>
  <c r="G32" i="1"/>
  <c r="G10" i="4" s="1"/>
  <c r="H29" i="1"/>
  <c r="E28" i="1"/>
  <c r="D34" i="1"/>
  <c r="D12" i="4" s="1"/>
  <c r="I31" i="1"/>
  <c r="I9" i="4" s="1"/>
  <c r="F28" i="1"/>
  <c r="R41" i="1"/>
  <c r="S19" i="4" s="1"/>
  <c r="R37" i="1"/>
  <c r="S15" i="4" s="1"/>
  <c r="Q29" i="1"/>
  <c r="O37" i="1"/>
  <c r="P15" i="4" s="1"/>
  <c r="P29" i="1"/>
  <c r="B34" i="1"/>
  <c r="B12" i="4" s="1"/>
  <c r="B35" i="1"/>
  <c r="B13" i="4" s="1"/>
  <c r="C34" i="1"/>
  <c r="C12" i="4" s="1"/>
  <c r="I28" i="1"/>
  <c r="G31" i="1"/>
  <c r="G9" i="4" s="1"/>
  <c r="H28" i="1"/>
  <c r="E34" i="1"/>
  <c r="F31" i="1"/>
  <c r="G28" i="1"/>
  <c r="I32" i="1"/>
  <c r="I10" i="4" s="1"/>
  <c r="I35" i="1"/>
  <c r="G33" i="1"/>
  <c r="E31" i="1"/>
  <c r="E9" i="4" s="1"/>
  <c r="R42" i="1"/>
  <c r="S20" i="4" s="1"/>
  <c r="R38" i="1"/>
  <c r="S16" i="4" s="1"/>
  <c r="R34" i="1"/>
  <c r="S12" i="4" s="1"/>
  <c r="L74" i="4"/>
  <c r="L62" i="4"/>
  <c r="E55" i="4"/>
  <c r="E62" i="4"/>
  <c r="Q21" i="4"/>
  <c r="I52" i="23"/>
  <c r="W37" i="4"/>
  <c r="S37" i="4"/>
  <c r="K37" i="4"/>
  <c r="I45" i="23"/>
  <c r="P21" i="4"/>
  <c r="S21" i="4"/>
  <c r="R21" i="4"/>
  <c r="C27" i="23"/>
  <c r="C52" i="23" s="1"/>
  <c r="I27" i="23"/>
  <c r="W21" i="4"/>
  <c r="U21" i="4"/>
  <c r="B21" i="4"/>
  <c r="O37" i="23"/>
  <c r="P31" i="4" s="1"/>
  <c r="O34" i="23"/>
  <c r="P28" i="4" s="1"/>
  <c r="O38" i="23"/>
  <c r="U37" i="4"/>
  <c r="B38" i="23"/>
  <c r="F37" i="4"/>
  <c r="N37" i="4"/>
  <c r="L37" i="4"/>
  <c r="Q37" i="4"/>
  <c r="T37" i="4"/>
  <c r="J37" i="4"/>
  <c r="H37" i="4"/>
  <c r="M37" i="4"/>
  <c r="P37" i="4"/>
  <c r="R4" i="4"/>
  <c r="R62" i="4" s="1"/>
  <c r="N4" i="23"/>
  <c r="N22" i="23" s="1"/>
  <c r="P27" i="23"/>
  <c r="P52" i="23" s="1"/>
  <c r="J4" i="1"/>
  <c r="J4" i="4" s="1"/>
  <c r="J4" i="23"/>
  <c r="J45" i="23" s="1"/>
  <c r="M4" i="23"/>
  <c r="M27" i="23" s="1"/>
  <c r="M4" i="1"/>
  <c r="M4" i="4" s="1"/>
  <c r="L45" i="1"/>
  <c r="L27" i="1"/>
  <c r="L52" i="1" s="1"/>
  <c r="O32" i="23"/>
  <c r="O31" i="23"/>
  <c r="P25" i="4" s="1"/>
  <c r="O30" i="23"/>
  <c r="P24" i="4" s="1"/>
  <c r="B33" i="23"/>
  <c r="B27" i="4" s="1"/>
  <c r="R46" i="23"/>
  <c r="R53" i="23" s="1"/>
  <c r="B28" i="23"/>
  <c r="B30" i="23"/>
  <c r="B24" i="4" s="1"/>
  <c r="B34" i="23"/>
  <c r="B28" i="4" s="1"/>
  <c r="B35" i="23"/>
  <c r="O28" i="23"/>
  <c r="B31" i="23"/>
  <c r="B25" i="4" s="1"/>
  <c r="B29" i="23"/>
  <c r="B23" i="4" s="1"/>
  <c r="Q32" i="1"/>
  <c r="P32" i="1"/>
  <c r="Q10" i="4" s="1"/>
  <c r="D4" i="4"/>
  <c r="O29" i="1"/>
  <c r="P7" i="4" s="1"/>
  <c r="B27" i="23"/>
  <c r="B52" i="23" s="1"/>
  <c r="K45" i="23"/>
  <c r="E27" i="23"/>
  <c r="E52" i="23" s="1"/>
  <c r="Q30" i="1"/>
  <c r="R8" i="4" s="1"/>
  <c r="B29" i="1"/>
  <c r="B7" i="4" s="1"/>
  <c r="P35" i="1"/>
  <c r="Q13" i="4" s="1"/>
  <c r="P31" i="1"/>
  <c r="Q9" i="4" s="1"/>
  <c r="H22" i="23"/>
  <c r="N47" i="23"/>
  <c r="N48" i="23" s="1"/>
  <c r="N54" i="23" s="1"/>
  <c r="V47" i="23"/>
  <c r="V48" i="23" s="1"/>
  <c r="V54" i="23" s="1"/>
  <c r="R47" i="23"/>
  <c r="R48" i="23" s="1"/>
  <c r="R54" i="23" s="1"/>
  <c r="P37" i="1"/>
  <c r="F22" i="23"/>
  <c r="O36" i="1"/>
  <c r="H45" i="23"/>
  <c r="R31" i="1"/>
  <c r="S9" i="4" s="1"/>
  <c r="S22" i="4"/>
  <c r="W22" i="4"/>
  <c r="N46" i="23"/>
  <c r="N53" i="23" s="1"/>
  <c r="U27" i="4"/>
  <c r="J57" i="1"/>
  <c r="E57" i="23"/>
  <c r="M57" i="1"/>
  <c r="V57" i="1"/>
  <c r="N57" i="23"/>
  <c r="U57" i="23"/>
  <c r="Q57" i="23"/>
  <c r="J57" i="23"/>
  <c r="H57" i="23"/>
  <c r="L57" i="1"/>
  <c r="U57" i="1"/>
  <c r="M57" i="23"/>
  <c r="T57" i="23"/>
  <c r="P57" i="23"/>
  <c r="C57" i="23"/>
  <c r="F57" i="23"/>
  <c r="I57" i="23"/>
  <c r="K57" i="1"/>
  <c r="T57" i="1"/>
  <c r="L57" i="23"/>
  <c r="S57" i="23"/>
  <c r="D57" i="23"/>
  <c r="G57" i="23"/>
  <c r="N57" i="1"/>
  <c r="S57" i="1"/>
  <c r="K57" i="23"/>
  <c r="V57" i="23"/>
  <c r="R57" i="23"/>
  <c r="J21" i="4"/>
  <c r="E37" i="4"/>
  <c r="M21" i="4"/>
  <c r="R28" i="1"/>
  <c r="R30" i="1"/>
  <c r="S8" i="4" s="1"/>
  <c r="L21" i="4"/>
  <c r="V21" i="4"/>
  <c r="R29" i="1"/>
  <c r="S7" i="4" s="1"/>
  <c r="D21" i="4"/>
  <c r="C37" i="4"/>
  <c r="I37" i="4"/>
  <c r="K21" i="4"/>
  <c r="P36" i="1"/>
  <c r="Q14" i="4" s="1"/>
  <c r="R32" i="1"/>
  <c r="C21" i="4"/>
  <c r="B37" i="4"/>
  <c r="D37" i="4"/>
  <c r="G37" i="4"/>
  <c r="N21" i="4"/>
  <c r="O34" i="1"/>
  <c r="P12" i="4" s="1"/>
  <c r="O35" i="1"/>
  <c r="P13" i="4" s="1"/>
  <c r="O33" i="1"/>
  <c r="P11" i="4" s="1"/>
  <c r="O30" i="1"/>
  <c r="P8" i="4" s="1"/>
  <c r="B31" i="1"/>
  <c r="B9" i="4" s="1"/>
  <c r="O31" i="1"/>
  <c r="P9" i="4" s="1"/>
  <c r="B32" i="1"/>
  <c r="D28" i="1"/>
  <c r="C32" i="1"/>
  <c r="B28" i="1"/>
  <c r="N47" i="1"/>
  <c r="N48" i="1" s="1"/>
  <c r="N54" i="1" s="1"/>
  <c r="D32" i="1"/>
  <c r="B30" i="1"/>
  <c r="B8" i="4" s="1"/>
  <c r="C28" i="1"/>
  <c r="D31" i="1"/>
  <c r="D9" i="4" s="1"/>
  <c r="N46" i="1"/>
  <c r="N53" i="1" s="1"/>
  <c r="O28" i="1"/>
  <c r="C30" i="1"/>
  <c r="C8" i="4" s="1"/>
  <c r="C31" i="1"/>
  <c r="C9" i="4" s="1"/>
  <c r="D29" i="1"/>
  <c r="D7" i="4" s="1"/>
  <c r="D30" i="1"/>
  <c r="G21" i="4"/>
  <c r="I21" i="4"/>
  <c r="F21" i="4"/>
  <c r="H21" i="4"/>
  <c r="E21" i="4"/>
  <c r="L52" i="23"/>
  <c r="E7" i="4"/>
  <c r="D17" i="4"/>
  <c r="F8" i="4"/>
  <c r="H9" i="4"/>
  <c r="G7" i="4"/>
  <c r="C4" i="4"/>
  <c r="G27" i="23"/>
  <c r="G52" i="23" s="1"/>
  <c r="K27" i="23"/>
  <c r="L22" i="1"/>
  <c r="I7" i="4"/>
  <c r="D27" i="1"/>
  <c r="D52" i="1" s="1"/>
  <c r="D45" i="1"/>
  <c r="D22" i="23"/>
  <c r="D45" i="23"/>
  <c r="D27" i="23"/>
  <c r="D52" i="23" s="1"/>
  <c r="V46" i="23"/>
  <c r="V53" i="23" s="1"/>
  <c r="F45" i="23"/>
  <c r="E22" i="23"/>
  <c r="G22" i="23"/>
  <c r="K22" i="23"/>
  <c r="L45" i="23"/>
  <c r="O22" i="23"/>
  <c r="Q22" i="23"/>
  <c r="B22" i="23"/>
  <c r="C22" i="23"/>
  <c r="L22" i="23"/>
  <c r="Q27" i="23"/>
  <c r="Q52" i="23" s="1"/>
  <c r="O27" i="23"/>
  <c r="O52" i="23" s="1"/>
  <c r="E45" i="1"/>
  <c r="B27" i="1"/>
  <c r="B52" i="1" s="1"/>
  <c r="K27" i="1"/>
  <c r="K52" i="1" s="1"/>
  <c r="F4" i="4"/>
  <c r="N4" i="4"/>
  <c r="G22" i="1"/>
  <c r="N27" i="1"/>
  <c r="N52" i="1" s="1"/>
  <c r="F45" i="1"/>
  <c r="C22" i="1"/>
  <c r="B22" i="1"/>
  <c r="G45" i="1"/>
  <c r="E27" i="1"/>
  <c r="E52" i="1" s="1"/>
  <c r="E22" i="1"/>
  <c r="I22" i="1"/>
  <c r="I27" i="1"/>
  <c r="P27" i="1"/>
  <c r="P52" i="1" s="1"/>
  <c r="H4" i="4"/>
  <c r="F22" i="1"/>
  <c r="I4" i="4"/>
  <c r="N22" i="1"/>
  <c r="G4" i="4"/>
  <c r="C27" i="1"/>
  <c r="C52" i="1" s="1"/>
  <c r="B45" i="1"/>
  <c r="K74" i="4"/>
  <c r="K22" i="1"/>
  <c r="H22" i="1"/>
  <c r="P4" i="4"/>
  <c r="H45" i="1"/>
  <c r="O45" i="1"/>
  <c r="Q4" i="4"/>
  <c r="K45" i="1"/>
  <c r="P45" i="1"/>
  <c r="O27" i="1"/>
  <c r="O52" i="1" s="1"/>
  <c r="I52" i="1"/>
  <c r="K55" i="4"/>
  <c r="B55" i="4"/>
  <c r="L55" i="4"/>
  <c r="E74" i="4"/>
  <c r="B74" i="4"/>
  <c r="Q56" i="1"/>
  <c r="C56" i="1"/>
  <c r="P56" i="1"/>
  <c r="E56" i="1"/>
  <c r="D56" i="1"/>
  <c r="G56" i="1"/>
  <c r="B56" i="1"/>
  <c r="I56" i="1"/>
  <c r="H56" i="1"/>
  <c r="B56" i="23"/>
  <c r="F56" i="1"/>
  <c r="O56" i="1"/>
  <c r="R56" i="1"/>
  <c r="O56" i="23"/>
  <c r="U46" i="1" l="1"/>
  <c r="U53" i="1" s="1"/>
  <c r="T46" i="23"/>
  <c r="T53" i="23" s="1"/>
  <c r="T47" i="23"/>
  <c r="T48" i="23" s="1"/>
  <c r="T54" i="23" s="1"/>
  <c r="K46" i="1"/>
  <c r="K53" i="1" s="1"/>
  <c r="K47" i="1"/>
  <c r="K48" i="1" s="1"/>
  <c r="K54" i="1" s="1"/>
  <c r="K6" i="4"/>
  <c r="M46" i="23"/>
  <c r="M53" i="23" s="1"/>
  <c r="P47" i="23"/>
  <c r="P48" i="23" s="1"/>
  <c r="P54" i="23" s="1"/>
  <c r="J47" i="23"/>
  <c r="J48" i="23" s="1"/>
  <c r="J54" i="23" s="1"/>
  <c r="J46" i="23"/>
  <c r="J53" i="23" s="1"/>
  <c r="E47" i="23"/>
  <c r="E48" i="23" s="1"/>
  <c r="E54" i="23" s="1"/>
  <c r="G46" i="23"/>
  <c r="G53" i="23" s="1"/>
  <c r="C46" i="23"/>
  <c r="C53" i="23" s="1"/>
  <c r="U47" i="23"/>
  <c r="U48" i="23" s="1"/>
  <c r="U54" i="23" s="1"/>
  <c r="Q22" i="4"/>
  <c r="I46" i="23"/>
  <c r="I53" i="23" s="1"/>
  <c r="C47" i="23"/>
  <c r="C48" i="23" s="1"/>
  <c r="C54" i="23" s="1"/>
  <c r="E46" i="23"/>
  <c r="E53" i="23" s="1"/>
  <c r="D47" i="23"/>
  <c r="D48" i="23" s="1"/>
  <c r="D54" i="23" s="1"/>
  <c r="K47" i="23"/>
  <c r="K48" i="23" s="1"/>
  <c r="K54" i="23" s="1"/>
  <c r="S47" i="23"/>
  <c r="S48" i="23" s="1"/>
  <c r="S54" i="23" s="1"/>
  <c r="D46" i="23"/>
  <c r="D53" i="23" s="1"/>
  <c r="L47" i="23"/>
  <c r="L48" i="23" s="1"/>
  <c r="L54" i="23" s="1"/>
  <c r="L46" i="23"/>
  <c r="L53" i="23" s="1"/>
  <c r="P46" i="23"/>
  <c r="P53" i="23" s="1"/>
  <c r="G47" i="23"/>
  <c r="M22" i="4"/>
  <c r="M63" i="4" s="1"/>
  <c r="M64" i="4" s="1"/>
  <c r="I47" i="23"/>
  <c r="I48" i="23" s="1"/>
  <c r="I54" i="23" s="1"/>
  <c r="Q47" i="23"/>
  <c r="Q48" i="23" s="1"/>
  <c r="Q54" i="23" s="1"/>
  <c r="S46" i="23"/>
  <c r="S53" i="23" s="1"/>
  <c r="F46" i="23"/>
  <c r="F53" i="23" s="1"/>
  <c r="H46" i="23"/>
  <c r="H53" i="23" s="1"/>
  <c r="U46" i="23"/>
  <c r="U53" i="23" s="1"/>
  <c r="H47" i="23"/>
  <c r="H48" i="23" s="1"/>
  <c r="H54" i="23" s="1"/>
  <c r="Q46" i="23"/>
  <c r="Q53" i="23" s="1"/>
  <c r="M47" i="23"/>
  <c r="M48" i="23" s="1"/>
  <c r="M54" i="23" s="1"/>
  <c r="K46" i="23"/>
  <c r="K53" i="23" s="1"/>
  <c r="G48" i="23"/>
  <c r="G54" i="23" s="1"/>
  <c r="F47" i="23"/>
  <c r="F48" i="23" s="1"/>
  <c r="F54" i="23" s="1"/>
  <c r="V47" i="1"/>
  <c r="V48" i="1" s="1"/>
  <c r="V54" i="1" s="1"/>
  <c r="U47" i="1"/>
  <c r="U48" i="1" s="1"/>
  <c r="U54" i="1" s="1"/>
  <c r="L47" i="1"/>
  <c r="L48" i="1" s="1"/>
  <c r="L54" i="1" s="1"/>
  <c r="L46" i="1"/>
  <c r="L53" i="1" s="1"/>
  <c r="V46" i="1"/>
  <c r="V53" i="1" s="1"/>
  <c r="T47" i="1"/>
  <c r="T48" i="1" s="1"/>
  <c r="T54" i="1" s="1"/>
  <c r="T46" i="1"/>
  <c r="T53" i="1" s="1"/>
  <c r="M46" i="1"/>
  <c r="M53" i="1" s="1"/>
  <c r="M47" i="1"/>
  <c r="M48" i="1" s="1"/>
  <c r="M54" i="1" s="1"/>
  <c r="J46" i="1"/>
  <c r="J53" i="1" s="1"/>
  <c r="S47" i="1"/>
  <c r="S48" i="1" s="1"/>
  <c r="S54" i="1" s="1"/>
  <c r="J47" i="1"/>
  <c r="J48" i="1" s="1"/>
  <c r="J54" i="1" s="1"/>
  <c r="S46" i="1"/>
  <c r="S53" i="1" s="1"/>
  <c r="T63" i="4"/>
  <c r="T64" i="4" s="1"/>
  <c r="F46" i="1"/>
  <c r="F53" i="1" s="1"/>
  <c r="B22" i="4"/>
  <c r="D6" i="4"/>
  <c r="S6" i="4"/>
  <c r="I6" i="4"/>
  <c r="Q7" i="4"/>
  <c r="E6" i="4"/>
  <c r="P6" i="4"/>
  <c r="B6" i="4"/>
  <c r="C6" i="4"/>
  <c r="H6" i="4"/>
  <c r="F6" i="4"/>
  <c r="P47" i="1"/>
  <c r="P48" i="1" s="1"/>
  <c r="P54" i="1" s="1"/>
  <c r="L63" i="4"/>
  <c r="L64" i="4" s="1"/>
  <c r="G6" i="4"/>
  <c r="R7" i="4"/>
  <c r="K63" i="4"/>
  <c r="K64" i="4" s="1"/>
  <c r="V63" i="4"/>
  <c r="V64" i="4" s="1"/>
  <c r="J63" i="4"/>
  <c r="J64" i="4" s="1"/>
  <c r="W63" i="4"/>
  <c r="W64" i="4" s="1"/>
  <c r="U63" i="4"/>
  <c r="U64" i="4" s="1"/>
  <c r="N63" i="4"/>
  <c r="N64" i="4" s="1"/>
  <c r="T27" i="33"/>
  <c r="T52" i="33" s="1"/>
  <c r="T45" i="33"/>
  <c r="I47" i="1"/>
  <c r="I48" i="1" s="1"/>
  <c r="I54" i="1" s="1"/>
  <c r="F47" i="1"/>
  <c r="F48" i="1" s="1"/>
  <c r="F54" i="1" s="1"/>
  <c r="G47" i="1"/>
  <c r="G48" i="1" s="1"/>
  <c r="G54" i="1" s="1"/>
  <c r="E47" i="1"/>
  <c r="E48" i="1" s="1"/>
  <c r="E54" i="1" s="1"/>
  <c r="Q46" i="1"/>
  <c r="Q53" i="1" s="1"/>
  <c r="E46" i="1"/>
  <c r="E53" i="1" s="1"/>
  <c r="Q47" i="1"/>
  <c r="Q48" i="1" s="1"/>
  <c r="Q54" i="1" s="1"/>
  <c r="I46" i="1"/>
  <c r="I53" i="1" s="1"/>
  <c r="R74" i="4"/>
  <c r="U57" i="4"/>
  <c r="U58" i="4" s="1"/>
  <c r="U76" i="4" s="1"/>
  <c r="H57" i="1"/>
  <c r="G57" i="1"/>
  <c r="F57" i="1"/>
  <c r="I57" i="1"/>
  <c r="E57" i="1"/>
  <c r="H7" i="4"/>
  <c r="G46" i="1"/>
  <c r="G53" i="1" s="1"/>
  <c r="H46" i="1"/>
  <c r="H53" i="1" s="1"/>
  <c r="H47" i="1"/>
  <c r="H48" i="1" s="1"/>
  <c r="H54" i="1" s="1"/>
  <c r="G11" i="4"/>
  <c r="F9" i="4"/>
  <c r="I13" i="4"/>
  <c r="E12" i="4"/>
  <c r="I55" i="4"/>
  <c r="I62" i="4"/>
  <c r="N55" i="4"/>
  <c r="N62" i="4"/>
  <c r="W57" i="4"/>
  <c r="W58" i="4" s="1"/>
  <c r="W76" i="4" s="1"/>
  <c r="W56" i="4"/>
  <c r="W75" i="4" s="1"/>
  <c r="V57" i="4"/>
  <c r="V58" i="4" s="1"/>
  <c r="V76" i="4" s="1"/>
  <c r="L56" i="4"/>
  <c r="L75" i="4" s="1"/>
  <c r="T56" i="4"/>
  <c r="T75" i="4" s="1"/>
  <c r="K57" i="4"/>
  <c r="K58" i="4" s="1"/>
  <c r="K76" i="4" s="1"/>
  <c r="J56" i="4"/>
  <c r="J75" i="4" s="1"/>
  <c r="P55" i="4"/>
  <c r="P62" i="4"/>
  <c r="F55" i="4"/>
  <c r="F62" i="4"/>
  <c r="M55" i="4"/>
  <c r="M62" i="4"/>
  <c r="J55" i="4"/>
  <c r="J62" i="4"/>
  <c r="L57" i="4"/>
  <c r="L58" i="4" s="1"/>
  <c r="L76" i="4" s="1"/>
  <c r="N57" i="4"/>
  <c r="N58" i="4" s="1"/>
  <c r="N76" i="4" s="1"/>
  <c r="K56" i="4"/>
  <c r="K75" i="4" s="1"/>
  <c r="J57" i="4"/>
  <c r="J58" i="4" s="1"/>
  <c r="J76" i="4" s="1"/>
  <c r="Q55" i="4"/>
  <c r="Q62" i="4"/>
  <c r="G55" i="4"/>
  <c r="G62" i="4"/>
  <c r="H74" i="4"/>
  <c r="H62" i="4"/>
  <c r="U22" i="33"/>
  <c r="U45" i="33"/>
  <c r="U27" i="33"/>
  <c r="U52" i="33" s="1"/>
  <c r="R45" i="33"/>
  <c r="R27" i="33"/>
  <c r="R52" i="33" s="1"/>
  <c r="R22" i="33"/>
  <c r="V56" i="4"/>
  <c r="V75" i="4" s="1"/>
  <c r="M56" i="4"/>
  <c r="M75" i="4" s="1"/>
  <c r="N56" i="4"/>
  <c r="N75" i="4" s="1"/>
  <c r="U56" i="4"/>
  <c r="U75" i="4" s="1"/>
  <c r="C74" i="4"/>
  <c r="C62" i="4"/>
  <c r="D55" i="4"/>
  <c r="D62" i="4"/>
  <c r="S27" i="33"/>
  <c r="S52" i="33" s="1"/>
  <c r="S22" i="33"/>
  <c r="S45" i="33"/>
  <c r="T57" i="4"/>
  <c r="T58" i="4" s="1"/>
  <c r="T76" i="4" s="1"/>
  <c r="R55" i="4"/>
  <c r="V4" i="1"/>
  <c r="V45" i="1" s="1"/>
  <c r="P32" i="4"/>
  <c r="R10" i="4"/>
  <c r="B32" i="4"/>
  <c r="H55" i="4"/>
  <c r="S10" i="4"/>
  <c r="P14" i="4"/>
  <c r="Q15" i="4"/>
  <c r="V4" i="23"/>
  <c r="V45" i="23" s="1"/>
  <c r="N52" i="23"/>
  <c r="K79" i="4"/>
  <c r="B10" i="4"/>
  <c r="L79" i="4"/>
  <c r="N79" i="4"/>
  <c r="W79" i="4"/>
  <c r="M79" i="4"/>
  <c r="J79" i="4"/>
  <c r="V79" i="4"/>
  <c r="U79" i="4"/>
  <c r="T79" i="4"/>
  <c r="P26" i="4"/>
  <c r="P46" i="1"/>
  <c r="P53" i="1" s="1"/>
  <c r="U4" i="1"/>
  <c r="U22" i="1" s="1"/>
  <c r="M74" i="4"/>
  <c r="M27" i="1"/>
  <c r="M52" i="1" s="1"/>
  <c r="M22" i="1"/>
  <c r="J52" i="1"/>
  <c r="J74" i="4"/>
  <c r="J27" i="1"/>
  <c r="J45" i="1"/>
  <c r="S4" i="1"/>
  <c r="S4" i="23"/>
  <c r="C55" i="4"/>
  <c r="U4" i="23"/>
  <c r="U22" i="23" s="1"/>
  <c r="N27" i="23"/>
  <c r="N45" i="23"/>
  <c r="J22" i="23"/>
  <c r="J52" i="23"/>
  <c r="J22" i="1"/>
  <c r="J27" i="23"/>
  <c r="R4" i="1"/>
  <c r="R22" i="1" s="1"/>
  <c r="R4" i="23"/>
  <c r="R22" i="23" s="1"/>
  <c r="M52" i="23"/>
  <c r="M22" i="23"/>
  <c r="M45" i="23"/>
  <c r="M45" i="1"/>
  <c r="B46" i="23"/>
  <c r="B53" i="23" s="1"/>
  <c r="B55" i="23" s="1"/>
  <c r="O46" i="23"/>
  <c r="O53" i="23" s="1"/>
  <c r="O55" i="23" s="1"/>
  <c r="O47" i="23"/>
  <c r="O48" i="23" s="1"/>
  <c r="O54" i="23" s="1"/>
  <c r="B47" i="23"/>
  <c r="B48" i="23" s="1"/>
  <c r="B54" i="23" s="1"/>
  <c r="B57" i="23"/>
  <c r="O57" i="23"/>
  <c r="B29" i="4"/>
  <c r="P22" i="4"/>
  <c r="R47" i="1"/>
  <c r="R48" i="1" s="1"/>
  <c r="R54" i="1" s="1"/>
  <c r="Q57" i="1"/>
  <c r="D74" i="4"/>
  <c r="R46" i="1"/>
  <c r="R53" i="1" s="1"/>
  <c r="N74" i="4"/>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T4" i="1"/>
  <c r="T4" i="23"/>
  <c r="F74" i="4"/>
  <c r="I74" i="4"/>
  <c r="P74" i="4"/>
  <c r="Q74" i="4"/>
  <c r="G55" i="1" l="1"/>
  <c r="I63" i="4"/>
  <c r="I64" i="4" s="1"/>
  <c r="F55" i="23"/>
  <c r="M57" i="4"/>
  <c r="M58" i="4" s="1"/>
  <c r="M76" i="4" s="1"/>
  <c r="H56" i="4"/>
  <c r="H75" i="4" s="1"/>
  <c r="C63" i="4"/>
  <c r="C64" i="4" s="1"/>
  <c r="I57" i="4"/>
  <c r="I58" i="4" s="1"/>
  <c r="I76" i="4" s="1"/>
  <c r="W4" i="4"/>
  <c r="W55" i="4" s="1"/>
  <c r="F63" i="4"/>
  <c r="F64" i="4" s="1"/>
  <c r="S63" i="4"/>
  <c r="S64" i="4" s="1"/>
  <c r="C55" i="23"/>
  <c r="N55" i="23"/>
  <c r="Q55" i="23"/>
  <c r="U55" i="23"/>
  <c r="T55" i="23"/>
  <c r="R55" i="23"/>
  <c r="S55" i="23"/>
  <c r="V55" i="23"/>
  <c r="P55" i="23"/>
  <c r="S55" i="1"/>
  <c r="U55" i="1"/>
  <c r="R55" i="1"/>
  <c r="T55" i="1"/>
  <c r="P55" i="1"/>
  <c r="Q55" i="1"/>
  <c r="V55" i="1"/>
  <c r="D63" i="4"/>
  <c r="D64" i="4" s="1"/>
  <c r="B63" i="4"/>
  <c r="B64" i="4" s="1"/>
  <c r="P63" i="4"/>
  <c r="P64" i="4" s="1"/>
  <c r="G56" i="4"/>
  <c r="G75" i="4" s="1"/>
  <c r="H57" i="4"/>
  <c r="H58" i="4" s="1"/>
  <c r="H76" i="4" s="1"/>
  <c r="H63" i="4"/>
  <c r="H64" i="4" s="1"/>
  <c r="Q63" i="4"/>
  <c r="Q64" i="4" s="1"/>
  <c r="G63" i="4"/>
  <c r="G64" i="4" s="1"/>
  <c r="E63" i="4"/>
  <c r="E64" i="4" s="1"/>
  <c r="R63" i="4"/>
  <c r="R64" i="4" s="1"/>
  <c r="V27" i="23"/>
  <c r="V52" i="23" s="1"/>
  <c r="I56" i="4"/>
  <c r="I75" i="4" s="1"/>
  <c r="U45" i="1"/>
  <c r="V22" i="1"/>
  <c r="V22" i="23"/>
  <c r="V27" i="1"/>
  <c r="V52" i="1" s="1"/>
  <c r="G57" i="4"/>
  <c r="G58" i="4" s="1"/>
  <c r="G76" i="4" s="1"/>
  <c r="F57" i="4"/>
  <c r="F58" i="4" s="1"/>
  <c r="F76" i="4" s="1"/>
  <c r="B56" i="4"/>
  <c r="E79" i="4"/>
  <c r="G79" i="4"/>
  <c r="I79" i="4"/>
  <c r="H79" i="4"/>
  <c r="F79" i="4"/>
  <c r="J80" i="4"/>
  <c r="E57" i="4"/>
  <c r="E58" i="4" s="1"/>
  <c r="E76" i="4" s="1"/>
  <c r="E56" i="4"/>
  <c r="E75" i="4" s="1"/>
  <c r="F56" i="4"/>
  <c r="F75" i="4" s="1"/>
  <c r="Q57" i="4"/>
  <c r="Q58" i="4" s="1"/>
  <c r="Q76" i="4" s="1"/>
  <c r="S56" i="4"/>
  <c r="S75" i="4" s="1"/>
  <c r="D56" i="4"/>
  <c r="D75" i="4" s="1"/>
  <c r="B57" i="4"/>
  <c r="B58" i="4" s="1"/>
  <c r="B76" i="4" s="1"/>
  <c r="V45" i="33"/>
  <c r="V27" i="33"/>
  <c r="V52" i="33" s="1"/>
  <c r="V22" i="33"/>
  <c r="D57" i="4"/>
  <c r="D58" i="4" s="1"/>
  <c r="D76" i="4" s="1"/>
  <c r="P57" i="4"/>
  <c r="P58" i="4" s="1"/>
  <c r="P76" i="4" s="1"/>
  <c r="C57" i="4"/>
  <c r="C58" i="4" s="1"/>
  <c r="C76" i="4" s="1"/>
  <c r="R56" i="4"/>
  <c r="R75" i="4" s="1"/>
  <c r="P56" i="4"/>
  <c r="P75" i="4" s="1"/>
  <c r="C56" i="4"/>
  <c r="C75" i="4" s="1"/>
  <c r="Q56" i="4"/>
  <c r="S57" i="4"/>
  <c r="S58" i="4" s="1"/>
  <c r="S76" i="4" s="1"/>
  <c r="R57" i="4"/>
  <c r="R58" i="4" s="1"/>
  <c r="R76" i="4" s="1"/>
  <c r="R79" i="4"/>
  <c r="Q79" i="4"/>
  <c r="S79" i="4"/>
  <c r="S80" i="4" s="1"/>
  <c r="V4" i="4"/>
  <c r="U27" i="1"/>
  <c r="U52" i="1" s="1"/>
  <c r="C79" i="4"/>
  <c r="D79" i="4"/>
  <c r="L55" i="23"/>
  <c r="D55" i="23"/>
  <c r="H55" i="23"/>
  <c r="K55" i="23"/>
  <c r="J55" i="23"/>
  <c r="M55" i="23"/>
  <c r="G55" i="23"/>
  <c r="E55" i="23"/>
  <c r="I55" i="23"/>
  <c r="R59" i="23"/>
  <c r="R60" i="23" s="1"/>
  <c r="P79" i="4"/>
  <c r="B79" i="4"/>
  <c r="B64" i="23"/>
  <c r="L59" i="23"/>
  <c r="L60" i="23" s="1"/>
  <c r="F59" i="23"/>
  <c r="F60" i="23" s="1"/>
  <c r="Q59" i="23"/>
  <c r="Q60" i="23" s="1"/>
  <c r="V59" i="23"/>
  <c r="V60" i="23" s="1"/>
  <c r="P59" i="23"/>
  <c r="P60" i="23" s="1"/>
  <c r="T59" i="23"/>
  <c r="T60" i="23" s="1"/>
  <c r="U59" i="23"/>
  <c r="U60" i="23" s="1"/>
  <c r="S59" i="23"/>
  <c r="S60" i="23" s="1"/>
  <c r="B65" i="23"/>
  <c r="R45" i="23"/>
  <c r="T4" i="4"/>
  <c r="T62" i="4" s="1"/>
  <c r="S45" i="1"/>
  <c r="S27" i="1"/>
  <c r="S52" i="1" s="1"/>
  <c r="S22" i="1"/>
  <c r="U27" i="23"/>
  <c r="U52" i="23" s="1"/>
  <c r="U45" i="23"/>
  <c r="S45" i="23"/>
  <c r="S27" i="23"/>
  <c r="S52" i="23" s="1"/>
  <c r="S22" i="23"/>
  <c r="R45" i="1"/>
  <c r="S4" i="4"/>
  <c r="S62" i="4" s="1"/>
  <c r="R27" i="1"/>
  <c r="R52" i="1" s="1"/>
  <c r="R27" i="23"/>
  <c r="R52" i="23" s="1"/>
  <c r="C59" i="23"/>
  <c r="C60" i="23" s="1"/>
  <c r="N59" i="23"/>
  <c r="N60" i="23" s="1"/>
  <c r="E59" i="23"/>
  <c r="E60" i="23" s="1"/>
  <c r="J59" i="23"/>
  <c r="J60" i="23" s="1"/>
  <c r="K59" i="23"/>
  <c r="K60" i="23" s="1"/>
  <c r="D59" i="23"/>
  <c r="D60" i="23" s="1"/>
  <c r="I59" i="23"/>
  <c r="I60" i="23" s="1"/>
  <c r="O59" i="23"/>
  <c r="O60" i="23" s="1"/>
  <c r="G59" i="23"/>
  <c r="G60" i="23" s="1"/>
  <c r="H59" i="23"/>
  <c r="H60" i="23" s="1"/>
  <c r="M59" i="23"/>
  <c r="M60" i="23" s="1"/>
  <c r="C55" i="1"/>
  <c r="H55" i="1"/>
  <c r="F55" i="1"/>
  <c r="N55" i="1"/>
  <c r="I55" i="1"/>
  <c r="L55" i="1"/>
  <c r="J55" i="1"/>
  <c r="D55" i="1"/>
  <c r="K55" i="1"/>
  <c r="E55" i="1"/>
  <c r="O59" i="1"/>
  <c r="O60" i="1" s="1"/>
  <c r="N59" i="1"/>
  <c r="N60" i="1" s="1"/>
  <c r="J59" i="1"/>
  <c r="J60" i="1" s="1"/>
  <c r="F59" i="1"/>
  <c r="F60" i="1" s="1"/>
  <c r="M59" i="1"/>
  <c r="M60" i="1" s="1"/>
  <c r="I59" i="1"/>
  <c r="I60" i="1" s="1"/>
  <c r="E59" i="1"/>
  <c r="E60" i="1" s="1"/>
  <c r="L59" i="1"/>
  <c r="L60" i="1" s="1"/>
  <c r="H59" i="1"/>
  <c r="H60" i="1" s="1"/>
  <c r="D59" i="1"/>
  <c r="D60" i="1" s="1"/>
  <c r="K59" i="1"/>
  <c r="K60" i="1" s="1"/>
  <c r="C59" i="1"/>
  <c r="C60" i="1" s="1"/>
  <c r="G59" i="1"/>
  <c r="G60" i="1" s="1"/>
  <c r="M55" i="1"/>
  <c r="T59" i="1"/>
  <c r="T60" i="1" s="1"/>
  <c r="P59" i="1"/>
  <c r="P60" i="1" s="1"/>
  <c r="S59" i="1"/>
  <c r="S60" i="1" s="1"/>
  <c r="V59" i="1"/>
  <c r="V60" i="1" s="1"/>
  <c r="R59" i="1"/>
  <c r="R60" i="1" s="1"/>
  <c r="U59" i="1"/>
  <c r="U60" i="1" s="1"/>
  <c r="Q59" i="1"/>
  <c r="Q60" i="1" s="1"/>
  <c r="B65" i="1"/>
  <c r="B64" i="1"/>
  <c r="B55" i="1"/>
  <c r="T27" i="23"/>
  <c r="T52" i="23" s="1"/>
  <c r="T45" i="23"/>
  <c r="T22" i="23"/>
  <c r="T27" i="1"/>
  <c r="T52" i="1" s="1"/>
  <c r="T45" i="1"/>
  <c r="U4" i="4"/>
  <c r="U62" i="4" s="1"/>
  <c r="T22" i="1"/>
  <c r="W74" i="4" l="1"/>
  <c r="U77" i="4"/>
  <c r="W62" i="4"/>
  <c r="B80" i="4"/>
  <c r="Q75" i="4"/>
  <c r="P81" i="4"/>
  <c r="V74" i="4"/>
  <c r="V62" i="4"/>
  <c r="R61" i="23"/>
  <c r="V55" i="4"/>
  <c r="W77" i="4"/>
  <c r="V77" i="4"/>
  <c r="P77" i="4"/>
  <c r="T77" i="4"/>
  <c r="R77" i="4"/>
  <c r="S77" i="4"/>
  <c r="Q81" i="4"/>
  <c r="Q82" i="4" s="1"/>
  <c r="R81" i="4"/>
  <c r="B86" i="4"/>
  <c r="B87" i="4"/>
  <c r="B75" i="4"/>
  <c r="F94" i="4" s="1"/>
  <c r="N81" i="4"/>
  <c r="N82" i="4" s="1"/>
  <c r="M61" i="23"/>
  <c r="I61" i="23"/>
  <c r="E61" i="23"/>
  <c r="D61" i="23"/>
  <c r="C61" i="23"/>
  <c r="Q61" i="23"/>
  <c r="U61" i="23"/>
  <c r="P61" i="23"/>
  <c r="F61" i="23"/>
  <c r="H61" i="23"/>
  <c r="K61" i="23"/>
  <c r="N61" i="23"/>
  <c r="G61" i="23"/>
  <c r="J61" i="23"/>
  <c r="S61" i="23"/>
  <c r="T61" i="23"/>
  <c r="V61" i="23"/>
  <c r="L61" i="23"/>
  <c r="D61" i="1"/>
  <c r="U61" i="1"/>
  <c r="S61" i="1"/>
  <c r="G61" i="1"/>
  <c r="M61" i="1"/>
  <c r="L61" i="1"/>
  <c r="T61" i="1"/>
  <c r="E61" i="1"/>
  <c r="F61" i="1"/>
  <c r="K61" i="1"/>
  <c r="I61" i="1"/>
  <c r="J61" i="1"/>
  <c r="V61" i="1"/>
  <c r="H61" i="1"/>
  <c r="N61" i="1"/>
  <c r="T55" i="4"/>
  <c r="T74" i="4"/>
  <c r="S55" i="4"/>
  <c r="S74" i="4"/>
  <c r="O61" i="1"/>
  <c r="Q61" i="1"/>
  <c r="P61" i="1"/>
  <c r="C61" i="1"/>
  <c r="R61" i="1"/>
  <c r="U55" i="4"/>
  <c r="U74" i="4"/>
  <c r="S94" i="4" l="1"/>
  <c r="H94" i="4"/>
  <c r="G94" i="4"/>
  <c r="D94" i="4"/>
  <c r="I94" i="4"/>
  <c r="B94" i="4"/>
  <c r="O94" i="4"/>
  <c r="U94" i="4"/>
  <c r="N94" i="4"/>
  <c r="K94" i="4"/>
  <c r="J94" i="4"/>
  <c r="T94" i="4"/>
  <c r="M94" i="4"/>
  <c r="V94" i="4"/>
  <c r="L94" i="4"/>
  <c r="Q77" i="4"/>
  <c r="Q94" i="4"/>
  <c r="R94" i="4"/>
  <c r="E94" i="4"/>
  <c r="P94" i="4"/>
  <c r="C94" i="4"/>
  <c r="I81" i="4"/>
  <c r="J81" i="4"/>
  <c r="L81" i="4"/>
  <c r="K81" i="4"/>
  <c r="M81" i="4"/>
  <c r="F81" i="4"/>
  <c r="G81" i="4"/>
  <c r="H81" i="4"/>
  <c r="D81" i="4"/>
  <c r="E81" i="4"/>
  <c r="C81" i="4"/>
  <c r="K77" i="4"/>
  <c r="J77" i="4"/>
  <c r="G77" i="4"/>
  <c r="N77" i="4"/>
  <c r="F77" i="4"/>
  <c r="L77" i="4"/>
  <c r="B77" i="4"/>
  <c r="M77" i="4"/>
  <c r="I77" i="4"/>
  <c r="H77" i="4"/>
  <c r="D77" i="4"/>
  <c r="C77" i="4"/>
  <c r="E77" i="4"/>
  <c r="Q83" i="4"/>
  <c r="N83" i="4"/>
  <c r="O61"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<sst xmlns="http://schemas.openxmlformats.org/spreadsheetml/2006/main" count="259" uniqueCount="83">
  <si>
    <t>mean</t>
  </si>
  <si>
    <t>SD</t>
  </si>
  <si>
    <t>SEM</t>
  </si>
  <si>
    <t>avec testo</t>
  </si>
  <si>
    <t>Rep1</t>
  </si>
  <si>
    <t>Rep2</t>
  </si>
  <si>
    <t>Non dopé</t>
  </si>
  <si>
    <t>N°BDC :</t>
  </si>
  <si>
    <t>R1</t>
  </si>
  <si>
    <t>R2</t>
  </si>
  <si>
    <t>Concentration</t>
  </si>
  <si>
    <t xml:space="preserve">Testo </t>
  </si>
  <si>
    <t>R3</t>
  </si>
  <si>
    <t>LOD</t>
  </si>
  <si>
    <t>LOQ</t>
  </si>
  <si>
    <t>Mean</t>
  </si>
  <si>
    <t>Données brutes</t>
  </si>
  <si>
    <t>Données normalisées sur la moyenne du groupe "Testo"</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</si>
  <si>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</si>
  <si>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</si>
  <si>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</si>
  <si>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</si>
  <si>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</si>
  <si>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</si>
  <si>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</si>
  <si>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</si>
  <si>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</si>
  <si>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</si>
  <si>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</si>
  <si>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</si>
  <si>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</si>
  <si>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</si>
  <si>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</si>
  <si>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</si>
  <si>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</si>
  <si>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</si>
  <si>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</si>
  <si>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</si>
  <si>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</si>
  <si>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Ratio à atteindre</t>
  </si>
  <si>
    <t>Evian/Testo + EE2 64 ng/L &gt;=</t>
  </si>
  <si>
    <t>Evian/ Testo + FAD &lt;=</t>
  </si>
  <si>
    <t>% induction</t>
  </si>
  <si>
    <t>Test de normalité : valeur du p</t>
  </si>
  <si>
    <t>Test statistique utilisé</t>
  </si>
  <si>
    <t>Test statistique : valeur du p</t>
  </si>
  <si>
    <t>Annotation</t>
  </si>
  <si>
    <t>Test de normalité : résultat normal?</t>
  </si>
  <si>
    <t>Rep3</t>
  </si>
  <si>
    <t>Tous les groupes du gamme sont normale?</t>
  </si>
  <si>
    <t>Témoin</t>
  </si>
  <si>
    <t>ng/L</t>
  </si>
  <si>
    <t>EE2</t>
  </si>
  <si>
    <t>µg/L</t>
  </si>
  <si>
    <t xml:space="preserve">Testo 30µg/L + EE2 </t>
  </si>
  <si>
    <t>mg/L</t>
  </si>
  <si>
    <t>Testo 30µg/L + FAD</t>
  </si>
  <si>
    <t>Experiment number :</t>
  </si>
  <si>
    <t>Do not fill in</t>
  </si>
  <si>
    <t>Do not fill in2</t>
  </si>
  <si>
    <t>Units</t>
  </si>
  <si>
    <t>Chemical name</t>
  </si>
  <si>
    <t>Do not fill in3</t>
  </si>
  <si>
    <t>test chemical</t>
  </si>
  <si>
    <t>Solvent control</t>
  </si>
  <si>
    <t>33.8</t>
  </si>
  <si>
    <t>50.6</t>
  </si>
  <si>
    <t>170.9</t>
  </si>
  <si>
    <t>Date performed :20210602</t>
    <phoneticPr fontId="12"/>
  </si>
  <si>
    <t>Date performed :20210603</t>
    <phoneticPr fontId="12"/>
  </si>
  <si>
    <t>6. Expérimentateur 2 : copier et coller les valeurs des intensités totales de fluorescences obtenues dans le fichier raw data lors du traitement des images. Ne pas supprimer les colonnes correspondant aux concentrations non lues.
画像処理時に取得した蛍光強度全体の値をコピーして、生データファイルに貼り付けます。未読濃度に対応する列は削除しないでください。</t>
    <phoneticPr fontId="12"/>
  </si>
  <si>
    <t>Données brutes
ローデータ</t>
    <phoneticPr fontId="12"/>
  </si>
  <si>
    <t>Données normalisées sur la moyenne du groupe "Testo"
「Testo」群の平均に関する標準化データ</t>
    <phoneticPr fontId="12"/>
  </si>
  <si>
    <t>Date performed :20210609</t>
    <phoneticPr fontId="12"/>
  </si>
  <si>
    <t>ng/L</t>
    <phoneticPr fontId="12"/>
  </si>
  <si>
    <t>&gt;0,9999</t>
  </si>
  <si>
    <t>&lt;0,0001</t>
  </si>
  <si>
    <t>***</t>
  </si>
  <si>
    <t>**</t>
  </si>
  <si>
    <t>ns</t>
  </si>
  <si>
    <t>****</t>
  </si>
  <si>
    <t>ANOVA</t>
  </si>
  <si>
    <t>estradiol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</si>
</sst>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b/>
      <sz val="11"/>
      <color rgb="FFFF0000"/>
      <name val="Calibri"/>
      <family val="2"/>
      <scheme val="minor"/>
    </font>
    <font>
      <sz val="6"/>
      <name val="Calibri"/>
      <family val="3"/>
      <charset val="128"/>
      <scheme val="minor"/>
    </font>
    <font>
      <sz val="8"/>
      <name val="Arial"/>
      <family val="2"/>
    </font>
  </fonts>
  <fills count="1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rgb="FFFFC0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s>
  <cellStyleXfs count="7">
    <xf numFmtId="0" fontId="0" fillId="0" borderId="0"/>
    <xf numFmtId="0" fontId="4" fillId="0" borderId="0"/>
    <xf numFmtId="0" fontId="8" fillId="0" borderId="0"/>
    <xf numFmtId="0" fontId="4" fillId="0" borderId="0"/>
    <xf numFmtId="0" fontId="8" fillId="0" borderId="0"/>
    <xf numFmtId="0" fontId="4" fillId="0" borderId="0"/>
    <xf numFmtId="0" fontId="8" fillId="0" borderId="0"/>
  </cellStyleXfs>
  <cellXfs count="157">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0" xfId="0" applyBorder="1"/>
    <xf numFmtId="0" fontId="0" fillId="8" borderId="1" xfId="0" applyFill="1" applyBorder="1" applyAlignment="1">
      <alignment horizontal="center"/>
    </xf>
    <xf numFmtId="0" fontId="0" fillId="8" borderId="12" xfId="0" applyFill="1" applyBorder="1" applyAlignment="1">
      <alignment horizontal="center"/>
    </xf>
    <xf numFmtId="0" fontId="0" fillId="10"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0" fillId="0" borderId="0" xfId="0" applyNumberFormat="1"/>
    <xf numFmtId="0" fontId="0" fillId="6" borderId="8" xfId="0" applyFill="1" applyBorder="1" applyAlignment="1">
      <alignment horizontal="center"/>
    </xf>
    <xf numFmtId="0" fontId="0" fillId="6" borderId="9" xfId="0" applyFill="1" applyBorder="1" applyAlignment="1">
      <alignment horizontal="center"/>
    </xf>
    <xf numFmtId="0" fontId="0" fillId="0" borderId="0" xfId="0" applyAlignment="1">
      <alignment vertical="center"/>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xf numFmtId="0" fontId="1" fillId="0" borderId="0" xfId="0" applyFont="1" applyAlignment="1">
      <alignment horizontal="center"/>
    </xf>
    <xf numFmtId="0" fontId="3" fillId="13"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6" borderId="10" xfId="0" applyNumberFormat="1" applyFill="1" applyBorder="1" applyAlignment="1">
      <alignment horizontal="center"/>
    </xf>
    <xf numFmtId="164" fontId="0" fillId="6" borderId="18" xfId="0" applyNumberFormat="1" applyFill="1" applyBorder="1" applyAlignment="1">
      <alignment horizontal="center"/>
    </xf>
    <xf numFmtId="0" fontId="3" fillId="7"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9" borderId="0" xfId="0" applyFont="1" applyFill="1" applyBorder="1" applyAlignment="1">
      <alignment vertical="center"/>
    </xf>
    <xf numFmtId="0" fontId="3" fillId="0" borderId="4" xfId="0" applyFont="1" applyBorder="1" applyAlignment="1">
      <alignment vertical="center"/>
    </xf>
    <xf numFmtId="0" fontId="3" fillId="13" borderId="3" xfId="0" applyFont="1" applyFill="1" applyBorder="1" applyAlignment="1">
      <alignment vertical="center"/>
    </xf>
    <xf numFmtId="2" fontId="3" fillId="7" borderId="2" xfId="0" applyNumberFormat="1" applyFont="1" applyFill="1" applyBorder="1" applyAlignment="1">
      <alignment horizontal="center" vertical="center" wrapText="1"/>
    </xf>
    <xf numFmtId="2" fontId="3" fillId="7"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3" borderId="13" xfId="0" applyFont="1" applyFill="1" applyBorder="1" applyAlignment="1">
      <alignment vertical="center"/>
    </xf>
    <xf numFmtId="0" fontId="3" fillId="13" borderId="15" xfId="0" applyFont="1" applyFill="1" applyBorder="1" applyAlignment="1">
      <alignment vertical="center"/>
    </xf>
    <xf numFmtId="0" fontId="3" fillId="13" borderId="4" xfId="0" applyFont="1" applyFill="1" applyBorder="1" applyAlignment="1">
      <alignment vertical="center"/>
    </xf>
    <xf numFmtId="0" fontId="3" fillId="0" borderId="1" xfId="0" applyNumberFormat="1" applyFont="1" applyBorder="1" applyAlignment="1">
      <alignment horizontal="center" vertical="center"/>
    </xf>
    <xf numFmtId="0" fontId="3" fillId="13" borderId="9" xfId="0" applyNumberFormat="1" applyFont="1" applyFill="1" applyBorder="1" applyAlignment="1">
      <alignment horizontal="center" vertical="center"/>
    </xf>
    <xf numFmtId="0" fontId="3" fillId="13" borderId="1" xfId="0" applyNumberFormat="1" applyFont="1" applyFill="1" applyBorder="1" applyAlignment="1">
      <alignment horizontal="center" vertical="center"/>
    </xf>
    <xf numFmtId="0" fontId="3" fillId="7"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3" borderId="23" xfId="0" applyFont="1" applyFill="1" applyBorder="1" applyAlignment="1">
      <alignment vertical="center"/>
    </xf>
    <xf numFmtId="0" fontId="3" fillId="13"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3" borderId="26" xfId="0" applyNumberFormat="1" applyFont="1" applyFill="1" applyBorder="1" applyAlignment="1">
      <alignment horizontal="center" vertical="center"/>
    </xf>
    <xf numFmtId="0" fontId="3" fillId="13" borderId="3" xfId="0" applyNumberFormat="1" applyFont="1" applyFill="1" applyBorder="1" applyAlignment="1">
      <alignment horizontal="center" vertical="center"/>
    </xf>
    <xf numFmtId="164" fontId="0" fillId="6" borderId="1" xfId="0" applyNumberFormat="1" applyFill="1" applyBorder="1" applyAlignment="1">
      <alignment horizontal="center"/>
    </xf>
    <xf numFmtId="0" fontId="0" fillId="6" borderId="11" xfId="0" applyFill="1" applyBorder="1" applyAlignment="1">
      <alignment horizontal="center"/>
    </xf>
    <xf numFmtId="164" fontId="0" fillId="6" borderId="15" xfId="0" applyNumberFormat="1" applyFill="1" applyBorder="1" applyAlignment="1">
      <alignment horizontal="center"/>
    </xf>
    <xf numFmtId="0" fontId="0" fillId="6" borderId="1" xfId="0" applyFill="1" applyBorder="1" applyAlignment="1">
      <alignment horizontal="center"/>
    </xf>
    <xf numFmtId="0" fontId="0" fillId="6" borderId="22" xfId="0" applyFill="1" applyBorder="1" applyAlignment="1">
      <alignment horizontal="center"/>
    </xf>
    <xf numFmtId="0" fontId="1" fillId="0" borderId="0" xfId="0" applyFont="1" applyAlignment="1">
      <alignment horizontal="center"/>
    </xf>
    <xf numFmtId="0" fontId="1" fillId="14" borderId="3" xfId="0" applyFont="1" applyFill="1" applyBorder="1" applyAlignment="1">
      <alignment horizontal="center"/>
    </xf>
    <xf numFmtId="164" fontId="0" fillId="14" borderId="1" xfId="0" applyNumberFormat="1" applyFill="1" applyBorder="1" applyAlignment="1">
      <alignment horizontal="center"/>
    </xf>
    <xf numFmtId="2" fontId="3" fillId="7" borderId="2" xfId="0" applyNumberFormat="1" applyFont="1" applyFill="1" applyBorder="1" applyAlignment="1">
      <alignment horizontal="center" vertical="center"/>
    </xf>
    <xf numFmtId="0" fontId="3" fillId="13" borderId="26" xfId="0" applyFont="1" applyFill="1" applyBorder="1" applyAlignment="1">
      <alignment horizontal="center" vertical="center"/>
    </xf>
    <xf numFmtId="0" fontId="3" fillId="13"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3" borderId="31" xfId="0" applyNumberFormat="1" applyFont="1" applyFill="1" applyBorder="1" applyAlignment="1">
      <alignment vertical="center"/>
    </xf>
    <xf numFmtId="0" fontId="3" fillId="13" borderId="29" xfId="0" applyFont="1" applyFill="1" applyBorder="1" applyAlignment="1">
      <alignment vertical="center"/>
    </xf>
    <xf numFmtId="0" fontId="3" fillId="13" borderId="32" xfId="0" applyNumberFormat="1" applyFont="1" applyFill="1" applyBorder="1" applyAlignment="1">
      <alignment vertical="center"/>
    </xf>
    <xf numFmtId="0" fontId="3" fillId="13" borderId="24" xfId="0" applyFont="1" applyFill="1" applyBorder="1" applyAlignment="1">
      <alignment vertical="center"/>
    </xf>
    <xf numFmtId="0" fontId="3" fillId="13" borderId="33" xfId="0" applyNumberFormat="1" applyFont="1" applyFill="1" applyBorder="1" applyAlignment="1">
      <alignment vertical="center"/>
    </xf>
    <xf numFmtId="0" fontId="3" fillId="13" borderId="34" xfId="0" applyFont="1" applyFill="1" applyBorder="1" applyAlignment="1">
      <alignment vertical="center"/>
    </xf>
    <xf numFmtId="0" fontId="3" fillId="13" borderId="11" xfId="0" applyNumberFormat="1" applyFont="1" applyFill="1" applyBorder="1" applyAlignment="1">
      <alignment horizontal="center" vertical="center"/>
    </xf>
    <xf numFmtId="0" fontId="3" fillId="13" borderId="35" xfId="0" applyNumberFormat="1" applyFont="1" applyFill="1" applyBorder="1" applyAlignment="1">
      <alignment horizontal="center" vertical="center"/>
    </xf>
    <xf numFmtId="0" fontId="3" fillId="13" borderId="35" xfId="0" applyFont="1" applyFill="1" applyBorder="1" applyAlignment="1">
      <alignment horizontal="center" vertical="center"/>
    </xf>
    <xf numFmtId="0" fontId="3" fillId="13" borderId="30" xfId="0" applyFont="1" applyFill="1" applyBorder="1" applyAlignment="1">
      <alignment vertical="center"/>
    </xf>
    <xf numFmtId="0" fontId="3" fillId="8" borderId="8" xfId="0" applyFont="1" applyFill="1" applyBorder="1" applyAlignment="1">
      <alignment horizontal="center"/>
    </xf>
    <xf numFmtId="0" fontId="3" fillId="8" borderId="10" xfId="0" applyFont="1" applyFill="1" applyBorder="1" applyAlignment="1">
      <alignment horizontal="center"/>
    </xf>
    <xf numFmtId="0" fontId="3" fillId="8" borderId="18" xfId="0" applyFont="1" applyFill="1" applyBorder="1" applyAlignment="1">
      <alignment horizontal="center"/>
    </xf>
    <xf numFmtId="0" fontId="3" fillId="13" borderId="39" xfId="0" applyNumberFormat="1" applyFont="1" applyFill="1" applyBorder="1" applyAlignment="1">
      <alignment vertical="center"/>
    </xf>
    <xf numFmtId="0" fontId="3" fillId="13" borderId="25" xfId="0" applyNumberFormat="1" applyFont="1" applyFill="1" applyBorder="1" applyAlignment="1">
      <alignment vertical="center"/>
    </xf>
    <xf numFmtId="0" fontId="3" fillId="13" borderId="1" xfId="0" applyNumberFormat="1" applyFont="1" applyFill="1" applyBorder="1" applyAlignment="1">
      <alignment vertical="center"/>
    </xf>
    <xf numFmtId="0" fontId="11" fillId="8" borderId="12" xfId="0" applyFont="1" applyFill="1" applyBorder="1" applyAlignment="1">
      <alignment horizontal="left"/>
    </xf>
    <xf numFmtId="0" fontId="2" fillId="6" borderId="1" xfId="0" applyFont="1" applyFill="1" applyBorder="1"/>
    <xf numFmtId="0" fontId="0" fillId="6" borderId="1" xfId="0" applyFill="1" applyBorder="1"/>
    <xf numFmtId="0" fontId="6" fillId="6" borderId="1" xfId="0" applyFont="1" applyFill="1" applyBorder="1" applyAlignment="1">
      <alignment horizontal="center"/>
    </xf>
    <xf numFmtId="0" fontId="0" fillId="0" borderId="1" xfId="0" applyFill="1" applyBorder="1"/>
    <xf numFmtId="0" fontId="0" fillId="0" borderId="1" xfId="0" applyFill="1" applyBorder="1" applyAlignment="1">
      <alignment horizontal="center"/>
    </xf>
    <xf numFmtId="0" fontId="2" fillId="6" borderId="1" xfId="0" applyFont="1" applyFill="1" applyBorder="1" applyAlignment="1">
      <alignment horizontal="right"/>
    </xf>
    <xf numFmtId="0" fontId="3" fillId="0" borderId="15" xfId="0" applyFont="1" applyBorder="1" applyAlignment="1">
      <alignment horizontal="center" vertical="center"/>
    </xf>
    <xf numFmtId="0" fontId="3" fillId="0" borderId="25" xfId="0" applyFont="1" applyBorder="1" applyAlignment="1">
      <alignment horizontal="center" vertical="center"/>
    </xf>
    <xf numFmtId="0" fontId="3" fillId="13" borderId="39" xfId="0" applyNumberFormat="1" applyFont="1" applyFill="1" applyBorder="1" applyAlignment="1">
      <alignment horizontal="center" vertical="center"/>
    </xf>
    <xf numFmtId="0" fontId="13" fillId="0" borderId="0" xfId="0" applyFont="1"/>
    <xf numFmtId="0" fontId="7" fillId="12" borderId="7" xfId="0" applyFont="1" applyFill="1" applyBorder="1" applyAlignment="1">
      <alignment horizontal="center" vertical="center" wrapText="1"/>
    </xf>
    <xf numFmtId="0" fontId="7" fillId="12" borderId="6" xfId="0" applyFont="1" applyFill="1" applyBorder="1" applyAlignment="1">
      <alignment horizontal="center" vertical="center" wrapText="1"/>
    </xf>
    <xf numFmtId="0" fontId="7" fillId="12"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6" xfId="0" applyFont="1" applyBorder="1" applyAlignment="1">
      <alignment horizontal="center" vertical="center"/>
    </xf>
    <xf numFmtId="0" fontId="3" fillId="0" borderId="35" xfId="0" applyFont="1" applyBorder="1" applyAlignment="1">
      <alignment horizontal="left" vertical="center"/>
    </xf>
    <xf numFmtId="0" fontId="3" fillId="0" borderId="37" xfId="0" applyFont="1" applyBorder="1" applyAlignment="1">
      <alignment horizontal="left" vertical="center"/>
    </xf>
    <xf numFmtId="0" fontId="3" fillId="0" borderId="38"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1" borderId="7" xfId="0" applyFont="1" applyFill="1" applyBorder="1" applyAlignment="1">
      <alignment horizontal="left"/>
    </xf>
    <xf numFmtId="0" fontId="7" fillId="11" borderId="6" xfId="0" applyFont="1" applyFill="1" applyBorder="1" applyAlignment="1">
      <alignment horizontal="left"/>
    </xf>
    <xf numFmtId="164" fontId="7" fillId="11" borderId="7" xfId="0" applyNumberFormat="1" applyFont="1" applyFill="1" applyBorder="1" applyAlignment="1">
      <alignment horizontal="left"/>
    </xf>
    <xf numFmtId="164" fontId="7" fillId="11" borderId="6" xfId="0" applyNumberFormat="1" applyFont="1" applyFill="1" applyBorder="1" applyAlignment="1">
      <alignment horizontal="left"/>
    </xf>
    <xf numFmtId="0" fontId="1" fillId="0" borderId="19"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7" fillId="11" borderId="7" xfId="0" applyFont="1" applyFill="1" applyBorder="1" applyAlignment="1">
      <alignment horizontal="left"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cellXfs>
  <cellStyles count="7">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s>
  <dxfs count="9">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BA3838"/>
      <color rgb="FF5F5F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styles" Target="styles.xml"/><Relationship Id="rId3" Type="http://schemas.openxmlformats.org/officeDocument/2006/relationships/chartsheet" Target="chartsheets/sheet1.xml"/><Relationship Id="rId7" Type="http://schemas.openxmlformats.org/officeDocument/2006/relationships/chartsheet" Target="chartsheets/sheet3.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externalLink" Target="externalLinks/externalLink2.xml"/><Relationship Id="rId5" Type="http://schemas.openxmlformats.org/officeDocument/2006/relationships/chartsheet" Target="chartsheets/sheet2.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3.xml"/><Relationship Id="rId9" Type="http://schemas.openxmlformats.org/officeDocument/2006/relationships/chartsheet" Target="chartsheets/sheet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932821640450779E-2"/>
          <c:y val="0.14661961377408195"/>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'R1'!$O$48:$V$48</c:f>
                <c:numCache>
                  <c:formatCode>General</c:formatCode>
                  <c:ptCount val="8"/>
                  <c:pt idx="0">
                    <c:v>6.4488256331197188E-2</c:v>
                  </c:pt>
                  <c:pt idx="1">
                    <c:v>8.756190760520044E-2</c:v>
                  </c:pt>
                  <c:pt idx="2">
                    <c:v>3.5947809426545137E-2</c:v>
                  </c:pt>
                  <c:pt idx="3">
                    <c:v>0.14598308131432602</c:v>
                  </c:pt>
                  <c:pt idx="4">
                    <c:v>0.10813944709440214</c:v>
                  </c:pt>
                  <c:pt idx="5">
                    <c:v>9.4759183131364152E-2</c:v>
                  </c:pt>
                  <c:pt idx="6">
                    <c:v>0.10073365107394333</c:v>
                  </c:pt>
                  <c:pt idx="7">
                    <c:v>0.16324669971836744</c:v>
                  </c:pt>
                </c:numCache>
              </c:numRef>
            </c:plus>
            <c:minus>
              <c:numRef>
                <c:f>'R1'!$O$48:$V$48</c:f>
                <c:numCache>
                  <c:formatCode>General</c:formatCode>
                  <c:ptCount val="8"/>
                  <c:pt idx="0">
                    <c:v>6.4488256331197188E-2</c:v>
                  </c:pt>
                  <c:pt idx="1">
                    <c:v>8.756190760520044E-2</c:v>
                  </c:pt>
                  <c:pt idx="2">
                    <c:v>3.5947809426545137E-2</c:v>
                  </c:pt>
                  <c:pt idx="3">
                    <c:v>0.14598308131432602</c:v>
                  </c:pt>
                  <c:pt idx="4">
                    <c:v>0.10813944709440214</c:v>
                  </c:pt>
                  <c:pt idx="5">
                    <c:v>9.4759183131364152E-2</c:v>
                  </c:pt>
                  <c:pt idx="6">
                    <c:v>0.10073365107394333</c:v>
                  </c:pt>
                  <c:pt idx="7">
                    <c:v>0.16324669971836744</c:v>
                  </c:pt>
                </c:numCache>
              </c:numRef>
            </c:minus>
          </c:errBars>
          <c:cat>
            <c:strRef>
              <c:f>'R1'!$B$52:$V$52</c:f>
              <c:strCache>
                <c:ptCount val="21"/>
                <c:pt idx="0">
                  <c:v>Solvent control</c:v>
                </c:pt>
                <c:pt idx="1">
                  <c:v>EE2-33.8ng/L</c:v>
                </c:pt>
                <c:pt idx="2">
                  <c:v>EE2-50.6ng/L</c:v>
                </c:pt>
                <c:pt idx="3">
                  <c:v>EE2-76ng/L</c:v>
                </c:pt>
                <c:pt idx="4">
                  <c:v>EE2-114ng/L</c:v>
                </c:pt>
                <c:pt idx="5">
                  <c:v>EE2-170.9ng/L</c:v>
                </c:pt>
                <c:pt idx="6">
                  <c:v>EE2-488ng/L</c:v>
                </c:pt>
                <c:pt idx="7">
                  <c:v>estradiol-540ng/L</c:v>
                </c:pt>
                <c:pt idx="8">
                  <c:v>estradiol-270ng/L</c:v>
                </c:pt>
                <c:pt idx="9">
                  <c:v>estradiol-135ng/L</c:v>
                </c:pt>
                <c:pt idx="10">
                  <c:v>estradiol-68ng/L</c:v>
                </c:pt>
                <c:pt idx="11">
                  <c:v>estradiol-34ng/L</c:v>
                </c:pt>
                <c:pt idx="13">
                  <c:v>Testo -30µg/L</c:v>
                </c:pt>
                <c:pt idx="14">
                  <c:v>Testo 30µg/L + EE2 -64ng/L</c:v>
                </c:pt>
                <c:pt idx="15">
                  <c:v>Testo 30µg/L + FAD-10mg/L</c:v>
                </c:pt>
                <c:pt idx="16">
                  <c:v>estradiol-540ng/L + Testostérone</c:v>
                </c:pt>
                <c:pt idx="17">
                  <c:v>estradiol-270ng/L + Testostérone</c:v>
                </c:pt>
                <c:pt idx="18">
                  <c:v>estradiol-135ng/L + Testostérone</c:v>
                </c:pt>
                <c:pt idx="19">
                  <c:v>estradiol-68ng/L + Testostérone</c:v>
                </c:pt>
                <c:pt idx="20">
                  <c:v>estradiol-34ng/L + Testostérone</c:v>
                </c:pt>
              </c:strCache>
            </c:strRef>
          </c:cat>
          <c:val>
            <c:numRef>
              <c:f>'R1'!$B$53:$V$53</c:f>
              <c:numCache>
                <c:formatCode>0.0000</c:formatCode>
                <c:ptCount val="21"/>
                <c:pt idx="0">
                  <c:v>0.17544673436515715</c:v>
                </c:pt>
                <c:pt idx="1">
                  <c:v>0.44925198817155204</c:v>
                </c:pt>
                <c:pt idx="2">
                  <c:v>0.56059687829939675</c:v>
                </c:pt>
                <c:pt idx="3">
                  <c:v>0.72933426414592584</c:v>
                </c:pt>
                <c:pt idx="4">
                  <c:v>1.1721061080292667</c:v>
                </c:pt>
                <c:pt idx="5">
                  <c:v>1.2831195274558314</c:v>
                </c:pt>
                <c:pt idx="6">
                  <c:v>2.3983175338710057</c:v>
                </c:pt>
                <c:pt idx="7">
                  <c:v>1.4195912569173288</c:v>
                </c:pt>
                <c:pt idx="8">
                  <c:v>1.0779791004641945</c:v>
                </c:pt>
                <c:pt idx="9">
                  <c:v>0.4772914986254167</c:v>
                </c:pt>
                <c:pt idx="10">
                  <c:v>0.35368738967895924</c:v>
                </c:pt>
                <c:pt idx="11">
                  <c:v>0.27221038642804674</c:v>
                </c:pt>
                <c:pt idx="12">
                  <c:v>0</c:v>
                </c:pt>
                <c:pt idx="13">
                  <c:v>1</c:v>
                </c:pt>
                <c:pt idx="14">
                  <c:v>1.2014077128634355</c:v>
                </c:pt>
                <c:pt idx="15">
                  <c:v>0.19289282031916724</c:v>
                </c:pt>
                <c:pt idx="16">
                  <c:v>1.4197805119886877</c:v>
                </c:pt>
                <c:pt idx="17">
                  <c:v>1.3008480550496277</c:v>
                </c:pt>
                <c:pt idx="18">
                  <c:v>0.91987166613008209</c:v>
                </c:pt>
                <c:pt idx="19">
                  <c:v>1.2393068397657017</c:v>
                </c:pt>
                <c:pt idx="20">
                  <c:v>0.95944975260672327</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5400000" vert="horz"/>
          <a:lstStyle/>
          <a:p>
            <a:pPr>
              <a:defRPr lang="en-GB"/>
            </a:pPr>
            <a:endParaRPr lang="en-US"/>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rgbClr val="BA3838"/>
            </a:solidFill>
          </c:spPr>
          <c:invertIfNegative val="0"/>
          <c:dPt>
            <c:idx val="9"/>
            <c:invertIfNegative val="0"/>
            <c:bubble3D val="0"/>
            <c:extLst>
              <c:ext xmlns:c16="http://schemas.microsoft.com/office/drawing/2014/chart" uri="{C3380CC4-5D6E-409C-BE32-E72D297353CC}">
                <c16:uniqueId val="{00000001-EED2-4ACE-91AA-7F8713196E92}"/>
              </c:ext>
            </c:extLst>
          </c:dPt>
          <c:dPt>
            <c:idx val="11"/>
            <c:invertIfNegative val="0"/>
            <c:bubble3D val="0"/>
            <c:extLst>
              <c:ext xmlns:c16="http://schemas.microsoft.com/office/drawing/2014/chart" uri="{C3380CC4-5D6E-409C-BE32-E72D297353CC}">
                <c16:uniqueId val="{00000003-EED2-4ACE-91AA-7F8713196E92}"/>
              </c:ext>
            </c:extLst>
          </c:dPt>
          <c:dPt>
            <c:idx val="13"/>
            <c:invertIfNegative val="0"/>
            <c:bubble3D val="0"/>
            <c:extLst>
              <c:ext xmlns:c16="http://schemas.microsoft.com/office/drawing/2014/chart" uri="{C3380CC4-5D6E-409C-BE32-E72D297353CC}">
                <c16:uniqueId val="{00000005-EED2-4ACE-91AA-7F8713196E92}"/>
              </c:ext>
            </c:extLst>
          </c:dPt>
          <c:dPt>
            <c:idx val="15"/>
            <c:invertIfNegative val="0"/>
            <c:bubble3D val="0"/>
            <c:extLst>
              <c:ext xmlns:c16="http://schemas.microsoft.com/office/drawing/2014/chart" uri="{C3380CC4-5D6E-409C-BE32-E72D297353CC}">
                <c16:uniqueId val="{00000007-EED2-4ACE-91AA-7F8713196E92}"/>
              </c:ext>
            </c:extLst>
          </c:dPt>
          <c:dPt>
            <c:idx val="25"/>
            <c:invertIfNegative val="0"/>
            <c:bubble3D val="0"/>
            <c:extLst>
              <c:ext xmlns:c16="http://schemas.microsoft.com/office/drawing/2014/chart" uri="{C3380CC4-5D6E-409C-BE32-E72D297353CC}">
                <c16:uniqueId val="{00000009-EED2-4ACE-91AA-7F8713196E92}"/>
              </c:ext>
            </c:extLst>
          </c:dPt>
          <c:dPt>
            <c:idx val="26"/>
            <c:invertIfNegative val="0"/>
            <c:bubble3D val="0"/>
            <c:extLst>
              <c:ext xmlns:c16="http://schemas.microsoft.com/office/drawing/2014/chart" uri="{C3380CC4-5D6E-409C-BE32-E72D297353CC}">
                <c16:uniqueId val="{0000000B-EED2-4ACE-91AA-7F8713196E92}"/>
              </c:ext>
            </c:extLst>
          </c:dPt>
          <c:dPt>
            <c:idx val="27"/>
            <c:invertIfNegative val="0"/>
            <c:bubble3D val="0"/>
            <c:extLst>
              <c:ext xmlns:c16="http://schemas.microsoft.com/office/drawing/2014/chart" uri="{C3380CC4-5D6E-409C-BE32-E72D297353CC}">
                <c16:uniqueId val="{0000000D-EED2-4ACE-91AA-7F8713196E92}"/>
              </c:ext>
            </c:extLst>
          </c:dPt>
          <c:dPt>
            <c:idx val="28"/>
            <c:invertIfNegative val="0"/>
            <c:bubble3D val="0"/>
            <c:extLst>
              <c:ext xmlns:c16="http://schemas.microsoft.com/office/drawing/2014/chart" uri="{C3380CC4-5D6E-409C-BE32-E72D297353CC}">
                <c16:uniqueId val="{0000000F-EED2-4ACE-91AA-7F8713196E92}"/>
              </c:ext>
            </c:extLst>
          </c:dPt>
          <c:dPt>
            <c:idx val="30"/>
            <c:invertIfNegative val="0"/>
            <c:bubble3D val="0"/>
            <c:extLst>
              <c:ext xmlns:c16="http://schemas.microsoft.com/office/drawing/2014/chart" uri="{C3380CC4-5D6E-409C-BE32-E72D297353CC}">
                <c16:uniqueId val="{00000011-EED2-4ACE-91AA-7F8713196E92}"/>
              </c:ext>
            </c:extLst>
          </c:dPt>
          <c:dPt>
            <c:idx val="32"/>
            <c:invertIfNegative val="0"/>
            <c:bubble3D val="0"/>
            <c:extLst>
              <c:ext xmlns:c16="http://schemas.microsoft.com/office/drawing/2014/chart" uri="{C3380CC4-5D6E-409C-BE32-E72D297353CC}">
                <c16:uniqueId val="{00000013-EED2-4ACE-91AA-7F8713196E92}"/>
              </c:ext>
            </c:extLst>
          </c:dPt>
          <c:dPt>
            <c:idx val="34"/>
            <c:invertIfNegative val="0"/>
            <c:bubble3D val="0"/>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4.7857890499895903E-2</c:v>
                  </c:pt>
                  <c:pt idx="1">
                    <c:v>5.2463568586656149E-2</c:v>
                  </c:pt>
                  <c:pt idx="2">
                    <c:v>4.1295102328780815E-2</c:v>
                  </c:pt>
                  <c:pt idx="3">
                    <c:v>0.18394829458659057</c:v>
                  </c:pt>
                  <c:pt idx="4">
                    <c:v>0.14218328665251015</c:v>
                  </c:pt>
                  <c:pt idx="5">
                    <c:v>0.11846558308424621</c:v>
                  </c:pt>
                  <c:pt idx="6">
                    <c:v>0.38191074305637673</c:v>
                  </c:pt>
                  <c:pt idx="7">
                    <c:v>0.11921066941642111</c:v>
                  </c:pt>
                  <c:pt idx="8">
                    <c:v>0.19029157464602034</c:v>
                  </c:pt>
                  <c:pt idx="9">
                    <c:v>0.14125993521357072</c:v>
                  </c:pt>
                  <c:pt idx="10">
                    <c:v>0.28834344171275678</c:v>
                  </c:pt>
                  <c:pt idx="11">
                    <c:v>6.2724932457023819E-2</c:v>
                  </c:pt>
                  <c:pt idx="12">
                    <c:v>0</c:v>
                  </c:pt>
                  <c:pt idx="13">
                    <c:v>0.10195571062493453</c:v>
                  </c:pt>
                  <c:pt idx="14">
                    <c:v>0.13014476120689922</c:v>
                  </c:pt>
                  <c:pt idx="15">
                    <c:v>3.2815344751205337E-2</c:v>
                  </c:pt>
                  <c:pt idx="16">
                    <c:v>0.27121865589261734</c:v>
                  </c:pt>
                  <c:pt idx="17">
                    <c:v>0.20431089886248599</c:v>
                  </c:pt>
                  <c:pt idx="18">
                    <c:v>9.9915403650942272E-2</c:v>
                  </c:pt>
                  <c:pt idx="19">
                    <c:v>0.19714981054417602</c:v>
                  </c:pt>
                  <c:pt idx="20">
                    <c:v>0.26885819773635555</c:v>
                  </c:pt>
                </c:numCache>
              </c:numRef>
            </c:plus>
            <c:minus>
              <c:numRef>
                <c:f>'R1'!$O$48:$V$48</c:f>
                <c:numCache>
                  <c:formatCode>General</c:formatCode>
                  <c:ptCount val="8"/>
                  <c:pt idx="0">
                    <c:v>6.4488256331197188E-2</c:v>
                  </c:pt>
                  <c:pt idx="1">
                    <c:v>8.756190760520044E-2</c:v>
                  </c:pt>
                  <c:pt idx="2">
                    <c:v>3.5947809426545137E-2</c:v>
                  </c:pt>
                  <c:pt idx="3">
                    <c:v>0.14598308131432602</c:v>
                  </c:pt>
                  <c:pt idx="4">
                    <c:v>0.10813944709440214</c:v>
                  </c:pt>
                  <c:pt idx="5">
                    <c:v>9.4759183131364152E-2</c:v>
                  </c:pt>
                  <c:pt idx="6">
                    <c:v>0.10073365107394333</c:v>
                  </c:pt>
                  <c:pt idx="7">
                    <c:v>0.16324669971836744</c:v>
                  </c:pt>
                </c:numCache>
              </c:numRef>
            </c:minus>
          </c:errBars>
          <c:cat>
            <c:strRef>
              <c:f>'R2'!$B$52:$V$52</c:f>
              <c:strCache>
                <c:ptCount val="21"/>
                <c:pt idx="0">
                  <c:v>Solvent control</c:v>
                </c:pt>
                <c:pt idx="1">
                  <c:v>EE2-33.8ng/L</c:v>
                </c:pt>
                <c:pt idx="2">
                  <c:v>EE2-50.6ng/L</c:v>
                </c:pt>
                <c:pt idx="3">
                  <c:v>EE2-76ng/L</c:v>
                </c:pt>
                <c:pt idx="4">
                  <c:v>EE2-114ng/L</c:v>
                </c:pt>
                <c:pt idx="5">
                  <c:v>EE2-170.9ng/L</c:v>
                </c:pt>
                <c:pt idx="6">
                  <c:v>EE2-488ng/L</c:v>
                </c:pt>
                <c:pt idx="7">
                  <c:v>estradiol-540ng/L</c:v>
                </c:pt>
                <c:pt idx="8">
                  <c:v>estradiol-270ng/L</c:v>
                </c:pt>
                <c:pt idx="9">
                  <c:v>estradiol-135ng/L</c:v>
                </c:pt>
                <c:pt idx="10">
                  <c:v>estradiol-68ng/L</c:v>
                </c:pt>
                <c:pt idx="11">
                  <c:v>estradiol-34ng/L</c:v>
                </c:pt>
                <c:pt idx="13">
                  <c:v>Testo -30µg/L</c:v>
                </c:pt>
                <c:pt idx="14">
                  <c:v>Testo 30µg/L + EE2 -64ng/L</c:v>
                </c:pt>
                <c:pt idx="15">
                  <c:v>Testo 30µg/L + FAD-10mg/L</c:v>
                </c:pt>
                <c:pt idx="16">
                  <c:v>estradiol-540ng/L + Testostérone</c:v>
                </c:pt>
                <c:pt idx="17">
                  <c:v>estradiol-270ng/L + Testostérone</c:v>
                </c:pt>
                <c:pt idx="18">
                  <c:v>estradiol-135ng/L + Testostérone</c:v>
                </c:pt>
                <c:pt idx="19">
                  <c:v>estradiol-68ng/L + Testostérone</c:v>
                </c:pt>
                <c:pt idx="20">
                  <c:v>estradiol-34ng/L + Testostérone</c:v>
                </c:pt>
              </c:strCache>
            </c:strRef>
          </c:cat>
          <c:val>
            <c:numRef>
              <c:f>'R2'!$B$53:$V$53</c:f>
              <c:numCache>
                <c:formatCode>0.0000</c:formatCode>
                <c:ptCount val="21"/>
                <c:pt idx="0">
                  <c:v>0.35655287616919679</c:v>
                </c:pt>
                <c:pt idx="1">
                  <c:v>0.21165145435219596</c:v>
                </c:pt>
                <c:pt idx="2">
                  <c:v>0.25875314514674896</c:v>
                </c:pt>
                <c:pt idx="3">
                  <c:v>0.99073258193139757</c:v>
                </c:pt>
                <c:pt idx="4">
                  <c:v>1.3800127987344977</c:v>
                </c:pt>
                <c:pt idx="5">
                  <c:v>1.7858397932971104</c:v>
                </c:pt>
                <c:pt idx="6">
                  <c:v>2.3002198074417421</c:v>
                </c:pt>
                <c:pt idx="7">
                  <c:v>2.1992233089054238</c:v>
                </c:pt>
                <c:pt idx="8">
                  <c:v>1.5141876256194071</c:v>
                </c:pt>
                <c:pt idx="9">
                  <c:v>1.2138867465653547</c:v>
                </c:pt>
                <c:pt idx="10">
                  <c:v>0.56105699960561473</c:v>
                </c:pt>
                <c:pt idx="11">
                  <c:v>0.4264367929109501</c:v>
                </c:pt>
                <c:pt idx="12">
                  <c:v>0</c:v>
                </c:pt>
                <c:pt idx="13">
                  <c:v>0.99999999999999989</c:v>
                </c:pt>
                <c:pt idx="14">
                  <c:v>1.4744822193336111</c:v>
                </c:pt>
                <c:pt idx="15">
                  <c:v>0.26769074363324269</c:v>
                </c:pt>
                <c:pt idx="16">
                  <c:v>2.3385756153264343</c:v>
                </c:pt>
                <c:pt idx="17">
                  <c:v>1.937694643370333</c:v>
                </c:pt>
                <c:pt idx="18">
                  <c:v>1.8405802170236778</c:v>
                </c:pt>
                <c:pt idx="19">
                  <c:v>2.036144199723366</c:v>
                </c:pt>
                <c:pt idx="20">
                  <c:v>1.2385976057909769</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5400000" vert="horz"/>
          <a:lstStyle/>
          <a:p>
            <a:pPr>
              <a:defRPr lang="en-GB"/>
            </a:pPr>
            <a:endParaRPr lang="en-US"/>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rgbClr val="00B0F0"/>
            </a:solidFill>
          </c:spPr>
          <c:invertIfNegative val="0"/>
          <c:dPt>
            <c:idx val="9"/>
            <c:invertIfNegative val="0"/>
            <c:bubble3D val="0"/>
            <c:extLst>
              <c:ext xmlns:c16="http://schemas.microsoft.com/office/drawing/2014/chart" uri="{C3380CC4-5D6E-409C-BE32-E72D297353CC}">
                <c16:uniqueId val="{00000001-EED2-4ACE-91AA-7F8713196E92}"/>
              </c:ext>
            </c:extLst>
          </c:dPt>
          <c:dPt>
            <c:idx val="11"/>
            <c:invertIfNegative val="0"/>
            <c:bubble3D val="0"/>
            <c:extLst>
              <c:ext xmlns:c16="http://schemas.microsoft.com/office/drawing/2014/chart" uri="{C3380CC4-5D6E-409C-BE32-E72D297353CC}">
                <c16:uniqueId val="{00000003-EED2-4ACE-91AA-7F8713196E92}"/>
              </c:ext>
            </c:extLst>
          </c:dPt>
          <c:dPt>
            <c:idx val="13"/>
            <c:invertIfNegative val="0"/>
            <c:bubble3D val="0"/>
            <c:extLst>
              <c:ext xmlns:c16="http://schemas.microsoft.com/office/drawing/2014/chart" uri="{C3380CC4-5D6E-409C-BE32-E72D297353CC}">
                <c16:uniqueId val="{00000005-EED2-4ACE-91AA-7F8713196E92}"/>
              </c:ext>
            </c:extLst>
          </c:dPt>
          <c:dPt>
            <c:idx val="15"/>
            <c:invertIfNegative val="0"/>
            <c:bubble3D val="0"/>
            <c:extLst>
              <c:ext xmlns:c16="http://schemas.microsoft.com/office/drawing/2014/chart" uri="{C3380CC4-5D6E-409C-BE32-E72D297353CC}">
                <c16:uniqueId val="{00000007-EED2-4ACE-91AA-7F8713196E92}"/>
              </c:ext>
            </c:extLst>
          </c:dPt>
          <c:dPt>
            <c:idx val="25"/>
            <c:invertIfNegative val="0"/>
            <c:bubble3D val="0"/>
            <c:extLst>
              <c:ext xmlns:c16="http://schemas.microsoft.com/office/drawing/2014/chart" uri="{C3380CC4-5D6E-409C-BE32-E72D297353CC}">
                <c16:uniqueId val="{00000009-EED2-4ACE-91AA-7F8713196E92}"/>
              </c:ext>
            </c:extLst>
          </c:dPt>
          <c:dPt>
            <c:idx val="26"/>
            <c:invertIfNegative val="0"/>
            <c:bubble3D val="0"/>
            <c:extLst>
              <c:ext xmlns:c16="http://schemas.microsoft.com/office/drawing/2014/chart" uri="{C3380CC4-5D6E-409C-BE32-E72D297353CC}">
                <c16:uniqueId val="{0000000B-EED2-4ACE-91AA-7F8713196E92}"/>
              </c:ext>
            </c:extLst>
          </c:dPt>
          <c:dPt>
            <c:idx val="27"/>
            <c:invertIfNegative val="0"/>
            <c:bubble3D val="0"/>
            <c:extLst>
              <c:ext xmlns:c16="http://schemas.microsoft.com/office/drawing/2014/chart" uri="{C3380CC4-5D6E-409C-BE32-E72D297353CC}">
                <c16:uniqueId val="{0000000D-EED2-4ACE-91AA-7F8713196E92}"/>
              </c:ext>
            </c:extLst>
          </c:dPt>
          <c:dPt>
            <c:idx val="28"/>
            <c:invertIfNegative val="0"/>
            <c:bubble3D val="0"/>
            <c:extLst>
              <c:ext xmlns:c16="http://schemas.microsoft.com/office/drawing/2014/chart" uri="{C3380CC4-5D6E-409C-BE32-E72D297353CC}">
                <c16:uniqueId val="{0000000F-EED2-4ACE-91AA-7F8713196E92}"/>
              </c:ext>
            </c:extLst>
          </c:dPt>
          <c:dPt>
            <c:idx val="30"/>
            <c:invertIfNegative val="0"/>
            <c:bubble3D val="0"/>
            <c:extLst>
              <c:ext xmlns:c16="http://schemas.microsoft.com/office/drawing/2014/chart" uri="{C3380CC4-5D6E-409C-BE32-E72D297353CC}">
                <c16:uniqueId val="{00000011-EED2-4ACE-91AA-7F8713196E92}"/>
              </c:ext>
            </c:extLst>
          </c:dPt>
          <c:dPt>
            <c:idx val="32"/>
            <c:invertIfNegative val="0"/>
            <c:bubble3D val="0"/>
            <c:extLst>
              <c:ext xmlns:c16="http://schemas.microsoft.com/office/drawing/2014/chart" uri="{C3380CC4-5D6E-409C-BE32-E72D297353CC}">
                <c16:uniqueId val="{00000013-EED2-4ACE-91AA-7F8713196E92}"/>
              </c:ext>
            </c:extLst>
          </c:dPt>
          <c:dPt>
            <c:idx val="34"/>
            <c:invertIfNegative val="0"/>
            <c:bubble3D val="0"/>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5.129314309307742E-2</c:v>
                  </c:pt>
                  <c:pt idx="1">
                    <c:v>3.6822765102058508E-2</c:v>
                  </c:pt>
                  <c:pt idx="2">
                    <c:v>9.4876499695476915E-2</c:v>
                  </c:pt>
                  <c:pt idx="3">
                    <c:v>0.11912124318976854</c:v>
                  </c:pt>
                  <c:pt idx="4">
                    <c:v>0.1054529666737359</c:v>
                  </c:pt>
                  <c:pt idx="5">
                    <c:v>0.13223872947486801</c:v>
                  </c:pt>
                  <c:pt idx="6">
                    <c:v>0.13110116329181237</c:v>
                  </c:pt>
                  <c:pt idx="7">
                    <c:v>0.11747371380552143</c:v>
                  </c:pt>
                  <c:pt idx="8">
                    <c:v>0.15689770396244004</c:v>
                  </c:pt>
                  <c:pt idx="9">
                    <c:v>0.10525247763156784</c:v>
                  </c:pt>
                  <c:pt idx="10">
                    <c:v>5.8215855343699281E-2</c:v>
                  </c:pt>
                  <c:pt idx="11">
                    <c:v>7.5740546301762982E-2</c:v>
                  </c:pt>
                  <c:pt idx="12">
                    <c:v>0</c:v>
                  </c:pt>
                  <c:pt idx="13">
                    <c:v>9.9946961870710921E-2</c:v>
                  </c:pt>
                  <c:pt idx="14">
                    <c:v>9.6753751149276673E-2</c:v>
                  </c:pt>
                  <c:pt idx="15">
                    <c:v>3.0687387149545147E-2</c:v>
                  </c:pt>
                  <c:pt idx="16">
                    <c:v>0.15381151453429881</c:v>
                  </c:pt>
                  <c:pt idx="17">
                    <c:v>0.1148755363760403</c:v>
                  </c:pt>
                  <c:pt idx="18">
                    <c:v>0.12606939358095529</c:v>
                  </c:pt>
                  <c:pt idx="19">
                    <c:v>7.0990575521024293E-2</c:v>
                  </c:pt>
                  <c:pt idx="20">
                    <c:v>7.9087586800863419E-2</c:v>
                  </c:pt>
                </c:numCache>
              </c:numRef>
            </c:plus>
            <c:minus>
              <c:numRef>
                <c:f>'R1'!$O$48:$V$48</c:f>
                <c:numCache>
                  <c:formatCode>General</c:formatCode>
                  <c:ptCount val="8"/>
                  <c:pt idx="0">
                    <c:v>6.4488256331197188E-2</c:v>
                  </c:pt>
                  <c:pt idx="1">
                    <c:v>8.756190760520044E-2</c:v>
                  </c:pt>
                  <c:pt idx="2">
                    <c:v>3.5947809426545137E-2</c:v>
                  </c:pt>
                  <c:pt idx="3">
                    <c:v>0.14598308131432602</c:v>
                  </c:pt>
                  <c:pt idx="4">
                    <c:v>0.10813944709440214</c:v>
                  </c:pt>
                  <c:pt idx="5">
                    <c:v>9.4759183131364152E-2</c:v>
                  </c:pt>
                  <c:pt idx="6">
                    <c:v>0.10073365107394333</c:v>
                  </c:pt>
                  <c:pt idx="7">
                    <c:v>0.16324669971836744</c:v>
                  </c:pt>
                </c:numCache>
              </c:numRef>
            </c:minus>
          </c:errBars>
          <c:cat>
            <c:strRef>
              <c:f>'R3'!$B$52:$V$52</c:f>
              <c:strCache>
                <c:ptCount val="21"/>
                <c:pt idx="0">
                  <c:v>Solvent control</c:v>
                </c:pt>
                <c:pt idx="1">
                  <c:v>EE2-33.8ng/L</c:v>
                </c:pt>
                <c:pt idx="2">
                  <c:v>EE2-50.6ng/L</c:v>
                </c:pt>
                <c:pt idx="3">
                  <c:v>EE2-76ng/L</c:v>
                </c:pt>
                <c:pt idx="4">
                  <c:v>EE2-114ng/L</c:v>
                </c:pt>
                <c:pt idx="5">
                  <c:v>EE2-170.9ng/L</c:v>
                </c:pt>
                <c:pt idx="6">
                  <c:v>EE2-488ng/L</c:v>
                </c:pt>
                <c:pt idx="7">
                  <c:v>estradiol-540ng/L</c:v>
                </c:pt>
                <c:pt idx="8">
                  <c:v>estradiol-270ng/L</c:v>
                </c:pt>
                <c:pt idx="9">
                  <c:v>estradiol-135ng/L</c:v>
                </c:pt>
                <c:pt idx="10">
                  <c:v>estradiol-68ng/L</c:v>
                </c:pt>
                <c:pt idx="11">
                  <c:v>estradiol-34ng/L</c:v>
                </c:pt>
                <c:pt idx="13">
                  <c:v>Testo -30µg/L</c:v>
                </c:pt>
                <c:pt idx="14">
                  <c:v>Testo 30µg/L + EE2 -64ng/L</c:v>
                </c:pt>
                <c:pt idx="15">
                  <c:v>Testo 30µg/L + FAD-10mg/L</c:v>
                </c:pt>
                <c:pt idx="16">
                  <c:v>estradiol-540ng/L + Testostérone</c:v>
                </c:pt>
                <c:pt idx="17">
                  <c:v>estradiol-270ng/L + Testostérone</c:v>
                </c:pt>
                <c:pt idx="18">
                  <c:v>estradiol-135ng/L + Testostérone</c:v>
                </c:pt>
                <c:pt idx="19">
                  <c:v>estradiol-68ng/L + Testostérone</c:v>
                </c:pt>
                <c:pt idx="20">
                  <c:v>estradiol-34ng/L + Testostérone</c:v>
                </c:pt>
              </c:strCache>
            </c:strRef>
          </c:cat>
          <c:val>
            <c:numRef>
              <c:f>'R3'!$B$53:$V$53</c:f>
              <c:numCache>
                <c:formatCode>0.0000</c:formatCode>
                <c:ptCount val="21"/>
                <c:pt idx="0">
                  <c:v>0.24286787621538702</c:v>
                </c:pt>
                <c:pt idx="1">
                  <c:v>0.11688236964174487</c:v>
                </c:pt>
                <c:pt idx="2">
                  <c:v>0.45422798701572087</c:v>
                </c:pt>
                <c:pt idx="3">
                  <c:v>0.76348905544442647</c:v>
                </c:pt>
                <c:pt idx="4">
                  <c:v>0.9958385644318406</c:v>
                </c:pt>
                <c:pt idx="5">
                  <c:v>1.6267413755693039</c:v>
                </c:pt>
                <c:pt idx="6">
                  <c:v>1.6045908084516558</c:v>
                </c:pt>
                <c:pt idx="7">
                  <c:v>1.720087904045011</c:v>
                </c:pt>
                <c:pt idx="8">
                  <c:v>1.2158249410860464</c:v>
                </c:pt>
                <c:pt idx="9">
                  <c:v>0.59836007085867027</c:v>
                </c:pt>
                <c:pt idx="10">
                  <c:v>0.27775114400481027</c:v>
                </c:pt>
                <c:pt idx="11">
                  <c:v>0.25728060961773669</c:v>
                </c:pt>
                <c:pt idx="12">
                  <c:v>0</c:v>
                </c:pt>
                <c:pt idx="13">
                  <c:v>1.0000000000000002</c:v>
                </c:pt>
                <c:pt idx="14">
                  <c:v>1.116829042123342</c:v>
                </c:pt>
                <c:pt idx="15">
                  <c:v>0.20741301083498589</c:v>
                </c:pt>
                <c:pt idx="16">
                  <c:v>1.6285823624090652</c:v>
                </c:pt>
                <c:pt idx="17">
                  <c:v>1.5185326080502963</c:v>
                </c:pt>
                <c:pt idx="18">
                  <c:v>1.3554113397621419</c:v>
                </c:pt>
                <c:pt idx="19">
                  <c:v>1.0077377797400771</c:v>
                </c:pt>
                <c:pt idx="20">
                  <c:v>1.131790649548605</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5400000" vert="horz"/>
          <a:lstStyle/>
          <a:p>
            <a:pPr>
              <a:defRPr lang="en-GB"/>
            </a:pPr>
            <a:endParaRPr lang="en-US"/>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chemeClr val="bg1">
                <a:lumMod val="85000"/>
              </a:schemeClr>
            </a:solidFill>
          </c:spPr>
          <c:invertIfNegative val="0"/>
          <c:dPt>
            <c:idx val="1"/>
            <c:invertIfNegative val="0"/>
            <c:bubble3D val="0"/>
            <c:extLst>
              <c:ext xmlns:c16="http://schemas.microsoft.com/office/drawing/2014/chart" uri="{C3380CC4-5D6E-409C-BE32-E72D297353CC}">
                <c16:uniqueId val="{00000001-033C-4530-84A9-991A3866ABD4}"/>
              </c:ext>
            </c:extLst>
          </c:dPt>
          <c:dPt>
            <c:idx val="2"/>
            <c:invertIfNegative val="0"/>
            <c:bubble3D val="0"/>
            <c:extLst>
              <c:ext xmlns:c16="http://schemas.microsoft.com/office/drawing/2014/chart" uri="{C3380CC4-5D6E-409C-BE32-E72D297353CC}">
                <c16:uniqueId val="{00000003-033C-4530-84A9-991A3866ABD4}"/>
              </c:ext>
            </c:extLst>
          </c:dPt>
          <c:dPt>
            <c:idx val="3"/>
            <c:invertIfNegative val="0"/>
            <c:bubble3D val="0"/>
            <c:extLst>
              <c:ext xmlns:c16="http://schemas.microsoft.com/office/drawing/2014/chart" uri="{C3380CC4-5D6E-409C-BE32-E72D297353CC}">
                <c16:uniqueId val="{00000005-033C-4530-84A9-991A3866ABD4}"/>
              </c:ext>
            </c:extLst>
          </c:dPt>
          <c:dPt>
            <c:idx val="4"/>
            <c:invertIfNegative val="0"/>
            <c:bubble3D val="0"/>
            <c:extLst>
              <c:ext xmlns:c16="http://schemas.microsoft.com/office/drawing/2014/chart" uri="{C3380CC4-5D6E-409C-BE32-E72D297353CC}">
                <c16:uniqueId val="{00000007-033C-4530-84A9-991A3866ABD4}"/>
              </c:ext>
            </c:extLst>
          </c:dPt>
          <c:dPt>
            <c:idx val="5"/>
            <c:invertIfNegative val="0"/>
            <c:bubble3D val="0"/>
            <c:extLst>
              <c:ext xmlns:c16="http://schemas.microsoft.com/office/drawing/2014/chart" uri="{C3380CC4-5D6E-409C-BE32-E72D297353CC}">
                <c16:uniqueId val="{00000009-033C-4530-84A9-991A3866ABD4}"/>
              </c:ext>
            </c:extLst>
          </c:dPt>
          <c:dPt>
            <c:idx val="6"/>
            <c:invertIfNegative val="0"/>
            <c:bubble3D val="0"/>
            <c:extLst>
              <c:ext xmlns:c16="http://schemas.microsoft.com/office/drawing/2014/chart" uri="{C3380CC4-5D6E-409C-BE32-E72D297353CC}">
                <c16:uniqueId val="{0000000B-033C-4530-84A9-991A3866ABD4}"/>
              </c:ext>
            </c:extLst>
          </c:dPt>
          <c:dPt>
            <c:idx val="7"/>
            <c:invertIfNegative val="0"/>
            <c:bubble3D val="0"/>
            <c:extLst>
              <c:ext xmlns:c16="http://schemas.microsoft.com/office/drawing/2014/chart" uri="{C3380CC4-5D6E-409C-BE32-E72D297353CC}">
                <c16:uniqueId val="{0000000D-033C-4530-84A9-991A3866ABD4}"/>
              </c:ext>
            </c:extLst>
          </c:dPt>
          <c:dPt>
            <c:idx val="8"/>
            <c:invertIfNegative val="0"/>
            <c:bubble3D val="0"/>
            <c:extLst>
              <c:ext xmlns:c16="http://schemas.microsoft.com/office/drawing/2014/chart" uri="{C3380CC4-5D6E-409C-BE32-E72D297353CC}">
                <c16:uniqueId val="{0000000F-033C-4530-84A9-991A3866ABD4}"/>
              </c:ext>
            </c:extLst>
          </c:dPt>
          <c:dPt>
            <c:idx val="9"/>
            <c:invertIfNegative val="0"/>
            <c:bubble3D val="0"/>
            <c:extLst>
              <c:ext xmlns:c16="http://schemas.microsoft.com/office/drawing/2014/chart" uri="{C3380CC4-5D6E-409C-BE32-E72D297353CC}">
                <c16:uniqueId val="{00000011-033C-4530-84A9-991A3866ABD4}"/>
              </c:ext>
            </c:extLst>
          </c:dPt>
          <c:dPt>
            <c:idx val="10"/>
            <c:invertIfNegative val="0"/>
            <c:bubble3D val="0"/>
            <c:extLst>
              <c:ext xmlns:c16="http://schemas.microsoft.com/office/drawing/2014/chart" uri="{C3380CC4-5D6E-409C-BE32-E72D297353CC}">
                <c16:uniqueId val="{00000013-033C-4530-84A9-991A3866ABD4}"/>
              </c:ext>
            </c:extLst>
          </c:dPt>
          <c:dPt>
            <c:idx val="11"/>
            <c:invertIfNegative val="0"/>
            <c:bubble3D val="0"/>
            <c:extLst>
              <c:ext xmlns:c16="http://schemas.microsoft.com/office/drawing/2014/chart" uri="{C3380CC4-5D6E-409C-BE32-E72D297353CC}">
                <c16:uniqueId val="{00000015-033C-4530-84A9-991A3866ABD4}"/>
              </c:ext>
            </c:extLst>
          </c:dPt>
          <c:dPt>
            <c:idx val="12"/>
            <c:invertIfNegative val="0"/>
            <c:bubble3D val="0"/>
            <c:extLst>
              <c:ext xmlns:c16="http://schemas.microsoft.com/office/drawing/2014/chart" uri="{C3380CC4-5D6E-409C-BE32-E72D297353CC}">
                <c16:uniqueId val="{00000017-033C-4530-84A9-991A3866ABD4}"/>
              </c:ext>
            </c:extLst>
          </c:dPt>
          <c:dPt>
            <c:idx val="13"/>
            <c:invertIfNegative val="0"/>
            <c:bubble3D val="0"/>
            <c:extLst>
              <c:ext xmlns:c16="http://schemas.microsoft.com/office/drawing/2014/chart" uri="{C3380CC4-5D6E-409C-BE32-E72D297353CC}">
                <c16:uniqueId val="{00000019-033C-4530-84A9-991A3866ABD4}"/>
              </c:ext>
            </c:extLst>
          </c:dPt>
          <c:dPt>
            <c:idx val="14"/>
            <c:invertIfNegative val="0"/>
            <c:bubble3D val="0"/>
            <c:extLst>
              <c:ext xmlns:c16="http://schemas.microsoft.com/office/drawing/2014/chart" uri="{C3380CC4-5D6E-409C-BE32-E72D297353CC}">
                <c16:uniqueId val="{0000001B-033C-4530-84A9-991A3866ABD4}"/>
              </c:ext>
            </c:extLst>
          </c:dPt>
          <c:dPt>
            <c:idx val="15"/>
            <c:invertIfNegative val="0"/>
            <c:bubble3D val="0"/>
            <c:extLst>
              <c:ext xmlns:c16="http://schemas.microsoft.com/office/drawing/2014/chart" uri="{C3380CC4-5D6E-409C-BE32-E72D297353CC}">
                <c16:uniqueId val="{0000001D-033C-4530-84A9-991A3866ABD4}"/>
              </c:ext>
            </c:extLst>
          </c:dPt>
          <c:dPt>
            <c:idx val="16"/>
            <c:invertIfNegative val="0"/>
            <c:bubble3D val="0"/>
            <c:extLst>
              <c:ext xmlns:c16="http://schemas.microsoft.com/office/drawing/2014/chart" uri="{C3380CC4-5D6E-409C-BE32-E72D297353CC}">
                <c16:uniqueId val="{0000001F-033C-4530-84A9-991A3866ABD4}"/>
              </c:ext>
            </c:extLst>
          </c:dPt>
          <c:dPt>
            <c:idx val="17"/>
            <c:invertIfNegative val="0"/>
            <c:bubble3D val="0"/>
            <c:extLst>
              <c:ext xmlns:c16="http://schemas.microsoft.com/office/drawing/2014/chart" uri="{C3380CC4-5D6E-409C-BE32-E72D297353CC}">
                <c16:uniqueId val="{00000021-033C-4530-84A9-991A3866ABD4}"/>
              </c:ext>
            </c:extLst>
          </c:dPt>
          <c:dPt>
            <c:idx val="18"/>
            <c:invertIfNegative val="0"/>
            <c:bubble3D val="0"/>
            <c:extLst>
              <c:ext xmlns:c16="http://schemas.microsoft.com/office/drawing/2014/chart" uri="{C3380CC4-5D6E-409C-BE32-E72D297353CC}">
                <c16:uniqueId val="{00000023-033C-4530-84A9-991A3866ABD4}"/>
              </c:ext>
            </c:extLst>
          </c:dPt>
          <c:dPt>
            <c:idx val="19"/>
            <c:invertIfNegative val="0"/>
            <c:bubble3D val="0"/>
            <c:extLst>
              <c:ext xmlns:c16="http://schemas.microsoft.com/office/drawing/2014/chart" uri="{C3380CC4-5D6E-409C-BE32-E72D297353CC}">
                <c16:uniqueId val="{00000025-033C-4530-84A9-991A3866ABD4}"/>
              </c:ext>
            </c:extLst>
          </c:dPt>
          <c:dPt>
            <c:idx val="20"/>
            <c:invertIfNegative val="0"/>
            <c:bubble3D val="0"/>
            <c:extLst>
              <c:ext xmlns:c16="http://schemas.microsoft.com/office/drawing/2014/chart" uri="{C3380CC4-5D6E-409C-BE32-E72D297353CC}">
                <c16:uniqueId val="{00000027-033C-4530-84A9-991A3866ABD4}"/>
              </c:ext>
            </c:extLst>
          </c:dPt>
          <c:dPt>
            <c:idx val="21"/>
            <c:invertIfNegative val="0"/>
            <c:bubble3D val="0"/>
            <c:extLst>
              <c:ext xmlns:c16="http://schemas.microsoft.com/office/drawing/2014/chart" uri="{C3380CC4-5D6E-409C-BE32-E72D297353CC}">
                <c16:uniqueId val="{00000029-033C-4530-84A9-991A3866ABD4}"/>
              </c:ext>
            </c:extLst>
          </c:dPt>
          <c:dPt>
            <c:idx val="22"/>
            <c:invertIfNegative val="0"/>
            <c:bubble3D val="0"/>
            <c:extLst>
              <c:ext xmlns:c16="http://schemas.microsoft.com/office/drawing/2014/chart" uri="{C3380CC4-5D6E-409C-BE32-E72D297353CC}">
                <c16:uniqueId val="{0000002B-033C-4530-84A9-991A3866ABD4}"/>
              </c:ext>
            </c:extLst>
          </c:dPt>
          <c:dLbls>
            <c:dLbl>
              <c:idx val="0"/>
              <c:tx>
                <c:rich>
                  <a:bodyPr/>
                  <a:lstStyle/>
                  <a:p>
                    <a:fld id="{02A71BDE-3DAC-420B-BE1E-E1BFF0273E28}"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12B7CB93-5DA1-4F82-A6C2-C4505510A0D8}"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33C-4530-84A9-991A3866ABD4}"/>
                </c:ext>
              </c:extLst>
            </c:dLbl>
            <c:dLbl>
              <c:idx val="2"/>
              <c:tx>
                <c:rich>
                  <a:bodyPr/>
                  <a:lstStyle/>
                  <a:p>
                    <a:fld id="{B8B0FA1D-E0EF-4767-8D12-7B8D10DDFDBF}"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33C-4530-84A9-991A3866ABD4}"/>
                </c:ext>
              </c:extLst>
            </c:dLbl>
            <c:dLbl>
              <c:idx val="3"/>
              <c:tx>
                <c:rich>
                  <a:bodyPr/>
                  <a:lstStyle/>
                  <a:p>
                    <a:fld id="{CFE0ACDF-9794-45C0-BA40-95686C9B5887}"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33C-4530-84A9-991A3866ABD4}"/>
                </c:ext>
              </c:extLst>
            </c:dLbl>
            <c:dLbl>
              <c:idx val="4"/>
              <c:tx>
                <c:rich>
                  <a:bodyPr/>
                  <a:lstStyle/>
                  <a:p>
                    <a:fld id="{B0BBE495-CF8C-4F4F-A6AA-C09D5537CB3C}"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33C-4530-84A9-991A3866ABD4}"/>
                </c:ext>
              </c:extLst>
            </c:dLbl>
            <c:dLbl>
              <c:idx val="5"/>
              <c:tx>
                <c:rich>
                  <a:bodyPr/>
                  <a:lstStyle/>
                  <a:p>
                    <a:fld id="{E245A83B-33F4-43B5-8F99-D3000CE894E3}"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33C-4530-84A9-991A3866ABD4}"/>
                </c:ext>
              </c:extLst>
            </c:dLbl>
            <c:dLbl>
              <c:idx val="6"/>
              <c:tx>
                <c:rich>
                  <a:bodyPr/>
                  <a:lstStyle/>
                  <a:p>
                    <a:fld id="{59CCF520-EB35-460D-833A-12E2B4C32F60}"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33C-4530-84A9-991A3866ABD4}"/>
                </c:ext>
              </c:extLst>
            </c:dLbl>
            <c:dLbl>
              <c:idx val="7"/>
              <c:tx>
                <c:rich>
                  <a:bodyPr/>
                  <a:lstStyle/>
                  <a:p>
                    <a:fld id="{ADAE32A9-B4D5-4A54-8F6D-9902A0118567}"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033C-4530-84A9-991A3866ABD4}"/>
                </c:ext>
              </c:extLst>
            </c:dLbl>
            <c:dLbl>
              <c:idx val="8"/>
              <c:tx>
                <c:rich>
                  <a:bodyPr/>
                  <a:lstStyle/>
                  <a:p>
                    <a:fld id="{F8EDE5E6-155C-4DB5-B14F-1E6814632F0C}"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033C-4530-84A9-991A3866ABD4}"/>
                </c:ext>
              </c:extLst>
            </c:dLbl>
            <c:dLbl>
              <c:idx val="9"/>
              <c:tx>
                <c:rich>
                  <a:bodyPr/>
                  <a:lstStyle/>
                  <a:p>
                    <a:fld id="{972BE066-74BF-444A-9F90-EDBE6FCC1CBE}"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033C-4530-84A9-991A3866ABD4}"/>
                </c:ext>
              </c:extLst>
            </c:dLbl>
            <c:dLbl>
              <c:idx val="10"/>
              <c:tx>
                <c:rich>
                  <a:bodyPr/>
                  <a:lstStyle/>
                  <a:p>
                    <a:fld id="{A7F5B6F5-5FCD-41DC-B34B-3668BC3D6BBC}"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033C-4530-84A9-991A3866ABD4}"/>
                </c:ext>
              </c:extLst>
            </c:dLbl>
            <c:dLbl>
              <c:idx val="11"/>
              <c:tx>
                <c:rich>
                  <a:bodyPr/>
                  <a:lstStyle/>
                  <a:p>
                    <a:fld id="{3434D4F6-3E68-41E5-8106-58F8A3FE552F}"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033C-4530-84A9-991A3866ABD4}"/>
                </c:ext>
              </c:extLst>
            </c:dLbl>
            <c:dLbl>
              <c:idx val="12"/>
              <c:tx>
                <c:rich>
                  <a:bodyPr/>
                  <a:lstStyle/>
                  <a:p>
                    <a:fld id="{55BB6B75-5B8A-477D-9BEE-812B85175137}"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033C-4530-84A9-991A3866ABD4}"/>
                </c:ext>
              </c:extLst>
            </c:dLbl>
            <c:dLbl>
              <c:idx val="13"/>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033C-4530-84A9-991A3866ABD4}"/>
                </c:ext>
              </c:extLst>
            </c:dLbl>
            <c:dLbl>
              <c:idx val="14"/>
              <c:tx>
                <c:rich>
                  <a:bodyPr/>
                  <a:lstStyle/>
                  <a:p>
                    <a:fld id="{7EA6328C-DE61-45CF-9A1B-1F5E3A5B88E0}"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033C-4530-84A9-991A3866ABD4}"/>
                </c:ext>
              </c:extLst>
            </c:dLbl>
            <c:dLbl>
              <c:idx val="15"/>
              <c:tx>
                <c:rich>
                  <a:bodyPr/>
                  <a:lstStyle/>
                  <a:p>
                    <a:fld id="{B24A133D-3442-4EFB-AE1A-B66CBD313256}"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033C-4530-84A9-991A3866ABD4}"/>
                </c:ext>
              </c:extLst>
            </c:dLbl>
            <c:dLbl>
              <c:idx val="16"/>
              <c:tx>
                <c:rich>
                  <a:bodyPr/>
                  <a:lstStyle/>
                  <a:p>
                    <a:fld id="{8186E64E-65E4-4F92-9C6A-80844C71372F}"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033C-4530-84A9-991A3866ABD4}"/>
                </c:ext>
              </c:extLst>
            </c:dLbl>
            <c:dLbl>
              <c:idx val="17"/>
              <c:tx>
                <c:rich>
                  <a:bodyPr/>
                  <a:lstStyle/>
                  <a:p>
                    <a:fld id="{C4651BEE-0713-4DBA-AAAE-7BDE5D456C49}"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033C-4530-84A9-991A3866ABD4}"/>
                </c:ext>
              </c:extLst>
            </c:dLbl>
            <c:dLbl>
              <c:idx val="18"/>
              <c:tx>
                <c:rich>
                  <a:bodyPr/>
                  <a:lstStyle/>
                  <a:p>
                    <a:fld id="{5133A01A-1F23-4B74-9026-6D0A53629B45}"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033C-4530-84A9-991A3866ABD4}"/>
                </c:ext>
              </c:extLst>
            </c:dLbl>
            <c:dLbl>
              <c:idx val="19"/>
              <c:tx>
                <c:rich>
                  <a:bodyPr/>
                  <a:lstStyle/>
                  <a:p>
                    <a:fld id="{35C12434-73CD-4645-9A06-C42C39AC0296}"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033C-4530-84A9-991A3866ABD4}"/>
                </c:ext>
              </c:extLst>
            </c:dLbl>
            <c:dLbl>
              <c:idx val="20"/>
              <c:tx>
                <c:rich>
                  <a:bodyPr/>
                  <a:lstStyle/>
                  <a:p>
                    <a:fld id="{993BB816-1F51-4B9D-A3B5-697F8F77EDBE}"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033C-4530-84A9-991A3866ABD4}"/>
                </c:ext>
              </c:extLst>
            </c:dLbl>
            <c:dLbl>
              <c:idx val="21"/>
              <c:tx>
                <c:rich>
                  <a:bodyPr/>
                  <a:lstStyle/>
                  <a:p>
                    <a:fld id="{38B98BC8-0294-4DF7-9A79-AEDB2E560B54}"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9-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txPr>
              <a:bodyPr wrap="square" lIns="38100" tIns="19050" rIns="38100" bIns="19050" anchor="ctr">
                <a:spAutoFit/>
              </a:bodyPr>
              <a:lstStyle/>
              <a:p>
                <a:pPr>
                  <a:defRPr lang="ja-JP"/>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values'!$B$76:$W$76</c:f>
                <c:numCache>
                  <c:formatCode>General</c:formatCode>
                  <c:ptCount val="22"/>
                  <c:pt idx="0">
                    <c:v>2.8275411316521979E-2</c:v>
                  </c:pt>
                  <c:pt idx="1">
                    <c:v>4.8814578484577945E-2</c:v>
                  </c:pt>
                  <c:pt idx="2">
                    <c:v>4.900665358434516E-2</c:v>
                  </c:pt>
                  <c:pt idx="3">
                    <c:v>7.8959158706113558E-2</c:v>
                  </c:pt>
                  <c:pt idx="4">
                    <c:v>7.3070875713193151E-2</c:v>
                  </c:pt>
                  <c:pt idx="5">
                    <c:v>8.1574210766649599E-2</c:v>
                  </c:pt>
                  <c:pt idx="6">
                    <c:v>0.1717862181046366</c:v>
                  </c:pt>
                  <c:pt idx="7">
                    <c:v>9.1390297040204266E-2</c:v>
                  </c:pt>
                  <c:pt idx="8">
                    <c:v>9.475773501468529E-2</c:v>
                  </c:pt>
                  <c:pt idx="9">
                    <c:v>8.9626755830594013E-2</c:v>
                  </c:pt>
                  <c:pt idx="10">
                    <c:v>9.832395953991116E-2</c:v>
                  </c:pt>
                  <c:pt idx="11">
                    <c:v>3.8843959471587065E-2</c:v>
                  </c:pt>
                  <c:pt idx="12">
                    <c:v>0</c:v>
                  </c:pt>
                  <c:pt idx="14">
                    <c:v>5.1097630082924457E-2</c:v>
                  </c:pt>
                  <c:pt idx="15">
                    <c:v>6.6772588520206663E-2</c:v>
                  </c:pt>
                  <c:pt idx="16">
                    <c:v>1.953145977007481E-2</c:v>
                  </c:pt>
                  <c:pt idx="17">
                    <c:v>0.13692576538669046</c:v>
                  </c:pt>
                  <c:pt idx="18">
                    <c:v>9.8979329105965588E-2</c:v>
                  </c:pt>
                  <c:pt idx="19">
                    <c:v>0.10144255021078719</c:v>
                  </c:pt>
                  <c:pt idx="20">
                    <c:v>0.11798117249084997</c:v>
                  </c:pt>
                  <c:pt idx="21">
                    <c:v>0.10604900274085115</c:v>
                  </c:pt>
                </c:numCache>
              </c:numRef>
            </c:plus>
            <c:minus>
              <c:numRef>
                <c:f>'pooled normalised values'!$B$76:$W$76</c:f>
                <c:numCache>
                  <c:formatCode>General</c:formatCode>
                  <c:ptCount val="22"/>
                  <c:pt idx="0">
                    <c:v>2.8275411316521979E-2</c:v>
                  </c:pt>
                  <c:pt idx="1">
                    <c:v>4.8814578484577945E-2</c:v>
                  </c:pt>
                  <c:pt idx="2">
                    <c:v>4.900665358434516E-2</c:v>
                  </c:pt>
                  <c:pt idx="3">
                    <c:v>7.8959158706113558E-2</c:v>
                  </c:pt>
                  <c:pt idx="4">
                    <c:v>7.3070875713193151E-2</c:v>
                  </c:pt>
                  <c:pt idx="5">
                    <c:v>8.1574210766649599E-2</c:v>
                  </c:pt>
                  <c:pt idx="6">
                    <c:v>0.1717862181046366</c:v>
                  </c:pt>
                  <c:pt idx="7">
                    <c:v>9.1390297040204266E-2</c:v>
                  </c:pt>
                  <c:pt idx="8">
                    <c:v>9.475773501468529E-2</c:v>
                  </c:pt>
                  <c:pt idx="9">
                    <c:v>8.9626755830594013E-2</c:v>
                  </c:pt>
                  <c:pt idx="10">
                    <c:v>9.832395953991116E-2</c:v>
                  </c:pt>
                  <c:pt idx="11">
                    <c:v>3.8843959471587065E-2</c:v>
                  </c:pt>
                  <c:pt idx="12">
                    <c:v>0</c:v>
                  </c:pt>
                  <c:pt idx="14">
                    <c:v>5.1097630082924457E-2</c:v>
                  </c:pt>
                  <c:pt idx="15">
                    <c:v>6.6772588520206663E-2</c:v>
                  </c:pt>
                  <c:pt idx="16">
                    <c:v>1.953145977007481E-2</c:v>
                  </c:pt>
                  <c:pt idx="17">
                    <c:v>0.13692576538669046</c:v>
                  </c:pt>
                  <c:pt idx="18">
                    <c:v>9.8979329105965588E-2</c:v>
                  </c:pt>
                  <c:pt idx="19">
                    <c:v>0.10144255021078719</c:v>
                  </c:pt>
                  <c:pt idx="20">
                    <c:v>0.11798117249084997</c:v>
                  </c:pt>
                  <c:pt idx="21">
                    <c:v>0.10604900274085115</c:v>
                  </c:pt>
                </c:numCache>
              </c:numRef>
            </c:minus>
          </c:errBars>
          <c:cat>
            <c:strRef>
              <c:f>'pooled normalised values'!$B$74:$W$74</c:f>
              <c:strCache>
                <c:ptCount val="22"/>
                <c:pt idx="0">
                  <c:v>Solvent control</c:v>
                </c:pt>
                <c:pt idx="1">
                  <c:v>EE2-33.8ng/L</c:v>
                </c:pt>
                <c:pt idx="2">
                  <c:v>EE2-50.6ng/L</c:v>
                </c:pt>
                <c:pt idx="3">
                  <c:v>EE2-76ng/L</c:v>
                </c:pt>
                <c:pt idx="4">
                  <c:v>EE2-114ng/L</c:v>
                </c:pt>
                <c:pt idx="5">
                  <c:v>EE2-170.9ng/L</c:v>
                </c:pt>
                <c:pt idx="6">
                  <c:v>EE2-488ng/L</c:v>
                </c:pt>
                <c:pt idx="7">
                  <c:v>estradiol-540ng/L</c:v>
                </c:pt>
                <c:pt idx="8">
                  <c:v>estradiol-270ng/L</c:v>
                </c:pt>
                <c:pt idx="9">
                  <c:v>estradiol-135ng/L</c:v>
                </c:pt>
                <c:pt idx="10">
                  <c:v>estradiol-68ng/L</c:v>
                </c:pt>
                <c:pt idx="11">
                  <c:v>estradiol-34ng/L</c:v>
                </c:pt>
                <c:pt idx="14">
                  <c:v>Testo -30µg/L</c:v>
                </c:pt>
                <c:pt idx="15">
                  <c:v>Testo 30µg/L + EE2 -64ng/L</c:v>
                </c:pt>
                <c:pt idx="16">
                  <c:v>Testo 30µg/L + FAD-10mg/L</c:v>
                </c:pt>
                <c:pt idx="17">
                  <c:v>estradiol-540ng/L + Testostérone</c:v>
                </c:pt>
                <c:pt idx="18">
                  <c:v>estradiol-270ng/L + Testostérone</c:v>
                </c:pt>
                <c:pt idx="19">
                  <c:v>estradiol-135ng/L + Testostérone</c:v>
                </c:pt>
                <c:pt idx="20">
                  <c:v>estradiol-68ng/L + Testostérone</c:v>
                </c:pt>
                <c:pt idx="21">
                  <c:v>estradiol-34ng/L + Testostérone</c:v>
                </c:pt>
              </c:strCache>
            </c:strRef>
          </c:cat>
          <c:val>
            <c:numRef>
              <c:f>'pooled normalised values'!$B$75:$W$75</c:f>
              <c:numCache>
                <c:formatCode>0.0000</c:formatCode>
                <c:ptCount val="22"/>
                <c:pt idx="0">
                  <c:v>0.25828916224991366</c:v>
                </c:pt>
                <c:pt idx="1">
                  <c:v>0.25926193738849762</c:v>
                </c:pt>
                <c:pt idx="2">
                  <c:v>0.42452600348728886</c:v>
                </c:pt>
                <c:pt idx="3">
                  <c:v>0.82785196717391674</c:v>
                </c:pt>
                <c:pt idx="4">
                  <c:v>1.1826524903985352</c:v>
                </c:pt>
                <c:pt idx="5">
                  <c:v>1.5652335654407483</c:v>
                </c:pt>
                <c:pt idx="6">
                  <c:v>2.1435105476285448</c:v>
                </c:pt>
                <c:pt idx="7">
                  <c:v>1.7796341566225882</c:v>
                </c:pt>
                <c:pt idx="8">
                  <c:v>1.269330555723216</c:v>
                </c:pt>
                <c:pt idx="9">
                  <c:v>0.76317943868314719</c:v>
                </c:pt>
                <c:pt idx="10">
                  <c:v>0.39749851109646134</c:v>
                </c:pt>
                <c:pt idx="11">
                  <c:v>0.31864259631891129</c:v>
                </c:pt>
                <c:pt idx="12">
                  <c:v>0</c:v>
                </c:pt>
                <c:pt idx="14">
                  <c:v>0.99999999999999989</c:v>
                </c:pt>
                <c:pt idx="15">
                  <c:v>1.2642396581067961</c:v>
                </c:pt>
                <c:pt idx="16">
                  <c:v>0.22266552492913194</c:v>
                </c:pt>
                <c:pt idx="17">
                  <c:v>1.7956461632413954</c:v>
                </c:pt>
                <c:pt idx="18">
                  <c:v>1.5856917688234189</c:v>
                </c:pt>
                <c:pt idx="19">
                  <c:v>1.4365376564255699</c:v>
                </c:pt>
                <c:pt idx="20">
                  <c:v>1.4277296064097149</c:v>
                </c:pt>
                <c:pt idx="21">
                  <c:v>1.1099460026487684</c:v>
                </c:pt>
              </c:numCache>
            </c:numRef>
          </c:val>
          <c:extLst>
            <c:ext xmlns:c15="http://schemas.microsoft.com/office/drawing/2012/chart" uri="{02D57815-91ED-43cb-92C2-25804820EDAC}">
              <c15:datalabelsRange>
                <c15:f>'pooled normalised values'!$B$83:$W$83</c15:f>
                <c15:dlblRangeCache>
                  <c:ptCount val="22"/>
                  <c:pt idx="1">
                    <c:v>ns</c:v>
                  </c:pt>
                  <c:pt idx="2">
                    <c:v>ns</c:v>
                  </c:pt>
                  <c:pt idx="3">
                    <c:v>**</c:v>
                  </c:pt>
                  <c:pt idx="4">
                    <c:v>****</c:v>
                  </c:pt>
                  <c:pt idx="5">
                    <c:v>****</c:v>
                  </c:pt>
                  <c:pt idx="6">
                    <c:v>****</c:v>
                  </c:pt>
                  <c:pt idx="7">
                    <c:v>****</c:v>
                  </c:pt>
                  <c:pt idx="8">
                    <c:v>****</c:v>
                  </c:pt>
                  <c:pt idx="9">
                    <c:v>***</c:v>
                  </c:pt>
                  <c:pt idx="10">
                    <c:v>ns</c:v>
                  </c:pt>
                  <c:pt idx="11">
                    <c:v>ns</c:v>
                  </c:pt>
                  <c:pt idx="12">
                    <c:v>#NAME?</c:v>
                  </c:pt>
                  <c:pt idx="14">
                    <c:v>***</c:v>
                  </c:pt>
                  <c:pt idx="15">
                    <c:v>#NAME?</c:v>
                  </c:pt>
                  <c:pt idx="16">
                    <c:v>***</c:v>
                  </c:pt>
                  <c:pt idx="17">
                    <c:v>****</c:v>
                  </c:pt>
                  <c:pt idx="18">
                    <c:v>****</c:v>
                  </c:pt>
                  <c:pt idx="19">
                    <c:v>**</c:v>
                  </c:pt>
                  <c:pt idx="20">
                    <c:v>**</c:v>
                  </c:pt>
                  <c:pt idx="21">
                    <c:v>ns</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5400000" vert="horz"/>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71"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67"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67"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76" workbookViewId="0" zoomToFit="1"/>
  </sheetViews>
  <pageMargins left="0.7" right="0.7" top="0.75" bottom="0.75" header="0.3" footer="0.3"/>
  <pageSetup paperSize="9" orientation="landscape" r:id="rId1"/>
  <headerFooter>
    <oddFooter>&amp;C&amp;1#&amp;"Arial"&amp;10&amp;K000000Internal</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9292465" cy="6063803"/>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0.10431</cdr:y>
    </cdr:to>
    <cdr:sp macro="" textlink="">
      <cdr:nvSpPr>
        <cdr:cNvPr id="2" name="ZoneTexte 1"/>
        <cdr:cNvSpPr txBox="1"/>
      </cdr:nvSpPr>
      <cdr:spPr>
        <a:xfrm xmlns:a="http://schemas.openxmlformats.org/drawingml/2006/main">
          <a:off x="3954923" y="103035"/>
          <a:ext cx="1558925" cy="530658"/>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17b estradiol run1</a:t>
          </a:r>
        </a:p>
        <a:p xmlns:a="http://schemas.openxmlformats.org/drawingml/2006/main">
          <a:pPr algn="ctr"/>
          <a:r>
            <a:rPr lang="fr-FR" sz="1400" b="1"/>
            <a:t>20210602</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307015" cy="6075149"/>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0.10255</cdr:y>
    </cdr:to>
    <cdr:sp macro="" textlink="">
      <cdr:nvSpPr>
        <cdr:cNvPr id="2" name="ZoneTexte 1"/>
        <cdr:cNvSpPr txBox="1"/>
      </cdr:nvSpPr>
      <cdr:spPr>
        <a:xfrm xmlns:a="http://schemas.openxmlformats.org/drawingml/2006/main">
          <a:off x="3484117" y="91200"/>
          <a:ext cx="1696432" cy="530658"/>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17b-estradiol run2</a:t>
          </a:r>
        </a:p>
        <a:p xmlns:a="http://schemas.openxmlformats.org/drawingml/2006/main">
          <a:pPr algn="ctr"/>
          <a:r>
            <a:rPr lang="fr-FR" sz="1400" b="1"/>
            <a:t>20210603</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307015" cy="6075149"/>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0.44232</cdr:x>
      <cdr:y>0.0224</cdr:y>
    </cdr:from>
    <cdr:to>
      <cdr:x>0.62488</cdr:x>
      <cdr:y>0.10991</cdr:y>
    </cdr:to>
    <cdr:sp macro="" textlink="">
      <cdr:nvSpPr>
        <cdr:cNvPr id="3" name="ZoneTexte 1">
          <a:extLst xmlns:a="http://schemas.openxmlformats.org/drawingml/2006/main">
            <a:ext uri="{FF2B5EF4-FFF2-40B4-BE49-F238E27FC236}">
              <a16:creationId xmlns:a16="http://schemas.microsoft.com/office/drawing/2014/main" id="{360B373B-616D-42DF-BEDC-74A0222E60DB}"/>
            </a:ext>
          </a:extLst>
        </cdr:cNvPr>
        <cdr:cNvSpPr txBox="1"/>
      </cdr:nvSpPr>
      <cdr:spPr>
        <a:xfrm xmlns:a="http://schemas.openxmlformats.org/drawingml/2006/main">
          <a:off x="4116696" y="136098"/>
          <a:ext cx="1699089" cy="531637"/>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400" b="1"/>
            <a:t>17b-estradiol run3</a:t>
          </a:r>
          <a:r>
            <a:rPr lang="fr-FR" sz="1400" b="1" baseline="0"/>
            <a:t> </a:t>
          </a:r>
          <a:r>
            <a:rPr lang="fr-FR" sz="1400" b="1"/>
            <a:t>20210609</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9408" cy="6074276"/>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 val="RSign Table"/>
    </sheetNames>
    <definedNames>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7" totalsRowShown="0" headerRowDxfId="8" dataDxfId="7" tableBorderDxfId="6">
  <autoFilter ref="A6:F57" xr:uid="{00000000-0009-0000-0100-000001000000}"/>
  <tableColumns count="6">
    <tableColumn id="4" xr3:uid="{00000000-0010-0000-0000-000004000000}" name="Do not fill in" dataDxfId="5">
      <calculatedColumnFormula>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calculatedColumnFormula>
    </tableColumn>
    <tableColumn id="1" xr3:uid="{00000000-0010-0000-0000-000001000000}" name="Do not fill in2" dataDxfId="4">
      <calculatedColumnFormula>A2</calculatedColumnFormula>
    </tableColumn>
    <tableColumn id="2" xr3:uid="{00000000-0010-0000-0000-000002000000}" name="Concentration" dataDxfId="3">
      <calculatedColumnFormula>B2</calculatedColumnFormula>
    </tableColumn>
    <tableColumn id="10" xr3:uid="{00000000-0010-0000-0000-00000A000000}" name="Units" dataDxfId="2"/>
    <tableColumn id="3" xr3:uid="{00000000-0010-0000-0000-000003000000}" name="Chemical name" dataDxfId="1">
      <calculatedColumnFormula>C2</calculatedColumnFormula>
    </tableColumn>
    <tableColumn id="9" xr3:uid="{00000000-0010-0000-0000-000009000000}" name="Do not fill in3" data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7"/>
  <sheetViews>
    <sheetView showGridLines="0" topLeftCell="A10" zoomScale="55" zoomScaleNormal="55" workbookViewId="0">
      <selection activeCell="E46" sqref="E46"/>
    </sheetView>
  </sheetViews>
  <sheetFormatPr defaultColWidth="11" defaultRowHeight="39" customHeight="1"/>
  <cols>
    <col min="1" max="1" width="42" bestFit="1" customWidth="1"/>
    <col min="2" max="2" width="33.85546875" style="27" bestFit="1" customWidth="1"/>
    <col min="3" max="3" width="21.28515625" customWidth="1"/>
    <col min="4" max="4" width="30.42578125" customWidth="1"/>
    <col min="5" max="5" width="62.28515625" style="86" bestFit="1" customWidth="1"/>
    <col min="6" max="6" width="56.7109375" bestFit="1" customWidth="1"/>
    <col min="7" max="7" width="19.42578125" customWidth="1"/>
    <col min="8" max="8" width="15.28515625" customWidth="1"/>
    <col min="9" max="9" width="18" customWidth="1"/>
    <col min="10" max="10" width="19.42578125" bestFit="1" customWidth="1"/>
  </cols>
  <sheetData>
    <row r="1" spans="1:9" ht="39" customHeight="1" thickBot="1">
      <c r="A1" s="122"/>
      <c r="B1" s="123"/>
      <c r="C1" s="123"/>
      <c r="D1" s="123"/>
      <c r="E1" s="123"/>
      <c r="F1" s="123"/>
      <c r="G1" s="123"/>
      <c r="H1" s="123"/>
      <c r="I1" s="124"/>
    </row>
    <row r="2" spans="1:9" ht="21.75" thickBot="1">
      <c r="A2" s="105" t="s">
        <v>8</v>
      </c>
      <c r="B2" s="26" t="s">
        <v>57</v>
      </c>
      <c r="C2" s="125"/>
      <c r="D2" s="126"/>
      <c r="E2" s="26" t="s">
        <v>68</v>
      </c>
      <c r="F2" s="137"/>
      <c r="G2" s="138"/>
      <c r="H2" s="138"/>
      <c r="I2" s="139"/>
    </row>
    <row r="3" spans="1:9" ht="21.75" thickBot="1">
      <c r="A3" s="106" t="s">
        <v>9</v>
      </c>
      <c r="B3" s="26" t="s">
        <v>57</v>
      </c>
      <c r="C3" s="127"/>
      <c r="D3" s="128"/>
      <c r="E3" s="26" t="s">
        <v>69</v>
      </c>
      <c r="F3" s="134"/>
      <c r="G3" s="135"/>
      <c r="H3" s="135"/>
      <c r="I3" s="136"/>
    </row>
    <row r="4" spans="1:9" ht="21.75" thickBot="1">
      <c r="A4" s="107" t="s">
        <v>12</v>
      </c>
      <c r="B4" s="26" t="s">
        <v>57</v>
      </c>
      <c r="C4" s="129"/>
      <c r="D4" s="130"/>
      <c r="E4" s="26" t="s">
        <v>73</v>
      </c>
      <c r="F4" s="131"/>
      <c r="G4" s="132"/>
      <c r="H4" s="132"/>
      <c r="I4" s="133"/>
    </row>
    <row r="5" spans="1:9" s="1" customFormat="1" ht="65.25" customHeight="1" thickBot="1">
      <c r="A5" s="122" t="s">
        <v>18</v>
      </c>
      <c r="B5" s="123"/>
      <c r="C5" s="123"/>
      <c r="D5" s="123"/>
      <c r="E5" s="123"/>
      <c r="F5" s="123"/>
      <c r="G5" s="123"/>
      <c r="H5" s="123"/>
      <c r="I5" s="124"/>
    </row>
    <row r="6" spans="1:9" s="66" customFormat="1" ht="39" customHeight="1">
      <c r="A6" s="56" t="s">
        <v>58</v>
      </c>
      <c r="B6" s="57" t="s">
        <v>59</v>
      </c>
      <c r="C6" s="45" t="s">
        <v>10</v>
      </c>
      <c r="D6" s="45" t="s">
        <v>60</v>
      </c>
      <c r="E6" s="83" t="s">
        <v>61</v>
      </c>
      <c r="F6" s="65" t="s">
        <v>62</v>
      </c>
    </row>
    <row r="7" spans="1:9" s="92" customFormat="1" ht="39" customHeight="1">
      <c r="A7"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Solvent control</v>
      </c>
      <c r="B7" s="88" t="s">
        <v>50</v>
      </c>
      <c r="C7" s="89">
        <v>0</v>
      </c>
      <c r="D7" s="90"/>
      <c r="E7" s="91" t="s">
        <v>64</v>
      </c>
      <c r="F7" s="67"/>
    </row>
    <row r="8" spans="1:9" s="92" customFormat="1" ht="39" customHeight="1">
      <c r="A8"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EE2-33.8ng/L</v>
      </c>
      <c r="B8" s="88" t="s">
        <v>50</v>
      </c>
      <c r="C8" s="89" t="s">
        <v>65</v>
      </c>
      <c r="D8" s="90" t="s">
        <v>51</v>
      </c>
      <c r="E8" s="91" t="s">
        <v>52</v>
      </c>
      <c r="F8" s="67"/>
    </row>
    <row r="9" spans="1:9" s="92" customFormat="1" ht="39" customHeight="1">
      <c r="A9"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EE2-50.6ng/L</v>
      </c>
      <c r="B9" s="88" t="s">
        <v>50</v>
      </c>
      <c r="C9" s="89" t="s">
        <v>66</v>
      </c>
      <c r="D9" s="90" t="s">
        <v>51</v>
      </c>
      <c r="E9" s="91" t="s">
        <v>52</v>
      </c>
      <c r="F9" s="67"/>
    </row>
    <row r="10" spans="1:9" s="92" customFormat="1" ht="39" customHeight="1">
      <c r="A10"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EE2-76ng/L</v>
      </c>
      <c r="B10" s="88" t="s">
        <v>50</v>
      </c>
      <c r="C10" s="89">
        <v>76</v>
      </c>
      <c r="D10" s="90" t="s">
        <v>51</v>
      </c>
      <c r="E10" s="91" t="s">
        <v>52</v>
      </c>
      <c r="F10" s="67"/>
    </row>
    <row r="11" spans="1:9" s="92" customFormat="1" ht="39" customHeight="1">
      <c r="A11"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EE2-114ng/L</v>
      </c>
      <c r="B11" s="88" t="s">
        <v>50</v>
      </c>
      <c r="C11" s="89">
        <v>114</v>
      </c>
      <c r="D11" s="90" t="s">
        <v>51</v>
      </c>
      <c r="E11" s="91" t="s">
        <v>52</v>
      </c>
      <c r="F11" s="67"/>
    </row>
    <row r="12" spans="1:9" s="92" customFormat="1" ht="39" customHeight="1">
      <c r="A12"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EE2-170.9ng/L</v>
      </c>
      <c r="B12" s="88" t="s">
        <v>50</v>
      </c>
      <c r="C12" s="89" t="s">
        <v>67</v>
      </c>
      <c r="D12" s="90" t="s">
        <v>51</v>
      </c>
      <c r="E12" s="91" t="s">
        <v>52</v>
      </c>
      <c r="F12" s="67"/>
    </row>
    <row r="13" spans="1:9" s="92" customFormat="1" ht="39" customHeight="1">
      <c r="A13"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EE2-488ng/L</v>
      </c>
      <c r="B13" s="88" t="s">
        <v>50</v>
      </c>
      <c r="C13" s="89">
        <v>488</v>
      </c>
      <c r="D13" s="90" t="s">
        <v>51</v>
      </c>
      <c r="E13" s="91" t="s">
        <v>52</v>
      </c>
      <c r="F13" s="67"/>
    </row>
    <row r="14" spans="1:9" s="92" customFormat="1" ht="39" customHeight="1">
      <c r="A14"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estradiol-540ng/L</v>
      </c>
      <c r="B14" s="88" t="s">
        <v>63</v>
      </c>
      <c r="C14" s="89">
        <v>540</v>
      </c>
      <c r="D14" s="90" t="s">
        <v>74</v>
      </c>
      <c r="E14" s="91" t="s">
        <v>82</v>
      </c>
      <c r="F14" s="67"/>
    </row>
    <row r="15" spans="1:9" s="68" customFormat="1" ht="39" customHeight="1">
      <c r="A15"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estradiol-270ng/L</v>
      </c>
      <c r="B15" s="88" t="s">
        <v>63</v>
      </c>
      <c r="C15" s="62">
        <v>270</v>
      </c>
      <c r="D15" s="90" t="s">
        <v>74</v>
      </c>
      <c r="E15" s="118" t="s">
        <v>82</v>
      </c>
      <c r="F15" s="67"/>
    </row>
    <row r="16" spans="1:9" s="68" customFormat="1" ht="39" customHeight="1">
      <c r="A16"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estradiol-135ng/L</v>
      </c>
      <c r="B16" s="88" t="s">
        <v>63</v>
      </c>
      <c r="C16" s="62">
        <v>135</v>
      </c>
      <c r="D16" s="90" t="s">
        <v>74</v>
      </c>
      <c r="E16" s="119" t="s">
        <v>82</v>
      </c>
      <c r="F16" s="67"/>
    </row>
    <row r="17" spans="1:6" s="68" customFormat="1" ht="39" customHeight="1">
      <c r="A17"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estradiol-68ng/L</v>
      </c>
      <c r="B17" s="88" t="s">
        <v>63</v>
      </c>
      <c r="C17" s="62">
        <v>68</v>
      </c>
      <c r="D17" s="90" t="s">
        <v>74</v>
      </c>
      <c r="E17" s="118" t="s">
        <v>82</v>
      </c>
      <c r="F17" s="67"/>
    </row>
    <row r="18" spans="1:6" s="68" customFormat="1" ht="39" customHeight="1">
      <c r="A18"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estradiol-34ng/L</v>
      </c>
      <c r="B18" s="88" t="s">
        <v>63</v>
      </c>
      <c r="C18" s="62">
        <v>34</v>
      </c>
      <c r="D18" s="90" t="s">
        <v>74</v>
      </c>
      <c r="E18" s="119" t="s">
        <v>82</v>
      </c>
      <c r="F18" s="67"/>
    </row>
    <row r="19" spans="1:6" s="68" customFormat="1" ht="39" customHeight="1">
      <c r="A19"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19" s="88" t="s">
        <v>63</v>
      </c>
      <c r="C19" s="62"/>
      <c r="D19" s="62"/>
      <c r="E19" s="24"/>
      <c r="F19" s="67"/>
    </row>
    <row r="20" spans="1:6" s="68" customFormat="1" ht="39" customHeight="1">
      <c r="A20"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0" s="88" t="s">
        <v>63</v>
      </c>
      <c r="C20" s="62"/>
      <c r="D20" s="62"/>
      <c r="E20" s="58"/>
      <c r="F20" s="67"/>
    </row>
    <row r="21" spans="1:6" s="68" customFormat="1" ht="39" customHeight="1">
      <c r="A21"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1" s="88" t="s">
        <v>63</v>
      </c>
      <c r="C21" s="62"/>
      <c r="D21" s="62"/>
      <c r="E21" s="24"/>
      <c r="F21" s="67"/>
    </row>
    <row r="22" spans="1:6" s="68" customFormat="1" ht="39" customHeight="1">
      <c r="A22"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2" s="88" t="s">
        <v>63</v>
      </c>
      <c r="C22" s="62"/>
      <c r="D22" s="62"/>
      <c r="E22" s="58"/>
      <c r="F22" s="67"/>
    </row>
    <row r="23" spans="1:6" s="68" customFormat="1" ht="39" customHeight="1">
      <c r="A23"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3" s="88" t="s">
        <v>63</v>
      </c>
      <c r="C23" s="62"/>
      <c r="D23" s="62"/>
      <c r="E23" s="24"/>
      <c r="F23" s="67"/>
    </row>
    <row r="24" spans="1:6" s="68" customFormat="1" ht="39" customHeight="1">
      <c r="A24"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4" s="88" t="s">
        <v>63</v>
      </c>
      <c r="C24" s="62"/>
      <c r="D24" s="62"/>
      <c r="E24" s="58"/>
      <c r="F24" s="67"/>
    </row>
    <row r="25" spans="1:6" s="68" customFormat="1" ht="39" customHeight="1">
      <c r="A25"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5" s="88" t="s">
        <v>63</v>
      </c>
      <c r="C25" s="62"/>
      <c r="D25" s="62"/>
      <c r="E25" s="24"/>
      <c r="F25" s="67"/>
    </row>
    <row r="26" spans="1:6" s="68" customFormat="1" ht="39" customHeight="1">
      <c r="A26"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6" s="88" t="s">
        <v>63</v>
      </c>
      <c r="C26" s="62"/>
      <c r="D26" s="62"/>
      <c r="E26" s="58"/>
      <c r="F26" s="67"/>
    </row>
    <row r="27" spans="1:6" s="68" customFormat="1" ht="39" customHeight="1">
      <c r="A27"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7" s="88" t="s">
        <v>63</v>
      </c>
      <c r="C27" s="62"/>
      <c r="D27" s="62"/>
      <c r="E27" s="24"/>
      <c r="F27" s="67"/>
    </row>
    <row r="28" spans="1:6" s="68" customFormat="1" ht="39" customHeight="1">
      <c r="A28"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8" s="88" t="s">
        <v>63</v>
      </c>
      <c r="C28" s="62"/>
      <c r="D28" s="62"/>
      <c r="E28" s="58"/>
      <c r="F28" s="67"/>
    </row>
    <row r="29" spans="1:6" s="68" customFormat="1" ht="39" customHeight="1">
      <c r="A29"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9" s="88" t="s">
        <v>63</v>
      </c>
      <c r="C29" s="62"/>
      <c r="D29" s="71"/>
      <c r="E29" s="24"/>
      <c r="F29" s="67"/>
    </row>
    <row r="30" spans="1:6" s="68" customFormat="1" ht="39" customHeight="1">
      <c r="A30"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0" s="88" t="s">
        <v>63</v>
      </c>
      <c r="C30" s="62"/>
      <c r="D30" s="71"/>
      <c r="E30" s="58"/>
      <c r="F30" s="67"/>
    </row>
    <row r="31" spans="1:6" s="68" customFormat="1" ht="39" customHeight="1">
      <c r="A31"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1" s="88" t="s">
        <v>63</v>
      </c>
      <c r="C31" s="62"/>
      <c r="D31" s="71"/>
      <c r="E31" s="24"/>
      <c r="F31" s="67"/>
    </row>
    <row r="32" spans="1:6" s="68" customFormat="1" ht="39" customHeight="1">
      <c r="A32"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2" s="88" t="s">
        <v>63</v>
      </c>
      <c r="C32" s="62"/>
      <c r="D32" s="71"/>
      <c r="E32" s="58"/>
      <c r="F32" s="67"/>
    </row>
    <row r="33" spans="1:6" s="68" customFormat="1" ht="39" customHeight="1">
      <c r="A33"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3" s="88" t="s">
        <v>63</v>
      </c>
      <c r="C33" s="62"/>
      <c r="D33" s="71"/>
      <c r="E33" s="24"/>
      <c r="F33" s="67"/>
    </row>
    <row r="34" spans="1:6" s="68" customFormat="1" ht="39" customHeight="1" thickBot="1">
      <c r="A34" s="54"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4" s="88" t="s">
        <v>63</v>
      </c>
      <c r="C34" s="94"/>
      <c r="D34" s="72"/>
      <c r="E34" s="93"/>
      <c r="F34" s="67"/>
    </row>
    <row r="35" spans="1:6" s="68" customFormat="1" ht="39" customHeight="1">
      <c r="A35" s="9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v>
      </c>
      <c r="B35" s="59" t="s">
        <v>50</v>
      </c>
      <c r="C35" s="63">
        <v>30</v>
      </c>
      <c r="D35" s="73" t="s">
        <v>53</v>
      </c>
      <c r="E35" s="84" t="s">
        <v>11</v>
      </c>
      <c r="F35" s="96"/>
    </row>
    <row r="36" spans="1:6" s="68" customFormat="1" ht="39" customHeight="1">
      <c r="A36" s="9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EE2 -64ng/L</v>
      </c>
      <c r="B36" s="60" t="s">
        <v>50</v>
      </c>
      <c r="C36" s="64">
        <v>64</v>
      </c>
      <c r="D36" s="74" t="s">
        <v>51</v>
      </c>
      <c r="E36" s="85" t="s">
        <v>54</v>
      </c>
      <c r="F36" s="98"/>
    </row>
    <row r="37" spans="1:6" s="68" customFormat="1" ht="39" customHeight="1" thickBot="1">
      <c r="A37" s="9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FAD-10mg/L</v>
      </c>
      <c r="B37" s="100" t="s">
        <v>50</v>
      </c>
      <c r="C37" s="101">
        <v>10</v>
      </c>
      <c r="D37" s="102" t="s">
        <v>55</v>
      </c>
      <c r="E37" s="103" t="s">
        <v>56</v>
      </c>
      <c r="F37" s="104"/>
    </row>
    <row r="38" spans="1:6" s="68" customFormat="1" ht="39" customHeight="1">
      <c r="A38" s="34"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estradiol-540ng/L + Testostérone</v>
      </c>
      <c r="B38" s="108" t="str">
        <f>B14</f>
        <v>test chemical</v>
      </c>
      <c r="C38" s="108">
        <f t="shared" ref="C38:E38" si="0">C14</f>
        <v>540</v>
      </c>
      <c r="D38" s="108" t="str">
        <f t="shared" si="0"/>
        <v>ng/L</v>
      </c>
      <c r="E38" s="120" t="str">
        <f t="shared" si="0"/>
        <v>estradiol</v>
      </c>
      <c r="F38" s="69" t="s">
        <v>30</v>
      </c>
    </row>
    <row r="39" spans="1:6" s="68" customFormat="1" ht="39" customHeight="1">
      <c r="A39"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estradiol-270ng/L + Testostérone</v>
      </c>
      <c r="B39" s="110" t="str">
        <f t="shared" ref="B39:E39" si="1">B15</f>
        <v>test chemical</v>
      </c>
      <c r="C39" s="110">
        <f t="shared" si="1"/>
        <v>270</v>
      </c>
      <c r="D39" s="110" t="str">
        <f t="shared" si="1"/>
        <v>ng/L</v>
      </c>
      <c r="E39" s="64" t="str">
        <f t="shared" si="1"/>
        <v>estradiol</v>
      </c>
      <c r="F39" s="70" t="s">
        <v>30</v>
      </c>
    </row>
    <row r="40" spans="1:6" s="68" customFormat="1" ht="39" customHeight="1">
      <c r="A40"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estradiol-135ng/L + Testostérone</v>
      </c>
      <c r="B40" s="110" t="str">
        <f t="shared" ref="B40:E40" si="2">B16</f>
        <v>test chemical</v>
      </c>
      <c r="C40" s="110">
        <f t="shared" si="2"/>
        <v>135</v>
      </c>
      <c r="D40" s="110" t="str">
        <f t="shared" si="2"/>
        <v>ng/L</v>
      </c>
      <c r="E40" s="64" t="str">
        <f t="shared" si="2"/>
        <v>estradiol</v>
      </c>
      <c r="F40" s="70" t="s">
        <v>30</v>
      </c>
    </row>
    <row r="41" spans="1:6" s="68" customFormat="1" ht="39" customHeight="1">
      <c r="A41"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estradiol-68ng/L + Testostérone</v>
      </c>
      <c r="B41" s="110" t="str">
        <f t="shared" ref="B41:E41" si="3">B17</f>
        <v>test chemical</v>
      </c>
      <c r="C41" s="110">
        <f t="shared" si="3"/>
        <v>68</v>
      </c>
      <c r="D41" s="110" t="str">
        <f t="shared" si="3"/>
        <v>ng/L</v>
      </c>
      <c r="E41" s="64" t="str">
        <f t="shared" si="3"/>
        <v>estradiol</v>
      </c>
      <c r="F41" s="70" t="s">
        <v>30</v>
      </c>
    </row>
    <row r="42" spans="1:6" s="68" customFormat="1" ht="39" customHeight="1">
      <c r="A42"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estradiol-34ng/L + Testostérone</v>
      </c>
      <c r="B42" s="110" t="str">
        <f t="shared" ref="B42:E42" si="4">B18</f>
        <v>test chemical</v>
      </c>
      <c r="C42" s="110">
        <f t="shared" si="4"/>
        <v>34</v>
      </c>
      <c r="D42" s="110" t="str">
        <f t="shared" si="4"/>
        <v>ng/L</v>
      </c>
      <c r="E42" s="64" t="str">
        <f t="shared" si="4"/>
        <v>estradiol</v>
      </c>
      <c r="F42" s="70" t="s">
        <v>30</v>
      </c>
    </row>
    <row r="43" spans="1:6" s="68" customFormat="1" ht="39" customHeight="1">
      <c r="A43"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3" s="110" t="str">
        <f t="shared" ref="B43:E43" si="5">B19</f>
        <v>test chemical</v>
      </c>
      <c r="C43" s="110">
        <f t="shared" si="5"/>
        <v>0</v>
      </c>
      <c r="D43" s="110">
        <f t="shared" si="5"/>
        <v>0</v>
      </c>
      <c r="E43" s="110">
        <f t="shared" si="5"/>
        <v>0</v>
      </c>
      <c r="F43" s="70" t="s">
        <v>30</v>
      </c>
    </row>
    <row r="44" spans="1:6" s="68" customFormat="1" ht="39" customHeight="1">
      <c r="A44"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4" s="110" t="str">
        <f t="shared" ref="B44:E44" si="6">B20</f>
        <v>test chemical</v>
      </c>
      <c r="C44" s="110">
        <f t="shared" si="6"/>
        <v>0</v>
      </c>
      <c r="D44" s="110">
        <f t="shared" si="6"/>
        <v>0</v>
      </c>
      <c r="E44" s="110">
        <f t="shared" si="6"/>
        <v>0</v>
      </c>
      <c r="F44" s="70" t="s">
        <v>30</v>
      </c>
    </row>
    <row r="45" spans="1:6" s="68" customFormat="1" ht="39" customHeight="1">
      <c r="A45"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5" s="110" t="str">
        <f t="shared" ref="B45:E45" si="7">B21</f>
        <v>test chemical</v>
      </c>
      <c r="C45" s="110">
        <f t="shared" si="7"/>
        <v>0</v>
      </c>
      <c r="D45" s="110">
        <f t="shared" si="7"/>
        <v>0</v>
      </c>
      <c r="E45" s="110">
        <f t="shared" si="7"/>
        <v>0</v>
      </c>
      <c r="F45" s="70" t="s">
        <v>30</v>
      </c>
    </row>
    <row r="46" spans="1:6" s="68" customFormat="1" ht="39" customHeight="1">
      <c r="A46"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6" s="110" t="str">
        <f t="shared" ref="B46:E46" si="8">B22</f>
        <v>test chemical</v>
      </c>
      <c r="C46" s="110">
        <f t="shared" si="8"/>
        <v>0</v>
      </c>
      <c r="D46" s="110">
        <f t="shared" si="8"/>
        <v>0</v>
      </c>
      <c r="E46" s="110">
        <f t="shared" si="8"/>
        <v>0</v>
      </c>
      <c r="F46" s="70" t="s">
        <v>30</v>
      </c>
    </row>
    <row r="47" spans="1:6" s="68" customFormat="1" ht="39" customHeight="1">
      <c r="A47"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7" s="110" t="str">
        <f t="shared" ref="B47:E47" si="9">B23</f>
        <v>test chemical</v>
      </c>
      <c r="C47" s="110">
        <f t="shared" si="9"/>
        <v>0</v>
      </c>
      <c r="D47" s="110">
        <f t="shared" si="9"/>
        <v>0</v>
      </c>
      <c r="E47" s="110">
        <f t="shared" si="9"/>
        <v>0</v>
      </c>
      <c r="F47" s="70" t="s">
        <v>30</v>
      </c>
    </row>
    <row r="48" spans="1:6" s="68" customFormat="1" ht="39" customHeight="1">
      <c r="A48"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8" s="110" t="str">
        <f t="shared" ref="B48:E48" si="10">B24</f>
        <v>test chemical</v>
      </c>
      <c r="C48" s="110">
        <f t="shared" si="10"/>
        <v>0</v>
      </c>
      <c r="D48" s="110">
        <f t="shared" si="10"/>
        <v>0</v>
      </c>
      <c r="E48" s="110">
        <f t="shared" si="10"/>
        <v>0</v>
      </c>
      <c r="F48" s="70" t="s">
        <v>30</v>
      </c>
    </row>
    <row r="49" spans="1:6" s="68" customFormat="1" ht="39" customHeight="1">
      <c r="A49"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9" s="110" t="str">
        <f t="shared" ref="B49:E49" si="11">B25</f>
        <v>test chemical</v>
      </c>
      <c r="C49" s="110">
        <f t="shared" si="11"/>
        <v>0</v>
      </c>
      <c r="D49" s="110">
        <f t="shared" si="11"/>
        <v>0</v>
      </c>
      <c r="E49" s="110">
        <f t="shared" si="11"/>
        <v>0</v>
      </c>
      <c r="F49" s="70" t="s">
        <v>30</v>
      </c>
    </row>
    <row r="50" spans="1:6" s="68" customFormat="1" ht="39" customHeight="1">
      <c r="A50"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0" s="110" t="str">
        <f t="shared" ref="B50:E50" si="12">B26</f>
        <v>test chemical</v>
      </c>
      <c r="C50" s="110">
        <f t="shared" si="12"/>
        <v>0</v>
      </c>
      <c r="D50" s="110">
        <f t="shared" si="12"/>
        <v>0</v>
      </c>
      <c r="E50" s="110">
        <f t="shared" si="12"/>
        <v>0</v>
      </c>
      <c r="F50" s="70" t="s">
        <v>30</v>
      </c>
    </row>
    <row r="51" spans="1:6" s="68" customFormat="1" ht="39" customHeight="1">
      <c r="A51"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1" s="110" t="str">
        <f t="shared" ref="B51:E51" si="13">B27</f>
        <v>test chemical</v>
      </c>
      <c r="C51" s="110">
        <f t="shared" si="13"/>
        <v>0</v>
      </c>
      <c r="D51" s="110">
        <f t="shared" si="13"/>
        <v>0</v>
      </c>
      <c r="E51" s="110">
        <f t="shared" si="13"/>
        <v>0</v>
      </c>
      <c r="F51" s="70" t="s">
        <v>30</v>
      </c>
    </row>
    <row r="52" spans="1:6" s="68" customFormat="1" ht="39" customHeight="1">
      <c r="A52"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2" s="110" t="str">
        <f t="shared" ref="B52:E52" si="14">B28</f>
        <v>test chemical</v>
      </c>
      <c r="C52" s="110">
        <f t="shared" si="14"/>
        <v>0</v>
      </c>
      <c r="D52" s="110">
        <f t="shared" si="14"/>
        <v>0</v>
      </c>
      <c r="E52" s="110">
        <f t="shared" si="14"/>
        <v>0</v>
      </c>
      <c r="F52" s="70" t="s">
        <v>30</v>
      </c>
    </row>
    <row r="53" spans="1:6" s="68" customFormat="1" ht="39" customHeight="1">
      <c r="A53"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3" s="110" t="str">
        <f t="shared" ref="B53:E53" si="15">B29</f>
        <v>test chemical</v>
      </c>
      <c r="C53" s="110">
        <f t="shared" si="15"/>
        <v>0</v>
      </c>
      <c r="D53" s="110">
        <f t="shared" si="15"/>
        <v>0</v>
      </c>
      <c r="E53" s="110">
        <f t="shared" si="15"/>
        <v>0</v>
      </c>
      <c r="F53" s="70" t="s">
        <v>30</v>
      </c>
    </row>
    <row r="54" spans="1:6" s="68" customFormat="1" ht="39" customHeight="1">
      <c r="A54"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4" s="110" t="str">
        <f t="shared" ref="B54:E54" si="16">B30</f>
        <v>test chemical</v>
      </c>
      <c r="C54" s="110">
        <f t="shared" si="16"/>
        <v>0</v>
      </c>
      <c r="D54" s="110">
        <f t="shared" si="16"/>
        <v>0</v>
      </c>
      <c r="E54" s="110">
        <f t="shared" si="16"/>
        <v>0</v>
      </c>
      <c r="F54" s="70" t="s">
        <v>30</v>
      </c>
    </row>
    <row r="55" spans="1:6" s="68" customFormat="1" ht="39" customHeight="1">
      <c r="A55"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5" s="110" t="str">
        <f t="shared" ref="B55:E55" si="17">B31</f>
        <v>test chemical</v>
      </c>
      <c r="C55" s="110">
        <f t="shared" si="17"/>
        <v>0</v>
      </c>
      <c r="D55" s="110">
        <f t="shared" si="17"/>
        <v>0</v>
      </c>
      <c r="E55" s="110">
        <f t="shared" si="17"/>
        <v>0</v>
      </c>
      <c r="F55" s="70" t="s">
        <v>30</v>
      </c>
    </row>
    <row r="56" spans="1:6" s="68" customFormat="1" ht="39" customHeight="1">
      <c r="A56"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6" s="110" t="str">
        <f t="shared" ref="B56:E56" si="18">B32</f>
        <v>test chemical</v>
      </c>
      <c r="C56" s="110">
        <f t="shared" si="18"/>
        <v>0</v>
      </c>
      <c r="D56" s="110">
        <f t="shared" si="18"/>
        <v>0</v>
      </c>
      <c r="E56" s="110">
        <f t="shared" si="18"/>
        <v>0</v>
      </c>
      <c r="F56" s="70" t="s">
        <v>30</v>
      </c>
    </row>
    <row r="57" spans="1:6" s="68" customFormat="1" ht="39" customHeight="1">
      <c r="A57"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7" s="109" t="str">
        <f t="shared" ref="B57:E57" si="19">B33</f>
        <v>test chemical</v>
      </c>
      <c r="C57" s="109">
        <f t="shared" si="19"/>
        <v>0</v>
      </c>
      <c r="D57" s="109">
        <f t="shared" si="19"/>
        <v>0</v>
      </c>
      <c r="E57" s="109">
        <f t="shared" si="19"/>
        <v>0</v>
      </c>
      <c r="F57" s="70" t="s">
        <v>30</v>
      </c>
    </row>
  </sheetData>
  <protectedRanges>
    <protectedRange sqref="C19:D37 A15:A51 C15:C18" name="Plage1_1"/>
  </protectedRanges>
  <mergeCells count="8">
    <mergeCell ref="A5:I5"/>
    <mergeCell ref="A1:I1"/>
    <mergeCell ref="C2:D2"/>
    <mergeCell ref="C3:D3"/>
    <mergeCell ref="C4:D4"/>
    <mergeCell ref="F4:I4"/>
    <mergeCell ref="F3:I3"/>
    <mergeCell ref="F2:I2"/>
  </mergeCells>
  <phoneticPr fontId="12"/>
  <dataValidations count="1">
    <dataValidation type="custom" allowBlank="1" showInputMessage="1" showErrorMessage="1" sqref="E7:E37" xr:uid="{E0A8F951-ED76-4488-98E3-F13AD7875916}">
      <formula1>ISERROR(SEARCH("-",E7))=TRUE</formula1>
    </dataValidation>
  </dataValidations>
  <pageMargins left="0.7" right="0.7" top="0.75" bottom="0.75" header="0.3" footer="0.3"/>
  <pageSetup paperSize="9" scale="25" orientation="landscape" r:id="rId1"/>
  <headerFooter>
    <oddHeader>&amp;C&amp;"-,Gras"&amp;20Résultats&amp;R&amp;"-,Gras"&amp;20Page : &amp;P/&amp;P</oddHeader>
    <oddFooter>&amp;C&amp;1#&amp;"Arial"&amp;10&amp;K000000Internal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zoomScale="85" zoomScaleNormal="85" zoomScaleSheetLayoutView="40" zoomScalePageLayoutView="30" workbookViewId="0">
      <pane xSplit="1" topLeftCell="G1" activePane="topRight" state="frozen"/>
      <selection pane="topRight" activeCell="O2" sqref="O1:O1048576"/>
    </sheetView>
  </sheetViews>
  <sheetFormatPr defaultColWidth="9.140625" defaultRowHeight="15"/>
  <cols>
    <col min="1" max="1" width="29.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4" width="26.42578125" style="1" customWidth="1"/>
    <col min="15" max="15" width="14.85546875" customWidth="1"/>
    <col min="16" max="16" width="26.42578125" customWidth="1"/>
    <col min="17" max="18" width="25.85546875" bestFit="1" customWidth="1"/>
    <col min="19" max="22" width="25.85546875" style="1" customWidth="1"/>
  </cols>
  <sheetData>
    <row r="1" spans="1:22" s="1" customFormat="1" ht="27" thickBot="1">
      <c r="A1" s="140" t="s">
        <v>21</v>
      </c>
      <c r="B1" s="141"/>
      <c r="C1" s="141"/>
      <c r="D1" s="141"/>
      <c r="E1" s="141"/>
      <c r="F1" s="141"/>
      <c r="G1" s="141"/>
      <c r="H1" s="141"/>
      <c r="I1" s="141"/>
      <c r="J1" s="141"/>
      <c r="K1" s="141"/>
      <c r="L1" s="141"/>
      <c r="M1" s="141"/>
      <c r="N1" s="141"/>
      <c r="O1" s="141"/>
      <c r="P1" s="141"/>
      <c r="Q1" s="141"/>
      <c r="R1" s="141"/>
      <c r="S1" s="141"/>
      <c r="T1" s="141"/>
      <c r="U1" s="141"/>
      <c r="V1" s="141"/>
    </row>
    <row r="2" spans="1:22" ht="15.75" thickBot="1">
      <c r="A2"/>
      <c r="B2"/>
      <c r="C2"/>
      <c r="D2"/>
      <c r="E2"/>
      <c r="F2"/>
      <c r="G2"/>
      <c r="H2"/>
      <c r="I2"/>
      <c r="J2"/>
      <c r="K2"/>
      <c r="L2"/>
      <c r="M2"/>
      <c r="N2"/>
      <c r="S2"/>
      <c r="T2"/>
      <c r="U2"/>
      <c r="V2"/>
    </row>
    <row r="3" spans="1:22" ht="15.75" thickBot="1">
      <c r="A3" s="33" t="s">
        <v>8</v>
      </c>
      <c r="B3" s="148" t="s">
        <v>6</v>
      </c>
      <c r="C3" s="149"/>
      <c r="D3" s="149"/>
      <c r="E3" s="149"/>
      <c r="F3" s="149"/>
      <c r="G3" s="149"/>
      <c r="H3" s="149"/>
      <c r="I3" s="149"/>
      <c r="J3" s="149"/>
      <c r="K3" s="149"/>
      <c r="L3" s="149"/>
      <c r="M3" s="149"/>
      <c r="N3" s="149"/>
      <c r="O3" s="148" t="s">
        <v>3</v>
      </c>
      <c r="P3" s="149"/>
      <c r="Q3" s="149"/>
      <c r="R3" s="149"/>
      <c r="S3" s="149"/>
      <c r="T3" s="149"/>
      <c r="U3" s="149"/>
      <c r="V3" s="149"/>
    </row>
    <row r="4" spans="1:22">
      <c r="A4" s="18" t="s">
        <v>22</v>
      </c>
      <c r="B4" s="19" t="str">
        <f>'Front page'!A7</f>
        <v>Solvent control</v>
      </c>
      <c r="C4" s="19" t="str">
        <f>'Front page'!A8</f>
        <v>EE2-33.8ng/L</v>
      </c>
      <c r="D4" s="19" t="str">
        <f>'Front page'!A9</f>
        <v>EE2-50.6ng/L</v>
      </c>
      <c r="E4" s="19" t="str">
        <f>'Front page'!A10</f>
        <v>EE2-76ng/L</v>
      </c>
      <c r="F4" s="19" t="str">
        <f>'Front page'!A11</f>
        <v>EE2-114ng/L</v>
      </c>
      <c r="G4" s="19" t="str">
        <f>'Front page'!A12</f>
        <v>EE2-170.9ng/L</v>
      </c>
      <c r="H4" s="19" t="str">
        <f>'Front page'!A13</f>
        <v>EE2-488ng/L</v>
      </c>
      <c r="I4" s="19" t="str">
        <f>'Front page'!A14</f>
        <v>estradiol-540ng/L</v>
      </c>
      <c r="J4" s="19" t="str">
        <f>'Front page'!A15</f>
        <v>estradiol-270ng/L</v>
      </c>
      <c r="K4" s="19" t="str">
        <f>'Front page'!A16</f>
        <v>estradiol-135ng/L</v>
      </c>
      <c r="L4" s="19" t="str">
        <f>'Front page'!A17</f>
        <v>estradiol-68ng/L</v>
      </c>
      <c r="M4" s="19" t="str">
        <f>'Front page'!A18</f>
        <v>estradiol-34ng/L</v>
      </c>
      <c r="N4" s="19" t="str">
        <f>'Front page'!A19</f>
        <v/>
      </c>
      <c r="O4" s="20" t="str">
        <f>'Front page'!A35</f>
        <v>Testo -30µg/L</v>
      </c>
      <c r="P4" s="20" t="str">
        <f>'Front page'!A36</f>
        <v>Testo 30µg/L + EE2 -64ng/L</v>
      </c>
      <c r="Q4" s="20" t="str">
        <f>'Front page'!A37</f>
        <v>Testo 30µg/L + FAD-10mg/L</v>
      </c>
      <c r="R4" s="20" t="str">
        <f>'Front page'!A38</f>
        <v>estradiol-540ng/L + Testostérone</v>
      </c>
      <c r="S4" s="20" t="str">
        <f>'Front page'!A39</f>
        <v>estradiol-270ng/L + Testostérone</v>
      </c>
      <c r="T4" s="20" t="str">
        <f>'Front page'!A40</f>
        <v>estradiol-135ng/L + Testostérone</v>
      </c>
      <c r="U4" s="20" t="str">
        <f>'Front page'!A41</f>
        <v>estradiol-68ng/L + Testostérone</v>
      </c>
      <c r="V4" s="20" t="str">
        <f>'Front page'!A42</f>
        <v>estradiol-34ng/L + Testostérone</v>
      </c>
    </row>
    <row r="5" spans="1:22" ht="16.5">
      <c r="A5" s="144" t="s">
        <v>71</v>
      </c>
      <c r="B5" s="117">
        <v>821598</v>
      </c>
      <c r="C5" s="113">
        <v>7247522</v>
      </c>
      <c r="D5" s="78">
        <v>1552456</v>
      </c>
      <c r="E5" s="78">
        <v>10578933</v>
      </c>
      <c r="F5" s="78">
        <v>15083885</v>
      </c>
      <c r="G5" s="78">
        <v>8603301</v>
      </c>
      <c r="H5" s="78">
        <v>40060688</v>
      </c>
      <c r="I5" s="78">
        <v>18318466</v>
      </c>
      <c r="J5" s="78">
        <v>11744289</v>
      </c>
      <c r="K5" s="113">
        <v>3689211</v>
      </c>
      <c r="L5" s="113">
        <v>1719497</v>
      </c>
      <c r="M5" s="113">
        <v>3406825</v>
      </c>
      <c r="N5" s="12"/>
      <c r="O5" s="78">
        <v>14728879</v>
      </c>
      <c r="P5" s="113">
        <v>14237774</v>
      </c>
      <c r="Q5" s="113">
        <v>1395219</v>
      </c>
      <c r="R5" s="78">
        <v>17070152</v>
      </c>
      <c r="S5" s="78">
        <v>17407904</v>
      </c>
      <c r="T5" s="78">
        <v>8349257</v>
      </c>
      <c r="U5" s="78">
        <v>13887572</v>
      </c>
      <c r="V5" s="78">
        <v>11155386</v>
      </c>
    </row>
    <row r="6" spans="1:22" ht="16.5">
      <c r="A6" s="145"/>
      <c r="B6" s="117">
        <v>1559183</v>
      </c>
      <c r="C6" s="113">
        <v>5288127</v>
      </c>
      <c r="D6" s="78">
        <v>4273057</v>
      </c>
      <c r="E6" s="78">
        <v>7374988</v>
      </c>
      <c r="F6" s="78">
        <v>15523588</v>
      </c>
      <c r="G6" s="78">
        <v>20834404</v>
      </c>
      <c r="H6" s="78">
        <v>40544560</v>
      </c>
      <c r="I6" s="78">
        <v>18655839</v>
      </c>
      <c r="J6" s="78">
        <v>10584636</v>
      </c>
      <c r="K6" s="113">
        <v>5025281</v>
      </c>
      <c r="L6" s="113">
        <v>6078561</v>
      </c>
      <c r="M6" s="113">
        <v>3538755</v>
      </c>
      <c r="N6" s="12"/>
      <c r="O6" s="78">
        <v>10389448</v>
      </c>
      <c r="P6" s="113">
        <v>13986023</v>
      </c>
      <c r="Q6" s="113">
        <v>1698927</v>
      </c>
      <c r="R6" s="78">
        <v>18624271</v>
      </c>
      <c r="S6" s="78">
        <v>12747281</v>
      </c>
      <c r="T6" s="78">
        <v>9501054</v>
      </c>
      <c r="U6" s="78">
        <v>15806920</v>
      </c>
      <c r="V6" s="78">
        <v>8639324</v>
      </c>
    </row>
    <row r="7" spans="1:22" ht="16.5">
      <c r="A7" s="145"/>
      <c r="B7" s="117">
        <v>1978272</v>
      </c>
      <c r="C7" s="113">
        <v>1301971</v>
      </c>
      <c r="D7" s="78">
        <v>6608441</v>
      </c>
      <c r="E7" s="78">
        <v>5851862</v>
      </c>
      <c r="F7" s="78">
        <v>14824429</v>
      </c>
      <c r="G7" s="78">
        <v>15567452</v>
      </c>
      <c r="H7" s="78">
        <v>31796728</v>
      </c>
      <c r="I7" s="78">
        <v>15891425</v>
      </c>
      <c r="J7" s="78">
        <v>5111035</v>
      </c>
      <c r="K7" s="113">
        <v>5741265</v>
      </c>
      <c r="L7" s="113">
        <v>3684998</v>
      </c>
      <c r="M7" s="113">
        <v>3983102</v>
      </c>
      <c r="N7" s="12"/>
      <c r="O7" s="78">
        <v>8935159</v>
      </c>
      <c r="P7" s="113">
        <v>12518615</v>
      </c>
      <c r="Q7" s="113">
        <v>4050813</v>
      </c>
      <c r="R7" s="78">
        <v>12342577</v>
      </c>
      <c r="S7" s="78">
        <v>13251343</v>
      </c>
      <c r="T7" s="78">
        <v>9189821</v>
      </c>
      <c r="U7" s="78">
        <v>8880494</v>
      </c>
      <c r="V7" s="78">
        <v>8639675</v>
      </c>
    </row>
    <row r="8" spans="1:22" ht="16.5">
      <c r="A8" s="145"/>
      <c r="B8" s="117">
        <v>1437719</v>
      </c>
      <c r="C8" s="113">
        <v>1580231</v>
      </c>
      <c r="D8" s="78">
        <v>4888762</v>
      </c>
      <c r="E8" s="78">
        <v>9894190</v>
      </c>
      <c r="F8" s="78">
        <v>6693111</v>
      </c>
      <c r="G8" s="78">
        <v>11991987</v>
      </c>
      <c r="H8" s="78">
        <v>37129205</v>
      </c>
      <c r="I8" s="78">
        <v>14200693</v>
      </c>
      <c r="J8" s="78">
        <v>15389180</v>
      </c>
      <c r="K8" s="113">
        <v>4516689</v>
      </c>
      <c r="L8" s="113">
        <v>4013484</v>
      </c>
      <c r="M8" s="113">
        <v>3615652</v>
      </c>
      <c r="N8" s="12"/>
      <c r="O8" s="78">
        <v>4220826</v>
      </c>
      <c r="P8" s="113">
        <v>15073666</v>
      </c>
      <c r="Q8" s="113">
        <v>2811002</v>
      </c>
      <c r="R8" s="78">
        <v>16464937</v>
      </c>
      <c r="S8" s="78">
        <v>11794967</v>
      </c>
      <c r="T8" s="78">
        <v>13195073</v>
      </c>
      <c r="U8" s="78">
        <v>15910800</v>
      </c>
      <c r="V8" s="78">
        <v>17297678</v>
      </c>
    </row>
    <row r="9" spans="1:22" ht="16.5">
      <c r="A9" s="145"/>
      <c r="B9" s="117">
        <v>2399242</v>
      </c>
      <c r="C9" s="113">
        <v>1593343</v>
      </c>
      <c r="D9" s="78">
        <v>5207453</v>
      </c>
      <c r="E9" s="78">
        <v>4013010</v>
      </c>
      <c r="F9" s="78">
        <v>12534984</v>
      </c>
      <c r="G9" s="78">
        <v>11482482</v>
      </c>
      <c r="H9" s="78">
        <v>20515301</v>
      </c>
      <c r="I9" s="78">
        <v>13081826</v>
      </c>
      <c r="J9" s="78">
        <v>13842323</v>
      </c>
      <c r="K9" s="113">
        <v>6818755</v>
      </c>
      <c r="L9" s="113">
        <v>2496811</v>
      </c>
      <c r="M9" s="113">
        <v>4682881</v>
      </c>
      <c r="N9" s="12"/>
      <c r="O9" s="78">
        <v>12396840</v>
      </c>
      <c r="P9" s="113">
        <v>11730473</v>
      </c>
      <c r="Q9" s="113">
        <v>647422</v>
      </c>
      <c r="R9" s="78">
        <v>7023792</v>
      </c>
      <c r="S9" s="78">
        <v>8309530</v>
      </c>
      <c r="T9" s="78">
        <v>7443127</v>
      </c>
      <c r="U9" s="78">
        <v>11638470</v>
      </c>
      <c r="V9" s="78">
        <v>1876416</v>
      </c>
    </row>
    <row r="10" spans="1:22" ht="16.5">
      <c r="A10" s="145"/>
      <c r="B10" s="117">
        <v>2873830</v>
      </c>
      <c r="C10" s="113">
        <v>5701518</v>
      </c>
      <c r="D10" s="78">
        <v>8291699</v>
      </c>
      <c r="E10" s="78">
        <v>8870566</v>
      </c>
      <c r="F10" s="78">
        <v>11754063</v>
      </c>
      <c r="G10" s="78">
        <v>13230751</v>
      </c>
      <c r="H10" s="78">
        <v>22029580</v>
      </c>
      <c r="I10" s="78">
        <v>15415502</v>
      </c>
      <c r="J10" s="78">
        <v>7505418</v>
      </c>
      <c r="K10" s="113">
        <v>7595276</v>
      </c>
      <c r="L10" s="113">
        <v>2233184</v>
      </c>
      <c r="M10" s="113">
        <v>1971231</v>
      </c>
      <c r="N10" s="12"/>
      <c r="O10" s="78">
        <v>12380379</v>
      </c>
      <c r="P10" s="113">
        <v>9890906</v>
      </c>
      <c r="Q10" s="113">
        <v>1888654</v>
      </c>
      <c r="R10" s="78">
        <v>17090239</v>
      </c>
      <c r="S10" s="78">
        <v>14291053</v>
      </c>
      <c r="T10" s="78"/>
      <c r="U10" s="78">
        <v>15291380</v>
      </c>
      <c r="V10" s="78">
        <v>14811574</v>
      </c>
    </row>
    <row r="11" spans="1:22" ht="16.5">
      <c r="A11" s="145"/>
      <c r="B11" s="117">
        <v>1144627</v>
      </c>
      <c r="C11" s="113">
        <v>4604449</v>
      </c>
      <c r="D11" s="78">
        <v>8554383</v>
      </c>
      <c r="E11" s="78">
        <v>9551877</v>
      </c>
      <c r="F11" s="78">
        <v>9628414</v>
      </c>
      <c r="G11" s="78">
        <v>11744822</v>
      </c>
      <c r="H11" s="78">
        <v>16855775</v>
      </c>
      <c r="I11" s="78">
        <v>10273470</v>
      </c>
      <c r="J11" s="78">
        <v>13380313</v>
      </c>
      <c r="K11" s="113">
        <v>2164429</v>
      </c>
      <c r="L11" s="113">
        <v>5274271</v>
      </c>
      <c r="M11" s="113">
        <v>468461</v>
      </c>
      <c r="N11" s="12"/>
      <c r="O11" s="78">
        <v>6406401</v>
      </c>
      <c r="P11" s="113">
        <v>7708788</v>
      </c>
      <c r="Q11" s="113">
        <v>2248264</v>
      </c>
      <c r="R11" s="78">
        <v>18679508</v>
      </c>
      <c r="S11" s="78">
        <v>11935337</v>
      </c>
      <c r="T11" s="78"/>
      <c r="U11" s="78">
        <v>8526784</v>
      </c>
      <c r="V11" s="78">
        <v>10681915</v>
      </c>
    </row>
    <row r="12" spans="1:22" ht="16.5">
      <c r="A12" s="145"/>
      <c r="B12" s="117">
        <v>2335398</v>
      </c>
      <c r="C12" s="113">
        <v>9939489</v>
      </c>
      <c r="D12" s="78">
        <v>7114276</v>
      </c>
      <c r="E12" s="78">
        <v>4348561</v>
      </c>
      <c r="F12" s="78">
        <v>11160762</v>
      </c>
      <c r="G12" s="78">
        <v>12954425</v>
      </c>
      <c r="H12" s="78">
        <v>17107234</v>
      </c>
      <c r="I12" s="78">
        <v>11890059</v>
      </c>
      <c r="J12" s="78">
        <v>11840051</v>
      </c>
      <c r="K12" s="113">
        <v>4031072</v>
      </c>
      <c r="L12" s="113">
        <v>3830633</v>
      </c>
      <c r="M12" s="113">
        <v>907611</v>
      </c>
      <c r="N12" s="12"/>
      <c r="O12" s="78">
        <v>9301469</v>
      </c>
      <c r="P12" s="113">
        <v>14486985</v>
      </c>
      <c r="Q12" s="113">
        <v>1256379</v>
      </c>
      <c r="R12" s="78">
        <v>10447499</v>
      </c>
      <c r="S12" s="78">
        <v>18142443</v>
      </c>
      <c r="T12" s="78"/>
      <c r="U12" s="78">
        <v>12833800</v>
      </c>
      <c r="V12" s="78">
        <v>6465590</v>
      </c>
    </row>
    <row r="13" spans="1:22" ht="16.5">
      <c r="A13" s="145"/>
      <c r="B13" s="13"/>
      <c r="C13" s="12"/>
      <c r="D13" s="15"/>
      <c r="E13" s="15"/>
      <c r="F13" s="15"/>
      <c r="G13" s="15"/>
      <c r="H13" s="15">
        <v>24191960</v>
      </c>
      <c r="I13" s="16"/>
      <c r="J13" s="15"/>
      <c r="K13" s="12"/>
      <c r="L13" s="12"/>
      <c r="M13" s="12"/>
      <c r="N13" s="12"/>
      <c r="O13" s="16">
        <v>9032207</v>
      </c>
      <c r="P13" s="12"/>
      <c r="Q13" s="12"/>
      <c r="R13" s="4"/>
      <c r="S13" s="16"/>
      <c r="T13" s="16"/>
      <c r="U13" s="16"/>
      <c r="V13" s="16"/>
    </row>
    <row r="14" spans="1:22" ht="16.5">
      <c r="A14" s="145"/>
      <c r="B14" s="13"/>
      <c r="C14" s="15"/>
      <c r="D14" s="15"/>
      <c r="E14" s="15"/>
      <c r="F14" s="15"/>
      <c r="G14" s="15"/>
      <c r="H14" s="15">
        <v>16477604</v>
      </c>
      <c r="I14" s="16"/>
      <c r="J14" s="15"/>
      <c r="K14" s="12"/>
      <c r="L14" s="12"/>
      <c r="M14" s="12"/>
      <c r="N14" s="12"/>
      <c r="O14" s="16">
        <v>13353785</v>
      </c>
      <c r="P14" s="12"/>
      <c r="Q14" s="12"/>
      <c r="R14" s="4"/>
      <c r="S14" s="16"/>
      <c r="T14" s="16"/>
      <c r="U14" s="16"/>
      <c r="V14" s="16"/>
    </row>
    <row r="15" spans="1:22" ht="16.5">
      <c r="A15" s="145"/>
      <c r="B15" s="13"/>
      <c r="C15" s="15"/>
      <c r="D15" s="15"/>
      <c r="E15" s="15"/>
      <c r="F15" s="15"/>
      <c r="G15" s="15"/>
      <c r="H15" s="15">
        <v>16394654</v>
      </c>
      <c r="I15" s="16"/>
      <c r="J15" s="15"/>
      <c r="K15" s="12"/>
      <c r="L15" s="12"/>
      <c r="M15" s="12"/>
      <c r="N15" s="12"/>
      <c r="O15" s="16">
        <v>11377243</v>
      </c>
      <c r="P15" s="12"/>
      <c r="Q15" s="12"/>
      <c r="R15" s="4"/>
      <c r="S15" s="16"/>
      <c r="T15" s="16"/>
      <c r="U15" s="16"/>
      <c r="V15" s="16"/>
    </row>
    <row r="16" spans="1:22" ht="16.5">
      <c r="A16" s="145"/>
      <c r="B16" s="13"/>
      <c r="C16" s="15"/>
      <c r="D16" s="15"/>
      <c r="E16" s="15"/>
      <c r="F16" s="15"/>
      <c r="G16" s="15"/>
      <c r="H16" s="15">
        <v>15236883</v>
      </c>
      <c r="I16" s="16"/>
      <c r="J16" s="15"/>
      <c r="K16" s="12"/>
      <c r="L16" s="12"/>
      <c r="M16" s="12"/>
      <c r="N16" s="12"/>
      <c r="O16" s="16">
        <v>8380041</v>
      </c>
      <c r="P16" s="12"/>
      <c r="Q16" s="12"/>
      <c r="R16" s="4"/>
      <c r="S16" s="16"/>
      <c r="T16" s="16"/>
      <c r="U16" s="16"/>
      <c r="V16" s="16"/>
    </row>
    <row r="17" spans="1:22" s="1" customFormat="1" ht="16.5">
      <c r="A17" s="145"/>
      <c r="B17" s="13"/>
      <c r="C17" s="16"/>
      <c r="D17" s="16"/>
      <c r="E17" s="16"/>
      <c r="F17" s="16"/>
      <c r="G17" s="16"/>
      <c r="H17" s="16"/>
      <c r="I17" s="16"/>
      <c r="J17" s="16"/>
      <c r="K17" s="12"/>
      <c r="L17" s="12"/>
      <c r="M17" s="12"/>
      <c r="N17" s="12"/>
      <c r="O17" s="16">
        <v>9663803</v>
      </c>
      <c r="P17" s="12"/>
      <c r="Q17" s="12"/>
      <c r="R17" s="16"/>
      <c r="S17" s="16"/>
      <c r="T17" s="16"/>
      <c r="U17" s="16"/>
      <c r="V17" s="16"/>
    </row>
    <row r="18" spans="1:22" s="1" customFormat="1" ht="16.5">
      <c r="A18" s="145"/>
      <c r="B18" s="13"/>
      <c r="C18" s="16"/>
      <c r="D18" s="16"/>
      <c r="E18" s="16"/>
      <c r="F18" s="16"/>
      <c r="G18" s="16"/>
      <c r="H18" s="16"/>
      <c r="I18" s="16"/>
      <c r="J18" s="16"/>
      <c r="K18" s="12"/>
      <c r="L18" s="12"/>
      <c r="M18" s="12"/>
      <c r="N18" s="12"/>
      <c r="O18" s="16">
        <v>12722313</v>
      </c>
      <c r="P18" s="12"/>
      <c r="Q18" s="12"/>
      <c r="R18" s="16"/>
      <c r="S18" s="16"/>
      <c r="T18" s="16"/>
      <c r="U18" s="16"/>
      <c r="V18" s="16"/>
    </row>
    <row r="19" spans="1:22" s="1" customFormat="1" ht="16.5">
      <c r="A19" s="145"/>
      <c r="B19" s="13"/>
      <c r="C19" s="16"/>
      <c r="D19" s="16"/>
      <c r="E19" s="16"/>
      <c r="F19" s="16"/>
      <c r="G19" s="16"/>
      <c r="H19" s="16"/>
      <c r="I19" s="16"/>
      <c r="J19" s="16"/>
      <c r="K19" s="12"/>
      <c r="L19" s="12"/>
      <c r="M19" s="12"/>
      <c r="N19" s="12"/>
      <c r="O19" s="16">
        <v>11233169</v>
      </c>
      <c r="P19" s="12"/>
      <c r="Q19" s="12"/>
      <c r="R19" s="16"/>
      <c r="S19" s="16"/>
      <c r="T19" s="16"/>
      <c r="U19" s="16"/>
      <c r="V19" s="16"/>
    </row>
    <row r="20" spans="1:22" ht="16.5">
      <c r="A20" s="145"/>
      <c r="B20" s="13"/>
      <c r="C20" s="15"/>
      <c r="D20" s="15"/>
      <c r="E20" s="15"/>
      <c r="F20" s="15"/>
      <c r="G20" s="15"/>
      <c r="H20" s="15"/>
      <c r="I20" s="16"/>
      <c r="J20" s="15"/>
      <c r="K20" s="12"/>
      <c r="L20" s="12"/>
      <c r="M20" s="12"/>
      <c r="N20" s="12"/>
      <c r="O20" s="16">
        <v>11338851</v>
      </c>
      <c r="P20" s="12"/>
      <c r="Q20" s="12"/>
      <c r="R20" s="4"/>
      <c r="S20" s="16"/>
      <c r="T20" s="16"/>
      <c r="U20" s="16"/>
      <c r="V20" s="16"/>
    </row>
    <row r="21" spans="1:22" s="1" customFormat="1" ht="16.5">
      <c r="A21" s="47"/>
      <c r="B21" s="48"/>
      <c r="C21" s="6"/>
      <c r="D21" s="6"/>
      <c r="E21" s="6"/>
      <c r="F21" s="6"/>
      <c r="G21" s="6"/>
      <c r="H21" s="6"/>
      <c r="I21" s="6"/>
      <c r="J21" s="6"/>
      <c r="K21" s="17"/>
      <c r="L21" s="17"/>
      <c r="M21" s="17"/>
      <c r="N21" s="17"/>
      <c r="O21" s="6"/>
      <c r="P21" s="17"/>
      <c r="Q21" s="17"/>
      <c r="R21" s="6"/>
      <c r="S21" s="6"/>
      <c r="T21" s="6"/>
      <c r="U21" s="6"/>
      <c r="V21" s="6"/>
    </row>
    <row r="22" spans="1:22" s="50" customFormat="1">
      <c r="A22" s="49" t="str">
        <f t="shared" ref="A22:N22" si="0">A4</f>
        <v>Noms des groupes</v>
      </c>
      <c r="B22" s="49" t="str">
        <f t="shared" si="0"/>
        <v>Solvent control</v>
      </c>
      <c r="C22" s="49" t="str">
        <f t="shared" si="0"/>
        <v>EE2-33.8ng/L</v>
      </c>
      <c r="D22" s="49" t="str">
        <f t="shared" si="0"/>
        <v>EE2-50.6ng/L</v>
      </c>
      <c r="E22" s="49" t="str">
        <f t="shared" si="0"/>
        <v>EE2-76ng/L</v>
      </c>
      <c r="F22" s="49" t="str">
        <f t="shared" si="0"/>
        <v>EE2-114ng/L</v>
      </c>
      <c r="G22" s="49" t="str">
        <f t="shared" si="0"/>
        <v>EE2-170.9ng/L</v>
      </c>
      <c r="H22" s="49" t="str">
        <f t="shared" si="0"/>
        <v>EE2-488ng/L</v>
      </c>
      <c r="I22" s="49" t="str">
        <f t="shared" si="0"/>
        <v>estradiol-540ng/L</v>
      </c>
      <c r="J22" s="49" t="str">
        <f t="shared" si="0"/>
        <v>estradiol-270ng/L</v>
      </c>
      <c r="K22" s="49" t="str">
        <f t="shared" si="0"/>
        <v>estradiol-135ng/L</v>
      </c>
      <c r="L22" s="49" t="str">
        <f t="shared" si="0"/>
        <v>estradiol-68ng/L</v>
      </c>
      <c r="M22" s="49" t="str">
        <f t="shared" si="0"/>
        <v>estradiol-34ng/L</v>
      </c>
      <c r="N22" s="49" t="str">
        <f t="shared" si="0"/>
        <v/>
      </c>
      <c r="O22" s="49" t="str">
        <f t="shared" ref="O22:V22" si="1">O4</f>
        <v>Testo -30µg/L</v>
      </c>
      <c r="P22" s="49" t="str">
        <f t="shared" si="1"/>
        <v>Testo 30µg/L + EE2 -64ng/L</v>
      </c>
      <c r="Q22" s="49" t="str">
        <f t="shared" si="1"/>
        <v>Testo 30µg/L + FAD-10mg/L</v>
      </c>
      <c r="R22" s="49" t="str">
        <f t="shared" si="1"/>
        <v>estradiol-540ng/L + Testostérone</v>
      </c>
      <c r="S22" s="49" t="str">
        <f t="shared" si="1"/>
        <v>estradiol-270ng/L + Testostérone</v>
      </c>
      <c r="T22" s="49" t="str">
        <f t="shared" si="1"/>
        <v>estradiol-135ng/L + Testostérone</v>
      </c>
      <c r="U22" s="49" t="str">
        <f t="shared" si="1"/>
        <v>estradiol-68ng/L + Testostérone</v>
      </c>
      <c r="V22" s="49" t="str">
        <f t="shared" si="1"/>
        <v>estradiol-34ng/L + Testostérone</v>
      </c>
    </row>
    <row r="23" spans="1:22">
      <c r="A23" s="5" t="s">
        <v>0</v>
      </c>
      <c r="B23" s="5">
        <f t="shared" ref="B23:N23" si="2">AVERAGE(B5:B20)</f>
        <v>1818733.625</v>
      </c>
      <c r="C23" s="5">
        <f t="shared" si="2"/>
        <v>4657081.25</v>
      </c>
      <c r="D23" s="5">
        <f t="shared" si="2"/>
        <v>5811315.875</v>
      </c>
      <c r="E23" s="5">
        <f t="shared" si="2"/>
        <v>7560498.375</v>
      </c>
      <c r="F23" s="5">
        <f t="shared" si="2"/>
        <v>12150404.5</v>
      </c>
      <c r="G23" s="5">
        <f t="shared" si="2"/>
        <v>13301203</v>
      </c>
      <c r="H23" s="5">
        <f t="shared" si="2"/>
        <v>24861681</v>
      </c>
      <c r="I23" s="5">
        <f>AVERAGE(I5:I20)</f>
        <v>14715910</v>
      </c>
      <c r="J23" s="5">
        <f t="shared" si="2"/>
        <v>11174655.625</v>
      </c>
      <c r="K23" s="5">
        <f t="shared" si="2"/>
        <v>4947747.25</v>
      </c>
      <c r="L23" s="5">
        <f t="shared" si="2"/>
        <v>3666429.875</v>
      </c>
      <c r="M23" s="5">
        <f t="shared" si="2"/>
        <v>2821814.75</v>
      </c>
      <c r="N23" s="5" t="e">
        <f t="shared" si="2"/>
        <v>#DIV/0!</v>
      </c>
      <c r="O23" s="5">
        <f t="shared" ref="O23:V23" si="3">AVERAGE(O5:O20)</f>
        <v>10366300.8125</v>
      </c>
      <c r="P23" s="5">
        <f t="shared" si="3"/>
        <v>12454153.75</v>
      </c>
      <c r="Q23" s="5">
        <f t="shared" si="3"/>
        <v>1999585</v>
      </c>
      <c r="R23" s="5">
        <f t="shared" si="3"/>
        <v>14717871.875</v>
      </c>
      <c r="S23" s="5">
        <f t="shared" si="3"/>
        <v>13484982.25</v>
      </c>
      <c r="T23" s="5">
        <f t="shared" si="3"/>
        <v>9535666.4000000004</v>
      </c>
      <c r="U23" s="5">
        <f t="shared" si="3"/>
        <v>12847027.5</v>
      </c>
      <c r="V23" s="5">
        <f t="shared" si="3"/>
        <v>9945944.75</v>
      </c>
    </row>
    <row r="24" spans="1:22">
      <c r="A24" s="3" t="s">
        <v>1</v>
      </c>
      <c r="B24" s="3">
        <f t="shared" ref="B24:N24" si="4">STDEV(B5:B20)</f>
        <v>697326.60634227865</v>
      </c>
      <c r="C24" s="3">
        <f t="shared" si="4"/>
        <v>3075625.7493092245</v>
      </c>
      <c r="D24" s="3">
        <f t="shared" si="4"/>
        <v>2321628.5871519735</v>
      </c>
      <c r="E24" s="3">
        <f t="shared" si="4"/>
        <v>2566097.5938756797</v>
      </c>
      <c r="F24" s="3">
        <f t="shared" si="4"/>
        <v>3036938.0838656272</v>
      </c>
      <c r="G24" s="3">
        <f t="shared" si="4"/>
        <v>3615929.399027349</v>
      </c>
      <c r="H24" s="3">
        <f t="shared" si="4"/>
        <v>9824625.276000116</v>
      </c>
      <c r="I24" s="3">
        <f>STDEV(I5:I20)</f>
        <v>2952700.9631331493</v>
      </c>
      <c r="J24" s="3">
        <f t="shared" si="4"/>
        <v>3403564.2151072808</v>
      </c>
      <c r="K24" s="3">
        <f t="shared" si="4"/>
        <v>1752656.7216165415</v>
      </c>
      <c r="L24" s="3">
        <f t="shared" si="4"/>
        <v>1500668.1048004145</v>
      </c>
      <c r="M24" s="3">
        <f t="shared" si="4"/>
        <v>1522428.3301442892</v>
      </c>
      <c r="N24" s="3" t="e">
        <f t="shared" si="4"/>
        <v>#DIV/0!</v>
      </c>
      <c r="O24" s="3">
        <f t="shared" ref="O24:V24" si="5">STDEV(O5:O20)</f>
        <v>2674018.6560111917</v>
      </c>
      <c r="P24" s="3">
        <f t="shared" si="5"/>
        <v>2567343.7113096234</v>
      </c>
      <c r="Q24" s="3">
        <f t="shared" si="5"/>
        <v>1054001.5057999545</v>
      </c>
      <c r="R24" s="3">
        <f t="shared" si="5"/>
        <v>4280271.593211364</v>
      </c>
      <c r="S24" s="3">
        <f t="shared" si="5"/>
        <v>3170683.8856697665</v>
      </c>
      <c r="T24" s="3">
        <f t="shared" si="5"/>
        <v>2196494.4871328035</v>
      </c>
      <c r="U24" s="3">
        <f t="shared" si="5"/>
        <v>2953543.5290880683</v>
      </c>
      <c r="V24" s="3">
        <f t="shared" si="5"/>
        <v>4786446.5196862677</v>
      </c>
    </row>
    <row r="25" spans="1:22" ht="15.75" thickBot="1"/>
    <row r="26" spans="1:22" ht="15.75" thickBot="1">
      <c r="B26" s="148" t="s">
        <v>6</v>
      </c>
      <c r="C26" s="149"/>
      <c r="D26" s="149"/>
      <c r="E26" s="149"/>
      <c r="F26" s="149"/>
      <c r="G26" s="149"/>
      <c r="H26" s="149"/>
      <c r="I26" s="149"/>
      <c r="J26" s="149"/>
      <c r="K26" s="149"/>
      <c r="L26" s="149"/>
      <c r="M26" s="149"/>
      <c r="N26" s="149"/>
      <c r="O26" s="148" t="s">
        <v>3</v>
      </c>
      <c r="P26" s="149"/>
      <c r="Q26" s="149"/>
      <c r="R26" s="149"/>
      <c r="S26" s="149"/>
      <c r="T26" s="149"/>
      <c r="U26" s="149"/>
      <c r="V26" s="149"/>
    </row>
    <row r="27" spans="1:22" s="1" customFormat="1">
      <c r="A27" s="18" t="s">
        <v>22</v>
      </c>
      <c r="B27" s="19" t="str">
        <f t="shared" ref="B27:N27" si="6">B4</f>
        <v>Solvent control</v>
      </c>
      <c r="C27" s="19" t="str">
        <f t="shared" si="6"/>
        <v>EE2-33.8ng/L</v>
      </c>
      <c r="D27" s="19" t="str">
        <f t="shared" si="6"/>
        <v>EE2-50.6ng/L</v>
      </c>
      <c r="E27" s="19" t="str">
        <f t="shared" si="6"/>
        <v>EE2-76ng/L</v>
      </c>
      <c r="F27" s="19" t="str">
        <f t="shared" si="6"/>
        <v>EE2-114ng/L</v>
      </c>
      <c r="G27" s="19" t="str">
        <f t="shared" si="6"/>
        <v>EE2-170.9ng/L</v>
      </c>
      <c r="H27" s="19" t="str">
        <f t="shared" si="6"/>
        <v>EE2-488ng/L</v>
      </c>
      <c r="I27" s="19" t="str">
        <f t="shared" si="6"/>
        <v>estradiol-540ng/L</v>
      </c>
      <c r="J27" s="19" t="str">
        <f t="shared" si="6"/>
        <v>estradiol-270ng/L</v>
      </c>
      <c r="K27" s="19" t="str">
        <f t="shared" si="6"/>
        <v>estradiol-135ng/L</v>
      </c>
      <c r="L27" s="19" t="str">
        <f t="shared" si="6"/>
        <v>estradiol-68ng/L</v>
      </c>
      <c r="M27" s="19" t="str">
        <f t="shared" si="6"/>
        <v>estradiol-34ng/L</v>
      </c>
      <c r="N27" s="19" t="str">
        <f t="shared" si="6"/>
        <v/>
      </c>
      <c r="O27" s="20" t="str">
        <f t="shared" ref="O27:V27" si="7">O4</f>
        <v>Testo -30µg/L</v>
      </c>
      <c r="P27" s="20" t="str">
        <f t="shared" si="7"/>
        <v>Testo 30µg/L + EE2 -64ng/L</v>
      </c>
      <c r="Q27" s="20" t="str">
        <f t="shared" si="7"/>
        <v>Testo 30µg/L + FAD-10mg/L</v>
      </c>
      <c r="R27" s="20" t="str">
        <f t="shared" si="7"/>
        <v>estradiol-540ng/L + Testostérone</v>
      </c>
      <c r="S27" s="20" t="str">
        <f t="shared" si="7"/>
        <v>estradiol-270ng/L + Testostérone</v>
      </c>
      <c r="T27" s="20" t="str">
        <f t="shared" si="7"/>
        <v>estradiol-135ng/L + Testostérone</v>
      </c>
      <c r="U27" s="20" t="str">
        <f t="shared" si="7"/>
        <v>estradiol-68ng/L + Testostérone</v>
      </c>
      <c r="V27" s="20" t="str">
        <f t="shared" si="7"/>
        <v>estradiol-34ng/L + Testostérone</v>
      </c>
    </row>
    <row r="28" spans="1:22">
      <c r="A28" s="146" t="s">
        <v>72</v>
      </c>
      <c r="B28" s="75">
        <f>IF(B5="","",(B5/$O$23))</f>
        <v>7.925662344365815E-2</v>
      </c>
      <c r="C28" s="75">
        <f>IF(C5="","",(C5/$O$23))</f>
        <v>0.69914255153204874</v>
      </c>
      <c r="D28" s="75">
        <f>IF(D5="","",(D5/$O$23))</f>
        <v>0.14975988330649265</v>
      </c>
      <c r="E28" s="75">
        <f>IF(E5="","",(E5/$O$23))</f>
        <v>1.0205118673812361</v>
      </c>
      <c r="F28" s="75">
        <f>IF(F5="","",(F5/$O$23))</f>
        <v>1.4550884903717431</v>
      </c>
      <c r="G28" s="75">
        <f>IF(G5="","",(G5/$O$23))</f>
        <v>0.82992970738663874</v>
      </c>
      <c r="H28" s="75">
        <f>IF(H5="","",(H5/$O$23))</f>
        <v>3.8645114322453007</v>
      </c>
      <c r="I28" s="10">
        <f>IF(I5="","",(I5/$O$23))</f>
        <v>1.7671169621000229</v>
      </c>
      <c r="J28" s="10">
        <f>IF(J5="","",(J5/$O$23))</f>
        <v>1.132929596818026</v>
      </c>
      <c r="K28" s="10">
        <f>IF(K5="","",(K5/$O$23))</f>
        <v>0.35588500340945511</v>
      </c>
      <c r="L28" s="10">
        <f>IF(L5="","",(L5/$O$23))</f>
        <v>0.16587373172950745</v>
      </c>
      <c r="M28" s="10">
        <f>IF(M5="","",(M5/$O$23))</f>
        <v>0.3286442349706799</v>
      </c>
      <c r="N28" s="10" t="str">
        <f>IF(N5="","",(N5/$O$23))</f>
        <v/>
      </c>
      <c r="O28" s="75">
        <f t="shared" ref="O28:V28" si="8">IF(O5="","",(O5/$O$23))</f>
        <v>1.4208423300083546</v>
      </c>
      <c r="P28" s="75">
        <f t="shared" si="8"/>
        <v>1.3734671854044269</v>
      </c>
      <c r="Q28" s="75">
        <f t="shared" si="8"/>
        <v>0.13459179173322874</v>
      </c>
      <c r="R28" s="75">
        <f t="shared" si="8"/>
        <v>1.6466965708168813</v>
      </c>
      <c r="S28" s="75">
        <f t="shared" si="8"/>
        <v>1.6792782994497923</v>
      </c>
      <c r="T28" s="75">
        <f t="shared" si="8"/>
        <v>0.80542299042028687</v>
      </c>
      <c r="U28" s="75">
        <f t="shared" si="8"/>
        <v>1.3396844497560736</v>
      </c>
      <c r="V28" s="75">
        <f t="shared" si="8"/>
        <v>1.0761202285919098</v>
      </c>
    </row>
    <row r="29" spans="1:22">
      <c r="A29" s="147"/>
      <c r="B29" s="75">
        <f>IF(B6="","",(B6/$O$23))</f>
        <v>0.1504088129605394</v>
      </c>
      <c r="C29" s="75">
        <f>IF(C6="","",(C6/$O$23))</f>
        <v>0.51012671691172762</v>
      </c>
      <c r="D29" s="75">
        <f>IF(D6="","",(D6/$O$23))</f>
        <v>0.41220654091451969</v>
      </c>
      <c r="E29" s="75">
        <f>IF(E6="","",(E6/$O$23))</f>
        <v>0.71143874110878735</v>
      </c>
      <c r="F29" s="75">
        <f>IF(F6="","",(F6/$O$23))</f>
        <v>1.4975050676979378</v>
      </c>
      <c r="G29" s="75">
        <f>IF(G6="","",(G6/$O$23))</f>
        <v>2.0098205113705792</v>
      </c>
      <c r="H29" s="75">
        <f>IF(H6="","",(H6/$O$23))</f>
        <v>3.9111888351831485</v>
      </c>
      <c r="I29" s="10">
        <f>IF(I6="","",(I6/$O$23))</f>
        <v>1.7996621299571225</v>
      </c>
      <c r="J29" s="10">
        <f>IF(J6="","",(J6/$O$23))</f>
        <v>1.021062015414093</v>
      </c>
      <c r="K29" s="10">
        <f>IF(K6="","",(K6/$O$23))</f>
        <v>0.48477090245542209</v>
      </c>
      <c r="L29" s="10">
        <f>IF(L6="","",(L6/$O$23))</f>
        <v>0.58637706062612871</v>
      </c>
      <c r="M29" s="10">
        <f>IF(M6="","",(M6/$O$23))</f>
        <v>0.3413710506772929</v>
      </c>
      <c r="N29" s="10" t="str">
        <f>IF(N6="","",(N6/$O$23))</f>
        <v/>
      </c>
      <c r="O29" s="75">
        <f t="shared" ref="O29:V29" si="9">IF(O6="","",(O6/$O$23))</f>
        <v>1.0022329264719088</v>
      </c>
      <c r="P29" s="75">
        <f t="shared" si="9"/>
        <v>1.349181665955056</v>
      </c>
      <c r="Q29" s="75">
        <f t="shared" si="9"/>
        <v>0.16388941732728635</v>
      </c>
      <c r="R29" s="75">
        <f t="shared" si="9"/>
        <v>1.7966168777913805</v>
      </c>
      <c r="S29" s="75">
        <f t="shared" si="9"/>
        <v>1.2296846513106143</v>
      </c>
      <c r="T29" s="75">
        <f t="shared" si="9"/>
        <v>0.91653273157415427</v>
      </c>
      <c r="U29" s="75">
        <f t="shared" si="9"/>
        <v>1.5248370933766013</v>
      </c>
      <c r="V29" s="75">
        <f t="shared" si="9"/>
        <v>0.83340471748441269</v>
      </c>
    </row>
    <row r="30" spans="1:22">
      <c r="A30" s="147"/>
      <c r="B30" s="75">
        <f>IF(B7="","",(B7/$O$23))</f>
        <v>0.19083683136172738</v>
      </c>
      <c r="C30" s="75">
        <f>IF(C7="","",(C7/$O$23))</f>
        <v>0.12559649035363163</v>
      </c>
      <c r="D30" s="75">
        <f>IF(D7="","",(D7/$O$23))</f>
        <v>0.63749269093477789</v>
      </c>
      <c r="E30" s="75">
        <f>IF(E7="","",(E7/$O$23))</f>
        <v>0.564508218104538</v>
      </c>
      <c r="F30" s="75">
        <f>IF(F7="","",(F7/$O$23))</f>
        <v>1.430059697102775</v>
      </c>
      <c r="G30" s="75">
        <f>IF(G7="","",(G7/$O$23))</f>
        <v>1.5017364710493732</v>
      </c>
      <c r="H30" s="75">
        <f>IF(H7="","",(H7/$O$23))</f>
        <v>3.0673167386439859</v>
      </c>
      <c r="I30" s="10">
        <f>IF(I7="","",(I7/$O$23))</f>
        <v>1.5329889887854342</v>
      </c>
      <c r="J30" s="10">
        <f>IF(J7="","",(J7/$O$23))</f>
        <v>0.49304328443150702</v>
      </c>
      <c r="K30" s="10">
        <f>IF(K7="","",(K7/$O$23))</f>
        <v>0.55383932068390385</v>
      </c>
      <c r="L30" s="10">
        <f>IF(L7="","",(L7/$O$23))</f>
        <v>0.35547859035274354</v>
      </c>
      <c r="M30" s="10">
        <f>IF(M7="","",(M7/$O$23))</f>
        <v>0.38423561809021156</v>
      </c>
      <c r="N30" s="10" t="str">
        <f>IF(N7="","",(N7/$O$23))</f>
        <v/>
      </c>
      <c r="O30" s="75">
        <f t="shared" ref="O30:V30" si="10">IF(O7="","",(O7/$O$23))</f>
        <v>0.86194286289914668</v>
      </c>
      <c r="P30" s="75">
        <f t="shared" si="10"/>
        <v>1.2076260593272263</v>
      </c>
      <c r="Q30" s="75">
        <f t="shared" si="10"/>
        <v>0.39076745632496085</v>
      </c>
      <c r="R30" s="75">
        <f t="shared" si="10"/>
        <v>1.1906443024610038</v>
      </c>
      <c r="S30" s="75">
        <f t="shared" si="10"/>
        <v>1.2783097114084445</v>
      </c>
      <c r="T30" s="75">
        <f t="shared" si="10"/>
        <v>0.88650919611734935</v>
      </c>
      <c r="U30" s="75">
        <f t="shared" si="10"/>
        <v>0.85666952567029797</v>
      </c>
      <c r="V30" s="75">
        <f t="shared" si="10"/>
        <v>0.8334385772002697</v>
      </c>
    </row>
    <row r="31" spans="1:22">
      <c r="A31" s="147"/>
      <c r="B31" s="75">
        <f>IF(B8="","",(B8/$O$23))</f>
        <v>0.13869161487831366</v>
      </c>
      <c r="C31" s="75">
        <f>IF(C8="","",(C8/$O$23))</f>
        <v>0.15243923831483933</v>
      </c>
      <c r="D31" s="75">
        <f>IF(D8="","",(D8/$O$23))</f>
        <v>0.47160140231556685</v>
      </c>
      <c r="E31" s="75">
        <f>IF(E8="","",(E8/$O$23))</f>
        <v>0.95445715679688603</v>
      </c>
      <c r="F31" s="75">
        <f>IF(F8="","",(F8/$O$23))</f>
        <v>0.64566050330405655</v>
      </c>
      <c r="G31" s="75">
        <f>IF(G8="","",(G8/$O$23))</f>
        <v>1.1568241378389963</v>
      </c>
      <c r="H31" s="75">
        <f>IF(H8="","",(H8/$O$23))</f>
        <v>3.581721741590643</v>
      </c>
      <c r="I31" s="10">
        <f>IF(I8="","",(I8/$O$23))</f>
        <v>1.3698901138269473</v>
      </c>
      <c r="J31" s="10">
        <f>IF(J8="","",(J8/$O$23))</f>
        <v>1.4845392081853597</v>
      </c>
      <c r="K31" s="10">
        <f>IF(K8="","",(K8/$O$23))</f>
        <v>0.43570884944353916</v>
      </c>
      <c r="L31" s="10">
        <f>IF(L8="","",(L8/$O$23))</f>
        <v>0.38716646107359909</v>
      </c>
      <c r="M31" s="10">
        <f>IF(M8="","",(M8/$O$23))</f>
        <v>0.34878902950994217</v>
      </c>
      <c r="N31" s="10" t="str">
        <f>IF(N8="","",(N8/$O$23))</f>
        <v/>
      </c>
      <c r="O31" s="75">
        <f t="shared" ref="O31:V31" si="11">IF(O8="","",(O8/$O$23))</f>
        <v>0.40716800296885075</v>
      </c>
      <c r="P31" s="75">
        <f t="shared" si="11"/>
        <v>1.454102699954811</v>
      </c>
      <c r="Q31" s="75">
        <f t="shared" si="11"/>
        <v>0.27116731907011693</v>
      </c>
      <c r="R31" s="75">
        <f t="shared" si="11"/>
        <v>1.5883136422344679</v>
      </c>
      <c r="S31" s="75">
        <f t="shared" si="11"/>
        <v>1.1378183224026521</v>
      </c>
      <c r="T31" s="75">
        <f t="shared" si="11"/>
        <v>1.2728815455643523</v>
      </c>
      <c r="U31" s="75">
        <f t="shared" si="11"/>
        <v>1.5348580258074582</v>
      </c>
      <c r="V31" s="75">
        <f t="shared" si="11"/>
        <v>1.668645191073554</v>
      </c>
    </row>
    <row r="32" spans="1:22">
      <c r="A32" s="147"/>
      <c r="B32" s="75">
        <f>IF(B9="","",(B9/$O$23))</f>
        <v>0.23144630311199549</v>
      </c>
      <c r="C32" s="75">
        <f>IF(C9="","",(C9/$O$23))</f>
        <v>0.15370410610491822</v>
      </c>
      <c r="D32" s="75">
        <f>IF(D9="","",(D9/$O$23))</f>
        <v>0.50234438438451401</v>
      </c>
      <c r="E32" s="75">
        <f>IF(E9="","",(E9/$O$23))</f>
        <v>0.38712073598722802</v>
      </c>
      <c r="F32" s="75">
        <f>IF(F9="","",(F9/$O$23))</f>
        <v>1.2092051182698591</v>
      </c>
      <c r="G32" s="75">
        <f>IF(G9="","",(G9/$O$23))</f>
        <v>1.1076740109793144</v>
      </c>
      <c r="H32" s="75">
        <f>IF(H9="","",(H9/$O$23))</f>
        <v>1.9790377851337313</v>
      </c>
      <c r="I32" s="10">
        <f>IF(I9="","",(I9/$O$23))</f>
        <v>1.2619570121123185</v>
      </c>
      <c r="J32" s="10">
        <f>IF(J9="","",(J9/$O$23))</f>
        <v>1.3353194404033217</v>
      </c>
      <c r="K32" s="10">
        <f>IF(K9="","",(K9/$O$23))</f>
        <v>0.65778093105090474</v>
      </c>
      <c r="L32" s="10">
        <f>IF(L9="","",(L9/$O$23))</f>
        <v>0.24085843592241404</v>
      </c>
      <c r="M32" s="10">
        <f>IF(M9="","",(M9/$O$23))</f>
        <v>0.45174079787007915</v>
      </c>
      <c r="N32" s="10" t="str">
        <f>IF(N9="","",(N9/$O$23))</f>
        <v/>
      </c>
      <c r="O32" s="75">
        <f t="shared" ref="O32:V32" si="12">IF(O9="","",(O9/$O$23))</f>
        <v>1.1958788601862214</v>
      </c>
      <c r="P32" s="75">
        <f t="shared" si="12"/>
        <v>1.131596816663379</v>
      </c>
      <c r="Q32" s="75">
        <f t="shared" si="12"/>
        <v>6.2454487064403812E-2</v>
      </c>
      <c r="R32" s="75">
        <f t="shared" si="12"/>
        <v>0.67756011783205239</v>
      </c>
      <c r="S32" s="75">
        <f t="shared" si="12"/>
        <v>0.80159066867711548</v>
      </c>
      <c r="T32" s="75">
        <f t="shared" si="12"/>
        <v>0.71801186697426833</v>
      </c>
      <c r="U32" s="75">
        <f t="shared" si="12"/>
        <v>1.1227216159853262</v>
      </c>
      <c r="V32" s="75">
        <f t="shared" si="12"/>
        <v>0.18101114697900342</v>
      </c>
    </row>
    <row r="33" spans="1:22">
      <c r="A33" s="147"/>
      <c r="B33" s="75">
        <f>IF(B10="","",(B10/$O$23))</f>
        <v>0.27722811174210271</v>
      </c>
      <c r="C33" s="75">
        <f>IF(C10="","",(C10/$O$23))</f>
        <v>0.55000506961219342</v>
      </c>
      <c r="D33" s="75">
        <f>IF(D10="","",(D10/$O$23))</f>
        <v>0.79987057581829168</v>
      </c>
      <c r="E33" s="75">
        <f>IF(E10="","",(E10/$O$23))</f>
        <v>0.85571180698360616</v>
      </c>
      <c r="F33" s="75">
        <f>IF(F10="","",(F10/$O$23))</f>
        <v>1.1338724596749685</v>
      </c>
      <c r="G33" s="75">
        <f>IF(G10="","",(G10/$O$23))</f>
        <v>1.2763232747448308</v>
      </c>
      <c r="H33" s="75">
        <f>IF(H10="","",(H10/$O$23))</f>
        <v>2.1251148696588147</v>
      </c>
      <c r="I33" s="10">
        <f>IF(I10="","",(I10/$O$23))</f>
        <v>1.4870783974753579</v>
      </c>
      <c r="J33" s="10">
        <f>IF(J10="","",(J10/$O$23))</f>
        <v>0.72402085717498565</v>
      </c>
      <c r="K33" s="10">
        <f>IF(K10="","",(K10/$O$23))</f>
        <v>0.73268913736724539</v>
      </c>
      <c r="L33" s="10">
        <f>IF(L10="","",(L10/$O$23))</f>
        <v>0.21542728118666585</v>
      </c>
      <c r="M33" s="10">
        <f>IF(M10="","",(M10/$O$23))</f>
        <v>0.1901576112496205</v>
      </c>
      <c r="N33" s="10" t="str">
        <f>IF(N10="","",(N10/$O$23))</f>
        <v/>
      </c>
      <c r="O33" s="75">
        <f t="shared" ref="O33:V33" si="13">IF(O10="","",(O10/$O$23))</f>
        <v>1.1942909263323098</v>
      </c>
      <c r="P33" s="75">
        <f t="shared" si="13"/>
        <v>0.95414036105080469</v>
      </c>
      <c r="Q33" s="75">
        <f t="shared" si="13"/>
        <v>0.18219170311193397</v>
      </c>
      <c r="R33" s="75">
        <f t="shared" si="13"/>
        <v>1.6486342919348889</v>
      </c>
      <c r="S33" s="75">
        <f t="shared" si="13"/>
        <v>1.3786068201655324</v>
      </c>
      <c r="T33" s="75" t="str">
        <f t="shared" si="13"/>
        <v/>
      </c>
      <c r="U33" s="75">
        <f t="shared" si="13"/>
        <v>1.4751047916303173</v>
      </c>
      <c r="V33" s="75">
        <f t="shared" si="13"/>
        <v>1.4288196211844204</v>
      </c>
    </row>
    <row r="34" spans="1:22">
      <c r="A34" s="147"/>
      <c r="B34" s="75">
        <f>IF(B11="","",(B11/$O$23))</f>
        <v>0.1104180768726848</v>
      </c>
      <c r="C34" s="75">
        <f>IF(C11="","",(C11/$O$23))</f>
        <v>0.44417474307207211</v>
      </c>
      <c r="D34" s="75">
        <f>IF(D11="","",(D11/$O$23))</f>
        <v>0.82521076271343252</v>
      </c>
      <c r="E34" s="75">
        <f>IF(E11="","",(E11/$O$23))</f>
        <v>0.92143544479068729</v>
      </c>
      <c r="F34" s="75">
        <f>IF(F11="","",(F11/$O$23))</f>
        <v>0.92881869570963693</v>
      </c>
      <c r="G34" s="75">
        <f>IF(G11="","",(G11/$O$23))</f>
        <v>1.1329810134235867</v>
      </c>
      <c r="H34" s="75">
        <f>IF(H11="","",(H11/$O$23))</f>
        <v>1.6260163876080844</v>
      </c>
      <c r="I34" s="10">
        <f>IF(I11="","",(I11/$O$23))</f>
        <v>0.99104494320789327</v>
      </c>
      <c r="J34" s="10">
        <f>IF(J11="","",(J11/$O$23))</f>
        <v>1.2907509864913058</v>
      </c>
      <c r="K34" s="10">
        <f>IF(K11="","",(K11/$O$23))</f>
        <v>0.20879473200218787</v>
      </c>
      <c r="L34" s="10">
        <f>IF(L11="","",(L11/$O$23))</f>
        <v>0.5087900781000031</v>
      </c>
      <c r="M34" s="10">
        <f>IF(M11="","",(M11/$O$23))</f>
        <v>4.519075883222639E-2</v>
      </c>
      <c r="N34" s="10" t="str">
        <f>IF(N11="","",(N11/$O$23))</f>
        <v/>
      </c>
      <c r="O34" s="75">
        <f t="shared" ref="O34:V34" si="14">IF(O11="","",(O11/$O$23))</f>
        <v>0.61800261403517898</v>
      </c>
      <c r="P34" s="75">
        <f t="shared" si="14"/>
        <v>0.74363923442241897</v>
      </c>
      <c r="Q34" s="75">
        <f t="shared" si="14"/>
        <v>0.2168819949049689</v>
      </c>
      <c r="R34" s="75">
        <f t="shared" si="14"/>
        <v>1.8019453938164405</v>
      </c>
      <c r="S34" s="75">
        <f t="shared" si="14"/>
        <v>1.1513593147526655</v>
      </c>
      <c r="T34" s="75" t="str">
        <f t="shared" si="14"/>
        <v/>
      </c>
      <c r="U34" s="75">
        <f t="shared" si="14"/>
        <v>0.8225483857962278</v>
      </c>
      <c r="V34" s="75">
        <f t="shared" si="14"/>
        <v>1.0304461729606982</v>
      </c>
    </row>
    <row r="35" spans="1:22">
      <c r="A35" s="147"/>
      <c r="B35" s="75">
        <f>IF(B12="","",(B12/$O$23))</f>
        <v>0.22528750055023544</v>
      </c>
      <c r="C35" s="75">
        <f>IF(C12="","",(C12/$O$23))</f>
        <v>0.95882698947098488</v>
      </c>
      <c r="D35" s="75">
        <f>IF(D12="","",(D12/$O$23))</f>
        <v>0.68628878600757859</v>
      </c>
      <c r="E35" s="75">
        <f>IF(E12="","",(E12/$O$23))</f>
        <v>0.41949014201443713</v>
      </c>
      <c r="F35" s="75">
        <f>IF(F12="","",(F12/$O$23))</f>
        <v>1.0766388321031564</v>
      </c>
      <c r="G35" s="75">
        <f>IF(G12="","",(G12/$O$23))</f>
        <v>1.2496670928533311</v>
      </c>
      <c r="H35" s="75">
        <f>IF(H12="","",(H12/$O$23))</f>
        <v>1.650273738860788</v>
      </c>
      <c r="I35" s="10">
        <f>IF(I12="","",(I12/$O$23))</f>
        <v>1.1469915078735324</v>
      </c>
      <c r="J35" s="10">
        <f>IF(J12="","",(J12/$O$23))</f>
        <v>1.1421674147949583</v>
      </c>
      <c r="K35" s="10">
        <f>IF(K12="","",(K12/$O$23))</f>
        <v>0.38886311259067563</v>
      </c>
      <c r="L35" s="10">
        <f>IF(L12="","",(L12/$O$23))</f>
        <v>0.36952747844061273</v>
      </c>
      <c r="M35" s="10">
        <f>IF(M12="","",(M12/$O$23))</f>
        <v>8.7553990224321407E-2</v>
      </c>
      <c r="N35" s="10" t="str">
        <f>IF(N12="","",(N12/$O$23))</f>
        <v/>
      </c>
      <c r="O35" s="75">
        <f t="shared" ref="O35:V35" si="15">IF(O12="","",(O12/$O$23))</f>
        <v>0.89727947975270084</v>
      </c>
      <c r="P35" s="75">
        <f t="shared" si="15"/>
        <v>1.3975076801293624</v>
      </c>
      <c r="Q35" s="75">
        <f t="shared" si="15"/>
        <v>0.12119839301643842</v>
      </c>
      <c r="R35" s="75">
        <f t="shared" si="15"/>
        <v>1.0078328990223868</v>
      </c>
      <c r="S35" s="75">
        <f t="shared" si="15"/>
        <v>1.7501366522302046</v>
      </c>
      <c r="T35" s="75" t="str">
        <f t="shared" si="15"/>
        <v/>
      </c>
      <c r="U35" s="75">
        <f t="shared" si="15"/>
        <v>1.2380308301033107</v>
      </c>
      <c r="V35" s="75">
        <f t="shared" si="15"/>
        <v>0.62371236537951857</v>
      </c>
    </row>
    <row r="36" spans="1:22" s="1" customFormat="1">
      <c r="A36" s="147"/>
      <c r="B36" s="10" t="str">
        <f>IF(B13="","",(B13/$O$23))</f>
        <v/>
      </c>
      <c r="C36" s="10" t="str">
        <f>IF(C13="","",(C13/$O$23))</f>
        <v/>
      </c>
      <c r="D36" s="10" t="str">
        <f>IF(D13="","",(D13/$O$23))</f>
        <v/>
      </c>
      <c r="E36" s="10" t="str">
        <f>IF(E13="","",(E13/$O$23))</f>
        <v/>
      </c>
      <c r="F36" s="10" t="str">
        <f>IF(F13="","",(F13/$O$23))</f>
        <v/>
      </c>
      <c r="G36" s="10" t="str">
        <f>IF(G13="","",(G13/$O$23))</f>
        <v/>
      </c>
      <c r="H36" s="10">
        <f>IF(H13="","",(H13/$O$23))</f>
        <v>2.3337119419521959</v>
      </c>
      <c r="I36" s="10" t="str">
        <f>IF(I13="","",(I13/$O$23))</f>
        <v/>
      </c>
      <c r="J36" s="10" t="str">
        <f>IF(J13="","",(J13/$O$23))</f>
        <v/>
      </c>
      <c r="K36" s="10" t="str">
        <f>IF(K13="","",(K13/$O$23))</f>
        <v/>
      </c>
      <c r="L36" s="10" t="str">
        <f>IF(L13="","",(L13/$O$23))</f>
        <v/>
      </c>
      <c r="M36" s="10" t="str">
        <f>IF(M13="","",(M13/$O$23))</f>
        <v/>
      </c>
      <c r="N36" s="10" t="str">
        <f>IF(N13="","",(N13/$O$23))</f>
        <v/>
      </c>
      <c r="O36" s="10">
        <f t="shared" ref="O36:V36" si="16">IF(O13="","",(O13/$O$23))</f>
        <v>0.87130473670112785</v>
      </c>
      <c r="P36" s="10" t="str">
        <f t="shared" si="16"/>
        <v/>
      </c>
      <c r="Q36" s="10" t="str">
        <f t="shared" si="16"/>
        <v/>
      </c>
      <c r="R36" s="10" t="str">
        <f t="shared" si="16"/>
        <v/>
      </c>
      <c r="S36" s="10" t="str">
        <f t="shared" si="16"/>
        <v/>
      </c>
      <c r="T36" s="10" t="str">
        <f t="shared" si="16"/>
        <v/>
      </c>
      <c r="U36" s="10" t="str">
        <f t="shared" si="16"/>
        <v/>
      </c>
      <c r="V36" s="10" t="str">
        <f t="shared" si="16"/>
        <v/>
      </c>
    </row>
    <row r="37" spans="1:22" s="1" customFormat="1">
      <c r="A37" s="147"/>
      <c r="B37" s="10" t="str">
        <f>IF(B14="","",(B14/$O$23))</f>
        <v/>
      </c>
      <c r="C37" s="10" t="str">
        <f>IF(C14="","",(C14/$O$23))</f>
        <v/>
      </c>
      <c r="D37" s="10" t="str">
        <f>IF(D14="","",(D14/$O$23))</f>
        <v/>
      </c>
      <c r="E37" s="10" t="str">
        <f>IF(E14="","",(E14/$O$23))</f>
        <v/>
      </c>
      <c r="F37" s="10" t="str">
        <f>IF(F14="","",(F14/$O$23))</f>
        <v/>
      </c>
      <c r="G37" s="10" t="str">
        <f>IF(G14="","",(G14/$O$23))</f>
        <v/>
      </c>
      <c r="H37" s="10">
        <f>IF(H14="","",(H14/$O$23))</f>
        <v>1.5895355824645572</v>
      </c>
      <c r="I37" s="10" t="str">
        <f>IF(I14="","",(I14/$O$23))</f>
        <v/>
      </c>
      <c r="J37" s="10" t="str">
        <f>IF(J14="","",(J14/$O$23))</f>
        <v/>
      </c>
      <c r="K37" s="10" t="str">
        <f>IF(K14="","",(K14/$O$23))</f>
        <v/>
      </c>
      <c r="L37" s="10" t="str">
        <f>IF(L14="","",(L14/$O$23))</f>
        <v/>
      </c>
      <c r="M37" s="10" t="str">
        <f>IF(M14="","",(M14/$O$23))</f>
        <v/>
      </c>
      <c r="N37" s="10" t="str">
        <f>IF(N14="","",(N14/$O$23))</f>
        <v/>
      </c>
      <c r="O37" s="10">
        <f t="shared" ref="O37:V37" si="17">IF(O14="","",(O14/$O$23))</f>
        <v>1.2881919251173573</v>
      </c>
      <c r="P37" s="10" t="str">
        <f t="shared" si="17"/>
        <v/>
      </c>
      <c r="Q37" s="10" t="str">
        <f t="shared" si="17"/>
        <v/>
      </c>
      <c r="R37" s="10" t="str">
        <f t="shared" si="17"/>
        <v/>
      </c>
      <c r="S37" s="10" t="str">
        <f t="shared" si="17"/>
        <v/>
      </c>
      <c r="T37" s="10" t="str">
        <f t="shared" si="17"/>
        <v/>
      </c>
      <c r="U37" s="10" t="str">
        <f t="shared" si="17"/>
        <v/>
      </c>
      <c r="V37" s="10" t="str">
        <f t="shared" si="17"/>
        <v/>
      </c>
    </row>
    <row r="38" spans="1:22" s="1" customFormat="1">
      <c r="A38" s="147"/>
      <c r="B38" s="10" t="str">
        <f>IF(B15="","",(B15/$O$23))</f>
        <v/>
      </c>
      <c r="C38" s="10" t="str">
        <f>IF(C15="","",(C15/$O$23))</f>
        <v/>
      </c>
      <c r="D38" s="10" t="str">
        <f>IF(D15="","",(D15/$O$23))</f>
        <v/>
      </c>
      <c r="E38" s="10" t="str">
        <f>IF(E15="","",(E15/$O$23))</f>
        <v/>
      </c>
      <c r="F38" s="10" t="str">
        <f>IF(F15="","",(F15/$O$23))</f>
        <v/>
      </c>
      <c r="G38" s="10" t="str">
        <f>IF(G15="","",(G15/$O$23))</f>
        <v/>
      </c>
      <c r="H38" s="10">
        <f>IF(H15="","",(H15/$O$23))</f>
        <v>1.5815336923496208</v>
      </c>
      <c r="I38" s="10" t="str">
        <f>IF(I15="","",(I15/$O$23))</f>
        <v/>
      </c>
      <c r="J38" s="10" t="str">
        <f>IF(J15="","",(J15/$O$23))</f>
        <v/>
      </c>
      <c r="K38" s="10" t="str">
        <f>IF(K15="","",(K15/$O$23))</f>
        <v/>
      </c>
      <c r="L38" s="10" t="str">
        <f>IF(L15="","",(L15/$O$23))</f>
        <v/>
      </c>
      <c r="M38" s="10" t="str">
        <f>IF(M15="","",(M15/$O$23))</f>
        <v/>
      </c>
      <c r="N38" s="10" t="str">
        <f>IF(N15="","",(N15/$O$23))</f>
        <v/>
      </c>
      <c r="O38" s="10">
        <f t="shared" ref="O38:R38" si="18">IF(O15="","",(O15/$O$23))</f>
        <v>1.0975219806742416</v>
      </c>
      <c r="P38" s="10" t="str">
        <f t="shared" si="18"/>
        <v/>
      </c>
      <c r="Q38" s="10" t="str">
        <f t="shared" si="18"/>
        <v/>
      </c>
      <c r="R38" s="10" t="str">
        <f t="shared" si="18"/>
        <v/>
      </c>
      <c r="S38" s="10" t="str">
        <f t="shared" ref="S38:V38" si="19">IF(S15="","",(S15/$O$23))</f>
        <v/>
      </c>
      <c r="T38" s="10" t="str">
        <f t="shared" si="19"/>
        <v/>
      </c>
      <c r="U38" s="10" t="str">
        <f t="shared" si="19"/>
        <v/>
      </c>
      <c r="V38" s="10" t="str">
        <f t="shared" si="19"/>
        <v/>
      </c>
    </row>
    <row r="39" spans="1:22" s="1" customFormat="1">
      <c r="A39" s="147"/>
      <c r="B39" s="10" t="str">
        <f>IF(B16="","",(B16/$O$23))</f>
        <v/>
      </c>
      <c r="C39" s="10" t="str">
        <f>IF(C16="","",(C16/$O$23))</f>
        <v/>
      </c>
      <c r="D39" s="10" t="str">
        <f>IF(D16="","",(D16/$O$23))</f>
        <v/>
      </c>
      <c r="E39" s="10" t="str">
        <f>IF(E16="","",(E16/$O$23))</f>
        <v/>
      </c>
      <c r="F39" s="10" t="str">
        <f>IF(F16="","",(F16/$O$23))</f>
        <v/>
      </c>
      <c r="G39" s="10" t="str">
        <f>IF(G16="","",(G16/$O$23))</f>
        <v/>
      </c>
      <c r="H39" s="10">
        <f>IF(H16="","",(H16/$O$23))</f>
        <v>1.469847660761195</v>
      </c>
      <c r="I39" s="10" t="str">
        <f>IF(I16="","",(I16/$O$23))</f>
        <v/>
      </c>
      <c r="J39" s="10" t="str">
        <f>IF(J16="","",(J16/$O$23))</f>
        <v/>
      </c>
      <c r="K39" s="10" t="str">
        <f>IF(K16="","",(K16/$O$23))</f>
        <v/>
      </c>
      <c r="L39" s="10" t="str">
        <f>IF(L16="","",(L16/$O$23))</f>
        <v/>
      </c>
      <c r="M39" s="10" t="str">
        <f>IF(M16="","",(M16/$O$23))</f>
        <v/>
      </c>
      <c r="N39" s="10" t="str">
        <f>IF(N16="","",(N16/$O$23))</f>
        <v/>
      </c>
      <c r="O39" s="10">
        <f t="shared" ref="O39:R39" si="20">IF(O16="","",(O16/$O$23))</f>
        <v>0.80839261290730557</v>
      </c>
      <c r="P39" s="10" t="str">
        <f t="shared" si="20"/>
        <v/>
      </c>
      <c r="Q39" s="10" t="str">
        <f t="shared" si="20"/>
        <v/>
      </c>
      <c r="R39" s="10" t="str">
        <f t="shared" si="20"/>
        <v/>
      </c>
      <c r="S39" s="10" t="str">
        <f t="shared" ref="S39:V39" si="21">IF(S16="","",(S16/$O$23))</f>
        <v/>
      </c>
      <c r="T39" s="10" t="str">
        <f t="shared" si="21"/>
        <v/>
      </c>
      <c r="U39" s="10" t="str">
        <f t="shared" si="21"/>
        <v/>
      </c>
      <c r="V39" s="10" t="str">
        <f t="shared" si="21"/>
        <v/>
      </c>
    </row>
    <row r="40" spans="1:22" s="1" customFormat="1">
      <c r="A40" s="147"/>
      <c r="B40" s="10" t="str">
        <f>IF(B17="","",(B17/$O$23))</f>
        <v/>
      </c>
      <c r="C40" s="10" t="str">
        <f>IF(C17="","",(C17/$O$23))</f>
        <v/>
      </c>
      <c r="D40" s="10" t="str">
        <f>IF(D17="","",(D17/$O$23))</f>
        <v/>
      </c>
      <c r="E40" s="10" t="str">
        <f>IF(E17="","",(E17/$O$23))</f>
        <v/>
      </c>
      <c r="F40" s="10" t="str">
        <f>IF(F17="","",(F17/$O$23))</f>
        <v/>
      </c>
      <c r="G40" s="10" t="str">
        <f>IF(G17="","",(G17/$O$23))</f>
        <v/>
      </c>
      <c r="H40" s="10" t="str">
        <f>IF(H17="","",(H17/$O$23))</f>
        <v/>
      </c>
      <c r="I40" s="10" t="str">
        <f>IF(I17="","",(I17/$O$23))</f>
        <v/>
      </c>
      <c r="J40" s="10" t="str">
        <f>IF(J17="","",(J17/$O$23))</f>
        <v/>
      </c>
      <c r="K40" s="10" t="str">
        <f>IF(K17="","",(K17/$O$23))</f>
        <v/>
      </c>
      <c r="L40" s="10" t="str">
        <f>IF(L17="","",(L17/$O$23))</f>
        <v/>
      </c>
      <c r="M40" s="10" t="str">
        <f>IF(M17="","",(M17/$O$23))</f>
        <v/>
      </c>
      <c r="N40" s="10" t="str">
        <f>IF(N17="","",(N17/$O$23))</f>
        <v/>
      </c>
      <c r="O40" s="10">
        <f t="shared" ref="O40:R40" si="22">IF(O17="","",(O17/$O$23))</f>
        <v>0.93223254609272899</v>
      </c>
      <c r="P40" s="10" t="str">
        <f t="shared" si="22"/>
        <v/>
      </c>
      <c r="Q40" s="10" t="str">
        <f t="shared" si="22"/>
        <v/>
      </c>
      <c r="R40" s="10" t="str">
        <f t="shared" si="22"/>
        <v/>
      </c>
      <c r="S40" s="10" t="str">
        <f t="shared" ref="S40:V40" si="23">IF(S17="","",(S17/$O$23))</f>
        <v/>
      </c>
      <c r="T40" s="10" t="str">
        <f t="shared" si="23"/>
        <v/>
      </c>
      <c r="U40" s="10" t="str">
        <f t="shared" si="23"/>
        <v/>
      </c>
      <c r="V40" s="10" t="str">
        <f t="shared" si="23"/>
        <v/>
      </c>
    </row>
    <row r="41" spans="1:22" s="1" customFormat="1">
      <c r="A41" s="147"/>
      <c r="B41" s="10" t="str">
        <f>IF(B18="","",(B18/$O$23))</f>
        <v/>
      </c>
      <c r="C41" s="10" t="str">
        <f>IF(C18="","",(C18/$O$23))</f>
        <v/>
      </c>
      <c r="D41" s="10" t="str">
        <f>IF(D18="","",(D18/$O$23))</f>
        <v/>
      </c>
      <c r="E41" s="10" t="str">
        <f>IF(E18="","",(E18/$O$23))</f>
        <v/>
      </c>
      <c r="F41" s="10" t="str">
        <f>IF(F18="","",(F18/$O$23))</f>
        <v/>
      </c>
      <c r="G41" s="10" t="str">
        <f>IF(G18="","",(G18/$O$23))</f>
        <v/>
      </c>
      <c r="H41" s="10" t="str">
        <f>IF(H18="","",(H18/$O$23))</f>
        <v/>
      </c>
      <c r="I41" s="10" t="str">
        <f>IF(I18="","",(I18/$O$23))</f>
        <v/>
      </c>
      <c r="J41" s="10" t="str">
        <f>IF(J18="","",(J18/$O$23))</f>
        <v/>
      </c>
      <c r="K41" s="10" t="str">
        <f>IF(K18="","",(K18/$O$23))</f>
        <v/>
      </c>
      <c r="L41" s="10" t="str">
        <f>IF(L18="","",(L18/$O$23))</f>
        <v/>
      </c>
      <c r="M41" s="10" t="str">
        <f>IF(M18="","",(M18/$O$23))</f>
        <v/>
      </c>
      <c r="N41" s="10" t="str">
        <f>IF(N18="","",(N18/$O$23))</f>
        <v/>
      </c>
      <c r="O41" s="10">
        <f t="shared" ref="O41:R41" si="24">IF(O18="","",(O18/$O$23))</f>
        <v>1.2272760775626972</v>
      </c>
      <c r="P41" s="10" t="str">
        <f t="shared" si="24"/>
        <v/>
      </c>
      <c r="Q41" s="10" t="str">
        <f t="shared" si="24"/>
        <v/>
      </c>
      <c r="R41" s="10" t="str">
        <f t="shared" si="24"/>
        <v/>
      </c>
      <c r="S41" s="10" t="str">
        <f t="shared" ref="S41:V41" si="25">IF(S18="","",(S18/$O$23))</f>
        <v/>
      </c>
      <c r="T41" s="10" t="str">
        <f t="shared" si="25"/>
        <v/>
      </c>
      <c r="U41" s="10" t="str">
        <f t="shared" si="25"/>
        <v/>
      </c>
      <c r="V41" s="10" t="str">
        <f t="shared" si="25"/>
        <v/>
      </c>
    </row>
    <row r="42" spans="1:22" s="1" customFormat="1">
      <c r="A42" s="147"/>
      <c r="B42" s="10" t="str">
        <f>IF(B19="","",(B19/$O$23))</f>
        <v/>
      </c>
      <c r="C42" s="10" t="str">
        <f>IF(C19="","",(C19/$O$23))</f>
        <v/>
      </c>
      <c r="D42" s="10" t="str">
        <f>IF(D19="","",(D19/$O$23))</f>
        <v/>
      </c>
      <c r="E42" s="10" t="str">
        <f>IF(E19="","",(E19/$O$23))</f>
        <v/>
      </c>
      <c r="F42" s="10" t="str">
        <f>IF(F19="","",(F19/$O$23))</f>
        <v/>
      </c>
      <c r="G42" s="10" t="str">
        <f>IF(G19="","",(G19/$O$23))</f>
        <v/>
      </c>
      <c r="H42" s="10" t="str">
        <f>IF(H19="","",(H19/$O$23))</f>
        <v/>
      </c>
      <c r="I42" s="10" t="str">
        <f>IF(I19="","",(I19/$O$23))</f>
        <v/>
      </c>
      <c r="J42" s="10" t="str">
        <f>IF(J19="","",(J19/$O$23))</f>
        <v/>
      </c>
      <c r="K42" s="10" t="str">
        <f>IF(K19="","",(K19/$O$23))</f>
        <v/>
      </c>
      <c r="L42" s="10" t="str">
        <f>IF(L19="","",(L19/$O$23))</f>
        <v/>
      </c>
      <c r="M42" s="10" t="str">
        <f>IF(M19="","",(M19/$O$23))</f>
        <v/>
      </c>
      <c r="N42" s="10" t="str">
        <f>IF(N19="","",(N19/$O$23))</f>
        <v/>
      </c>
      <c r="O42" s="10">
        <f t="shared" ref="O42:R42" si="26">IF(O19="","",(O19/$O$23))</f>
        <v>1.0836236766788307</v>
      </c>
      <c r="P42" s="10" t="str">
        <f t="shared" si="26"/>
        <v/>
      </c>
      <c r="Q42" s="10" t="str">
        <f t="shared" si="26"/>
        <v/>
      </c>
      <c r="R42" s="10" t="str">
        <f t="shared" si="26"/>
        <v/>
      </c>
      <c r="S42" s="10" t="str">
        <f t="shared" ref="S42:V42" si="27">IF(S19="","",(S19/$O$23))</f>
        <v/>
      </c>
      <c r="T42" s="10" t="str">
        <f t="shared" si="27"/>
        <v/>
      </c>
      <c r="U42" s="10" t="str">
        <f t="shared" si="27"/>
        <v/>
      </c>
      <c r="V42" s="10" t="str">
        <f t="shared" si="27"/>
        <v/>
      </c>
    </row>
    <row r="43" spans="1:22" s="1" customFormat="1">
      <c r="A43" s="147"/>
      <c r="B43" s="10" t="str">
        <f>IF(B20="","",(B20/$O$23))</f>
        <v/>
      </c>
      <c r="C43" s="10" t="str">
        <f>IF(C20="","",(C20/$O$23))</f>
        <v/>
      </c>
      <c r="D43" s="10" t="str">
        <f>IF(D20="","",(D20/$O$23))</f>
        <v/>
      </c>
      <c r="E43" s="10" t="str">
        <f>IF(E20="","",(E20/$O$23))</f>
        <v/>
      </c>
      <c r="F43" s="10" t="str">
        <f>IF(F20="","",(F20/$O$23))</f>
        <v/>
      </c>
      <c r="G43" s="10" t="str">
        <f>IF(G20="","",(G20/$O$23))</f>
        <v/>
      </c>
      <c r="H43" s="10" t="str">
        <f>IF(H20="","",(H20/$O$23))</f>
        <v/>
      </c>
      <c r="I43" s="10" t="str">
        <f>IF(I20="","",(I20/$O$23))</f>
        <v/>
      </c>
      <c r="J43" s="10" t="str">
        <f>IF(J20="","",(J20/$O$23))</f>
        <v/>
      </c>
      <c r="K43" s="10" t="str">
        <f>IF(K20="","",(K20/$O$23))</f>
        <v/>
      </c>
      <c r="L43" s="10" t="str">
        <f>IF(L20="","",(L20/$O$23))</f>
        <v/>
      </c>
      <c r="M43" s="10" t="str">
        <f>IF(M20="","",(M20/$O$23))</f>
        <v/>
      </c>
      <c r="N43" s="10" t="str">
        <f>IF(N20="","",(N20/$O$23))</f>
        <v/>
      </c>
      <c r="O43" s="10">
        <f t="shared" ref="O43:R43" si="28">IF(O20="","",(O20/$O$23))</f>
        <v>1.0938184416110392</v>
      </c>
      <c r="P43" s="10" t="str">
        <f t="shared" si="28"/>
        <v/>
      </c>
      <c r="Q43" s="10" t="str">
        <f t="shared" si="28"/>
        <v/>
      </c>
      <c r="R43" s="10" t="str">
        <f t="shared" si="28"/>
        <v/>
      </c>
      <c r="S43" s="10" t="str">
        <f t="shared" ref="S43:V43" si="29">IF(S20="","",(S20/$O$23))</f>
        <v/>
      </c>
      <c r="T43" s="10" t="str">
        <f t="shared" si="29"/>
        <v/>
      </c>
      <c r="U43" s="10" t="str">
        <f t="shared" si="29"/>
        <v/>
      </c>
      <c r="V43" s="10" t="str">
        <f t="shared" si="29"/>
        <v/>
      </c>
    </row>
    <row r="44" spans="1:22">
      <c r="A44" s="6"/>
      <c r="B44" s="3"/>
      <c r="C44" s="3"/>
      <c r="D44" s="3"/>
      <c r="E44" s="3"/>
      <c r="F44" s="3"/>
      <c r="G44" s="3"/>
      <c r="H44" s="3"/>
      <c r="I44" s="3"/>
      <c r="J44" s="3"/>
      <c r="O44" s="3"/>
      <c r="P44" s="3"/>
      <c r="Q44" s="3"/>
      <c r="R44" s="3"/>
      <c r="S44" s="3"/>
      <c r="T44" s="3"/>
      <c r="U44" s="3"/>
      <c r="V44" s="3"/>
    </row>
    <row r="45" spans="1:22" s="50" customFormat="1">
      <c r="A45" s="51" t="str">
        <f t="shared" ref="A45:N45" si="30">A4</f>
        <v>Noms des groupes</v>
      </c>
      <c r="B45" s="51" t="str">
        <f t="shared" si="30"/>
        <v>Solvent control</v>
      </c>
      <c r="C45" s="51" t="str">
        <f t="shared" si="30"/>
        <v>EE2-33.8ng/L</v>
      </c>
      <c r="D45" s="51" t="str">
        <f t="shared" si="30"/>
        <v>EE2-50.6ng/L</v>
      </c>
      <c r="E45" s="51" t="str">
        <f t="shared" si="30"/>
        <v>EE2-76ng/L</v>
      </c>
      <c r="F45" s="51" t="str">
        <f t="shared" si="30"/>
        <v>EE2-114ng/L</v>
      </c>
      <c r="G45" s="51" t="str">
        <f t="shared" si="30"/>
        <v>EE2-170.9ng/L</v>
      </c>
      <c r="H45" s="51" t="str">
        <f t="shared" si="30"/>
        <v>EE2-488ng/L</v>
      </c>
      <c r="I45" s="51" t="str">
        <f t="shared" si="30"/>
        <v>estradiol-540ng/L</v>
      </c>
      <c r="J45" s="51" t="str">
        <f t="shared" si="30"/>
        <v>estradiol-270ng/L</v>
      </c>
      <c r="K45" s="51" t="str">
        <f t="shared" si="30"/>
        <v>estradiol-135ng/L</v>
      </c>
      <c r="L45" s="51" t="str">
        <f t="shared" si="30"/>
        <v>estradiol-68ng/L</v>
      </c>
      <c r="M45" s="51" t="str">
        <f t="shared" si="30"/>
        <v>estradiol-34ng/L</v>
      </c>
      <c r="N45" s="51" t="str">
        <f t="shared" si="30"/>
        <v/>
      </c>
      <c r="O45" s="51" t="str">
        <f t="shared" ref="O45:V45" si="31">O4</f>
        <v>Testo -30µg/L</v>
      </c>
      <c r="P45" s="51" t="str">
        <f t="shared" si="31"/>
        <v>Testo 30µg/L + EE2 -64ng/L</v>
      </c>
      <c r="Q45" s="51" t="str">
        <f t="shared" si="31"/>
        <v>Testo 30µg/L + FAD-10mg/L</v>
      </c>
      <c r="R45" s="51" t="str">
        <f t="shared" si="31"/>
        <v>estradiol-540ng/L + Testostérone</v>
      </c>
      <c r="S45" s="51" t="str">
        <f t="shared" si="31"/>
        <v>estradiol-270ng/L + Testostérone</v>
      </c>
      <c r="T45" s="51" t="str">
        <f t="shared" si="31"/>
        <v>estradiol-135ng/L + Testostérone</v>
      </c>
      <c r="U45" s="51" t="str">
        <f t="shared" si="31"/>
        <v>estradiol-68ng/L + Testostérone</v>
      </c>
      <c r="V45" s="51" t="str">
        <f t="shared" si="31"/>
        <v>estradiol-34ng/L + Testostérone</v>
      </c>
    </row>
    <row r="46" spans="1:22">
      <c r="A46" s="7" t="s">
        <v>0</v>
      </c>
      <c r="B46" s="9">
        <f t="shared" ref="B46:H46" si="32">AVERAGE(B28:B43)</f>
        <v>0.17544673436515715</v>
      </c>
      <c r="C46" s="9">
        <f t="shared" si="32"/>
        <v>0.44925198817155204</v>
      </c>
      <c r="D46" s="9">
        <f t="shared" si="32"/>
        <v>0.56059687829939675</v>
      </c>
      <c r="E46" s="9">
        <f t="shared" si="32"/>
        <v>0.72933426414592584</v>
      </c>
      <c r="F46" s="9">
        <f t="shared" si="32"/>
        <v>1.1721061080292667</v>
      </c>
      <c r="G46" s="9">
        <f t="shared" si="32"/>
        <v>1.2831195274558314</v>
      </c>
      <c r="H46" s="9">
        <f t="shared" si="32"/>
        <v>2.3983175338710057</v>
      </c>
      <c r="I46" s="9">
        <f>AVERAGE(I28:I43)</f>
        <v>1.4195912569173288</v>
      </c>
      <c r="J46" s="8">
        <f>AVERAGE(J28:J43)</f>
        <v>1.0779791004641945</v>
      </c>
      <c r="K46" s="8">
        <f>AVERAGE(K28:K43)</f>
        <v>0.4772914986254167</v>
      </c>
      <c r="L46" s="8">
        <f t="shared" ref="L46:N46" si="33">AVERAGE(L28:L43)</f>
        <v>0.35368738967895924</v>
      </c>
      <c r="M46" s="8">
        <f t="shared" si="33"/>
        <v>0.27221038642804674</v>
      </c>
      <c r="N46" s="8" t="e">
        <f t="shared" si="33"/>
        <v>#DIV/0!</v>
      </c>
      <c r="O46" s="9">
        <f>AVERAGE(O28:O43)</f>
        <v>1</v>
      </c>
      <c r="P46" s="9">
        <f>AVERAGE(P28:P43)</f>
        <v>1.2014077128634355</v>
      </c>
      <c r="Q46" s="9">
        <f>AVERAGE(Q28:Q43)</f>
        <v>0.19289282031916724</v>
      </c>
      <c r="R46" s="9">
        <f>AVERAGE(R28:R43)</f>
        <v>1.4197805119886877</v>
      </c>
      <c r="S46" s="9">
        <f t="shared" ref="S46:V46" si="34">AVERAGE(S28:S43)</f>
        <v>1.3008480550496277</v>
      </c>
      <c r="T46" s="9">
        <f t="shared" si="34"/>
        <v>0.91987166613008209</v>
      </c>
      <c r="U46" s="9">
        <f t="shared" si="34"/>
        <v>1.2393068397657017</v>
      </c>
      <c r="V46" s="9">
        <f t="shared" si="34"/>
        <v>0.95944975260672327</v>
      </c>
    </row>
    <row r="47" spans="1:22">
      <c r="A47" s="7" t="s">
        <v>1</v>
      </c>
      <c r="B47" s="7">
        <f t="shared" ref="B47:K47" si="35">STDEV(B28:B43)</f>
        <v>6.7268606126249075E-2</v>
      </c>
      <c r="C47" s="7">
        <f t="shared" si="35"/>
        <v>0.29669462665028401</v>
      </c>
      <c r="D47" s="7">
        <f t="shared" si="35"/>
        <v>0.22395921449168071</v>
      </c>
      <c r="E47" s="7">
        <f t="shared" si="35"/>
        <v>0.24754226606866361</v>
      </c>
      <c r="F47" s="7">
        <f t="shared" si="35"/>
        <v>0.29296256579816726</v>
      </c>
      <c r="G47" s="7">
        <f t="shared" si="35"/>
        <v>0.34881578920294826</v>
      </c>
      <c r="H47" s="7">
        <f t="shared" si="35"/>
        <v>0.94774649643132758</v>
      </c>
      <c r="I47" s="7">
        <f>STDEV(I28:I43)</f>
        <v>0.28483651174512326</v>
      </c>
      <c r="J47" s="7">
        <f t="shared" si="35"/>
        <v>0.32832967870304913</v>
      </c>
      <c r="K47" s="7">
        <f t="shared" si="35"/>
        <v>0.16907253159228569</v>
      </c>
      <c r="L47" s="7">
        <f t="shared" ref="L47:N47" si="36">STDEV(L28:L43)</f>
        <v>0.14476409009768137</v>
      </c>
      <c r="M47" s="7">
        <f t="shared" si="36"/>
        <v>0.14686322128608298</v>
      </c>
      <c r="N47" s="7" t="e">
        <f t="shared" si="36"/>
        <v>#DIV/0!</v>
      </c>
      <c r="O47" s="7">
        <f>STDEV(O28:O43)</f>
        <v>0.25795302532478875</v>
      </c>
      <c r="P47" s="7">
        <f>STDEV(P28:P43)</f>
        <v>0.24766247456506865</v>
      </c>
      <c r="Q47" s="7">
        <f>STDEV(Q28:Q43)</f>
        <v>0.10167575925724706</v>
      </c>
      <c r="R47" s="7">
        <f>STDEV(R28:R43)</f>
        <v>0.41290250694346842</v>
      </c>
      <c r="S47" s="7">
        <f t="shared" ref="S47:V47" si="37">STDEV(S28:S43)</f>
        <v>0.30586454541686259</v>
      </c>
      <c r="T47" s="7">
        <f t="shared" si="37"/>
        <v>0.21188797497408163</v>
      </c>
      <c r="U47" s="7">
        <f t="shared" si="37"/>
        <v>0.28491779107225951</v>
      </c>
      <c r="V47" s="7">
        <f t="shared" si="37"/>
        <v>0.46173139350872677</v>
      </c>
    </row>
    <row r="48" spans="1:22">
      <c r="A48" s="7" t="s">
        <v>2</v>
      </c>
      <c r="B48" s="7">
        <f t="shared" ref="B48:K48" si="38" xml:space="preserve"> B47/SQRT(COUNT(B28:B43))</f>
        <v>2.3783043776418825E-2</v>
      </c>
      <c r="C48" s="7">
        <f t="shared" si="38"/>
        <v>0.10489739122301339</v>
      </c>
      <c r="D48" s="7">
        <f t="shared" si="38"/>
        <v>7.9181539638139967E-2</v>
      </c>
      <c r="E48" s="7">
        <f t="shared" si="38"/>
        <v>8.7519407483718323E-2</v>
      </c>
      <c r="F48" s="7">
        <f t="shared" si="38"/>
        <v>0.10357790845484709</v>
      </c>
      <c r="G48" s="7">
        <f t="shared" si="38"/>
        <v>0.123325004965171</v>
      </c>
      <c r="H48" s="7">
        <f t="shared" si="38"/>
        <v>0.27359084741907586</v>
      </c>
      <c r="I48" s="7">
        <f xml:space="preserve"> I47/SQRT(COUNT(I28:I43))</f>
        <v>0.10070491449224916</v>
      </c>
      <c r="J48" s="7">
        <f t="shared" si="38"/>
        <v>0.1160820711378632</v>
      </c>
      <c r="K48" s="7">
        <f t="shared" si="38"/>
        <v>5.9776166800640997E-2</v>
      </c>
      <c r="L48" s="7">
        <f t="shared" ref="L48:N48" si="39" xml:space="preserve"> L47/SQRT(COUNT(L28:L43))</f>
        <v>5.1181834890185414E-2</v>
      </c>
      <c r="M48" s="7">
        <f t="shared" si="39"/>
        <v>5.1923989839144889E-2</v>
      </c>
      <c r="N48" s="7" t="e">
        <f t="shared" si="39"/>
        <v>#DIV/0!</v>
      </c>
      <c r="O48" s="7">
        <f xml:space="preserve"> O47/SQRT(COUNT(O28:O43))</f>
        <v>6.4488256331197188E-2</v>
      </c>
      <c r="P48" s="7">
        <f xml:space="preserve"> P47/SQRT(COUNT(P28:P43))</f>
        <v>8.756190760520044E-2</v>
      </c>
      <c r="Q48" s="7">
        <f xml:space="preserve"> Q47/SQRT(COUNT(Q28:Q43))</f>
        <v>3.5947809426545137E-2</v>
      </c>
      <c r="R48" s="7">
        <f xml:space="preserve"> R47/SQRT(COUNT(R28:R43))</f>
        <v>0.14598308131432602</v>
      </c>
      <c r="S48" s="7">
        <f t="shared" ref="S48:V48" si="40" xml:space="preserve"> S47/SQRT(COUNT(S28:S43))</f>
        <v>0.10813944709440214</v>
      </c>
      <c r="T48" s="7">
        <f t="shared" si="40"/>
        <v>9.4759183131364152E-2</v>
      </c>
      <c r="U48" s="7">
        <f t="shared" si="40"/>
        <v>0.10073365107394333</v>
      </c>
      <c r="V48" s="7">
        <f t="shared" si="40"/>
        <v>0.16324669971836744</v>
      </c>
    </row>
    <row r="49" spans="1:22" s="1" customFormat="1" ht="15.75" thickBot="1">
      <c r="A49" s="7"/>
      <c r="B49" s="7"/>
      <c r="C49" s="7"/>
      <c r="D49" s="7"/>
      <c r="E49" s="7"/>
      <c r="F49" s="7"/>
      <c r="G49" s="7"/>
      <c r="H49" s="7"/>
      <c r="I49" s="7"/>
      <c r="J49" s="7"/>
      <c r="K49" s="7"/>
      <c r="L49" s="7"/>
      <c r="M49" s="7"/>
      <c r="N49" s="7"/>
      <c r="O49" s="7"/>
      <c r="P49" s="7"/>
      <c r="Q49" s="7"/>
      <c r="R49" s="7"/>
      <c r="S49" s="7"/>
      <c r="T49" s="7"/>
      <c r="U49" s="7"/>
      <c r="V49" s="7"/>
    </row>
    <row r="50" spans="1:22" ht="27" thickBot="1">
      <c r="A50" s="142" t="s">
        <v>19</v>
      </c>
      <c r="B50" s="143"/>
      <c r="C50" s="143"/>
      <c r="D50" s="143"/>
      <c r="E50" s="143"/>
      <c r="F50" s="143"/>
      <c r="G50" s="143"/>
      <c r="H50" s="143"/>
      <c r="I50" s="143"/>
      <c r="J50" s="143"/>
      <c r="K50" s="143"/>
      <c r="L50" s="143"/>
      <c r="M50" s="143"/>
      <c r="N50" s="143"/>
      <c r="O50" s="143"/>
      <c r="P50" s="143"/>
      <c r="Q50" s="143"/>
      <c r="R50" s="143"/>
      <c r="S50" s="143"/>
      <c r="T50" s="143"/>
      <c r="U50" s="143"/>
      <c r="V50" s="143"/>
    </row>
    <row r="51" spans="1:22" ht="15.75" thickBot="1">
      <c r="A51"/>
      <c r="B51"/>
      <c r="C51"/>
      <c r="D51"/>
      <c r="E51"/>
      <c r="F51"/>
      <c r="G51"/>
      <c r="H51"/>
      <c r="I51"/>
      <c r="J51"/>
      <c r="K51"/>
      <c r="L51"/>
      <c r="M51"/>
      <c r="N51"/>
      <c r="S51"/>
      <c r="T51"/>
      <c r="U51"/>
      <c r="V51"/>
    </row>
    <row r="52" spans="1:22">
      <c r="A52" s="28" t="str">
        <f t="shared" ref="A52:H52" si="41">A27</f>
        <v>Noms des groupes</v>
      </c>
      <c r="B52" s="29" t="str">
        <f t="shared" si="41"/>
        <v>Solvent control</v>
      </c>
      <c r="C52" s="29" t="str">
        <f t="shared" si="41"/>
        <v>EE2-33.8ng/L</v>
      </c>
      <c r="D52" s="29" t="str">
        <f t="shared" si="41"/>
        <v>EE2-50.6ng/L</v>
      </c>
      <c r="E52" s="29" t="str">
        <f t="shared" si="41"/>
        <v>EE2-76ng/L</v>
      </c>
      <c r="F52" s="29" t="str">
        <f t="shared" si="41"/>
        <v>EE2-114ng/L</v>
      </c>
      <c r="G52" s="29" t="str">
        <f t="shared" si="41"/>
        <v>EE2-170.9ng/L</v>
      </c>
      <c r="H52" s="29" t="str">
        <f t="shared" si="41"/>
        <v>EE2-488ng/L</v>
      </c>
      <c r="I52" s="29" t="str">
        <f>I4</f>
        <v>estradiol-540ng/L</v>
      </c>
      <c r="J52" s="29" t="str">
        <f>J4</f>
        <v>estradiol-270ng/L</v>
      </c>
      <c r="K52" s="29" t="str">
        <f>K27</f>
        <v>estradiol-135ng/L</v>
      </c>
      <c r="L52" s="29" t="str">
        <f t="shared" ref="L52:N52" si="42">L27</f>
        <v>estradiol-68ng/L</v>
      </c>
      <c r="M52" s="29" t="str">
        <f t="shared" si="42"/>
        <v>estradiol-34ng/L</v>
      </c>
      <c r="N52" s="29" t="str">
        <f t="shared" si="42"/>
        <v/>
      </c>
      <c r="O52" s="29" t="str">
        <f>O27</f>
        <v>Testo -30µg/L</v>
      </c>
      <c r="P52" s="29" t="str">
        <f>P27</f>
        <v>Testo 30µg/L + EE2 -64ng/L</v>
      </c>
      <c r="Q52" s="29" t="str">
        <f>Q27</f>
        <v>Testo 30µg/L + FAD-10mg/L</v>
      </c>
      <c r="R52" s="29" t="str">
        <f>R27</f>
        <v>estradiol-540ng/L + Testostérone</v>
      </c>
      <c r="S52" s="29" t="str">
        <f t="shared" ref="S52:V52" si="43">S27</f>
        <v>estradiol-270ng/L + Testostérone</v>
      </c>
      <c r="T52" s="29" t="str">
        <f t="shared" si="43"/>
        <v>estradiol-135ng/L + Testostérone</v>
      </c>
      <c r="U52" s="29" t="str">
        <f t="shared" si="43"/>
        <v>estradiol-68ng/L + Testostérone</v>
      </c>
      <c r="V52" s="29" t="str">
        <f t="shared" si="43"/>
        <v>estradiol-34ng/L + Testostérone</v>
      </c>
    </row>
    <row r="53" spans="1:22" s="3" customFormat="1">
      <c r="A53" s="43" t="s">
        <v>15</v>
      </c>
      <c r="B53" s="75">
        <f t="shared" ref="B53:N53" si="44">B46</f>
        <v>0.17544673436515715</v>
      </c>
      <c r="C53" s="75">
        <f t="shared" si="44"/>
        <v>0.44925198817155204</v>
      </c>
      <c r="D53" s="75">
        <f t="shared" si="44"/>
        <v>0.56059687829939675</v>
      </c>
      <c r="E53" s="75">
        <f t="shared" si="44"/>
        <v>0.72933426414592584</v>
      </c>
      <c r="F53" s="75">
        <f t="shared" si="44"/>
        <v>1.1721061080292667</v>
      </c>
      <c r="G53" s="75">
        <f t="shared" si="44"/>
        <v>1.2831195274558314</v>
      </c>
      <c r="H53" s="75">
        <f t="shared" si="44"/>
        <v>2.3983175338710057</v>
      </c>
      <c r="I53" s="75">
        <f t="shared" si="44"/>
        <v>1.4195912569173288</v>
      </c>
      <c r="J53" s="75">
        <f t="shared" si="44"/>
        <v>1.0779791004641945</v>
      </c>
      <c r="K53" s="75">
        <f t="shared" si="44"/>
        <v>0.4772914986254167</v>
      </c>
      <c r="L53" s="75">
        <f t="shared" si="44"/>
        <v>0.35368738967895924</v>
      </c>
      <c r="M53" s="75">
        <f t="shared" si="44"/>
        <v>0.27221038642804674</v>
      </c>
      <c r="N53" s="75" t="e">
        <f t="shared" si="44"/>
        <v>#DIV/0!</v>
      </c>
      <c r="O53" s="75">
        <f t="shared" ref="O53:V53" si="45">O46</f>
        <v>1</v>
      </c>
      <c r="P53" s="75">
        <f t="shared" si="45"/>
        <v>1.2014077128634355</v>
      </c>
      <c r="Q53" s="75">
        <f t="shared" si="45"/>
        <v>0.19289282031916724</v>
      </c>
      <c r="R53" s="75">
        <f t="shared" si="45"/>
        <v>1.4197805119886877</v>
      </c>
      <c r="S53" s="75">
        <f t="shared" si="45"/>
        <v>1.3008480550496277</v>
      </c>
      <c r="T53" s="75">
        <f t="shared" si="45"/>
        <v>0.91987166613008209</v>
      </c>
      <c r="U53" s="75">
        <f t="shared" si="45"/>
        <v>1.2393068397657017</v>
      </c>
      <c r="V53" s="75">
        <f t="shared" si="45"/>
        <v>0.95944975260672327</v>
      </c>
    </row>
    <row r="54" spans="1:22" s="3" customFormat="1">
      <c r="A54" s="43" t="s">
        <v>2</v>
      </c>
      <c r="B54" s="75">
        <f t="shared" ref="B54:N54" si="46">B48</f>
        <v>2.3783043776418825E-2</v>
      </c>
      <c r="C54" s="75">
        <f t="shared" si="46"/>
        <v>0.10489739122301339</v>
      </c>
      <c r="D54" s="75">
        <f t="shared" si="46"/>
        <v>7.9181539638139967E-2</v>
      </c>
      <c r="E54" s="75">
        <f t="shared" si="46"/>
        <v>8.7519407483718323E-2</v>
      </c>
      <c r="F54" s="75">
        <f t="shared" si="46"/>
        <v>0.10357790845484709</v>
      </c>
      <c r="G54" s="75">
        <f t="shared" si="46"/>
        <v>0.123325004965171</v>
      </c>
      <c r="H54" s="75">
        <f t="shared" si="46"/>
        <v>0.27359084741907586</v>
      </c>
      <c r="I54" s="75">
        <f t="shared" si="46"/>
        <v>0.10070491449224916</v>
      </c>
      <c r="J54" s="75">
        <f t="shared" si="46"/>
        <v>0.1160820711378632</v>
      </c>
      <c r="K54" s="75">
        <f t="shared" si="46"/>
        <v>5.9776166800640997E-2</v>
      </c>
      <c r="L54" s="75">
        <f t="shared" si="46"/>
        <v>5.1181834890185414E-2</v>
      </c>
      <c r="M54" s="75">
        <f t="shared" si="46"/>
        <v>5.1923989839144889E-2</v>
      </c>
      <c r="N54" s="75" t="e">
        <f t="shared" si="46"/>
        <v>#DIV/0!</v>
      </c>
      <c r="O54" s="75">
        <f t="shared" ref="O54:V54" si="47">O48</f>
        <v>6.4488256331197188E-2</v>
      </c>
      <c r="P54" s="75">
        <f t="shared" si="47"/>
        <v>8.756190760520044E-2</v>
      </c>
      <c r="Q54" s="75">
        <f t="shared" si="47"/>
        <v>3.5947809426545137E-2</v>
      </c>
      <c r="R54" s="75">
        <f t="shared" si="47"/>
        <v>0.14598308131432602</v>
      </c>
      <c r="S54" s="75">
        <f t="shared" si="47"/>
        <v>0.10813944709440214</v>
      </c>
      <c r="T54" s="75">
        <f t="shared" si="47"/>
        <v>9.4759183131364152E-2</v>
      </c>
      <c r="U54" s="75">
        <f t="shared" si="47"/>
        <v>0.10073365107394333</v>
      </c>
      <c r="V54" s="75">
        <f t="shared" si="47"/>
        <v>0.16324669971836744</v>
      </c>
    </row>
    <row r="55" spans="1:22" s="3" customFormat="1">
      <c r="A55" s="43" t="s">
        <v>42</v>
      </c>
      <c r="B55" s="75">
        <f t="shared" ref="B55:N55" si="48">(B53*100/$B$53)-100</f>
        <v>0</v>
      </c>
      <c r="C55" s="75">
        <f t="shared" si="48"/>
        <v>156.06175560755906</v>
      </c>
      <c r="D55" s="75">
        <f t="shared" si="48"/>
        <v>219.52539916338765</v>
      </c>
      <c r="E55" s="75">
        <f t="shared" si="48"/>
        <v>315.70124789439689</v>
      </c>
      <c r="F55" s="75">
        <f t="shared" si="48"/>
        <v>568.0694925844349</v>
      </c>
      <c r="G55" s="75">
        <f t="shared" si="48"/>
        <v>631.34420660419687</v>
      </c>
      <c r="H55" s="75">
        <f t="shared" si="48"/>
        <v>1266.9775858463056</v>
      </c>
      <c r="I55" s="75">
        <f t="shared" si="48"/>
        <v>709.12948425858679</v>
      </c>
      <c r="J55" s="75">
        <f t="shared" si="48"/>
        <v>514.41958687050715</v>
      </c>
      <c r="K55" s="75">
        <f t="shared" si="48"/>
        <v>172.04353523732749</v>
      </c>
      <c r="L55" s="75">
        <f t="shared" si="48"/>
        <v>101.59246107301715</v>
      </c>
      <c r="M55" s="75">
        <f t="shared" si="48"/>
        <v>55.152723368162242</v>
      </c>
      <c r="N55" s="75" t="e">
        <f t="shared" si="48"/>
        <v>#DIV/0!</v>
      </c>
      <c r="O55" s="75">
        <f>(O53*100/$O$53)-100</f>
        <v>0</v>
      </c>
      <c r="P55" s="75">
        <f t="shared" ref="P55:V55" si="49">(P53*100/$O$53)-100</f>
        <v>20.140771286343551</v>
      </c>
      <c r="Q55" s="75">
        <f t="shared" si="49"/>
        <v>-80.710717968083273</v>
      </c>
      <c r="R55" s="75">
        <f t="shared" si="49"/>
        <v>41.978051198868769</v>
      </c>
      <c r="S55" s="75">
        <f t="shared" si="49"/>
        <v>30.084805504962787</v>
      </c>
      <c r="T55" s="75">
        <f t="shared" si="49"/>
        <v>-8.0128333869917867</v>
      </c>
      <c r="U55" s="75">
        <f t="shared" si="49"/>
        <v>23.930683976570165</v>
      </c>
      <c r="V55" s="75">
        <f t="shared" si="49"/>
        <v>-4.0550247393276777</v>
      </c>
    </row>
    <row r="56" spans="1:22" s="3" customFormat="1">
      <c r="A56" s="43" t="s">
        <v>43</v>
      </c>
      <c r="B56" s="75" t="e">
        <f ca="1">[1]!SWTEST(B28:B43)</f>
        <v>#NAME?</v>
      </c>
      <c r="C56" s="75" t="e">
        <f ca="1">[1]!SWTEST(C28:C43)</f>
        <v>#NAME?</v>
      </c>
      <c r="D56" s="75" t="e">
        <f ca="1">[1]!SWTEST(D28:D43)</f>
        <v>#NAME?</v>
      </c>
      <c r="E56" s="75" t="e">
        <f ca="1">[1]!SWTEST(E28:E43)</f>
        <v>#NAME?</v>
      </c>
      <c r="F56" s="75" t="e">
        <f ca="1">[1]!SWTEST(F28:F43)</f>
        <v>#NAME?</v>
      </c>
      <c r="G56" s="75" t="e">
        <f ca="1">[1]!SWTEST(G28:G43)</f>
        <v>#NAME?</v>
      </c>
      <c r="H56" s="75" t="e">
        <f ca="1">[1]!SWTEST(H28:H43)</f>
        <v>#NAME?</v>
      </c>
      <c r="I56" s="75" t="e">
        <f ca="1">[1]!SWTEST(I28:I43)</f>
        <v>#NAME?</v>
      </c>
      <c r="J56" s="75" t="e">
        <f ca="1">[1]!SWTEST(J28:J43)</f>
        <v>#NAME?</v>
      </c>
      <c r="K56" s="75" t="e">
        <f ca="1">[1]!SWTEST(K28:K43)</f>
        <v>#NAME?</v>
      </c>
      <c r="L56" s="75" t="e">
        <f ca="1">[1]!SWTEST(L28:L43)</f>
        <v>#NAME?</v>
      </c>
      <c r="M56" s="75" t="e">
        <f ca="1">[1]!SWTEST(M28:M43)</f>
        <v>#NAME?</v>
      </c>
      <c r="N56" s="75" t="e">
        <f ca="1">[1]!SWTEST(N28:N43)</f>
        <v>#NAME?</v>
      </c>
      <c r="O56" s="75" t="e">
        <f ca="1">[1]!SWTEST(O28:O43)</f>
        <v>#NAME?</v>
      </c>
      <c r="P56" s="75" t="e">
        <f ca="1">[1]!SWTEST(P28:P43)</f>
        <v>#NAME?</v>
      </c>
      <c r="Q56" s="75" t="e">
        <f ca="1">[1]!SWTEST(Q28:Q43)</f>
        <v>#NAME?</v>
      </c>
      <c r="R56" s="75" t="e">
        <f ca="1">[1]!SWTEST(R28:R43)</f>
        <v>#NAME?</v>
      </c>
      <c r="S56" s="75" t="e">
        <f ca="1">[1]!SWTEST(S28:S43)</f>
        <v>#NAME?</v>
      </c>
      <c r="T56" s="75" t="e">
        <f ca="1">[1]!SWTEST(T28:T43)</f>
        <v>#NAME?</v>
      </c>
      <c r="U56" s="75" t="e">
        <f ca="1">[1]!SWTEST(U28:U43)</f>
        <v>#NAME?</v>
      </c>
      <c r="V56" s="75" t="e">
        <f ca="1">[1]!SWTEST(V28:V43)</f>
        <v>#NAME?</v>
      </c>
    </row>
    <row r="57" spans="1:22" s="3" customFormat="1">
      <c r="A57" s="43" t="s">
        <v>47</v>
      </c>
      <c r="B57" s="75" t="e">
        <f t="shared" ref="B57:N57" ca="1" si="50">IF(B56&gt;0.05,"Oui","Non")</f>
        <v>#NAME?</v>
      </c>
      <c r="C57" s="75" t="e">
        <f t="shared" ca="1" si="50"/>
        <v>#NAME?</v>
      </c>
      <c r="D57" s="75" t="e">
        <f t="shared" ca="1" si="50"/>
        <v>#NAME?</v>
      </c>
      <c r="E57" s="75" t="e">
        <f t="shared" ca="1" si="50"/>
        <v>#NAME?</v>
      </c>
      <c r="F57" s="75" t="e">
        <f t="shared" ca="1" si="50"/>
        <v>#NAME?</v>
      </c>
      <c r="G57" s="75" t="e">
        <f t="shared" ca="1" si="50"/>
        <v>#NAME?</v>
      </c>
      <c r="H57" s="75" t="e">
        <f t="shared" ca="1" si="50"/>
        <v>#NAME?</v>
      </c>
      <c r="I57" s="75" t="e">
        <f t="shared" ca="1" si="50"/>
        <v>#NAME?</v>
      </c>
      <c r="J57" s="75" t="e">
        <f t="shared" ca="1" si="50"/>
        <v>#NAME?</v>
      </c>
      <c r="K57" s="75" t="e">
        <f t="shared" ca="1" si="50"/>
        <v>#NAME?</v>
      </c>
      <c r="L57" s="75" t="e">
        <f t="shared" ca="1" si="50"/>
        <v>#NAME?</v>
      </c>
      <c r="M57" s="75" t="e">
        <f t="shared" ca="1" si="50"/>
        <v>#NAME?</v>
      </c>
      <c r="N57" s="75" t="e">
        <f t="shared" ca="1" si="50"/>
        <v>#NAME?</v>
      </c>
      <c r="O57" s="75" t="e">
        <f t="shared" ref="O57:V57" ca="1" si="51">IF(O56&gt;0.05,"Oui","Non")</f>
        <v>#NAME?</v>
      </c>
      <c r="P57" s="75" t="e">
        <f t="shared" ca="1" si="51"/>
        <v>#NAME?</v>
      </c>
      <c r="Q57" s="75" t="e">
        <f t="shared" ca="1" si="51"/>
        <v>#NAME?</v>
      </c>
      <c r="R57" s="75" t="e">
        <f t="shared" ca="1" si="51"/>
        <v>#NAME?</v>
      </c>
      <c r="S57" s="75" t="e">
        <f t="shared" ca="1" si="51"/>
        <v>#NAME?</v>
      </c>
      <c r="T57" s="75" t="e">
        <f t="shared" ca="1" si="51"/>
        <v>#NAME?</v>
      </c>
      <c r="U57" s="75" t="e">
        <f t="shared" ca="1" si="51"/>
        <v>#NAME?</v>
      </c>
      <c r="V57" s="75" t="e">
        <f t="shared" ca="1" si="51"/>
        <v>#NAME?</v>
      </c>
    </row>
    <row r="58" spans="1:22" s="3" customFormat="1">
      <c r="A58" s="43"/>
      <c r="B58" s="75"/>
      <c r="C58" s="75"/>
      <c r="D58" s="75"/>
      <c r="E58" s="75"/>
      <c r="F58" s="75"/>
      <c r="G58" s="75"/>
      <c r="H58" s="75"/>
      <c r="I58" s="75"/>
      <c r="J58" s="75"/>
      <c r="K58" s="75"/>
      <c r="L58" s="75"/>
      <c r="M58" s="75"/>
      <c r="N58" s="75"/>
      <c r="O58" s="77"/>
      <c r="P58" s="75"/>
      <c r="Q58" s="75"/>
      <c r="R58" s="75"/>
      <c r="S58" s="75"/>
      <c r="T58" s="75"/>
      <c r="U58" s="75"/>
      <c r="V58" s="75"/>
    </row>
    <row r="59" spans="1:22" s="3" customFormat="1">
      <c r="A59" s="43" t="s">
        <v>44</v>
      </c>
      <c r="B59" s="78"/>
      <c r="C59" s="78" t="e">
        <f t="shared" ref="C59:N59" ca="1" si="52">IF($B57="Non",IF(C$57="Non","Mann Withney",IF(C$57="Oui","Mann Withney","")),IF($B$57="Oui",IF(C$57="Oui","T-Test Welch",IF(C$57="Non","Mann Withney",""))))</f>
        <v>#NAME?</v>
      </c>
      <c r="D59" s="78" t="e">
        <f t="shared" ca="1" si="52"/>
        <v>#NAME?</v>
      </c>
      <c r="E59" s="78" t="e">
        <f t="shared" ca="1" si="52"/>
        <v>#NAME?</v>
      </c>
      <c r="F59" s="78" t="e">
        <f t="shared" ca="1" si="52"/>
        <v>#NAME?</v>
      </c>
      <c r="G59" s="78" t="e">
        <f t="shared" ca="1" si="52"/>
        <v>#NAME?</v>
      </c>
      <c r="H59" s="78" t="e">
        <f t="shared" ca="1" si="52"/>
        <v>#NAME?</v>
      </c>
      <c r="I59" s="78" t="e">
        <f t="shared" ca="1" si="52"/>
        <v>#NAME?</v>
      </c>
      <c r="J59" s="78" t="e">
        <f t="shared" ca="1" si="52"/>
        <v>#NAME?</v>
      </c>
      <c r="K59" s="78" t="e">
        <f t="shared" ca="1" si="52"/>
        <v>#NAME?</v>
      </c>
      <c r="L59" s="78" t="e">
        <f t="shared" ca="1" si="52"/>
        <v>#NAME?</v>
      </c>
      <c r="M59" s="78" t="e">
        <f t="shared" ca="1" si="52"/>
        <v>#NAME?</v>
      </c>
      <c r="N59" s="78" t="e">
        <f t="shared" ca="1" si="52"/>
        <v>#NAME?</v>
      </c>
      <c r="O59" s="78" t="e">
        <f ca="1">IF($B57="Non",IF(O$57="Non","Mann Withney",IF(O$57="Oui","Mann Withney","")),IF($B$57="Oui",IF(O$57="Oui","T-Test Welch",IF(O$57="Non","Mann Withney",""))))</f>
        <v>#NAME?</v>
      </c>
      <c r="P59" s="78" t="e">
        <f ca="1">IF($O57="Non",IF(P$57="Non","Mann Withney",IF(P$57="Oui","Mann Withney","")),IF($O$57="Oui",IF(P$57="Oui","T-Test Welch",IF(P$57="Non","Mann Withney",""))))</f>
        <v>#NAME?</v>
      </c>
      <c r="Q59" s="78" t="e">
        <f t="shared" ref="Q59:V59" ca="1" si="53">IF($O57="Non",IF(Q$57="Non","Mann Withney",IF(Q$57="Oui","Mann Withney","")),IF($O$57="Oui",IF(Q$57="Oui","T-Test Welch",IF(Q$57="Non","Mann Withney",""))))</f>
        <v>#NAME?</v>
      </c>
      <c r="R59" s="78" t="e">
        <f t="shared" ca="1" si="53"/>
        <v>#NAME?</v>
      </c>
      <c r="S59" s="78" t="e">
        <f t="shared" ca="1" si="53"/>
        <v>#NAME?</v>
      </c>
      <c r="T59" s="78" t="e">
        <f t="shared" ca="1" si="53"/>
        <v>#NAME?</v>
      </c>
      <c r="U59" s="78" t="e">
        <f t="shared" ca="1" si="53"/>
        <v>#NAME?</v>
      </c>
      <c r="V59" s="78" t="e">
        <f t="shared" ca="1" si="53"/>
        <v>#NAME?</v>
      </c>
    </row>
    <row r="60" spans="1:22" s="3" customFormat="1">
      <c r="A60" s="43" t="s">
        <v>45</v>
      </c>
      <c r="B60" s="79"/>
      <c r="C60" s="79" t="e">
        <f ca="1">IF(C59="Mann Withney",[1]!MTEST($B28:$B43,C28:C43,2), IF(C59="T-Test Welch",_xlfn.T.TEST($B28:$B43,C28:C43,2,3),""))</f>
        <v>#NAME?</v>
      </c>
      <c r="D60" s="79" t="e">
        <f ca="1">IF(D59="Mann Withney",[1]!MTEST($B28:$B43,D28:D43,2), IF(D59="T-Test Welch",_xlfn.T.TEST($B28:$B43,D28:D43,2,3),""))</f>
        <v>#NAME?</v>
      </c>
      <c r="E60" s="79" t="e">
        <f ca="1">IF(E59="Mann Withney",[1]!MTEST($B28:$B43,E28:E43,2), IF(E59="T-Test Welch",_xlfn.T.TEST($B28:$B43,E28:E43,2,3),""))</f>
        <v>#NAME?</v>
      </c>
      <c r="F60" s="79" t="e">
        <f ca="1">IF(F59="Mann Withney",[1]!MTEST($B28:$B43,F28:F43,2), IF(F59="T-Test Welch",_xlfn.T.TEST($B28:$B43,F28:F43,2,3),""))</f>
        <v>#NAME?</v>
      </c>
      <c r="G60" s="79" t="e">
        <f ca="1">IF(G59="Mann Withney",[1]!MTEST($B28:$B43,G28:G43,2), IF(G59="T-Test Welch",_xlfn.T.TEST($B28:$B43,G28:G43,2,3),""))</f>
        <v>#NAME?</v>
      </c>
      <c r="H60" s="79" t="e">
        <f ca="1">IF(H59="Mann Withney",[1]!MTEST($B28:$B43,H28:H43,2), IF(H59="T-Test Welch",_xlfn.T.TEST($B28:$B43,H28:H43,2,3),""))</f>
        <v>#NAME?</v>
      </c>
      <c r="I60" s="79" t="e">
        <f ca="1">IF(I59="Mann Withney",[1]!MTEST($B28:$B43,I28:I43,2), IF(I59="T-Test Welch",_xlfn.T.TEST($B28:$B43,I28:I43,2,3),""))</f>
        <v>#NAME?</v>
      </c>
      <c r="J60" s="79" t="e">
        <f ca="1">IF(J59="Mann Withney",[1]!MTEST($B28:$B43,J28:J43,2), IF(J59="T-Test Welch",_xlfn.T.TEST($B28:$B43,J28:J43,2,3),""))</f>
        <v>#NAME?</v>
      </c>
      <c r="K60" s="79" t="e">
        <f ca="1">IF(K59="Mann Withney",[1]!MTEST($B28:$B43,K28:K43,2), IF(K59="T-Test Welch",_xlfn.T.TEST($B28:$B43,K28:K43,2,3),""))</f>
        <v>#NAME?</v>
      </c>
      <c r="L60" s="79" t="e">
        <f ca="1">IF(L59="Mann Withney",[1]!MTEST($B28:$B43,L28:L43,2), IF(L59="T-Test Welch",_xlfn.T.TEST($B28:$B43,L28:L43,2,3),""))</f>
        <v>#NAME?</v>
      </c>
      <c r="M60" s="79" t="e">
        <f ca="1">IF(M59="Mann Withney",[1]!MTEST($B28:$B43,M28:M43,2), IF(M59="T-Test Welch",_xlfn.T.TEST($B28:$B43,M28:M43,2,3),""))</f>
        <v>#NAME?</v>
      </c>
      <c r="N60" s="79" t="e">
        <f ca="1">IF(N59="Mann Withney",[1]!MTEST($B28:$B43,N28:N43,2), IF(N59="T-Test Welch",_xlfn.T.TEST($B28:$B43,N28:N43,2,3),""))</f>
        <v>#NAME?</v>
      </c>
      <c r="O60" s="79" t="e">
        <f ca="1">IF(O59="Mann Withney",[1]!MTEST($B28:$B43,O28:O43,2), IF(O59="T-Test Welch",_xlfn.T.TEST($B28:$B43,O28:O43,2,3),""))</f>
        <v>#NAME?</v>
      </c>
      <c r="P60" s="79" t="e">
        <f ca="1">IF(P59="Mann Withney",[1]!MTEST($O28:$O43,P28:P43,2), IF(P59="T-Test Welch",_xlfn.T.TEST($O28:$O43,P28:P43,2,3),""))</f>
        <v>#NAME?</v>
      </c>
      <c r="Q60" s="79" t="e">
        <f ca="1">IF(Q59="Mann Withney",[1]!MTEST($O28:$O43,Q28:Q43,2), IF(Q59="T-Test Welch",_xlfn.T.TEST($O28:$O43,Q28:Q43,2,3),""))</f>
        <v>#NAME?</v>
      </c>
      <c r="R60" s="79" t="e">
        <f ca="1">IF(R59="Mann Withney",[1]!MTEST($O28:$O43,R28:R43,2), IF(R59="T-Test Welch",_xlfn.T.TEST($O28:$O43,R28:R43,2,3),""))</f>
        <v>#NAME?</v>
      </c>
      <c r="S60" s="79" t="e">
        <f ca="1">IF(S59="Mann Withney",[1]!MTEST($O28:$O43,S28:S43,2), IF(S59="T-Test Welch",_xlfn.T.TEST($O28:$O43,S28:S43,2,3),""))</f>
        <v>#NAME?</v>
      </c>
      <c r="T60" s="79" t="e">
        <f ca="1">IF(T59="Mann Withney",[1]!MTEST($O28:$O43,T28:T43,2), IF(T59="T-Test Welch",_xlfn.T.TEST($O28:$O43,T28:T43,2,3),""))</f>
        <v>#NAME?</v>
      </c>
      <c r="U60" s="79" t="e">
        <f ca="1">IF(U59="Mann Withney",[1]!MTEST($O28:$O43,U28:U43,2), IF(U59="T-Test Welch",_xlfn.T.TEST($O28:$O43,U28:U43,2,3),""))</f>
        <v>#NAME?</v>
      </c>
      <c r="V60" s="79" t="e">
        <f ca="1">IF(V59="Mann Withney",[1]!MTEST($O28:$O43,V28:V43,2), IF(V59="T-Test Welch",_xlfn.T.TEST($O28:$O43,V28:V43,2,3),""))</f>
        <v>#NAME?</v>
      </c>
    </row>
    <row r="61" spans="1:22" s="3" customFormat="1" ht="15.75" thickBot="1">
      <c r="A61" s="44" t="s">
        <v>46</v>
      </c>
      <c r="B61" s="76"/>
      <c r="C61" s="76" t="e">
        <f t="shared" ref="C61:N61" ca="1" si="54">IF(C60&gt;0.05,"NS",IF(C60&gt;0.01,"*",IF(C60&gt;0.001,"**","***")))</f>
        <v>#NAME?</v>
      </c>
      <c r="D61" s="76" t="e">
        <f t="shared" ca="1" si="54"/>
        <v>#NAME?</v>
      </c>
      <c r="E61" s="76" t="e">
        <f t="shared" ca="1" si="54"/>
        <v>#NAME?</v>
      </c>
      <c r="F61" s="76" t="e">
        <f t="shared" ca="1" si="54"/>
        <v>#NAME?</v>
      </c>
      <c r="G61" s="76" t="e">
        <f t="shared" ca="1" si="54"/>
        <v>#NAME?</v>
      </c>
      <c r="H61" s="76" t="e">
        <f t="shared" ca="1" si="54"/>
        <v>#NAME?</v>
      </c>
      <c r="I61" s="76" t="e">
        <f t="shared" ca="1" si="54"/>
        <v>#NAME?</v>
      </c>
      <c r="J61" s="76" t="e">
        <f t="shared" ca="1" si="54"/>
        <v>#NAME?</v>
      </c>
      <c r="K61" s="76" t="e">
        <f t="shared" ca="1" si="54"/>
        <v>#NAME?</v>
      </c>
      <c r="L61" s="76" t="e">
        <f t="shared" ca="1" si="54"/>
        <v>#NAME?</v>
      </c>
      <c r="M61" s="76" t="e">
        <f t="shared" ca="1" si="54"/>
        <v>#NAME?</v>
      </c>
      <c r="N61" s="76" t="e">
        <f t="shared" ca="1" si="54"/>
        <v>#NAME?</v>
      </c>
      <c r="O61" s="76" t="e">
        <f ca="1">IF(O60&gt;0.05,"NS",IF(O60&gt;0.01,"*",IF(O60&gt;0.001,"**","***")))</f>
        <v>#NAME?</v>
      </c>
      <c r="P61" s="76" t="e">
        <f ca="1">IF(P60&gt;0.05,"NS",IF(P60&gt;0.01,"*",IF(P60&gt;0.001,"**","***")))</f>
        <v>#NAME?</v>
      </c>
      <c r="Q61" s="76" t="e">
        <f t="shared" ref="Q61" ca="1" si="55">IF(Q60&gt;0.05,"NS",IF(Q60&gt;0.01,"*",IF(Q60&gt;0.001,"**","***")))</f>
        <v>#NAME?</v>
      </c>
      <c r="R61" s="76" t="e">
        <f t="shared" ref="R61" ca="1" si="56">IF(R60&gt;0.05,"NS",IF(R60&gt;0.01,"*",IF(R60&gt;0.001,"**","***")))</f>
        <v>#NAME?</v>
      </c>
      <c r="S61" s="76" t="e">
        <f t="shared" ref="S61" ca="1" si="57">IF(S60&gt;0.05,"NS",IF(S60&gt;0.01,"*",IF(S60&gt;0.001,"**","***")))</f>
        <v>#NAME?</v>
      </c>
      <c r="T61" s="76" t="e">
        <f t="shared" ref="T61" ca="1" si="58">IF(T60&gt;0.05,"NS",IF(T60&gt;0.01,"*",IF(T60&gt;0.001,"**","***")))</f>
        <v>#NAME?</v>
      </c>
      <c r="U61" s="76" t="e">
        <f t="shared" ref="U61" ca="1" si="59">IF(U60&gt;0.05,"NS",IF(U60&gt;0.01,"*",IF(U60&gt;0.001,"**","***")))</f>
        <v>#NAME?</v>
      </c>
      <c r="V61" s="76" t="e">
        <f t="shared" ref="V61" ca="1" si="60">IF(V60&gt;0.05,"NS",IF(V60&gt;0.01,"*",IF(V60&gt;0.001,"**","***")))</f>
        <v>#NAME?</v>
      </c>
    </row>
    <row r="63" spans="1:22">
      <c r="A63" s="2" t="s">
        <v>20</v>
      </c>
    </row>
    <row r="64" spans="1:22">
      <c r="A64" s="1" t="s">
        <v>13</v>
      </c>
      <c r="B64" s="1">
        <f>B46+(3*B47)</f>
        <v>0.37725255274390435</v>
      </c>
    </row>
    <row r="65" spans="1:22">
      <c r="A65" s="1" t="s">
        <v>14</v>
      </c>
      <c r="B65" s="1">
        <f>B46+(10*B47)</f>
        <v>0.84813279562764787</v>
      </c>
    </row>
    <row r="66" spans="1:22" ht="15.75" thickBot="1"/>
    <row r="67" spans="1:22" s="1" customFormat="1" ht="27" thickBot="1">
      <c r="A67" s="142" t="s">
        <v>31</v>
      </c>
      <c r="B67" s="143"/>
      <c r="C67" s="143"/>
      <c r="D67" s="143"/>
      <c r="E67" s="143"/>
      <c r="F67" s="143"/>
      <c r="G67" s="143"/>
      <c r="H67" s="143"/>
      <c r="I67" s="143"/>
      <c r="J67" s="143"/>
      <c r="K67" s="143"/>
      <c r="L67" s="143"/>
      <c r="M67" s="143"/>
      <c r="N67" s="143"/>
      <c r="O67" s="143"/>
      <c r="P67" s="143"/>
      <c r="Q67" s="143"/>
      <c r="R67" s="143"/>
      <c r="S67" s="143"/>
      <c r="T67" s="143"/>
      <c r="U67" s="143"/>
      <c r="V67" s="143"/>
    </row>
    <row r="68" spans="1:22" ht="16.5">
      <c r="A68" s="11"/>
      <c r="B68" s="11"/>
      <c r="C68" s="11"/>
      <c r="D68" s="11"/>
      <c r="E68" s="11"/>
      <c r="F68" s="11"/>
      <c r="O68" s="11"/>
      <c r="P68" s="11"/>
      <c r="Q68" s="11"/>
      <c r="R68" s="11"/>
      <c r="S68" s="11"/>
      <c r="T68" s="11"/>
      <c r="U68" s="11"/>
      <c r="V68" s="11"/>
    </row>
    <row r="69" spans="1:22" ht="16.5">
      <c r="A69" s="11"/>
      <c r="B69" s="11"/>
      <c r="C69" s="11"/>
      <c r="D69" s="11"/>
      <c r="E69" s="11"/>
      <c r="F69" s="11"/>
      <c r="O69" s="11"/>
      <c r="P69" s="11"/>
      <c r="Q69" s="11"/>
      <c r="R69" s="11"/>
      <c r="S69" s="11"/>
      <c r="T69" s="11"/>
      <c r="U69" s="11"/>
      <c r="V69" s="11"/>
    </row>
    <row r="70" spans="1:22" ht="16.5">
      <c r="A70" s="11"/>
      <c r="B70" s="11"/>
      <c r="C70" s="11"/>
      <c r="D70" s="11"/>
      <c r="E70" s="11"/>
      <c r="F70" s="11"/>
      <c r="O70" s="11"/>
      <c r="P70" s="11"/>
      <c r="Q70" s="11"/>
      <c r="R70" s="11"/>
      <c r="S70" s="11"/>
      <c r="T70" s="11"/>
      <c r="U70" s="11"/>
      <c r="V70" s="11"/>
    </row>
    <row r="71" spans="1:22" ht="16.5">
      <c r="A71" s="11"/>
      <c r="B71" s="11"/>
      <c r="C71" s="11"/>
      <c r="D71" s="11"/>
      <c r="E71" s="11"/>
      <c r="F71" s="11"/>
      <c r="O71" s="11"/>
      <c r="P71" s="11"/>
      <c r="Q71" s="11"/>
      <c r="R71" s="11"/>
      <c r="S71" s="11"/>
      <c r="T71" s="11"/>
      <c r="U71" s="11"/>
      <c r="V71" s="11"/>
    </row>
    <row r="72" spans="1:22" ht="16.5">
      <c r="A72" s="11"/>
      <c r="B72" s="11"/>
      <c r="C72" s="11"/>
      <c r="D72" s="11"/>
      <c r="E72" s="11"/>
      <c r="F72" s="11"/>
      <c r="O72" s="11"/>
      <c r="P72" s="11"/>
      <c r="Q72" s="11"/>
      <c r="R72" s="11"/>
      <c r="S72" s="11"/>
      <c r="T72" s="11"/>
      <c r="U72" s="11"/>
      <c r="V72" s="11"/>
    </row>
    <row r="73" spans="1:22" ht="16.5">
      <c r="A73" s="11"/>
      <c r="B73" s="11"/>
      <c r="C73" s="11"/>
      <c r="D73" s="11"/>
      <c r="E73" s="11"/>
      <c r="F73" s="11"/>
      <c r="O73" s="11"/>
      <c r="P73" s="11"/>
      <c r="Q73" s="11"/>
      <c r="R73" s="11"/>
      <c r="S73" s="11"/>
      <c r="T73" s="11"/>
      <c r="U73" s="11"/>
      <c r="V73" s="11"/>
    </row>
    <row r="74" spans="1:22" ht="16.5">
      <c r="A74" s="11"/>
      <c r="B74" s="11"/>
      <c r="C74" s="11"/>
      <c r="D74" s="11"/>
      <c r="E74" s="11"/>
      <c r="F74" s="11"/>
      <c r="O74" s="11"/>
      <c r="P74" s="11"/>
      <c r="Q74" s="11"/>
      <c r="R74" s="11"/>
      <c r="S74" s="11"/>
      <c r="T74" s="11"/>
      <c r="U74" s="11"/>
      <c r="V74" s="11"/>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N3"/>
    <mergeCell ref="B26:N26"/>
    <mergeCell ref="O26:V26"/>
    <mergeCell ref="O3:V3"/>
  </mergeCells>
  <phoneticPr fontId="12"/>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zoomScale="70" zoomScaleNormal="70" zoomScaleSheetLayoutView="40" zoomScalePageLayoutView="30" workbookViewId="0">
      <selection activeCell="O2" sqref="O1:O1048576"/>
    </sheetView>
  </sheetViews>
  <sheetFormatPr defaultColWidth="9.140625" defaultRowHeight="15"/>
  <cols>
    <col min="1" max="1" width="33.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4" width="26.4257812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c r="A1" s="140" t="s">
        <v>23</v>
      </c>
      <c r="B1" s="141"/>
      <c r="C1" s="141"/>
      <c r="D1" s="141"/>
      <c r="E1" s="141"/>
      <c r="F1" s="141"/>
      <c r="G1" s="141"/>
      <c r="H1" s="141"/>
      <c r="I1" s="141"/>
      <c r="J1" s="141"/>
      <c r="K1" s="141"/>
      <c r="L1" s="141"/>
      <c r="M1" s="141"/>
      <c r="N1" s="141"/>
      <c r="O1" s="141"/>
      <c r="P1" s="141"/>
      <c r="Q1" s="141"/>
      <c r="R1" s="141"/>
      <c r="S1" s="141"/>
      <c r="T1" s="141"/>
      <c r="U1" s="141"/>
      <c r="V1" s="141"/>
    </row>
    <row r="2" spans="1:22" customFormat="1" ht="15.75" thickBot="1"/>
    <row r="3" spans="1:22" ht="15.75" thickBot="1">
      <c r="A3" s="33" t="s">
        <v>9</v>
      </c>
      <c r="B3" s="148" t="s">
        <v>6</v>
      </c>
      <c r="C3" s="149"/>
      <c r="D3" s="149"/>
      <c r="E3" s="149"/>
      <c r="F3" s="149"/>
      <c r="G3" s="149"/>
      <c r="H3" s="149"/>
      <c r="I3" s="149"/>
      <c r="J3" s="149"/>
      <c r="K3" s="149"/>
      <c r="L3" s="149"/>
      <c r="M3" s="149"/>
      <c r="N3" s="149"/>
      <c r="O3" s="148" t="s">
        <v>3</v>
      </c>
      <c r="P3" s="149"/>
      <c r="Q3" s="149"/>
      <c r="R3" s="149"/>
      <c r="S3" s="149"/>
      <c r="T3" s="149"/>
      <c r="U3" s="149"/>
      <c r="V3" s="149"/>
    </row>
    <row r="4" spans="1:22">
      <c r="A4" s="18" t="s">
        <v>22</v>
      </c>
      <c r="B4" s="19" t="str">
        <f>'Front page'!A7</f>
        <v>Solvent control</v>
      </c>
      <c r="C4" s="19" t="str">
        <f>'Front page'!A8</f>
        <v>EE2-33.8ng/L</v>
      </c>
      <c r="D4" s="19" t="str">
        <f>'Front page'!A9</f>
        <v>EE2-50.6ng/L</v>
      </c>
      <c r="E4" s="19" t="str">
        <f>'Front page'!A10</f>
        <v>EE2-76ng/L</v>
      </c>
      <c r="F4" s="19" t="str">
        <f>'Front page'!A11</f>
        <v>EE2-114ng/L</v>
      </c>
      <c r="G4" s="19" t="str">
        <f>'Front page'!A12</f>
        <v>EE2-170.9ng/L</v>
      </c>
      <c r="H4" s="19" t="str">
        <f>'Front page'!A13</f>
        <v>EE2-488ng/L</v>
      </c>
      <c r="I4" s="19" t="str">
        <f>'Front page'!A14</f>
        <v>estradiol-540ng/L</v>
      </c>
      <c r="J4" s="19" t="str">
        <f>'Front page'!A15</f>
        <v>estradiol-270ng/L</v>
      </c>
      <c r="K4" s="19" t="str">
        <f>'Front page'!A16</f>
        <v>estradiol-135ng/L</v>
      </c>
      <c r="L4" s="19" t="str">
        <f>'Front page'!A17</f>
        <v>estradiol-68ng/L</v>
      </c>
      <c r="M4" s="19" t="str">
        <f>'Front page'!A18</f>
        <v>estradiol-34ng/L</v>
      </c>
      <c r="N4" s="19" t="str">
        <f>'Front page'!A19</f>
        <v/>
      </c>
      <c r="O4" s="20" t="str">
        <f>'Front page'!A35</f>
        <v>Testo -30µg/L</v>
      </c>
      <c r="P4" s="20" t="str">
        <f>'Front page'!A36</f>
        <v>Testo 30µg/L + EE2 -64ng/L</v>
      </c>
      <c r="Q4" s="20" t="str">
        <f>'Front page'!A37</f>
        <v>Testo 30µg/L + FAD-10mg/L</v>
      </c>
      <c r="R4" s="20" t="str">
        <f>'Front page'!A38</f>
        <v>estradiol-540ng/L + Testostérone</v>
      </c>
      <c r="S4" s="20" t="str">
        <f>'Front page'!A39</f>
        <v>estradiol-270ng/L + Testostérone</v>
      </c>
      <c r="T4" s="20" t="str">
        <f>'Front page'!A40</f>
        <v>estradiol-135ng/L + Testostérone</v>
      </c>
      <c r="U4" s="20" t="str">
        <f>'Front page'!A41</f>
        <v>estradiol-68ng/L + Testostérone</v>
      </c>
      <c r="V4" s="20" t="str">
        <f>'Front page'!A42</f>
        <v>estradiol-34ng/L + Testostérone</v>
      </c>
    </row>
    <row r="5" spans="1:22">
      <c r="A5" s="150" t="s">
        <v>16</v>
      </c>
      <c r="B5" s="16">
        <v>1151961</v>
      </c>
      <c r="C5" s="16">
        <v>522607</v>
      </c>
      <c r="D5" s="16">
        <v>2596914</v>
      </c>
      <c r="E5" s="16">
        <v>11788788</v>
      </c>
      <c r="F5" s="16">
        <v>7343246</v>
      </c>
      <c r="G5" s="16">
        <v>12374498</v>
      </c>
      <c r="H5" s="16">
        <v>13673166</v>
      </c>
      <c r="I5" s="16">
        <v>14637971</v>
      </c>
      <c r="J5" s="16">
        <v>6188834</v>
      </c>
      <c r="K5" s="12">
        <v>7057074</v>
      </c>
      <c r="L5" s="12">
        <v>16865801</v>
      </c>
      <c r="M5" s="12">
        <v>3630685</v>
      </c>
      <c r="N5" s="12"/>
      <c r="O5" s="16">
        <v>7911171</v>
      </c>
      <c r="P5" s="12">
        <v>10678113</v>
      </c>
      <c r="Q5" s="12">
        <v>613869</v>
      </c>
      <c r="R5" s="16">
        <v>7442887</v>
      </c>
      <c r="S5" s="16">
        <v>6504099</v>
      </c>
      <c r="T5" s="16">
        <v>14057927</v>
      </c>
      <c r="U5" s="16">
        <v>13802329</v>
      </c>
      <c r="V5" s="16">
        <v>2130059</v>
      </c>
    </row>
    <row r="6" spans="1:22" ht="16.5">
      <c r="A6" s="150"/>
      <c r="B6" s="13">
        <v>2813305</v>
      </c>
      <c r="C6" s="12">
        <v>1429675</v>
      </c>
      <c r="D6" s="16">
        <v>662826</v>
      </c>
      <c r="E6" s="16">
        <v>2056126</v>
      </c>
      <c r="F6" s="16">
        <v>8701615</v>
      </c>
      <c r="G6" s="16">
        <v>13815367</v>
      </c>
      <c r="H6" s="16">
        <v>13523516</v>
      </c>
      <c r="I6" s="16">
        <v>12030149</v>
      </c>
      <c r="J6" s="16">
        <v>15526618</v>
      </c>
      <c r="K6" s="12">
        <v>14190492</v>
      </c>
      <c r="L6" s="12">
        <v>1264091</v>
      </c>
      <c r="M6" s="12">
        <v>1100276</v>
      </c>
      <c r="N6" s="12"/>
      <c r="O6" s="16">
        <v>4515575</v>
      </c>
      <c r="P6" s="12">
        <v>8371572</v>
      </c>
      <c r="Q6" s="12">
        <v>1509220</v>
      </c>
      <c r="R6" s="16">
        <v>17832705</v>
      </c>
      <c r="S6" s="16">
        <v>19807269</v>
      </c>
      <c r="T6" s="16">
        <v>10665440</v>
      </c>
      <c r="U6" s="16">
        <v>9446597</v>
      </c>
      <c r="V6" s="16">
        <v>7170129</v>
      </c>
    </row>
    <row r="7" spans="1:22" ht="16.5">
      <c r="A7" s="150"/>
      <c r="B7" s="13">
        <v>1223952</v>
      </c>
      <c r="C7" s="12">
        <v>1617384</v>
      </c>
      <c r="D7" s="16">
        <v>1854245</v>
      </c>
      <c r="E7" s="16">
        <v>5122642</v>
      </c>
      <c r="F7" s="16">
        <v>4853652</v>
      </c>
      <c r="G7" s="16">
        <v>11089102</v>
      </c>
      <c r="H7" s="16">
        <v>14212380</v>
      </c>
      <c r="I7" s="16">
        <v>13095446</v>
      </c>
      <c r="J7" s="16">
        <v>10627813</v>
      </c>
      <c r="K7" s="12">
        <v>8042119</v>
      </c>
      <c r="L7" s="12">
        <v>2696565</v>
      </c>
      <c r="M7" s="12">
        <v>4298811</v>
      </c>
      <c r="N7" s="12"/>
      <c r="O7" s="16">
        <v>6487197</v>
      </c>
      <c r="P7" s="12">
        <v>14129337</v>
      </c>
      <c r="Q7" s="12">
        <v>1582823</v>
      </c>
      <c r="R7" s="16">
        <v>16301392</v>
      </c>
      <c r="S7" s="16">
        <v>15535915</v>
      </c>
      <c r="T7" s="16">
        <v>13358468</v>
      </c>
      <c r="U7" s="16">
        <v>8808291</v>
      </c>
      <c r="V7" s="16">
        <v>6473028</v>
      </c>
    </row>
    <row r="8" spans="1:22" ht="16.5">
      <c r="A8" s="150"/>
      <c r="B8" s="13">
        <v>2174995</v>
      </c>
      <c r="C8" s="12">
        <v>1484853</v>
      </c>
      <c r="D8" s="16">
        <v>2050683</v>
      </c>
      <c r="E8" s="16">
        <v>8118176</v>
      </c>
      <c r="F8" s="16">
        <v>9892361</v>
      </c>
      <c r="G8" s="16">
        <v>10986880</v>
      </c>
      <c r="H8" s="16">
        <v>16992817</v>
      </c>
      <c r="I8" s="16">
        <v>17249613</v>
      </c>
      <c r="J8" s="16">
        <v>12877387</v>
      </c>
      <c r="K8" s="12">
        <v>7429664</v>
      </c>
      <c r="L8" s="12">
        <v>4209218</v>
      </c>
      <c r="M8" s="12">
        <v>3002085</v>
      </c>
      <c r="N8" s="12"/>
      <c r="O8" s="16">
        <v>2067791</v>
      </c>
      <c r="P8" s="12">
        <v>10347992</v>
      </c>
      <c r="Q8" s="12">
        <v>2164620</v>
      </c>
      <c r="R8" s="16">
        <v>17011334</v>
      </c>
      <c r="S8" s="16">
        <v>13097590</v>
      </c>
      <c r="T8" s="16">
        <v>14344123</v>
      </c>
      <c r="U8" s="16">
        <v>18302646</v>
      </c>
      <c r="V8" s="16">
        <v>16210740</v>
      </c>
    </row>
    <row r="9" spans="1:22" ht="16.5">
      <c r="A9" s="150"/>
      <c r="B9" s="13">
        <v>2804085</v>
      </c>
      <c r="C9" s="12">
        <v>1229128</v>
      </c>
      <c r="D9" s="16">
        <v>1736419</v>
      </c>
      <c r="E9" s="16">
        <v>10260064</v>
      </c>
      <c r="F9" s="16">
        <v>13120123</v>
      </c>
      <c r="G9" s="16">
        <v>10873652</v>
      </c>
      <c r="H9" s="16">
        <v>638756</v>
      </c>
      <c r="I9" s="16">
        <v>18165377</v>
      </c>
      <c r="J9" s="16">
        <v>10640627</v>
      </c>
      <c r="K9" s="12">
        <v>5579441</v>
      </c>
      <c r="L9" s="12">
        <v>1442996</v>
      </c>
      <c r="M9" s="12">
        <v>1909105</v>
      </c>
      <c r="N9" s="12"/>
      <c r="O9" s="16">
        <v>5549527</v>
      </c>
      <c r="P9" s="12">
        <v>7479053</v>
      </c>
      <c r="Q9" s="12">
        <v>2321411</v>
      </c>
      <c r="R9" s="16">
        <v>17387951</v>
      </c>
      <c r="S9" s="16">
        <v>11175632</v>
      </c>
      <c r="T9" s="16">
        <v>13047951</v>
      </c>
      <c r="U9" s="16">
        <v>10693452</v>
      </c>
      <c r="V9" s="16">
        <v>4483031</v>
      </c>
    </row>
    <row r="10" spans="1:22" ht="16.5">
      <c r="A10" s="150"/>
      <c r="B10" s="13">
        <v>2250848</v>
      </c>
      <c r="C10" s="12">
        <v>8658</v>
      </c>
      <c r="D10" s="16">
        <v>2851848</v>
      </c>
      <c r="E10" s="16">
        <v>8204594</v>
      </c>
      <c r="F10" s="16">
        <v>7556436</v>
      </c>
      <c r="G10" s="16">
        <v>10753404</v>
      </c>
      <c r="H10" s="16">
        <v>21219588</v>
      </c>
      <c r="I10" s="16">
        <v>15714031</v>
      </c>
      <c r="J10" s="16">
        <v>8795417</v>
      </c>
      <c r="K10" s="12">
        <v>8928999</v>
      </c>
      <c r="L10" s="12">
        <v>373081</v>
      </c>
      <c r="M10" s="12">
        <v>4341653</v>
      </c>
      <c r="N10" s="12"/>
      <c r="O10" s="16">
        <v>10098855</v>
      </c>
      <c r="P10" s="12">
        <v>8347672</v>
      </c>
      <c r="Q10" s="12">
        <v>2302976</v>
      </c>
      <c r="R10" s="16">
        <v>24706526</v>
      </c>
      <c r="S10" s="16">
        <v>14407628</v>
      </c>
      <c r="T10" s="16">
        <v>8676716</v>
      </c>
      <c r="U10" s="16">
        <v>14495238</v>
      </c>
      <c r="V10" s="16">
        <v>12767656</v>
      </c>
    </row>
    <row r="11" spans="1:22" ht="16.5">
      <c r="A11" s="150"/>
      <c r="B11" s="13">
        <v>3905911</v>
      </c>
      <c r="C11" s="12">
        <v>1615885</v>
      </c>
      <c r="D11" s="16">
        <v>1222858</v>
      </c>
      <c r="E11" s="16">
        <v>3429493</v>
      </c>
      <c r="F11" s="16">
        <v>10266910</v>
      </c>
      <c r="G11" s="16">
        <v>9235970</v>
      </c>
      <c r="H11" s="16">
        <v>25340685</v>
      </c>
      <c r="I11" s="16">
        <v>14571984</v>
      </c>
      <c r="J11" s="16">
        <v>11949463</v>
      </c>
      <c r="K11" s="12">
        <v>6082010</v>
      </c>
      <c r="L11" s="12">
        <v>454921</v>
      </c>
      <c r="M11" s="12">
        <v>1901547</v>
      </c>
      <c r="N11" s="12"/>
      <c r="O11" s="16">
        <v>6981036</v>
      </c>
      <c r="P11" s="12">
        <v>12320662</v>
      </c>
      <c r="Q11" s="12">
        <v>2400302</v>
      </c>
      <c r="R11" s="16">
        <v>12953616</v>
      </c>
      <c r="S11" s="16">
        <v>11300703</v>
      </c>
      <c r="T11" s="16">
        <v>12479943</v>
      </c>
      <c r="U11" s="16">
        <v>18510192</v>
      </c>
      <c r="V11" s="16">
        <v>13047367</v>
      </c>
    </row>
    <row r="12" spans="1:22" ht="16.5">
      <c r="A12" s="150"/>
      <c r="B12" s="13">
        <v>2749065</v>
      </c>
      <c r="C12" s="12">
        <v>3414298</v>
      </c>
      <c r="D12" s="16">
        <v>866443</v>
      </c>
      <c r="E12" s="16">
        <v>4020262</v>
      </c>
      <c r="F12" s="16">
        <v>12090703</v>
      </c>
      <c r="G12" s="16">
        <v>16406259</v>
      </c>
      <c r="H12" s="16">
        <v>17451453</v>
      </c>
      <c r="I12" s="16">
        <v>12184890</v>
      </c>
      <c r="J12" s="16">
        <v>4396692</v>
      </c>
      <c r="K12" s="12">
        <v>7628182</v>
      </c>
      <c r="L12" s="12">
        <v>2707584</v>
      </c>
      <c r="M12" s="12">
        <v>2628464</v>
      </c>
      <c r="N12" s="12"/>
      <c r="O12" s="16">
        <v>3028793</v>
      </c>
      <c r="P12" s="12">
        <v>7204373</v>
      </c>
      <c r="Q12" s="12">
        <v>1425140</v>
      </c>
      <c r="R12" s="16">
        <v>11467829</v>
      </c>
      <c r="S12" s="16">
        <v>11829910</v>
      </c>
      <c r="T12" s="16">
        <v>11832953</v>
      </c>
      <c r="U12" s="16">
        <v>14866650</v>
      </c>
      <c r="V12" s="16">
        <v>3977901</v>
      </c>
    </row>
    <row r="13" spans="1:22" ht="16.5">
      <c r="A13" s="150"/>
      <c r="B13" s="13"/>
      <c r="C13" s="12"/>
      <c r="D13" s="16"/>
      <c r="E13" s="16"/>
      <c r="F13" s="16"/>
      <c r="G13" s="16"/>
      <c r="H13" s="16"/>
      <c r="I13" s="16"/>
      <c r="J13" s="16"/>
      <c r="K13" s="12"/>
      <c r="L13" s="12"/>
      <c r="M13" s="12"/>
      <c r="N13" s="12"/>
      <c r="O13" s="16">
        <v>5265212</v>
      </c>
      <c r="P13" s="12"/>
      <c r="Q13" s="12"/>
      <c r="R13" s="16"/>
      <c r="S13" s="16"/>
      <c r="T13" s="16"/>
      <c r="U13" s="16"/>
      <c r="V13" s="16"/>
    </row>
    <row r="14" spans="1:22" ht="16.5">
      <c r="A14" s="150"/>
      <c r="B14" s="13"/>
      <c r="C14" s="16"/>
      <c r="D14" s="16"/>
      <c r="E14" s="16"/>
      <c r="F14" s="16"/>
      <c r="G14" s="16"/>
      <c r="H14" s="16"/>
      <c r="I14" s="16"/>
      <c r="J14" s="16"/>
      <c r="K14" s="12"/>
      <c r="L14" s="12"/>
      <c r="M14" s="12"/>
      <c r="N14" s="12"/>
      <c r="O14" s="16">
        <v>6977542</v>
      </c>
      <c r="P14" s="12"/>
      <c r="Q14" s="12"/>
      <c r="R14" s="16"/>
      <c r="S14" s="16"/>
      <c r="T14" s="16"/>
      <c r="U14" s="16"/>
      <c r="V14" s="16"/>
    </row>
    <row r="15" spans="1:22" ht="16.5">
      <c r="A15" s="150"/>
      <c r="B15" s="13"/>
      <c r="C15" s="16"/>
      <c r="D15" s="16"/>
      <c r="E15" s="16"/>
      <c r="F15" s="16"/>
      <c r="G15" s="16"/>
      <c r="H15" s="16"/>
      <c r="I15" s="16"/>
      <c r="J15" s="16"/>
      <c r="K15" s="12"/>
      <c r="L15" s="12"/>
      <c r="M15" s="12"/>
      <c r="N15" s="12"/>
      <c r="O15" s="16">
        <v>5577135</v>
      </c>
      <c r="P15" s="12"/>
      <c r="Q15" s="12"/>
      <c r="R15" s="16"/>
      <c r="S15" s="16"/>
      <c r="T15" s="16"/>
      <c r="U15" s="16"/>
      <c r="V15" s="16"/>
    </row>
    <row r="16" spans="1:22" ht="16.5">
      <c r="A16" s="150"/>
      <c r="B16" s="13"/>
      <c r="C16" s="16"/>
      <c r="D16" s="16"/>
      <c r="E16" s="16"/>
      <c r="F16" s="16"/>
      <c r="G16" s="16"/>
      <c r="H16" s="16"/>
      <c r="I16" s="16"/>
      <c r="J16" s="16"/>
      <c r="K16" s="12"/>
      <c r="L16" s="12"/>
      <c r="M16" s="12"/>
      <c r="N16" s="12"/>
      <c r="O16" s="16">
        <v>4355349</v>
      </c>
      <c r="P16" s="12"/>
      <c r="Q16" s="12"/>
      <c r="R16" s="16"/>
      <c r="S16" s="16"/>
      <c r="T16" s="16"/>
      <c r="U16" s="16"/>
      <c r="V16" s="16"/>
    </row>
    <row r="17" spans="1:22" ht="16.5">
      <c r="A17" s="150"/>
      <c r="B17" s="13"/>
      <c r="C17" s="16"/>
      <c r="D17" s="16"/>
      <c r="E17" s="16"/>
      <c r="F17" s="16"/>
      <c r="G17" s="16"/>
      <c r="H17" s="16"/>
      <c r="I17" s="16"/>
      <c r="J17" s="16"/>
      <c r="K17" s="12"/>
      <c r="L17" s="12"/>
      <c r="M17" s="12"/>
      <c r="N17" s="12"/>
      <c r="O17" s="16">
        <v>8865665</v>
      </c>
      <c r="P17" s="12"/>
      <c r="Q17" s="12"/>
      <c r="R17" s="16"/>
      <c r="S17" s="16"/>
      <c r="T17" s="16"/>
      <c r="U17" s="16"/>
      <c r="V17" s="16"/>
    </row>
    <row r="18" spans="1:22" ht="16.5">
      <c r="A18" s="150"/>
      <c r="B18" s="13"/>
      <c r="C18" s="16"/>
      <c r="D18" s="16"/>
      <c r="E18" s="16"/>
      <c r="F18" s="16"/>
      <c r="G18" s="16"/>
      <c r="H18" s="16"/>
      <c r="I18" s="16"/>
      <c r="J18" s="16"/>
      <c r="K18" s="12"/>
      <c r="L18" s="12"/>
      <c r="M18" s="12"/>
      <c r="N18" s="12"/>
      <c r="O18" s="16">
        <v>6558021</v>
      </c>
      <c r="P18" s="12"/>
      <c r="Q18" s="12"/>
      <c r="R18" s="16"/>
      <c r="S18" s="16"/>
      <c r="T18" s="16"/>
      <c r="U18" s="16"/>
      <c r="V18" s="16"/>
    </row>
    <row r="19" spans="1:22" ht="16.5">
      <c r="A19" s="150"/>
      <c r="B19" s="13"/>
      <c r="C19" s="16"/>
      <c r="D19" s="16"/>
      <c r="E19" s="16"/>
      <c r="F19" s="16"/>
      <c r="G19" s="16"/>
      <c r="H19" s="16"/>
      <c r="I19" s="16"/>
      <c r="J19" s="16"/>
      <c r="K19" s="12"/>
      <c r="L19" s="12"/>
      <c r="M19" s="12"/>
      <c r="N19" s="12"/>
      <c r="O19" s="16">
        <v>11522273</v>
      </c>
      <c r="P19" s="12"/>
      <c r="Q19" s="12"/>
      <c r="R19" s="16"/>
      <c r="S19" s="16"/>
      <c r="T19" s="16"/>
      <c r="U19" s="16"/>
      <c r="V19" s="16"/>
    </row>
    <row r="20" spans="1:22" ht="16.5">
      <c r="A20" s="150"/>
      <c r="B20" s="13"/>
      <c r="C20" s="16"/>
      <c r="D20" s="16"/>
      <c r="E20" s="16"/>
      <c r="F20" s="16"/>
      <c r="G20" s="16"/>
      <c r="H20" s="16"/>
      <c r="I20" s="16"/>
      <c r="J20" s="16"/>
      <c r="K20" s="12"/>
      <c r="L20" s="12"/>
      <c r="M20" s="12"/>
      <c r="N20" s="12"/>
      <c r="O20" s="16">
        <v>11230686</v>
      </c>
      <c r="P20" s="12"/>
      <c r="Q20" s="12"/>
      <c r="R20" s="16"/>
      <c r="S20" s="16"/>
      <c r="T20" s="16"/>
      <c r="U20" s="16"/>
      <c r="V20" s="16"/>
    </row>
    <row r="21" spans="1:22">
      <c r="A21" s="3"/>
      <c r="B21" s="6"/>
      <c r="C21" s="6"/>
      <c r="D21" s="6"/>
      <c r="E21" s="6"/>
      <c r="F21" s="6"/>
      <c r="G21" s="6"/>
      <c r="H21" s="6"/>
      <c r="I21" s="6"/>
      <c r="J21" s="6"/>
      <c r="O21" s="6"/>
      <c r="R21" s="6"/>
      <c r="S21" s="6"/>
      <c r="T21" s="6"/>
      <c r="U21" s="6"/>
      <c r="V21" s="6"/>
    </row>
    <row r="22" spans="1:22">
      <c r="A22" s="3" t="str">
        <f>A4</f>
        <v>Noms des groupes</v>
      </c>
      <c r="B22" s="3" t="str">
        <f t="shared" ref="B22:V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estradiol-540ng/L</v>
      </c>
      <c r="J22" s="3" t="str">
        <f t="shared" si="0"/>
        <v>estradiol-270ng/L</v>
      </c>
      <c r="K22" s="3" t="str">
        <f t="shared" si="0"/>
        <v>estradiol-135ng/L</v>
      </c>
      <c r="L22" s="3" t="str">
        <f t="shared" si="0"/>
        <v>estradiol-68ng/L</v>
      </c>
      <c r="M22" s="3" t="str">
        <f t="shared" si="0"/>
        <v>estradiol-34ng/L</v>
      </c>
      <c r="N22" s="3" t="str">
        <f t="shared" si="0"/>
        <v/>
      </c>
      <c r="O22" s="3" t="str">
        <f t="shared" si="0"/>
        <v>Testo -30µg/L</v>
      </c>
      <c r="P22" s="3" t="str">
        <f t="shared" si="0"/>
        <v>Testo 30µg/L + EE2 -64ng/L</v>
      </c>
      <c r="Q22" s="3" t="str">
        <f t="shared" si="0"/>
        <v>Testo 30µg/L + FAD-10mg/L</v>
      </c>
      <c r="R22" s="3" t="str">
        <f t="shared" si="0"/>
        <v>estradiol-540ng/L + Testostérone</v>
      </c>
      <c r="S22" s="3" t="str">
        <f t="shared" si="0"/>
        <v>estradiol-270ng/L + Testostérone</v>
      </c>
      <c r="T22" s="3" t="str">
        <f t="shared" si="0"/>
        <v>estradiol-135ng/L + Testostérone</v>
      </c>
      <c r="U22" s="3" t="str">
        <f t="shared" si="0"/>
        <v>estradiol-68ng/L + Testostérone</v>
      </c>
      <c r="V22" s="3" t="str">
        <f t="shared" si="0"/>
        <v>estradiol-34ng/L + Testostérone</v>
      </c>
    </row>
    <row r="23" spans="1:22">
      <c r="A23" s="5" t="s">
        <v>0</v>
      </c>
      <c r="B23" s="5">
        <f t="shared" ref="B23:J23" si="1">AVERAGE(B5:B20)</f>
        <v>2384265.25</v>
      </c>
      <c r="C23" s="5">
        <f t="shared" si="1"/>
        <v>1415311</v>
      </c>
      <c r="D23" s="5">
        <f t="shared" si="1"/>
        <v>1730279.5</v>
      </c>
      <c r="E23" s="5">
        <f t="shared" si="1"/>
        <v>6625018.125</v>
      </c>
      <c r="F23" s="5">
        <f t="shared" si="1"/>
        <v>9228130.75</v>
      </c>
      <c r="G23" s="5">
        <f t="shared" si="1"/>
        <v>11941891.5</v>
      </c>
      <c r="H23" s="5">
        <f t="shared" si="1"/>
        <v>15381545.125</v>
      </c>
      <c r="I23" s="5">
        <f t="shared" si="1"/>
        <v>14706182.625</v>
      </c>
      <c r="J23" s="5">
        <f t="shared" si="1"/>
        <v>10125356.375</v>
      </c>
      <c r="K23" s="5"/>
      <c r="L23" s="5">
        <f>AVERAGE(L5:L20)</f>
        <v>3751782.125</v>
      </c>
      <c r="M23" s="5"/>
      <c r="N23" s="5" t="e">
        <f>AVERAGE(N5:N20)</f>
        <v>#DIV/0!</v>
      </c>
      <c r="O23" s="5">
        <f>AVERAGE(O5:O20)</f>
        <v>6686989.25</v>
      </c>
      <c r="P23" s="5">
        <f>AVERAGE(P5:P20)</f>
        <v>9859846.75</v>
      </c>
      <c r="Q23" s="5">
        <f>AVERAGE(Q5:Q20)</f>
        <v>1790045.125</v>
      </c>
      <c r="R23" s="5">
        <f>AVERAGE(R5:R20)</f>
        <v>15638030</v>
      </c>
      <c r="S23" s="5">
        <f>AVERAGE(S5:S20)</f>
        <v>12957343.25</v>
      </c>
      <c r="T23" s="5">
        <f t="shared" ref="T23:V23" si="2">AVERAGE(T5:T20)</f>
        <v>12307940.125</v>
      </c>
      <c r="U23" s="5">
        <f t="shared" si="2"/>
        <v>13615674.375</v>
      </c>
      <c r="V23" s="5">
        <f t="shared" si="2"/>
        <v>8282488.875</v>
      </c>
    </row>
    <row r="24" spans="1:22">
      <c r="A24" s="3" t="s">
        <v>1</v>
      </c>
      <c r="B24" s="3">
        <f t="shared" ref="B24:J24" si="3">STDEV(B5:B20)</f>
        <v>905167.95430378558</v>
      </c>
      <c r="C24" s="3">
        <f t="shared" si="3"/>
        <v>992278.19189320959</v>
      </c>
      <c r="D24" s="3">
        <f t="shared" si="3"/>
        <v>781041.59851737181</v>
      </c>
      <c r="E24" s="3">
        <f t="shared" si="3"/>
        <v>3479135.8283745623</v>
      </c>
      <c r="F24" s="3">
        <f t="shared" si="3"/>
        <v>2689206.5941711585</v>
      </c>
      <c r="G24" s="3">
        <f t="shared" si="3"/>
        <v>2240617.9707399602</v>
      </c>
      <c r="H24" s="3">
        <f t="shared" si="3"/>
        <v>7223330.6233949307</v>
      </c>
      <c r="I24" s="3">
        <f t="shared" si="3"/>
        <v>2254710.2816218189</v>
      </c>
      <c r="J24" s="3">
        <f t="shared" si="3"/>
        <v>3599110.4819791215</v>
      </c>
      <c r="K24" s="3"/>
      <c r="L24" s="3">
        <f>STDEV(L5:L20)</f>
        <v>5453630.3323402172</v>
      </c>
      <c r="M24" s="3"/>
      <c r="N24" s="3" t="e">
        <f>STDEV(N5:N20)</f>
        <v>#DIV/0!</v>
      </c>
      <c r="O24" s="3">
        <f>STDEV(O5:O20)</f>
        <v>2727106.9637001893</v>
      </c>
      <c r="P24" s="3">
        <f>STDEV(P5:P20)</f>
        <v>2461513.995592013</v>
      </c>
      <c r="Q24" s="3">
        <f>STDEV(Q5:Q20)</f>
        <v>620658.33173918468</v>
      </c>
      <c r="R24" s="3">
        <f>STDEV(R5:R20)</f>
        <v>5129737.9253245061</v>
      </c>
      <c r="S24" s="3">
        <f>STDEV(S5:S20)</f>
        <v>3864267.2385596782</v>
      </c>
      <c r="T24" s="3">
        <f t="shared" ref="T24:V24" si="4">STDEV(T5:T20)</f>
        <v>1889766.1510249281</v>
      </c>
      <c r="U24" s="3">
        <f t="shared" si="4"/>
        <v>3728824.8361477489</v>
      </c>
      <c r="V24" s="3">
        <f t="shared" si="4"/>
        <v>5085093.0181168178</v>
      </c>
    </row>
    <row r="25" spans="1:22" ht="15.75" thickBot="1"/>
    <row r="26" spans="1:22" ht="15.75" thickBot="1">
      <c r="B26" s="148" t="s">
        <v>6</v>
      </c>
      <c r="C26" s="149"/>
      <c r="D26" s="149"/>
      <c r="E26" s="149"/>
      <c r="F26" s="149"/>
      <c r="G26" s="149"/>
      <c r="H26" s="149"/>
      <c r="I26" s="149"/>
      <c r="J26" s="149"/>
      <c r="K26" s="149"/>
      <c r="L26" s="149"/>
      <c r="M26" s="149"/>
      <c r="N26" s="149"/>
      <c r="O26" s="148" t="s">
        <v>3</v>
      </c>
      <c r="P26" s="149"/>
      <c r="Q26" s="149"/>
      <c r="R26" s="149"/>
      <c r="S26" s="149"/>
      <c r="T26" s="149"/>
      <c r="U26" s="149"/>
      <c r="V26" s="149"/>
    </row>
    <row r="27" spans="1:22">
      <c r="A27" s="18" t="s">
        <v>22</v>
      </c>
      <c r="B27" s="19" t="str">
        <f>B4</f>
        <v>Solvent control</v>
      </c>
      <c r="C27" s="19" t="str">
        <f t="shared" ref="C27:N27" si="5">C4</f>
        <v>EE2-33.8ng/L</v>
      </c>
      <c r="D27" s="19" t="str">
        <f t="shared" si="5"/>
        <v>EE2-50.6ng/L</v>
      </c>
      <c r="E27" s="19" t="str">
        <f t="shared" si="5"/>
        <v>EE2-76ng/L</v>
      </c>
      <c r="F27" s="19" t="str">
        <f t="shared" si="5"/>
        <v>EE2-114ng/L</v>
      </c>
      <c r="G27" s="19" t="str">
        <f t="shared" si="5"/>
        <v>EE2-170.9ng/L</v>
      </c>
      <c r="H27" s="19" t="str">
        <f t="shared" si="5"/>
        <v>EE2-488ng/L</v>
      </c>
      <c r="I27" s="19" t="str">
        <f t="shared" si="5"/>
        <v>estradiol-540ng/L</v>
      </c>
      <c r="J27" s="19" t="str">
        <f t="shared" si="5"/>
        <v>estradiol-270ng/L</v>
      </c>
      <c r="K27" s="19" t="str">
        <f t="shared" si="5"/>
        <v>estradiol-135ng/L</v>
      </c>
      <c r="L27" s="19" t="str">
        <f t="shared" si="5"/>
        <v>estradiol-68ng/L</v>
      </c>
      <c r="M27" s="19" t="str">
        <f t="shared" si="5"/>
        <v>estradiol-34ng/L</v>
      </c>
      <c r="N27" s="19" t="str">
        <f t="shared" si="5"/>
        <v/>
      </c>
      <c r="O27" s="20" t="str">
        <f>O4</f>
        <v>Testo -30µg/L</v>
      </c>
      <c r="P27" s="20" t="str">
        <f t="shared" ref="P27:R27" si="6">P4</f>
        <v>Testo 30µg/L + EE2 -64ng/L</v>
      </c>
      <c r="Q27" s="20" t="str">
        <f t="shared" si="6"/>
        <v>Testo 30µg/L + FAD-10mg/L</v>
      </c>
      <c r="R27" s="20" t="str">
        <f t="shared" si="6"/>
        <v>estradiol-540ng/L + Testostérone</v>
      </c>
      <c r="S27" s="20" t="str">
        <f t="shared" ref="S27:V27" si="7">S4</f>
        <v>estradiol-270ng/L + Testostérone</v>
      </c>
      <c r="T27" s="20" t="str">
        <f t="shared" si="7"/>
        <v>estradiol-135ng/L + Testostérone</v>
      </c>
      <c r="U27" s="20" t="str">
        <f t="shared" si="7"/>
        <v>estradiol-68ng/L + Testostérone</v>
      </c>
      <c r="V27" s="20" t="str">
        <f t="shared" si="7"/>
        <v>estradiol-34ng/L + Testostérone</v>
      </c>
    </row>
    <row r="28" spans="1:22">
      <c r="A28" s="151" t="s">
        <v>17</v>
      </c>
      <c r="B28" s="10">
        <f>IF(B5="","",(B5/$O$23))</f>
        <v>0.17226900731147429</v>
      </c>
      <c r="C28" s="10">
        <f>IF(C5="","",(C5/$O$23))</f>
        <v>7.8152809951055321E-2</v>
      </c>
      <c r="D28" s="10">
        <f>IF(D5="","",(D5/$O$23))</f>
        <v>0.38835324881074096</v>
      </c>
      <c r="E28" s="10">
        <f>IF(E5="","",(E5/$O$23))</f>
        <v>1.7629440633540723</v>
      </c>
      <c r="F28" s="10">
        <f>IF(F5="","",(F5/$O$23))</f>
        <v>1.0981393457451722</v>
      </c>
      <c r="G28" s="10">
        <f>IF(G5="","",(G5/$O$23))</f>
        <v>1.8505335566376153</v>
      </c>
      <c r="H28" s="10">
        <f>IF(H5="","",(H5/$O$23))</f>
        <v>2.0447417348547403</v>
      </c>
      <c r="I28" s="10">
        <f>IF(I5="","",(I5/$O$23))</f>
        <v>2.1890226606839542</v>
      </c>
      <c r="J28" s="10">
        <f>IF(J5="","",(J5/$O$23))</f>
        <v>0.92550380576729652</v>
      </c>
      <c r="K28" s="10">
        <f>IF(K5="","",(K5/$O$23))</f>
        <v>1.055344002534474</v>
      </c>
      <c r="L28" s="10">
        <f>IF(L5="","",(L5/$O$23))</f>
        <v>2.5221815632498585</v>
      </c>
      <c r="M28" s="10">
        <f>IF(M5="","",(M5/$O$23))</f>
        <v>0.54294763521565403</v>
      </c>
      <c r="N28" s="10" t="str">
        <f>IF(N5="","",(N5/$O$23))</f>
        <v/>
      </c>
      <c r="O28" s="10">
        <f t="shared" ref="O28:S37" si="8">IF(O5="","",(O5/$O$23))</f>
        <v>1.1830691966492992</v>
      </c>
      <c r="P28" s="10">
        <f t="shared" si="8"/>
        <v>1.5968491350573055</v>
      </c>
      <c r="Q28" s="10">
        <f t="shared" si="8"/>
        <v>9.1800506483541905E-2</v>
      </c>
      <c r="R28" s="10">
        <f t="shared" si="8"/>
        <v>1.1130400725558218</v>
      </c>
      <c r="S28" s="10">
        <f t="shared" si="8"/>
        <v>0.97264983639685076</v>
      </c>
      <c r="T28" s="10">
        <f t="shared" ref="T28:V28" si="9">IF(T5="","",(T5/$O$23))</f>
        <v>2.1022804844497096</v>
      </c>
      <c r="U28" s="10">
        <f t="shared" si="9"/>
        <v>2.0640573035166763</v>
      </c>
      <c r="V28" s="10">
        <f t="shared" si="9"/>
        <v>0.31853782328123226</v>
      </c>
    </row>
    <row r="29" spans="1:22">
      <c r="A29" s="151"/>
      <c r="B29" s="10">
        <f>IF(B6="","",(B6/$O$23))</f>
        <v>0.4207132529785359</v>
      </c>
      <c r="C29" s="10">
        <f>IF(C6="","",(C6/$O$23))</f>
        <v>0.21379950625761809</v>
      </c>
      <c r="D29" s="10">
        <f>IF(D6="","",(D6/$O$23))</f>
        <v>9.9121738531282963E-2</v>
      </c>
      <c r="E29" s="10">
        <f>IF(E6="","",(E6/$O$23))</f>
        <v>0.30748157700418016</v>
      </c>
      <c r="F29" s="10">
        <f>IF(F6="","",(F6/$O$23))</f>
        <v>1.3012754581592905</v>
      </c>
      <c r="G29" s="10">
        <f>IF(G6="","",(G6/$O$23))</f>
        <v>2.0660070599036779</v>
      </c>
      <c r="H29" s="10">
        <f>IF(H6="","",(H6/$O$23))</f>
        <v>2.0223624555699713</v>
      </c>
      <c r="I29" s="10">
        <f>IF(I6="","",(I6/$O$23))</f>
        <v>1.799038184486389</v>
      </c>
      <c r="J29" s="10">
        <f>IF(J6="","",(J6/$O$23))</f>
        <v>2.3219146045434425</v>
      </c>
      <c r="K29" s="10">
        <f>IF(K6="","",(K6/$O$23))</f>
        <v>2.12210480224714</v>
      </c>
      <c r="L29" s="10">
        <f>IF(L6="","",(L6/$O$23))</f>
        <v>0.18903739078091086</v>
      </c>
      <c r="M29" s="10">
        <f>IF(M6="","",(M6/$O$23))</f>
        <v>0.16453981887289559</v>
      </c>
      <c r="N29" s="10" t="str">
        <f>IF(N6="","",(N6/$O$23))</f>
        <v/>
      </c>
      <c r="O29" s="10">
        <f t="shared" si="8"/>
        <v>0.67527774177295108</v>
      </c>
      <c r="P29" s="10">
        <f t="shared" si="8"/>
        <v>1.2519194643538569</v>
      </c>
      <c r="Q29" s="10">
        <f t="shared" si="8"/>
        <v>0.2256949942008655</v>
      </c>
      <c r="R29" s="10">
        <f t="shared" si="8"/>
        <v>2.6667763822111721</v>
      </c>
      <c r="S29" s="10">
        <f t="shared" si="8"/>
        <v>2.9620608407587916</v>
      </c>
      <c r="T29" s="10">
        <f t="shared" ref="T29:V29" si="10">IF(T6="","",(T6/$O$23))</f>
        <v>1.5949539622783153</v>
      </c>
      <c r="U29" s="10">
        <f t="shared" si="10"/>
        <v>1.4126831443612684</v>
      </c>
      <c r="V29" s="10">
        <f t="shared" si="10"/>
        <v>1.0722507143255837</v>
      </c>
    </row>
    <row r="30" spans="1:22">
      <c r="A30" s="151"/>
      <c r="B30" s="10">
        <f>IF(B7="","",(B7/$O$23))</f>
        <v>0.18303483888507821</v>
      </c>
      <c r="C30" s="10">
        <f>IF(C7="","",(C7/$O$23))</f>
        <v>0.24187028564461951</v>
      </c>
      <c r="D30" s="10">
        <f>IF(D7="","",(D7/$O$23))</f>
        <v>0.27729145818501205</v>
      </c>
      <c r="E30" s="10">
        <f>IF(E7="","",(E7/$O$23))</f>
        <v>0.7660610490737666</v>
      </c>
      <c r="F30" s="10">
        <f>IF(F7="","",(F7/$O$23))</f>
        <v>0.72583517313116663</v>
      </c>
      <c r="G30" s="10">
        <f>IF(G7="","",(G7/$O$23))</f>
        <v>1.658310128134272</v>
      </c>
      <c r="H30" s="10">
        <f>IF(H7="","",(H7/$O$23))</f>
        <v>2.1253780241982594</v>
      </c>
      <c r="I30" s="10">
        <f>IF(I7="","",(I7/$O$23))</f>
        <v>1.9583470991821919</v>
      </c>
      <c r="J30" s="10">
        <f>IF(J7="","",(J7/$O$23))</f>
        <v>1.5893270652409079</v>
      </c>
      <c r="K30" s="10">
        <f>IF(K7="","",(K7/$O$23))</f>
        <v>1.2026517015860314</v>
      </c>
      <c r="L30" s="10">
        <f>IF(L7="","",(L7/$O$23))</f>
        <v>0.40325547106270582</v>
      </c>
      <c r="M30" s="10">
        <f>IF(M7="","",(M7/$O$23))</f>
        <v>0.64286195764409226</v>
      </c>
      <c r="N30" s="10" t="str">
        <f>IF(N7="","",(N7/$O$23))</f>
        <v/>
      </c>
      <c r="O30" s="10">
        <f t="shared" si="8"/>
        <v>0.97012224148558335</v>
      </c>
      <c r="P30" s="10">
        <f t="shared" si="8"/>
        <v>2.1129594308828894</v>
      </c>
      <c r="Q30" s="10">
        <f t="shared" si="8"/>
        <v>0.23670189091450985</v>
      </c>
      <c r="R30" s="10">
        <f t="shared" si="8"/>
        <v>2.4377775095122218</v>
      </c>
      <c r="S30" s="10">
        <f t="shared" si="8"/>
        <v>2.323304916334358</v>
      </c>
      <c r="T30" s="10">
        <f t="shared" ref="T30:V30" si="11">IF(T7="","",(T7/$O$23))</f>
        <v>1.9976804957477687</v>
      </c>
      <c r="U30" s="10">
        <f t="shared" si="11"/>
        <v>1.3172282279353149</v>
      </c>
      <c r="V30" s="10">
        <f t="shared" si="11"/>
        <v>0.96800335068581123</v>
      </c>
    </row>
    <row r="31" spans="1:22">
      <c r="A31" s="151"/>
      <c r="B31" s="10">
        <f>IF(B8="","",(B8/$O$23))</f>
        <v>0.32525773837605615</v>
      </c>
      <c r="C31" s="10">
        <f>IF(C8="","",(C8/$O$23))</f>
        <v>0.22205105234766154</v>
      </c>
      <c r="D31" s="10">
        <f>IF(D8="","",(D8/$O$23))</f>
        <v>0.30666760829621492</v>
      </c>
      <c r="E31" s="10">
        <f>IF(E8="","",(E8/$O$23))</f>
        <v>1.2140255795984718</v>
      </c>
      <c r="F31" s="10">
        <f>IF(F8="","",(F8/$O$23))</f>
        <v>1.479344534612494</v>
      </c>
      <c r="G31" s="10">
        <f>IF(G8="","",(G8/$O$23))</f>
        <v>1.6430234279201212</v>
      </c>
      <c r="H31" s="10">
        <f>IF(H8="","",(H8/$O$23))</f>
        <v>2.5411760606613805</v>
      </c>
      <c r="I31" s="10">
        <f>IF(I8="","",(I8/$O$23))</f>
        <v>2.5795783954639977</v>
      </c>
      <c r="J31" s="10">
        <f>IF(J8="","",(J8/$O$23))</f>
        <v>1.9257376554029901</v>
      </c>
      <c r="K31" s="10">
        <f>IF(K8="","",(K8/$O$23))</f>
        <v>1.1110626505044852</v>
      </c>
      <c r="L31" s="10">
        <f>IF(L8="","",(L8/$O$23))</f>
        <v>0.6294638502671438</v>
      </c>
      <c r="M31" s="10">
        <f>IF(M8="","",(M8/$O$23))</f>
        <v>0.44894419413041525</v>
      </c>
      <c r="N31" s="10" t="str">
        <f>IF(N8="","",(N8/$O$23))</f>
        <v/>
      </c>
      <c r="O31" s="10">
        <f t="shared" si="8"/>
        <v>0.30922600929857935</v>
      </c>
      <c r="P31" s="10">
        <f t="shared" si="8"/>
        <v>1.5474814768096121</v>
      </c>
      <c r="Q31" s="10">
        <f t="shared" si="8"/>
        <v>0.32370621801134197</v>
      </c>
      <c r="R31" s="10">
        <f t="shared" si="8"/>
        <v>2.5439451693450832</v>
      </c>
      <c r="S31" s="10">
        <f t="shared" si="8"/>
        <v>1.9586677218002109</v>
      </c>
      <c r="T31" s="10">
        <f t="shared" ref="T31:V31" si="12">IF(T8="","",(T8/$O$23))</f>
        <v>2.1450794167195646</v>
      </c>
      <c r="U31" s="10">
        <f t="shared" si="12"/>
        <v>2.7370533009306093</v>
      </c>
      <c r="V31" s="10">
        <f t="shared" si="12"/>
        <v>2.4242210348999738</v>
      </c>
    </row>
    <row r="32" spans="1:22">
      <c r="A32" s="151"/>
      <c r="B32" s="10">
        <f>IF(B9="","",(B9/$O$23))</f>
        <v>0.41933445608574893</v>
      </c>
      <c r="C32" s="10">
        <f>IF(C9="","",(C9/$O$23))</f>
        <v>0.18380887930992262</v>
      </c>
      <c r="D32" s="10">
        <f>IF(D9="","",(D9/$O$23))</f>
        <v>0.25967127134233092</v>
      </c>
      <c r="E32" s="10">
        <f>IF(E9="","",(E9/$O$23))</f>
        <v>1.5343323604116756</v>
      </c>
      <c r="F32" s="10">
        <f>IF(F9="","",(F9/$O$23))</f>
        <v>1.9620373997161726</v>
      </c>
      <c r="G32" s="10">
        <f>IF(G9="","",(G9/$O$23))</f>
        <v>1.626090844994255</v>
      </c>
      <c r="H32" s="10">
        <f>IF(H9="","",(H9/$O$23))</f>
        <v>9.5522211285146E-2</v>
      </c>
      <c r="I32" s="10">
        <f>IF(I9="","",(I9/$O$23))</f>
        <v>2.7165255275384208</v>
      </c>
      <c r="J32" s="10">
        <f>IF(J9="","",(J9/$O$23))</f>
        <v>1.591243323742445</v>
      </c>
      <c r="K32" s="10">
        <f>IF(K9="","",(K9/$O$23))</f>
        <v>0.83437265881652189</v>
      </c>
      <c r="L32" s="10">
        <f>IF(L9="","",(L9/$O$23))</f>
        <v>0.21579158363384537</v>
      </c>
      <c r="M32" s="10">
        <f>IF(M9="","",(M9/$O$23))</f>
        <v>0.28549544924122616</v>
      </c>
      <c r="N32" s="10" t="str">
        <f>IF(N9="","",(N9/$O$23))</f>
        <v/>
      </c>
      <c r="O32" s="10">
        <f t="shared" si="8"/>
        <v>0.82989919566567272</v>
      </c>
      <c r="P32" s="10">
        <f t="shared" si="8"/>
        <v>1.1184484856170511</v>
      </c>
      <c r="Q32" s="10">
        <f t="shared" si="8"/>
        <v>0.34715339193942923</v>
      </c>
      <c r="R32" s="10">
        <f t="shared" si="8"/>
        <v>2.6002660315328008</v>
      </c>
      <c r="S32" s="10">
        <f t="shared" si="8"/>
        <v>1.6712501818363175</v>
      </c>
      <c r="T32" s="10">
        <f t="shared" ref="T32:V32" si="13">IF(T9="","",(T9/$O$23))</f>
        <v>1.9512445006547603</v>
      </c>
      <c r="U32" s="10">
        <f t="shared" si="13"/>
        <v>1.5991429924909779</v>
      </c>
      <c r="V32" s="10">
        <f t="shared" si="13"/>
        <v>0.67041097755615509</v>
      </c>
    </row>
    <row r="33" spans="1:22">
      <c r="A33" s="151"/>
      <c r="B33" s="10">
        <f>IF(B10="","",(B10/$O$23))</f>
        <v>0.33660110938566262</v>
      </c>
      <c r="C33" s="10">
        <f>IF(C10="","",(C10/$O$23))</f>
        <v>1.2947530908622292E-3</v>
      </c>
      <c r="D33" s="10">
        <f>IF(D10="","",(D10/$O$23))</f>
        <v>0.42647713244043273</v>
      </c>
      <c r="E33" s="10">
        <f>IF(E10="","",(E10/$O$23))</f>
        <v>1.2269488843577847</v>
      </c>
      <c r="F33" s="10">
        <f>IF(F10="","",(F10/$O$23))</f>
        <v>1.1300206591479118</v>
      </c>
      <c r="G33" s="10">
        <f>IF(G10="","",(G10/$O$23))</f>
        <v>1.6081084622649873</v>
      </c>
      <c r="H33" s="10">
        <f>IF(H10="","",(H10/$O$23))</f>
        <v>3.1732648590694237</v>
      </c>
      <c r="I33" s="10">
        <f>IF(I10="","",(I10/$O$23))</f>
        <v>2.3499411188675081</v>
      </c>
      <c r="J33" s="10">
        <f>IF(J10="","",(J10/$O$23))</f>
        <v>1.3153029967858854</v>
      </c>
      <c r="K33" s="10">
        <f>IF(K10="","",(K10/$O$23))</f>
        <v>1.3352794009650906</v>
      </c>
      <c r="L33" s="10">
        <f>IF(L10="","",(L10/$O$23))</f>
        <v>5.5792074138596826E-2</v>
      </c>
      <c r="M33" s="10">
        <f>IF(M10="","",(M10/$O$23))</f>
        <v>0.64926872732747398</v>
      </c>
      <c r="N33" s="10" t="str">
        <f>IF(N10="","",(N10/$O$23))</f>
        <v/>
      </c>
      <c r="O33" s="10">
        <f t="shared" si="8"/>
        <v>1.5102245005104502</v>
      </c>
      <c r="P33" s="10">
        <f t="shared" si="8"/>
        <v>1.2483453596100815</v>
      </c>
      <c r="Q33" s="10">
        <f t="shared" si="8"/>
        <v>0.34439654587451296</v>
      </c>
      <c r="R33" s="10">
        <f t="shared" si="8"/>
        <v>3.6947159740087812</v>
      </c>
      <c r="S33" s="10">
        <f t="shared" si="8"/>
        <v>2.1545762167929312</v>
      </c>
      <c r="T33" s="10">
        <f t="shared" ref="T33:V33" si="14">IF(T10="","",(T10/$O$23))</f>
        <v>1.2975519588281079</v>
      </c>
      <c r="U33" s="10">
        <f t="shared" si="14"/>
        <v>2.1676777781570382</v>
      </c>
      <c r="V33" s="10">
        <f t="shared" si="14"/>
        <v>1.9093280283051151</v>
      </c>
    </row>
    <row r="34" spans="1:22">
      <c r="A34" s="151"/>
      <c r="B34" s="10">
        <f>IF(B11="","",(B11/$O$23))</f>
        <v>0.58410606836252954</v>
      </c>
      <c r="C34" s="10">
        <f>IF(C11="","",(C11/$O$23))</f>
        <v>0.24164611899144298</v>
      </c>
      <c r="D34" s="10">
        <f>IF(D11="","",(D11/$O$23))</f>
        <v>0.18287123760517485</v>
      </c>
      <c r="E34" s="10">
        <f>IF(E11="","",(E11/$O$23))</f>
        <v>0.51286055230311611</v>
      </c>
      <c r="F34" s="10">
        <f>IF(F11="","",(F11/$O$23))</f>
        <v>1.5353561395361897</v>
      </c>
      <c r="G34" s="10">
        <f>IF(G11="","",(G11/$O$23))</f>
        <v>1.3811851125676626</v>
      </c>
      <c r="H34" s="10">
        <f>IF(H11="","",(H11/$O$23))</f>
        <v>3.7895507309212437</v>
      </c>
      <c r="I34" s="10">
        <f>IF(I11="","",(I11/$O$23))</f>
        <v>2.1791546920761089</v>
      </c>
      <c r="J34" s="10">
        <f>IF(J11="","",(J11/$O$23))</f>
        <v>1.7869720666890558</v>
      </c>
      <c r="K34" s="10">
        <f>IF(K11="","",(K11/$O$23))</f>
        <v>0.90952890345980442</v>
      </c>
      <c r="L34" s="10">
        <f>IF(L11="","",(L11/$O$23))</f>
        <v>6.8030765863725598E-2</v>
      </c>
      <c r="M34" s="10">
        <f>IF(M11="","",(M11/$O$23))</f>
        <v>0.2843651946950565</v>
      </c>
      <c r="N34" s="10" t="str">
        <f>IF(N11="","",(N11/$O$23))</f>
        <v/>
      </c>
      <c r="O34" s="10">
        <f t="shared" si="8"/>
        <v>1.0439729658605328</v>
      </c>
      <c r="P34" s="10">
        <f t="shared" si="8"/>
        <v>1.8424826987720968</v>
      </c>
      <c r="Q34" s="10">
        <f t="shared" si="8"/>
        <v>0.35895107802065035</v>
      </c>
      <c r="R34" s="10">
        <f t="shared" si="8"/>
        <v>1.9371372550060553</v>
      </c>
      <c r="S34" s="10">
        <f t="shared" si="8"/>
        <v>1.6899538159119967</v>
      </c>
      <c r="T34" s="10">
        <f t="shared" ref="T34:V34" si="15">IF(T11="","",(T11/$O$23))</f>
        <v>1.8663022375877156</v>
      </c>
      <c r="U34" s="10">
        <f t="shared" si="15"/>
        <v>2.7680905872549442</v>
      </c>
      <c r="V34" s="10">
        <f t="shared" si="15"/>
        <v>1.9511571668819416</v>
      </c>
    </row>
    <row r="35" spans="1:22">
      <c r="A35" s="151"/>
      <c r="B35" s="10">
        <f>IF(B12="","",(B12/$O$23))</f>
        <v>0.41110653796848856</v>
      </c>
      <c r="C35" s="10">
        <f>IF(C12="","",(C12/$O$23))</f>
        <v>0.51058822922438529</v>
      </c>
      <c r="D35" s="10">
        <f>IF(D12="","",(D12/$O$23))</f>
        <v>0.12957146596280231</v>
      </c>
      <c r="E35" s="10">
        <f>IF(E12="","",(E12/$O$23))</f>
        <v>0.60120658934811355</v>
      </c>
      <c r="F35" s="10">
        <f>IF(F12="","",(F12/$O$23))</f>
        <v>1.8080936798275846</v>
      </c>
      <c r="G35" s="10">
        <f>IF(G12="","",(G12/$O$23))</f>
        <v>2.4534597539542928</v>
      </c>
      <c r="H35" s="10">
        <f>IF(H12="","",(H12/$O$23))</f>
        <v>2.6097623829737726</v>
      </c>
      <c r="I35" s="10">
        <f>IF(I12="","",(I12/$O$23))</f>
        <v>1.8221787929448219</v>
      </c>
      <c r="J35" s="10">
        <f>IF(J12="","",(J12/$O$23))</f>
        <v>0.65749948678323356</v>
      </c>
      <c r="K35" s="10">
        <f>IF(K12="","",(K12/$O$23))</f>
        <v>1.1407498524092887</v>
      </c>
      <c r="L35" s="10">
        <f>IF(L12="","",(L12/$O$23))</f>
        <v>0.40490329784813101</v>
      </c>
      <c r="M35" s="10">
        <f>IF(M12="","",(M12/$O$23))</f>
        <v>0.39307136616078753</v>
      </c>
      <c r="N35" s="10" t="str">
        <f>IF(N12="","",(N12/$O$23))</f>
        <v/>
      </c>
      <c r="O35" s="10">
        <f t="shared" si="8"/>
        <v>0.45293821879555135</v>
      </c>
      <c r="P35" s="10">
        <f t="shared" si="8"/>
        <v>1.0773717035659958</v>
      </c>
      <c r="Q35" s="10">
        <f t="shared" si="8"/>
        <v>0.21312132362109001</v>
      </c>
      <c r="R35" s="10">
        <f t="shared" si="8"/>
        <v>1.7149465284395364</v>
      </c>
      <c r="S35" s="10">
        <f t="shared" si="8"/>
        <v>1.7690936171312075</v>
      </c>
      <c r="T35" s="10">
        <f t="shared" ref="T35:V35" si="16">IF(T12="","",(T12/$O$23))</f>
        <v>1.7695486799234799</v>
      </c>
      <c r="U35" s="10">
        <f t="shared" si="16"/>
        <v>2.2232202631400968</v>
      </c>
      <c r="V35" s="10">
        <f t="shared" si="16"/>
        <v>0.59487175039200191</v>
      </c>
    </row>
    <row r="36" spans="1:22">
      <c r="A36" s="151"/>
      <c r="B36" s="10" t="str">
        <f>IF(B13="","",(B13/$O$23))</f>
        <v/>
      </c>
      <c r="C36" s="10" t="str">
        <f>IF(C13="","",(C13/$O$23))</f>
        <v/>
      </c>
      <c r="D36" s="10" t="str">
        <f>IF(D13="","",(D13/$O$23))</f>
        <v/>
      </c>
      <c r="E36" s="10" t="str">
        <f>IF(E13="","",(E13/$O$23))</f>
        <v/>
      </c>
      <c r="F36" s="10" t="str">
        <f>IF(F13="","",(F13/$O$23))</f>
        <v/>
      </c>
      <c r="G36" s="10" t="str">
        <f>IF(G13="","",(G13/$O$23))</f>
        <v/>
      </c>
      <c r="H36" s="10" t="str">
        <f>IF(H13="","",(H13/$O$23))</f>
        <v/>
      </c>
      <c r="I36" s="10" t="str">
        <f>IF(I13="","",(I13/$O$23))</f>
        <v/>
      </c>
      <c r="J36" s="10" t="str">
        <f>IF(J13="","",(J13/$O$23))</f>
        <v/>
      </c>
      <c r="K36" s="10" t="str">
        <f>IF(K13="","",(K13/$O$23))</f>
        <v/>
      </c>
      <c r="L36" s="10" t="str">
        <f>IF(L13="","",(L13/$O$23))</f>
        <v/>
      </c>
      <c r="M36" s="10" t="str">
        <f>IF(M13="","",(M13/$O$23))</f>
        <v/>
      </c>
      <c r="N36" s="10" t="str">
        <f>IF(N13="","",(N13/$O$23))</f>
        <v/>
      </c>
      <c r="O36" s="10">
        <f t="shared" si="8"/>
        <v>0.78738155590724179</v>
      </c>
      <c r="P36" s="10" t="str">
        <f t="shared" si="8"/>
        <v/>
      </c>
      <c r="Q36" s="10" t="str">
        <f t="shared" si="8"/>
        <v/>
      </c>
      <c r="R36" s="10" t="str">
        <f t="shared" si="8"/>
        <v/>
      </c>
      <c r="S36" s="10" t="str">
        <f t="shared" si="8"/>
        <v/>
      </c>
      <c r="T36" s="10" t="str">
        <f t="shared" ref="T36:V36" si="17">IF(T13="","",(T13/$O$23))</f>
        <v/>
      </c>
      <c r="U36" s="10" t="str">
        <f t="shared" si="17"/>
        <v/>
      </c>
      <c r="V36" s="10" t="str">
        <f t="shared" si="17"/>
        <v/>
      </c>
    </row>
    <row r="37" spans="1:22">
      <c r="A37" s="151"/>
      <c r="B37" s="10" t="str">
        <f>IF(B14="","",(B14/$O$23))</f>
        <v/>
      </c>
      <c r="C37" s="10" t="str">
        <f>IF(C14="","",(C14/$O$23))</f>
        <v/>
      </c>
      <c r="D37" s="10" t="str">
        <f>IF(D14="","",(D14/$O$23))</f>
        <v/>
      </c>
      <c r="E37" s="10" t="str">
        <f>IF(E14="","",(E14/$O$23))</f>
        <v/>
      </c>
      <c r="F37" s="10" t="str">
        <f>IF(F14="","",(F14/$O$23))</f>
        <v/>
      </c>
      <c r="G37" s="10" t="str">
        <f>IF(G14="","",(G14/$O$23))</f>
        <v/>
      </c>
      <c r="H37" s="10" t="str">
        <f>IF(H14="","",(H14/$O$23))</f>
        <v/>
      </c>
      <c r="I37" s="10" t="str">
        <f>IF(I14="","",(I14/$O$23))</f>
        <v/>
      </c>
      <c r="J37" s="10" t="str">
        <f>IF(J14="","",(J14/$O$23))</f>
        <v/>
      </c>
      <c r="K37" s="10" t="str">
        <f>IF(K14="","",(K14/$O$23))</f>
        <v/>
      </c>
      <c r="L37" s="10" t="str">
        <f>IF(L14="","",(L14/$O$23))</f>
        <v/>
      </c>
      <c r="M37" s="10" t="str">
        <f>IF(M14="","",(M14/$O$23))</f>
        <v/>
      </c>
      <c r="N37" s="10" t="str">
        <f>IF(N14="","",(N14/$O$23))</f>
        <v/>
      </c>
      <c r="O37" s="10">
        <f t="shared" si="8"/>
        <v>1.0434504586649365</v>
      </c>
      <c r="P37" s="10" t="str">
        <f t="shared" si="8"/>
        <v/>
      </c>
      <c r="Q37" s="10" t="str">
        <f t="shared" si="8"/>
        <v/>
      </c>
      <c r="R37" s="10" t="str">
        <f t="shared" si="8"/>
        <v/>
      </c>
      <c r="S37" s="10" t="str">
        <f t="shared" si="8"/>
        <v/>
      </c>
      <c r="T37" s="10" t="str">
        <f t="shared" ref="T37:V37" si="18">IF(T14="","",(T14/$O$23))</f>
        <v/>
      </c>
      <c r="U37" s="10" t="str">
        <f t="shared" si="18"/>
        <v/>
      </c>
      <c r="V37" s="10" t="str">
        <f t="shared" si="18"/>
        <v/>
      </c>
    </row>
    <row r="38" spans="1:22">
      <c r="A38" s="151"/>
      <c r="B38" s="10" t="str">
        <f>IF(B15="","",(B15/$O$23))</f>
        <v/>
      </c>
      <c r="C38" s="10" t="str">
        <f>IF(C15="","",(C15/$O$23))</f>
        <v/>
      </c>
      <c r="D38" s="10" t="str">
        <f>IF(D15="","",(D15/$O$23))</f>
        <v/>
      </c>
      <c r="E38" s="10" t="str">
        <f>IF(E15="","",(E15/$O$23))</f>
        <v/>
      </c>
      <c r="F38" s="10" t="str">
        <f>IF(F15="","",(F15/$O$23))</f>
        <v/>
      </c>
      <c r="G38" s="10" t="str">
        <f>IF(G15="","",(G15/$O$23))</f>
        <v/>
      </c>
      <c r="H38" s="10" t="str">
        <f>IF(H15="","",(H15/$O$23))</f>
        <v/>
      </c>
      <c r="I38" s="10" t="str">
        <f>IF(I15="","",(I15/$O$23))</f>
        <v/>
      </c>
      <c r="J38" s="10" t="str">
        <f>IF(J15="","",(J15/$O$23))</f>
        <v/>
      </c>
      <c r="K38" s="10" t="str">
        <f>IF(K15="","",(K15/$O$23))</f>
        <v/>
      </c>
      <c r="L38" s="10" t="str">
        <f>IF(L15="","",(L15/$O$23))</f>
        <v/>
      </c>
      <c r="M38" s="10" t="str">
        <f>IF(M15="","",(M15/$O$23))</f>
        <v/>
      </c>
      <c r="N38" s="10" t="str">
        <f>IF(N15="","",(N15/$O$23))</f>
        <v/>
      </c>
      <c r="O38" s="10">
        <f t="shared" ref="O38:V38" si="19">IF(O15="","",(O15/$O$23))</f>
        <v>0.83402781004919369</v>
      </c>
      <c r="P38" s="10" t="str">
        <f t="shared" si="19"/>
        <v/>
      </c>
      <c r="Q38" s="10" t="str">
        <f t="shared" si="19"/>
        <v/>
      </c>
      <c r="R38" s="10" t="str">
        <f t="shared" si="19"/>
        <v/>
      </c>
      <c r="S38" s="10" t="str">
        <f t="shared" si="19"/>
        <v/>
      </c>
      <c r="T38" s="10" t="str">
        <f t="shared" si="19"/>
        <v/>
      </c>
      <c r="U38" s="10" t="str">
        <f t="shared" si="19"/>
        <v/>
      </c>
      <c r="V38" s="10" t="str">
        <f t="shared" si="19"/>
        <v/>
      </c>
    </row>
    <row r="39" spans="1:22">
      <c r="A39" s="151"/>
      <c r="B39" s="10" t="str">
        <f>IF(B16="","",(B16/$O$23))</f>
        <v/>
      </c>
      <c r="C39" s="10" t="str">
        <f>IF(C16="","",(C16/$O$23))</f>
        <v/>
      </c>
      <c r="D39" s="10" t="str">
        <f>IF(D16="","",(D16/$O$23))</f>
        <v/>
      </c>
      <c r="E39" s="10" t="str">
        <f>IF(E16="","",(E16/$O$23))</f>
        <v/>
      </c>
      <c r="F39" s="10" t="str">
        <f>IF(F16="","",(F16/$O$23))</f>
        <v/>
      </c>
      <c r="G39" s="10" t="str">
        <f>IF(G16="","",(G16/$O$23))</f>
        <v/>
      </c>
      <c r="H39" s="10" t="str">
        <f>IF(H16="","",(H16/$O$23))</f>
        <v/>
      </c>
      <c r="I39" s="10" t="str">
        <f>IF(I16="","",(I16/$O$23))</f>
        <v/>
      </c>
      <c r="J39" s="10" t="str">
        <f>IF(J16="","",(J16/$O$23))</f>
        <v/>
      </c>
      <c r="K39" s="10" t="str">
        <f>IF(K16="","",(K16/$O$23))</f>
        <v/>
      </c>
      <c r="L39" s="10" t="str">
        <f>IF(L16="","",(L16/$O$23))</f>
        <v/>
      </c>
      <c r="M39" s="10" t="str">
        <f>IF(M16="","",(M16/$O$23))</f>
        <v/>
      </c>
      <c r="N39" s="10" t="str">
        <f>IF(N16="","",(N16/$O$23))</f>
        <v/>
      </c>
      <c r="O39" s="10">
        <f t="shared" ref="O39:V39" si="20">IF(O16="","",(O16/$O$23))</f>
        <v>0.65131688375302832</v>
      </c>
      <c r="P39" s="10" t="str">
        <f t="shared" si="20"/>
        <v/>
      </c>
      <c r="Q39" s="10" t="str">
        <f t="shared" si="20"/>
        <v/>
      </c>
      <c r="R39" s="10" t="str">
        <f t="shared" si="20"/>
        <v/>
      </c>
      <c r="S39" s="10" t="str">
        <f t="shared" si="20"/>
        <v/>
      </c>
      <c r="T39" s="10" t="str">
        <f t="shared" si="20"/>
        <v/>
      </c>
      <c r="U39" s="10" t="str">
        <f t="shared" si="20"/>
        <v/>
      </c>
      <c r="V39" s="10" t="str">
        <f t="shared" si="20"/>
        <v/>
      </c>
    </row>
    <row r="40" spans="1:22">
      <c r="A40" s="151"/>
      <c r="B40" s="10" t="str">
        <f>IF(B17="","",(B17/$O$23))</f>
        <v/>
      </c>
      <c r="C40" s="10" t="str">
        <f>IF(C17="","",(C17/$O$23))</f>
        <v/>
      </c>
      <c r="D40" s="10" t="str">
        <f>IF(D17="","",(D17/$O$23))</f>
        <v/>
      </c>
      <c r="E40" s="10" t="str">
        <f>IF(E17="","",(E17/$O$23))</f>
        <v/>
      </c>
      <c r="F40" s="10" t="str">
        <f>IF(F17="","",(F17/$O$23))</f>
        <v/>
      </c>
      <c r="G40" s="10" t="str">
        <f>IF(G17="","",(G17/$O$23))</f>
        <v/>
      </c>
      <c r="H40" s="10" t="str">
        <f>IF(H17="","",(H17/$O$23))</f>
        <v/>
      </c>
      <c r="I40" s="10" t="str">
        <f>IF(I17="","",(I17/$O$23))</f>
        <v/>
      </c>
      <c r="J40" s="10" t="str">
        <f>IF(J17="","",(J17/$O$23))</f>
        <v/>
      </c>
      <c r="K40" s="10" t="str">
        <f>IF(K17="","",(K17/$O$23))</f>
        <v/>
      </c>
      <c r="L40" s="10" t="str">
        <f>IF(L17="","",(L17/$O$23))</f>
        <v/>
      </c>
      <c r="M40" s="10" t="str">
        <f>IF(M17="","",(M17/$O$23))</f>
        <v/>
      </c>
      <c r="N40" s="10" t="str">
        <f>IF(N17="","",(N17/$O$23))</f>
        <v/>
      </c>
      <c r="O40" s="10">
        <f t="shared" ref="O40:V40" si="21">IF(O17="","",(O17/$O$23))</f>
        <v>1.3258081729382174</v>
      </c>
      <c r="P40" s="10" t="str">
        <f t="shared" si="21"/>
        <v/>
      </c>
      <c r="Q40" s="10" t="str">
        <f t="shared" si="21"/>
        <v/>
      </c>
      <c r="R40" s="10" t="str">
        <f t="shared" si="21"/>
        <v/>
      </c>
      <c r="S40" s="10" t="str">
        <f t="shared" si="21"/>
        <v/>
      </c>
      <c r="T40" s="10" t="str">
        <f t="shared" si="21"/>
        <v/>
      </c>
      <c r="U40" s="10" t="str">
        <f t="shared" si="21"/>
        <v/>
      </c>
      <c r="V40" s="10" t="str">
        <f t="shared" si="21"/>
        <v/>
      </c>
    </row>
    <row r="41" spans="1:22">
      <c r="A41" s="151"/>
      <c r="B41" s="10" t="str">
        <f>IF(B18="","",(B18/$O$23))</f>
        <v/>
      </c>
      <c r="C41" s="10" t="str">
        <f>IF(C18="","",(C18/$O$23))</f>
        <v/>
      </c>
      <c r="D41" s="10" t="str">
        <f>IF(D18="","",(D18/$O$23))</f>
        <v/>
      </c>
      <c r="E41" s="10" t="str">
        <f>IF(E18="","",(E18/$O$23))</f>
        <v/>
      </c>
      <c r="F41" s="10" t="str">
        <f>IF(F18="","",(F18/$O$23))</f>
        <v/>
      </c>
      <c r="G41" s="10" t="str">
        <f>IF(G18="","",(G18/$O$23))</f>
        <v/>
      </c>
      <c r="H41" s="10" t="str">
        <f>IF(H18="","",(H18/$O$23))</f>
        <v/>
      </c>
      <c r="I41" s="10" t="str">
        <f>IF(I18="","",(I18/$O$23))</f>
        <v/>
      </c>
      <c r="J41" s="10" t="str">
        <f>IF(J18="","",(J18/$O$23))</f>
        <v/>
      </c>
      <c r="K41" s="10" t="str">
        <f>IF(K18="","",(K18/$O$23))</f>
        <v/>
      </c>
      <c r="L41" s="10" t="str">
        <f>IF(L18="","",(L18/$O$23))</f>
        <v/>
      </c>
      <c r="M41" s="10" t="str">
        <f>IF(M18="","",(M18/$O$23))</f>
        <v/>
      </c>
      <c r="N41" s="10" t="str">
        <f>IF(N18="","",(N18/$O$23))</f>
        <v/>
      </c>
      <c r="O41" s="10">
        <f t="shared" ref="O41:V41" si="22">IF(O18="","",(O18/$O$23))</f>
        <v>0.98071355505768165</v>
      </c>
      <c r="P41" s="10" t="str">
        <f t="shared" si="22"/>
        <v/>
      </c>
      <c r="Q41" s="10" t="str">
        <f t="shared" si="22"/>
        <v/>
      </c>
      <c r="R41" s="10" t="str">
        <f t="shared" si="22"/>
        <v/>
      </c>
      <c r="S41" s="10" t="str">
        <f t="shared" si="22"/>
        <v/>
      </c>
      <c r="T41" s="10" t="str">
        <f t="shared" si="22"/>
        <v/>
      </c>
      <c r="U41" s="10" t="str">
        <f t="shared" si="22"/>
        <v/>
      </c>
      <c r="V41" s="10" t="str">
        <f t="shared" si="22"/>
        <v/>
      </c>
    </row>
    <row r="42" spans="1:22">
      <c r="A42" s="151"/>
      <c r="B42" s="10" t="str">
        <f>IF(B19="","",(B19/$O$23))</f>
        <v/>
      </c>
      <c r="C42" s="10" t="str">
        <f>IF(C19="","",(C19/$O$23))</f>
        <v/>
      </c>
      <c r="D42" s="10" t="str">
        <f>IF(D19="","",(D19/$O$23))</f>
        <v/>
      </c>
      <c r="E42" s="10" t="str">
        <f>IF(E19="","",(E19/$O$23))</f>
        <v/>
      </c>
      <c r="F42" s="10" t="str">
        <f>IF(F19="","",(F19/$O$23))</f>
        <v/>
      </c>
      <c r="G42" s="10" t="str">
        <f>IF(G19="","",(G19/$O$23))</f>
        <v/>
      </c>
      <c r="H42" s="10" t="str">
        <f>IF(H19="","",(H19/$O$23))</f>
        <v/>
      </c>
      <c r="I42" s="10" t="str">
        <f>IF(I19="","",(I19/$O$23))</f>
        <v/>
      </c>
      <c r="J42" s="10" t="str">
        <f>IF(J19="","",(J19/$O$23))</f>
        <v/>
      </c>
      <c r="K42" s="10" t="str">
        <f>IF(K19="","",(K19/$O$23))</f>
        <v/>
      </c>
      <c r="L42" s="10" t="str">
        <f>IF(L19="","",(L19/$O$23))</f>
        <v/>
      </c>
      <c r="M42" s="10" t="str">
        <f>IF(M19="","",(M19/$O$23))</f>
        <v/>
      </c>
      <c r="N42" s="10" t="str">
        <f>IF(N19="","",(N19/$O$23))</f>
        <v/>
      </c>
      <c r="O42" s="10">
        <f t="shared" ref="O42:V42" si="23">IF(O19="","",(O19/$O$23))</f>
        <v>1.7230883091370306</v>
      </c>
      <c r="P42" s="10" t="str">
        <f t="shared" si="23"/>
        <v/>
      </c>
      <c r="Q42" s="10" t="str">
        <f t="shared" si="23"/>
        <v/>
      </c>
      <c r="R42" s="10" t="str">
        <f t="shared" si="23"/>
        <v/>
      </c>
      <c r="S42" s="10" t="str">
        <f t="shared" si="23"/>
        <v/>
      </c>
      <c r="T42" s="10" t="str">
        <f t="shared" si="23"/>
        <v/>
      </c>
      <c r="U42" s="10" t="str">
        <f t="shared" si="23"/>
        <v/>
      </c>
      <c r="V42" s="10" t="str">
        <f t="shared" si="23"/>
        <v/>
      </c>
    </row>
    <row r="43" spans="1:22">
      <c r="A43" s="151"/>
      <c r="B43" s="10" t="str">
        <f>IF(B20="","",(B20/$O$23))</f>
        <v/>
      </c>
      <c r="C43" s="10" t="str">
        <f>IF(C20="","",(C20/$O$23))</f>
        <v/>
      </c>
      <c r="D43" s="10" t="str">
        <f>IF(D20="","",(D20/$O$23))</f>
        <v/>
      </c>
      <c r="E43" s="10" t="str">
        <f>IF(E20="","",(E20/$O$23))</f>
        <v/>
      </c>
      <c r="F43" s="10" t="str">
        <f>IF(F20="","",(F20/$O$23))</f>
        <v/>
      </c>
      <c r="G43" s="10" t="str">
        <f>IF(G20="","",(G20/$O$23))</f>
        <v/>
      </c>
      <c r="H43" s="10" t="str">
        <f>IF(H20="","",(H20/$O$23))</f>
        <v/>
      </c>
      <c r="I43" s="10" t="str">
        <f>IF(I20="","",(I20/$O$23))</f>
        <v/>
      </c>
      <c r="J43" s="10" t="str">
        <f>IF(J20="","",(J20/$O$23))</f>
        <v/>
      </c>
      <c r="K43" s="10" t="str">
        <f>IF(K20="","",(K20/$O$23))</f>
        <v/>
      </c>
      <c r="L43" s="10" t="str">
        <f>IF(L20="","",(L20/$O$23))</f>
        <v/>
      </c>
      <c r="M43" s="10" t="str">
        <f>IF(M20="","",(M20/$O$23))</f>
        <v/>
      </c>
      <c r="N43" s="10" t="str">
        <f>IF(N20="","",(N20/$O$23))</f>
        <v/>
      </c>
      <c r="O43" s="10">
        <f t="shared" ref="O43:V43" si="24">IF(O20="","",(O20/$O$23))</f>
        <v>1.6794831844540501</v>
      </c>
      <c r="P43" s="10" t="str">
        <f t="shared" si="24"/>
        <v/>
      </c>
      <c r="Q43" s="10" t="str">
        <f t="shared" si="24"/>
        <v/>
      </c>
      <c r="R43" s="10" t="str">
        <f t="shared" si="24"/>
        <v/>
      </c>
      <c r="S43" s="10" t="str">
        <f t="shared" si="24"/>
        <v/>
      </c>
      <c r="T43" s="10" t="str">
        <f t="shared" si="24"/>
        <v/>
      </c>
      <c r="U43" s="10" t="str">
        <f t="shared" si="24"/>
        <v/>
      </c>
      <c r="V43" s="10" t="str">
        <f t="shared" si="24"/>
        <v/>
      </c>
    </row>
    <row r="44" spans="1:22">
      <c r="A44" s="6"/>
      <c r="B44" s="3"/>
      <c r="C44" s="3"/>
      <c r="D44" s="3"/>
      <c r="E44" s="3"/>
      <c r="F44" s="3"/>
      <c r="G44" s="3"/>
      <c r="H44" s="3"/>
      <c r="I44" s="3"/>
      <c r="J44" s="3"/>
      <c r="K44" s="3"/>
      <c r="L44" s="3"/>
      <c r="M44" s="3"/>
      <c r="N44" s="3"/>
      <c r="O44" s="3"/>
      <c r="P44" s="3"/>
      <c r="Q44" s="3"/>
      <c r="R44" s="3"/>
      <c r="S44" s="3"/>
      <c r="T44" s="3"/>
      <c r="U44" s="3"/>
      <c r="V44" s="3"/>
    </row>
    <row r="45" spans="1:22">
      <c r="A45" s="6" t="str">
        <f>A4</f>
        <v>Noms des groupes</v>
      </c>
      <c r="B45" s="6" t="str">
        <f t="shared" ref="B45:R45" si="25">B4</f>
        <v>Solvent control</v>
      </c>
      <c r="C45" s="6" t="str">
        <f t="shared" si="25"/>
        <v>EE2-33.8ng/L</v>
      </c>
      <c r="D45" s="6" t="str">
        <f t="shared" si="25"/>
        <v>EE2-50.6ng/L</v>
      </c>
      <c r="E45" s="6" t="str">
        <f t="shared" si="25"/>
        <v>EE2-76ng/L</v>
      </c>
      <c r="F45" s="6" t="str">
        <f t="shared" si="25"/>
        <v>EE2-114ng/L</v>
      </c>
      <c r="G45" s="6" t="str">
        <f t="shared" si="25"/>
        <v>EE2-170.9ng/L</v>
      </c>
      <c r="H45" s="6" t="str">
        <f t="shared" si="25"/>
        <v>EE2-488ng/L</v>
      </c>
      <c r="I45" s="6" t="str">
        <f t="shared" si="25"/>
        <v>estradiol-540ng/L</v>
      </c>
      <c r="J45" s="6" t="str">
        <f t="shared" si="25"/>
        <v>estradiol-270ng/L</v>
      </c>
      <c r="K45" s="6" t="str">
        <f t="shared" ref="K45:N45" si="26">K4</f>
        <v>estradiol-135ng/L</v>
      </c>
      <c r="L45" s="6" t="str">
        <f t="shared" si="26"/>
        <v>estradiol-68ng/L</v>
      </c>
      <c r="M45" s="6" t="str">
        <f t="shared" si="26"/>
        <v>estradiol-34ng/L</v>
      </c>
      <c r="N45" s="6" t="str">
        <f t="shared" si="26"/>
        <v/>
      </c>
      <c r="O45" s="6" t="str">
        <f t="shared" si="25"/>
        <v>Testo -30µg/L</v>
      </c>
      <c r="P45" s="6" t="str">
        <f t="shared" si="25"/>
        <v>Testo 30µg/L + EE2 -64ng/L</v>
      </c>
      <c r="Q45" s="6" t="str">
        <f t="shared" si="25"/>
        <v>Testo 30µg/L + FAD-10mg/L</v>
      </c>
      <c r="R45" s="6" t="str">
        <f t="shared" si="25"/>
        <v>estradiol-540ng/L + Testostérone</v>
      </c>
      <c r="S45" s="6" t="str">
        <f t="shared" ref="S45:V45" si="27">S4</f>
        <v>estradiol-270ng/L + Testostérone</v>
      </c>
      <c r="T45" s="6" t="str">
        <f t="shared" si="27"/>
        <v>estradiol-135ng/L + Testostérone</v>
      </c>
      <c r="U45" s="6" t="str">
        <f t="shared" si="27"/>
        <v>estradiol-68ng/L + Testostérone</v>
      </c>
      <c r="V45" s="6" t="str">
        <f t="shared" si="27"/>
        <v>estradiol-34ng/L + Testostérone</v>
      </c>
    </row>
    <row r="46" spans="1:22">
      <c r="A46" s="7" t="s">
        <v>0</v>
      </c>
      <c r="B46" s="9">
        <f t="shared" ref="B46:H46" si="28">AVERAGE(B28:B43)</f>
        <v>0.35655287616919679</v>
      </c>
      <c r="C46" s="9">
        <f t="shared" si="28"/>
        <v>0.21165145435219596</v>
      </c>
      <c r="D46" s="9">
        <f t="shared" si="28"/>
        <v>0.25875314514674896</v>
      </c>
      <c r="E46" s="9">
        <f t="shared" si="28"/>
        <v>0.99073258193139757</v>
      </c>
      <c r="F46" s="9">
        <f t="shared" si="28"/>
        <v>1.3800127987344977</v>
      </c>
      <c r="G46" s="9">
        <f t="shared" si="28"/>
        <v>1.7858397932971104</v>
      </c>
      <c r="H46" s="9">
        <f t="shared" si="28"/>
        <v>2.3002198074417421</v>
      </c>
      <c r="I46" s="9">
        <f>AVERAGE(I28:I43)</f>
        <v>2.1992233089054238</v>
      </c>
      <c r="J46" s="8">
        <f>AVERAGE(J28:J43)</f>
        <v>1.5141876256194071</v>
      </c>
      <c r="K46" s="8">
        <f t="shared" ref="K46:N46" si="29">AVERAGE(K28:K43)</f>
        <v>1.2138867465653547</v>
      </c>
      <c r="L46" s="8">
        <f t="shared" si="29"/>
        <v>0.56105699960561473</v>
      </c>
      <c r="M46" s="8">
        <f t="shared" si="29"/>
        <v>0.4264367929109501</v>
      </c>
      <c r="N46" s="8" t="e">
        <f t="shared" si="29"/>
        <v>#DIV/0!</v>
      </c>
      <c r="O46" s="9">
        <f t="shared" ref="O46:R46" si="30">AVERAGE(O28:O43)</f>
        <v>0.99999999999999989</v>
      </c>
      <c r="P46" s="9">
        <f t="shared" si="30"/>
        <v>1.4744822193336111</v>
      </c>
      <c r="Q46" s="9">
        <f t="shared" si="30"/>
        <v>0.26769074363324269</v>
      </c>
      <c r="R46" s="9">
        <f t="shared" si="30"/>
        <v>2.3385756153264343</v>
      </c>
      <c r="S46" s="9">
        <f t="shared" ref="S46:V46" si="31">AVERAGE(S28:S43)</f>
        <v>1.937694643370333</v>
      </c>
      <c r="T46" s="9">
        <f t="shared" si="31"/>
        <v>1.8405802170236778</v>
      </c>
      <c r="U46" s="9">
        <f t="shared" si="31"/>
        <v>2.036144199723366</v>
      </c>
      <c r="V46" s="9">
        <f t="shared" si="31"/>
        <v>1.2385976057909769</v>
      </c>
    </row>
    <row r="47" spans="1:22">
      <c r="A47" s="7" t="s">
        <v>1</v>
      </c>
      <c r="B47" s="7">
        <f t="shared" ref="B47:J47" si="32">STDEV(B28:B43)</f>
        <v>0.13536255562303859</v>
      </c>
      <c r="C47" s="7">
        <f t="shared" si="32"/>
        <v>0.1483893804514804</v>
      </c>
      <c r="D47" s="7">
        <f t="shared" si="32"/>
        <v>0.11680018754589322</v>
      </c>
      <c r="E47" s="7">
        <f t="shared" si="32"/>
        <v>0.52028434595951556</v>
      </c>
      <c r="F47" s="7">
        <f t="shared" si="32"/>
        <v>0.40215506465352263</v>
      </c>
      <c r="G47" s="7">
        <f t="shared" si="32"/>
        <v>0.33507126854435543</v>
      </c>
      <c r="H47" s="7">
        <f t="shared" si="32"/>
        <v>1.0802067048926287</v>
      </c>
      <c r="I47" s="7">
        <f t="shared" si="32"/>
        <v>0.33717869093655656</v>
      </c>
      <c r="J47" s="7">
        <f t="shared" si="32"/>
        <v>0.53822585133946832</v>
      </c>
      <c r="K47" s="7">
        <f t="shared" ref="K47:N47" si="33">STDEV(K28:K43)</f>
        <v>0.39954343239795292</v>
      </c>
      <c r="L47" s="7">
        <f t="shared" si="33"/>
        <v>0.81555841178303334</v>
      </c>
      <c r="M47" s="7">
        <f t="shared" si="33"/>
        <v>0.17741290035931886</v>
      </c>
      <c r="N47" s="7" t="e">
        <f t="shared" si="33"/>
        <v>#DIV/0!</v>
      </c>
      <c r="O47" s="7">
        <f t="shared" ref="O47:R47" si="34">STDEV(O28:O43)</f>
        <v>0.4078228424997381</v>
      </c>
      <c r="P47" s="7">
        <f t="shared" si="34"/>
        <v>0.36810497274120951</v>
      </c>
      <c r="Q47" s="7">
        <f t="shared" si="34"/>
        <v>9.2815811202206708E-2</v>
      </c>
      <c r="R47" s="7">
        <f t="shared" si="34"/>
        <v>0.76712220306388212</v>
      </c>
      <c r="S47" s="7">
        <f t="shared" ref="S47:V47" si="35">STDEV(S28:S43)</f>
        <v>0.57787848822393095</v>
      </c>
      <c r="T47" s="7">
        <f t="shared" si="35"/>
        <v>0.28260343786628966</v>
      </c>
      <c r="U47" s="7">
        <f t="shared" si="35"/>
        <v>0.5576238717817199</v>
      </c>
      <c r="V47" s="7">
        <f t="shared" si="35"/>
        <v>0.7604458191878829</v>
      </c>
    </row>
    <row r="48" spans="1:22">
      <c r="A48" s="7" t="s">
        <v>2</v>
      </c>
      <c r="B48" s="7">
        <f t="shared" ref="B48:J48" si="36" xml:space="preserve"> B47/SQRT(COUNT(B28:B43))</f>
        <v>4.7857890499895903E-2</v>
      </c>
      <c r="C48" s="7">
        <f t="shared" si="36"/>
        <v>5.2463568586656149E-2</v>
      </c>
      <c r="D48" s="7">
        <f t="shared" si="36"/>
        <v>4.1295102328780815E-2</v>
      </c>
      <c r="E48" s="7">
        <f t="shared" si="36"/>
        <v>0.18394829458659057</v>
      </c>
      <c r="F48" s="7">
        <f t="shared" si="36"/>
        <v>0.14218328665251015</v>
      </c>
      <c r="G48" s="7">
        <f t="shared" si="36"/>
        <v>0.11846558308424621</v>
      </c>
      <c r="H48" s="7">
        <f t="shared" si="36"/>
        <v>0.38191074305637673</v>
      </c>
      <c r="I48" s="7">
        <f t="shared" si="36"/>
        <v>0.11921066941642111</v>
      </c>
      <c r="J48" s="7">
        <f t="shared" si="36"/>
        <v>0.19029157464602034</v>
      </c>
      <c r="K48" s="7">
        <f t="shared" ref="K48:N48" si="37" xml:space="preserve"> K47/SQRT(COUNT(K28:K43))</f>
        <v>0.14125993521357072</v>
      </c>
      <c r="L48" s="7">
        <f t="shared" si="37"/>
        <v>0.28834344171275678</v>
      </c>
      <c r="M48" s="7">
        <f t="shared" si="37"/>
        <v>6.2724932457023819E-2</v>
      </c>
      <c r="N48" s="7" t="e">
        <f t="shared" si="37"/>
        <v>#DIV/0!</v>
      </c>
      <c r="O48" s="7">
        <f t="shared" ref="O48:R48" si="38" xml:space="preserve"> O47/SQRT(COUNT(O28:O43))</f>
        <v>0.10195571062493453</v>
      </c>
      <c r="P48" s="7">
        <f t="shared" si="38"/>
        <v>0.13014476120689922</v>
      </c>
      <c r="Q48" s="7">
        <f t="shared" si="38"/>
        <v>3.2815344751205337E-2</v>
      </c>
      <c r="R48" s="7">
        <f t="shared" si="38"/>
        <v>0.27121865589261734</v>
      </c>
      <c r="S48" s="7">
        <f t="shared" ref="S48:V48" si="39" xml:space="preserve"> S47/SQRT(COUNT(S28:S43))</f>
        <v>0.20431089886248599</v>
      </c>
      <c r="T48" s="7">
        <f t="shared" si="39"/>
        <v>9.9915403650942272E-2</v>
      </c>
      <c r="U48" s="7">
        <f t="shared" si="39"/>
        <v>0.19714981054417602</v>
      </c>
      <c r="V48" s="7">
        <f t="shared" si="39"/>
        <v>0.26885819773635555</v>
      </c>
    </row>
    <row r="49" spans="1:22" ht="15.75" thickBot="1">
      <c r="A49" s="7"/>
      <c r="B49" s="7"/>
      <c r="C49" s="7"/>
      <c r="D49" s="7"/>
      <c r="E49" s="7"/>
      <c r="F49" s="7"/>
      <c r="G49" s="7"/>
      <c r="H49" s="7"/>
      <c r="I49" s="7"/>
      <c r="J49" s="7"/>
      <c r="K49" s="7"/>
      <c r="L49" s="7"/>
      <c r="M49" s="7"/>
      <c r="N49" s="7"/>
      <c r="O49" s="7"/>
      <c r="P49" s="7"/>
      <c r="Q49" s="7"/>
      <c r="R49" s="7"/>
      <c r="S49" s="7"/>
      <c r="T49" s="7"/>
      <c r="U49" s="7"/>
      <c r="V49" s="7"/>
    </row>
    <row r="50" spans="1:22" ht="27" thickBot="1">
      <c r="A50" s="142" t="s">
        <v>24</v>
      </c>
      <c r="B50" s="143"/>
      <c r="C50" s="143"/>
      <c r="D50" s="143"/>
      <c r="E50" s="143"/>
      <c r="F50" s="143"/>
      <c r="G50" s="143"/>
      <c r="H50" s="143"/>
      <c r="I50" s="143"/>
      <c r="J50" s="143"/>
      <c r="K50" s="143"/>
      <c r="L50" s="143"/>
      <c r="M50" s="143"/>
      <c r="N50" s="143"/>
      <c r="O50" s="143"/>
      <c r="P50" s="143"/>
      <c r="Q50" s="143"/>
      <c r="R50" s="143"/>
      <c r="S50" s="143"/>
      <c r="T50" s="143"/>
      <c r="U50" s="143"/>
      <c r="V50" s="143"/>
    </row>
    <row r="51" spans="1:22" customFormat="1" ht="15.75" thickBot="1"/>
    <row r="52" spans="1:22">
      <c r="A52" s="28" t="str">
        <f t="shared" ref="A52:H52" si="40">A27</f>
        <v>Noms des groupes</v>
      </c>
      <c r="B52" s="29" t="str">
        <f t="shared" si="40"/>
        <v>Solvent control</v>
      </c>
      <c r="C52" s="29" t="str">
        <f t="shared" si="40"/>
        <v>EE2-33.8ng/L</v>
      </c>
      <c r="D52" s="29" t="str">
        <f t="shared" si="40"/>
        <v>EE2-50.6ng/L</v>
      </c>
      <c r="E52" s="29" t="str">
        <f t="shared" si="40"/>
        <v>EE2-76ng/L</v>
      </c>
      <c r="F52" s="29" t="str">
        <f t="shared" si="40"/>
        <v>EE2-114ng/L</v>
      </c>
      <c r="G52" s="29" t="str">
        <f t="shared" si="40"/>
        <v>EE2-170.9ng/L</v>
      </c>
      <c r="H52" s="29" t="str">
        <f t="shared" si="40"/>
        <v>EE2-488ng/L</v>
      </c>
      <c r="I52" s="29" t="str">
        <f>I4</f>
        <v>estradiol-540ng/L</v>
      </c>
      <c r="J52" s="29" t="str">
        <f>J4</f>
        <v>estradiol-270ng/L</v>
      </c>
      <c r="K52" s="29" t="str">
        <f t="shared" ref="K52:N52" si="41">K4</f>
        <v>estradiol-135ng/L</v>
      </c>
      <c r="L52" s="29" t="str">
        <f t="shared" si="41"/>
        <v>estradiol-68ng/L</v>
      </c>
      <c r="M52" s="29" t="str">
        <f t="shared" si="41"/>
        <v>estradiol-34ng/L</v>
      </c>
      <c r="N52" s="29" t="str">
        <f t="shared" si="41"/>
        <v/>
      </c>
      <c r="O52" s="29" t="str">
        <f>O27</f>
        <v>Testo -30µg/L</v>
      </c>
      <c r="P52" s="29" t="str">
        <f>P27</f>
        <v>Testo 30µg/L + EE2 -64ng/L</v>
      </c>
      <c r="Q52" s="29" t="str">
        <f>Q27</f>
        <v>Testo 30µg/L + FAD-10mg/L</v>
      </c>
      <c r="R52" s="29" t="str">
        <f>R27</f>
        <v>estradiol-540ng/L + Testostérone</v>
      </c>
      <c r="S52" s="29" t="str">
        <f t="shared" ref="S52:V52" si="42">S27</f>
        <v>estradiol-270ng/L + Testostérone</v>
      </c>
      <c r="T52" s="29" t="str">
        <f t="shared" si="42"/>
        <v>estradiol-135ng/L + Testostérone</v>
      </c>
      <c r="U52" s="29" t="str">
        <f t="shared" si="42"/>
        <v>estradiol-68ng/L + Testostérone</v>
      </c>
      <c r="V52" s="29" t="str">
        <f t="shared" si="42"/>
        <v>estradiol-34ng/L + Testostérone</v>
      </c>
    </row>
    <row r="53" spans="1:22" s="3" customFormat="1">
      <c r="A53" s="43" t="s">
        <v>15</v>
      </c>
      <c r="B53" s="75">
        <f t="shared" ref="B53" si="43">B46</f>
        <v>0.35655287616919679</v>
      </c>
      <c r="C53" s="75">
        <f t="shared" ref="C53:V53" si="44">C46</f>
        <v>0.21165145435219596</v>
      </c>
      <c r="D53" s="75">
        <f t="shared" si="44"/>
        <v>0.25875314514674896</v>
      </c>
      <c r="E53" s="75">
        <f t="shared" si="44"/>
        <v>0.99073258193139757</v>
      </c>
      <c r="F53" s="75">
        <f t="shared" si="44"/>
        <v>1.3800127987344977</v>
      </c>
      <c r="G53" s="75">
        <f t="shared" si="44"/>
        <v>1.7858397932971104</v>
      </c>
      <c r="H53" s="75">
        <f t="shared" si="44"/>
        <v>2.3002198074417421</v>
      </c>
      <c r="I53" s="75">
        <f t="shared" si="44"/>
        <v>2.1992233089054238</v>
      </c>
      <c r="J53" s="75">
        <f t="shared" si="44"/>
        <v>1.5141876256194071</v>
      </c>
      <c r="K53" s="75">
        <f t="shared" si="44"/>
        <v>1.2138867465653547</v>
      </c>
      <c r="L53" s="75">
        <f t="shared" si="44"/>
        <v>0.56105699960561473</v>
      </c>
      <c r="M53" s="75">
        <f t="shared" si="44"/>
        <v>0.4264367929109501</v>
      </c>
      <c r="N53" s="75" t="e">
        <f t="shared" si="44"/>
        <v>#DIV/0!</v>
      </c>
      <c r="O53" s="75">
        <f t="shared" si="44"/>
        <v>0.99999999999999989</v>
      </c>
      <c r="P53" s="75">
        <f t="shared" si="44"/>
        <v>1.4744822193336111</v>
      </c>
      <c r="Q53" s="75">
        <f t="shared" si="44"/>
        <v>0.26769074363324269</v>
      </c>
      <c r="R53" s="75">
        <f t="shared" si="44"/>
        <v>2.3385756153264343</v>
      </c>
      <c r="S53" s="75">
        <f t="shared" si="44"/>
        <v>1.937694643370333</v>
      </c>
      <c r="T53" s="75">
        <f t="shared" si="44"/>
        <v>1.8405802170236778</v>
      </c>
      <c r="U53" s="75">
        <f t="shared" si="44"/>
        <v>2.036144199723366</v>
      </c>
      <c r="V53" s="75">
        <f t="shared" si="44"/>
        <v>1.2385976057909769</v>
      </c>
    </row>
    <row r="54" spans="1:22" s="3" customFormat="1">
      <c r="A54" s="43" t="s">
        <v>2</v>
      </c>
      <c r="B54" s="75">
        <f t="shared" ref="B54" si="45">B48</f>
        <v>4.7857890499895903E-2</v>
      </c>
      <c r="C54" s="75">
        <f t="shared" ref="C54:V54" si="46">C48</f>
        <v>5.2463568586656149E-2</v>
      </c>
      <c r="D54" s="75">
        <f t="shared" si="46"/>
        <v>4.1295102328780815E-2</v>
      </c>
      <c r="E54" s="75">
        <f t="shared" si="46"/>
        <v>0.18394829458659057</v>
      </c>
      <c r="F54" s="75">
        <f t="shared" si="46"/>
        <v>0.14218328665251015</v>
      </c>
      <c r="G54" s="75">
        <f t="shared" si="46"/>
        <v>0.11846558308424621</v>
      </c>
      <c r="H54" s="75">
        <f t="shared" si="46"/>
        <v>0.38191074305637673</v>
      </c>
      <c r="I54" s="75">
        <f t="shared" si="46"/>
        <v>0.11921066941642111</v>
      </c>
      <c r="J54" s="75">
        <f t="shared" si="46"/>
        <v>0.19029157464602034</v>
      </c>
      <c r="K54" s="75">
        <f t="shared" si="46"/>
        <v>0.14125993521357072</v>
      </c>
      <c r="L54" s="75">
        <f t="shared" si="46"/>
        <v>0.28834344171275678</v>
      </c>
      <c r="M54" s="75">
        <f t="shared" si="46"/>
        <v>6.2724932457023819E-2</v>
      </c>
      <c r="N54" s="75" t="e">
        <f t="shared" si="46"/>
        <v>#DIV/0!</v>
      </c>
      <c r="O54" s="75">
        <f t="shared" si="46"/>
        <v>0.10195571062493453</v>
      </c>
      <c r="P54" s="75">
        <f t="shared" si="46"/>
        <v>0.13014476120689922</v>
      </c>
      <c r="Q54" s="75">
        <f t="shared" si="46"/>
        <v>3.2815344751205337E-2</v>
      </c>
      <c r="R54" s="75">
        <f t="shared" si="46"/>
        <v>0.27121865589261734</v>
      </c>
      <c r="S54" s="75">
        <f t="shared" si="46"/>
        <v>0.20431089886248599</v>
      </c>
      <c r="T54" s="75">
        <f t="shared" si="46"/>
        <v>9.9915403650942272E-2</v>
      </c>
      <c r="U54" s="75">
        <f t="shared" si="46"/>
        <v>0.19714981054417602</v>
      </c>
      <c r="V54" s="75">
        <f t="shared" si="46"/>
        <v>0.26885819773635555</v>
      </c>
    </row>
    <row r="55" spans="1:22" s="3" customFormat="1">
      <c r="A55" s="43" t="s">
        <v>42</v>
      </c>
      <c r="B55" s="75">
        <f>(B53*100/$B53)-100</f>
        <v>0</v>
      </c>
      <c r="C55" s="75">
        <f t="shared" ref="C55:N55" si="47">(C53*100/$B53)-100</f>
        <v>-40.639532451349524</v>
      </c>
      <c r="D55" s="75">
        <f t="shared" si="47"/>
        <v>-27.429236323433386</v>
      </c>
      <c r="E55" s="75">
        <f t="shared" si="47"/>
        <v>177.86413969670525</v>
      </c>
      <c r="F55" s="75">
        <f t="shared" si="47"/>
        <v>287.04295799303367</v>
      </c>
      <c r="G55" s="75">
        <f t="shared" si="47"/>
        <v>400.8625403570345</v>
      </c>
      <c r="H55" s="75">
        <f t="shared" si="47"/>
        <v>545.12726195208347</v>
      </c>
      <c r="I55" s="75">
        <f t="shared" si="47"/>
        <v>516.80144962897896</v>
      </c>
      <c r="J55" s="75">
        <f t="shared" si="47"/>
        <v>324.67407411989922</v>
      </c>
      <c r="K55" s="75">
        <f t="shared" si="47"/>
        <v>240.45069545009733</v>
      </c>
      <c r="L55" s="75">
        <f t="shared" si="47"/>
        <v>57.355903459147413</v>
      </c>
      <c r="M55" s="75">
        <f t="shared" si="47"/>
        <v>19.59987463643148</v>
      </c>
      <c r="N55" s="75" t="e">
        <f t="shared" si="47"/>
        <v>#DIV/0!</v>
      </c>
      <c r="O55" s="75">
        <f>(O53*100/$O53)-100</f>
        <v>0</v>
      </c>
      <c r="P55" s="75">
        <f t="shared" ref="P55:V55" si="48">(P53*100/$O53)-100</f>
        <v>47.44822193336114</v>
      </c>
      <c r="Q55" s="75">
        <f t="shared" si="48"/>
        <v>-73.230925636675721</v>
      </c>
      <c r="R55" s="75">
        <f t="shared" si="48"/>
        <v>133.85756153264347</v>
      </c>
      <c r="S55" s="75">
        <f t="shared" si="48"/>
        <v>93.769464337033327</v>
      </c>
      <c r="T55" s="75">
        <f t="shared" si="48"/>
        <v>84.058021702367796</v>
      </c>
      <c r="U55" s="75">
        <f t="shared" si="48"/>
        <v>103.61441997233663</v>
      </c>
      <c r="V55" s="75">
        <f t="shared" si="48"/>
        <v>23.85976057909771</v>
      </c>
    </row>
    <row r="56" spans="1:22" s="3" customFormat="1">
      <c r="A56" s="43" t="s">
        <v>43</v>
      </c>
      <c r="B56" s="75" t="e">
        <f ca="1">[1]!SWTEST(B28:B43)</f>
        <v>#NAME?</v>
      </c>
      <c r="C56" s="75" t="e">
        <f ca="1">[1]!SWTEST(C28:C43)</f>
        <v>#NAME?</v>
      </c>
      <c r="D56" s="75" t="e">
        <f ca="1">[1]!SWTEST(D28:D43)</f>
        <v>#NAME?</v>
      </c>
      <c r="E56" s="75" t="e">
        <f ca="1">[1]!SWTEST(E28:E43)</f>
        <v>#NAME?</v>
      </c>
      <c r="F56" s="75" t="e">
        <f ca="1">[1]!SWTEST(F28:F43)</f>
        <v>#NAME?</v>
      </c>
      <c r="G56" s="75" t="e">
        <f ca="1">[1]!SWTEST(G28:G43)</f>
        <v>#NAME?</v>
      </c>
      <c r="H56" s="75" t="e">
        <f ca="1">[1]!SWTEST(H28:H43)</f>
        <v>#NAME?</v>
      </c>
      <c r="I56" s="75" t="e">
        <f ca="1">[1]!SWTEST(I28:I43)</f>
        <v>#NAME?</v>
      </c>
      <c r="J56" s="75" t="e">
        <f ca="1">[1]!SWTEST(J28:J43)</f>
        <v>#NAME?</v>
      </c>
      <c r="K56" s="75" t="e">
        <f ca="1">[1]!SWTEST(K28:K43)</f>
        <v>#NAME?</v>
      </c>
      <c r="L56" s="75" t="e">
        <f ca="1">[1]!SWTEST(L28:L43)</f>
        <v>#NAME?</v>
      </c>
      <c r="M56" s="75" t="e">
        <f ca="1">[1]!SWTEST(M28:M43)</f>
        <v>#NAME?</v>
      </c>
      <c r="N56" s="75" t="e">
        <f ca="1">[1]!SWTEST(N28:N43)</f>
        <v>#NAME?</v>
      </c>
      <c r="O56" s="75" t="e">
        <f ca="1">[1]!SWTEST(O28:O43)</f>
        <v>#NAME?</v>
      </c>
      <c r="P56" s="75" t="e">
        <f ca="1">[1]!SWTEST(P28:P43)</f>
        <v>#NAME?</v>
      </c>
      <c r="Q56" s="75" t="e">
        <f ca="1">[1]!SWTEST(Q28:Q43)</f>
        <v>#NAME?</v>
      </c>
      <c r="R56" s="75" t="e">
        <f ca="1">[1]!SWTEST(R28:R43)</f>
        <v>#NAME?</v>
      </c>
      <c r="S56" s="75" t="e">
        <f ca="1">[1]!SWTEST(S28:S43)</f>
        <v>#NAME?</v>
      </c>
      <c r="T56" s="75" t="e">
        <f ca="1">[1]!SWTEST(T28:T43)</f>
        <v>#NAME?</v>
      </c>
      <c r="U56" s="75" t="e">
        <f ca="1">[1]!SWTEST(U28:U43)</f>
        <v>#NAME?</v>
      </c>
      <c r="V56" s="75" t="e">
        <f ca="1">[1]!SWTEST(V28:V43)</f>
        <v>#NAME?</v>
      </c>
    </row>
    <row r="57" spans="1:22" s="3" customFormat="1">
      <c r="A57" s="43" t="s">
        <v>47</v>
      </c>
      <c r="B57" s="75" t="e">
        <f ca="1">IF(B56&gt;0.05,"Oui","Non")</f>
        <v>#NAME?</v>
      </c>
      <c r="C57" s="75" t="e">
        <f t="shared" ref="C57:V57" ca="1" si="49">IF(C56&gt;0.05,"Oui","Non")</f>
        <v>#NAME?</v>
      </c>
      <c r="D57" s="75" t="e">
        <f t="shared" ca="1" si="49"/>
        <v>#NAME?</v>
      </c>
      <c r="E57" s="75" t="e">
        <f t="shared" ca="1" si="49"/>
        <v>#NAME?</v>
      </c>
      <c r="F57" s="75" t="e">
        <f t="shared" ca="1" si="49"/>
        <v>#NAME?</v>
      </c>
      <c r="G57" s="75" t="e">
        <f t="shared" ca="1" si="49"/>
        <v>#NAME?</v>
      </c>
      <c r="H57" s="75" t="e">
        <f t="shared" ca="1" si="49"/>
        <v>#NAME?</v>
      </c>
      <c r="I57" s="75" t="e">
        <f t="shared" ca="1" si="49"/>
        <v>#NAME?</v>
      </c>
      <c r="J57" s="75" t="e">
        <f t="shared" ca="1" si="49"/>
        <v>#NAME?</v>
      </c>
      <c r="K57" s="75" t="e">
        <f t="shared" ca="1" si="49"/>
        <v>#NAME?</v>
      </c>
      <c r="L57" s="75" t="e">
        <f t="shared" ca="1" si="49"/>
        <v>#NAME?</v>
      </c>
      <c r="M57" s="75" t="e">
        <f t="shared" ca="1" si="49"/>
        <v>#NAME?</v>
      </c>
      <c r="N57" s="75" t="e">
        <f t="shared" ca="1" si="49"/>
        <v>#NAME?</v>
      </c>
      <c r="O57" s="75" t="e">
        <f t="shared" ca="1" si="49"/>
        <v>#NAME?</v>
      </c>
      <c r="P57" s="75" t="e">
        <f t="shared" ca="1" si="49"/>
        <v>#NAME?</v>
      </c>
      <c r="Q57" s="75" t="e">
        <f t="shared" ca="1" si="49"/>
        <v>#NAME?</v>
      </c>
      <c r="R57" s="75" t="e">
        <f t="shared" ca="1" si="49"/>
        <v>#NAME?</v>
      </c>
      <c r="S57" s="75" t="e">
        <f t="shared" ca="1" si="49"/>
        <v>#NAME?</v>
      </c>
      <c r="T57" s="75" t="e">
        <f t="shared" ca="1" si="49"/>
        <v>#NAME?</v>
      </c>
      <c r="U57" s="75" t="e">
        <f t="shared" ca="1" si="49"/>
        <v>#NAME?</v>
      </c>
      <c r="V57" s="75" t="e">
        <f t="shared" ca="1" si="49"/>
        <v>#NAME?</v>
      </c>
    </row>
    <row r="58" spans="1:22" s="3" customFormat="1">
      <c r="A58" s="43"/>
      <c r="B58" s="75"/>
      <c r="C58" s="75"/>
      <c r="D58" s="75"/>
      <c r="E58" s="75"/>
      <c r="F58" s="75"/>
      <c r="G58" s="75"/>
      <c r="H58" s="75"/>
      <c r="I58" s="75"/>
      <c r="J58" s="75"/>
      <c r="K58" s="75"/>
      <c r="L58" s="75"/>
      <c r="M58" s="75"/>
      <c r="N58" s="75"/>
      <c r="O58" s="77"/>
      <c r="P58" s="75"/>
      <c r="Q58" s="75"/>
      <c r="R58" s="75"/>
      <c r="S58" s="75"/>
      <c r="T58" s="75"/>
      <c r="U58" s="75"/>
      <c r="V58" s="75"/>
    </row>
    <row r="59" spans="1:22" s="3" customFormat="1">
      <c r="A59" s="43" t="s">
        <v>44</v>
      </c>
      <c r="B59" s="78"/>
      <c r="C59" s="78" t="e">
        <f t="shared" ref="C59:O59" ca="1" si="50">IF($B57="Non",IF(C57="Non","MW",IF(C57="Oui","MW","")),IF($B57="Oui",IF(C57="Oui","T-Test Welch",IF(C57="Non","MW",""))))</f>
        <v>#NAME?</v>
      </c>
      <c r="D59" s="78" t="e">
        <f t="shared" ca="1" si="50"/>
        <v>#NAME?</v>
      </c>
      <c r="E59" s="78" t="e">
        <f t="shared" ca="1" si="50"/>
        <v>#NAME?</v>
      </c>
      <c r="F59" s="78" t="e">
        <f t="shared" ca="1" si="50"/>
        <v>#NAME?</v>
      </c>
      <c r="G59" s="78" t="e">
        <f t="shared" ca="1" si="50"/>
        <v>#NAME?</v>
      </c>
      <c r="H59" s="78" t="e">
        <f t="shared" ca="1" si="50"/>
        <v>#NAME?</v>
      </c>
      <c r="I59" s="78" t="e">
        <f t="shared" ca="1" si="50"/>
        <v>#NAME?</v>
      </c>
      <c r="J59" s="78" t="e">
        <f t="shared" ca="1" si="50"/>
        <v>#NAME?</v>
      </c>
      <c r="K59" s="78" t="e">
        <f t="shared" ca="1" si="50"/>
        <v>#NAME?</v>
      </c>
      <c r="L59" s="78" t="e">
        <f t="shared" ca="1" si="50"/>
        <v>#NAME?</v>
      </c>
      <c r="M59" s="78" t="e">
        <f t="shared" ca="1" si="50"/>
        <v>#NAME?</v>
      </c>
      <c r="N59" s="78" t="e">
        <f t="shared" ca="1" si="50"/>
        <v>#NAME?</v>
      </c>
      <c r="O59" s="78" t="e">
        <f t="shared" ca="1" si="50"/>
        <v>#NAME?</v>
      </c>
      <c r="P59" s="78" t="e">
        <f ca="1">IF($O57="Non",IF(P57="Non","MW",IF(P57="Oui","MW","")),IF($O57="Oui",IF(P57="Oui","T-Test Welch",IF(P57="Non","MW",""))))</f>
        <v>#NAME?</v>
      </c>
      <c r="Q59" s="78" t="e">
        <f t="shared" ref="Q59:V59" ca="1" si="51">IF($O57="Non",IF(Q57="Non","MW",IF(Q57="Oui","MW","")),IF($O57="Oui",IF(Q57="Oui","T-Test Welch",IF(Q57="Non","MW",""))))</f>
        <v>#NAME?</v>
      </c>
      <c r="R59" s="78" t="e">
        <f t="shared" ca="1" si="51"/>
        <v>#NAME?</v>
      </c>
      <c r="S59" s="78" t="e">
        <f t="shared" ca="1" si="51"/>
        <v>#NAME?</v>
      </c>
      <c r="T59" s="78" t="e">
        <f t="shared" ca="1" si="51"/>
        <v>#NAME?</v>
      </c>
      <c r="U59" s="78" t="e">
        <f t="shared" ca="1" si="51"/>
        <v>#NAME?</v>
      </c>
      <c r="V59" s="78" t="e">
        <f t="shared" ca="1" si="51"/>
        <v>#NAME?</v>
      </c>
    </row>
    <row r="60" spans="1:22" s="3" customFormat="1">
      <c r="A60" s="43" t="s">
        <v>45</v>
      </c>
      <c r="B60" s="79"/>
      <c r="C60" s="79" t="e">
        <f ca="1">IF(C59="MW",[1]!MTEST($B28:$B43,C28:C43,2), IF(C59="T-Test Welch",_xlfn.T.TEST($B28:$B43,C28:C43,2,3),""))</f>
        <v>#NAME?</v>
      </c>
      <c r="D60" s="79" t="e">
        <f ca="1">IF(D59="MW",[1]!MTEST($B28:$B43,D28:D43,2), IF(D59="T-Test Welch",_xlfn.T.TEST($B28:$B43,D28:D43,2,3),""))</f>
        <v>#NAME?</v>
      </c>
      <c r="E60" s="79" t="e">
        <f ca="1">IF(E59="MW",[1]!MTEST($B28:$B43,E28:E43,2), IF(E59="T-Test Welch",_xlfn.T.TEST($B28:$B43,E28:E43,2,3),""))</f>
        <v>#NAME?</v>
      </c>
      <c r="F60" s="79" t="e">
        <f ca="1">IF(F59="MW",[1]!MTEST($B28:$B43,F28:F43,2), IF(F59="T-Test Welch",_xlfn.T.TEST($B28:$B43,F28:F43,2,3),""))</f>
        <v>#NAME?</v>
      </c>
      <c r="G60" s="79" t="e">
        <f ca="1">IF(G59="MW",[1]!MTEST($B28:$B43,G28:G43,2), IF(G59="T-Test Welch",_xlfn.T.TEST($B28:$B43,G28:G43,2,3),""))</f>
        <v>#NAME?</v>
      </c>
      <c r="H60" s="79" t="e">
        <f ca="1">IF(H59="MW",[1]!MTEST($B28:$B43,H28:H43,2), IF(H59="T-Test Welch",_xlfn.T.TEST($B28:$B43,H28:H43,2,3),""))</f>
        <v>#NAME?</v>
      </c>
      <c r="I60" s="79" t="e">
        <f ca="1">IF(I59="MW",[1]!MTEST($B28:$B43,I28:I43,2), IF(I59="T-Test Welch",_xlfn.T.TEST($B28:$B43,I28:I43,2,3),""))</f>
        <v>#NAME?</v>
      </c>
      <c r="J60" s="79" t="e">
        <f ca="1">IF(J59="MW",[1]!MTEST($B28:$B43,J28:J43,2), IF(J59="T-Test Welch",_xlfn.T.TEST($B28:$B43,J28:J43,2,3),""))</f>
        <v>#NAME?</v>
      </c>
      <c r="K60" s="79" t="e">
        <f ca="1">IF(K59="MW",[1]!MTEST($B28:$B43,K28:K43,2), IF(K59="T-Test Welch",_xlfn.T.TEST($B28:$B43,K28:K43,2,3),""))</f>
        <v>#NAME?</v>
      </c>
      <c r="L60" s="79" t="e">
        <f ca="1">IF(L59="MW",[1]!MTEST($B28:$B43,L28:L43,2), IF(L59="T-Test Welch",_xlfn.T.TEST($B28:$B43,L28:L43,2,3),""))</f>
        <v>#NAME?</v>
      </c>
      <c r="M60" s="79" t="e">
        <f ca="1">IF(M59="MW",[1]!MTEST($B28:$B43,M28:M43,2), IF(M59="T-Test Welch",_xlfn.T.TEST($B28:$B43,M28:M43,2,3),""))</f>
        <v>#NAME?</v>
      </c>
      <c r="N60" s="79" t="e">
        <f ca="1">IF(N59="MW",[1]!MTEST($B28:$B43,N28:N43,2), IF(N59="T-Test Welch",_xlfn.T.TEST($B28:$B43,N28:N43,2,3),""))</f>
        <v>#NAME?</v>
      </c>
      <c r="O60" s="79" t="e">
        <f ca="1">IF(O59="MW",[1]!MTEST($B28:$B43,O28:O43,2), IF(O59="T-Test Welch",_xlfn.T.TEST($B28:$B43,O28:O43,2,3),""))</f>
        <v>#NAME?</v>
      </c>
      <c r="P60" s="79" t="e">
        <f ca="1">IF(P59="MW",[1]!MTEST($O28:$O43,P28:P43,2), IF(P59="T-Test Welch",_xlfn.T.TEST($O28:$O43,P28:P43,2,3),""))</f>
        <v>#NAME?</v>
      </c>
      <c r="Q60" s="79" t="e">
        <f ca="1">IF(Q59="MW",[1]!MTEST($O28:$O43,Q28:Q43,2), IF(Q59="T-Test Welch",_xlfn.T.TEST($O28:$O43,Q28:Q43,2,3),""))</f>
        <v>#NAME?</v>
      </c>
      <c r="R60" s="79" t="e">
        <f ca="1">IF(R59="MW",[1]!MTEST($O28:$O43,R28:R43,2), IF(R59="T-Test Welch",_xlfn.T.TEST($O28:$O43,R28:R43,2,3),""))</f>
        <v>#NAME?</v>
      </c>
      <c r="S60" s="79" t="e">
        <f ca="1">IF(S59="MW",[1]!MTEST($O28:$O43,S28:S43,2), IF(S59="T-Test Welch",_xlfn.T.TEST($O28:$O43,S28:S43,2,3),""))</f>
        <v>#NAME?</v>
      </c>
      <c r="T60" s="79" t="e">
        <f ca="1">IF(T59="MW",[1]!MTEST($O28:$O43,T28:T43,2), IF(T59="T-Test Welch",_xlfn.T.TEST($O28:$O43,T28:T43,2,3),""))</f>
        <v>#NAME?</v>
      </c>
      <c r="U60" s="79" t="e">
        <f ca="1">IF(U59="MW",[1]!MTEST($O28:$O43,U28:U43,2), IF(U59="T-Test Welch",_xlfn.T.TEST($O28:$O43,U28:U43,2,3),""))</f>
        <v>#NAME?</v>
      </c>
      <c r="V60" s="79" t="e">
        <f ca="1">IF(V59="MW",[1]!MTEST($O28:$O43,V28:V43,2), IF(V59="T-Test Welch",_xlfn.T.TEST($O28:$O43,V28:V43,2,3),""))</f>
        <v>#NAME?</v>
      </c>
    </row>
    <row r="61" spans="1:22" s="3" customFormat="1" ht="15.75" thickBot="1">
      <c r="A61" s="44" t="s">
        <v>46</v>
      </c>
      <c r="B61" s="76"/>
      <c r="C61" s="76" t="e">
        <f t="shared" ref="C61:O61" ca="1" si="52">IF(C60&gt;0.05,"NS",IF(C60&gt;0.01,"*",IF(C60&gt;0.001,"**","***")))</f>
        <v>#NAME?</v>
      </c>
      <c r="D61" s="76" t="e">
        <f t="shared" ca="1" si="52"/>
        <v>#NAME?</v>
      </c>
      <c r="E61" s="76" t="e">
        <f t="shared" ca="1" si="52"/>
        <v>#NAME?</v>
      </c>
      <c r="F61" s="76" t="e">
        <f t="shared" ca="1" si="52"/>
        <v>#NAME?</v>
      </c>
      <c r="G61" s="76" t="e">
        <f t="shared" ca="1" si="52"/>
        <v>#NAME?</v>
      </c>
      <c r="H61" s="76" t="e">
        <f t="shared" ca="1" si="52"/>
        <v>#NAME?</v>
      </c>
      <c r="I61" s="76" t="e">
        <f t="shared" ca="1" si="52"/>
        <v>#NAME?</v>
      </c>
      <c r="J61" s="76" t="e">
        <f t="shared" ca="1" si="52"/>
        <v>#NAME?</v>
      </c>
      <c r="K61" s="76" t="e">
        <f t="shared" ca="1" si="52"/>
        <v>#NAME?</v>
      </c>
      <c r="L61" s="76" t="e">
        <f t="shared" ca="1" si="52"/>
        <v>#NAME?</v>
      </c>
      <c r="M61" s="76" t="e">
        <f t="shared" ca="1" si="52"/>
        <v>#NAME?</v>
      </c>
      <c r="N61" s="76" t="e">
        <f t="shared" ca="1" si="52"/>
        <v>#NAME?</v>
      </c>
      <c r="O61" s="76" t="e">
        <f t="shared" ca="1" si="52"/>
        <v>#NAME?</v>
      </c>
      <c r="P61" s="76" t="e">
        <f ca="1">IF(P60&gt;0.05,"NS",IF(P60&gt;0.01,"*",IF(P60&gt;0.001,"**","***")))</f>
        <v>#NAME?</v>
      </c>
      <c r="Q61" s="76" t="e">
        <f t="shared" ref="Q61:V61" ca="1" si="53">IF(Q60&gt;0.05,"NS",IF(Q60&gt;0.01,"*",IF(Q60&gt;0.001,"**","***")))</f>
        <v>#NAME?</v>
      </c>
      <c r="R61" s="76" t="e">
        <f t="shared" ca="1" si="53"/>
        <v>#NAME?</v>
      </c>
      <c r="S61" s="76" t="e">
        <f t="shared" ca="1" si="53"/>
        <v>#NAME?</v>
      </c>
      <c r="T61" s="76" t="e">
        <f t="shared" ca="1" si="53"/>
        <v>#NAME?</v>
      </c>
      <c r="U61" s="76" t="e">
        <f t="shared" ca="1" si="53"/>
        <v>#NAME?</v>
      </c>
      <c r="V61" s="76" t="e">
        <f t="shared" ca="1" si="53"/>
        <v>#NAME?</v>
      </c>
    </row>
    <row r="63" spans="1:22">
      <c r="A63" s="2" t="s">
        <v>20</v>
      </c>
    </row>
    <row r="64" spans="1:22">
      <c r="A64" s="1" t="s">
        <v>13</v>
      </c>
      <c r="B64" s="1">
        <f>B46+(3*B47)</f>
        <v>0.76264054303831252</v>
      </c>
    </row>
    <row r="65" spans="1:22">
      <c r="A65" s="1" t="s">
        <v>14</v>
      </c>
      <c r="B65" s="1">
        <f>B46+(10*B47)</f>
        <v>1.7101784323995826</v>
      </c>
    </row>
    <row r="66" spans="1:22" ht="15.75" thickBot="1"/>
    <row r="67" spans="1:22" ht="27" thickBot="1">
      <c r="A67" s="142" t="s">
        <v>25</v>
      </c>
      <c r="B67" s="143"/>
      <c r="C67" s="143"/>
      <c r="D67" s="143"/>
      <c r="E67" s="143"/>
      <c r="F67" s="143"/>
      <c r="G67" s="143"/>
      <c r="H67" s="143"/>
      <c r="I67" s="143"/>
      <c r="J67" s="143"/>
      <c r="K67" s="143"/>
      <c r="L67" s="143"/>
      <c r="M67" s="143"/>
      <c r="N67" s="143"/>
      <c r="O67" s="143"/>
      <c r="P67" s="143"/>
      <c r="Q67" s="143"/>
      <c r="R67" s="143"/>
      <c r="S67" s="143"/>
      <c r="T67" s="143"/>
      <c r="U67" s="143"/>
      <c r="V67" s="143"/>
    </row>
    <row r="68" spans="1:22" ht="16.5">
      <c r="A68" s="11"/>
      <c r="B68" s="11"/>
      <c r="C68" s="11"/>
      <c r="D68" s="11"/>
      <c r="E68" s="11"/>
      <c r="F68" s="11"/>
      <c r="O68" s="11"/>
      <c r="P68" s="11"/>
      <c r="Q68" s="11"/>
      <c r="R68" s="11"/>
      <c r="S68" s="11"/>
      <c r="T68" s="11"/>
      <c r="U68" s="11"/>
      <c r="V68" s="11"/>
    </row>
    <row r="69" spans="1:22" ht="16.5">
      <c r="A69" s="11"/>
      <c r="B69" s="11"/>
      <c r="C69" s="11"/>
      <c r="D69" s="11"/>
      <c r="E69" s="11"/>
      <c r="F69" s="11"/>
      <c r="O69" s="11"/>
      <c r="P69" s="11"/>
      <c r="Q69" s="11"/>
      <c r="R69" s="11"/>
      <c r="S69" s="11"/>
      <c r="T69" s="11"/>
      <c r="U69" s="11"/>
      <c r="V69" s="11"/>
    </row>
    <row r="70" spans="1:22" ht="16.5">
      <c r="A70" s="11"/>
      <c r="B70" s="11"/>
      <c r="C70" s="11"/>
      <c r="D70" s="11"/>
      <c r="E70" s="11"/>
      <c r="F70" s="11"/>
      <c r="O70" s="11"/>
      <c r="P70" s="11"/>
      <c r="Q70" s="11"/>
      <c r="R70" s="11"/>
      <c r="S70" s="11"/>
      <c r="T70" s="11"/>
      <c r="U70" s="11"/>
      <c r="V70" s="11"/>
    </row>
    <row r="71" spans="1:22" ht="16.5">
      <c r="A71" s="11"/>
      <c r="B71" s="11"/>
      <c r="C71" s="11"/>
      <c r="D71" s="11"/>
      <c r="E71" s="11"/>
      <c r="F71" s="11"/>
      <c r="O71" s="11"/>
      <c r="P71" s="11"/>
      <c r="Q71" s="11"/>
      <c r="R71" s="11"/>
      <c r="S71" s="11"/>
      <c r="T71" s="11"/>
      <c r="U71" s="11"/>
      <c r="V71" s="11"/>
    </row>
    <row r="72" spans="1:22" ht="16.5">
      <c r="A72" s="11"/>
      <c r="B72" s="11"/>
      <c r="C72" s="11"/>
      <c r="D72" s="11"/>
      <c r="E72" s="11"/>
      <c r="F72" s="11"/>
      <c r="O72" s="11"/>
      <c r="P72" s="11"/>
      <c r="Q72" s="11"/>
      <c r="R72" s="11"/>
      <c r="S72" s="11"/>
      <c r="T72" s="11"/>
      <c r="U72" s="11"/>
      <c r="V72" s="11"/>
    </row>
    <row r="73" spans="1:22" ht="16.5">
      <c r="A73" s="11"/>
      <c r="B73" s="11"/>
      <c r="C73" s="11"/>
      <c r="D73" s="11"/>
      <c r="E73" s="11"/>
      <c r="F73" s="11"/>
      <c r="O73" s="11"/>
      <c r="P73" s="11"/>
      <c r="Q73" s="11"/>
      <c r="R73" s="11"/>
      <c r="S73" s="11"/>
      <c r="T73" s="11"/>
      <c r="U73" s="11"/>
      <c r="V73" s="11"/>
    </row>
    <row r="74" spans="1:22" ht="16.5">
      <c r="A74" s="11"/>
      <c r="B74" s="11"/>
      <c r="C74" s="11"/>
      <c r="D74" s="11"/>
      <c r="E74" s="11"/>
      <c r="F74" s="11"/>
      <c r="O74" s="11"/>
      <c r="P74" s="11"/>
      <c r="Q74" s="11"/>
      <c r="R74" s="11"/>
      <c r="S74" s="11"/>
      <c r="T74" s="11"/>
      <c r="U74" s="11"/>
      <c r="V74" s="11"/>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N3"/>
    <mergeCell ref="O3:V3"/>
    <mergeCell ref="B26:N26"/>
    <mergeCell ref="O26:V26"/>
    <mergeCell ref="A28:A43"/>
    <mergeCell ref="A50:V50"/>
  </mergeCells>
  <phoneticPr fontId="12"/>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abSelected="1" topLeftCell="A28" zoomScale="70" zoomScaleNormal="70" zoomScaleSheetLayoutView="40" zoomScalePageLayoutView="30" workbookViewId="0">
      <selection activeCell="O28" sqref="O1:O1048576"/>
    </sheetView>
  </sheetViews>
  <sheetFormatPr defaultColWidth="9.140625" defaultRowHeight="15"/>
  <cols>
    <col min="1" max="1" width="33.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4" width="26.42578125" style="1" customWidth="1"/>
    <col min="15" max="15" width="14.85546875" style="1" customWidth="1"/>
    <col min="16" max="22" width="25.85546875" style="1" customWidth="1"/>
    <col min="23" max="16384" width="9.140625" style="1"/>
  </cols>
  <sheetData>
    <row r="1" spans="1:22" ht="60" customHeight="1" thickBot="1">
      <c r="A1" s="152" t="s">
        <v>70</v>
      </c>
      <c r="B1" s="141"/>
      <c r="C1" s="141"/>
      <c r="D1" s="141"/>
      <c r="E1" s="141"/>
      <c r="F1" s="141"/>
      <c r="G1" s="141"/>
      <c r="H1" s="141"/>
      <c r="I1" s="141"/>
      <c r="J1" s="141"/>
      <c r="K1" s="141"/>
      <c r="L1" s="141"/>
      <c r="M1" s="141"/>
      <c r="N1" s="141"/>
      <c r="O1" s="141"/>
      <c r="P1" s="141"/>
      <c r="Q1" s="141"/>
      <c r="R1" s="141"/>
      <c r="S1" s="141"/>
      <c r="T1" s="141"/>
      <c r="U1" s="141"/>
      <c r="V1" s="141"/>
    </row>
    <row r="2" spans="1:22" ht="15.75" thickBot="1"/>
    <row r="3" spans="1:22" ht="15.75" thickBot="1">
      <c r="A3" s="80" t="s">
        <v>12</v>
      </c>
      <c r="B3" s="148" t="s">
        <v>6</v>
      </c>
      <c r="C3" s="149"/>
      <c r="D3" s="149"/>
      <c r="E3" s="149"/>
      <c r="F3" s="149"/>
      <c r="G3" s="149"/>
      <c r="H3" s="149"/>
      <c r="I3" s="149"/>
      <c r="J3" s="149"/>
      <c r="K3" s="149"/>
      <c r="L3" s="149"/>
      <c r="M3" s="149"/>
      <c r="N3" s="149"/>
      <c r="O3" s="148" t="s">
        <v>3</v>
      </c>
      <c r="P3" s="149"/>
      <c r="Q3" s="149"/>
      <c r="R3" s="149"/>
      <c r="S3" s="149"/>
      <c r="T3" s="149"/>
      <c r="U3" s="149"/>
      <c r="V3" s="149"/>
    </row>
    <row r="4" spans="1:22">
      <c r="A4" s="18" t="s">
        <v>22</v>
      </c>
      <c r="B4" s="19" t="str">
        <f>'Front page'!A7</f>
        <v>Solvent control</v>
      </c>
      <c r="C4" s="19" t="str">
        <f>'Front page'!A8</f>
        <v>EE2-33.8ng/L</v>
      </c>
      <c r="D4" s="19" t="str">
        <f>'Front page'!A9</f>
        <v>EE2-50.6ng/L</v>
      </c>
      <c r="E4" s="19" t="str">
        <f>'Front page'!A10</f>
        <v>EE2-76ng/L</v>
      </c>
      <c r="F4" s="19" t="str">
        <f>'Front page'!A11</f>
        <v>EE2-114ng/L</v>
      </c>
      <c r="G4" s="19" t="str">
        <f>'Front page'!A12</f>
        <v>EE2-170.9ng/L</v>
      </c>
      <c r="H4" s="19" t="str">
        <f>'Front page'!A13</f>
        <v>EE2-488ng/L</v>
      </c>
      <c r="I4" s="19" t="str">
        <f>'Front page'!A14</f>
        <v>estradiol-540ng/L</v>
      </c>
      <c r="J4" s="19" t="str">
        <f>'Front page'!A15</f>
        <v>estradiol-270ng/L</v>
      </c>
      <c r="K4" s="19" t="str">
        <f>'Front page'!A16</f>
        <v>estradiol-135ng/L</v>
      </c>
      <c r="L4" s="19" t="str">
        <f>'Front page'!A17</f>
        <v>estradiol-68ng/L</v>
      </c>
      <c r="M4" s="19" t="str">
        <f>'Front page'!A18</f>
        <v>estradiol-34ng/L</v>
      </c>
      <c r="N4" s="19" t="str">
        <f>'Front page'!A19</f>
        <v/>
      </c>
      <c r="O4" s="20" t="str">
        <f>'Front page'!A35</f>
        <v>Testo -30µg/L</v>
      </c>
      <c r="P4" s="20" t="str">
        <f>'Front page'!A36</f>
        <v>Testo 30µg/L + EE2 -64ng/L</v>
      </c>
      <c r="Q4" s="20" t="str">
        <f>'Front page'!A37</f>
        <v>Testo 30µg/L + FAD-10mg/L</v>
      </c>
      <c r="R4" s="20" t="str">
        <f>'Front page'!A38</f>
        <v>estradiol-540ng/L + Testostérone</v>
      </c>
      <c r="S4" s="20" t="str">
        <f>'Front page'!A39</f>
        <v>estradiol-270ng/L + Testostérone</v>
      </c>
      <c r="T4" s="20" t="str">
        <f>'Front page'!A40</f>
        <v>estradiol-135ng/L + Testostérone</v>
      </c>
      <c r="U4" s="20" t="str">
        <f>'Front page'!A41</f>
        <v>estradiol-68ng/L + Testostérone</v>
      </c>
      <c r="V4" s="20" t="str">
        <f>'Front page'!A42</f>
        <v>estradiol-34ng/L + Testostérone</v>
      </c>
    </row>
    <row r="5" spans="1:22">
      <c r="A5" s="151" t="s">
        <v>71</v>
      </c>
      <c r="B5" s="78">
        <v>67724</v>
      </c>
      <c r="C5" s="78">
        <v>748703</v>
      </c>
      <c r="D5" s="78">
        <v>801621</v>
      </c>
      <c r="E5" s="78">
        <v>2497141</v>
      </c>
      <c r="F5" s="78">
        <v>2939848</v>
      </c>
      <c r="G5" s="78">
        <v>2900314</v>
      </c>
      <c r="H5" s="78">
        <v>4485257</v>
      </c>
      <c r="I5" s="16">
        <v>2423879</v>
      </c>
      <c r="J5" s="16">
        <v>4418932</v>
      </c>
      <c r="K5" s="12">
        <v>1037252</v>
      </c>
      <c r="L5" s="12">
        <v>202480</v>
      </c>
      <c r="M5" s="12">
        <v>547982</v>
      </c>
      <c r="N5" s="12"/>
      <c r="O5" s="114">
        <v>4072257</v>
      </c>
      <c r="P5" s="113">
        <v>2947875</v>
      </c>
      <c r="Q5" s="113">
        <v>569565</v>
      </c>
      <c r="R5" s="78">
        <v>3394324</v>
      </c>
      <c r="S5" s="78">
        <v>3508067</v>
      </c>
      <c r="T5" s="78">
        <v>4738698</v>
      </c>
      <c r="U5" s="78">
        <v>2656027</v>
      </c>
      <c r="V5" s="78">
        <v>2389302</v>
      </c>
    </row>
    <row r="6" spans="1:22" ht="16.5">
      <c r="A6" s="150"/>
      <c r="B6" s="112">
        <v>458178</v>
      </c>
      <c r="C6" s="113">
        <v>55941</v>
      </c>
      <c r="D6" s="78">
        <v>1549179</v>
      </c>
      <c r="E6" s="78">
        <v>1479626</v>
      </c>
      <c r="F6" s="78">
        <v>2534146</v>
      </c>
      <c r="G6" s="78">
        <v>2600645</v>
      </c>
      <c r="H6" s="78">
        <v>3498383</v>
      </c>
      <c r="I6" s="16">
        <v>4181051</v>
      </c>
      <c r="J6" s="16">
        <v>1930164</v>
      </c>
      <c r="K6" s="12">
        <v>2079505</v>
      </c>
      <c r="L6" s="12">
        <v>513036</v>
      </c>
      <c r="M6" s="12">
        <v>252865</v>
      </c>
      <c r="N6" s="12"/>
      <c r="O6" s="114">
        <v>706465</v>
      </c>
      <c r="P6" s="113">
        <v>2693409</v>
      </c>
      <c r="Q6" s="113">
        <v>587887</v>
      </c>
      <c r="R6" s="78">
        <v>3912542</v>
      </c>
      <c r="S6" s="78">
        <v>4267720</v>
      </c>
      <c r="T6" s="78">
        <v>3399845</v>
      </c>
      <c r="U6" s="78">
        <v>1898832</v>
      </c>
      <c r="V6" s="78">
        <v>2757121</v>
      </c>
    </row>
    <row r="7" spans="1:22" ht="16.5">
      <c r="A7" s="150"/>
      <c r="B7" s="112">
        <v>602577</v>
      </c>
      <c r="C7" s="113">
        <v>473134</v>
      </c>
      <c r="D7" s="78">
        <v>1019478</v>
      </c>
      <c r="E7" s="78">
        <v>2539398</v>
      </c>
      <c r="F7" s="78">
        <v>3015263</v>
      </c>
      <c r="G7" s="78">
        <v>2954063</v>
      </c>
      <c r="H7" s="78">
        <v>4572057</v>
      </c>
      <c r="I7" s="16">
        <v>4770013</v>
      </c>
      <c r="J7" s="16">
        <v>2708547</v>
      </c>
      <c r="K7" s="12">
        <v>1577885</v>
      </c>
      <c r="L7" s="12">
        <v>601924</v>
      </c>
      <c r="M7" s="12">
        <v>261799</v>
      </c>
      <c r="N7" s="12"/>
      <c r="O7" s="114">
        <v>2051362</v>
      </c>
      <c r="P7" s="113">
        <v>3804461</v>
      </c>
      <c r="Q7" s="113">
        <v>300133</v>
      </c>
      <c r="R7" s="78">
        <v>5357596</v>
      </c>
      <c r="S7" s="78">
        <v>2798226</v>
      </c>
      <c r="T7" s="78">
        <v>2979426</v>
      </c>
      <c r="U7" s="78">
        <v>2233396</v>
      </c>
      <c r="V7" s="78">
        <v>2137882</v>
      </c>
    </row>
    <row r="8" spans="1:22" ht="16.5">
      <c r="A8" s="150"/>
      <c r="B8" s="112">
        <v>438273</v>
      </c>
      <c r="C8" s="113">
        <v>90878</v>
      </c>
      <c r="D8" s="78">
        <v>2091539</v>
      </c>
      <c r="E8" s="78">
        <v>1732437</v>
      </c>
      <c r="F8" s="78">
        <v>2238320</v>
      </c>
      <c r="G8" s="78">
        <v>4429718</v>
      </c>
      <c r="H8" s="78">
        <v>4896038</v>
      </c>
      <c r="I8" s="16">
        <v>4290656</v>
      </c>
      <c r="J8" s="16">
        <v>2806558</v>
      </c>
      <c r="K8" s="12">
        <v>2462563</v>
      </c>
      <c r="L8" s="12">
        <v>25650</v>
      </c>
      <c r="M8" s="12">
        <v>1319916</v>
      </c>
      <c r="N8" s="12"/>
      <c r="O8" s="114">
        <v>2870399</v>
      </c>
      <c r="P8" s="113">
        <v>2532580</v>
      </c>
      <c r="Q8" s="113">
        <v>883457</v>
      </c>
      <c r="R8" s="78">
        <v>3327032</v>
      </c>
      <c r="S8" s="78">
        <v>4199671</v>
      </c>
      <c r="T8" s="78">
        <v>2281407</v>
      </c>
      <c r="U8" s="78">
        <v>3167217</v>
      </c>
      <c r="V8" s="78">
        <v>3749484</v>
      </c>
    </row>
    <row r="9" spans="1:22" ht="16.5">
      <c r="A9" s="150"/>
      <c r="B9" s="112">
        <v>469272</v>
      </c>
      <c r="C9" s="113">
        <v>350064</v>
      </c>
      <c r="D9" s="78">
        <v>289421</v>
      </c>
      <c r="E9" s="78">
        <v>1157302</v>
      </c>
      <c r="F9" s="78">
        <v>941238</v>
      </c>
      <c r="G9" s="78">
        <v>3917411</v>
      </c>
      <c r="H9" s="78">
        <v>2859227</v>
      </c>
      <c r="I9" s="16">
        <v>4880131</v>
      </c>
      <c r="J9" s="16">
        <v>3019245</v>
      </c>
      <c r="K9" s="12">
        <v>1217775</v>
      </c>
      <c r="L9" s="12">
        <v>889905</v>
      </c>
      <c r="M9" s="12">
        <v>1366007</v>
      </c>
      <c r="N9" s="12"/>
      <c r="O9" s="114">
        <v>1890610</v>
      </c>
      <c r="P9" s="113">
        <v>2611961</v>
      </c>
      <c r="Q9" s="113">
        <v>294949</v>
      </c>
      <c r="R9" s="78">
        <v>3651007</v>
      </c>
      <c r="S9" s="78">
        <v>3523069</v>
      </c>
      <c r="T9" s="78">
        <v>2600206</v>
      </c>
      <c r="U9" s="78">
        <v>2480559</v>
      </c>
      <c r="V9" s="78">
        <v>2617900</v>
      </c>
    </row>
    <row r="10" spans="1:22" ht="16.5">
      <c r="A10" s="150"/>
      <c r="B10" s="112">
        <v>642481</v>
      </c>
      <c r="C10" s="113">
        <v>73913</v>
      </c>
      <c r="D10" s="78">
        <v>1116484</v>
      </c>
      <c r="E10" s="78">
        <v>617867</v>
      </c>
      <c r="F10" s="78">
        <v>2412998</v>
      </c>
      <c r="G10" s="78">
        <v>4027797</v>
      </c>
      <c r="H10" s="78">
        <v>3500137</v>
      </c>
      <c r="I10" s="16">
        <v>3645331</v>
      </c>
      <c r="J10" s="16">
        <v>2435274</v>
      </c>
      <c r="K10" s="12">
        <v>172751</v>
      </c>
      <c r="L10" s="12">
        <v>1070160</v>
      </c>
      <c r="M10" s="12">
        <v>207266</v>
      </c>
      <c r="N10" s="12"/>
      <c r="O10" s="114">
        <v>2709817</v>
      </c>
      <c r="P10" s="113">
        <v>2239546</v>
      </c>
      <c r="Q10" s="113">
        <v>433847</v>
      </c>
      <c r="R10" s="78">
        <v>3108959</v>
      </c>
      <c r="S10" s="78">
        <v>4415088</v>
      </c>
      <c r="T10" s="78">
        <v>2295615</v>
      </c>
      <c r="U10" s="78">
        <v>2519247</v>
      </c>
      <c r="V10" s="78">
        <v>2798703</v>
      </c>
    </row>
    <row r="11" spans="1:22" ht="16.5">
      <c r="A11" s="150"/>
      <c r="B11" s="112">
        <v>549931</v>
      </c>
      <c r="C11" s="113">
        <v>179746</v>
      </c>
      <c r="D11" s="78">
        <v>239279</v>
      </c>
      <c r="E11" s="78">
        <v>1291414</v>
      </c>
      <c r="F11" s="78">
        <v>2671246</v>
      </c>
      <c r="G11" s="78">
        <v>5087429</v>
      </c>
      <c r="H11" s="78">
        <v>3443231</v>
      </c>
      <c r="I11" s="16">
        <v>3842803</v>
      </c>
      <c r="J11" s="16">
        <v>1233923</v>
      </c>
      <c r="K11" s="12">
        <v>1293833</v>
      </c>
      <c r="L11" s="12">
        <v>1034786</v>
      </c>
      <c r="M11" s="12">
        <v>131093</v>
      </c>
      <c r="N11" s="12"/>
      <c r="O11" s="114">
        <v>2020607</v>
      </c>
      <c r="P11" s="113">
        <v>1612684</v>
      </c>
      <c r="Q11" s="113">
        <v>470634</v>
      </c>
      <c r="R11" s="78">
        <v>2337843</v>
      </c>
      <c r="S11" s="78">
        <v>3105560</v>
      </c>
      <c r="T11" s="78">
        <v>3753888</v>
      </c>
      <c r="U11" s="78">
        <v>1801053</v>
      </c>
      <c r="V11" s="78">
        <v>2314237</v>
      </c>
    </row>
    <row r="12" spans="1:22" ht="16.5">
      <c r="A12" s="150"/>
      <c r="B12" s="112">
        <v>1271182</v>
      </c>
      <c r="C12" s="113">
        <v>193103</v>
      </c>
      <c r="D12" s="78">
        <v>1308490</v>
      </c>
      <c r="E12" s="78">
        <v>2829992</v>
      </c>
      <c r="F12" s="78">
        <v>1696862</v>
      </c>
      <c r="G12" s="78">
        <v>4221293</v>
      </c>
      <c r="H12" s="78">
        <v>2473956</v>
      </c>
      <c r="I12" s="16">
        <v>3834239</v>
      </c>
      <c r="J12" s="16">
        <v>3972970</v>
      </c>
      <c r="K12" s="12">
        <v>1244265</v>
      </c>
      <c r="L12" s="12">
        <v>807960</v>
      </c>
      <c r="M12" s="12">
        <v>679715</v>
      </c>
      <c r="N12" s="12"/>
      <c r="O12" s="114">
        <v>2461227</v>
      </c>
      <c r="P12" s="113">
        <v>2248998</v>
      </c>
      <c r="Q12" s="113">
        <v>302273</v>
      </c>
      <c r="R12" s="78">
        <v>5083475</v>
      </c>
      <c r="S12" s="78">
        <v>2316483</v>
      </c>
      <c r="T12" s="78">
        <v>3062648</v>
      </c>
      <c r="U12" s="78">
        <v>1914047</v>
      </c>
      <c r="V12" s="78">
        <v>2204079</v>
      </c>
    </row>
    <row r="13" spans="1:22" ht="16.5">
      <c r="A13" s="150"/>
      <c r="B13" s="13"/>
      <c r="C13" s="12"/>
      <c r="D13" s="16"/>
      <c r="E13" s="16"/>
      <c r="F13" s="16"/>
      <c r="G13" s="16"/>
      <c r="H13" s="16"/>
      <c r="I13" s="16"/>
      <c r="J13" s="16"/>
      <c r="K13" s="12"/>
      <c r="L13" s="12"/>
      <c r="M13" s="12"/>
      <c r="N13" s="12"/>
      <c r="O13" s="114">
        <v>3326234</v>
      </c>
      <c r="P13" s="115"/>
      <c r="Q13" s="115"/>
      <c r="R13" s="116"/>
      <c r="S13" s="116"/>
      <c r="T13" s="116"/>
      <c r="U13" s="116"/>
      <c r="V13" s="116"/>
    </row>
    <row r="14" spans="1:22" ht="16.5">
      <c r="A14" s="150"/>
      <c r="B14" s="13"/>
      <c r="C14" s="16"/>
      <c r="D14" s="16"/>
      <c r="E14" s="16"/>
      <c r="F14" s="16"/>
      <c r="G14" s="16"/>
      <c r="H14" s="16"/>
      <c r="I14" s="16"/>
      <c r="J14" s="16"/>
      <c r="K14" s="12"/>
      <c r="L14" s="12"/>
      <c r="M14" s="12"/>
      <c r="N14" s="12"/>
      <c r="O14" s="114">
        <v>2123116</v>
      </c>
      <c r="P14" s="12"/>
      <c r="Q14" s="12"/>
      <c r="R14" s="16"/>
      <c r="S14" s="16"/>
      <c r="T14" s="16"/>
      <c r="U14" s="16"/>
      <c r="V14" s="16"/>
    </row>
    <row r="15" spans="1:22" ht="16.5">
      <c r="A15" s="150"/>
      <c r="B15" s="13"/>
      <c r="C15" s="16"/>
      <c r="D15" s="16"/>
      <c r="E15" s="16"/>
      <c r="F15" s="16"/>
      <c r="G15" s="16"/>
      <c r="H15" s="16"/>
      <c r="I15" s="16"/>
      <c r="J15" s="16"/>
      <c r="K15" s="12"/>
      <c r="L15" s="12"/>
      <c r="M15" s="12"/>
      <c r="N15" s="12"/>
      <c r="O15" s="114">
        <v>585285</v>
      </c>
      <c r="P15" s="12"/>
      <c r="Q15" s="12"/>
      <c r="R15" s="16"/>
      <c r="S15" s="16"/>
      <c r="T15" s="16"/>
      <c r="U15" s="16"/>
      <c r="V15" s="16"/>
    </row>
    <row r="16" spans="1:22" ht="16.5">
      <c r="A16" s="150"/>
      <c r="B16" s="13"/>
      <c r="C16" s="16"/>
      <c r="D16" s="16"/>
      <c r="E16" s="16"/>
      <c r="F16" s="16"/>
      <c r="G16" s="16"/>
      <c r="H16" s="16"/>
      <c r="I16" s="16"/>
      <c r="J16" s="16"/>
      <c r="K16" s="12"/>
      <c r="L16" s="12"/>
      <c r="M16" s="12"/>
      <c r="N16" s="12"/>
      <c r="O16" s="114">
        <v>1965699</v>
      </c>
      <c r="P16" s="12"/>
      <c r="Q16" s="12"/>
      <c r="R16" s="16"/>
      <c r="S16" s="16"/>
      <c r="T16" s="16"/>
      <c r="U16" s="16"/>
      <c r="V16" s="16"/>
    </row>
    <row r="17" spans="1:22" ht="16.5">
      <c r="A17" s="150"/>
      <c r="B17" s="13"/>
      <c r="C17" s="16"/>
      <c r="D17" s="16"/>
      <c r="E17" s="16"/>
      <c r="F17" s="16"/>
      <c r="G17" s="16"/>
      <c r="H17" s="16"/>
      <c r="I17" s="16"/>
      <c r="J17" s="16"/>
      <c r="K17" s="12"/>
      <c r="L17" s="12"/>
      <c r="M17" s="12"/>
      <c r="N17" s="12"/>
      <c r="O17" s="114">
        <v>3644584</v>
      </c>
      <c r="P17" s="12"/>
      <c r="Q17" s="12"/>
      <c r="R17" s="16"/>
      <c r="S17" s="16"/>
      <c r="T17" s="16"/>
      <c r="U17" s="16"/>
      <c r="V17" s="16"/>
    </row>
    <row r="18" spans="1:22" ht="16.5">
      <c r="A18" s="150"/>
      <c r="B18" s="13"/>
      <c r="C18" s="16"/>
      <c r="D18" s="16"/>
      <c r="E18" s="16"/>
      <c r="F18" s="16"/>
      <c r="G18" s="16"/>
      <c r="H18" s="16"/>
      <c r="I18" s="16"/>
      <c r="J18" s="16"/>
      <c r="K18" s="12"/>
      <c r="L18" s="12"/>
      <c r="M18" s="12"/>
      <c r="N18" s="12"/>
      <c r="O18" s="114">
        <v>2099113</v>
      </c>
      <c r="P18" s="12"/>
      <c r="Q18" s="12"/>
      <c r="R18" s="16"/>
      <c r="S18" s="16"/>
      <c r="T18" s="16"/>
      <c r="U18" s="16"/>
      <c r="V18" s="16"/>
    </row>
    <row r="19" spans="1:22" ht="16.5">
      <c r="A19" s="150"/>
      <c r="B19" s="13"/>
      <c r="C19" s="16"/>
      <c r="D19" s="16"/>
      <c r="E19" s="16"/>
      <c r="F19" s="16"/>
      <c r="G19" s="16"/>
      <c r="H19" s="16"/>
      <c r="I19" s="16"/>
      <c r="J19" s="16"/>
      <c r="K19" s="12"/>
      <c r="L19" s="12"/>
      <c r="M19" s="12"/>
      <c r="N19" s="12"/>
      <c r="O19" s="114">
        <v>1834744</v>
      </c>
      <c r="P19" s="12"/>
      <c r="Q19" s="12"/>
      <c r="R19" s="16"/>
      <c r="S19" s="16"/>
      <c r="T19" s="16"/>
      <c r="U19" s="16"/>
      <c r="V19" s="16"/>
    </row>
    <row r="20" spans="1:22" ht="16.5">
      <c r="A20" s="150"/>
      <c r="B20" s="13"/>
      <c r="C20" s="16"/>
      <c r="D20" s="16"/>
      <c r="E20" s="16"/>
      <c r="F20" s="16"/>
      <c r="G20" s="16"/>
      <c r="H20" s="16"/>
      <c r="I20" s="16"/>
      <c r="J20" s="16"/>
      <c r="K20" s="12"/>
      <c r="L20" s="12"/>
      <c r="M20" s="12"/>
      <c r="N20" s="12"/>
      <c r="O20" s="114">
        <v>2692521</v>
      </c>
      <c r="P20" s="12"/>
      <c r="Q20" s="12"/>
      <c r="R20" s="16"/>
      <c r="S20" s="16"/>
      <c r="T20" s="16"/>
      <c r="U20" s="16"/>
      <c r="V20" s="16"/>
    </row>
    <row r="21" spans="1:22">
      <c r="A21" s="3"/>
      <c r="B21" s="6"/>
      <c r="C21" s="6"/>
      <c r="D21" s="6"/>
      <c r="E21" s="6"/>
      <c r="F21" s="6"/>
      <c r="G21" s="6"/>
      <c r="H21" s="6"/>
      <c r="I21" s="6"/>
      <c r="J21" s="6"/>
      <c r="O21" s="6"/>
      <c r="R21" s="6"/>
      <c r="S21" s="6"/>
      <c r="T21" s="6"/>
      <c r="U21" s="6"/>
      <c r="V21" s="6"/>
    </row>
    <row r="22" spans="1:22">
      <c r="A22" s="3" t="str">
        <f>A4</f>
        <v>Noms des groupes</v>
      </c>
      <c r="B22" s="3" t="str">
        <f t="shared" ref="B22:V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estradiol-540ng/L</v>
      </c>
      <c r="J22" s="3" t="str">
        <f t="shared" si="0"/>
        <v>estradiol-270ng/L</v>
      </c>
      <c r="K22" s="3" t="str">
        <f t="shared" si="0"/>
        <v>estradiol-135ng/L</v>
      </c>
      <c r="L22" s="3" t="str">
        <f t="shared" si="0"/>
        <v>estradiol-68ng/L</v>
      </c>
      <c r="M22" s="3" t="str">
        <f t="shared" si="0"/>
        <v>estradiol-34ng/L</v>
      </c>
      <c r="N22" s="3" t="str">
        <f t="shared" si="0"/>
        <v/>
      </c>
      <c r="O22" s="3" t="str">
        <f t="shared" si="0"/>
        <v>Testo -30µg/L</v>
      </c>
      <c r="P22" s="3" t="str">
        <f t="shared" si="0"/>
        <v>Testo 30µg/L + EE2 -64ng/L</v>
      </c>
      <c r="Q22" s="3" t="str">
        <f t="shared" si="0"/>
        <v>Testo 30µg/L + FAD-10mg/L</v>
      </c>
      <c r="R22" s="3" t="str">
        <f t="shared" si="0"/>
        <v>estradiol-540ng/L + Testostérone</v>
      </c>
      <c r="S22" s="3" t="str">
        <f t="shared" si="0"/>
        <v>estradiol-270ng/L + Testostérone</v>
      </c>
      <c r="T22" s="3" t="str">
        <f t="shared" si="0"/>
        <v>estradiol-135ng/L + Testostérone</v>
      </c>
      <c r="U22" s="3" t="str">
        <f t="shared" si="0"/>
        <v>estradiol-68ng/L + Testostérone</v>
      </c>
      <c r="V22" s="3" t="str">
        <f t="shared" si="0"/>
        <v>estradiol-34ng/L + Testostérone</v>
      </c>
    </row>
    <row r="23" spans="1:22">
      <c r="A23" s="5" t="s">
        <v>0</v>
      </c>
      <c r="B23" s="5">
        <f t="shared" ref="B23:J23" si="1">AVERAGE(B5:B20)</f>
        <v>562452.25</v>
      </c>
      <c r="C23" s="5">
        <f t="shared" si="1"/>
        <v>270685.25</v>
      </c>
      <c r="D23" s="5">
        <f t="shared" si="1"/>
        <v>1051936.375</v>
      </c>
      <c r="E23" s="5">
        <f t="shared" si="1"/>
        <v>1768147.125</v>
      </c>
      <c r="F23" s="5">
        <f t="shared" si="1"/>
        <v>2306240.125</v>
      </c>
      <c r="G23" s="5">
        <f t="shared" si="1"/>
        <v>3767333.75</v>
      </c>
      <c r="H23" s="5">
        <f t="shared" si="1"/>
        <v>3716035.75</v>
      </c>
      <c r="I23" s="5">
        <f t="shared" si="1"/>
        <v>3983512.875</v>
      </c>
      <c r="J23" s="5">
        <f t="shared" si="1"/>
        <v>2815701.625</v>
      </c>
      <c r="K23" s="5"/>
      <c r="L23" s="5">
        <f>AVERAGE(L5:L20)</f>
        <v>643237.625</v>
      </c>
      <c r="M23" s="5"/>
      <c r="N23" s="5" t="e">
        <f>AVERAGE(N5:N20)</f>
        <v>#DIV/0!</v>
      </c>
      <c r="O23" s="5">
        <f>AVERAGE(O5:O20)</f>
        <v>2315877.5</v>
      </c>
      <c r="P23" s="5">
        <f>AVERAGE(P5:P20)</f>
        <v>2586439.25</v>
      </c>
      <c r="Q23" s="5">
        <f>AVERAGE(Q5:Q20)</f>
        <v>480343.125</v>
      </c>
      <c r="R23" s="5">
        <f>AVERAGE(R5:R20)</f>
        <v>3771597.25</v>
      </c>
      <c r="S23" s="5">
        <f>AVERAGE(S5:S20)</f>
        <v>3516735.5</v>
      </c>
      <c r="T23" s="5">
        <f t="shared" ref="T23:V23" si="2">AVERAGE(T5:T20)</f>
        <v>3138966.625</v>
      </c>
      <c r="U23" s="5">
        <f t="shared" si="2"/>
        <v>2333797.25</v>
      </c>
      <c r="V23" s="5">
        <f t="shared" si="2"/>
        <v>2621088.5</v>
      </c>
    </row>
    <row r="24" spans="1:22">
      <c r="A24" s="3" t="s">
        <v>1</v>
      </c>
      <c r="B24" s="3">
        <f t="shared" ref="B24:J24" si="3">STDEV(B5:B20)</f>
        <v>335985.00015572546</v>
      </c>
      <c r="C24" s="3">
        <f t="shared" si="3"/>
        <v>241199.81721726668</v>
      </c>
      <c r="D24" s="3">
        <f t="shared" si="3"/>
        <v>621468.65726506221</v>
      </c>
      <c r="E24" s="3">
        <f t="shared" si="3"/>
        <v>780278.7760351951</v>
      </c>
      <c r="F24" s="3">
        <f t="shared" si="3"/>
        <v>690747.59095974884</v>
      </c>
      <c r="G24" s="3">
        <f t="shared" si="3"/>
        <v>866202.12496205862</v>
      </c>
      <c r="H24" s="3">
        <f t="shared" si="3"/>
        <v>858750.7357286514</v>
      </c>
      <c r="I24" s="3">
        <f t="shared" si="3"/>
        <v>769486.97956800833</v>
      </c>
      <c r="J24" s="3">
        <f t="shared" si="3"/>
        <v>1027725.5771711125</v>
      </c>
      <c r="K24" s="3"/>
      <c r="L24" s="3">
        <f>STDEV(L5:L20)</f>
        <v>381330.77809689339</v>
      </c>
      <c r="M24" s="3"/>
      <c r="N24" s="3" t="e">
        <f>STDEV(N5:N20)</f>
        <v>#DIV/0!</v>
      </c>
      <c r="O24" s="3">
        <f>STDEV(O5:O20)</f>
        <v>925859.680758951</v>
      </c>
      <c r="P24" s="3">
        <f>STDEV(P5:P20)</f>
        <v>633765.20007688971</v>
      </c>
      <c r="Q24" s="3">
        <f>STDEV(Q5:Q20)</f>
        <v>201011.30783717296</v>
      </c>
      <c r="R24" s="3">
        <f>STDEV(R5:R20)</f>
        <v>1007510.1391424236</v>
      </c>
      <c r="S24" s="3">
        <f>STDEV(S5:S20)</f>
        <v>752468.16201446601</v>
      </c>
      <c r="T24" s="3">
        <f t="shared" ref="T24:V24" si="4">STDEV(T5:T20)</f>
        <v>825791.18119291042</v>
      </c>
      <c r="U24" s="3">
        <f t="shared" si="4"/>
        <v>465008.90936249815</v>
      </c>
      <c r="V24" s="3">
        <f t="shared" si="4"/>
        <v>518046.68735907797</v>
      </c>
    </row>
    <row r="25" spans="1:22" ht="15.75" thickBot="1"/>
    <row r="26" spans="1:22" ht="15.75" thickBot="1">
      <c r="B26" s="148" t="s">
        <v>6</v>
      </c>
      <c r="C26" s="149"/>
      <c r="D26" s="149"/>
      <c r="E26" s="149"/>
      <c r="F26" s="149"/>
      <c r="G26" s="149"/>
      <c r="H26" s="149"/>
      <c r="I26" s="149"/>
      <c r="J26" s="149"/>
      <c r="K26" s="149"/>
      <c r="L26" s="149"/>
      <c r="M26" s="149"/>
      <c r="N26" s="149"/>
      <c r="O26" s="148" t="s">
        <v>3</v>
      </c>
      <c r="P26" s="149"/>
      <c r="Q26" s="149"/>
      <c r="R26" s="149"/>
      <c r="S26" s="149"/>
      <c r="T26" s="149"/>
      <c r="U26" s="149"/>
      <c r="V26" s="149"/>
    </row>
    <row r="27" spans="1:22">
      <c r="A27" s="18" t="s">
        <v>22</v>
      </c>
      <c r="B27" s="19" t="str">
        <f>B4</f>
        <v>Solvent control</v>
      </c>
      <c r="C27" s="19" t="str">
        <f t="shared" ref="C27:N27" si="5">C4</f>
        <v>EE2-33.8ng/L</v>
      </c>
      <c r="D27" s="19" t="str">
        <f t="shared" si="5"/>
        <v>EE2-50.6ng/L</v>
      </c>
      <c r="E27" s="19" t="str">
        <f t="shared" si="5"/>
        <v>EE2-76ng/L</v>
      </c>
      <c r="F27" s="19" t="str">
        <f t="shared" si="5"/>
        <v>EE2-114ng/L</v>
      </c>
      <c r="G27" s="19" t="str">
        <f t="shared" si="5"/>
        <v>EE2-170.9ng/L</v>
      </c>
      <c r="H27" s="19" t="str">
        <f t="shared" si="5"/>
        <v>EE2-488ng/L</v>
      </c>
      <c r="I27" s="19" t="str">
        <f t="shared" si="5"/>
        <v>estradiol-540ng/L</v>
      </c>
      <c r="J27" s="19" t="str">
        <f t="shared" si="5"/>
        <v>estradiol-270ng/L</v>
      </c>
      <c r="K27" s="19" t="str">
        <f t="shared" si="5"/>
        <v>estradiol-135ng/L</v>
      </c>
      <c r="L27" s="19" t="str">
        <f t="shared" si="5"/>
        <v>estradiol-68ng/L</v>
      </c>
      <c r="M27" s="19" t="str">
        <f t="shared" si="5"/>
        <v>estradiol-34ng/L</v>
      </c>
      <c r="N27" s="19" t="str">
        <f t="shared" si="5"/>
        <v/>
      </c>
      <c r="O27" s="20" t="str">
        <f>O4</f>
        <v>Testo -30µg/L</v>
      </c>
      <c r="P27" s="20" t="str">
        <f t="shared" ref="P27:V27" si="6">P4</f>
        <v>Testo 30µg/L + EE2 -64ng/L</v>
      </c>
      <c r="Q27" s="20" t="str">
        <f t="shared" si="6"/>
        <v>Testo 30µg/L + FAD-10mg/L</v>
      </c>
      <c r="R27" s="20" t="str">
        <f t="shared" si="6"/>
        <v>estradiol-540ng/L + Testostérone</v>
      </c>
      <c r="S27" s="20" t="str">
        <f t="shared" si="6"/>
        <v>estradiol-270ng/L + Testostérone</v>
      </c>
      <c r="T27" s="20" t="str">
        <f t="shared" si="6"/>
        <v>estradiol-135ng/L + Testostérone</v>
      </c>
      <c r="U27" s="20" t="str">
        <f t="shared" si="6"/>
        <v>estradiol-68ng/L + Testostérone</v>
      </c>
      <c r="V27" s="20" t="str">
        <f t="shared" si="6"/>
        <v>estradiol-34ng/L + Testostérone</v>
      </c>
    </row>
    <row r="28" spans="1:22">
      <c r="A28" s="151" t="s">
        <v>72</v>
      </c>
      <c r="B28" s="10">
        <f>IF(B5="","",(B5/$O$23))</f>
        <v>2.9243342966111117E-2</v>
      </c>
      <c r="C28" s="10">
        <f>IF(C5="","",(C5/$O$23))</f>
        <v>0.32329127943943492</v>
      </c>
      <c r="D28" s="10">
        <f>IF(D5="","",(D5/$O$23))</f>
        <v>0.34614136542196211</v>
      </c>
      <c r="E28" s="10">
        <f>IF(E5="","",(E5/$O$23))</f>
        <v>1.0782698998543749</v>
      </c>
      <c r="F28" s="10">
        <f>IF(F5="","",(F5/$O$23))</f>
        <v>1.2694315653569759</v>
      </c>
      <c r="G28" s="10">
        <f>IF(G5="","",(G5/$O$23))</f>
        <v>1.2523607142433051</v>
      </c>
      <c r="H28" s="10">
        <f>IF(H5="","",(H5/$O$23))</f>
        <v>1.93674190452647</v>
      </c>
      <c r="I28" s="10">
        <f>IF(I5="","",(I5/$O$23))</f>
        <v>1.0466352386946201</v>
      </c>
      <c r="J28" s="10">
        <f>IF(J5="","",(J5/$O$23))</f>
        <v>1.9081026522344122</v>
      </c>
      <c r="K28" s="10">
        <f>IF(K5="","",(K5/$O$23))</f>
        <v>0.44788724792222384</v>
      </c>
      <c r="L28" s="10">
        <f>IF(L5="","",(L5/$O$23))</f>
        <v>8.7431222074570006E-2</v>
      </c>
      <c r="M28" s="10">
        <f>IF(M5="","",(M5/$O$23))</f>
        <v>0.23661959667555818</v>
      </c>
      <c r="N28" s="10" t="str">
        <f>IF(N5="","",(N5/$O$23))</f>
        <v/>
      </c>
      <c r="O28" s="10">
        <f t="shared" ref="O28:V39" si="7">IF(O5="","",(O5/$O$23))</f>
        <v>1.7584077741590391</v>
      </c>
      <c r="P28" s="10">
        <f t="shared" si="7"/>
        <v>1.272897638152277</v>
      </c>
      <c r="Q28" s="10">
        <f t="shared" si="7"/>
        <v>0.24593917424388811</v>
      </c>
      <c r="R28" s="10">
        <f t="shared" si="7"/>
        <v>1.465675105872396</v>
      </c>
      <c r="S28" s="10">
        <f t="shared" si="7"/>
        <v>1.5147895344205382</v>
      </c>
      <c r="T28" s="10">
        <f t="shared" si="7"/>
        <v>2.046178176522722</v>
      </c>
      <c r="U28" s="10">
        <f t="shared" si="7"/>
        <v>1.1468771556353909</v>
      </c>
      <c r="V28" s="10">
        <f t="shared" si="7"/>
        <v>1.0317048289471269</v>
      </c>
    </row>
    <row r="29" spans="1:22">
      <c r="A29" s="151"/>
      <c r="B29" s="10">
        <f>IF(B6="","",(B6/$O$23))</f>
        <v>0.19784207066220039</v>
      </c>
      <c r="C29" s="10">
        <f>IF(C6="","",(C6/$O$23))</f>
        <v>2.4155422728533785E-2</v>
      </c>
      <c r="D29" s="10">
        <f>IF(D6="","",(D6/$O$23))</f>
        <v>0.66893823183652845</v>
      </c>
      <c r="E29" s="10">
        <f>IF(E6="","",(E6/$O$23))</f>
        <v>0.63890512343593309</v>
      </c>
      <c r="F29" s="10">
        <f>IF(F6="","",(F6/$O$23))</f>
        <v>1.0942487242956505</v>
      </c>
      <c r="G29" s="10">
        <f>IF(G6="","",(G6/$O$23))</f>
        <v>1.1229631100954174</v>
      </c>
      <c r="H29" s="10">
        <f>IF(H6="","",(H6/$O$23))</f>
        <v>1.5106079660949252</v>
      </c>
      <c r="I29" s="10">
        <f>IF(I6="","",(I6/$O$23))</f>
        <v>1.8053852157551511</v>
      </c>
      <c r="J29" s="10">
        <f>IF(J6="","",(J6/$O$23))</f>
        <v>0.83344822858722023</v>
      </c>
      <c r="K29" s="10">
        <f>IF(K6="","",(K6/$O$23))</f>
        <v>0.89793393648843689</v>
      </c>
      <c r="L29" s="10">
        <f>IF(L6="","",(L6/$O$23))</f>
        <v>0.22152985207550918</v>
      </c>
      <c r="M29" s="10">
        <f>IF(M6="","",(M6/$O$23))</f>
        <v>0.10918755417762814</v>
      </c>
      <c r="N29" s="10" t="str">
        <f>IF(N6="","",(N6/$O$23))</f>
        <v/>
      </c>
      <c r="O29" s="10">
        <f t="shared" si="7"/>
        <v>0.30505283634389124</v>
      </c>
      <c r="P29" s="10">
        <f t="shared" si="7"/>
        <v>1.1630187693433698</v>
      </c>
      <c r="Q29" s="10">
        <f t="shared" si="7"/>
        <v>0.25385064624532172</v>
      </c>
      <c r="R29" s="10">
        <f t="shared" si="7"/>
        <v>1.6894425547119829</v>
      </c>
      <c r="S29" s="10">
        <f t="shared" si="7"/>
        <v>1.8428090432244366</v>
      </c>
      <c r="T29" s="10">
        <f t="shared" si="7"/>
        <v>1.4680590834359761</v>
      </c>
      <c r="U29" s="10">
        <f t="shared" si="7"/>
        <v>0.81991901557832825</v>
      </c>
      <c r="V29" s="10">
        <f t="shared" si="7"/>
        <v>1.1905297236144832</v>
      </c>
    </row>
    <row r="30" spans="1:22">
      <c r="A30" s="151"/>
      <c r="B30" s="10">
        <f>IF(B7="","",(B7/$O$23))</f>
        <v>0.26019381422376614</v>
      </c>
      <c r="C30" s="10">
        <f>IF(C7="","",(C7/$O$23))</f>
        <v>0.204300097911051</v>
      </c>
      <c r="D30" s="10">
        <f>IF(D7="","",(D7/$O$23))</f>
        <v>0.44021240328989769</v>
      </c>
      <c r="E30" s="10">
        <f>IF(E7="","",(E7/$O$23))</f>
        <v>1.096516547183519</v>
      </c>
      <c r="F30" s="10">
        <f>IF(F7="","",(F7/$O$23))</f>
        <v>1.3019958957241908</v>
      </c>
      <c r="G30" s="10">
        <f>IF(G7="","",(G7/$O$23))</f>
        <v>1.2755696274954094</v>
      </c>
      <c r="H30" s="10">
        <f>IF(H7="","",(H7/$O$23))</f>
        <v>1.9742222980274216</v>
      </c>
      <c r="I30" s="10">
        <f>IF(I7="","",(I7/$O$23))</f>
        <v>2.0597000489015502</v>
      </c>
      <c r="J30" s="10">
        <f>IF(J7="","",(J7/$O$23))</f>
        <v>1.1695553845140774</v>
      </c>
      <c r="K30" s="10">
        <f>IF(K7="","",(K7/$O$23))</f>
        <v>0.68133353340148606</v>
      </c>
      <c r="L30" s="10">
        <f>IF(L7="","",(L7/$O$23))</f>
        <v>0.25991184766897213</v>
      </c>
      <c r="M30" s="10">
        <f>IF(M7="","",(M7/$O$23))</f>
        <v>0.1130452711769081</v>
      </c>
      <c r="N30" s="10" t="str">
        <f>IF(N7="","",(N7/$O$23))</f>
        <v/>
      </c>
      <c r="O30" s="10">
        <f t="shared" si="7"/>
        <v>0.88578173931911341</v>
      </c>
      <c r="P30" s="10">
        <f t="shared" si="7"/>
        <v>1.6427729877767714</v>
      </c>
      <c r="Q30" s="10">
        <f t="shared" si="7"/>
        <v>0.12959796016844588</v>
      </c>
      <c r="R30" s="10">
        <f t="shared" si="7"/>
        <v>2.313419427409265</v>
      </c>
      <c r="S30" s="10">
        <f t="shared" si="7"/>
        <v>1.2082789353063796</v>
      </c>
      <c r="T30" s="10">
        <f t="shared" si="7"/>
        <v>1.2865214157484581</v>
      </c>
      <c r="U30" s="10">
        <f t="shared" si="7"/>
        <v>0.9643843424360744</v>
      </c>
      <c r="V30" s="10">
        <f t="shared" si="7"/>
        <v>0.92314122832490064</v>
      </c>
    </row>
    <row r="31" spans="1:22">
      <c r="A31" s="151"/>
      <c r="B31" s="10">
        <f>IF(B8="","",(B8/$O$23))</f>
        <v>0.18924705646131973</v>
      </c>
      <c r="C31" s="10">
        <f>IF(C8="","",(C8/$O$23))</f>
        <v>3.9241281112666795E-2</v>
      </c>
      <c r="D31" s="10">
        <f>IF(D8="","",(D8/$O$23))</f>
        <v>0.90313023896989375</v>
      </c>
      <c r="E31" s="10">
        <f>IF(E8="","",(E8/$O$23))</f>
        <v>0.74806936031806515</v>
      </c>
      <c r="F31" s="10">
        <f>IF(F8="","",(F8/$O$23))</f>
        <v>0.96651053434389345</v>
      </c>
      <c r="G31" s="10">
        <f>IF(G8="","",(G8/$O$23))</f>
        <v>1.9127600661088509</v>
      </c>
      <c r="H31" s="10">
        <f>IF(H8="","",(H8/$O$23))</f>
        <v>2.1141178667697234</v>
      </c>
      <c r="I31" s="10">
        <f>IF(I8="","",(I8/$O$23))</f>
        <v>1.8527128485854714</v>
      </c>
      <c r="J31" s="10">
        <f>IF(J8="","",(J8/$O$23))</f>
        <v>1.2118767076410562</v>
      </c>
      <c r="K31" s="10">
        <f>IF(K8="","",(K8/$O$23))</f>
        <v>1.0633390583051132</v>
      </c>
      <c r="L31" s="10">
        <f>IF(L8="","",(L8/$O$23))</f>
        <v>1.1075715360592259E-2</v>
      </c>
      <c r="M31" s="10">
        <f>IF(M8="","",(M8/$O$23))</f>
        <v>0.56994206299771899</v>
      </c>
      <c r="N31" s="10" t="str">
        <f>IF(N8="","",(N8/$O$23))</f>
        <v/>
      </c>
      <c r="O31" s="10">
        <f t="shared" si="7"/>
        <v>1.2394433643402987</v>
      </c>
      <c r="P31" s="10">
        <f t="shared" si="7"/>
        <v>1.0935725227262669</v>
      </c>
      <c r="Q31" s="10">
        <f t="shared" si="7"/>
        <v>0.38147829494435692</v>
      </c>
      <c r="R31" s="10">
        <f t="shared" si="7"/>
        <v>1.4366183012702529</v>
      </c>
      <c r="S31" s="10">
        <f t="shared" si="7"/>
        <v>1.813425364683581</v>
      </c>
      <c r="T31" s="10">
        <f t="shared" si="7"/>
        <v>0.98511557714084619</v>
      </c>
      <c r="U31" s="10">
        <f t="shared" si="7"/>
        <v>1.3676099016463521</v>
      </c>
      <c r="V31" s="10">
        <f t="shared" si="7"/>
        <v>1.6190338219530178</v>
      </c>
    </row>
    <row r="32" spans="1:22">
      <c r="A32" s="151"/>
      <c r="B32" s="10">
        <f>IF(B9="","",(B9/$O$23))</f>
        <v>0.20263247948131971</v>
      </c>
      <c r="C32" s="10">
        <f>IF(C9="","",(C9/$O$23))</f>
        <v>0.15115825426863036</v>
      </c>
      <c r="D32" s="10">
        <f>IF(D9="","",(D9/$O$23))</f>
        <v>0.12497249962487221</v>
      </c>
      <c r="E32" s="10">
        <f>IF(E9="","",(E9/$O$23))</f>
        <v>0.4997250502239432</v>
      </c>
      <c r="F32" s="10">
        <f>IF(F9="","",(F9/$O$23))</f>
        <v>0.40642823292682795</v>
      </c>
      <c r="G32" s="10">
        <f>IF(G9="","",(G9/$O$23))</f>
        <v>1.6915449975225374</v>
      </c>
      <c r="H32" s="10">
        <f>IF(H9="","",(H9/$O$23))</f>
        <v>1.2346192749832408</v>
      </c>
      <c r="I32" s="10">
        <f>IF(I9="","",(I9/$O$23))</f>
        <v>2.1072491960390822</v>
      </c>
      <c r="J32" s="10">
        <f>IF(J9="","",(J9/$O$23))</f>
        <v>1.3037153303661355</v>
      </c>
      <c r="K32" s="10">
        <f>IF(K9="","",(K9/$O$23))</f>
        <v>0.52583739856706579</v>
      </c>
      <c r="L32" s="10">
        <f>IF(L9="","",(L9/$O$23))</f>
        <v>0.38426255274728477</v>
      </c>
      <c r="M32" s="10">
        <f>IF(M9="","",(M9/$O$23))</f>
        <v>0.58984423830707799</v>
      </c>
      <c r="N32" s="10" t="str">
        <f>IF(N9="","",(N9/$O$23))</f>
        <v/>
      </c>
      <c r="O32" s="10">
        <f t="shared" si="7"/>
        <v>0.81636874143818061</v>
      </c>
      <c r="P32" s="10">
        <f t="shared" si="7"/>
        <v>1.1278493789071313</v>
      </c>
      <c r="Q32" s="10">
        <f t="shared" si="7"/>
        <v>0.12735949980083144</v>
      </c>
      <c r="R32" s="10">
        <f t="shared" si="7"/>
        <v>1.576511279201944</v>
      </c>
      <c r="S32" s="10">
        <f t="shared" si="7"/>
        <v>1.5212674245507372</v>
      </c>
      <c r="T32" s="10">
        <f t="shared" si="7"/>
        <v>1.1227735491190705</v>
      </c>
      <c r="U32" s="10">
        <f t="shared" si="7"/>
        <v>1.0711097629300341</v>
      </c>
      <c r="V32" s="10">
        <f t="shared" si="7"/>
        <v>1.130413849609921</v>
      </c>
    </row>
    <row r="33" spans="1:22">
      <c r="A33" s="151"/>
      <c r="B33" s="10">
        <f>IF(B10="","",(B10/$O$23))</f>
        <v>0.2774244319917612</v>
      </c>
      <c r="C33" s="10">
        <f>IF(C10="","",(C10/$O$23))</f>
        <v>3.1915764111011914E-2</v>
      </c>
      <c r="D33" s="10">
        <f>IF(D10="","",(D10/$O$23))</f>
        <v>0.48209976563959017</v>
      </c>
      <c r="E33" s="10">
        <f>IF(E10="","",(E10/$O$23))</f>
        <v>0.26679606326327709</v>
      </c>
      <c r="F33" s="10">
        <f>IF(F10="","",(F10/$O$23))</f>
        <v>1.0419368036521794</v>
      </c>
      <c r="G33" s="10">
        <f>IF(G10="","",(G10/$O$23))</f>
        <v>1.7392098675340124</v>
      </c>
      <c r="H33" s="10">
        <f>IF(H10="","",(H10/$O$23))</f>
        <v>1.5113653463967762</v>
      </c>
      <c r="I33" s="10">
        <f>IF(I10="","",(I10/$O$23))</f>
        <v>1.574060372364255</v>
      </c>
      <c r="J33" s="10">
        <f>IF(J10="","",(J10/$O$23))</f>
        <v>1.0515556198460412</v>
      </c>
      <c r="K33" s="10">
        <f>IF(K10="","",(K10/$O$23))</f>
        <v>7.4594187300494094E-2</v>
      </c>
      <c r="L33" s="10">
        <f>IF(L10="","",(L10/$O$23))</f>
        <v>0.46209698051818371</v>
      </c>
      <c r="M33" s="10">
        <f>IF(M10="","",(M10/$O$23))</f>
        <v>8.9497825338343676E-2</v>
      </c>
      <c r="N33" s="10" t="str">
        <f>IF(N10="","",(N10/$O$23))</f>
        <v/>
      </c>
      <c r="O33" s="10">
        <f t="shared" si="7"/>
        <v>1.1701037727600014</v>
      </c>
      <c r="P33" s="10">
        <f t="shared" si="7"/>
        <v>0.96703992331200594</v>
      </c>
      <c r="Q33" s="10">
        <f t="shared" si="7"/>
        <v>0.18733590183418597</v>
      </c>
      <c r="R33" s="10">
        <f t="shared" si="7"/>
        <v>1.3424539942203333</v>
      </c>
      <c r="S33" s="10">
        <f t="shared" si="7"/>
        <v>1.9064428062365129</v>
      </c>
      <c r="T33" s="10">
        <f t="shared" si="7"/>
        <v>0.99125061666690051</v>
      </c>
      <c r="U33" s="10">
        <f t="shared" si="7"/>
        <v>1.0878153097476011</v>
      </c>
      <c r="V33" s="10">
        <f t="shared" si="7"/>
        <v>1.2084849047499273</v>
      </c>
    </row>
    <row r="34" spans="1:22">
      <c r="A34" s="151"/>
      <c r="B34" s="10">
        <f>IF(B11="","",(B11/$O$23))</f>
        <v>0.23746117832225583</v>
      </c>
      <c r="C34" s="10">
        <f>IF(C11="","",(C11/$O$23))</f>
        <v>7.7614640670760862E-2</v>
      </c>
      <c r="D34" s="10">
        <f>IF(D11="","",(D11/$O$23))</f>
        <v>0.10332109535154602</v>
      </c>
      <c r="E34" s="10">
        <f>IF(E11="","",(E11/$O$23))</f>
        <v>0.557634848993524</v>
      </c>
      <c r="F34" s="10">
        <f>IF(F11="","",(F11/$O$23))</f>
        <v>1.1534487467493424</v>
      </c>
      <c r="G34" s="10">
        <f>IF(G11="","",(G11/$O$23))</f>
        <v>2.1967608390340163</v>
      </c>
      <c r="H34" s="10">
        <f>IF(H11="","",(H11/$O$23))</f>
        <v>1.4867932349616937</v>
      </c>
      <c r="I34" s="10">
        <f>IF(I11="","",(I11/$O$23))</f>
        <v>1.6593291311824567</v>
      </c>
      <c r="J34" s="10">
        <f>IF(J11="","",(J11/$O$23))</f>
        <v>0.53281013352390183</v>
      </c>
      <c r="K34" s="10">
        <f>IF(K11="","",(K11/$O$23))</f>
        <v>0.5586793774713904</v>
      </c>
      <c r="L34" s="10">
        <f>IF(L11="","",(L11/$O$23))</f>
        <v>0.44682242476124062</v>
      </c>
      <c r="M34" s="10">
        <f>IF(M11="","",(M11/$O$23))</f>
        <v>5.6606189230647995E-2</v>
      </c>
      <c r="N34" s="10" t="str">
        <f>IF(N11="","",(N11/$O$23))</f>
        <v/>
      </c>
      <c r="O34" s="10">
        <f t="shared" si="7"/>
        <v>0.87250167593061378</v>
      </c>
      <c r="P34" s="10">
        <f t="shared" si="7"/>
        <v>0.69635980314157375</v>
      </c>
      <c r="Q34" s="10">
        <f t="shared" si="7"/>
        <v>0.20322059348994065</v>
      </c>
      <c r="R34" s="10">
        <f t="shared" si="7"/>
        <v>1.0094847417447599</v>
      </c>
      <c r="S34" s="10">
        <f t="shared" si="7"/>
        <v>1.3409863000093918</v>
      </c>
      <c r="T34" s="10">
        <f t="shared" si="7"/>
        <v>1.6209354769412458</v>
      </c>
      <c r="U34" s="10">
        <f t="shared" si="7"/>
        <v>0.77769787046162853</v>
      </c>
      <c r="V34" s="10">
        <f t="shared" si="7"/>
        <v>0.99929162919886738</v>
      </c>
    </row>
    <row r="35" spans="1:22">
      <c r="A35" s="151"/>
      <c r="B35" s="10">
        <f>IF(B12="","",(B12/$O$23))</f>
        <v>0.54889863561436214</v>
      </c>
      <c r="C35" s="10">
        <f>IF(C12="","",(C12/$O$23))</f>
        <v>8.3382216891869282E-2</v>
      </c>
      <c r="D35" s="10">
        <f>IF(D12="","",(D12/$O$23))</f>
        <v>0.56500829599147628</v>
      </c>
      <c r="E35" s="10">
        <f>IF(E12="","",(E12/$O$23))</f>
        <v>1.2219955502827762</v>
      </c>
      <c r="F35" s="10">
        <f>IF(F12="","",(F12/$O$23))</f>
        <v>0.73270801240566485</v>
      </c>
      <c r="G35" s="10">
        <f>IF(G12="","",(G12/$O$23))</f>
        <v>1.8227617825208804</v>
      </c>
      <c r="H35" s="10">
        <f>IF(H12="","",(H12/$O$23))</f>
        <v>1.0682585758529974</v>
      </c>
      <c r="I35" s="10">
        <f>IF(I12="","",(I12/$O$23))</f>
        <v>1.655631180837501</v>
      </c>
      <c r="J35" s="10">
        <f>IF(J12="","",(J12/$O$23))</f>
        <v>1.7155354719755256</v>
      </c>
      <c r="K35" s="10">
        <f>IF(K12="","",(K12/$O$23))</f>
        <v>0.53727582741315116</v>
      </c>
      <c r="L35" s="10">
        <f>IF(L12="","",(L12/$O$23))</f>
        <v>0.34887855683212948</v>
      </c>
      <c r="M35" s="10">
        <f>IF(M12="","",(M12/$O$23))</f>
        <v>0.29350213903801042</v>
      </c>
      <c r="N35" s="10" t="str">
        <f>IF(N12="","",(N12/$O$23))</f>
        <v/>
      </c>
      <c r="O35" s="10">
        <f t="shared" si="7"/>
        <v>1.062762171142472</v>
      </c>
      <c r="P35" s="10">
        <f t="shared" si="7"/>
        <v>0.97112131362734</v>
      </c>
      <c r="Q35" s="10">
        <f t="shared" si="7"/>
        <v>0.13052201595291635</v>
      </c>
      <c r="R35" s="10">
        <f t="shared" si="7"/>
        <v>2.1950534948415883</v>
      </c>
      <c r="S35" s="10">
        <f t="shared" si="7"/>
        <v>1.000261455970793</v>
      </c>
      <c r="T35" s="10">
        <f t="shared" si="7"/>
        <v>1.3224568225219167</v>
      </c>
      <c r="U35" s="10">
        <f t="shared" si="7"/>
        <v>0.82648887948520589</v>
      </c>
      <c r="V35" s="10">
        <f t="shared" si="7"/>
        <v>0.95172520999059751</v>
      </c>
    </row>
    <row r="36" spans="1:22">
      <c r="A36" s="151"/>
      <c r="B36" s="10" t="str">
        <f>IF(B13="","",(B13/$O$23))</f>
        <v/>
      </c>
      <c r="C36" s="10" t="str">
        <f>IF(C13="","",(C13/$O$23))</f>
        <v/>
      </c>
      <c r="D36" s="10" t="str">
        <f>IF(D13="","",(D13/$O$23))</f>
        <v/>
      </c>
      <c r="E36" s="10" t="str">
        <f>IF(E13="","",(E13/$O$23))</f>
        <v/>
      </c>
      <c r="F36" s="10" t="str">
        <f>IF(F13="","",(F13/$O$23))</f>
        <v/>
      </c>
      <c r="G36" s="10" t="str">
        <f>IF(G13="","",(G13/$O$23))</f>
        <v/>
      </c>
      <c r="H36" s="10" t="str">
        <f>IF(H13="","",(H13/$O$23))</f>
        <v/>
      </c>
      <c r="I36" s="10" t="str">
        <f>IF(I13="","",(I13/$O$23))</f>
        <v/>
      </c>
      <c r="J36" s="10" t="str">
        <f>IF(J13="","",(J13/$O$23))</f>
        <v/>
      </c>
      <c r="K36" s="10" t="str">
        <f>IF(K13="","",(K13/$O$23))</f>
        <v/>
      </c>
      <c r="L36" s="10" t="str">
        <f>IF(L13="","",(L13/$O$23))</f>
        <v/>
      </c>
      <c r="M36" s="10" t="str">
        <f>IF(M13="","",(M13/$O$23))</f>
        <v/>
      </c>
      <c r="N36" s="10" t="str">
        <f>IF(N13="","",(N13/$O$23))</f>
        <v/>
      </c>
      <c r="O36" s="10">
        <f t="shared" si="7"/>
        <v>1.4362737234590344</v>
      </c>
      <c r="P36" s="10" t="str">
        <f t="shared" si="7"/>
        <v/>
      </c>
      <c r="Q36" s="10" t="str">
        <f t="shared" si="7"/>
        <v/>
      </c>
      <c r="R36" s="10" t="str">
        <f t="shared" si="7"/>
        <v/>
      </c>
      <c r="S36" s="10" t="str">
        <f t="shared" si="7"/>
        <v/>
      </c>
      <c r="T36" s="10" t="str">
        <f t="shared" si="7"/>
        <v/>
      </c>
      <c r="U36" s="10" t="str">
        <f t="shared" si="7"/>
        <v/>
      </c>
      <c r="V36" s="10" t="str">
        <f t="shared" si="7"/>
        <v/>
      </c>
    </row>
    <row r="37" spans="1:22">
      <c r="A37" s="151"/>
      <c r="B37" s="10" t="str">
        <f>IF(B14="","",(B14/$O$23))</f>
        <v/>
      </c>
      <c r="C37" s="10" t="str">
        <f>IF(C14="","",(C14/$O$23))</f>
        <v/>
      </c>
      <c r="D37" s="10" t="str">
        <f>IF(D14="","",(D14/$O$23))</f>
        <v/>
      </c>
      <c r="E37" s="10" t="str">
        <f>IF(E14="","",(E14/$O$23))</f>
        <v/>
      </c>
      <c r="F37" s="10" t="str">
        <f>IF(F14="","",(F14/$O$23))</f>
        <v/>
      </c>
      <c r="G37" s="10" t="str">
        <f>IF(G14="","",(G14/$O$23))</f>
        <v/>
      </c>
      <c r="H37" s="10" t="str">
        <f>IF(H14="","",(H14/$O$23))</f>
        <v/>
      </c>
      <c r="I37" s="10" t="str">
        <f>IF(I14="","",(I14/$O$23))</f>
        <v/>
      </c>
      <c r="J37" s="10" t="str">
        <f>IF(J14="","",(J14/$O$23))</f>
        <v/>
      </c>
      <c r="K37" s="10" t="str">
        <f>IF(K14="","",(K14/$O$23))</f>
        <v/>
      </c>
      <c r="L37" s="10" t="str">
        <f>IF(L14="","",(L14/$O$23))</f>
        <v/>
      </c>
      <c r="M37" s="10" t="str">
        <f>IF(M14="","",(M14/$O$23))</f>
        <v/>
      </c>
      <c r="N37" s="10" t="str">
        <f>IF(N14="","",(N14/$O$23))</f>
        <v/>
      </c>
      <c r="O37" s="10">
        <f t="shared" si="7"/>
        <v>0.91676524341205434</v>
      </c>
      <c r="P37" s="10" t="str">
        <f t="shared" si="7"/>
        <v/>
      </c>
      <c r="Q37" s="10" t="str">
        <f t="shared" si="7"/>
        <v/>
      </c>
      <c r="R37" s="10" t="str">
        <f t="shared" si="7"/>
        <v/>
      </c>
      <c r="S37" s="10" t="str">
        <f t="shared" si="7"/>
        <v/>
      </c>
      <c r="T37" s="10" t="str">
        <f t="shared" si="7"/>
        <v/>
      </c>
      <c r="U37" s="10" t="str">
        <f t="shared" si="7"/>
        <v/>
      </c>
      <c r="V37" s="10" t="str">
        <f t="shared" si="7"/>
        <v/>
      </c>
    </row>
    <row r="38" spans="1:22">
      <c r="A38" s="151"/>
      <c r="B38" s="10" t="str">
        <f>IF(B15="","",(B15/$O$23))</f>
        <v/>
      </c>
      <c r="C38" s="10" t="str">
        <f>IF(C15="","",(C15/$O$23))</f>
        <v/>
      </c>
      <c r="D38" s="10" t="str">
        <f>IF(D15="","",(D15/$O$23))</f>
        <v/>
      </c>
      <c r="E38" s="10" t="str">
        <f>IF(E15="","",(E15/$O$23))</f>
        <v/>
      </c>
      <c r="F38" s="10" t="str">
        <f>IF(F15="","",(F15/$O$23))</f>
        <v/>
      </c>
      <c r="G38" s="10" t="str">
        <f>IF(G15="","",(G15/$O$23))</f>
        <v/>
      </c>
      <c r="H38" s="10" t="str">
        <f>IF(H15="","",(H15/$O$23))</f>
        <v/>
      </c>
      <c r="I38" s="10" t="str">
        <f>IF(I15="","",(I15/$O$23))</f>
        <v/>
      </c>
      <c r="J38" s="10" t="str">
        <f>IF(J15="","",(J15/$O$23))</f>
        <v/>
      </c>
      <c r="K38" s="10" t="str">
        <f>IF(K15="","",(K15/$O$23))</f>
        <v/>
      </c>
      <c r="L38" s="10" t="str">
        <f>IF(L15="","",(L15/$O$23))</f>
        <v/>
      </c>
      <c r="M38" s="10" t="str">
        <f>IF(M15="","",(M15/$O$23))</f>
        <v/>
      </c>
      <c r="N38" s="10" t="str">
        <f>IF(N15="","",(N15/$O$23))</f>
        <v/>
      </c>
      <c r="O38" s="10">
        <f t="shared" si="7"/>
        <v>0.25272709804383003</v>
      </c>
      <c r="P38" s="10" t="str">
        <f t="shared" si="7"/>
        <v/>
      </c>
      <c r="Q38" s="10" t="str">
        <f t="shared" si="7"/>
        <v/>
      </c>
      <c r="R38" s="10" t="str">
        <f t="shared" si="7"/>
        <v/>
      </c>
      <c r="S38" s="10" t="str">
        <f t="shared" si="7"/>
        <v/>
      </c>
      <c r="T38" s="10" t="str">
        <f t="shared" si="7"/>
        <v/>
      </c>
      <c r="U38" s="10" t="str">
        <f t="shared" si="7"/>
        <v/>
      </c>
      <c r="V38" s="10" t="str">
        <f t="shared" si="7"/>
        <v/>
      </c>
    </row>
    <row r="39" spans="1:22">
      <c r="A39" s="151"/>
      <c r="B39" s="10" t="str">
        <f>IF(B16="","",(B16/$O$23))</f>
        <v/>
      </c>
      <c r="C39" s="10" t="str">
        <f>IF(C16="","",(C16/$O$23))</f>
        <v/>
      </c>
      <c r="D39" s="10" t="str">
        <f>IF(D16="","",(D16/$O$23))</f>
        <v/>
      </c>
      <c r="E39" s="10" t="str">
        <f>IF(E16="","",(E16/$O$23))</f>
        <v/>
      </c>
      <c r="F39" s="10" t="str">
        <f>IF(F16="","",(F16/$O$23))</f>
        <v/>
      </c>
      <c r="G39" s="10" t="str">
        <f>IF(G16="","",(G16/$O$23))</f>
        <v/>
      </c>
      <c r="H39" s="10" t="str">
        <f>IF(H16="","",(H16/$O$23))</f>
        <v/>
      </c>
      <c r="I39" s="10" t="str">
        <f>IF(I16="","",(I16/$O$23))</f>
        <v/>
      </c>
      <c r="J39" s="10" t="str">
        <f>IF(J16="","",(J16/$O$23))</f>
        <v/>
      </c>
      <c r="K39" s="10" t="str">
        <f>IF(K16="","",(K16/$O$23))</f>
        <v/>
      </c>
      <c r="L39" s="10" t="str">
        <f>IF(L16="","",(L16/$O$23))</f>
        <v/>
      </c>
      <c r="M39" s="10" t="str">
        <f>IF(M16="","",(M16/$O$23))</f>
        <v/>
      </c>
      <c r="N39" s="10" t="str">
        <f>IF(N16="","",(N16/$O$23))</f>
        <v/>
      </c>
      <c r="O39" s="10">
        <f t="shared" si="7"/>
        <v>0.84879230442888276</v>
      </c>
      <c r="P39" s="10" t="str">
        <f t="shared" si="7"/>
        <v/>
      </c>
      <c r="Q39" s="10" t="str">
        <f t="shared" ref="Q39:V39" si="8">IF(Q16="","",(Q16/$O$23))</f>
        <v/>
      </c>
      <c r="R39" s="10" t="str">
        <f t="shared" si="8"/>
        <v/>
      </c>
      <c r="S39" s="10" t="str">
        <f t="shared" si="8"/>
        <v/>
      </c>
      <c r="T39" s="10" t="str">
        <f t="shared" si="8"/>
        <v/>
      </c>
      <c r="U39" s="10" t="str">
        <f t="shared" si="8"/>
        <v/>
      </c>
      <c r="V39" s="10" t="str">
        <f t="shared" si="8"/>
        <v/>
      </c>
    </row>
    <row r="40" spans="1:22">
      <c r="A40" s="151"/>
      <c r="B40" s="10" t="str">
        <f>IF(B17="","",(B17/$O$23))</f>
        <v/>
      </c>
      <c r="C40" s="10" t="str">
        <f>IF(C17="","",(C17/$O$23))</f>
        <v/>
      </c>
      <c r="D40" s="10" t="str">
        <f>IF(D17="","",(D17/$O$23))</f>
        <v/>
      </c>
      <c r="E40" s="10" t="str">
        <f>IF(E17="","",(E17/$O$23))</f>
        <v/>
      </c>
      <c r="F40" s="10" t="str">
        <f>IF(F17="","",(F17/$O$23))</f>
        <v/>
      </c>
      <c r="G40" s="10" t="str">
        <f>IF(G17="","",(G17/$O$23))</f>
        <v/>
      </c>
      <c r="H40" s="10" t="str">
        <f>IF(H17="","",(H17/$O$23))</f>
        <v/>
      </c>
      <c r="I40" s="10" t="str">
        <f>IF(I17="","",(I17/$O$23))</f>
        <v/>
      </c>
      <c r="J40" s="10" t="str">
        <f>IF(J17="","",(J17/$O$23))</f>
        <v/>
      </c>
      <c r="K40" s="10" t="str">
        <f>IF(K17="","",(K17/$O$23))</f>
        <v/>
      </c>
      <c r="L40" s="10" t="str">
        <f>IF(L17="","",(L17/$O$23))</f>
        <v/>
      </c>
      <c r="M40" s="10" t="str">
        <f>IF(M17="","",(M17/$O$23))</f>
        <v/>
      </c>
      <c r="N40" s="10" t="str">
        <f>IF(N17="","",(N17/$O$23))</f>
        <v/>
      </c>
      <c r="O40" s="10">
        <f t="shared" ref="O40:V43" si="9">IF(O17="","",(O17/$O$23))</f>
        <v>1.5737378164432272</v>
      </c>
      <c r="P40" s="10" t="str">
        <f t="shared" si="9"/>
        <v/>
      </c>
      <c r="Q40" s="10" t="str">
        <f t="shared" si="9"/>
        <v/>
      </c>
      <c r="R40" s="10" t="str">
        <f t="shared" si="9"/>
        <v/>
      </c>
      <c r="S40" s="10" t="str">
        <f t="shared" si="9"/>
        <v/>
      </c>
      <c r="T40" s="10" t="str">
        <f t="shared" si="9"/>
        <v/>
      </c>
      <c r="U40" s="10" t="str">
        <f t="shared" si="9"/>
        <v/>
      </c>
      <c r="V40" s="10" t="str">
        <f t="shared" si="9"/>
        <v/>
      </c>
    </row>
    <row r="41" spans="1:22">
      <c r="A41" s="151"/>
      <c r="B41" s="10" t="str">
        <f>IF(B18="","",(B18/$O$23))</f>
        <v/>
      </c>
      <c r="C41" s="10" t="str">
        <f>IF(C18="","",(C18/$O$23))</f>
        <v/>
      </c>
      <c r="D41" s="10" t="str">
        <f>IF(D18="","",(D18/$O$23))</f>
        <v/>
      </c>
      <c r="E41" s="10" t="str">
        <f>IF(E18="","",(E18/$O$23))</f>
        <v/>
      </c>
      <c r="F41" s="10" t="str">
        <f>IF(F18="","",(F18/$O$23))</f>
        <v/>
      </c>
      <c r="G41" s="10" t="str">
        <f>IF(G18="","",(G18/$O$23))</f>
        <v/>
      </c>
      <c r="H41" s="10" t="str">
        <f>IF(H18="","",(H18/$O$23))</f>
        <v/>
      </c>
      <c r="I41" s="10" t="str">
        <f>IF(I18="","",(I18/$O$23))</f>
        <v/>
      </c>
      <c r="J41" s="10" t="str">
        <f>IF(J18="","",(J18/$O$23))</f>
        <v/>
      </c>
      <c r="K41" s="10" t="str">
        <f>IF(K18="","",(K18/$O$23))</f>
        <v/>
      </c>
      <c r="L41" s="10" t="str">
        <f>IF(L18="","",(L18/$O$23))</f>
        <v/>
      </c>
      <c r="M41" s="10" t="str">
        <f>IF(M18="","",(M18/$O$23))</f>
        <v/>
      </c>
      <c r="N41" s="10" t="str">
        <f>IF(N18="","",(N18/$O$23))</f>
        <v/>
      </c>
      <c r="O41" s="10">
        <f t="shared" si="9"/>
        <v>0.90640070556408969</v>
      </c>
      <c r="P41" s="10" t="str">
        <f t="shared" si="9"/>
        <v/>
      </c>
      <c r="Q41" s="10" t="str">
        <f t="shared" si="9"/>
        <v/>
      </c>
      <c r="R41" s="10" t="str">
        <f t="shared" si="9"/>
        <v/>
      </c>
      <c r="S41" s="10" t="str">
        <f t="shared" si="9"/>
        <v/>
      </c>
      <c r="T41" s="10" t="str">
        <f t="shared" si="9"/>
        <v/>
      </c>
      <c r="U41" s="10" t="str">
        <f t="shared" si="9"/>
        <v/>
      </c>
      <c r="V41" s="10" t="str">
        <f t="shared" si="9"/>
        <v/>
      </c>
    </row>
    <row r="42" spans="1:22">
      <c r="A42" s="151"/>
      <c r="B42" s="10" t="str">
        <f>IF(B19="","",(B19/$O$23))</f>
        <v/>
      </c>
      <c r="C42" s="10" t="str">
        <f>IF(C19="","",(C19/$O$23))</f>
        <v/>
      </c>
      <c r="D42" s="10" t="str">
        <f>IF(D19="","",(D19/$O$23))</f>
        <v/>
      </c>
      <c r="E42" s="10" t="str">
        <f>IF(E19="","",(E19/$O$23))</f>
        <v/>
      </c>
      <c r="F42" s="10" t="str">
        <f>IF(F19="","",(F19/$O$23))</f>
        <v/>
      </c>
      <c r="G42" s="10" t="str">
        <f>IF(G19="","",(G19/$O$23))</f>
        <v/>
      </c>
      <c r="H42" s="10" t="str">
        <f>IF(H19="","",(H19/$O$23))</f>
        <v/>
      </c>
      <c r="I42" s="10" t="str">
        <f>IF(I19="","",(I19/$O$23))</f>
        <v/>
      </c>
      <c r="J42" s="10" t="str">
        <f>IF(J19="","",(J19/$O$23))</f>
        <v/>
      </c>
      <c r="K42" s="10" t="str">
        <f>IF(K19="","",(K19/$O$23))</f>
        <v/>
      </c>
      <c r="L42" s="10" t="str">
        <f>IF(L19="","",(L19/$O$23))</f>
        <v/>
      </c>
      <c r="M42" s="10" t="str">
        <f>IF(M19="","",(M19/$O$23))</f>
        <v/>
      </c>
      <c r="N42" s="10" t="str">
        <f>IF(N19="","",(N19/$O$23))</f>
        <v/>
      </c>
      <c r="O42" s="10">
        <f t="shared" si="9"/>
        <v>0.7922457038422801</v>
      </c>
      <c r="P42" s="10" t="str">
        <f t="shared" si="9"/>
        <v/>
      </c>
      <c r="Q42" s="10" t="str">
        <f t="shared" si="9"/>
        <v/>
      </c>
      <c r="R42" s="10" t="str">
        <f t="shared" si="9"/>
        <v/>
      </c>
      <c r="S42" s="10" t="str">
        <f t="shared" si="9"/>
        <v/>
      </c>
      <c r="T42" s="10" t="str">
        <f t="shared" si="9"/>
        <v/>
      </c>
      <c r="U42" s="10" t="str">
        <f t="shared" si="9"/>
        <v/>
      </c>
      <c r="V42" s="10" t="str">
        <f t="shared" si="9"/>
        <v/>
      </c>
    </row>
    <row r="43" spans="1:22">
      <c r="A43" s="151"/>
      <c r="B43" s="10" t="str">
        <f>IF(B20="","",(B20/$O$23))</f>
        <v/>
      </c>
      <c r="C43" s="10" t="str">
        <f>IF(C20="","",(C20/$O$23))</f>
        <v/>
      </c>
      <c r="D43" s="10" t="str">
        <f>IF(D20="","",(D20/$O$23))</f>
        <v/>
      </c>
      <c r="E43" s="10" t="str">
        <f>IF(E20="","",(E20/$O$23))</f>
        <v/>
      </c>
      <c r="F43" s="10" t="str">
        <f>IF(F20="","",(F20/$O$23))</f>
        <v/>
      </c>
      <c r="G43" s="10" t="str">
        <f>IF(G20="","",(G20/$O$23))</f>
        <v/>
      </c>
      <c r="H43" s="10" t="str">
        <f>IF(H20="","",(H20/$O$23))</f>
        <v/>
      </c>
      <c r="I43" s="10" t="str">
        <f>IF(I20="","",(I20/$O$23))</f>
        <v/>
      </c>
      <c r="J43" s="10" t="str">
        <f>IF(J20="","",(J20/$O$23))</f>
        <v/>
      </c>
      <c r="K43" s="10" t="str">
        <f>IF(K20="","",(K20/$O$23))</f>
        <v/>
      </c>
      <c r="L43" s="10" t="str">
        <f>IF(L20="","",(L20/$O$23))</f>
        <v/>
      </c>
      <c r="M43" s="10" t="str">
        <f>IF(M20="","",(M20/$O$23))</f>
        <v/>
      </c>
      <c r="N43" s="10" t="str">
        <f>IF(N20="","",(N20/$O$23))</f>
        <v/>
      </c>
      <c r="O43" s="10">
        <f t="shared" si="9"/>
        <v>1.1626353293729914</v>
      </c>
      <c r="P43" s="10" t="str">
        <f t="shared" si="9"/>
        <v/>
      </c>
      <c r="Q43" s="10" t="str">
        <f t="shared" si="9"/>
        <v/>
      </c>
      <c r="R43" s="10" t="str">
        <f t="shared" si="9"/>
        <v/>
      </c>
      <c r="S43" s="10" t="str">
        <f t="shared" si="9"/>
        <v/>
      </c>
      <c r="T43" s="10" t="str">
        <f t="shared" si="9"/>
        <v/>
      </c>
      <c r="U43" s="10" t="str">
        <f t="shared" si="9"/>
        <v/>
      </c>
      <c r="V43" s="10" t="str">
        <f t="shared" si="9"/>
        <v/>
      </c>
    </row>
    <row r="44" spans="1:22">
      <c r="A44" s="6"/>
      <c r="B44" s="3"/>
      <c r="C44" s="3"/>
      <c r="D44" s="3"/>
      <c r="E44" s="3"/>
      <c r="F44" s="3"/>
      <c r="G44" s="3"/>
      <c r="H44" s="3"/>
      <c r="I44" s="3"/>
      <c r="J44" s="3"/>
      <c r="K44" s="3"/>
      <c r="L44" s="3"/>
      <c r="M44" s="3"/>
      <c r="N44" s="3"/>
      <c r="O44" s="3"/>
      <c r="P44" s="3"/>
      <c r="Q44" s="3"/>
      <c r="R44" s="3"/>
      <c r="S44" s="3"/>
      <c r="T44" s="3"/>
      <c r="U44" s="3"/>
      <c r="V44" s="3"/>
    </row>
    <row r="45" spans="1:22">
      <c r="A45" s="6" t="str">
        <f>A4</f>
        <v>Noms des groupes</v>
      </c>
      <c r="B45" s="6" t="str">
        <f t="shared" ref="B45:V45" si="10">B4</f>
        <v>Solvent control</v>
      </c>
      <c r="C45" s="6" t="str">
        <f t="shared" si="10"/>
        <v>EE2-33.8ng/L</v>
      </c>
      <c r="D45" s="6" t="str">
        <f t="shared" si="10"/>
        <v>EE2-50.6ng/L</v>
      </c>
      <c r="E45" s="6" t="str">
        <f t="shared" si="10"/>
        <v>EE2-76ng/L</v>
      </c>
      <c r="F45" s="6" t="str">
        <f t="shared" si="10"/>
        <v>EE2-114ng/L</v>
      </c>
      <c r="G45" s="6" t="str">
        <f t="shared" si="10"/>
        <v>EE2-170.9ng/L</v>
      </c>
      <c r="H45" s="6" t="str">
        <f t="shared" si="10"/>
        <v>EE2-488ng/L</v>
      </c>
      <c r="I45" s="6" t="str">
        <f t="shared" si="10"/>
        <v>estradiol-540ng/L</v>
      </c>
      <c r="J45" s="6" t="str">
        <f t="shared" si="10"/>
        <v>estradiol-270ng/L</v>
      </c>
      <c r="K45" s="6" t="str">
        <f t="shared" si="10"/>
        <v>estradiol-135ng/L</v>
      </c>
      <c r="L45" s="6" t="str">
        <f t="shared" si="10"/>
        <v>estradiol-68ng/L</v>
      </c>
      <c r="M45" s="6" t="str">
        <f t="shared" si="10"/>
        <v>estradiol-34ng/L</v>
      </c>
      <c r="N45" s="6" t="str">
        <f t="shared" si="10"/>
        <v/>
      </c>
      <c r="O45" s="6" t="str">
        <f t="shared" si="10"/>
        <v>Testo -30µg/L</v>
      </c>
      <c r="P45" s="6" t="str">
        <f t="shared" si="10"/>
        <v>Testo 30µg/L + EE2 -64ng/L</v>
      </c>
      <c r="Q45" s="6" t="str">
        <f t="shared" si="10"/>
        <v>Testo 30µg/L + FAD-10mg/L</v>
      </c>
      <c r="R45" s="6" t="str">
        <f t="shared" si="10"/>
        <v>estradiol-540ng/L + Testostérone</v>
      </c>
      <c r="S45" s="6" t="str">
        <f t="shared" si="10"/>
        <v>estradiol-270ng/L + Testostérone</v>
      </c>
      <c r="T45" s="6" t="str">
        <f t="shared" si="10"/>
        <v>estradiol-135ng/L + Testostérone</v>
      </c>
      <c r="U45" s="6" t="str">
        <f t="shared" si="10"/>
        <v>estradiol-68ng/L + Testostérone</v>
      </c>
      <c r="V45" s="6" t="str">
        <f t="shared" si="10"/>
        <v>estradiol-34ng/L + Testostérone</v>
      </c>
    </row>
    <row r="46" spans="1:22">
      <c r="A46" s="7" t="s">
        <v>0</v>
      </c>
      <c r="B46" s="9">
        <f t="shared" ref="B46:H46" si="11">AVERAGE(B28:B43)</f>
        <v>0.24286787621538702</v>
      </c>
      <c r="C46" s="9">
        <f t="shared" si="11"/>
        <v>0.11688236964174487</v>
      </c>
      <c r="D46" s="9">
        <f t="shared" si="11"/>
        <v>0.45422798701572087</v>
      </c>
      <c r="E46" s="9">
        <f t="shared" si="11"/>
        <v>0.76348905544442647</v>
      </c>
      <c r="F46" s="9">
        <f t="shared" si="11"/>
        <v>0.9958385644318406</v>
      </c>
      <c r="G46" s="9">
        <f t="shared" si="11"/>
        <v>1.6267413755693039</v>
      </c>
      <c r="H46" s="9">
        <f t="shared" si="11"/>
        <v>1.6045908084516558</v>
      </c>
      <c r="I46" s="9">
        <f>AVERAGE(I28:I43)</f>
        <v>1.720087904045011</v>
      </c>
      <c r="J46" s="8">
        <f>AVERAGE(J28:J43)</f>
        <v>1.2158249410860464</v>
      </c>
      <c r="K46" s="8">
        <f t="shared" ref="K46:N46" si="12">AVERAGE(K28:K43)</f>
        <v>0.59836007085867027</v>
      </c>
      <c r="L46" s="8">
        <f t="shared" si="12"/>
        <v>0.27775114400481027</v>
      </c>
      <c r="M46" s="8">
        <f t="shared" si="12"/>
        <v>0.25728060961773669</v>
      </c>
      <c r="N46" s="8" t="e">
        <f t="shared" si="12"/>
        <v>#DIV/0!</v>
      </c>
      <c r="O46" s="9">
        <f t="shared" ref="O46:V46" si="13">AVERAGE(O28:O43)</f>
        <v>1.0000000000000002</v>
      </c>
      <c r="P46" s="9">
        <f t="shared" si="13"/>
        <v>1.116829042123342</v>
      </c>
      <c r="Q46" s="9">
        <f t="shared" si="13"/>
        <v>0.20741301083498589</v>
      </c>
      <c r="R46" s="9">
        <f t="shared" si="13"/>
        <v>1.6285823624090652</v>
      </c>
      <c r="S46" s="9">
        <f t="shared" si="13"/>
        <v>1.5185326080502963</v>
      </c>
      <c r="T46" s="9">
        <f t="shared" si="13"/>
        <v>1.3554113397621419</v>
      </c>
      <c r="U46" s="9">
        <f t="shared" si="13"/>
        <v>1.0077377797400771</v>
      </c>
      <c r="V46" s="9">
        <f t="shared" si="13"/>
        <v>1.131790649548605</v>
      </c>
    </row>
    <row r="47" spans="1:22">
      <c r="A47" s="7" t="s">
        <v>1</v>
      </c>
      <c r="B47" s="7">
        <f t="shared" ref="B47:N47" si="14">STDEV(B28:B43)</f>
        <v>0.14507891723794789</v>
      </c>
      <c r="C47" s="7">
        <f t="shared" si="14"/>
        <v>0.1041505076228197</v>
      </c>
      <c r="D47" s="7">
        <f t="shared" si="14"/>
        <v>0.26835126523966057</v>
      </c>
      <c r="E47" s="7">
        <f t="shared" si="14"/>
        <v>0.33692575537142871</v>
      </c>
      <c r="F47" s="7">
        <f t="shared" si="14"/>
        <v>0.29826603132495066</v>
      </c>
      <c r="G47" s="7">
        <f t="shared" si="14"/>
        <v>0.37402760938869023</v>
      </c>
      <c r="H47" s="7">
        <f t="shared" si="14"/>
        <v>0.37081008634034168</v>
      </c>
      <c r="I47" s="7">
        <f t="shared" si="14"/>
        <v>0.33226583857220782</v>
      </c>
      <c r="J47" s="7">
        <f t="shared" si="14"/>
        <v>0.44377372169776325</v>
      </c>
      <c r="K47" s="7">
        <f t="shared" si="14"/>
        <v>0.29769896267986812</v>
      </c>
      <c r="L47" s="7">
        <f t="shared" si="14"/>
        <v>0.1646593043444195</v>
      </c>
      <c r="M47" s="7">
        <f t="shared" si="14"/>
        <v>0.21422661560300119</v>
      </c>
      <c r="N47" s="7" t="e">
        <f t="shared" si="14"/>
        <v>#DIV/0!</v>
      </c>
      <c r="O47" s="7">
        <f t="shared" ref="O47:V47" si="15">STDEV(O28:O43)</f>
        <v>0.39978784748284368</v>
      </c>
      <c r="P47" s="7">
        <f t="shared" si="15"/>
        <v>0.27366093417155701</v>
      </c>
      <c r="Q47" s="7">
        <f t="shared" si="15"/>
        <v>8.6797038201361171E-2</v>
      </c>
      <c r="R47" s="7">
        <f t="shared" si="15"/>
        <v>0.43504465980710361</v>
      </c>
      <c r="S47" s="7">
        <f t="shared" si="15"/>
        <v>0.32491708305576006</v>
      </c>
      <c r="T47" s="7">
        <f t="shared" si="15"/>
        <v>0.35657809240467714</v>
      </c>
      <c r="U47" s="7">
        <f t="shared" si="15"/>
        <v>0.20079166940500803</v>
      </c>
      <c r="V47" s="7">
        <f t="shared" si="15"/>
        <v>0.22369347573828086</v>
      </c>
    </row>
    <row r="48" spans="1:22">
      <c r="A48" s="7" t="s">
        <v>2</v>
      </c>
      <c r="B48" s="7">
        <f t="shared" ref="B48:N48" si="16" xml:space="preserve"> B47/SQRT(COUNT(B28:B43))</f>
        <v>5.129314309307742E-2</v>
      </c>
      <c r="C48" s="7">
        <f t="shared" si="16"/>
        <v>3.6822765102058508E-2</v>
      </c>
      <c r="D48" s="7">
        <f t="shared" si="16"/>
        <v>9.4876499695476915E-2</v>
      </c>
      <c r="E48" s="7">
        <f t="shared" si="16"/>
        <v>0.11912124318976854</v>
      </c>
      <c r="F48" s="7">
        <f t="shared" si="16"/>
        <v>0.1054529666737359</v>
      </c>
      <c r="G48" s="7">
        <f t="shared" si="16"/>
        <v>0.13223872947486801</v>
      </c>
      <c r="H48" s="7">
        <f t="shared" si="16"/>
        <v>0.13110116329181237</v>
      </c>
      <c r="I48" s="7">
        <f t="shared" si="16"/>
        <v>0.11747371380552143</v>
      </c>
      <c r="J48" s="7">
        <f t="shared" si="16"/>
        <v>0.15689770396244004</v>
      </c>
      <c r="K48" s="7">
        <f t="shared" si="16"/>
        <v>0.10525247763156784</v>
      </c>
      <c r="L48" s="7">
        <f t="shared" si="16"/>
        <v>5.8215855343699281E-2</v>
      </c>
      <c r="M48" s="7">
        <f t="shared" si="16"/>
        <v>7.5740546301762982E-2</v>
      </c>
      <c r="N48" s="7" t="e">
        <f t="shared" si="16"/>
        <v>#DIV/0!</v>
      </c>
      <c r="O48" s="7">
        <f t="shared" ref="O48:V48" si="17" xml:space="preserve"> O47/SQRT(COUNT(O28:O43))</f>
        <v>9.9946961870710921E-2</v>
      </c>
      <c r="P48" s="7">
        <f t="shared" si="17"/>
        <v>9.6753751149276673E-2</v>
      </c>
      <c r="Q48" s="7">
        <f t="shared" si="17"/>
        <v>3.0687387149545147E-2</v>
      </c>
      <c r="R48" s="7">
        <f t="shared" si="17"/>
        <v>0.15381151453429881</v>
      </c>
      <c r="S48" s="7">
        <f t="shared" si="17"/>
        <v>0.1148755363760403</v>
      </c>
      <c r="T48" s="7">
        <f t="shared" si="17"/>
        <v>0.12606939358095529</v>
      </c>
      <c r="U48" s="7">
        <f t="shared" si="17"/>
        <v>7.0990575521024293E-2</v>
      </c>
      <c r="V48" s="7">
        <f t="shared" si="17"/>
        <v>7.9087586800863419E-2</v>
      </c>
    </row>
    <row r="49" spans="1:22" ht="15.75" thickBot="1">
      <c r="A49" s="7"/>
      <c r="B49" s="7"/>
      <c r="C49" s="7"/>
      <c r="D49" s="7"/>
      <c r="E49" s="7"/>
      <c r="F49" s="7"/>
      <c r="G49" s="7"/>
      <c r="H49" s="7"/>
      <c r="I49" s="7"/>
      <c r="J49" s="7"/>
      <c r="K49" s="7"/>
      <c r="L49" s="7"/>
      <c r="M49" s="7"/>
      <c r="N49" s="7"/>
      <c r="O49" s="7"/>
      <c r="P49" s="7"/>
      <c r="Q49" s="7"/>
      <c r="R49" s="7"/>
      <c r="S49" s="7"/>
      <c r="T49" s="7"/>
      <c r="U49" s="7"/>
      <c r="V49" s="7"/>
    </row>
    <row r="50" spans="1:22" ht="27" thickBot="1">
      <c r="A50" s="142" t="s">
        <v>24</v>
      </c>
      <c r="B50" s="143"/>
      <c r="C50" s="143"/>
      <c r="D50" s="143"/>
      <c r="E50" s="143"/>
      <c r="F50" s="143"/>
      <c r="G50" s="143"/>
      <c r="H50" s="143"/>
      <c r="I50" s="143"/>
      <c r="J50" s="143"/>
      <c r="K50" s="143"/>
      <c r="L50" s="143"/>
      <c r="M50" s="143"/>
      <c r="N50" s="143"/>
      <c r="O50" s="143"/>
      <c r="P50" s="143"/>
      <c r="Q50" s="143"/>
      <c r="R50" s="143"/>
      <c r="S50" s="143"/>
      <c r="T50" s="143"/>
      <c r="U50" s="143"/>
      <c r="V50" s="143"/>
    </row>
    <row r="51" spans="1:22" ht="15.75" thickBot="1"/>
    <row r="52" spans="1:22">
      <c r="A52" s="28" t="str">
        <f t="shared" ref="A52:H52" si="18">A27</f>
        <v>Noms des groupes</v>
      </c>
      <c r="B52" s="29" t="str">
        <f t="shared" si="18"/>
        <v>Solvent control</v>
      </c>
      <c r="C52" s="29" t="str">
        <f t="shared" si="18"/>
        <v>EE2-33.8ng/L</v>
      </c>
      <c r="D52" s="29" t="str">
        <f t="shared" si="18"/>
        <v>EE2-50.6ng/L</v>
      </c>
      <c r="E52" s="29" t="str">
        <f t="shared" si="18"/>
        <v>EE2-76ng/L</v>
      </c>
      <c r="F52" s="29" t="str">
        <f t="shared" si="18"/>
        <v>EE2-114ng/L</v>
      </c>
      <c r="G52" s="29" t="str">
        <f t="shared" si="18"/>
        <v>EE2-170.9ng/L</v>
      </c>
      <c r="H52" s="29" t="str">
        <f t="shared" si="18"/>
        <v>EE2-488ng/L</v>
      </c>
      <c r="I52" s="29" t="str">
        <f>I4</f>
        <v>estradiol-540ng/L</v>
      </c>
      <c r="J52" s="29" t="str">
        <f>J4</f>
        <v>estradiol-270ng/L</v>
      </c>
      <c r="K52" s="29" t="str">
        <f t="shared" ref="K52:N52" si="19">K4</f>
        <v>estradiol-135ng/L</v>
      </c>
      <c r="L52" s="29" t="str">
        <f t="shared" si="19"/>
        <v>estradiol-68ng/L</v>
      </c>
      <c r="M52" s="29" t="str">
        <f t="shared" si="19"/>
        <v>estradiol-34ng/L</v>
      </c>
      <c r="N52" s="29" t="str">
        <f t="shared" si="19"/>
        <v/>
      </c>
      <c r="O52" s="29" t="str">
        <f>O27</f>
        <v>Testo -30µg/L</v>
      </c>
      <c r="P52" s="29" t="str">
        <f>P27</f>
        <v>Testo 30µg/L + EE2 -64ng/L</v>
      </c>
      <c r="Q52" s="29" t="str">
        <f>Q27</f>
        <v>Testo 30µg/L + FAD-10mg/L</v>
      </c>
      <c r="R52" s="29" t="str">
        <f>R27</f>
        <v>estradiol-540ng/L + Testostérone</v>
      </c>
      <c r="S52" s="29" t="str">
        <f t="shared" ref="S52:V52" si="20">S27</f>
        <v>estradiol-270ng/L + Testostérone</v>
      </c>
      <c r="T52" s="29" t="str">
        <f t="shared" si="20"/>
        <v>estradiol-135ng/L + Testostérone</v>
      </c>
      <c r="U52" s="29" t="str">
        <f t="shared" si="20"/>
        <v>estradiol-68ng/L + Testostérone</v>
      </c>
      <c r="V52" s="29" t="str">
        <f t="shared" si="20"/>
        <v>estradiol-34ng/L + Testostérone</v>
      </c>
    </row>
    <row r="53" spans="1:22" s="3" customFormat="1">
      <c r="A53" s="43" t="s">
        <v>15</v>
      </c>
      <c r="B53" s="75">
        <f t="shared" ref="B53:V53" si="21">B46</f>
        <v>0.24286787621538702</v>
      </c>
      <c r="C53" s="75">
        <f t="shared" si="21"/>
        <v>0.11688236964174487</v>
      </c>
      <c r="D53" s="75">
        <f t="shared" si="21"/>
        <v>0.45422798701572087</v>
      </c>
      <c r="E53" s="75">
        <f t="shared" si="21"/>
        <v>0.76348905544442647</v>
      </c>
      <c r="F53" s="75">
        <f t="shared" si="21"/>
        <v>0.9958385644318406</v>
      </c>
      <c r="G53" s="75">
        <f t="shared" si="21"/>
        <v>1.6267413755693039</v>
      </c>
      <c r="H53" s="75">
        <f t="shared" si="21"/>
        <v>1.6045908084516558</v>
      </c>
      <c r="I53" s="75">
        <f t="shared" si="21"/>
        <v>1.720087904045011</v>
      </c>
      <c r="J53" s="75">
        <f t="shared" si="21"/>
        <v>1.2158249410860464</v>
      </c>
      <c r="K53" s="75">
        <f t="shared" si="21"/>
        <v>0.59836007085867027</v>
      </c>
      <c r="L53" s="75">
        <f t="shared" si="21"/>
        <v>0.27775114400481027</v>
      </c>
      <c r="M53" s="75">
        <f t="shared" si="21"/>
        <v>0.25728060961773669</v>
      </c>
      <c r="N53" s="75" t="e">
        <f t="shared" si="21"/>
        <v>#DIV/0!</v>
      </c>
      <c r="O53" s="75">
        <f t="shared" si="21"/>
        <v>1.0000000000000002</v>
      </c>
      <c r="P53" s="75">
        <f t="shared" si="21"/>
        <v>1.116829042123342</v>
      </c>
      <c r="Q53" s="75">
        <f t="shared" si="21"/>
        <v>0.20741301083498589</v>
      </c>
      <c r="R53" s="75">
        <f t="shared" si="21"/>
        <v>1.6285823624090652</v>
      </c>
      <c r="S53" s="75">
        <f t="shared" si="21"/>
        <v>1.5185326080502963</v>
      </c>
      <c r="T53" s="75">
        <f t="shared" si="21"/>
        <v>1.3554113397621419</v>
      </c>
      <c r="U53" s="75">
        <f t="shared" si="21"/>
        <v>1.0077377797400771</v>
      </c>
      <c r="V53" s="75">
        <f t="shared" si="21"/>
        <v>1.131790649548605</v>
      </c>
    </row>
    <row r="54" spans="1:22" s="3" customFormat="1">
      <c r="A54" s="43" t="s">
        <v>2</v>
      </c>
      <c r="B54" s="75">
        <f t="shared" ref="B54:V54" si="22">B48</f>
        <v>5.129314309307742E-2</v>
      </c>
      <c r="C54" s="75">
        <f t="shared" si="22"/>
        <v>3.6822765102058508E-2</v>
      </c>
      <c r="D54" s="75">
        <f t="shared" si="22"/>
        <v>9.4876499695476915E-2</v>
      </c>
      <c r="E54" s="75">
        <f t="shared" si="22"/>
        <v>0.11912124318976854</v>
      </c>
      <c r="F54" s="75">
        <f t="shared" si="22"/>
        <v>0.1054529666737359</v>
      </c>
      <c r="G54" s="75">
        <f t="shared" si="22"/>
        <v>0.13223872947486801</v>
      </c>
      <c r="H54" s="75">
        <f t="shared" si="22"/>
        <v>0.13110116329181237</v>
      </c>
      <c r="I54" s="75">
        <f t="shared" si="22"/>
        <v>0.11747371380552143</v>
      </c>
      <c r="J54" s="75">
        <f t="shared" si="22"/>
        <v>0.15689770396244004</v>
      </c>
      <c r="K54" s="75">
        <f t="shared" si="22"/>
        <v>0.10525247763156784</v>
      </c>
      <c r="L54" s="75">
        <f t="shared" si="22"/>
        <v>5.8215855343699281E-2</v>
      </c>
      <c r="M54" s="75">
        <f t="shared" si="22"/>
        <v>7.5740546301762982E-2</v>
      </c>
      <c r="N54" s="75" t="e">
        <f t="shared" si="22"/>
        <v>#DIV/0!</v>
      </c>
      <c r="O54" s="75">
        <f t="shared" si="22"/>
        <v>9.9946961870710921E-2</v>
      </c>
      <c r="P54" s="75">
        <f t="shared" si="22"/>
        <v>9.6753751149276673E-2</v>
      </c>
      <c r="Q54" s="75">
        <f t="shared" si="22"/>
        <v>3.0687387149545147E-2</v>
      </c>
      <c r="R54" s="75">
        <f t="shared" si="22"/>
        <v>0.15381151453429881</v>
      </c>
      <c r="S54" s="75">
        <f t="shared" si="22"/>
        <v>0.1148755363760403</v>
      </c>
      <c r="T54" s="75">
        <f t="shared" si="22"/>
        <v>0.12606939358095529</v>
      </c>
      <c r="U54" s="75">
        <f t="shared" si="22"/>
        <v>7.0990575521024293E-2</v>
      </c>
      <c r="V54" s="75">
        <f t="shared" si="22"/>
        <v>7.9087586800863419E-2</v>
      </c>
    </row>
    <row r="55" spans="1:22" s="3" customFormat="1">
      <c r="A55" s="43" t="s">
        <v>42</v>
      </c>
      <c r="B55" s="75">
        <f>(B53*100/$B53)-100</f>
        <v>0</v>
      </c>
      <c r="C55" s="75">
        <f t="shared" ref="C55:N55" si="23">(C53*100/$B53)-100</f>
        <v>-51.874092422956792</v>
      </c>
      <c r="D55" s="75">
        <f t="shared" si="23"/>
        <v>87.026787607303561</v>
      </c>
      <c r="E55" s="75">
        <f t="shared" si="23"/>
        <v>214.36395267331579</v>
      </c>
      <c r="F55" s="75">
        <f t="shared" si="23"/>
        <v>310.03305169461055</v>
      </c>
      <c r="G55" s="75">
        <f t="shared" si="23"/>
        <v>569.80508123134018</v>
      </c>
      <c r="H55" s="75">
        <f t="shared" si="23"/>
        <v>560.68466256468878</v>
      </c>
      <c r="I55" s="75">
        <f t="shared" si="23"/>
        <v>608.24018838932557</v>
      </c>
      <c r="J55" s="75">
        <f t="shared" si="23"/>
        <v>400.61167414656103</v>
      </c>
      <c r="K55" s="75">
        <f t="shared" si="23"/>
        <v>146.37266985775241</v>
      </c>
      <c r="L55" s="75">
        <f t="shared" si="23"/>
        <v>14.363063708963736</v>
      </c>
      <c r="M55" s="75">
        <f t="shared" si="23"/>
        <v>5.9343926528874249</v>
      </c>
      <c r="N55" s="75" t="e">
        <f t="shared" si="23"/>
        <v>#DIV/0!</v>
      </c>
      <c r="O55" s="75">
        <f>(O53*100/$O53)-100</f>
        <v>0</v>
      </c>
      <c r="P55" s="75">
        <f t="shared" ref="P55:V55" si="24">(P53*100/$O53)-100</f>
        <v>11.682904212334165</v>
      </c>
      <c r="Q55" s="75">
        <f t="shared" si="24"/>
        <v>-79.258698916501416</v>
      </c>
      <c r="R55" s="75">
        <f t="shared" si="24"/>
        <v>62.858236240906479</v>
      </c>
      <c r="S55" s="75">
        <f t="shared" si="24"/>
        <v>51.853260805029606</v>
      </c>
      <c r="T55" s="75">
        <f t="shared" si="24"/>
        <v>35.541133976214155</v>
      </c>
      <c r="U55" s="75">
        <f t="shared" si="24"/>
        <v>0.77377797400767179</v>
      </c>
      <c r="V55" s="75">
        <f t="shared" si="24"/>
        <v>13.179064954860465</v>
      </c>
    </row>
    <row r="56" spans="1:22" s="3" customFormat="1">
      <c r="A56" s="43" t="s">
        <v>43</v>
      </c>
      <c r="B56" s="75" t="e">
        <f ca="1">[1]!SWTEST(B28:B43)</f>
        <v>#NAME?</v>
      </c>
      <c r="C56" s="75" t="e">
        <f ca="1">[1]!SWTEST(C28:C43)</f>
        <v>#NAME?</v>
      </c>
      <c r="D56" s="75" t="e">
        <f ca="1">[1]!SWTEST(D28:D43)</f>
        <v>#NAME?</v>
      </c>
      <c r="E56" s="75" t="e">
        <f ca="1">[1]!SWTEST(E28:E43)</f>
        <v>#NAME?</v>
      </c>
      <c r="F56" s="75" t="e">
        <f ca="1">[1]!SWTEST(F28:F43)</f>
        <v>#NAME?</v>
      </c>
      <c r="G56" s="75" t="e">
        <f ca="1">[1]!SWTEST(G28:G43)</f>
        <v>#NAME?</v>
      </c>
      <c r="H56" s="75" t="e">
        <f ca="1">[1]!SWTEST(H28:H43)</f>
        <v>#NAME?</v>
      </c>
      <c r="I56" s="75" t="e">
        <f ca="1">[1]!SWTEST(I28:I43)</f>
        <v>#NAME?</v>
      </c>
      <c r="J56" s="75" t="e">
        <f ca="1">[1]!SWTEST(J28:J43)</f>
        <v>#NAME?</v>
      </c>
      <c r="K56" s="75" t="e">
        <f ca="1">[1]!SWTEST(K28:K43)</f>
        <v>#NAME?</v>
      </c>
      <c r="L56" s="75" t="e">
        <f ca="1">[1]!SWTEST(L28:L43)</f>
        <v>#NAME?</v>
      </c>
      <c r="M56" s="75" t="e">
        <f ca="1">[1]!SWTEST(M28:M43)</f>
        <v>#NAME?</v>
      </c>
      <c r="N56" s="75" t="e">
        <f ca="1">[1]!SWTEST(N28:N43)</f>
        <v>#NAME?</v>
      </c>
      <c r="O56" s="75" t="e">
        <f ca="1">[1]!SWTEST(O28:O43)</f>
        <v>#NAME?</v>
      </c>
      <c r="P56" s="75" t="e">
        <f ca="1">[1]!SWTEST(P28:P43)</f>
        <v>#NAME?</v>
      </c>
      <c r="Q56" s="75" t="e">
        <f ca="1">[1]!SWTEST(Q28:Q43)</f>
        <v>#NAME?</v>
      </c>
      <c r="R56" s="75" t="e">
        <f ca="1">[1]!SWTEST(R28:R43)</f>
        <v>#NAME?</v>
      </c>
      <c r="S56" s="75" t="e">
        <f ca="1">[1]!SWTEST(S28:S43)</f>
        <v>#NAME?</v>
      </c>
      <c r="T56" s="75" t="e">
        <f ca="1">[1]!SWTEST(T28:T43)</f>
        <v>#NAME?</v>
      </c>
      <c r="U56" s="75" t="e">
        <f ca="1">[1]!SWTEST(U28:U43)</f>
        <v>#NAME?</v>
      </c>
      <c r="V56" s="75" t="e">
        <f ca="1">[1]!SWTEST(V28:V43)</f>
        <v>#NAME?</v>
      </c>
    </row>
    <row r="57" spans="1:22" s="3" customFormat="1">
      <c r="A57" s="43" t="s">
        <v>47</v>
      </c>
      <c r="B57" s="75" t="e">
        <f ca="1">IF(B56&gt;0.05,"Oui","Non")</f>
        <v>#NAME?</v>
      </c>
      <c r="C57" s="75" t="e">
        <f t="shared" ref="C57:V57" ca="1" si="25">IF(C56&gt;0.05,"Oui","Non")</f>
        <v>#NAME?</v>
      </c>
      <c r="D57" s="75" t="e">
        <f t="shared" ca="1" si="25"/>
        <v>#NAME?</v>
      </c>
      <c r="E57" s="75" t="e">
        <f t="shared" ca="1" si="25"/>
        <v>#NAME?</v>
      </c>
      <c r="F57" s="75" t="e">
        <f t="shared" ca="1" si="25"/>
        <v>#NAME?</v>
      </c>
      <c r="G57" s="75" t="e">
        <f t="shared" ca="1" si="25"/>
        <v>#NAME?</v>
      </c>
      <c r="H57" s="75" t="e">
        <f t="shared" ca="1" si="25"/>
        <v>#NAME?</v>
      </c>
      <c r="I57" s="75" t="e">
        <f t="shared" ca="1" si="25"/>
        <v>#NAME?</v>
      </c>
      <c r="J57" s="75" t="e">
        <f t="shared" ca="1" si="25"/>
        <v>#NAME?</v>
      </c>
      <c r="K57" s="75" t="e">
        <f t="shared" ca="1" si="25"/>
        <v>#NAME?</v>
      </c>
      <c r="L57" s="75" t="e">
        <f t="shared" ca="1" si="25"/>
        <v>#NAME?</v>
      </c>
      <c r="M57" s="75" t="e">
        <f t="shared" ca="1" si="25"/>
        <v>#NAME?</v>
      </c>
      <c r="N57" s="75" t="e">
        <f t="shared" ca="1" si="25"/>
        <v>#NAME?</v>
      </c>
      <c r="O57" s="75" t="e">
        <f t="shared" ca="1" si="25"/>
        <v>#NAME?</v>
      </c>
      <c r="P57" s="75" t="e">
        <f t="shared" ca="1" si="25"/>
        <v>#NAME?</v>
      </c>
      <c r="Q57" s="75" t="e">
        <f t="shared" ca="1" si="25"/>
        <v>#NAME?</v>
      </c>
      <c r="R57" s="75" t="e">
        <f t="shared" ca="1" si="25"/>
        <v>#NAME?</v>
      </c>
      <c r="S57" s="75" t="e">
        <f t="shared" ca="1" si="25"/>
        <v>#NAME?</v>
      </c>
      <c r="T57" s="75" t="e">
        <f t="shared" ca="1" si="25"/>
        <v>#NAME?</v>
      </c>
      <c r="U57" s="75" t="e">
        <f t="shared" ca="1" si="25"/>
        <v>#NAME?</v>
      </c>
      <c r="V57" s="75" t="e">
        <f t="shared" ca="1" si="25"/>
        <v>#NAME?</v>
      </c>
    </row>
    <row r="58" spans="1:22" s="3" customFormat="1">
      <c r="A58" s="43"/>
      <c r="B58" s="75"/>
      <c r="C58" s="75"/>
      <c r="D58" s="75"/>
      <c r="E58" s="75"/>
      <c r="F58" s="75"/>
      <c r="G58" s="75"/>
      <c r="H58" s="75"/>
      <c r="I58" s="75"/>
      <c r="J58" s="75"/>
      <c r="K58" s="75"/>
      <c r="L58" s="75"/>
      <c r="M58" s="75"/>
      <c r="N58" s="75"/>
      <c r="O58" s="77"/>
      <c r="P58" s="75"/>
      <c r="Q58" s="75"/>
      <c r="R58" s="75"/>
      <c r="S58" s="75"/>
      <c r="T58" s="75"/>
      <c r="U58" s="75"/>
      <c r="V58" s="75"/>
    </row>
    <row r="59" spans="1:22" s="3" customFormat="1">
      <c r="A59" s="43" t="s">
        <v>44</v>
      </c>
      <c r="B59" s="78"/>
      <c r="C59" s="78" t="e">
        <f t="shared" ref="C59:O59" ca="1" si="26">IF($B57="Non",IF(C57="Non","MW",IF(C57="Oui","MW","")),IF($B57="Oui",IF(C57="Oui","T-Test Welch",IF(C57="Non","MW",""))))</f>
        <v>#NAME?</v>
      </c>
      <c r="D59" s="78" t="e">
        <f t="shared" ca="1" si="26"/>
        <v>#NAME?</v>
      </c>
      <c r="E59" s="78" t="e">
        <f t="shared" ca="1" si="26"/>
        <v>#NAME?</v>
      </c>
      <c r="F59" s="78" t="e">
        <f t="shared" ca="1" si="26"/>
        <v>#NAME?</v>
      </c>
      <c r="G59" s="78" t="e">
        <f t="shared" ca="1" si="26"/>
        <v>#NAME?</v>
      </c>
      <c r="H59" s="78" t="e">
        <f t="shared" ca="1" si="26"/>
        <v>#NAME?</v>
      </c>
      <c r="I59" s="78" t="e">
        <f t="shared" ca="1" si="26"/>
        <v>#NAME?</v>
      </c>
      <c r="J59" s="78" t="e">
        <f t="shared" ca="1" si="26"/>
        <v>#NAME?</v>
      </c>
      <c r="K59" s="78" t="e">
        <f t="shared" ca="1" si="26"/>
        <v>#NAME?</v>
      </c>
      <c r="L59" s="78" t="e">
        <f t="shared" ca="1" si="26"/>
        <v>#NAME?</v>
      </c>
      <c r="M59" s="78" t="e">
        <f t="shared" ca="1" si="26"/>
        <v>#NAME?</v>
      </c>
      <c r="N59" s="78" t="e">
        <f t="shared" ca="1" si="26"/>
        <v>#NAME?</v>
      </c>
      <c r="O59" s="78" t="e">
        <f t="shared" ca="1" si="26"/>
        <v>#NAME?</v>
      </c>
      <c r="P59" s="78" t="e">
        <f ca="1">IF($O57="Non",IF(P57="Non","MW",IF(P57="Oui","MW","")),IF($O57="Oui",IF(P57="Oui","T-Test Welch",IF(P57="Non","MW",""))))</f>
        <v>#NAME?</v>
      </c>
      <c r="Q59" s="78" t="e">
        <f t="shared" ref="Q59:V59" ca="1" si="27">IF($O57="Non",IF(Q57="Non","MW",IF(Q57="Oui","MW","")),IF($O57="Oui",IF(Q57="Oui","T-Test Welch",IF(Q57="Non","MW",""))))</f>
        <v>#NAME?</v>
      </c>
      <c r="R59" s="78" t="e">
        <f t="shared" ca="1" si="27"/>
        <v>#NAME?</v>
      </c>
      <c r="S59" s="78" t="e">
        <f t="shared" ca="1" si="27"/>
        <v>#NAME?</v>
      </c>
      <c r="T59" s="78" t="e">
        <f t="shared" ca="1" si="27"/>
        <v>#NAME?</v>
      </c>
      <c r="U59" s="78" t="e">
        <f t="shared" ca="1" si="27"/>
        <v>#NAME?</v>
      </c>
      <c r="V59" s="78" t="e">
        <f t="shared" ca="1" si="27"/>
        <v>#NAME?</v>
      </c>
    </row>
    <row r="60" spans="1:22" s="3" customFormat="1">
      <c r="A60" s="43" t="s">
        <v>45</v>
      </c>
      <c r="B60" s="79"/>
      <c r="C60" s="79" t="e">
        <f ca="1">IF(C59="MW",[1]!MTEST($B28:$B43,C28:C43,2), IF(C59="T-Test Welch",_xlfn.T.TEST($B28:$B43,C28:C43,2,3),""))</f>
        <v>#NAME?</v>
      </c>
      <c r="D60" s="79" t="e">
        <f ca="1">IF(D59="MW",[1]!MTEST($B28:$B43,D28:D43,2), IF(D59="T-Test Welch",_xlfn.T.TEST($B28:$B43,D28:D43,2,3),""))</f>
        <v>#NAME?</v>
      </c>
      <c r="E60" s="79" t="e">
        <f ca="1">IF(E59="MW",[1]!MTEST($B28:$B43,E28:E43,2), IF(E59="T-Test Welch",_xlfn.T.TEST($B28:$B43,E28:E43,2,3),""))</f>
        <v>#NAME?</v>
      </c>
      <c r="F60" s="79" t="e">
        <f ca="1">IF(F59="MW",[1]!MTEST($B28:$B43,F28:F43,2), IF(F59="T-Test Welch",_xlfn.T.TEST($B28:$B43,F28:F43,2,3),""))</f>
        <v>#NAME?</v>
      </c>
      <c r="G60" s="79" t="e">
        <f ca="1">IF(G59="MW",[1]!MTEST($B28:$B43,G28:G43,2), IF(G59="T-Test Welch",_xlfn.T.TEST($B28:$B43,G28:G43,2,3),""))</f>
        <v>#NAME?</v>
      </c>
      <c r="H60" s="79" t="e">
        <f ca="1">IF(H59="MW",[1]!MTEST($B28:$B43,H28:H43,2), IF(H59="T-Test Welch",_xlfn.T.TEST($B28:$B43,H28:H43,2,3),""))</f>
        <v>#NAME?</v>
      </c>
      <c r="I60" s="79" t="e">
        <f ca="1">IF(I59="MW",[1]!MTEST($B28:$B43,I28:I43,2), IF(I59="T-Test Welch",_xlfn.T.TEST($B28:$B43,I28:I43,2,3),""))</f>
        <v>#NAME?</v>
      </c>
      <c r="J60" s="79" t="e">
        <f ca="1">IF(J59="MW",[1]!MTEST($B28:$B43,J28:J43,2), IF(J59="T-Test Welch",_xlfn.T.TEST($B28:$B43,J28:J43,2,3),""))</f>
        <v>#NAME?</v>
      </c>
      <c r="K60" s="79" t="e">
        <f ca="1">IF(K59="MW",[1]!MTEST($B28:$B43,K28:K43,2), IF(K59="T-Test Welch",_xlfn.T.TEST($B28:$B43,K28:K43,2,3),""))</f>
        <v>#NAME?</v>
      </c>
      <c r="L60" s="79" t="e">
        <f ca="1">IF(L59="MW",[1]!MTEST($B28:$B43,L28:L43,2), IF(L59="T-Test Welch",_xlfn.T.TEST($B28:$B43,L28:L43,2,3),""))</f>
        <v>#NAME?</v>
      </c>
      <c r="M60" s="79" t="e">
        <f ca="1">IF(M59="MW",[1]!MTEST($B28:$B43,M28:M43,2), IF(M59="T-Test Welch",_xlfn.T.TEST($B28:$B43,M28:M43,2,3),""))</f>
        <v>#NAME?</v>
      </c>
      <c r="N60" s="79" t="e">
        <f ca="1">IF(N59="MW",[1]!MTEST($B28:$B43,N28:N43,2), IF(N59="T-Test Welch",_xlfn.T.TEST($B28:$B43,N28:N43,2,3),""))</f>
        <v>#NAME?</v>
      </c>
      <c r="O60" s="79" t="e">
        <f ca="1">IF(O59="MW",[1]!MTEST($B28:$B43,O28:O43,2), IF(O59="T-Test Welch",_xlfn.T.TEST($B28:$B43,O28:O43,2,3),""))</f>
        <v>#NAME?</v>
      </c>
      <c r="P60" s="79" t="e">
        <f ca="1">IF(P59="MW",[1]!MTEST($O28:$O43,P28:P43,2), IF(P59="T-Test Welch",_xlfn.T.TEST($O28:$O43,P28:P43,2,3),""))</f>
        <v>#NAME?</v>
      </c>
      <c r="Q60" s="79" t="e">
        <f ca="1">IF(Q59="MW",[1]!MTEST($O28:$O43,Q28:Q43,2), IF(Q59="T-Test Welch",_xlfn.T.TEST($O28:$O43,Q28:Q43,2,3),""))</f>
        <v>#NAME?</v>
      </c>
      <c r="R60" s="79" t="e">
        <f ca="1">IF(R59="MW",[1]!MTEST($O28:$O43,R28:R43,2), IF(R59="T-Test Welch",_xlfn.T.TEST($O28:$O43,R28:R43,2,3),""))</f>
        <v>#NAME?</v>
      </c>
      <c r="S60" s="79" t="e">
        <f ca="1">IF(S59="MW",[1]!MTEST($O28:$O43,S28:S43,2), IF(S59="T-Test Welch",_xlfn.T.TEST($O28:$O43,S28:S43,2,3),""))</f>
        <v>#NAME?</v>
      </c>
      <c r="T60" s="79" t="e">
        <f ca="1">IF(T59="MW",[1]!MTEST($O28:$O43,T28:T43,2), IF(T59="T-Test Welch",_xlfn.T.TEST($O28:$O43,T28:T43,2,3),""))</f>
        <v>#NAME?</v>
      </c>
      <c r="U60" s="79" t="e">
        <f ca="1">IF(U59="MW",[1]!MTEST($O28:$O43,U28:U43,2), IF(U59="T-Test Welch",_xlfn.T.TEST($O28:$O43,U28:U43,2,3),""))</f>
        <v>#NAME?</v>
      </c>
      <c r="V60" s="79" t="e">
        <f ca="1">IF(V59="MW",[1]!MTEST($O28:$O43,V28:V43,2), IF(V59="T-Test Welch",_xlfn.T.TEST($O28:$O43,V28:V43,2,3),""))</f>
        <v>#NAME?</v>
      </c>
    </row>
    <row r="61" spans="1:22" s="3" customFormat="1" ht="15.75" thickBot="1">
      <c r="A61" s="44" t="s">
        <v>46</v>
      </c>
      <c r="B61" s="76"/>
      <c r="C61" s="76" t="e">
        <f t="shared" ref="C61:O61" ca="1" si="28">IF(C60&gt;0.05,"NS",IF(C60&gt;0.01,"*",IF(C60&gt;0.001,"**","***")))</f>
        <v>#NAME?</v>
      </c>
      <c r="D61" s="76" t="e">
        <f t="shared" ca="1" si="28"/>
        <v>#NAME?</v>
      </c>
      <c r="E61" s="76" t="e">
        <f t="shared" ca="1" si="28"/>
        <v>#NAME?</v>
      </c>
      <c r="F61" s="76" t="e">
        <f t="shared" ca="1" si="28"/>
        <v>#NAME?</v>
      </c>
      <c r="G61" s="76" t="e">
        <f t="shared" ca="1" si="28"/>
        <v>#NAME?</v>
      </c>
      <c r="H61" s="76" t="e">
        <f t="shared" ca="1" si="28"/>
        <v>#NAME?</v>
      </c>
      <c r="I61" s="76" t="e">
        <f t="shared" ca="1" si="28"/>
        <v>#NAME?</v>
      </c>
      <c r="J61" s="76" t="e">
        <f t="shared" ca="1" si="28"/>
        <v>#NAME?</v>
      </c>
      <c r="K61" s="76" t="e">
        <f t="shared" ca="1" si="28"/>
        <v>#NAME?</v>
      </c>
      <c r="L61" s="76" t="e">
        <f t="shared" ca="1" si="28"/>
        <v>#NAME?</v>
      </c>
      <c r="M61" s="76" t="e">
        <f t="shared" ca="1" si="28"/>
        <v>#NAME?</v>
      </c>
      <c r="N61" s="76" t="e">
        <f t="shared" ca="1" si="28"/>
        <v>#NAME?</v>
      </c>
      <c r="O61" s="76" t="e">
        <f t="shared" ca="1" si="28"/>
        <v>#NAME?</v>
      </c>
      <c r="P61" s="76" t="e">
        <f ca="1">IF(P60&gt;0.05,"NS",IF(P60&gt;0.01,"*",IF(P60&gt;0.001,"**","***")))</f>
        <v>#NAME?</v>
      </c>
      <c r="Q61" s="76" t="e">
        <f t="shared" ref="Q61:V61" ca="1" si="29">IF(Q60&gt;0.05,"NS",IF(Q60&gt;0.01,"*",IF(Q60&gt;0.001,"**","***")))</f>
        <v>#NAME?</v>
      </c>
      <c r="R61" s="76" t="e">
        <f t="shared" ca="1" si="29"/>
        <v>#NAME?</v>
      </c>
      <c r="S61" s="76" t="e">
        <f t="shared" ca="1" si="29"/>
        <v>#NAME?</v>
      </c>
      <c r="T61" s="76" t="e">
        <f t="shared" ca="1" si="29"/>
        <v>#NAME?</v>
      </c>
      <c r="U61" s="76" t="e">
        <f t="shared" ca="1" si="29"/>
        <v>#NAME?</v>
      </c>
      <c r="V61" s="76" t="e">
        <f t="shared" ca="1" si="29"/>
        <v>#NAME?</v>
      </c>
    </row>
    <row r="63" spans="1:22">
      <c r="A63" s="2" t="s">
        <v>20</v>
      </c>
    </row>
    <row r="64" spans="1:22">
      <c r="A64" s="1" t="s">
        <v>13</v>
      </c>
      <c r="B64" s="1">
        <f>B46+(3*B47)</f>
        <v>0.67810462792923065</v>
      </c>
    </row>
    <row r="65" spans="1:22">
      <c r="A65" s="1" t="s">
        <v>14</v>
      </c>
      <c r="B65" s="1">
        <f>B46+(10*B47)</f>
        <v>1.6936570485948659</v>
      </c>
    </row>
    <row r="66" spans="1:22" ht="15.75" thickBot="1"/>
    <row r="67" spans="1:22" ht="27" thickBot="1">
      <c r="A67" s="142" t="s">
        <v>25</v>
      </c>
      <c r="B67" s="143"/>
      <c r="C67" s="143"/>
      <c r="D67" s="143"/>
      <c r="E67" s="143"/>
      <c r="F67" s="143"/>
      <c r="G67" s="143"/>
      <c r="H67" s="143"/>
      <c r="I67" s="143"/>
      <c r="J67" s="143"/>
      <c r="K67" s="143"/>
      <c r="L67" s="143"/>
      <c r="M67" s="143"/>
      <c r="N67" s="143"/>
      <c r="O67" s="143"/>
      <c r="P67" s="143"/>
      <c r="Q67" s="143"/>
      <c r="R67" s="143"/>
      <c r="S67" s="143"/>
      <c r="T67" s="143"/>
      <c r="U67" s="143"/>
      <c r="V67" s="143"/>
    </row>
    <row r="68" spans="1:22" ht="16.5">
      <c r="A68" s="11"/>
      <c r="B68" s="11"/>
      <c r="C68" s="11"/>
      <c r="D68" s="11"/>
      <c r="E68" s="11"/>
      <c r="F68" s="11"/>
      <c r="O68" s="11"/>
      <c r="P68" s="11"/>
      <c r="Q68" s="11"/>
      <c r="R68" s="11"/>
      <c r="S68" s="11"/>
      <c r="T68" s="11"/>
      <c r="U68" s="11"/>
      <c r="V68" s="11"/>
    </row>
    <row r="69" spans="1:22" ht="16.5">
      <c r="A69" s="11"/>
      <c r="B69" s="11"/>
      <c r="C69" s="11"/>
      <c r="D69" s="11"/>
      <c r="E69" s="11"/>
      <c r="F69" s="11"/>
      <c r="O69" s="11"/>
      <c r="P69" s="11"/>
      <c r="Q69" s="11"/>
      <c r="R69" s="11"/>
      <c r="S69" s="11"/>
      <c r="T69" s="11"/>
      <c r="U69" s="11"/>
      <c r="V69" s="11"/>
    </row>
    <row r="70" spans="1:22" ht="16.5">
      <c r="A70" s="11"/>
      <c r="B70" s="11"/>
      <c r="C70" s="11"/>
      <c r="D70" s="11"/>
      <c r="E70" s="11"/>
      <c r="F70" s="11"/>
      <c r="O70" s="11"/>
      <c r="P70" s="11"/>
      <c r="Q70" s="11"/>
      <c r="R70" s="11"/>
      <c r="S70" s="11"/>
      <c r="T70" s="11"/>
      <c r="U70" s="11"/>
      <c r="V70" s="11"/>
    </row>
    <row r="71" spans="1:22" ht="16.5">
      <c r="A71" s="11"/>
      <c r="B71" s="11"/>
      <c r="C71" s="11"/>
      <c r="D71" s="11"/>
      <c r="E71" s="11"/>
      <c r="F71" s="11"/>
      <c r="O71" s="11"/>
      <c r="P71" s="11"/>
      <c r="Q71" s="11"/>
      <c r="R71" s="11"/>
      <c r="S71" s="11"/>
      <c r="T71" s="11"/>
      <c r="U71" s="11"/>
      <c r="V71" s="11"/>
    </row>
    <row r="72" spans="1:22" ht="16.5">
      <c r="A72" s="11"/>
      <c r="B72" s="11"/>
      <c r="C72" s="11"/>
      <c r="D72" s="11"/>
      <c r="E72" s="11"/>
      <c r="F72" s="11"/>
      <c r="O72" s="11"/>
      <c r="P72" s="11"/>
      <c r="Q72" s="11"/>
      <c r="R72" s="11"/>
      <c r="S72" s="11"/>
      <c r="T72" s="11"/>
      <c r="U72" s="11"/>
      <c r="V72" s="11"/>
    </row>
    <row r="73" spans="1:22" ht="16.5">
      <c r="A73" s="11"/>
      <c r="B73" s="11"/>
      <c r="C73" s="11"/>
      <c r="D73" s="11"/>
      <c r="E73" s="11"/>
      <c r="F73" s="11"/>
      <c r="O73" s="11"/>
      <c r="P73" s="11"/>
      <c r="Q73" s="11"/>
      <c r="R73" s="11"/>
      <c r="S73" s="11"/>
      <c r="T73" s="11"/>
      <c r="U73" s="11"/>
      <c r="V73" s="11"/>
    </row>
    <row r="74" spans="1:22" ht="16.5">
      <c r="A74" s="11"/>
      <c r="B74" s="11"/>
      <c r="C74" s="11"/>
      <c r="D74" s="11"/>
      <c r="E74" s="11"/>
      <c r="F74" s="11"/>
      <c r="O74" s="11"/>
      <c r="P74" s="11"/>
      <c r="Q74" s="11"/>
      <c r="R74" s="11"/>
      <c r="S74" s="11"/>
      <c r="T74" s="11"/>
      <c r="U74" s="11"/>
      <c r="V74" s="11"/>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N3"/>
    <mergeCell ref="O3:V3"/>
    <mergeCell ref="A5:A20"/>
    <mergeCell ref="B26:N26"/>
    <mergeCell ref="O26:V26"/>
  </mergeCells>
  <phoneticPr fontId="12"/>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118"/>
  <sheetViews>
    <sheetView showGridLines="0" topLeftCell="Q78" zoomScale="90" zoomScaleNormal="90" workbookViewId="0">
      <selection activeCell="B94" sqref="B94:W94"/>
    </sheetView>
  </sheetViews>
  <sheetFormatPr defaultColWidth="11" defaultRowHeight="15"/>
  <cols>
    <col min="1" max="1" width="42.85546875" customWidth="1"/>
    <col min="2" max="2" width="14" bestFit="1" customWidth="1"/>
    <col min="3" max="14" width="22.7109375" bestFit="1" customWidth="1"/>
    <col min="15" max="15" width="8.42578125" customWidth="1"/>
    <col min="16" max="16" width="22.7109375" customWidth="1"/>
    <col min="19" max="23" width="29.140625" customWidth="1"/>
  </cols>
  <sheetData>
    <row r="1" spans="1:23" s="1" customFormat="1" ht="21.75" thickBot="1">
      <c r="A1" s="21" t="s">
        <v>7</v>
      </c>
      <c r="B1" s="37" t="e">
        <f>'Front page'!#REF!</f>
        <v>#REF!</v>
      </c>
      <c r="C1" s="22"/>
      <c r="D1" s="22"/>
      <c r="E1" s="22"/>
      <c r="F1" s="22"/>
      <c r="G1" s="22"/>
      <c r="H1" s="38"/>
      <c r="I1" s="37"/>
      <c r="J1" s="39"/>
      <c r="K1" s="39"/>
      <c r="L1" s="39"/>
      <c r="M1" s="39"/>
      <c r="N1" s="39"/>
      <c r="O1" s="39"/>
      <c r="P1" s="39"/>
      <c r="Q1" s="39"/>
      <c r="R1" s="39"/>
      <c r="S1" s="39"/>
      <c r="T1" s="39"/>
      <c r="U1" s="39"/>
      <c r="V1" s="39"/>
      <c r="W1" s="39"/>
    </row>
    <row r="2" spans="1:23" ht="15.75" thickBot="1">
      <c r="A2" s="1"/>
      <c r="B2" s="1"/>
      <c r="C2" s="1"/>
      <c r="D2" s="1"/>
      <c r="E2" s="1"/>
      <c r="F2" s="1"/>
      <c r="G2" s="1"/>
      <c r="H2" s="1"/>
      <c r="I2" s="1"/>
      <c r="J2" s="1"/>
      <c r="K2" s="1"/>
      <c r="L2" s="1"/>
      <c r="M2" s="1"/>
      <c r="N2" s="1"/>
    </row>
    <row r="3" spans="1:23" s="17" customFormat="1" ht="15.75" thickBot="1">
      <c r="B3" s="148" t="s">
        <v>6</v>
      </c>
      <c r="C3" s="149"/>
      <c r="D3" s="149"/>
      <c r="E3" s="149"/>
      <c r="F3" s="149"/>
      <c r="G3" s="149"/>
      <c r="H3" s="149"/>
      <c r="I3" s="149"/>
      <c r="J3" s="149"/>
      <c r="K3" s="149"/>
      <c r="L3" s="149"/>
      <c r="M3" s="149"/>
      <c r="N3" s="149"/>
      <c r="O3" s="53"/>
      <c r="P3" s="148" t="s">
        <v>3</v>
      </c>
      <c r="Q3" s="149"/>
      <c r="R3" s="149"/>
      <c r="S3" s="149"/>
      <c r="T3" s="149"/>
      <c r="U3" s="149"/>
      <c r="V3" s="149"/>
      <c r="W3" s="149"/>
    </row>
    <row r="4" spans="1:23">
      <c r="A4" s="18" t="s">
        <v>22</v>
      </c>
      <c r="B4" s="19" t="str">
        <f>'R1'!B4</f>
        <v>Solvent control</v>
      </c>
      <c r="C4" s="19" t="str">
        <f>'R1'!C4</f>
        <v>EE2-33.8ng/L</v>
      </c>
      <c r="D4" s="19" t="str">
        <f>'R1'!D4</f>
        <v>EE2-50.6ng/L</v>
      </c>
      <c r="E4" s="19" t="str">
        <f>'R1'!E4</f>
        <v>EE2-76ng/L</v>
      </c>
      <c r="F4" s="19" t="str">
        <f>'R1'!F4</f>
        <v>EE2-114ng/L</v>
      </c>
      <c r="G4" s="19" t="str">
        <f>'R1'!G4</f>
        <v>EE2-170.9ng/L</v>
      </c>
      <c r="H4" s="19" t="str">
        <f>'R1'!H4</f>
        <v>EE2-488ng/L</v>
      </c>
      <c r="I4" s="19" t="str">
        <f>'R1'!I4</f>
        <v>estradiol-540ng/L</v>
      </c>
      <c r="J4" s="19" t="str">
        <f>'R1'!J4</f>
        <v>estradiol-270ng/L</v>
      </c>
      <c r="K4" s="19" t="str">
        <f>'R1'!K4</f>
        <v>estradiol-135ng/L</v>
      </c>
      <c r="L4" s="19" t="str">
        <f>'R1'!L4</f>
        <v>estradiol-68ng/L</v>
      </c>
      <c r="M4" s="19" t="str">
        <f>'R1'!M4</f>
        <v>estradiol-34ng/L</v>
      </c>
      <c r="N4" s="19" t="str">
        <f>'R1'!N4</f>
        <v/>
      </c>
      <c r="P4" s="19" t="str">
        <f>'R1'!O4</f>
        <v>Testo -30µg/L</v>
      </c>
      <c r="Q4" s="19" t="str">
        <f>'R1'!P4</f>
        <v>Testo 30µg/L + EE2 -64ng/L</v>
      </c>
      <c r="R4" s="19" t="str">
        <f>'R1'!Q4</f>
        <v>Testo 30µg/L + FAD-10mg/L</v>
      </c>
      <c r="S4" s="19" t="str">
        <f>'R1'!R4</f>
        <v>estradiol-540ng/L + Testostérone</v>
      </c>
      <c r="T4" s="19" t="str">
        <f>'R1'!S4</f>
        <v>estradiol-270ng/L + Testostérone</v>
      </c>
      <c r="U4" s="19" t="str">
        <f>'R1'!T4</f>
        <v>estradiol-135ng/L + Testostérone</v>
      </c>
      <c r="V4" s="19" t="str">
        <f>'R1'!U4</f>
        <v>estradiol-68ng/L + Testostérone</v>
      </c>
      <c r="W4" s="19" t="str">
        <f>'R1'!V4</f>
        <v>estradiol-34ng/L + Testostérone</v>
      </c>
    </row>
    <row r="5" spans="1:23" s="1" customFormat="1">
      <c r="A5" s="18"/>
      <c r="B5" s="19"/>
      <c r="C5" s="111"/>
      <c r="D5" s="19"/>
      <c r="E5" s="19"/>
      <c r="F5" s="19"/>
      <c r="G5" s="19"/>
      <c r="H5" s="19"/>
      <c r="I5" s="19"/>
      <c r="J5" s="19"/>
      <c r="K5" s="19"/>
      <c r="L5" s="19"/>
      <c r="M5" s="19"/>
      <c r="N5" s="19"/>
      <c r="P5" s="19"/>
      <c r="Q5" s="19"/>
      <c r="R5" s="19"/>
      <c r="S5" s="19"/>
      <c r="T5" s="19"/>
      <c r="U5" s="19"/>
      <c r="V5" s="19"/>
      <c r="W5" s="19"/>
    </row>
    <row r="6" spans="1:23" s="1" customFormat="1">
      <c r="A6" s="52" t="s">
        <v>4</v>
      </c>
      <c r="B6" s="35">
        <f>'R1'!B28</f>
        <v>7.925662344365815E-2</v>
      </c>
      <c r="C6" s="35">
        <f>'R1'!C28</f>
        <v>0.69914255153204874</v>
      </c>
      <c r="D6" s="35">
        <f>'R1'!D28</f>
        <v>0.14975988330649265</v>
      </c>
      <c r="E6" s="35">
        <f>'R1'!E28</f>
        <v>1.0205118673812361</v>
      </c>
      <c r="F6" s="35">
        <f>'R1'!F28</f>
        <v>1.4550884903717431</v>
      </c>
      <c r="G6" s="35">
        <f>'R1'!G28</f>
        <v>0.82992970738663874</v>
      </c>
      <c r="H6" s="35">
        <f>'R1'!H28</f>
        <v>3.8645114322453007</v>
      </c>
      <c r="I6" s="35">
        <f>'R1'!I28</f>
        <v>1.7671169621000229</v>
      </c>
      <c r="J6" s="35">
        <f>'R1'!J28</f>
        <v>1.132929596818026</v>
      </c>
      <c r="K6" s="35">
        <f>'R1'!K28</f>
        <v>0.35588500340945511</v>
      </c>
      <c r="L6" s="35">
        <f>'R1'!L28</f>
        <v>0.16587373172950745</v>
      </c>
      <c r="M6" s="35">
        <f>'R1'!M28</f>
        <v>0.3286442349706799</v>
      </c>
      <c r="N6" s="35" t="str">
        <f>'R1'!N28</f>
        <v/>
      </c>
      <c r="O6"/>
      <c r="P6" s="35">
        <f>'R1'!O28</f>
        <v>1.4208423300083546</v>
      </c>
      <c r="Q6" s="35">
        <f>'R1'!P28</f>
        <v>1.3734671854044269</v>
      </c>
      <c r="R6" s="35">
        <f>'R1'!Q28</f>
        <v>0.13459179173322874</v>
      </c>
      <c r="S6" s="35">
        <f>'R1'!R28</f>
        <v>1.6466965708168813</v>
      </c>
      <c r="T6" s="35">
        <f>'R1'!S28</f>
        <v>1.6792782994497923</v>
      </c>
      <c r="U6" s="35">
        <f>'R1'!T28</f>
        <v>0.80542299042028687</v>
      </c>
      <c r="V6" s="35">
        <f>'R1'!U28</f>
        <v>1.3396844497560736</v>
      </c>
      <c r="W6" s="35">
        <f>'R1'!V28</f>
        <v>1.0761202285919098</v>
      </c>
    </row>
    <row r="7" spans="1:23" s="1" customFormat="1">
      <c r="A7" s="144" t="s">
        <v>17</v>
      </c>
      <c r="B7" s="35">
        <f>'R1'!B29</f>
        <v>0.1504088129605394</v>
      </c>
      <c r="C7" s="35">
        <f>'R1'!C29</f>
        <v>0.51012671691172762</v>
      </c>
      <c r="D7" s="35">
        <f>'R1'!D29</f>
        <v>0.41220654091451969</v>
      </c>
      <c r="E7" s="35">
        <f>'R1'!E29</f>
        <v>0.71143874110878735</v>
      </c>
      <c r="F7" s="35">
        <f>'R1'!F29</f>
        <v>1.4975050676979378</v>
      </c>
      <c r="G7" s="35">
        <f>'R1'!G29</f>
        <v>2.0098205113705792</v>
      </c>
      <c r="H7" s="35">
        <f>'R1'!H29</f>
        <v>3.9111888351831485</v>
      </c>
      <c r="I7" s="35">
        <f>'R1'!I29</f>
        <v>1.7996621299571225</v>
      </c>
      <c r="J7" s="35">
        <f>'R1'!J29</f>
        <v>1.021062015414093</v>
      </c>
      <c r="K7" s="35">
        <f>'R1'!K29</f>
        <v>0.48477090245542209</v>
      </c>
      <c r="L7" s="35">
        <f>'R1'!L29</f>
        <v>0.58637706062612871</v>
      </c>
      <c r="M7" s="35">
        <f>'R1'!M29</f>
        <v>0.3413710506772929</v>
      </c>
      <c r="N7" s="35" t="str">
        <f>'R1'!N29</f>
        <v/>
      </c>
      <c r="O7"/>
      <c r="P7" s="35">
        <f>'R1'!O29</f>
        <v>1.0022329264719088</v>
      </c>
      <c r="Q7" s="35">
        <f>'R1'!P29</f>
        <v>1.349181665955056</v>
      </c>
      <c r="R7" s="35">
        <f>'R1'!Q29</f>
        <v>0.16388941732728635</v>
      </c>
      <c r="S7" s="35">
        <f>'R1'!R29</f>
        <v>1.7966168777913805</v>
      </c>
      <c r="T7" s="35">
        <f>'R1'!S29</f>
        <v>1.2296846513106143</v>
      </c>
      <c r="U7" s="35">
        <f>'R1'!T29</f>
        <v>0.91653273157415427</v>
      </c>
      <c r="V7" s="35">
        <f>'R1'!U29</f>
        <v>1.5248370933766013</v>
      </c>
      <c r="W7" s="35">
        <f>'R1'!V29</f>
        <v>0.83340471748441269</v>
      </c>
    </row>
    <row r="8" spans="1:23" s="1" customFormat="1">
      <c r="A8" s="153"/>
      <c r="B8" s="35">
        <f>'R1'!B30</f>
        <v>0.19083683136172738</v>
      </c>
      <c r="C8" s="35">
        <f>'R1'!C30</f>
        <v>0.12559649035363163</v>
      </c>
      <c r="D8" s="35">
        <f>'R1'!D30</f>
        <v>0.63749269093477789</v>
      </c>
      <c r="E8" s="35">
        <f>'R1'!E30</f>
        <v>0.564508218104538</v>
      </c>
      <c r="F8" s="35">
        <f>'R1'!F30</f>
        <v>1.430059697102775</v>
      </c>
      <c r="G8" s="35">
        <f>'R1'!G30</f>
        <v>1.5017364710493732</v>
      </c>
      <c r="H8" s="35">
        <f>'R1'!H30</f>
        <v>3.0673167386439859</v>
      </c>
      <c r="I8" s="35">
        <f>'R1'!I30</f>
        <v>1.5329889887854342</v>
      </c>
      <c r="J8" s="35">
        <f>'R1'!J30</f>
        <v>0.49304328443150702</v>
      </c>
      <c r="K8" s="35">
        <f>'R1'!K30</f>
        <v>0.55383932068390385</v>
      </c>
      <c r="L8" s="35">
        <f>'R1'!L30</f>
        <v>0.35547859035274354</v>
      </c>
      <c r="M8" s="35">
        <f>'R1'!M30</f>
        <v>0.38423561809021156</v>
      </c>
      <c r="N8" s="35" t="str">
        <f>'R1'!N30</f>
        <v/>
      </c>
      <c r="O8"/>
      <c r="P8" s="35">
        <f>'R1'!O30</f>
        <v>0.86194286289914668</v>
      </c>
      <c r="Q8" s="35">
        <f>'R1'!P30</f>
        <v>1.2076260593272263</v>
      </c>
      <c r="R8" s="35">
        <f>'R1'!Q30</f>
        <v>0.39076745632496085</v>
      </c>
      <c r="S8" s="35">
        <f>'R1'!R30</f>
        <v>1.1906443024610038</v>
      </c>
      <c r="T8" s="35">
        <f>'R1'!S30</f>
        <v>1.2783097114084445</v>
      </c>
      <c r="U8" s="35">
        <f>'R1'!T30</f>
        <v>0.88650919611734935</v>
      </c>
      <c r="V8" s="35">
        <f>'R1'!U30</f>
        <v>0.85666952567029797</v>
      </c>
      <c r="W8" s="35">
        <f>'R1'!V30</f>
        <v>0.8334385772002697</v>
      </c>
    </row>
    <row r="9" spans="1:23" s="1" customFormat="1">
      <c r="A9" s="153"/>
      <c r="B9" s="35">
        <f>'R1'!B31</f>
        <v>0.13869161487831366</v>
      </c>
      <c r="C9" s="35">
        <f>'R1'!C31</f>
        <v>0.15243923831483933</v>
      </c>
      <c r="D9" s="35">
        <f>'R1'!D31</f>
        <v>0.47160140231556685</v>
      </c>
      <c r="E9" s="35">
        <f>'R1'!E31</f>
        <v>0.95445715679688603</v>
      </c>
      <c r="F9" s="35">
        <f>'R1'!F31</f>
        <v>0.64566050330405655</v>
      </c>
      <c r="G9" s="35">
        <f>'R1'!G31</f>
        <v>1.1568241378389963</v>
      </c>
      <c r="H9" s="35">
        <f>'R1'!H31</f>
        <v>3.581721741590643</v>
      </c>
      <c r="I9" s="35">
        <f>'R1'!I31</f>
        <v>1.3698901138269473</v>
      </c>
      <c r="J9" s="35">
        <f>'R1'!J31</f>
        <v>1.4845392081853597</v>
      </c>
      <c r="K9" s="35">
        <f>'R1'!K31</f>
        <v>0.43570884944353916</v>
      </c>
      <c r="L9" s="35">
        <f>'R1'!L31</f>
        <v>0.38716646107359909</v>
      </c>
      <c r="M9" s="35">
        <f>'R1'!M31</f>
        <v>0.34878902950994217</v>
      </c>
      <c r="N9" s="35" t="str">
        <f>'R1'!N31</f>
        <v/>
      </c>
      <c r="O9"/>
      <c r="P9" s="35">
        <f>'R1'!O31</f>
        <v>0.40716800296885075</v>
      </c>
      <c r="Q9" s="35">
        <f>'R1'!P31</f>
        <v>1.454102699954811</v>
      </c>
      <c r="R9" s="35">
        <f>'R1'!Q31</f>
        <v>0.27116731907011693</v>
      </c>
      <c r="S9" s="35">
        <f>'R1'!R31</f>
        <v>1.5883136422344679</v>
      </c>
      <c r="T9" s="35">
        <f>'R1'!S31</f>
        <v>1.1378183224026521</v>
      </c>
      <c r="U9" s="35">
        <f>'R1'!T31</f>
        <v>1.2728815455643523</v>
      </c>
      <c r="V9" s="35">
        <f>'R1'!U31</f>
        <v>1.5348580258074582</v>
      </c>
      <c r="W9" s="35">
        <f>'R1'!V31</f>
        <v>1.668645191073554</v>
      </c>
    </row>
    <row r="10" spans="1:23" s="1" customFormat="1">
      <c r="A10" s="153"/>
      <c r="B10" s="35">
        <f>'R1'!B32</f>
        <v>0.23144630311199549</v>
      </c>
      <c r="C10" s="35">
        <f>'R1'!C32</f>
        <v>0.15370410610491822</v>
      </c>
      <c r="D10" s="35">
        <f>'R1'!D32</f>
        <v>0.50234438438451401</v>
      </c>
      <c r="E10" s="35">
        <f>'R1'!E32</f>
        <v>0.38712073598722802</v>
      </c>
      <c r="F10" s="35">
        <f>'R1'!F32</f>
        <v>1.2092051182698591</v>
      </c>
      <c r="G10" s="35">
        <f>'R1'!G32</f>
        <v>1.1076740109793144</v>
      </c>
      <c r="H10" s="35">
        <f>'R1'!H32</f>
        <v>1.9790377851337313</v>
      </c>
      <c r="I10" s="35">
        <f>'R1'!I32</f>
        <v>1.2619570121123185</v>
      </c>
      <c r="J10" s="35">
        <f>'R1'!J32</f>
        <v>1.3353194404033217</v>
      </c>
      <c r="K10" s="35">
        <f>'R1'!K32</f>
        <v>0.65778093105090474</v>
      </c>
      <c r="L10" s="35">
        <f>'R1'!L32</f>
        <v>0.24085843592241404</v>
      </c>
      <c r="M10" s="35">
        <f>'R1'!M32</f>
        <v>0.45174079787007915</v>
      </c>
      <c r="N10" s="35" t="str">
        <f>'R1'!N32</f>
        <v/>
      </c>
      <c r="O10"/>
      <c r="P10" s="35">
        <f>'R1'!O32</f>
        <v>1.1958788601862214</v>
      </c>
      <c r="Q10" s="35">
        <f>'R1'!P32</f>
        <v>1.131596816663379</v>
      </c>
      <c r="R10" s="35">
        <f>'R1'!Q32</f>
        <v>6.2454487064403812E-2</v>
      </c>
      <c r="S10" s="35">
        <f>'R1'!R32</f>
        <v>0.67756011783205239</v>
      </c>
      <c r="T10" s="35">
        <f>'R1'!S32</f>
        <v>0.80159066867711548</v>
      </c>
      <c r="U10" s="35">
        <f>'R1'!T32</f>
        <v>0.71801186697426833</v>
      </c>
      <c r="V10" s="35">
        <f>'R1'!U32</f>
        <v>1.1227216159853262</v>
      </c>
      <c r="W10" s="35">
        <f>'R1'!V32</f>
        <v>0.18101114697900342</v>
      </c>
    </row>
    <row r="11" spans="1:23" s="1" customFormat="1">
      <c r="A11" s="153"/>
      <c r="B11" s="35">
        <f>'R1'!B33</f>
        <v>0.27722811174210271</v>
      </c>
      <c r="C11" s="35">
        <f>'R1'!C33</f>
        <v>0.55000506961219342</v>
      </c>
      <c r="D11" s="35">
        <f>'R1'!D33</f>
        <v>0.79987057581829168</v>
      </c>
      <c r="E11" s="35">
        <f>'R1'!E33</f>
        <v>0.85571180698360616</v>
      </c>
      <c r="F11" s="35">
        <f>'R1'!F33</f>
        <v>1.1338724596749685</v>
      </c>
      <c r="G11" s="35">
        <f>'R1'!G33</f>
        <v>1.2763232747448308</v>
      </c>
      <c r="H11" s="35">
        <f>'R1'!H33</f>
        <v>2.1251148696588147</v>
      </c>
      <c r="I11" s="35">
        <f>'R1'!I33</f>
        <v>1.4870783974753579</v>
      </c>
      <c r="J11" s="35">
        <f>'R1'!J33</f>
        <v>0.72402085717498565</v>
      </c>
      <c r="K11" s="35">
        <f>'R1'!K33</f>
        <v>0.73268913736724539</v>
      </c>
      <c r="L11" s="35">
        <f>'R1'!L33</f>
        <v>0.21542728118666585</v>
      </c>
      <c r="M11" s="35">
        <f>'R1'!M33</f>
        <v>0.1901576112496205</v>
      </c>
      <c r="N11" s="35" t="str">
        <f>'R1'!N33</f>
        <v/>
      </c>
      <c r="O11"/>
      <c r="P11" s="35">
        <f>'R1'!O33</f>
        <v>1.1942909263323098</v>
      </c>
      <c r="Q11" s="35">
        <f>'R1'!P33</f>
        <v>0.95414036105080469</v>
      </c>
      <c r="R11" s="35">
        <f>'R1'!Q33</f>
        <v>0.18219170311193397</v>
      </c>
      <c r="S11" s="35">
        <f>'R1'!R33</f>
        <v>1.6486342919348889</v>
      </c>
      <c r="T11" s="35">
        <f>'R1'!S33</f>
        <v>1.3786068201655324</v>
      </c>
      <c r="U11" s="35" t="str">
        <f>'R1'!T33</f>
        <v/>
      </c>
      <c r="V11" s="35">
        <f>'R1'!U33</f>
        <v>1.4751047916303173</v>
      </c>
      <c r="W11" s="35">
        <f>'R1'!V33</f>
        <v>1.4288196211844204</v>
      </c>
    </row>
    <row r="12" spans="1:23" s="1" customFormat="1">
      <c r="A12" s="153"/>
      <c r="B12" s="35">
        <f>'R1'!B34</f>
        <v>0.1104180768726848</v>
      </c>
      <c r="C12" s="35">
        <f>'R1'!C34</f>
        <v>0.44417474307207211</v>
      </c>
      <c r="D12" s="35">
        <f>'R1'!D34</f>
        <v>0.82521076271343252</v>
      </c>
      <c r="E12" s="35">
        <f>'R1'!E34</f>
        <v>0.92143544479068729</v>
      </c>
      <c r="F12" s="35">
        <f>'R1'!F34</f>
        <v>0.92881869570963693</v>
      </c>
      <c r="G12" s="35">
        <f>'R1'!G34</f>
        <v>1.1329810134235867</v>
      </c>
      <c r="H12" s="35">
        <f>'R1'!H34</f>
        <v>1.6260163876080844</v>
      </c>
      <c r="I12" s="35">
        <f>'R1'!I34</f>
        <v>0.99104494320789327</v>
      </c>
      <c r="J12" s="35">
        <f>'R1'!J34</f>
        <v>1.2907509864913058</v>
      </c>
      <c r="K12" s="35">
        <f>'R1'!K34</f>
        <v>0.20879473200218787</v>
      </c>
      <c r="L12" s="35">
        <f>'R1'!L34</f>
        <v>0.5087900781000031</v>
      </c>
      <c r="M12" s="35">
        <f>'R1'!M34</f>
        <v>4.519075883222639E-2</v>
      </c>
      <c r="N12" s="35" t="str">
        <f>'R1'!N34</f>
        <v/>
      </c>
      <c r="O12"/>
      <c r="P12" s="35">
        <f>'R1'!O34</f>
        <v>0.61800261403517898</v>
      </c>
      <c r="Q12" s="35">
        <f>'R1'!P34</f>
        <v>0.74363923442241897</v>
      </c>
      <c r="R12" s="35">
        <f>'R1'!Q34</f>
        <v>0.2168819949049689</v>
      </c>
      <c r="S12" s="35">
        <f>'R1'!R34</f>
        <v>1.8019453938164405</v>
      </c>
      <c r="T12" s="35">
        <f>'R1'!S34</f>
        <v>1.1513593147526655</v>
      </c>
      <c r="U12" s="35" t="str">
        <f>'R1'!T34</f>
        <v/>
      </c>
      <c r="V12" s="35">
        <f>'R1'!U34</f>
        <v>0.8225483857962278</v>
      </c>
      <c r="W12" s="35">
        <f>'R1'!V34</f>
        <v>1.0304461729606982</v>
      </c>
    </row>
    <row r="13" spans="1:23" s="1" customFormat="1">
      <c r="A13" s="153"/>
      <c r="B13" s="35">
        <f>'R1'!B35</f>
        <v>0.22528750055023544</v>
      </c>
      <c r="C13" s="35">
        <f>'R1'!C35</f>
        <v>0.95882698947098488</v>
      </c>
      <c r="D13" s="35">
        <f>'R1'!D35</f>
        <v>0.68628878600757859</v>
      </c>
      <c r="E13" s="35">
        <f>'R1'!E35</f>
        <v>0.41949014201443713</v>
      </c>
      <c r="F13" s="35">
        <f>'R1'!F35</f>
        <v>1.0766388321031564</v>
      </c>
      <c r="G13" s="35">
        <f>'R1'!G35</f>
        <v>1.2496670928533311</v>
      </c>
      <c r="H13" s="35">
        <f>'R1'!H35</f>
        <v>1.650273738860788</v>
      </c>
      <c r="I13" s="35">
        <f>'R1'!I35</f>
        <v>1.1469915078735324</v>
      </c>
      <c r="J13" s="35">
        <f>'R1'!J35</f>
        <v>1.1421674147949583</v>
      </c>
      <c r="K13" s="35">
        <f>'R1'!K35</f>
        <v>0.38886311259067563</v>
      </c>
      <c r="L13" s="35">
        <f>'R1'!L35</f>
        <v>0.36952747844061273</v>
      </c>
      <c r="M13" s="35">
        <f>'R1'!M35</f>
        <v>8.7553990224321407E-2</v>
      </c>
      <c r="N13" s="35" t="str">
        <f>'R1'!N35</f>
        <v/>
      </c>
      <c r="O13"/>
      <c r="P13" s="35">
        <f>'R1'!O35</f>
        <v>0.89727947975270084</v>
      </c>
      <c r="Q13" s="35">
        <f>'R1'!P35</f>
        <v>1.3975076801293624</v>
      </c>
      <c r="R13" s="35">
        <f>'R1'!Q35</f>
        <v>0.12119839301643842</v>
      </c>
      <c r="S13" s="35">
        <f>'R1'!R35</f>
        <v>1.0078328990223868</v>
      </c>
      <c r="T13" s="35">
        <f>'R1'!S35</f>
        <v>1.7501366522302046</v>
      </c>
      <c r="U13" s="35" t="str">
        <f>'R1'!T35</f>
        <v/>
      </c>
      <c r="V13" s="35">
        <f>'R1'!U35</f>
        <v>1.2380308301033107</v>
      </c>
      <c r="W13" s="35">
        <f>'R1'!V35</f>
        <v>0.62371236537951857</v>
      </c>
    </row>
    <row r="14" spans="1:23" s="1" customFormat="1">
      <c r="A14" s="153"/>
      <c r="B14" s="35" t="str">
        <f>'R1'!B36</f>
        <v/>
      </c>
      <c r="C14" s="35" t="str">
        <f>'R1'!C36</f>
        <v/>
      </c>
      <c r="D14" s="35" t="str">
        <f>'R1'!D36</f>
        <v/>
      </c>
      <c r="E14" s="35" t="str">
        <f>'R1'!E36</f>
        <v/>
      </c>
      <c r="F14" s="35" t="str">
        <f>'R1'!F36</f>
        <v/>
      </c>
      <c r="G14" s="35" t="str">
        <f>'R1'!G36</f>
        <v/>
      </c>
      <c r="H14" s="35">
        <f>'R1'!H36</f>
        <v>2.3337119419521959</v>
      </c>
      <c r="I14" s="35" t="str">
        <f>'R1'!I36</f>
        <v/>
      </c>
      <c r="J14" s="35" t="str">
        <f>'R1'!J36</f>
        <v/>
      </c>
      <c r="K14" s="35" t="str">
        <f>'R1'!K36</f>
        <v/>
      </c>
      <c r="L14" s="35" t="str">
        <f>'R1'!L36</f>
        <v/>
      </c>
      <c r="M14" s="35" t="str">
        <f>'R1'!M36</f>
        <v/>
      </c>
      <c r="N14" s="35" t="str">
        <f>'R1'!N36</f>
        <v/>
      </c>
      <c r="O14"/>
      <c r="P14" s="35">
        <f>'R1'!O36</f>
        <v>0.87130473670112785</v>
      </c>
      <c r="Q14" s="35" t="str">
        <f>'R1'!P36</f>
        <v/>
      </c>
      <c r="R14" s="35" t="str">
        <f>'R1'!Q36</f>
        <v/>
      </c>
      <c r="S14" s="35" t="str">
        <f>'R1'!R36</f>
        <v/>
      </c>
      <c r="T14" s="35" t="str">
        <f>'R1'!S36</f>
        <v/>
      </c>
      <c r="U14" s="35" t="str">
        <f>'R1'!T36</f>
        <v/>
      </c>
      <c r="V14" s="35" t="str">
        <f>'R1'!U36</f>
        <v/>
      </c>
      <c r="W14" s="35" t="str">
        <f>'R1'!V36</f>
        <v/>
      </c>
    </row>
    <row r="15" spans="1:23" s="1" customFormat="1">
      <c r="A15" s="153"/>
      <c r="B15" s="35" t="str">
        <f>'R1'!B37</f>
        <v/>
      </c>
      <c r="C15" s="35" t="str">
        <f>'R1'!C37</f>
        <v/>
      </c>
      <c r="D15" s="35" t="str">
        <f>'R1'!D37</f>
        <v/>
      </c>
      <c r="E15" s="35" t="str">
        <f>'R1'!E37</f>
        <v/>
      </c>
      <c r="F15" s="35" t="str">
        <f>'R1'!F37</f>
        <v/>
      </c>
      <c r="G15" s="35" t="str">
        <f>'R1'!G37</f>
        <v/>
      </c>
      <c r="H15" s="35">
        <f>'R1'!H37</f>
        <v>1.5895355824645572</v>
      </c>
      <c r="I15" s="35" t="str">
        <f>'R1'!I37</f>
        <v/>
      </c>
      <c r="J15" s="35" t="str">
        <f>'R1'!J37</f>
        <v/>
      </c>
      <c r="K15" s="35" t="str">
        <f>'R1'!K37</f>
        <v/>
      </c>
      <c r="L15" s="35" t="str">
        <f>'R1'!L37</f>
        <v/>
      </c>
      <c r="M15" s="35" t="str">
        <f>'R1'!M37</f>
        <v/>
      </c>
      <c r="N15" s="35" t="str">
        <f>'R1'!N37</f>
        <v/>
      </c>
      <c r="O15"/>
      <c r="P15" s="35">
        <f>'R1'!O37</f>
        <v>1.2881919251173573</v>
      </c>
      <c r="Q15" s="35" t="str">
        <f>'R1'!P37</f>
        <v/>
      </c>
      <c r="R15" s="35" t="str">
        <f>'R1'!Q37</f>
        <v/>
      </c>
      <c r="S15" s="35" t="str">
        <f>'R1'!R37</f>
        <v/>
      </c>
      <c r="T15" s="35" t="str">
        <f>'R1'!S37</f>
        <v/>
      </c>
      <c r="U15" s="35" t="str">
        <f>'R1'!T37</f>
        <v/>
      </c>
      <c r="V15" s="35" t="str">
        <f>'R1'!U37</f>
        <v/>
      </c>
      <c r="W15" s="35" t="str">
        <f>'R1'!V37</f>
        <v/>
      </c>
    </row>
    <row r="16" spans="1:23" s="1" customFormat="1">
      <c r="A16" s="153"/>
      <c r="B16" s="35" t="str">
        <f>'R1'!B38</f>
        <v/>
      </c>
      <c r="C16" s="35" t="str">
        <f>'R1'!C38</f>
        <v/>
      </c>
      <c r="D16" s="35" t="str">
        <f>'R1'!D38</f>
        <v/>
      </c>
      <c r="E16" s="35" t="str">
        <f>'R1'!E38</f>
        <v/>
      </c>
      <c r="F16" s="35" t="str">
        <f>'R1'!F38</f>
        <v/>
      </c>
      <c r="G16" s="35" t="str">
        <f>'R1'!G38</f>
        <v/>
      </c>
      <c r="H16" s="35">
        <f>'R1'!H38</f>
        <v>1.5815336923496208</v>
      </c>
      <c r="I16" s="35" t="str">
        <f>'R1'!I38</f>
        <v/>
      </c>
      <c r="J16" s="35" t="str">
        <f>'R1'!J38</f>
        <v/>
      </c>
      <c r="K16" s="35" t="str">
        <f>'R1'!K38</f>
        <v/>
      </c>
      <c r="L16" s="35" t="str">
        <f>'R1'!L38</f>
        <v/>
      </c>
      <c r="M16" s="35" t="str">
        <f>'R1'!M38</f>
        <v/>
      </c>
      <c r="N16" s="35" t="str">
        <f>'R1'!N38</f>
        <v/>
      </c>
      <c r="O16"/>
      <c r="P16" s="35">
        <f>'R1'!O38</f>
        <v>1.0975219806742416</v>
      </c>
      <c r="Q16" s="35" t="str">
        <f>'R1'!P38</f>
        <v/>
      </c>
      <c r="R16" s="35" t="str">
        <f>'R1'!Q38</f>
        <v/>
      </c>
      <c r="S16" s="35" t="str">
        <f>'R1'!R38</f>
        <v/>
      </c>
      <c r="T16" s="35" t="str">
        <f>'R1'!S38</f>
        <v/>
      </c>
      <c r="U16" s="35" t="str">
        <f>'R1'!T38</f>
        <v/>
      </c>
      <c r="V16" s="35" t="str">
        <f>'R1'!U38</f>
        <v/>
      </c>
      <c r="W16" s="35" t="str">
        <f>'R1'!V38</f>
        <v/>
      </c>
    </row>
    <row r="17" spans="1:23" s="1" customFormat="1">
      <c r="A17" s="153"/>
      <c r="B17" s="35" t="str">
        <f>'R1'!B39</f>
        <v/>
      </c>
      <c r="C17" s="35" t="str">
        <f>'R1'!C39</f>
        <v/>
      </c>
      <c r="D17" s="35" t="str">
        <f>'R1'!D39</f>
        <v/>
      </c>
      <c r="E17" s="35" t="str">
        <f>'R1'!E39</f>
        <v/>
      </c>
      <c r="F17" s="35" t="str">
        <f>'R1'!F39</f>
        <v/>
      </c>
      <c r="G17" s="35" t="str">
        <f>'R1'!G39</f>
        <v/>
      </c>
      <c r="H17" s="35">
        <f>'R1'!H39</f>
        <v>1.469847660761195</v>
      </c>
      <c r="I17" s="35" t="str">
        <f>'R1'!I39</f>
        <v/>
      </c>
      <c r="J17" s="35" t="str">
        <f>'R1'!J39</f>
        <v/>
      </c>
      <c r="K17" s="35" t="str">
        <f>'R1'!K39</f>
        <v/>
      </c>
      <c r="L17" s="35" t="str">
        <f>'R1'!L39</f>
        <v/>
      </c>
      <c r="M17" s="35" t="str">
        <f>'R1'!M39</f>
        <v/>
      </c>
      <c r="N17" s="35" t="str">
        <f>'R1'!N39</f>
        <v/>
      </c>
      <c r="O17"/>
      <c r="P17" s="35">
        <f>'R1'!O39</f>
        <v>0.80839261290730557</v>
      </c>
      <c r="Q17" s="35" t="str">
        <f>'R1'!P39</f>
        <v/>
      </c>
      <c r="R17" s="35" t="str">
        <f>'R1'!Q39</f>
        <v/>
      </c>
      <c r="S17" s="35" t="str">
        <f>'R1'!R39</f>
        <v/>
      </c>
      <c r="T17" s="35" t="str">
        <f>'R1'!S39</f>
        <v/>
      </c>
      <c r="U17" s="35" t="str">
        <f>'R1'!T39</f>
        <v/>
      </c>
      <c r="V17" s="35" t="str">
        <f>'R1'!U39</f>
        <v/>
      </c>
      <c r="W17" s="35" t="str">
        <f>'R1'!V39</f>
        <v/>
      </c>
    </row>
    <row r="18" spans="1:23" s="1" customFormat="1">
      <c r="A18" s="153"/>
      <c r="B18" s="35" t="str">
        <f>'R1'!B40</f>
        <v/>
      </c>
      <c r="C18" s="35" t="str">
        <f>'R1'!C40</f>
        <v/>
      </c>
      <c r="D18" s="35" t="str">
        <f>'R1'!D40</f>
        <v/>
      </c>
      <c r="E18" s="35" t="str">
        <f>'R1'!E40</f>
        <v/>
      </c>
      <c r="F18" s="35" t="str">
        <f>'R1'!F40</f>
        <v/>
      </c>
      <c r="G18" s="35" t="str">
        <f>'R1'!G40</f>
        <v/>
      </c>
      <c r="H18" s="35" t="str">
        <f>'R1'!H40</f>
        <v/>
      </c>
      <c r="I18" s="35" t="str">
        <f>'R1'!I40</f>
        <v/>
      </c>
      <c r="J18" s="35" t="str">
        <f>'R1'!J40</f>
        <v/>
      </c>
      <c r="K18" s="35" t="str">
        <f>'R1'!K40</f>
        <v/>
      </c>
      <c r="L18" s="35" t="str">
        <f>'R1'!L40</f>
        <v/>
      </c>
      <c r="M18" s="35" t="str">
        <f>'R1'!M40</f>
        <v/>
      </c>
      <c r="N18" s="35" t="str">
        <f>'R1'!N40</f>
        <v/>
      </c>
      <c r="O18"/>
      <c r="P18" s="35">
        <f>'R1'!O40</f>
        <v>0.93223254609272899</v>
      </c>
      <c r="Q18" s="35" t="str">
        <f>'R1'!P40</f>
        <v/>
      </c>
      <c r="R18" s="35" t="str">
        <f>'R1'!Q40</f>
        <v/>
      </c>
      <c r="S18" s="35" t="str">
        <f>'R1'!R40</f>
        <v/>
      </c>
      <c r="T18" s="35" t="str">
        <f>'R1'!S40</f>
        <v/>
      </c>
      <c r="U18" s="35" t="str">
        <f>'R1'!T40</f>
        <v/>
      </c>
      <c r="V18" s="35" t="str">
        <f>'R1'!U40</f>
        <v/>
      </c>
      <c r="W18" s="35" t="str">
        <f>'R1'!V40</f>
        <v/>
      </c>
    </row>
    <row r="19" spans="1:23" s="1" customFormat="1">
      <c r="A19" s="153"/>
      <c r="B19" s="35" t="str">
        <f>'R1'!B41</f>
        <v/>
      </c>
      <c r="C19" s="35" t="str">
        <f>'R1'!C41</f>
        <v/>
      </c>
      <c r="D19" s="35" t="str">
        <f>'R1'!D41</f>
        <v/>
      </c>
      <c r="E19" s="35" t="str">
        <f>'R1'!E41</f>
        <v/>
      </c>
      <c r="F19" s="35" t="str">
        <f>'R1'!F41</f>
        <v/>
      </c>
      <c r="G19" s="35" t="str">
        <f>'R1'!G41</f>
        <v/>
      </c>
      <c r="H19" s="35" t="str">
        <f>'R1'!H41</f>
        <v/>
      </c>
      <c r="I19" s="35" t="str">
        <f>'R1'!I41</f>
        <v/>
      </c>
      <c r="J19" s="35" t="str">
        <f>'R1'!J41</f>
        <v/>
      </c>
      <c r="K19" s="35" t="str">
        <f>'R1'!K41</f>
        <v/>
      </c>
      <c r="L19" s="35" t="str">
        <f>'R1'!L41</f>
        <v/>
      </c>
      <c r="M19" s="35" t="str">
        <f>'R1'!M41</f>
        <v/>
      </c>
      <c r="N19" s="35" t="str">
        <f>'R1'!N41</f>
        <v/>
      </c>
      <c r="O19"/>
      <c r="P19" s="35">
        <f>'R1'!O41</f>
        <v>1.2272760775626972</v>
      </c>
      <c r="Q19" s="35" t="str">
        <f>'R1'!P41</f>
        <v/>
      </c>
      <c r="R19" s="35" t="str">
        <f>'R1'!Q41</f>
        <v/>
      </c>
      <c r="S19" s="35" t="str">
        <f>'R1'!R41</f>
        <v/>
      </c>
      <c r="T19" s="35" t="str">
        <f>'R1'!S41</f>
        <v/>
      </c>
      <c r="U19" s="35" t="str">
        <f>'R1'!T41</f>
        <v/>
      </c>
      <c r="V19" s="35" t="str">
        <f>'R1'!U41</f>
        <v/>
      </c>
      <c r="W19" s="35" t="str">
        <f>'R1'!V41</f>
        <v/>
      </c>
    </row>
    <row r="20" spans="1:23" s="1" customFormat="1">
      <c r="A20" s="153"/>
      <c r="B20" s="35" t="str">
        <f>'R1'!B42</f>
        <v/>
      </c>
      <c r="C20" s="35" t="str">
        <f>'R1'!C42</f>
        <v/>
      </c>
      <c r="D20" s="35" t="str">
        <f>'R1'!D42</f>
        <v/>
      </c>
      <c r="E20" s="35" t="str">
        <f>'R1'!E42</f>
        <v/>
      </c>
      <c r="F20" s="35" t="str">
        <f>'R1'!F42</f>
        <v/>
      </c>
      <c r="G20" s="35" t="str">
        <f>'R1'!G42</f>
        <v/>
      </c>
      <c r="H20" s="35" t="str">
        <f>'R1'!H42</f>
        <v/>
      </c>
      <c r="I20" s="35" t="str">
        <f>'R1'!I42</f>
        <v/>
      </c>
      <c r="J20" s="35" t="str">
        <f>'R1'!J42</f>
        <v/>
      </c>
      <c r="K20" s="35" t="str">
        <f>'R1'!K42</f>
        <v/>
      </c>
      <c r="L20" s="35" t="str">
        <f>'R1'!L42</f>
        <v/>
      </c>
      <c r="M20" s="35" t="str">
        <f>'R1'!M42</f>
        <v/>
      </c>
      <c r="N20" s="35" t="str">
        <f>'R1'!N42</f>
        <v/>
      </c>
      <c r="O20"/>
      <c r="P20" s="35">
        <f>'R1'!O42</f>
        <v>1.0836236766788307</v>
      </c>
      <c r="Q20" s="35" t="str">
        <f>'R1'!P42</f>
        <v/>
      </c>
      <c r="R20" s="35" t="str">
        <f>'R1'!Q42</f>
        <v/>
      </c>
      <c r="S20" s="35" t="str">
        <f>'R1'!R42</f>
        <v/>
      </c>
      <c r="T20" s="35" t="str">
        <f>'R1'!S42</f>
        <v/>
      </c>
      <c r="U20" s="35" t="str">
        <f>'R1'!T42</f>
        <v/>
      </c>
      <c r="V20" s="35" t="str">
        <f>'R1'!U42</f>
        <v/>
      </c>
      <c r="W20" s="35" t="str">
        <f>'R1'!V42</f>
        <v/>
      </c>
    </row>
    <row r="21" spans="1:23" s="1" customFormat="1">
      <c r="A21" s="154"/>
      <c r="B21" s="35" t="str">
        <f>'R1'!B43</f>
        <v/>
      </c>
      <c r="C21" s="35" t="str">
        <f>'R1'!C43</f>
        <v/>
      </c>
      <c r="D21" s="35" t="str">
        <f>'R1'!D43</f>
        <v/>
      </c>
      <c r="E21" s="35" t="str">
        <f>'R1'!E43</f>
        <v/>
      </c>
      <c r="F21" s="35" t="str">
        <f>'R1'!F43</f>
        <v/>
      </c>
      <c r="G21" s="35" t="str">
        <f>'R1'!G43</f>
        <v/>
      </c>
      <c r="H21" s="35" t="str">
        <f>'R1'!H43</f>
        <v/>
      </c>
      <c r="I21" s="35" t="str">
        <f>'R1'!I43</f>
        <v/>
      </c>
      <c r="J21" s="35" t="str">
        <f>'R1'!J43</f>
        <v/>
      </c>
      <c r="K21" s="35" t="str">
        <f>'R1'!K43</f>
        <v/>
      </c>
      <c r="L21" s="35" t="str">
        <f>'R1'!L43</f>
        <v/>
      </c>
      <c r="M21" s="35" t="str">
        <f>'R1'!M43</f>
        <v/>
      </c>
      <c r="N21" s="35" t="str">
        <f>'R1'!N43</f>
        <v/>
      </c>
      <c r="O21"/>
      <c r="P21" s="35">
        <f>'R1'!O43</f>
        <v>1.0938184416110392</v>
      </c>
      <c r="Q21" s="35" t="str">
        <f>'R1'!P43</f>
        <v/>
      </c>
      <c r="R21" s="35" t="str">
        <f>'R1'!Q43</f>
        <v/>
      </c>
      <c r="S21" s="35" t="str">
        <f>'R1'!R43</f>
        <v/>
      </c>
      <c r="T21" s="35" t="str">
        <f>'R1'!S43</f>
        <v/>
      </c>
      <c r="U21" s="35" t="str">
        <f>'R1'!T43</f>
        <v/>
      </c>
      <c r="V21" s="35" t="str">
        <f>'R1'!U43</f>
        <v/>
      </c>
      <c r="W21" s="35" t="str">
        <f>'R1'!V43</f>
        <v/>
      </c>
    </row>
    <row r="22" spans="1:23">
      <c r="A22" s="23" t="s">
        <v>5</v>
      </c>
      <c r="B22" s="36">
        <f>'R2'!B28</f>
        <v>0.17226900731147429</v>
      </c>
      <c r="C22" s="36">
        <f>'R2'!C28</f>
        <v>7.8152809951055321E-2</v>
      </c>
      <c r="D22" s="36">
        <f>'R2'!D28</f>
        <v>0.38835324881074096</v>
      </c>
      <c r="E22" s="36">
        <f>'R2'!E28</f>
        <v>1.7629440633540723</v>
      </c>
      <c r="F22" s="36">
        <f>'R2'!F28</f>
        <v>1.0981393457451722</v>
      </c>
      <c r="G22" s="36">
        <f>'R2'!G28</f>
        <v>1.8505335566376153</v>
      </c>
      <c r="H22" s="36">
        <f>'R2'!H28</f>
        <v>2.0447417348547403</v>
      </c>
      <c r="I22" s="36">
        <f>'R2'!I28</f>
        <v>2.1890226606839542</v>
      </c>
      <c r="J22" s="36">
        <f>'R2'!J28</f>
        <v>0.92550380576729652</v>
      </c>
      <c r="K22" s="36">
        <f>'R2'!K28</f>
        <v>1.055344002534474</v>
      </c>
      <c r="L22" s="36">
        <f>'R2'!L28</f>
        <v>2.5221815632498585</v>
      </c>
      <c r="M22" s="36">
        <f>'R2'!M28</f>
        <v>0.54294763521565403</v>
      </c>
      <c r="N22" s="36" t="str">
        <f>'R2'!N28</f>
        <v/>
      </c>
      <c r="P22" s="36">
        <f>'R2'!O28</f>
        <v>1.1830691966492992</v>
      </c>
      <c r="Q22" s="36">
        <f>'R2'!P28</f>
        <v>1.5968491350573055</v>
      </c>
      <c r="R22" s="36">
        <f>'R2'!Q28</f>
        <v>9.1800506483541905E-2</v>
      </c>
      <c r="S22" s="36">
        <f>'R2'!R28</f>
        <v>1.1130400725558218</v>
      </c>
      <c r="T22" s="36">
        <f>'R2'!S28</f>
        <v>0.97264983639685076</v>
      </c>
      <c r="U22" s="36">
        <f>'R2'!T28</f>
        <v>2.1022804844497096</v>
      </c>
      <c r="V22" s="36">
        <f>'R2'!U28</f>
        <v>2.0640573035166763</v>
      </c>
      <c r="W22" s="36">
        <f>'R2'!V28</f>
        <v>0.31853782328123226</v>
      </c>
    </row>
    <row r="23" spans="1:23">
      <c r="A23" s="144" t="s">
        <v>17</v>
      </c>
      <c r="B23" s="36">
        <f>'R2'!B29</f>
        <v>0.4207132529785359</v>
      </c>
      <c r="C23" s="36">
        <f>'R2'!C29</f>
        <v>0.21379950625761809</v>
      </c>
      <c r="D23" s="36">
        <f>'R2'!D29</f>
        <v>9.9121738531282963E-2</v>
      </c>
      <c r="E23" s="36">
        <f>'R2'!E29</f>
        <v>0.30748157700418016</v>
      </c>
      <c r="F23" s="36">
        <f>'R2'!F29</f>
        <v>1.3012754581592905</v>
      </c>
      <c r="G23" s="36">
        <f>'R2'!G29</f>
        <v>2.0660070599036779</v>
      </c>
      <c r="H23" s="36">
        <f>'R2'!H29</f>
        <v>2.0223624555699713</v>
      </c>
      <c r="I23" s="36">
        <f>'R2'!I29</f>
        <v>1.799038184486389</v>
      </c>
      <c r="J23" s="36">
        <f>'R2'!J29</f>
        <v>2.3219146045434425</v>
      </c>
      <c r="K23" s="36">
        <f>'R2'!K29</f>
        <v>2.12210480224714</v>
      </c>
      <c r="L23" s="36">
        <f>'R2'!L29</f>
        <v>0.18903739078091086</v>
      </c>
      <c r="M23" s="36">
        <f>'R2'!M29</f>
        <v>0.16453981887289559</v>
      </c>
      <c r="N23" s="36" t="str">
        <f>'R2'!N29</f>
        <v/>
      </c>
      <c r="P23" s="36">
        <f>'R2'!O29</f>
        <v>0.67527774177295108</v>
      </c>
      <c r="Q23" s="36">
        <f>'R2'!P29</f>
        <v>1.2519194643538569</v>
      </c>
      <c r="R23" s="36">
        <f>'R2'!Q29</f>
        <v>0.2256949942008655</v>
      </c>
      <c r="S23" s="36">
        <f>'R2'!R29</f>
        <v>2.6667763822111721</v>
      </c>
      <c r="T23" s="36">
        <f>'R2'!S29</f>
        <v>2.9620608407587916</v>
      </c>
      <c r="U23" s="36">
        <f>'R2'!T29</f>
        <v>1.5949539622783153</v>
      </c>
      <c r="V23" s="36">
        <f>'R2'!U29</f>
        <v>1.4126831443612684</v>
      </c>
      <c r="W23" s="36">
        <f>'R2'!V29</f>
        <v>1.0722507143255837</v>
      </c>
    </row>
    <row r="24" spans="1:23">
      <c r="A24" s="153"/>
      <c r="B24" s="36">
        <f>'R2'!B30</f>
        <v>0.18303483888507821</v>
      </c>
      <c r="C24" s="36">
        <f>'R2'!C30</f>
        <v>0.24187028564461951</v>
      </c>
      <c r="D24" s="36">
        <f>'R2'!D30</f>
        <v>0.27729145818501205</v>
      </c>
      <c r="E24" s="36">
        <f>'R2'!E30</f>
        <v>0.7660610490737666</v>
      </c>
      <c r="F24" s="36">
        <f>'R2'!F30</f>
        <v>0.72583517313116663</v>
      </c>
      <c r="G24" s="36">
        <f>'R2'!G30</f>
        <v>1.658310128134272</v>
      </c>
      <c r="H24" s="36">
        <f>'R2'!H30</f>
        <v>2.1253780241982594</v>
      </c>
      <c r="I24" s="36">
        <f>'R2'!I30</f>
        <v>1.9583470991821919</v>
      </c>
      <c r="J24" s="36">
        <f>'R2'!J30</f>
        <v>1.5893270652409079</v>
      </c>
      <c r="K24" s="36">
        <f>'R2'!K30</f>
        <v>1.2026517015860314</v>
      </c>
      <c r="L24" s="36">
        <f>'R2'!L30</f>
        <v>0.40325547106270582</v>
      </c>
      <c r="M24" s="36">
        <f>'R2'!M30</f>
        <v>0.64286195764409226</v>
      </c>
      <c r="N24" s="36" t="str">
        <f>'R2'!N30</f>
        <v/>
      </c>
      <c r="P24" s="36">
        <f>'R2'!O30</f>
        <v>0.97012224148558335</v>
      </c>
      <c r="Q24" s="36">
        <f>'R2'!P30</f>
        <v>2.1129594308828894</v>
      </c>
      <c r="R24" s="36">
        <f>'R2'!Q30</f>
        <v>0.23670189091450985</v>
      </c>
      <c r="S24" s="36">
        <f>'R2'!R30</f>
        <v>2.4377775095122218</v>
      </c>
      <c r="T24" s="36">
        <f>'R2'!S30</f>
        <v>2.323304916334358</v>
      </c>
      <c r="U24" s="36">
        <f>'R2'!T30</f>
        <v>1.9976804957477687</v>
      </c>
      <c r="V24" s="36">
        <f>'R2'!U30</f>
        <v>1.3172282279353149</v>
      </c>
      <c r="W24" s="36">
        <f>'R2'!V30</f>
        <v>0.96800335068581123</v>
      </c>
    </row>
    <row r="25" spans="1:23">
      <c r="A25" s="153"/>
      <c r="B25" s="36">
        <f>'R2'!B31</f>
        <v>0.32525773837605615</v>
      </c>
      <c r="C25" s="36">
        <f>'R2'!C31</f>
        <v>0.22205105234766154</v>
      </c>
      <c r="D25" s="36">
        <f>'R2'!D31</f>
        <v>0.30666760829621492</v>
      </c>
      <c r="E25" s="36">
        <f>'R2'!E31</f>
        <v>1.2140255795984718</v>
      </c>
      <c r="F25" s="36">
        <f>'R2'!F31</f>
        <v>1.479344534612494</v>
      </c>
      <c r="G25" s="36">
        <f>'R2'!G31</f>
        <v>1.6430234279201212</v>
      </c>
      <c r="H25" s="36">
        <f>'R2'!H31</f>
        <v>2.5411760606613805</v>
      </c>
      <c r="I25" s="36">
        <f>'R2'!I31</f>
        <v>2.5795783954639977</v>
      </c>
      <c r="J25" s="36">
        <f>'R2'!J31</f>
        <v>1.9257376554029901</v>
      </c>
      <c r="K25" s="36">
        <f>'R2'!K31</f>
        <v>1.1110626505044852</v>
      </c>
      <c r="L25" s="36">
        <f>'R2'!L31</f>
        <v>0.6294638502671438</v>
      </c>
      <c r="M25" s="36">
        <f>'R2'!M31</f>
        <v>0.44894419413041525</v>
      </c>
      <c r="N25" s="36" t="str">
        <f>'R2'!N31</f>
        <v/>
      </c>
      <c r="P25" s="36">
        <f>'R2'!O31</f>
        <v>0.30922600929857935</v>
      </c>
      <c r="Q25" s="36">
        <f>'R2'!P31</f>
        <v>1.5474814768096121</v>
      </c>
      <c r="R25" s="36">
        <f>'R2'!Q31</f>
        <v>0.32370621801134197</v>
      </c>
      <c r="S25" s="36">
        <f>'R2'!R31</f>
        <v>2.5439451693450832</v>
      </c>
      <c r="T25" s="36">
        <f>'R2'!S31</f>
        <v>1.9586677218002109</v>
      </c>
      <c r="U25" s="36">
        <f>'R2'!T31</f>
        <v>2.1450794167195646</v>
      </c>
      <c r="V25" s="36">
        <f>'R2'!U31</f>
        <v>2.7370533009306093</v>
      </c>
      <c r="W25" s="36">
        <f>'R2'!V31</f>
        <v>2.4242210348999738</v>
      </c>
    </row>
    <row r="26" spans="1:23">
      <c r="A26" s="153"/>
      <c r="B26" s="36">
        <f>'R2'!B32</f>
        <v>0.41933445608574893</v>
      </c>
      <c r="C26" s="36">
        <f>'R2'!C32</f>
        <v>0.18380887930992262</v>
      </c>
      <c r="D26" s="36">
        <f>'R2'!D32</f>
        <v>0.25967127134233092</v>
      </c>
      <c r="E26" s="36">
        <f>'R2'!E32</f>
        <v>1.5343323604116756</v>
      </c>
      <c r="F26" s="36">
        <f>'R2'!F32</f>
        <v>1.9620373997161726</v>
      </c>
      <c r="G26" s="36">
        <f>'R2'!G32</f>
        <v>1.626090844994255</v>
      </c>
      <c r="H26" s="36">
        <f>'R2'!H32</f>
        <v>9.5522211285146E-2</v>
      </c>
      <c r="I26" s="36">
        <f>'R2'!I32</f>
        <v>2.7165255275384208</v>
      </c>
      <c r="J26" s="36">
        <f>'R2'!J32</f>
        <v>1.591243323742445</v>
      </c>
      <c r="K26" s="36">
        <f>'R2'!K32</f>
        <v>0.83437265881652189</v>
      </c>
      <c r="L26" s="36">
        <f>'R2'!L32</f>
        <v>0.21579158363384537</v>
      </c>
      <c r="M26" s="36">
        <f>'R2'!M32</f>
        <v>0.28549544924122616</v>
      </c>
      <c r="N26" s="36" t="str">
        <f>'R2'!N32</f>
        <v/>
      </c>
      <c r="P26" s="36">
        <f>'R2'!O32</f>
        <v>0.82989919566567272</v>
      </c>
      <c r="Q26" s="36">
        <f>'R2'!P32</f>
        <v>1.1184484856170511</v>
      </c>
      <c r="R26" s="36">
        <f>'R2'!Q32</f>
        <v>0.34715339193942923</v>
      </c>
      <c r="S26" s="36">
        <f>'R2'!R32</f>
        <v>2.6002660315328008</v>
      </c>
      <c r="T26" s="36">
        <f>'R2'!S32</f>
        <v>1.6712501818363175</v>
      </c>
      <c r="U26" s="36">
        <f>'R2'!T32</f>
        <v>1.9512445006547603</v>
      </c>
      <c r="V26" s="36">
        <f>'R2'!U32</f>
        <v>1.5991429924909779</v>
      </c>
      <c r="W26" s="36">
        <f>'R2'!V32</f>
        <v>0.67041097755615509</v>
      </c>
    </row>
    <row r="27" spans="1:23">
      <c r="A27" s="153"/>
      <c r="B27" s="36">
        <f>'R2'!B33</f>
        <v>0.33660110938566262</v>
      </c>
      <c r="C27" s="36">
        <f>'R2'!C33</f>
        <v>1.2947530908622292E-3</v>
      </c>
      <c r="D27" s="36">
        <f>'R2'!D33</f>
        <v>0.42647713244043273</v>
      </c>
      <c r="E27" s="36">
        <f>'R2'!E33</f>
        <v>1.2269488843577847</v>
      </c>
      <c r="F27" s="36">
        <f>'R2'!F33</f>
        <v>1.1300206591479118</v>
      </c>
      <c r="G27" s="36">
        <f>'R2'!G33</f>
        <v>1.6081084622649873</v>
      </c>
      <c r="H27" s="36">
        <f>'R2'!H33</f>
        <v>3.1732648590694237</v>
      </c>
      <c r="I27" s="36">
        <f>'R2'!I33</f>
        <v>2.3499411188675081</v>
      </c>
      <c r="J27" s="36">
        <f>'R2'!J33</f>
        <v>1.3153029967858854</v>
      </c>
      <c r="K27" s="36">
        <f>'R2'!K33</f>
        <v>1.3352794009650906</v>
      </c>
      <c r="L27" s="36">
        <f>'R2'!L33</f>
        <v>5.5792074138596826E-2</v>
      </c>
      <c r="M27" s="36">
        <f>'R2'!M33</f>
        <v>0.64926872732747398</v>
      </c>
      <c r="N27" s="36" t="str">
        <f>'R2'!N33</f>
        <v/>
      </c>
      <c r="P27" s="36">
        <f>'R2'!O33</f>
        <v>1.5102245005104502</v>
      </c>
      <c r="Q27" s="36">
        <f>'R2'!P33</f>
        <v>1.2483453596100815</v>
      </c>
      <c r="R27" s="36">
        <f>'R2'!Q33</f>
        <v>0.34439654587451296</v>
      </c>
      <c r="S27" s="36">
        <f>'R2'!R33</f>
        <v>3.6947159740087812</v>
      </c>
      <c r="T27" s="36">
        <f>'R2'!S33</f>
        <v>2.1545762167929312</v>
      </c>
      <c r="U27" s="36">
        <f>'R2'!T33</f>
        <v>1.2975519588281079</v>
      </c>
      <c r="V27" s="36">
        <f>'R2'!U33</f>
        <v>2.1676777781570382</v>
      </c>
      <c r="W27" s="36">
        <f>'R2'!V33</f>
        <v>1.9093280283051151</v>
      </c>
    </row>
    <row r="28" spans="1:23">
      <c r="A28" s="153"/>
      <c r="B28" s="36">
        <f>'R2'!B34</f>
        <v>0.58410606836252954</v>
      </c>
      <c r="C28" s="36">
        <f>'R2'!C34</f>
        <v>0.24164611899144298</v>
      </c>
      <c r="D28" s="36">
        <f>'R2'!D34</f>
        <v>0.18287123760517485</v>
      </c>
      <c r="E28" s="36">
        <f>'R2'!E34</f>
        <v>0.51286055230311611</v>
      </c>
      <c r="F28" s="36">
        <f>'R2'!F34</f>
        <v>1.5353561395361897</v>
      </c>
      <c r="G28" s="36">
        <f>'R2'!G34</f>
        <v>1.3811851125676626</v>
      </c>
      <c r="H28" s="36">
        <f>'R2'!H34</f>
        <v>3.7895507309212437</v>
      </c>
      <c r="I28" s="36">
        <f>'R2'!I34</f>
        <v>2.1791546920761089</v>
      </c>
      <c r="J28" s="36">
        <f>'R2'!J34</f>
        <v>1.7869720666890558</v>
      </c>
      <c r="K28" s="36">
        <f>'R2'!K34</f>
        <v>0.90952890345980442</v>
      </c>
      <c r="L28" s="36">
        <f>'R2'!L34</f>
        <v>6.8030765863725598E-2</v>
      </c>
      <c r="M28" s="36">
        <f>'R2'!M34</f>
        <v>0.2843651946950565</v>
      </c>
      <c r="N28" s="36" t="str">
        <f>'R2'!N34</f>
        <v/>
      </c>
      <c r="P28" s="36">
        <f>'R2'!O34</f>
        <v>1.0439729658605328</v>
      </c>
      <c r="Q28" s="36">
        <f>'R2'!P34</f>
        <v>1.8424826987720968</v>
      </c>
      <c r="R28" s="36">
        <f>'R2'!Q34</f>
        <v>0.35895107802065035</v>
      </c>
      <c r="S28" s="36">
        <f>'R2'!R34</f>
        <v>1.9371372550060553</v>
      </c>
      <c r="T28" s="36">
        <f>'R2'!S34</f>
        <v>1.6899538159119967</v>
      </c>
      <c r="U28" s="36">
        <f>'R2'!T34</f>
        <v>1.8663022375877156</v>
      </c>
      <c r="V28" s="36">
        <f>'R2'!U34</f>
        <v>2.7680905872549442</v>
      </c>
      <c r="W28" s="36">
        <f>'R2'!V34</f>
        <v>1.9511571668819416</v>
      </c>
    </row>
    <row r="29" spans="1:23">
      <c r="A29" s="153"/>
      <c r="B29" s="36">
        <f>'R2'!B35</f>
        <v>0.41110653796848856</v>
      </c>
      <c r="C29" s="36">
        <f>'R2'!C35</f>
        <v>0.51058822922438529</v>
      </c>
      <c r="D29" s="36">
        <f>'R2'!D35</f>
        <v>0.12957146596280231</v>
      </c>
      <c r="E29" s="36">
        <f>'R2'!E35</f>
        <v>0.60120658934811355</v>
      </c>
      <c r="F29" s="36">
        <f>'R2'!F35</f>
        <v>1.8080936798275846</v>
      </c>
      <c r="G29" s="36">
        <f>'R2'!G35</f>
        <v>2.4534597539542928</v>
      </c>
      <c r="H29" s="36">
        <f>'R2'!H35</f>
        <v>2.6097623829737726</v>
      </c>
      <c r="I29" s="36">
        <f>'R2'!I35</f>
        <v>1.8221787929448219</v>
      </c>
      <c r="J29" s="36">
        <f>'R2'!J35</f>
        <v>0.65749948678323356</v>
      </c>
      <c r="K29" s="36">
        <f>'R2'!K35</f>
        <v>1.1407498524092887</v>
      </c>
      <c r="L29" s="36">
        <f>'R2'!L35</f>
        <v>0.40490329784813101</v>
      </c>
      <c r="M29" s="36">
        <f>'R2'!M35</f>
        <v>0.39307136616078753</v>
      </c>
      <c r="N29" s="36" t="str">
        <f>'R2'!N35</f>
        <v/>
      </c>
      <c r="P29" s="36">
        <f>'R2'!O35</f>
        <v>0.45293821879555135</v>
      </c>
      <c r="Q29" s="36">
        <f>'R2'!P35</f>
        <v>1.0773717035659958</v>
      </c>
      <c r="R29" s="36">
        <f>'R2'!Q35</f>
        <v>0.21312132362109001</v>
      </c>
      <c r="S29" s="36">
        <f>'R2'!R35</f>
        <v>1.7149465284395364</v>
      </c>
      <c r="T29" s="36">
        <f>'R2'!S35</f>
        <v>1.7690936171312075</v>
      </c>
      <c r="U29" s="36">
        <f>'R2'!T35</f>
        <v>1.7695486799234799</v>
      </c>
      <c r="V29" s="36">
        <f>'R2'!U35</f>
        <v>2.2232202631400968</v>
      </c>
      <c r="W29" s="36">
        <f>'R2'!V35</f>
        <v>0.59487175039200191</v>
      </c>
    </row>
    <row r="30" spans="1:23">
      <c r="A30" s="153"/>
      <c r="B30" s="36" t="str">
        <f>'R2'!B36</f>
        <v/>
      </c>
      <c r="C30" s="36" t="str">
        <f>'R2'!C36</f>
        <v/>
      </c>
      <c r="D30" s="36" t="str">
        <f>'R2'!D36</f>
        <v/>
      </c>
      <c r="E30" s="36" t="str">
        <f>'R2'!E36</f>
        <v/>
      </c>
      <c r="F30" s="36" t="str">
        <f>'R2'!F36</f>
        <v/>
      </c>
      <c r="G30" s="36" t="str">
        <f>'R2'!G36</f>
        <v/>
      </c>
      <c r="H30" s="36" t="str">
        <f>'R2'!H36</f>
        <v/>
      </c>
      <c r="I30" s="36" t="str">
        <f>'R2'!I36</f>
        <v/>
      </c>
      <c r="J30" s="36" t="str">
        <f>'R2'!J36</f>
        <v/>
      </c>
      <c r="K30" s="36" t="str">
        <f>'R2'!K36</f>
        <v/>
      </c>
      <c r="L30" s="36" t="str">
        <f>'R2'!L36</f>
        <v/>
      </c>
      <c r="M30" s="36" t="str">
        <f>'R2'!M36</f>
        <v/>
      </c>
      <c r="N30" s="36" t="str">
        <f>'R2'!N36</f>
        <v/>
      </c>
      <c r="P30" s="36">
        <f>'R2'!O36</f>
        <v>0.78738155590724179</v>
      </c>
      <c r="Q30" s="36" t="str">
        <f>'R2'!P36</f>
        <v/>
      </c>
      <c r="R30" s="36" t="str">
        <f>'R2'!Q36</f>
        <v/>
      </c>
      <c r="S30" s="36" t="str">
        <f>'R2'!R36</f>
        <v/>
      </c>
      <c r="T30" s="36" t="str">
        <f>'R2'!S36</f>
        <v/>
      </c>
      <c r="U30" s="36" t="str">
        <f>'R2'!T36</f>
        <v/>
      </c>
      <c r="V30" s="36" t="str">
        <f>'R2'!U36</f>
        <v/>
      </c>
      <c r="W30" s="36" t="str">
        <f>'R2'!V36</f>
        <v/>
      </c>
    </row>
    <row r="31" spans="1:23" s="1" customFormat="1">
      <c r="A31" s="153"/>
      <c r="B31" s="36" t="str">
        <f>'R2'!B37</f>
        <v/>
      </c>
      <c r="C31" s="36" t="str">
        <f>'R2'!C37</f>
        <v/>
      </c>
      <c r="D31" s="36" t="str">
        <f>'R2'!D37</f>
        <v/>
      </c>
      <c r="E31" s="36" t="str">
        <f>'R2'!E37</f>
        <v/>
      </c>
      <c r="F31" s="36" t="str">
        <f>'R2'!F37</f>
        <v/>
      </c>
      <c r="G31" s="36" t="str">
        <f>'R2'!G37</f>
        <v/>
      </c>
      <c r="H31" s="36" t="str">
        <f>'R2'!H37</f>
        <v/>
      </c>
      <c r="I31" s="36" t="str">
        <f>'R2'!I37</f>
        <v/>
      </c>
      <c r="J31" s="36" t="str">
        <f>'R2'!J37</f>
        <v/>
      </c>
      <c r="K31" s="36" t="str">
        <f>'R2'!K37</f>
        <v/>
      </c>
      <c r="L31" s="36" t="str">
        <f>'R2'!L37</f>
        <v/>
      </c>
      <c r="M31" s="36" t="str">
        <f>'R2'!M37</f>
        <v/>
      </c>
      <c r="N31" s="36" t="str">
        <f>'R2'!N37</f>
        <v/>
      </c>
      <c r="O31"/>
      <c r="P31" s="36">
        <f>'R2'!O37</f>
        <v>1.0434504586649365</v>
      </c>
      <c r="Q31" s="36" t="str">
        <f>'R2'!P37</f>
        <v/>
      </c>
      <c r="R31" s="36" t="str">
        <f>'R2'!Q37</f>
        <v/>
      </c>
      <c r="S31" s="36" t="str">
        <f>'R2'!R37</f>
        <v/>
      </c>
      <c r="T31" s="36" t="str">
        <f>'R2'!S37</f>
        <v/>
      </c>
      <c r="U31" s="36" t="str">
        <f>'R2'!T37</f>
        <v/>
      </c>
      <c r="V31" s="36" t="str">
        <f>'R2'!U37</f>
        <v/>
      </c>
      <c r="W31" s="36" t="str">
        <f>'R2'!V37</f>
        <v/>
      </c>
    </row>
    <row r="32" spans="1:23" s="1" customFormat="1">
      <c r="A32" s="153"/>
      <c r="B32" s="36" t="str">
        <f>'R2'!B38</f>
        <v/>
      </c>
      <c r="C32" s="36" t="str">
        <f>'R2'!C38</f>
        <v/>
      </c>
      <c r="D32" s="36" t="str">
        <f>'R2'!D38</f>
        <v/>
      </c>
      <c r="E32" s="36" t="str">
        <f>'R2'!E38</f>
        <v/>
      </c>
      <c r="F32" s="36" t="str">
        <f>'R2'!F38</f>
        <v/>
      </c>
      <c r="G32" s="36" t="str">
        <f>'R2'!G38</f>
        <v/>
      </c>
      <c r="H32" s="36" t="str">
        <f>'R2'!H38</f>
        <v/>
      </c>
      <c r="I32" s="36" t="str">
        <f>'R2'!I38</f>
        <v/>
      </c>
      <c r="J32" s="36" t="str">
        <f>'R2'!J38</f>
        <v/>
      </c>
      <c r="K32" s="36" t="str">
        <f>'R2'!K38</f>
        <v/>
      </c>
      <c r="L32" s="36" t="str">
        <f>'R2'!L38</f>
        <v/>
      </c>
      <c r="M32" s="36" t="str">
        <f>'R2'!M38</f>
        <v/>
      </c>
      <c r="N32" s="36" t="str">
        <f>'R2'!N38</f>
        <v/>
      </c>
      <c r="O32"/>
      <c r="P32" s="36">
        <f>'R2'!O38</f>
        <v>0.83402781004919369</v>
      </c>
      <c r="Q32" s="36" t="str">
        <f>'R2'!P38</f>
        <v/>
      </c>
      <c r="R32" s="36" t="str">
        <f>'R2'!Q38</f>
        <v/>
      </c>
      <c r="S32" s="36" t="str">
        <f>'R2'!R38</f>
        <v/>
      </c>
      <c r="T32" s="36" t="str">
        <f>'R2'!S38</f>
        <v/>
      </c>
      <c r="U32" s="36" t="str">
        <f>'R2'!T38</f>
        <v/>
      </c>
      <c r="V32" s="36" t="str">
        <f>'R2'!U38</f>
        <v/>
      </c>
      <c r="W32" s="36" t="str">
        <f>'R2'!V38</f>
        <v/>
      </c>
    </row>
    <row r="33" spans="1:23" s="1" customFormat="1">
      <c r="A33" s="153"/>
      <c r="B33" s="36" t="str">
        <f>'R2'!B39</f>
        <v/>
      </c>
      <c r="C33" s="36" t="str">
        <f>'R2'!C39</f>
        <v/>
      </c>
      <c r="D33" s="36" t="str">
        <f>'R2'!D39</f>
        <v/>
      </c>
      <c r="E33" s="36" t="str">
        <f>'R2'!E39</f>
        <v/>
      </c>
      <c r="F33" s="36" t="str">
        <f>'R2'!F39</f>
        <v/>
      </c>
      <c r="G33" s="36" t="str">
        <f>'R2'!G39</f>
        <v/>
      </c>
      <c r="H33" s="36" t="str">
        <f>'R2'!H39</f>
        <v/>
      </c>
      <c r="I33" s="36" t="str">
        <f>'R2'!I39</f>
        <v/>
      </c>
      <c r="J33" s="36" t="str">
        <f>'R2'!J39</f>
        <v/>
      </c>
      <c r="K33" s="36" t="str">
        <f>'R2'!K39</f>
        <v/>
      </c>
      <c r="L33" s="36" t="str">
        <f>'R2'!L39</f>
        <v/>
      </c>
      <c r="M33" s="36" t="str">
        <f>'R2'!M39</f>
        <v/>
      </c>
      <c r="N33" s="36" t="str">
        <f>'R2'!N39</f>
        <v/>
      </c>
      <c r="O33"/>
      <c r="P33" s="36">
        <f>'R2'!O39</f>
        <v>0.65131688375302832</v>
      </c>
      <c r="Q33" s="36" t="str">
        <f>'R2'!P39</f>
        <v/>
      </c>
      <c r="R33" s="36" t="str">
        <f>'R2'!Q39</f>
        <v/>
      </c>
      <c r="S33" s="36" t="str">
        <f>'R2'!R39</f>
        <v/>
      </c>
      <c r="T33" s="36" t="str">
        <f>'R2'!S39</f>
        <v/>
      </c>
      <c r="U33" s="36" t="str">
        <f>'R2'!T39</f>
        <v/>
      </c>
      <c r="V33" s="36" t="str">
        <f>'R2'!U39</f>
        <v/>
      </c>
      <c r="W33" s="36" t="str">
        <f>'R2'!V39</f>
        <v/>
      </c>
    </row>
    <row r="34" spans="1:23" s="1" customFormat="1">
      <c r="A34" s="153"/>
      <c r="B34" s="36" t="str">
        <f>'R2'!B40</f>
        <v/>
      </c>
      <c r="C34" s="36" t="str">
        <f>'R2'!C40</f>
        <v/>
      </c>
      <c r="D34" s="36" t="str">
        <f>'R2'!D40</f>
        <v/>
      </c>
      <c r="E34" s="36" t="str">
        <f>'R2'!E40</f>
        <v/>
      </c>
      <c r="F34" s="36" t="str">
        <f>'R2'!F40</f>
        <v/>
      </c>
      <c r="G34" s="36" t="str">
        <f>'R2'!G40</f>
        <v/>
      </c>
      <c r="H34" s="36" t="str">
        <f>'R2'!H40</f>
        <v/>
      </c>
      <c r="I34" s="36" t="str">
        <f>'R2'!I40</f>
        <v/>
      </c>
      <c r="J34" s="36" t="str">
        <f>'R2'!J40</f>
        <v/>
      </c>
      <c r="K34" s="36" t="str">
        <f>'R2'!K40</f>
        <v/>
      </c>
      <c r="L34" s="36" t="str">
        <f>'R2'!L40</f>
        <v/>
      </c>
      <c r="M34" s="36" t="str">
        <f>'R2'!M40</f>
        <v/>
      </c>
      <c r="N34" s="36" t="str">
        <f>'R2'!N40</f>
        <v/>
      </c>
      <c r="O34"/>
      <c r="P34" s="36">
        <f>'R2'!O40</f>
        <v>1.3258081729382174</v>
      </c>
      <c r="Q34" s="36" t="str">
        <f>'R2'!P40</f>
        <v/>
      </c>
      <c r="R34" s="36" t="str">
        <f>'R2'!Q40</f>
        <v/>
      </c>
      <c r="S34" s="36" t="str">
        <f>'R2'!R40</f>
        <v/>
      </c>
      <c r="T34" s="36" t="str">
        <f>'R2'!S40</f>
        <v/>
      </c>
      <c r="U34" s="36" t="str">
        <f>'R2'!T40</f>
        <v/>
      </c>
      <c r="V34" s="36" t="str">
        <f>'R2'!U40</f>
        <v/>
      </c>
      <c r="W34" s="36" t="str">
        <f>'R2'!V40</f>
        <v/>
      </c>
    </row>
    <row r="35" spans="1:23" s="1" customFormat="1">
      <c r="A35" s="153"/>
      <c r="B35" s="36" t="str">
        <f>'R2'!B41</f>
        <v/>
      </c>
      <c r="C35" s="36" t="str">
        <f>'R2'!C41</f>
        <v/>
      </c>
      <c r="D35" s="36" t="str">
        <f>'R2'!D41</f>
        <v/>
      </c>
      <c r="E35" s="36" t="str">
        <f>'R2'!E41</f>
        <v/>
      </c>
      <c r="F35" s="36" t="str">
        <f>'R2'!F41</f>
        <v/>
      </c>
      <c r="G35" s="36" t="str">
        <f>'R2'!G41</f>
        <v/>
      </c>
      <c r="H35" s="36" t="str">
        <f>'R2'!H41</f>
        <v/>
      </c>
      <c r="I35" s="36" t="str">
        <f>'R2'!I41</f>
        <v/>
      </c>
      <c r="J35" s="36" t="str">
        <f>'R2'!J41</f>
        <v/>
      </c>
      <c r="K35" s="36" t="str">
        <f>'R2'!K41</f>
        <v/>
      </c>
      <c r="L35" s="36" t="str">
        <f>'R2'!L41</f>
        <v/>
      </c>
      <c r="M35" s="36" t="str">
        <f>'R2'!M41</f>
        <v/>
      </c>
      <c r="N35" s="36" t="str">
        <f>'R2'!N41</f>
        <v/>
      </c>
      <c r="O35"/>
      <c r="P35" s="36">
        <f>'R2'!O41</f>
        <v>0.98071355505768165</v>
      </c>
      <c r="Q35" s="36" t="str">
        <f>'R2'!P41</f>
        <v/>
      </c>
      <c r="R35" s="36" t="str">
        <f>'R2'!Q41</f>
        <v/>
      </c>
      <c r="S35" s="36" t="str">
        <f>'R2'!R41</f>
        <v/>
      </c>
      <c r="T35" s="36" t="str">
        <f>'R2'!S41</f>
        <v/>
      </c>
      <c r="U35" s="36" t="str">
        <f>'R2'!T41</f>
        <v/>
      </c>
      <c r="V35" s="36" t="str">
        <f>'R2'!U41</f>
        <v/>
      </c>
      <c r="W35" s="36" t="str">
        <f>'R2'!V41</f>
        <v/>
      </c>
    </row>
    <row r="36" spans="1:23">
      <c r="A36" s="153"/>
      <c r="B36" s="36" t="str">
        <f>'R2'!B42</f>
        <v/>
      </c>
      <c r="C36" s="36" t="str">
        <f>'R2'!C42</f>
        <v/>
      </c>
      <c r="D36" s="36" t="str">
        <f>'R2'!D42</f>
        <v/>
      </c>
      <c r="E36" s="36" t="str">
        <f>'R2'!E42</f>
        <v/>
      </c>
      <c r="F36" s="36" t="str">
        <f>'R2'!F42</f>
        <v/>
      </c>
      <c r="G36" s="36" t="str">
        <f>'R2'!G42</f>
        <v/>
      </c>
      <c r="H36" s="36" t="str">
        <f>'R2'!H42</f>
        <v/>
      </c>
      <c r="I36" s="36" t="str">
        <f>'R2'!I42</f>
        <v/>
      </c>
      <c r="J36" s="36" t="str">
        <f>'R2'!J42</f>
        <v/>
      </c>
      <c r="K36" s="36" t="str">
        <f>'R2'!K42</f>
        <v/>
      </c>
      <c r="L36" s="36" t="str">
        <f>'R2'!L42</f>
        <v/>
      </c>
      <c r="M36" s="36" t="str">
        <f>'R2'!M42</f>
        <v/>
      </c>
      <c r="N36" s="36" t="str">
        <f>'R2'!N42</f>
        <v/>
      </c>
      <c r="P36" s="36">
        <f>'R2'!O42</f>
        <v>1.7230883091370306</v>
      </c>
      <c r="Q36" s="36" t="str">
        <f>'R2'!P42</f>
        <v/>
      </c>
      <c r="R36" s="36" t="str">
        <f>'R2'!Q42</f>
        <v/>
      </c>
      <c r="S36" s="36" t="str">
        <f>'R2'!R42</f>
        <v/>
      </c>
      <c r="T36" s="36" t="str">
        <f>'R2'!S42</f>
        <v/>
      </c>
      <c r="U36" s="36" t="str">
        <f>'R2'!T42</f>
        <v/>
      </c>
      <c r="V36" s="36" t="str">
        <f>'R2'!U42</f>
        <v/>
      </c>
      <c r="W36" s="36" t="str">
        <f>'R2'!V42</f>
        <v/>
      </c>
    </row>
    <row r="37" spans="1:23">
      <c r="A37" s="154"/>
      <c r="B37" s="36" t="str">
        <f>'R2'!B43</f>
        <v/>
      </c>
      <c r="C37" s="36" t="str">
        <f>'R2'!C43</f>
        <v/>
      </c>
      <c r="D37" s="36" t="str">
        <f>'R2'!D43</f>
        <v/>
      </c>
      <c r="E37" s="36" t="str">
        <f>'R2'!E43</f>
        <v/>
      </c>
      <c r="F37" s="36" t="str">
        <f>'R2'!F43</f>
        <v/>
      </c>
      <c r="G37" s="36" t="str">
        <f>'R2'!G43</f>
        <v/>
      </c>
      <c r="H37" s="36" t="str">
        <f>'R2'!H43</f>
        <v/>
      </c>
      <c r="I37" s="36" t="str">
        <f>'R2'!I43</f>
        <v/>
      </c>
      <c r="J37" s="36" t="str">
        <f>'R2'!J43</f>
        <v/>
      </c>
      <c r="K37" s="36" t="str">
        <f>'R2'!K43</f>
        <v/>
      </c>
      <c r="L37" s="36" t="str">
        <f>'R2'!L43</f>
        <v/>
      </c>
      <c r="M37" s="36" t="str">
        <f>'R2'!M43</f>
        <v/>
      </c>
      <c r="N37" s="36" t="str">
        <f>'R2'!N43</f>
        <v/>
      </c>
      <c r="P37" s="36">
        <f>'R2'!O43</f>
        <v>1.6794831844540501</v>
      </c>
      <c r="Q37" s="36" t="str">
        <f>'R2'!P43</f>
        <v/>
      </c>
      <c r="R37" s="36" t="str">
        <f>'R2'!Q43</f>
        <v/>
      </c>
      <c r="S37" s="36" t="str">
        <f>'R2'!R43</f>
        <v/>
      </c>
      <c r="T37" s="36" t="str">
        <f>'R2'!S43</f>
        <v/>
      </c>
      <c r="U37" s="36" t="str">
        <f>'R2'!T43</f>
        <v/>
      </c>
      <c r="V37" s="36" t="str">
        <f>'R2'!U43</f>
        <v/>
      </c>
      <c r="W37" s="36" t="str">
        <f>'R2'!V43</f>
        <v/>
      </c>
    </row>
    <row r="38" spans="1:23" s="1" customFormat="1">
      <c r="A38" s="81" t="s">
        <v>48</v>
      </c>
      <c r="B38" s="82">
        <f>'R3'!B28</f>
        <v>2.9243342966111117E-2</v>
      </c>
      <c r="C38" s="82">
        <f>'R3'!C28</f>
        <v>0.32329127943943492</v>
      </c>
      <c r="D38" s="82">
        <f>'R3'!D28</f>
        <v>0.34614136542196211</v>
      </c>
      <c r="E38" s="82">
        <f>'R3'!E28</f>
        <v>1.0782698998543749</v>
      </c>
      <c r="F38" s="82">
        <f>'R3'!F28</f>
        <v>1.2694315653569759</v>
      </c>
      <c r="G38" s="82">
        <f>'R3'!G28</f>
        <v>1.2523607142433051</v>
      </c>
      <c r="H38" s="82">
        <f>'R3'!H28</f>
        <v>1.93674190452647</v>
      </c>
      <c r="I38" s="82">
        <f>'R3'!I28</f>
        <v>1.0466352386946201</v>
      </c>
      <c r="J38" s="82">
        <f>'R3'!J28</f>
        <v>1.9081026522344122</v>
      </c>
      <c r="K38" s="82">
        <f>'R3'!K28</f>
        <v>0.44788724792222384</v>
      </c>
      <c r="L38" s="82">
        <f>'R3'!L28</f>
        <v>8.7431222074570006E-2</v>
      </c>
      <c r="M38" s="82">
        <f>'R3'!M28</f>
        <v>0.23661959667555818</v>
      </c>
      <c r="N38" s="82" t="str">
        <f>'R3'!N28</f>
        <v/>
      </c>
      <c r="O38"/>
      <c r="P38" s="82">
        <f>'R3'!O28</f>
        <v>1.7584077741590391</v>
      </c>
      <c r="Q38" s="82">
        <f>'R3'!P28</f>
        <v>1.272897638152277</v>
      </c>
      <c r="R38" s="82">
        <f>'R3'!Q28</f>
        <v>0.24593917424388811</v>
      </c>
      <c r="S38" s="82">
        <f>'R3'!R28</f>
        <v>1.465675105872396</v>
      </c>
      <c r="T38" s="82">
        <f>'R3'!S28</f>
        <v>1.5147895344205382</v>
      </c>
      <c r="U38" s="82">
        <f>'R3'!T28</f>
        <v>2.046178176522722</v>
      </c>
      <c r="V38" s="82">
        <f>'R3'!U28</f>
        <v>1.1468771556353909</v>
      </c>
      <c r="W38" s="82">
        <f>'R3'!V28</f>
        <v>1.0317048289471269</v>
      </c>
    </row>
    <row r="39" spans="1:23" s="1" customFormat="1">
      <c r="A39" s="144" t="s">
        <v>17</v>
      </c>
      <c r="B39" s="82">
        <f>'R3'!B29</f>
        <v>0.19784207066220039</v>
      </c>
      <c r="C39" s="82">
        <f>'R3'!C29</f>
        <v>2.4155422728533785E-2</v>
      </c>
      <c r="D39" s="82">
        <f>'R3'!D29</f>
        <v>0.66893823183652845</v>
      </c>
      <c r="E39" s="82">
        <f>'R3'!E29</f>
        <v>0.63890512343593309</v>
      </c>
      <c r="F39" s="82">
        <f>'R3'!F29</f>
        <v>1.0942487242956505</v>
      </c>
      <c r="G39" s="82">
        <f>'R3'!G29</f>
        <v>1.1229631100954174</v>
      </c>
      <c r="H39" s="82">
        <f>'R3'!H29</f>
        <v>1.5106079660949252</v>
      </c>
      <c r="I39" s="82">
        <f>'R3'!I29</f>
        <v>1.8053852157551511</v>
      </c>
      <c r="J39" s="82">
        <f>'R3'!J29</f>
        <v>0.83344822858722023</v>
      </c>
      <c r="K39" s="82">
        <f>'R3'!K29</f>
        <v>0.89793393648843689</v>
      </c>
      <c r="L39" s="82">
        <f>'R3'!L29</f>
        <v>0.22152985207550918</v>
      </c>
      <c r="M39" s="82">
        <f>'R3'!M29</f>
        <v>0.10918755417762814</v>
      </c>
      <c r="N39" s="82" t="str">
        <f>'R3'!N29</f>
        <v/>
      </c>
      <c r="O39"/>
      <c r="P39" s="82">
        <f>'R3'!O29</f>
        <v>0.30505283634389124</v>
      </c>
      <c r="Q39" s="82">
        <f>'R3'!P29</f>
        <v>1.1630187693433698</v>
      </c>
      <c r="R39" s="82">
        <f>'R3'!Q29</f>
        <v>0.25385064624532172</v>
      </c>
      <c r="S39" s="82">
        <f>'R3'!R29</f>
        <v>1.6894425547119829</v>
      </c>
      <c r="T39" s="82">
        <f>'R3'!S29</f>
        <v>1.8428090432244366</v>
      </c>
      <c r="U39" s="82">
        <f>'R3'!T29</f>
        <v>1.4680590834359761</v>
      </c>
      <c r="V39" s="82">
        <f>'R3'!U29</f>
        <v>0.81991901557832825</v>
      </c>
      <c r="W39" s="82">
        <f>'R3'!V29</f>
        <v>1.1905297236144832</v>
      </c>
    </row>
    <row r="40" spans="1:23" s="1" customFormat="1">
      <c r="A40" s="153"/>
      <c r="B40" s="82">
        <f>'R3'!B30</f>
        <v>0.26019381422376614</v>
      </c>
      <c r="C40" s="82">
        <f>'R3'!C30</f>
        <v>0.204300097911051</v>
      </c>
      <c r="D40" s="82">
        <f>'R3'!D30</f>
        <v>0.44021240328989769</v>
      </c>
      <c r="E40" s="82">
        <f>'R3'!E30</f>
        <v>1.096516547183519</v>
      </c>
      <c r="F40" s="82">
        <f>'R3'!F30</f>
        <v>1.3019958957241908</v>
      </c>
      <c r="G40" s="82">
        <f>'R3'!G30</f>
        <v>1.2755696274954094</v>
      </c>
      <c r="H40" s="82">
        <f>'R3'!H30</f>
        <v>1.9742222980274216</v>
      </c>
      <c r="I40" s="82">
        <f>'R3'!I30</f>
        <v>2.0597000489015502</v>
      </c>
      <c r="J40" s="82">
        <f>'R3'!J30</f>
        <v>1.1695553845140774</v>
      </c>
      <c r="K40" s="82">
        <f>'R3'!K30</f>
        <v>0.68133353340148606</v>
      </c>
      <c r="L40" s="82">
        <f>'R3'!L30</f>
        <v>0.25991184766897213</v>
      </c>
      <c r="M40" s="82">
        <f>'R3'!M30</f>
        <v>0.1130452711769081</v>
      </c>
      <c r="N40" s="82" t="str">
        <f>'R3'!N30</f>
        <v/>
      </c>
      <c r="O40"/>
      <c r="P40" s="82">
        <f>'R3'!O30</f>
        <v>0.88578173931911341</v>
      </c>
      <c r="Q40" s="82">
        <f>'R3'!P30</f>
        <v>1.6427729877767714</v>
      </c>
      <c r="R40" s="82">
        <f>'R3'!Q30</f>
        <v>0.12959796016844588</v>
      </c>
      <c r="S40" s="82">
        <f>'R3'!R30</f>
        <v>2.313419427409265</v>
      </c>
      <c r="T40" s="82">
        <f>'R3'!S30</f>
        <v>1.2082789353063796</v>
      </c>
      <c r="U40" s="82">
        <f>'R3'!T30</f>
        <v>1.2865214157484581</v>
      </c>
      <c r="V40" s="82">
        <f>'R3'!U30</f>
        <v>0.9643843424360744</v>
      </c>
      <c r="W40" s="82">
        <f>'R3'!V30</f>
        <v>0.92314122832490064</v>
      </c>
    </row>
    <row r="41" spans="1:23" s="1" customFormat="1">
      <c r="A41" s="153"/>
      <c r="B41" s="82">
        <f>'R3'!B31</f>
        <v>0.18924705646131973</v>
      </c>
      <c r="C41" s="82">
        <f>'R3'!C31</f>
        <v>3.9241281112666795E-2</v>
      </c>
      <c r="D41" s="82">
        <f>'R3'!D31</f>
        <v>0.90313023896989375</v>
      </c>
      <c r="E41" s="82">
        <f>'R3'!E31</f>
        <v>0.74806936031806515</v>
      </c>
      <c r="F41" s="82">
        <f>'R3'!F31</f>
        <v>0.96651053434389345</v>
      </c>
      <c r="G41" s="82">
        <f>'R3'!G31</f>
        <v>1.9127600661088509</v>
      </c>
      <c r="H41" s="82">
        <f>'R3'!H31</f>
        <v>2.1141178667697234</v>
      </c>
      <c r="I41" s="82">
        <f>'R3'!I31</f>
        <v>1.8527128485854714</v>
      </c>
      <c r="J41" s="82">
        <f>'R3'!J31</f>
        <v>1.2118767076410562</v>
      </c>
      <c r="K41" s="82">
        <f>'R3'!K31</f>
        <v>1.0633390583051132</v>
      </c>
      <c r="L41" s="82">
        <f>'R3'!L31</f>
        <v>1.1075715360592259E-2</v>
      </c>
      <c r="M41" s="82">
        <f>'R3'!M31</f>
        <v>0.56994206299771899</v>
      </c>
      <c r="N41" s="82" t="str">
        <f>'R3'!N31</f>
        <v/>
      </c>
      <c r="O41"/>
      <c r="P41" s="82">
        <f>'R3'!O31</f>
        <v>1.2394433643402987</v>
      </c>
      <c r="Q41" s="82">
        <f>'R3'!P31</f>
        <v>1.0935725227262669</v>
      </c>
      <c r="R41" s="82">
        <f>'R3'!Q31</f>
        <v>0.38147829494435692</v>
      </c>
      <c r="S41" s="82">
        <f>'R3'!R31</f>
        <v>1.4366183012702529</v>
      </c>
      <c r="T41" s="82">
        <f>'R3'!S31</f>
        <v>1.813425364683581</v>
      </c>
      <c r="U41" s="82">
        <f>'R3'!T31</f>
        <v>0.98511557714084619</v>
      </c>
      <c r="V41" s="82">
        <f>'R3'!U31</f>
        <v>1.3676099016463521</v>
      </c>
      <c r="W41" s="82">
        <f>'R3'!V31</f>
        <v>1.6190338219530178</v>
      </c>
    </row>
    <row r="42" spans="1:23" s="1" customFormat="1">
      <c r="A42" s="153"/>
      <c r="B42" s="82">
        <f>'R3'!B32</f>
        <v>0.20263247948131971</v>
      </c>
      <c r="C42" s="82">
        <f>'R3'!C32</f>
        <v>0.15115825426863036</v>
      </c>
      <c r="D42" s="82">
        <f>'R3'!D32</f>
        <v>0.12497249962487221</v>
      </c>
      <c r="E42" s="82">
        <f>'R3'!E32</f>
        <v>0.4997250502239432</v>
      </c>
      <c r="F42" s="82">
        <f>'R3'!F32</f>
        <v>0.40642823292682795</v>
      </c>
      <c r="G42" s="82">
        <f>'R3'!G32</f>
        <v>1.6915449975225374</v>
      </c>
      <c r="H42" s="82">
        <f>'R3'!H32</f>
        <v>1.2346192749832408</v>
      </c>
      <c r="I42" s="82">
        <f>'R3'!I32</f>
        <v>2.1072491960390822</v>
      </c>
      <c r="J42" s="82">
        <f>'R3'!J32</f>
        <v>1.3037153303661355</v>
      </c>
      <c r="K42" s="82">
        <f>'R3'!K32</f>
        <v>0.52583739856706579</v>
      </c>
      <c r="L42" s="82">
        <f>'R3'!L32</f>
        <v>0.38426255274728477</v>
      </c>
      <c r="M42" s="82">
        <f>'R3'!M32</f>
        <v>0.58984423830707799</v>
      </c>
      <c r="N42" s="82" t="str">
        <f>'R3'!N32</f>
        <v/>
      </c>
      <c r="O42"/>
      <c r="P42" s="82">
        <f>'R3'!O32</f>
        <v>0.81636874143818061</v>
      </c>
      <c r="Q42" s="82">
        <f>'R3'!P32</f>
        <v>1.1278493789071313</v>
      </c>
      <c r="R42" s="82">
        <f>'R3'!Q32</f>
        <v>0.12735949980083144</v>
      </c>
      <c r="S42" s="82">
        <f>'R3'!R32</f>
        <v>1.576511279201944</v>
      </c>
      <c r="T42" s="82">
        <f>'R3'!S32</f>
        <v>1.5212674245507372</v>
      </c>
      <c r="U42" s="82">
        <f>'R3'!T32</f>
        <v>1.1227735491190705</v>
      </c>
      <c r="V42" s="82">
        <f>'R3'!U32</f>
        <v>1.0711097629300341</v>
      </c>
      <c r="W42" s="82">
        <f>'R3'!V32</f>
        <v>1.130413849609921</v>
      </c>
    </row>
    <row r="43" spans="1:23" s="1" customFormat="1">
      <c r="A43" s="153"/>
      <c r="B43" s="82">
        <f>'R3'!B33</f>
        <v>0.2774244319917612</v>
      </c>
      <c r="C43" s="82">
        <f>'R3'!C33</f>
        <v>3.1915764111011914E-2</v>
      </c>
      <c r="D43" s="82">
        <f>'R3'!D33</f>
        <v>0.48209976563959017</v>
      </c>
      <c r="E43" s="82">
        <f>'R3'!E33</f>
        <v>0.26679606326327709</v>
      </c>
      <c r="F43" s="82">
        <f>'R3'!F33</f>
        <v>1.0419368036521794</v>
      </c>
      <c r="G43" s="82">
        <f>'R3'!G33</f>
        <v>1.7392098675340124</v>
      </c>
      <c r="H43" s="82">
        <f>'R3'!H33</f>
        <v>1.5113653463967762</v>
      </c>
      <c r="I43" s="82">
        <f>'R3'!I33</f>
        <v>1.574060372364255</v>
      </c>
      <c r="J43" s="82">
        <f>'R3'!J33</f>
        <v>1.0515556198460412</v>
      </c>
      <c r="K43" s="82">
        <f>'R3'!K33</f>
        <v>7.4594187300494094E-2</v>
      </c>
      <c r="L43" s="82">
        <f>'R3'!L33</f>
        <v>0.46209698051818371</v>
      </c>
      <c r="M43" s="82">
        <f>'R3'!M33</f>
        <v>8.9497825338343676E-2</v>
      </c>
      <c r="N43" s="82" t="str">
        <f>'R3'!N33</f>
        <v/>
      </c>
      <c r="O43"/>
      <c r="P43" s="82">
        <f>'R3'!O33</f>
        <v>1.1701037727600014</v>
      </c>
      <c r="Q43" s="82">
        <f>'R3'!P33</f>
        <v>0.96703992331200594</v>
      </c>
      <c r="R43" s="82">
        <f>'R3'!Q33</f>
        <v>0.18733590183418597</v>
      </c>
      <c r="S43" s="82">
        <f>'R3'!R33</f>
        <v>1.3424539942203333</v>
      </c>
      <c r="T43" s="82">
        <f>'R3'!S33</f>
        <v>1.9064428062365129</v>
      </c>
      <c r="U43" s="82">
        <f>'R3'!T33</f>
        <v>0.99125061666690051</v>
      </c>
      <c r="V43" s="82">
        <f>'R3'!U33</f>
        <v>1.0878153097476011</v>
      </c>
      <c r="W43" s="82">
        <f>'R3'!V33</f>
        <v>1.2084849047499273</v>
      </c>
    </row>
    <row r="44" spans="1:23" s="1" customFormat="1">
      <c r="A44" s="153"/>
      <c r="B44" s="82">
        <f>'R3'!B34</f>
        <v>0.23746117832225583</v>
      </c>
      <c r="C44" s="82">
        <f>'R3'!C34</f>
        <v>7.7614640670760862E-2</v>
      </c>
      <c r="D44" s="82">
        <f>'R3'!D34</f>
        <v>0.10332109535154602</v>
      </c>
      <c r="E44" s="82">
        <f>'R3'!E34</f>
        <v>0.557634848993524</v>
      </c>
      <c r="F44" s="82">
        <f>'R3'!F34</f>
        <v>1.1534487467493424</v>
      </c>
      <c r="G44" s="82">
        <f>'R3'!G34</f>
        <v>2.1967608390340163</v>
      </c>
      <c r="H44" s="82">
        <f>'R3'!H34</f>
        <v>1.4867932349616937</v>
      </c>
      <c r="I44" s="82">
        <f>'R3'!I34</f>
        <v>1.6593291311824567</v>
      </c>
      <c r="J44" s="82">
        <f>'R3'!J34</f>
        <v>0.53281013352390183</v>
      </c>
      <c r="K44" s="82">
        <f>'R3'!K34</f>
        <v>0.5586793774713904</v>
      </c>
      <c r="L44" s="82">
        <f>'R3'!L34</f>
        <v>0.44682242476124062</v>
      </c>
      <c r="M44" s="82">
        <f>'R3'!M34</f>
        <v>5.6606189230647995E-2</v>
      </c>
      <c r="N44" s="82" t="str">
        <f>'R3'!N34</f>
        <v/>
      </c>
      <c r="O44"/>
      <c r="P44" s="82">
        <f>'R3'!O34</f>
        <v>0.87250167593061378</v>
      </c>
      <c r="Q44" s="82">
        <f>'R3'!P34</f>
        <v>0.69635980314157375</v>
      </c>
      <c r="R44" s="82">
        <f>'R3'!Q34</f>
        <v>0.20322059348994065</v>
      </c>
      <c r="S44" s="82">
        <f>'R3'!R34</f>
        <v>1.0094847417447599</v>
      </c>
      <c r="T44" s="82">
        <f>'R3'!S34</f>
        <v>1.3409863000093918</v>
      </c>
      <c r="U44" s="82">
        <f>'R3'!T34</f>
        <v>1.6209354769412458</v>
      </c>
      <c r="V44" s="82">
        <f>'R3'!U34</f>
        <v>0.77769787046162853</v>
      </c>
      <c r="W44" s="82">
        <f>'R3'!V34</f>
        <v>0.99929162919886738</v>
      </c>
    </row>
    <row r="45" spans="1:23" s="1" customFormat="1">
      <c r="A45" s="153"/>
      <c r="B45" s="82">
        <f>'R3'!B35</f>
        <v>0.54889863561436214</v>
      </c>
      <c r="C45" s="82">
        <f>'R3'!C35</f>
        <v>8.3382216891869282E-2</v>
      </c>
      <c r="D45" s="82">
        <f>'R3'!D35</f>
        <v>0.56500829599147628</v>
      </c>
      <c r="E45" s="82">
        <f>'R3'!E35</f>
        <v>1.2219955502827762</v>
      </c>
      <c r="F45" s="82">
        <f>'R3'!F35</f>
        <v>0.73270801240566485</v>
      </c>
      <c r="G45" s="82">
        <f>'R3'!G35</f>
        <v>1.8227617825208804</v>
      </c>
      <c r="H45" s="82">
        <f>'R3'!H35</f>
        <v>1.0682585758529974</v>
      </c>
      <c r="I45" s="82">
        <f>'R3'!I35</f>
        <v>1.655631180837501</v>
      </c>
      <c r="J45" s="82">
        <f>'R3'!J35</f>
        <v>1.7155354719755256</v>
      </c>
      <c r="K45" s="82">
        <f>'R3'!K35</f>
        <v>0.53727582741315116</v>
      </c>
      <c r="L45" s="82">
        <f>'R3'!L35</f>
        <v>0.34887855683212948</v>
      </c>
      <c r="M45" s="82">
        <f>'R3'!M35</f>
        <v>0.29350213903801042</v>
      </c>
      <c r="N45" s="82" t="str">
        <f>'R3'!N35</f>
        <v/>
      </c>
      <c r="O45"/>
      <c r="P45" s="82">
        <f>'R3'!O35</f>
        <v>1.062762171142472</v>
      </c>
      <c r="Q45" s="82">
        <f>'R3'!P35</f>
        <v>0.97112131362734</v>
      </c>
      <c r="R45" s="82">
        <f>'R3'!Q35</f>
        <v>0.13052201595291635</v>
      </c>
      <c r="S45" s="82">
        <f>'R3'!R35</f>
        <v>2.1950534948415883</v>
      </c>
      <c r="T45" s="82">
        <f>'R3'!S35</f>
        <v>1.000261455970793</v>
      </c>
      <c r="U45" s="82">
        <f>'R3'!T35</f>
        <v>1.3224568225219167</v>
      </c>
      <c r="V45" s="82">
        <f>'R3'!U35</f>
        <v>0.82648887948520589</v>
      </c>
      <c r="W45" s="82">
        <f>'R3'!V35</f>
        <v>0.95172520999059751</v>
      </c>
    </row>
    <row r="46" spans="1:23" s="1" customFormat="1">
      <c r="A46" s="153"/>
      <c r="B46" s="82" t="str">
        <f>'R3'!B36</f>
        <v/>
      </c>
      <c r="C46" s="82" t="str">
        <f>'R3'!C36</f>
        <v/>
      </c>
      <c r="D46" s="82" t="str">
        <f>'R3'!D36</f>
        <v/>
      </c>
      <c r="E46" s="82" t="str">
        <f>'R3'!E36</f>
        <v/>
      </c>
      <c r="F46" s="82" t="str">
        <f>'R3'!F36</f>
        <v/>
      </c>
      <c r="G46" s="82" t="str">
        <f>'R3'!G36</f>
        <v/>
      </c>
      <c r="H46" s="82" t="str">
        <f>'R3'!H36</f>
        <v/>
      </c>
      <c r="I46" s="82" t="str">
        <f>'R3'!I36</f>
        <v/>
      </c>
      <c r="J46" s="82" t="str">
        <f>'R3'!J36</f>
        <v/>
      </c>
      <c r="K46" s="82" t="str">
        <f>'R3'!K36</f>
        <v/>
      </c>
      <c r="L46" s="82" t="str">
        <f>'R3'!L36</f>
        <v/>
      </c>
      <c r="M46" s="82" t="str">
        <f>'R3'!M36</f>
        <v/>
      </c>
      <c r="N46" s="82" t="str">
        <f>'R3'!N36</f>
        <v/>
      </c>
      <c r="O46"/>
      <c r="P46" s="82">
        <f>'R3'!O36</f>
        <v>1.4362737234590344</v>
      </c>
      <c r="Q46" s="82" t="str">
        <f>'R3'!P36</f>
        <v/>
      </c>
      <c r="R46" s="82" t="str">
        <f>'R3'!Q36</f>
        <v/>
      </c>
      <c r="S46" s="82" t="str">
        <f>'R3'!R36</f>
        <v/>
      </c>
      <c r="T46" s="82" t="str">
        <f>'R3'!S36</f>
        <v/>
      </c>
      <c r="U46" s="82" t="str">
        <f>'R3'!T36</f>
        <v/>
      </c>
      <c r="V46" s="82" t="str">
        <f>'R3'!U36</f>
        <v/>
      </c>
      <c r="W46" s="82" t="str">
        <f>'R3'!V36</f>
        <v/>
      </c>
    </row>
    <row r="47" spans="1:23" s="1" customFormat="1">
      <c r="A47" s="153"/>
      <c r="B47" s="82" t="str">
        <f>'R3'!B37</f>
        <v/>
      </c>
      <c r="C47" s="82" t="str">
        <f>'R3'!C37</f>
        <v/>
      </c>
      <c r="D47" s="82" t="str">
        <f>'R3'!D37</f>
        <v/>
      </c>
      <c r="E47" s="82" t="str">
        <f>'R3'!E37</f>
        <v/>
      </c>
      <c r="F47" s="82" t="str">
        <f>'R3'!F37</f>
        <v/>
      </c>
      <c r="G47" s="82" t="str">
        <f>'R3'!G37</f>
        <v/>
      </c>
      <c r="H47" s="82" t="str">
        <f>'R3'!H37</f>
        <v/>
      </c>
      <c r="I47" s="82" t="str">
        <f>'R3'!I37</f>
        <v/>
      </c>
      <c r="J47" s="82" t="str">
        <f>'R3'!J37</f>
        <v/>
      </c>
      <c r="K47" s="82" t="str">
        <f>'R3'!K37</f>
        <v/>
      </c>
      <c r="L47" s="82" t="str">
        <f>'R3'!L37</f>
        <v/>
      </c>
      <c r="M47" s="82" t="str">
        <f>'R3'!M37</f>
        <v/>
      </c>
      <c r="N47" s="82" t="str">
        <f>'R3'!N37</f>
        <v/>
      </c>
      <c r="O47"/>
      <c r="P47" s="82">
        <f>'R3'!O37</f>
        <v>0.91676524341205434</v>
      </c>
      <c r="Q47" s="82" t="str">
        <f>'R3'!P37</f>
        <v/>
      </c>
      <c r="R47" s="82" t="str">
        <f>'R3'!Q37</f>
        <v/>
      </c>
      <c r="S47" s="82" t="str">
        <f>'R3'!R37</f>
        <v/>
      </c>
      <c r="T47" s="82" t="str">
        <f>'R3'!S37</f>
        <v/>
      </c>
      <c r="U47" s="82" t="str">
        <f>'R3'!T37</f>
        <v/>
      </c>
      <c r="V47" s="82" t="str">
        <f>'R3'!U37</f>
        <v/>
      </c>
      <c r="W47" s="82" t="str">
        <f>'R3'!V37</f>
        <v/>
      </c>
    </row>
    <row r="48" spans="1:23" s="1" customFormat="1">
      <c r="A48" s="153"/>
      <c r="B48" s="82" t="str">
        <f>'R3'!B38</f>
        <v/>
      </c>
      <c r="C48" s="82" t="str">
        <f>'R3'!C38</f>
        <v/>
      </c>
      <c r="D48" s="82" t="str">
        <f>'R3'!D38</f>
        <v/>
      </c>
      <c r="E48" s="82" t="str">
        <f>'R3'!E38</f>
        <v/>
      </c>
      <c r="F48" s="82" t="str">
        <f>'R3'!F38</f>
        <v/>
      </c>
      <c r="G48" s="82" t="str">
        <f>'R3'!G38</f>
        <v/>
      </c>
      <c r="H48" s="82" t="str">
        <f>'R3'!H38</f>
        <v/>
      </c>
      <c r="I48" s="82" t="str">
        <f>'R3'!I38</f>
        <v/>
      </c>
      <c r="J48" s="82" t="str">
        <f>'R3'!J38</f>
        <v/>
      </c>
      <c r="K48" s="82" t="str">
        <f>'R3'!K38</f>
        <v/>
      </c>
      <c r="L48" s="82" t="str">
        <f>'R3'!L38</f>
        <v/>
      </c>
      <c r="M48" s="82" t="str">
        <f>'R3'!M38</f>
        <v/>
      </c>
      <c r="N48" s="82" t="str">
        <f>'R3'!N38</f>
        <v/>
      </c>
      <c r="O48"/>
      <c r="P48" s="82">
        <f>'R3'!O38</f>
        <v>0.25272709804383003</v>
      </c>
      <c r="Q48" s="82" t="str">
        <f>'R3'!P38</f>
        <v/>
      </c>
      <c r="R48" s="82" t="str">
        <f>'R3'!Q38</f>
        <v/>
      </c>
      <c r="S48" s="82" t="str">
        <f>'R3'!R38</f>
        <v/>
      </c>
      <c r="T48" s="82" t="str">
        <f>'R3'!S38</f>
        <v/>
      </c>
      <c r="U48" s="82" t="str">
        <f>'R3'!T38</f>
        <v/>
      </c>
      <c r="V48" s="82" t="str">
        <f>'R3'!U38</f>
        <v/>
      </c>
      <c r="W48" s="82" t="str">
        <f>'R3'!V38</f>
        <v/>
      </c>
    </row>
    <row r="49" spans="1:25" s="1" customFormat="1">
      <c r="A49" s="153"/>
      <c r="B49" s="82" t="str">
        <f>'R3'!B39</f>
        <v/>
      </c>
      <c r="C49" s="82" t="str">
        <f>'R3'!C39</f>
        <v/>
      </c>
      <c r="D49" s="82" t="str">
        <f>'R3'!D39</f>
        <v/>
      </c>
      <c r="E49" s="82" t="str">
        <f>'R3'!E39</f>
        <v/>
      </c>
      <c r="F49" s="82" t="str">
        <f>'R3'!F39</f>
        <v/>
      </c>
      <c r="G49" s="82" t="str">
        <f>'R3'!G39</f>
        <v/>
      </c>
      <c r="H49" s="82" t="str">
        <f>'R3'!H39</f>
        <v/>
      </c>
      <c r="I49" s="82" t="str">
        <f>'R3'!I39</f>
        <v/>
      </c>
      <c r="J49" s="82" t="str">
        <f>'R3'!J39</f>
        <v/>
      </c>
      <c r="K49" s="82" t="str">
        <f>'R3'!K39</f>
        <v/>
      </c>
      <c r="L49" s="82" t="str">
        <f>'R3'!L39</f>
        <v/>
      </c>
      <c r="M49" s="82" t="str">
        <f>'R3'!M39</f>
        <v/>
      </c>
      <c r="N49" s="82" t="str">
        <f>'R3'!N39</f>
        <v/>
      </c>
      <c r="O49"/>
      <c r="P49" s="82">
        <f>'R3'!O39</f>
        <v>0.84879230442888276</v>
      </c>
      <c r="Q49" s="82" t="str">
        <f>'R3'!P39</f>
        <v/>
      </c>
      <c r="R49" s="82" t="str">
        <f>'R3'!Q39</f>
        <v/>
      </c>
      <c r="S49" s="82" t="str">
        <f>'R3'!R39</f>
        <v/>
      </c>
      <c r="T49" s="82" t="str">
        <f>'R3'!S39</f>
        <v/>
      </c>
      <c r="U49" s="82" t="str">
        <f>'R3'!T39</f>
        <v/>
      </c>
      <c r="V49" s="82" t="str">
        <f>'R3'!U39</f>
        <v/>
      </c>
      <c r="W49" s="82" t="str">
        <f>'R3'!V39</f>
        <v/>
      </c>
    </row>
    <row r="50" spans="1:25" s="1" customFormat="1">
      <c r="A50" s="153"/>
      <c r="B50" s="82" t="str">
        <f>'R3'!B40</f>
        <v/>
      </c>
      <c r="C50" s="82" t="str">
        <f>'R3'!C40</f>
        <v/>
      </c>
      <c r="D50" s="82" t="str">
        <f>'R3'!D40</f>
        <v/>
      </c>
      <c r="E50" s="82" t="str">
        <f>'R3'!E40</f>
        <v/>
      </c>
      <c r="F50" s="82" t="str">
        <f>'R3'!F40</f>
        <v/>
      </c>
      <c r="G50" s="82" t="str">
        <f>'R3'!G40</f>
        <v/>
      </c>
      <c r="H50" s="82" t="str">
        <f>'R3'!H40</f>
        <v/>
      </c>
      <c r="I50" s="82" t="str">
        <f>'R3'!I40</f>
        <v/>
      </c>
      <c r="J50" s="82" t="str">
        <f>'R3'!J40</f>
        <v/>
      </c>
      <c r="K50" s="82" t="str">
        <f>'R3'!K40</f>
        <v/>
      </c>
      <c r="L50" s="82" t="str">
        <f>'R3'!L40</f>
        <v/>
      </c>
      <c r="M50" s="82" t="str">
        <f>'R3'!M40</f>
        <v/>
      </c>
      <c r="N50" s="82" t="str">
        <f>'R3'!N40</f>
        <v/>
      </c>
      <c r="O50"/>
      <c r="P50" s="82">
        <f>'R3'!O40</f>
        <v>1.5737378164432272</v>
      </c>
      <c r="Q50" s="82" t="str">
        <f>'R3'!P40</f>
        <v/>
      </c>
      <c r="R50" s="82" t="str">
        <f>'R3'!Q40</f>
        <v/>
      </c>
      <c r="S50" s="82" t="str">
        <f>'R3'!R40</f>
        <v/>
      </c>
      <c r="T50" s="82" t="str">
        <f>'R3'!S40</f>
        <v/>
      </c>
      <c r="U50" s="82" t="str">
        <f>'R3'!T40</f>
        <v/>
      </c>
      <c r="V50" s="82" t="str">
        <f>'R3'!U40</f>
        <v/>
      </c>
      <c r="W50" s="82" t="str">
        <f>'R3'!V40</f>
        <v/>
      </c>
    </row>
    <row r="51" spans="1:25" s="1" customFormat="1">
      <c r="A51" s="153"/>
      <c r="B51" s="82" t="str">
        <f>'R3'!B41</f>
        <v/>
      </c>
      <c r="C51" s="82" t="str">
        <f>'R3'!C41</f>
        <v/>
      </c>
      <c r="D51" s="82" t="str">
        <f>'R3'!D41</f>
        <v/>
      </c>
      <c r="E51" s="82" t="str">
        <f>'R3'!E41</f>
        <v/>
      </c>
      <c r="F51" s="82" t="str">
        <f>'R3'!F41</f>
        <v/>
      </c>
      <c r="G51" s="82" t="str">
        <f>'R3'!G41</f>
        <v/>
      </c>
      <c r="H51" s="82" t="str">
        <f>'R3'!H41</f>
        <v/>
      </c>
      <c r="I51" s="82" t="str">
        <f>'R3'!I41</f>
        <v/>
      </c>
      <c r="J51" s="82" t="str">
        <f>'R3'!J41</f>
        <v/>
      </c>
      <c r="K51" s="82" t="str">
        <f>'R3'!K41</f>
        <v/>
      </c>
      <c r="L51" s="82" t="str">
        <f>'R3'!L41</f>
        <v/>
      </c>
      <c r="M51" s="82" t="str">
        <f>'R3'!M41</f>
        <v/>
      </c>
      <c r="N51" s="82" t="str">
        <f>'R3'!N41</f>
        <v/>
      </c>
      <c r="O51"/>
      <c r="P51" s="82">
        <f>'R3'!O41</f>
        <v>0.90640070556408969</v>
      </c>
      <c r="Q51" s="82" t="str">
        <f>'R3'!P41</f>
        <v/>
      </c>
      <c r="R51" s="82" t="str">
        <f>'R3'!Q41</f>
        <v/>
      </c>
      <c r="S51" s="82" t="str">
        <f>'R3'!R41</f>
        <v/>
      </c>
      <c r="T51" s="82" t="str">
        <f>'R3'!S41</f>
        <v/>
      </c>
      <c r="U51" s="82" t="str">
        <f>'R3'!T41</f>
        <v/>
      </c>
      <c r="V51" s="82" t="str">
        <f>'R3'!U41</f>
        <v/>
      </c>
      <c r="W51" s="82" t="str">
        <f>'R3'!V41</f>
        <v/>
      </c>
    </row>
    <row r="52" spans="1:25" s="1" customFormat="1">
      <c r="A52" s="153"/>
      <c r="B52" s="82" t="str">
        <f>'R3'!B42</f>
        <v/>
      </c>
      <c r="C52" s="82" t="str">
        <f>'R3'!C42</f>
        <v/>
      </c>
      <c r="D52" s="82" t="str">
        <f>'R3'!D42</f>
        <v/>
      </c>
      <c r="E52" s="82" t="str">
        <f>'R3'!E42</f>
        <v/>
      </c>
      <c r="F52" s="82" t="str">
        <f>'R3'!F42</f>
        <v/>
      </c>
      <c r="G52" s="82" t="str">
        <f>'R3'!G42</f>
        <v/>
      </c>
      <c r="H52" s="82" t="str">
        <f>'R3'!H42</f>
        <v/>
      </c>
      <c r="I52" s="82" t="str">
        <f>'R3'!I42</f>
        <v/>
      </c>
      <c r="J52" s="82" t="str">
        <f>'R3'!J42</f>
        <v/>
      </c>
      <c r="K52" s="82" t="str">
        <f>'R3'!K42</f>
        <v/>
      </c>
      <c r="L52" s="82" t="str">
        <f>'R3'!L42</f>
        <v/>
      </c>
      <c r="M52" s="82" t="str">
        <f>'R3'!M42</f>
        <v/>
      </c>
      <c r="N52" s="82" t="str">
        <f>'R3'!N42</f>
        <v/>
      </c>
      <c r="O52"/>
      <c r="P52" s="82">
        <f>'R3'!O42</f>
        <v>0.7922457038422801</v>
      </c>
      <c r="Q52" s="82" t="str">
        <f>'R3'!P42</f>
        <v/>
      </c>
      <c r="R52" s="82" t="str">
        <f>'R3'!Q42</f>
        <v/>
      </c>
      <c r="S52" s="82" t="str">
        <f>'R3'!R42</f>
        <v/>
      </c>
      <c r="T52" s="82" t="str">
        <f>'R3'!S42</f>
        <v/>
      </c>
      <c r="U52" s="82" t="str">
        <f>'R3'!T42</f>
        <v/>
      </c>
      <c r="V52" s="82" t="str">
        <f>'R3'!U42</f>
        <v/>
      </c>
      <c r="W52" s="82" t="str">
        <f>'R3'!V42</f>
        <v/>
      </c>
    </row>
    <row r="53" spans="1:25" s="1" customFormat="1">
      <c r="A53" s="154"/>
      <c r="B53" s="82" t="str">
        <f>'R3'!B43</f>
        <v/>
      </c>
      <c r="C53" s="82" t="str">
        <f>'R3'!C43</f>
        <v/>
      </c>
      <c r="D53" s="82" t="str">
        <f>'R3'!D43</f>
        <v/>
      </c>
      <c r="E53" s="82" t="str">
        <f>'R3'!E43</f>
        <v/>
      </c>
      <c r="F53" s="82" t="str">
        <f>'R3'!F43</f>
        <v/>
      </c>
      <c r="G53" s="82" t="str">
        <f>'R3'!G43</f>
        <v/>
      </c>
      <c r="H53" s="82" t="str">
        <f>'R3'!H43</f>
        <v/>
      </c>
      <c r="I53" s="82" t="str">
        <f>'R3'!I43</f>
        <v/>
      </c>
      <c r="J53" s="82" t="str">
        <f>'R3'!J43</f>
        <v/>
      </c>
      <c r="K53" s="82" t="str">
        <f>'R3'!K43</f>
        <v/>
      </c>
      <c r="L53" s="82" t="str">
        <f>'R3'!L43</f>
        <v/>
      </c>
      <c r="M53" s="82" t="str">
        <f>'R3'!M43</f>
        <v/>
      </c>
      <c r="N53" s="82" t="str">
        <f>'R3'!N43</f>
        <v/>
      </c>
      <c r="O53"/>
      <c r="P53" s="82">
        <f>'R3'!O43</f>
        <v>1.1626353293729914</v>
      </c>
      <c r="Q53" s="82" t="str">
        <f>'R3'!P43</f>
        <v/>
      </c>
      <c r="R53" s="82" t="str">
        <f>'R3'!Q43</f>
        <v/>
      </c>
      <c r="S53" s="82" t="str">
        <f>'R3'!R43</f>
        <v/>
      </c>
      <c r="T53" s="82" t="str">
        <f>'R3'!S43</f>
        <v/>
      </c>
      <c r="U53" s="82" t="str">
        <f>'R3'!T43</f>
        <v/>
      </c>
      <c r="V53" s="82" t="str">
        <f>'R3'!U43</f>
        <v/>
      </c>
      <c r="W53" s="82" t="str">
        <f>'R3'!V43</f>
        <v/>
      </c>
    </row>
    <row r="54" spans="1:25" s="42" customFormat="1">
      <c r="A54" s="40"/>
      <c r="B54" s="41"/>
      <c r="C54" s="41"/>
      <c r="D54" s="41"/>
      <c r="E54" s="41"/>
      <c r="F54" s="41"/>
      <c r="G54" s="41"/>
      <c r="H54" s="41"/>
      <c r="I54" s="41"/>
      <c r="J54" s="41"/>
      <c r="K54" s="41"/>
      <c r="L54" s="41"/>
      <c r="M54" s="41"/>
      <c r="N54" s="41"/>
      <c r="O54"/>
      <c r="P54" s="41"/>
      <c r="Q54" s="41"/>
      <c r="R54" s="41"/>
      <c r="S54" s="41"/>
      <c r="T54" s="41"/>
      <c r="U54" s="41"/>
      <c r="V54" s="41"/>
      <c r="W54" s="41"/>
    </row>
    <row r="55" spans="1:25" s="25" customFormat="1">
      <c r="A55" s="25" t="s">
        <v>27</v>
      </c>
      <c r="B55" s="14" t="str">
        <f t="shared" ref="B55:N55" si="0">B4</f>
        <v>Solvent control</v>
      </c>
      <c r="C55" s="14" t="str">
        <f t="shared" si="0"/>
        <v>EE2-33.8ng/L</v>
      </c>
      <c r="D55" s="14" t="str">
        <f t="shared" si="0"/>
        <v>EE2-50.6ng/L</v>
      </c>
      <c r="E55" s="14" t="str">
        <f t="shared" si="0"/>
        <v>EE2-76ng/L</v>
      </c>
      <c r="F55" s="14" t="str">
        <f t="shared" si="0"/>
        <v>EE2-114ng/L</v>
      </c>
      <c r="G55" s="14" t="str">
        <f t="shared" si="0"/>
        <v>EE2-170.9ng/L</v>
      </c>
      <c r="H55" s="14" t="str">
        <f t="shared" si="0"/>
        <v>EE2-488ng/L</v>
      </c>
      <c r="I55" s="14" t="str">
        <f t="shared" si="0"/>
        <v>estradiol-540ng/L</v>
      </c>
      <c r="J55" s="14" t="str">
        <f t="shared" si="0"/>
        <v>estradiol-270ng/L</v>
      </c>
      <c r="K55" s="14" t="str">
        <f t="shared" si="0"/>
        <v>estradiol-135ng/L</v>
      </c>
      <c r="L55" s="14" t="str">
        <f t="shared" si="0"/>
        <v>estradiol-68ng/L</v>
      </c>
      <c r="M55" s="14" t="str">
        <f t="shared" si="0"/>
        <v>estradiol-34ng/L</v>
      </c>
      <c r="N55" s="14" t="str">
        <f t="shared" si="0"/>
        <v/>
      </c>
      <c r="P55" s="14" t="str">
        <f t="shared" ref="P55:W55" si="1">P4</f>
        <v>Testo -30µg/L</v>
      </c>
      <c r="Q55" s="14" t="str">
        <f t="shared" si="1"/>
        <v>Testo 30µg/L + EE2 -64ng/L</v>
      </c>
      <c r="R55" s="14" t="str">
        <f t="shared" si="1"/>
        <v>Testo 30µg/L + FAD-10mg/L</v>
      </c>
      <c r="S55" s="14" t="str">
        <f t="shared" si="1"/>
        <v>estradiol-540ng/L + Testostérone</v>
      </c>
      <c r="T55" s="14" t="str">
        <f t="shared" si="1"/>
        <v>estradiol-270ng/L + Testostérone</v>
      </c>
      <c r="U55" s="14" t="str">
        <f t="shared" si="1"/>
        <v>estradiol-135ng/L + Testostérone</v>
      </c>
      <c r="V55" s="14" t="str">
        <f t="shared" si="1"/>
        <v>estradiol-68ng/L + Testostérone</v>
      </c>
      <c r="W55" s="14" t="str">
        <f t="shared" si="1"/>
        <v>estradiol-34ng/L + Testostérone</v>
      </c>
    </row>
    <row r="56" spans="1:25">
      <c r="A56" t="s">
        <v>28</v>
      </c>
      <c r="B56" s="8">
        <f t="shared" ref="B56:W56" si="2">AVERAGE(B6:B53)</f>
        <v>0.25828916224991366</v>
      </c>
      <c r="C56" s="8">
        <f t="shared" si="2"/>
        <v>0.25926193738849762</v>
      </c>
      <c r="D56" s="8">
        <f t="shared" si="2"/>
        <v>0.42452600348728886</v>
      </c>
      <c r="E56" s="8">
        <f t="shared" si="2"/>
        <v>0.82785196717391674</v>
      </c>
      <c r="F56" s="8">
        <f t="shared" si="2"/>
        <v>1.1826524903985352</v>
      </c>
      <c r="G56" s="8">
        <f t="shared" si="2"/>
        <v>1.5652335654407483</v>
      </c>
      <c r="H56" s="8">
        <f t="shared" si="2"/>
        <v>2.1435105476285448</v>
      </c>
      <c r="I56" s="8">
        <f t="shared" si="2"/>
        <v>1.7796341566225882</v>
      </c>
      <c r="J56" s="8">
        <f t="shared" si="2"/>
        <v>1.269330555723216</v>
      </c>
      <c r="K56" s="8">
        <f t="shared" si="2"/>
        <v>0.76317943868314719</v>
      </c>
      <c r="L56" s="8">
        <f t="shared" si="2"/>
        <v>0.39749851109646134</v>
      </c>
      <c r="M56" s="8">
        <f t="shared" si="2"/>
        <v>0.31864259631891129</v>
      </c>
      <c r="N56" s="8" t="e">
        <f t="shared" si="2"/>
        <v>#DIV/0!</v>
      </c>
      <c r="O56" s="8"/>
      <c r="P56" s="8">
        <f t="shared" si="2"/>
        <v>0.99999999999999989</v>
      </c>
      <c r="Q56" s="8">
        <f t="shared" si="2"/>
        <v>1.2642396581067961</v>
      </c>
      <c r="R56" s="8">
        <f t="shared" si="2"/>
        <v>0.22266552492913194</v>
      </c>
      <c r="S56" s="8">
        <f t="shared" si="2"/>
        <v>1.7956461632413954</v>
      </c>
      <c r="T56" s="8">
        <f t="shared" si="2"/>
        <v>1.5856917688234189</v>
      </c>
      <c r="U56" s="8">
        <f t="shared" si="2"/>
        <v>1.4365376564255699</v>
      </c>
      <c r="V56" s="8">
        <f t="shared" si="2"/>
        <v>1.4277296064097149</v>
      </c>
      <c r="W56" s="8">
        <f t="shared" si="2"/>
        <v>1.1099460026487684</v>
      </c>
    </row>
    <row r="57" spans="1:25">
      <c r="A57" t="s">
        <v>1</v>
      </c>
      <c r="B57" s="3">
        <f>STDEV(B6:B53)</f>
        <v>0.13852065998559196</v>
      </c>
      <c r="C57" s="3">
        <f t="shared" ref="C57:W57" si="3">STDEV(C6:C53)</f>
        <v>0.23914161859251615</v>
      </c>
      <c r="D57" s="3">
        <f t="shared" si="3"/>
        <v>0.24008259056596384</v>
      </c>
      <c r="E57" s="3">
        <f t="shared" si="3"/>
        <v>0.38681929869882842</v>
      </c>
      <c r="F57" s="3">
        <f t="shared" si="3"/>
        <v>0.35797272111130207</v>
      </c>
      <c r="G57" s="3">
        <f t="shared" si="3"/>
        <v>0.39963038509708254</v>
      </c>
      <c r="H57" s="3">
        <f t="shared" si="3"/>
        <v>0.90900722354634</v>
      </c>
      <c r="I57" s="3">
        <f t="shared" si="3"/>
        <v>0.44771919037977637</v>
      </c>
      <c r="J57" s="3">
        <f t="shared" si="3"/>
        <v>0.46421619993567603</v>
      </c>
      <c r="K57" s="3">
        <f t="shared" si="3"/>
        <v>0.43907963817194484</v>
      </c>
      <c r="L57" s="3">
        <f t="shared" si="3"/>
        <v>0.48168706072568118</v>
      </c>
      <c r="M57" s="3">
        <f t="shared" si="3"/>
        <v>0.19029576058947598</v>
      </c>
      <c r="N57" s="3" t="e">
        <f t="shared" si="3"/>
        <v>#DIV/0!</v>
      </c>
      <c r="O57" s="3"/>
      <c r="P57" s="3">
        <f t="shared" si="3"/>
        <v>0.35401476579994023</v>
      </c>
      <c r="Q57" s="3">
        <f t="shared" si="3"/>
        <v>0.32711754135865601</v>
      </c>
      <c r="R57" s="3">
        <f t="shared" si="3"/>
        <v>9.5684220736761069E-2</v>
      </c>
      <c r="S57" s="3">
        <f t="shared" si="3"/>
        <v>0.67079651567486831</v>
      </c>
      <c r="T57" s="3">
        <f t="shared" si="3"/>
        <v>0.48489770278524635</v>
      </c>
      <c r="U57" s="3">
        <f t="shared" si="3"/>
        <v>0.46486816503029077</v>
      </c>
      <c r="V57" s="3">
        <f t="shared" si="3"/>
        <v>0.57798734371573968</v>
      </c>
      <c r="W57" s="3">
        <f t="shared" si="3"/>
        <v>0.51953188889220003</v>
      </c>
      <c r="X57" s="3"/>
      <c r="Y57" s="3"/>
    </row>
    <row r="58" spans="1:25">
      <c r="A58" t="s">
        <v>2</v>
      </c>
      <c r="B58" s="3">
        <f xml:space="preserve"> B57/SQRT(COUNT(B6:B53))</f>
        <v>2.8275411316521979E-2</v>
      </c>
      <c r="C58" s="3">
        <f t="shared" ref="C58:W58" si="4" xml:space="preserve"> C57/SQRT(COUNT(C6:C53))</f>
        <v>4.8814578484577945E-2</v>
      </c>
      <c r="D58" s="3">
        <f t="shared" si="4"/>
        <v>4.900665358434516E-2</v>
      </c>
      <c r="E58" s="3">
        <f t="shared" si="4"/>
        <v>7.8959158706113558E-2</v>
      </c>
      <c r="F58" s="3">
        <f t="shared" si="4"/>
        <v>7.3070875713193151E-2</v>
      </c>
      <c r="G58" s="3">
        <f t="shared" si="4"/>
        <v>8.1574210766649599E-2</v>
      </c>
      <c r="H58" s="3">
        <f t="shared" si="4"/>
        <v>0.1717862181046366</v>
      </c>
      <c r="I58" s="3">
        <f t="shared" si="4"/>
        <v>9.1390297040204266E-2</v>
      </c>
      <c r="J58" s="3">
        <f t="shared" si="4"/>
        <v>9.475773501468529E-2</v>
      </c>
      <c r="K58" s="3">
        <f t="shared" si="4"/>
        <v>8.9626755830594013E-2</v>
      </c>
      <c r="L58" s="3">
        <f t="shared" si="4"/>
        <v>9.832395953991116E-2</v>
      </c>
      <c r="M58" s="3">
        <f t="shared" si="4"/>
        <v>3.8843959471587065E-2</v>
      </c>
      <c r="N58" s="3" t="e">
        <f t="shared" si="4"/>
        <v>#DIV/0!</v>
      </c>
      <c r="O58" s="3"/>
      <c r="P58" s="3">
        <f t="shared" si="4"/>
        <v>5.1097630082924457E-2</v>
      </c>
      <c r="Q58" s="3">
        <f t="shared" si="4"/>
        <v>6.6772588520206663E-2</v>
      </c>
      <c r="R58" s="3">
        <f t="shared" si="4"/>
        <v>1.953145977007481E-2</v>
      </c>
      <c r="S58" s="3">
        <f t="shared" si="4"/>
        <v>0.13692576538669046</v>
      </c>
      <c r="T58" s="3">
        <f t="shared" si="4"/>
        <v>9.8979329105965588E-2</v>
      </c>
      <c r="U58" s="3">
        <f t="shared" si="4"/>
        <v>0.10144255021078719</v>
      </c>
      <c r="V58" s="3">
        <f t="shared" si="4"/>
        <v>0.11798117249084997</v>
      </c>
      <c r="W58" s="3">
        <f t="shared" si="4"/>
        <v>0.10604900274085115</v>
      </c>
      <c r="X58" s="3"/>
      <c r="Y58" s="3"/>
    </row>
    <row r="59" spans="1:25" s="1" customFormat="1" ht="15.75" thickBot="1">
      <c r="B59" s="3"/>
      <c r="C59" s="3"/>
      <c r="D59" s="3"/>
      <c r="E59" s="3"/>
      <c r="F59" s="3"/>
      <c r="G59" s="3"/>
      <c r="H59" s="3"/>
      <c r="I59" s="3"/>
      <c r="J59" s="3"/>
      <c r="K59" s="3"/>
      <c r="L59" s="3"/>
      <c r="M59" s="3"/>
      <c r="N59" s="3"/>
      <c r="O59" s="3"/>
      <c r="P59" s="3"/>
      <c r="Q59" s="3"/>
      <c r="R59" s="3"/>
      <c r="S59" s="3"/>
      <c r="T59" s="3"/>
      <c r="U59" s="3"/>
      <c r="V59" s="3"/>
      <c r="W59" s="3"/>
    </row>
    <row r="60" spans="1:25" s="30" customFormat="1" ht="27" thickBot="1">
      <c r="A60" s="155" t="s">
        <v>26</v>
      </c>
      <c r="B60" s="156"/>
      <c r="C60" s="156"/>
      <c r="D60" s="156"/>
      <c r="E60" s="156"/>
      <c r="F60" s="156"/>
      <c r="G60" s="156"/>
      <c r="H60" s="156"/>
      <c r="I60" s="156"/>
      <c r="J60" s="156"/>
      <c r="K60" s="156"/>
      <c r="L60" s="156"/>
      <c r="M60" s="156"/>
      <c r="N60" s="156"/>
      <c r="O60" s="156"/>
      <c r="P60" s="156"/>
      <c r="Q60" s="156"/>
      <c r="R60" s="156"/>
      <c r="S60" s="156"/>
      <c r="T60" s="156"/>
      <c r="U60" s="156"/>
      <c r="V60" s="156"/>
      <c r="W60" s="156"/>
    </row>
    <row r="61" spans="1:25" s="1" customFormat="1">
      <c r="B61" s="3"/>
      <c r="C61" s="3"/>
      <c r="D61" s="3"/>
      <c r="E61" s="3"/>
      <c r="F61" s="3"/>
      <c r="G61" s="3"/>
      <c r="H61" s="3"/>
      <c r="I61" s="3"/>
      <c r="J61" s="3"/>
      <c r="K61" s="3"/>
      <c r="L61" s="3"/>
      <c r="M61" s="3"/>
      <c r="N61" s="3"/>
      <c r="O61" s="3"/>
      <c r="P61" s="3"/>
      <c r="Q61" s="3"/>
      <c r="R61" s="3"/>
      <c r="S61" s="3"/>
      <c r="T61" s="3"/>
      <c r="U61" s="3"/>
      <c r="V61" s="3"/>
      <c r="W61" s="3"/>
    </row>
    <row r="62" spans="1:25" s="1" customFormat="1">
      <c r="A62" s="1" t="s">
        <v>27</v>
      </c>
      <c r="B62" s="3" t="str">
        <f t="shared" ref="B62" si="5">B4</f>
        <v>Solvent control</v>
      </c>
      <c r="C62" s="3" t="str">
        <f t="shared" ref="C62:W62" si="6">C4</f>
        <v>EE2-33.8ng/L</v>
      </c>
      <c r="D62" s="3" t="str">
        <f t="shared" si="6"/>
        <v>EE2-50.6ng/L</v>
      </c>
      <c r="E62" s="3" t="str">
        <f t="shared" si="6"/>
        <v>EE2-76ng/L</v>
      </c>
      <c r="F62" s="3" t="str">
        <f t="shared" si="6"/>
        <v>EE2-114ng/L</v>
      </c>
      <c r="G62" s="3" t="str">
        <f t="shared" si="6"/>
        <v>EE2-170.9ng/L</v>
      </c>
      <c r="H62" s="3" t="str">
        <f t="shared" si="6"/>
        <v>EE2-488ng/L</v>
      </c>
      <c r="I62" s="3" t="str">
        <f t="shared" si="6"/>
        <v>estradiol-540ng/L</v>
      </c>
      <c r="J62" s="3" t="str">
        <f t="shared" si="6"/>
        <v>estradiol-270ng/L</v>
      </c>
      <c r="K62" s="3" t="str">
        <f t="shared" si="6"/>
        <v>estradiol-135ng/L</v>
      </c>
      <c r="L62" s="3" t="str">
        <f t="shared" si="6"/>
        <v>estradiol-68ng/L</v>
      </c>
      <c r="M62" s="3" t="str">
        <f t="shared" si="6"/>
        <v>estradiol-34ng/L</v>
      </c>
      <c r="N62" s="3" t="str">
        <f t="shared" si="6"/>
        <v/>
      </c>
      <c r="O62" s="3"/>
      <c r="P62" s="3" t="str">
        <f t="shared" si="6"/>
        <v>Testo -30µg/L</v>
      </c>
      <c r="Q62" s="3" t="str">
        <f t="shared" si="6"/>
        <v>Testo 30µg/L + EE2 -64ng/L</v>
      </c>
      <c r="R62" s="3" t="str">
        <f t="shared" si="6"/>
        <v>Testo 30µg/L + FAD-10mg/L</v>
      </c>
      <c r="S62" s="3" t="str">
        <f t="shared" si="6"/>
        <v>estradiol-540ng/L + Testostérone</v>
      </c>
      <c r="T62" s="3" t="str">
        <f t="shared" si="6"/>
        <v>estradiol-270ng/L + Testostérone</v>
      </c>
      <c r="U62" s="3" t="str">
        <f t="shared" si="6"/>
        <v>estradiol-135ng/L + Testostérone</v>
      </c>
      <c r="V62" s="3" t="str">
        <f t="shared" si="6"/>
        <v>estradiol-68ng/L + Testostérone</v>
      </c>
      <c r="W62" s="3" t="str">
        <f t="shared" si="6"/>
        <v>estradiol-34ng/L + Testostérone</v>
      </c>
    </row>
    <row r="63" spans="1:25" s="1" customFormat="1">
      <c r="A63" s="1" t="s">
        <v>29</v>
      </c>
      <c r="B63" s="3">
        <f>COUNT(B6:B53)</f>
        <v>24</v>
      </c>
      <c r="C63" s="3">
        <f t="shared" ref="C63:W63" si="7">COUNT(C6:C53)</f>
        <v>24</v>
      </c>
      <c r="D63" s="3">
        <f t="shared" si="7"/>
        <v>24</v>
      </c>
      <c r="E63" s="3">
        <f t="shared" si="7"/>
        <v>24</v>
      </c>
      <c r="F63" s="3">
        <f t="shared" si="7"/>
        <v>24</v>
      </c>
      <c r="G63" s="3">
        <f t="shared" si="7"/>
        <v>24</v>
      </c>
      <c r="H63" s="3">
        <f t="shared" si="7"/>
        <v>28</v>
      </c>
      <c r="I63" s="3">
        <f t="shared" si="7"/>
        <v>24</v>
      </c>
      <c r="J63" s="3">
        <f t="shared" si="7"/>
        <v>24</v>
      </c>
      <c r="K63" s="3">
        <f t="shared" si="7"/>
        <v>24</v>
      </c>
      <c r="L63" s="3">
        <f t="shared" si="7"/>
        <v>24</v>
      </c>
      <c r="M63" s="3">
        <f t="shared" si="7"/>
        <v>24</v>
      </c>
      <c r="N63" s="3">
        <f t="shared" si="7"/>
        <v>0</v>
      </c>
      <c r="O63" s="3"/>
      <c r="P63" s="3">
        <f t="shared" si="7"/>
        <v>48</v>
      </c>
      <c r="Q63" s="3">
        <f t="shared" si="7"/>
        <v>24</v>
      </c>
      <c r="R63" s="3">
        <f t="shared" si="7"/>
        <v>24</v>
      </c>
      <c r="S63" s="3">
        <f t="shared" si="7"/>
        <v>24</v>
      </c>
      <c r="T63" s="3">
        <f t="shared" si="7"/>
        <v>24</v>
      </c>
      <c r="U63" s="3">
        <f t="shared" si="7"/>
        <v>21</v>
      </c>
      <c r="V63" s="3">
        <f t="shared" si="7"/>
        <v>24</v>
      </c>
      <c r="W63" s="3">
        <f t="shared" si="7"/>
        <v>24</v>
      </c>
    </row>
    <row r="64" spans="1:25" s="1" customFormat="1" ht="15.75" thickBot="1">
      <c r="B64" s="3" t="str">
        <f>IF(B63&gt;=21,"OK","ATTENTION")</f>
        <v>OK</v>
      </c>
      <c r="C64" s="3" t="str">
        <f t="shared" ref="C64:W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t="str">
        <f t="shared" si="8"/>
        <v>ATTENTION</v>
      </c>
      <c r="O64" s="3"/>
      <c r="P64" s="3" t="str">
        <f>IF(P63&gt;=41,"OK","ATTENTION")</f>
        <v>OK</v>
      </c>
      <c r="Q64" s="3" t="str">
        <f t="shared" si="8"/>
        <v>OK</v>
      </c>
      <c r="R64" s="3" t="str">
        <f t="shared" si="8"/>
        <v>OK</v>
      </c>
      <c r="S64" s="3" t="str">
        <f t="shared" si="8"/>
        <v>OK</v>
      </c>
      <c r="T64" s="3" t="str">
        <f t="shared" si="8"/>
        <v>OK</v>
      </c>
      <c r="U64" s="3" t="str">
        <f t="shared" si="8"/>
        <v>OK</v>
      </c>
      <c r="V64" s="3" t="str">
        <f t="shared" si="8"/>
        <v>OK</v>
      </c>
      <c r="W64" s="3" t="str">
        <f t="shared" si="8"/>
        <v>OK</v>
      </c>
    </row>
    <row r="65" spans="1:23" s="30" customFormat="1" ht="27" thickBot="1">
      <c r="A65" s="155" t="s">
        <v>37</v>
      </c>
      <c r="B65" s="156"/>
      <c r="C65" s="156"/>
      <c r="D65" s="156"/>
      <c r="E65" s="156"/>
      <c r="F65" s="156"/>
      <c r="G65" s="156"/>
      <c r="H65" s="156"/>
      <c r="I65" s="156"/>
      <c r="J65" s="156"/>
      <c r="K65" s="156"/>
      <c r="L65" s="156"/>
      <c r="M65" s="156"/>
      <c r="N65" s="156"/>
      <c r="O65" s="156"/>
      <c r="P65" s="156"/>
      <c r="Q65" s="156"/>
      <c r="R65" s="156"/>
      <c r="S65" s="156"/>
      <c r="T65" s="156"/>
      <c r="U65" s="156"/>
      <c r="V65" s="156"/>
      <c r="W65" s="156"/>
    </row>
    <row r="66" spans="1:23" s="1" customFormat="1">
      <c r="B66" s="1" t="s">
        <v>39</v>
      </c>
      <c r="C66" s="3"/>
      <c r="D66" s="3"/>
      <c r="E66" s="3"/>
      <c r="F66" s="3"/>
      <c r="G66" s="3"/>
      <c r="H66" s="3"/>
      <c r="I66" s="3"/>
      <c r="J66" s="3"/>
      <c r="K66" s="3"/>
      <c r="L66" s="3"/>
      <c r="M66" s="3"/>
      <c r="N66" s="3"/>
      <c r="O66" s="3"/>
      <c r="P66" s="3"/>
      <c r="Q66" s="3"/>
      <c r="R66" s="3"/>
      <c r="S66" s="3"/>
      <c r="T66" s="3"/>
      <c r="U66" s="3"/>
      <c r="V66" s="3"/>
      <c r="W66" s="3"/>
    </row>
    <row r="67" spans="1:23" s="1" customFormat="1">
      <c r="A67" s="1" t="s">
        <v>38</v>
      </c>
      <c r="B67" s="3">
        <v>3.5</v>
      </c>
      <c r="C67" s="3"/>
      <c r="D67" s="3"/>
      <c r="E67" s="3"/>
      <c r="F67" s="3"/>
      <c r="G67" s="3"/>
      <c r="H67" s="3"/>
      <c r="I67" s="3"/>
      <c r="J67" s="3"/>
      <c r="K67" s="3"/>
      <c r="L67" s="3"/>
      <c r="M67" s="3"/>
      <c r="N67" s="3"/>
      <c r="O67" s="3"/>
      <c r="P67" s="3"/>
      <c r="Q67" s="3"/>
      <c r="R67" s="3"/>
      <c r="S67" s="3"/>
      <c r="T67" s="3"/>
      <c r="U67" s="3"/>
      <c r="V67" s="3"/>
      <c r="W67" s="3"/>
    </row>
    <row r="68" spans="1:23" s="1" customFormat="1">
      <c r="A68" s="1" t="s">
        <v>40</v>
      </c>
      <c r="B68" s="3">
        <v>2</v>
      </c>
      <c r="C68" s="3"/>
      <c r="D68" s="3"/>
      <c r="E68" s="3"/>
      <c r="F68" s="3"/>
      <c r="G68" s="3"/>
      <c r="H68" s="3"/>
      <c r="I68" s="3"/>
      <c r="J68" s="3"/>
      <c r="K68" s="3"/>
      <c r="L68" s="3"/>
      <c r="M68" s="3"/>
      <c r="N68" s="3"/>
      <c r="O68" s="3"/>
      <c r="P68" s="3"/>
      <c r="Q68" s="3"/>
      <c r="R68" s="3"/>
      <c r="S68" s="3"/>
      <c r="T68" s="3"/>
      <c r="U68" s="3"/>
      <c r="V68" s="3"/>
      <c r="W68" s="3"/>
    </row>
    <row r="69" spans="1:23" s="1" customFormat="1" ht="15.75" thickBot="1">
      <c r="A69" s="1" t="s">
        <v>41</v>
      </c>
      <c r="B69" s="3">
        <v>0.5</v>
      </c>
      <c r="C69" s="3"/>
      <c r="D69" s="3"/>
      <c r="E69" s="3"/>
      <c r="F69" s="3"/>
      <c r="G69" s="3"/>
      <c r="H69" s="3"/>
      <c r="I69" s="3"/>
      <c r="J69" s="3"/>
      <c r="K69" s="3"/>
      <c r="L69" s="3"/>
      <c r="M69" s="3"/>
      <c r="N69" s="3"/>
      <c r="O69" s="3"/>
      <c r="P69" s="3"/>
      <c r="Q69" s="3"/>
      <c r="R69" s="3"/>
      <c r="S69" s="3"/>
      <c r="T69" s="3"/>
      <c r="U69" s="3"/>
      <c r="V69" s="3"/>
      <c r="W69" s="3"/>
    </row>
    <row r="70" spans="1:23" s="30" customFormat="1" ht="27" thickBot="1">
      <c r="A70" s="155" t="s">
        <v>32</v>
      </c>
      <c r="B70" s="156"/>
      <c r="C70" s="156"/>
      <c r="D70" s="156"/>
      <c r="E70" s="156"/>
      <c r="F70" s="156"/>
      <c r="G70" s="156"/>
      <c r="H70" s="156"/>
      <c r="I70" s="156"/>
      <c r="J70" s="156"/>
      <c r="K70" s="156"/>
      <c r="L70" s="156"/>
      <c r="M70" s="156"/>
      <c r="N70" s="156"/>
      <c r="O70" s="156"/>
      <c r="P70" s="156"/>
      <c r="Q70" s="156"/>
      <c r="R70" s="156"/>
      <c r="S70" s="156"/>
      <c r="T70" s="156"/>
      <c r="U70" s="156"/>
      <c r="V70" s="156"/>
      <c r="W70" s="156"/>
    </row>
    <row r="71" spans="1:23" ht="15.75" thickBot="1"/>
    <row r="72" spans="1:23" s="30" customFormat="1" ht="27" thickBot="1">
      <c r="A72" s="155" t="s">
        <v>33</v>
      </c>
      <c r="B72" s="156"/>
      <c r="C72" s="156"/>
      <c r="D72" s="156"/>
      <c r="E72" s="156"/>
      <c r="F72" s="156"/>
      <c r="G72" s="156"/>
      <c r="H72" s="156"/>
      <c r="I72" s="156"/>
      <c r="J72" s="156"/>
      <c r="K72" s="156"/>
      <c r="L72" s="156"/>
      <c r="M72" s="156"/>
      <c r="N72" s="156"/>
      <c r="O72" s="156"/>
      <c r="P72" s="156"/>
      <c r="Q72" s="156"/>
      <c r="R72" s="156"/>
      <c r="S72" s="156"/>
      <c r="T72" s="156"/>
      <c r="U72" s="156"/>
      <c r="V72" s="156"/>
      <c r="W72" s="156"/>
    </row>
    <row r="73" spans="1:23" ht="15.75" thickBot="1">
      <c r="J73" s="3">
        <v>1</v>
      </c>
      <c r="K73" s="3">
        <v>2</v>
      </c>
      <c r="L73" s="3">
        <v>3</v>
      </c>
      <c r="M73" s="3">
        <v>4</v>
      </c>
      <c r="N73" s="3">
        <v>5</v>
      </c>
      <c r="S73" s="3">
        <v>1</v>
      </c>
      <c r="T73" s="3">
        <v>2</v>
      </c>
      <c r="U73" s="3">
        <v>3</v>
      </c>
      <c r="V73" s="3">
        <v>4</v>
      </c>
      <c r="W73" s="3">
        <v>5</v>
      </c>
    </row>
    <row r="74" spans="1:23" s="1" customFormat="1">
      <c r="A74" s="28" t="s">
        <v>22</v>
      </c>
      <c r="B74" s="29" t="str">
        <f t="shared" ref="B74:N74" si="9">B4</f>
        <v>Solvent control</v>
      </c>
      <c r="C74" s="29" t="str">
        <f t="shared" si="9"/>
        <v>EE2-33.8ng/L</v>
      </c>
      <c r="D74" s="29" t="str">
        <f t="shared" si="9"/>
        <v>EE2-50.6ng/L</v>
      </c>
      <c r="E74" s="29" t="str">
        <f t="shared" si="9"/>
        <v>EE2-76ng/L</v>
      </c>
      <c r="F74" s="29" t="str">
        <f t="shared" si="9"/>
        <v>EE2-114ng/L</v>
      </c>
      <c r="G74" s="29" t="str">
        <f t="shared" si="9"/>
        <v>EE2-170.9ng/L</v>
      </c>
      <c r="H74" s="29" t="str">
        <f t="shared" si="9"/>
        <v>EE2-488ng/L</v>
      </c>
      <c r="I74" s="29" t="str">
        <f t="shared" si="9"/>
        <v>estradiol-540ng/L</v>
      </c>
      <c r="J74" s="29" t="str">
        <f t="shared" si="9"/>
        <v>estradiol-270ng/L</v>
      </c>
      <c r="K74" s="29" t="str">
        <f t="shared" si="9"/>
        <v>estradiol-135ng/L</v>
      </c>
      <c r="L74" s="29" t="str">
        <f t="shared" si="9"/>
        <v>estradiol-68ng/L</v>
      </c>
      <c r="M74" s="29" t="str">
        <f t="shared" si="9"/>
        <v>estradiol-34ng/L</v>
      </c>
      <c r="N74" s="29" t="str">
        <f t="shared" si="9"/>
        <v/>
      </c>
      <c r="O74" s="29"/>
      <c r="P74" s="29" t="str">
        <f t="shared" ref="P74:W74" si="10">P4</f>
        <v>Testo -30µg/L</v>
      </c>
      <c r="Q74" s="29" t="str">
        <f t="shared" si="10"/>
        <v>Testo 30µg/L + EE2 -64ng/L</v>
      </c>
      <c r="R74" s="29" t="str">
        <f t="shared" si="10"/>
        <v>Testo 30µg/L + FAD-10mg/L</v>
      </c>
      <c r="S74" s="29" t="str">
        <f t="shared" si="10"/>
        <v>estradiol-540ng/L + Testostérone</v>
      </c>
      <c r="T74" s="29" t="str">
        <f t="shared" si="10"/>
        <v>estradiol-270ng/L + Testostérone</v>
      </c>
      <c r="U74" s="29" t="str">
        <f t="shared" si="10"/>
        <v>estradiol-135ng/L + Testostérone</v>
      </c>
      <c r="V74" s="29" t="str">
        <f t="shared" si="10"/>
        <v>estradiol-68ng/L + Testostérone</v>
      </c>
      <c r="W74" s="29" t="str">
        <f t="shared" si="10"/>
        <v>estradiol-34ng/L + Testostérone</v>
      </c>
    </row>
    <row r="75" spans="1:23" s="3" customFormat="1">
      <c r="A75" s="43" t="s">
        <v>15</v>
      </c>
      <c r="B75" s="75">
        <f>B56</f>
        <v>0.25828916224991366</v>
      </c>
      <c r="C75" s="75">
        <f t="shared" ref="C75:W75" si="11">C56</f>
        <v>0.25926193738849762</v>
      </c>
      <c r="D75" s="75">
        <f t="shared" si="11"/>
        <v>0.42452600348728886</v>
      </c>
      <c r="E75" s="75">
        <f t="shared" si="11"/>
        <v>0.82785196717391674</v>
      </c>
      <c r="F75" s="75">
        <f t="shared" si="11"/>
        <v>1.1826524903985352</v>
      </c>
      <c r="G75" s="75">
        <f t="shared" si="11"/>
        <v>1.5652335654407483</v>
      </c>
      <c r="H75" s="75">
        <f t="shared" si="11"/>
        <v>2.1435105476285448</v>
      </c>
      <c r="I75" s="75">
        <f t="shared" si="11"/>
        <v>1.7796341566225882</v>
      </c>
      <c r="J75" s="75">
        <f t="shared" si="11"/>
        <v>1.269330555723216</v>
      </c>
      <c r="K75" s="75">
        <f t="shared" si="11"/>
        <v>0.76317943868314719</v>
      </c>
      <c r="L75" s="75">
        <f t="shared" si="11"/>
        <v>0.39749851109646134</v>
      </c>
      <c r="M75" s="75">
        <f t="shared" si="11"/>
        <v>0.31864259631891129</v>
      </c>
      <c r="N75" s="75" t="e">
        <f t="shared" si="11"/>
        <v>#DIV/0!</v>
      </c>
      <c r="O75" s="75"/>
      <c r="P75" s="75">
        <f t="shared" si="11"/>
        <v>0.99999999999999989</v>
      </c>
      <c r="Q75" s="75">
        <f t="shared" si="11"/>
        <v>1.2642396581067961</v>
      </c>
      <c r="R75" s="75">
        <f t="shared" si="11"/>
        <v>0.22266552492913194</v>
      </c>
      <c r="S75" s="75">
        <f t="shared" si="11"/>
        <v>1.7956461632413954</v>
      </c>
      <c r="T75" s="75">
        <f t="shared" si="11"/>
        <v>1.5856917688234189</v>
      </c>
      <c r="U75" s="75">
        <f t="shared" si="11"/>
        <v>1.4365376564255699</v>
      </c>
      <c r="V75" s="75">
        <f t="shared" si="11"/>
        <v>1.4277296064097149</v>
      </c>
      <c r="W75" s="75">
        <f t="shared" si="11"/>
        <v>1.1099460026487684</v>
      </c>
    </row>
    <row r="76" spans="1:23" s="3" customFormat="1">
      <c r="A76" s="43" t="s">
        <v>2</v>
      </c>
      <c r="B76" s="75">
        <f>B58</f>
        <v>2.8275411316521979E-2</v>
      </c>
      <c r="C76" s="75">
        <f t="shared" ref="C76:W76" si="12">C58</f>
        <v>4.8814578484577945E-2</v>
      </c>
      <c r="D76" s="75">
        <f t="shared" si="12"/>
        <v>4.900665358434516E-2</v>
      </c>
      <c r="E76" s="75">
        <f t="shared" si="12"/>
        <v>7.8959158706113558E-2</v>
      </c>
      <c r="F76" s="75">
        <f t="shared" si="12"/>
        <v>7.3070875713193151E-2</v>
      </c>
      <c r="G76" s="75">
        <f t="shared" si="12"/>
        <v>8.1574210766649599E-2</v>
      </c>
      <c r="H76" s="75">
        <f t="shared" si="12"/>
        <v>0.1717862181046366</v>
      </c>
      <c r="I76" s="75">
        <f t="shared" si="12"/>
        <v>9.1390297040204266E-2</v>
      </c>
      <c r="J76" s="75">
        <f t="shared" si="12"/>
        <v>9.475773501468529E-2</v>
      </c>
      <c r="K76" s="75">
        <f t="shared" si="12"/>
        <v>8.9626755830594013E-2</v>
      </c>
      <c r="L76" s="75">
        <f t="shared" si="12"/>
        <v>9.832395953991116E-2</v>
      </c>
      <c r="M76" s="75">
        <f t="shared" si="12"/>
        <v>3.8843959471587065E-2</v>
      </c>
      <c r="N76" s="75" t="e">
        <f t="shared" si="12"/>
        <v>#DIV/0!</v>
      </c>
      <c r="O76" s="75"/>
      <c r="P76" s="75">
        <f t="shared" si="12"/>
        <v>5.1097630082924457E-2</v>
      </c>
      <c r="Q76" s="75">
        <f t="shared" si="12"/>
        <v>6.6772588520206663E-2</v>
      </c>
      <c r="R76" s="75">
        <f t="shared" si="12"/>
        <v>1.953145977007481E-2</v>
      </c>
      <c r="S76" s="75">
        <f t="shared" si="12"/>
        <v>0.13692576538669046</v>
      </c>
      <c r="T76" s="75">
        <f t="shared" si="12"/>
        <v>9.8979329105965588E-2</v>
      </c>
      <c r="U76" s="75">
        <f t="shared" si="12"/>
        <v>0.10144255021078719</v>
      </c>
      <c r="V76" s="75">
        <f t="shared" si="12"/>
        <v>0.11798117249084997</v>
      </c>
      <c r="W76" s="75">
        <f t="shared" si="12"/>
        <v>0.10604900274085115</v>
      </c>
    </row>
    <row r="77" spans="1:23" s="3" customFormat="1">
      <c r="A77" s="43" t="s">
        <v>42</v>
      </c>
      <c r="B77" s="75">
        <f>(B75*100/$B$75)-100</f>
        <v>0</v>
      </c>
      <c r="C77" s="75">
        <f t="shared" ref="C77:N77" si="13">(C75*100/$B$75)-100</f>
        <v>0.37662251490162646</v>
      </c>
      <c r="D77" s="75">
        <f t="shared" si="13"/>
        <v>64.360749707542482</v>
      </c>
      <c r="E77" s="75">
        <f t="shared" si="13"/>
        <v>220.51362897406796</v>
      </c>
      <c r="F77" s="75">
        <f t="shared" si="13"/>
        <v>357.87925443586067</v>
      </c>
      <c r="G77" s="75">
        <f t="shared" si="13"/>
        <v>506.00048093627345</v>
      </c>
      <c r="H77" s="75">
        <f t="shared" si="13"/>
        <v>729.88791668871556</v>
      </c>
      <c r="I77" s="75">
        <f t="shared" si="13"/>
        <v>589.00845127240063</v>
      </c>
      <c r="J77" s="75">
        <f t="shared" si="13"/>
        <v>391.43779191751213</v>
      </c>
      <c r="K77" s="75">
        <f t="shared" si="13"/>
        <v>195.47482055972415</v>
      </c>
      <c r="L77" s="75">
        <f t="shared" si="13"/>
        <v>53.896705395580057</v>
      </c>
      <c r="M77" s="75">
        <f t="shared" si="13"/>
        <v>23.36661497651275</v>
      </c>
      <c r="N77" s="75" t="e">
        <f t="shared" si="13"/>
        <v>#DIV/0!</v>
      </c>
      <c r="O77" s="75"/>
      <c r="P77" s="75">
        <f>(P75*100/$P$75)-100</f>
        <v>0</v>
      </c>
      <c r="Q77" s="75">
        <f t="shared" ref="Q77:W77" si="14">(Q75*100/$P$75)-100</f>
        <v>26.423965810679618</v>
      </c>
      <c r="R77" s="75">
        <f t="shared" si="14"/>
        <v>-77.733447507086794</v>
      </c>
      <c r="S77" s="75">
        <f t="shared" si="14"/>
        <v>79.564616324139564</v>
      </c>
      <c r="T77" s="75">
        <f t="shared" si="14"/>
        <v>58.569176882341907</v>
      </c>
      <c r="U77" s="75">
        <f t="shared" si="14"/>
        <v>43.653765642557005</v>
      </c>
      <c r="V77" s="75">
        <f t="shared" si="14"/>
        <v>42.772960640971519</v>
      </c>
      <c r="W77" s="75">
        <f t="shared" si="14"/>
        <v>10.994600264876851</v>
      </c>
    </row>
    <row r="78" spans="1:23" s="3" customFormat="1">
      <c r="A78" s="43" t="s">
        <v>43</v>
      </c>
      <c r="B78" s="75" t="e">
        <f ca="1">[2]!DPTEST(B6:B53)</f>
        <v>#NAME?</v>
      </c>
      <c r="C78" s="75" t="e">
        <f ca="1">[2]!DPTEST(C6:C53)</f>
        <v>#NAME?</v>
      </c>
      <c r="D78" s="75" t="e">
        <f ca="1">[2]!DPTEST(D6:D53)</f>
        <v>#NAME?</v>
      </c>
      <c r="E78" s="75" t="e">
        <f ca="1">[2]!DPTEST(E6:E53)</f>
        <v>#NAME?</v>
      </c>
      <c r="F78" s="75" t="e">
        <f ca="1">[2]!DPTEST(F6:F53)</f>
        <v>#NAME?</v>
      </c>
      <c r="G78" s="75" t="e">
        <f ca="1">[2]!DPTEST(G6:G53)</f>
        <v>#NAME?</v>
      </c>
      <c r="H78" s="75" t="e">
        <f ca="1">[2]!DPTEST(H6:H53)</f>
        <v>#NAME?</v>
      </c>
      <c r="I78" s="75" t="e">
        <f ca="1">[2]!DPTEST(I6:I53)</f>
        <v>#NAME?</v>
      </c>
      <c r="J78" s="75" t="e">
        <f ca="1">[2]!DPTEST(J6:J53)</f>
        <v>#NAME?</v>
      </c>
      <c r="K78" s="75" t="e">
        <f ca="1">[2]!DPTEST(K6:K53)</f>
        <v>#NAME?</v>
      </c>
      <c r="L78" s="75" t="e">
        <f ca="1">[2]!DPTEST(L6:L53)</f>
        <v>#NAME?</v>
      </c>
      <c r="M78" s="75" t="e">
        <f ca="1">[2]!DPTEST(M6:M53)</f>
        <v>#NAME?</v>
      </c>
      <c r="N78" s="75" t="e">
        <f ca="1">[2]!DPTEST(N6:N53)</f>
        <v>#NAME?</v>
      </c>
      <c r="O78" s="75" t="e">
        <f ca="1">[2]!DPTEST(O6:O53)</f>
        <v>#NAME?</v>
      </c>
      <c r="P78" s="75" t="e">
        <f ca="1">[2]!DPTEST(P6:P53)</f>
        <v>#NAME?</v>
      </c>
      <c r="Q78" s="75" t="e">
        <f ca="1">[2]!DPTEST(Q6:Q53)</f>
        <v>#NAME?</v>
      </c>
      <c r="R78" s="75" t="e">
        <f ca="1">[2]!DPTEST(R6:R53)</f>
        <v>#NAME?</v>
      </c>
      <c r="S78" s="75" t="e">
        <f ca="1">[2]!DPTEST(S6:S53)</f>
        <v>#NAME?</v>
      </c>
      <c r="T78" s="75" t="e">
        <f ca="1">[2]!DPTEST(T6:T53)</f>
        <v>#NAME?</v>
      </c>
      <c r="U78" s="75" t="e">
        <f ca="1">[2]!DPTEST(U6:U53)</f>
        <v>#NAME?</v>
      </c>
      <c r="V78" s="75" t="e">
        <f ca="1">[2]!DPTEST(V6:V53)</f>
        <v>#NAME?</v>
      </c>
      <c r="W78" s="75" t="e">
        <f ca="1">[2]!DPTEST(W6:W53)</f>
        <v>#NAME?</v>
      </c>
    </row>
    <row r="79" spans="1:23" s="3" customFormat="1">
      <c r="A79" s="43" t="s">
        <v>47</v>
      </c>
      <c r="B79" s="75" t="e">
        <f ca="1">IF(B78&gt;0.05,"Oui","Non")</f>
        <v>#NAME?</v>
      </c>
      <c r="C79" s="75" t="e">
        <f t="shared" ref="C79:W79" ca="1" si="15">IF(C78&gt;0.05,"Oui","Non")</f>
        <v>#NAME?</v>
      </c>
      <c r="D79" s="75" t="e">
        <f t="shared" ca="1" si="15"/>
        <v>#NAME?</v>
      </c>
      <c r="E79" s="75" t="e">
        <f t="shared" ca="1" si="15"/>
        <v>#NAME?</v>
      </c>
      <c r="F79" s="75" t="e">
        <f t="shared" ca="1" si="15"/>
        <v>#NAME?</v>
      </c>
      <c r="G79" s="75" t="e">
        <f t="shared" ca="1" si="15"/>
        <v>#NAME?</v>
      </c>
      <c r="H79" s="75" t="e">
        <f t="shared" ca="1" si="15"/>
        <v>#NAME?</v>
      </c>
      <c r="I79" s="75" t="e">
        <f t="shared" ca="1" si="15"/>
        <v>#NAME?</v>
      </c>
      <c r="J79" s="75" t="e">
        <f t="shared" ca="1" si="15"/>
        <v>#NAME?</v>
      </c>
      <c r="K79" s="75" t="e">
        <f t="shared" ca="1" si="15"/>
        <v>#NAME?</v>
      </c>
      <c r="L79" s="75" t="e">
        <f t="shared" ca="1" si="15"/>
        <v>#NAME?</v>
      </c>
      <c r="M79" s="75" t="e">
        <f t="shared" ca="1" si="15"/>
        <v>#NAME?</v>
      </c>
      <c r="N79" s="75" t="e">
        <f t="shared" ca="1" si="15"/>
        <v>#NAME?</v>
      </c>
      <c r="O79" s="75"/>
      <c r="P79" s="75" t="e">
        <f t="shared" ca="1" si="15"/>
        <v>#NAME?</v>
      </c>
      <c r="Q79" s="75" t="e">
        <f t="shared" ca="1" si="15"/>
        <v>#NAME?</v>
      </c>
      <c r="R79" s="75" t="e">
        <f t="shared" ca="1" si="15"/>
        <v>#NAME?</v>
      </c>
      <c r="S79" s="75" t="e">
        <f t="shared" ca="1" si="15"/>
        <v>#NAME?</v>
      </c>
      <c r="T79" s="75" t="e">
        <f t="shared" ca="1" si="15"/>
        <v>#NAME?</v>
      </c>
      <c r="U79" s="75" t="e">
        <f t="shared" ca="1" si="15"/>
        <v>#NAME?</v>
      </c>
      <c r="V79" s="75" t="e">
        <f t="shared" ca="1" si="15"/>
        <v>#NAME?</v>
      </c>
      <c r="W79" s="75" t="e">
        <f t="shared" ca="1" si="15"/>
        <v>#NAME?</v>
      </c>
    </row>
    <row r="80" spans="1:23" s="3" customFormat="1">
      <c r="A80" s="43" t="s">
        <v>49</v>
      </c>
      <c r="B80" s="75" t="str">
        <f ca="1">IF(COUNTIF(B79:I79, "Non")=0, "Oui","Non")</f>
        <v>Oui</v>
      </c>
      <c r="C80" s="75"/>
      <c r="D80" s="75"/>
      <c r="E80" s="75"/>
      <c r="F80" s="75"/>
      <c r="G80" s="75"/>
      <c r="H80" s="75"/>
      <c r="I80" s="75"/>
      <c r="J80" s="75" t="str">
        <f ca="1">IF(COUNTIF(J79:N79, "Non")&gt;0, "Oui","Non")</f>
        <v>Non</v>
      </c>
      <c r="K80" s="75"/>
      <c r="L80" s="75"/>
      <c r="M80" s="75"/>
      <c r="N80" s="75"/>
      <c r="O80" s="75"/>
      <c r="P80" s="75"/>
      <c r="Q80" s="75"/>
      <c r="R80" s="75"/>
      <c r="S80" s="75" t="str">
        <f ca="1">IF(COUNTIF(S79:W79, "Non")&gt;0, "Oui","Non")</f>
        <v>Non</v>
      </c>
      <c r="T80" s="75"/>
      <c r="U80" s="75"/>
      <c r="V80" s="75"/>
      <c r="W80" s="75"/>
    </row>
    <row r="81" spans="1:23" s="3" customFormat="1">
      <c r="A81" s="43" t="s">
        <v>44</v>
      </c>
      <c r="B81" s="75"/>
      <c r="C81" s="75" t="str">
        <f t="shared" ref="C81:M81" ca="1" si="16">IF($B80="Non","Kruskal-Wallis","ANOVA")</f>
        <v>ANOVA</v>
      </c>
      <c r="D81" s="75" t="str">
        <f t="shared" ca="1" si="16"/>
        <v>ANOVA</v>
      </c>
      <c r="E81" s="75" t="str">
        <f t="shared" ca="1" si="16"/>
        <v>ANOVA</v>
      </c>
      <c r="F81" s="75" t="str">
        <f t="shared" ca="1" si="16"/>
        <v>ANOVA</v>
      </c>
      <c r="G81" s="75" t="str">
        <f t="shared" ca="1" si="16"/>
        <v>ANOVA</v>
      </c>
      <c r="H81" s="75" t="str">
        <f t="shared" ca="1" si="16"/>
        <v>ANOVA</v>
      </c>
      <c r="I81" s="75" t="str">
        <f t="shared" ca="1" si="16"/>
        <v>ANOVA</v>
      </c>
      <c r="J81" s="75" t="str">
        <f t="shared" ca="1" si="16"/>
        <v>ANOVA</v>
      </c>
      <c r="K81" s="75" t="str">
        <f t="shared" ca="1" si="16"/>
        <v>ANOVA</v>
      </c>
      <c r="L81" s="75" t="str">
        <f t="shared" ca="1" si="16"/>
        <v>ANOVA</v>
      </c>
      <c r="M81" s="75" t="str">
        <f t="shared" ca="1" si="16"/>
        <v>ANOVA</v>
      </c>
      <c r="N81" s="75" t="e">
        <f t="shared" ref="N81" ca="1" si="17">IF($B79="Non",IF(N79="Non","Mann Withney",IF(N79="Oui","Mann Withney","")),IF($B79="Oui",IF(N79="Oui","T-Test Welch",IF(N79="Non","Mann Withney",""))))</f>
        <v>#NAME?</v>
      </c>
      <c r="O81" s="75"/>
      <c r="P81" s="75" t="e">
        <f ca="1">IF($B79="Non",IF(P79="Non","Mann Withney",IF(P79="Oui","Mann Withney","")),IF($B79="Oui",IF(P79="Oui","T-Test Welch",IF(P79="Non","Mann Withney",""))))</f>
        <v>#NAME?</v>
      </c>
      <c r="Q81" s="75" t="e">
        <f t="shared" ref="Q81:R81" ca="1" si="18">IF($P79="Non",IF(Q79="Non","Mann Withney",IF(Q$79="Oui","Mann Withney","")),IF($P79="Oui",IF(Q79="Oui","T-Test Welch",IF(Q79="Non","Mann Withney",""))))</f>
        <v>#NAME?</v>
      </c>
      <c r="R81" s="75" t="e">
        <f t="shared" ca="1" si="18"/>
        <v>#NAME?</v>
      </c>
      <c r="S81" s="75" t="s">
        <v>81</v>
      </c>
      <c r="T81" s="75" t="s">
        <v>81</v>
      </c>
      <c r="U81" s="75" t="s">
        <v>81</v>
      </c>
      <c r="V81" s="75" t="s">
        <v>81</v>
      </c>
      <c r="W81" s="75" t="s">
        <v>81</v>
      </c>
    </row>
    <row r="82" spans="1:23" s="3" customFormat="1">
      <c r="A82" s="43" t="s">
        <v>45</v>
      </c>
      <c r="B82" s="75"/>
      <c r="C82" s="121" t="s">
        <v>75</v>
      </c>
      <c r="D82" s="121" t="s">
        <v>75</v>
      </c>
      <c r="E82" s="121">
        <v>2.5999999999999999E-3</v>
      </c>
      <c r="F82" s="121" t="s">
        <v>76</v>
      </c>
      <c r="G82" s="121" t="s">
        <v>76</v>
      </c>
      <c r="H82" s="121" t="s">
        <v>76</v>
      </c>
      <c r="I82" s="121" t="s">
        <v>76</v>
      </c>
      <c r="J82" s="121" t="s">
        <v>76</v>
      </c>
      <c r="K82" s="121">
        <v>6.9999999999999999E-4</v>
      </c>
      <c r="L82" s="121" t="s">
        <v>75</v>
      </c>
      <c r="M82" s="121" t="s">
        <v>75</v>
      </c>
      <c r="N82" s="75" t="e">
        <f ca="1">IF(N81="Mann Withney",[1]!MTEST($B6:$B53,N6:N53,2), IF(N81="T-Test Welch",_xlfn.T.TEST($B6:$B53,N6:N53,2,3),""))</f>
        <v>#NAME?</v>
      </c>
      <c r="O82" s="75"/>
      <c r="P82" s="121" t="s">
        <v>76</v>
      </c>
      <c r="Q82" s="75" t="e">
        <f ca="1">IF(Q81="Mann Withney",[1]!MTEST($P6:$P53,Q6:Q53,2), IF(Q81="T-Test Welch",_xlfn.T.TEST($P6:$P53,Q6:Q53,2,3),""))</f>
        <v>#NAME?</v>
      </c>
      <c r="R82" s="121" t="s">
        <v>76</v>
      </c>
      <c r="S82" s="121" t="s">
        <v>76</v>
      </c>
      <c r="T82" s="121" t="s">
        <v>76</v>
      </c>
      <c r="U82" s="121">
        <v>2.3999999999999998E-3</v>
      </c>
      <c r="V82" s="121">
        <v>2.3999999999999998E-3</v>
      </c>
      <c r="W82" s="121">
        <v>0.38109999999999999</v>
      </c>
    </row>
    <row r="83" spans="1:23" s="3" customFormat="1" ht="15.75" thickBot="1">
      <c r="A83" s="44" t="s">
        <v>46</v>
      </c>
      <c r="B83" s="76"/>
      <c r="C83" s="76" t="s">
        <v>79</v>
      </c>
      <c r="D83" s="76" t="s">
        <v>79</v>
      </c>
      <c r="E83" s="76" t="s">
        <v>78</v>
      </c>
      <c r="F83" s="76" t="s">
        <v>80</v>
      </c>
      <c r="G83" s="76" t="s">
        <v>80</v>
      </c>
      <c r="H83" s="76" t="s">
        <v>80</v>
      </c>
      <c r="I83" s="76" t="s">
        <v>80</v>
      </c>
      <c r="J83" s="76" t="s">
        <v>80</v>
      </c>
      <c r="K83" s="76" t="s">
        <v>77</v>
      </c>
      <c r="L83" s="76" t="s">
        <v>79</v>
      </c>
      <c r="M83" s="76" t="s">
        <v>79</v>
      </c>
      <c r="N83" s="76" t="e">
        <f t="shared" ref="N83" ca="1" si="19">IF(N82&gt;0.05,"NS",IF(N82&gt;0.01,"*",IF(N82&gt;0.001,"**","***")))</f>
        <v>#NAME?</v>
      </c>
      <c r="O83" s="76"/>
      <c r="P83" s="76" t="s">
        <v>77</v>
      </c>
      <c r="Q83" s="76" t="e">
        <f t="shared" ref="Q83" ca="1" si="20">IF(Q82&gt;0.05,"NS",IF(Q82&gt;0.01,"*",IF(Q82&gt;0.001,"**","***")))</f>
        <v>#NAME?</v>
      </c>
      <c r="R83" s="76" t="s">
        <v>77</v>
      </c>
      <c r="S83" s="76" t="s">
        <v>80</v>
      </c>
      <c r="T83" s="76" t="s">
        <v>80</v>
      </c>
      <c r="U83" s="76" t="s">
        <v>78</v>
      </c>
      <c r="V83" s="76" t="s">
        <v>78</v>
      </c>
      <c r="W83" s="76" t="s">
        <v>79</v>
      </c>
    </row>
    <row r="84" spans="1:23" s="1" customFormat="1"/>
    <row r="85" spans="1:23" s="1" customFormat="1">
      <c r="A85" s="2" t="s">
        <v>20</v>
      </c>
    </row>
    <row r="86" spans="1:23">
      <c r="A86" s="1" t="s">
        <v>13</v>
      </c>
      <c r="B86" s="1">
        <f>B56+(3*B57)</f>
        <v>0.67385114220668951</v>
      </c>
    </row>
    <row r="87" spans="1:23">
      <c r="A87" s="1" t="s">
        <v>14</v>
      </c>
      <c r="B87" s="1">
        <f>B56+(10*B57)</f>
        <v>1.6434957621058333</v>
      </c>
    </row>
    <row r="88" spans="1:23" ht="15.75" thickBot="1"/>
    <row r="89" spans="1:23" s="30" customFormat="1" ht="27" thickBot="1">
      <c r="A89" s="31" t="s">
        <v>34</v>
      </c>
      <c r="B89" s="32"/>
      <c r="C89" s="32"/>
      <c r="D89" s="32"/>
      <c r="E89" s="32"/>
      <c r="F89" s="32"/>
      <c r="G89" s="32"/>
      <c r="H89" s="32"/>
      <c r="I89" s="32"/>
      <c r="J89" s="32"/>
      <c r="K89" s="32"/>
      <c r="L89" s="32"/>
      <c r="M89" s="32"/>
      <c r="N89" s="32"/>
      <c r="O89" s="32"/>
      <c r="P89" s="32"/>
      <c r="Q89" s="32"/>
      <c r="R89" s="32"/>
      <c r="S89" s="32"/>
      <c r="T89" s="32"/>
      <c r="U89" s="32"/>
      <c r="V89" s="32"/>
      <c r="W89" s="32"/>
    </row>
    <row r="90" spans="1:23" ht="15.75" thickBot="1"/>
    <row r="91" spans="1:23" s="30" customFormat="1" ht="27" thickBot="1">
      <c r="A91" s="31" t="s">
        <v>35</v>
      </c>
      <c r="B91" s="32"/>
      <c r="C91" s="32"/>
      <c r="D91" s="32"/>
      <c r="E91" s="32"/>
      <c r="F91" s="32"/>
      <c r="G91" s="32"/>
      <c r="H91" s="32"/>
      <c r="I91" s="32"/>
      <c r="J91" s="32"/>
      <c r="K91" s="32"/>
      <c r="L91" s="32"/>
      <c r="M91" s="32"/>
      <c r="N91" s="32"/>
      <c r="O91" s="32"/>
      <c r="P91" s="32"/>
      <c r="Q91" s="32"/>
      <c r="R91" s="32"/>
      <c r="S91" s="32"/>
      <c r="T91" s="32"/>
      <c r="U91" s="32"/>
      <c r="V91" s="32"/>
      <c r="W91" s="32"/>
    </row>
    <row r="92" spans="1:23" ht="15.75" thickBot="1"/>
    <row r="93" spans="1:23" s="30" customFormat="1" ht="27" thickBot="1">
      <c r="A93" s="155" t="s">
        <v>36</v>
      </c>
      <c r="B93" s="156"/>
      <c r="C93" s="156"/>
      <c r="D93" s="156"/>
      <c r="E93" s="156"/>
      <c r="F93" s="156"/>
      <c r="G93" s="156"/>
      <c r="H93" s="156"/>
      <c r="I93" s="156"/>
      <c r="J93" s="156"/>
      <c r="K93" s="156"/>
      <c r="L93" s="156"/>
      <c r="M93" s="156"/>
      <c r="N93" s="156"/>
      <c r="O93" s="156"/>
      <c r="P93" s="156"/>
      <c r="Q93" s="156"/>
      <c r="R93" s="156"/>
      <c r="S93" s="156"/>
      <c r="T93" s="156"/>
      <c r="U93" s="156"/>
      <c r="V93" s="156"/>
      <c r="W93" s="156"/>
    </row>
    <row r="94" spans="1:23">
      <c r="B94" s="1">
        <f t="shared" ref="B94:V94" si="21">B75/$B$75</f>
        <v>1</v>
      </c>
      <c r="C94" s="1">
        <f t="shared" si="21"/>
        <v>1.0037662251490163</v>
      </c>
      <c r="D94" s="1">
        <f t="shared" si="21"/>
        <v>1.6436074970754246</v>
      </c>
      <c r="E94" s="1">
        <f t="shared" si="21"/>
        <v>3.2051362897406799</v>
      </c>
      <c r="F94" s="1">
        <f t="shared" si="21"/>
        <v>4.5787925443586071</v>
      </c>
      <c r="G94" s="1">
        <f t="shared" si="21"/>
        <v>6.0600048093627343</v>
      </c>
      <c r="H94" s="1">
        <f>H75/$B$75</f>
        <v>8.298879166887156</v>
      </c>
      <c r="I94" s="1">
        <f t="shared" si="21"/>
        <v>6.8900845127240062</v>
      </c>
      <c r="J94" s="1">
        <f t="shared" si="21"/>
        <v>4.9143779191751209</v>
      </c>
      <c r="K94" s="1">
        <f t="shared" si="21"/>
        <v>2.9547482055972418</v>
      </c>
      <c r="L94" s="1">
        <f t="shared" si="21"/>
        <v>1.5389670539558002</v>
      </c>
      <c r="M94" s="1">
        <f t="shared" si="21"/>
        <v>1.2336661497651273</v>
      </c>
      <c r="N94" s="1" t="e">
        <f t="shared" si="21"/>
        <v>#DIV/0!</v>
      </c>
      <c r="O94" s="1">
        <f t="shared" si="21"/>
        <v>0</v>
      </c>
      <c r="P94" s="1">
        <f t="shared" si="21"/>
        <v>3.8716297319220336</v>
      </c>
      <c r="Q94" s="1">
        <f t="shared" si="21"/>
        <v>4.8946678486012187</v>
      </c>
      <c r="R94" s="1">
        <f t="shared" si="21"/>
        <v>0.86207846658965415</v>
      </c>
      <c r="S94" s="1">
        <f t="shared" si="21"/>
        <v>6.9520770736171125</v>
      </c>
      <c r="T94" s="1">
        <f t="shared" si="21"/>
        <v>6.1392113978407892</v>
      </c>
      <c r="U94" s="1">
        <f t="shared" si="21"/>
        <v>5.5617419016428364</v>
      </c>
      <c r="V94" s="1">
        <f t="shared" si="21"/>
        <v>5.5276403933211959</v>
      </c>
    </row>
    <row r="99" spans="1:24">
      <c r="U99" s="1"/>
      <c r="V99" s="1"/>
    </row>
    <row r="100" spans="1:24">
      <c r="A100" s="1"/>
      <c r="B100" s="1"/>
      <c r="C100" s="1"/>
      <c r="D100" s="1"/>
      <c r="E100" s="1"/>
      <c r="F100" s="1"/>
      <c r="G100" s="1"/>
      <c r="H100" s="1"/>
      <c r="I100" s="1"/>
      <c r="J100" s="1"/>
      <c r="K100" s="1"/>
      <c r="U100" s="1"/>
      <c r="V100" s="1"/>
    </row>
    <row r="101" spans="1:24">
      <c r="A101" s="1"/>
      <c r="B101" s="1"/>
      <c r="C101" s="1"/>
      <c r="D101" s="1"/>
      <c r="E101" s="1"/>
      <c r="F101" s="1"/>
      <c r="G101" s="1"/>
      <c r="H101" s="1"/>
      <c r="I101" s="1"/>
      <c r="J101" s="1"/>
      <c r="K101" s="1"/>
      <c r="U101" s="1"/>
      <c r="V101" s="1"/>
    </row>
    <row r="102" spans="1:24">
      <c r="U102" s="1"/>
      <c r="V102" s="1"/>
    </row>
    <row r="103" spans="1:24">
      <c r="U103" s="1"/>
      <c r="V103" s="1"/>
    </row>
    <row r="108" spans="1:24">
      <c r="G108" s="1"/>
      <c r="H108" s="1"/>
      <c r="T108" s="1"/>
      <c r="U108" s="1"/>
      <c r="V108" s="1"/>
      <c r="W108" s="1"/>
      <c r="X108" s="1"/>
    </row>
    <row r="109" spans="1:24">
      <c r="G109" s="1"/>
      <c r="H109" s="1"/>
      <c r="T109" s="1"/>
      <c r="U109" s="1"/>
      <c r="V109" s="1"/>
      <c r="W109" s="1"/>
      <c r="X109" s="1"/>
    </row>
    <row r="110" spans="1:24">
      <c r="G110" s="1"/>
      <c r="H110" s="1"/>
    </row>
    <row r="111" spans="1:24">
      <c r="G111" s="1"/>
      <c r="H111" s="1"/>
    </row>
    <row r="112" spans="1:24">
      <c r="G112" s="1"/>
      <c r="H112" s="1"/>
    </row>
    <row r="113" spans="7:8">
      <c r="G113" s="1"/>
      <c r="H113" s="1"/>
    </row>
    <row r="114" spans="7:8">
      <c r="G114" s="1"/>
      <c r="H114" s="1"/>
    </row>
    <row r="115" spans="7:8">
      <c r="G115" s="1"/>
      <c r="H115" s="1"/>
    </row>
    <row r="116" spans="7:8">
      <c r="G116" s="1"/>
      <c r="H116" s="1"/>
    </row>
    <row r="117" spans="7:8">
      <c r="G117" s="1"/>
      <c r="H117" s="1"/>
    </row>
    <row r="118" spans="7:8">
      <c r="G118" s="1"/>
      <c r="H118" s="1"/>
    </row>
  </sheetData>
  <mergeCells count="10">
    <mergeCell ref="A7:A21"/>
    <mergeCell ref="A23:A37"/>
    <mergeCell ref="A93:W93"/>
    <mergeCell ref="P3:W3"/>
    <mergeCell ref="B3:N3"/>
    <mergeCell ref="A60:W60"/>
    <mergeCell ref="A72:W72"/>
    <mergeCell ref="A70:W70"/>
    <mergeCell ref="A65:W65"/>
    <mergeCell ref="A39:A53"/>
  </mergeCells>
  <phoneticPr fontId="12"/>
  <pageMargins left="0.7" right="0.7" top="0.75" bottom="0.75" header="0.3" footer="0.3"/>
  <pageSetup paperSize="9" orientation="portrait" r:id="rId1"/>
  <headerFooter>
    <oddHeader>&amp;C&amp;"-,Gras"&amp;14Données poolées normalisées&amp;R&amp;"-,Gras"&amp;14Page : &amp;P/&amp;P</oddHeader>
    <oddFooter>&amp;C&amp;1#&amp;"Arial"&amp;10&amp;K000000Internal</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180F8B-C4FF-486D-84BE-7BDC86BCBA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3DE2548-57DB-42AA-8F76-B6BD4688342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5</vt:i4>
      </vt:variant>
      <vt:variant>
        <vt:lpstr>Charts</vt:lpstr>
      </vt:variant>
      <vt:variant>
        <vt:i4>4</vt:i4>
      </vt:variant>
      <vt:variant>
        <vt:lpstr>Named Ranges</vt:lpstr>
      </vt:variant>
      <vt:variant>
        <vt:i4>1</vt:i4>
      </vt:variant>
    </vt:vector>
  </HeadingPairs>
  <TitlesOfParts>
    <vt:vector size="10" baseType="lpstr">
      <vt:lpstr>Front page</vt:lpstr>
      <vt:lpstr>R1</vt:lpstr>
      <vt:lpstr>R2</vt:lpstr>
      <vt:lpstr>R3</vt:lpstr>
      <vt:lpstr>pooled normalised values</vt:lpstr>
      <vt:lpstr>Graph R1</vt:lpstr>
      <vt:lpstr>Graph R2</vt:lpstr>
      <vt:lpstr>Graph R3</vt:lpstr>
      <vt:lpstr>pooled normalised graphe</vt:lpstr>
      <vt:lpstr>'Front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2023-04-03T08:22:37Z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2023-04-03T08:22:37Z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22b5fa56-2ba1-411b-880f-98c67ddbeb6d</vt:lpwstr>
  </property>
  <property fmtid="{D5CDD505-2E9C-101B-9397-08002B2CF9AE}" pid="8" name="MSIP_Label_06530cf4-8573-4c29-a912-bbcdac835909_ContentBits">
    <vt:lpwstr>2</vt:lpwstr>
  </property>
</Properties>
</file>