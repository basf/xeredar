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hartsheets/sheet1.xml" ContentType="application/vnd.openxmlformats-officedocument.spreadsheetml.chartsheet+xml"/>
  <Override PartName="/xl/worksheets/sheet3.xml" ContentType="application/vnd.openxmlformats-officedocument.spreadsheetml.worksheet+xml"/>
  <Override PartName="/xl/chartsheets/sheet2.xml" ContentType="application/vnd.openxmlformats-officedocument.spreadsheetml.chartsheet+xml"/>
  <Override PartName="/xl/worksheets/sheet4.xml" ContentType="application/vnd.openxmlformats-officedocument.spreadsheetml.worksheet+xml"/>
  <Override PartName="/xl/chartsheets/sheet3.xml" ContentType="application/vnd.openxmlformats-officedocument.spreadsheetml.chartsheet+xml"/>
  <Override PartName="/xl/worksheets/sheet5.xml" ContentType="application/vnd.openxmlformats-officedocument.spreadsheetml.worksheet+xml"/>
  <Override PartName="/xl/chartsheets/sheet4.xml" ContentType="application/vnd.openxmlformats-officedocument.spreadsheetml.chart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comments1.xml" ContentType="application/vnd.openxmlformats-officedocument.spreadsheetml.comments+xml"/>
  <Override PartName="/xl/drawings/drawing7.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filterPrivacy="1" hidePivotFieldList="1" defaultThemeVersion="124226"/>
  <xr:revisionPtr revIDLastSave="5" documentId="13_ncr:1_{26564D65-71C7-4C78-BD3D-364BB2515194}" xr6:coauthVersionLast="47" xr6:coauthVersionMax="47" xr10:uidLastSave="{340CCAAD-8074-462F-A3E3-C91DBE22F4AF}"/>
  <bookViews>
    <workbookView xWindow="-120" yWindow="-120" windowWidth="29040" windowHeight="15840" activeTab="5" xr2:uid="{00000000-000D-0000-FFFF-FFFF00000000}"/>
  </bookViews>
  <sheets>
    <sheet name="Front page" sheetId="10" r:id="rId1"/>
    <sheet name="R1" sheetId="1" r:id="rId2"/>
    <sheet name="Graph R1" sheetId="8" r:id="rId3"/>
    <sheet name="R2" sheetId="23" r:id="rId4"/>
    <sheet name="Graph R2" sheetId="19" r:id="rId5"/>
    <sheet name="R3" sheetId="33" r:id="rId6"/>
    <sheet name="Graph R3" sheetId="34" r:id="rId7"/>
    <sheet name="pooled normalised values" sheetId="4" r:id="rId8"/>
    <sheet name="pooled normalised graphe" sheetId="5" r:id="rId9"/>
  </sheets>
  <externalReferences>
    <externalReference r:id="rId10"/>
    <externalReference r:id="rId11"/>
  </externalReferences>
  <definedNames>
    <definedName name="_xlnm.Print_Area" localSheetId="0">'Front page'!$A$1:$I$51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9" i="10" l="1"/>
  <c r="C39" i="10"/>
  <c r="D39" i="10"/>
  <c r="E39" i="10"/>
  <c r="B40" i="10"/>
  <c r="C40" i="10"/>
  <c r="D40" i="10"/>
  <c r="E40" i="10"/>
  <c r="B41" i="10"/>
  <c r="C41" i="10"/>
  <c r="D41" i="10"/>
  <c r="E41" i="10"/>
  <c r="B42" i="10"/>
  <c r="C42" i="10"/>
  <c r="D42" i="10"/>
  <c r="E42" i="10"/>
  <c r="B43" i="10"/>
  <c r="C43" i="10"/>
  <c r="D43" i="10"/>
  <c r="E43" i="10"/>
  <c r="B44" i="10"/>
  <c r="C44" i="10"/>
  <c r="D44" i="10"/>
  <c r="E44" i="10"/>
  <c r="B45" i="10"/>
  <c r="C45" i="10"/>
  <c r="D45" i="10"/>
  <c r="E45" i="10"/>
  <c r="B46" i="10"/>
  <c r="C46" i="10"/>
  <c r="D46" i="10"/>
  <c r="E46" i="10"/>
  <c r="B47" i="10"/>
  <c r="C47" i="10"/>
  <c r="D47" i="10"/>
  <c r="E47" i="10"/>
  <c r="B48" i="10"/>
  <c r="C48" i="10"/>
  <c r="D48" i="10"/>
  <c r="E48" i="10"/>
  <c r="B49" i="10"/>
  <c r="C49" i="10"/>
  <c r="D49" i="10"/>
  <c r="E49" i="10"/>
  <c r="B50" i="10"/>
  <c r="C50" i="10"/>
  <c r="D50" i="10"/>
  <c r="E50" i="10"/>
  <c r="B51" i="10"/>
  <c r="C51" i="10"/>
  <c r="D51" i="10"/>
  <c r="E51" i="10"/>
  <c r="B52" i="10"/>
  <c r="C52" i="10"/>
  <c r="D52" i="10"/>
  <c r="E52" i="10"/>
  <c r="B53" i="10"/>
  <c r="C53" i="10"/>
  <c r="D53" i="10"/>
  <c r="E53" i="10"/>
  <c r="B54" i="10"/>
  <c r="C54" i="10"/>
  <c r="D54" i="10"/>
  <c r="E54" i="10"/>
  <c r="B55" i="10"/>
  <c r="C55" i="10"/>
  <c r="D55" i="10"/>
  <c r="E55" i="10"/>
  <c r="B56" i="10"/>
  <c r="C56" i="10"/>
  <c r="D56" i="10"/>
  <c r="E56" i="10"/>
  <c r="B57" i="10"/>
  <c r="C57" i="10"/>
  <c r="D57" i="10"/>
  <c r="E57" i="10"/>
  <c r="C38" i="10"/>
  <c r="D38" i="10"/>
  <c r="E38" i="10"/>
  <c r="B38" i="10"/>
  <c r="L78" i="4"/>
  <c r="R78" i="4"/>
  <c r="E78" i="4"/>
  <c r="U78" i="4"/>
  <c r="G78" i="4"/>
  <c r="P78" i="4"/>
  <c r="C78" i="4"/>
  <c r="I78" i="4"/>
  <c r="F78" i="4"/>
  <c r="O78" i="4"/>
  <c r="D78" i="4"/>
  <c r="T78" i="4"/>
  <c r="K78" i="4"/>
  <c r="M78" i="4"/>
  <c r="N78" i="4"/>
  <c r="W78" i="4"/>
  <c r="H78" i="4"/>
  <c r="J78" i="4"/>
  <c r="S78" i="4"/>
  <c r="Q78" i="4"/>
  <c r="V78" i="4"/>
  <c r="B78" i="4"/>
  <c r="A7" i="10" l="1"/>
  <c r="A8" i="10"/>
  <c r="A9" i="10"/>
  <c r="A10" i="10"/>
  <c r="A11" i="10"/>
  <c r="A12" i="10"/>
  <c r="A13"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B4" i="33" l="1"/>
  <c r="B4" i="23" l="1"/>
  <c r="B4" i="1"/>
  <c r="H4" i="33" l="1"/>
  <c r="H4" i="23"/>
  <c r="H4" i="1"/>
  <c r="G4" i="33"/>
  <c r="G4" i="23"/>
  <c r="G4" i="1"/>
  <c r="C4" i="33"/>
  <c r="C4" i="23"/>
  <c r="C4" i="1"/>
  <c r="D4" i="33"/>
  <c r="D4" i="23"/>
  <c r="D4" i="1"/>
  <c r="F4" i="33" l="1"/>
  <c r="F4" i="23"/>
  <c r="F4" i="1"/>
  <c r="E4" i="33"/>
  <c r="E4" i="23"/>
  <c r="E4" i="1"/>
  <c r="I4" i="33"/>
  <c r="I4" i="23"/>
  <c r="I4" i="1"/>
  <c r="A52" i="33" l="1"/>
  <c r="A45" i="33"/>
  <c r="V43" i="33"/>
  <c r="W53" i="4" s="1"/>
  <c r="U43" i="33"/>
  <c r="V53" i="4" s="1"/>
  <c r="T43" i="33"/>
  <c r="U53" i="4" s="1"/>
  <c r="S43" i="33"/>
  <c r="T53" i="4" s="1"/>
  <c r="R43" i="33"/>
  <c r="S53" i="4" s="1"/>
  <c r="Q43" i="33"/>
  <c r="R53" i="4" s="1"/>
  <c r="P43" i="33"/>
  <c r="Q53" i="4" s="1"/>
  <c r="N53" i="4"/>
  <c r="M43" i="33"/>
  <c r="M53" i="4" s="1"/>
  <c r="L43" i="33"/>
  <c r="L53" i="4" s="1"/>
  <c r="K43" i="33"/>
  <c r="K53" i="4" s="1"/>
  <c r="J43" i="33"/>
  <c r="J53" i="4" s="1"/>
  <c r="I43" i="33"/>
  <c r="I53" i="4" s="1"/>
  <c r="H43" i="33"/>
  <c r="H53" i="4" s="1"/>
  <c r="G43" i="33"/>
  <c r="G53" i="4" s="1"/>
  <c r="F43" i="33"/>
  <c r="F53" i="4" s="1"/>
  <c r="E43" i="33"/>
  <c r="E53" i="4" s="1"/>
  <c r="D43" i="33"/>
  <c r="D53" i="4" s="1"/>
  <c r="C43" i="33"/>
  <c r="C53" i="4" s="1"/>
  <c r="B43" i="33"/>
  <c r="B53" i="4" s="1"/>
  <c r="V42" i="33"/>
  <c r="W52" i="4" s="1"/>
  <c r="U42" i="33"/>
  <c r="V52" i="4" s="1"/>
  <c r="T42" i="33"/>
  <c r="U52" i="4" s="1"/>
  <c r="S42" i="33"/>
  <c r="T52" i="4" s="1"/>
  <c r="R42" i="33"/>
  <c r="S52" i="4" s="1"/>
  <c r="Q42" i="33"/>
  <c r="R52" i="4" s="1"/>
  <c r="P42" i="33"/>
  <c r="Q52" i="4" s="1"/>
  <c r="N52" i="4"/>
  <c r="M42" i="33"/>
  <c r="M52" i="4" s="1"/>
  <c r="L42" i="33"/>
  <c r="L52" i="4" s="1"/>
  <c r="K42" i="33"/>
  <c r="K52" i="4" s="1"/>
  <c r="J42" i="33"/>
  <c r="J52" i="4" s="1"/>
  <c r="I42" i="33"/>
  <c r="I52" i="4" s="1"/>
  <c r="H42" i="33"/>
  <c r="H52" i="4" s="1"/>
  <c r="G42" i="33"/>
  <c r="G52" i="4" s="1"/>
  <c r="F42" i="33"/>
  <c r="F52" i="4" s="1"/>
  <c r="E42" i="33"/>
  <c r="E52" i="4" s="1"/>
  <c r="D42" i="33"/>
  <c r="D52" i="4" s="1"/>
  <c r="C42" i="33"/>
  <c r="C52" i="4" s="1"/>
  <c r="B42" i="33"/>
  <c r="B52" i="4" s="1"/>
  <c r="V41" i="33"/>
  <c r="W51" i="4" s="1"/>
  <c r="U41" i="33"/>
  <c r="V51" i="4" s="1"/>
  <c r="T41" i="33"/>
  <c r="U51" i="4" s="1"/>
  <c r="S41" i="33"/>
  <c r="T51" i="4" s="1"/>
  <c r="R41" i="33"/>
  <c r="S51" i="4" s="1"/>
  <c r="Q41" i="33"/>
  <c r="R51" i="4" s="1"/>
  <c r="P41" i="33"/>
  <c r="Q51" i="4" s="1"/>
  <c r="N51" i="4"/>
  <c r="M41" i="33"/>
  <c r="M51" i="4" s="1"/>
  <c r="L41" i="33"/>
  <c r="L51" i="4" s="1"/>
  <c r="K41" i="33"/>
  <c r="K51" i="4" s="1"/>
  <c r="J41" i="33"/>
  <c r="J51" i="4" s="1"/>
  <c r="I41" i="33"/>
  <c r="I51" i="4" s="1"/>
  <c r="H41" i="33"/>
  <c r="H51" i="4" s="1"/>
  <c r="G41" i="33"/>
  <c r="G51" i="4" s="1"/>
  <c r="F41" i="33"/>
  <c r="F51" i="4" s="1"/>
  <c r="E41" i="33"/>
  <c r="E51" i="4" s="1"/>
  <c r="D41" i="33"/>
  <c r="D51" i="4" s="1"/>
  <c r="C41" i="33"/>
  <c r="C51" i="4" s="1"/>
  <c r="B41" i="33"/>
  <c r="B51" i="4" s="1"/>
  <c r="V40" i="33"/>
  <c r="W50" i="4" s="1"/>
  <c r="U40" i="33"/>
  <c r="V50" i="4" s="1"/>
  <c r="T40" i="33"/>
  <c r="U50" i="4" s="1"/>
  <c r="S40" i="33"/>
  <c r="T50" i="4" s="1"/>
  <c r="R40" i="33"/>
  <c r="S50" i="4" s="1"/>
  <c r="Q40" i="33"/>
  <c r="R50" i="4" s="1"/>
  <c r="P40" i="33"/>
  <c r="Q50" i="4" s="1"/>
  <c r="N50" i="4"/>
  <c r="M40" i="33"/>
  <c r="M50" i="4" s="1"/>
  <c r="L40" i="33"/>
  <c r="L50" i="4" s="1"/>
  <c r="K40" i="33"/>
  <c r="K50" i="4" s="1"/>
  <c r="J40" i="33"/>
  <c r="J50" i="4" s="1"/>
  <c r="I40" i="33"/>
  <c r="I50" i="4" s="1"/>
  <c r="H40" i="33"/>
  <c r="H50" i="4" s="1"/>
  <c r="G40" i="33"/>
  <c r="G50" i="4" s="1"/>
  <c r="F40" i="33"/>
  <c r="F50" i="4" s="1"/>
  <c r="E40" i="33"/>
  <c r="E50" i="4" s="1"/>
  <c r="D40" i="33"/>
  <c r="D50" i="4" s="1"/>
  <c r="C40" i="33"/>
  <c r="C50" i="4" s="1"/>
  <c r="B40" i="33"/>
  <c r="B50" i="4" s="1"/>
  <c r="V39" i="33"/>
  <c r="W49" i="4" s="1"/>
  <c r="U39" i="33"/>
  <c r="V49" i="4" s="1"/>
  <c r="T39" i="33"/>
  <c r="U49" i="4" s="1"/>
  <c r="S39" i="33"/>
  <c r="T49" i="4" s="1"/>
  <c r="R39" i="33"/>
  <c r="S49" i="4" s="1"/>
  <c r="Q39" i="33"/>
  <c r="R49" i="4" s="1"/>
  <c r="P39" i="33"/>
  <c r="Q49" i="4" s="1"/>
  <c r="N49" i="4"/>
  <c r="M39" i="33"/>
  <c r="M49" i="4" s="1"/>
  <c r="L39" i="33"/>
  <c r="L49" i="4" s="1"/>
  <c r="K39" i="33"/>
  <c r="K49" i="4" s="1"/>
  <c r="J39" i="33"/>
  <c r="J49" i="4" s="1"/>
  <c r="I39" i="33"/>
  <c r="I49" i="4" s="1"/>
  <c r="H39" i="33"/>
  <c r="H49" i="4" s="1"/>
  <c r="G39" i="33"/>
  <c r="G49" i="4" s="1"/>
  <c r="F39" i="33"/>
  <c r="F49" i="4" s="1"/>
  <c r="E39" i="33"/>
  <c r="E49" i="4" s="1"/>
  <c r="D39" i="33"/>
  <c r="D49" i="4" s="1"/>
  <c r="C39" i="33"/>
  <c r="C49" i="4" s="1"/>
  <c r="B39" i="33"/>
  <c r="B49" i="4" s="1"/>
  <c r="V38" i="33"/>
  <c r="W48" i="4" s="1"/>
  <c r="U38" i="33"/>
  <c r="V48" i="4" s="1"/>
  <c r="T38" i="33"/>
  <c r="U48" i="4" s="1"/>
  <c r="S38" i="33"/>
  <c r="T48" i="4" s="1"/>
  <c r="R38" i="33"/>
  <c r="S48" i="4" s="1"/>
  <c r="Q38" i="33"/>
  <c r="R48" i="4" s="1"/>
  <c r="P38" i="33"/>
  <c r="Q48" i="4" s="1"/>
  <c r="N48" i="4"/>
  <c r="M38" i="33"/>
  <c r="M48" i="4" s="1"/>
  <c r="L38" i="33"/>
  <c r="L48" i="4" s="1"/>
  <c r="K38" i="33"/>
  <c r="K48" i="4" s="1"/>
  <c r="J38" i="33"/>
  <c r="J48" i="4" s="1"/>
  <c r="I38" i="33"/>
  <c r="I48" i="4" s="1"/>
  <c r="H38" i="33"/>
  <c r="H48" i="4" s="1"/>
  <c r="G38" i="33"/>
  <c r="G48" i="4" s="1"/>
  <c r="F38" i="33"/>
  <c r="F48" i="4" s="1"/>
  <c r="E38" i="33"/>
  <c r="E48" i="4" s="1"/>
  <c r="D38" i="33"/>
  <c r="D48" i="4" s="1"/>
  <c r="C38" i="33"/>
  <c r="C48" i="4" s="1"/>
  <c r="B38" i="33"/>
  <c r="B48" i="4" s="1"/>
  <c r="V37" i="33"/>
  <c r="W47" i="4" s="1"/>
  <c r="U37" i="33"/>
  <c r="V47" i="4" s="1"/>
  <c r="T37" i="33"/>
  <c r="U47" i="4" s="1"/>
  <c r="S37" i="33"/>
  <c r="T47" i="4" s="1"/>
  <c r="R37" i="33"/>
  <c r="S47" i="4" s="1"/>
  <c r="Q37" i="33"/>
  <c r="R47" i="4" s="1"/>
  <c r="P37" i="33"/>
  <c r="Q47" i="4" s="1"/>
  <c r="N47" i="4"/>
  <c r="M37" i="33"/>
  <c r="M47" i="4" s="1"/>
  <c r="L37" i="33"/>
  <c r="L47" i="4" s="1"/>
  <c r="K37" i="33"/>
  <c r="K47" i="4" s="1"/>
  <c r="J37" i="33"/>
  <c r="J47" i="4" s="1"/>
  <c r="I37" i="33"/>
  <c r="I47" i="4" s="1"/>
  <c r="H37" i="33"/>
  <c r="H47" i="4" s="1"/>
  <c r="G37" i="33"/>
  <c r="G47" i="4" s="1"/>
  <c r="F37" i="33"/>
  <c r="F47" i="4" s="1"/>
  <c r="E37" i="33"/>
  <c r="E47" i="4" s="1"/>
  <c r="D37" i="33"/>
  <c r="D47" i="4" s="1"/>
  <c r="C37" i="33"/>
  <c r="C47" i="4" s="1"/>
  <c r="B37" i="33"/>
  <c r="B47" i="4" s="1"/>
  <c r="V36" i="33"/>
  <c r="W46" i="4" s="1"/>
  <c r="U36" i="33"/>
  <c r="V46" i="4" s="1"/>
  <c r="T36" i="33"/>
  <c r="U46" i="4" s="1"/>
  <c r="S36" i="33"/>
  <c r="T46" i="4" s="1"/>
  <c r="R36" i="33"/>
  <c r="S46" i="4" s="1"/>
  <c r="Q36" i="33"/>
  <c r="R46" i="4" s="1"/>
  <c r="P36" i="33"/>
  <c r="Q46" i="4" s="1"/>
  <c r="N46" i="4"/>
  <c r="M36" i="33"/>
  <c r="M46" i="4" s="1"/>
  <c r="L36" i="33"/>
  <c r="L46" i="4" s="1"/>
  <c r="K36" i="33"/>
  <c r="K46" i="4" s="1"/>
  <c r="J36" i="33"/>
  <c r="J46" i="4" s="1"/>
  <c r="I36" i="33"/>
  <c r="I46" i="4" s="1"/>
  <c r="H36" i="33"/>
  <c r="H46" i="4" s="1"/>
  <c r="G36" i="33"/>
  <c r="G46" i="4" s="1"/>
  <c r="F36" i="33"/>
  <c r="F46" i="4" s="1"/>
  <c r="E36" i="33"/>
  <c r="E46" i="4" s="1"/>
  <c r="D36" i="33"/>
  <c r="D46" i="4" s="1"/>
  <c r="C36" i="33"/>
  <c r="C46" i="4" s="1"/>
  <c r="B36" i="33"/>
  <c r="B46" i="4" s="1"/>
  <c r="V35" i="33"/>
  <c r="W45" i="4" s="1"/>
  <c r="N45" i="4"/>
  <c r="O34" i="33"/>
  <c r="P44" i="4" s="1"/>
  <c r="N44" i="4"/>
  <c r="N43" i="4"/>
  <c r="N42" i="4"/>
  <c r="N41" i="4"/>
  <c r="K31" i="33"/>
  <c r="K41" i="4" s="1"/>
  <c r="N40" i="4"/>
  <c r="N39" i="4"/>
  <c r="V24" i="33"/>
  <c r="U24" i="33"/>
  <c r="T24" i="33"/>
  <c r="S24" i="33"/>
  <c r="R24" i="33"/>
  <c r="Q24" i="33"/>
  <c r="P24" i="33"/>
  <c r="O24" i="33"/>
  <c r="L24" i="33"/>
  <c r="J24" i="33"/>
  <c r="I24" i="33"/>
  <c r="H24" i="33"/>
  <c r="G24" i="33"/>
  <c r="F24" i="33"/>
  <c r="E24" i="33"/>
  <c r="D24" i="33"/>
  <c r="C24" i="33"/>
  <c r="B24" i="33"/>
  <c r="V23" i="33"/>
  <c r="U23" i="33"/>
  <c r="T23" i="33"/>
  <c r="S23" i="33"/>
  <c r="R23" i="33"/>
  <c r="Q23" i="33"/>
  <c r="P23" i="33"/>
  <c r="O23" i="33"/>
  <c r="O43" i="33" s="1"/>
  <c r="P53" i="4" s="1"/>
  <c r="L23" i="33"/>
  <c r="J23" i="33"/>
  <c r="I23" i="33"/>
  <c r="H23" i="33"/>
  <c r="G23" i="33"/>
  <c r="F23" i="33"/>
  <c r="E23" i="33"/>
  <c r="D23" i="33"/>
  <c r="C23" i="33"/>
  <c r="B23" i="33"/>
  <c r="A22" i="33"/>
  <c r="H22" i="33"/>
  <c r="G45" i="33"/>
  <c r="F27" i="33"/>
  <c r="F52" i="33" s="1"/>
  <c r="E45" i="33"/>
  <c r="D22" i="33"/>
  <c r="C45" i="33"/>
  <c r="B45" i="33"/>
  <c r="O56" i="33"/>
  <c r="V56" i="33"/>
  <c r="Q56" i="33"/>
  <c r="K56" i="33"/>
  <c r="J56" i="33"/>
  <c r="M56" i="33"/>
  <c r="L56" i="33"/>
  <c r="T56" i="33"/>
  <c r="C56" i="33"/>
  <c r="F56" i="33"/>
  <c r="R56" i="33"/>
  <c r="E56" i="33"/>
  <c r="G56" i="33"/>
  <c r="H56" i="33"/>
  <c r="S56" i="33"/>
  <c r="B56" i="33"/>
  <c r="I56" i="33"/>
  <c r="P56" i="33"/>
  <c r="U56" i="33"/>
  <c r="D56" i="33"/>
  <c r="P34" i="33" l="1"/>
  <c r="Q44" i="4" s="1"/>
  <c r="J28" i="33"/>
  <c r="P32" i="33"/>
  <c r="Q42" i="4" s="1"/>
  <c r="P35" i="33"/>
  <c r="Q45" i="4" s="1"/>
  <c r="O38" i="33"/>
  <c r="P48" i="4" s="1"/>
  <c r="M29" i="33"/>
  <c r="M39" i="4" s="1"/>
  <c r="Q35" i="33"/>
  <c r="R45" i="4" s="1"/>
  <c r="P33" i="33"/>
  <c r="Q43" i="4" s="1"/>
  <c r="J30" i="33"/>
  <c r="J40" i="4" s="1"/>
  <c r="Q33" i="33"/>
  <c r="R43" i="4" s="1"/>
  <c r="P28" i="33"/>
  <c r="P29" i="33"/>
  <c r="Q39" i="4" s="1"/>
  <c r="O30" i="33"/>
  <c r="P40" i="4" s="1"/>
  <c r="P31" i="33"/>
  <c r="Q41" i="4" s="1"/>
  <c r="Q32" i="33"/>
  <c r="R42" i="4" s="1"/>
  <c r="R33" i="33"/>
  <c r="S43" i="4" s="1"/>
  <c r="Q34" i="33"/>
  <c r="R44" i="4" s="1"/>
  <c r="T35" i="33"/>
  <c r="U45" i="4" s="1"/>
  <c r="O42" i="33"/>
  <c r="P52" i="4" s="1"/>
  <c r="Q29" i="33"/>
  <c r="R39" i="4" s="1"/>
  <c r="V33" i="33"/>
  <c r="W43" i="4" s="1"/>
  <c r="R28" i="33"/>
  <c r="R29" i="33"/>
  <c r="S39" i="4" s="1"/>
  <c r="Q30" i="33"/>
  <c r="R40" i="4" s="1"/>
  <c r="T31" i="33"/>
  <c r="U41" i="4" s="1"/>
  <c r="E33" i="33"/>
  <c r="E43" i="4" s="1"/>
  <c r="B34" i="33"/>
  <c r="B44" i="4" s="1"/>
  <c r="C35" i="33"/>
  <c r="C45" i="4" s="1"/>
  <c r="Q28" i="33"/>
  <c r="V28" i="33"/>
  <c r="W38" i="4" s="1"/>
  <c r="V29" i="33"/>
  <c r="W39" i="4" s="1"/>
  <c r="S30" i="33"/>
  <c r="T40" i="4" s="1"/>
  <c r="D32" i="33"/>
  <c r="D42" i="4" s="1"/>
  <c r="I33" i="33"/>
  <c r="I43" i="4" s="1"/>
  <c r="F34" i="33"/>
  <c r="F44" i="4" s="1"/>
  <c r="G35" i="33"/>
  <c r="G45" i="4" s="1"/>
  <c r="P30" i="33"/>
  <c r="Q40" i="4" s="1"/>
  <c r="Q31" i="33"/>
  <c r="R41" i="4" s="1"/>
  <c r="S34" i="33"/>
  <c r="T44" i="4" s="1"/>
  <c r="B28" i="33"/>
  <c r="E29" i="33"/>
  <c r="E39" i="4" s="1"/>
  <c r="B30" i="33"/>
  <c r="B40" i="4" s="1"/>
  <c r="C31" i="33"/>
  <c r="C41" i="4" s="1"/>
  <c r="H32" i="33"/>
  <c r="H42" i="4" s="1"/>
  <c r="M33" i="33"/>
  <c r="M43" i="4" s="1"/>
  <c r="J34" i="33"/>
  <c r="J44" i="4" s="1"/>
  <c r="K35" i="33"/>
  <c r="K45" i="4" s="1"/>
  <c r="U32" i="33"/>
  <c r="V42" i="4" s="1"/>
  <c r="F28" i="33"/>
  <c r="I29" i="33"/>
  <c r="I39" i="4" s="1"/>
  <c r="F30" i="33"/>
  <c r="F40" i="4" s="1"/>
  <c r="G31" i="33"/>
  <c r="G41" i="4" s="1"/>
  <c r="L32" i="33"/>
  <c r="L42" i="4" s="1"/>
  <c r="C28" i="33"/>
  <c r="K28" i="33"/>
  <c r="K47" i="33" s="1"/>
  <c r="K48" i="33" s="1"/>
  <c r="K54" i="33" s="1"/>
  <c r="S28" i="33"/>
  <c r="B29" i="33"/>
  <c r="B39" i="4" s="1"/>
  <c r="F29" i="33"/>
  <c r="F39" i="4" s="1"/>
  <c r="J29" i="33"/>
  <c r="J39" i="4" s="1"/>
  <c r="O29" i="33"/>
  <c r="P39" i="4" s="1"/>
  <c r="C30" i="33"/>
  <c r="C40" i="4" s="1"/>
  <c r="G30" i="33"/>
  <c r="G40" i="4" s="1"/>
  <c r="K30" i="33"/>
  <c r="K40" i="4" s="1"/>
  <c r="T30" i="33"/>
  <c r="U40" i="4" s="1"/>
  <c r="E32" i="33"/>
  <c r="E42" i="4" s="1"/>
  <c r="M32" i="33"/>
  <c r="M42" i="4" s="1"/>
  <c r="V32" i="33"/>
  <c r="W42" i="4" s="1"/>
  <c r="S33" i="33"/>
  <c r="T43" i="4" s="1"/>
  <c r="G34" i="33"/>
  <c r="G44" i="4" s="1"/>
  <c r="D35" i="33"/>
  <c r="D45" i="4" s="1"/>
  <c r="H35" i="33"/>
  <c r="H45" i="4" s="1"/>
  <c r="L35" i="33"/>
  <c r="L45" i="4" s="1"/>
  <c r="U35" i="33"/>
  <c r="V45" i="4" s="1"/>
  <c r="O37" i="33"/>
  <c r="P47" i="4" s="1"/>
  <c r="D28" i="33"/>
  <c r="D38" i="4" s="1"/>
  <c r="H28" i="33"/>
  <c r="H38" i="4" s="1"/>
  <c r="L28" i="33"/>
  <c r="T28" i="33"/>
  <c r="U38" i="4" s="1"/>
  <c r="C29" i="33"/>
  <c r="C39" i="4" s="1"/>
  <c r="G29" i="33"/>
  <c r="G39" i="4" s="1"/>
  <c r="K29" i="33"/>
  <c r="K39" i="4" s="1"/>
  <c r="T29" i="33"/>
  <c r="U39" i="4" s="1"/>
  <c r="D30" i="33"/>
  <c r="D40" i="4" s="1"/>
  <c r="H30" i="33"/>
  <c r="H40" i="4" s="1"/>
  <c r="L30" i="33"/>
  <c r="L40" i="4" s="1"/>
  <c r="U30" i="33"/>
  <c r="V40" i="4" s="1"/>
  <c r="E31" i="33"/>
  <c r="E41" i="4" s="1"/>
  <c r="I31" i="33"/>
  <c r="I41" i="4" s="1"/>
  <c r="M31" i="33"/>
  <c r="M41" i="4" s="1"/>
  <c r="R31" i="33"/>
  <c r="S41" i="4" s="1"/>
  <c r="V31" i="33"/>
  <c r="W41" i="4" s="1"/>
  <c r="B32" i="33"/>
  <c r="B42" i="4" s="1"/>
  <c r="F32" i="33"/>
  <c r="F42" i="4" s="1"/>
  <c r="J32" i="33"/>
  <c r="J42" i="4" s="1"/>
  <c r="O32" i="33"/>
  <c r="P42" i="4" s="1"/>
  <c r="S32" i="33"/>
  <c r="T42" i="4" s="1"/>
  <c r="C33" i="33"/>
  <c r="C43" i="4" s="1"/>
  <c r="G33" i="33"/>
  <c r="G43" i="4" s="1"/>
  <c r="K33" i="33"/>
  <c r="K43" i="4" s="1"/>
  <c r="T33" i="33"/>
  <c r="U43" i="4" s="1"/>
  <c r="D34" i="33"/>
  <c r="D44" i="4" s="1"/>
  <c r="H34" i="33"/>
  <c r="H44" i="4" s="1"/>
  <c r="L34" i="33"/>
  <c r="L44" i="4" s="1"/>
  <c r="U34" i="33"/>
  <c r="V44" i="4" s="1"/>
  <c r="E35" i="33"/>
  <c r="E45" i="4" s="1"/>
  <c r="I35" i="33"/>
  <c r="I45" i="4" s="1"/>
  <c r="M35" i="33"/>
  <c r="M45" i="4" s="1"/>
  <c r="R35" i="33"/>
  <c r="S45" i="4" s="1"/>
  <c r="O36" i="33"/>
  <c r="P46" i="4" s="1"/>
  <c r="O40" i="33"/>
  <c r="P50" i="4" s="1"/>
  <c r="G28" i="33"/>
  <c r="G38" i="4" s="1"/>
  <c r="O28" i="33"/>
  <c r="S29" i="33"/>
  <c r="T39" i="4" s="1"/>
  <c r="D31" i="33"/>
  <c r="D41" i="4" s="1"/>
  <c r="H31" i="33"/>
  <c r="H41" i="4" s="1"/>
  <c r="L31" i="33"/>
  <c r="L41" i="4" s="1"/>
  <c r="U31" i="33"/>
  <c r="V41" i="4" s="1"/>
  <c r="I32" i="33"/>
  <c r="I42" i="4" s="1"/>
  <c r="R32" i="33"/>
  <c r="S42" i="4" s="1"/>
  <c r="B33" i="33"/>
  <c r="B43" i="4" s="1"/>
  <c r="F33" i="33"/>
  <c r="F43" i="4" s="1"/>
  <c r="J33" i="33"/>
  <c r="J43" i="4" s="1"/>
  <c r="O33" i="33"/>
  <c r="P43" i="4" s="1"/>
  <c r="C34" i="33"/>
  <c r="C44" i="4" s="1"/>
  <c r="K34" i="33"/>
  <c r="K44" i="4" s="1"/>
  <c r="T34" i="33"/>
  <c r="U44" i="4" s="1"/>
  <c r="O41" i="33"/>
  <c r="P51" i="4" s="1"/>
  <c r="E28" i="33"/>
  <c r="I28" i="33"/>
  <c r="M28" i="33"/>
  <c r="U28" i="33"/>
  <c r="V38" i="4" s="1"/>
  <c r="D29" i="33"/>
  <c r="D39" i="4" s="1"/>
  <c r="H29" i="33"/>
  <c r="H39" i="4" s="1"/>
  <c r="L29" i="33"/>
  <c r="L39" i="4" s="1"/>
  <c r="U29" i="33"/>
  <c r="V39" i="4" s="1"/>
  <c r="E30" i="33"/>
  <c r="E40" i="4" s="1"/>
  <c r="I30" i="33"/>
  <c r="I40" i="4" s="1"/>
  <c r="M30" i="33"/>
  <c r="M40" i="4" s="1"/>
  <c r="R30" i="33"/>
  <c r="S40" i="4" s="1"/>
  <c r="V30" i="33"/>
  <c r="W40" i="4" s="1"/>
  <c r="B31" i="33"/>
  <c r="B41" i="4" s="1"/>
  <c r="F31" i="33"/>
  <c r="F41" i="4" s="1"/>
  <c r="J31" i="33"/>
  <c r="J41" i="4" s="1"/>
  <c r="O31" i="33"/>
  <c r="P41" i="4" s="1"/>
  <c r="S31" i="33"/>
  <c r="T41" i="4" s="1"/>
  <c r="C32" i="33"/>
  <c r="C42" i="4" s="1"/>
  <c r="G32" i="33"/>
  <c r="G42" i="4" s="1"/>
  <c r="K32" i="33"/>
  <c r="K42" i="4" s="1"/>
  <c r="T32" i="33"/>
  <c r="U42" i="4" s="1"/>
  <c r="D33" i="33"/>
  <c r="D43" i="4" s="1"/>
  <c r="H33" i="33"/>
  <c r="H43" i="4" s="1"/>
  <c r="L33" i="33"/>
  <c r="L43" i="4" s="1"/>
  <c r="U33" i="33"/>
  <c r="V43" i="4" s="1"/>
  <c r="E34" i="33"/>
  <c r="E44" i="4" s="1"/>
  <c r="I34" i="33"/>
  <c r="I44" i="4" s="1"/>
  <c r="M34" i="33"/>
  <c r="M44" i="4" s="1"/>
  <c r="R34" i="33"/>
  <c r="S44" i="4" s="1"/>
  <c r="V34" i="33"/>
  <c r="W44" i="4" s="1"/>
  <c r="B35" i="33"/>
  <c r="B45" i="4" s="1"/>
  <c r="F35" i="33"/>
  <c r="F45" i="4" s="1"/>
  <c r="J35" i="33"/>
  <c r="J45" i="4" s="1"/>
  <c r="O35" i="33"/>
  <c r="P45" i="4" s="1"/>
  <c r="S35" i="33"/>
  <c r="T45" i="4" s="1"/>
  <c r="O39" i="33"/>
  <c r="P49" i="4" s="1"/>
  <c r="E38" i="4"/>
  <c r="S38" i="4"/>
  <c r="B38" i="4"/>
  <c r="B22" i="33"/>
  <c r="E22" i="33"/>
  <c r="I45" i="33"/>
  <c r="I52" i="33"/>
  <c r="I27" i="33"/>
  <c r="C38" i="4"/>
  <c r="B27" i="33"/>
  <c r="B52" i="33" s="1"/>
  <c r="R38" i="4"/>
  <c r="D27" i="33"/>
  <c r="D52" i="33" s="1"/>
  <c r="I22" i="33"/>
  <c r="E27" i="33"/>
  <c r="E52" i="33" s="1"/>
  <c r="F38" i="4"/>
  <c r="J38" i="4"/>
  <c r="N38" i="4"/>
  <c r="P38" i="4"/>
  <c r="T38" i="4"/>
  <c r="D45" i="33"/>
  <c r="G57" i="33"/>
  <c r="T57" i="33"/>
  <c r="H57" i="33"/>
  <c r="O57" i="33"/>
  <c r="U57" i="33"/>
  <c r="C57" i="33"/>
  <c r="J57" i="33"/>
  <c r="P57" i="33"/>
  <c r="D57" i="33"/>
  <c r="L57" i="33"/>
  <c r="S57" i="33"/>
  <c r="F57" i="33"/>
  <c r="K57" i="33"/>
  <c r="Q57" i="33"/>
  <c r="B57" i="33"/>
  <c r="E57" i="33"/>
  <c r="I57" i="33"/>
  <c r="M57" i="33"/>
  <c r="R57" i="33"/>
  <c r="V57" i="33"/>
  <c r="F22" i="33"/>
  <c r="F45" i="33"/>
  <c r="G22" i="33"/>
  <c r="G27" i="33"/>
  <c r="G52" i="33" s="1"/>
  <c r="C22" i="33"/>
  <c r="C27" i="33"/>
  <c r="C52" i="33" s="1"/>
  <c r="H27" i="33"/>
  <c r="H52" i="33" s="1"/>
  <c r="H45" i="33"/>
  <c r="K38" i="4" l="1"/>
  <c r="V46" i="33"/>
  <c r="V53" i="33" s="1"/>
  <c r="E46" i="33"/>
  <c r="E53" i="33" s="1"/>
  <c r="P46" i="33"/>
  <c r="P53" i="33" s="1"/>
  <c r="T47" i="33"/>
  <c r="T48" i="33" s="1"/>
  <c r="T54" i="33" s="1"/>
  <c r="M46" i="33"/>
  <c r="M53" i="33" s="1"/>
  <c r="F46" i="33"/>
  <c r="F53" i="33" s="1"/>
  <c r="C47" i="33"/>
  <c r="C48" i="33" s="1"/>
  <c r="C54" i="33" s="1"/>
  <c r="Q46" i="33"/>
  <c r="Q53" i="33" s="1"/>
  <c r="P47" i="33"/>
  <c r="P48" i="33" s="1"/>
  <c r="P54" i="33" s="1"/>
  <c r="S46" i="33"/>
  <c r="S53" i="33" s="1"/>
  <c r="Q38" i="4"/>
  <c r="M38" i="4"/>
  <c r="I47" i="33"/>
  <c r="I48" i="33" s="1"/>
  <c r="I54" i="33" s="1"/>
  <c r="U46" i="33"/>
  <c r="U53" i="33" s="1"/>
  <c r="U55" i="33" s="1"/>
  <c r="D46" i="33"/>
  <c r="D53" i="33" s="1"/>
  <c r="O47" i="33"/>
  <c r="O48" i="33" s="1"/>
  <c r="O54" i="33" s="1"/>
  <c r="S47" i="33"/>
  <c r="S48" i="33" s="1"/>
  <c r="S54" i="33" s="1"/>
  <c r="V47" i="33"/>
  <c r="V48" i="33" s="1"/>
  <c r="V54" i="33" s="1"/>
  <c r="Q47" i="33"/>
  <c r="Q48" i="33" s="1"/>
  <c r="Q54" i="33" s="1"/>
  <c r="L46" i="33"/>
  <c r="L53" i="33" s="1"/>
  <c r="M47" i="33"/>
  <c r="M48" i="33" s="1"/>
  <c r="M54" i="33" s="1"/>
  <c r="L47" i="33"/>
  <c r="L48" i="33" s="1"/>
  <c r="L54" i="33" s="1"/>
  <c r="F47" i="33"/>
  <c r="F48" i="33" s="1"/>
  <c r="F54" i="33" s="1"/>
  <c r="L38" i="4"/>
  <c r="I38" i="4"/>
  <c r="R46" i="33"/>
  <c r="R53" i="33" s="1"/>
  <c r="I46" i="33"/>
  <c r="I53" i="33" s="1"/>
  <c r="B46" i="33"/>
  <c r="H46" i="33"/>
  <c r="H53" i="33" s="1"/>
  <c r="O46" i="33"/>
  <c r="O53" i="33" s="1"/>
  <c r="O55" i="33" s="1"/>
  <c r="J47" i="33"/>
  <c r="J48" i="33" s="1"/>
  <c r="J54" i="33" s="1"/>
  <c r="G46" i="33"/>
  <c r="G53" i="33" s="1"/>
  <c r="K46" i="33"/>
  <c r="K53" i="33" s="1"/>
  <c r="E47" i="33"/>
  <c r="E48" i="33" s="1"/>
  <c r="E54" i="33" s="1"/>
  <c r="H47" i="33"/>
  <c r="H48" i="33" s="1"/>
  <c r="H54" i="33" s="1"/>
  <c r="T46" i="33"/>
  <c r="T53" i="33" s="1"/>
  <c r="G47" i="33"/>
  <c r="G48" i="33" s="1"/>
  <c r="G54" i="33" s="1"/>
  <c r="R47" i="33"/>
  <c r="R48" i="33" s="1"/>
  <c r="R54" i="33" s="1"/>
  <c r="B47" i="33"/>
  <c r="B48" i="33" s="1"/>
  <c r="B54" i="33" s="1"/>
  <c r="U47" i="33"/>
  <c r="U48" i="33" s="1"/>
  <c r="U54" i="33" s="1"/>
  <c r="D47" i="33"/>
  <c r="D48" i="33" s="1"/>
  <c r="D54" i="33" s="1"/>
  <c r="J46" i="33"/>
  <c r="J53" i="33" s="1"/>
  <c r="C46" i="33"/>
  <c r="C53" i="33" s="1"/>
  <c r="O59" i="33"/>
  <c r="O60" i="33" s="1"/>
  <c r="O61" i="33" s="1"/>
  <c r="J59" i="33"/>
  <c r="J60" i="33" s="1"/>
  <c r="J61" i="33" s="1"/>
  <c r="F59" i="33"/>
  <c r="F60" i="33" s="1"/>
  <c r="F61" i="33" s="1"/>
  <c r="I59" i="33"/>
  <c r="I60" i="33" s="1"/>
  <c r="I61" i="33" s="1"/>
  <c r="D59" i="33"/>
  <c r="D60" i="33" s="1"/>
  <c r="D61" i="33" s="1"/>
  <c r="H59" i="33"/>
  <c r="H60" i="33" s="1"/>
  <c r="H61" i="33" s="1"/>
  <c r="M59" i="33"/>
  <c r="M60" i="33" s="1"/>
  <c r="M61" i="33" s="1"/>
  <c r="G59" i="33"/>
  <c r="G60" i="33" s="1"/>
  <c r="G61" i="33" s="1"/>
  <c r="L59" i="33"/>
  <c r="L60" i="33" s="1"/>
  <c r="L61" i="33" s="1"/>
  <c r="E59" i="33"/>
  <c r="E60" i="33" s="1"/>
  <c r="E61" i="33" s="1"/>
  <c r="K59" i="33"/>
  <c r="K60" i="33" s="1"/>
  <c r="K61" i="33" s="1"/>
  <c r="C59" i="33"/>
  <c r="C60" i="33" s="1"/>
  <c r="C61" i="33" s="1"/>
  <c r="S59" i="33"/>
  <c r="S60" i="33" s="1"/>
  <c r="S61" i="33" s="1"/>
  <c r="U59" i="33"/>
  <c r="U60" i="33" s="1"/>
  <c r="U61" i="33" s="1"/>
  <c r="P59" i="33"/>
  <c r="P60" i="33" s="1"/>
  <c r="P61" i="33" s="1"/>
  <c r="V59" i="33"/>
  <c r="V60" i="33" s="1"/>
  <c r="V61" i="33" s="1"/>
  <c r="T59" i="33"/>
  <c r="T60" i="33" s="1"/>
  <c r="T61" i="33" s="1"/>
  <c r="R59" i="33"/>
  <c r="R60" i="33" s="1"/>
  <c r="R61" i="33" s="1"/>
  <c r="Q59" i="33"/>
  <c r="Q60" i="33" s="1"/>
  <c r="Q61" i="33" s="1"/>
  <c r="B65" i="33"/>
  <c r="B64" i="33" l="1"/>
  <c r="R55" i="33"/>
  <c r="T55" i="33"/>
  <c r="S55" i="33"/>
  <c r="V55" i="33"/>
  <c r="P55" i="33"/>
  <c r="Q55" i="33"/>
  <c r="B53" i="33"/>
  <c r="M55" i="33" s="1"/>
  <c r="D55" i="33"/>
  <c r="J55" i="33" l="1"/>
  <c r="C55" i="33"/>
  <c r="F55" i="33"/>
  <c r="G55" i="33"/>
  <c r="L55" i="33"/>
  <c r="K55" i="33"/>
  <c r="E55" i="33"/>
  <c r="I55" i="33"/>
  <c r="H55" i="33"/>
  <c r="B55" i="33"/>
  <c r="M4" i="33"/>
  <c r="L4" i="33" l="1"/>
  <c r="L22" i="33" s="1"/>
  <c r="K4" i="33"/>
  <c r="K22" i="33" s="1"/>
  <c r="J4" i="33"/>
  <c r="J52" i="33" s="1"/>
  <c r="M45" i="33"/>
  <c r="M52" i="33"/>
  <c r="M27" i="33"/>
  <c r="M22" i="33"/>
  <c r="K45" i="33" l="1"/>
  <c r="K52" i="33"/>
  <c r="K27" i="33"/>
  <c r="O4" i="33"/>
  <c r="O4" i="23"/>
  <c r="O4" i="1"/>
  <c r="Q4" i="1"/>
  <c r="Q4" i="33"/>
  <c r="Q4" i="23"/>
  <c r="P4" i="33"/>
  <c r="P4" i="23"/>
  <c r="P4" i="1"/>
  <c r="J22" i="33"/>
  <c r="L52" i="33"/>
  <c r="J45" i="33"/>
  <c r="L27" i="33"/>
  <c r="J27" i="33"/>
  <c r="L45" i="33"/>
  <c r="Q22" i="33" l="1"/>
  <c r="Q45" i="33"/>
  <c r="Q27" i="33"/>
  <c r="Q52" i="33" s="1"/>
  <c r="O27" i="33"/>
  <c r="O52" i="33" s="1"/>
  <c r="O22" i="33"/>
  <c r="O45" i="33"/>
  <c r="P22" i="33"/>
  <c r="P45" i="33"/>
  <c r="P27" i="33"/>
  <c r="P52" i="33" s="1"/>
  <c r="P22" i="1" l="1"/>
  <c r="Q45" i="1"/>
  <c r="P36" i="23"/>
  <c r="Q30" i="4" s="1"/>
  <c r="Q36" i="23"/>
  <c r="R30" i="4" s="1"/>
  <c r="R36" i="23"/>
  <c r="S30" i="4" s="1"/>
  <c r="S36" i="23"/>
  <c r="T30" i="4" s="1"/>
  <c r="T36" i="23"/>
  <c r="U30" i="4" s="1"/>
  <c r="U36" i="23"/>
  <c r="V30" i="4" s="1"/>
  <c r="V36" i="23"/>
  <c r="W30" i="4" s="1"/>
  <c r="P37" i="23"/>
  <c r="Q31" i="4" s="1"/>
  <c r="Q37" i="23"/>
  <c r="R31" i="4" s="1"/>
  <c r="R37" i="23"/>
  <c r="S31" i="4" s="1"/>
  <c r="S37" i="23"/>
  <c r="T31" i="4" s="1"/>
  <c r="T37" i="23"/>
  <c r="U31" i="4" s="1"/>
  <c r="U37" i="23"/>
  <c r="V31" i="4" s="1"/>
  <c r="V37" i="23"/>
  <c r="W31" i="4" s="1"/>
  <c r="P38" i="23"/>
  <c r="Q32" i="4" s="1"/>
  <c r="Q38" i="23"/>
  <c r="R32" i="4" s="1"/>
  <c r="R38" i="23"/>
  <c r="S32" i="4" s="1"/>
  <c r="S38" i="23"/>
  <c r="T32" i="4" s="1"/>
  <c r="T38" i="23"/>
  <c r="U32" i="4" s="1"/>
  <c r="U38" i="23"/>
  <c r="V32" i="4" s="1"/>
  <c r="V38" i="23"/>
  <c r="W32" i="4" s="1"/>
  <c r="P39" i="23"/>
  <c r="Q33" i="4" s="1"/>
  <c r="Q39" i="23"/>
  <c r="R33" i="4" s="1"/>
  <c r="R39" i="23"/>
  <c r="S33" i="4" s="1"/>
  <c r="S39" i="23"/>
  <c r="T33" i="4" s="1"/>
  <c r="T39" i="23"/>
  <c r="U33" i="4" s="1"/>
  <c r="U39" i="23"/>
  <c r="V33" i="4" s="1"/>
  <c r="V39" i="23"/>
  <c r="W33" i="4" s="1"/>
  <c r="P40" i="23"/>
  <c r="Q34" i="4" s="1"/>
  <c r="Q40" i="23"/>
  <c r="R34" i="4" s="1"/>
  <c r="R40" i="23"/>
  <c r="S34" i="4" s="1"/>
  <c r="S40" i="23"/>
  <c r="T34" i="4" s="1"/>
  <c r="T40" i="23"/>
  <c r="U34" i="4" s="1"/>
  <c r="U40" i="23"/>
  <c r="V34" i="4" s="1"/>
  <c r="V40" i="23"/>
  <c r="W34" i="4" s="1"/>
  <c r="P41" i="23"/>
  <c r="Q35" i="4" s="1"/>
  <c r="Q41" i="23"/>
  <c r="R35" i="4" s="1"/>
  <c r="R41" i="23"/>
  <c r="S35" i="4" s="1"/>
  <c r="S41" i="23"/>
  <c r="T35" i="4" s="1"/>
  <c r="T41" i="23"/>
  <c r="U35" i="4" s="1"/>
  <c r="U41" i="23"/>
  <c r="V35" i="4" s="1"/>
  <c r="V41" i="23"/>
  <c r="W35" i="4" s="1"/>
  <c r="P42" i="23"/>
  <c r="Q36" i="4" s="1"/>
  <c r="Q42" i="23"/>
  <c r="R36" i="4" s="1"/>
  <c r="R42" i="23"/>
  <c r="S36" i="4" s="1"/>
  <c r="S42" i="23"/>
  <c r="T36" i="4" s="1"/>
  <c r="T42" i="23"/>
  <c r="U36" i="4" s="1"/>
  <c r="U42" i="23"/>
  <c r="V36" i="4" s="1"/>
  <c r="V42" i="23"/>
  <c r="W36" i="4" s="1"/>
  <c r="P43" i="23"/>
  <c r="Q43" i="23"/>
  <c r="R37" i="4" s="1"/>
  <c r="R43" i="23"/>
  <c r="S43" i="23"/>
  <c r="T43" i="23"/>
  <c r="U43" i="23"/>
  <c r="V37" i="4" s="1"/>
  <c r="V43" i="23"/>
  <c r="N23" i="4"/>
  <c r="N24" i="4"/>
  <c r="N25" i="4"/>
  <c r="N26" i="4"/>
  <c r="N27" i="4"/>
  <c r="N28" i="4"/>
  <c r="N29" i="4"/>
  <c r="K36" i="23"/>
  <c r="K30" i="4" s="1"/>
  <c r="L36" i="23"/>
  <c r="L30" i="4" s="1"/>
  <c r="M36" i="23"/>
  <c r="M30" i="4" s="1"/>
  <c r="N30" i="4"/>
  <c r="K37" i="23"/>
  <c r="K31" i="4" s="1"/>
  <c r="L37" i="23"/>
  <c r="L31" i="4" s="1"/>
  <c r="M37" i="23"/>
  <c r="M31" i="4" s="1"/>
  <c r="N31" i="4"/>
  <c r="K38" i="23"/>
  <c r="K32" i="4" s="1"/>
  <c r="L38" i="23"/>
  <c r="L32" i="4" s="1"/>
  <c r="M38" i="23"/>
  <c r="M32" i="4" s="1"/>
  <c r="N32" i="4"/>
  <c r="K39" i="23"/>
  <c r="K33" i="4" s="1"/>
  <c r="L39" i="23"/>
  <c r="L33" i="4" s="1"/>
  <c r="M39" i="23"/>
  <c r="M33" i="4" s="1"/>
  <c r="N33" i="4"/>
  <c r="K40" i="23"/>
  <c r="K34" i="4" s="1"/>
  <c r="L40" i="23"/>
  <c r="L34" i="4" s="1"/>
  <c r="M40" i="23"/>
  <c r="M34" i="4" s="1"/>
  <c r="N34" i="4"/>
  <c r="K41" i="23"/>
  <c r="K35" i="4" s="1"/>
  <c r="L41" i="23"/>
  <c r="L35" i="4" s="1"/>
  <c r="M41" i="23"/>
  <c r="M35" i="4" s="1"/>
  <c r="N35" i="4"/>
  <c r="K42" i="23"/>
  <c r="K36" i="4" s="1"/>
  <c r="L42" i="23"/>
  <c r="L36" i="4" s="1"/>
  <c r="M42" i="23"/>
  <c r="M36" i="4" s="1"/>
  <c r="N36" i="4"/>
  <c r="K43" i="23"/>
  <c r="L43" i="23"/>
  <c r="M43" i="23"/>
  <c r="S36" i="1"/>
  <c r="T14" i="4" s="1"/>
  <c r="T36" i="1"/>
  <c r="U14" i="4" s="1"/>
  <c r="U36" i="1"/>
  <c r="V14" i="4" s="1"/>
  <c r="V36" i="1"/>
  <c r="W14" i="4" s="1"/>
  <c r="S37" i="1"/>
  <c r="T15" i="4" s="1"/>
  <c r="T37" i="1"/>
  <c r="U15" i="4" s="1"/>
  <c r="U37" i="1"/>
  <c r="V15" i="4" s="1"/>
  <c r="V37" i="1"/>
  <c r="W15" i="4" s="1"/>
  <c r="S38" i="1"/>
  <c r="T16" i="4" s="1"/>
  <c r="T38" i="1"/>
  <c r="U16" i="4" s="1"/>
  <c r="U38" i="1"/>
  <c r="V16" i="4" s="1"/>
  <c r="V38" i="1"/>
  <c r="W16" i="4" s="1"/>
  <c r="S39" i="1"/>
  <c r="T17" i="4" s="1"/>
  <c r="T39" i="1"/>
  <c r="U17" i="4" s="1"/>
  <c r="U39" i="1"/>
  <c r="V17" i="4" s="1"/>
  <c r="V39" i="1"/>
  <c r="W17" i="4" s="1"/>
  <c r="S40" i="1"/>
  <c r="T18" i="4" s="1"/>
  <c r="T40" i="1"/>
  <c r="U18" i="4" s="1"/>
  <c r="U40" i="1"/>
  <c r="V18" i="4" s="1"/>
  <c r="V40" i="1"/>
  <c r="W18" i="4" s="1"/>
  <c r="S41" i="1"/>
  <c r="T19" i="4" s="1"/>
  <c r="T41" i="1"/>
  <c r="U19" i="4" s="1"/>
  <c r="U41" i="1"/>
  <c r="V19" i="4" s="1"/>
  <c r="V41" i="1"/>
  <c r="W19" i="4" s="1"/>
  <c r="S42" i="1"/>
  <c r="T20" i="4" s="1"/>
  <c r="T42" i="1"/>
  <c r="U20" i="4" s="1"/>
  <c r="U42" i="1"/>
  <c r="V20" i="4" s="1"/>
  <c r="V42" i="1"/>
  <c r="W20" i="4" s="1"/>
  <c r="S43" i="1"/>
  <c r="T21" i="4" s="1"/>
  <c r="T43" i="1"/>
  <c r="U43" i="1"/>
  <c r="V43" i="1"/>
  <c r="N7" i="4"/>
  <c r="N8" i="4"/>
  <c r="N9" i="4"/>
  <c r="N10" i="4"/>
  <c r="N11" i="4"/>
  <c r="N12" i="4"/>
  <c r="N13" i="4"/>
  <c r="K36" i="1"/>
  <c r="K14" i="4" s="1"/>
  <c r="L36" i="1"/>
  <c r="L14" i="4" s="1"/>
  <c r="M36" i="1"/>
  <c r="M14" i="4" s="1"/>
  <c r="N14" i="4"/>
  <c r="K37" i="1"/>
  <c r="K15" i="4" s="1"/>
  <c r="L37" i="1"/>
  <c r="L15" i="4" s="1"/>
  <c r="M37" i="1"/>
  <c r="M15" i="4" s="1"/>
  <c r="N15" i="4"/>
  <c r="K38" i="1"/>
  <c r="K16" i="4" s="1"/>
  <c r="L38" i="1"/>
  <c r="L16" i="4" s="1"/>
  <c r="M38" i="1"/>
  <c r="M16" i="4" s="1"/>
  <c r="N16" i="4"/>
  <c r="K39" i="1"/>
  <c r="K17" i="4" s="1"/>
  <c r="L39" i="1"/>
  <c r="L17" i="4" s="1"/>
  <c r="M39" i="1"/>
  <c r="M17" i="4" s="1"/>
  <c r="N17" i="4"/>
  <c r="K40" i="1"/>
  <c r="K18" i="4" s="1"/>
  <c r="L40" i="1"/>
  <c r="L18" i="4" s="1"/>
  <c r="M40" i="1"/>
  <c r="M18" i="4" s="1"/>
  <c r="N18" i="4"/>
  <c r="K41" i="1"/>
  <c r="K19" i="4" s="1"/>
  <c r="L41" i="1"/>
  <c r="L19" i="4" s="1"/>
  <c r="M41" i="1"/>
  <c r="M19" i="4" s="1"/>
  <c r="N19" i="4"/>
  <c r="K42" i="1"/>
  <c r="K20" i="4" s="1"/>
  <c r="L42" i="1"/>
  <c r="L20" i="4" s="1"/>
  <c r="M42" i="1"/>
  <c r="M20" i="4" s="1"/>
  <c r="N20" i="4"/>
  <c r="K43" i="1"/>
  <c r="L43" i="1"/>
  <c r="M43" i="1"/>
  <c r="N45" i="1"/>
  <c r="A45" i="1"/>
  <c r="A45" i="23"/>
  <c r="A22" i="23"/>
  <c r="A22" i="1"/>
  <c r="B1" i="4"/>
  <c r="A52" i="23"/>
  <c r="I43" i="23"/>
  <c r="H43" i="23"/>
  <c r="G43" i="23"/>
  <c r="F43" i="23"/>
  <c r="E43" i="23"/>
  <c r="D43" i="23"/>
  <c r="C43" i="23"/>
  <c r="B43" i="23"/>
  <c r="I42" i="23"/>
  <c r="I36" i="4" s="1"/>
  <c r="H42" i="23"/>
  <c r="H36" i="4" s="1"/>
  <c r="G42" i="23"/>
  <c r="G36" i="4" s="1"/>
  <c r="F42" i="23"/>
  <c r="F36" i="4" s="1"/>
  <c r="E42" i="23"/>
  <c r="E36" i="4" s="1"/>
  <c r="D42" i="23"/>
  <c r="D36" i="4" s="1"/>
  <c r="C42" i="23"/>
  <c r="C36" i="4" s="1"/>
  <c r="B42" i="23"/>
  <c r="B36" i="4" s="1"/>
  <c r="I41" i="23"/>
  <c r="I35" i="4" s="1"/>
  <c r="H41" i="23"/>
  <c r="H35" i="4" s="1"/>
  <c r="G41" i="23"/>
  <c r="G35" i="4" s="1"/>
  <c r="F41" i="23"/>
  <c r="F35" i="4" s="1"/>
  <c r="E41" i="23"/>
  <c r="E35" i="4" s="1"/>
  <c r="D41" i="23"/>
  <c r="D35" i="4" s="1"/>
  <c r="C41" i="23"/>
  <c r="C35" i="4" s="1"/>
  <c r="B41" i="23"/>
  <c r="B35" i="4" s="1"/>
  <c r="I40" i="23"/>
  <c r="I34" i="4" s="1"/>
  <c r="H40" i="23"/>
  <c r="H34" i="4" s="1"/>
  <c r="G40" i="23"/>
  <c r="G34" i="4" s="1"/>
  <c r="F40" i="23"/>
  <c r="F34" i="4" s="1"/>
  <c r="E40" i="23"/>
  <c r="E34" i="4" s="1"/>
  <c r="D40" i="23"/>
  <c r="D34" i="4" s="1"/>
  <c r="C40" i="23"/>
  <c r="C34" i="4" s="1"/>
  <c r="B40" i="23"/>
  <c r="B34" i="4" s="1"/>
  <c r="I39" i="23"/>
  <c r="I33" i="4" s="1"/>
  <c r="H39" i="23"/>
  <c r="H33" i="4" s="1"/>
  <c r="G39" i="23"/>
  <c r="G33" i="4" s="1"/>
  <c r="F39" i="23"/>
  <c r="F33" i="4" s="1"/>
  <c r="E39" i="23"/>
  <c r="E33" i="4" s="1"/>
  <c r="D39" i="23"/>
  <c r="D33" i="4" s="1"/>
  <c r="C39" i="23"/>
  <c r="C33" i="4" s="1"/>
  <c r="B39" i="23"/>
  <c r="B33" i="4" s="1"/>
  <c r="I38" i="23"/>
  <c r="I32" i="4" s="1"/>
  <c r="H38" i="23"/>
  <c r="H32" i="4" s="1"/>
  <c r="G38" i="23"/>
  <c r="G32" i="4" s="1"/>
  <c r="F38" i="23"/>
  <c r="F32" i="4" s="1"/>
  <c r="E38" i="23"/>
  <c r="E32" i="4" s="1"/>
  <c r="D38" i="23"/>
  <c r="D32" i="4" s="1"/>
  <c r="C38" i="23"/>
  <c r="C32" i="4" s="1"/>
  <c r="I37" i="23"/>
  <c r="I31" i="4" s="1"/>
  <c r="H37" i="23"/>
  <c r="H31" i="4" s="1"/>
  <c r="G37" i="23"/>
  <c r="G31" i="4" s="1"/>
  <c r="F37" i="23"/>
  <c r="F31" i="4" s="1"/>
  <c r="E37" i="23"/>
  <c r="E31" i="4" s="1"/>
  <c r="D37" i="23"/>
  <c r="D31" i="4" s="1"/>
  <c r="C37" i="23"/>
  <c r="C31" i="4" s="1"/>
  <c r="B37" i="23"/>
  <c r="B31" i="4" s="1"/>
  <c r="I36" i="23"/>
  <c r="I30" i="4" s="1"/>
  <c r="H36" i="23"/>
  <c r="H30" i="4" s="1"/>
  <c r="G36" i="23"/>
  <c r="G30" i="4" s="1"/>
  <c r="F36" i="23"/>
  <c r="F30" i="4" s="1"/>
  <c r="E36" i="23"/>
  <c r="E30" i="4" s="1"/>
  <c r="D36" i="23"/>
  <c r="D30" i="4" s="1"/>
  <c r="C36" i="23"/>
  <c r="C30" i="4" s="1"/>
  <c r="B36" i="23"/>
  <c r="B30" i="4" s="1"/>
  <c r="V24" i="23"/>
  <c r="U24" i="23"/>
  <c r="T24" i="23"/>
  <c r="S24" i="23"/>
  <c r="R24" i="23"/>
  <c r="Q24" i="23"/>
  <c r="P24" i="23"/>
  <c r="O24" i="23"/>
  <c r="L24" i="23"/>
  <c r="J24" i="23"/>
  <c r="I24" i="23"/>
  <c r="H24" i="23"/>
  <c r="G24" i="23"/>
  <c r="F24" i="23"/>
  <c r="E24" i="23"/>
  <c r="D24" i="23"/>
  <c r="C24" i="23"/>
  <c r="B24" i="23"/>
  <c r="V23" i="23"/>
  <c r="U23" i="23"/>
  <c r="T23" i="23"/>
  <c r="S23" i="23"/>
  <c r="R23" i="23"/>
  <c r="Q23" i="23"/>
  <c r="P23" i="23"/>
  <c r="O23" i="23"/>
  <c r="B32" i="23" s="1"/>
  <c r="B26" i="4" s="1"/>
  <c r="L23" i="23"/>
  <c r="J23" i="23"/>
  <c r="I23" i="23"/>
  <c r="H23" i="23"/>
  <c r="G23" i="23"/>
  <c r="F23" i="23"/>
  <c r="E23" i="23"/>
  <c r="D23" i="23"/>
  <c r="C23" i="23"/>
  <c r="B23" i="23"/>
  <c r="Q45" i="23"/>
  <c r="P45" i="23"/>
  <c r="O45" i="23"/>
  <c r="I22" i="23"/>
  <c r="H27" i="23"/>
  <c r="H52" i="23" s="1"/>
  <c r="G45" i="23"/>
  <c r="F27" i="23"/>
  <c r="F52" i="23" s="1"/>
  <c r="E45" i="23"/>
  <c r="C45" i="23"/>
  <c r="B45" i="23"/>
  <c r="C28" i="23"/>
  <c r="J40" i="23"/>
  <c r="J34" i="4" s="1"/>
  <c r="J36" i="23"/>
  <c r="J30" i="4" s="1"/>
  <c r="C35" i="23"/>
  <c r="C29" i="4" s="1"/>
  <c r="E33" i="23"/>
  <c r="E27" i="4" s="1"/>
  <c r="J32" i="23"/>
  <c r="J26" i="4" s="1"/>
  <c r="C31" i="23"/>
  <c r="C25" i="4" s="1"/>
  <c r="E29" i="23"/>
  <c r="E23" i="4" s="1"/>
  <c r="J28" i="23"/>
  <c r="J42" i="23"/>
  <c r="J36" i="4" s="1"/>
  <c r="J38" i="23"/>
  <c r="J32" i="4" s="1"/>
  <c r="H32" i="23"/>
  <c r="H26" i="4" s="1"/>
  <c r="I31" i="23"/>
  <c r="I25" i="4" s="1"/>
  <c r="F30" i="23"/>
  <c r="F24" i="4" s="1"/>
  <c r="J41" i="23"/>
  <c r="J35" i="4" s="1"/>
  <c r="J37" i="23"/>
  <c r="J31" i="4" s="1"/>
  <c r="H35" i="23"/>
  <c r="H29" i="4" s="1"/>
  <c r="C32" i="23"/>
  <c r="C26" i="4" s="1"/>
  <c r="J43" i="23"/>
  <c r="J39" i="23"/>
  <c r="J33" i="4" s="1"/>
  <c r="F35" i="23"/>
  <c r="F29" i="4" s="1"/>
  <c r="G34" i="23"/>
  <c r="G28" i="4" s="1"/>
  <c r="D33" i="23"/>
  <c r="D27" i="4" s="1"/>
  <c r="F31" i="23"/>
  <c r="F25" i="4" s="1"/>
  <c r="G30" i="23"/>
  <c r="G24" i="4" s="1"/>
  <c r="D29" i="23"/>
  <c r="D23" i="4" s="1"/>
  <c r="E35" i="23"/>
  <c r="E29" i="4" s="1"/>
  <c r="G33" i="23"/>
  <c r="G27" i="4" s="1"/>
  <c r="H28" i="23"/>
  <c r="G32" i="23"/>
  <c r="G26" i="4" s="1"/>
  <c r="H31" i="23"/>
  <c r="H25" i="4" s="1"/>
  <c r="P22" i="23"/>
  <c r="S23" i="1"/>
  <c r="T23" i="1"/>
  <c r="U23" i="1"/>
  <c r="V23" i="1"/>
  <c r="S24" i="1"/>
  <c r="T24" i="1"/>
  <c r="U24" i="1"/>
  <c r="V24" i="1"/>
  <c r="L23" i="1"/>
  <c r="M23" i="1"/>
  <c r="L24" i="1"/>
  <c r="M24" i="1"/>
  <c r="I23" i="1"/>
  <c r="I24" i="1"/>
  <c r="C36" i="1"/>
  <c r="C14" i="4" s="1"/>
  <c r="D36" i="1"/>
  <c r="D14" i="4" s="1"/>
  <c r="E36" i="1"/>
  <c r="E14" i="4" s="1"/>
  <c r="F36" i="1"/>
  <c r="F14" i="4" s="1"/>
  <c r="G36" i="1"/>
  <c r="G14" i="4" s="1"/>
  <c r="I36" i="1"/>
  <c r="I14" i="4" s="1"/>
  <c r="J36" i="1"/>
  <c r="J14" i="4" s="1"/>
  <c r="C37" i="1"/>
  <c r="C15" i="4" s="1"/>
  <c r="D37" i="1"/>
  <c r="D15" i="4" s="1"/>
  <c r="E37" i="1"/>
  <c r="E15" i="4" s="1"/>
  <c r="F37" i="1"/>
  <c r="F15" i="4" s="1"/>
  <c r="G37" i="1"/>
  <c r="G15" i="4" s="1"/>
  <c r="I37" i="1"/>
  <c r="I15" i="4" s="1"/>
  <c r="J37" i="1"/>
  <c r="J15" i="4" s="1"/>
  <c r="C38" i="1"/>
  <c r="C16" i="4" s="1"/>
  <c r="D38" i="1"/>
  <c r="D16" i="4" s="1"/>
  <c r="E38" i="1"/>
  <c r="E16" i="4" s="1"/>
  <c r="F38" i="1"/>
  <c r="F16" i="4" s="1"/>
  <c r="G38" i="1"/>
  <c r="G16" i="4" s="1"/>
  <c r="I38" i="1"/>
  <c r="I16" i="4" s="1"/>
  <c r="J38" i="1"/>
  <c r="J16" i="4" s="1"/>
  <c r="C39" i="1"/>
  <c r="C17" i="4" s="1"/>
  <c r="D39" i="1"/>
  <c r="E39" i="1"/>
  <c r="E17" i="4" s="1"/>
  <c r="F39" i="1"/>
  <c r="F17" i="4" s="1"/>
  <c r="G39" i="1"/>
  <c r="G17" i="4" s="1"/>
  <c r="I39" i="1"/>
  <c r="I17" i="4" s="1"/>
  <c r="J39" i="1"/>
  <c r="J17" i="4" s="1"/>
  <c r="C40" i="1"/>
  <c r="C18" i="4" s="1"/>
  <c r="D40" i="1"/>
  <c r="D18" i="4" s="1"/>
  <c r="E40" i="1"/>
  <c r="E18" i="4" s="1"/>
  <c r="F40" i="1"/>
  <c r="F18" i="4" s="1"/>
  <c r="G40" i="1"/>
  <c r="G18" i="4" s="1"/>
  <c r="H40" i="1"/>
  <c r="H18" i="4" s="1"/>
  <c r="I40" i="1"/>
  <c r="I18" i="4" s="1"/>
  <c r="J40" i="1"/>
  <c r="J18" i="4" s="1"/>
  <c r="C41" i="1"/>
  <c r="C19" i="4" s="1"/>
  <c r="D41" i="1"/>
  <c r="D19" i="4" s="1"/>
  <c r="E41" i="1"/>
  <c r="E19" i="4" s="1"/>
  <c r="F41" i="1"/>
  <c r="F19" i="4" s="1"/>
  <c r="G41" i="1"/>
  <c r="G19" i="4" s="1"/>
  <c r="H41" i="1"/>
  <c r="H19" i="4" s="1"/>
  <c r="I41" i="1"/>
  <c r="I19" i="4" s="1"/>
  <c r="J41" i="1"/>
  <c r="J19" i="4" s="1"/>
  <c r="C42" i="1"/>
  <c r="C20" i="4" s="1"/>
  <c r="D42" i="1"/>
  <c r="D20" i="4" s="1"/>
  <c r="E42" i="1"/>
  <c r="E20" i="4" s="1"/>
  <c r="F42" i="1"/>
  <c r="F20" i="4" s="1"/>
  <c r="G42" i="1"/>
  <c r="G20" i="4" s="1"/>
  <c r="H42" i="1"/>
  <c r="H20" i="4" s="1"/>
  <c r="I42" i="1"/>
  <c r="I20" i="4" s="1"/>
  <c r="J42" i="1"/>
  <c r="J20" i="4" s="1"/>
  <c r="C43" i="1"/>
  <c r="D43" i="1"/>
  <c r="E43" i="1"/>
  <c r="F43" i="1"/>
  <c r="G43" i="1"/>
  <c r="H43" i="1"/>
  <c r="I43" i="1"/>
  <c r="J43" i="1"/>
  <c r="I45" i="1"/>
  <c r="Q36" i="1"/>
  <c r="R14" i="4" s="1"/>
  <c r="R36" i="1"/>
  <c r="S14" i="4" s="1"/>
  <c r="Q37" i="1"/>
  <c r="R15" i="4" s="1"/>
  <c r="P38" i="1"/>
  <c r="Q16" i="4" s="1"/>
  <c r="Q38" i="1"/>
  <c r="R16" i="4" s="1"/>
  <c r="P39" i="1"/>
  <c r="Q17" i="4" s="1"/>
  <c r="Q39" i="1"/>
  <c r="R17" i="4" s="1"/>
  <c r="R39" i="1"/>
  <c r="S17" i="4" s="1"/>
  <c r="P40" i="1"/>
  <c r="Q18" i="4" s="1"/>
  <c r="Q40" i="1"/>
  <c r="R18" i="4" s="1"/>
  <c r="R40" i="1"/>
  <c r="S18" i="4" s="1"/>
  <c r="P41" i="1"/>
  <c r="Q19" i="4" s="1"/>
  <c r="Q41" i="1"/>
  <c r="R19" i="4" s="1"/>
  <c r="P42" i="1"/>
  <c r="Q20" i="4" s="1"/>
  <c r="Q42" i="1"/>
  <c r="R20" i="4" s="1"/>
  <c r="P43" i="1"/>
  <c r="Q43" i="1"/>
  <c r="R43" i="1"/>
  <c r="B36" i="1"/>
  <c r="B14" i="4" s="1"/>
  <c r="B37" i="1"/>
  <c r="B15" i="4" s="1"/>
  <c r="B38" i="1"/>
  <c r="B16" i="4" s="1"/>
  <c r="B39" i="1"/>
  <c r="B17" i="4" s="1"/>
  <c r="B40" i="1"/>
  <c r="B18" i="4" s="1"/>
  <c r="B41" i="1"/>
  <c r="B19" i="4" s="1"/>
  <c r="B42" i="1"/>
  <c r="B20" i="4" s="1"/>
  <c r="B43" i="1"/>
  <c r="B23" i="1"/>
  <c r="B4" i="4"/>
  <c r="B62" i="4" s="1"/>
  <c r="A52" i="1"/>
  <c r="O22" i="1"/>
  <c r="Q24" i="1"/>
  <c r="P24" i="1"/>
  <c r="O24" i="1"/>
  <c r="Q23" i="1"/>
  <c r="P23" i="1"/>
  <c r="O23" i="1"/>
  <c r="C29" i="1" s="1"/>
  <c r="C7" i="4" s="1"/>
  <c r="H27" i="1"/>
  <c r="H52" i="1" s="1"/>
  <c r="G27" i="1"/>
  <c r="G52" i="1" s="1"/>
  <c r="F27" i="1"/>
  <c r="F52" i="1" s="1"/>
  <c r="E4" i="4"/>
  <c r="D22" i="1"/>
  <c r="C45" i="1"/>
  <c r="Q31" i="1"/>
  <c r="R9" i="4" s="1"/>
  <c r="Q34" i="1"/>
  <c r="R12" i="4" s="1"/>
  <c r="P33" i="1"/>
  <c r="Q11" i="4" s="1"/>
  <c r="P34" i="1"/>
  <c r="Q12" i="4" s="1"/>
  <c r="Q35" i="1"/>
  <c r="R13" i="4" s="1"/>
  <c r="Q27" i="1"/>
  <c r="Q52" i="1" s="1"/>
  <c r="K24" i="1"/>
  <c r="J24" i="1"/>
  <c r="H24" i="1"/>
  <c r="G24" i="1"/>
  <c r="F24" i="1"/>
  <c r="E24" i="1"/>
  <c r="D24" i="1"/>
  <c r="C24" i="1"/>
  <c r="B24" i="1"/>
  <c r="K23" i="1"/>
  <c r="J23" i="1"/>
  <c r="H23" i="1"/>
  <c r="G23" i="1"/>
  <c r="F23" i="1"/>
  <c r="E23" i="1"/>
  <c r="D23" i="1"/>
  <c r="C23" i="1"/>
  <c r="R24" i="1"/>
  <c r="R23" i="1"/>
  <c r="K4" i="1"/>
  <c r="K4" i="4" s="1"/>
  <c r="K62" i="4" s="1"/>
  <c r="L4" i="1"/>
  <c r="L4" i="4" s="1"/>
  <c r="K4" i="23"/>
  <c r="K52" i="23" s="1"/>
  <c r="L4" i="23"/>
  <c r="L27" i="23" s="1"/>
  <c r="P56" i="23"/>
  <c r="G56" i="23"/>
  <c r="V56" i="1"/>
  <c r="T56" i="23"/>
  <c r="S56" i="23"/>
  <c r="J56" i="23"/>
  <c r="Q56" i="23"/>
  <c r="C56" i="23"/>
  <c r="R56" i="23"/>
  <c r="M56" i="1"/>
  <c r="S56" i="1"/>
  <c r="J56" i="1"/>
  <c r="F56" i="23"/>
  <c r="E56" i="23"/>
  <c r="L56" i="1"/>
  <c r="U56" i="23"/>
  <c r="I56" i="23"/>
  <c r="M56" i="23"/>
  <c r="V56" i="23"/>
  <c r="L56" i="23"/>
  <c r="K56" i="1"/>
  <c r="K56" i="23"/>
  <c r="H56" i="23"/>
  <c r="D56" i="23"/>
  <c r="U56" i="1"/>
  <c r="T56" i="1"/>
  <c r="L28" i="23" l="1"/>
  <c r="T34" i="23"/>
  <c r="U28" i="4" s="1"/>
  <c r="L34" i="23"/>
  <c r="L28" i="4" s="1"/>
  <c r="T32" i="23"/>
  <c r="U26" i="4" s="1"/>
  <c r="P30" i="23"/>
  <c r="Q24" i="4" s="1"/>
  <c r="T28" i="23"/>
  <c r="U22" i="4" s="1"/>
  <c r="Q33" i="1"/>
  <c r="R11" i="4" s="1"/>
  <c r="I30" i="23"/>
  <c r="I24" i="4" s="1"/>
  <c r="G29" i="23"/>
  <c r="G23" i="4" s="1"/>
  <c r="H29" i="23"/>
  <c r="H23" i="4" s="1"/>
  <c r="H33" i="23"/>
  <c r="H27" i="4" s="1"/>
  <c r="E34" i="23"/>
  <c r="E28" i="4" s="1"/>
  <c r="J30" i="23"/>
  <c r="J24" i="4" s="1"/>
  <c r="G31" i="23"/>
  <c r="G25" i="4" s="1"/>
  <c r="G35" i="23"/>
  <c r="G29" i="4" s="1"/>
  <c r="L29" i="23"/>
  <c r="L23" i="4" s="1"/>
  <c r="P34" i="23"/>
  <c r="Q28" i="4" s="1"/>
  <c r="T29" i="23"/>
  <c r="U23" i="4" s="1"/>
  <c r="Q28" i="1"/>
  <c r="R6" i="4" s="1"/>
  <c r="G28" i="23"/>
  <c r="D32" i="23"/>
  <c r="D26" i="4" s="1"/>
  <c r="C30" i="23"/>
  <c r="C24" i="4" s="1"/>
  <c r="C34" i="23"/>
  <c r="C28" i="4" s="1"/>
  <c r="I34" i="23"/>
  <c r="I28" i="4" s="1"/>
  <c r="E31" i="23"/>
  <c r="E25" i="4" s="1"/>
  <c r="F28" i="23"/>
  <c r="F22" i="4" s="1"/>
  <c r="F32" i="23"/>
  <c r="F26" i="4" s="1"/>
  <c r="K33" i="23"/>
  <c r="K27" i="4" s="1"/>
  <c r="S33" i="23"/>
  <c r="T27" i="4" s="1"/>
  <c r="P29" i="23"/>
  <c r="Q23" i="4" s="1"/>
  <c r="O41" i="23"/>
  <c r="P35" i="4" s="1"/>
  <c r="P32" i="23"/>
  <c r="Q26" i="4" s="1"/>
  <c r="P28" i="23"/>
  <c r="Q22" i="4" s="1"/>
  <c r="P30" i="1"/>
  <c r="Q8" i="4" s="1"/>
  <c r="F33" i="23"/>
  <c r="F27" i="4" s="1"/>
  <c r="I35" i="23"/>
  <c r="I29" i="4" s="1"/>
  <c r="J31" i="23"/>
  <c r="J25" i="4" s="1"/>
  <c r="J35" i="23"/>
  <c r="J29" i="4" s="1"/>
  <c r="C33" i="23"/>
  <c r="C27" i="4" s="1"/>
  <c r="I29" i="23"/>
  <c r="I23" i="4" s="1"/>
  <c r="I33" i="23"/>
  <c r="I27" i="4" s="1"/>
  <c r="D31" i="23"/>
  <c r="D25" i="4" s="1"/>
  <c r="K31" i="23"/>
  <c r="K25" i="4" s="1"/>
  <c r="O35" i="23"/>
  <c r="P29" i="4" s="1"/>
  <c r="T31" i="23"/>
  <c r="U25" i="4" s="1"/>
  <c r="P28" i="1"/>
  <c r="J33" i="23"/>
  <c r="J27" i="4" s="1"/>
  <c r="E28" i="23"/>
  <c r="E22" i="4" s="1"/>
  <c r="E32" i="23"/>
  <c r="E26" i="4" s="1"/>
  <c r="D28" i="23"/>
  <c r="F34" i="23"/>
  <c r="F28" i="4" s="1"/>
  <c r="D30" i="23"/>
  <c r="D24" i="4" s="1"/>
  <c r="D34" i="23"/>
  <c r="D28" i="4" s="1"/>
  <c r="F29" i="23"/>
  <c r="F23" i="4" s="1"/>
  <c r="M35" i="23"/>
  <c r="M29" i="4" s="1"/>
  <c r="V35" i="23"/>
  <c r="W29" i="4" s="1"/>
  <c r="P31" i="23"/>
  <c r="Q25" i="4" s="1"/>
  <c r="D35" i="23"/>
  <c r="D29" i="4" s="1"/>
  <c r="I28" i="23"/>
  <c r="I32" i="23"/>
  <c r="I26" i="4" s="1"/>
  <c r="C29" i="23"/>
  <c r="C23" i="4" s="1"/>
  <c r="J34" i="23"/>
  <c r="J28" i="4" s="1"/>
  <c r="H30" i="23"/>
  <c r="H24" i="4" s="1"/>
  <c r="H34" i="23"/>
  <c r="H28" i="4" s="1"/>
  <c r="M30" i="23"/>
  <c r="M24" i="4" s="1"/>
  <c r="R35" i="23"/>
  <c r="S29" i="4" s="1"/>
  <c r="T30" i="23"/>
  <c r="U24" i="4" s="1"/>
  <c r="L35" i="23"/>
  <c r="L29" i="4" s="1"/>
  <c r="K34" i="23"/>
  <c r="K28" i="4" s="1"/>
  <c r="M32" i="23"/>
  <c r="M26" i="4" s="1"/>
  <c r="L30" i="23"/>
  <c r="L24" i="4" s="1"/>
  <c r="K29" i="23"/>
  <c r="K23" i="4" s="1"/>
  <c r="K28" i="23"/>
  <c r="K22" i="4" s="1"/>
  <c r="O40" i="23"/>
  <c r="P34" i="4" s="1"/>
  <c r="O33" i="23"/>
  <c r="P27" i="4" s="1"/>
  <c r="U35" i="23"/>
  <c r="Q35" i="23"/>
  <c r="R29" i="4" s="1"/>
  <c r="S34" i="23"/>
  <c r="T28" i="4" s="1"/>
  <c r="V33" i="23"/>
  <c r="W27" i="4" s="1"/>
  <c r="R33" i="23"/>
  <c r="S27" i="4" s="1"/>
  <c r="S32" i="23"/>
  <c r="T26" i="4" s="1"/>
  <c r="S31" i="23"/>
  <c r="T25" i="4" s="1"/>
  <c r="S30" i="23"/>
  <c r="T24" i="4" s="1"/>
  <c r="S29" i="23"/>
  <c r="T23" i="4" s="1"/>
  <c r="S28" i="23"/>
  <c r="T22" i="4" s="1"/>
  <c r="K35" i="23"/>
  <c r="K29" i="4" s="1"/>
  <c r="M33" i="23"/>
  <c r="M27" i="4" s="1"/>
  <c r="L32" i="23"/>
  <c r="L26" i="4" s="1"/>
  <c r="M31" i="23"/>
  <c r="M25" i="4" s="1"/>
  <c r="K30" i="23"/>
  <c r="K24" i="4" s="1"/>
  <c r="O43" i="23"/>
  <c r="O39" i="23"/>
  <c r="P33" i="4" s="1"/>
  <c r="O29" i="23"/>
  <c r="P23" i="4" s="1"/>
  <c r="T35" i="23"/>
  <c r="U29" i="4" s="1"/>
  <c r="P35" i="23"/>
  <c r="Q29" i="4" s="1"/>
  <c r="V34" i="23"/>
  <c r="W28" i="4" s="1"/>
  <c r="R34" i="23"/>
  <c r="S28" i="4" s="1"/>
  <c r="U33" i="23"/>
  <c r="V27" i="4" s="1"/>
  <c r="Q33" i="23"/>
  <c r="R27" i="4" s="1"/>
  <c r="V32" i="23"/>
  <c r="W26" i="4" s="1"/>
  <c r="R32" i="23"/>
  <c r="S26" i="4" s="1"/>
  <c r="V31" i="23"/>
  <c r="W25" i="4" s="1"/>
  <c r="R31" i="23"/>
  <c r="S25" i="4" s="1"/>
  <c r="V30" i="23"/>
  <c r="W24" i="4" s="1"/>
  <c r="R30" i="23"/>
  <c r="S24" i="4" s="1"/>
  <c r="V29" i="23"/>
  <c r="W23" i="4" s="1"/>
  <c r="R29" i="23"/>
  <c r="S23" i="4" s="1"/>
  <c r="V28" i="23"/>
  <c r="R28" i="23"/>
  <c r="J29" i="23"/>
  <c r="J23" i="4" s="1"/>
  <c r="E30" i="23"/>
  <c r="E24" i="4" s="1"/>
  <c r="M34" i="23"/>
  <c r="M28" i="4" s="1"/>
  <c r="L33" i="23"/>
  <c r="L27" i="4" s="1"/>
  <c r="K32" i="23"/>
  <c r="K26" i="4" s="1"/>
  <c r="L31" i="23"/>
  <c r="L25" i="4" s="1"/>
  <c r="M29" i="23"/>
  <c r="M23" i="4" s="1"/>
  <c r="M28" i="23"/>
  <c r="O42" i="23"/>
  <c r="P36" i="4" s="1"/>
  <c r="O36" i="23"/>
  <c r="P30" i="4" s="1"/>
  <c r="S35" i="23"/>
  <c r="T29" i="4" s="1"/>
  <c r="U34" i="23"/>
  <c r="V28" i="4" s="1"/>
  <c r="Q34" i="23"/>
  <c r="R28" i="4" s="1"/>
  <c r="T33" i="23"/>
  <c r="P33" i="23"/>
  <c r="Q27" i="4" s="1"/>
  <c r="U32" i="23"/>
  <c r="V26" i="4" s="1"/>
  <c r="Q32" i="23"/>
  <c r="R26" i="4" s="1"/>
  <c r="U31" i="23"/>
  <c r="V25" i="4" s="1"/>
  <c r="Q31" i="23"/>
  <c r="R25" i="4" s="1"/>
  <c r="U30" i="23"/>
  <c r="V24" i="4" s="1"/>
  <c r="Q30" i="23"/>
  <c r="R24" i="4" s="1"/>
  <c r="U29" i="23"/>
  <c r="V23" i="4" s="1"/>
  <c r="Q29" i="23"/>
  <c r="R23" i="4" s="1"/>
  <c r="U28" i="23"/>
  <c r="V22" i="4" s="1"/>
  <c r="Q28" i="23"/>
  <c r="R22" i="4" s="1"/>
  <c r="F34" i="1"/>
  <c r="F12" i="4" s="1"/>
  <c r="T35" i="1"/>
  <c r="U13" i="4" s="1"/>
  <c r="O38" i="1"/>
  <c r="P16" i="4" s="1"/>
  <c r="O32" i="1"/>
  <c r="P10" i="4" s="1"/>
  <c r="O43" i="1"/>
  <c r="B33" i="1"/>
  <c r="B11" i="4" s="1"/>
  <c r="H31" i="1"/>
  <c r="H9" i="4" s="1"/>
  <c r="O42" i="1"/>
  <c r="P20" i="4" s="1"/>
  <c r="O39" i="1"/>
  <c r="P17" i="4" s="1"/>
  <c r="F30" i="1"/>
  <c r="F32" i="1"/>
  <c r="F10" i="4" s="1"/>
  <c r="I34" i="1"/>
  <c r="I12" i="4" s="1"/>
  <c r="G30" i="1"/>
  <c r="G8" i="4" s="1"/>
  <c r="E30" i="1"/>
  <c r="E8" i="4" s="1"/>
  <c r="F29" i="1"/>
  <c r="F7" i="4" s="1"/>
  <c r="I33" i="1"/>
  <c r="I11" i="4" s="1"/>
  <c r="I29" i="1"/>
  <c r="I7" i="4" s="1"/>
  <c r="H33" i="1"/>
  <c r="H11" i="4" s="1"/>
  <c r="H35" i="1"/>
  <c r="H13" i="4" s="1"/>
  <c r="E35" i="1"/>
  <c r="E13" i="4" s="1"/>
  <c r="H30" i="1"/>
  <c r="H8" i="4" s="1"/>
  <c r="U28" i="1"/>
  <c r="O41" i="1"/>
  <c r="P19" i="4" s="1"/>
  <c r="G34" i="1"/>
  <c r="G12" i="4" s="1"/>
  <c r="E33" i="1"/>
  <c r="E11" i="4" s="1"/>
  <c r="D35" i="1"/>
  <c r="D13" i="4" s="1"/>
  <c r="G29" i="1"/>
  <c r="G7" i="4" s="1"/>
  <c r="J35" i="1"/>
  <c r="J13" i="4" s="1"/>
  <c r="M34" i="1"/>
  <c r="M12" i="4" s="1"/>
  <c r="U30" i="1"/>
  <c r="V8" i="4" s="1"/>
  <c r="L28" i="1"/>
  <c r="L6" i="4" s="1"/>
  <c r="T33" i="1"/>
  <c r="U11" i="4" s="1"/>
  <c r="G35" i="1"/>
  <c r="G13" i="4" s="1"/>
  <c r="E29" i="1"/>
  <c r="E7" i="4" s="1"/>
  <c r="D33" i="1"/>
  <c r="D11" i="4" s="1"/>
  <c r="H34" i="1"/>
  <c r="H12" i="4" s="1"/>
  <c r="O40" i="1"/>
  <c r="P18" i="4" s="1"/>
  <c r="F33" i="1"/>
  <c r="F11" i="4" s="1"/>
  <c r="C35" i="1"/>
  <c r="C13" i="4" s="1"/>
  <c r="H32" i="1"/>
  <c r="H10" i="4" s="1"/>
  <c r="F35" i="1"/>
  <c r="F13" i="4" s="1"/>
  <c r="I30" i="1"/>
  <c r="I8" i="4" s="1"/>
  <c r="E32" i="1"/>
  <c r="E10" i="4" s="1"/>
  <c r="C33" i="1"/>
  <c r="C11" i="4" s="1"/>
  <c r="T34" i="1"/>
  <c r="U12" i="4" s="1"/>
  <c r="L34" i="1"/>
  <c r="L12" i="4" s="1"/>
  <c r="L32" i="1"/>
  <c r="L10" i="4" s="1"/>
  <c r="M29" i="1"/>
  <c r="M7" i="4" s="1"/>
  <c r="U33" i="1"/>
  <c r="V11" i="4" s="1"/>
  <c r="T28" i="1"/>
  <c r="U6" i="4" s="1"/>
  <c r="K33" i="1"/>
  <c r="K11" i="4" s="1"/>
  <c r="L29" i="1"/>
  <c r="L7" i="4" s="1"/>
  <c r="U32" i="1"/>
  <c r="V10" i="4" s="1"/>
  <c r="U35" i="1"/>
  <c r="V13" i="4" s="1"/>
  <c r="U29" i="1"/>
  <c r="V7" i="4" s="1"/>
  <c r="J31" i="1"/>
  <c r="J9" i="4" s="1"/>
  <c r="M35" i="1"/>
  <c r="M13" i="4" s="1"/>
  <c r="M33" i="1"/>
  <c r="M11" i="4" s="1"/>
  <c r="M31" i="1"/>
  <c r="M9" i="4" s="1"/>
  <c r="M30" i="1"/>
  <c r="M8" i="4" s="1"/>
  <c r="S35" i="1"/>
  <c r="T13" i="4" s="1"/>
  <c r="V34" i="1"/>
  <c r="W12" i="4" s="1"/>
  <c r="T32" i="1"/>
  <c r="U10" i="4" s="1"/>
  <c r="U31" i="1"/>
  <c r="V9" i="4" s="1"/>
  <c r="R33" i="1"/>
  <c r="S11" i="4" s="1"/>
  <c r="H39" i="1"/>
  <c r="H17" i="4" s="1"/>
  <c r="H38" i="1"/>
  <c r="H16" i="4" s="1"/>
  <c r="H37" i="1"/>
  <c r="H15" i="4" s="1"/>
  <c r="H36" i="1"/>
  <c r="H14" i="4" s="1"/>
  <c r="L35" i="1"/>
  <c r="L13" i="4" s="1"/>
  <c r="L33" i="1"/>
  <c r="L11" i="4" s="1"/>
  <c r="M32" i="1"/>
  <c r="M10" i="4" s="1"/>
  <c r="L31" i="1"/>
  <c r="L9" i="4" s="1"/>
  <c r="L30" i="1"/>
  <c r="L8" i="4" s="1"/>
  <c r="M28" i="1"/>
  <c r="M6" i="4" s="1"/>
  <c r="U34" i="1"/>
  <c r="V12" i="4" s="1"/>
  <c r="S31" i="1"/>
  <c r="T9" i="4" s="1"/>
  <c r="V30" i="1"/>
  <c r="W8" i="4" s="1"/>
  <c r="J34" i="1"/>
  <c r="J12" i="4" s="1"/>
  <c r="J30" i="1"/>
  <c r="J8" i="4" s="1"/>
  <c r="K34" i="1"/>
  <c r="K12" i="4" s="1"/>
  <c r="K32" i="1"/>
  <c r="K10" i="4" s="1"/>
  <c r="K31" i="1"/>
  <c r="K9" i="4" s="1"/>
  <c r="K29" i="1"/>
  <c r="K7" i="4" s="1"/>
  <c r="K28" i="1"/>
  <c r="K6" i="4" s="1"/>
  <c r="V35" i="1"/>
  <c r="W13" i="4" s="1"/>
  <c r="S32" i="1"/>
  <c r="T10" i="4" s="1"/>
  <c r="V31" i="1"/>
  <c r="W9" i="4" s="1"/>
  <c r="T29" i="1"/>
  <c r="U7" i="4" s="1"/>
  <c r="S28" i="1"/>
  <c r="T6" i="4" s="1"/>
  <c r="J33" i="1"/>
  <c r="J11" i="4" s="1"/>
  <c r="J29" i="1"/>
  <c r="J7" i="4" s="1"/>
  <c r="J28" i="1"/>
  <c r="J6" i="4" s="1"/>
  <c r="K35" i="1"/>
  <c r="K13" i="4" s="1"/>
  <c r="K30" i="1"/>
  <c r="K8" i="4" s="1"/>
  <c r="S33" i="1"/>
  <c r="T11" i="4" s="1"/>
  <c r="V32" i="1"/>
  <c r="W10" i="4" s="1"/>
  <c r="T30" i="1"/>
  <c r="U8" i="4" s="1"/>
  <c r="S29" i="1"/>
  <c r="T7" i="4" s="1"/>
  <c r="V28" i="1"/>
  <c r="W6" i="4" s="1"/>
  <c r="J32" i="1"/>
  <c r="J10" i="4" s="1"/>
  <c r="S34" i="1"/>
  <c r="T12" i="4" s="1"/>
  <c r="V33" i="1"/>
  <c r="W11" i="4" s="1"/>
  <c r="T31" i="1"/>
  <c r="U9" i="4" s="1"/>
  <c r="S30" i="1"/>
  <c r="T8" i="4" s="1"/>
  <c r="V29" i="1"/>
  <c r="W7" i="4" s="1"/>
  <c r="L22" i="4"/>
  <c r="M22" i="4"/>
  <c r="H22" i="4"/>
  <c r="I22" i="4"/>
  <c r="C22" i="4"/>
  <c r="G22" i="4"/>
  <c r="J22" i="4"/>
  <c r="N22" i="4"/>
  <c r="N6" i="4"/>
  <c r="Q6" i="4"/>
  <c r="V6" i="4"/>
  <c r="T4" i="33"/>
  <c r="T22" i="33" s="1"/>
  <c r="Q22" i="1"/>
  <c r="R35" i="1"/>
  <c r="S13" i="4" s="1"/>
  <c r="G32" i="1"/>
  <c r="G10" i="4" s="1"/>
  <c r="H29" i="1"/>
  <c r="E28" i="1"/>
  <c r="D34" i="1"/>
  <c r="D12" i="4" s="1"/>
  <c r="I31" i="1"/>
  <c r="I9" i="4" s="1"/>
  <c r="F28" i="1"/>
  <c r="R41" i="1"/>
  <c r="S19" i="4" s="1"/>
  <c r="R37" i="1"/>
  <c r="S15" i="4" s="1"/>
  <c r="Q29" i="1"/>
  <c r="O37" i="1"/>
  <c r="P15" i="4" s="1"/>
  <c r="P29" i="1"/>
  <c r="B34" i="1"/>
  <c r="B12" i="4" s="1"/>
  <c r="B35" i="1"/>
  <c r="B13" i="4" s="1"/>
  <c r="C34" i="1"/>
  <c r="C12" i="4" s="1"/>
  <c r="I28" i="1"/>
  <c r="G31" i="1"/>
  <c r="G9" i="4" s="1"/>
  <c r="H28" i="1"/>
  <c r="E34" i="1"/>
  <c r="F31" i="1"/>
  <c r="G28" i="1"/>
  <c r="I32" i="1"/>
  <c r="I10" i="4" s="1"/>
  <c r="I35" i="1"/>
  <c r="G33" i="1"/>
  <c r="E31" i="1"/>
  <c r="E9" i="4" s="1"/>
  <c r="R42" i="1"/>
  <c r="S20" i="4" s="1"/>
  <c r="R38" i="1"/>
  <c r="S16" i="4" s="1"/>
  <c r="R34" i="1"/>
  <c r="S12" i="4" s="1"/>
  <c r="L74" i="4"/>
  <c r="L62" i="4"/>
  <c r="E55" i="4"/>
  <c r="E62" i="4"/>
  <c r="Q21" i="4"/>
  <c r="I52" i="23"/>
  <c r="R4" i="33"/>
  <c r="W37" i="4"/>
  <c r="S37" i="4"/>
  <c r="K37" i="4"/>
  <c r="I45" i="23"/>
  <c r="U4" i="33"/>
  <c r="P21" i="4"/>
  <c r="S21" i="4"/>
  <c r="R21" i="4"/>
  <c r="S4" i="33"/>
  <c r="C27" i="23"/>
  <c r="C52" i="23" s="1"/>
  <c r="I27" i="23"/>
  <c r="W21" i="4"/>
  <c r="U21" i="4"/>
  <c r="B21" i="4"/>
  <c r="O37" i="23"/>
  <c r="P31" i="4" s="1"/>
  <c r="O34" i="23"/>
  <c r="P28" i="4" s="1"/>
  <c r="O38" i="23"/>
  <c r="U37" i="4"/>
  <c r="B38" i="23"/>
  <c r="F37" i="4"/>
  <c r="N37" i="4"/>
  <c r="L37" i="4"/>
  <c r="Q37" i="4"/>
  <c r="T37" i="4"/>
  <c r="J37" i="4"/>
  <c r="H37" i="4"/>
  <c r="M37" i="4"/>
  <c r="P37" i="4"/>
  <c r="R4" i="4"/>
  <c r="R62" i="4" s="1"/>
  <c r="P27" i="23"/>
  <c r="P52" i="23" s="1"/>
  <c r="J4" i="1"/>
  <c r="J4" i="4" s="1"/>
  <c r="J4" i="23"/>
  <c r="J45" i="23" s="1"/>
  <c r="M4" i="23"/>
  <c r="M27" i="23" s="1"/>
  <c r="M4" i="1"/>
  <c r="M4" i="4" s="1"/>
  <c r="L45" i="1"/>
  <c r="L27" i="1"/>
  <c r="L52" i="1" s="1"/>
  <c r="O32" i="23"/>
  <c r="O31" i="23"/>
  <c r="P25" i="4" s="1"/>
  <c r="O30" i="23"/>
  <c r="P24" i="4" s="1"/>
  <c r="B33" i="23"/>
  <c r="B27" i="4" s="1"/>
  <c r="B28" i="23"/>
  <c r="B30" i="23"/>
  <c r="B24" i="4" s="1"/>
  <c r="B34" i="23"/>
  <c r="B28" i="4" s="1"/>
  <c r="B35" i="23"/>
  <c r="O28" i="23"/>
  <c r="B31" i="23"/>
  <c r="B25" i="4" s="1"/>
  <c r="B29" i="23"/>
  <c r="B23" i="4" s="1"/>
  <c r="Q32" i="1"/>
  <c r="P32" i="1"/>
  <c r="Q10" i="4" s="1"/>
  <c r="D4" i="4"/>
  <c r="O29" i="1"/>
  <c r="P7" i="4" s="1"/>
  <c r="B27" i="23"/>
  <c r="B52" i="23" s="1"/>
  <c r="K45" i="23"/>
  <c r="E27" i="23"/>
  <c r="E52" i="23" s="1"/>
  <c r="Q30" i="1"/>
  <c r="R8" i="4" s="1"/>
  <c r="B29" i="1"/>
  <c r="B7" i="4" s="1"/>
  <c r="P35" i="1"/>
  <c r="Q13" i="4" s="1"/>
  <c r="P31" i="1"/>
  <c r="Q9" i="4" s="1"/>
  <c r="H22" i="23"/>
  <c r="P37" i="1"/>
  <c r="F22" i="23"/>
  <c r="O36" i="1"/>
  <c r="H45" i="23"/>
  <c r="R31" i="1"/>
  <c r="S9" i="4" s="1"/>
  <c r="S22" i="4"/>
  <c r="W22" i="4"/>
  <c r="V29" i="4"/>
  <c r="U27" i="4"/>
  <c r="J57" i="1"/>
  <c r="E57" i="23"/>
  <c r="M57" i="1"/>
  <c r="V57" i="1"/>
  <c r="U57" i="23"/>
  <c r="Q57" i="23"/>
  <c r="J57" i="23"/>
  <c r="H57" i="23"/>
  <c r="L57" i="1"/>
  <c r="U57" i="1"/>
  <c r="M57" i="23"/>
  <c r="T57" i="23"/>
  <c r="P57" i="23"/>
  <c r="C57" i="23"/>
  <c r="F57" i="23"/>
  <c r="I57" i="23"/>
  <c r="K57" i="1"/>
  <c r="T57" i="1"/>
  <c r="L57" i="23"/>
  <c r="S57" i="23"/>
  <c r="D57" i="23"/>
  <c r="G57" i="23"/>
  <c r="S57" i="1"/>
  <c r="K57" i="23"/>
  <c r="V57" i="23"/>
  <c r="R57" i="23"/>
  <c r="J21" i="4"/>
  <c r="E37" i="4"/>
  <c r="M21" i="4"/>
  <c r="R28" i="1"/>
  <c r="R30" i="1"/>
  <c r="S8" i="4" s="1"/>
  <c r="L21" i="4"/>
  <c r="V21" i="4"/>
  <c r="R29" i="1"/>
  <c r="S7" i="4" s="1"/>
  <c r="D21" i="4"/>
  <c r="C37" i="4"/>
  <c r="I37" i="4"/>
  <c r="K21" i="4"/>
  <c r="P36" i="1"/>
  <c r="Q14" i="4" s="1"/>
  <c r="R32" i="1"/>
  <c r="C21" i="4"/>
  <c r="B37" i="4"/>
  <c r="D37" i="4"/>
  <c r="G37" i="4"/>
  <c r="N21" i="4"/>
  <c r="O34" i="1"/>
  <c r="P12" i="4" s="1"/>
  <c r="O35" i="1"/>
  <c r="P13" i="4" s="1"/>
  <c r="O33" i="1"/>
  <c r="P11" i="4" s="1"/>
  <c r="O30" i="1"/>
  <c r="P8" i="4" s="1"/>
  <c r="B31" i="1"/>
  <c r="B9" i="4" s="1"/>
  <c r="O31" i="1"/>
  <c r="P9" i="4" s="1"/>
  <c r="B32" i="1"/>
  <c r="D28" i="1"/>
  <c r="C32" i="1"/>
  <c r="B28" i="1"/>
  <c r="D32" i="1"/>
  <c r="B30" i="1"/>
  <c r="B8" i="4" s="1"/>
  <c r="C28" i="1"/>
  <c r="D31" i="1"/>
  <c r="D9" i="4" s="1"/>
  <c r="O28" i="1"/>
  <c r="C30" i="1"/>
  <c r="C8" i="4" s="1"/>
  <c r="C31" i="1"/>
  <c r="C9" i="4" s="1"/>
  <c r="D29" i="1"/>
  <c r="D7" i="4" s="1"/>
  <c r="D30" i="1"/>
  <c r="G21" i="4"/>
  <c r="I21" i="4"/>
  <c r="F21" i="4"/>
  <c r="H21" i="4"/>
  <c r="E21" i="4"/>
  <c r="L52" i="23"/>
  <c r="D17" i="4"/>
  <c r="F8" i="4"/>
  <c r="C4" i="4"/>
  <c r="I47" i="23"/>
  <c r="I48" i="23" s="1"/>
  <c r="I54" i="23" s="1"/>
  <c r="G27" i="23"/>
  <c r="G52" i="23" s="1"/>
  <c r="K27" i="23"/>
  <c r="L22" i="1"/>
  <c r="D27" i="1"/>
  <c r="D52" i="1" s="1"/>
  <c r="D45" i="1"/>
  <c r="D22" i="23"/>
  <c r="D45" i="23"/>
  <c r="D27" i="23"/>
  <c r="D52" i="23" s="1"/>
  <c r="S47" i="23"/>
  <c r="S48" i="23" s="1"/>
  <c r="S54" i="23" s="1"/>
  <c r="F45" i="23"/>
  <c r="E22" i="23"/>
  <c r="G22" i="23"/>
  <c r="K22" i="23"/>
  <c r="L45" i="23"/>
  <c r="O22" i="23"/>
  <c r="Q22" i="23"/>
  <c r="B22" i="23"/>
  <c r="C22" i="23"/>
  <c r="L22" i="23"/>
  <c r="Q27" i="23"/>
  <c r="Q52" i="23" s="1"/>
  <c r="O27" i="23"/>
  <c r="O52" i="23" s="1"/>
  <c r="E45" i="1"/>
  <c r="B27" i="1"/>
  <c r="B52" i="1" s="1"/>
  <c r="K27" i="1"/>
  <c r="K52" i="1" s="1"/>
  <c r="F4" i="4"/>
  <c r="N4" i="4"/>
  <c r="G22" i="1"/>
  <c r="F45" i="1"/>
  <c r="C22" i="1"/>
  <c r="B22" i="1"/>
  <c r="G45" i="1"/>
  <c r="E27" i="1"/>
  <c r="E52" i="1" s="1"/>
  <c r="E22" i="1"/>
  <c r="I22" i="1"/>
  <c r="I27" i="1"/>
  <c r="P27" i="1"/>
  <c r="P52" i="1" s="1"/>
  <c r="H4" i="4"/>
  <c r="F22" i="1"/>
  <c r="I4" i="4"/>
  <c r="G4" i="4"/>
  <c r="C27" i="1"/>
  <c r="C52" i="1" s="1"/>
  <c r="B45" i="1"/>
  <c r="K74" i="4"/>
  <c r="K22" i="1"/>
  <c r="H22" i="1"/>
  <c r="P4" i="4"/>
  <c r="H45" i="1"/>
  <c r="O45" i="1"/>
  <c r="Q4" i="4"/>
  <c r="K45" i="1"/>
  <c r="P45" i="1"/>
  <c r="O27" i="1"/>
  <c r="O52" i="1" s="1"/>
  <c r="I52" i="1"/>
  <c r="K55" i="4"/>
  <c r="B55" i="4"/>
  <c r="L55" i="4"/>
  <c r="E74" i="4"/>
  <c r="B74" i="4"/>
  <c r="Q56" i="1"/>
  <c r="C56" i="1"/>
  <c r="P56" i="1"/>
  <c r="E56" i="1"/>
  <c r="D56" i="1"/>
  <c r="G56" i="1"/>
  <c r="B56" i="1"/>
  <c r="I56" i="1"/>
  <c r="H56" i="1"/>
  <c r="B56" i="23"/>
  <c r="F56" i="1"/>
  <c r="O56" i="1"/>
  <c r="R56" i="1"/>
  <c r="O56" i="23"/>
  <c r="M46" i="23" l="1"/>
  <c r="M53" i="23" s="1"/>
  <c r="C46" i="23"/>
  <c r="C53" i="23" s="1"/>
  <c r="E47" i="23"/>
  <c r="E48" i="23" s="1"/>
  <c r="E54" i="23" s="1"/>
  <c r="Q47" i="23"/>
  <c r="Q48" i="23" s="1"/>
  <c r="Q54" i="23" s="1"/>
  <c r="C47" i="23"/>
  <c r="C48" i="23" s="1"/>
  <c r="C54" i="23" s="1"/>
  <c r="D47" i="23"/>
  <c r="D48" i="23" s="1"/>
  <c r="D54" i="23" s="1"/>
  <c r="G46" i="23"/>
  <c r="G53" i="23" s="1"/>
  <c r="P46" i="23"/>
  <c r="P53" i="23" s="1"/>
  <c r="J46" i="23"/>
  <c r="J53" i="23" s="1"/>
  <c r="Q46" i="23"/>
  <c r="Q53" i="23" s="1"/>
  <c r="G47" i="23"/>
  <c r="G48" i="23" s="1"/>
  <c r="G54" i="23" s="1"/>
  <c r="H47" i="23"/>
  <c r="H48" i="23" s="1"/>
  <c r="H54" i="23" s="1"/>
  <c r="F47" i="23"/>
  <c r="F48" i="23" s="1"/>
  <c r="F54" i="23" s="1"/>
  <c r="K46" i="23"/>
  <c r="K53" i="23" s="1"/>
  <c r="S46" i="23"/>
  <c r="S53" i="23" s="1"/>
  <c r="K47" i="23"/>
  <c r="K48" i="23" s="1"/>
  <c r="K54" i="23" s="1"/>
  <c r="F46" i="23"/>
  <c r="F53" i="23" s="1"/>
  <c r="I46" i="23"/>
  <c r="I53" i="23" s="1"/>
  <c r="H46" i="23"/>
  <c r="H53" i="23" s="1"/>
  <c r="T46" i="23"/>
  <c r="T53" i="23" s="1"/>
  <c r="T47" i="23"/>
  <c r="T48" i="23" s="1"/>
  <c r="T54" i="23" s="1"/>
  <c r="D46" i="23"/>
  <c r="D53" i="23" s="1"/>
  <c r="D22" i="4"/>
  <c r="U47" i="23"/>
  <c r="U48" i="23" s="1"/>
  <c r="U54" i="23" s="1"/>
  <c r="U46" i="23"/>
  <c r="U53" i="23" s="1"/>
  <c r="L46" i="23"/>
  <c r="L53" i="23" s="1"/>
  <c r="P47" i="23"/>
  <c r="P48" i="23" s="1"/>
  <c r="P54" i="23" s="1"/>
  <c r="E46" i="23"/>
  <c r="E53" i="23" s="1"/>
  <c r="R47" i="23"/>
  <c r="R48" i="23" s="1"/>
  <c r="R54" i="23" s="1"/>
  <c r="V46" i="23"/>
  <c r="V53" i="23" s="1"/>
  <c r="J47" i="23"/>
  <c r="J48" i="23" s="1"/>
  <c r="J54" i="23" s="1"/>
  <c r="L47" i="23"/>
  <c r="L48" i="23" s="1"/>
  <c r="L54" i="23" s="1"/>
  <c r="M47" i="23"/>
  <c r="M48" i="23" s="1"/>
  <c r="M54" i="23" s="1"/>
  <c r="V47" i="23"/>
  <c r="V48" i="23" s="1"/>
  <c r="V54" i="23" s="1"/>
  <c r="R46" i="23"/>
  <c r="R53" i="23" s="1"/>
  <c r="U46" i="1"/>
  <c r="U53" i="1" s="1"/>
  <c r="K46" i="1"/>
  <c r="K53" i="1" s="1"/>
  <c r="K47" i="1"/>
  <c r="K48" i="1" s="1"/>
  <c r="K54" i="1" s="1"/>
  <c r="V47" i="1"/>
  <c r="V48" i="1" s="1"/>
  <c r="V54" i="1" s="1"/>
  <c r="U47" i="1"/>
  <c r="U48" i="1" s="1"/>
  <c r="U54" i="1" s="1"/>
  <c r="L47" i="1"/>
  <c r="L48" i="1" s="1"/>
  <c r="L54" i="1" s="1"/>
  <c r="L46" i="1"/>
  <c r="L53" i="1" s="1"/>
  <c r="V46" i="1"/>
  <c r="V53" i="1" s="1"/>
  <c r="T47" i="1"/>
  <c r="T48" i="1" s="1"/>
  <c r="T54" i="1" s="1"/>
  <c r="T46" i="1"/>
  <c r="T53" i="1" s="1"/>
  <c r="M46" i="1"/>
  <c r="M53" i="1" s="1"/>
  <c r="M47" i="1"/>
  <c r="M48" i="1" s="1"/>
  <c r="M54" i="1" s="1"/>
  <c r="J46" i="1"/>
  <c r="J53" i="1" s="1"/>
  <c r="S47" i="1"/>
  <c r="S48" i="1" s="1"/>
  <c r="S54" i="1" s="1"/>
  <c r="J47" i="1"/>
  <c r="J48" i="1" s="1"/>
  <c r="J54" i="1" s="1"/>
  <c r="M63" i="4"/>
  <c r="M64" i="4" s="1"/>
  <c r="S46" i="1"/>
  <c r="S53" i="1" s="1"/>
  <c r="T63" i="4"/>
  <c r="T64" i="4" s="1"/>
  <c r="F46" i="1"/>
  <c r="F53" i="1" s="1"/>
  <c r="B22" i="4"/>
  <c r="D6" i="4"/>
  <c r="S6" i="4"/>
  <c r="I6" i="4"/>
  <c r="Q7" i="4"/>
  <c r="E6" i="4"/>
  <c r="P6" i="4"/>
  <c r="B6" i="4"/>
  <c r="C6" i="4"/>
  <c r="H6" i="4"/>
  <c r="F6" i="4"/>
  <c r="P47" i="1"/>
  <c r="P48" i="1" s="1"/>
  <c r="P54" i="1" s="1"/>
  <c r="L63" i="4"/>
  <c r="L64" i="4" s="1"/>
  <c r="G6" i="4"/>
  <c r="R7" i="4"/>
  <c r="K63" i="4"/>
  <c r="K64" i="4" s="1"/>
  <c r="V63" i="4"/>
  <c r="V64" i="4" s="1"/>
  <c r="J63" i="4"/>
  <c r="J64" i="4" s="1"/>
  <c r="W63" i="4"/>
  <c r="W64" i="4" s="1"/>
  <c r="U63" i="4"/>
  <c r="U64" i="4" s="1"/>
  <c r="N63" i="4"/>
  <c r="N64" i="4" s="1"/>
  <c r="T27" i="33"/>
  <c r="T52" i="33" s="1"/>
  <c r="T45" i="33"/>
  <c r="I47" i="1"/>
  <c r="I48" i="1" s="1"/>
  <c r="I54" i="1" s="1"/>
  <c r="F47" i="1"/>
  <c r="F48" i="1" s="1"/>
  <c r="F54" i="1" s="1"/>
  <c r="G47" i="1"/>
  <c r="G48" i="1" s="1"/>
  <c r="G54" i="1" s="1"/>
  <c r="E47" i="1"/>
  <c r="E48" i="1" s="1"/>
  <c r="E54" i="1" s="1"/>
  <c r="Q46" i="1"/>
  <c r="Q53" i="1" s="1"/>
  <c r="E46" i="1"/>
  <c r="E53" i="1" s="1"/>
  <c r="Q47" i="1"/>
  <c r="Q48" i="1" s="1"/>
  <c r="Q54" i="1" s="1"/>
  <c r="I46" i="1"/>
  <c r="I53" i="1" s="1"/>
  <c r="R74" i="4"/>
  <c r="M57" i="4"/>
  <c r="M58" i="4" s="1"/>
  <c r="M76" i="4" s="1"/>
  <c r="U57" i="4"/>
  <c r="U58" i="4" s="1"/>
  <c r="U76" i="4" s="1"/>
  <c r="H57" i="1"/>
  <c r="G57" i="1"/>
  <c r="F57" i="1"/>
  <c r="I57" i="1"/>
  <c r="E57" i="1"/>
  <c r="H7" i="4"/>
  <c r="G46" i="1"/>
  <c r="G53" i="1" s="1"/>
  <c r="H46" i="1"/>
  <c r="H53" i="1" s="1"/>
  <c r="H47" i="1"/>
  <c r="H48" i="1" s="1"/>
  <c r="H54" i="1" s="1"/>
  <c r="G11" i="4"/>
  <c r="F9" i="4"/>
  <c r="I13" i="4"/>
  <c r="E12" i="4"/>
  <c r="I55" i="4"/>
  <c r="I62" i="4"/>
  <c r="N55" i="4"/>
  <c r="N62" i="4"/>
  <c r="W57" i="4"/>
  <c r="W58" i="4" s="1"/>
  <c r="W76" i="4" s="1"/>
  <c r="W56" i="4"/>
  <c r="W75" i="4" s="1"/>
  <c r="V57" i="4"/>
  <c r="V58" i="4" s="1"/>
  <c r="V76" i="4" s="1"/>
  <c r="L56" i="4"/>
  <c r="L75" i="4" s="1"/>
  <c r="T56" i="4"/>
  <c r="T75" i="4" s="1"/>
  <c r="K57" i="4"/>
  <c r="K58" i="4" s="1"/>
  <c r="K76" i="4" s="1"/>
  <c r="J56" i="4"/>
  <c r="J75" i="4" s="1"/>
  <c r="P55" i="4"/>
  <c r="P62" i="4"/>
  <c r="F55" i="4"/>
  <c r="F62" i="4"/>
  <c r="M55" i="4"/>
  <c r="M62" i="4"/>
  <c r="J55" i="4"/>
  <c r="J62" i="4"/>
  <c r="L57" i="4"/>
  <c r="L58" i="4" s="1"/>
  <c r="L76" i="4" s="1"/>
  <c r="N57" i="4"/>
  <c r="N58" i="4" s="1"/>
  <c r="N76" i="4" s="1"/>
  <c r="K56" i="4"/>
  <c r="K75" i="4" s="1"/>
  <c r="J57" i="4"/>
  <c r="J58" i="4" s="1"/>
  <c r="J76" i="4" s="1"/>
  <c r="Q55" i="4"/>
  <c r="Q62" i="4"/>
  <c r="G55" i="4"/>
  <c r="G62" i="4"/>
  <c r="H74" i="4"/>
  <c r="H62" i="4"/>
  <c r="U22" i="33"/>
  <c r="U45" i="33"/>
  <c r="U27" i="33"/>
  <c r="U52" i="33" s="1"/>
  <c r="R45" i="33"/>
  <c r="R27" i="33"/>
  <c r="R52" i="33" s="1"/>
  <c r="R22" i="33"/>
  <c r="V56" i="4"/>
  <c r="V75" i="4" s="1"/>
  <c r="M56" i="4"/>
  <c r="M75" i="4" s="1"/>
  <c r="N56" i="4"/>
  <c r="N75" i="4" s="1"/>
  <c r="U56" i="4"/>
  <c r="U75" i="4" s="1"/>
  <c r="C74" i="4"/>
  <c r="C62" i="4"/>
  <c r="D55" i="4"/>
  <c r="D62" i="4"/>
  <c r="S27" i="33"/>
  <c r="S52" i="33" s="1"/>
  <c r="S22" i="33"/>
  <c r="S45" i="33"/>
  <c r="V4" i="33"/>
  <c r="T57" i="4"/>
  <c r="T58" i="4" s="1"/>
  <c r="T76" i="4" s="1"/>
  <c r="R55" i="4"/>
  <c r="V4" i="1"/>
  <c r="V45" i="1" s="1"/>
  <c r="P32" i="4"/>
  <c r="R10" i="4"/>
  <c r="B32" i="4"/>
  <c r="H55" i="4"/>
  <c r="S10" i="4"/>
  <c r="P14" i="4"/>
  <c r="Q15" i="4"/>
  <c r="V4" i="23"/>
  <c r="V45" i="23" s="1"/>
  <c r="K79" i="4"/>
  <c r="B10" i="4"/>
  <c r="L79" i="4"/>
  <c r="N79" i="4"/>
  <c r="W79" i="4"/>
  <c r="M79" i="4"/>
  <c r="J79" i="4"/>
  <c r="V79" i="4"/>
  <c r="U79" i="4"/>
  <c r="T79" i="4"/>
  <c r="P26" i="4"/>
  <c r="P46" i="1"/>
  <c r="P53" i="1" s="1"/>
  <c r="U4" i="1"/>
  <c r="U22" i="1" s="1"/>
  <c r="M74" i="4"/>
  <c r="M27" i="1"/>
  <c r="M52" i="1" s="1"/>
  <c r="M22" i="1"/>
  <c r="J52" i="1"/>
  <c r="J74" i="4"/>
  <c r="J27" i="1"/>
  <c r="J45" i="1"/>
  <c r="S4" i="1"/>
  <c r="S4" i="23"/>
  <c r="C55" i="4"/>
  <c r="U4" i="23"/>
  <c r="U22" i="23" s="1"/>
  <c r="J22" i="23"/>
  <c r="J52" i="23"/>
  <c r="J22" i="1"/>
  <c r="J27" i="23"/>
  <c r="R4" i="1"/>
  <c r="R22" i="1" s="1"/>
  <c r="R4" i="23"/>
  <c r="R22" i="23" s="1"/>
  <c r="M52" i="23"/>
  <c r="M22" i="23"/>
  <c r="M45" i="23"/>
  <c r="M45" i="1"/>
  <c r="B46" i="23"/>
  <c r="B53" i="23" s="1"/>
  <c r="B55" i="23" s="1"/>
  <c r="O46" i="23"/>
  <c r="O53" i="23" s="1"/>
  <c r="O55" i="23" s="1"/>
  <c r="O47" i="23"/>
  <c r="O48" i="23" s="1"/>
  <c r="O54" i="23" s="1"/>
  <c r="B47" i="23"/>
  <c r="B48" i="23" s="1"/>
  <c r="B54" i="23" s="1"/>
  <c r="B57" i="23"/>
  <c r="O57" i="23"/>
  <c r="B29" i="4"/>
  <c r="P22" i="4"/>
  <c r="R47" i="1"/>
  <c r="R48" i="1" s="1"/>
  <c r="R54" i="1" s="1"/>
  <c r="Q57" i="1"/>
  <c r="D74" i="4"/>
  <c r="R46" i="1"/>
  <c r="R53" i="1" s="1"/>
  <c r="N74" i="4"/>
  <c r="C47" i="1"/>
  <c r="C48" i="1" s="1"/>
  <c r="C54" i="1" s="1"/>
  <c r="G74" i="4"/>
  <c r="D57" i="1"/>
  <c r="R57" i="1"/>
  <c r="P57" i="1"/>
  <c r="O57" i="1"/>
  <c r="C57" i="1"/>
  <c r="D10" i="4"/>
  <c r="C10" i="4"/>
  <c r="B57" i="1"/>
  <c r="C46" i="1"/>
  <c r="C53" i="1" s="1"/>
  <c r="B46" i="1"/>
  <c r="B53" i="1" s="1"/>
  <c r="B47" i="1"/>
  <c r="B48" i="1" s="1"/>
  <c r="B54" i="1" s="1"/>
  <c r="D46" i="1"/>
  <c r="D53" i="1" s="1"/>
  <c r="O47" i="1"/>
  <c r="O48" i="1" s="1"/>
  <c r="O54" i="1" s="1"/>
  <c r="O46" i="1"/>
  <c r="O53" i="1" s="1"/>
  <c r="O55" i="1" s="1"/>
  <c r="D47" i="1"/>
  <c r="D48" i="1" s="1"/>
  <c r="D54" i="1" s="1"/>
  <c r="D8" i="4"/>
  <c r="T4" i="1"/>
  <c r="T4" i="23"/>
  <c r="F74" i="4"/>
  <c r="I74" i="4"/>
  <c r="P74" i="4"/>
  <c r="Q74" i="4"/>
  <c r="G55" i="1" l="1"/>
  <c r="I63" i="4"/>
  <c r="I64" i="4" s="1"/>
  <c r="F55" i="23"/>
  <c r="H56" i="4"/>
  <c r="H75" i="4" s="1"/>
  <c r="C63" i="4"/>
  <c r="C64" i="4" s="1"/>
  <c r="I57" i="4"/>
  <c r="I58" i="4" s="1"/>
  <c r="I76" i="4" s="1"/>
  <c r="W4" i="4"/>
  <c r="W55" i="4" s="1"/>
  <c r="F63" i="4"/>
  <c r="F64" i="4" s="1"/>
  <c r="S63" i="4"/>
  <c r="S64" i="4" s="1"/>
  <c r="C55" i="23"/>
  <c r="Q55" i="23"/>
  <c r="U55" i="23"/>
  <c r="T55" i="23"/>
  <c r="R55" i="23"/>
  <c r="S55" i="23"/>
  <c r="V55" i="23"/>
  <c r="P55" i="23"/>
  <c r="S55" i="1"/>
  <c r="U55" i="1"/>
  <c r="R55" i="1"/>
  <c r="T55" i="1"/>
  <c r="P55" i="1"/>
  <c r="Q55" i="1"/>
  <c r="V55" i="1"/>
  <c r="D63" i="4"/>
  <c r="D64" i="4" s="1"/>
  <c r="B63" i="4"/>
  <c r="B64" i="4" s="1"/>
  <c r="P63" i="4"/>
  <c r="P64" i="4" s="1"/>
  <c r="G56" i="4"/>
  <c r="G75" i="4" s="1"/>
  <c r="H57" i="4"/>
  <c r="H58" i="4" s="1"/>
  <c r="H76" i="4" s="1"/>
  <c r="H63" i="4"/>
  <c r="H64" i="4" s="1"/>
  <c r="Q63" i="4"/>
  <c r="Q64" i="4" s="1"/>
  <c r="G63" i="4"/>
  <c r="G64" i="4" s="1"/>
  <c r="E63" i="4"/>
  <c r="E64" i="4" s="1"/>
  <c r="R63" i="4"/>
  <c r="R64" i="4" s="1"/>
  <c r="V27" i="23"/>
  <c r="V52" i="23" s="1"/>
  <c r="I56" i="4"/>
  <c r="I75" i="4" s="1"/>
  <c r="U45" i="1"/>
  <c r="V22" i="1"/>
  <c r="V22" i="23"/>
  <c r="V27" i="1"/>
  <c r="V52" i="1" s="1"/>
  <c r="G57" i="4"/>
  <c r="G58" i="4" s="1"/>
  <c r="G76" i="4" s="1"/>
  <c r="F57" i="4"/>
  <c r="F58" i="4" s="1"/>
  <c r="F76" i="4" s="1"/>
  <c r="B56" i="4"/>
  <c r="E79" i="4"/>
  <c r="G79" i="4"/>
  <c r="I79" i="4"/>
  <c r="H79" i="4"/>
  <c r="F79" i="4"/>
  <c r="J80" i="4"/>
  <c r="E57" i="4"/>
  <c r="E58" i="4" s="1"/>
  <c r="E76" i="4" s="1"/>
  <c r="E56" i="4"/>
  <c r="E75" i="4" s="1"/>
  <c r="F56" i="4"/>
  <c r="F75" i="4" s="1"/>
  <c r="Q57" i="4"/>
  <c r="Q58" i="4" s="1"/>
  <c r="Q76" i="4" s="1"/>
  <c r="S56" i="4"/>
  <c r="S75" i="4" s="1"/>
  <c r="D56" i="4"/>
  <c r="D75" i="4" s="1"/>
  <c r="B57" i="4"/>
  <c r="B58" i="4" s="1"/>
  <c r="B76" i="4" s="1"/>
  <c r="V45" i="33"/>
  <c r="V27" i="33"/>
  <c r="V52" i="33" s="1"/>
  <c r="V22" i="33"/>
  <c r="D57" i="4"/>
  <c r="D58" i="4" s="1"/>
  <c r="D76" i="4" s="1"/>
  <c r="P57" i="4"/>
  <c r="P58" i="4" s="1"/>
  <c r="P76" i="4" s="1"/>
  <c r="C57" i="4"/>
  <c r="C58" i="4" s="1"/>
  <c r="C76" i="4" s="1"/>
  <c r="R56" i="4"/>
  <c r="R75" i="4" s="1"/>
  <c r="P56" i="4"/>
  <c r="P75" i="4" s="1"/>
  <c r="C56" i="4"/>
  <c r="C75" i="4" s="1"/>
  <c r="Q56" i="4"/>
  <c r="S57" i="4"/>
  <c r="S58" i="4" s="1"/>
  <c r="S76" i="4" s="1"/>
  <c r="R57" i="4"/>
  <c r="R58" i="4" s="1"/>
  <c r="R76" i="4" s="1"/>
  <c r="R79" i="4"/>
  <c r="Q79" i="4"/>
  <c r="S79" i="4"/>
  <c r="S80" i="4" s="1"/>
  <c r="V4" i="4"/>
  <c r="U27" i="1"/>
  <c r="U52" i="1" s="1"/>
  <c r="C79" i="4"/>
  <c r="D79" i="4"/>
  <c r="L55" i="23"/>
  <c r="D55" i="23"/>
  <c r="H55" i="23"/>
  <c r="K55" i="23"/>
  <c r="J55" i="23"/>
  <c r="M55" i="23"/>
  <c r="G55" i="23"/>
  <c r="E55" i="23"/>
  <c r="I55" i="23"/>
  <c r="R59" i="23"/>
  <c r="R60" i="23" s="1"/>
  <c r="P79" i="4"/>
  <c r="B79" i="4"/>
  <c r="B64" i="23"/>
  <c r="L59" i="23"/>
  <c r="L60" i="23" s="1"/>
  <c r="F59" i="23"/>
  <c r="F60" i="23" s="1"/>
  <c r="Q59" i="23"/>
  <c r="Q60" i="23" s="1"/>
  <c r="V59" i="23"/>
  <c r="V60" i="23" s="1"/>
  <c r="P59" i="23"/>
  <c r="P60" i="23" s="1"/>
  <c r="T59" i="23"/>
  <c r="T60" i="23" s="1"/>
  <c r="U59" i="23"/>
  <c r="U60" i="23" s="1"/>
  <c r="S59" i="23"/>
  <c r="S60" i="23" s="1"/>
  <c r="B65" i="23"/>
  <c r="R45" i="23"/>
  <c r="T4" i="4"/>
  <c r="T62" i="4" s="1"/>
  <c r="S45" i="1"/>
  <c r="S27" i="1"/>
  <c r="S52" i="1" s="1"/>
  <c r="S22" i="1"/>
  <c r="U27" i="23"/>
  <c r="U52" i="23" s="1"/>
  <c r="U45" i="23"/>
  <c r="S45" i="23"/>
  <c r="S27" i="23"/>
  <c r="S52" i="23" s="1"/>
  <c r="S22" i="23"/>
  <c r="R45" i="1"/>
  <c r="S4" i="4"/>
  <c r="S62" i="4" s="1"/>
  <c r="R27" i="1"/>
  <c r="R52" i="1" s="1"/>
  <c r="R27" i="23"/>
  <c r="R52" i="23" s="1"/>
  <c r="C59" i="23"/>
  <c r="C60" i="23" s="1"/>
  <c r="E59" i="23"/>
  <c r="E60" i="23" s="1"/>
  <c r="J59" i="23"/>
  <c r="J60" i="23" s="1"/>
  <c r="K59" i="23"/>
  <c r="K60" i="23" s="1"/>
  <c r="D59" i="23"/>
  <c r="D60" i="23" s="1"/>
  <c r="I59" i="23"/>
  <c r="I60" i="23" s="1"/>
  <c r="O59" i="23"/>
  <c r="O60" i="23" s="1"/>
  <c r="G59" i="23"/>
  <c r="G60" i="23" s="1"/>
  <c r="H59" i="23"/>
  <c r="H60" i="23" s="1"/>
  <c r="M59" i="23"/>
  <c r="M60" i="23" s="1"/>
  <c r="C55" i="1"/>
  <c r="H55" i="1"/>
  <c r="F55" i="1"/>
  <c r="I55" i="1"/>
  <c r="L55" i="1"/>
  <c r="J55" i="1"/>
  <c r="D55" i="1"/>
  <c r="K55" i="1"/>
  <c r="E55" i="1"/>
  <c r="O59" i="1"/>
  <c r="O60" i="1" s="1"/>
  <c r="J59" i="1"/>
  <c r="J60" i="1" s="1"/>
  <c r="F59" i="1"/>
  <c r="F60" i="1" s="1"/>
  <c r="M59" i="1"/>
  <c r="M60" i="1" s="1"/>
  <c r="I59" i="1"/>
  <c r="I60" i="1" s="1"/>
  <c r="E59" i="1"/>
  <c r="E60" i="1" s="1"/>
  <c r="L59" i="1"/>
  <c r="L60" i="1" s="1"/>
  <c r="H59" i="1"/>
  <c r="H60" i="1" s="1"/>
  <c r="D59" i="1"/>
  <c r="D60" i="1" s="1"/>
  <c r="K59" i="1"/>
  <c r="K60" i="1" s="1"/>
  <c r="C59" i="1"/>
  <c r="C60" i="1" s="1"/>
  <c r="G59" i="1"/>
  <c r="G60" i="1" s="1"/>
  <c r="M55" i="1"/>
  <c r="T59" i="1"/>
  <c r="T60" i="1" s="1"/>
  <c r="P59" i="1"/>
  <c r="P60" i="1" s="1"/>
  <c r="S59" i="1"/>
  <c r="S60" i="1" s="1"/>
  <c r="V59" i="1"/>
  <c r="V60" i="1" s="1"/>
  <c r="R59" i="1"/>
  <c r="R60" i="1" s="1"/>
  <c r="U59" i="1"/>
  <c r="U60" i="1" s="1"/>
  <c r="Q59" i="1"/>
  <c r="Q60" i="1" s="1"/>
  <c r="B65" i="1"/>
  <c r="B64" i="1"/>
  <c r="B55" i="1"/>
  <c r="T27" i="23"/>
  <c r="T52" i="23" s="1"/>
  <c r="T45" i="23"/>
  <c r="T22" i="23"/>
  <c r="T27" i="1"/>
  <c r="T52" i="1" s="1"/>
  <c r="T45" i="1"/>
  <c r="U4" i="4"/>
  <c r="U62" i="4" s="1"/>
  <c r="T22" i="1"/>
  <c r="W74" i="4" l="1"/>
  <c r="U77" i="4"/>
  <c r="W62" i="4"/>
  <c r="B80" i="4"/>
  <c r="Q75" i="4"/>
  <c r="P81" i="4"/>
  <c r="V74" i="4"/>
  <c r="V62" i="4"/>
  <c r="R61" i="23"/>
  <c r="V55" i="4"/>
  <c r="W77" i="4"/>
  <c r="V77" i="4"/>
  <c r="P77" i="4"/>
  <c r="T77" i="4"/>
  <c r="R77" i="4"/>
  <c r="S77" i="4"/>
  <c r="U81" i="4"/>
  <c r="V81" i="4"/>
  <c r="Q81" i="4"/>
  <c r="W81" i="4"/>
  <c r="T81" i="4"/>
  <c r="R81" i="4"/>
  <c r="S81" i="4"/>
  <c r="B86" i="4"/>
  <c r="B87" i="4"/>
  <c r="B75" i="4"/>
  <c r="D94" i="4" s="1"/>
  <c r="N81" i="4"/>
  <c r="N82" i="4" s="1"/>
  <c r="M81" i="4"/>
  <c r="J81" i="4"/>
  <c r="K81" i="4"/>
  <c r="L81" i="4"/>
  <c r="M61" i="23"/>
  <c r="I61" i="23"/>
  <c r="E61" i="23"/>
  <c r="D61" i="23"/>
  <c r="C61" i="23"/>
  <c r="Q61" i="23"/>
  <c r="U61" i="23"/>
  <c r="P61" i="23"/>
  <c r="F61" i="23"/>
  <c r="H61" i="23"/>
  <c r="K61" i="23"/>
  <c r="G61" i="23"/>
  <c r="J61" i="23"/>
  <c r="S61" i="23"/>
  <c r="T61" i="23"/>
  <c r="V61" i="23"/>
  <c r="L61" i="23"/>
  <c r="D61" i="1"/>
  <c r="U61" i="1"/>
  <c r="S61" i="1"/>
  <c r="G61" i="1"/>
  <c r="M61" i="1"/>
  <c r="L61" i="1"/>
  <c r="T61" i="1"/>
  <c r="E61" i="1"/>
  <c r="F61" i="1"/>
  <c r="K61" i="1"/>
  <c r="I61" i="1"/>
  <c r="J61" i="1"/>
  <c r="V61" i="1"/>
  <c r="H61" i="1"/>
  <c r="T55" i="4"/>
  <c r="T74" i="4"/>
  <c r="S55" i="4"/>
  <c r="S74" i="4"/>
  <c r="O61" i="1"/>
  <c r="Q61" i="1"/>
  <c r="P61" i="1"/>
  <c r="C61" i="1"/>
  <c r="R61" i="1"/>
  <c r="U55" i="4"/>
  <c r="U74" i="4"/>
  <c r="E94" i="4" l="1"/>
  <c r="I94" i="4"/>
  <c r="Q77" i="4"/>
  <c r="Q94" i="4"/>
  <c r="F94" i="4"/>
  <c r="S94" i="4"/>
  <c r="B94" i="4"/>
  <c r="O94" i="4"/>
  <c r="T94" i="4"/>
  <c r="U94" i="4"/>
  <c r="J94" i="4"/>
  <c r="N94" i="4"/>
  <c r="K94" i="4"/>
  <c r="M94" i="4"/>
  <c r="L94" i="4"/>
  <c r="V94" i="4"/>
  <c r="G94" i="4"/>
  <c r="R94" i="4"/>
  <c r="C94" i="4"/>
  <c r="P94" i="4"/>
  <c r="H94" i="4"/>
  <c r="I81" i="4"/>
  <c r="F81" i="4"/>
  <c r="F83" i="4" s="1"/>
  <c r="G81" i="4"/>
  <c r="H81" i="4"/>
  <c r="D81" i="4"/>
  <c r="D83" i="4" s="1"/>
  <c r="E81" i="4"/>
  <c r="C81" i="4"/>
  <c r="K77" i="4"/>
  <c r="J77" i="4"/>
  <c r="G77" i="4"/>
  <c r="N77" i="4"/>
  <c r="F77" i="4"/>
  <c r="L77" i="4"/>
  <c r="B77" i="4"/>
  <c r="M77" i="4"/>
  <c r="I77" i="4"/>
  <c r="H77" i="4"/>
  <c r="D77" i="4"/>
  <c r="C77" i="4"/>
  <c r="E77" i="4"/>
  <c r="L83" i="4"/>
  <c r="W83" i="4"/>
  <c r="U83" i="4"/>
  <c r="M83" i="4"/>
  <c r="Q83" i="4"/>
  <c r="V83" i="4"/>
  <c r="N83" i="4"/>
  <c r="R83" i="4"/>
  <c r="K83" i="4"/>
  <c r="J83" i="4"/>
  <c r="S83" i="4"/>
  <c r="T83" i="4"/>
  <c r="P83" i="4"/>
  <c r="O61" i="23"/>
  <c r="G83" i="4" l="1"/>
  <c r="I83" i="4"/>
  <c r="E83" i="4"/>
  <c r="C83" i="4"/>
  <c r="H8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68" authorId="0" shapeId="0" xr:uid="{00000000-0006-0000-0B00-000001000000}">
      <text>
        <r>
          <rPr>
            <b/>
            <sz val="9"/>
            <color indexed="81"/>
            <rFont val="Tahoma"/>
            <family val="2"/>
          </rPr>
          <t>A modifier si erreur dans le doc word - peut etre c'est Testo le témoin de référence</t>
        </r>
      </text>
    </comment>
    <comment ref="A69" authorId="0" shapeId="0" xr:uid="{00000000-0006-0000-0B00-000002000000}">
      <text>
        <r>
          <rPr>
            <b/>
            <sz val="9"/>
            <color indexed="81"/>
            <rFont val="Tahoma"/>
            <family val="2"/>
          </rPr>
          <t>A modifier si erreur dans le doc word - peut etre c'est Testo le témoin de référence</t>
        </r>
      </text>
    </comment>
  </commentList>
</comments>
</file>

<file path=xl/sharedStrings.xml><?xml version="1.0" encoding="utf-8"?>
<sst xmlns="http://schemas.openxmlformats.org/spreadsheetml/2006/main" count="241" uniqueCount="76">
  <si>
    <t>mean</t>
  </si>
  <si>
    <t>SD</t>
  </si>
  <si>
    <t>SEM</t>
  </si>
  <si>
    <t>avec testo</t>
  </si>
  <si>
    <t>Rep1</t>
  </si>
  <si>
    <t>Rep2</t>
  </si>
  <si>
    <t>Non dopé</t>
  </si>
  <si>
    <t>N°BDC :</t>
  </si>
  <si>
    <t>R1</t>
  </si>
  <si>
    <t>R2</t>
  </si>
  <si>
    <t>Concentration</t>
  </si>
  <si>
    <t xml:space="preserve">Testo </t>
  </si>
  <si>
    <t>R3</t>
  </si>
  <si>
    <t>LOD</t>
  </si>
  <si>
    <t>LOQ</t>
  </si>
  <si>
    <t>Mean</t>
  </si>
  <si>
    <t>Données brutes</t>
  </si>
  <si>
    <t>Données normalisées sur la moyenne du groupe "Testo"</t>
  </si>
  <si>
    <t>2. Expérimentateur 1 : copier et coller la dilution appliquée et le nom donné pour chaque des échantillons par le client. Conserver la mise en forme de l'exemple en italique. Ne pas remplir la colonne "nom sur graphique".</t>
  </si>
  <si>
    <t>4. Expérimentateur 1 : réaliser les tests statistiques avec les données normalisées et renseigner les résultats ainsi que le test statistique utilisé dans le tableau violet.</t>
  </si>
  <si>
    <t>Eléments pour la mise en forme conditionnelles des résutats - calcul équivalent hormonal (eqH)</t>
  </si>
  <si>
    <t>3. Expérimentateur 1 : copier et coller les valeurs des intensités totales de fluorescences obtenues dans le fichier raw data lors du traitement des images.</t>
  </si>
  <si>
    <t>Noms des groupes</t>
  </si>
  <si>
    <t>6. Expérimentateur 2 : copier et coller les valeurs des intensités totales de fluorescences obtenues dans le fichier raw data lors du traitement des images. Ne pas supprimer les colonnes correspondant aux concentrations non lues.</t>
  </si>
  <si>
    <t>7. Expérimentateur 2 : réaliser les tests statistiques avec les données normalisées et renseigner les résultats ainsi que le test statistique utilisé dans le tableau violet.</t>
  </si>
  <si>
    <t>8. Expérimentateur 2 : se reporter à l'onglet "pooled normalised values".</t>
  </si>
  <si>
    <t>9. Expérimentateur 2 : vérifier que le nombre de valeurs est &gt; ou égale à 14. Vérifier que le nombre de valeurs est &gt; ou égale à 27 pour le groupe "Testo".</t>
  </si>
  <si>
    <t>Nom des groupes</t>
  </si>
  <si>
    <t>Moy.</t>
  </si>
  <si>
    <t>Nbre de valeurs</t>
  </si>
  <si>
    <t xml:space="preserve"> + Testostérone</t>
  </si>
  <si>
    <t>5. Expérimentateur 1 : remplissage du suivi qualité (SQ) et transmission à l'expérimenteur 2.</t>
  </si>
  <si>
    <r>
      <t xml:space="preserve">11. Expérimentateur 2 : </t>
    </r>
    <r>
      <rPr>
        <b/>
        <sz val="20"/>
        <color rgb="FFFF0000"/>
        <rFont val="Calibri"/>
        <family val="2"/>
        <scheme val="minor"/>
      </rPr>
      <t>vérifier les valeurs des écarts type. En cas de valeur abbéantes ou incohérent, consulter le référent test.</t>
    </r>
  </si>
  <si>
    <t>12. Expérimentateur 2 : réaliser les tests statistiques avec les données du pool et renseigner les résultats ainsi que le test statistique utilisé dans le tableau violet.</t>
  </si>
  <si>
    <t xml:space="preserve">13. Expérimentateur 2 : masquer les colonnes de la feuille R1 et R2 correspondant au groupe des échantilons n'ayant été lu que sur le réplica 1.  </t>
  </si>
  <si>
    <r>
      <t xml:space="preserve">14. Expérimentateur 2 : vérifier la cohérence des deux réplicas et des réplicas avec le pool à l'aide des graphiques "Graph". En cas de divergences consulter </t>
    </r>
    <r>
      <rPr>
        <b/>
        <sz val="20"/>
        <color rgb="FFFF0000"/>
        <rFont val="Calibri"/>
        <family val="2"/>
        <scheme val="minor"/>
      </rPr>
      <t>le référent test.</t>
    </r>
  </si>
  <si>
    <r>
      <t xml:space="preserve">15. Expérimentateur 2 : réaliser le calcul de l'équivalent hormonal (eqh) à l'aide </t>
    </r>
    <r>
      <rPr>
        <b/>
        <sz val="20"/>
        <color rgb="FFFF0000"/>
        <rFont val="Calibri"/>
        <family val="2"/>
        <scheme val="minor"/>
      </rPr>
      <t>du logiciel et PRISM</t>
    </r>
    <r>
      <rPr>
        <b/>
        <sz val="20"/>
        <color theme="1"/>
        <rFont val="Calibri"/>
        <family val="2"/>
        <scheme val="minor"/>
      </rPr>
      <t>. Seules les moyennes des témoins, des échantillons non dopées apparraissant en vert et les moyennes des échantillons dopées étant statiquement différentes des témoins (*, **, ***) pourrons être calculées en eqh. Se reporter à l'onglet "summary results".</t>
    </r>
  </si>
  <si>
    <t>10. Expérimentateur 2 : vérifier que le calcul des ratio s'affiche en vert.</t>
  </si>
  <si>
    <t>Evian/EE2 488 ng /L &gt;=</t>
  </si>
  <si>
    <t>Ratio à atteindre</t>
  </si>
  <si>
    <t>Evian/Testo + EE2 64 ng/L &gt;=</t>
  </si>
  <si>
    <t>Evian/ Testo + FAD &lt;=</t>
  </si>
  <si>
    <t>% induction</t>
  </si>
  <si>
    <t>Test de normalité : valeur du p</t>
  </si>
  <si>
    <t>Test statistique utilisé</t>
  </si>
  <si>
    <t>Test statistique : valeur du p</t>
  </si>
  <si>
    <t>Annotation</t>
  </si>
  <si>
    <t>Test de normalité : résultat normal?</t>
  </si>
  <si>
    <t>Rep3</t>
  </si>
  <si>
    <t>Tous les groupes du gamme sont normale?</t>
  </si>
  <si>
    <t>Témoin</t>
  </si>
  <si>
    <t>ng/L</t>
  </si>
  <si>
    <t>EE2</t>
  </si>
  <si>
    <t>µg/L</t>
  </si>
  <si>
    <t xml:space="preserve">Testo 30µg/L + EE2 </t>
  </si>
  <si>
    <t>mg/L</t>
  </si>
  <si>
    <t>Testo 30µg/L + FAD</t>
  </si>
  <si>
    <t>Experiment number :</t>
  </si>
  <si>
    <t>Do not fill in</t>
  </si>
  <si>
    <t>Do not fill in2</t>
  </si>
  <si>
    <t>Units</t>
  </si>
  <si>
    <t>Chemical name</t>
  </si>
  <si>
    <t>Do not fill in3</t>
  </si>
  <si>
    <t>test chemical</t>
  </si>
  <si>
    <t>Solvent control</t>
  </si>
  <si>
    <t>33.8</t>
  </si>
  <si>
    <t>50.6</t>
  </si>
  <si>
    <t>170.9</t>
  </si>
  <si>
    <t>Date performed :20210602</t>
    <phoneticPr fontId="12"/>
  </si>
  <si>
    <t>Date performed :20210603</t>
    <phoneticPr fontId="12"/>
  </si>
  <si>
    <t>6. Expérimentateur 2 : copier et coller les valeurs des intensités totales de fluorescences obtenues dans le fichier raw data lors du traitement des images. Ne pas supprimer les colonnes correspondant aux concentrations non lues.
画像処理時に取得した蛍光強度全体の値をコピーして、生データファイルに貼り付けます。未読濃度に対応する列は削除しないでください。</t>
    <phoneticPr fontId="12"/>
  </si>
  <si>
    <t>Données brutes
ローデータ</t>
    <phoneticPr fontId="12"/>
  </si>
  <si>
    <t>Données normalisées sur la moyenne du groupe "Testo"
「Testo」群の平均に関する標準化データ</t>
    <phoneticPr fontId="12"/>
  </si>
  <si>
    <t>Date performed :20210609</t>
    <phoneticPr fontId="12"/>
  </si>
  <si>
    <t>mg/L</t>
    <phoneticPr fontId="12"/>
  </si>
  <si>
    <t>saccharin</t>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</si>
</sst>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font>
      <sz val="11"/>
      <color theme="1"/>
      <name val="Calibri"/>
      <family val="2"/>
      <scheme val="minor"/>
    </font>
    <font>
      <b/>
      <sz val="11"/>
      <color theme="1"/>
      <name val="Calibri"/>
      <family val="2"/>
      <scheme val="minor"/>
    </font>
    <font>
      <sz val="13"/>
      <name val="Arial"/>
      <family val="2"/>
    </font>
    <font>
      <sz val="16"/>
      <color theme="1"/>
      <name val="Calibri"/>
      <family val="2"/>
      <scheme val="minor"/>
    </font>
    <font>
      <sz val="10"/>
      <name val="Arial"/>
      <family val="2"/>
    </font>
    <font>
      <b/>
      <sz val="16"/>
      <color theme="1"/>
      <name val="Calibri"/>
      <family val="2"/>
      <scheme val="minor"/>
    </font>
    <font>
      <sz val="11"/>
      <name val="Calibri"/>
      <family val="2"/>
      <scheme val="minor"/>
    </font>
    <font>
      <b/>
      <sz val="20"/>
      <color theme="1"/>
      <name val="Calibri"/>
      <family val="2"/>
      <scheme val="minor"/>
    </font>
    <font>
      <sz val="12"/>
      <color theme="1"/>
      <name val="Calibri"/>
      <family val="2"/>
      <scheme val="minor"/>
    </font>
    <font>
      <b/>
      <sz val="20"/>
      <color rgb="FFFF0000"/>
      <name val="Calibri"/>
      <family val="2"/>
      <scheme val="minor"/>
    </font>
    <font>
      <b/>
      <sz val="9"/>
      <color indexed="81"/>
      <name val="Tahoma"/>
      <family val="2"/>
    </font>
    <font>
      <b/>
      <sz val="11"/>
      <color rgb="FFFF0000"/>
      <name val="Calibri"/>
      <family val="2"/>
      <scheme val="minor"/>
    </font>
    <font>
      <sz val="6"/>
      <name val="Calibri"/>
      <family val="3"/>
      <charset val="128"/>
      <scheme val="minor"/>
    </font>
    <font>
      <sz val="9"/>
      <name val="Arial"/>
      <family val="2"/>
    </font>
  </fonts>
  <fills count="15">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rgb="FFFFC000"/>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bottom/>
      <diagonal/>
    </border>
    <border>
      <left/>
      <right style="thin">
        <color auto="1"/>
      </right>
      <top/>
      <bottom style="thin">
        <color auto="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medium">
        <color indexed="64"/>
      </top>
      <bottom/>
      <diagonal/>
    </border>
  </borders>
  <cellStyleXfs count="7">
    <xf numFmtId="0" fontId="0" fillId="0" borderId="0"/>
    <xf numFmtId="0" fontId="4" fillId="0" borderId="0"/>
    <xf numFmtId="0" fontId="8" fillId="0" borderId="0"/>
    <xf numFmtId="0" fontId="4" fillId="0" borderId="0"/>
    <xf numFmtId="0" fontId="8" fillId="0" borderId="0"/>
    <xf numFmtId="0" fontId="4" fillId="0" borderId="0"/>
    <xf numFmtId="0" fontId="8" fillId="0" borderId="0"/>
  </cellStyleXfs>
  <cellXfs count="158">
    <xf numFmtId="0" fontId="0" fillId="0" borderId="0" xfId="0"/>
    <xf numFmtId="0" fontId="0" fillId="0" borderId="0" xfId="0"/>
    <xf numFmtId="0" fontId="1" fillId="0" borderId="0" xfId="0" applyFont="1"/>
    <xf numFmtId="0" fontId="0" fillId="0" borderId="0" xfId="0" applyAlignment="1">
      <alignment horizontal="center"/>
    </xf>
    <xf numFmtId="0" fontId="0" fillId="0" borderId="1" xfId="0" applyBorder="1" applyAlignment="1">
      <alignment horizontal="center"/>
    </xf>
    <xf numFmtId="1" fontId="0" fillId="0" borderId="0" xfId="0" applyNumberFormat="1" applyAlignment="1">
      <alignment horizontal="center"/>
    </xf>
    <xf numFmtId="0" fontId="0" fillId="0" borderId="2" xfId="0" applyBorder="1" applyAlignment="1">
      <alignment horizontal="center"/>
    </xf>
    <xf numFmtId="0" fontId="0" fillId="0" borderId="0" xfId="0" applyBorder="1" applyAlignment="1">
      <alignment horizontal="center"/>
    </xf>
    <xf numFmtId="164" fontId="0" fillId="0" borderId="0" xfId="0" applyNumberFormat="1" applyAlignment="1">
      <alignment horizontal="center"/>
    </xf>
    <xf numFmtId="2" fontId="0" fillId="5" borderId="0" xfId="0" applyNumberFormat="1" applyFill="1" applyAlignment="1">
      <alignment horizontal="center"/>
    </xf>
    <xf numFmtId="164" fontId="0" fillId="5" borderId="0" xfId="0" applyNumberFormat="1" applyFill="1" applyAlignment="1">
      <alignment horizontal="center"/>
    </xf>
    <xf numFmtId="164" fontId="0" fillId="0" borderId="1" xfId="0" applyNumberFormat="1" applyBorder="1" applyAlignment="1">
      <alignment horizontal="center"/>
    </xf>
    <xf numFmtId="0" fontId="2" fillId="0" borderId="0" xfId="0" applyFont="1"/>
    <xf numFmtId="0" fontId="0" fillId="0" borderId="1" xfId="0" applyBorder="1"/>
    <xf numFmtId="0" fontId="2" fillId="0" borderId="1" xfId="0" applyFont="1" applyBorder="1"/>
    <xf numFmtId="0" fontId="0" fillId="0" borderId="0" xfId="0" applyFont="1" applyAlignment="1">
      <alignment horizontal="center"/>
    </xf>
    <xf numFmtId="0" fontId="0" fillId="0" borderId="1" xfId="0" applyBorder="1" applyAlignment="1">
      <alignment horizontal="center"/>
    </xf>
    <xf numFmtId="0" fontId="0" fillId="0" borderId="1" xfId="0" applyBorder="1" applyAlignment="1">
      <alignment horizontal="center"/>
    </xf>
    <xf numFmtId="0" fontId="0" fillId="0" borderId="0" xfId="0" applyBorder="1"/>
    <xf numFmtId="0" fontId="0" fillId="8" borderId="1" xfId="0" applyFill="1" applyBorder="1" applyAlignment="1">
      <alignment horizontal="center"/>
    </xf>
    <xf numFmtId="0" fontId="0" fillId="8" borderId="12" xfId="0" applyFill="1" applyBorder="1" applyAlignment="1">
      <alignment horizontal="center"/>
    </xf>
    <xf numFmtId="0" fontId="0" fillId="10" borderId="12" xfId="0" applyFill="1" applyBorder="1" applyAlignment="1">
      <alignment horizontal="center"/>
    </xf>
    <xf numFmtId="0" fontId="5" fillId="0" borderId="7" xfId="0" applyFont="1" applyBorder="1" applyAlignment="1">
      <alignment vertical="center"/>
    </xf>
    <xf numFmtId="0" fontId="5" fillId="0" borderId="6" xfId="0" applyFont="1" applyBorder="1" applyAlignment="1">
      <alignment vertical="center" wrapText="1"/>
    </xf>
    <xf numFmtId="0" fontId="1" fillId="4" borderId="3" xfId="0" applyFont="1" applyFill="1" applyBorder="1" applyAlignment="1">
      <alignment horizontal="center"/>
    </xf>
    <xf numFmtId="0" fontId="3" fillId="0" borderId="15" xfId="0" applyFont="1" applyBorder="1" applyAlignment="1">
      <alignment vertical="center"/>
    </xf>
    <xf numFmtId="0" fontId="0" fillId="0" borderId="0" xfId="0" applyFont="1"/>
    <xf numFmtId="0" fontId="3" fillId="0" borderId="9" xfId="0" applyNumberFormat="1" applyFont="1" applyBorder="1" applyAlignment="1">
      <alignment vertical="center"/>
    </xf>
    <xf numFmtId="0" fontId="0" fillId="0" borderId="0" xfId="0" applyNumberFormat="1"/>
    <xf numFmtId="0" fontId="0" fillId="6" borderId="8" xfId="0" applyFill="1" applyBorder="1" applyAlignment="1">
      <alignment horizontal="center"/>
    </xf>
    <xf numFmtId="0" fontId="0" fillId="6" borderId="9" xfId="0" applyFill="1" applyBorder="1" applyAlignment="1">
      <alignment horizontal="center"/>
    </xf>
    <xf numFmtId="0" fontId="0" fillId="6" borderId="23" xfId="0" applyFill="1" applyBorder="1"/>
    <xf numFmtId="0" fontId="0" fillId="0" borderId="0" xfId="0" applyAlignment="1">
      <alignment vertical="center"/>
    </xf>
    <xf numFmtId="164" fontId="7" fillId="11" borderId="7" xfId="0" applyNumberFormat="1" applyFont="1" applyFill="1" applyBorder="1" applyAlignment="1">
      <alignment horizontal="left" vertical="center"/>
    </xf>
    <xf numFmtId="164" fontId="7" fillId="11" borderId="6" xfId="0" applyNumberFormat="1" applyFont="1" applyFill="1" applyBorder="1" applyAlignment="1">
      <alignment horizontal="left" vertical="center"/>
    </xf>
    <xf numFmtId="0" fontId="1" fillId="0" borderId="0" xfId="0" applyFont="1" applyAlignment="1">
      <alignment horizontal="center"/>
    </xf>
    <xf numFmtId="0" fontId="3" fillId="13" borderId="26" xfId="0" applyFont="1" applyFill="1" applyBorder="1" applyAlignment="1">
      <alignment vertical="center"/>
    </xf>
    <xf numFmtId="164" fontId="0" fillId="3" borderId="1" xfId="0" applyNumberFormat="1" applyFill="1" applyBorder="1" applyAlignment="1">
      <alignment horizontal="center"/>
    </xf>
    <xf numFmtId="164" fontId="0" fillId="4" borderId="1" xfId="0" applyNumberFormat="1" applyFill="1" applyBorder="1" applyAlignment="1">
      <alignment horizontal="center"/>
    </xf>
    <xf numFmtId="0" fontId="5" fillId="0" borderId="6" xfId="0" applyFont="1" applyBorder="1" applyAlignment="1">
      <alignment vertical="center"/>
    </xf>
    <xf numFmtId="0" fontId="5" fillId="0" borderId="6" xfId="0" applyFont="1" applyBorder="1" applyAlignment="1">
      <alignment horizontal="center" vertical="center"/>
    </xf>
    <xf numFmtId="0" fontId="0" fillId="0" borderId="6" xfId="0" applyBorder="1"/>
    <xf numFmtId="49" fontId="0" fillId="0" borderId="0" xfId="0" applyNumberFormat="1" applyFill="1" applyBorder="1" applyAlignment="1">
      <alignment horizontal="center"/>
    </xf>
    <xf numFmtId="164" fontId="0" fillId="0" borderId="0" xfId="0" applyNumberFormat="1" applyFill="1" applyBorder="1" applyAlignment="1">
      <alignment horizontal="center"/>
    </xf>
    <xf numFmtId="0" fontId="0" fillId="0" borderId="0" xfId="0" applyFill="1"/>
    <xf numFmtId="164" fontId="0" fillId="6" borderId="10" xfId="0" applyNumberFormat="1" applyFill="1" applyBorder="1" applyAlignment="1">
      <alignment horizontal="center"/>
    </xf>
    <xf numFmtId="164" fontId="0" fillId="6" borderId="18" xfId="0" applyNumberFormat="1" applyFill="1" applyBorder="1" applyAlignment="1">
      <alignment horizontal="center"/>
    </xf>
    <xf numFmtId="0" fontId="3" fillId="7" borderId="2" xfId="0" applyNumberFormat="1" applyFont="1" applyFill="1" applyBorder="1" applyAlignment="1">
      <alignment horizontal="center" vertical="center" wrapText="1"/>
    </xf>
    <xf numFmtId="0" fontId="3" fillId="0" borderId="3" xfId="0" applyFont="1" applyBorder="1" applyAlignment="1">
      <alignment vertical="center"/>
    </xf>
    <xf numFmtId="0" fontId="1" fillId="0" borderId="0" xfId="0" applyFont="1" applyBorder="1" applyAlignment="1">
      <alignment horizontal="center" vertical="center"/>
    </xf>
    <xf numFmtId="0" fontId="2" fillId="0" borderId="0" xfId="0" applyFont="1" applyBorder="1"/>
    <xf numFmtId="0" fontId="6" fillId="0" borderId="0" xfId="0" applyFont="1" applyAlignment="1">
      <alignment horizontal="center"/>
    </xf>
    <xf numFmtId="0" fontId="6" fillId="0" borderId="0" xfId="0" applyFont="1"/>
    <xf numFmtId="0" fontId="6" fillId="0" borderId="0" xfId="0" applyFont="1" applyBorder="1" applyAlignment="1">
      <alignment horizontal="center"/>
    </xf>
    <xf numFmtId="0" fontId="1" fillId="3" borderId="1" xfId="0" applyFont="1" applyFill="1" applyBorder="1" applyAlignment="1">
      <alignment horizontal="center"/>
    </xf>
    <xf numFmtId="0" fontId="1" fillId="9" borderId="0" xfId="0" applyFont="1" applyFill="1" applyBorder="1" applyAlignment="1">
      <alignment vertical="center"/>
    </xf>
    <xf numFmtId="0" fontId="3" fillId="0" borderId="4" xfId="0" applyFont="1" applyBorder="1" applyAlignment="1">
      <alignment vertical="center"/>
    </xf>
    <xf numFmtId="0" fontId="3" fillId="13" borderId="3" xfId="0" applyFont="1" applyFill="1" applyBorder="1" applyAlignment="1">
      <alignment vertical="center"/>
    </xf>
    <xf numFmtId="2" fontId="3" fillId="7" borderId="2" xfId="0" applyNumberFormat="1" applyFont="1" applyFill="1" applyBorder="1" applyAlignment="1">
      <alignment horizontal="center" vertical="center" wrapText="1"/>
    </xf>
    <xf numFmtId="2" fontId="3" fillId="7" borderId="21" xfId="0" applyNumberFormat="1" applyFont="1" applyFill="1" applyBorder="1" applyAlignment="1">
      <alignment horizontal="center" vertical="center" wrapText="1"/>
    </xf>
    <xf numFmtId="0" fontId="3" fillId="0" borderId="25" xfId="0" applyFont="1" applyBorder="1" applyAlignment="1">
      <alignment vertical="center"/>
    </xf>
    <xf numFmtId="0" fontId="3" fillId="13" borderId="13" xfId="0" applyFont="1" applyFill="1" applyBorder="1" applyAlignment="1">
      <alignment vertical="center"/>
    </xf>
    <xf numFmtId="0" fontId="3" fillId="13" borderId="15" xfId="0" applyFont="1" applyFill="1" applyBorder="1" applyAlignment="1">
      <alignment vertical="center"/>
    </xf>
    <xf numFmtId="0" fontId="3" fillId="13" borderId="4" xfId="0" applyFont="1" applyFill="1" applyBorder="1" applyAlignment="1">
      <alignment vertical="center"/>
    </xf>
    <xf numFmtId="0" fontId="3" fillId="0" borderId="1" xfId="0" applyNumberFormat="1" applyFont="1" applyBorder="1" applyAlignment="1">
      <alignment horizontal="center" vertical="center"/>
    </xf>
    <xf numFmtId="0" fontId="3" fillId="13" borderId="9" xfId="0" applyNumberFormat="1" applyFont="1" applyFill="1" applyBorder="1" applyAlignment="1">
      <alignment horizontal="center" vertical="center"/>
    </xf>
    <xf numFmtId="0" fontId="3" fillId="13" borderId="1" xfId="0" applyNumberFormat="1" applyFont="1" applyFill="1" applyBorder="1" applyAlignment="1">
      <alignment horizontal="center" vertical="center"/>
    </xf>
    <xf numFmtId="0" fontId="3" fillId="7" borderId="0" xfId="0" applyFont="1" applyFill="1" applyBorder="1" applyAlignment="1">
      <alignment horizontal="center" vertical="center"/>
    </xf>
    <xf numFmtId="0" fontId="3" fillId="0" borderId="0" xfId="0" applyFont="1"/>
    <xf numFmtId="0" fontId="3" fillId="0" borderId="0" xfId="0" applyFont="1" applyFill="1" applyBorder="1" applyAlignment="1">
      <alignment vertical="center"/>
    </xf>
    <xf numFmtId="0" fontId="3" fillId="0" borderId="0" xfId="0" applyFont="1" applyAlignment="1">
      <alignment vertical="center"/>
    </xf>
    <xf numFmtId="0" fontId="3" fillId="13" borderId="23" xfId="0" applyFont="1" applyFill="1" applyBorder="1" applyAlignment="1">
      <alignment vertical="center"/>
    </xf>
    <xf numFmtId="0" fontId="3" fillId="13" borderId="0" xfId="0" applyFont="1" applyFill="1" applyBorder="1" applyAlignment="1">
      <alignment vertical="center"/>
    </xf>
    <xf numFmtId="0" fontId="3" fillId="0" borderId="3" xfId="0" applyNumberFormat="1" applyFont="1" applyBorder="1" applyAlignment="1">
      <alignment horizontal="center" vertical="center"/>
    </xf>
    <xf numFmtId="0" fontId="3" fillId="0" borderId="4" xfId="0" applyNumberFormat="1" applyFont="1" applyBorder="1" applyAlignment="1">
      <alignment horizontal="center" vertical="center"/>
    </xf>
    <xf numFmtId="0" fontId="3" fillId="13" borderId="26" xfId="0" applyNumberFormat="1" applyFont="1" applyFill="1" applyBorder="1" applyAlignment="1">
      <alignment horizontal="center" vertical="center"/>
    </xf>
    <xf numFmtId="0" fontId="3" fillId="13" borderId="3" xfId="0" applyNumberFormat="1" applyFont="1" applyFill="1" applyBorder="1" applyAlignment="1">
      <alignment horizontal="center" vertical="center"/>
    </xf>
    <xf numFmtId="164" fontId="0" fillId="6" borderId="1" xfId="0" applyNumberFormat="1" applyFill="1" applyBorder="1" applyAlignment="1">
      <alignment horizontal="center"/>
    </xf>
    <xf numFmtId="0" fontId="0" fillId="6" borderId="11" xfId="0" applyFill="1" applyBorder="1" applyAlignment="1">
      <alignment horizontal="center"/>
    </xf>
    <xf numFmtId="164" fontId="0" fillId="6" borderId="0" xfId="0" applyNumberFormat="1" applyFill="1" applyBorder="1" applyAlignment="1">
      <alignment horizontal="center"/>
    </xf>
    <xf numFmtId="164" fontId="0" fillId="6" borderId="15" xfId="0" applyNumberFormat="1" applyFill="1" applyBorder="1" applyAlignment="1">
      <alignment horizontal="center"/>
    </xf>
    <xf numFmtId="0" fontId="0" fillId="6" borderId="1" xfId="0" applyFill="1" applyBorder="1" applyAlignment="1">
      <alignment horizontal="center"/>
    </xf>
    <xf numFmtId="0" fontId="0" fillId="6" borderId="22" xfId="0" applyFill="1" applyBorder="1" applyAlignment="1">
      <alignment horizontal="center"/>
    </xf>
    <xf numFmtId="0" fontId="1" fillId="0" borderId="0" xfId="0" applyFont="1" applyAlignment="1">
      <alignment horizontal="center"/>
    </xf>
    <xf numFmtId="0" fontId="1" fillId="14" borderId="3" xfId="0" applyFont="1" applyFill="1" applyBorder="1" applyAlignment="1">
      <alignment horizontal="center"/>
    </xf>
    <xf numFmtId="164" fontId="0" fillId="14" borderId="1" xfId="0" applyNumberFormat="1" applyFill="1" applyBorder="1" applyAlignment="1">
      <alignment horizontal="center"/>
    </xf>
    <xf numFmtId="2" fontId="3" fillId="7" borderId="2" xfId="0" applyNumberFormat="1" applyFont="1" applyFill="1" applyBorder="1" applyAlignment="1">
      <alignment horizontal="center" vertical="center"/>
    </xf>
    <xf numFmtId="0" fontId="3" fillId="13" borderId="26" xfId="0" applyFont="1" applyFill="1" applyBorder="1" applyAlignment="1">
      <alignment horizontal="center" vertical="center"/>
    </xf>
    <xf numFmtId="0" fontId="3" fillId="13" borderId="3" xfId="0" applyFont="1" applyFill="1" applyBorder="1" applyAlignment="1">
      <alignment horizontal="center" vertical="center"/>
    </xf>
    <xf numFmtId="0" fontId="0" fillId="0" borderId="0" xfId="0" applyAlignment="1"/>
    <xf numFmtId="0" fontId="3" fillId="0" borderId="3" xfId="0" applyNumberFormat="1" applyFont="1" applyFill="1" applyBorder="1" applyAlignment="1">
      <alignment vertical="center"/>
    </xf>
    <xf numFmtId="2" fontId="3" fillId="0" borderId="15" xfId="0" applyNumberFormat="1" applyFont="1" applyFill="1" applyBorder="1" applyAlignment="1">
      <alignment vertical="center"/>
    </xf>
    <xf numFmtId="0" fontId="3" fillId="0" borderId="1" xfId="0" applyNumberFormat="1" applyFont="1" applyFill="1" applyBorder="1" applyAlignment="1">
      <alignment horizontal="center" vertical="center"/>
    </xf>
    <xf numFmtId="0" fontId="3" fillId="0" borderId="3" xfId="0" applyNumberFormat="1" applyFont="1" applyFill="1" applyBorder="1" applyAlignment="1">
      <alignment horizontal="center" vertical="center"/>
    </xf>
    <xf numFmtId="2" fontId="3" fillId="0" borderId="3" xfId="0" applyNumberFormat="1" applyFont="1" applyFill="1" applyBorder="1" applyAlignment="1">
      <alignment horizontal="center" vertical="center"/>
    </xf>
    <xf numFmtId="0" fontId="3" fillId="0" borderId="0" xfId="0" applyFont="1" applyFill="1"/>
    <xf numFmtId="0" fontId="3" fillId="0" borderId="21" xfId="0" applyFont="1" applyBorder="1" applyAlignment="1">
      <alignment vertical="center"/>
    </xf>
    <xf numFmtId="0" fontId="3" fillId="0" borderId="22" xfId="0" applyNumberFormat="1" applyFont="1" applyBorder="1" applyAlignment="1">
      <alignment horizontal="center" vertical="center"/>
    </xf>
    <xf numFmtId="0" fontId="3" fillId="13" borderId="31" xfId="0" applyNumberFormat="1" applyFont="1" applyFill="1" applyBorder="1" applyAlignment="1">
      <alignment vertical="center"/>
    </xf>
    <xf numFmtId="0" fontId="3" fillId="13" borderId="29" xfId="0" applyFont="1" applyFill="1" applyBorder="1" applyAlignment="1">
      <alignment vertical="center"/>
    </xf>
    <xf numFmtId="0" fontId="3" fillId="13" borderId="32" xfId="0" applyNumberFormat="1" applyFont="1" applyFill="1" applyBorder="1" applyAlignment="1">
      <alignment vertical="center"/>
    </xf>
    <xf numFmtId="0" fontId="3" fillId="13" borderId="24" xfId="0" applyFont="1" applyFill="1" applyBorder="1" applyAlignment="1">
      <alignment vertical="center"/>
    </xf>
    <xf numFmtId="0" fontId="3" fillId="13" borderId="33" xfId="0" applyNumberFormat="1" applyFont="1" applyFill="1" applyBorder="1" applyAlignment="1">
      <alignment vertical="center"/>
    </xf>
    <xf numFmtId="0" fontId="3" fillId="13" borderId="34" xfId="0" applyFont="1" applyFill="1" applyBorder="1" applyAlignment="1">
      <alignment vertical="center"/>
    </xf>
    <xf numFmtId="0" fontId="3" fillId="13" borderId="11" xfId="0" applyNumberFormat="1" applyFont="1" applyFill="1" applyBorder="1" applyAlignment="1">
      <alignment horizontal="center" vertical="center"/>
    </xf>
    <xf numFmtId="0" fontId="3" fillId="13" borderId="35" xfId="0" applyNumberFormat="1" applyFont="1" applyFill="1" applyBorder="1" applyAlignment="1">
      <alignment horizontal="center" vertical="center"/>
    </xf>
    <xf numFmtId="0" fontId="3" fillId="13" borderId="35" xfId="0" applyFont="1" applyFill="1" applyBorder="1" applyAlignment="1">
      <alignment horizontal="center" vertical="center"/>
    </xf>
    <xf numFmtId="0" fontId="3" fillId="13" borderId="30" xfId="0" applyFont="1" applyFill="1" applyBorder="1" applyAlignment="1">
      <alignment vertical="center"/>
    </xf>
    <xf numFmtId="0" fontId="3" fillId="8" borderId="8" xfId="0" applyFont="1" applyFill="1" applyBorder="1" applyAlignment="1">
      <alignment horizontal="center"/>
    </xf>
    <xf numFmtId="0" fontId="3" fillId="8" borderId="10" xfId="0" applyFont="1" applyFill="1" applyBorder="1" applyAlignment="1">
      <alignment horizontal="center"/>
    </xf>
    <xf numFmtId="0" fontId="3" fillId="8" borderId="18" xfId="0" applyFont="1" applyFill="1" applyBorder="1" applyAlignment="1">
      <alignment horizontal="center"/>
    </xf>
    <xf numFmtId="0" fontId="3" fillId="13" borderId="39" xfId="0" applyNumberFormat="1" applyFont="1" applyFill="1" applyBorder="1" applyAlignment="1">
      <alignment vertical="center"/>
    </xf>
    <xf numFmtId="0" fontId="3" fillId="13" borderId="25" xfId="0" applyNumberFormat="1" applyFont="1" applyFill="1" applyBorder="1" applyAlignment="1">
      <alignment vertical="center"/>
    </xf>
    <xf numFmtId="0" fontId="3" fillId="13" borderId="1" xfId="0" applyNumberFormat="1" applyFont="1" applyFill="1" applyBorder="1" applyAlignment="1">
      <alignment vertical="center"/>
    </xf>
    <xf numFmtId="0" fontId="11" fillId="8" borderId="12" xfId="0" applyFont="1" applyFill="1" applyBorder="1" applyAlignment="1">
      <alignment horizontal="left"/>
    </xf>
    <xf numFmtId="0" fontId="2" fillId="6" borderId="1" xfId="0" applyFont="1" applyFill="1" applyBorder="1"/>
    <xf numFmtId="0" fontId="0" fillId="6" borderId="1" xfId="0" applyFill="1" applyBorder="1"/>
    <xf numFmtId="0" fontId="6" fillId="6" borderId="1" xfId="0" applyFont="1" applyFill="1" applyBorder="1" applyAlignment="1">
      <alignment horizontal="center"/>
    </xf>
    <xf numFmtId="0" fontId="0" fillId="0" borderId="1" xfId="0" applyFill="1" applyBorder="1"/>
    <xf numFmtId="0" fontId="0" fillId="0" borderId="1" xfId="0" applyFill="1" applyBorder="1" applyAlignment="1">
      <alignment horizontal="center"/>
    </xf>
    <xf numFmtId="0" fontId="2" fillId="6" borderId="1" xfId="0" applyFont="1" applyFill="1" applyBorder="1" applyAlignment="1">
      <alignment horizontal="right"/>
    </xf>
    <xf numFmtId="0" fontId="3" fillId="13" borderId="39" xfId="0" applyNumberFormat="1" applyFont="1" applyFill="1" applyBorder="1" applyAlignment="1">
      <alignment horizontal="center" vertical="center"/>
    </xf>
    <xf numFmtId="0" fontId="13" fillId="0" borderId="0" xfId="0" applyFont="1"/>
    <xf numFmtId="0" fontId="7" fillId="12" borderId="7" xfId="0" applyFont="1" applyFill="1" applyBorder="1" applyAlignment="1">
      <alignment horizontal="center" vertical="center" wrapText="1"/>
    </xf>
    <xf numFmtId="0" fontId="7" fillId="12" borderId="6" xfId="0" applyFont="1" applyFill="1" applyBorder="1" applyAlignment="1">
      <alignment horizontal="center" vertical="center" wrapText="1"/>
    </xf>
    <xf numFmtId="0" fontId="7" fillId="12" borderId="5" xfId="0" applyFont="1" applyFill="1" applyBorder="1" applyAlignment="1">
      <alignment horizontal="center" vertical="center" wrapText="1"/>
    </xf>
    <xf numFmtId="14" fontId="3" fillId="0" borderId="9" xfId="0" applyNumberFormat="1" applyFont="1" applyBorder="1" applyAlignment="1">
      <alignment horizontal="center" vertical="center"/>
    </xf>
    <xf numFmtId="0" fontId="3" fillId="0" borderId="16" xfId="0" applyFont="1" applyBorder="1" applyAlignment="1">
      <alignment horizontal="center" vertical="center"/>
    </xf>
    <xf numFmtId="14" fontId="3" fillId="0" borderId="1" xfId="0" applyNumberFormat="1" applyFont="1" applyBorder="1" applyAlignment="1">
      <alignment horizontal="center" vertical="center"/>
    </xf>
    <xf numFmtId="0" fontId="3" fillId="0" borderId="17" xfId="0" applyFont="1" applyBorder="1" applyAlignment="1">
      <alignment horizontal="center" vertical="center"/>
    </xf>
    <xf numFmtId="14" fontId="3" fillId="0" borderId="11" xfId="0" applyNumberFormat="1" applyFont="1" applyBorder="1" applyAlignment="1">
      <alignment horizontal="center" vertical="center"/>
    </xf>
    <xf numFmtId="0" fontId="3" fillId="0" borderId="36" xfId="0" applyFont="1" applyBorder="1" applyAlignment="1">
      <alignment horizontal="center" vertical="center"/>
    </xf>
    <xf numFmtId="0" fontId="3" fillId="0" borderId="35" xfId="0" applyFont="1" applyBorder="1" applyAlignment="1">
      <alignment horizontal="left" vertical="center"/>
    </xf>
    <xf numFmtId="0" fontId="3" fillId="0" borderId="37" xfId="0" applyFont="1" applyBorder="1" applyAlignment="1">
      <alignment horizontal="left" vertical="center"/>
    </xf>
    <xf numFmtId="0" fontId="3" fillId="0" borderId="38" xfId="0" applyFont="1" applyBorder="1" applyAlignment="1">
      <alignment horizontal="left" vertical="center"/>
    </xf>
    <xf numFmtId="0" fontId="3" fillId="0" borderId="3" xfId="0" applyFont="1" applyBorder="1" applyAlignment="1">
      <alignment horizontal="left" vertical="center"/>
    </xf>
    <xf numFmtId="0" fontId="3" fillId="0" borderId="14" xfId="0" applyFont="1" applyBorder="1" applyAlignment="1">
      <alignment horizontal="left" vertical="center"/>
    </xf>
    <xf numFmtId="0" fontId="3" fillId="0" borderId="20" xfId="0" applyFont="1" applyBorder="1" applyAlignment="1">
      <alignment horizontal="left" vertical="center"/>
    </xf>
    <xf numFmtId="0" fontId="3" fillId="0" borderId="26" xfId="0" applyFont="1" applyBorder="1" applyAlignment="1">
      <alignment horizontal="left" vertical="center"/>
    </xf>
    <xf numFmtId="0" fontId="3" fillId="0" borderId="27" xfId="0" applyFont="1" applyBorder="1" applyAlignment="1">
      <alignment horizontal="left" vertical="center"/>
    </xf>
    <xf numFmtId="0" fontId="3" fillId="0" borderId="28" xfId="0" applyFont="1" applyBorder="1" applyAlignment="1">
      <alignment horizontal="left" vertical="center"/>
    </xf>
    <xf numFmtId="0" fontId="7" fillId="11" borderId="7" xfId="0" applyFont="1" applyFill="1" applyBorder="1" applyAlignment="1">
      <alignment horizontal="left"/>
    </xf>
    <xf numFmtId="0" fontId="7" fillId="11" borderId="6" xfId="0" applyFont="1" applyFill="1" applyBorder="1" applyAlignment="1">
      <alignment horizontal="left"/>
    </xf>
    <xf numFmtId="164" fontId="7" fillId="11" borderId="7" xfId="0" applyNumberFormat="1" applyFont="1" applyFill="1" applyBorder="1" applyAlignment="1">
      <alignment horizontal="left"/>
    </xf>
    <xf numFmtId="164" fontId="7" fillId="11" borderId="6" xfId="0" applyNumberFormat="1" applyFont="1" applyFill="1" applyBorder="1" applyAlignment="1">
      <alignment horizontal="left"/>
    </xf>
    <xf numFmtId="0" fontId="1" fillId="0" borderId="19" xfId="0" applyFont="1" applyBorder="1" applyAlignment="1">
      <alignment horizontal="center" vertical="center" wrapText="1"/>
    </xf>
    <xf numFmtId="0" fontId="1" fillId="0" borderId="21" xfId="0" applyFont="1" applyBorder="1" applyAlignment="1">
      <alignment horizontal="center" vertical="center"/>
    </xf>
    <xf numFmtId="0" fontId="1" fillId="0" borderId="22" xfId="0" applyFont="1" applyBorder="1" applyAlignment="1">
      <alignment horizontal="center" vertical="center" wrapText="1"/>
    </xf>
    <xf numFmtId="0" fontId="1" fillId="0" borderId="2" xfId="0" applyFont="1" applyBorder="1" applyAlignment="1">
      <alignment horizontal="center" vertical="center" wrapText="1"/>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7" fillId="11" borderId="7" xfId="0" applyFont="1" applyFill="1" applyBorder="1" applyAlignment="1">
      <alignment horizontal="left" wrapText="1"/>
    </xf>
    <xf numFmtId="0" fontId="1" fillId="0" borderId="21" xfId="0" applyFont="1" applyBorder="1" applyAlignment="1">
      <alignment horizontal="center" vertical="center" wrapText="1"/>
    </xf>
    <xf numFmtId="0" fontId="1" fillId="0" borderId="25" xfId="0" applyFont="1" applyBorder="1" applyAlignment="1">
      <alignment horizontal="center" vertical="center" wrapText="1"/>
    </xf>
    <xf numFmtId="164" fontId="7" fillId="11" borderId="7" xfId="0" applyNumberFormat="1" applyFont="1" applyFill="1" applyBorder="1" applyAlignment="1">
      <alignment horizontal="left" vertical="center"/>
    </xf>
    <xf numFmtId="164" fontId="7" fillId="11" borderId="6" xfId="0" applyNumberFormat="1" applyFont="1" applyFill="1" applyBorder="1" applyAlignment="1">
      <alignment horizontal="left" vertical="center"/>
    </xf>
  </cellXfs>
  <cellStyles count="7">
    <cellStyle name="Normal" xfId="0" builtinId="0"/>
    <cellStyle name="Normal 2" xfId="1" xr:uid="{00000000-0005-0000-0000-000001000000}"/>
    <cellStyle name="Normal 2 2" xfId="5" xr:uid="{00000000-0005-0000-0000-000002000000}"/>
    <cellStyle name="Normal 2 2 2" xfId="3" xr:uid="{00000000-0005-0000-0000-000003000000}"/>
    <cellStyle name="Normal 3" xfId="2" xr:uid="{00000000-0005-0000-0000-000004000000}"/>
    <cellStyle name="Normal 3 2" xfId="4" xr:uid="{00000000-0005-0000-0000-000005000000}"/>
    <cellStyle name="Normal 4" xfId="6" xr:uid="{00000000-0005-0000-0000-000006000000}"/>
  </cellStyles>
  <dxfs count="9">
    <dxf>
      <font>
        <strike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6"/>
        <color theme="1"/>
        <name val="Calibri"/>
        <scheme val="minor"/>
      </font>
      <numFmt numFmtId="165" formatCode="#,000"/>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numFmt numFmtId="2" formatCode="0.00"/>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Medium9"/>
  <colors>
    <mruColors>
      <color rgb="FF5F5F5F"/>
      <color rgb="FFBA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5.xml"/><Relationship Id="rId13" Type="http://schemas.openxmlformats.org/officeDocument/2006/relationships/styles" Target="styles.xml"/><Relationship Id="rId3" Type="http://schemas.openxmlformats.org/officeDocument/2006/relationships/chartsheet" Target="chartsheets/sheet1.xml"/><Relationship Id="rId7" Type="http://schemas.openxmlformats.org/officeDocument/2006/relationships/chartsheet" Target="chartsheets/sheet3.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4.xml"/><Relationship Id="rId11" Type="http://schemas.openxmlformats.org/officeDocument/2006/relationships/externalLink" Target="externalLinks/externalLink2.xml"/><Relationship Id="rId5" Type="http://schemas.openxmlformats.org/officeDocument/2006/relationships/chartsheet" Target="chartsheets/sheet2.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3.xml"/><Relationship Id="rId9" Type="http://schemas.openxmlformats.org/officeDocument/2006/relationships/chartsheet" Target="chartsheets/sheet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1932821640450779E-2"/>
          <c:y val="0.14661961377408195"/>
          <c:w val="0.9002738512986157"/>
          <c:h val="0.63968468033016779"/>
        </c:manualLayout>
      </c:layout>
      <c:barChart>
        <c:barDir val="col"/>
        <c:grouping val="clustered"/>
        <c:varyColors val="0"/>
        <c:ser>
          <c:idx val="0"/>
          <c:order val="0"/>
          <c:tx>
            <c:v>R1</c:v>
          </c:tx>
          <c:spPr>
            <a:solidFill>
              <a:srgbClr val="00B050"/>
            </a:solidFill>
          </c:spPr>
          <c:invertIfNegative val="0"/>
          <c:errBars>
            <c:errBarType val="plus"/>
            <c:errValType val="cust"/>
            <c:noEndCap val="0"/>
            <c:plus>
              <c:numRef>
                <c:f>'R1'!$N$48:$V$48</c:f>
                <c:numCache>
                  <c:formatCode>General</c:formatCode>
                  <c:ptCount val="9"/>
                  <c:pt idx="0">
                    <c:v>0</c:v>
                  </c:pt>
                  <c:pt idx="1">
                    <c:v>8.4811608977736985E-2</c:v>
                  </c:pt>
                  <c:pt idx="2">
                    <c:v>0.20456691855751613</c:v>
                  </c:pt>
                  <c:pt idx="3">
                    <c:v>5.2855426446908521E-2</c:v>
                  </c:pt>
                  <c:pt idx="4">
                    <c:v>0.16414773659659593</c:v>
                  </c:pt>
                  <c:pt idx="5">
                    <c:v>0.14102513360172828</c:v>
                  </c:pt>
                  <c:pt idx="6">
                    <c:v>0.16682983081418282</c:v>
                  </c:pt>
                  <c:pt idx="7">
                    <c:v>0.14243250673968741</c:v>
                  </c:pt>
                  <c:pt idx="8">
                    <c:v>0.18542058060233729</c:v>
                  </c:pt>
                </c:numCache>
              </c:numRef>
            </c:plus>
            <c:minus>
              <c:numRef>
                <c:f>'R1'!$N$48:$V$48</c:f>
                <c:numCache>
                  <c:formatCode>General</c:formatCode>
                  <c:ptCount val="9"/>
                  <c:pt idx="0">
                    <c:v>0</c:v>
                  </c:pt>
                  <c:pt idx="1">
                    <c:v>8.4811608977736985E-2</c:v>
                  </c:pt>
                  <c:pt idx="2">
                    <c:v>0.20456691855751613</c:v>
                  </c:pt>
                  <c:pt idx="3">
                    <c:v>5.2855426446908521E-2</c:v>
                  </c:pt>
                  <c:pt idx="4">
                    <c:v>0.16414773659659593</c:v>
                  </c:pt>
                  <c:pt idx="5">
                    <c:v>0.14102513360172828</c:v>
                  </c:pt>
                  <c:pt idx="6">
                    <c:v>0.16682983081418282</c:v>
                  </c:pt>
                  <c:pt idx="7">
                    <c:v>0.14243250673968741</c:v>
                  </c:pt>
                  <c:pt idx="8">
                    <c:v>0.18542058060233729</c:v>
                  </c:pt>
                </c:numCache>
              </c:numRef>
            </c:minus>
          </c:errBars>
          <c:cat>
            <c:strRef>
              <c:f>'R1'!$B$52:$V$52</c:f>
              <c:strCache>
                <c:ptCount val="21"/>
                <c:pt idx="0">
                  <c:v>Solvent control</c:v>
                </c:pt>
                <c:pt idx="1">
                  <c:v>EE2-33.8ng/L</c:v>
                </c:pt>
                <c:pt idx="2">
                  <c:v>EE2-50.6ng/L</c:v>
                </c:pt>
                <c:pt idx="3">
                  <c:v>EE2-76ng/L</c:v>
                </c:pt>
                <c:pt idx="4">
                  <c:v>EE2-114ng/L</c:v>
                </c:pt>
                <c:pt idx="5">
                  <c:v>EE2-170.9ng/L</c:v>
                </c:pt>
                <c:pt idx="6">
                  <c:v>EE2-488ng/L</c:v>
                </c:pt>
                <c:pt idx="7">
                  <c:v>saccharin-100mg/L</c:v>
                </c:pt>
                <c:pt idx="8">
                  <c:v>saccharin-10mg/L</c:v>
                </c:pt>
                <c:pt idx="9">
                  <c:v>saccharin-1mg/L</c:v>
                </c:pt>
                <c:pt idx="10">
                  <c:v>saccharin-0.1mg/L</c:v>
                </c:pt>
                <c:pt idx="11">
                  <c:v>saccharin-0.01mg/L</c:v>
                </c:pt>
                <c:pt idx="13">
                  <c:v>Testo -30µg/L</c:v>
                </c:pt>
                <c:pt idx="14">
                  <c:v>Testo 30µg/L + EE2 -64ng/L</c:v>
                </c:pt>
                <c:pt idx="15">
                  <c:v>Testo 30µg/L + FAD-10mg/L</c:v>
                </c:pt>
                <c:pt idx="16">
                  <c:v>saccharin-100mg/L + Testostérone</c:v>
                </c:pt>
                <c:pt idx="17">
                  <c:v>saccharin-10mg/L + Testostérone</c:v>
                </c:pt>
                <c:pt idx="18">
                  <c:v>saccharin-1mg/L + Testostérone</c:v>
                </c:pt>
                <c:pt idx="19">
                  <c:v>saccharin-0.1mg/L + Testostérone</c:v>
                </c:pt>
                <c:pt idx="20">
                  <c:v>saccharin-0.01mg/L + Testostérone</c:v>
                </c:pt>
              </c:strCache>
            </c:strRef>
          </c:cat>
          <c:val>
            <c:numRef>
              <c:f>'R1'!$B$53:$V$53</c:f>
              <c:numCache>
                <c:formatCode>0.0000</c:formatCode>
                <c:ptCount val="21"/>
                <c:pt idx="0">
                  <c:v>0.1917084891654971</c:v>
                </c:pt>
                <c:pt idx="1">
                  <c:v>0.19845473029879684</c:v>
                </c:pt>
                <c:pt idx="2">
                  <c:v>0.54582042490972493</c:v>
                </c:pt>
                <c:pt idx="3">
                  <c:v>1.241108265162979</c:v>
                </c:pt>
                <c:pt idx="4">
                  <c:v>1.4516896224209597</c:v>
                </c:pt>
                <c:pt idx="5">
                  <c:v>1.5327481986104559</c:v>
                </c:pt>
                <c:pt idx="6">
                  <c:v>2.5519776809249124</c:v>
                </c:pt>
                <c:pt idx="7">
                  <c:v>8.1571081709610915E-2</c:v>
                </c:pt>
                <c:pt idx="8">
                  <c:v>2.6488913365177887E-2</c:v>
                </c:pt>
                <c:pt idx="9">
                  <c:v>0.17389868460350497</c:v>
                </c:pt>
                <c:pt idx="10">
                  <c:v>0.15248327331180961</c:v>
                </c:pt>
                <c:pt idx="11">
                  <c:v>0.16377696713598336</c:v>
                </c:pt>
                <c:pt idx="13">
                  <c:v>0.99999999999999989</c:v>
                </c:pt>
                <c:pt idx="14">
                  <c:v>1.6451117271759494</c:v>
                </c:pt>
                <c:pt idx="15">
                  <c:v>0.23569598642259484</c:v>
                </c:pt>
                <c:pt idx="16">
                  <c:v>1.1032802003045048</c:v>
                </c:pt>
                <c:pt idx="17">
                  <c:v>1.2547105247576007</c:v>
                </c:pt>
                <c:pt idx="18">
                  <c:v>1.554935004913</c:v>
                </c:pt>
                <c:pt idx="19">
                  <c:v>1.5198469491668078</c:v>
                </c:pt>
                <c:pt idx="20">
                  <c:v>1.3677050820483947</c:v>
                </c:pt>
              </c:numCache>
            </c:numRef>
          </c:val>
          <c:extLst>
            <c:ext xmlns:c16="http://schemas.microsoft.com/office/drawing/2014/chart" uri="{C3380CC4-5D6E-409C-BE32-E72D297353CC}">
              <c16:uniqueId val="{00000000-4E48-433F-93CE-959A7E8575BB}"/>
            </c:ext>
          </c:extLst>
        </c:ser>
        <c:dLbls>
          <c:showLegendKey val="0"/>
          <c:showVal val="0"/>
          <c:showCatName val="0"/>
          <c:showSerName val="0"/>
          <c:showPercent val="0"/>
          <c:showBubbleSize val="0"/>
        </c:dLbls>
        <c:gapWidth val="150"/>
        <c:axId val="324817512"/>
        <c:axId val="324817904"/>
      </c:barChart>
      <c:catAx>
        <c:axId val="324817512"/>
        <c:scaling>
          <c:orientation val="minMax"/>
        </c:scaling>
        <c:delete val="0"/>
        <c:axPos val="b"/>
        <c:numFmt formatCode="General" sourceLinked="1"/>
        <c:majorTickMark val="out"/>
        <c:minorTickMark val="none"/>
        <c:tickLblPos val="nextTo"/>
        <c:txPr>
          <a:bodyPr rot="-5400000" vert="horz"/>
          <a:lstStyle/>
          <a:p>
            <a:pPr>
              <a:defRPr lang="en-GB"/>
            </a:pPr>
            <a:endParaRPr lang="en-US"/>
          </a:p>
        </c:txPr>
        <c:crossAx val="324817904"/>
        <c:crosses val="autoZero"/>
        <c:auto val="1"/>
        <c:lblAlgn val="ctr"/>
        <c:lblOffset val="100"/>
        <c:noMultiLvlLbl val="0"/>
      </c:catAx>
      <c:valAx>
        <c:axId val="324817904"/>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324817512"/>
        <c:crosses val="autoZero"/>
        <c:crossBetween val="between"/>
        <c:majorUnit val="0.2"/>
        <c:minorUnit val="0.1"/>
      </c:valAx>
    </c:plotArea>
    <c:plotVisOnly val="1"/>
    <c:dispBlanksAs val="gap"/>
    <c:showDLblsOverMax val="0"/>
  </c:chart>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rgbClr val="C00000"/>
            </a:solidFill>
          </c:spPr>
          <c:invertIfNegative val="0"/>
          <c:dPt>
            <c:idx val="9"/>
            <c:invertIfNegative val="0"/>
            <c:bubble3D val="0"/>
            <c:extLst>
              <c:ext xmlns:c16="http://schemas.microsoft.com/office/drawing/2014/chart" uri="{C3380CC4-5D6E-409C-BE32-E72D297353CC}">
                <c16:uniqueId val="{00000001-EED2-4ACE-91AA-7F8713196E92}"/>
              </c:ext>
            </c:extLst>
          </c:dPt>
          <c:dPt>
            <c:idx val="11"/>
            <c:invertIfNegative val="0"/>
            <c:bubble3D val="0"/>
            <c:extLst>
              <c:ext xmlns:c16="http://schemas.microsoft.com/office/drawing/2014/chart" uri="{C3380CC4-5D6E-409C-BE32-E72D297353CC}">
                <c16:uniqueId val="{00000003-EED2-4ACE-91AA-7F8713196E92}"/>
              </c:ext>
            </c:extLst>
          </c:dPt>
          <c:dPt>
            <c:idx val="13"/>
            <c:invertIfNegative val="0"/>
            <c:bubble3D val="0"/>
            <c:extLst>
              <c:ext xmlns:c16="http://schemas.microsoft.com/office/drawing/2014/chart" uri="{C3380CC4-5D6E-409C-BE32-E72D297353CC}">
                <c16:uniqueId val="{00000005-EED2-4ACE-91AA-7F8713196E92}"/>
              </c:ext>
            </c:extLst>
          </c:dPt>
          <c:dPt>
            <c:idx val="15"/>
            <c:invertIfNegative val="0"/>
            <c:bubble3D val="0"/>
            <c:extLst>
              <c:ext xmlns:c16="http://schemas.microsoft.com/office/drawing/2014/chart" uri="{C3380CC4-5D6E-409C-BE32-E72D297353CC}">
                <c16:uniqueId val="{00000007-EED2-4ACE-91AA-7F8713196E92}"/>
              </c:ext>
            </c:extLst>
          </c:dPt>
          <c:dPt>
            <c:idx val="25"/>
            <c:invertIfNegative val="0"/>
            <c:bubble3D val="0"/>
            <c:extLst>
              <c:ext xmlns:c16="http://schemas.microsoft.com/office/drawing/2014/chart" uri="{C3380CC4-5D6E-409C-BE32-E72D297353CC}">
                <c16:uniqueId val="{00000009-EED2-4ACE-91AA-7F8713196E92}"/>
              </c:ext>
            </c:extLst>
          </c:dPt>
          <c:dPt>
            <c:idx val="26"/>
            <c:invertIfNegative val="0"/>
            <c:bubble3D val="0"/>
            <c:extLst>
              <c:ext xmlns:c16="http://schemas.microsoft.com/office/drawing/2014/chart" uri="{C3380CC4-5D6E-409C-BE32-E72D297353CC}">
                <c16:uniqueId val="{0000000B-EED2-4ACE-91AA-7F8713196E92}"/>
              </c:ext>
            </c:extLst>
          </c:dPt>
          <c:dPt>
            <c:idx val="27"/>
            <c:invertIfNegative val="0"/>
            <c:bubble3D val="0"/>
            <c:extLst>
              <c:ext xmlns:c16="http://schemas.microsoft.com/office/drawing/2014/chart" uri="{C3380CC4-5D6E-409C-BE32-E72D297353CC}">
                <c16:uniqueId val="{0000000D-EED2-4ACE-91AA-7F8713196E92}"/>
              </c:ext>
            </c:extLst>
          </c:dPt>
          <c:dPt>
            <c:idx val="28"/>
            <c:invertIfNegative val="0"/>
            <c:bubble3D val="0"/>
            <c:extLst>
              <c:ext xmlns:c16="http://schemas.microsoft.com/office/drawing/2014/chart" uri="{C3380CC4-5D6E-409C-BE32-E72D297353CC}">
                <c16:uniqueId val="{0000000F-EED2-4ACE-91AA-7F8713196E92}"/>
              </c:ext>
            </c:extLst>
          </c:dPt>
          <c:dPt>
            <c:idx val="30"/>
            <c:invertIfNegative val="0"/>
            <c:bubble3D val="0"/>
            <c:extLst>
              <c:ext xmlns:c16="http://schemas.microsoft.com/office/drawing/2014/chart" uri="{C3380CC4-5D6E-409C-BE32-E72D297353CC}">
                <c16:uniqueId val="{00000011-EED2-4ACE-91AA-7F8713196E92}"/>
              </c:ext>
            </c:extLst>
          </c:dPt>
          <c:dPt>
            <c:idx val="32"/>
            <c:invertIfNegative val="0"/>
            <c:bubble3D val="0"/>
            <c:extLst>
              <c:ext xmlns:c16="http://schemas.microsoft.com/office/drawing/2014/chart" uri="{C3380CC4-5D6E-409C-BE32-E72D297353CC}">
                <c16:uniqueId val="{00000013-EED2-4ACE-91AA-7F8713196E92}"/>
              </c:ext>
            </c:extLst>
          </c:dPt>
          <c:dPt>
            <c:idx val="34"/>
            <c:invertIfNegative val="0"/>
            <c:bubble3D val="0"/>
            <c:extLst>
              <c:ext xmlns:c16="http://schemas.microsoft.com/office/drawing/2014/chart" uri="{C3380CC4-5D6E-409C-BE32-E72D297353CC}">
                <c16:uniqueId val="{00000015-EED2-4ACE-91AA-7F8713196E92}"/>
              </c:ext>
            </c:extLst>
          </c:dPt>
          <c:errBars>
            <c:errBarType val="plus"/>
            <c:errValType val="cust"/>
            <c:noEndCap val="0"/>
            <c:plus>
              <c:numRef>
                <c:f>'R2'!$B$54:$V$54</c:f>
                <c:numCache>
                  <c:formatCode>General</c:formatCode>
                  <c:ptCount val="21"/>
                  <c:pt idx="0">
                    <c:v>3.4472569869339706E-2</c:v>
                  </c:pt>
                  <c:pt idx="1">
                    <c:v>8.0139660050007375E-2</c:v>
                  </c:pt>
                  <c:pt idx="2">
                    <c:v>0.10428533040209402</c:v>
                  </c:pt>
                  <c:pt idx="3">
                    <c:v>0.10382666621443115</c:v>
                  </c:pt>
                  <c:pt idx="4">
                    <c:v>0.10793415791432598</c:v>
                  </c:pt>
                  <c:pt idx="5">
                    <c:v>0.21805239616979483</c:v>
                  </c:pt>
                  <c:pt idx="6">
                    <c:v>0.1397839209070913</c:v>
                  </c:pt>
                  <c:pt idx="7">
                    <c:v>3.136304551876197E-2</c:v>
                  </c:pt>
                  <c:pt idx="8">
                    <c:v>2.5884661705452283E-2</c:v>
                  </c:pt>
                  <c:pt idx="9">
                    <c:v>6.738390437473317E-2</c:v>
                  </c:pt>
                  <c:pt idx="10">
                    <c:v>7.28486804232574E-2</c:v>
                  </c:pt>
                  <c:pt idx="11">
                    <c:v>2.0739809578835873E-2</c:v>
                  </c:pt>
                  <c:pt idx="13">
                    <c:v>0.10549977967943189</c:v>
                  </c:pt>
                  <c:pt idx="14">
                    <c:v>0.13075705894791365</c:v>
                  </c:pt>
                  <c:pt idx="15">
                    <c:v>3.1055540382807403E-2</c:v>
                  </c:pt>
                  <c:pt idx="16">
                    <c:v>0.10928066138129777</c:v>
                  </c:pt>
                  <c:pt idx="17">
                    <c:v>0.21496375020761471</c:v>
                  </c:pt>
                  <c:pt idx="18">
                    <c:v>0.16459592987888369</c:v>
                  </c:pt>
                  <c:pt idx="19">
                    <c:v>7.4815895861113341E-2</c:v>
                  </c:pt>
                  <c:pt idx="20">
                    <c:v>0.20521637860014993</c:v>
                  </c:pt>
                </c:numCache>
              </c:numRef>
            </c:plus>
            <c:minus>
              <c:numRef>
                <c:f>'R1'!$N$48:$V$48</c:f>
                <c:numCache>
                  <c:formatCode>General</c:formatCode>
                  <c:ptCount val="9"/>
                  <c:pt idx="0">
                    <c:v>0</c:v>
                  </c:pt>
                  <c:pt idx="1">
                    <c:v>8.4811608977736985E-2</c:v>
                  </c:pt>
                  <c:pt idx="2">
                    <c:v>0.20456691855751613</c:v>
                  </c:pt>
                  <c:pt idx="3">
                    <c:v>5.2855426446908521E-2</c:v>
                  </c:pt>
                  <c:pt idx="4">
                    <c:v>0.16414773659659593</c:v>
                  </c:pt>
                  <c:pt idx="5">
                    <c:v>0.14102513360172828</c:v>
                  </c:pt>
                  <c:pt idx="6">
                    <c:v>0.16682983081418282</c:v>
                  </c:pt>
                  <c:pt idx="7">
                    <c:v>0.14243250673968741</c:v>
                  </c:pt>
                  <c:pt idx="8">
                    <c:v>0.18542058060233729</c:v>
                  </c:pt>
                </c:numCache>
              </c:numRef>
            </c:minus>
          </c:errBars>
          <c:cat>
            <c:strRef>
              <c:f>'R2'!$B$52:$V$52</c:f>
              <c:strCache>
                <c:ptCount val="21"/>
                <c:pt idx="0">
                  <c:v>Solvent control</c:v>
                </c:pt>
                <c:pt idx="1">
                  <c:v>EE2-33.8ng/L</c:v>
                </c:pt>
                <c:pt idx="2">
                  <c:v>EE2-50.6ng/L</c:v>
                </c:pt>
                <c:pt idx="3">
                  <c:v>EE2-76ng/L</c:v>
                </c:pt>
                <c:pt idx="4">
                  <c:v>EE2-114ng/L</c:v>
                </c:pt>
                <c:pt idx="5">
                  <c:v>EE2-170.9ng/L</c:v>
                </c:pt>
                <c:pt idx="6">
                  <c:v>EE2-488ng/L</c:v>
                </c:pt>
                <c:pt idx="7">
                  <c:v>saccharin-100mg/L</c:v>
                </c:pt>
                <c:pt idx="8">
                  <c:v>saccharin-10mg/L</c:v>
                </c:pt>
                <c:pt idx="9">
                  <c:v>saccharin-1mg/L</c:v>
                </c:pt>
                <c:pt idx="10">
                  <c:v>saccharin-0.1mg/L</c:v>
                </c:pt>
                <c:pt idx="11">
                  <c:v>saccharin-0.01mg/L</c:v>
                </c:pt>
                <c:pt idx="13">
                  <c:v>Testo -30µg/L</c:v>
                </c:pt>
                <c:pt idx="14">
                  <c:v>Testo 30µg/L + EE2 -64ng/L</c:v>
                </c:pt>
                <c:pt idx="15">
                  <c:v>Testo 30µg/L + FAD-10mg/L</c:v>
                </c:pt>
                <c:pt idx="16">
                  <c:v>saccharin-100mg/L + Testostérone</c:v>
                </c:pt>
                <c:pt idx="17">
                  <c:v>saccharin-10mg/L + Testostérone</c:v>
                </c:pt>
                <c:pt idx="18">
                  <c:v>saccharin-1mg/L + Testostérone</c:v>
                </c:pt>
                <c:pt idx="19">
                  <c:v>saccharin-0.1mg/L + Testostérone</c:v>
                </c:pt>
                <c:pt idx="20">
                  <c:v>saccharin-0.01mg/L + Testostérone</c:v>
                </c:pt>
              </c:strCache>
            </c:strRef>
          </c:cat>
          <c:val>
            <c:numRef>
              <c:f>'R2'!$B$53:$V$53</c:f>
              <c:numCache>
                <c:formatCode>0.0000</c:formatCode>
                <c:ptCount val="21"/>
                <c:pt idx="0">
                  <c:v>0.11611617504007436</c:v>
                </c:pt>
                <c:pt idx="1">
                  <c:v>0.3177543077840268</c:v>
                </c:pt>
                <c:pt idx="2">
                  <c:v>0.36840831718406858</c:v>
                </c:pt>
                <c:pt idx="3">
                  <c:v>0.68224003150921508</c:v>
                </c:pt>
                <c:pt idx="4">
                  <c:v>1.0865063443456555</c:v>
                </c:pt>
                <c:pt idx="5">
                  <c:v>1.390767532545057</c:v>
                </c:pt>
                <c:pt idx="6">
                  <c:v>1.6577514272185208</c:v>
                </c:pt>
                <c:pt idx="7">
                  <c:v>0.1298832665158087</c:v>
                </c:pt>
                <c:pt idx="8">
                  <c:v>0.14559411995151311</c:v>
                </c:pt>
                <c:pt idx="9">
                  <c:v>0.15366947736415609</c:v>
                </c:pt>
                <c:pt idx="10">
                  <c:v>0.23056098101358691</c:v>
                </c:pt>
                <c:pt idx="11">
                  <c:v>5.6032801908761892E-2</c:v>
                </c:pt>
                <c:pt idx="13">
                  <c:v>1</c:v>
                </c:pt>
                <c:pt idx="14">
                  <c:v>1.7226662648854381</c:v>
                </c:pt>
                <c:pt idx="15">
                  <c:v>0.23088769142791124</c:v>
                </c:pt>
                <c:pt idx="16">
                  <c:v>1.2596817487500593</c:v>
                </c:pt>
                <c:pt idx="17">
                  <c:v>1.3484917638966738</c:v>
                </c:pt>
                <c:pt idx="18">
                  <c:v>1.094859242184212</c:v>
                </c:pt>
                <c:pt idx="19">
                  <c:v>0.85720903519221914</c:v>
                </c:pt>
                <c:pt idx="20">
                  <c:v>1.1462844024814927</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324818296"/>
        <c:axId val="324818688"/>
      </c:barChart>
      <c:catAx>
        <c:axId val="324818296"/>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324818688"/>
        <c:crosses val="autoZero"/>
        <c:auto val="1"/>
        <c:lblAlgn val="ctr"/>
        <c:lblOffset val="100"/>
        <c:noMultiLvlLbl val="0"/>
      </c:catAx>
      <c:valAx>
        <c:axId val="324818688"/>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324818296"/>
        <c:crosses val="autoZero"/>
        <c:crossBetween val="between"/>
        <c:majorUnit val="0.2"/>
      </c:valAx>
    </c:plotArea>
    <c:plotVisOnly val="1"/>
    <c:dispBlanksAs val="gap"/>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tx2"/>
            </a:solidFill>
          </c:spPr>
          <c:invertIfNegative val="0"/>
          <c:dPt>
            <c:idx val="9"/>
            <c:invertIfNegative val="0"/>
            <c:bubble3D val="0"/>
            <c:extLst>
              <c:ext xmlns:c16="http://schemas.microsoft.com/office/drawing/2014/chart" uri="{C3380CC4-5D6E-409C-BE32-E72D297353CC}">
                <c16:uniqueId val="{00000001-EED2-4ACE-91AA-7F8713196E92}"/>
              </c:ext>
            </c:extLst>
          </c:dPt>
          <c:dPt>
            <c:idx val="11"/>
            <c:invertIfNegative val="0"/>
            <c:bubble3D val="0"/>
            <c:extLst>
              <c:ext xmlns:c16="http://schemas.microsoft.com/office/drawing/2014/chart" uri="{C3380CC4-5D6E-409C-BE32-E72D297353CC}">
                <c16:uniqueId val="{00000003-EED2-4ACE-91AA-7F8713196E92}"/>
              </c:ext>
            </c:extLst>
          </c:dPt>
          <c:dPt>
            <c:idx val="13"/>
            <c:invertIfNegative val="0"/>
            <c:bubble3D val="0"/>
            <c:extLst>
              <c:ext xmlns:c16="http://schemas.microsoft.com/office/drawing/2014/chart" uri="{C3380CC4-5D6E-409C-BE32-E72D297353CC}">
                <c16:uniqueId val="{00000005-EED2-4ACE-91AA-7F8713196E92}"/>
              </c:ext>
            </c:extLst>
          </c:dPt>
          <c:dPt>
            <c:idx val="15"/>
            <c:invertIfNegative val="0"/>
            <c:bubble3D val="0"/>
            <c:extLst>
              <c:ext xmlns:c16="http://schemas.microsoft.com/office/drawing/2014/chart" uri="{C3380CC4-5D6E-409C-BE32-E72D297353CC}">
                <c16:uniqueId val="{00000007-EED2-4ACE-91AA-7F8713196E92}"/>
              </c:ext>
            </c:extLst>
          </c:dPt>
          <c:dPt>
            <c:idx val="25"/>
            <c:invertIfNegative val="0"/>
            <c:bubble3D val="0"/>
            <c:extLst>
              <c:ext xmlns:c16="http://schemas.microsoft.com/office/drawing/2014/chart" uri="{C3380CC4-5D6E-409C-BE32-E72D297353CC}">
                <c16:uniqueId val="{00000009-EED2-4ACE-91AA-7F8713196E92}"/>
              </c:ext>
            </c:extLst>
          </c:dPt>
          <c:dPt>
            <c:idx val="26"/>
            <c:invertIfNegative val="0"/>
            <c:bubble3D val="0"/>
            <c:extLst>
              <c:ext xmlns:c16="http://schemas.microsoft.com/office/drawing/2014/chart" uri="{C3380CC4-5D6E-409C-BE32-E72D297353CC}">
                <c16:uniqueId val="{0000000B-EED2-4ACE-91AA-7F8713196E92}"/>
              </c:ext>
            </c:extLst>
          </c:dPt>
          <c:dPt>
            <c:idx val="27"/>
            <c:invertIfNegative val="0"/>
            <c:bubble3D val="0"/>
            <c:extLst>
              <c:ext xmlns:c16="http://schemas.microsoft.com/office/drawing/2014/chart" uri="{C3380CC4-5D6E-409C-BE32-E72D297353CC}">
                <c16:uniqueId val="{0000000D-EED2-4ACE-91AA-7F8713196E92}"/>
              </c:ext>
            </c:extLst>
          </c:dPt>
          <c:dPt>
            <c:idx val="28"/>
            <c:invertIfNegative val="0"/>
            <c:bubble3D val="0"/>
            <c:extLst>
              <c:ext xmlns:c16="http://schemas.microsoft.com/office/drawing/2014/chart" uri="{C3380CC4-5D6E-409C-BE32-E72D297353CC}">
                <c16:uniqueId val="{0000000F-EED2-4ACE-91AA-7F8713196E92}"/>
              </c:ext>
            </c:extLst>
          </c:dPt>
          <c:dPt>
            <c:idx val="30"/>
            <c:invertIfNegative val="0"/>
            <c:bubble3D val="0"/>
            <c:extLst>
              <c:ext xmlns:c16="http://schemas.microsoft.com/office/drawing/2014/chart" uri="{C3380CC4-5D6E-409C-BE32-E72D297353CC}">
                <c16:uniqueId val="{00000011-EED2-4ACE-91AA-7F8713196E92}"/>
              </c:ext>
            </c:extLst>
          </c:dPt>
          <c:dPt>
            <c:idx val="32"/>
            <c:invertIfNegative val="0"/>
            <c:bubble3D val="0"/>
            <c:extLst>
              <c:ext xmlns:c16="http://schemas.microsoft.com/office/drawing/2014/chart" uri="{C3380CC4-5D6E-409C-BE32-E72D297353CC}">
                <c16:uniqueId val="{00000013-EED2-4ACE-91AA-7F8713196E92}"/>
              </c:ext>
            </c:extLst>
          </c:dPt>
          <c:dPt>
            <c:idx val="34"/>
            <c:invertIfNegative val="0"/>
            <c:bubble3D val="0"/>
            <c:extLst>
              <c:ext xmlns:c16="http://schemas.microsoft.com/office/drawing/2014/chart" uri="{C3380CC4-5D6E-409C-BE32-E72D297353CC}">
                <c16:uniqueId val="{00000015-EED2-4ACE-91AA-7F8713196E92}"/>
              </c:ext>
            </c:extLst>
          </c:dPt>
          <c:errBars>
            <c:errBarType val="plus"/>
            <c:errValType val="cust"/>
            <c:noEndCap val="0"/>
            <c:plus>
              <c:numRef>
                <c:f>'R3'!$B$54:$V$54</c:f>
                <c:numCache>
                  <c:formatCode>General</c:formatCode>
                  <c:ptCount val="21"/>
                  <c:pt idx="0">
                    <c:v>7.4904747710227149E-2</c:v>
                  </c:pt>
                  <c:pt idx="1">
                    <c:v>5.904331152523503E-2</c:v>
                  </c:pt>
                  <c:pt idx="2">
                    <c:v>0.34464361267719384</c:v>
                  </c:pt>
                  <c:pt idx="3">
                    <c:v>0.19325376846289571</c:v>
                  </c:pt>
                  <c:pt idx="4">
                    <c:v>0.28980536321623362</c:v>
                  </c:pt>
                  <c:pt idx="5">
                    <c:v>0.22367698245846249</c:v>
                  </c:pt>
                  <c:pt idx="6">
                    <c:v>0.32426939865296861</c:v>
                  </c:pt>
                  <c:pt idx="7">
                    <c:v>3.2385087056570505E-2</c:v>
                  </c:pt>
                  <c:pt idx="8">
                    <c:v>5.5493574336586984E-2</c:v>
                  </c:pt>
                  <c:pt idx="9">
                    <c:v>6.5721329387117139E-2</c:v>
                  </c:pt>
                  <c:pt idx="10">
                    <c:v>3.6524570047031399E-2</c:v>
                  </c:pt>
                  <c:pt idx="11">
                    <c:v>3.1882670491710167E-2</c:v>
                  </c:pt>
                  <c:pt idx="13">
                    <c:v>0.15537769590285738</c:v>
                  </c:pt>
                  <c:pt idx="14">
                    <c:v>0.22771171643227001</c:v>
                  </c:pt>
                  <c:pt idx="15">
                    <c:v>3.3648786580414161E-2</c:v>
                  </c:pt>
                  <c:pt idx="16">
                    <c:v>7.2553425814037939E-2</c:v>
                  </c:pt>
                  <c:pt idx="17">
                    <c:v>8.8030041796908681E-2</c:v>
                  </c:pt>
                  <c:pt idx="18">
                    <c:v>0.1045618548682257</c:v>
                  </c:pt>
                  <c:pt idx="19">
                    <c:v>0.11478131041108743</c:v>
                  </c:pt>
                  <c:pt idx="20">
                    <c:v>0.23170355079992466</c:v>
                  </c:pt>
                </c:numCache>
              </c:numRef>
            </c:plus>
            <c:minus>
              <c:numRef>
                <c:f>'R1'!$N$48:$V$48</c:f>
                <c:numCache>
                  <c:formatCode>General</c:formatCode>
                  <c:ptCount val="9"/>
                  <c:pt idx="0">
                    <c:v>0</c:v>
                  </c:pt>
                  <c:pt idx="1">
                    <c:v>8.4811608977736985E-2</c:v>
                  </c:pt>
                  <c:pt idx="2">
                    <c:v>0.20456691855751613</c:v>
                  </c:pt>
                  <c:pt idx="3">
                    <c:v>5.2855426446908521E-2</c:v>
                  </c:pt>
                  <c:pt idx="4">
                    <c:v>0.16414773659659593</c:v>
                  </c:pt>
                  <c:pt idx="5">
                    <c:v>0.14102513360172828</c:v>
                  </c:pt>
                  <c:pt idx="6">
                    <c:v>0.16682983081418282</c:v>
                  </c:pt>
                  <c:pt idx="7">
                    <c:v>0.14243250673968741</c:v>
                  </c:pt>
                  <c:pt idx="8">
                    <c:v>0.18542058060233729</c:v>
                  </c:pt>
                </c:numCache>
              </c:numRef>
            </c:minus>
          </c:errBars>
          <c:cat>
            <c:strRef>
              <c:f>'R3'!$B$52:$V$52</c:f>
              <c:strCache>
                <c:ptCount val="21"/>
                <c:pt idx="0">
                  <c:v>Solvent control</c:v>
                </c:pt>
                <c:pt idx="1">
                  <c:v>EE2-33.8ng/L</c:v>
                </c:pt>
                <c:pt idx="2">
                  <c:v>EE2-50.6ng/L</c:v>
                </c:pt>
                <c:pt idx="3">
                  <c:v>EE2-76ng/L</c:v>
                </c:pt>
                <c:pt idx="4">
                  <c:v>EE2-114ng/L</c:v>
                </c:pt>
                <c:pt idx="5">
                  <c:v>EE2-170.9ng/L</c:v>
                </c:pt>
                <c:pt idx="6">
                  <c:v>EE2-488ng/L</c:v>
                </c:pt>
                <c:pt idx="7">
                  <c:v>saccharin-100mg/L</c:v>
                </c:pt>
                <c:pt idx="8">
                  <c:v>saccharin-10mg/L</c:v>
                </c:pt>
                <c:pt idx="9">
                  <c:v>saccharin-1mg/L</c:v>
                </c:pt>
                <c:pt idx="10">
                  <c:v>saccharin-0.1mg/L</c:v>
                </c:pt>
                <c:pt idx="11">
                  <c:v>saccharin-0.01mg/L</c:v>
                </c:pt>
                <c:pt idx="13">
                  <c:v>Testo -30µg/L</c:v>
                </c:pt>
                <c:pt idx="14">
                  <c:v>Testo 30µg/L + EE2 -64ng/L</c:v>
                </c:pt>
                <c:pt idx="15">
                  <c:v>Testo 30µg/L + FAD-10mg/L</c:v>
                </c:pt>
                <c:pt idx="16">
                  <c:v>saccharin-100mg/L + Testostérone</c:v>
                </c:pt>
                <c:pt idx="17">
                  <c:v>saccharin-10mg/L + Testostérone</c:v>
                </c:pt>
                <c:pt idx="18">
                  <c:v>saccharin-1mg/L + Testostérone</c:v>
                </c:pt>
                <c:pt idx="19">
                  <c:v>saccharin-0.1mg/L + Testostérone</c:v>
                </c:pt>
                <c:pt idx="20">
                  <c:v>saccharin-0.01mg/L + Testostérone</c:v>
                </c:pt>
              </c:strCache>
            </c:strRef>
          </c:cat>
          <c:val>
            <c:numRef>
              <c:f>'R3'!$B$53:$V$53</c:f>
              <c:numCache>
                <c:formatCode>0.0000</c:formatCode>
                <c:ptCount val="21"/>
                <c:pt idx="0">
                  <c:v>0.36585186611770176</c:v>
                </c:pt>
                <c:pt idx="1">
                  <c:v>0.21778596324567384</c:v>
                </c:pt>
                <c:pt idx="2">
                  <c:v>0.69304175281225588</c:v>
                </c:pt>
                <c:pt idx="3">
                  <c:v>0.93818161669858724</c:v>
                </c:pt>
                <c:pt idx="4">
                  <c:v>1.897714845591155</c:v>
                </c:pt>
                <c:pt idx="5">
                  <c:v>1.9724602229659216</c:v>
                </c:pt>
                <c:pt idx="6">
                  <c:v>2.5969440066231826</c:v>
                </c:pt>
                <c:pt idx="7">
                  <c:v>0.18811393313032243</c:v>
                </c:pt>
                <c:pt idx="8">
                  <c:v>0.17485761520994653</c:v>
                </c:pt>
                <c:pt idx="9">
                  <c:v>0.27633931643466453</c:v>
                </c:pt>
                <c:pt idx="10">
                  <c:v>7.7238926361965582E-2</c:v>
                </c:pt>
                <c:pt idx="11">
                  <c:v>0.15036909394541356</c:v>
                </c:pt>
                <c:pt idx="13">
                  <c:v>1</c:v>
                </c:pt>
                <c:pt idx="14">
                  <c:v>1.8730911996966069</c:v>
                </c:pt>
                <c:pt idx="15">
                  <c:v>0.16743804108902341</c:v>
                </c:pt>
                <c:pt idx="16">
                  <c:v>0.62450749109414228</c:v>
                </c:pt>
                <c:pt idx="17">
                  <c:v>0.6348601524101064</c:v>
                </c:pt>
                <c:pt idx="18">
                  <c:v>0.58359342157039584</c:v>
                </c:pt>
                <c:pt idx="19">
                  <c:v>0.9041492612465839</c:v>
                </c:pt>
                <c:pt idx="20">
                  <c:v>1.0607992129507879</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434373488"/>
        <c:axId val="434373880"/>
      </c:barChart>
      <c:catAx>
        <c:axId val="434373488"/>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434373880"/>
        <c:crosses val="autoZero"/>
        <c:auto val="1"/>
        <c:lblAlgn val="ctr"/>
        <c:lblOffset val="100"/>
        <c:noMultiLvlLbl val="0"/>
      </c:catAx>
      <c:valAx>
        <c:axId val="434373880"/>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434373488"/>
        <c:crosses val="autoZero"/>
        <c:crossBetween val="between"/>
        <c:majorUnit val="0.2"/>
      </c:valAx>
    </c:plotArea>
    <c:plotVisOnly val="1"/>
    <c:dispBlanksAs val="gap"/>
    <c:showDLblsOverMax val="0"/>
  </c:chart>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086563142153819E-2"/>
          <c:y val="0.10694631110669023"/>
          <c:w val="0.91688911122572669"/>
          <c:h val="0.69895377069250364"/>
        </c:manualLayout>
      </c:layout>
      <c:barChart>
        <c:barDir val="col"/>
        <c:grouping val="clustered"/>
        <c:varyColors val="0"/>
        <c:ser>
          <c:idx val="0"/>
          <c:order val="0"/>
          <c:tx>
            <c:v>Pool</c:v>
          </c:tx>
          <c:spPr>
            <a:solidFill>
              <a:schemeClr val="bg1">
                <a:lumMod val="50000"/>
              </a:schemeClr>
            </a:solidFill>
          </c:spPr>
          <c:invertIfNegative val="0"/>
          <c:dPt>
            <c:idx val="1"/>
            <c:invertIfNegative val="0"/>
            <c:bubble3D val="0"/>
            <c:extLst>
              <c:ext xmlns:c16="http://schemas.microsoft.com/office/drawing/2014/chart" uri="{C3380CC4-5D6E-409C-BE32-E72D297353CC}">
                <c16:uniqueId val="{00000001-033C-4530-84A9-991A3866ABD4}"/>
              </c:ext>
            </c:extLst>
          </c:dPt>
          <c:dPt>
            <c:idx val="2"/>
            <c:invertIfNegative val="0"/>
            <c:bubble3D val="0"/>
            <c:extLst>
              <c:ext xmlns:c16="http://schemas.microsoft.com/office/drawing/2014/chart" uri="{C3380CC4-5D6E-409C-BE32-E72D297353CC}">
                <c16:uniqueId val="{00000003-033C-4530-84A9-991A3866ABD4}"/>
              </c:ext>
            </c:extLst>
          </c:dPt>
          <c:dPt>
            <c:idx val="3"/>
            <c:invertIfNegative val="0"/>
            <c:bubble3D val="0"/>
            <c:extLst>
              <c:ext xmlns:c16="http://schemas.microsoft.com/office/drawing/2014/chart" uri="{C3380CC4-5D6E-409C-BE32-E72D297353CC}">
                <c16:uniqueId val="{00000005-033C-4530-84A9-991A3866ABD4}"/>
              </c:ext>
            </c:extLst>
          </c:dPt>
          <c:dPt>
            <c:idx val="4"/>
            <c:invertIfNegative val="0"/>
            <c:bubble3D val="0"/>
            <c:extLst>
              <c:ext xmlns:c16="http://schemas.microsoft.com/office/drawing/2014/chart" uri="{C3380CC4-5D6E-409C-BE32-E72D297353CC}">
                <c16:uniqueId val="{00000007-033C-4530-84A9-991A3866ABD4}"/>
              </c:ext>
            </c:extLst>
          </c:dPt>
          <c:dPt>
            <c:idx val="5"/>
            <c:invertIfNegative val="0"/>
            <c:bubble3D val="0"/>
            <c:extLst>
              <c:ext xmlns:c16="http://schemas.microsoft.com/office/drawing/2014/chart" uri="{C3380CC4-5D6E-409C-BE32-E72D297353CC}">
                <c16:uniqueId val="{00000009-033C-4530-84A9-991A3866ABD4}"/>
              </c:ext>
            </c:extLst>
          </c:dPt>
          <c:dPt>
            <c:idx val="6"/>
            <c:invertIfNegative val="0"/>
            <c:bubble3D val="0"/>
            <c:extLst>
              <c:ext xmlns:c16="http://schemas.microsoft.com/office/drawing/2014/chart" uri="{C3380CC4-5D6E-409C-BE32-E72D297353CC}">
                <c16:uniqueId val="{0000000B-033C-4530-84A9-991A3866ABD4}"/>
              </c:ext>
            </c:extLst>
          </c:dPt>
          <c:dPt>
            <c:idx val="7"/>
            <c:invertIfNegative val="0"/>
            <c:bubble3D val="0"/>
            <c:extLst>
              <c:ext xmlns:c16="http://schemas.microsoft.com/office/drawing/2014/chart" uri="{C3380CC4-5D6E-409C-BE32-E72D297353CC}">
                <c16:uniqueId val="{0000000D-033C-4530-84A9-991A3866ABD4}"/>
              </c:ext>
            </c:extLst>
          </c:dPt>
          <c:dPt>
            <c:idx val="8"/>
            <c:invertIfNegative val="0"/>
            <c:bubble3D val="0"/>
            <c:extLst>
              <c:ext xmlns:c16="http://schemas.microsoft.com/office/drawing/2014/chart" uri="{C3380CC4-5D6E-409C-BE32-E72D297353CC}">
                <c16:uniqueId val="{0000000F-033C-4530-84A9-991A3866ABD4}"/>
              </c:ext>
            </c:extLst>
          </c:dPt>
          <c:dPt>
            <c:idx val="9"/>
            <c:invertIfNegative val="0"/>
            <c:bubble3D val="0"/>
            <c:extLst>
              <c:ext xmlns:c16="http://schemas.microsoft.com/office/drawing/2014/chart" uri="{C3380CC4-5D6E-409C-BE32-E72D297353CC}">
                <c16:uniqueId val="{00000011-033C-4530-84A9-991A3866ABD4}"/>
              </c:ext>
            </c:extLst>
          </c:dPt>
          <c:dPt>
            <c:idx val="10"/>
            <c:invertIfNegative val="0"/>
            <c:bubble3D val="0"/>
            <c:extLst>
              <c:ext xmlns:c16="http://schemas.microsoft.com/office/drawing/2014/chart" uri="{C3380CC4-5D6E-409C-BE32-E72D297353CC}">
                <c16:uniqueId val="{00000013-033C-4530-84A9-991A3866ABD4}"/>
              </c:ext>
            </c:extLst>
          </c:dPt>
          <c:dPt>
            <c:idx val="11"/>
            <c:invertIfNegative val="0"/>
            <c:bubble3D val="0"/>
            <c:extLst>
              <c:ext xmlns:c16="http://schemas.microsoft.com/office/drawing/2014/chart" uri="{C3380CC4-5D6E-409C-BE32-E72D297353CC}">
                <c16:uniqueId val="{00000015-033C-4530-84A9-991A3866ABD4}"/>
              </c:ext>
            </c:extLst>
          </c:dPt>
          <c:dPt>
            <c:idx val="12"/>
            <c:invertIfNegative val="0"/>
            <c:bubble3D val="0"/>
            <c:extLst>
              <c:ext xmlns:c16="http://schemas.microsoft.com/office/drawing/2014/chart" uri="{C3380CC4-5D6E-409C-BE32-E72D297353CC}">
                <c16:uniqueId val="{00000017-033C-4530-84A9-991A3866ABD4}"/>
              </c:ext>
            </c:extLst>
          </c:dPt>
          <c:dPt>
            <c:idx val="13"/>
            <c:invertIfNegative val="0"/>
            <c:bubble3D val="0"/>
            <c:extLst>
              <c:ext xmlns:c16="http://schemas.microsoft.com/office/drawing/2014/chart" uri="{C3380CC4-5D6E-409C-BE32-E72D297353CC}">
                <c16:uniqueId val="{00000019-033C-4530-84A9-991A3866ABD4}"/>
              </c:ext>
            </c:extLst>
          </c:dPt>
          <c:dPt>
            <c:idx val="14"/>
            <c:invertIfNegative val="0"/>
            <c:bubble3D val="0"/>
            <c:extLst>
              <c:ext xmlns:c16="http://schemas.microsoft.com/office/drawing/2014/chart" uri="{C3380CC4-5D6E-409C-BE32-E72D297353CC}">
                <c16:uniqueId val="{0000001B-033C-4530-84A9-991A3866ABD4}"/>
              </c:ext>
            </c:extLst>
          </c:dPt>
          <c:dPt>
            <c:idx val="15"/>
            <c:invertIfNegative val="0"/>
            <c:bubble3D val="0"/>
            <c:extLst>
              <c:ext xmlns:c16="http://schemas.microsoft.com/office/drawing/2014/chart" uri="{C3380CC4-5D6E-409C-BE32-E72D297353CC}">
                <c16:uniqueId val="{0000001D-033C-4530-84A9-991A3866ABD4}"/>
              </c:ext>
            </c:extLst>
          </c:dPt>
          <c:dPt>
            <c:idx val="16"/>
            <c:invertIfNegative val="0"/>
            <c:bubble3D val="0"/>
            <c:extLst>
              <c:ext xmlns:c16="http://schemas.microsoft.com/office/drawing/2014/chart" uri="{C3380CC4-5D6E-409C-BE32-E72D297353CC}">
                <c16:uniqueId val="{0000001F-033C-4530-84A9-991A3866ABD4}"/>
              </c:ext>
            </c:extLst>
          </c:dPt>
          <c:dPt>
            <c:idx val="17"/>
            <c:invertIfNegative val="0"/>
            <c:bubble3D val="0"/>
            <c:extLst>
              <c:ext xmlns:c16="http://schemas.microsoft.com/office/drawing/2014/chart" uri="{C3380CC4-5D6E-409C-BE32-E72D297353CC}">
                <c16:uniqueId val="{00000021-033C-4530-84A9-991A3866ABD4}"/>
              </c:ext>
            </c:extLst>
          </c:dPt>
          <c:dPt>
            <c:idx val="18"/>
            <c:invertIfNegative val="0"/>
            <c:bubble3D val="0"/>
            <c:extLst>
              <c:ext xmlns:c16="http://schemas.microsoft.com/office/drawing/2014/chart" uri="{C3380CC4-5D6E-409C-BE32-E72D297353CC}">
                <c16:uniqueId val="{00000023-033C-4530-84A9-991A3866ABD4}"/>
              </c:ext>
            </c:extLst>
          </c:dPt>
          <c:dPt>
            <c:idx val="19"/>
            <c:invertIfNegative val="0"/>
            <c:bubble3D val="0"/>
            <c:extLst>
              <c:ext xmlns:c16="http://schemas.microsoft.com/office/drawing/2014/chart" uri="{C3380CC4-5D6E-409C-BE32-E72D297353CC}">
                <c16:uniqueId val="{00000025-033C-4530-84A9-991A3866ABD4}"/>
              </c:ext>
            </c:extLst>
          </c:dPt>
          <c:dPt>
            <c:idx val="20"/>
            <c:invertIfNegative val="0"/>
            <c:bubble3D val="0"/>
            <c:extLst>
              <c:ext xmlns:c16="http://schemas.microsoft.com/office/drawing/2014/chart" uri="{C3380CC4-5D6E-409C-BE32-E72D297353CC}">
                <c16:uniqueId val="{00000027-033C-4530-84A9-991A3866ABD4}"/>
              </c:ext>
            </c:extLst>
          </c:dPt>
          <c:dPt>
            <c:idx val="21"/>
            <c:invertIfNegative val="0"/>
            <c:bubble3D val="0"/>
            <c:extLst>
              <c:ext xmlns:c16="http://schemas.microsoft.com/office/drawing/2014/chart" uri="{C3380CC4-5D6E-409C-BE32-E72D297353CC}">
                <c16:uniqueId val="{00000029-033C-4530-84A9-991A3866ABD4}"/>
              </c:ext>
            </c:extLst>
          </c:dPt>
          <c:dPt>
            <c:idx val="22"/>
            <c:invertIfNegative val="0"/>
            <c:bubble3D val="0"/>
            <c:extLst>
              <c:ext xmlns:c16="http://schemas.microsoft.com/office/drawing/2014/chart" uri="{C3380CC4-5D6E-409C-BE32-E72D297353CC}">
                <c16:uniqueId val="{0000002B-033C-4530-84A9-991A3866ABD4}"/>
              </c:ext>
            </c:extLst>
          </c:dPt>
          <c:dLbls>
            <c:dLbl>
              <c:idx val="0"/>
              <c:tx>
                <c:rich>
                  <a:bodyPr/>
                  <a:lstStyle/>
                  <a:p>
                    <a:fld id="{8FF610D1-2F42-48C0-BB5A-EFB2A73362E6}" type="CELLRANGE">
                      <a:rPr lang="en-US"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033C-4530-84A9-991A3866ABD4}"/>
                </c:ext>
              </c:extLst>
            </c:dLbl>
            <c:dLbl>
              <c:idx val="1"/>
              <c:tx>
                <c:rich>
                  <a:bodyPr/>
                  <a:lstStyle/>
                  <a:p>
                    <a:fld id="{A8CBB813-A5B5-441D-B656-211F64158FAD}"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033C-4530-84A9-991A3866ABD4}"/>
                </c:ext>
              </c:extLst>
            </c:dLbl>
            <c:dLbl>
              <c:idx val="2"/>
              <c:tx>
                <c:rich>
                  <a:bodyPr/>
                  <a:lstStyle/>
                  <a:p>
                    <a:fld id="{2BA71270-11DF-4FCA-999B-24A206887F92}"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33C-4530-84A9-991A3866ABD4}"/>
                </c:ext>
              </c:extLst>
            </c:dLbl>
            <c:dLbl>
              <c:idx val="3"/>
              <c:tx>
                <c:rich>
                  <a:bodyPr/>
                  <a:lstStyle/>
                  <a:p>
                    <a:fld id="{C5E513F1-ACE7-43BC-A985-5E1BC37D9E0C}"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033C-4530-84A9-991A3866ABD4}"/>
                </c:ext>
              </c:extLst>
            </c:dLbl>
            <c:dLbl>
              <c:idx val="4"/>
              <c:tx>
                <c:rich>
                  <a:bodyPr/>
                  <a:lstStyle/>
                  <a:p>
                    <a:fld id="{BD40232E-4131-44FE-8B20-B02B0FD39FAA}"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033C-4530-84A9-991A3866ABD4}"/>
                </c:ext>
              </c:extLst>
            </c:dLbl>
            <c:dLbl>
              <c:idx val="5"/>
              <c:tx>
                <c:rich>
                  <a:bodyPr/>
                  <a:lstStyle/>
                  <a:p>
                    <a:fld id="{68C2636A-644C-41A4-A9D7-132C5F55FDD1}"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033C-4530-84A9-991A3866ABD4}"/>
                </c:ext>
              </c:extLst>
            </c:dLbl>
            <c:dLbl>
              <c:idx val="6"/>
              <c:tx>
                <c:rich>
                  <a:bodyPr/>
                  <a:lstStyle/>
                  <a:p>
                    <a:fld id="{C7E8A2F3-5FA6-4F47-8E0F-EDC4A0932491}"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033C-4530-84A9-991A3866ABD4}"/>
                </c:ext>
              </c:extLst>
            </c:dLbl>
            <c:dLbl>
              <c:idx val="7"/>
              <c:tx>
                <c:rich>
                  <a:bodyPr/>
                  <a:lstStyle/>
                  <a:p>
                    <a:fld id="{E2EADF87-86D8-4BF4-9542-B853BBE49F67}"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033C-4530-84A9-991A3866ABD4}"/>
                </c:ext>
              </c:extLst>
            </c:dLbl>
            <c:dLbl>
              <c:idx val="8"/>
              <c:tx>
                <c:rich>
                  <a:bodyPr/>
                  <a:lstStyle/>
                  <a:p>
                    <a:fld id="{9CF451F6-3276-4BED-B331-4AE84CFC7CA8}"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033C-4530-84A9-991A3866ABD4}"/>
                </c:ext>
              </c:extLst>
            </c:dLbl>
            <c:dLbl>
              <c:idx val="9"/>
              <c:tx>
                <c:rich>
                  <a:bodyPr/>
                  <a:lstStyle/>
                  <a:p>
                    <a:fld id="{F34FD756-2FD3-4DF2-8C18-18A105443EE7}"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033C-4530-84A9-991A3866ABD4}"/>
                </c:ext>
              </c:extLst>
            </c:dLbl>
            <c:dLbl>
              <c:idx val="10"/>
              <c:tx>
                <c:rich>
                  <a:bodyPr/>
                  <a:lstStyle/>
                  <a:p>
                    <a:fld id="{570C479E-E0EC-4EA5-A5F7-B7EF311E7E03}"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033C-4530-84A9-991A3866ABD4}"/>
                </c:ext>
              </c:extLst>
            </c:dLbl>
            <c:dLbl>
              <c:idx val="11"/>
              <c:tx>
                <c:rich>
                  <a:bodyPr/>
                  <a:lstStyle/>
                  <a:p>
                    <a:fld id="{0A0C2B52-9592-47B3-9855-B1E708E164B4}"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033C-4530-84A9-991A3866ABD4}"/>
                </c:ext>
              </c:extLst>
            </c:dLbl>
            <c:dLbl>
              <c:idx val="12"/>
              <c:tx>
                <c:rich>
                  <a:bodyPr/>
                  <a:lstStyle/>
                  <a:p>
                    <a:fld id="{31C721C5-E788-4FC1-BF4E-0218CC6C0839}"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033C-4530-84A9-991A3866ABD4}"/>
                </c:ext>
              </c:extLst>
            </c:dLbl>
            <c:dLbl>
              <c:idx val="13"/>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033C-4530-84A9-991A3866ABD4}"/>
                </c:ext>
              </c:extLst>
            </c:dLbl>
            <c:dLbl>
              <c:idx val="14"/>
              <c:tx>
                <c:rich>
                  <a:bodyPr/>
                  <a:lstStyle/>
                  <a:p>
                    <a:fld id="{FEFB5D33-AA16-47BC-A333-69A73D293743}"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B-033C-4530-84A9-991A3866ABD4}"/>
                </c:ext>
              </c:extLst>
            </c:dLbl>
            <c:dLbl>
              <c:idx val="15"/>
              <c:tx>
                <c:rich>
                  <a:bodyPr/>
                  <a:lstStyle/>
                  <a:p>
                    <a:fld id="{792CEA10-188F-4D8B-8201-A00D682D5428}"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033C-4530-84A9-991A3866ABD4}"/>
                </c:ext>
              </c:extLst>
            </c:dLbl>
            <c:dLbl>
              <c:idx val="16"/>
              <c:tx>
                <c:rich>
                  <a:bodyPr/>
                  <a:lstStyle/>
                  <a:p>
                    <a:fld id="{89AD8305-D642-4485-A4F7-84FE69DD1EE1}"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F-033C-4530-84A9-991A3866ABD4}"/>
                </c:ext>
              </c:extLst>
            </c:dLbl>
            <c:dLbl>
              <c:idx val="17"/>
              <c:tx>
                <c:rich>
                  <a:bodyPr/>
                  <a:lstStyle/>
                  <a:p>
                    <a:fld id="{A21E8693-2B22-45D8-9EC9-303F2D5E5941}"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1-033C-4530-84A9-991A3866ABD4}"/>
                </c:ext>
              </c:extLst>
            </c:dLbl>
            <c:dLbl>
              <c:idx val="18"/>
              <c:tx>
                <c:rich>
                  <a:bodyPr/>
                  <a:lstStyle/>
                  <a:p>
                    <a:fld id="{E2DEB55F-DA51-4F05-9B55-FEDD4A7799D3}"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3-033C-4530-84A9-991A3866ABD4}"/>
                </c:ext>
              </c:extLst>
            </c:dLbl>
            <c:dLbl>
              <c:idx val="19"/>
              <c:tx>
                <c:rich>
                  <a:bodyPr/>
                  <a:lstStyle/>
                  <a:p>
                    <a:fld id="{685BC43F-BEAC-47F0-B6DF-25F42C863F4B}"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5-033C-4530-84A9-991A3866ABD4}"/>
                </c:ext>
              </c:extLst>
            </c:dLbl>
            <c:dLbl>
              <c:idx val="20"/>
              <c:tx>
                <c:rich>
                  <a:bodyPr/>
                  <a:lstStyle/>
                  <a:p>
                    <a:fld id="{EF850927-3E87-43BD-97C9-D833BA89C20B}"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7-033C-4530-84A9-991A3866ABD4}"/>
                </c:ext>
              </c:extLst>
            </c:dLbl>
            <c:dLbl>
              <c:idx val="21"/>
              <c:tx>
                <c:rich>
                  <a:bodyPr/>
                  <a:lstStyle/>
                  <a:p>
                    <a:fld id="{D31D8B19-BECD-4356-8042-F88360B95C31}" type="CELLRANGE">
                      <a:rPr lang="ja-JP" alt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9-033C-4530-84A9-991A3866ABD4}"/>
                </c:ext>
              </c:extLst>
            </c:dLbl>
            <c:dLbl>
              <c:idx val="29"/>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33C-4530-84A9-991A3866ABD4}"/>
                </c:ext>
              </c:extLst>
            </c:dLbl>
            <c:spPr>
              <a:noFill/>
              <a:ln>
                <a:noFill/>
              </a:ln>
              <a:effectLst/>
            </c:spPr>
            <c:txPr>
              <a:bodyPr wrap="square" lIns="38100" tIns="19050" rIns="38100" bIns="19050" anchor="ctr">
                <a:spAutoFit/>
              </a:bodyPr>
              <a:lstStyle/>
              <a:p>
                <a:pPr>
                  <a:defRPr lang="ja-JP"/>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both"/>
            <c:errValType val="cust"/>
            <c:noEndCap val="0"/>
            <c:plus>
              <c:numRef>
                <c:f>'pooled normalised values'!$B$76:$W$76</c:f>
                <c:numCache>
                  <c:formatCode>General</c:formatCode>
                  <c:ptCount val="22"/>
                  <c:pt idx="0">
                    <c:v>3.5533914801463944E-2</c:v>
                  </c:pt>
                  <c:pt idx="1">
                    <c:v>3.7623918380002855E-2</c:v>
                  </c:pt>
                  <c:pt idx="2">
                    <c:v>0.11843571172858236</c:v>
                  </c:pt>
                  <c:pt idx="3">
                    <c:v>9.287572569778943E-2</c:v>
                  </c:pt>
                  <c:pt idx="4">
                    <c:v>0.12971636646941734</c:v>
                  </c:pt>
                  <c:pt idx="5">
                    <c:v>0.11621962225161217</c:v>
                  </c:pt>
                  <c:pt idx="6">
                    <c:v>0.15555364840433053</c:v>
                  </c:pt>
                  <c:pt idx="7">
                    <c:v>1.9969791381818463E-2</c:v>
                  </c:pt>
                  <c:pt idx="8">
                    <c:v>2.4450454616502817E-2</c:v>
                  </c:pt>
                  <c:pt idx="9">
                    <c:v>3.8370297675482876E-2</c:v>
                  </c:pt>
                  <c:pt idx="10">
                    <c:v>3.0672729804919485E-2</c:v>
                  </c:pt>
                  <c:pt idx="11">
                    <c:v>2.5479087577615984E-2</c:v>
                  </c:pt>
                  <c:pt idx="12">
                    <c:v>0</c:v>
                  </c:pt>
                  <c:pt idx="14">
                    <c:v>6.7213094685645083E-2</c:v>
                  </c:pt>
                  <c:pt idx="15">
                    <c:v>0.10784153328416643</c:v>
                  </c:pt>
                  <c:pt idx="16">
                    <c:v>2.319901079594747E-2</c:v>
                  </c:pt>
                  <c:pt idx="17">
                    <c:v>8.7484896435326698E-2</c:v>
                  </c:pt>
                  <c:pt idx="18">
                    <c:v>0.10886019225326801</c:v>
                  </c:pt>
                  <c:pt idx="19">
                    <c:v>0.11629481098616917</c:v>
                  </c:pt>
                  <c:pt idx="20">
                    <c:v>8.902637476605306E-2</c:v>
                  </c:pt>
                  <c:pt idx="21">
                    <c:v>0.11696153731061189</c:v>
                  </c:pt>
                </c:numCache>
              </c:numRef>
            </c:plus>
            <c:minus>
              <c:numRef>
                <c:f>'pooled normalised values'!$B$76:$W$76</c:f>
                <c:numCache>
                  <c:formatCode>General</c:formatCode>
                  <c:ptCount val="22"/>
                  <c:pt idx="0">
                    <c:v>3.5533914801463944E-2</c:v>
                  </c:pt>
                  <c:pt idx="1">
                    <c:v>3.7623918380002855E-2</c:v>
                  </c:pt>
                  <c:pt idx="2">
                    <c:v>0.11843571172858236</c:v>
                  </c:pt>
                  <c:pt idx="3">
                    <c:v>9.287572569778943E-2</c:v>
                  </c:pt>
                  <c:pt idx="4">
                    <c:v>0.12971636646941734</c:v>
                  </c:pt>
                  <c:pt idx="5">
                    <c:v>0.11621962225161217</c:v>
                  </c:pt>
                  <c:pt idx="6">
                    <c:v>0.15555364840433053</c:v>
                  </c:pt>
                  <c:pt idx="7">
                    <c:v>1.9969791381818463E-2</c:v>
                  </c:pt>
                  <c:pt idx="8">
                    <c:v>2.4450454616502817E-2</c:v>
                  </c:pt>
                  <c:pt idx="9">
                    <c:v>3.8370297675482876E-2</c:v>
                  </c:pt>
                  <c:pt idx="10">
                    <c:v>3.0672729804919485E-2</c:v>
                  </c:pt>
                  <c:pt idx="11">
                    <c:v>2.5479087577615984E-2</c:v>
                  </c:pt>
                  <c:pt idx="12">
                    <c:v>0</c:v>
                  </c:pt>
                  <c:pt idx="14">
                    <c:v>6.7213094685645083E-2</c:v>
                  </c:pt>
                  <c:pt idx="15">
                    <c:v>0.10784153328416643</c:v>
                  </c:pt>
                  <c:pt idx="16">
                    <c:v>2.319901079594747E-2</c:v>
                  </c:pt>
                  <c:pt idx="17">
                    <c:v>8.7484896435326698E-2</c:v>
                  </c:pt>
                  <c:pt idx="18">
                    <c:v>0.10886019225326801</c:v>
                  </c:pt>
                  <c:pt idx="19">
                    <c:v>0.11629481098616917</c:v>
                  </c:pt>
                  <c:pt idx="20">
                    <c:v>8.902637476605306E-2</c:v>
                  </c:pt>
                  <c:pt idx="21">
                    <c:v>0.11696153731061189</c:v>
                  </c:pt>
                </c:numCache>
              </c:numRef>
            </c:minus>
          </c:errBars>
          <c:cat>
            <c:strRef>
              <c:f>'pooled normalised values'!$B$74:$W$74</c:f>
              <c:strCache>
                <c:ptCount val="22"/>
                <c:pt idx="0">
                  <c:v>Solvent control</c:v>
                </c:pt>
                <c:pt idx="1">
                  <c:v>EE2-33.8ng/L</c:v>
                </c:pt>
                <c:pt idx="2">
                  <c:v>EE2-50.6ng/L</c:v>
                </c:pt>
                <c:pt idx="3">
                  <c:v>EE2-76ng/L</c:v>
                </c:pt>
                <c:pt idx="4">
                  <c:v>EE2-114ng/L</c:v>
                </c:pt>
                <c:pt idx="5">
                  <c:v>EE2-170.9ng/L</c:v>
                </c:pt>
                <c:pt idx="6">
                  <c:v>EE2-488ng/L</c:v>
                </c:pt>
                <c:pt idx="7">
                  <c:v>saccharin-100mg/L</c:v>
                </c:pt>
                <c:pt idx="8">
                  <c:v>saccharin-10mg/L</c:v>
                </c:pt>
                <c:pt idx="9">
                  <c:v>saccharin-1mg/L</c:v>
                </c:pt>
                <c:pt idx="10">
                  <c:v>saccharin-0.1mg/L</c:v>
                </c:pt>
                <c:pt idx="11">
                  <c:v>saccharin-0.01mg/L</c:v>
                </c:pt>
                <c:pt idx="12">
                  <c:v>#REF!</c:v>
                </c:pt>
                <c:pt idx="14">
                  <c:v>Testo -30µg/L</c:v>
                </c:pt>
                <c:pt idx="15">
                  <c:v>Testo 30µg/L + EE2 -64ng/L</c:v>
                </c:pt>
                <c:pt idx="16">
                  <c:v>Testo 30µg/L + FAD-10mg/L</c:v>
                </c:pt>
                <c:pt idx="17">
                  <c:v>saccharin-100mg/L + Testostérone</c:v>
                </c:pt>
                <c:pt idx="18">
                  <c:v>saccharin-10mg/L + Testostérone</c:v>
                </c:pt>
                <c:pt idx="19">
                  <c:v>saccharin-1mg/L + Testostérone</c:v>
                </c:pt>
                <c:pt idx="20">
                  <c:v>saccharin-0.1mg/L + Testostérone</c:v>
                </c:pt>
                <c:pt idx="21">
                  <c:v>saccharin-0.01mg/L + Testostérone</c:v>
                </c:pt>
              </c:strCache>
            </c:strRef>
          </c:cat>
          <c:val>
            <c:numRef>
              <c:f>'pooled normalised values'!$B$75:$W$75</c:f>
              <c:numCache>
                <c:formatCode>0.0000</c:formatCode>
                <c:ptCount val="22"/>
                <c:pt idx="0">
                  <c:v>0.22455884344109112</c:v>
                </c:pt>
                <c:pt idx="1">
                  <c:v>0.24466500044283249</c:v>
                </c:pt>
                <c:pt idx="2">
                  <c:v>0.53575683163534982</c:v>
                </c:pt>
                <c:pt idx="3">
                  <c:v>0.95384330445692722</c:v>
                </c:pt>
                <c:pt idx="4">
                  <c:v>1.4786369374525901</c:v>
                </c:pt>
                <c:pt idx="5">
                  <c:v>1.6319919847071451</c:v>
                </c:pt>
                <c:pt idx="6">
                  <c:v>2.2688910382555387</c:v>
                </c:pt>
                <c:pt idx="7">
                  <c:v>0.13318942711858067</c:v>
                </c:pt>
                <c:pt idx="8">
                  <c:v>0.11564688284221251</c:v>
                </c:pt>
                <c:pt idx="9">
                  <c:v>0.2013024928007752</c:v>
                </c:pt>
                <c:pt idx="10">
                  <c:v>0.15342772689578735</c:v>
                </c:pt>
                <c:pt idx="11">
                  <c:v>0.12339295433005291</c:v>
                </c:pt>
                <c:pt idx="12">
                  <c:v>0</c:v>
                </c:pt>
                <c:pt idx="14">
                  <c:v>1</c:v>
                </c:pt>
                <c:pt idx="15">
                  <c:v>1.7469563972526647</c:v>
                </c:pt>
                <c:pt idx="16">
                  <c:v>0.21134057297984318</c:v>
                </c:pt>
                <c:pt idx="17">
                  <c:v>0.99582314671623529</c:v>
                </c:pt>
                <c:pt idx="18">
                  <c:v>1.0793541470214605</c:v>
                </c:pt>
                <c:pt idx="19">
                  <c:v>1.0777958895558692</c:v>
                </c:pt>
                <c:pt idx="20">
                  <c:v>1.0937350818685372</c:v>
                </c:pt>
                <c:pt idx="21">
                  <c:v>1.1972830594302009</c:v>
                </c:pt>
              </c:numCache>
            </c:numRef>
          </c:val>
          <c:extLst>
            <c:ext xmlns:c15="http://schemas.microsoft.com/office/drawing/2012/chart" uri="{02D57815-91ED-43cb-92C2-25804820EDAC}">
              <c15:datalabelsRange>
                <c15:f>'pooled normalised values'!$B$83:$W$83</c15:f>
                <c15:dlblRangeCache>
                  <c:ptCount val="22"/>
                  <c:pt idx="1">
                    <c:v>NS</c:v>
                  </c:pt>
                  <c:pt idx="2">
                    <c:v>NS</c:v>
                  </c:pt>
                  <c:pt idx="3">
                    <c:v>***</c:v>
                  </c:pt>
                  <c:pt idx="4">
                    <c:v>***</c:v>
                  </c:pt>
                  <c:pt idx="5">
                    <c:v>***</c:v>
                  </c:pt>
                  <c:pt idx="6">
                    <c:v>***</c:v>
                  </c:pt>
                  <c:pt idx="7">
                    <c:v>NS</c:v>
                  </c:pt>
                  <c:pt idx="8">
                    <c:v>NS</c:v>
                  </c:pt>
                  <c:pt idx="9">
                    <c:v>NS</c:v>
                  </c:pt>
                  <c:pt idx="10">
                    <c:v>NS</c:v>
                  </c:pt>
                  <c:pt idx="11">
                    <c:v>NS</c:v>
                  </c:pt>
                  <c:pt idx="12">
                    <c:v>#NAME?</c:v>
                  </c:pt>
                  <c:pt idx="14">
                    <c:v>***</c:v>
                  </c:pt>
                  <c:pt idx="15">
                    <c:v>***</c:v>
                  </c:pt>
                  <c:pt idx="16">
                    <c:v>***</c:v>
                  </c:pt>
                  <c:pt idx="17">
                    <c:v>NS</c:v>
                  </c:pt>
                  <c:pt idx="18">
                    <c:v>NS</c:v>
                  </c:pt>
                  <c:pt idx="19">
                    <c:v>NS</c:v>
                  </c:pt>
                  <c:pt idx="20">
                    <c:v>NS</c:v>
                  </c:pt>
                  <c:pt idx="21">
                    <c:v>NS</c:v>
                  </c:pt>
                </c15:dlblRangeCache>
              </c15:datalabelsRange>
            </c:ext>
            <c:ext xmlns:c16="http://schemas.microsoft.com/office/drawing/2014/chart" uri="{C3380CC4-5D6E-409C-BE32-E72D297353CC}">
              <c16:uniqueId val="{0000004B-033C-4530-84A9-991A3866ABD4}"/>
            </c:ext>
          </c:extLst>
        </c:ser>
        <c:dLbls>
          <c:showLegendKey val="0"/>
          <c:showVal val="0"/>
          <c:showCatName val="0"/>
          <c:showSerName val="0"/>
          <c:showPercent val="0"/>
          <c:showBubbleSize val="0"/>
        </c:dLbls>
        <c:gapWidth val="150"/>
        <c:axId val="434374272"/>
        <c:axId val="434374664"/>
      </c:barChart>
      <c:catAx>
        <c:axId val="434374272"/>
        <c:scaling>
          <c:orientation val="minMax"/>
        </c:scaling>
        <c:delete val="0"/>
        <c:axPos val="b"/>
        <c:numFmt formatCode="General" sourceLinked="0"/>
        <c:majorTickMark val="out"/>
        <c:minorTickMark val="none"/>
        <c:tickLblPos val="nextTo"/>
        <c:txPr>
          <a:bodyPr rot="-2700000"/>
          <a:lstStyle/>
          <a:p>
            <a:pPr>
              <a:defRPr lang="en-GB" sz="1000"/>
            </a:pPr>
            <a:endParaRPr lang="en-US"/>
          </a:p>
        </c:txPr>
        <c:crossAx val="434374664"/>
        <c:crosses val="autoZero"/>
        <c:auto val="1"/>
        <c:lblAlgn val="ctr"/>
        <c:lblOffset val="100"/>
        <c:noMultiLvlLbl val="0"/>
      </c:catAx>
      <c:valAx>
        <c:axId val="434374664"/>
        <c:scaling>
          <c:orientation val="minMax"/>
          <c:min val="0"/>
        </c:scaling>
        <c:delete val="0"/>
        <c:axPos val="l"/>
        <c:majorGridlines/>
        <c:title>
          <c:tx>
            <c:rich>
              <a:bodyPr rot="-5400000" vert="horz"/>
              <a:lstStyle/>
              <a:p>
                <a:pPr>
                  <a:defRPr lang="en-GB" sz="1400"/>
                </a:pPr>
                <a:r>
                  <a:rPr lang="en-US" sz="1400"/>
                  <a:t>fluorescence totale (unités arbitraires)</a:t>
                </a:r>
              </a:p>
            </c:rich>
          </c:tx>
          <c:overlay val="0"/>
        </c:title>
        <c:numFmt formatCode="0.0" sourceLinked="0"/>
        <c:majorTickMark val="out"/>
        <c:minorTickMark val="none"/>
        <c:tickLblPos val="nextTo"/>
        <c:txPr>
          <a:bodyPr/>
          <a:lstStyle/>
          <a:p>
            <a:pPr>
              <a:defRPr lang="en-GB"/>
            </a:pPr>
            <a:endParaRPr lang="en-US"/>
          </a:p>
        </c:txPr>
        <c:crossAx val="434374272"/>
        <c:crosses val="autoZero"/>
        <c:crossBetween val="between"/>
      </c:valAx>
    </c:plotArea>
    <c:plotVisOnly val="1"/>
    <c:dispBlanksAs val="gap"/>
    <c:showDLblsOverMax val="0"/>
  </c:chart>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zoomScale="75" workbookViewId="0" zoomToFit="1"/>
  </sheetViews>
  <pageMargins left="0.7" right="0.7" top="0.75" bottom="0.75" header="0.3" footer="0.3"/>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zoomScale="75" workbookViewId="0" zoomToFit="1"/>
  </sheetViews>
  <pageMargins left="0.7" right="0.7" top="0.75" bottom="0.75" header="0.3" footer="0.3"/>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zoomScale="75" workbookViewId="0" zoomToFit="1"/>
  </sheetViews>
  <pageMargins left="0.7" right="0.7" top="0.75" bottom="0.75" header="0.3" footer="0.3"/>
  <pageSetup paperSize="9"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zoomScale="75" workbookViewId="0" zoomToFit="1"/>
  </sheetViews>
  <pageMargins left="0.7" right="0.7" top="0.75" bottom="0.75" header="0.3" footer="0.3"/>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absoluteAnchor>
    <xdr:pos x="0" y="0"/>
    <xdr:ext cx="9296400" cy="6070600"/>
    <xdr:graphicFrame macro="">
      <xdr:nvGraphicFramePr>
        <xdr:cNvPr id="2" name="Graphique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0.42494</cdr:x>
      <cdr:y>0.01696</cdr:y>
    </cdr:from>
    <cdr:to>
      <cdr:x>0.59244</cdr:x>
      <cdr:y>0.10431</cdr:y>
    </cdr:to>
    <cdr:sp macro="" textlink="">
      <cdr:nvSpPr>
        <cdr:cNvPr id="2" name="ZoneTexte 1"/>
        <cdr:cNvSpPr txBox="1"/>
      </cdr:nvSpPr>
      <cdr:spPr>
        <a:xfrm xmlns:a="http://schemas.openxmlformats.org/drawingml/2006/main">
          <a:off x="3954923" y="103035"/>
          <a:ext cx="1558925" cy="530658"/>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saccharin run1</a:t>
          </a:r>
        </a:p>
        <a:p xmlns:a="http://schemas.openxmlformats.org/drawingml/2006/main">
          <a:pPr algn="ctr"/>
          <a:r>
            <a:rPr lang="fr-FR" sz="1400" b="1"/>
            <a:t>20210709</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9296400" cy="6070600"/>
    <xdr:graphicFrame macro="">
      <xdr:nvGraphicFramePr>
        <xdr:cNvPr id="2" name="Graphique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0.37494</cdr:x>
      <cdr:y>0.01504</cdr:y>
    </cdr:from>
    <cdr:to>
      <cdr:x>0.5575</cdr:x>
      <cdr:y>0.06657</cdr:y>
    </cdr:to>
    <cdr:sp macro="" textlink="">
      <cdr:nvSpPr>
        <cdr:cNvPr id="2" name="ZoneTexte 1"/>
        <cdr:cNvSpPr txBox="1"/>
      </cdr:nvSpPr>
      <cdr:spPr>
        <a:xfrm xmlns:a="http://schemas.openxmlformats.org/drawingml/2006/main">
          <a:off x="3480830" y="90920"/>
          <a:ext cx="1694833"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9296400" cy="6070600"/>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0.37494</cdr:x>
      <cdr:y>0.01504</cdr:y>
    </cdr:from>
    <cdr:to>
      <cdr:x>0.5575</cdr:x>
      <cdr:y>0.0666</cdr:y>
    </cdr:to>
    <cdr:sp macro="" textlink="">
      <cdr:nvSpPr>
        <cdr:cNvPr id="2" name="ZoneTexte 1"/>
        <cdr:cNvSpPr txBox="1"/>
      </cdr:nvSpPr>
      <cdr:spPr>
        <a:xfrm xmlns:a="http://schemas.openxmlformats.org/drawingml/2006/main">
          <a:off x="3482021" y="90854"/>
          <a:ext cx="1695412"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9296400" cy="6070600"/>
    <xdr:graphicFrame macro="">
      <xdr:nvGraphicFramePr>
        <xdr:cNvPr id="2" name="Graphique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RealStats/RealStats%202013%202016.xla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RealStats\RealStats%202013%202016.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 val="RealStats 2013 2016"/>
    </sheetNames>
    <definedNames>
      <definedName name="MTEST"/>
      <definedName name="SW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 val="RealStats 2013 2016"/>
    </sheetNames>
    <definedNames>
      <definedName name="DP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e_groupe" displayName="liste_groupe" ref="A6:F57" totalsRowShown="0" headerRowDxfId="8" dataDxfId="7" tableBorderDxfId="6">
  <autoFilter ref="A6:F57" xr:uid="{00000000-0009-0000-0100-000001000000}"/>
  <tableColumns count="6">
    <tableColumn id="4" xr3:uid="{00000000-0010-0000-0000-000004000000}" name="Do not fill in" dataDxfId="5">
      <calculatedColumnFormula>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calculatedColumnFormula>
    </tableColumn>
    <tableColumn id="1" xr3:uid="{00000000-0010-0000-0000-000001000000}" name="Do not fill in2" dataDxfId="4">
      <calculatedColumnFormula>A2</calculatedColumnFormula>
    </tableColumn>
    <tableColumn id="2" xr3:uid="{00000000-0010-0000-0000-000002000000}" name="Concentration" dataDxfId="3">
      <calculatedColumnFormula>B2</calculatedColumnFormula>
    </tableColumn>
    <tableColumn id="10" xr3:uid="{00000000-0010-0000-0000-00000A000000}" name="Units" dataDxfId="2"/>
    <tableColumn id="3" xr3:uid="{00000000-0010-0000-0000-000003000000}" name="Chemical name" dataDxfId="1">
      <calculatedColumnFormula>C2</calculatedColumnFormula>
    </tableColumn>
    <tableColumn id="9" xr3:uid="{00000000-0010-0000-0000-000009000000}" name="Do not fill in3" dataDxfId="0"/>
  </tableColumns>
  <tableStyleInfo name="TableStyleLight15"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57"/>
  <sheetViews>
    <sheetView showGridLines="0" topLeftCell="A7" zoomScale="55" zoomScaleNormal="55" workbookViewId="0">
      <selection activeCell="D19" sqref="D19"/>
    </sheetView>
  </sheetViews>
  <sheetFormatPr defaultColWidth="11" defaultRowHeight="39" customHeight="1"/>
  <cols>
    <col min="1" max="1" width="42" bestFit="1" customWidth="1"/>
    <col min="2" max="2" width="33.85546875" style="28" bestFit="1" customWidth="1"/>
    <col min="3" max="3" width="21.28515625" customWidth="1"/>
    <col min="4" max="4" width="30.42578125" customWidth="1"/>
    <col min="5" max="5" width="62.28515625" style="89" bestFit="1" customWidth="1"/>
    <col min="6" max="6" width="56.7109375" bestFit="1" customWidth="1"/>
    <col min="7" max="7" width="19.42578125" customWidth="1"/>
    <col min="8" max="8" width="15.28515625" customWidth="1"/>
    <col min="9" max="9" width="18" customWidth="1"/>
    <col min="10" max="10" width="19.42578125" bestFit="1" customWidth="1"/>
  </cols>
  <sheetData>
    <row r="1" spans="1:9" ht="39" customHeight="1" thickBot="1">
      <c r="A1" s="123"/>
      <c r="B1" s="124"/>
      <c r="C1" s="124"/>
      <c r="D1" s="124"/>
      <c r="E1" s="124"/>
      <c r="F1" s="124"/>
      <c r="G1" s="124"/>
      <c r="H1" s="124"/>
      <c r="I1" s="125"/>
    </row>
    <row r="2" spans="1:9" ht="21.75" thickBot="1">
      <c r="A2" s="108" t="s">
        <v>8</v>
      </c>
      <c r="B2" s="27" t="s">
        <v>57</v>
      </c>
      <c r="C2" s="126"/>
      <c r="D2" s="127"/>
      <c r="E2" s="27" t="s">
        <v>68</v>
      </c>
      <c r="F2" s="138"/>
      <c r="G2" s="139"/>
      <c r="H2" s="139"/>
      <c r="I2" s="140"/>
    </row>
    <row r="3" spans="1:9" ht="21.75" thickBot="1">
      <c r="A3" s="109" t="s">
        <v>9</v>
      </c>
      <c r="B3" s="27" t="s">
        <v>57</v>
      </c>
      <c r="C3" s="128"/>
      <c r="D3" s="129"/>
      <c r="E3" s="27" t="s">
        <v>69</v>
      </c>
      <c r="F3" s="135"/>
      <c r="G3" s="136"/>
      <c r="H3" s="136"/>
      <c r="I3" s="137"/>
    </row>
    <row r="4" spans="1:9" ht="21.75" thickBot="1">
      <c r="A4" s="110" t="s">
        <v>12</v>
      </c>
      <c r="B4" s="27" t="s">
        <v>57</v>
      </c>
      <c r="C4" s="130"/>
      <c r="D4" s="131"/>
      <c r="E4" s="27" t="s">
        <v>73</v>
      </c>
      <c r="F4" s="132"/>
      <c r="G4" s="133"/>
      <c r="H4" s="133"/>
      <c r="I4" s="134"/>
    </row>
    <row r="5" spans="1:9" s="1" customFormat="1" ht="65.25" customHeight="1" thickBot="1">
      <c r="A5" s="123" t="s">
        <v>18</v>
      </c>
      <c r="B5" s="124"/>
      <c r="C5" s="124"/>
      <c r="D5" s="124"/>
      <c r="E5" s="124"/>
      <c r="F5" s="124"/>
      <c r="G5" s="124"/>
      <c r="H5" s="124"/>
      <c r="I5" s="125"/>
    </row>
    <row r="6" spans="1:9" s="68" customFormat="1" ht="39" customHeight="1">
      <c r="A6" s="58" t="s">
        <v>58</v>
      </c>
      <c r="B6" s="59" t="s">
        <v>59</v>
      </c>
      <c r="C6" s="47" t="s">
        <v>10</v>
      </c>
      <c r="D6" s="47" t="s">
        <v>60</v>
      </c>
      <c r="E6" s="86" t="s">
        <v>61</v>
      </c>
      <c r="F6" s="67" t="s">
        <v>62</v>
      </c>
    </row>
    <row r="7" spans="1:9" s="95" customFormat="1" ht="39" customHeight="1">
      <c r="A7" s="90"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Solvent control</v>
      </c>
      <c r="B7" s="91" t="s">
        <v>50</v>
      </c>
      <c r="C7" s="92">
        <v>0</v>
      </c>
      <c r="D7" s="93"/>
      <c r="E7" s="94" t="s">
        <v>64</v>
      </c>
      <c r="F7" s="69"/>
    </row>
    <row r="8" spans="1:9" s="95" customFormat="1" ht="39" customHeight="1">
      <c r="A8" s="90"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EE2-33.8ng/L</v>
      </c>
      <c r="B8" s="91" t="s">
        <v>50</v>
      </c>
      <c r="C8" s="92" t="s">
        <v>65</v>
      </c>
      <c r="D8" s="93" t="s">
        <v>51</v>
      </c>
      <c r="E8" s="94" t="s">
        <v>52</v>
      </c>
      <c r="F8" s="69"/>
    </row>
    <row r="9" spans="1:9" s="95" customFormat="1" ht="39" customHeight="1">
      <c r="A9" s="90"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EE2-50.6ng/L</v>
      </c>
      <c r="B9" s="91" t="s">
        <v>50</v>
      </c>
      <c r="C9" s="92" t="s">
        <v>66</v>
      </c>
      <c r="D9" s="93" t="s">
        <v>51</v>
      </c>
      <c r="E9" s="94" t="s">
        <v>52</v>
      </c>
      <c r="F9" s="69"/>
    </row>
    <row r="10" spans="1:9" s="95" customFormat="1" ht="39" customHeight="1">
      <c r="A10" s="90"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EE2-76ng/L</v>
      </c>
      <c r="B10" s="91" t="s">
        <v>50</v>
      </c>
      <c r="C10" s="92">
        <v>76</v>
      </c>
      <c r="D10" s="93" t="s">
        <v>51</v>
      </c>
      <c r="E10" s="94" t="s">
        <v>52</v>
      </c>
      <c r="F10" s="69"/>
    </row>
    <row r="11" spans="1:9" s="95" customFormat="1" ht="39" customHeight="1">
      <c r="A11" s="90"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EE2-114ng/L</v>
      </c>
      <c r="B11" s="91" t="s">
        <v>50</v>
      </c>
      <c r="C11" s="92">
        <v>114</v>
      </c>
      <c r="D11" s="93" t="s">
        <v>51</v>
      </c>
      <c r="E11" s="94" t="s">
        <v>52</v>
      </c>
      <c r="F11" s="69"/>
    </row>
    <row r="12" spans="1:9" s="95" customFormat="1" ht="39" customHeight="1">
      <c r="A12" s="90"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EE2-170.9ng/L</v>
      </c>
      <c r="B12" s="91" t="s">
        <v>50</v>
      </c>
      <c r="C12" s="92" t="s">
        <v>67</v>
      </c>
      <c r="D12" s="93" t="s">
        <v>51</v>
      </c>
      <c r="E12" s="94" t="s">
        <v>52</v>
      </c>
      <c r="F12" s="69"/>
    </row>
    <row r="13" spans="1:9" s="95" customFormat="1" ht="39" customHeight="1">
      <c r="A13" s="90"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EE2-488ng/L</v>
      </c>
      <c r="B13" s="91" t="s">
        <v>50</v>
      </c>
      <c r="C13" s="92">
        <v>488</v>
      </c>
      <c r="D13" s="93" t="s">
        <v>51</v>
      </c>
      <c r="E13" s="94" t="s">
        <v>52</v>
      </c>
      <c r="F13" s="69"/>
    </row>
    <row r="14" spans="1:9" s="95" customFormat="1" ht="39" customHeight="1">
      <c r="A14" s="90"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saccharin-100mg/L</v>
      </c>
      <c r="B14" s="91" t="s">
        <v>63</v>
      </c>
      <c r="C14" s="92">
        <v>100</v>
      </c>
      <c r="D14" s="93" t="s">
        <v>74</v>
      </c>
      <c r="E14" s="94" t="s">
        <v>75</v>
      </c>
      <c r="F14" s="69"/>
    </row>
    <row r="15" spans="1:9" s="70" customFormat="1" ht="39" customHeight="1">
      <c r="A15" s="4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saccharin-10mg/L</v>
      </c>
      <c r="B15" s="91" t="s">
        <v>63</v>
      </c>
      <c r="C15" s="64">
        <v>10</v>
      </c>
      <c r="D15" s="93" t="s">
        <v>74</v>
      </c>
      <c r="E15" s="94" t="s">
        <v>75</v>
      </c>
      <c r="F15" s="69"/>
    </row>
    <row r="16" spans="1:9" s="70" customFormat="1" ht="39" customHeight="1">
      <c r="A16" s="4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saccharin-1mg/L</v>
      </c>
      <c r="B16" s="91" t="s">
        <v>63</v>
      </c>
      <c r="C16" s="64">
        <v>1</v>
      </c>
      <c r="D16" s="93" t="s">
        <v>74</v>
      </c>
      <c r="E16" s="94" t="s">
        <v>75</v>
      </c>
      <c r="F16" s="69"/>
    </row>
    <row r="17" spans="1:6" s="70" customFormat="1" ht="39" customHeight="1">
      <c r="A17" s="4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saccharin-0.1mg/L</v>
      </c>
      <c r="B17" s="91" t="s">
        <v>63</v>
      </c>
      <c r="C17" s="64">
        <v>0.1</v>
      </c>
      <c r="D17" s="93" t="s">
        <v>74</v>
      </c>
      <c r="E17" s="94" t="s">
        <v>75</v>
      </c>
      <c r="F17" s="69"/>
    </row>
    <row r="18" spans="1:6" s="70" customFormat="1" ht="39" customHeight="1">
      <c r="A18" s="4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saccharin-0.01mg/L</v>
      </c>
      <c r="B18" s="91" t="s">
        <v>63</v>
      </c>
      <c r="C18" s="64">
        <v>0.01</v>
      </c>
      <c r="D18" s="93" t="s">
        <v>74</v>
      </c>
      <c r="E18" s="94" t="s">
        <v>75</v>
      </c>
      <c r="F18" s="69"/>
    </row>
    <row r="19" spans="1:6" s="70" customFormat="1" ht="39" customHeight="1">
      <c r="A19" s="4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19" s="91" t="s">
        <v>63</v>
      </c>
      <c r="C19" s="64"/>
      <c r="D19" s="64"/>
      <c r="E19" s="25"/>
      <c r="F19" s="69"/>
    </row>
    <row r="20" spans="1:6" s="70" customFormat="1" ht="39" customHeight="1">
      <c r="A20" s="4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0" s="91" t="s">
        <v>63</v>
      </c>
      <c r="C20" s="64"/>
      <c r="D20" s="64"/>
      <c r="E20" s="60"/>
      <c r="F20" s="69"/>
    </row>
    <row r="21" spans="1:6" s="70" customFormat="1" ht="39" customHeight="1">
      <c r="A21" s="4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1" s="91" t="s">
        <v>63</v>
      </c>
      <c r="C21" s="64"/>
      <c r="D21" s="64"/>
      <c r="E21" s="25"/>
      <c r="F21" s="69"/>
    </row>
    <row r="22" spans="1:6" s="70" customFormat="1" ht="39" customHeight="1">
      <c r="A22" s="4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2" s="91" t="s">
        <v>63</v>
      </c>
      <c r="C22" s="64"/>
      <c r="D22" s="64"/>
      <c r="E22" s="60"/>
      <c r="F22" s="69"/>
    </row>
    <row r="23" spans="1:6" s="70" customFormat="1" ht="39" customHeight="1">
      <c r="A23" s="4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3" s="91" t="s">
        <v>63</v>
      </c>
      <c r="C23" s="64"/>
      <c r="D23" s="64"/>
      <c r="E23" s="25"/>
      <c r="F23" s="69"/>
    </row>
    <row r="24" spans="1:6" s="70" customFormat="1" ht="39" customHeight="1">
      <c r="A24" s="4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4" s="91" t="s">
        <v>63</v>
      </c>
      <c r="C24" s="64"/>
      <c r="D24" s="64"/>
      <c r="E24" s="60"/>
      <c r="F24" s="69"/>
    </row>
    <row r="25" spans="1:6" s="70" customFormat="1" ht="39" customHeight="1">
      <c r="A25" s="4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5" s="91" t="s">
        <v>63</v>
      </c>
      <c r="C25" s="64"/>
      <c r="D25" s="64"/>
      <c r="E25" s="25"/>
      <c r="F25" s="69"/>
    </row>
    <row r="26" spans="1:6" s="70" customFormat="1" ht="39" customHeight="1">
      <c r="A26" s="4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6" s="91" t="s">
        <v>63</v>
      </c>
      <c r="C26" s="64"/>
      <c r="D26" s="64"/>
      <c r="E26" s="60"/>
      <c r="F26" s="69"/>
    </row>
    <row r="27" spans="1:6" s="70" customFormat="1" ht="39" customHeight="1">
      <c r="A27" s="4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7" s="91" t="s">
        <v>63</v>
      </c>
      <c r="C27" s="64"/>
      <c r="D27" s="64"/>
      <c r="E27" s="25"/>
      <c r="F27" s="69"/>
    </row>
    <row r="28" spans="1:6" s="70" customFormat="1" ht="39" customHeight="1">
      <c r="A28" s="4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8" s="91" t="s">
        <v>63</v>
      </c>
      <c r="C28" s="64"/>
      <c r="D28" s="64"/>
      <c r="E28" s="60"/>
      <c r="F28" s="69"/>
    </row>
    <row r="29" spans="1:6" s="70" customFormat="1" ht="39" customHeight="1">
      <c r="A29" s="4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9" s="91" t="s">
        <v>63</v>
      </c>
      <c r="C29" s="64"/>
      <c r="D29" s="73"/>
      <c r="E29" s="25"/>
      <c r="F29" s="69"/>
    </row>
    <row r="30" spans="1:6" s="70" customFormat="1" ht="39" customHeight="1">
      <c r="A30" s="4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0" s="91" t="s">
        <v>63</v>
      </c>
      <c r="C30" s="64"/>
      <c r="D30" s="73"/>
      <c r="E30" s="60"/>
      <c r="F30" s="69"/>
    </row>
    <row r="31" spans="1:6" s="70" customFormat="1" ht="39" customHeight="1">
      <c r="A31" s="4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1" s="91" t="s">
        <v>63</v>
      </c>
      <c r="C31" s="64"/>
      <c r="D31" s="73"/>
      <c r="E31" s="25"/>
      <c r="F31" s="69"/>
    </row>
    <row r="32" spans="1:6" s="70" customFormat="1" ht="39" customHeight="1">
      <c r="A32" s="4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2" s="91" t="s">
        <v>63</v>
      </c>
      <c r="C32" s="64"/>
      <c r="D32" s="73"/>
      <c r="E32" s="60"/>
      <c r="F32" s="69"/>
    </row>
    <row r="33" spans="1:6" s="70" customFormat="1" ht="39" customHeight="1">
      <c r="A33" s="4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3" s="91" t="s">
        <v>63</v>
      </c>
      <c r="C33" s="64"/>
      <c r="D33" s="73"/>
      <c r="E33" s="25"/>
      <c r="F33" s="69"/>
    </row>
    <row r="34" spans="1:6" s="70" customFormat="1" ht="39" customHeight="1" thickBot="1">
      <c r="A34" s="5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4" s="91" t="s">
        <v>63</v>
      </c>
      <c r="C34" s="97"/>
      <c r="D34" s="74"/>
      <c r="E34" s="96"/>
      <c r="F34" s="69"/>
    </row>
    <row r="35" spans="1:6" s="70" customFormat="1" ht="39" customHeight="1">
      <c r="A35" s="9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Testo -30µg/L</v>
      </c>
      <c r="B35" s="61" t="s">
        <v>50</v>
      </c>
      <c r="C35" s="65">
        <v>30</v>
      </c>
      <c r="D35" s="75" t="s">
        <v>53</v>
      </c>
      <c r="E35" s="87" t="s">
        <v>11</v>
      </c>
      <c r="F35" s="99"/>
    </row>
    <row r="36" spans="1:6" s="70" customFormat="1" ht="39" customHeight="1">
      <c r="A36" s="100"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Testo 30µg/L + EE2 -64ng/L</v>
      </c>
      <c r="B36" s="62" t="s">
        <v>50</v>
      </c>
      <c r="C36" s="66">
        <v>64</v>
      </c>
      <c r="D36" s="76" t="s">
        <v>51</v>
      </c>
      <c r="E36" s="88" t="s">
        <v>54</v>
      </c>
      <c r="F36" s="101"/>
    </row>
    <row r="37" spans="1:6" s="70" customFormat="1" ht="39" customHeight="1" thickBot="1">
      <c r="A37" s="10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Testo 30µg/L + FAD-10mg/L</v>
      </c>
      <c r="B37" s="103" t="s">
        <v>50</v>
      </c>
      <c r="C37" s="104">
        <v>10</v>
      </c>
      <c r="D37" s="105" t="s">
        <v>55</v>
      </c>
      <c r="E37" s="106" t="s">
        <v>56</v>
      </c>
      <c r="F37" s="107"/>
    </row>
    <row r="38" spans="1:6" s="70" customFormat="1" ht="39" customHeight="1">
      <c r="A38" s="3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saccharin-100mg/L + Testostérone</v>
      </c>
      <c r="B38" s="111" t="str">
        <f>B14</f>
        <v>test chemical</v>
      </c>
      <c r="C38" s="111">
        <f t="shared" ref="C38:E38" si="0">C14</f>
        <v>100</v>
      </c>
      <c r="D38" s="111" t="str">
        <f t="shared" si="0"/>
        <v>mg/L</v>
      </c>
      <c r="E38" s="121" t="str">
        <f t="shared" si="0"/>
        <v>saccharin</v>
      </c>
      <c r="F38" s="71" t="s">
        <v>30</v>
      </c>
    </row>
    <row r="39" spans="1:6" s="70" customFormat="1" ht="39" customHeight="1">
      <c r="A39" s="5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saccharin-10mg/L + Testostérone</v>
      </c>
      <c r="B39" s="113" t="str">
        <f t="shared" ref="B39:E39" si="1">B15</f>
        <v>test chemical</v>
      </c>
      <c r="C39" s="113">
        <f t="shared" si="1"/>
        <v>10</v>
      </c>
      <c r="D39" s="113" t="str">
        <f t="shared" si="1"/>
        <v>mg/L</v>
      </c>
      <c r="E39" s="66" t="str">
        <f t="shared" si="1"/>
        <v>saccharin</v>
      </c>
      <c r="F39" s="72" t="s">
        <v>30</v>
      </c>
    </row>
    <row r="40" spans="1:6" s="70" customFormat="1" ht="39" customHeight="1">
      <c r="A40" s="5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saccharin-1mg/L + Testostérone</v>
      </c>
      <c r="B40" s="113" t="str">
        <f t="shared" ref="B40:E40" si="2">B16</f>
        <v>test chemical</v>
      </c>
      <c r="C40" s="113">
        <f t="shared" si="2"/>
        <v>1</v>
      </c>
      <c r="D40" s="113" t="str">
        <f t="shared" si="2"/>
        <v>mg/L</v>
      </c>
      <c r="E40" s="66" t="str">
        <f t="shared" si="2"/>
        <v>saccharin</v>
      </c>
      <c r="F40" s="72" t="s">
        <v>30</v>
      </c>
    </row>
    <row r="41" spans="1:6" s="70" customFormat="1" ht="39" customHeight="1">
      <c r="A41" s="5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saccharin-0.1mg/L + Testostérone</v>
      </c>
      <c r="B41" s="113" t="str">
        <f t="shared" ref="B41:E41" si="3">B17</f>
        <v>test chemical</v>
      </c>
      <c r="C41" s="113">
        <f t="shared" si="3"/>
        <v>0.1</v>
      </c>
      <c r="D41" s="113" t="str">
        <f t="shared" si="3"/>
        <v>mg/L</v>
      </c>
      <c r="E41" s="66" t="str">
        <f t="shared" si="3"/>
        <v>saccharin</v>
      </c>
      <c r="F41" s="72" t="s">
        <v>30</v>
      </c>
    </row>
    <row r="42" spans="1:6" s="70" customFormat="1" ht="39" customHeight="1">
      <c r="A42" s="5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saccharin-0.01mg/L + Testostérone</v>
      </c>
      <c r="B42" s="113" t="str">
        <f t="shared" ref="B42:E42" si="4">B18</f>
        <v>test chemical</v>
      </c>
      <c r="C42" s="113">
        <f t="shared" si="4"/>
        <v>0.01</v>
      </c>
      <c r="D42" s="113" t="str">
        <f t="shared" si="4"/>
        <v>mg/L</v>
      </c>
      <c r="E42" s="66" t="str">
        <f t="shared" si="4"/>
        <v>saccharin</v>
      </c>
      <c r="F42" s="72" t="s">
        <v>30</v>
      </c>
    </row>
    <row r="43" spans="1:6" s="70" customFormat="1" ht="39" customHeight="1">
      <c r="A43" s="5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3" s="113" t="str">
        <f t="shared" ref="B43:E43" si="5">B19</f>
        <v>test chemical</v>
      </c>
      <c r="C43" s="113">
        <f t="shared" si="5"/>
        <v>0</v>
      </c>
      <c r="D43" s="113">
        <f t="shared" si="5"/>
        <v>0</v>
      </c>
      <c r="E43" s="113">
        <f t="shared" si="5"/>
        <v>0</v>
      </c>
      <c r="F43" s="72" t="s">
        <v>30</v>
      </c>
    </row>
    <row r="44" spans="1:6" s="70" customFormat="1" ht="39" customHeight="1">
      <c r="A44" s="5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4" s="113" t="str">
        <f t="shared" ref="B44:E44" si="6">B20</f>
        <v>test chemical</v>
      </c>
      <c r="C44" s="113">
        <f t="shared" si="6"/>
        <v>0</v>
      </c>
      <c r="D44" s="113">
        <f t="shared" si="6"/>
        <v>0</v>
      </c>
      <c r="E44" s="113">
        <f t="shared" si="6"/>
        <v>0</v>
      </c>
      <c r="F44" s="72" t="s">
        <v>30</v>
      </c>
    </row>
    <row r="45" spans="1:6" s="70" customFormat="1" ht="39" customHeight="1">
      <c r="A45" s="5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5" s="113" t="str">
        <f t="shared" ref="B45:E45" si="7">B21</f>
        <v>test chemical</v>
      </c>
      <c r="C45" s="113">
        <f t="shared" si="7"/>
        <v>0</v>
      </c>
      <c r="D45" s="113">
        <f t="shared" si="7"/>
        <v>0</v>
      </c>
      <c r="E45" s="113">
        <f t="shared" si="7"/>
        <v>0</v>
      </c>
      <c r="F45" s="72" t="s">
        <v>30</v>
      </c>
    </row>
    <row r="46" spans="1:6" s="70" customFormat="1" ht="39" customHeight="1">
      <c r="A46" s="5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6" s="113" t="str">
        <f t="shared" ref="B46:E46" si="8">B22</f>
        <v>test chemical</v>
      </c>
      <c r="C46" s="113">
        <f t="shared" si="8"/>
        <v>0</v>
      </c>
      <c r="D46" s="113">
        <f t="shared" si="8"/>
        <v>0</v>
      </c>
      <c r="E46" s="113">
        <f t="shared" si="8"/>
        <v>0</v>
      </c>
      <c r="F46" s="72" t="s">
        <v>30</v>
      </c>
    </row>
    <row r="47" spans="1:6" s="70" customFormat="1" ht="39" customHeight="1">
      <c r="A47" s="5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7" s="113" t="str">
        <f t="shared" ref="B47:E47" si="9">B23</f>
        <v>test chemical</v>
      </c>
      <c r="C47" s="113">
        <f t="shared" si="9"/>
        <v>0</v>
      </c>
      <c r="D47" s="113">
        <f t="shared" si="9"/>
        <v>0</v>
      </c>
      <c r="E47" s="113">
        <f t="shared" si="9"/>
        <v>0</v>
      </c>
      <c r="F47" s="72" t="s">
        <v>30</v>
      </c>
    </row>
    <row r="48" spans="1:6" s="70" customFormat="1" ht="39" customHeight="1">
      <c r="A48" s="5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8" s="113" t="str">
        <f t="shared" ref="B48:E48" si="10">B24</f>
        <v>test chemical</v>
      </c>
      <c r="C48" s="113">
        <f t="shared" si="10"/>
        <v>0</v>
      </c>
      <c r="D48" s="113">
        <f t="shared" si="10"/>
        <v>0</v>
      </c>
      <c r="E48" s="113">
        <f t="shared" si="10"/>
        <v>0</v>
      </c>
      <c r="F48" s="72" t="s">
        <v>30</v>
      </c>
    </row>
    <row r="49" spans="1:6" s="70" customFormat="1" ht="39" customHeight="1">
      <c r="A49" s="5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9" s="113" t="str">
        <f t="shared" ref="B49:E49" si="11">B25</f>
        <v>test chemical</v>
      </c>
      <c r="C49" s="113">
        <f t="shared" si="11"/>
        <v>0</v>
      </c>
      <c r="D49" s="113">
        <f t="shared" si="11"/>
        <v>0</v>
      </c>
      <c r="E49" s="113">
        <f t="shared" si="11"/>
        <v>0</v>
      </c>
      <c r="F49" s="72" t="s">
        <v>30</v>
      </c>
    </row>
    <row r="50" spans="1:6" s="70" customFormat="1" ht="39" customHeight="1">
      <c r="A50" s="5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0" s="113" t="str">
        <f t="shared" ref="B50:E50" si="12">B26</f>
        <v>test chemical</v>
      </c>
      <c r="C50" s="113">
        <f t="shared" si="12"/>
        <v>0</v>
      </c>
      <c r="D50" s="113">
        <f t="shared" si="12"/>
        <v>0</v>
      </c>
      <c r="E50" s="113">
        <f t="shared" si="12"/>
        <v>0</v>
      </c>
      <c r="F50" s="72" t="s">
        <v>30</v>
      </c>
    </row>
    <row r="51" spans="1:6" s="70" customFormat="1" ht="39" customHeight="1">
      <c r="A51" s="5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1" s="113" t="str">
        <f t="shared" ref="B51:E51" si="13">B27</f>
        <v>test chemical</v>
      </c>
      <c r="C51" s="113">
        <f t="shared" si="13"/>
        <v>0</v>
      </c>
      <c r="D51" s="113">
        <f t="shared" si="13"/>
        <v>0</v>
      </c>
      <c r="E51" s="113">
        <f t="shared" si="13"/>
        <v>0</v>
      </c>
      <c r="F51" s="72" t="s">
        <v>30</v>
      </c>
    </row>
    <row r="52" spans="1:6" s="70" customFormat="1" ht="39" customHeight="1">
      <c r="A52" s="5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2" s="113" t="str">
        <f t="shared" ref="B52:E52" si="14">B28</f>
        <v>test chemical</v>
      </c>
      <c r="C52" s="113">
        <f t="shared" si="14"/>
        <v>0</v>
      </c>
      <c r="D52" s="113">
        <f t="shared" si="14"/>
        <v>0</v>
      </c>
      <c r="E52" s="113">
        <f t="shared" si="14"/>
        <v>0</v>
      </c>
      <c r="F52" s="72" t="s">
        <v>30</v>
      </c>
    </row>
    <row r="53" spans="1:6" s="70" customFormat="1" ht="39" customHeight="1">
      <c r="A53" s="5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3" s="113" t="str">
        <f t="shared" ref="B53:E53" si="15">B29</f>
        <v>test chemical</v>
      </c>
      <c r="C53" s="113">
        <f t="shared" si="15"/>
        <v>0</v>
      </c>
      <c r="D53" s="113">
        <f t="shared" si="15"/>
        <v>0</v>
      </c>
      <c r="E53" s="113">
        <f t="shared" si="15"/>
        <v>0</v>
      </c>
      <c r="F53" s="72" t="s">
        <v>30</v>
      </c>
    </row>
    <row r="54" spans="1:6" s="70" customFormat="1" ht="39" customHeight="1">
      <c r="A54" s="5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4" s="113" t="str">
        <f t="shared" ref="B54:E54" si="16">B30</f>
        <v>test chemical</v>
      </c>
      <c r="C54" s="113">
        <f t="shared" si="16"/>
        <v>0</v>
      </c>
      <c r="D54" s="113">
        <f t="shared" si="16"/>
        <v>0</v>
      </c>
      <c r="E54" s="113">
        <f t="shared" si="16"/>
        <v>0</v>
      </c>
      <c r="F54" s="72" t="s">
        <v>30</v>
      </c>
    </row>
    <row r="55" spans="1:6" s="70" customFormat="1" ht="39" customHeight="1">
      <c r="A55" s="5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5" s="113" t="str">
        <f t="shared" ref="B55:E55" si="17">B31</f>
        <v>test chemical</v>
      </c>
      <c r="C55" s="113">
        <f t="shared" si="17"/>
        <v>0</v>
      </c>
      <c r="D55" s="113">
        <f t="shared" si="17"/>
        <v>0</v>
      </c>
      <c r="E55" s="113">
        <f t="shared" si="17"/>
        <v>0</v>
      </c>
      <c r="F55" s="72" t="s">
        <v>30</v>
      </c>
    </row>
    <row r="56" spans="1:6" s="70" customFormat="1" ht="39" customHeight="1">
      <c r="A56" s="5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6" s="113" t="str">
        <f t="shared" ref="B56:E56" si="18">B32</f>
        <v>test chemical</v>
      </c>
      <c r="C56" s="113">
        <f t="shared" si="18"/>
        <v>0</v>
      </c>
      <c r="D56" s="113">
        <f t="shared" si="18"/>
        <v>0</v>
      </c>
      <c r="E56" s="113">
        <f t="shared" si="18"/>
        <v>0</v>
      </c>
      <c r="F56" s="72" t="s">
        <v>30</v>
      </c>
    </row>
    <row r="57" spans="1:6" s="70" customFormat="1" ht="39" customHeight="1">
      <c r="A57" s="63"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7" s="112" t="str">
        <f t="shared" ref="B57:E57" si="19">B33</f>
        <v>test chemical</v>
      </c>
      <c r="C57" s="112">
        <f t="shared" si="19"/>
        <v>0</v>
      </c>
      <c r="D57" s="112">
        <f t="shared" si="19"/>
        <v>0</v>
      </c>
      <c r="E57" s="112">
        <f t="shared" si="19"/>
        <v>0</v>
      </c>
      <c r="F57" s="72" t="s">
        <v>30</v>
      </c>
    </row>
  </sheetData>
  <protectedRanges>
    <protectedRange sqref="C19:D37 A15:A51 C15:C18" name="Plage1_1"/>
  </protectedRanges>
  <mergeCells count="8">
    <mergeCell ref="A5:I5"/>
    <mergeCell ref="A1:I1"/>
    <mergeCell ref="C2:D2"/>
    <mergeCell ref="C3:D3"/>
    <mergeCell ref="C4:D4"/>
    <mergeCell ref="F4:I4"/>
    <mergeCell ref="F3:I3"/>
    <mergeCell ref="F2:I2"/>
  </mergeCells>
  <phoneticPr fontId="12"/>
  <dataValidations count="1">
    <dataValidation type="custom" allowBlank="1" showInputMessage="1" showErrorMessage="1" sqref="E7:E37" xr:uid="{E0A8F951-ED76-4488-98E3-F13AD7875916}">
      <formula1>ISERROR(SEARCH("-",E7))=TRUE</formula1>
    </dataValidation>
  </dataValidations>
  <pageMargins left="0.7" right="0.7" top="0.75" bottom="0.75" header="0.3" footer="0.3"/>
  <pageSetup paperSize="9" scale="35" orientation="landscape" r:id="rId1"/>
  <headerFooter>
    <oddHeader>&amp;C&amp;"-,Gras"&amp;20Résultats&amp;R&amp;"-,Gras"&amp;20Page : &amp;P/&amp;P</oddHead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74"/>
  <sheetViews>
    <sheetView showGridLines="0" topLeftCell="A10" zoomScale="85" zoomScaleNormal="85" zoomScaleSheetLayoutView="40" zoomScalePageLayoutView="30" workbookViewId="0">
      <pane xSplit="1" topLeftCell="N1" activePane="topRight" state="frozen"/>
      <selection pane="topRight" activeCell="N10" sqref="N1:N1048576"/>
    </sheetView>
  </sheetViews>
  <sheetFormatPr defaultColWidth="9.140625" defaultRowHeight="15"/>
  <cols>
    <col min="1" max="1" width="29.42578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3" width="26.42578125" style="1" customWidth="1"/>
    <col min="14" max="14" width="18.28515625" bestFit="1" customWidth="1"/>
    <col min="15" max="15" width="14.85546875" customWidth="1"/>
    <col min="16" max="16" width="26.42578125" customWidth="1"/>
    <col min="17" max="18" width="25.85546875" bestFit="1" customWidth="1"/>
    <col min="19" max="22" width="25.85546875" style="1" customWidth="1"/>
  </cols>
  <sheetData>
    <row r="1" spans="1:22" s="1" customFormat="1" ht="27" thickBot="1">
      <c r="A1" s="141" t="s">
        <v>21</v>
      </c>
      <c r="B1" s="142"/>
      <c r="C1" s="142"/>
      <c r="D1" s="142"/>
      <c r="E1" s="142"/>
      <c r="F1" s="142"/>
      <c r="G1" s="142"/>
      <c r="H1" s="142"/>
      <c r="I1" s="142"/>
      <c r="J1" s="142"/>
      <c r="K1" s="142"/>
      <c r="L1" s="142"/>
      <c r="M1" s="142"/>
      <c r="N1" s="142"/>
      <c r="O1" s="142"/>
      <c r="P1" s="142"/>
      <c r="Q1" s="142"/>
      <c r="R1" s="142"/>
      <c r="S1" s="142"/>
      <c r="T1" s="142"/>
      <c r="U1" s="142"/>
      <c r="V1" s="142"/>
    </row>
    <row r="2" spans="1:22" ht="15.75" thickBot="1">
      <c r="A2"/>
      <c r="B2"/>
      <c r="C2"/>
      <c r="D2"/>
      <c r="E2"/>
      <c r="F2"/>
      <c r="G2"/>
      <c r="H2"/>
      <c r="I2"/>
      <c r="J2"/>
      <c r="K2"/>
      <c r="L2"/>
      <c r="M2"/>
      <c r="S2"/>
      <c r="T2"/>
      <c r="U2"/>
      <c r="V2"/>
    </row>
    <row r="3" spans="1:22" ht="15.75" thickBot="1">
      <c r="A3" s="35" t="s">
        <v>8</v>
      </c>
      <c r="B3" s="149" t="s">
        <v>6</v>
      </c>
      <c r="C3" s="150"/>
      <c r="D3" s="150"/>
      <c r="E3" s="150"/>
      <c r="F3" s="150"/>
      <c r="G3" s="150"/>
      <c r="H3" s="150"/>
      <c r="I3" s="150"/>
      <c r="J3" s="150"/>
      <c r="K3" s="150"/>
      <c r="L3" s="150"/>
      <c r="M3" s="150"/>
      <c r="O3" s="149" t="s">
        <v>3</v>
      </c>
      <c r="P3" s="150"/>
      <c r="Q3" s="150"/>
      <c r="R3" s="150"/>
      <c r="S3" s="150"/>
      <c r="T3" s="150"/>
      <c r="U3" s="150"/>
      <c r="V3" s="150"/>
    </row>
    <row r="4" spans="1:22">
      <c r="A4" s="19" t="s">
        <v>22</v>
      </c>
      <c r="B4" s="20" t="str">
        <f>'Front page'!A7</f>
        <v>Solvent control</v>
      </c>
      <c r="C4" s="20" t="str">
        <f>'Front page'!A8</f>
        <v>EE2-33.8ng/L</v>
      </c>
      <c r="D4" s="20" t="str">
        <f>'Front page'!A9</f>
        <v>EE2-50.6ng/L</v>
      </c>
      <c r="E4" s="20" t="str">
        <f>'Front page'!A10</f>
        <v>EE2-76ng/L</v>
      </c>
      <c r="F4" s="20" t="str">
        <f>'Front page'!A11</f>
        <v>EE2-114ng/L</v>
      </c>
      <c r="G4" s="20" t="str">
        <f>'Front page'!A12</f>
        <v>EE2-170.9ng/L</v>
      </c>
      <c r="H4" s="20" t="str">
        <f>'Front page'!A13</f>
        <v>EE2-488ng/L</v>
      </c>
      <c r="I4" s="20" t="str">
        <f>'Front page'!A14</f>
        <v>saccharin-100mg/L</v>
      </c>
      <c r="J4" s="20" t="str">
        <f>'Front page'!A15</f>
        <v>saccharin-10mg/L</v>
      </c>
      <c r="K4" s="20" t="str">
        <f>'Front page'!A16</f>
        <v>saccharin-1mg/L</v>
      </c>
      <c r="L4" s="20" t="str">
        <f>'Front page'!A17</f>
        <v>saccharin-0.1mg/L</v>
      </c>
      <c r="M4" s="20" t="str">
        <f>'Front page'!A18</f>
        <v>saccharin-0.01mg/L</v>
      </c>
      <c r="N4" s="3"/>
      <c r="O4" s="21" t="str">
        <f>'Front page'!A35</f>
        <v>Testo -30µg/L</v>
      </c>
      <c r="P4" s="21" t="str">
        <f>'Front page'!A36</f>
        <v>Testo 30µg/L + EE2 -64ng/L</v>
      </c>
      <c r="Q4" s="21" t="str">
        <f>'Front page'!A37</f>
        <v>Testo 30µg/L + FAD-10mg/L</v>
      </c>
      <c r="R4" s="21" t="str">
        <f>'Front page'!A38</f>
        <v>saccharin-100mg/L + Testostérone</v>
      </c>
      <c r="S4" s="21" t="str">
        <f>'Front page'!A39</f>
        <v>saccharin-10mg/L + Testostérone</v>
      </c>
      <c r="T4" s="21" t="str">
        <f>'Front page'!A40</f>
        <v>saccharin-1mg/L + Testostérone</v>
      </c>
      <c r="U4" s="21" t="str">
        <f>'Front page'!A41</f>
        <v>saccharin-0.1mg/L + Testostérone</v>
      </c>
      <c r="V4" s="21" t="str">
        <f>'Front page'!A42</f>
        <v>saccharin-0.01mg/L + Testostérone</v>
      </c>
    </row>
    <row r="5" spans="1:22" ht="16.5">
      <c r="A5" s="145" t="s">
        <v>71</v>
      </c>
      <c r="B5" s="120">
        <v>2032205</v>
      </c>
      <c r="C5" s="116">
        <v>3282976</v>
      </c>
      <c r="D5" s="81">
        <v>5241548</v>
      </c>
      <c r="E5" s="81">
        <v>12010389</v>
      </c>
      <c r="F5" s="81">
        <v>11204208</v>
      </c>
      <c r="G5" s="81">
        <v>11117968</v>
      </c>
      <c r="H5" s="81">
        <v>24316039</v>
      </c>
      <c r="I5" s="81">
        <v>231149</v>
      </c>
      <c r="J5" s="81">
        <v>1404994</v>
      </c>
      <c r="K5" s="116">
        <v>3382165</v>
      </c>
      <c r="L5" s="116">
        <v>1648211</v>
      </c>
      <c r="M5" s="116">
        <v>61397</v>
      </c>
      <c r="N5" s="3"/>
      <c r="O5" s="81">
        <v>5275906</v>
      </c>
      <c r="P5" s="116">
        <v>11915756</v>
      </c>
      <c r="Q5" s="116">
        <v>2592141</v>
      </c>
      <c r="R5" s="81">
        <v>8221178</v>
      </c>
      <c r="S5" s="81">
        <v>12726516</v>
      </c>
      <c r="T5" s="81">
        <v>21153375</v>
      </c>
      <c r="U5" s="81">
        <v>12684783</v>
      </c>
      <c r="V5" s="81">
        <v>12305147</v>
      </c>
    </row>
    <row r="6" spans="1:22" ht="16.5">
      <c r="A6" s="146"/>
      <c r="B6" s="120">
        <v>903752</v>
      </c>
      <c r="C6" s="116">
        <v>828653</v>
      </c>
      <c r="D6" s="81">
        <v>4099252</v>
      </c>
      <c r="E6" s="81">
        <v>11415136</v>
      </c>
      <c r="F6" s="81">
        <v>18142318</v>
      </c>
      <c r="G6" s="81">
        <v>15166260</v>
      </c>
      <c r="H6" s="81">
        <v>19058641</v>
      </c>
      <c r="I6" s="81">
        <v>683944</v>
      </c>
      <c r="J6" s="81">
        <v>6646</v>
      </c>
      <c r="K6" s="116">
        <v>1526089</v>
      </c>
      <c r="L6" s="116">
        <v>583636</v>
      </c>
      <c r="M6" s="116">
        <v>200371</v>
      </c>
      <c r="N6" s="3"/>
      <c r="O6" s="81">
        <v>10482006</v>
      </c>
      <c r="P6" s="116">
        <v>11781641</v>
      </c>
      <c r="Q6" s="116">
        <v>2561003</v>
      </c>
      <c r="R6" s="81">
        <v>8573479</v>
      </c>
      <c r="S6" s="81">
        <v>9199481</v>
      </c>
      <c r="T6" s="81">
        <v>11723979</v>
      </c>
      <c r="U6" s="81">
        <v>12080710</v>
      </c>
      <c r="V6" s="81">
        <v>13241152</v>
      </c>
    </row>
    <row r="7" spans="1:22" ht="16.5">
      <c r="A7" s="146"/>
      <c r="B7" s="120">
        <v>1314534</v>
      </c>
      <c r="C7" s="116">
        <v>56928</v>
      </c>
      <c r="D7" s="81">
        <v>5223528</v>
      </c>
      <c r="E7" s="81">
        <v>10031199</v>
      </c>
      <c r="F7" s="81">
        <v>13309780</v>
      </c>
      <c r="G7" s="81">
        <v>13454898</v>
      </c>
      <c r="H7" s="81">
        <v>30369512</v>
      </c>
      <c r="I7" s="81">
        <v>3823</v>
      </c>
      <c r="J7" s="81">
        <v>104284</v>
      </c>
      <c r="K7" s="116">
        <v>135312</v>
      </c>
      <c r="L7" s="116">
        <v>962704</v>
      </c>
      <c r="M7" s="116">
        <v>3768704</v>
      </c>
      <c r="N7" s="3"/>
      <c r="O7" s="81">
        <v>13006863</v>
      </c>
      <c r="P7" s="116">
        <v>20768682</v>
      </c>
      <c r="Q7" s="116">
        <v>2130106</v>
      </c>
      <c r="R7" s="81">
        <v>10820651</v>
      </c>
      <c r="S7" s="81">
        <v>7907745</v>
      </c>
      <c r="T7" s="81">
        <v>12059387</v>
      </c>
      <c r="U7" s="81">
        <v>6182319</v>
      </c>
      <c r="V7" s="81">
        <v>15334841</v>
      </c>
    </row>
    <row r="8" spans="1:22" ht="16.5">
      <c r="A8" s="146"/>
      <c r="B8" s="120">
        <v>2258115</v>
      </c>
      <c r="C8" s="116">
        <v>1579704</v>
      </c>
      <c r="D8" s="81">
        <v>4499111</v>
      </c>
      <c r="E8" s="81">
        <v>9903742</v>
      </c>
      <c r="F8" s="81">
        <v>9913460</v>
      </c>
      <c r="G8" s="81">
        <v>12756402</v>
      </c>
      <c r="H8" s="81">
        <v>21940407</v>
      </c>
      <c r="I8" s="81">
        <v>1283293</v>
      </c>
      <c r="J8" s="81">
        <v>121045</v>
      </c>
      <c r="K8" s="116">
        <v>4077602</v>
      </c>
      <c r="L8" s="116">
        <v>1977548</v>
      </c>
      <c r="M8" s="116">
        <v>3079396</v>
      </c>
      <c r="N8" s="3"/>
      <c r="O8" s="81">
        <v>8275166</v>
      </c>
      <c r="P8" s="116">
        <v>7131223</v>
      </c>
      <c r="Q8" s="116">
        <v>1144801</v>
      </c>
      <c r="R8" s="81">
        <v>15967342</v>
      </c>
      <c r="S8" s="81">
        <v>11844450</v>
      </c>
      <c r="T8" s="81">
        <v>13162649</v>
      </c>
      <c r="U8" s="81">
        <v>18108846</v>
      </c>
      <c r="V8" s="81">
        <v>9835303</v>
      </c>
    </row>
    <row r="9" spans="1:22" ht="16.5">
      <c r="A9" s="146"/>
      <c r="B9" s="120">
        <v>2539668</v>
      </c>
      <c r="C9" s="116">
        <v>2323207</v>
      </c>
      <c r="D9" s="81">
        <v>6216631</v>
      </c>
      <c r="E9" s="81">
        <v>7032363</v>
      </c>
      <c r="F9" s="81">
        <v>12943336</v>
      </c>
      <c r="G9" s="81">
        <v>17079426</v>
      </c>
      <c r="H9" s="81">
        <v>18863980</v>
      </c>
      <c r="I9" s="81">
        <v>492586</v>
      </c>
      <c r="J9" s="81">
        <v>20577</v>
      </c>
      <c r="K9" s="116">
        <v>2518140</v>
      </c>
      <c r="L9" s="116">
        <v>2704202</v>
      </c>
      <c r="M9" s="116">
        <v>320191</v>
      </c>
      <c r="N9" s="3"/>
      <c r="O9" s="81">
        <v>10993793</v>
      </c>
      <c r="P9" s="116">
        <v>12559819</v>
      </c>
      <c r="Q9" s="116">
        <v>1780300</v>
      </c>
      <c r="R9" s="81">
        <v>7033112</v>
      </c>
      <c r="S9" s="81">
        <v>11018032</v>
      </c>
      <c r="T9" s="81">
        <v>7556403</v>
      </c>
      <c r="U9" s="81">
        <v>13557994</v>
      </c>
      <c r="V9" s="81">
        <v>19222957</v>
      </c>
    </row>
    <row r="10" spans="1:22" ht="16.5">
      <c r="A10" s="146"/>
      <c r="B10" s="120">
        <v>1047006</v>
      </c>
      <c r="C10" s="116">
        <v>14063</v>
      </c>
      <c r="D10" s="81">
        <v>4751541</v>
      </c>
      <c r="E10" s="81">
        <v>15502459</v>
      </c>
      <c r="F10" s="81">
        <v>6581466</v>
      </c>
      <c r="G10" s="81">
        <v>14291258</v>
      </c>
      <c r="H10" s="81">
        <v>22484687</v>
      </c>
      <c r="I10" s="81">
        <v>2424258</v>
      </c>
      <c r="J10" s="81">
        <v>0</v>
      </c>
      <c r="K10" s="116">
        <v>78043</v>
      </c>
      <c r="L10" s="116">
        <v>547139</v>
      </c>
      <c r="M10" s="116">
        <v>177731</v>
      </c>
      <c r="N10" s="3"/>
      <c r="O10" s="81">
        <v>7418094</v>
      </c>
      <c r="P10" s="116">
        <v>19476262</v>
      </c>
      <c r="Q10" s="116">
        <v>1320017</v>
      </c>
      <c r="R10" s="81">
        <v>5763125</v>
      </c>
      <c r="S10" s="81">
        <v>5048953</v>
      </c>
      <c r="T10" s="81">
        <v>15092212</v>
      </c>
      <c r="U10" s="81">
        <v>16421476</v>
      </c>
      <c r="V10" s="81">
        <v>12689989</v>
      </c>
    </row>
    <row r="11" spans="1:22" ht="16.5">
      <c r="A11" s="146"/>
      <c r="B11" s="120">
        <v>681051</v>
      </c>
      <c r="C11" s="116">
        <v>3223082</v>
      </c>
      <c r="D11" s="81">
        <v>3836669</v>
      </c>
      <c r="E11" s="81">
        <v>13347439</v>
      </c>
      <c r="F11" s="81">
        <v>11637025</v>
      </c>
      <c r="G11" s="81">
        <v>13119449</v>
      </c>
      <c r="H11" s="81">
        <v>15561352</v>
      </c>
      <c r="I11" s="81">
        <v>770</v>
      </c>
      <c r="J11" s="81">
        <v>125223</v>
      </c>
      <c r="K11" s="116">
        <v>210249</v>
      </c>
      <c r="L11" s="116">
        <v>779715</v>
      </c>
      <c r="M11" s="116">
        <v>893829</v>
      </c>
      <c r="N11" s="3"/>
      <c r="O11" s="81">
        <v>5187699</v>
      </c>
      <c r="P11" s="116">
        <v>10832912</v>
      </c>
      <c r="Q11" s="116">
        <v>4596959</v>
      </c>
      <c r="R11" s="81">
        <v>14933017</v>
      </c>
      <c r="S11" s="81">
        <v>16265588</v>
      </c>
      <c r="T11" s="81">
        <v>10800247</v>
      </c>
      <c r="U11" s="81">
        <v>12961384</v>
      </c>
      <c r="V11" s="81">
        <v>7944983</v>
      </c>
    </row>
    <row r="12" spans="1:22" ht="16.5">
      <c r="A12" s="146"/>
      <c r="B12" s="120">
        <v>2529030</v>
      </c>
      <c r="C12" s="116">
        <v>2464965</v>
      </c>
      <c r="D12" s="81">
        <v>4013912</v>
      </c>
      <c r="E12" s="81">
        <v>6895313</v>
      </c>
      <c r="F12" s="81">
        <v>17021663</v>
      </c>
      <c r="G12" s="81">
        <v>9393395</v>
      </c>
      <c r="H12" s="81">
        <v>24523174</v>
      </c>
      <c r="I12" s="81">
        <v>541547</v>
      </c>
      <c r="J12" s="81">
        <v>55671</v>
      </c>
      <c r="K12" s="116">
        <v>141687</v>
      </c>
      <c r="L12" s="116">
        <v>1379814</v>
      </c>
      <c r="M12" s="116">
        <v>2865179</v>
      </c>
      <c r="N12" s="3"/>
      <c r="O12" s="81">
        <v>9575703</v>
      </c>
      <c r="P12" s="116">
        <v>19711254</v>
      </c>
      <c r="Q12" s="116">
        <v>232948</v>
      </c>
      <c r="R12" s="81">
        <v>5260299</v>
      </c>
      <c r="S12" s="81">
        <v>13071328</v>
      </c>
      <c r="T12" s="81">
        <v>16370660</v>
      </c>
      <c r="U12" s="81">
        <v>13486144</v>
      </c>
      <c r="V12" s="81">
        <v>4350010</v>
      </c>
    </row>
    <row r="13" spans="1:22" ht="16.5">
      <c r="A13" s="146"/>
      <c r="B13" s="14"/>
      <c r="C13" s="13"/>
      <c r="D13" s="16"/>
      <c r="E13" s="16"/>
      <c r="F13" s="16"/>
      <c r="G13" s="16"/>
      <c r="H13" s="16"/>
      <c r="I13" s="17"/>
      <c r="J13" s="16"/>
      <c r="K13" s="13"/>
      <c r="L13" s="13"/>
      <c r="M13" s="13"/>
      <c r="N13" s="3"/>
      <c r="O13" s="17">
        <v>7515773</v>
      </c>
      <c r="P13" s="13"/>
      <c r="Q13" s="13"/>
      <c r="R13" s="4"/>
      <c r="S13" s="17"/>
      <c r="T13" s="17"/>
      <c r="U13" s="17"/>
      <c r="V13" s="17"/>
    </row>
    <row r="14" spans="1:22" ht="16.5">
      <c r="A14" s="146"/>
      <c r="B14" s="14"/>
      <c r="C14" s="16"/>
      <c r="D14" s="16"/>
      <c r="E14" s="16"/>
      <c r="F14" s="16"/>
      <c r="G14" s="16"/>
      <c r="H14" s="16"/>
      <c r="I14" s="17"/>
      <c r="J14" s="16"/>
      <c r="K14" s="13"/>
      <c r="L14" s="13"/>
      <c r="M14" s="13"/>
      <c r="N14" s="3"/>
      <c r="O14" s="17">
        <v>11738900</v>
      </c>
      <c r="P14" s="13"/>
      <c r="Q14" s="13"/>
      <c r="R14" s="4"/>
      <c r="S14" s="17"/>
      <c r="T14" s="17"/>
      <c r="U14" s="17"/>
      <c r="V14" s="17"/>
    </row>
    <row r="15" spans="1:22" ht="16.5">
      <c r="A15" s="146"/>
      <c r="B15" s="14"/>
      <c r="C15" s="16"/>
      <c r="D15" s="16"/>
      <c r="E15" s="16"/>
      <c r="F15" s="16"/>
      <c r="G15" s="16"/>
      <c r="H15" s="16"/>
      <c r="I15" s="17"/>
      <c r="J15" s="16"/>
      <c r="K15" s="13"/>
      <c r="L15" s="13"/>
      <c r="M15" s="13"/>
      <c r="N15" s="3"/>
      <c r="O15" s="17">
        <v>8154921</v>
      </c>
      <c r="P15" s="13"/>
      <c r="Q15" s="13"/>
      <c r="R15" s="4"/>
      <c r="S15" s="17"/>
      <c r="T15" s="17"/>
      <c r="U15" s="17"/>
      <c r="V15" s="17"/>
    </row>
    <row r="16" spans="1:22" ht="16.5">
      <c r="A16" s="146"/>
      <c r="B16" s="14"/>
      <c r="C16" s="16"/>
      <c r="D16" s="16"/>
      <c r="E16" s="16"/>
      <c r="F16" s="16"/>
      <c r="G16" s="16"/>
      <c r="H16" s="16"/>
      <c r="I16" s="17"/>
      <c r="J16" s="16"/>
      <c r="K16" s="13"/>
      <c r="L16" s="13"/>
      <c r="M16" s="13"/>
      <c r="N16" s="3"/>
      <c r="O16" s="17">
        <v>5290883</v>
      </c>
      <c r="P16" s="13"/>
      <c r="Q16" s="13"/>
      <c r="R16" s="4"/>
      <c r="S16" s="17"/>
      <c r="T16" s="17"/>
      <c r="U16" s="17"/>
      <c r="V16" s="17"/>
    </row>
    <row r="17" spans="1:22" s="1" customFormat="1" ht="16.5">
      <c r="A17" s="146"/>
      <c r="B17" s="14"/>
      <c r="C17" s="17"/>
      <c r="D17" s="17"/>
      <c r="E17" s="17"/>
      <c r="F17" s="17"/>
      <c r="G17" s="17"/>
      <c r="H17" s="17"/>
      <c r="I17" s="17"/>
      <c r="J17" s="17"/>
      <c r="K17" s="13"/>
      <c r="L17" s="13"/>
      <c r="M17" s="13"/>
      <c r="N17" s="3"/>
      <c r="O17" s="17">
        <v>8734836</v>
      </c>
      <c r="P17" s="13"/>
      <c r="Q17" s="13"/>
      <c r="R17" s="17"/>
      <c r="S17" s="17"/>
      <c r="T17" s="17"/>
      <c r="U17" s="17"/>
      <c r="V17" s="17"/>
    </row>
    <row r="18" spans="1:22" s="1" customFormat="1" ht="16.5">
      <c r="A18" s="146"/>
      <c r="B18" s="14"/>
      <c r="C18" s="17"/>
      <c r="D18" s="17"/>
      <c r="E18" s="17"/>
      <c r="F18" s="17"/>
      <c r="G18" s="17"/>
      <c r="H18" s="17"/>
      <c r="I18" s="17"/>
      <c r="J18" s="17"/>
      <c r="K18" s="13"/>
      <c r="L18" s="13"/>
      <c r="M18" s="13"/>
      <c r="N18" s="3"/>
      <c r="O18" s="17">
        <v>6224170</v>
      </c>
      <c r="P18" s="13"/>
      <c r="Q18" s="13"/>
      <c r="R18" s="17"/>
      <c r="S18" s="17"/>
      <c r="T18" s="17"/>
      <c r="U18" s="17"/>
      <c r="V18" s="17"/>
    </row>
    <row r="19" spans="1:22" s="1" customFormat="1" ht="16.5">
      <c r="A19" s="146"/>
      <c r="B19" s="14"/>
      <c r="C19" s="17"/>
      <c r="D19" s="17"/>
      <c r="E19" s="17"/>
      <c r="F19" s="17"/>
      <c r="G19" s="17"/>
      <c r="H19" s="17"/>
      <c r="I19" s="17"/>
      <c r="J19" s="17"/>
      <c r="K19" s="13"/>
      <c r="L19" s="13"/>
      <c r="M19" s="13"/>
      <c r="N19" s="3"/>
      <c r="O19" s="17">
        <v>15014998</v>
      </c>
      <c r="P19" s="13"/>
      <c r="Q19" s="13"/>
      <c r="R19" s="17"/>
      <c r="S19" s="17"/>
      <c r="T19" s="17"/>
      <c r="U19" s="17"/>
      <c r="V19" s="17"/>
    </row>
    <row r="20" spans="1:22" ht="16.5">
      <c r="A20" s="146"/>
      <c r="B20" s="14"/>
      <c r="C20" s="16"/>
      <c r="D20" s="16"/>
      <c r="E20" s="16"/>
      <c r="F20" s="16"/>
      <c r="G20" s="16"/>
      <c r="H20" s="16"/>
      <c r="I20" s="17"/>
      <c r="J20" s="16"/>
      <c r="K20" s="13"/>
      <c r="L20" s="13"/>
      <c r="M20" s="13"/>
      <c r="N20" s="3"/>
      <c r="O20" s="17">
        <v>5918550</v>
      </c>
      <c r="P20" s="13"/>
      <c r="Q20" s="13"/>
      <c r="R20" s="4"/>
      <c r="S20" s="17"/>
      <c r="T20" s="17"/>
      <c r="U20" s="17"/>
      <c r="V20" s="17"/>
    </row>
    <row r="21" spans="1:22" s="1" customFormat="1" ht="16.5">
      <c r="A21" s="49"/>
      <c r="B21" s="50"/>
      <c r="C21" s="7"/>
      <c r="D21" s="7"/>
      <c r="E21" s="7"/>
      <c r="F21" s="7"/>
      <c r="G21" s="7"/>
      <c r="H21" s="7"/>
      <c r="I21" s="7"/>
      <c r="J21" s="7"/>
      <c r="K21" s="18"/>
      <c r="L21" s="18"/>
      <c r="M21" s="18"/>
      <c r="N21" s="3"/>
      <c r="O21" s="7"/>
      <c r="P21" s="18"/>
      <c r="Q21" s="18"/>
      <c r="R21" s="7"/>
      <c r="S21" s="7"/>
      <c r="T21" s="7"/>
      <c r="U21" s="7"/>
      <c r="V21" s="7"/>
    </row>
    <row r="22" spans="1:22" s="52" customFormat="1">
      <c r="A22" s="51" t="str">
        <f t="shared" ref="A22:M22" si="0">A4</f>
        <v>Noms des groupes</v>
      </c>
      <c r="B22" s="51" t="str">
        <f t="shared" si="0"/>
        <v>Solvent control</v>
      </c>
      <c r="C22" s="51" t="str">
        <f t="shared" si="0"/>
        <v>EE2-33.8ng/L</v>
      </c>
      <c r="D22" s="51" t="str">
        <f t="shared" si="0"/>
        <v>EE2-50.6ng/L</v>
      </c>
      <c r="E22" s="51" t="str">
        <f t="shared" si="0"/>
        <v>EE2-76ng/L</v>
      </c>
      <c r="F22" s="51" t="str">
        <f t="shared" si="0"/>
        <v>EE2-114ng/L</v>
      </c>
      <c r="G22" s="51" t="str">
        <f t="shared" si="0"/>
        <v>EE2-170.9ng/L</v>
      </c>
      <c r="H22" s="51" t="str">
        <f t="shared" si="0"/>
        <v>EE2-488ng/L</v>
      </c>
      <c r="I22" s="51" t="str">
        <f t="shared" si="0"/>
        <v>saccharin-100mg/L</v>
      </c>
      <c r="J22" s="51" t="str">
        <f t="shared" si="0"/>
        <v>saccharin-10mg/L</v>
      </c>
      <c r="K22" s="51" t="str">
        <f t="shared" si="0"/>
        <v>saccharin-1mg/L</v>
      </c>
      <c r="L22" s="51" t="str">
        <f t="shared" si="0"/>
        <v>saccharin-0.1mg/L</v>
      </c>
      <c r="M22" s="51" t="str">
        <f t="shared" si="0"/>
        <v>saccharin-0.01mg/L</v>
      </c>
      <c r="N22" s="51" t="s">
        <v>27</v>
      </c>
      <c r="O22" s="51" t="str">
        <f t="shared" ref="O22:V22" si="1">O4</f>
        <v>Testo -30µg/L</v>
      </c>
      <c r="P22" s="51" t="str">
        <f t="shared" si="1"/>
        <v>Testo 30µg/L + EE2 -64ng/L</v>
      </c>
      <c r="Q22" s="51" t="str">
        <f t="shared" si="1"/>
        <v>Testo 30µg/L + FAD-10mg/L</v>
      </c>
      <c r="R22" s="51" t="str">
        <f t="shared" si="1"/>
        <v>saccharin-100mg/L + Testostérone</v>
      </c>
      <c r="S22" s="51" t="str">
        <f t="shared" si="1"/>
        <v>saccharin-10mg/L + Testostérone</v>
      </c>
      <c r="T22" s="51" t="str">
        <f t="shared" si="1"/>
        <v>saccharin-1mg/L + Testostérone</v>
      </c>
      <c r="U22" s="51" t="str">
        <f t="shared" si="1"/>
        <v>saccharin-0.1mg/L + Testostérone</v>
      </c>
      <c r="V22" s="51" t="str">
        <f t="shared" si="1"/>
        <v>saccharin-0.01mg/L + Testostérone</v>
      </c>
    </row>
    <row r="23" spans="1:22">
      <c r="A23" s="5" t="s">
        <v>0</v>
      </c>
      <c r="B23" s="5">
        <f t="shared" ref="B23:M23" si="2">AVERAGE(B5:B20)</f>
        <v>1663170.125</v>
      </c>
      <c r="C23" s="5">
        <f t="shared" si="2"/>
        <v>1721697.25</v>
      </c>
      <c r="D23" s="5">
        <f t="shared" si="2"/>
        <v>4735274</v>
      </c>
      <c r="E23" s="5">
        <f t="shared" si="2"/>
        <v>10767255</v>
      </c>
      <c r="F23" s="5">
        <f t="shared" si="2"/>
        <v>12594157</v>
      </c>
      <c r="G23" s="5">
        <f t="shared" si="2"/>
        <v>13297382</v>
      </c>
      <c r="H23" s="5">
        <f t="shared" si="2"/>
        <v>22139724</v>
      </c>
      <c r="I23" s="5">
        <f>AVERAGE(I5:I20)</f>
        <v>707671.25</v>
      </c>
      <c r="J23" s="5">
        <f t="shared" si="2"/>
        <v>229805</v>
      </c>
      <c r="K23" s="5">
        <f t="shared" si="2"/>
        <v>1508660.875</v>
      </c>
      <c r="L23" s="5">
        <f t="shared" si="2"/>
        <v>1322871.125</v>
      </c>
      <c r="M23" s="5">
        <f t="shared" si="2"/>
        <v>1420849.75</v>
      </c>
      <c r="N23" s="5" t="s">
        <v>0</v>
      </c>
      <c r="O23" s="5">
        <f t="shared" ref="O23:V23" si="3">AVERAGE(O5:O20)</f>
        <v>8675516.3125</v>
      </c>
      <c r="P23" s="5">
        <f t="shared" si="3"/>
        <v>14272193.625</v>
      </c>
      <c r="Q23" s="5">
        <f t="shared" si="3"/>
        <v>2044784.375</v>
      </c>
      <c r="R23" s="5">
        <f t="shared" si="3"/>
        <v>9571525.375</v>
      </c>
      <c r="S23" s="5">
        <f t="shared" si="3"/>
        <v>10885261.625</v>
      </c>
      <c r="T23" s="5">
        <f t="shared" si="3"/>
        <v>13489864</v>
      </c>
      <c r="U23" s="5">
        <f t="shared" si="3"/>
        <v>13185457</v>
      </c>
      <c r="V23" s="5">
        <f t="shared" si="3"/>
        <v>11865547.75</v>
      </c>
    </row>
    <row r="24" spans="1:22">
      <c r="A24" s="3" t="s">
        <v>1</v>
      </c>
      <c r="B24" s="3">
        <f t="shared" ref="B24:M24" si="4">STDEV(B5:B20)</f>
        <v>760693.97189398005</v>
      </c>
      <c r="C24" s="3">
        <f t="shared" si="4"/>
        <v>1315358.1768200467</v>
      </c>
      <c r="D24" s="3">
        <f t="shared" si="4"/>
        <v>799780.28558312729</v>
      </c>
      <c r="E24" s="3">
        <f t="shared" si="4"/>
        <v>2958605.4766905205</v>
      </c>
      <c r="F24" s="3">
        <f t="shared" si="4"/>
        <v>3726461.1989209205</v>
      </c>
      <c r="G24" s="3">
        <f t="shared" si="4"/>
        <v>2364150.1639189506</v>
      </c>
      <c r="H24" s="3">
        <f t="shared" si="4"/>
        <v>4500854.9588040328</v>
      </c>
      <c r="I24" s="3">
        <f>STDEV(I5:I20)</f>
        <v>808403.85716648016</v>
      </c>
      <c r="J24" s="3">
        <f t="shared" si="4"/>
        <v>477538.34890613757</v>
      </c>
      <c r="K24" s="3">
        <f t="shared" si="4"/>
        <v>1630778.6773837686</v>
      </c>
      <c r="L24" s="3">
        <f t="shared" si="4"/>
        <v>757696.99522518087</v>
      </c>
      <c r="M24" s="3">
        <f t="shared" si="4"/>
        <v>1545570.0365517249</v>
      </c>
      <c r="N24" s="3" t="s">
        <v>1</v>
      </c>
      <c r="O24" s="3">
        <f t="shared" ref="O24:V24" si="5">STDEV(O5:O20)</f>
        <v>2943137.9887029137</v>
      </c>
      <c r="P24" s="3">
        <f t="shared" si="5"/>
        <v>5019676.4793163147</v>
      </c>
      <c r="Q24" s="3">
        <f t="shared" si="5"/>
        <v>1296969.924612632</v>
      </c>
      <c r="R24" s="3">
        <f t="shared" si="5"/>
        <v>4027867.9384578685</v>
      </c>
      <c r="S24" s="3">
        <f t="shared" si="5"/>
        <v>3460483.9879523432</v>
      </c>
      <c r="T24" s="3">
        <f t="shared" si="5"/>
        <v>4093681.3424738585</v>
      </c>
      <c r="U24" s="3">
        <f t="shared" si="5"/>
        <v>3495018.2024189397</v>
      </c>
      <c r="V24" s="3">
        <f t="shared" si="5"/>
        <v>4549862.3814340569</v>
      </c>
    </row>
    <row r="25" spans="1:22" ht="15.75" thickBot="1"/>
    <row r="26" spans="1:22" ht="15.75" thickBot="1">
      <c r="B26" s="149" t="s">
        <v>6</v>
      </c>
      <c r="C26" s="150"/>
      <c r="D26" s="150"/>
      <c r="E26" s="150"/>
      <c r="F26" s="150"/>
      <c r="G26" s="150"/>
      <c r="H26" s="150"/>
      <c r="I26" s="150"/>
      <c r="J26" s="150"/>
      <c r="K26" s="150"/>
      <c r="L26" s="150"/>
      <c r="M26" s="150"/>
      <c r="N26" s="1"/>
      <c r="O26" s="149" t="s">
        <v>3</v>
      </c>
      <c r="P26" s="150"/>
      <c r="Q26" s="150"/>
      <c r="R26" s="150"/>
      <c r="S26" s="150"/>
      <c r="T26" s="150"/>
      <c r="U26" s="150"/>
      <c r="V26" s="150"/>
    </row>
    <row r="27" spans="1:22" s="1" customFormat="1">
      <c r="A27" s="19" t="s">
        <v>22</v>
      </c>
      <c r="B27" s="20" t="str">
        <f t="shared" ref="B27:M27" si="6">B4</f>
        <v>Solvent control</v>
      </c>
      <c r="C27" s="20" t="str">
        <f t="shared" si="6"/>
        <v>EE2-33.8ng/L</v>
      </c>
      <c r="D27" s="20" t="str">
        <f t="shared" si="6"/>
        <v>EE2-50.6ng/L</v>
      </c>
      <c r="E27" s="20" t="str">
        <f t="shared" si="6"/>
        <v>EE2-76ng/L</v>
      </c>
      <c r="F27" s="20" t="str">
        <f t="shared" si="6"/>
        <v>EE2-114ng/L</v>
      </c>
      <c r="G27" s="20" t="str">
        <f t="shared" si="6"/>
        <v>EE2-170.9ng/L</v>
      </c>
      <c r="H27" s="20" t="str">
        <f t="shared" si="6"/>
        <v>EE2-488ng/L</v>
      </c>
      <c r="I27" s="20" t="str">
        <f t="shared" si="6"/>
        <v>saccharin-100mg/L</v>
      </c>
      <c r="J27" s="20" t="str">
        <f t="shared" si="6"/>
        <v>saccharin-10mg/L</v>
      </c>
      <c r="K27" s="20" t="str">
        <f t="shared" si="6"/>
        <v>saccharin-1mg/L</v>
      </c>
      <c r="L27" s="20" t="str">
        <f t="shared" si="6"/>
        <v>saccharin-0.1mg/L</v>
      </c>
      <c r="M27" s="20" t="str">
        <f t="shared" si="6"/>
        <v>saccharin-0.01mg/L</v>
      </c>
      <c r="N27" s="3"/>
      <c r="O27" s="21" t="str">
        <f t="shared" ref="O27:V27" si="7">O4</f>
        <v>Testo -30µg/L</v>
      </c>
      <c r="P27" s="21" t="str">
        <f t="shared" si="7"/>
        <v>Testo 30µg/L + EE2 -64ng/L</v>
      </c>
      <c r="Q27" s="21" t="str">
        <f t="shared" si="7"/>
        <v>Testo 30µg/L + FAD-10mg/L</v>
      </c>
      <c r="R27" s="21" t="str">
        <f t="shared" si="7"/>
        <v>saccharin-100mg/L + Testostérone</v>
      </c>
      <c r="S27" s="21" t="str">
        <f t="shared" si="7"/>
        <v>saccharin-10mg/L + Testostérone</v>
      </c>
      <c r="T27" s="21" t="str">
        <f t="shared" si="7"/>
        <v>saccharin-1mg/L + Testostérone</v>
      </c>
      <c r="U27" s="21" t="str">
        <f t="shared" si="7"/>
        <v>saccharin-0.1mg/L + Testostérone</v>
      </c>
      <c r="V27" s="21" t="str">
        <f t="shared" si="7"/>
        <v>saccharin-0.01mg/L + Testostérone</v>
      </c>
    </row>
    <row r="28" spans="1:22">
      <c r="A28" s="147" t="s">
        <v>72</v>
      </c>
      <c r="B28" s="77">
        <f>IF(B5="","",(B5/$O$23))</f>
        <v>0.23424600067570905</v>
      </c>
      <c r="C28" s="77">
        <f>IF(C5="","",(C5/$O$23))</f>
        <v>0.3784185150190737</v>
      </c>
      <c r="D28" s="77">
        <f>IF(D5="","",(D5/$O$23))</f>
        <v>0.60417706695424989</v>
      </c>
      <c r="E28" s="77">
        <f>IF(E5="","",(E5/$O$23))</f>
        <v>1.3844004860776982</v>
      </c>
      <c r="F28" s="77">
        <f>IF(F5="","",(F5/$O$23))</f>
        <v>1.2914744894037682</v>
      </c>
      <c r="G28" s="77">
        <f>IF(G5="","",(G5/$O$23))</f>
        <v>1.2815338706678272</v>
      </c>
      <c r="H28" s="77">
        <f>IF(H5="","",(H5/$O$23))</f>
        <v>2.802834796698447</v>
      </c>
      <c r="I28" s="11">
        <f>IF(I5="","",(I5/$O$23))</f>
        <v>2.6643832098725017E-2</v>
      </c>
      <c r="J28" s="11">
        <f>IF(J5="","",(J5/$O$23))</f>
        <v>0.16194932375098339</v>
      </c>
      <c r="K28" s="11">
        <f>IF(K5="","",(K5/$O$23))</f>
        <v>0.38985172503529886</v>
      </c>
      <c r="L28" s="11">
        <f>IF(L5="","",(L5/$O$23))</f>
        <v>0.18998419697801702</v>
      </c>
      <c r="M28" s="11">
        <f>IF(M5="","",(M5/$O$23))</f>
        <v>7.0770427705307828E-3</v>
      </c>
      <c r="N28" s="6"/>
      <c r="O28" s="77">
        <f t="shared" ref="O28:V28" si="8">IF(O5="","",(O5/$O$23))</f>
        <v>0.60813740761437818</v>
      </c>
      <c r="P28" s="77">
        <f t="shared" si="8"/>
        <v>1.3734924321254915</v>
      </c>
      <c r="Q28" s="77">
        <f t="shared" si="8"/>
        <v>0.29878809590446492</v>
      </c>
      <c r="R28" s="77">
        <f t="shared" si="8"/>
        <v>0.9476298244237783</v>
      </c>
      <c r="S28" s="77">
        <f t="shared" si="8"/>
        <v>1.4669462360024812</v>
      </c>
      <c r="T28" s="77">
        <f t="shared" si="8"/>
        <v>2.4382842747377982</v>
      </c>
      <c r="U28" s="77">
        <f t="shared" si="8"/>
        <v>1.4621358018453958</v>
      </c>
      <c r="V28" s="77">
        <f t="shared" si="8"/>
        <v>1.4183763313625837</v>
      </c>
    </row>
    <row r="29" spans="1:22">
      <c r="A29" s="148"/>
      <c r="B29" s="77">
        <f>IF(B6="","",(B6/$O$23))</f>
        <v>0.10417270482194139</v>
      </c>
      <c r="C29" s="77">
        <f>IF(C6="","",(C6/$O$23))</f>
        <v>9.5516274784250774E-2</v>
      </c>
      <c r="D29" s="77">
        <f>IF(D6="","",(D6/$O$23))</f>
        <v>0.47250813119832974</v>
      </c>
      <c r="E29" s="77">
        <f>IF(E6="","",(E6/$O$23))</f>
        <v>1.3157875092174809</v>
      </c>
      <c r="F29" s="77">
        <f>IF(F6="","",(F6/$O$23))</f>
        <v>2.0912090239355421</v>
      </c>
      <c r="G29" s="77">
        <f>IF(G6="","",(G6/$O$23))</f>
        <v>1.7481679998858282</v>
      </c>
      <c r="H29" s="77">
        <f>IF(H6="","",(H6/$O$23))</f>
        <v>2.1968307491439578</v>
      </c>
      <c r="I29" s="11">
        <f>IF(I6="","",(I6/$O$23))</f>
        <v>7.8836114804435156E-2</v>
      </c>
      <c r="J29" s="11">
        <f>IF(J6="","",(J6/$O$23))</f>
        <v>7.6606391603738916E-4</v>
      </c>
      <c r="K29" s="11">
        <f>IF(K6="","",(K6/$O$23))</f>
        <v>0.17590757080372904</v>
      </c>
      <c r="L29" s="11">
        <f>IF(L6="","",(L6/$O$23))</f>
        <v>6.7273921110502205E-2</v>
      </c>
      <c r="M29" s="11">
        <f>IF(M6="","",(M6/$O$23))</f>
        <v>2.3096146993729718E-2</v>
      </c>
      <c r="N29" s="6"/>
      <c r="O29" s="77">
        <f t="shared" ref="O29:V29" si="9">IF(O6="","",(O6/$O$23))</f>
        <v>1.2082284929713225</v>
      </c>
      <c r="P29" s="77">
        <f t="shared" si="9"/>
        <v>1.3580334098415079</v>
      </c>
      <c r="Q29" s="77">
        <f t="shared" si="9"/>
        <v>0.29519891471012666</v>
      </c>
      <c r="R29" s="77">
        <f t="shared" si="9"/>
        <v>0.988238473789395</v>
      </c>
      <c r="S29" s="77">
        <f t="shared" si="9"/>
        <v>1.0603957930140773</v>
      </c>
      <c r="T29" s="77">
        <f t="shared" si="9"/>
        <v>1.3513868889979106</v>
      </c>
      <c r="U29" s="77">
        <f t="shared" si="9"/>
        <v>1.3925061707962756</v>
      </c>
      <c r="V29" s="77">
        <f t="shared" si="9"/>
        <v>1.5262667399889118</v>
      </c>
    </row>
    <row r="30" spans="1:22">
      <c r="A30" s="148"/>
      <c r="B30" s="77">
        <f>IF(B7="","",(B7/$O$23))</f>
        <v>0.15152227863441067</v>
      </c>
      <c r="C30" s="77">
        <f>IF(C7="","",(C7/$O$23))</f>
        <v>6.5619149281035943E-3</v>
      </c>
      <c r="D30" s="77">
        <f>IF(D7="","",(D7/$O$23))</f>
        <v>0.60209995714880404</v>
      </c>
      <c r="E30" s="77">
        <f>IF(E7="","",(E7/$O$23))</f>
        <v>1.1562653608923175</v>
      </c>
      <c r="F30" s="77">
        <f>IF(F7="","",(F7/$O$23))</f>
        <v>1.5341772778206624</v>
      </c>
      <c r="G30" s="77">
        <f>IF(G7="","",(G7/$O$23))</f>
        <v>1.550904581968648</v>
      </c>
      <c r="H30" s="77">
        <f>IF(H7="","",(H7/$O$23))</f>
        <v>3.5005999534854775</v>
      </c>
      <c r="I30" s="11">
        <f>IF(I7="","",(I7/$O$23))</f>
        <v>4.406654154395033E-4</v>
      </c>
      <c r="J30" s="11">
        <f>IF(J7="","",(J7/$O$23))</f>
        <v>1.2020494947343228E-2</v>
      </c>
      <c r="K30" s="11">
        <f>IF(K7="","",(K7/$O$23))</f>
        <v>1.5596996781048932E-2</v>
      </c>
      <c r="L30" s="11">
        <f>IF(L7="","",(L7/$O$23))</f>
        <v>0.11096791998568442</v>
      </c>
      <c r="M30" s="11">
        <f>IF(M7="","",(M7/$O$23))</f>
        <v>0.43440688303126279</v>
      </c>
      <c r="N30" s="6"/>
      <c r="O30" s="77">
        <f t="shared" ref="O30:V30" si="10">IF(O7="","",(O7/$O$23))</f>
        <v>1.4992609697775841</v>
      </c>
      <c r="P30" s="77">
        <f t="shared" si="10"/>
        <v>2.3939418994666317</v>
      </c>
      <c r="Q30" s="77">
        <f t="shared" si="10"/>
        <v>0.24553074690561824</v>
      </c>
      <c r="R30" s="77">
        <f t="shared" si="10"/>
        <v>1.247263057347862</v>
      </c>
      <c r="S30" s="77">
        <f t="shared" si="10"/>
        <v>0.91150136950422567</v>
      </c>
      <c r="T30" s="77">
        <f t="shared" si="10"/>
        <v>1.3900483343711079</v>
      </c>
      <c r="U30" s="77">
        <f t="shared" si="10"/>
        <v>0.71261683769671313</v>
      </c>
      <c r="V30" s="77">
        <f t="shared" si="10"/>
        <v>1.7675998116567428</v>
      </c>
    </row>
    <row r="31" spans="1:22">
      <c r="A31" s="148"/>
      <c r="B31" s="77">
        <f>IF(B8="","",(B8/$O$23))</f>
        <v>0.26028594940757882</v>
      </c>
      <c r="C31" s="77">
        <f>IF(C8="","",(C8/$O$23))</f>
        <v>0.18208760644296235</v>
      </c>
      <c r="D31" s="77">
        <f>IF(D8="","",(D8/$O$23))</f>
        <v>0.51859864449998405</v>
      </c>
      <c r="E31" s="77">
        <f>IF(E8="","",(E8/$O$23))</f>
        <v>1.1415737857273496</v>
      </c>
      <c r="F31" s="77">
        <f>IF(F8="","",(F8/$O$23))</f>
        <v>1.1426939496057804</v>
      </c>
      <c r="G31" s="77">
        <f>IF(G8="","",(G8/$O$23))</f>
        <v>1.4703911030194377</v>
      </c>
      <c r="H31" s="77">
        <f>IF(H8="","",(H8/$O$23))</f>
        <v>2.529003025259426</v>
      </c>
      <c r="I31" s="11">
        <f>IF(I8="","",(I8/$O$23))</f>
        <v>0.14792122494784371</v>
      </c>
      <c r="J31" s="11">
        <f>IF(J8="","",(J8/$O$23))</f>
        <v>1.3952483707003577E-2</v>
      </c>
      <c r="K31" s="11">
        <f>IF(K8="","",(K8/$O$23))</f>
        <v>0.47001260249200877</v>
      </c>
      <c r="L31" s="11">
        <f>IF(L8="","",(L8/$O$23))</f>
        <v>0.22794585691121078</v>
      </c>
      <c r="M31" s="11">
        <f>IF(M8="","",(M8/$O$23))</f>
        <v>0.35495247649561723</v>
      </c>
      <c r="N31" s="6"/>
      <c r="O31" s="77">
        <f t="shared" ref="O31:V31" si="11">IF(O8="","",(O8/$O$23))</f>
        <v>0.95385285462224756</v>
      </c>
      <c r="P31" s="77">
        <f t="shared" si="11"/>
        <v>0.82199407425758331</v>
      </c>
      <c r="Q31" s="77">
        <f t="shared" si="11"/>
        <v>0.13195767937759842</v>
      </c>
      <c r="R31" s="77">
        <f t="shared" si="11"/>
        <v>1.8405062505609806</v>
      </c>
      <c r="S31" s="77">
        <f t="shared" si="11"/>
        <v>1.3652732094957951</v>
      </c>
      <c r="T31" s="77">
        <f t="shared" si="11"/>
        <v>1.5172179413731002</v>
      </c>
      <c r="U31" s="77">
        <f t="shared" si="11"/>
        <v>2.0873508097619635</v>
      </c>
      <c r="V31" s="77">
        <f t="shared" si="11"/>
        <v>1.1336850333425039</v>
      </c>
    </row>
    <row r="32" spans="1:22">
      <c r="A32" s="148"/>
      <c r="B32" s="77">
        <f>IF(B9="","",(B9/$O$23))</f>
        <v>0.29273969508198072</v>
      </c>
      <c r="C32" s="77">
        <f>IF(C9="","",(C9/$O$23))</f>
        <v>0.26778890342844941</v>
      </c>
      <c r="D32" s="77">
        <f>IF(D9="","",(D9/$O$23))</f>
        <v>0.71657187607875872</v>
      </c>
      <c r="E32" s="77">
        <f>IF(E9="","",(E9/$O$23))</f>
        <v>0.81059878705634103</v>
      </c>
      <c r="F32" s="77">
        <f>IF(F9="","",(F9/$O$23))</f>
        <v>1.4919384084784406</v>
      </c>
      <c r="G32" s="77">
        <f>IF(G9="","",(G9/$O$23))</f>
        <v>1.9686927422857059</v>
      </c>
      <c r="H32" s="77">
        <f>IF(H9="","",(H9/$O$23))</f>
        <v>2.1743927762339736</v>
      </c>
      <c r="I32" s="11">
        <f>IF(I9="","",(I9/$O$23))</f>
        <v>5.6778868514172944E-2</v>
      </c>
      <c r="J32" s="11">
        <f>IF(J9="","",(J9/$O$23))</f>
        <v>2.371847306695961E-3</v>
      </c>
      <c r="K32" s="11">
        <f>IF(K9="","",(K9/$O$23))</f>
        <v>0.29025822893927039</v>
      </c>
      <c r="L32" s="11">
        <f>IF(L9="","",(L9/$O$23))</f>
        <v>0.31170502164853142</v>
      </c>
      <c r="M32" s="11">
        <f>IF(M9="","",(M9/$O$23))</f>
        <v>3.6907428730052316E-2</v>
      </c>
      <c r="N32" s="6"/>
      <c r="O32" s="77">
        <f t="shared" ref="O32:V32" si="12">IF(O9="","",(O9/$O$23))</f>
        <v>1.2672206015173693</v>
      </c>
      <c r="P32" s="77">
        <f t="shared" si="12"/>
        <v>1.4477315870991281</v>
      </c>
      <c r="Q32" s="77">
        <f t="shared" si="12"/>
        <v>0.20520968849253143</v>
      </c>
      <c r="R32" s="77">
        <f t="shared" si="12"/>
        <v>0.81068512197555731</v>
      </c>
      <c r="S32" s="77">
        <f t="shared" si="12"/>
        <v>1.2700145562662153</v>
      </c>
      <c r="T32" s="77">
        <f t="shared" si="12"/>
        <v>0.8710032611099422</v>
      </c>
      <c r="U32" s="77">
        <f t="shared" si="12"/>
        <v>1.5627881398211594</v>
      </c>
      <c r="V32" s="77">
        <f t="shared" si="12"/>
        <v>2.2157709475230729</v>
      </c>
    </row>
    <row r="33" spans="1:22">
      <c r="A33" s="148"/>
      <c r="B33" s="77">
        <f>IF(B10="","",(B10/$O$23))</f>
        <v>0.12068515144066246</v>
      </c>
      <c r="C33" s="77">
        <f>IF(C10="","",(C10/$O$23))</f>
        <v>1.6209986234176654E-3</v>
      </c>
      <c r="D33" s="77">
        <f>IF(D10="","",(D10/$O$23))</f>
        <v>0.54769547181345357</v>
      </c>
      <c r="E33" s="77">
        <f>IF(E10="","",(E10/$O$23))</f>
        <v>1.786920621388665</v>
      </c>
      <c r="F33" s="77">
        <f>IF(F10="","",(F10/$O$23))</f>
        <v>0.75862528095500026</v>
      </c>
      <c r="G33" s="77">
        <f>IF(G10="","",(G10/$O$23))</f>
        <v>1.6473092188655831</v>
      </c>
      <c r="H33" s="77">
        <f>IF(H10="","",(H10/$O$23))</f>
        <v>2.5917405016694217</v>
      </c>
      <c r="I33" s="11">
        <f>IF(I10="","",(I10/$O$23))</f>
        <v>0.27943674044010969</v>
      </c>
      <c r="J33" s="11">
        <f>IF(J10="","",(J10/$O$23))</f>
        <v>0</v>
      </c>
      <c r="K33" s="11">
        <f>IF(K10="","",(K10/$O$23))</f>
        <v>8.9957758349843465E-3</v>
      </c>
      <c r="L33" s="11">
        <f>IF(L10="","",(L10/$O$23))</f>
        <v>6.3067024519527698E-2</v>
      </c>
      <c r="M33" s="11">
        <f>IF(M10="","",(M10/$O$23))</f>
        <v>2.0486504041715498E-2</v>
      </c>
      <c r="N33" s="6"/>
      <c r="O33" s="77">
        <f t="shared" ref="O33:V33" si="13">IF(O10="","",(O10/$O$23))</f>
        <v>0.85506080938511286</v>
      </c>
      <c r="P33" s="77">
        <f t="shared" si="13"/>
        <v>2.2449686333870287</v>
      </c>
      <c r="Q33" s="77">
        <f t="shared" si="13"/>
        <v>0.15215428712848725</v>
      </c>
      <c r="R33" s="77">
        <f t="shared" si="13"/>
        <v>0.66429763859659618</v>
      </c>
      <c r="S33" s="77">
        <f t="shared" si="13"/>
        <v>0.58197723549032865</v>
      </c>
      <c r="T33" s="77">
        <f t="shared" si="13"/>
        <v>1.7396327153756361</v>
      </c>
      <c r="U33" s="77">
        <f t="shared" si="13"/>
        <v>1.8928528756656637</v>
      </c>
      <c r="V33" s="77">
        <f t="shared" si="13"/>
        <v>1.4627358814040614</v>
      </c>
    </row>
    <row r="34" spans="1:22">
      <c r="A34" s="148"/>
      <c r="B34" s="77">
        <f>IF(B11="","",(B11/$O$23))</f>
        <v>7.850264761979836E-2</v>
      </c>
      <c r="C34" s="77">
        <f>IF(C11="","",(C11/$O$23))</f>
        <v>0.37151471842154987</v>
      </c>
      <c r="D34" s="77">
        <f>IF(D11="","",(D11/$O$23))</f>
        <v>0.44224099889847335</v>
      </c>
      <c r="E34" s="77">
        <f>IF(E11="","",(E11/$O$23))</f>
        <v>1.5385181145666826</v>
      </c>
      <c r="F34" s="77">
        <f>IF(F11="","",(F11/$O$23))</f>
        <v>1.3413639696847726</v>
      </c>
      <c r="G34" s="77">
        <f>IF(G11="","",(G11/$O$23))</f>
        <v>1.5122384106519424</v>
      </c>
      <c r="H34" s="77">
        <f>IF(H11="","",(H11/$O$23))</f>
        <v>1.7937090358044325</v>
      </c>
      <c r="I34" s="11">
        <f>IF(I11="","",(I11/$O$23))</f>
        <v>8.8755524428045382E-5</v>
      </c>
      <c r="J34" s="11">
        <f>IF(J11="","",(J11/$O$23))</f>
        <v>1.4434068877211855E-2</v>
      </c>
      <c r="K34" s="11">
        <f>IF(K11="","",(K11/$O$23))</f>
        <v>2.4234753578535214E-2</v>
      </c>
      <c r="L34" s="11">
        <f>IF(L11="","",(L11/$O$23))</f>
        <v>8.9875342505731703E-2</v>
      </c>
      <c r="M34" s="11">
        <f>IF(M11="","",(M11/$O$23))</f>
        <v>0.10302891122596802</v>
      </c>
      <c r="N34" s="6"/>
      <c r="O34" s="77">
        <f t="shared" ref="O34:V34" si="14">IF(O11="","",(O11/$O$23))</f>
        <v>0.59797005885694365</v>
      </c>
      <c r="P34" s="77">
        <f t="shared" si="14"/>
        <v>1.248676344990735</v>
      </c>
      <c r="Q34" s="77">
        <f t="shared" si="14"/>
        <v>0.52987728158340663</v>
      </c>
      <c r="R34" s="77">
        <f t="shared" si="14"/>
        <v>1.7212827988674249</v>
      </c>
      <c r="S34" s="77">
        <f t="shared" si="14"/>
        <v>1.8748841468448336</v>
      </c>
      <c r="T34" s="77">
        <f t="shared" si="14"/>
        <v>1.2449111512174336</v>
      </c>
      <c r="U34" s="77">
        <f t="shared" si="14"/>
        <v>1.494018745757502</v>
      </c>
      <c r="V34" s="77">
        <f t="shared" si="14"/>
        <v>0.91579367887909779</v>
      </c>
    </row>
    <row r="35" spans="1:22">
      <c r="A35" s="148"/>
      <c r="B35" s="77">
        <f>IF(B12="","",(B12/$O$23))</f>
        <v>0.29151348564189561</v>
      </c>
      <c r="C35" s="77">
        <f>IF(C12="","",(C12/$O$23))</f>
        <v>0.28412891074256741</v>
      </c>
      <c r="D35" s="77">
        <f>IF(D12="","",(D12/$O$23))</f>
        <v>0.4626712526857461</v>
      </c>
      <c r="E35" s="77">
        <f>IF(E12="","",(E12/$O$23))</f>
        <v>0.79480145637729727</v>
      </c>
      <c r="F35" s="77">
        <f>IF(F12="","",(F12/$O$23))</f>
        <v>1.9620345794837095</v>
      </c>
      <c r="G35" s="77">
        <f>IF(G12="","",(G12/$O$23))</f>
        <v>1.0827476615386746</v>
      </c>
      <c r="H35" s="77">
        <f>IF(H12="","",(H12/$O$23))</f>
        <v>2.8267106091041656</v>
      </c>
      <c r="I35" s="11">
        <f>IF(I12="","",(I12/$O$23))</f>
        <v>6.2422451931733375E-2</v>
      </c>
      <c r="J35" s="11">
        <f>IF(J12="","",(J12/$O$23))</f>
        <v>6.4170244161476818E-3</v>
      </c>
      <c r="K35" s="11">
        <f>IF(K12="","",(K12/$O$23))</f>
        <v>1.6331823363164244E-2</v>
      </c>
      <c r="L35" s="11">
        <f>IF(L12="","",(L12/$O$23))</f>
        <v>0.15904690283527145</v>
      </c>
      <c r="M35" s="11">
        <f>IF(M12="","",(M12/$O$23))</f>
        <v>0.33026034379899044</v>
      </c>
      <c r="N35" s="6"/>
      <c r="O35" s="77">
        <f t="shared" ref="O35:V35" si="15">IF(O12="","",(O12/$O$23))</f>
        <v>1.1037617422496202</v>
      </c>
      <c r="P35" s="77">
        <f t="shared" si="15"/>
        <v>2.2720554362394902</v>
      </c>
      <c r="Q35" s="77">
        <f t="shared" si="15"/>
        <v>2.6851197278525089E-2</v>
      </c>
      <c r="R35" s="77">
        <f t="shared" si="15"/>
        <v>0.60633843687444511</v>
      </c>
      <c r="S35" s="77">
        <f t="shared" si="15"/>
        <v>1.506691651442849</v>
      </c>
      <c r="T35" s="77">
        <f t="shared" si="15"/>
        <v>1.886995472121072</v>
      </c>
      <c r="U35" s="77">
        <f t="shared" si="15"/>
        <v>1.5545062119897892</v>
      </c>
      <c r="V35" s="77">
        <f t="shared" si="15"/>
        <v>0.50141223223018405</v>
      </c>
    </row>
    <row r="36" spans="1:22" s="1" customFormat="1">
      <c r="A36" s="148"/>
      <c r="B36" s="11" t="str">
        <f>IF(B13="","",(B13/$O$23))</f>
        <v/>
      </c>
      <c r="C36" s="11" t="str">
        <f>IF(C13="","",(C13/$O$23))</f>
        <v/>
      </c>
      <c r="D36" s="11" t="str">
        <f>IF(D13="","",(D13/$O$23))</f>
        <v/>
      </c>
      <c r="E36" s="11" t="str">
        <f>IF(E13="","",(E13/$O$23))</f>
        <v/>
      </c>
      <c r="F36" s="11" t="str">
        <f>IF(F13="","",(F13/$O$23))</f>
        <v/>
      </c>
      <c r="G36" s="11" t="str">
        <f>IF(G13="","",(G13/$O$23))</f>
        <v/>
      </c>
      <c r="H36" s="11" t="str">
        <f>IF(H13="","",(H13/$O$23))</f>
        <v/>
      </c>
      <c r="I36" s="11" t="str">
        <f>IF(I13="","",(I13/$O$23))</f>
        <v/>
      </c>
      <c r="J36" s="11" t="str">
        <f>IF(J13="","",(J13/$O$23))</f>
        <v/>
      </c>
      <c r="K36" s="11" t="str">
        <f>IF(K13="","",(K13/$O$23))</f>
        <v/>
      </c>
      <c r="L36" s="11" t="str">
        <f>IF(L13="","",(L13/$O$23))</f>
        <v/>
      </c>
      <c r="M36" s="11" t="str">
        <f>IF(M13="","",(M13/$O$23))</f>
        <v/>
      </c>
      <c r="N36" s="6"/>
      <c r="O36" s="11">
        <f t="shared" ref="O36:V36" si="16">IF(O13="","",(O13/$O$23))</f>
        <v>0.86631996635992725</v>
      </c>
      <c r="P36" s="11" t="str">
        <f t="shared" si="16"/>
        <v/>
      </c>
      <c r="Q36" s="11" t="str">
        <f t="shared" si="16"/>
        <v/>
      </c>
      <c r="R36" s="11" t="str">
        <f t="shared" si="16"/>
        <v/>
      </c>
      <c r="S36" s="11" t="str">
        <f t="shared" si="16"/>
        <v/>
      </c>
      <c r="T36" s="11" t="str">
        <f t="shared" si="16"/>
        <v/>
      </c>
      <c r="U36" s="11" t="str">
        <f t="shared" si="16"/>
        <v/>
      </c>
      <c r="V36" s="11" t="str">
        <f t="shared" si="16"/>
        <v/>
      </c>
    </row>
    <row r="37" spans="1:22" s="1" customFormat="1">
      <c r="A37" s="148"/>
      <c r="B37" s="11" t="str">
        <f>IF(B14="","",(B14/$O$23))</f>
        <v/>
      </c>
      <c r="C37" s="11" t="str">
        <f>IF(C14="","",(C14/$O$23))</f>
        <v/>
      </c>
      <c r="D37" s="11" t="str">
        <f>IF(D14="","",(D14/$O$23))</f>
        <v/>
      </c>
      <c r="E37" s="11" t="str">
        <f>IF(E14="","",(E14/$O$23))</f>
        <v/>
      </c>
      <c r="F37" s="11" t="str">
        <f>IF(F14="","",(F14/$O$23))</f>
        <v/>
      </c>
      <c r="G37" s="11" t="str">
        <f>IF(G14="","",(G14/$O$23))</f>
        <v/>
      </c>
      <c r="H37" s="11" t="str">
        <f>IF(H14="","",(H14/$O$23))</f>
        <v/>
      </c>
      <c r="I37" s="11" t="str">
        <f>IF(I14="","",(I14/$O$23))</f>
        <v/>
      </c>
      <c r="J37" s="11" t="str">
        <f>IF(J14="","",(J14/$O$23))</f>
        <v/>
      </c>
      <c r="K37" s="11" t="str">
        <f>IF(K14="","",(K14/$O$23))</f>
        <v/>
      </c>
      <c r="L37" s="11" t="str">
        <f>IF(L14="","",(L14/$O$23))</f>
        <v/>
      </c>
      <c r="M37" s="11" t="str">
        <f>IF(M14="","",(M14/$O$23))</f>
        <v/>
      </c>
      <c r="N37" s="6"/>
      <c r="O37" s="11">
        <f t="shared" ref="O37:V37" si="17">IF(O14="","",(O14/$O$23))</f>
        <v>1.3531067866342623</v>
      </c>
      <c r="P37" s="11" t="str">
        <f t="shared" si="17"/>
        <v/>
      </c>
      <c r="Q37" s="11" t="str">
        <f t="shared" si="17"/>
        <v/>
      </c>
      <c r="R37" s="11" t="str">
        <f t="shared" si="17"/>
        <v/>
      </c>
      <c r="S37" s="11" t="str">
        <f t="shared" si="17"/>
        <v/>
      </c>
      <c r="T37" s="11" t="str">
        <f t="shared" si="17"/>
        <v/>
      </c>
      <c r="U37" s="11" t="str">
        <f t="shared" si="17"/>
        <v/>
      </c>
      <c r="V37" s="11" t="str">
        <f t="shared" si="17"/>
        <v/>
      </c>
    </row>
    <row r="38" spans="1:22" s="1" customFormat="1">
      <c r="A38" s="148"/>
      <c r="B38" s="11" t="str">
        <f>IF(B15="","",(B15/$O$23))</f>
        <v/>
      </c>
      <c r="C38" s="11" t="str">
        <f>IF(C15="","",(C15/$O$23))</f>
        <v/>
      </c>
      <c r="D38" s="11" t="str">
        <f>IF(D15="","",(D15/$O$23))</f>
        <v/>
      </c>
      <c r="E38" s="11" t="str">
        <f>IF(E15="","",(E15/$O$23))</f>
        <v/>
      </c>
      <c r="F38" s="11" t="str">
        <f>IF(F15="","",(F15/$O$23))</f>
        <v/>
      </c>
      <c r="G38" s="11" t="str">
        <f>IF(G15="","",(G15/$O$23))</f>
        <v/>
      </c>
      <c r="H38" s="11" t="str">
        <f>IF(H15="","",(H15/$O$23))</f>
        <v/>
      </c>
      <c r="I38" s="11" t="str">
        <f>IF(I15="","",(I15/$O$23))</f>
        <v/>
      </c>
      <c r="J38" s="11" t="str">
        <f>IF(J15="","",(J15/$O$23))</f>
        <v/>
      </c>
      <c r="K38" s="11" t="str">
        <f>IF(K15="","",(K15/$O$23))</f>
        <v/>
      </c>
      <c r="L38" s="11" t="str">
        <f>IF(L15="","",(L15/$O$23))</f>
        <v/>
      </c>
      <c r="M38" s="11" t="str">
        <f>IF(M15="","",(M15/$O$23))</f>
        <v/>
      </c>
      <c r="N38" s="6"/>
      <c r="O38" s="11">
        <f t="shared" ref="O38:R38" si="18">IF(O15="","",(O15/$O$23))</f>
        <v>0.93999258444711731</v>
      </c>
      <c r="P38" s="11" t="str">
        <f t="shared" si="18"/>
        <v/>
      </c>
      <c r="Q38" s="11" t="str">
        <f t="shared" si="18"/>
        <v/>
      </c>
      <c r="R38" s="11" t="str">
        <f t="shared" si="18"/>
        <v/>
      </c>
      <c r="S38" s="11" t="str">
        <f t="shared" ref="S38:V38" si="19">IF(S15="","",(S15/$O$23))</f>
        <v/>
      </c>
      <c r="T38" s="11" t="str">
        <f t="shared" si="19"/>
        <v/>
      </c>
      <c r="U38" s="11" t="str">
        <f t="shared" si="19"/>
        <v/>
      </c>
      <c r="V38" s="11" t="str">
        <f t="shared" si="19"/>
        <v/>
      </c>
    </row>
    <row r="39" spans="1:22" s="1" customFormat="1">
      <c r="A39" s="148"/>
      <c r="B39" s="11" t="str">
        <f>IF(B16="","",(B16/$O$23))</f>
        <v/>
      </c>
      <c r="C39" s="11" t="str">
        <f>IF(C16="","",(C16/$O$23))</f>
        <v/>
      </c>
      <c r="D39" s="11" t="str">
        <f>IF(D16="","",(D16/$O$23))</f>
        <v/>
      </c>
      <c r="E39" s="11" t="str">
        <f>IF(E16="","",(E16/$O$23))</f>
        <v/>
      </c>
      <c r="F39" s="11" t="str">
        <f>IF(F16="","",(F16/$O$23))</f>
        <v/>
      </c>
      <c r="G39" s="11" t="str">
        <f>IF(G16="","",(G16/$O$23))</f>
        <v/>
      </c>
      <c r="H39" s="11" t="str">
        <f>IF(H16="","",(H16/$O$23))</f>
        <v/>
      </c>
      <c r="I39" s="11" t="str">
        <f>IF(I16="","",(I16/$O$23))</f>
        <v/>
      </c>
      <c r="J39" s="11" t="str">
        <f>IF(J16="","",(J16/$O$23))</f>
        <v/>
      </c>
      <c r="K39" s="11" t="str">
        <f>IF(K16="","",(K16/$O$23))</f>
        <v/>
      </c>
      <c r="L39" s="11" t="str">
        <f>IF(L16="","",(L16/$O$23))</f>
        <v/>
      </c>
      <c r="M39" s="11" t="str">
        <f>IF(M16="","",(M16/$O$23))</f>
        <v/>
      </c>
      <c r="N39" s="6"/>
      <c r="O39" s="11">
        <f t="shared" ref="O39:R39" si="20">IF(O16="","",(O16/$O$23))</f>
        <v>0.60986376019796118</v>
      </c>
      <c r="P39" s="11" t="str">
        <f t="shared" si="20"/>
        <v/>
      </c>
      <c r="Q39" s="11" t="str">
        <f t="shared" si="20"/>
        <v/>
      </c>
      <c r="R39" s="11" t="str">
        <f t="shared" si="20"/>
        <v/>
      </c>
      <c r="S39" s="11" t="str">
        <f t="shared" ref="S39:V39" si="21">IF(S16="","",(S16/$O$23))</f>
        <v/>
      </c>
      <c r="T39" s="11" t="str">
        <f t="shared" si="21"/>
        <v/>
      </c>
      <c r="U39" s="11" t="str">
        <f t="shared" si="21"/>
        <v/>
      </c>
      <c r="V39" s="11" t="str">
        <f t="shared" si="21"/>
        <v/>
      </c>
    </row>
    <row r="40" spans="1:22" s="1" customFormat="1">
      <c r="A40" s="148"/>
      <c r="B40" s="11" t="str">
        <f>IF(B17="","",(B17/$O$23))</f>
        <v/>
      </c>
      <c r="C40" s="11" t="str">
        <f>IF(C17="","",(C17/$O$23))</f>
        <v/>
      </c>
      <c r="D40" s="11" t="str">
        <f>IF(D17="","",(D17/$O$23))</f>
        <v/>
      </c>
      <c r="E40" s="11" t="str">
        <f>IF(E17="","",(E17/$O$23))</f>
        <v/>
      </c>
      <c r="F40" s="11" t="str">
        <f>IF(F17="","",(F17/$O$23))</f>
        <v/>
      </c>
      <c r="G40" s="11" t="str">
        <f>IF(G17="","",(G17/$O$23))</f>
        <v/>
      </c>
      <c r="H40" s="11" t="str">
        <f>IF(H17="","",(H17/$O$23))</f>
        <v/>
      </c>
      <c r="I40" s="11" t="str">
        <f>IF(I17="","",(I17/$O$23))</f>
        <v/>
      </c>
      <c r="J40" s="11" t="str">
        <f>IF(J17="","",(J17/$O$23))</f>
        <v/>
      </c>
      <c r="K40" s="11" t="str">
        <f>IF(K17="","",(K17/$O$23))</f>
        <v/>
      </c>
      <c r="L40" s="11" t="str">
        <f>IF(L17="","",(L17/$O$23))</f>
        <v/>
      </c>
      <c r="M40" s="11" t="str">
        <f>IF(M17="","",(M17/$O$23))</f>
        <v/>
      </c>
      <c r="N40" s="6"/>
      <c r="O40" s="11">
        <f t="shared" ref="O40:R40" si="22">IF(O17="","",(O17/$O$23))</f>
        <v>1.0068375973674939</v>
      </c>
      <c r="P40" s="11" t="str">
        <f t="shared" si="22"/>
        <v/>
      </c>
      <c r="Q40" s="11" t="str">
        <f t="shared" si="22"/>
        <v/>
      </c>
      <c r="R40" s="11" t="str">
        <f t="shared" si="22"/>
        <v/>
      </c>
      <c r="S40" s="11" t="str">
        <f t="shared" ref="S40:V40" si="23">IF(S17="","",(S17/$O$23))</f>
        <v/>
      </c>
      <c r="T40" s="11" t="str">
        <f t="shared" si="23"/>
        <v/>
      </c>
      <c r="U40" s="11" t="str">
        <f t="shared" si="23"/>
        <v/>
      </c>
      <c r="V40" s="11" t="str">
        <f t="shared" si="23"/>
        <v/>
      </c>
    </row>
    <row r="41" spans="1:22" s="1" customFormat="1">
      <c r="A41" s="148"/>
      <c r="B41" s="11" t="str">
        <f>IF(B18="","",(B18/$O$23))</f>
        <v/>
      </c>
      <c r="C41" s="11" t="str">
        <f>IF(C18="","",(C18/$O$23))</f>
        <v/>
      </c>
      <c r="D41" s="11" t="str">
        <f>IF(D18="","",(D18/$O$23))</f>
        <v/>
      </c>
      <c r="E41" s="11" t="str">
        <f>IF(E18="","",(E18/$O$23))</f>
        <v/>
      </c>
      <c r="F41" s="11" t="str">
        <f>IF(F18="","",(F18/$O$23))</f>
        <v/>
      </c>
      <c r="G41" s="11" t="str">
        <f>IF(G18="","",(G18/$O$23))</f>
        <v/>
      </c>
      <c r="H41" s="11" t="str">
        <f>IF(H18="","",(H18/$O$23))</f>
        <v/>
      </c>
      <c r="I41" s="11" t="str">
        <f>IF(I18="","",(I18/$O$23))</f>
        <v/>
      </c>
      <c r="J41" s="11" t="str">
        <f>IF(J18="","",(J18/$O$23))</f>
        <v/>
      </c>
      <c r="K41" s="11" t="str">
        <f>IF(K18="","",(K18/$O$23))</f>
        <v/>
      </c>
      <c r="L41" s="11" t="str">
        <f>IF(L18="","",(L18/$O$23))</f>
        <v/>
      </c>
      <c r="M41" s="11" t="str">
        <f>IF(M18="","",(M18/$O$23))</f>
        <v/>
      </c>
      <c r="N41" s="6"/>
      <c r="O41" s="11">
        <f t="shared" ref="O41:R41" si="24">IF(O18="","",(O18/$O$23))</f>
        <v>0.71744087334974971</v>
      </c>
      <c r="P41" s="11" t="str">
        <f t="shared" si="24"/>
        <v/>
      </c>
      <c r="Q41" s="11" t="str">
        <f t="shared" si="24"/>
        <v/>
      </c>
      <c r="R41" s="11" t="str">
        <f t="shared" si="24"/>
        <v/>
      </c>
      <c r="S41" s="11" t="str">
        <f t="shared" ref="S41:V41" si="25">IF(S18="","",(S18/$O$23))</f>
        <v/>
      </c>
      <c r="T41" s="11" t="str">
        <f t="shared" si="25"/>
        <v/>
      </c>
      <c r="U41" s="11" t="str">
        <f t="shared" si="25"/>
        <v/>
      </c>
      <c r="V41" s="11" t="str">
        <f t="shared" si="25"/>
        <v/>
      </c>
    </row>
    <row r="42" spans="1:22" s="1" customFormat="1">
      <c r="A42" s="148"/>
      <c r="B42" s="11" t="str">
        <f>IF(B19="","",(B19/$O$23))</f>
        <v/>
      </c>
      <c r="C42" s="11" t="str">
        <f>IF(C19="","",(C19/$O$23))</f>
        <v/>
      </c>
      <c r="D42" s="11" t="str">
        <f>IF(D19="","",(D19/$O$23))</f>
        <v/>
      </c>
      <c r="E42" s="11" t="str">
        <f>IF(E19="","",(E19/$O$23))</f>
        <v/>
      </c>
      <c r="F42" s="11" t="str">
        <f>IF(F19="","",(F19/$O$23))</f>
        <v/>
      </c>
      <c r="G42" s="11" t="str">
        <f>IF(G19="","",(G19/$O$23))</f>
        <v/>
      </c>
      <c r="H42" s="11" t="str">
        <f>IF(H19="","",(H19/$O$23))</f>
        <v/>
      </c>
      <c r="I42" s="11" t="str">
        <f>IF(I19="","",(I19/$O$23))</f>
        <v/>
      </c>
      <c r="J42" s="11" t="str">
        <f>IF(J19="","",(J19/$O$23))</f>
        <v/>
      </c>
      <c r="K42" s="11" t="str">
        <f>IF(K19="","",(K19/$O$23))</f>
        <v/>
      </c>
      <c r="L42" s="11" t="str">
        <f>IF(L19="","",(L19/$O$23))</f>
        <v/>
      </c>
      <c r="M42" s="11" t="str">
        <f>IF(M19="","",(M19/$O$23))</f>
        <v/>
      </c>
      <c r="N42" s="6"/>
      <c r="O42" s="11">
        <f t="shared" ref="O42:R42" si="26">IF(O19="","",(O19/$O$23))</f>
        <v>1.7307324958130554</v>
      </c>
      <c r="P42" s="11" t="str">
        <f t="shared" si="26"/>
        <v/>
      </c>
      <c r="Q42" s="11" t="str">
        <f t="shared" si="26"/>
        <v/>
      </c>
      <c r="R42" s="11" t="str">
        <f t="shared" si="26"/>
        <v/>
      </c>
      <c r="S42" s="11" t="str">
        <f t="shared" ref="S42:V42" si="27">IF(S19="","",(S19/$O$23))</f>
        <v/>
      </c>
      <c r="T42" s="11" t="str">
        <f t="shared" si="27"/>
        <v/>
      </c>
      <c r="U42" s="11" t="str">
        <f t="shared" si="27"/>
        <v/>
      </c>
      <c r="V42" s="11" t="str">
        <f t="shared" si="27"/>
        <v/>
      </c>
    </row>
    <row r="43" spans="1:22" s="1" customFormat="1">
      <c r="A43" s="148"/>
      <c r="B43" s="11" t="str">
        <f>IF(B20="","",(B20/$O$23))</f>
        <v/>
      </c>
      <c r="C43" s="11" t="str">
        <f>IF(C20="","",(C20/$O$23))</f>
        <v/>
      </c>
      <c r="D43" s="11" t="str">
        <f>IF(D20="","",(D20/$O$23))</f>
        <v/>
      </c>
      <c r="E43" s="11" t="str">
        <f>IF(E20="","",(E20/$O$23))</f>
        <v/>
      </c>
      <c r="F43" s="11" t="str">
        <f>IF(F20="","",(F20/$O$23))</f>
        <v/>
      </c>
      <c r="G43" s="11" t="str">
        <f>IF(G20="","",(G20/$O$23))</f>
        <v/>
      </c>
      <c r="H43" s="11" t="str">
        <f>IF(H20="","",(H20/$O$23))</f>
        <v/>
      </c>
      <c r="I43" s="11" t="str">
        <f>IF(I20="","",(I20/$O$23))</f>
        <v/>
      </c>
      <c r="J43" s="11" t="str">
        <f>IF(J20="","",(J20/$O$23))</f>
        <v/>
      </c>
      <c r="K43" s="11" t="str">
        <f>IF(K20="","",(K20/$O$23))</f>
        <v/>
      </c>
      <c r="L43" s="11" t="str">
        <f>IF(L20="","",(L20/$O$23))</f>
        <v/>
      </c>
      <c r="M43" s="11" t="str">
        <f>IF(M20="","",(M20/$O$23))</f>
        <v/>
      </c>
      <c r="N43" s="6"/>
      <c r="O43" s="11">
        <f t="shared" ref="O43:R43" si="28">IF(O20="","",(O20/$O$23))</f>
        <v>0.68221299883585462</v>
      </c>
      <c r="P43" s="11" t="str">
        <f t="shared" si="28"/>
        <v/>
      </c>
      <c r="Q43" s="11" t="str">
        <f t="shared" si="28"/>
        <v/>
      </c>
      <c r="R43" s="11" t="str">
        <f t="shared" si="28"/>
        <v/>
      </c>
      <c r="S43" s="11" t="str">
        <f t="shared" ref="S43:V43" si="29">IF(S20="","",(S20/$O$23))</f>
        <v/>
      </c>
      <c r="T43" s="11" t="str">
        <f t="shared" si="29"/>
        <v/>
      </c>
      <c r="U43" s="11" t="str">
        <f t="shared" si="29"/>
        <v/>
      </c>
      <c r="V43" s="11" t="str">
        <f t="shared" si="29"/>
        <v/>
      </c>
    </row>
    <row r="44" spans="1:22">
      <c r="A44" s="7"/>
      <c r="B44" s="3"/>
      <c r="C44" s="3"/>
      <c r="D44" s="3"/>
      <c r="E44" s="3"/>
      <c r="F44" s="3"/>
      <c r="G44" s="3"/>
      <c r="H44" s="3"/>
      <c r="I44" s="3"/>
      <c r="J44" s="3"/>
      <c r="N44" s="7"/>
      <c r="O44" s="3"/>
      <c r="P44" s="3"/>
      <c r="Q44" s="3"/>
      <c r="R44" s="3"/>
      <c r="S44" s="3"/>
      <c r="T44" s="3"/>
      <c r="U44" s="3"/>
      <c r="V44" s="3"/>
    </row>
    <row r="45" spans="1:22" s="52" customFormat="1">
      <c r="A45" s="53" t="str">
        <f t="shared" ref="A45:M45" si="30">A4</f>
        <v>Noms des groupes</v>
      </c>
      <c r="B45" s="53" t="str">
        <f t="shared" si="30"/>
        <v>Solvent control</v>
      </c>
      <c r="C45" s="53" t="str">
        <f t="shared" si="30"/>
        <v>EE2-33.8ng/L</v>
      </c>
      <c r="D45" s="53" t="str">
        <f t="shared" si="30"/>
        <v>EE2-50.6ng/L</v>
      </c>
      <c r="E45" s="53" t="str">
        <f t="shared" si="30"/>
        <v>EE2-76ng/L</v>
      </c>
      <c r="F45" s="53" t="str">
        <f t="shared" si="30"/>
        <v>EE2-114ng/L</v>
      </c>
      <c r="G45" s="53" t="str">
        <f t="shared" si="30"/>
        <v>EE2-170.9ng/L</v>
      </c>
      <c r="H45" s="53" t="str">
        <f t="shared" si="30"/>
        <v>EE2-488ng/L</v>
      </c>
      <c r="I45" s="53" t="str">
        <f t="shared" si="30"/>
        <v>saccharin-100mg/L</v>
      </c>
      <c r="J45" s="53" t="str">
        <f t="shared" si="30"/>
        <v>saccharin-10mg/L</v>
      </c>
      <c r="K45" s="53" t="str">
        <f t="shared" si="30"/>
        <v>saccharin-1mg/L</v>
      </c>
      <c r="L45" s="53" t="str">
        <f t="shared" si="30"/>
        <v>saccharin-0.1mg/L</v>
      </c>
      <c r="M45" s="53" t="str">
        <f t="shared" si="30"/>
        <v>saccharin-0.01mg/L</v>
      </c>
      <c r="N45" s="53" t="str">
        <f>N22</f>
        <v>Nom des groupes</v>
      </c>
      <c r="O45" s="53" t="str">
        <f t="shared" ref="O45:V45" si="31">O4</f>
        <v>Testo -30µg/L</v>
      </c>
      <c r="P45" s="53" t="str">
        <f t="shared" si="31"/>
        <v>Testo 30µg/L + EE2 -64ng/L</v>
      </c>
      <c r="Q45" s="53" t="str">
        <f t="shared" si="31"/>
        <v>Testo 30µg/L + FAD-10mg/L</v>
      </c>
      <c r="R45" s="53" t="str">
        <f t="shared" si="31"/>
        <v>saccharin-100mg/L + Testostérone</v>
      </c>
      <c r="S45" s="53" t="str">
        <f t="shared" si="31"/>
        <v>saccharin-10mg/L + Testostérone</v>
      </c>
      <c r="T45" s="53" t="str">
        <f t="shared" si="31"/>
        <v>saccharin-1mg/L + Testostérone</v>
      </c>
      <c r="U45" s="53" t="str">
        <f t="shared" si="31"/>
        <v>saccharin-0.1mg/L + Testostérone</v>
      </c>
      <c r="V45" s="53" t="str">
        <f t="shared" si="31"/>
        <v>saccharin-0.01mg/L + Testostérone</v>
      </c>
    </row>
    <row r="46" spans="1:22">
      <c r="A46" s="8" t="s">
        <v>0</v>
      </c>
      <c r="B46" s="10">
        <f t="shared" ref="B46:H46" si="32">AVERAGE(B28:B43)</f>
        <v>0.1917084891654971</v>
      </c>
      <c r="C46" s="10">
        <f t="shared" si="32"/>
        <v>0.19845473029879684</v>
      </c>
      <c r="D46" s="10">
        <f t="shared" si="32"/>
        <v>0.54582042490972493</v>
      </c>
      <c r="E46" s="10">
        <f t="shared" si="32"/>
        <v>1.241108265162979</v>
      </c>
      <c r="F46" s="10">
        <f t="shared" si="32"/>
        <v>1.4516896224209597</v>
      </c>
      <c r="G46" s="10">
        <f t="shared" si="32"/>
        <v>1.5327481986104559</v>
      </c>
      <c r="H46" s="10">
        <f t="shared" si="32"/>
        <v>2.5519776809249124</v>
      </c>
      <c r="I46" s="10">
        <f>AVERAGE(I28:I43)</f>
        <v>8.1571081709610915E-2</v>
      </c>
      <c r="J46" s="9">
        <f>AVERAGE(J28:J43)</f>
        <v>2.6488913365177887E-2</v>
      </c>
      <c r="K46" s="9">
        <f>AVERAGE(K28:K43)</f>
        <v>0.17389868460350497</v>
      </c>
      <c r="L46" s="9">
        <f t="shared" ref="L46:M46" si="33">AVERAGE(L28:L43)</f>
        <v>0.15248327331180961</v>
      </c>
      <c r="M46" s="9">
        <f t="shared" si="33"/>
        <v>0.16377696713598336</v>
      </c>
      <c r="N46" s="8" t="s">
        <v>0</v>
      </c>
      <c r="O46" s="10">
        <f>AVERAGE(O28:O43)</f>
        <v>0.99999999999999989</v>
      </c>
      <c r="P46" s="10">
        <f>AVERAGE(P28:P43)</f>
        <v>1.6451117271759494</v>
      </c>
      <c r="Q46" s="10">
        <f>AVERAGE(Q28:Q43)</f>
        <v>0.23569598642259484</v>
      </c>
      <c r="R46" s="10">
        <f>AVERAGE(R28:R43)</f>
        <v>1.1032802003045048</v>
      </c>
      <c r="S46" s="10">
        <f t="shared" ref="S46:V46" si="34">AVERAGE(S28:S43)</f>
        <v>1.2547105247576007</v>
      </c>
      <c r="T46" s="10">
        <f t="shared" si="34"/>
        <v>1.554935004913</v>
      </c>
      <c r="U46" s="10">
        <f t="shared" si="34"/>
        <v>1.5198469491668078</v>
      </c>
      <c r="V46" s="10">
        <f t="shared" si="34"/>
        <v>1.3677050820483947</v>
      </c>
    </row>
    <row r="47" spans="1:22">
      <c r="A47" s="8" t="s">
        <v>1</v>
      </c>
      <c r="B47" s="8">
        <f t="shared" ref="B47:K47" si="35">STDEV(B28:B43)</f>
        <v>8.7682847278835158E-2</v>
      </c>
      <c r="C47" s="8">
        <f t="shared" si="35"/>
        <v>0.15161727895374144</v>
      </c>
      <c r="D47" s="8">
        <f t="shared" si="35"/>
        <v>9.2188206070314777E-2</v>
      </c>
      <c r="E47" s="8">
        <f t="shared" si="35"/>
        <v>0.34102932553162879</v>
      </c>
      <c r="F47" s="8">
        <f t="shared" si="35"/>
        <v>0.42953768567660838</v>
      </c>
      <c r="G47" s="8">
        <f t="shared" si="35"/>
        <v>0.2725082956172411</v>
      </c>
      <c r="H47" s="8">
        <f t="shared" si="35"/>
        <v>0.51879966525093735</v>
      </c>
      <c r="I47" s="8">
        <f>STDEV(I28:I43)</f>
        <v>9.3182218561643715E-2</v>
      </c>
      <c r="J47" s="8">
        <f t="shared" si="35"/>
        <v>5.5044372196970337E-2</v>
      </c>
      <c r="K47" s="8">
        <f t="shared" si="35"/>
        <v>0.18797482693152029</v>
      </c>
      <c r="L47" s="8">
        <f t="shared" ref="L47:M47" si="36">STDEV(L28:L43)</f>
        <v>8.733739502437024E-2</v>
      </c>
      <c r="M47" s="8">
        <f t="shared" si="36"/>
        <v>0.17815308978496311</v>
      </c>
      <c r="N47" s="8" t="s">
        <v>1</v>
      </c>
      <c r="O47" s="8">
        <f>STDEV(O28:O43)</f>
        <v>0.33924643591094794</v>
      </c>
      <c r="P47" s="8">
        <f>STDEV(P28:P43)</f>
        <v>0.57860262127382345</v>
      </c>
      <c r="Q47" s="8">
        <f>STDEV(Q28:Q43)</f>
        <v>0.14949772185246321</v>
      </c>
      <c r="R47" s="8">
        <f>STDEV(R28:R43)</f>
        <v>0.46427991065550483</v>
      </c>
      <c r="S47" s="8">
        <f t="shared" ref="S47:V47" si="37">STDEV(S28:S43)</f>
        <v>0.39887931315008363</v>
      </c>
      <c r="T47" s="8">
        <f t="shared" si="37"/>
        <v>0.47186601869165251</v>
      </c>
      <c r="U47" s="8">
        <f t="shared" si="37"/>
        <v>0.40285996550812642</v>
      </c>
      <c r="V47" s="8">
        <f t="shared" si="37"/>
        <v>0.5244485996618381</v>
      </c>
    </row>
    <row r="48" spans="1:22">
      <c r="A48" s="8" t="s">
        <v>2</v>
      </c>
      <c r="B48" s="8">
        <f t="shared" ref="B48:K48" si="38" xml:space="preserve"> B47/SQRT(COUNT(B28:B43))</f>
        <v>3.1000567952304377E-2</v>
      </c>
      <c r="C48" s="8">
        <f t="shared" si="38"/>
        <v>5.3604803046621491E-2</v>
      </c>
      <c r="D48" s="8">
        <f t="shared" si="38"/>
        <v>3.259345282887121E-2</v>
      </c>
      <c r="E48" s="8">
        <f t="shared" si="38"/>
        <v>0.12057207433344465</v>
      </c>
      <c r="F48" s="8">
        <f t="shared" si="38"/>
        <v>0.15186450515855276</v>
      </c>
      <c r="G48" s="8">
        <f t="shared" si="38"/>
        <v>9.634623188026975E-2</v>
      </c>
      <c r="H48" s="8">
        <f t="shared" si="38"/>
        <v>0.1834233806881243</v>
      </c>
      <c r="I48" s="8">
        <f xml:space="preserve"> I47/SQRT(COUNT(I28:I43))</f>
        <v>3.2944889315472625E-2</v>
      </c>
      <c r="J48" s="8">
        <f t="shared" si="38"/>
        <v>1.9461124423316992E-2</v>
      </c>
      <c r="K48" s="8">
        <f t="shared" si="38"/>
        <v>6.6459137407822819E-2</v>
      </c>
      <c r="L48" s="8">
        <f t="shared" ref="L48:M48" si="39" xml:space="preserve"> L47/SQRT(COUNT(L28:L43))</f>
        <v>3.0878432136450213E-2</v>
      </c>
      <c r="M48" s="8">
        <f t="shared" si="39"/>
        <v>6.2986628938141623E-2</v>
      </c>
      <c r="N48" s="8" t="s">
        <v>2</v>
      </c>
      <c r="O48" s="8">
        <f xml:space="preserve"> O47/SQRT(COUNT(O28:O43))</f>
        <v>8.4811608977736985E-2</v>
      </c>
      <c r="P48" s="8">
        <f xml:space="preserve"> P47/SQRT(COUNT(P28:P43))</f>
        <v>0.20456691855751613</v>
      </c>
      <c r="Q48" s="8">
        <f xml:space="preserve"> Q47/SQRT(COUNT(Q28:Q43))</f>
        <v>5.2855426446908521E-2</v>
      </c>
      <c r="R48" s="8">
        <f xml:space="preserve"> R47/SQRT(COUNT(R28:R43))</f>
        <v>0.16414773659659593</v>
      </c>
      <c r="S48" s="8">
        <f t="shared" ref="S48:V48" si="40" xml:space="preserve"> S47/SQRT(COUNT(S28:S43))</f>
        <v>0.14102513360172828</v>
      </c>
      <c r="T48" s="8">
        <f t="shared" si="40"/>
        <v>0.16682983081418282</v>
      </c>
      <c r="U48" s="8">
        <f t="shared" si="40"/>
        <v>0.14243250673968741</v>
      </c>
      <c r="V48" s="8">
        <f t="shared" si="40"/>
        <v>0.18542058060233729</v>
      </c>
    </row>
    <row r="49" spans="1:22" s="1" customFormat="1" ht="15.75" thickBot="1">
      <c r="A49" s="8"/>
      <c r="B49" s="8"/>
      <c r="C49" s="8"/>
      <c r="D49" s="8"/>
      <c r="E49" s="8"/>
      <c r="F49" s="8"/>
      <c r="G49" s="8"/>
      <c r="H49" s="8"/>
      <c r="I49" s="8"/>
      <c r="J49" s="8"/>
      <c r="K49" s="8"/>
      <c r="L49" s="8"/>
      <c r="M49" s="8"/>
      <c r="N49" s="8"/>
      <c r="O49" s="8"/>
      <c r="P49" s="8"/>
      <c r="Q49" s="8"/>
      <c r="R49" s="8"/>
      <c r="S49" s="8"/>
      <c r="T49" s="8"/>
      <c r="U49" s="8"/>
      <c r="V49" s="8"/>
    </row>
    <row r="50" spans="1:22" ht="27" thickBot="1">
      <c r="A50" s="143" t="s">
        <v>19</v>
      </c>
      <c r="B50" s="144"/>
      <c r="C50" s="144"/>
      <c r="D50" s="144"/>
      <c r="E50" s="144"/>
      <c r="F50" s="144"/>
      <c r="G50" s="144"/>
      <c r="H50" s="144"/>
      <c r="I50" s="144"/>
      <c r="J50" s="144"/>
      <c r="K50" s="144"/>
      <c r="L50" s="144"/>
      <c r="M50" s="144"/>
      <c r="N50" s="144"/>
      <c r="O50" s="144"/>
      <c r="P50" s="144"/>
      <c r="Q50" s="144"/>
      <c r="R50" s="144"/>
      <c r="S50" s="144"/>
      <c r="T50" s="144"/>
      <c r="U50" s="144"/>
      <c r="V50" s="144"/>
    </row>
    <row r="51" spans="1:22" ht="15.75" thickBot="1">
      <c r="A51"/>
      <c r="B51"/>
      <c r="C51"/>
      <c r="D51"/>
      <c r="E51"/>
      <c r="F51"/>
      <c r="G51"/>
      <c r="H51"/>
      <c r="I51"/>
      <c r="J51"/>
      <c r="K51"/>
      <c r="L51"/>
      <c r="M51"/>
      <c r="S51"/>
      <c r="T51"/>
      <c r="U51"/>
      <c r="V51"/>
    </row>
    <row r="52" spans="1:22">
      <c r="A52" s="29" t="str">
        <f t="shared" ref="A52:H52" si="41">A27</f>
        <v>Noms des groupes</v>
      </c>
      <c r="B52" s="30" t="str">
        <f t="shared" si="41"/>
        <v>Solvent control</v>
      </c>
      <c r="C52" s="30" t="str">
        <f t="shared" si="41"/>
        <v>EE2-33.8ng/L</v>
      </c>
      <c r="D52" s="30" t="str">
        <f t="shared" si="41"/>
        <v>EE2-50.6ng/L</v>
      </c>
      <c r="E52" s="30" t="str">
        <f t="shared" si="41"/>
        <v>EE2-76ng/L</v>
      </c>
      <c r="F52" s="30" t="str">
        <f t="shared" si="41"/>
        <v>EE2-114ng/L</v>
      </c>
      <c r="G52" s="30" t="str">
        <f t="shared" si="41"/>
        <v>EE2-170.9ng/L</v>
      </c>
      <c r="H52" s="30" t="str">
        <f t="shared" si="41"/>
        <v>EE2-488ng/L</v>
      </c>
      <c r="I52" s="30" t="str">
        <f>I4</f>
        <v>saccharin-100mg/L</v>
      </c>
      <c r="J52" s="30" t="str">
        <f>J4</f>
        <v>saccharin-10mg/L</v>
      </c>
      <c r="K52" s="30" t="str">
        <f>K27</f>
        <v>saccharin-1mg/L</v>
      </c>
      <c r="L52" s="30" t="str">
        <f t="shared" ref="L52:M52" si="42">L27</f>
        <v>saccharin-0.1mg/L</v>
      </c>
      <c r="M52" s="30" t="str">
        <f t="shared" si="42"/>
        <v>saccharin-0.01mg/L</v>
      </c>
      <c r="N52" s="31"/>
      <c r="O52" s="30" t="str">
        <f>O27</f>
        <v>Testo -30µg/L</v>
      </c>
      <c r="P52" s="30" t="str">
        <f>P27</f>
        <v>Testo 30µg/L + EE2 -64ng/L</v>
      </c>
      <c r="Q52" s="30" t="str">
        <f>Q27</f>
        <v>Testo 30µg/L + FAD-10mg/L</v>
      </c>
      <c r="R52" s="30" t="str">
        <f>R27</f>
        <v>saccharin-100mg/L + Testostérone</v>
      </c>
      <c r="S52" s="30" t="str">
        <f t="shared" ref="S52:V52" si="43">S27</f>
        <v>saccharin-10mg/L + Testostérone</v>
      </c>
      <c r="T52" s="30" t="str">
        <f t="shared" si="43"/>
        <v>saccharin-1mg/L + Testostérone</v>
      </c>
      <c r="U52" s="30" t="str">
        <f t="shared" si="43"/>
        <v>saccharin-0.1mg/L + Testostérone</v>
      </c>
      <c r="V52" s="30" t="str">
        <f t="shared" si="43"/>
        <v>saccharin-0.01mg/L + Testostérone</v>
      </c>
    </row>
    <row r="53" spans="1:22" s="3" customFormat="1">
      <c r="A53" s="45" t="s">
        <v>15</v>
      </c>
      <c r="B53" s="77">
        <f t="shared" ref="B53:M53" si="44">B46</f>
        <v>0.1917084891654971</v>
      </c>
      <c r="C53" s="77">
        <f t="shared" si="44"/>
        <v>0.19845473029879684</v>
      </c>
      <c r="D53" s="77">
        <f t="shared" si="44"/>
        <v>0.54582042490972493</v>
      </c>
      <c r="E53" s="77">
        <f t="shared" si="44"/>
        <v>1.241108265162979</v>
      </c>
      <c r="F53" s="77">
        <f t="shared" si="44"/>
        <v>1.4516896224209597</v>
      </c>
      <c r="G53" s="77">
        <f t="shared" si="44"/>
        <v>1.5327481986104559</v>
      </c>
      <c r="H53" s="77">
        <f t="shared" si="44"/>
        <v>2.5519776809249124</v>
      </c>
      <c r="I53" s="77">
        <f t="shared" si="44"/>
        <v>8.1571081709610915E-2</v>
      </c>
      <c r="J53" s="77">
        <f t="shared" si="44"/>
        <v>2.6488913365177887E-2</v>
      </c>
      <c r="K53" s="77">
        <f t="shared" si="44"/>
        <v>0.17389868460350497</v>
      </c>
      <c r="L53" s="77">
        <f t="shared" si="44"/>
        <v>0.15248327331180961</v>
      </c>
      <c r="M53" s="77">
        <f t="shared" si="44"/>
        <v>0.16377696713598336</v>
      </c>
      <c r="N53" s="77"/>
      <c r="O53" s="77">
        <f t="shared" ref="O53:V53" si="45">O46</f>
        <v>0.99999999999999989</v>
      </c>
      <c r="P53" s="77">
        <f t="shared" si="45"/>
        <v>1.6451117271759494</v>
      </c>
      <c r="Q53" s="77">
        <f t="shared" si="45"/>
        <v>0.23569598642259484</v>
      </c>
      <c r="R53" s="77">
        <f t="shared" si="45"/>
        <v>1.1032802003045048</v>
      </c>
      <c r="S53" s="77">
        <f t="shared" si="45"/>
        <v>1.2547105247576007</v>
      </c>
      <c r="T53" s="77">
        <f t="shared" si="45"/>
        <v>1.554935004913</v>
      </c>
      <c r="U53" s="77">
        <f t="shared" si="45"/>
        <v>1.5198469491668078</v>
      </c>
      <c r="V53" s="77">
        <f t="shared" si="45"/>
        <v>1.3677050820483947</v>
      </c>
    </row>
    <row r="54" spans="1:22" s="3" customFormat="1">
      <c r="A54" s="45" t="s">
        <v>2</v>
      </c>
      <c r="B54" s="77">
        <f t="shared" ref="B54:M54" si="46">B48</f>
        <v>3.1000567952304377E-2</v>
      </c>
      <c r="C54" s="77">
        <f t="shared" si="46"/>
        <v>5.3604803046621491E-2</v>
      </c>
      <c r="D54" s="77">
        <f t="shared" si="46"/>
        <v>3.259345282887121E-2</v>
      </c>
      <c r="E54" s="77">
        <f t="shared" si="46"/>
        <v>0.12057207433344465</v>
      </c>
      <c r="F54" s="77">
        <f t="shared" si="46"/>
        <v>0.15186450515855276</v>
      </c>
      <c r="G54" s="77">
        <f t="shared" si="46"/>
        <v>9.634623188026975E-2</v>
      </c>
      <c r="H54" s="77">
        <f t="shared" si="46"/>
        <v>0.1834233806881243</v>
      </c>
      <c r="I54" s="77">
        <f t="shared" si="46"/>
        <v>3.2944889315472625E-2</v>
      </c>
      <c r="J54" s="77">
        <f t="shared" si="46"/>
        <v>1.9461124423316992E-2</v>
      </c>
      <c r="K54" s="77">
        <f t="shared" si="46"/>
        <v>6.6459137407822819E-2</v>
      </c>
      <c r="L54" s="77">
        <f t="shared" si="46"/>
        <v>3.0878432136450213E-2</v>
      </c>
      <c r="M54" s="77">
        <f t="shared" si="46"/>
        <v>6.2986628938141623E-2</v>
      </c>
      <c r="N54" s="77"/>
      <c r="O54" s="77">
        <f t="shared" ref="O54:V54" si="47">O48</f>
        <v>8.4811608977736985E-2</v>
      </c>
      <c r="P54" s="77">
        <f t="shared" si="47"/>
        <v>0.20456691855751613</v>
      </c>
      <c r="Q54" s="77">
        <f t="shared" si="47"/>
        <v>5.2855426446908521E-2</v>
      </c>
      <c r="R54" s="77">
        <f t="shared" si="47"/>
        <v>0.16414773659659593</v>
      </c>
      <c r="S54" s="77">
        <f t="shared" si="47"/>
        <v>0.14102513360172828</v>
      </c>
      <c r="T54" s="77">
        <f t="shared" si="47"/>
        <v>0.16682983081418282</v>
      </c>
      <c r="U54" s="77">
        <f t="shared" si="47"/>
        <v>0.14243250673968741</v>
      </c>
      <c r="V54" s="77">
        <f t="shared" si="47"/>
        <v>0.18542058060233729</v>
      </c>
    </row>
    <row r="55" spans="1:22" s="3" customFormat="1">
      <c r="A55" s="45" t="s">
        <v>42</v>
      </c>
      <c r="B55" s="77">
        <f t="shared" ref="B55:M55" si="48">(B53*100/$B$53)-100</f>
        <v>0</v>
      </c>
      <c r="C55" s="77">
        <f t="shared" si="48"/>
        <v>3.5190101193045678</v>
      </c>
      <c r="D55" s="77">
        <f t="shared" si="48"/>
        <v>184.71374808996171</v>
      </c>
      <c r="E55" s="77">
        <f t="shared" si="48"/>
        <v>547.39348297276581</v>
      </c>
      <c r="F55" s="77">
        <f t="shared" si="48"/>
        <v>657.23804863317901</v>
      </c>
      <c r="G55" s="77">
        <f t="shared" si="48"/>
        <v>699.52025352788269</v>
      </c>
      <c r="H55" s="77">
        <f t="shared" si="48"/>
        <v>1231.1761477197051</v>
      </c>
      <c r="I55" s="77">
        <f t="shared" si="48"/>
        <v>-57.450459254731982</v>
      </c>
      <c r="J55" s="77">
        <f t="shared" si="48"/>
        <v>-86.182712366842196</v>
      </c>
      <c r="K55" s="77">
        <f t="shared" si="48"/>
        <v>-9.2900448172732695</v>
      </c>
      <c r="L55" s="77">
        <f t="shared" si="48"/>
        <v>-20.460865360962359</v>
      </c>
      <c r="M55" s="77">
        <f t="shared" si="48"/>
        <v>-14.569788824219017</v>
      </c>
      <c r="N55" s="77"/>
      <c r="O55" s="77">
        <f>(O53*100/$O$53)-100</f>
        <v>0</v>
      </c>
      <c r="P55" s="77">
        <f t="shared" ref="P55:V55" si="49">(P53*100/$O$53)-100</f>
        <v>64.511172717594974</v>
      </c>
      <c r="Q55" s="77">
        <f t="shared" si="49"/>
        <v>-76.430401357740507</v>
      </c>
      <c r="R55" s="77">
        <f t="shared" si="49"/>
        <v>10.328020030450489</v>
      </c>
      <c r="S55" s="77">
        <f t="shared" si="49"/>
        <v>25.471052475760089</v>
      </c>
      <c r="T55" s="77">
        <f t="shared" si="49"/>
        <v>55.493500491300011</v>
      </c>
      <c r="U55" s="77">
        <f t="shared" si="49"/>
        <v>51.984694916680809</v>
      </c>
      <c r="V55" s="77">
        <f t="shared" si="49"/>
        <v>36.770508204839501</v>
      </c>
    </row>
    <row r="56" spans="1:22" s="3" customFormat="1">
      <c r="A56" s="45" t="s">
        <v>43</v>
      </c>
      <c r="B56" s="77" t="e">
        <f ca="1">[1]!SWTEST(B28:B43)</f>
        <v>#NAME?</v>
      </c>
      <c r="C56" s="77" t="e">
        <f ca="1">[1]!SWTEST(C28:C43)</f>
        <v>#NAME?</v>
      </c>
      <c r="D56" s="77" t="e">
        <f ca="1">[1]!SWTEST(D28:D43)</f>
        <v>#NAME?</v>
      </c>
      <c r="E56" s="77" t="e">
        <f ca="1">[1]!SWTEST(E28:E43)</f>
        <v>#NAME?</v>
      </c>
      <c r="F56" s="77" t="e">
        <f ca="1">[1]!SWTEST(F28:F43)</f>
        <v>#NAME?</v>
      </c>
      <c r="G56" s="77" t="e">
        <f ca="1">[1]!SWTEST(G28:G43)</f>
        <v>#NAME?</v>
      </c>
      <c r="H56" s="77" t="e">
        <f ca="1">[1]!SWTEST(H28:H43)</f>
        <v>#NAME?</v>
      </c>
      <c r="I56" s="77" t="e">
        <f ca="1">[1]!SWTEST(I28:I43)</f>
        <v>#NAME?</v>
      </c>
      <c r="J56" s="77" t="e">
        <f ca="1">[1]!SWTEST(J28:J43)</f>
        <v>#NAME?</v>
      </c>
      <c r="K56" s="77" t="e">
        <f ca="1">[1]!SWTEST(K28:K43)</f>
        <v>#NAME?</v>
      </c>
      <c r="L56" s="77" t="e">
        <f ca="1">[1]!SWTEST(L28:L43)</f>
        <v>#NAME?</v>
      </c>
      <c r="M56" s="77" t="e">
        <f ca="1">[1]!SWTEST(M28:M43)</f>
        <v>#NAME?</v>
      </c>
      <c r="N56" s="77"/>
      <c r="O56" s="77" t="e">
        <f ca="1">[1]!SWTEST(O28:O43)</f>
        <v>#NAME?</v>
      </c>
      <c r="P56" s="77" t="e">
        <f ca="1">[1]!SWTEST(P28:P43)</f>
        <v>#NAME?</v>
      </c>
      <c r="Q56" s="77" t="e">
        <f ca="1">[1]!SWTEST(Q28:Q43)</f>
        <v>#NAME?</v>
      </c>
      <c r="R56" s="77" t="e">
        <f ca="1">[1]!SWTEST(R28:R43)</f>
        <v>#NAME?</v>
      </c>
      <c r="S56" s="77" t="e">
        <f ca="1">[1]!SWTEST(S28:S43)</f>
        <v>#NAME?</v>
      </c>
      <c r="T56" s="77" t="e">
        <f ca="1">[1]!SWTEST(T28:T43)</f>
        <v>#NAME?</v>
      </c>
      <c r="U56" s="77" t="e">
        <f ca="1">[1]!SWTEST(U28:U43)</f>
        <v>#NAME?</v>
      </c>
      <c r="V56" s="77" t="e">
        <f ca="1">[1]!SWTEST(V28:V43)</f>
        <v>#NAME?</v>
      </c>
    </row>
    <row r="57" spans="1:22" s="3" customFormat="1">
      <c r="A57" s="45" t="s">
        <v>47</v>
      </c>
      <c r="B57" s="77" t="e">
        <f t="shared" ref="B57:M57" ca="1" si="50">IF(B56&gt;0.05,"Oui","Non")</f>
        <v>#NAME?</v>
      </c>
      <c r="C57" s="77" t="e">
        <f t="shared" ca="1" si="50"/>
        <v>#NAME?</v>
      </c>
      <c r="D57" s="77" t="e">
        <f t="shared" ca="1" si="50"/>
        <v>#NAME?</v>
      </c>
      <c r="E57" s="77" t="e">
        <f t="shared" ca="1" si="50"/>
        <v>#NAME?</v>
      </c>
      <c r="F57" s="77" t="e">
        <f t="shared" ca="1" si="50"/>
        <v>#NAME?</v>
      </c>
      <c r="G57" s="77" t="e">
        <f t="shared" ca="1" si="50"/>
        <v>#NAME?</v>
      </c>
      <c r="H57" s="77" t="e">
        <f t="shared" ca="1" si="50"/>
        <v>#NAME?</v>
      </c>
      <c r="I57" s="77" t="e">
        <f t="shared" ca="1" si="50"/>
        <v>#NAME?</v>
      </c>
      <c r="J57" s="77" t="e">
        <f t="shared" ca="1" si="50"/>
        <v>#NAME?</v>
      </c>
      <c r="K57" s="77" t="e">
        <f t="shared" ca="1" si="50"/>
        <v>#NAME?</v>
      </c>
      <c r="L57" s="77" t="e">
        <f t="shared" ca="1" si="50"/>
        <v>#NAME?</v>
      </c>
      <c r="M57" s="77" t="e">
        <f t="shared" ca="1" si="50"/>
        <v>#NAME?</v>
      </c>
      <c r="N57" s="77"/>
      <c r="O57" s="77" t="e">
        <f t="shared" ref="O57:V57" ca="1" si="51">IF(O56&gt;0.05,"Oui","Non")</f>
        <v>#NAME?</v>
      </c>
      <c r="P57" s="77" t="e">
        <f t="shared" ca="1" si="51"/>
        <v>#NAME?</v>
      </c>
      <c r="Q57" s="77" t="e">
        <f t="shared" ca="1" si="51"/>
        <v>#NAME?</v>
      </c>
      <c r="R57" s="77" t="e">
        <f t="shared" ca="1" si="51"/>
        <v>#NAME?</v>
      </c>
      <c r="S57" s="77" t="e">
        <f t="shared" ca="1" si="51"/>
        <v>#NAME?</v>
      </c>
      <c r="T57" s="77" t="e">
        <f t="shared" ca="1" si="51"/>
        <v>#NAME?</v>
      </c>
      <c r="U57" s="77" t="e">
        <f t="shared" ca="1" si="51"/>
        <v>#NAME?</v>
      </c>
      <c r="V57" s="77" t="e">
        <f t="shared" ca="1" si="51"/>
        <v>#NAME?</v>
      </c>
    </row>
    <row r="58" spans="1:22" s="3" customFormat="1">
      <c r="A58" s="45"/>
      <c r="B58" s="77"/>
      <c r="C58" s="77"/>
      <c r="D58" s="77"/>
      <c r="E58" s="77"/>
      <c r="F58" s="77"/>
      <c r="G58" s="77"/>
      <c r="H58" s="77"/>
      <c r="I58" s="77"/>
      <c r="J58" s="77"/>
      <c r="K58" s="77"/>
      <c r="L58" s="77"/>
      <c r="M58" s="77"/>
      <c r="N58" s="79"/>
      <c r="O58" s="80"/>
      <c r="P58" s="77"/>
      <c r="Q58" s="77"/>
      <c r="R58" s="77"/>
      <c r="S58" s="77"/>
      <c r="T58" s="77"/>
      <c r="U58" s="77"/>
      <c r="V58" s="77"/>
    </row>
    <row r="59" spans="1:22" s="3" customFormat="1">
      <c r="A59" s="45" t="s">
        <v>44</v>
      </c>
      <c r="B59" s="81"/>
      <c r="C59" s="81" t="e">
        <f t="shared" ref="C59:M59" ca="1" si="52">IF($B57="Non",IF(C$57="Non","Mann Withney",IF(C$57="Oui","Mann Withney","")),IF($B$57="Oui",IF(C$57="Oui","T-Test Welch",IF(C$57="Non","Mann Withney",""))))</f>
        <v>#NAME?</v>
      </c>
      <c r="D59" s="81" t="e">
        <f t="shared" ca="1" si="52"/>
        <v>#NAME?</v>
      </c>
      <c r="E59" s="81" t="e">
        <f t="shared" ca="1" si="52"/>
        <v>#NAME?</v>
      </c>
      <c r="F59" s="81" t="e">
        <f t="shared" ca="1" si="52"/>
        <v>#NAME?</v>
      </c>
      <c r="G59" s="81" t="e">
        <f t="shared" ca="1" si="52"/>
        <v>#NAME?</v>
      </c>
      <c r="H59" s="81" t="e">
        <f t="shared" ca="1" si="52"/>
        <v>#NAME?</v>
      </c>
      <c r="I59" s="81" t="e">
        <f t="shared" ca="1" si="52"/>
        <v>#NAME?</v>
      </c>
      <c r="J59" s="81" t="e">
        <f t="shared" ca="1" si="52"/>
        <v>#NAME?</v>
      </c>
      <c r="K59" s="81" t="e">
        <f t="shared" ca="1" si="52"/>
        <v>#NAME?</v>
      </c>
      <c r="L59" s="81" t="e">
        <f t="shared" ca="1" si="52"/>
        <v>#NAME?</v>
      </c>
      <c r="M59" s="81" t="e">
        <f t="shared" ca="1" si="52"/>
        <v>#NAME?</v>
      </c>
      <c r="N59" s="81"/>
      <c r="O59" s="81" t="e">
        <f ca="1">IF($B57="Non",IF(O$57="Non","Mann Withney",IF(O$57="Oui","Mann Withney","")),IF($B$57="Oui",IF(O$57="Oui","T-Test Welch",IF(O$57="Non","Mann Withney",""))))</f>
        <v>#NAME?</v>
      </c>
      <c r="P59" s="81" t="e">
        <f ca="1">IF($O57="Non",IF(P$57="Non","Mann Withney",IF(P$57="Oui","Mann Withney","")),IF($O$57="Oui",IF(P$57="Oui","T-Test Welch",IF(P$57="Non","Mann Withney",""))))</f>
        <v>#NAME?</v>
      </c>
      <c r="Q59" s="81" t="e">
        <f t="shared" ref="Q59:V59" ca="1" si="53">IF($O57="Non",IF(Q$57="Non","Mann Withney",IF(Q$57="Oui","Mann Withney","")),IF($O$57="Oui",IF(Q$57="Oui","T-Test Welch",IF(Q$57="Non","Mann Withney",""))))</f>
        <v>#NAME?</v>
      </c>
      <c r="R59" s="81" t="e">
        <f t="shared" ca="1" si="53"/>
        <v>#NAME?</v>
      </c>
      <c r="S59" s="81" t="e">
        <f t="shared" ca="1" si="53"/>
        <v>#NAME?</v>
      </c>
      <c r="T59" s="81" t="e">
        <f t="shared" ca="1" si="53"/>
        <v>#NAME?</v>
      </c>
      <c r="U59" s="81" t="e">
        <f t="shared" ca="1" si="53"/>
        <v>#NAME?</v>
      </c>
      <c r="V59" s="81" t="e">
        <f t="shared" ca="1" si="53"/>
        <v>#NAME?</v>
      </c>
    </row>
    <row r="60" spans="1:22" s="3" customFormat="1">
      <c r="A60" s="45" t="s">
        <v>45</v>
      </c>
      <c r="B60" s="82"/>
      <c r="C60" s="82" t="e">
        <f ca="1">IF(C59="Mann Withney",[1]!MTEST($B28:$B43,C28:C43,2), IF(C59="T-Test Welch",_xlfn.T.TEST($B28:$B43,C28:C43,2,3),""))</f>
        <v>#NAME?</v>
      </c>
      <c r="D60" s="82" t="e">
        <f ca="1">IF(D59="Mann Withney",[1]!MTEST($B28:$B43,D28:D43,2), IF(D59="T-Test Welch",_xlfn.T.TEST($B28:$B43,D28:D43,2,3),""))</f>
        <v>#NAME?</v>
      </c>
      <c r="E60" s="82" t="e">
        <f ca="1">IF(E59="Mann Withney",[1]!MTEST($B28:$B43,E28:E43,2), IF(E59="T-Test Welch",_xlfn.T.TEST($B28:$B43,E28:E43,2,3),""))</f>
        <v>#NAME?</v>
      </c>
      <c r="F60" s="82" t="e">
        <f ca="1">IF(F59="Mann Withney",[1]!MTEST($B28:$B43,F28:F43,2), IF(F59="T-Test Welch",_xlfn.T.TEST($B28:$B43,F28:F43,2,3),""))</f>
        <v>#NAME?</v>
      </c>
      <c r="G60" s="82" t="e">
        <f ca="1">IF(G59="Mann Withney",[1]!MTEST($B28:$B43,G28:G43,2), IF(G59="T-Test Welch",_xlfn.T.TEST($B28:$B43,G28:G43,2,3),""))</f>
        <v>#NAME?</v>
      </c>
      <c r="H60" s="82" t="e">
        <f ca="1">IF(H59="Mann Withney",[1]!MTEST($B28:$B43,H28:H43,2), IF(H59="T-Test Welch",_xlfn.T.TEST($B28:$B43,H28:H43,2,3),""))</f>
        <v>#NAME?</v>
      </c>
      <c r="I60" s="82" t="e">
        <f ca="1">IF(I59="Mann Withney",[1]!MTEST($B28:$B43,I28:I43,2), IF(I59="T-Test Welch",_xlfn.T.TEST($B28:$B43,I28:I43,2,3),""))</f>
        <v>#NAME?</v>
      </c>
      <c r="J60" s="82" t="e">
        <f ca="1">IF(J59="Mann Withney",[1]!MTEST($B28:$B43,J28:J43,2), IF(J59="T-Test Welch",_xlfn.T.TEST($B28:$B43,J28:J43,2,3),""))</f>
        <v>#NAME?</v>
      </c>
      <c r="K60" s="82" t="e">
        <f ca="1">IF(K59="Mann Withney",[1]!MTEST($B28:$B43,K28:K43,2), IF(K59="T-Test Welch",_xlfn.T.TEST($B28:$B43,K28:K43,2,3),""))</f>
        <v>#NAME?</v>
      </c>
      <c r="L60" s="82" t="e">
        <f ca="1">IF(L59="Mann Withney",[1]!MTEST($B28:$B43,L28:L43,2), IF(L59="T-Test Welch",_xlfn.T.TEST($B28:$B43,L28:L43,2,3),""))</f>
        <v>#NAME?</v>
      </c>
      <c r="M60" s="82" t="e">
        <f ca="1">IF(M59="Mann Withney",[1]!MTEST($B28:$B43,M28:M43,2), IF(M59="T-Test Welch",_xlfn.T.TEST($B28:$B43,M28:M43,2,3),""))</f>
        <v>#NAME?</v>
      </c>
      <c r="N60" s="82"/>
      <c r="O60" s="82" t="e">
        <f ca="1">IF(O59="Mann Withney",[1]!MTEST($B28:$B43,O28:O43,2), IF(O59="T-Test Welch",_xlfn.T.TEST($B28:$B43,O28:O43,2,3),""))</f>
        <v>#NAME?</v>
      </c>
      <c r="P60" s="82" t="e">
        <f ca="1">IF(P59="Mann Withney",[1]!MTEST($O28:$O43,P28:P43,2), IF(P59="T-Test Welch",_xlfn.T.TEST($O28:$O43,P28:P43,2,3),""))</f>
        <v>#NAME?</v>
      </c>
      <c r="Q60" s="82" t="e">
        <f ca="1">IF(Q59="Mann Withney",[1]!MTEST($O28:$O43,Q28:Q43,2), IF(Q59="T-Test Welch",_xlfn.T.TEST($O28:$O43,Q28:Q43,2,3),""))</f>
        <v>#NAME?</v>
      </c>
      <c r="R60" s="82" t="e">
        <f ca="1">IF(R59="Mann Withney",[1]!MTEST($O28:$O43,R28:R43,2), IF(R59="T-Test Welch",_xlfn.T.TEST($O28:$O43,R28:R43,2,3),""))</f>
        <v>#NAME?</v>
      </c>
      <c r="S60" s="82" t="e">
        <f ca="1">IF(S59="Mann Withney",[1]!MTEST($O28:$O43,S28:S43,2), IF(S59="T-Test Welch",_xlfn.T.TEST($O28:$O43,S28:S43,2,3),""))</f>
        <v>#NAME?</v>
      </c>
      <c r="T60" s="82" t="e">
        <f ca="1">IF(T59="Mann Withney",[1]!MTEST($O28:$O43,T28:T43,2), IF(T59="T-Test Welch",_xlfn.T.TEST($O28:$O43,T28:T43,2,3),""))</f>
        <v>#NAME?</v>
      </c>
      <c r="U60" s="82" t="e">
        <f ca="1">IF(U59="Mann Withney",[1]!MTEST($O28:$O43,U28:U43,2), IF(U59="T-Test Welch",_xlfn.T.TEST($O28:$O43,U28:U43,2,3),""))</f>
        <v>#NAME?</v>
      </c>
      <c r="V60" s="82" t="e">
        <f ca="1">IF(V59="Mann Withney",[1]!MTEST($O28:$O43,V28:V43,2), IF(V59="T-Test Welch",_xlfn.T.TEST($O28:$O43,V28:V43,2,3),""))</f>
        <v>#NAME?</v>
      </c>
    </row>
    <row r="61" spans="1:22" s="3" customFormat="1" ht="15.75" thickBot="1">
      <c r="A61" s="46" t="s">
        <v>46</v>
      </c>
      <c r="B61" s="78"/>
      <c r="C61" s="78" t="e">
        <f t="shared" ref="C61:M61" ca="1" si="54">IF(C60&gt;0.05,"NS",IF(C60&gt;0.01,"*",IF(C60&gt;0.001,"**","***")))</f>
        <v>#NAME?</v>
      </c>
      <c r="D61" s="78" t="e">
        <f t="shared" ca="1" si="54"/>
        <v>#NAME?</v>
      </c>
      <c r="E61" s="78" t="e">
        <f t="shared" ca="1" si="54"/>
        <v>#NAME?</v>
      </c>
      <c r="F61" s="78" t="e">
        <f t="shared" ca="1" si="54"/>
        <v>#NAME?</v>
      </c>
      <c r="G61" s="78" t="e">
        <f t="shared" ca="1" si="54"/>
        <v>#NAME?</v>
      </c>
      <c r="H61" s="78" t="e">
        <f t="shared" ca="1" si="54"/>
        <v>#NAME?</v>
      </c>
      <c r="I61" s="78" t="e">
        <f t="shared" ca="1" si="54"/>
        <v>#NAME?</v>
      </c>
      <c r="J61" s="78" t="e">
        <f t="shared" ca="1" si="54"/>
        <v>#NAME?</v>
      </c>
      <c r="K61" s="78" t="e">
        <f t="shared" ca="1" si="54"/>
        <v>#NAME?</v>
      </c>
      <c r="L61" s="78" t="e">
        <f t="shared" ca="1" si="54"/>
        <v>#NAME?</v>
      </c>
      <c r="M61" s="78" t="e">
        <f t="shared" ca="1" si="54"/>
        <v>#NAME?</v>
      </c>
      <c r="N61" s="78"/>
      <c r="O61" s="78" t="e">
        <f ca="1">IF(O60&gt;0.05,"NS",IF(O60&gt;0.01,"*",IF(O60&gt;0.001,"**","***")))</f>
        <v>#NAME?</v>
      </c>
      <c r="P61" s="78" t="e">
        <f ca="1">IF(P60&gt;0.05,"NS",IF(P60&gt;0.01,"*",IF(P60&gt;0.001,"**","***")))</f>
        <v>#NAME?</v>
      </c>
      <c r="Q61" s="78" t="e">
        <f t="shared" ref="Q61" ca="1" si="55">IF(Q60&gt;0.05,"NS",IF(Q60&gt;0.01,"*",IF(Q60&gt;0.001,"**","***")))</f>
        <v>#NAME?</v>
      </c>
      <c r="R61" s="78" t="e">
        <f t="shared" ref="R61" ca="1" si="56">IF(R60&gt;0.05,"NS",IF(R60&gt;0.01,"*",IF(R60&gt;0.001,"**","***")))</f>
        <v>#NAME?</v>
      </c>
      <c r="S61" s="78" t="e">
        <f t="shared" ref="S61" ca="1" si="57">IF(S60&gt;0.05,"NS",IF(S60&gt;0.01,"*",IF(S60&gt;0.001,"**","***")))</f>
        <v>#NAME?</v>
      </c>
      <c r="T61" s="78" t="e">
        <f t="shared" ref="T61" ca="1" si="58">IF(T60&gt;0.05,"NS",IF(T60&gt;0.01,"*",IF(T60&gt;0.001,"**","***")))</f>
        <v>#NAME?</v>
      </c>
      <c r="U61" s="78" t="e">
        <f t="shared" ref="U61" ca="1" si="59">IF(U60&gt;0.05,"NS",IF(U60&gt;0.01,"*",IF(U60&gt;0.001,"**","***")))</f>
        <v>#NAME?</v>
      </c>
      <c r="V61" s="78" t="e">
        <f t="shared" ref="V61" ca="1" si="60">IF(V60&gt;0.05,"NS",IF(V60&gt;0.01,"*",IF(V60&gt;0.001,"**","***")))</f>
        <v>#NAME?</v>
      </c>
    </row>
    <row r="63" spans="1:22">
      <c r="A63" s="2" t="s">
        <v>20</v>
      </c>
    </row>
    <row r="64" spans="1:22">
      <c r="A64" s="1" t="s">
        <v>13</v>
      </c>
      <c r="B64" s="1">
        <f>B46+(3*B47)</f>
        <v>0.4547570310020026</v>
      </c>
    </row>
    <row r="65" spans="1:22">
      <c r="A65" s="1" t="s">
        <v>14</v>
      </c>
      <c r="B65" s="1">
        <f>B46+(10*B47)</f>
        <v>1.0685369619538485</v>
      </c>
    </row>
    <row r="66" spans="1:22" ht="15.75" thickBot="1"/>
    <row r="67" spans="1:22" s="1" customFormat="1" ht="27" thickBot="1">
      <c r="A67" s="143" t="s">
        <v>31</v>
      </c>
      <c r="B67" s="144"/>
      <c r="C67" s="144"/>
      <c r="D67" s="144"/>
      <c r="E67" s="144"/>
      <c r="F67" s="144"/>
      <c r="G67" s="144"/>
      <c r="H67" s="144"/>
      <c r="I67" s="144"/>
      <c r="J67" s="144"/>
      <c r="K67" s="144"/>
      <c r="L67" s="144"/>
      <c r="M67" s="144"/>
      <c r="N67" s="144"/>
      <c r="O67" s="144"/>
      <c r="P67" s="144"/>
      <c r="Q67" s="144"/>
      <c r="R67" s="144"/>
      <c r="S67" s="144"/>
      <c r="T67" s="144"/>
      <c r="U67" s="144"/>
      <c r="V67" s="144"/>
    </row>
    <row r="68" spans="1:22" ht="16.5">
      <c r="A68" s="12"/>
      <c r="B68" s="12"/>
      <c r="C68" s="12"/>
      <c r="D68" s="12"/>
      <c r="E68" s="12"/>
      <c r="F68" s="12"/>
      <c r="N68" s="12"/>
      <c r="O68" s="12"/>
      <c r="P68" s="12"/>
      <c r="Q68" s="12"/>
      <c r="R68" s="12"/>
      <c r="S68" s="12"/>
      <c r="T68" s="12"/>
      <c r="U68" s="12"/>
      <c r="V68" s="12"/>
    </row>
    <row r="69" spans="1:22" ht="16.5">
      <c r="A69" s="12"/>
      <c r="B69" s="12"/>
      <c r="C69" s="12"/>
      <c r="D69" s="12"/>
      <c r="E69" s="12"/>
      <c r="F69" s="12"/>
      <c r="N69" s="12"/>
      <c r="O69" s="12"/>
      <c r="P69" s="12"/>
      <c r="Q69" s="12"/>
      <c r="R69" s="12"/>
      <c r="S69" s="12"/>
      <c r="T69" s="12"/>
      <c r="U69" s="12"/>
      <c r="V69" s="12"/>
    </row>
    <row r="70" spans="1:22" ht="16.5">
      <c r="A70" s="12"/>
      <c r="B70" s="12"/>
      <c r="C70" s="12"/>
      <c r="D70" s="12"/>
      <c r="E70" s="12"/>
      <c r="F70" s="12"/>
      <c r="N70" s="12"/>
      <c r="O70" s="12"/>
      <c r="P70" s="12"/>
      <c r="Q70" s="12"/>
      <c r="R70" s="12"/>
      <c r="S70" s="12"/>
      <c r="T70" s="12"/>
      <c r="U70" s="12"/>
      <c r="V70" s="12"/>
    </row>
    <row r="71" spans="1:22" ht="16.5">
      <c r="A71" s="12"/>
      <c r="B71" s="12"/>
      <c r="C71" s="12"/>
      <c r="D71" s="12"/>
      <c r="E71" s="12"/>
      <c r="F71" s="12"/>
      <c r="N71" s="12"/>
      <c r="O71" s="12"/>
      <c r="P71" s="12"/>
      <c r="Q71" s="12"/>
      <c r="R71" s="12"/>
      <c r="S71" s="12"/>
      <c r="T71" s="12"/>
      <c r="U71" s="12"/>
      <c r="V71" s="12"/>
    </row>
    <row r="72" spans="1:22" ht="16.5">
      <c r="A72" s="12"/>
      <c r="B72" s="12"/>
      <c r="C72" s="12"/>
      <c r="D72" s="12"/>
      <c r="E72" s="12"/>
      <c r="F72" s="12"/>
      <c r="N72" s="12"/>
      <c r="O72" s="12"/>
      <c r="P72" s="12"/>
      <c r="Q72" s="12"/>
      <c r="R72" s="12"/>
      <c r="S72" s="12"/>
      <c r="T72" s="12"/>
      <c r="U72" s="12"/>
      <c r="V72" s="12"/>
    </row>
    <row r="73" spans="1:22" ht="16.5">
      <c r="A73" s="12"/>
      <c r="B73" s="12"/>
      <c r="C73" s="12"/>
      <c r="D73" s="12"/>
      <c r="E73" s="12"/>
      <c r="F73" s="12"/>
      <c r="N73" s="12"/>
      <c r="O73" s="12"/>
      <c r="P73" s="12"/>
      <c r="Q73" s="12"/>
      <c r="R73" s="12"/>
      <c r="S73" s="12"/>
      <c r="T73" s="12"/>
      <c r="U73" s="12"/>
      <c r="V73" s="12"/>
    </row>
    <row r="74" spans="1:22" ht="16.5">
      <c r="A74" s="12"/>
      <c r="B74" s="12"/>
      <c r="C74" s="12"/>
      <c r="D74" s="12"/>
      <c r="E74" s="12"/>
      <c r="F74" s="12"/>
      <c r="N74" s="12"/>
      <c r="O74" s="12"/>
      <c r="P74" s="12"/>
      <c r="Q74" s="12"/>
      <c r="R74" s="12"/>
      <c r="S74" s="12"/>
      <c r="T74" s="12"/>
      <c r="U74" s="12"/>
      <c r="V74" s="12"/>
    </row>
  </sheetData>
  <protectedRanges>
    <protectedRange sqref="O51:V51" name="Plage2"/>
    <protectedRange sqref="R5:V21" name="Plage1"/>
    <protectedRange sqref="B51:J51" name="Plage2_1"/>
    <protectedRange sqref="O5:O21 J5:J12 B13:J21" name="Plage1_1"/>
    <protectedRange sqref="B5:I12" name="Plage1_1_1"/>
  </protectedRanges>
  <mergeCells count="9">
    <mergeCell ref="A1:V1"/>
    <mergeCell ref="A67:V67"/>
    <mergeCell ref="A50:V50"/>
    <mergeCell ref="A5:A20"/>
    <mergeCell ref="A28:A43"/>
    <mergeCell ref="B3:M3"/>
    <mergeCell ref="B26:M26"/>
    <mergeCell ref="O26:V26"/>
    <mergeCell ref="O3:V3"/>
  </mergeCells>
  <phoneticPr fontId="12"/>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74"/>
  <sheetViews>
    <sheetView showGridLines="0" topLeftCell="L1" zoomScale="70" zoomScaleNormal="70" zoomScaleSheetLayoutView="40" zoomScalePageLayoutView="30" workbookViewId="0">
      <selection activeCell="N2" sqref="N1:N1048576"/>
    </sheetView>
  </sheetViews>
  <sheetFormatPr defaultColWidth="9.140625" defaultRowHeight="15"/>
  <cols>
    <col min="1" max="1" width="33.42578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3" width="26.42578125" style="1" customWidth="1"/>
    <col min="14" max="14" width="11.7109375" style="1" customWidth="1"/>
    <col min="15" max="15" width="14.85546875" style="1" customWidth="1"/>
    <col min="16" max="16" width="17.7109375" style="1" customWidth="1"/>
    <col min="17" max="18" width="25.85546875" style="1" bestFit="1" customWidth="1"/>
    <col min="19" max="22" width="25.85546875" style="1" customWidth="1"/>
    <col min="23" max="16384" width="9.140625" style="1"/>
  </cols>
  <sheetData>
    <row r="1" spans="1:22" ht="27" thickBot="1">
      <c r="A1" s="141" t="s">
        <v>23</v>
      </c>
      <c r="B1" s="142"/>
      <c r="C1" s="142"/>
      <c r="D1" s="142"/>
      <c r="E1" s="142"/>
      <c r="F1" s="142"/>
      <c r="G1" s="142"/>
      <c r="H1" s="142"/>
      <c r="I1" s="142"/>
      <c r="J1" s="142"/>
      <c r="K1" s="142"/>
      <c r="L1" s="142"/>
      <c r="M1" s="142"/>
      <c r="N1" s="142"/>
      <c r="O1" s="142"/>
      <c r="P1" s="142"/>
      <c r="Q1" s="142"/>
      <c r="R1" s="142"/>
      <c r="S1" s="142"/>
      <c r="T1" s="142"/>
      <c r="U1" s="142"/>
      <c r="V1" s="142"/>
    </row>
    <row r="2" spans="1:22" customFormat="1" ht="15.75" thickBot="1"/>
    <row r="3" spans="1:22" ht="15.75" thickBot="1">
      <c r="A3" s="35" t="s">
        <v>9</v>
      </c>
      <c r="B3" s="149" t="s">
        <v>6</v>
      </c>
      <c r="C3" s="150"/>
      <c r="D3" s="150"/>
      <c r="E3" s="150"/>
      <c r="F3" s="150"/>
      <c r="G3" s="150"/>
      <c r="H3" s="150"/>
      <c r="I3" s="150"/>
      <c r="J3" s="150"/>
      <c r="K3" s="150"/>
      <c r="L3" s="150"/>
      <c r="M3" s="150"/>
      <c r="O3" s="149" t="s">
        <v>3</v>
      </c>
      <c r="P3" s="150"/>
      <c r="Q3" s="150"/>
      <c r="R3" s="150"/>
      <c r="S3" s="150"/>
      <c r="T3" s="150"/>
      <c r="U3" s="150"/>
      <c r="V3" s="150"/>
    </row>
    <row r="4" spans="1:22">
      <c r="A4" s="19" t="s">
        <v>22</v>
      </c>
      <c r="B4" s="20" t="str">
        <f>'Front page'!A7</f>
        <v>Solvent control</v>
      </c>
      <c r="C4" s="20" t="str">
        <f>'Front page'!A8</f>
        <v>EE2-33.8ng/L</v>
      </c>
      <c r="D4" s="20" t="str">
        <f>'Front page'!A9</f>
        <v>EE2-50.6ng/L</v>
      </c>
      <c r="E4" s="20" t="str">
        <f>'Front page'!A10</f>
        <v>EE2-76ng/L</v>
      </c>
      <c r="F4" s="20" t="str">
        <f>'Front page'!A11</f>
        <v>EE2-114ng/L</v>
      </c>
      <c r="G4" s="20" t="str">
        <f>'Front page'!A12</f>
        <v>EE2-170.9ng/L</v>
      </c>
      <c r="H4" s="20" t="str">
        <f>'Front page'!A13</f>
        <v>EE2-488ng/L</v>
      </c>
      <c r="I4" s="20" t="str">
        <f>'Front page'!A14</f>
        <v>saccharin-100mg/L</v>
      </c>
      <c r="J4" s="20" t="str">
        <f>'Front page'!A15</f>
        <v>saccharin-10mg/L</v>
      </c>
      <c r="K4" s="20" t="str">
        <f>'Front page'!A16</f>
        <v>saccharin-1mg/L</v>
      </c>
      <c r="L4" s="20" t="str">
        <f>'Front page'!A17</f>
        <v>saccharin-0.1mg/L</v>
      </c>
      <c r="M4" s="20" t="str">
        <f>'Front page'!A18</f>
        <v>saccharin-0.01mg/L</v>
      </c>
      <c r="N4" s="3"/>
      <c r="O4" s="21" t="str">
        <f>'Front page'!A35</f>
        <v>Testo -30µg/L</v>
      </c>
      <c r="P4" s="21" t="str">
        <f>'Front page'!A36</f>
        <v>Testo 30µg/L + EE2 -64ng/L</v>
      </c>
      <c r="Q4" s="21" t="str">
        <f>'Front page'!A37</f>
        <v>Testo 30µg/L + FAD-10mg/L</v>
      </c>
      <c r="R4" s="21" t="str">
        <f>'Front page'!A38</f>
        <v>saccharin-100mg/L + Testostérone</v>
      </c>
      <c r="S4" s="21" t="str">
        <f>'Front page'!A39</f>
        <v>saccharin-10mg/L + Testostérone</v>
      </c>
      <c r="T4" s="21" t="str">
        <f>'Front page'!A40</f>
        <v>saccharin-1mg/L + Testostérone</v>
      </c>
      <c r="U4" s="21" t="str">
        <f>'Front page'!A41</f>
        <v>saccharin-0.1mg/L + Testostérone</v>
      </c>
      <c r="V4" s="21" t="str">
        <f>'Front page'!A42</f>
        <v>saccharin-0.01mg/L + Testostérone</v>
      </c>
    </row>
    <row r="5" spans="1:22">
      <c r="A5" s="151" t="s">
        <v>16</v>
      </c>
      <c r="B5" s="17">
        <v>1844896</v>
      </c>
      <c r="C5" s="17">
        <v>2827986</v>
      </c>
      <c r="D5" s="17">
        <v>3984948</v>
      </c>
      <c r="E5" s="17">
        <v>4579434</v>
      </c>
      <c r="F5" s="17">
        <v>10881505</v>
      </c>
      <c r="G5" s="17">
        <v>8365004</v>
      </c>
      <c r="H5" s="17">
        <v>10000254</v>
      </c>
      <c r="I5" s="17">
        <v>956284</v>
      </c>
      <c r="J5" s="17">
        <v>1114842</v>
      </c>
      <c r="K5" s="13">
        <v>0</v>
      </c>
      <c r="L5" s="13">
        <v>1475280</v>
      </c>
      <c r="M5" s="13">
        <v>1147667</v>
      </c>
      <c r="N5" s="3"/>
      <c r="O5" s="17">
        <v>4228329</v>
      </c>
      <c r="P5" s="13">
        <v>17266271</v>
      </c>
      <c r="Q5" s="13">
        <v>1435651</v>
      </c>
      <c r="R5" s="17">
        <v>11111490</v>
      </c>
      <c r="S5" s="17">
        <v>9638548</v>
      </c>
      <c r="T5" s="17">
        <v>9599148</v>
      </c>
      <c r="U5" s="17">
        <v>6603976</v>
      </c>
      <c r="V5" s="17">
        <v>11708070</v>
      </c>
    </row>
    <row r="6" spans="1:22" ht="16.5">
      <c r="A6" s="151"/>
      <c r="B6" s="14">
        <v>403881</v>
      </c>
      <c r="C6" s="13">
        <v>4617294</v>
      </c>
      <c r="D6" s="17">
        <v>2940400</v>
      </c>
      <c r="E6" s="17">
        <v>7764506</v>
      </c>
      <c r="F6" s="17">
        <v>12126291</v>
      </c>
      <c r="G6" s="17">
        <v>18782685</v>
      </c>
      <c r="H6" s="17">
        <v>10297610</v>
      </c>
      <c r="I6" s="17">
        <v>2603789</v>
      </c>
      <c r="J6" s="17">
        <v>1121342</v>
      </c>
      <c r="K6" s="13">
        <v>2680099</v>
      </c>
      <c r="L6" s="13">
        <v>1345643</v>
      </c>
      <c r="M6" s="13">
        <v>0</v>
      </c>
      <c r="N6" s="3"/>
      <c r="O6" s="17">
        <v>3380820</v>
      </c>
      <c r="P6" s="13">
        <v>14420872</v>
      </c>
      <c r="Q6" s="13">
        <v>1983825</v>
      </c>
      <c r="R6" s="17">
        <v>8802154</v>
      </c>
      <c r="S6" s="17">
        <v>20592175</v>
      </c>
      <c r="T6" s="17">
        <v>10801726</v>
      </c>
      <c r="U6" s="17">
        <v>7623697</v>
      </c>
      <c r="V6" s="17">
        <v>9803057</v>
      </c>
    </row>
    <row r="7" spans="1:22" ht="16.5">
      <c r="A7" s="151"/>
      <c r="B7" s="14">
        <v>1041679</v>
      </c>
      <c r="C7" s="13">
        <v>1141873</v>
      </c>
      <c r="D7" s="17">
        <v>3026684</v>
      </c>
      <c r="E7" s="17">
        <v>3617469</v>
      </c>
      <c r="F7" s="17">
        <v>9320329</v>
      </c>
      <c r="G7" s="17">
        <v>4346244</v>
      </c>
      <c r="H7" s="17">
        <v>11524095</v>
      </c>
      <c r="I7" s="17">
        <v>528806</v>
      </c>
      <c r="J7" s="17">
        <v>1865332</v>
      </c>
      <c r="K7" s="13">
        <v>356338</v>
      </c>
      <c r="L7" s="13">
        <v>747581</v>
      </c>
      <c r="M7" s="13">
        <v>74124</v>
      </c>
      <c r="N7" s="3"/>
      <c r="O7" s="17">
        <v>6503347</v>
      </c>
      <c r="P7" s="13">
        <v>14649649</v>
      </c>
      <c r="Q7" s="13">
        <v>2449946</v>
      </c>
      <c r="R7" s="17">
        <v>6895531</v>
      </c>
      <c r="S7" s="17">
        <v>7772047</v>
      </c>
      <c r="T7" s="17">
        <v>6729737</v>
      </c>
      <c r="U7" s="17">
        <v>8350639</v>
      </c>
      <c r="V7" s="17">
        <v>11272274</v>
      </c>
    </row>
    <row r="8" spans="1:22" ht="16.5">
      <c r="A8" s="151"/>
      <c r="B8" s="14">
        <v>2267467</v>
      </c>
      <c r="C8" s="13">
        <v>3987817</v>
      </c>
      <c r="D8" s="17">
        <v>417071</v>
      </c>
      <c r="E8" s="17">
        <v>7729673</v>
      </c>
      <c r="F8" s="17">
        <v>7195464</v>
      </c>
      <c r="G8" s="17">
        <v>13717574</v>
      </c>
      <c r="H8" s="17">
        <v>17278536</v>
      </c>
      <c r="I8" s="17">
        <v>740502</v>
      </c>
      <c r="J8" s="17">
        <v>245625</v>
      </c>
      <c r="K8" s="13">
        <v>368069</v>
      </c>
      <c r="L8" s="13">
        <v>4766692</v>
      </c>
      <c r="M8" s="13">
        <v>183378</v>
      </c>
      <c r="N8" s="3"/>
      <c r="O8" s="17">
        <v>3145596</v>
      </c>
      <c r="P8" s="13">
        <v>8163417</v>
      </c>
      <c r="Q8" s="13">
        <v>2423021</v>
      </c>
      <c r="R8" s="17">
        <v>12562434</v>
      </c>
      <c r="S8" s="17">
        <v>13641857</v>
      </c>
      <c r="T8" s="17">
        <v>12109824</v>
      </c>
      <c r="U8" s="17">
        <v>8359096</v>
      </c>
      <c r="V8" s="17">
        <v>6938067</v>
      </c>
    </row>
    <row r="9" spans="1:22" ht="16.5">
      <c r="A9" s="151"/>
      <c r="B9" s="14">
        <v>86015</v>
      </c>
      <c r="C9" s="13">
        <v>3875482</v>
      </c>
      <c r="D9" s="17">
        <v>4732722</v>
      </c>
      <c r="E9" s="17">
        <v>7073601</v>
      </c>
      <c r="F9" s="17">
        <v>5397126</v>
      </c>
      <c r="G9" s="17">
        <v>10291821</v>
      </c>
      <c r="H9" s="17">
        <v>10191278</v>
      </c>
      <c r="I9" s="17">
        <v>511334</v>
      </c>
      <c r="J9" s="17">
        <v>1658423</v>
      </c>
      <c r="K9" s="13">
        <v>412443</v>
      </c>
      <c r="L9" s="13">
        <v>949396</v>
      </c>
      <c r="M9" s="13">
        <v>981359</v>
      </c>
      <c r="N9" s="3"/>
      <c r="O9" s="17">
        <v>9960109</v>
      </c>
      <c r="P9" s="13">
        <v>16382398</v>
      </c>
      <c r="Q9" s="13">
        <v>741949</v>
      </c>
      <c r="R9" s="17">
        <v>12728803</v>
      </c>
      <c r="S9" s="17">
        <v>4388659</v>
      </c>
      <c r="T9" s="17">
        <v>4507212</v>
      </c>
      <c r="U9" s="17">
        <v>4035673</v>
      </c>
      <c r="V9" s="17">
        <v>17987860</v>
      </c>
    </row>
    <row r="10" spans="1:22" ht="16.5">
      <c r="A10" s="151"/>
      <c r="B10" s="14">
        <v>401998</v>
      </c>
      <c r="C10" s="13">
        <v>3398419</v>
      </c>
      <c r="D10" s="17">
        <v>1224783</v>
      </c>
      <c r="E10" s="17">
        <v>5937701</v>
      </c>
      <c r="F10" s="17">
        <v>10365258</v>
      </c>
      <c r="G10" s="17">
        <v>15275375</v>
      </c>
      <c r="H10" s="17">
        <v>12821709</v>
      </c>
      <c r="I10" s="17">
        <v>857346</v>
      </c>
      <c r="J10" s="17">
        <v>425308</v>
      </c>
      <c r="K10" s="13">
        <v>4116166</v>
      </c>
      <c r="L10" s="13">
        <v>227428</v>
      </c>
      <c r="M10" s="13">
        <v>839423</v>
      </c>
      <c r="N10" s="3"/>
      <c r="O10" s="17">
        <v>6301004</v>
      </c>
      <c r="P10" s="13">
        <v>10950021</v>
      </c>
      <c r="Q10" s="13">
        <v>2278053</v>
      </c>
      <c r="R10" s="17">
        <v>12245428</v>
      </c>
      <c r="S10" s="17">
        <v>9508147</v>
      </c>
      <c r="T10" s="17">
        <v>14677682</v>
      </c>
      <c r="U10" s="17">
        <v>8176612</v>
      </c>
      <c r="V10" s="17">
        <v>5669982</v>
      </c>
    </row>
    <row r="11" spans="1:22" ht="16.5">
      <c r="A11" s="151"/>
      <c r="B11" s="14">
        <v>416425</v>
      </c>
      <c r="C11" s="13">
        <v>14349</v>
      </c>
      <c r="D11" s="17">
        <v>44387</v>
      </c>
      <c r="E11" s="17">
        <v>5559849</v>
      </c>
      <c r="F11" s="17">
        <v>7319594</v>
      </c>
      <c r="G11" s="17">
        <v>11639530</v>
      </c>
      <c r="H11" s="17">
        <v>16010982</v>
      </c>
      <c r="I11" s="17">
        <v>604228</v>
      </c>
      <c r="J11" s="17">
        <v>1635936</v>
      </c>
      <c r="K11" s="13">
        <v>5641</v>
      </c>
      <c r="L11" s="13">
        <v>1112568</v>
      </c>
      <c r="M11" s="13">
        <v>99480</v>
      </c>
      <c r="N11" s="3"/>
      <c r="O11" s="17">
        <v>4177413</v>
      </c>
      <c r="P11" s="13">
        <v>14120180</v>
      </c>
      <c r="Q11" s="13">
        <v>939545</v>
      </c>
      <c r="R11" s="17">
        <v>7471369</v>
      </c>
      <c r="S11" s="17">
        <v>11258450</v>
      </c>
      <c r="T11" s="17">
        <v>5415100</v>
      </c>
      <c r="U11" s="17">
        <v>6443149</v>
      </c>
      <c r="V11" s="17">
        <v>4571911</v>
      </c>
    </row>
    <row r="12" spans="1:22" ht="16.5">
      <c r="A12" s="151"/>
      <c r="B12" s="14">
        <v>891429</v>
      </c>
      <c r="C12" s="13">
        <v>260578</v>
      </c>
      <c r="D12" s="17">
        <v>6960788</v>
      </c>
      <c r="E12" s="17">
        <v>944925</v>
      </c>
      <c r="F12" s="17">
        <v>6204308</v>
      </c>
      <c r="G12" s="17">
        <v>5660903</v>
      </c>
      <c r="H12" s="17">
        <v>16863113</v>
      </c>
      <c r="I12" s="17">
        <v>1423389</v>
      </c>
      <c r="J12" s="17">
        <v>1153859</v>
      </c>
      <c r="K12" s="13">
        <v>1793334</v>
      </c>
      <c r="L12" s="13">
        <v>3977142</v>
      </c>
      <c r="M12" s="13">
        <v>223200</v>
      </c>
      <c r="N12" s="3"/>
      <c r="O12" s="17">
        <v>9794975</v>
      </c>
      <c r="P12" s="13">
        <v>13145911</v>
      </c>
      <c r="Q12" s="13">
        <v>2370431</v>
      </c>
      <c r="R12" s="17">
        <v>7960092</v>
      </c>
      <c r="S12" s="17">
        <v>8601873</v>
      </c>
      <c r="T12" s="17">
        <v>5498446</v>
      </c>
      <c r="U12" s="17">
        <v>4695333</v>
      </c>
      <c r="V12" s="17">
        <v>4644477</v>
      </c>
    </row>
    <row r="13" spans="1:22" ht="16.5">
      <c r="A13" s="151"/>
      <c r="B13" s="14"/>
      <c r="C13" s="13"/>
      <c r="D13" s="17"/>
      <c r="E13" s="17"/>
      <c r="F13" s="17"/>
      <c r="G13" s="17"/>
      <c r="H13" s="17"/>
      <c r="I13" s="17"/>
      <c r="J13" s="17"/>
      <c r="K13" s="13"/>
      <c r="L13" s="13"/>
      <c r="M13" s="13"/>
      <c r="N13" s="3"/>
      <c r="O13" s="17">
        <v>10460458</v>
      </c>
      <c r="P13" s="13"/>
      <c r="Q13" s="13"/>
      <c r="R13" s="17"/>
      <c r="S13" s="17"/>
      <c r="T13" s="17"/>
      <c r="U13" s="17"/>
      <c r="V13" s="17"/>
    </row>
    <row r="14" spans="1:22" ht="16.5">
      <c r="A14" s="151"/>
      <c r="B14" s="14"/>
      <c r="C14" s="17"/>
      <c r="D14" s="17"/>
      <c r="E14" s="17"/>
      <c r="F14" s="17"/>
      <c r="G14" s="17"/>
      <c r="H14" s="17"/>
      <c r="I14" s="17"/>
      <c r="J14" s="17"/>
      <c r="K14" s="13"/>
      <c r="L14" s="13"/>
      <c r="M14" s="13"/>
      <c r="N14" s="3"/>
      <c r="O14" s="17">
        <v>8308287</v>
      </c>
      <c r="P14" s="13"/>
      <c r="Q14" s="13"/>
      <c r="R14" s="17"/>
      <c r="S14" s="17"/>
      <c r="T14" s="17"/>
      <c r="U14" s="17"/>
      <c r="V14" s="17"/>
    </row>
    <row r="15" spans="1:22" ht="16.5">
      <c r="A15" s="151"/>
      <c r="B15" s="14"/>
      <c r="C15" s="17"/>
      <c r="D15" s="17"/>
      <c r="E15" s="17"/>
      <c r="F15" s="17"/>
      <c r="G15" s="17"/>
      <c r="H15" s="17"/>
      <c r="I15" s="17"/>
      <c r="J15" s="17"/>
      <c r="K15" s="13"/>
      <c r="L15" s="13"/>
      <c r="M15" s="13"/>
      <c r="N15" s="3"/>
      <c r="O15" s="17">
        <v>11882742</v>
      </c>
      <c r="P15" s="13"/>
      <c r="Q15" s="13"/>
      <c r="R15" s="17"/>
      <c r="S15" s="17"/>
      <c r="T15" s="17"/>
      <c r="U15" s="17"/>
      <c r="V15" s="17"/>
    </row>
    <row r="16" spans="1:22" ht="16.5">
      <c r="A16" s="151"/>
      <c r="B16" s="14"/>
      <c r="C16" s="17"/>
      <c r="D16" s="17"/>
      <c r="E16" s="17"/>
      <c r="F16" s="17"/>
      <c r="G16" s="17"/>
      <c r="H16" s="17"/>
      <c r="I16" s="17"/>
      <c r="J16" s="17"/>
      <c r="K16" s="13"/>
      <c r="L16" s="13"/>
      <c r="M16" s="13"/>
      <c r="N16" s="3"/>
      <c r="O16" s="17">
        <v>10598441</v>
      </c>
      <c r="P16" s="13"/>
      <c r="Q16" s="13"/>
      <c r="R16" s="17"/>
      <c r="S16" s="17"/>
      <c r="T16" s="17"/>
      <c r="U16" s="17"/>
      <c r="V16" s="17"/>
    </row>
    <row r="17" spans="1:22" ht="16.5">
      <c r="A17" s="151"/>
      <c r="B17" s="14"/>
      <c r="C17" s="17"/>
      <c r="D17" s="17"/>
      <c r="E17" s="17"/>
      <c r="F17" s="17"/>
      <c r="G17" s="17"/>
      <c r="H17" s="17"/>
      <c r="I17" s="17"/>
      <c r="J17" s="17"/>
      <c r="K17" s="13"/>
      <c r="L17" s="13"/>
      <c r="M17" s="13"/>
      <c r="N17" s="3"/>
      <c r="O17" s="17">
        <v>12870348</v>
      </c>
      <c r="P17" s="13"/>
      <c r="Q17" s="13"/>
      <c r="R17" s="17"/>
      <c r="S17" s="17"/>
      <c r="T17" s="17"/>
      <c r="U17" s="17"/>
      <c r="V17" s="17"/>
    </row>
    <row r="18" spans="1:22" ht="16.5">
      <c r="A18" s="151"/>
      <c r="B18" s="14"/>
      <c r="C18" s="17"/>
      <c r="D18" s="17"/>
      <c r="E18" s="17"/>
      <c r="F18" s="17"/>
      <c r="G18" s="17"/>
      <c r="H18" s="17"/>
      <c r="I18" s="17"/>
      <c r="J18" s="17"/>
      <c r="K18" s="13"/>
      <c r="L18" s="13"/>
      <c r="M18" s="13"/>
      <c r="N18" s="3"/>
      <c r="O18" s="17">
        <v>4862721</v>
      </c>
      <c r="P18" s="13"/>
      <c r="Q18" s="13"/>
      <c r="R18" s="17"/>
      <c r="S18" s="17"/>
      <c r="T18" s="17"/>
      <c r="U18" s="17"/>
      <c r="V18" s="17"/>
    </row>
    <row r="19" spans="1:22" ht="16.5">
      <c r="A19" s="151"/>
      <c r="B19" s="14"/>
      <c r="C19" s="17"/>
      <c r="D19" s="17"/>
      <c r="E19" s="17"/>
      <c r="F19" s="17"/>
      <c r="G19" s="17"/>
      <c r="H19" s="17"/>
      <c r="I19" s="17"/>
      <c r="J19" s="17"/>
      <c r="K19" s="13"/>
      <c r="L19" s="13"/>
      <c r="M19" s="13"/>
      <c r="N19" s="3"/>
      <c r="O19" s="17">
        <v>7719304</v>
      </c>
      <c r="P19" s="13"/>
      <c r="Q19" s="13"/>
      <c r="R19" s="17"/>
      <c r="S19" s="17"/>
      <c r="T19" s="17"/>
      <c r="U19" s="17"/>
      <c r="V19" s="17"/>
    </row>
    <row r="20" spans="1:22" ht="16.5">
      <c r="A20" s="151"/>
      <c r="B20" s="14"/>
      <c r="C20" s="17"/>
      <c r="D20" s="17"/>
      <c r="E20" s="17"/>
      <c r="F20" s="17"/>
      <c r="G20" s="17"/>
      <c r="H20" s="17"/>
      <c r="I20" s="17"/>
      <c r="J20" s="17"/>
      <c r="K20" s="13"/>
      <c r="L20" s="13"/>
      <c r="M20" s="13"/>
      <c r="N20" s="3"/>
      <c r="O20" s="17">
        <v>12468735</v>
      </c>
      <c r="P20" s="13"/>
      <c r="Q20" s="13"/>
      <c r="R20" s="17"/>
      <c r="S20" s="17"/>
      <c r="T20" s="17"/>
      <c r="U20" s="17"/>
      <c r="V20" s="17"/>
    </row>
    <row r="21" spans="1:22">
      <c r="A21" s="3"/>
      <c r="B21" s="7"/>
      <c r="C21" s="7"/>
      <c r="D21" s="7"/>
      <c r="E21" s="7"/>
      <c r="F21" s="7"/>
      <c r="G21" s="7"/>
      <c r="H21" s="7"/>
      <c r="I21" s="7"/>
      <c r="J21" s="7"/>
      <c r="N21" s="3"/>
      <c r="O21" s="7"/>
      <c r="R21" s="7"/>
      <c r="S21" s="7"/>
      <c r="T21" s="7"/>
      <c r="U21" s="7"/>
      <c r="V21" s="7"/>
    </row>
    <row r="22" spans="1:22">
      <c r="A22" s="3" t="str">
        <f>A4</f>
        <v>Noms des groupes</v>
      </c>
      <c r="B22" s="3" t="str">
        <f t="shared" ref="B22:V22" si="0">B4</f>
        <v>Solvent control</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saccharin-100mg/L</v>
      </c>
      <c r="J22" s="3" t="str">
        <f t="shared" si="0"/>
        <v>saccharin-10mg/L</v>
      </c>
      <c r="K22" s="3" t="str">
        <f t="shared" si="0"/>
        <v>saccharin-1mg/L</v>
      </c>
      <c r="L22" s="3" t="str">
        <f t="shared" si="0"/>
        <v>saccharin-0.1mg/L</v>
      </c>
      <c r="M22" s="3" t="str">
        <f t="shared" si="0"/>
        <v>saccharin-0.01mg/L</v>
      </c>
      <c r="N22" s="3" t="s">
        <v>22</v>
      </c>
      <c r="O22" s="3" t="str">
        <f t="shared" si="0"/>
        <v>Testo -30µg/L</v>
      </c>
      <c r="P22" s="3" t="str">
        <f t="shared" si="0"/>
        <v>Testo 30µg/L + EE2 -64ng/L</v>
      </c>
      <c r="Q22" s="3" t="str">
        <f t="shared" si="0"/>
        <v>Testo 30µg/L + FAD-10mg/L</v>
      </c>
      <c r="R22" s="3" t="str">
        <f t="shared" si="0"/>
        <v>saccharin-100mg/L + Testostérone</v>
      </c>
      <c r="S22" s="3" t="str">
        <f t="shared" si="0"/>
        <v>saccharin-10mg/L + Testostérone</v>
      </c>
      <c r="T22" s="3" t="str">
        <f t="shared" si="0"/>
        <v>saccharin-1mg/L + Testostérone</v>
      </c>
      <c r="U22" s="3" t="str">
        <f t="shared" si="0"/>
        <v>saccharin-0.1mg/L + Testostérone</v>
      </c>
      <c r="V22" s="3" t="str">
        <f t="shared" si="0"/>
        <v>saccharin-0.01mg/L + Testostérone</v>
      </c>
    </row>
    <row r="23" spans="1:22">
      <c r="A23" s="5" t="s">
        <v>0</v>
      </c>
      <c r="B23" s="5">
        <f t="shared" ref="B23:J23" si="1">AVERAGE(B5:B20)</f>
        <v>919223.75</v>
      </c>
      <c r="C23" s="5">
        <f t="shared" si="1"/>
        <v>2515474.75</v>
      </c>
      <c r="D23" s="5">
        <f t="shared" si="1"/>
        <v>2916472.875</v>
      </c>
      <c r="E23" s="5">
        <f t="shared" si="1"/>
        <v>5400894.75</v>
      </c>
      <c r="F23" s="5">
        <f t="shared" si="1"/>
        <v>8601234.375</v>
      </c>
      <c r="G23" s="5">
        <f t="shared" si="1"/>
        <v>11009892</v>
      </c>
      <c r="H23" s="5">
        <f t="shared" si="1"/>
        <v>13123447.125</v>
      </c>
      <c r="I23" s="5">
        <f t="shared" si="1"/>
        <v>1028209.75</v>
      </c>
      <c r="J23" s="5">
        <f t="shared" si="1"/>
        <v>1152583.375</v>
      </c>
      <c r="K23" s="5"/>
      <c r="L23" s="5">
        <f>AVERAGE(L5:L20)</f>
        <v>1825216.25</v>
      </c>
      <c r="M23" s="5"/>
      <c r="N23" s="5" t="s">
        <v>0</v>
      </c>
      <c r="O23" s="5">
        <f>AVERAGE(O5:O20)</f>
        <v>7916414.3125</v>
      </c>
      <c r="P23" s="5">
        <f>AVERAGE(P5:P20)</f>
        <v>13637339.875</v>
      </c>
      <c r="Q23" s="5">
        <f>AVERAGE(Q5:Q20)</f>
        <v>1827802.625</v>
      </c>
      <c r="R23" s="5">
        <f>AVERAGE(R5:R20)</f>
        <v>9972162.625</v>
      </c>
      <c r="S23" s="5">
        <f>AVERAGE(S5:S20)</f>
        <v>10675219.5</v>
      </c>
      <c r="T23" s="5">
        <f t="shared" ref="T23:V23" si="2">AVERAGE(T5:T20)</f>
        <v>8667359.375</v>
      </c>
      <c r="U23" s="5">
        <f t="shared" si="2"/>
        <v>6786021.875</v>
      </c>
      <c r="V23" s="5">
        <f t="shared" si="2"/>
        <v>9074462.25</v>
      </c>
    </row>
    <row r="24" spans="1:22">
      <c r="A24" s="3" t="s">
        <v>1</v>
      </c>
      <c r="B24" s="3">
        <f t="shared" ref="B24:J24" si="3">STDEV(B5:B20)</f>
        <v>771875.34545875434</v>
      </c>
      <c r="C24" s="3">
        <f t="shared" si="3"/>
        <v>1794407.2060918098</v>
      </c>
      <c r="D24" s="3">
        <f t="shared" si="3"/>
        <v>2335052.9344198992</v>
      </c>
      <c r="E24" s="3">
        <f t="shared" si="3"/>
        <v>2324782.9841480288</v>
      </c>
      <c r="F24" s="3">
        <f t="shared" si="3"/>
        <v>2416753.834793685</v>
      </c>
      <c r="G24" s="3">
        <f t="shared" si="3"/>
        <v>4882411.4146292796</v>
      </c>
      <c r="H24" s="3">
        <f t="shared" si="3"/>
        <v>3129901.9089291645</v>
      </c>
      <c r="I24" s="3">
        <f t="shared" si="3"/>
        <v>702249.98270187643</v>
      </c>
      <c r="J24" s="3">
        <f t="shared" si="3"/>
        <v>579583.4854119533</v>
      </c>
      <c r="K24" s="3"/>
      <c r="L24" s="3">
        <f>STDEV(L5:L20)</f>
        <v>1631154.8741809328</v>
      </c>
      <c r="M24" s="3"/>
      <c r="N24" s="3" t="s">
        <v>1</v>
      </c>
      <c r="O24" s="3">
        <f>STDEV(O5:O20)</f>
        <v>3340719.863279405</v>
      </c>
      <c r="P24" s="3">
        <f>STDEV(P5:P20)</f>
        <v>2927781.4340252588</v>
      </c>
      <c r="Q24" s="3">
        <f>STDEV(Q5:Q20)</f>
        <v>695364.63490375993</v>
      </c>
      <c r="R24" s="3">
        <f>STDEV(R5:R20)</f>
        <v>2446903.395231727</v>
      </c>
      <c r="S24" s="3">
        <f>STDEV(S5:S20)</f>
        <v>4813253.5398873091</v>
      </c>
      <c r="T24" s="3">
        <f t="shared" ref="T24:V24" si="4">STDEV(T5:T20)</f>
        <v>3685467.625938898</v>
      </c>
      <c r="U24" s="3">
        <f t="shared" si="4"/>
        <v>1675202.7969624996</v>
      </c>
      <c r="V24" s="3">
        <f t="shared" si="4"/>
        <v>4595000.1327481326</v>
      </c>
    </row>
    <row r="25" spans="1:22" ht="15.75" thickBot="1"/>
    <row r="26" spans="1:22" ht="15.75" thickBot="1">
      <c r="B26" s="149" t="s">
        <v>6</v>
      </c>
      <c r="C26" s="150"/>
      <c r="D26" s="150"/>
      <c r="E26" s="150"/>
      <c r="F26" s="150"/>
      <c r="G26" s="150"/>
      <c r="H26" s="150"/>
      <c r="I26" s="150"/>
      <c r="J26" s="150"/>
      <c r="K26" s="150"/>
      <c r="L26" s="150"/>
      <c r="M26" s="150"/>
      <c r="O26" s="149" t="s">
        <v>3</v>
      </c>
      <c r="P26" s="150"/>
      <c r="Q26" s="150"/>
      <c r="R26" s="150"/>
      <c r="S26" s="150"/>
      <c r="T26" s="150"/>
      <c r="U26" s="150"/>
      <c r="V26" s="150"/>
    </row>
    <row r="27" spans="1:22">
      <c r="A27" s="19" t="s">
        <v>22</v>
      </c>
      <c r="B27" s="20" t="str">
        <f>B4</f>
        <v>Solvent control</v>
      </c>
      <c r="C27" s="20" t="str">
        <f t="shared" ref="C27:M27" si="5">C4</f>
        <v>EE2-33.8ng/L</v>
      </c>
      <c r="D27" s="20" t="str">
        <f t="shared" si="5"/>
        <v>EE2-50.6ng/L</v>
      </c>
      <c r="E27" s="20" t="str">
        <f t="shared" si="5"/>
        <v>EE2-76ng/L</v>
      </c>
      <c r="F27" s="20" t="str">
        <f t="shared" si="5"/>
        <v>EE2-114ng/L</v>
      </c>
      <c r="G27" s="20" t="str">
        <f t="shared" si="5"/>
        <v>EE2-170.9ng/L</v>
      </c>
      <c r="H27" s="20" t="str">
        <f t="shared" si="5"/>
        <v>EE2-488ng/L</v>
      </c>
      <c r="I27" s="20" t="str">
        <f t="shared" si="5"/>
        <v>saccharin-100mg/L</v>
      </c>
      <c r="J27" s="20" t="str">
        <f t="shared" si="5"/>
        <v>saccharin-10mg/L</v>
      </c>
      <c r="K27" s="20" t="str">
        <f t="shared" si="5"/>
        <v>saccharin-1mg/L</v>
      </c>
      <c r="L27" s="20" t="str">
        <f t="shared" si="5"/>
        <v>saccharin-0.1mg/L</v>
      </c>
      <c r="M27" s="20" t="str">
        <f t="shared" si="5"/>
        <v>saccharin-0.01mg/L</v>
      </c>
      <c r="N27" s="3"/>
      <c r="O27" s="21" t="str">
        <f>O4</f>
        <v>Testo -30µg/L</v>
      </c>
      <c r="P27" s="21" t="str">
        <f t="shared" ref="P27:R27" si="6">P4</f>
        <v>Testo 30µg/L + EE2 -64ng/L</v>
      </c>
      <c r="Q27" s="21" t="str">
        <f t="shared" si="6"/>
        <v>Testo 30µg/L + FAD-10mg/L</v>
      </c>
      <c r="R27" s="21" t="str">
        <f t="shared" si="6"/>
        <v>saccharin-100mg/L + Testostérone</v>
      </c>
      <c r="S27" s="21" t="str">
        <f t="shared" ref="S27:V27" si="7">S4</f>
        <v>saccharin-10mg/L + Testostérone</v>
      </c>
      <c r="T27" s="21" t="str">
        <f t="shared" si="7"/>
        <v>saccharin-1mg/L + Testostérone</v>
      </c>
      <c r="U27" s="21" t="str">
        <f t="shared" si="7"/>
        <v>saccharin-0.1mg/L + Testostérone</v>
      </c>
      <c r="V27" s="21" t="str">
        <f t="shared" si="7"/>
        <v>saccharin-0.01mg/L + Testostérone</v>
      </c>
    </row>
    <row r="28" spans="1:22">
      <c r="A28" s="152" t="s">
        <v>17</v>
      </c>
      <c r="B28" s="11">
        <f>IF(B5="","",(B5/$O$23))</f>
        <v>0.23304692341416661</v>
      </c>
      <c r="C28" s="11">
        <f>IF(C5="","",(C5/$O$23))</f>
        <v>0.35723067140821779</v>
      </c>
      <c r="D28" s="11">
        <f>IF(D5="","",(D5/$O$23))</f>
        <v>0.50337789846443182</v>
      </c>
      <c r="E28" s="11">
        <f>IF(E5="","",(E5/$O$23))</f>
        <v>0.57847326064896376</v>
      </c>
      <c r="F28" s="11">
        <f>IF(F5="","",(F5/$O$23))</f>
        <v>1.3745497103174764</v>
      </c>
      <c r="G28" s="11">
        <f>IF(G5="","",(G5/$O$23))</f>
        <v>1.0566657668221935</v>
      </c>
      <c r="H28" s="11">
        <f>IF(H5="","",(H5/$O$23))</f>
        <v>1.2632302460736071</v>
      </c>
      <c r="I28" s="11">
        <f>IF(I5="","",(I5/$O$23))</f>
        <v>0.12079761900410262</v>
      </c>
      <c r="J28" s="11">
        <f>IF(J5="","",(J5/$O$23))</f>
        <v>0.14082663640275458</v>
      </c>
      <c r="K28" s="11">
        <f>IF(K5="","",(K5/$O$23))</f>
        <v>0</v>
      </c>
      <c r="L28" s="11">
        <f>IF(L5="","",(L5/$O$23))</f>
        <v>0.18635709827245098</v>
      </c>
      <c r="M28" s="11">
        <f>IF(M5="","",(M5/$O$23))</f>
        <v>0.14497308436571296</v>
      </c>
      <c r="N28" s="6"/>
      <c r="O28" s="11">
        <f t="shared" ref="O28:S37" si="8">IF(O5="","",(O5/$O$23))</f>
        <v>0.5341217416227797</v>
      </c>
      <c r="P28" s="11">
        <f t="shared" si="8"/>
        <v>2.1810721771770583</v>
      </c>
      <c r="Q28" s="11">
        <f t="shared" si="8"/>
        <v>0.18135117028085687</v>
      </c>
      <c r="R28" s="11">
        <f t="shared" si="8"/>
        <v>1.4036013732195627</v>
      </c>
      <c r="S28" s="11">
        <f t="shared" si="8"/>
        <v>1.2175396106771161</v>
      </c>
      <c r="T28" s="11">
        <f t="shared" ref="T28:V28" si="9">IF(T5="","",(T5/$O$23))</f>
        <v>1.2125626099234053</v>
      </c>
      <c r="U28" s="11">
        <f t="shared" si="9"/>
        <v>0.83421303374336242</v>
      </c>
      <c r="V28" s="11">
        <f t="shared" si="9"/>
        <v>1.4789612490989745</v>
      </c>
    </row>
    <row r="29" spans="1:22">
      <c r="A29" s="152"/>
      <c r="B29" s="11">
        <f>IF(B6="","",(B6/$O$23))</f>
        <v>5.1018173639834997E-2</v>
      </c>
      <c r="C29" s="11">
        <f>IF(C6="","",(C6/$O$23))</f>
        <v>0.58325572888590527</v>
      </c>
      <c r="D29" s="11">
        <f>IF(D6="","",(D6/$O$23))</f>
        <v>0.37143078721348821</v>
      </c>
      <c r="E29" s="11">
        <f>IF(E6="","",(E6/$O$23))</f>
        <v>0.98081096990336436</v>
      </c>
      <c r="F29" s="11">
        <f>IF(F6="","",(F6/$O$23))</f>
        <v>1.5317908489014547</v>
      </c>
      <c r="G29" s="11">
        <f>IF(G6="","",(G6/$O$23))</f>
        <v>2.3726253147643099</v>
      </c>
      <c r="H29" s="11">
        <f>IF(H6="","",(H6/$O$23))</f>
        <v>1.3007922013050905</v>
      </c>
      <c r="I29" s="11">
        <f>IF(I6="","",(I6/$O$23))</f>
        <v>0.32891014760162607</v>
      </c>
      <c r="J29" s="11">
        <f>IF(J6="","",(J6/$O$23))</f>
        <v>0.1416477152073008</v>
      </c>
      <c r="K29" s="11">
        <f>IF(K6="","",(K6/$O$23))</f>
        <v>0.33854961276699852</v>
      </c>
      <c r="L29" s="11">
        <f>IF(L6="","",(L6/$O$23))</f>
        <v>0.16998137627476531</v>
      </c>
      <c r="M29" s="11">
        <f>IF(M6="","",(M6/$O$23))</f>
        <v>0</v>
      </c>
      <c r="N29" s="6"/>
      <c r="O29" s="11">
        <f t="shared" si="8"/>
        <v>0.42706456061321763</v>
      </c>
      <c r="P29" s="11">
        <f t="shared" si="8"/>
        <v>1.8216418988113692</v>
      </c>
      <c r="Q29" s="11">
        <f t="shared" si="8"/>
        <v>0.25059640914290515</v>
      </c>
      <c r="R29" s="11">
        <f t="shared" si="8"/>
        <v>1.1118864744233281</v>
      </c>
      <c r="S29" s="11">
        <f t="shared" si="8"/>
        <v>2.6011997587702052</v>
      </c>
      <c r="T29" s="11">
        <f t="shared" ref="T29:V29" si="10">IF(T6="","",(T6/$O$23))</f>
        <v>1.3644720417101086</v>
      </c>
      <c r="U29" s="11">
        <f t="shared" si="10"/>
        <v>0.96302400292038781</v>
      </c>
      <c r="V29" s="11">
        <f t="shared" si="10"/>
        <v>1.2383203573012842</v>
      </c>
    </row>
    <row r="30" spans="1:22">
      <c r="A30" s="152"/>
      <c r="B30" s="11">
        <f>IF(B7="","",(B7/$O$23))</f>
        <v>0.13158469969859854</v>
      </c>
      <c r="C30" s="11">
        <f>IF(C7="","",(C7/$O$23))</f>
        <v>0.14424118735132208</v>
      </c>
      <c r="D30" s="11">
        <f>IF(D7="","",(D7/$O$23))</f>
        <v>0.38233016622448285</v>
      </c>
      <c r="E30" s="11">
        <f>IF(E7="","",(E7/$O$23))</f>
        <v>0.45695801876968778</v>
      </c>
      <c r="F30" s="11">
        <f>IF(F7="","",(F7/$O$23))</f>
        <v>1.1773422451226716</v>
      </c>
      <c r="G30" s="11">
        <f>IF(G7="","",(G7/$O$23))</f>
        <v>0.54901674273632828</v>
      </c>
      <c r="H30" s="11">
        <f>IF(H7="","",(H7/$O$23))</f>
        <v>1.4557215609349148</v>
      </c>
      <c r="I30" s="11">
        <f>IF(I7="","",(I7/$O$23))</f>
        <v>6.6798676664132722E-2</v>
      </c>
      <c r="J30" s="11">
        <f>IF(J7="","",(J7/$O$23))</f>
        <v>0.23562839517565989</v>
      </c>
      <c r="K30" s="11">
        <f>IF(K7="","",(K7/$O$23))</f>
        <v>4.5012550623751854E-2</v>
      </c>
      <c r="L30" s="11">
        <f>IF(L7="","",(L7/$O$23))</f>
        <v>9.4434294427916857E-2</v>
      </c>
      <c r="M30" s="11">
        <f>IF(M7="","",(M7/$O$23))</f>
        <v>9.3633300474128007E-3</v>
      </c>
      <c r="N30" s="6"/>
      <c r="O30" s="11">
        <f t="shared" si="8"/>
        <v>0.8215015969706424</v>
      </c>
      <c r="P30" s="11">
        <f t="shared" si="8"/>
        <v>1.8505409673756259</v>
      </c>
      <c r="Q30" s="11">
        <f t="shared" si="8"/>
        <v>0.30947672813581029</v>
      </c>
      <c r="R30" s="11">
        <f t="shared" si="8"/>
        <v>0.87104220772174246</v>
      </c>
      <c r="S30" s="11">
        <f t="shared" si="8"/>
        <v>0.98176354763645401</v>
      </c>
      <c r="T30" s="11">
        <f t="shared" ref="T30:V30" si="11">IF(T7="","",(T7/$O$23))</f>
        <v>0.85009914013390642</v>
      </c>
      <c r="U30" s="11">
        <f t="shared" si="11"/>
        <v>1.0548511826641462</v>
      </c>
      <c r="V30" s="11">
        <f t="shared" si="11"/>
        <v>1.4239115785288177</v>
      </c>
    </row>
    <row r="31" spans="1:22">
      <c r="A31" s="152"/>
      <c r="B31" s="11">
        <f>IF(B8="","",(B8/$O$23))</f>
        <v>0.2864260144166122</v>
      </c>
      <c r="C31" s="11">
        <f>IF(C8="","",(C8/$O$23))</f>
        <v>0.50374031001677688</v>
      </c>
      <c r="D31" s="11">
        <f>IF(D8="","",(D8/$O$23))</f>
        <v>5.2684332013983384E-2</v>
      </c>
      <c r="E31" s="11">
        <f>IF(E8="","",(E8/$O$23))</f>
        <v>0.9764108717497092</v>
      </c>
      <c r="F31" s="11">
        <f>IF(F8="","",(F8/$O$23))</f>
        <v>0.90892968911927452</v>
      </c>
      <c r="G31" s="11">
        <f>IF(G8="","",(G8/$O$23))</f>
        <v>1.7328014247991015</v>
      </c>
      <c r="H31" s="11">
        <f>IF(H8="","",(H8/$O$23))</f>
        <v>2.182621489721329</v>
      </c>
      <c r="I31" s="11">
        <f>IF(I8="","",(I8/$O$23))</f>
        <v>9.3540076449857998E-2</v>
      </c>
      <c r="J31" s="11">
        <f>IF(J8="","",(J8/$O$23))</f>
        <v>3.1027304825640402E-2</v>
      </c>
      <c r="K31" s="11">
        <f>IF(K8="","",(K8/$O$23))</f>
        <v>4.6494408386233636E-2</v>
      </c>
      <c r="L31" s="11">
        <f>IF(L8="","",(L8/$O$23))</f>
        <v>0.60212765676922753</v>
      </c>
      <c r="M31" s="11">
        <f>IF(M8="","",(M8/$O$23))</f>
        <v>2.3164275233857654E-2</v>
      </c>
      <c r="N31" s="6"/>
      <c r="O31" s="11">
        <f t="shared" si="8"/>
        <v>0.39735110819466729</v>
      </c>
      <c r="P31" s="11">
        <f t="shared" si="8"/>
        <v>1.0312013340572617</v>
      </c>
      <c r="Q31" s="11">
        <f t="shared" si="8"/>
        <v>0.30607556708774775</v>
      </c>
      <c r="R31" s="11">
        <f t="shared" si="8"/>
        <v>1.5868843524477927</v>
      </c>
      <c r="S31" s="11">
        <f t="shared" si="8"/>
        <v>1.723236867284667</v>
      </c>
      <c r="T31" s="11">
        <f t="shared" ref="T31:V31" si="12">IF(T8="","",(T8/$O$23))</f>
        <v>1.5297107404899988</v>
      </c>
      <c r="U31" s="11">
        <f t="shared" si="12"/>
        <v>1.055919469348769</v>
      </c>
      <c r="V31" s="11">
        <f t="shared" si="12"/>
        <v>0.87641534741869287</v>
      </c>
    </row>
    <row r="32" spans="1:22">
      <c r="A32" s="152"/>
      <c r="B32" s="11">
        <f>IF(B9="","",(B9/$O$23))</f>
        <v>1.0865398980468028E-2</v>
      </c>
      <c r="C32" s="11">
        <f>IF(C9="","",(C9/$O$23))</f>
        <v>0.48955017347697716</v>
      </c>
      <c r="D32" s="11">
        <f>IF(D9="","",(D9/$O$23))</f>
        <v>0.59783657261685297</v>
      </c>
      <c r="E32" s="11">
        <f>IF(E9="","",(E9/$O$23))</f>
        <v>0.89353597737182611</v>
      </c>
      <c r="F32" s="11">
        <f>IF(F9="","",(F9/$O$23))</f>
        <v>0.68176396370234826</v>
      </c>
      <c r="G32" s="11">
        <f>IF(G9="","",(G9/$O$23))</f>
        <v>1.3000609358897801</v>
      </c>
      <c r="H32" s="11">
        <f>IF(H9="","",(H9/$O$23))</f>
        <v>1.2873603626212433</v>
      </c>
      <c r="I32" s="11">
        <f>IF(I9="","",(I9/$O$23))</f>
        <v>6.4591616837512508E-2</v>
      </c>
      <c r="J32" s="11">
        <f>IF(J9="","",(J9/$O$23))</f>
        <v>0.20949168834952889</v>
      </c>
      <c r="K32" s="11">
        <f>IF(K9="","",(K9/$O$23))</f>
        <v>5.2099723905146479E-2</v>
      </c>
      <c r="L32" s="11">
        <f>IF(L9="","",(L9/$O$23))</f>
        <v>0.11992752811091581</v>
      </c>
      <c r="M32" s="11">
        <f>IF(M9="","",(M9/$O$23))</f>
        <v>0.12396508839240973</v>
      </c>
      <c r="N32" s="6"/>
      <c r="O32" s="11">
        <f t="shared" si="8"/>
        <v>1.2581591370569136</v>
      </c>
      <c r="P32" s="11">
        <f t="shared" si="8"/>
        <v>2.0694215023754166</v>
      </c>
      <c r="Q32" s="11">
        <f t="shared" si="8"/>
        <v>9.3722861223731593E-2</v>
      </c>
      <c r="R32" s="11">
        <f t="shared" si="8"/>
        <v>1.6079000539298769</v>
      </c>
      <c r="S32" s="11">
        <f t="shared" si="8"/>
        <v>0.55437459773553255</v>
      </c>
      <c r="T32" s="11">
        <f t="shared" ref="T32:V32" si="13">IF(T9="","",(T9/$O$23))</f>
        <v>0.56935019089174277</v>
      </c>
      <c r="U32" s="11">
        <f t="shared" si="13"/>
        <v>0.50978547113529438</v>
      </c>
      <c r="V32" s="11">
        <f t="shared" si="13"/>
        <v>2.2722231669453188</v>
      </c>
    </row>
    <row r="33" spans="1:22">
      <c r="A33" s="152"/>
      <c r="B33" s="11">
        <f>IF(B10="","",(B10/$O$23))</f>
        <v>5.0780313426148763E-2</v>
      </c>
      <c r="C33" s="11">
        <f>IF(C10="","",(C10/$O$23))</f>
        <v>0.42928766305648053</v>
      </c>
      <c r="D33" s="11">
        <f>IF(D10="","",(D10/$O$23))</f>
        <v>0.15471436330284918</v>
      </c>
      <c r="E33" s="11">
        <f>IF(E10="","",(E10/$O$23))</f>
        <v>0.75004929828197398</v>
      </c>
      <c r="F33" s="11">
        <f>IF(F10="","",(F10/$O$23))</f>
        <v>1.3093374842235432</v>
      </c>
      <c r="G33" s="11">
        <f>IF(G10="","",(G10/$O$23))</f>
        <v>1.9295825606146229</v>
      </c>
      <c r="H33" s="11">
        <f>IF(H10="","",(H10/$O$23))</f>
        <v>1.61963592276298</v>
      </c>
      <c r="I33" s="11">
        <f>IF(I10="","",(I10/$O$23))</f>
        <v>0.10829978904038065</v>
      </c>
      <c r="J33" s="11">
        <f>IF(J10="","",(J10/$O$23))</f>
        <v>5.3724828339067554E-2</v>
      </c>
      <c r="K33" s="11">
        <f>IF(K10="","",(K10/$O$23))</f>
        <v>0.51995333209134642</v>
      </c>
      <c r="L33" s="11">
        <f>IF(L10="","",(L10/$O$23))</f>
        <v>2.8728663132359267E-2</v>
      </c>
      <c r="M33" s="11">
        <f>IF(M10="","",(M10/$O$23))</f>
        <v>0.10603575897670654</v>
      </c>
      <c r="N33" s="6"/>
      <c r="O33" s="11">
        <f t="shared" si="8"/>
        <v>0.79594166642475106</v>
      </c>
      <c r="P33" s="11">
        <f t="shared" si="8"/>
        <v>1.38320463883629</v>
      </c>
      <c r="Q33" s="11">
        <f t="shared" si="8"/>
        <v>0.28776323598967773</v>
      </c>
      <c r="R33" s="11">
        <f t="shared" si="8"/>
        <v>1.5468402128302579</v>
      </c>
      <c r="S33" s="11">
        <f t="shared" si="8"/>
        <v>1.2010673803399423</v>
      </c>
      <c r="T33" s="11">
        <f t="shared" ref="T33:V33" si="14">IF(T10="","",(T10/$O$23))</f>
        <v>1.8540820907799096</v>
      </c>
      <c r="U33" s="11">
        <f t="shared" si="14"/>
        <v>1.0328681240304904</v>
      </c>
      <c r="V33" s="11">
        <f t="shared" si="14"/>
        <v>0.71623108343977293</v>
      </c>
    </row>
    <row r="34" spans="1:22">
      <c r="A34" s="152"/>
      <c r="B34" s="11">
        <f>IF(B11="","",(B11/$O$23))</f>
        <v>5.2602729412793099E-2</v>
      </c>
      <c r="C34" s="11">
        <f>IF(C11="","",(C11/$O$23))</f>
        <v>1.8125630409897777E-3</v>
      </c>
      <c r="D34" s="11">
        <f>IF(D11="","",(D11/$O$23))</f>
        <v>5.6069576765219358E-3</v>
      </c>
      <c r="E34" s="11">
        <f>IF(E11="","",(E11/$O$23))</f>
        <v>0.70231910313499024</v>
      </c>
      <c r="F34" s="11">
        <f>IF(F11="","",(F11/$O$23))</f>
        <v>0.92460976788978544</v>
      </c>
      <c r="G34" s="11">
        <f>IF(G11="","",(G11/$O$23))</f>
        <v>1.4703032889045751</v>
      </c>
      <c r="H34" s="11">
        <f>IF(H11="","",(H11/$O$23))</f>
        <v>2.0225043015647497</v>
      </c>
      <c r="I34" s="11">
        <f>IF(I11="","",(I11/$O$23))</f>
        <v>7.6325969832822596E-2</v>
      </c>
      <c r="J34" s="11">
        <f>IF(J11="","",(J11/$O$23))</f>
        <v>0.20665113464524726</v>
      </c>
      <c r="K34" s="11">
        <f>IF(K11="","",(K11/$O$23))</f>
        <v>7.125700825300255E-4</v>
      </c>
      <c r="L34" s="11">
        <f>IF(L11="","",(L11/$O$23))</f>
        <v>0.14053938514097949</v>
      </c>
      <c r="M34" s="11">
        <f>IF(M11="","",(M11/$O$23))</f>
        <v>1.2566295304039521E-2</v>
      </c>
      <c r="N34" s="6"/>
      <c r="O34" s="11">
        <f t="shared" si="8"/>
        <v>0.52769004186704505</v>
      </c>
      <c r="P34" s="11">
        <f t="shared" si="8"/>
        <v>1.7836585406734293</v>
      </c>
      <c r="Q34" s="11">
        <f t="shared" si="8"/>
        <v>0.11868315160267201</v>
      </c>
      <c r="R34" s="11">
        <f t="shared" si="8"/>
        <v>0.94378195797593933</v>
      </c>
      <c r="S34" s="11">
        <f t="shared" si="8"/>
        <v>1.422165333391272</v>
      </c>
      <c r="T34" s="11">
        <f t="shared" ref="T34:V34" si="15">IF(T11="","",(T11/$O$23))</f>
        <v>0.6840344360766426</v>
      </c>
      <c r="U34" s="11">
        <f t="shared" si="15"/>
        <v>0.81389739668201577</v>
      </c>
      <c r="V34" s="11">
        <f t="shared" si="15"/>
        <v>0.57752295667256359</v>
      </c>
    </row>
    <row r="35" spans="1:22">
      <c r="A35" s="152"/>
      <c r="B35" s="11">
        <f>IF(B12="","",(B12/$O$23))</f>
        <v>0.11260514733197272</v>
      </c>
      <c r="C35" s="11">
        <f>IF(C12="","",(C12/$O$23))</f>
        <v>3.2916165035544932E-2</v>
      </c>
      <c r="D35" s="11">
        <f>IF(D12="","",(D12/$O$23))</f>
        <v>0.87928545995993812</v>
      </c>
      <c r="E35" s="11">
        <f>IF(E12="","",(E12/$O$23))</f>
        <v>0.1193627522132041</v>
      </c>
      <c r="F35" s="11">
        <f>IF(F12="","",(F12/$O$23))</f>
        <v>0.78372704548868943</v>
      </c>
      <c r="G35" s="11">
        <f>IF(G12="","",(G12/$O$23))</f>
        <v>0.71508422582954601</v>
      </c>
      <c r="H35" s="11">
        <f>IF(H12="","",(H12/$O$23))</f>
        <v>2.1301453327642519</v>
      </c>
      <c r="I35" s="11">
        <f>IF(I12="","",(I12/$O$23))</f>
        <v>0.17980223669603448</v>
      </c>
      <c r="J35" s="11">
        <f>IF(J12="","",(J12/$O$23))</f>
        <v>0.14575525666690528</v>
      </c>
      <c r="K35" s="11">
        <f>IF(K12="","",(K12/$O$23))</f>
        <v>0.22653362105724176</v>
      </c>
      <c r="L35" s="11">
        <f>IF(L12="","",(L12/$O$23))</f>
        <v>0.50239184598007991</v>
      </c>
      <c r="M35" s="11">
        <f>IF(M12="","",(M12/$O$23))</f>
        <v>2.8194582949955981E-2</v>
      </c>
      <c r="N35" s="6"/>
      <c r="O35" s="11">
        <f t="shared" si="8"/>
        <v>1.2372994405476931</v>
      </c>
      <c r="P35" s="11">
        <f t="shared" si="8"/>
        <v>1.6605890597770554</v>
      </c>
      <c r="Q35" s="11">
        <f t="shared" si="8"/>
        <v>0.29943240795988846</v>
      </c>
      <c r="R35" s="11">
        <f t="shared" si="8"/>
        <v>1.0055173574519758</v>
      </c>
      <c r="S35" s="11">
        <f t="shared" si="8"/>
        <v>1.086587015338202</v>
      </c>
      <c r="T35" s="11">
        <f t="shared" ref="T35:V35" si="16">IF(T12="","",(T12/$O$23))</f>
        <v>0.69456268746798233</v>
      </c>
      <c r="U35" s="11">
        <f t="shared" si="16"/>
        <v>0.59311360101328703</v>
      </c>
      <c r="V35" s="11">
        <f t="shared" si="16"/>
        <v>0.58668948044651748</v>
      </c>
    </row>
    <row r="36" spans="1:22">
      <c r="A36" s="152"/>
      <c r="B36" s="11" t="str">
        <f>IF(B13="","",(B13/$O$23))</f>
        <v/>
      </c>
      <c r="C36" s="11" t="str">
        <f>IF(C13="","",(C13/$O$23))</f>
        <v/>
      </c>
      <c r="D36" s="11" t="str">
        <f>IF(D13="","",(D13/$O$23))</f>
        <v/>
      </c>
      <c r="E36" s="11" t="str">
        <f>IF(E13="","",(E13/$O$23))</f>
        <v/>
      </c>
      <c r="F36" s="11" t="str">
        <f>IF(F13="","",(F13/$O$23))</f>
        <v/>
      </c>
      <c r="G36" s="11" t="str">
        <f>IF(G13="","",(G13/$O$23))</f>
        <v/>
      </c>
      <c r="H36" s="11" t="str">
        <f>IF(H13="","",(H13/$O$23))</f>
        <v/>
      </c>
      <c r="I36" s="11" t="str">
        <f>IF(I13="","",(I13/$O$23))</f>
        <v/>
      </c>
      <c r="J36" s="11" t="str">
        <f>IF(J13="","",(J13/$O$23))</f>
        <v/>
      </c>
      <c r="K36" s="11" t="str">
        <f>IF(K13="","",(K13/$O$23))</f>
        <v/>
      </c>
      <c r="L36" s="11" t="str">
        <f>IF(L13="","",(L13/$O$23))</f>
        <v/>
      </c>
      <c r="M36" s="11" t="str">
        <f>IF(M13="","",(M13/$O$23))</f>
        <v/>
      </c>
      <c r="N36" s="6"/>
      <c r="O36" s="11">
        <f t="shared" si="8"/>
        <v>1.3213631307147431</v>
      </c>
      <c r="P36" s="11" t="str">
        <f t="shared" si="8"/>
        <v/>
      </c>
      <c r="Q36" s="11" t="str">
        <f t="shared" si="8"/>
        <v/>
      </c>
      <c r="R36" s="11" t="str">
        <f t="shared" si="8"/>
        <v/>
      </c>
      <c r="S36" s="11" t="str">
        <f t="shared" si="8"/>
        <v/>
      </c>
      <c r="T36" s="11" t="str">
        <f t="shared" ref="T36:V36" si="17">IF(T13="","",(T13/$O$23))</f>
        <v/>
      </c>
      <c r="U36" s="11" t="str">
        <f t="shared" si="17"/>
        <v/>
      </c>
      <c r="V36" s="11" t="str">
        <f t="shared" si="17"/>
        <v/>
      </c>
    </row>
    <row r="37" spans="1:22">
      <c r="A37" s="152"/>
      <c r="B37" s="11" t="str">
        <f>IF(B14="","",(B14/$O$23))</f>
        <v/>
      </c>
      <c r="C37" s="11" t="str">
        <f>IF(C14="","",(C14/$O$23))</f>
        <v/>
      </c>
      <c r="D37" s="11" t="str">
        <f>IF(D14="","",(D14/$O$23))</f>
        <v/>
      </c>
      <c r="E37" s="11" t="str">
        <f>IF(E14="","",(E14/$O$23))</f>
        <v/>
      </c>
      <c r="F37" s="11" t="str">
        <f>IF(F14="","",(F14/$O$23))</f>
        <v/>
      </c>
      <c r="G37" s="11" t="str">
        <f>IF(G14="","",(G14/$O$23))</f>
        <v/>
      </c>
      <c r="H37" s="11" t="str">
        <f>IF(H14="","",(H14/$O$23))</f>
        <v/>
      </c>
      <c r="I37" s="11" t="str">
        <f>IF(I14="","",(I14/$O$23))</f>
        <v/>
      </c>
      <c r="J37" s="11" t="str">
        <f>IF(J14="","",(J14/$O$23))</f>
        <v/>
      </c>
      <c r="K37" s="11" t="str">
        <f>IF(K14="","",(K14/$O$23))</f>
        <v/>
      </c>
      <c r="L37" s="11" t="str">
        <f>IF(L14="","",(L14/$O$23))</f>
        <v/>
      </c>
      <c r="M37" s="11" t="str">
        <f>IF(M14="","",(M14/$O$23))</f>
        <v/>
      </c>
      <c r="N37" s="6"/>
      <c r="O37" s="11">
        <f t="shared" si="8"/>
        <v>1.0495012858133554</v>
      </c>
      <c r="P37" s="11" t="str">
        <f t="shared" si="8"/>
        <v/>
      </c>
      <c r="Q37" s="11" t="str">
        <f t="shared" si="8"/>
        <v/>
      </c>
      <c r="R37" s="11" t="str">
        <f t="shared" si="8"/>
        <v/>
      </c>
      <c r="S37" s="11" t="str">
        <f t="shared" si="8"/>
        <v/>
      </c>
      <c r="T37" s="11" t="str">
        <f t="shared" ref="T37:V37" si="18">IF(T14="","",(T14/$O$23))</f>
        <v/>
      </c>
      <c r="U37" s="11" t="str">
        <f t="shared" si="18"/>
        <v/>
      </c>
      <c r="V37" s="11" t="str">
        <f t="shared" si="18"/>
        <v/>
      </c>
    </row>
    <row r="38" spans="1:22">
      <c r="A38" s="152"/>
      <c r="B38" s="11" t="str">
        <f>IF(B15="","",(B15/$O$23))</f>
        <v/>
      </c>
      <c r="C38" s="11" t="str">
        <f>IF(C15="","",(C15/$O$23))</f>
        <v/>
      </c>
      <c r="D38" s="11" t="str">
        <f>IF(D15="","",(D15/$O$23))</f>
        <v/>
      </c>
      <c r="E38" s="11" t="str">
        <f>IF(E15="","",(E15/$O$23))</f>
        <v/>
      </c>
      <c r="F38" s="11" t="str">
        <f>IF(F15="","",(F15/$O$23))</f>
        <v/>
      </c>
      <c r="G38" s="11" t="str">
        <f>IF(G15="","",(G15/$O$23))</f>
        <v/>
      </c>
      <c r="H38" s="11" t="str">
        <f>IF(H15="","",(H15/$O$23))</f>
        <v/>
      </c>
      <c r="I38" s="11" t="str">
        <f>IF(I15="","",(I15/$O$23))</f>
        <v/>
      </c>
      <c r="J38" s="11" t="str">
        <f>IF(J15="","",(J15/$O$23))</f>
        <v/>
      </c>
      <c r="K38" s="11" t="str">
        <f>IF(K15="","",(K15/$O$23))</f>
        <v/>
      </c>
      <c r="L38" s="11" t="str">
        <f>IF(L15="","",(L15/$O$23))</f>
        <v/>
      </c>
      <c r="M38" s="11" t="str">
        <f>IF(M15="","",(M15/$O$23))</f>
        <v/>
      </c>
      <c r="N38" s="6"/>
      <c r="O38" s="11">
        <f t="shared" ref="O38:V38" si="19">IF(O15="","",(O15/$O$23))</f>
        <v>1.5010257840140047</v>
      </c>
      <c r="P38" s="11" t="str">
        <f t="shared" si="19"/>
        <v/>
      </c>
      <c r="Q38" s="11" t="str">
        <f t="shared" si="19"/>
        <v/>
      </c>
      <c r="R38" s="11" t="str">
        <f t="shared" si="19"/>
        <v/>
      </c>
      <c r="S38" s="11" t="str">
        <f t="shared" si="19"/>
        <v/>
      </c>
      <c r="T38" s="11" t="str">
        <f t="shared" si="19"/>
        <v/>
      </c>
      <c r="U38" s="11" t="str">
        <f t="shared" si="19"/>
        <v/>
      </c>
      <c r="V38" s="11" t="str">
        <f t="shared" si="19"/>
        <v/>
      </c>
    </row>
    <row r="39" spans="1:22">
      <c r="A39" s="152"/>
      <c r="B39" s="11" t="str">
        <f>IF(B16="","",(B16/$O$23))</f>
        <v/>
      </c>
      <c r="C39" s="11" t="str">
        <f>IF(C16="","",(C16/$O$23))</f>
        <v/>
      </c>
      <c r="D39" s="11" t="str">
        <f>IF(D16="","",(D16/$O$23))</f>
        <v/>
      </c>
      <c r="E39" s="11" t="str">
        <f>IF(E16="","",(E16/$O$23))</f>
        <v/>
      </c>
      <c r="F39" s="11" t="str">
        <f>IF(F16="","",(F16/$O$23))</f>
        <v/>
      </c>
      <c r="G39" s="11" t="str">
        <f>IF(G16="","",(G16/$O$23))</f>
        <v/>
      </c>
      <c r="H39" s="11" t="str">
        <f>IF(H16="","",(H16/$O$23))</f>
        <v/>
      </c>
      <c r="I39" s="11" t="str">
        <f>IF(I16="","",(I16/$O$23))</f>
        <v/>
      </c>
      <c r="J39" s="11" t="str">
        <f>IF(J16="","",(J16/$O$23))</f>
        <v/>
      </c>
      <c r="K39" s="11" t="str">
        <f>IF(K16="","",(K16/$O$23))</f>
        <v/>
      </c>
      <c r="L39" s="11" t="str">
        <f>IF(L16="","",(L16/$O$23))</f>
        <v/>
      </c>
      <c r="M39" s="11" t="str">
        <f>IF(M16="","",(M16/$O$23))</f>
        <v/>
      </c>
      <c r="N39" s="6"/>
      <c r="O39" s="11">
        <f t="shared" ref="O39:V39" si="20">IF(O16="","",(O16/$O$23))</f>
        <v>1.3387931178974661</v>
      </c>
      <c r="P39" s="11" t="str">
        <f t="shared" si="20"/>
        <v/>
      </c>
      <c r="Q39" s="11" t="str">
        <f t="shared" si="20"/>
        <v/>
      </c>
      <c r="R39" s="11" t="str">
        <f t="shared" si="20"/>
        <v/>
      </c>
      <c r="S39" s="11" t="str">
        <f t="shared" si="20"/>
        <v/>
      </c>
      <c r="T39" s="11" t="str">
        <f t="shared" si="20"/>
        <v/>
      </c>
      <c r="U39" s="11" t="str">
        <f t="shared" si="20"/>
        <v/>
      </c>
      <c r="V39" s="11" t="str">
        <f t="shared" si="20"/>
        <v/>
      </c>
    </row>
    <row r="40" spans="1:22">
      <c r="A40" s="152"/>
      <c r="B40" s="11" t="str">
        <f>IF(B17="","",(B17/$O$23))</f>
        <v/>
      </c>
      <c r="C40" s="11" t="str">
        <f>IF(C17="","",(C17/$O$23))</f>
        <v/>
      </c>
      <c r="D40" s="11" t="str">
        <f>IF(D17="","",(D17/$O$23))</f>
        <v/>
      </c>
      <c r="E40" s="11" t="str">
        <f>IF(E17="","",(E17/$O$23))</f>
        <v/>
      </c>
      <c r="F40" s="11" t="str">
        <f>IF(F17="","",(F17/$O$23))</f>
        <v/>
      </c>
      <c r="G40" s="11" t="str">
        <f>IF(G17="","",(G17/$O$23))</f>
        <v/>
      </c>
      <c r="H40" s="11" t="str">
        <f>IF(H17="","",(H17/$O$23))</f>
        <v/>
      </c>
      <c r="I40" s="11" t="str">
        <f>IF(I17="","",(I17/$O$23))</f>
        <v/>
      </c>
      <c r="J40" s="11" t="str">
        <f>IF(J17="","",(J17/$O$23))</f>
        <v/>
      </c>
      <c r="K40" s="11" t="str">
        <f>IF(K17="","",(K17/$O$23))</f>
        <v/>
      </c>
      <c r="L40" s="11" t="str">
        <f>IF(L17="","",(L17/$O$23))</f>
        <v/>
      </c>
      <c r="M40" s="11" t="str">
        <f>IF(M17="","",(M17/$O$23))</f>
        <v/>
      </c>
      <c r="N40" s="6"/>
      <c r="O40" s="11">
        <f t="shared" ref="O40:V40" si="21">IF(O17="","",(O17/$O$23))</f>
        <v>1.6257799922974914</v>
      </c>
      <c r="P40" s="11" t="str">
        <f t="shared" si="21"/>
        <v/>
      </c>
      <c r="Q40" s="11" t="str">
        <f t="shared" si="21"/>
        <v/>
      </c>
      <c r="R40" s="11" t="str">
        <f t="shared" si="21"/>
        <v/>
      </c>
      <c r="S40" s="11" t="str">
        <f t="shared" si="21"/>
        <v/>
      </c>
      <c r="T40" s="11" t="str">
        <f t="shared" si="21"/>
        <v/>
      </c>
      <c r="U40" s="11" t="str">
        <f t="shared" si="21"/>
        <v/>
      </c>
      <c r="V40" s="11" t="str">
        <f t="shared" si="21"/>
        <v/>
      </c>
    </row>
    <row r="41" spans="1:22">
      <c r="A41" s="152"/>
      <c r="B41" s="11" t="str">
        <f>IF(B18="","",(B18/$O$23))</f>
        <v/>
      </c>
      <c r="C41" s="11" t="str">
        <f>IF(C18="","",(C18/$O$23))</f>
        <v/>
      </c>
      <c r="D41" s="11" t="str">
        <f>IF(D18="","",(D18/$O$23))</f>
        <v/>
      </c>
      <c r="E41" s="11" t="str">
        <f>IF(E18="","",(E18/$O$23))</f>
        <v/>
      </c>
      <c r="F41" s="11" t="str">
        <f>IF(F18="","",(F18/$O$23))</f>
        <v/>
      </c>
      <c r="G41" s="11" t="str">
        <f>IF(G18="","",(G18/$O$23))</f>
        <v/>
      </c>
      <c r="H41" s="11" t="str">
        <f>IF(H18="","",(H18/$O$23))</f>
        <v/>
      </c>
      <c r="I41" s="11" t="str">
        <f>IF(I18="","",(I18/$O$23))</f>
        <v/>
      </c>
      <c r="J41" s="11" t="str">
        <f>IF(J18="","",(J18/$O$23))</f>
        <v/>
      </c>
      <c r="K41" s="11" t="str">
        <f>IF(K18="","",(K18/$O$23))</f>
        <v/>
      </c>
      <c r="L41" s="11" t="str">
        <f>IF(L18="","",(L18/$O$23))</f>
        <v/>
      </c>
      <c r="M41" s="11" t="str">
        <f>IF(M18="","",(M18/$O$23))</f>
        <v/>
      </c>
      <c r="N41" s="6"/>
      <c r="O41" s="11">
        <f t="shared" ref="O41:V41" si="22">IF(O18="","",(O18/$O$23))</f>
        <v>0.61425802238796101</v>
      </c>
      <c r="P41" s="11" t="str">
        <f t="shared" si="22"/>
        <v/>
      </c>
      <c r="Q41" s="11" t="str">
        <f t="shared" si="22"/>
        <v/>
      </c>
      <c r="R41" s="11" t="str">
        <f t="shared" si="22"/>
        <v/>
      </c>
      <c r="S41" s="11" t="str">
        <f t="shared" si="22"/>
        <v/>
      </c>
      <c r="T41" s="11" t="str">
        <f t="shared" si="22"/>
        <v/>
      </c>
      <c r="U41" s="11" t="str">
        <f t="shared" si="22"/>
        <v/>
      </c>
      <c r="V41" s="11" t="str">
        <f t="shared" si="22"/>
        <v/>
      </c>
    </row>
    <row r="42" spans="1:22">
      <c r="A42" s="152"/>
      <c r="B42" s="11" t="str">
        <f>IF(B19="","",(B19/$O$23))</f>
        <v/>
      </c>
      <c r="C42" s="11" t="str">
        <f>IF(C19="","",(C19/$O$23))</f>
        <v/>
      </c>
      <c r="D42" s="11" t="str">
        <f>IF(D19="","",(D19/$O$23))</f>
        <v/>
      </c>
      <c r="E42" s="11" t="str">
        <f>IF(E19="","",(E19/$O$23))</f>
        <v/>
      </c>
      <c r="F42" s="11" t="str">
        <f>IF(F19="","",(F19/$O$23))</f>
        <v/>
      </c>
      <c r="G42" s="11" t="str">
        <f>IF(G19="","",(G19/$O$23))</f>
        <v/>
      </c>
      <c r="H42" s="11" t="str">
        <f>IF(H19="","",(H19/$O$23))</f>
        <v/>
      </c>
      <c r="I42" s="11" t="str">
        <f>IF(I19="","",(I19/$O$23))</f>
        <v/>
      </c>
      <c r="J42" s="11" t="str">
        <f>IF(J19="","",(J19/$O$23))</f>
        <v/>
      </c>
      <c r="K42" s="11" t="str">
        <f>IF(K19="","",(K19/$O$23))</f>
        <v/>
      </c>
      <c r="L42" s="11" t="str">
        <f>IF(L19="","",(L19/$O$23))</f>
        <v/>
      </c>
      <c r="M42" s="11" t="str">
        <f>IF(M19="","",(M19/$O$23))</f>
        <v/>
      </c>
      <c r="N42" s="6"/>
      <c r="O42" s="11">
        <f t="shared" ref="O42:V42" si="23">IF(O19="","",(O19/$O$23))</f>
        <v>0.97510106157673393</v>
      </c>
      <c r="P42" s="11" t="str">
        <f t="shared" si="23"/>
        <v/>
      </c>
      <c r="Q42" s="11" t="str">
        <f t="shared" si="23"/>
        <v/>
      </c>
      <c r="R42" s="11" t="str">
        <f t="shared" si="23"/>
        <v/>
      </c>
      <c r="S42" s="11" t="str">
        <f t="shared" si="23"/>
        <v/>
      </c>
      <c r="T42" s="11" t="str">
        <f t="shared" si="23"/>
        <v/>
      </c>
      <c r="U42" s="11" t="str">
        <f t="shared" si="23"/>
        <v/>
      </c>
      <c r="V42" s="11" t="str">
        <f t="shared" si="23"/>
        <v/>
      </c>
    </row>
    <row r="43" spans="1:22">
      <c r="A43" s="152"/>
      <c r="B43" s="11" t="str">
        <f>IF(B20="","",(B20/$O$23))</f>
        <v/>
      </c>
      <c r="C43" s="11" t="str">
        <f>IF(C20="","",(C20/$O$23))</f>
        <v/>
      </c>
      <c r="D43" s="11" t="str">
        <f>IF(D20="","",(D20/$O$23))</f>
        <v/>
      </c>
      <c r="E43" s="11" t="str">
        <f>IF(E20="","",(E20/$O$23))</f>
        <v/>
      </c>
      <c r="F43" s="11" t="str">
        <f>IF(F20="","",(F20/$O$23))</f>
        <v/>
      </c>
      <c r="G43" s="11" t="str">
        <f>IF(G20="","",(G20/$O$23))</f>
        <v/>
      </c>
      <c r="H43" s="11" t="str">
        <f>IF(H20="","",(H20/$O$23))</f>
        <v/>
      </c>
      <c r="I43" s="11" t="str">
        <f>IF(I20="","",(I20/$O$23))</f>
        <v/>
      </c>
      <c r="J43" s="11" t="str">
        <f>IF(J20="","",(J20/$O$23))</f>
        <v/>
      </c>
      <c r="K43" s="11" t="str">
        <f>IF(K20="","",(K20/$O$23))</f>
        <v/>
      </c>
      <c r="L43" s="11" t="str">
        <f>IF(L20="","",(L20/$O$23))</f>
        <v/>
      </c>
      <c r="M43" s="11" t="str">
        <f>IF(M20="","",(M20/$O$23))</f>
        <v/>
      </c>
      <c r="N43" s="6"/>
      <c r="O43" s="11">
        <f t="shared" ref="O43:V43" si="24">IF(O20="","",(O20/$O$23))</f>
        <v>1.575048312000535</v>
      </c>
      <c r="P43" s="11" t="str">
        <f t="shared" si="24"/>
        <v/>
      </c>
      <c r="Q43" s="11" t="str">
        <f t="shared" si="24"/>
        <v/>
      </c>
      <c r="R43" s="11" t="str">
        <f t="shared" si="24"/>
        <v/>
      </c>
      <c r="S43" s="11" t="str">
        <f t="shared" si="24"/>
        <v/>
      </c>
      <c r="T43" s="11" t="str">
        <f t="shared" si="24"/>
        <v/>
      </c>
      <c r="U43" s="11" t="str">
        <f t="shared" si="24"/>
        <v/>
      </c>
      <c r="V43" s="11" t="str">
        <f t="shared" si="24"/>
        <v/>
      </c>
    </row>
    <row r="44" spans="1:22">
      <c r="A44" s="7"/>
      <c r="B44" s="3"/>
      <c r="C44" s="3"/>
      <c r="D44" s="3"/>
      <c r="E44" s="3"/>
      <c r="F44" s="3"/>
      <c r="G44" s="3"/>
      <c r="H44" s="3"/>
      <c r="I44" s="3"/>
      <c r="J44" s="3"/>
      <c r="K44" s="3"/>
      <c r="L44" s="3"/>
      <c r="M44" s="3"/>
      <c r="N44" s="7"/>
      <c r="O44" s="3"/>
      <c r="P44" s="3"/>
      <c r="Q44" s="3"/>
      <c r="R44" s="3"/>
      <c r="S44" s="3"/>
      <c r="T44" s="3"/>
      <c r="U44" s="3"/>
      <c r="V44" s="3"/>
    </row>
    <row r="45" spans="1:22">
      <c r="A45" s="7" t="str">
        <f>A4</f>
        <v>Noms des groupes</v>
      </c>
      <c r="B45" s="7" t="str">
        <f t="shared" ref="B45:R45" si="25">B4</f>
        <v>Solvent control</v>
      </c>
      <c r="C45" s="7" t="str">
        <f t="shared" si="25"/>
        <v>EE2-33.8ng/L</v>
      </c>
      <c r="D45" s="7" t="str">
        <f t="shared" si="25"/>
        <v>EE2-50.6ng/L</v>
      </c>
      <c r="E45" s="7" t="str">
        <f t="shared" si="25"/>
        <v>EE2-76ng/L</v>
      </c>
      <c r="F45" s="7" t="str">
        <f t="shared" si="25"/>
        <v>EE2-114ng/L</v>
      </c>
      <c r="G45" s="7" t="str">
        <f t="shared" si="25"/>
        <v>EE2-170.9ng/L</v>
      </c>
      <c r="H45" s="7" t="str">
        <f t="shared" si="25"/>
        <v>EE2-488ng/L</v>
      </c>
      <c r="I45" s="7" t="str">
        <f t="shared" si="25"/>
        <v>saccharin-100mg/L</v>
      </c>
      <c r="J45" s="7" t="str">
        <f t="shared" si="25"/>
        <v>saccharin-10mg/L</v>
      </c>
      <c r="K45" s="7" t="str">
        <f t="shared" ref="K45:M45" si="26">K4</f>
        <v>saccharin-1mg/L</v>
      </c>
      <c r="L45" s="7" t="str">
        <f t="shared" si="26"/>
        <v>saccharin-0.1mg/L</v>
      </c>
      <c r="M45" s="7" t="str">
        <f t="shared" si="26"/>
        <v>saccharin-0.01mg/L</v>
      </c>
      <c r="N45" s="7"/>
      <c r="O45" s="7" t="str">
        <f t="shared" si="25"/>
        <v>Testo -30µg/L</v>
      </c>
      <c r="P45" s="7" t="str">
        <f t="shared" si="25"/>
        <v>Testo 30µg/L + EE2 -64ng/L</v>
      </c>
      <c r="Q45" s="7" t="str">
        <f t="shared" si="25"/>
        <v>Testo 30µg/L + FAD-10mg/L</v>
      </c>
      <c r="R45" s="7" t="str">
        <f t="shared" si="25"/>
        <v>saccharin-100mg/L + Testostérone</v>
      </c>
      <c r="S45" s="7" t="str">
        <f t="shared" ref="S45:V45" si="27">S4</f>
        <v>saccharin-10mg/L + Testostérone</v>
      </c>
      <c r="T45" s="7" t="str">
        <f t="shared" si="27"/>
        <v>saccharin-1mg/L + Testostérone</v>
      </c>
      <c r="U45" s="7" t="str">
        <f t="shared" si="27"/>
        <v>saccharin-0.1mg/L + Testostérone</v>
      </c>
      <c r="V45" s="7" t="str">
        <f t="shared" si="27"/>
        <v>saccharin-0.01mg/L + Testostérone</v>
      </c>
    </row>
    <row r="46" spans="1:22">
      <c r="A46" s="8" t="s">
        <v>0</v>
      </c>
      <c r="B46" s="10">
        <f t="shared" ref="B46:H46" si="28">AVERAGE(B28:B43)</f>
        <v>0.11611617504007436</v>
      </c>
      <c r="C46" s="10">
        <f t="shared" si="28"/>
        <v>0.3177543077840268</v>
      </c>
      <c r="D46" s="10">
        <f t="shared" si="28"/>
        <v>0.36840831718406858</v>
      </c>
      <c r="E46" s="10">
        <f t="shared" si="28"/>
        <v>0.68224003150921508</v>
      </c>
      <c r="F46" s="10">
        <f t="shared" si="28"/>
        <v>1.0865063443456555</v>
      </c>
      <c r="G46" s="10">
        <f t="shared" si="28"/>
        <v>1.390767532545057</v>
      </c>
      <c r="H46" s="10">
        <f t="shared" si="28"/>
        <v>1.6577514272185208</v>
      </c>
      <c r="I46" s="10">
        <f>AVERAGE(I28:I43)</f>
        <v>0.1298832665158087</v>
      </c>
      <c r="J46" s="9">
        <f>AVERAGE(J28:J43)</f>
        <v>0.14559411995151311</v>
      </c>
      <c r="K46" s="9">
        <f t="shared" ref="K46:M46" si="29">AVERAGE(K28:K43)</f>
        <v>0.15366947736415609</v>
      </c>
      <c r="L46" s="9">
        <f t="shared" si="29"/>
        <v>0.23056098101358691</v>
      </c>
      <c r="M46" s="9">
        <f t="shared" si="29"/>
        <v>5.6032801908761892E-2</v>
      </c>
      <c r="N46" s="8" t="s">
        <v>0</v>
      </c>
      <c r="O46" s="10">
        <f t="shared" ref="O46:R46" si="30">AVERAGE(O28:O43)</f>
        <v>1</v>
      </c>
      <c r="P46" s="10">
        <f t="shared" si="30"/>
        <v>1.7226662648854381</v>
      </c>
      <c r="Q46" s="10">
        <f t="shared" si="30"/>
        <v>0.23088769142791124</v>
      </c>
      <c r="R46" s="10">
        <f t="shared" si="30"/>
        <v>1.2596817487500593</v>
      </c>
      <c r="S46" s="10">
        <f t="shared" ref="S46:V46" si="31">AVERAGE(S28:S43)</f>
        <v>1.3484917638966738</v>
      </c>
      <c r="T46" s="10">
        <f t="shared" si="31"/>
        <v>1.094859242184212</v>
      </c>
      <c r="U46" s="10">
        <f t="shared" si="31"/>
        <v>0.85720903519221914</v>
      </c>
      <c r="V46" s="10">
        <f t="shared" si="31"/>
        <v>1.1462844024814927</v>
      </c>
    </row>
    <row r="47" spans="1:22">
      <c r="A47" s="8" t="s">
        <v>1</v>
      </c>
      <c r="B47" s="8">
        <f t="shared" ref="B47:J47" si="32">STDEV(B28:B43)</f>
        <v>9.7503151678148658E-2</v>
      </c>
      <c r="C47" s="8">
        <f t="shared" si="32"/>
        <v>0.22666918825337951</v>
      </c>
      <c r="D47" s="8">
        <f t="shared" si="32"/>
        <v>0.29496345722240125</v>
      </c>
      <c r="E47" s="8">
        <f t="shared" si="32"/>
        <v>0.29366615899286591</v>
      </c>
      <c r="F47" s="8">
        <f t="shared" si="32"/>
        <v>0.30528389993151828</v>
      </c>
      <c r="G47" s="8">
        <f t="shared" si="32"/>
        <v>0.61674531194255</v>
      </c>
      <c r="H47" s="8">
        <f t="shared" si="32"/>
        <v>0.39536863349699314</v>
      </c>
      <c r="I47" s="8">
        <f t="shared" si="32"/>
        <v>8.8708088659915807E-2</v>
      </c>
      <c r="J47" s="8">
        <f t="shared" si="32"/>
        <v>7.3212879282580218E-2</v>
      </c>
      <c r="K47" s="8">
        <f t="shared" ref="K47:M47" si="33">STDEV(K28:K43)</f>
        <v>0.19059046290479878</v>
      </c>
      <c r="L47" s="8">
        <f t="shared" si="33"/>
        <v>0.20604718371110803</v>
      </c>
      <c r="M47" s="8">
        <f t="shared" si="33"/>
        <v>5.8661039974850247E-2</v>
      </c>
      <c r="N47" s="8" t="s">
        <v>1</v>
      </c>
      <c r="O47" s="8">
        <f t="shared" ref="O47:R47" si="34">STDEV(O28:O43)</f>
        <v>0.42199911871772755</v>
      </c>
      <c r="P47" s="8">
        <f t="shared" si="34"/>
        <v>0.36983681228031551</v>
      </c>
      <c r="Q47" s="8">
        <f t="shared" si="34"/>
        <v>8.783833279238315E-2</v>
      </c>
      <c r="R47" s="8">
        <f t="shared" si="34"/>
        <v>0.3090923868610661</v>
      </c>
      <c r="S47" s="8">
        <f t="shared" ref="S47:V47" si="35">STDEV(S28:S43)</f>
        <v>0.60800930192438196</v>
      </c>
      <c r="T47" s="8">
        <f t="shared" si="35"/>
        <v>0.46554759269225654</v>
      </c>
      <c r="U47" s="8">
        <f t="shared" si="35"/>
        <v>0.21161130921575921</v>
      </c>
      <c r="V47" s="8">
        <f t="shared" si="35"/>
        <v>0.58043957167484772</v>
      </c>
    </row>
    <row r="48" spans="1:22">
      <c r="A48" s="8" t="s">
        <v>2</v>
      </c>
      <c r="B48" s="8">
        <f t="shared" ref="B48:J48" si="36" xml:space="preserve"> B47/SQRT(COUNT(B28:B43))</f>
        <v>3.4472569869339706E-2</v>
      </c>
      <c r="C48" s="8">
        <f t="shared" si="36"/>
        <v>8.0139660050007375E-2</v>
      </c>
      <c r="D48" s="8">
        <f t="shared" si="36"/>
        <v>0.10428533040209402</v>
      </c>
      <c r="E48" s="8">
        <f t="shared" si="36"/>
        <v>0.10382666621443115</v>
      </c>
      <c r="F48" s="8">
        <f t="shared" si="36"/>
        <v>0.10793415791432598</v>
      </c>
      <c r="G48" s="8">
        <f t="shared" si="36"/>
        <v>0.21805239616979483</v>
      </c>
      <c r="H48" s="8">
        <f t="shared" si="36"/>
        <v>0.1397839209070913</v>
      </c>
      <c r="I48" s="8">
        <f t="shared" si="36"/>
        <v>3.136304551876197E-2</v>
      </c>
      <c r="J48" s="8">
        <f t="shared" si="36"/>
        <v>2.5884661705452283E-2</v>
      </c>
      <c r="K48" s="8">
        <f t="shared" ref="K48:M48" si="37" xml:space="preserve"> K47/SQRT(COUNT(K28:K43))</f>
        <v>6.738390437473317E-2</v>
      </c>
      <c r="L48" s="8">
        <f t="shared" si="37"/>
        <v>7.28486804232574E-2</v>
      </c>
      <c r="M48" s="8">
        <f t="shared" si="37"/>
        <v>2.0739809578835873E-2</v>
      </c>
      <c r="N48" s="8" t="s">
        <v>2</v>
      </c>
      <c r="O48" s="8">
        <f t="shared" ref="O48:R48" si="38" xml:space="preserve"> O47/SQRT(COUNT(O28:O43))</f>
        <v>0.10549977967943189</v>
      </c>
      <c r="P48" s="8">
        <f t="shared" si="38"/>
        <v>0.13075705894791365</v>
      </c>
      <c r="Q48" s="8">
        <f t="shared" si="38"/>
        <v>3.1055540382807403E-2</v>
      </c>
      <c r="R48" s="8">
        <f t="shared" si="38"/>
        <v>0.10928066138129777</v>
      </c>
      <c r="S48" s="8">
        <f t="shared" ref="S48:V48" si="39" xml:space="preserve"> S47/SQRT(COUNT(S28:S43))</f>
        <v>0.21496375020761471</v>
      </c>
      <c r="T48" s="8">
        <f t="shared" si="39"/>
        <v>0.16459592987888369</v>
      </c>
      <c r="U48" s="8">
        <f t="shared" si="39"/>
        <v>7.4815895861113341E-2</v>
      </c>
      <c r="V48" s="8">
        <f t="shared" si="39"/>
        <v>0.20521637860014993</v>
      </c>
    </row>
    <row r="49" spans="1:22" ht="15.75" thickBot="1">
      <c r="A49" s="8"/>
      <c r="B49" s="8"/>
      <c r="C49" s="8"/>
      <c r="D49" s="8"/>
      <c r="E49" s="8"/>
      <c r="F49" s="8"/>
      <c r="G49" s="8"/>
      <c r="H49" s="8"/>
      <c r="I49" s="8"/>
      <c r="J49" s="8"/>
      <c r="K49" s="8"/>
      <c r="L49" s="8"/>
      <c r="M49" s="8"/>
      <c r="N49" s="8"/>
      <c r="O49" s="8"/>
      <c r="P49" s="8"/>
      <c r="Q49" s="8"/>
      <c r="R49" s="8"/>
      <c r="S49" s="8"/>
      <c r="T49" s="8"/>
      <c r="U49" s="8"/>
      <c r="V49" s="8"/>
    </row>
    <row r="50" spans="1:22" ht="27" thickBot="1">
      <c r="A50" s="143" t="s">
        <v>24</v>
      </c>
      <c r="B50" s="144"/>
      <c r="C50" s="144"/>
      <c r="D50" s="144"/>
      <c r="E50" s="144"/>
      <c r="F50" s="144"/>
      <c r="G50" s="144"/>
      <c r="H50" s="144"/>
      <c r="I50" s="144"/>
      <c r="J50" s="144"/>
      <c r="K50" s="144"/>
      <c r="L50" s="144"/>
      <c r="M50" s="144"/>
      <c r="N50" s="144"/>
      <c r="O50" s="144"/>
      <c r="P50" s="144"/>
      <c r="Q50" s="144"/>
      <c r="R50" s="144"/>
      <c r="S50" s="144"/>
      <c r="T50" s="144"/>
      <c r="U50" s="144"/>
      <c r="V50" s="144"/>
    </row>
    <row r="51" spans="1:22" customFormat="1" ht="15.75" thickBot="1"/>
    <row r="52" spans="1:22">
      <c r="A52" s="29" t="str">
        <f t="shared" ref="A52:H52" si="40">A27</f>
        <v>Noms des groupes</v>
      </c>
      <c r="B52" s="30" t="str">
        <f t="shared" si="40"/>
        <v>Solvent control</v>
      </c>
      <c r="C52" s="30" t="str">
        <f t="shared" si="40"/>
        <v>EE2-33.8ng/L</v>
      </c>
      <c r="D52" s="30" t="str">
        <f t="shared" si="40"/>
        <v>EE2-50.6ng/L</v>
      </c>
      <c r="E52" s="30" t="str">
        <f t="shared" si="40"/>
        <v>EE2-76ng/L</v>
      </c>
      <c r="F52" s="30" t="str">
        <f t="shared" si="40"/>
        <v>EE2-114ng/L</v>
      </c>
      <c r="G52" s="30" t="str">
        <f t="shared" si="40"/>
        <v>EE2-170.9ng/L</v>
      </c>
      <c r="H52" s="30" t="str">
        <f t="shared" si="40"/>
        <v>EE2-488ng/L</v>
      </c>
      <c r="I52" s="30" t="str">
        <f>I4</f>
        <v>saccharin-100mg/L</v>
      </c>
      <c r="J52" s="30" t="str">
        <f>J4</f>
        <v>saccharin-10mg/L</v>
      </c>
      <c r="K52" s="30" t="str">
        <f t="shared" ref="K52:M52" si="41">K4</f>
        <v>saccharin-1mg/L</v>
      </c>
      <c r="L52" s="30" t="str">
        <f t="shared" si="41"/>
        <v>saccharin-0.1mg/L</v>
      </c>
      <c r="M52" s="30" t="str">
        <f t="shared" si="41"/>
        <v>saccharin-0.01mg/L</v>
      </c>
      <c r="N52" s="31"/>
      <c r="O52" s="30" t="str">
        <f>O27</f>
        <v>Testo -30µg/L</v>
      </c>
      <c r="P52" s="30" t="str">
        <f>P27</f>
        <v>Testo 30µg/L + EE2 -64ng/L</v>
      </c>
      <c r="Q52" s="30" t="str">
        <f>Q27</f>
        <v>Testo 30µg/L + FAD-10mg/L</v>
      </c>
      <c r="R52" s="30" t="str">
        <f>R27</f>
        <v>saccharin-100mg/L + Testostérone</v>
      </c>
      <c r="S52" s="30" t="str">
        <f t="shared" ref="S52:V52" si="42">S27</f>
        <v>saccharin-10mg/L + Testostérone</v>
      </c>
      <c r="T52" s="30" t="str">
        <f t="shared" si="42"/>
        <v>saccharin-1mg/L + Testostérone</v>
      </c>
      <c r="U52" s="30" t="str">
        <f t="shared" si="42"/>
        <v>saccharin-0.1mg/L + Testostérone</v>
      </c>
      <c r="V52" s="30" t="str">
        <f t="shared" si="42"/>
        <v>saccharin-0.01mg/L + Testostérone</v>
      </c>
    </row>
    <row r="53" spans="1:22" s="3" customFormat="1">
      <c r="A53" s="45" t="s">
        <v>15</v>
      </c>
      <c r="B53" s="77">
        <f t="shared" ref="B53" si="43">B46</f>
        <v>0.11611617504007436</v>
      </c>
      <c r="C53" s="77">
        <f t="shared" ref="C53:V53" si="44">C46</f>
        <v>0.3177543077840268</v>
      </c>
      <c r="D53" s="77">
        <f t="shared" si="44"/>
        <v>0.36840831718406858</v>
      </c>
      <c r="E53" s="77">
        <f t="shared" si="44"/>
        <v>0.68224003150921508</v>
      </c>
      <c r="F53" s="77">
        <f t="shared" si="44"/>
        <v>1.0865063443456555</v>
      </c>
      <c r="G53" s="77">
        <f t="shared" si="44"/>
        <v>1.390767532545057</v>
      </c>
      <c r="H53" s="77">
        <f t="shared" si="44"/>
        <v>1.6577514272185208</v>
      </c>
      <c r="I53" s="77">
        <f t="shared" si="44"/>
        <v>0.1298832665158087</v>
      </c>
      <c r="J53" s="77">
        <f t="shared" si="44"/>
        <v>0.14559411995151311</v>
      </c>
      <c r="K53" s="77">
        <f t="shared" si="44"/>
        <v>0.15366947736415609</v>
      </c>
      <c r="L53" s="77">
        <f t="shared" si="44"/>
        <v>0.23056098101358691</v>
      </c>
      <c r="M53" s="77">
        <f t="shared" si="44"/>
        <v>5.6032801908761892E-2</v>
      </c>
      <c r="N53" s="77"/>
      <c r="O53" s="77">
        <f t="shared" si="44"/>
        <v>1</v>
      </c>
      <c r="P53" s="77">
        <f t="shared" si="44"/>
        <v>1.7226662648854381</v>
      </c>
      <c r="Q53" s="77">
        <f t="shared" si="44"/>
        <v>0.23088769142791124</v>
      </c>
      <c r="R53" s="77">
        <f t="shared" si="44"/>
        <v>1.2596817487500593</v>
      </c>
      <c r="S53" s="77">
        <f t="shared" si="44"/>
        <v>1.3484917638966738</v>
      </c>
      <c r="T53" s="77">
        <f t="shared" si="44"/>
        <v>1.094859242184212</v>
      </c>
      <c r="U53" s="77">
        <f t="shared" si="44"/>
        <v>0.85720903519221914</v>
      </c>
      <c r="V53" s="77">
        <f t="shared" si="44"/>
        <v>1.1462844024814927</v>
      </c>
    </row>
    <row r="54" spans="1:22" s="3" customFormat="1">
      <c r="A54" s="45" t="s">
        <v>2</v>
      </c>
      <c r="B54" s="77">
        <f t="shared" ref="B54" si="45">B48</f>
        <v>3.4472569869339706E-2</v>
      </c>
      <c r="C54" s="77">
        <f t="shared" ref="C54:V54" si="46">C48</f>
        <v>8.0139660050007375E-2</v>
      </c>
      <c r="D54" s="77">
        <f t="shared" si="46"/>
        <v>0.10428533040209402</v>
      </c>
      <c r="E54" s="77">
        <f t="shared" si="46"/>
        <v>0.10382666621443115</v>
      </c>
      <c r="F54" s="77">
        <f t="shared" si="46"/>
        <v>0.10793415791432598</v>
      </c>
      <c r="G54" s="77">
        <f t="shared" si="46"/>
        <v>0.21805239616979483</v>
      </c>
      <c r="H54" s="77">
        <f t="shared" si="46"/>
        <v>0.1397839209070913</v>
      </c>
      <c r="I54" s="77">
        <f t="shared" si="46"/>
        <v>3.136304551876197E-2</v>
      </c>
      <c r="J54" s="77">
        <f t="shared" si="46"/>
        <v>2.5884661705452283E-2</v>
      </c>
      <c r="K54" s="77">
        <f t="shared" si="46"/>
        <v>6.738390437473317E-2</v>
      </c>
      <c r="L54" s="77">
        <f t="shared" si="46"/>
        <v>7.28486804232574E-2</v>
      </c>
      <c r="M54" s="77">
        <f t="shared" si="46"/>
        <v>2.0739809578835873E-2</v>
      </c>
      <c r="N54" s="77"/>
      <c r="O54" s="77">
        <f t="shared" si="46"/>
        <v>0.10549977967943189</v>
      </c>
      <c r="P54" s="77">
        <f t="shared" si="46"/>
        <v>0.13075705894791365</v>
      </c>
      <c r="Q54" s="77">
        <f t="shared" si="46"/>
        <v>3.1055540382807403E-2</v>
      </c>
      <c r="R54" s="77">
        <f t="shared" si="46"/>
        <v>0.10928066138129777</v>
      </c>
      <c r="S54" s="77">
        <f t="shared" si="46"/>
        <v>0.21496375020761471</v>
      </c>
      <c r="T54" s="77">
        <f t="shared" si="46"/>
        <v>0.16459592987888369</v>
      </c>
      <c r="U54" s="77">
        <f t="shared" si="46"/>
        <v>7.4815895861113341E-2</v>
      </c>
      <c r="V54" s="77">
        <f t="shared" si="46"/>
        <v>0.20521637860014993</v>
      </c>
    </row>
    <row r="55" spans="1:22" s="3" customFormat="1">
      <c r="A55" s="45" t="s">
        <v>42</v>
      </c>
      <c r="B55" s="77">
        <f>(B53*100/$B53)-100</f>
        <v>0</v>
      </c>
      <c r="C55" s="77">
        <f t="shared" ref="C55:M55" si="47">(C53*100/$B53)-100</f>
        <v>173.65206240591584</v>
      </c>
      <c r="D55" s="77">
        <f t="shared" si="47"/>
        <v>217.27562250213845</v>
      </c>
      <c r="E55" s="77">
        <f t="shared" si="47"/>
        <v>487.54952208317081</v>
      </c>
      <c r="F55" s="77">
        <f t="shared" si="47"/>
        <v>835.70628206679828</v>
      </c>
      <c r="G55" s="77">
        <f t="shared" si="47"/>
        <v>1097.7379827272739</v>
      </c>
      <c r="H55" s="77">
        <f t="shared" si="47"/>
        <v>1327.6662374095533</v>
      </c>
      <c r="I55" s="77">
        <f t="shared" si="47"/>
        <v>11.856308107792046</v>
      </c>
      <c r="J55" s="77">
        <f t="shared" si="47"/>
        <v>25.386596571291847</v>
      </c>
      <c r="K55" s="77">
        <f t="shared" si="47"/>
        <v>32.34114653804366</v>
      </c>
      <c r="L55" s="77">
        <f t="shared" si="47"/>
        <v>98.560606163624527</v>
      </c>
      <c r="M55" s="77">
        <f t="shared" si="47"/>
        <v>-51.744189050815976</v>
      </c>
      <c r="N55" s="77"/>
      <c r="O55" s="77">
        <f>(O53*100/$O53)-100</f>
        <v>0</v>
      </c>
      <c r="P55" s="77">
        <f t="shared" ref="P55:V55" si="48">(P53*100/$O53)-100</f>
        <v>72.266626488543807</v>
      </c>
      <c r="Q55" s="77">
        <f t="shared" si="48"/>
        <v>-76.911230857208878</v>
      </c>
      <c r="R55" s="77">
        <f t="shared" si="48"/>
        <v>25.968174875005928</v>
      </c>
      <c r="S55" s="77">
        <f t="shared" si="48"/>
        <v>34.849176389667377</v>
      </c>
      <c r="T55" s="77">
        <f t="shared" si="48"/>
        <v>9.4859242184212036</v>
      </c>
      <c r="U55" s="77">
        <f t="shared" si="48"/>
        <v>-14.27909648077808</v>
      </c>
      <c r="V55" s="77">
        <f t="shared" si="48"/>
        <v>14.628440248149261</v>
      </c>
    </row>
    <row r="56" spans="1:22" s="3" customFormat="1">
      <c r="A56" s="45" t="s">
        <v>43</v>
      </c>
      <c r="B56" s="77" t="e">
        <f ca="1">[1]!SWTEST(B28:B43)</f>
        <v>#NAME?</v>
      </c>
      <c r="C56" s="77" t="e">
        <f ca="1">[1]!SWTEST(C28:C43)</f>
        <v>#NAME?</v>
      </c>
      <c r="D56" s="77" t="e">
        <f ca="1">[1]!SWTEST(D28:D43)</f>
        <v>#NAME?</v>
      </c>
      <c r="E56" s="77" t="e">
        <f ca="1">[1]!SWTEST(E28:E43)</f>
        <v>#NAME?</v>
      </c>
      <c r="F56" s="77" t="e">
        <f ca="1">[1]!SWTEST(F28:F43)</f>
        <v>#NAME?</v>
      </c>
      <c r="G56" s="77" t="e">
        <f ca="1">[1]!SWTEST(G28:G43)</f>
        <v>#NAME?</v>
      </c>
      <c r="H56" s="77" t="e">
        <f ca="1">[1]!SWTEST(H28:H43)</f>
        <v>#NAME?</v>
      </c>
      <c r="I56" s="77" t="e">
        <f ca="1">[1]!SWTEST(I28:I43)</f>
        <v>#NAME?</v>
      </c>
      <c r="J56" s="77" t="e">
        <f ca="1">[1]!SWTEST(J28:J43)</f>
        <v>#NAME?</v>
      </c>
      <c r="K56" s="77" t="e">
        <f ca="1">[1]!SWTEST(K28:K43)</f>
        <v>#NAME?</v>
      </c>
      <c r="L56" s="77" t="e">
        <f ca="1">[1]!SWTEST(L28:L43)</f>
        <v>#NAME?</v>
      </c>
      <c r="M56" s="77" t="e">
        <f ca="1">[1]!SWTEST(M28:M43)</f>
        <v>#NAME?</v>
      </c>
      <c r="N56" s="77"/>
      <c r="O56" s="77" t="e">
        <f ca="1">[1]!SWTEST(O28:O43)</f>
        <v>#NAME?</v>
      </c>
      <c r="P56" s="77" t="e">
        <f ca="1">[1]!SWTEST(P28:P43)</f>
        <v>#NAME?</v>
      </c>
      <c r="Q56" s="77" t="e">
        <f ca="1">[1]!SWTEST(Q28:Q43)</f>
        <v>#NAME?</v>
      </c>
      <c r="R56" s="77" t="e">
        <f ca="1">[1]!SWTEST(R28:R43)</f>
        <v>#NAME?</v>
      </c>
      <c r="S56" s="77" t="e">
        <f ca="1">[1]!SWTEST(S28:S43)</f>
        <v>#NAME?</v>
      </c>
      <c r="T56" s="77" t="e">
        <f ca="1">[1]!SWTEST(T28:T43)</f>
        <v>#NAME?</v>
      </c>
      <c r="U56" s="77" t="e">
        <f ca="1">[1]!SWTEST(U28:U43)</f>
        <v>#NAME?</v>
      </c>
      <c r="V56" s="77" t="e">
        <f ca="1">[1]!SWTEST(V28:V43)</f>
        <v>#NAME?</v>
      </c>
    </row>
    <row r="57" spans="1:22" s="3" customFormat="1">
      <c r="A57" s="45" t="s">
        <v>47</v>
      </c>
      <c r="B57" s="77" t="e">
        <f ca="1">IF(B56&gt;0.05,"Oui","Non")</f>
        <v>#NAME?</v>
      </c>
      <c r="C57" s="77" t="e">
        <f t="shared" ref="C57:V57" ca="1" si="49">IF(C56&gt;0.05,"Oui","Non")</f>
        <v>#NAME?</v>
      </c>
      <c r="D57" s="77" t="e">
        <f t="shared" ca="1" si="49"/>
        <v>#NAME?</v>
      </c>
      <c r="E57" s="77" t="e">
        <f t="shared" ca="1" si="49"/>
        <v>#NAME?</v>
      </c>
      <c r="F57" s="77" t="e">
        <f t="shared" ca="1" si="49"/>
        <v>#NAME?</v>
      </c>
      <c r="G57" s="77" t="e">
        <f t="shared" ca="1" si="49"/>
        <v>#NAME?</v>
      </c>
      <c r="H57" s="77" t="e">
        <f t="shared" ca="1" si="49"/>
        <v>#NAME?</v>
      </c>
      <c r="I57" s="77" t="e">
        <f t="shared" ca="1" si="49"/>
        <v>#NAME?</v>
      </c>
      <c r="J57" s="77" t="e">
        <f t="shared" ca="1" si="49"/>
        <v>#NAME?</v>
      </c>
      <c r="K57" s="77" t="e">
        <f t="shared" ca="1" si="49"/>
        <v>#NAME?</v>
      </c>
      <c r="L57" s="77" t="e">
        <f t="shared" ca="1" si="49"/>
        <v>#NAME?</v>
      </c>
      <c r="M57" s="77" t="e">
        <f t="shared" ca="1" si="49"/>
        <v>#NAME?</v>
      </c>
      <c r="N57" s="77"/>
      <c r="O57" s="77" t="e">
        <f t="shared" ca="1" si="49"/>
        <v>#NAME?</v>
      </c>
      <c r="P57" s="77" t="e">
        <f t="shared" ca="1" si="49"/>
        <v>#NAME?</v>
      </c>
      <c r="Q57" s="77" t="e">
        <f t="shared" ca="1" si="49"/>
        <v>#NAME?</v>
      </c>
      <c r="R57" s="77" t="e">
        <f t="shared" ca="1" si="49"/>
        <v>#NAME?</v>
      </c>
      <c r="S57" s="77" t="e">
        <f t="shared" ca="1" si="49"/>
        <v>#NAME?</v>
      </c>
      <c r="T57" s="77" t="e">
        <f t="shared" ca="1" si="49"/>
        <v>#NAME?</v>
      </c>
      <c r="U57" s="77" t="e">
        <f t="shared" ca="1" si="49"/>
        <v>#NAME?</v>
      </c>
      <c r="V57" s="77" t="e">
        <f t="shared" ca="1" si="49"/>
        <v>#NAME?</v>
      </c>
    </row>
    <row r="58" spans="1:22" s="3" customFormat="1">
      <c r="A58" s="45"/>
      <c r="B58" s="77"/>
      <c r="C58" s="77"/>
      <c r="D58" s="77"/>
      <c r="E58" s="77"/>
      <c r="F58" s="77"/>
      <c r="G58" s="77"/>
      <c r="H58" s="77"/>
      <c r="I58" s="77"/>
      <c r="J58" s="77"/>
      <c r="K58" s="77"/>
      <c r="L58" s="77"/>
      <c r="M58" s="77"/>
      <c r="N58" s="79"/>
      <c r="O58" s="80"/>
      <c r="P58" s="77"/>
      <c r="Q58" s="77"/>
      <c r="R58" s="77"/>
      <c r="S58" s="77"/>
      <c r="T58" s="77"/>
      <c r="U58" s="77"/>
      <c r="V58" s="77"/>
    </row>
    <row r="59" spans="1:22" s="3" customFormat="1">
      <c r="A59" s="45" t="s">
        <v>44</v>
      </c>
      <c r="B59" s="81"/>
      <c r="C59" s="81" t="e">
        <f t="shared" ref="C59:O59" ca="1" si="50">IF($B57="Non",IF(C57="Non","MW",IF(C57="Oui","MW","")),IF($B57="Oui",IF(C57="Oui","T-Test Welch",IF(C57="Non","MW",""))))</f>
        <v>#NAME?</v>
      </c>
      <c r="D59" s="81" t="e">
        <f t="shared" ca="1" si="50"/>
        <v>#NAME?</v>
      </c>
      <c r="E59" s="81" t="e">
        <f t="shared" ca="1" si="50"/>
        <v>#NAME?</v>
      </c>
      <c r="F59" s="81" t="e">
        <f t="shared" ca="1" si="50"/>
        <v>#NAME?</v>
      </c>
      <c r="G59" s="81" t="e">
        <f t="shared" ca="1" si="50"/>
        <v>#NAME?</v>
      </c>
      <c r="H59" s="81" t="e">
        <f t="shared" ca="1" si="50"/>
        <v>#NAME?</v>
      </c>
      <c r="I59" s="81" t="e">
        <f t="shared" ca="1" si="50"/>
        <v>#NAME?</v>
      </c>
      <c r="J59" s="81" t="e">
        <f t="shared" ca="1" si="50"/>
        <v>#NAME?</v>
      </c>
      <c r="K59" s="81" t="e">
        <f t="shared" ca="1" si="50"/>
        <v>#NAME?</v>
      </c>
      <c r="L59" s="81" t="e">
        <f t="shared" ca="1" si="50"/>
        <v>#NAME?</v>
      </c>
      <c r="M59" s="81" t="e">
        <f t="shared" ca="1" si="50"/>
        <v>#NAME?</v>
      </c>
      <c r="N59" s="81"/>
      <c r="O59" s="81" t="e">
        <f t="shared" ca="1" si="50"/>
        <v>#NAME?</v>
      </c>
      <c r="P59" s="81" t="e">
        <f ca="1">IF($O57="Non",IF(P57="Non","MW",IF(P57="Oui","MW","")),IF($O57="Oui",IF(P57="Oui","T-Test Welch",IF(P57="Non","MW",""))))</f>
        <v>#NAME?</v>
      </c>
      <c r="Q59" s="81" t="e">
        <f t="shared" ref="Q59:V59" ca="1" si="51">IF($O57="Non",IF(Q57="Non","MW",IF(Q57="Oui","MW","")),IF($O57="Oui",IF(Q57="Oui","T-Test Welch",IF(Q57="Non","MW",""))))</f>
        <v>#NAME?</v>
      </c>
      <c r="R59" s="81" t="e">
        <f t="shared" ca="1" si="51"/>
        <v>#NAME?</v>
      </c>
      <c r="S59" s="81" t="e">
        <f t="shared" ca="1" si="51"/>
        <v>#NAME?</v>
      </c>
      <c r="T59" s="81" t="e">
        <f t="shared" ca="1" si="51"/>
        <v>#NAME?</v>
      </c>
      <c r="U59" s="81" t="e">
        <f t="shared" ca="1" si="51"/>
        <v>#NAME?</v>
      </c>
      <c r="V59" s="81" t="e">
        <f t="shared" ca="1" si="51"/>
        <v>#NAME?</v>
      </c>
    </row>
    <row r="60" spans="1:22" s="3" customFormat="1">
      <c r="A60" s="45" t="s">
        <v>45</v>
      </c>
      <c r="B60" s="82"/>
      <c r="C60" s="82" t="e">
        <f ca="1">IF(C59="MW",[1]!MTEST($B28:$B43,C28:C43,2), IF(C59="T-Test Welch",_xlfn.T.TEST($B28:$B43,C28:C43,2,3),""))</f>
        <v>#NAME?</v>
      </c>
      <c r="D60" s="82" t="e">
        <f ca="1">IF(D59="MW",[1]!MTEST($B28:$B43,D28:D43,2), IF(D59="T-Test Welch",_xlfn.T.TEST($B28:$B43,D28:D43,2,3),""))</f>
        <v>#NAME?</v>
      </c>
      <c r="E60" s="82" t="e">
        <f ca="1">IF(E59="MW",[1]!MTEST($B28:$B43,E28:E43,2), IF(E59="T-Test Welch",_xlfn.T.TEST($B28:$B43,E28:E43,2,3),""))</f>
        <v>#NAME?</v>
      </c>
      <c r="F60" s="82" t="e">
        <f ca="1">IF(F59="MW",[1]!MTEST($B28:$B43,F28:F43,2), IF(F59="T-Test Welch",_xlfn.T.TEST($B28:$B43,F28:F43,2,3),""))</f>
        <v>#NAME?</v>
      </c>
      <c r="G60" s="82" t="e">
        <f ca="1">IF(G59="MW",[1]!MTEST($B28:$B43,G28:G43,2), IF(G59="T-Test Welch",_xlfn.T.TEST($B28:$B43,G28:G43,2,3),""))</f>
        <v>#NAME?</v>
      </c>
      <c r="H60" s="82" t="e">
        <f ca="1">IF(H59="MW",[1]!MTEST($B28:$B43,H28:H43,2), IF(H59="T-Test Welch",_xlfn.T.TEST($B28:$B43,H28:H43,2,3),""))</f>
        <v>#NAME?</v>
      </c>
      <c r="I60" s="82" t="e">
        <f ca="1">IF(I59="MW",[1]!MTEST($B28:$B43,I28:I43,2), IF(I59="T-Test Welch",_xlfn.T.TEST($B28:$B43,I28:I43,2,3),""))</f>
        <v>#NAME?</v>
      </c>
      <c r="J60" s="82" t="e">
        <f ca="1">IF(J59="MW",[1]!MTEST($B28:$B43,J28:J43,2), IF(J59="T-Test Welch",_xlfn.T.TEST($B28:$B43,J28:J43,2,3),""))</f>
        <v>#NAME?</v>
      </c>
      <c r="K60" s="82" t="e">
        <f ca="1">IF(K59="MW",[1]!MTEST($B28:$B43,K28:K43,2), IF(K59="T-Test Welch",_xlfn.T.TEST($B28:$B43,K28:K43,2,3),""))</f>
        <v>#NAME?</v>
      </c>
      <c r="L60" s="82" t="e">
        <f ca="1">IF(L59="MW",[1]!MTEST($B28:$B43,L28:L43,2), IF(L59="T-Test Welch",_xlfn.T.TEST($B28:$B43,L28:L43,2,3),""))</f>
        <v>#NAME?</v>
      </c>
      <c r="M60" s="82" t="e">
        <f ca="1">IF(M59="MW",[1]!MTEST($B28:$B43,M28:M43,2), IF(M59="T-Test Welch",_xlfn.T.TEST($B28:$B43,M28:M43,2,3),""))</f>
        <v>#NAME?</v>
      </c>
      <c r="N60" s="82"/>
      <c r="O60" s="82" t="e">
        <f ca="1">IF(O59="MW",[1]!MTEST($B28:$B43,O28:O43,2), IF(O59="T-Test Welch",_xlfn.T.TEST($B28:$B43,O28:O43,2,3),""))</f>
        <v>#NAME?</v>
      </c>
      <c r="P60" s="82" t="e">
        <f ca="1">IF(P59="MW",[1]!MTEST($O28:$O43,P28:P43,2), IF(P59="T-Test Welch",_xlfn.T.TEST($O28:$O43,P28:P43,2,3),""))</f>
        <v>#NAME?</v>
      </c>
      <c r="Q60" s="82" t="e">
        <f ca="1">IF(Q59="MW",[1]!MTEST($O28:$O43,Q28:Q43,2), IF(Q59="T-Test Welch",_xlfn.T.TEST($O28:$O43,Q28:Q43,2,3),""))</f>
        <v>#NAME?</v>
      </c>
      <c r="R60" s="82" t="e">
        <f ca="1">IF(R59="MW",[1]!MTEST($O28:$O43,R28:R43,2), IF(R59="T-Test Welch",_xlfn.T.TEST($O28:$O43,R28:R43,2,3),""))</f>
        <v>#NAME?</v>
      </c>
      <c r="S60" s="82" t="e">
        <f ca="1">IF(S59="MW",[1]!MTEST($O28:$O43,S28:S43,2), IF(S59="T-Test Welch",_xlfn.T.TEST($O28:$O43,S28:S43,2,3),""))</f>
        <v>#NAME?</v>
      </c>
      <c r="T60" s="82" t="e">
        <f ca="1">IF(T59="MW",[1]!MTEST($O28:$O43,T28:T43,2), IF(T59="T-Test Welch",_xlfn.T.TEST($O28:$O43,T28:T43,2,3),""))</f>
        <v>#NAME?</v>
      </c>
      <c r="U60" s="82" t="e">
        <f ca="1">IF(U59="MW",[1]!MTEST($O28:$O43,U28:U43,2), IF(U59="T-Test Welch",_xlfn.T.TEST($O28:$O43,U28:U43,2,3),""))</f>
        <v>#NAME?</v>
      </c>
      <c r="V60" s="82" t="e">
        <f ca="1">IF(V59="MW",[1]!MTEST($O28:$O43,V28:V43,2), IF(V59="T-Test Welch",_xlfn.T.TEST($O28:$O43,V28:V43,2,3),""))</f>
        <v>#NAME?</v>
      </c>
    </row>
    <row r="61" spans="1:22" s="3" customFormat="1" ht="15.75" thickBot="1">
      <c r="A61" s="46" t="s">
        <v>46</v>
      </c>
      <c r="B61" s="78"/>
      <c r="C61" s="78" t="e">
        <f t="shared" ref="C61:O61" ca="1" si="52">IF(C60&gt;0.05,"NS",IF(C60&gt;0.01,"*",IF(C60&gt;0.001,"**","***")))</f>
        <v>#NAME?</v>
      </c>
      <c r="D61" s="78" t="e">
        <f t="shared" ca="1" si="52"/>
        <v>#NAME?</v>
      </c>
      <c r="E61" s="78" t="e">
        <f t="shared" ca="1" si="52"/>
        <v>#NAME?</v>
      </c>
      <c r="F61" s="78" t="e">
        <f t="shared" ca="1" si="52"/>
        <v>#NAME?</v>
      </c>
      <c r="G61" s="78" t="e">
        <f t="shared" ca="1" si="52"/>
        <v>#NAME?</v>
      </c>
      <c r="H61" s="78" t="e">
        <f t="shared" ca="1" si="52"/>
        <v>#NAME?</v>
      </c>
      <c r="I61" s="78" t="e">
        <f t="shared" ca="1" si="52"/>
        <v>#NAME?</v>
      </c>
      <c r="J61" s="78" t="e">
        <f t="shared" ca="1" si="52"/>
        <v>#NAME?</v>
      </c>
      <c r="K61" s="78" t="e">
        <f t="shared" ca="1" si="52"/>
        <v>#NAME?</v>
      </c>
      <c r="L61" s="78" t="e">
        <f t="shared" ca="1" si="52"/>
        <v>#NAME?</v>
      </c>
      <c r="M61" s="78" t="e">
        <f t="shared" ca="1" si="52"/>
        <v>#NAME?</v>
      </c>
      <c r="N61" s="78"/>
      <c r="O61" s="78" t="e">
        <f t="shared" ca="1" si="52"/>
        <v>#NAME?</v>
      </c>
      <c r="P61" s="78" t="e">
        <f ca="1">IF(P60&gt;0.05,"NS",IF(P60&gt;0.01,"*",IF(P60&gt;0.001,"**","***")))</f>
        <v>#NAME?</v>
      </c>
      <c r="Q61" s="78" t="e">
        <f t="shared" ref="Q61:V61" ca="1" si="53">IF(Q60&gt;0.05,"NS",IF(Q60&gt;0.01,"*",IF(Q60&gt;0.001,"**","***")))</f>
        <v>#NAME?</v>
      </c>
      <c r="R61" s="78" t="e">
        <f t="shared" ca="1" si="53"/>
        <v>#NAME?</v>
      </c>
      <c r="S61" s="78" t="e">
        <f t="shared" ca="1" si="53"/>
        <v>#NAME?</v>
      </c>
      <c r="T61" s="78" t="e">
        <f t="shared" ca="1" si="53"/>
        <v>#NAME?</v>
      </c>
      <c r="U61" s="78" t="e">
        <f t="shared" ca="1" si="53"/>
        <v>#NAME?</v>
      </c>
      <c r="V61" s="78" t="e">
        <f t="shared" ca="1" si="53"/>
        <v>#NAME?</v>
      </c>
    </row>
    <row r="63" spans="1:22">
      <c r="A63" s="2" t="s">
        <v>20</v>
      </c>
    </row>
    <row r="64" spans="1:22">
      <c r="A64" s="1" t="s">
        <v>13</v>
      </c>
      <c r="B64" s="1">
        <f>B46+(3*B47)</f>
        <v>0.40862563007452035</v>
      </c>
    </row>
    <row r="65" spans="1:22">
      <c r="A65" s="1" t="s">
        <v>14</v>
      </c>
      <c r="B65" s="1">
        <f>B46+(10*B47)</f>
        <v>1.091147691821561</v>
      </c>
    </row>
    <row r="66" spans="1:22" ht="15.75" thickBot="1"/>
    <row r="67" spans="1:22" ht="27" thickBot="1">
      <c r="A67" s="143" t="s">
        <v>25</v>
      </c>
      <c r="B67" s="144"/>
      <c r="C67" s="144"/>
      <c r="D67" s="144"/>
      <c r="E67" s="144"/>
      <c r="F67" s="144"/>
      <c r="G67" s="144"/>
      <c r="H67" s="144"/>
      <c r="I67" s="144"/>
      <c r="J67" s="144"/>
      <c r="K67" s="144"/>
      <c r="L67" s="144"/>
      <c r="M67" s="144"/>
      <c r="N67" s="144"/>
      <c r="O67" s="144"/>
      <c r="P67" s="144"/>
      <c r="Q67" s="144"/>
      <c r="R67" s="144"/>
      <c r="S67" s="144"/>
      <c r="T67" s="144"/>
      <c r="U67" s="144"/>
      <c r="V67" s="144"/>
    </row>
    <row r="68" spans="1:22" ht="16.5">
      <c r="A68" s="12"/>
      <c r="B68" s="12"/>
      <c r="C68" s="12"/>
      <c r="D68" s="12"/>
      <c r="E68" s="12"/>
      <c r="F68" s="12"/>
      <c r="N68" s="12"/>
      <c r="O68" s="12"/>
      <c r="P68" s="12"/>
      <c r="Q68" s="12"/>
      <c r="R68" s="12"/>
      <c r="S68" s="12"/>
      <c r="T68" s="12"/>
      <c r="U68" s="12"/>
      <c r="V68" s="12"/>
    </row>
    <row r="69" spans="1:22" ht="16.5">
      <c r="A69" s="12"/>
      <c r="B69" s="12"/>
      <c r="C69" s="12"/>
      <c r="D69" s="12"/>
      <c r="E69" s="12"/>
      <c r="F69" s="12"/>
      <c r="N69" s="12"/>
      <c r="O69" s="12"/>
      <c r="P69" s="12"/>
      <c r="Q69" s="12"/>
      <c r="R69" s="12"/>
      <c r="S69" s="12"/>
      <c r="T69" s="12"/>
      <c r="U69" s="12"/>
      <c r="V69" s="12"/>
    </row>
    <row r="70" spans="1:22" ht="16.5">
      <c r="A70" s="12"/>
      <c r="B70" s="12"/>
      <c r="C70" s="12"/>
      <c r="D70" s="12"/>
      <c r="E70" s="12"/>
      <c r="F70" s="12"/>
      <c r="N70" s="12"/>
      <c r="O70" s="12"/>
      <c r="P70" s="12"/>
      <c r="Q70" s="12"/>
      <c r="R70" s="12"/>
      <c r="S70" s="12"/>
      <c r="T70" s="12"/>
      <c r="U70" s="12"/>
      <c r="V70" s="12"/>
    </row>
    <row r="71" spans="1:22" ht="16.5">
      <c r="A71" s="12"/>
      <c r="B71" s="12"/>
      <c r="C71" s="12"/>
      <c r="D71" s="12"/>
      <c r="E71" s="12"/>
      <c r="F71" s="12"/>
      <c r="N71" s="12"/>
      <c r="O71" s="12"/>
      <c r="P71" s="12"/>
      <c r="Q71" s="12"/>
      <c r="R71" s="12"/>
      <c r="S71" s="12"/>
      <c r="T71" s="12"/>
      <c r="U71" s="12"/>
      <c r="V71" s="12"/>
    </row>
    <row r="72" spans="1:22" ht="16.5">
      <c r="A72" s="12"/>
      <c r="B72" s="12"/>
      <c r="C72" s="12"/>
      <c r="D72" s="12"/>
      <c r="E72" s="12"/>
      <c r="F72" s="12"/>
      <c r="N72" s="12"/>
      <c r="O72" s="12"/>
      <c r="P72" s="12"/>
      <c r="Q72" s="12"/>
      <c r="R72" s="12"/>
      <c r="S72" s="12"/>
      <c r="T72" s="12"/>
      <c r="U72" s="12"/>
      <c r="V72" s="12"/>
    </row>
    <row r="73" spans="1:22" ht="16.5">
      <c r="A73" s="12"/>
      <c r="B73" s="12"/>
      <c r="C73" s="12"/>
      <c r="D73" s="12"/>
      <c r="E73" s="12"/>
      <c r="F73" s="12"/>
      <c r="N73" s="12"/>
      <c r="O73" s="12"/>
      <c r="P73" s="12"/>
      <c r="Q73" s="12"/>
      <c r="R73" s="12"/>
      <c r="S73" s="12"/>
      <c r="T73" s="12"/>
      <c r="U73" s="12"/>
      <c r="V73" s="12"/>
    </row>
    <row r="74" spans="1:22" ht="16.5">
      <c r="A74" s="12"/>
      <c r="B74" s="12"/>
      <c r="C74" s="12"/>
      <c r="D74" s="12"/>
      <c r="E74" s="12"/>
      <c r="F74" s="12"/>
      <c r="N74" s="12"/>
      <c r="O74" s="12"/>
      <c r="P74" s="12"/>
      <c r="Q74" s="12"/>
      <c r="R74" s="12"/>
      <c r="S74" s="12"/>
      <c r="T74" s="12"/>
      <c r="U74" s="12"/>
      <c r="V74" s="12"/>
    </row>
  </sheetData>
  <protectedRanges>
    <protectedRange sqref="O51:V51" name="Plage2"/>
    <protectedRange sqref="R5:V20" name="Plage1"/>
    <protectedRange sqref="B51:J51" name="Plage2_1"/>
    <protectedRange sqref="O5:O20 B5:J20" name="Plage1_1"/>
  </protectedRanges>
  <mergeCells count="9">
    <mergeCell ref="A1:V1"/>
    <mergeCell ref="A67:V67"/>
    <mergeCell ref="A5:A20"/>
    <mergeCell ref="B3:M3"/>
    <mergeCell ref="O3:V3"/>
    <mergeCell ref="B26:M26"/>
    <mergeCell ref="O26:V26"/>
    <mergeCell ref="A28:A43"/>
    <mergeCell ref="A50:V50"/>
  </mergeCells>
  <phoneticPr fontId="12"/>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74"/>
  <sheetViews>
    <sheetView showGridLines="0" tabSelected="1" topLeftCell="M1" zoomScale="70" zoomScaleNormal="70" zoomScaleSheetLayoutView="40" zoomScalePageLayoutView="30" workbookViewId="0">
      <selection activeCell="N2" sqref="N1:N1048576"/>
    </sheetView>
  </sheetViews>
  <sheetFormatPr defaultColWidth="9.140625" defaultRowHeight="15"/>
  <cols>
    <col min="1" max="1" width="33.42578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3" width="26.42578125" style="1" customWidth="1"/>
    <col min="14" max="14" width="11.7109375" style="1" customWidth="1"/>
    <col min="15" max="15" width="14.85546875" style="1" customWidth="1"/>
    <col min="16" max="22" width="25.85546875" style="1" customWidth="1"/>
    <col min="23" max="16384" width="9.140625" style="1"/>
  </cols>
  <sheetData>
    <row r="1" spans="1:22" ht="60" customHeight="1" thickBot="1">
      <c r="A1" s="153" t="s">
        <v>70</v>
      </c>
      <c r="B1" s="142"/>
      <c r="C1" s="142"/>
      <c r="D1" s="142"/>
      <c r="E1" s="142"/>
      <c r="F1" s="142"/>
      <c r="G1" s="142"/>
      <c r="H1" s="142"/>
      <c r="I1" s="142"/>
      <c r="J1" s="142"/>
      <c r="K1" s="142"/>
      <c r="L1" s="142"/>
      <c r="M1" s="142"/>
      <c r="N1" s="142"/>
      <c r="O1" s="142"/>
      <c r="P1" s="142"/>
      <c r="Q1" s="142"/>
      <c r="R1" s="142"/>
      <c r="S1" s="142"/>
      <c r="T1" s="142"/>
      <c r="U1" s="142"/>
      <c r="V1" s="142"/>
    </row>
    <row r="2" spans="1:22" ht="15.75" thickBot="1"/>
    <row r="3" spans="1:22" ht="15.75" thickBot="1">
      <c r="A3" s="83" t="s">
        <v>12</v>
      </c>
      <c r="B3" s="149" t="s">
        <v>6</v>
      </c>
      <c r="C3" s="150"/>
      <c r="D3" s="150"/>
      <c r="E3" s="150"/>
      <c r="F3" s="150"/>
      <c r="G3" s="150"/>
      <c r="H3" s="150"/>
      <c r="I3" s="150"/>
      <c r="J3" s="150"/>
      <c r="K3" s="150"/>
      <c r="L3" s="150"/>
      <c r="M3" s="150"/>
      <c r="O3" s="149" t="s">
        <v>3</v>
      </c>
      <c r="P3" s="150"/>
      <c r="Q3" s="150"/>
      <c r="R3" s="150"/>
      <c r="S3" s="150"/>
      <c r="T3" s="150"/>
      <c r="U3" s="150"/>
      <c r="V3" s="150"/>
    </row>
    <row r="4" spans="1:22">
      <c r="A4" s="19" t="s">
        <v>22</v>
      </c>
      <c r="B4" s="20" t="str">
        <f>'Front page'!A7</f>
        <v>Solvent control</v>
      </c>
      <c r="C4" s="20" t="str">
        <f>'Front page'!A8</f>
        <v>EE2-33.8ng/L</v>
      </c>
      <c r="D4" s="20" t="str">
        <f>'Front page'!A9</f>
        <v>EE2-50.6ng/L</v>
      </c>
      <c r="E4" s="20" t="str">
        <f>'Front page'!A10</f>
        <v>EE2-76ng/L</v>
      </c>
      <c r="F4" s="20" t="str">
        <f>'Front page'!A11</f>
        <v>EE2-114ng/L</v>
      </c>
      <c r="G4" s="20" t="str">
        <f>'Front page'!A12</f>
        <v>EE2-170.9ng/L</v>
      </c>
      <c r="H4" s="20" t="str">
        <f>'Front page'!A13</f>
        <v>EE2-488ng/L</v>
      </c>
      <c r="I4" s="20" t="str">
        <f>'Front page'!A14</f>
        <v>saccharin-100mg/L</v>
      </c>
      <c r="J4" s="20" t="str">
        <f>'Front page'!A15</f>
        <v>saccharin-10mg/L</v>
      </c>
      <c r="K4" s="20" t="str">
        <f>'Front page'!A16</f>
        <v>saccharin-1mg/L</v>
      </c>
      <c r="L4" s="20" t="str">
        <f>'Front page'!A17</f>
        <v>saccharin-0.1mg/L</v>
      </c>
      <c r="M4" s="20" t="str">
        <f>'Front page'!A18</f>
        <v>saccharin-0.01mg/L</v>
      </c>
      <c r="N4" s="3"/>
      <c r="O4" s="21" t="str">
        <f>'Front page'!A35</f>
        <v>Testo -30µg/L</v>
      </c>
      <c r="P4" s="21" t="str">
        <f>'Front page'!A36</f>
        <v>Testo 30µg/L + EE2 -64ng/L</v>
      </c>
      <c r="Q4" s="21" t="str">
        <f>'Front page'!A37</f>
        <v>Testo 30µg/L + FAD-10mg/L</v>
      </c>
      <c r="R4" s="21" t="str">
        <f>'Front page'!A38</f>
        <v>saccharin-100mg/L + Testostérone</v>
      </c>
      <c r="S4" s="21" t="str">
        <f>'Front page'!A39</f>
        <v>saccharin-10mg/L + Testostérone</v>
      </c>
      <c r="T4" s="21" t="str">
        <f>'Front page'!A40</f>
        <v>saccharin-1mg/L + Testostérone</v>
      </c>
      <c r="U4" s="21" t="str">
        <f>'Front page'!A41</f>
        <v>saccharin-0.1mg/L + Testostérone</v>
      </c>
      <c r="V4" s="21" t="str">
        <f>'Front page'!A42</f>
        <v>saccharin-0.01mg/L + Testostérone</v>
      </c>
    </row>
    <row r="5" spans="1:22">
      <c r="A5" s="152" t="s">
        <v>71</v>
      </c>
      <c r="B5" s="81">
        <v>2363215</v>
      </c>
      <c r="C5" s="81">
        <v>3419353</v>
      </c>
      <c r="D5" s="81">
        <v>2979620</v>
      </c>
      <c r="E5" s="81">
        <v>9151850</v>
      </c>
      <c r="F5" s="81">
        <v>18658953</v>
      </c>
      <c r="G5" s="81">
        <v>10691787</v>
      </c>
      <c r="H5" s="81">
        <v>15375313</v>
      </c>
      <c r="I5" s="17">
        <v>1866632</v>
      </c>
      <c r="J5" s="17">
        <v>105467</v>
      </c>
      <c r="K5" s="13">
        <v>3055830</v>
      </c>
      <c r="L5" s="13">
        <v>842606</v>
      </c>
      <c r="M5" s="13">
        <v>900838</v>
      </c>
      <c r="N5" s="3"/>
      <c r="O5" s="117">
        <v>7873418</v>
      </c>
      <c r="P5" s="116">
        <v>15028893</v>
      </c>
      <c r="Q5" s="116">
        <v>1456050</v>
      </c>
      <c r="R5" s="81">
        <v>1755260</v>
      </c>
      <c r="S5" s="81">
        <v>2063780</v>
      </c>
      <c r="T5" s="81">
        <v>5509107</v>
      </c>
      <c r="U5" s="81">
        <v>3337408</v>
      </c>
      <c r="V5" s="81">
        <v>13180658</v>
      </c>
    </row>
    <row r="6" spans="1:22" ht="16.5">
      <c r="A6" s="151"/>
      <c r="B6" s="115">
        <v>4110873</v>
      </c>
      <c r="C6" s="116">
        <v>1757929</v>
      </c>
      <c r="D6" s="81">
        <v>1413249</v>
      </c>
      <c r="E6" s="81">
        <v>1633996</v>
      </c>
      <c r="F6" s="81">
        <v>9973247</v>
      </c>
      <c r="G6" s="81">
        <v>7606864</v>
      </c>
      <c r="H6" s="81">
        <v>9027745</v>
      </c>
      <c r="I6" s="17">
        <v>1896605</v>
      </c>
      <c r="J6" s="17">
        <v>1991093</v>
      </c>
      <c r="K6" s="13">
        <v>426069</v>
      </c>
      <c r="L6" s="13">
        <v>5987</v>
      </c>
      <c r="M6" s="13">
        <v>1974667</v>
      </c>
      <c r="N6" s="3"/>
      <c r="O6" s="117">
        <v>4618504</v>
      </c>
      <c r="P6" s="116">
        <v>7608974</v>
      </c>
      <c r="Q6" s="116">
        <v>616300</v>
      </c>
      <c r="R6" s="81">
        <v>4089614</v>
      </c>
      <c r="S6" s="81">
        <v>2729246</v>
      </c>
      <c r="T6" s="81">
        <v>5942741</v>
      </c>
      <c r="U6" s="81">
        <v>7941040</v>
      </c>
      <c r="V6" s="81">
        <v>6093573</v>
      </c>
    </row>
    <row r="7" spans="1:22" ht="16.5">
      <c r="A7" s="151"/>
      <c r="B7" s="115">
        <v>1834938</v>
      </c>
      <c r="C7" s="116">
        <v>439760</v>
      </c>
      <c r="D7" s="81">
        <v>1145820</v>
      </c>
      <c r="E7" s="81">
        <v>5720747</v>
      </c>
      <c r="F7" s="81">
        <v>6980111</v>
      </c>
      <c r="G7" s="81">
        <v>12126783</v>
      </c>
      <c r="H7" s="81">
        <v>11585542</v>
      </c>
      <c r="I7" s="17">
        <v>1742023</v>
      </c>
      <c r="J7" s="17">
        <v>1824444</v>
      </c>
      <c r="K7" s="13">
        <v>2602005</v>
      </c>
      <c r="L7" s="13">
        <v>385</v>
      </c>
      <c r="M7" s="13">
        <v>1033223</v>
      </c>
      <c r="N7" s="3"/>
      <c r="O7" s="117">
        <v>5739103</v>
      </c>
      <c r="P7" s="116">
        <v>7570978</v>
      </c>
      <c r="Q7" s="116">
        <v>1868774</v>
      </c>
      <c r="R7" s="81">
        <v>5556306</v>
      </c>
      <c r="S7" s="81">
        <v>5743725</v>
      </c>
      <c r="T7" s="81">
        <v>3995319</v>
      </c>
      <c r="U7" s="81">
        <v>5400784</v>
      </c>
      <c r="V7" s="81">
        <v>4535012</v>
      </c>
    </row>
    <row r="8" spans="1:22" ht="16.5">
      <c r="A8" s="151"/>
      <c r="B8" s="115">
        <v>2950429</v>
      </c>
      <c r="C8" s="116">
        <v>41691</v>
      </c>
      <c r="D8" s="81">
        <v>1004448</v>
      </c>
      <c r="E8" s="81">
        <v>4919468</v>
      </c>
      <c r="F8" s="81">
        <v>9531298</v>
      </c>
      <c r="G8" s="81">
        <v>20615682</v>
      </c>
      <c r="H8" s="81">
        <v>11482426</v>
      </c>
      <c r="I8" s="17">
        <v>931001</v>
      </c>
      <c r="J8" s="17">
        <v>601024</v>
      </c>
      <c r="K8" s="13">
        <v>1080536</v>
      </c>
      <c r="L8" s="13">
        <v>1901705</v>
      </c>
      <c r="M8" s="13">
        <v>1479904</v>
      </c>
      <c r="N8" s="3"/>
      <c r="O8" s="117">
        <v>6612873</v>
      </c>
      <c r="P8" s="116">
        <v>16779737</v>
      </c>
      <c r="Q8" s="116">
        <v>1816769</v>
      </c>
      <c r="R8" s="81">
        <v>3342440</v>
      </c>
      <c r="S8" s="81">
        <v>3150941</v>
      </c>
      <c r="T8" s="81">
        <v>4240050</v>
      </c>
      <c r="U8" s="81">
        <v>3933633</v>
      </c>
      <c r="V8" s="81">
        <v>6074805</v>
      </c>
    </row>
    <row r="9" spans="1:22" ht="16.5">
      <c r="A9" s="151"/>
      <c r="B9" s="115">
        <v>1012020</v>
      </c>
      <c r="C9" s="116">
        <v>1860226</v>
      </c>
      <c r="D9" s="81">
        <v>4229776</v>
      </c>
      <c r="E9" s="81">
        <v>3053918</v>
      </c>
      <c r="F9" s="81">
        <v>9044315</v>
      </c>
      <c r="G9" s="81">
        <v>12405070</v>
      </c>
      <c r="H9" s="81">
        <v>20626871</v>
      </c>
      <c r="I9" s="17">
        <v>857821</v>
      </c>
      <c r="J9" s="17">
        <v>2787654</v>
      </c>
      <c r="K9" s="13">
        <v>3285937</v>
      </c>
      <c r="L9" s="13">
        <v>368350</v>
      </c>
      <c r="M9" s="13">
        <v>181716</v>
      </c>
      <c r="N9" s="3"/>
      <c r="O9" s="117">
        <v>4581239</v>
      </c>
      <c r="P9" s="116">
        <v>11685205</v>
      </c>
      <c r="Q9" s="116">
        <v>795821</v>
      </c>
      <c r="R9" s="81">
        <v>3975467</v>
      </c>
      <c r="S9" s="81">
        <v>4416730</v>
      </c>
      <c r="T9" s="81">
        <v>2473294</v>
      </c>
      <c r="U9" s="81">
        <v>7441770</v>
      </c>
      <c r="V9" s="81">
        <v>3831366</v>
      </c>
    </row>
    <row r="10" spans="1:22" ht="16.5">
      <c r="A10" s="151"/>
      <c r="B10" s="115">
        <v>3844537</v>
      </c>
      <c r="C10" s="116">
        <v>1883345</v>
      </c>
      <c r="D10" s="81">
        <v>3618408</v>
      </c>
      <c r="E10" s="81">
        <v>12422915</v>
      </c>
      <c r="F10" s="81">
        <v>10863789</v>
      </c>
      <c r="G10" s="81">
        <v>15873616</v>
      </c>
      <c r="H10" s="81">
        <v>17306502</v>
      </c>
      <c r="I10" s="17">
        <v>1401595</v>
      </c>
      <c r="J10" s="17">
        <v>377325</v>
      </c>
      <c r="K10" s="13">
        <v>2018697</v>
      </c>
      <c r="L10" s="13">
        <v>783948</v>
      </c>
      <c r="M10" s="13">
        <v>744600</v>
      </c>
      <c r="N10" s="3"/>
      <c r="O10" s="117">
        <v>251238</v>
      </c>
      <c r="P10" s="116">
        <v>7027843</v>
      </c>
      <c r="Q10" s="116">
        <v>1247481</v>
      </c>
      <c r="R10" s="81">
        <v>3123488</v>
      </c>
      <c r="S10" s="81">
        <v>5503177</v>
      </c>
      <c r="T10" s="81">
        <v>4938658</v>
      </c>
      <c r="U10" s="81">
        <v>8975071</v>
      </c>
      <c r="V10" s="81">
        <v>2717188</v>
      </c>
    </row>
    <row r="11" spans="1:22" ht="16.5">
      <c r="A11" s="151"/>
      <c r="B11" s="115">
        <v>71608</v>
      </c>
      <c r="C11" s="116">
        <v>1235251</v>
      </c>
      <c r="D11" s="81">
        <v>1611691</v>
      </c>
      <c r="E11" s="81">
        <v>3922780</v>
      </c>
      <c r="F11" s="81">
        <v>22191306</v>
      </c>
      <c r="G11" s="81">
        <v>9108350</v>
      </c>
      <c r="H11" s="81">
        <v>23407491</v>
      </c>
      <c r="I11" s="17">
        <v>558458</v>
      </c>
      <c r="J11" s="17">
        <v>8942</v>
      </c>
      <c r="K11" s="13">
        <v>22157</v>
      </c>
      <c r="L11" s="13">
        <v>76935</v>
      </c>
      <c r="M11" s="13">
        <v>1095887</v>
      </c>
      <c r="N11" s="3"/>
      <c r="O11" s="117">
        <v>13726922</v>
      </c>
      <c r="P11" s="116">
        <v>16261502</v>
      </c>
      <c r="Q11" s="116">
        <v>173103</v>
      </c>
      <c r="R11" s="81">
        <v>4535031</v>
      </c>
      <c r="S11" s="81">
        <v>6275603</v>
      </c>
      <c r="T11" s="81">
        <v>82747</v>
      </c>
      <c r="U11" s="81">
        <v>3916991</v>
      </c>
      <c r="V11" s="81">
        <v>11411438</v>
      </c>
    </row>
    <row r="12" spans="1:22" ht="16.5">
      <c r="A12" s="151"/>
      <c r="B12" s="115">
        <v>2670217</v>
      </c>
      <c r="C12" s="116">
        <v>588224</v>
      </c>
      <c r="D12" s="81">
        <v>19719830</v>
      </c>
      <c r="E12" s="81">
        <v>7532904</v>
      </c>
      <c r="F12" s="81">
        <v>10574706</v>
      </c>
      <c r="G12" s="81">
        <v>13242324</v>
      </c>
      <c r="H12" s="81">
        <v>25047607</v>
      </c>
      <c r="I12" s="17">
        <v>442199</v>
      </c>
      <c r="J12" s="17">
        <v>1317088</v>
      </c>
      <c r="K12" s="13">
        <v>1752681</v>
      </c>
      <c r="L12" s="13">
        <v>1365</v>
      </c>
      <c r="M12" s="13">
        <v>339941</v>
      </c>
      <c r="N12" s="3"/>
      <c r="O12" s="117">
        <v>5069558</v>
      </c>
      <c r="P12" s="116">
        <v>14585367</v>
      </c>
      <c r="Q12" s="116">
        <v>656297</v>
      </c>
      <c r="R12" s="81">
        <v>5812637</v>
      </c>
      <c r="S12" s="81">
        <v>2840669</v>
      </c>
      <c r="T12" s="81">
        <v>2899411</v>
      </c>
      <c r="U12" s="81">
        <v>5657683</v>
      </c>
      <c r="V12" s="81"/>
    </row>
    <row r="13" spans="1:22" ht="16.5">
      <c r="A13" s="151"/>
      <c r="B13" s="14"/>
      <c r="C13" s="13"/>
      <c r="D13" s="17"/>
      <c r="E13" s="17"/>
      <c r="F13" s="17"/>
      <c r="G13" s="17"/>
      <c r="H13" s="17"/>
      <c r="I13" s="17"/>
      <c r="J13" s="17"/>
      <c r="K13" s="13"/>
      <c r="L13" s="13"/>
      <c r="M13" s="13"/>
      <c r="N13" s="3"/>
      <c r="O13" s="117">
        <v>9208422</v>
      </c>
      <c r="P13" s="118"/>
      <c r="Q13" s="118"/>
      <c r="R13" s="119"/>
      <c r="S13" s="119"/>
      <c r="T13" s="119"/>
      <c r="U13" s="119"/>
      <c r="V13" s="119"/>
    </row>
    <row r="14" spans="1:22" ht="16.5">
      <c r="A14" s="151"/>
      <c r="B14" s="14"/>
      <c r="C14" s="17"/>
      <c r="D14" s="17"/>
      <c r="E14" s="17"/>
      <c r="F14" s="17"/>
      <c r="G14" s="17"/>
      <c r="H14" s="17"/>
      <c r="I14" s="17"/>
      <c r="J14" s="17"/>
      <c r="K14" s="13"/>
      <c r="L14" s="13"/>
      <c r="M14" s="13"/>
      <c r="N14" s="3"/>
      <c r="O14" s="117">
        <v>5027634</v>
      </c>
      <c r="P14" s="13"/>
      <c r="Q14" s="13"/>
      <c r="R14" s="17"/>
      <c r="S14" s="17"/>
      <c r="T14" s="17"/>
      <c r="U14" s="17"/>
      <c r="V14" s="17"/>
    </row>
    <row r="15" spans="1:22" ht="16.5">
      <c r="A15" s="151"/>
      <c r="B15" s="14"/>
      <c r="C15" s="17"/>
      <c r="D15" s="17"/>
      <c r="E15" s="17"/>
      <c r="F15" s="17"/>
      <c r="G15" s="17"/>
      <c r="H15" s="17"/>
      <c r="I15" s="17"/>
      <c r="J15" s="17"/>
      <c r="K15" s="13"/>
      <c r="L15" s="13"/>
      <c r="M15" s="13"/>
      <c r="N15" s="3"/>
      <c r="O15" s="117">
        <v>1368026</v>
      </c>
      <c r="P15" s="13"/>
      <c r="Q15" s="13"/>
      <c r="R15" s="17"/>
      <c r="S15" s="17"/>
      <c r="T15" s="17"/>
      <c r="U15" s="17"/>
      <c r="V15" s="17"/>
    </row>
    <row r="16" spans="1:22" ht="16.5">
      <c r="A16" s="151"/>
      <c r="B16" s="14"/>
      <c r="C16" s="17"/>
      <c r="D16" s="17"/>
      <c r="E16" s="17"/>
      <c r="F16" s="17"/>
      <c r="G16" s="17"/>
      <c r="H16" s="17"/>
      <c r="I16" s="17"/>
      <c r="J16" s="17"/>
      <c r="K16" s="13"/>
      <c r="L16" s="13"/>
      <c r="M16" s="13"/>
      <c r="N16" s="3"/>
      <c r="O16" s="117">
        <v>9864144</v>
      </c>
      <c r="P16" s="13"/>
      <c r="Q16" s="13"/>
      <c r="R16" s="17"/>
      <c r="S16" s="17"/>
      <c r="T16" s="17"/>
      <c r="U16" s="17"/>
      <c r="V16" s="17"/>
    </row>
    <row r="17" spans="1:22" ht="16.5">
      <c r="A17" s="151"/>
      <c r="B17" s="14"/>
      <c r="C17" s="17"/>
      <c r="D17" s="17"/>
      <c r="E17" s="17"/>
      <c r="F17" s="17"/>
      <c r="G17" s="17"/>
      <c r="H17" s="17"/>
      <c r="I17" s="17"/>
      <c r="J17" s="17"/>
      <c r="K17" s="13"/>
      <c r="L17" s="13"/>
      <c r="M17" s="13"/>
      <c r="N17" s="3"/>
      <c r="O17" s="117">
        <v>13701254</v>
      </c>
      <c r="P17" s="13"/>
      <c r="Q17" s="13"/>
      <c r="R17" s="17"/>
      <c r="S17" s="17"/>
      <c r="T17" s="17"/>
      <c r="U17" s="17"/>
      <c r="V17" s="17"/>
    </row>
    <row r="18" spans="1:22" ht="16.5">
      <c r="A18" s="151"/>
      <c r="B18" s="14"/>
      <c r="C18" s="17"/>
      <c r="D18" s="17"/>
      <c r="E18" s="17"/>
      <c r="F18" s="17"/>
      <c r="G18" s="17"/>
      <c r="H18" s="17"/>
      <c r="I18" s="17"/>
      <c r="J18" s="17"/>
      <c r="K18" s="13"/>
      <c r="L18" s="13"/>
      <c r="M18" s="13"/>
      <c r="N18" s="3"/>
      <c r="O18" s="117">
        <v>9056690</v>
      </c>
      <c r="P18" s="13"/>
      <c r="Q18" s="13"/>
      <c r="R18" s="17"/>
      <c r="S18" s="17"/>
      <c r="T18" s="17"/>
      <c r="U18" s="17"/>
      <c r="V18" s="17"/>
    </row>
    <row r="19" spans="1:22" ht="16.5">
      <c r="A19" s="151"/>
      <c r="B19" s="14"/>
      <c r="C19" s="17"/>
      <c r="D19" s="17"/>
      <c r="E19" s="17"/>
      <c r="F19" s="17"/>
      <c r="G19" s="17"/>
      <c r="H19" s="17"/>
      <c r="I19" s="17"/>
      <c r="J19" s="17"/>
      <c r="K19" s="13"/>
      <c r="L19" s="13"/>
      <c r="M19" s="13"/>
      <c r="N19" s="3"/>
      <c r="O19" s="117">
        <v>5451066</v>
      </c>
      <c r="P19" s="13"/>
      <c r="Q19" s="13"/>
      <c r="R19" s="17"/>
      <c r="S19" s="17"/>
      <c r="T19" s="17"/>
      <c r="U19" s="17"/>
      <c r="V19" s="17"/>
    </row>
    <row r="20" spans="1:22" ht="16.5">
      <c r="A20" s="151"/>
      <c r="B20" s="14"/>
      <c r="C20" s="17"/>
      <c r="D20" s="17"/>
      <c r="E20" s="17"/>
      <c r="F20" s="17"/>
      <c r="G20" s="17"/>
      <c r="H20" s="17"/>
      <c r="I20" s="17"/>
      <c r="J20" s="17"/>
      <c r="K20" s="13"/>
      <c r="L20" s="13"/>
      <c r="M20" s="13"/>
      <c r="N20" s="3"/>
      <c r="O20" s="117">
        <v>939923</v>
      </c>
      <c r="P20" s="13"/>
      <c r="Q20" s="13"/>
      <c r="R20" s="17"/>
      <c r="S20" s="17"/>
      <c r="T20" s="17"/>
      <c r="U20" s="17"/>
      <c r="V20" s="17"/>
    </row>
    <row r="21" spans="1:22">
      <c r="A21" s="3"/>
      <c r="B21" s="7"/>
      <c r="C21" s="7"/>
      <c r="D21" s="7"/>
      <c r="E21" s="7"/>
      <c r="F21" s="7"/>
      <c r="G21" s="7"/>
      <c r="H21" s="7"/>
      <c r="I21" s="7"/>
      <c r="J21" s="7"/>
      <c r="N21" s="3"/>
      <c r="O21" s="7"/>
      <c r="R21" s="7"/>
      <c r="S21" s="7"/>
      <c r="T21" s="7"/>
      <c r="U21" s="7"/>
      <c r="V21" s="7"/>
    </row>
    <row r="22" spans="1:22">
      <c r="A22" s="3" t="str">
        <f>A4</f>
        <v>Noms des groupes</v>
      </c>
      <c r="B22" s="3" t="str">
        <f t="shared" ref="B22:V22" si="0">B4</f>
        <v>Solvent control</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saccharin-100mg/L</v>
      </c>
      <c r="J22" s="3" t="str">
        <f t="shared" si="0"/>
        <v>saccharin-10mg/L</v>
      </c>
      <c r="K22" s="3" t="str">
        <f t="shared" si="0"/>
        <v>saccharin-1mg/L</v>
      </c>
      <c r="L22" s="3" t="str">
        <f t="shared" si="0"/>
        <v>saccharin-0.1mg/L</v>
      </c>
      <c r="M22" s="3" t="str">
        <f t="shared" si="0"/>
        <v>saccharin-0.01mg/L</v>
      </c>
      <c r="N22" s="3" t="s">
        <v>22</v>
      </c>
      <c r="O22" s="3" t="str">
        <f t="shared" si="0"/>
        <v>Testo -30µg/L</v>
      </c>
      <c r="P22" s="3" t="str">
        <f t="shared" si="0"/>
        <v>Testo 30µg/L + EE2 -64ng/L</v>
      </c>
      <c r="Q22" s="3" t="str">
        <f t="shared" si="0"/>
        <v>Testo 30µg/L + FAD-10mg/L</v>
      </c>
      <c r="R22" s="3" t="str">
        <f t="shared" si="0"/>
        <v>saccharin-100mg/L + Testostérone</v>
      </c>
      <c r="S22" s="3" t="str">
        <f t="shared" si="0"/>
        <v>saccharin-10mg/L + Testostérone</v>
      </c>
      <c r="T22" s="3" t="str">
        <f t="shared" si="0"/>
        <v>saccharin-1mg/L + Testostérone</v>
      </c>
      <c r="U22" s="3" t="str">
        <f t="shared" si="0"/>
        <v>saccharin-0.1mg/L + Testostérone</v>
      </c>
      <c r="V22" s="3" t="str">
        <f t="shared" si="0"/>
        <v>saccharin-0.01mg/L + Testostérone</v>
      </c>
    </row>
    <row r="23" spans="1:22">
      <c r="A23" s="5" t="s">
        <v>0</v>
      </c>
      <c r="B23" s="5">
        <f t="shared" ref="B23:J23" si="1">AVERAGE(B5:B20)</f>
        <v>2357229.625</v>
      </c>
      <c r="C23" s="5">
        <f t="shared" si="1"/>
        <v>1403222.375</v>
      </c>
      <c r="D23" s="5">
        <f t="shared" si="1"/>
        <v>4465355.25</v>
      </c>
      <c r="E23" s="5">
        <f t="shared" si="1"/>
        <v>6044822.25</v>
      </c>
      <c r="F23" s="5">
        <f t="shared" si="1"/>
        <v>12227215.625</v>
      </c>
      <c r="G23" s="5">
        <f t="shared" si="1"/>
        <v>12708809.5</v>
      </c>
      <c r="H23" s="5">
        <f t="shared" si="1"/>
        <v>16732437.125</v>
      </c>
      <c r="I23" s="5">
        <f t="shared" si="1"/>
        <v>1212041.75</v>
      </c>
      <c r="J23" s="5">
        <f t="shared" si="1"/>
        <v>1126629.625</v>
      </c>
      <c r="K23" s="5"/>
      <c r="L23" s="5">
        <f>AVERAGE(L5:L20)</f>
        <v>497660.125</v>
      </c>
      <c r="M23" s="5"/>
      <c r="N23" s="5" t="s">
        <v>0</v>
      </c>
      <c r="O23" s="5">
        <f>AVERAGE(O5:O20)</f>
        <v>6443125.875</v>
      </c>
      <c r="P23" s="5">
        <f>AVERAGE(P5:P20)</f>
        <v>12068562.375</v>
      </c>
      <c r="Q23" s="5">
        <f>AVERAGE(Q5:Q20)</f>
        <v>1078824.375</v>
      </c>
      <c r="R23" s="5">
        <f>AVERAGE(R5:R20)</f>
        <v>4023780.375</v>
      </c>
      <c r="S23" s="5">
        <f>AVERAGE(S5:S20)</f>
        <v>4090483.875</v>
      </c>
      <c r="T23" s="5">
        <f t="shared" ref="T23:V23" si="2">AVERAGE(T5:T20)</f>
        <v>3760165.875</v>
      </c>
      <c r="U23" s="5">
        <f t="shared" si="2"/>
        <v>5825547.5</v>
      </c>
      <c r="V23" s="5">
        <f t="shared" si="2"/>
        <v>6834862.8571428573</v>
      </c>
    </row>
    <row r="24" spans="1:22">
      <c r="A24" s="3" t="s">
        <v>1</v>
      </c>
      <c r="B24" s="3">
        <f t="shared" ref="B24:J24" si="3">STDEV(B5:B20)</f>
        <v>1365057.5301293493</v>
      </c>
      <c r="C24" s="3">
        <f t="shared" si="3"/>
        <v>1076000.1130114037</v>
      </c>
      <c r="D24" s="3">
        <f t="shared" si="3"/>
        <v>6280754.8663801495</v>
      </c>
      <c r="E24" s="3">
        <f t="shared" si="3"/>
        <v>3521839.668784189</v>
      </c>
      <c r="F24" s="3">
        <f t="shared" si="3"/>
        <v>5281387.4343532119</v>
      </c>
      <c r="G24" s="3">
        <f t="shared" si="3"/>
        <v>4076269.6431837212</v>
      </c>
      <c r="H24" s="3">
        <f t="shared" si="3"/>
        <v>5909456.9830760378</v>
      </c>
      <c r="I24" s="3">
        <f t="shared" si="3"/>
        <v>590182.97640471521</v>
      </c>
      <c r="J24" s="3">
        <f t="shared" si="3"/>
        <v>1011310.0148871883</v>
      </c>
      <c r="K24" s="3"/>
      <c r="L24" s="3">
        <f>STDEV(L5:L20)</f>
        <v>665620.55011941143</v>
      </c>
      <c r="M24" s="3"/>
      <c r="N24" s="3" t="s">
        <v>1</v>
      </c>
      <c r="O24" s="3">
        <f>STDEV(O5:O20)</f>
        <v>4004472.2114783265</v>
      </c>
      <c r="P24" s="3">
        <f>STDEV(P5:P20)</f>
        <v>4149798.2800375801</v>
      </c>
      <c r="Q24" s="3">
        <f>STDEV(Q5:Q20)</f>
        <v>613212.52531284257</v>
      </c>
      <c r="R24" s="3">
        <f>STDEV(R5:R20)</f>
        <v>1322207.2468259751</v>
      </c>
      <c r="S24" s="3">
        <f>STDEV(S5:S20)</f>
        <v>1604251.7344473305</v>
      </c>
      <c r="T24" s="3">
        <f t="shared" ref="T24:V24" si="4">STDEV(T5:T20)</f>
        <v>1905526.0409438077</v>
      </c>
      <c r="U24" s="3">
        <f t="shared" si="4"/>
        <v>2091764.4993733333</v>
      </c>
      <c r="V24" s="3">
        <f t="shared" si="4"/>
        <v>3949829.2831663177</v>
      </c>
    </row>
    <row r="25" spans="1:22" ht="15.75" thickBot="1"/>
    <row r="26" spans="1:22" ht="15.75" thickBot="1">
      <c r="B26" s="149" t="s">
        <v>6</v>
      </c>
      <c r="C26" s="150"/>
      <c r="D26" s="150"/>
      <c r="E26" s="150"/>
      <c r="F26" s="150"/>
      <c r="G26" s="150"/>
      <c r="H26" s="150"/>
      <c r="I26" s="150"/>
      <c r="J26" s="150"/>
      <c r="K26" s="150"/>
      <c r="L26" s="150"/>
      <c r="M26" s="150"/>
      <c r="O26" s="149" t="s">
        <v>3</v>
      </c>
      <c r="P26" s="150"/>
      <c r="Q26" s="150"/>
      <c r="R26" s="150"/>
      <c r="S26" s="150"/>
      <c r="T26" s="150"/>
      <c r="U26" s="150"/>
      <c r="V26" s="150"/>
    </row>
    <row r="27" spans="1:22">
      <c r="A27" s="19" t="s">
        <v>22</v>
      </c>
      <c r="B27" s="20" t="str">
        <f>B4</f>
        <v>Solvent control</v>
      </c>
      <c r="C27" s="20" t="str">
        <f t="shared" ref="C27:M27" si="5">C4</f>
        <v>EE2-33.8ng/L</v>
      </c>
      <c r="D27" s="20" t="str">
        <f t="shared" si="5"/>
        <v>EE2-50.6ng/L</v>
      </c>
      <c r="E27" s="20" t="str">
        <f t="shared" si="5"/>
        <v>EE2-76ng/L</v>
      </c>
      <c r="F27" s="20" t="str">
        <f t="shared" si="5"/>
        <v>EE2-114ng/L</v>
      </c>
      <c r="G27" s="20" t="str">
        <f t="shared" si="5"/>
        <v>EE2-170.9ng/L</v>
      </c>
      <c r="H27" s="20" t="str">
        <f t="shared" si="5"/>
        <v>EE2-488ng/L</v>
      </c>
      <c r="I27" s="20" t="str">
        <f t="shared" si="5"/>
        <v>saccharin-100mg/L</v>
      </c>
      <c r="J27" s="20" t="str">
        <f t="shared" si="5"/>
        <v>saccharin-10mg/L</v>
      </c>
      <c r="K27" s="20" t="str">
        <f t="shared" si="5"/>
        <v>saccharin-1mg/L</v>
      </c>
      <c r="L27" s="20" t="str">
        <f t="shared" si="5"/>
        <v>saccharin-0.1mg/L</v>
      </c>
      <c r="M27" s="20" t="str">
        <f t="shared" si="5"/>
        <v>saccharin-0.01mg/L</v>
      </c>
      <c r="N27" s="3"/>
      <c r="O27" s="21" t="str">
        <f>O4</f>
        <v>Testo -30µg/L</v>
      </c>
      <c r="P27" s="21" t="str">
        <f t="shared" ref="P27:V27" si="6">P4</f>
        <v>Testo 30µg/L + EE2 -64ng/L</v>
      </c>
      <c r="Q27" s="21" t="str">
        <f t="shared" si="6"/>
        <v>Testo 30µg/L + FAD-10mg/L</v>
      </c>
      <c r="R27" s="21" t="str">
        <f t="shared" si="6"/>
        <v>saccharin-100mg/L + Testostérone</v>
      </c>
      <c r="S27" s="21" t="str">
        <f t="shared" si="6"/>
        <v>saccharin-10mg/L + Testostérone</v>
      </c>
      <c r="T27" s="21" t="str">
        <f t="shared" si="6"/>
        <v>saccharin-1mg/L + Testostérone</v>
      </c>
      <c r="U27" s="21" t="str">
        <f t="shared" si="6"/>
        <v>saccharin-0.1mg/L + Testostérone</v>
      </c>
      <c r="V27" s="21" t="str">
        <f t="shared" si="6"/>
        <v>saccharin-0.01mg/L + Testostérone</v>
      </c>
    </row>
    <row r="28" spans="1:22">
      <c r="A28" s="152" t="s">
        <v>72</v>
      </c>
      <c r="B28" s="11">
        <f>IF(B5="","",(B5/$O$23))</f>
        <v>0.36678082127333883</v>
      </c>
      <c r="C28" s="11">
        <f>IF(C5="","",(C5/$O$23))</f>
        <v>0.53069784237297712</v>
      </c>
      <c r="D28" s="11">
        <f>IF(D5="","",(D5/$O$23))</f>
        <v>0.4624494473344431</v>
      </c>
      <c r="E28" s="11">
        <f>IF(E5="","",(E5/$O$23))</f>
        <v>1.4204052780514707</v>
      </c>
      <c r="F28" s="11">
        <f>IF(F5="","",(F5/$O$23))</f>
        <v>2.8959473029075347</v>
      </c>
      <c r="G28" s="11">
        <f>IF(G5="","",(G5/$O$23))</f>
        <v>1.6594099211200029</v>
      </c>
      <c r="H28" s="11">
        <f>IF(H5="","",(H5/$O$23))</f>
        <v>2.3863126839812052</v>
      </c>
      <c r="I28" s="11">
        <f>IF(I5="","",(I5/$O$23))</f>
        <v>0.28970906920237688</v>
      </c>
      <c r="J28" s="11">
        <f>IF(J5="","",(J5/$O$23))</f>
        <v>1.636891813789064E-2</v>
      </c>
      <c r="K28" s="11">
        <f>IF(K5="","",(K5/$O$23))</f>
        <v>0.47427755708714908</v>
      </c>
      <c r="L28" s="11">
        <f>IF(L5="","",(L5/$O$23))</f>
        <v>0.13077596439166261</v>
      </c>
      <c r="M28" s="11">
        <f>IF(M5="","",(M5/$O$23))</f>
        <v>0.13981381358625095</v>
      </c>
      <c r="N28" s="6"/>
      <c r="O28" s="11">
        <f t="shared" ref="O28:V39" si="7">IF(O5="","",(O5/$O$23))</f>
        <v>1.2219873013112599</v>
      </c>
      <c r="P28" s="11">
        <f t="shared" si="7"/>
        <v>2.3325468556052384</v>
      </c>
      <c r="Q28" s="11">
        <f t="shared" si="7"/>
        <v>0.22598503090706729</v>
      </c>
      <c r="R28" s="11">
        <f t="shared" si="7"/>
        <v>0.27242367044396754</v>
      </c>
      <c r="S28" s="11">
        <f t="shared" si="7"/>
        <v>0.32030726079831556</v>
      </c>
      <c r="T28" s="11">
        <f t="shared" si="7"/>
        <v>0.85503637626821938</v>
      </c>
      <c r="U28" s="11">
        <f t="shared" si="7"/>
        <v>0.51797963670855651</v>
      </c>
      <c r="V28" s="11">
        <f t="shared" si="7"/>
        <v>2.0456930775079729</v>
      </c>
    </row>
    <row r="29" spans="1:22">
      <c r="A29" s="152"/>
      <c r="B29" s="11">
        <f>IF(B6="","",(B6/$O$23))</f>
        <v>0.63802462962125506</v>
      </c>
      <c r="C29" s="11">
        <f>IF(C6="","",(C6/$O$23))</f>
        <v>0.27283791037219179</v>
      </c>
      <c r="D29" s="11">
        <f>IF(D6="","",(D6/$O$23))</f>
        <v>0.21934213725104354</v>
      </c>
      <c r="E29" s="11">
        <f>IF(E6="","",(E6/$O$23))</f>
        <v>0.25360299204149878</v>
      </c>
      <c r="F29" s="11">
        <f>IF(F6="","",(F6/$O$23))</f>
        <v>1.5478895172135683</v>
      </c>
      <c r="G29" s="11">
        <f>IF(G6="","",(G6/$O$23))</f>
        <v>1.1806170091314567</v>
      </c>
      <c r="H29" s="11">
        <f>IF(H6="","",(H6/$O$23))</f>
        <v>1.4011436646036346</v>
      </c>
      <c r="I29" s="11">
        <f>IF(I6="","",(I6/$O$23))</f>
        <v>0.29436100377287755</v>
      </c>
      <c r="J29" s="11">
        <f>IF(J6="","",(J6/$O$23))</f>
        <v>0.30902593533453199</v>
      </c>
      <c r="K29" s="11">
        <f>IF(K6="","",(K6/$O$23))</f>
        <v>6.6127685267362554E-2</v>
      </c>
      <c r="L29" s="11">
        <f>IF(L6="","",(L6/$O$23))</f>
        <v>9.292073624124253E-4</v>
      </c>
      <c r="M29" s="11">
        <f>IF(M6="","",(M6/$O$23))</f>
        <v>0.30647655164737875</v>
      </c>
      <c r="N29" s="6"/>
      <c r="O29" s="11">
        <f t="shared" si="7"/>
        <v>0.71681107735614435</v>
      </c>
      <c r="P29" s="11">
        <f t="shared" si="7"/>
        <v>1.1809444899289663</v>
      </c>
      <c r="Q29" s="11">
        <f t="shared" si="7"/>
        <v>9.5652329623313465E-2</v>
      </c>
      <c r="R29" s="11">
        <f t="shared" si="7"/>
        <v>0.63472514418321835</v>
      </c>
      <c r="S29" s="11">
        <f t="shared" si="7"/>
        <v>0.42359035861611194</v>
      </c>
      <c r="T29" s="11">
        <f t="shared" si="7"/>
        <v>0.92233818107736409</v>
      </c>
      <c r="U29" s="11">
        <f t="shared" si="7"/>
        <v>1.2324825176568508</v>
      </c>
      <c r="V29" s="11">
        <f t="shared" si="7"/>
        <v>0.94574793636171206</v>
      </c>
    </row>
    <row r="30" spans="1:22">
      <c r="A30" s="152"/>
      <c r="B30" s="11">
        <f>IF(B7="","",(B7/$O$23))</f>
        <v>0.28479002825627708</v>
      </c>
      <c r="C30" s="11">
        <f>IF(C7="","",(C7/$O$23))</f>
        <v>6.825258555110876E-2</v>
      </c>
      <c r="D30" s="11">
        <f>IF(D7="","",(D7/$O$23))</f>
        <v>0.17783604142298401</v>
      </c>
      <c r="E30" s="11">
        <f>IF(E7="","",(E7/$O$23))</f>
        <v>0.88788378668762236</v>
      </c>
      <c r="F30" s="11">
        <f>IF(F7="","",(F7/$O$23))</f>
        <v>1.0833423303250302</v>
      </c>
      <c r="G30" s="11">
        <f>IF(G7="","",(G7/$O$23))</f>
        <v>1.8821272834437679</v>
      </c>
      <c r="H30" s="11">
        <f>IF(H7="","",(H7/$O$23))</f>
        <v>1.7981244235741398</v>
      </c>
      <c r="I30" s="11">
        <f>IF(I7="","",(I7/$O$23))</f>
        <v>0.27036923285314524</v>
      </c>
      <c r="J30" s="11">
        <f>IF(J7="","",(J7/$O$23))</f>
        <v>0.28316131570221731</v>
      </c>
      <c r="K30" s="11">
        <f>IF(K7="","",(K7/$O$23))</f>
        <v>0.40384202489292514</v>
      </c>
      <c r="L30" s="11">
        <f>IF(L7="","",(L7/$O$23))</f>
        <v>5.9753605232801697E-5</v>
      </c>
      <c r="M30" s="11">
        <f>IF(M7="","",(M7/$O$23))</f>
        <v>0.16036051755701575</v>
      </c>
      <c r="N30" s="6"/>
      <c r="O30" s="11">
        <f t="shared" si="7"/>
        <v>0.89073271442178681</v>
      </c>
      <c r="P30" s="11">
        <f t="shared" si="7"/>
        <v>1.1750473523070819</v>
      </c>
      <c r="Q30" s="11">
        <f t="shared" si="7"/>
        <v>0.29004151653330845</v>
      </c>
      <c r="R30" s="11">
        <f t="shared" si="7"/>
        <v>0.86236185786142194</v>
      </c>
      <c r="S30" s="11">
        <f t="shared" si="7"/>
        <v>0.89145006809291927</v>
      </c>
      <c r="T30" s="11">
        <f t="shared" si="7"/>
        <v>0.62009016702626507</v>
      </c>
      <c r="U30" s="11">
        <f t="shared" si="7"/>
        <v>0.83822419502241996</v>
      </c>
      <c r="V30" s="11">
        <f t="shared" si="7"/>
        <v>0.70385277084160647</v>
      </c>
    </row>
    <row r="31" spans="1:22">
      <c r="A31" s="152"/>
      <c r="B31" s="11">
        <f>IF(B8="","",(B8/$O$23))</f>
        <v>0.45791888242444123</v>
      </c>
      <c r="C31" s="11">
        <f>IF(C8="","",(C8/$O$23))</f>
        <v>6.4706170279499623E-3</v>
      </c>
      <c r="D31" s="11">
        <f>IF(D8="","",(D8/$O$23))</f>
        <v>0.15589451758149922</v>
      </c>
      <c r="E31" s="11">
        <f>IF(E8="","",(E8/$O$23))</f>
        <v>0.76352194500623505</v>
      </c>
      <c r="F31" s="11">
        <f>IF(F8="","",(F8/$O$23))</f>
        <v>1.4792971897355645</v>
      </c>
      <c r="G31" s="11">
        <f>IF(G8="","",(G8/$O$23))</f>
        <v>3.1996398021635732</v>
      </c>
      <c r="H31" s="11">
        <f>IF(H8="","",(H8/$O$23))</f>
        <v>1.7821203904385927</v>
      </c>
      <c r="I31" s="11">
        <f>IF(I8="","",(I8/$O$23))</f>
        <v>0.14449523694894445</v>
      </c>
      <c r="J31" s="11">
        <f>IF(J8="","",(J8/$O$23))</f>
        <v>9.3281430731011444E-2</v>
      </c>
      <c r="K31" s="11">
        <f>IF(K8="","",(K8/$O$23))</f>
        <v>0.16770369242553407</v>
      </c>
      <c r="L31" s="11">
        <f>IF(L8="","",(L8/$O$23))</f>
        <v>0.29515254503700039</v>
      </c>
      <c r="M31" s="11">
        <f>IF(M8="","",(M8/$O$23))</f>
        <v>0.22968727116479001</v>
      </c>
      <c r="N31" s="6"/>
      <c r="O31" s="11">
        <f t="shared" si="7"/>
        <v>1.0263454615497483</v>
      </c>
      <c r="P31" s="11">
        <f t="shared" si="7"/>
        <v>2.604285144436977</v>
      </c>
      <c r="Q31" s="11">
        <f t="shared" si="7"/>
        <v>0.28197012370179714</v>
      </c>
      <c r="R31" s="11">
        <f t="shared" si="7"/>
        <v>0.51876062408915768</v>
      </c>
      <c r="S31" s="11">
        <f t="shared" si="7"/>
        <v>0.48903918084636211</v>
      </c>
      <c r="T31" s="11">
        <f t="shared" si="7"/>
        <v>0.65807343861646972</v>
      </c>
      <c r="U31" s="11">
        <f t="shared" si="7"/>
        <v>0.61051624263044524</v>
      </c>
      <c r="V31" s="11">
        <f t="shared" si="7"/>
        <v>0.94283506450973997</v>
      </c>
    </row>
    <row r="32" spans="1:22">
      <c r="A32" s="152"/>
      <c r="B32" s="11">
        <f>IF(B9="","",(B9/$O$23))</f>
        <v>0.15706972355246746</v>
      </c>
      <c r="C32" s="11">
        <f>IF(C9="","",(C9/$O$23))</f>
        <v>0.28871483129297082</v>
      </c>
      <c r="D32" s="11">
        <f>IF(D9="","",(D9/$O$23))</f>
        <v>0.65647887097968582</v>
      </c>
      <c r="E32" s="11">
        <f>IF(E9="","",(E9/$O$23))</f>
        <v>0.47398080671518777</v>
      </c>
      <c r="F32" s="11">
        <f>IF(F9="","",(F9/$O$23))</f>
        <v>1.4037153976911867</v>
      </c>
      <c r="G32" s="11">
        <f>IF(G9="","",(G9/$O$23))</f>
        <v>1.9253185861435618</v>
      </c>
      <c r="H32" s="11">
        <f>IF(H9="","",(H9/$O$23))</f>
        <v>3.2013763816153911</v>
      </c>
      <c r="I32" s="11">
        <f>IF(I9="","",(I9/$O$23))</f>
        <v>0.13313739582962905</v>
      </c>
      <c r="J32" s="11">
        <f>IF(J9="","",(J9/$O$23))</f>
        <v>0.43265552374452099</v>
      </c>
      <c r="K32" s="11">
        <f>IF(K9="","",(K9/$O$23))</f>
        <v>0.50999112290352389</v>
      </c>
      <c r="L32" s="11">
        <f>IF(L9="","",(L9/$O$23))</f>
        <v>5.7169455811694816E-2</v>
      </c>
      <c r="M32" s="11">
        <f>IF(M9="","",(M9/$O$23))</f>
        <v>2.8203080853204658E-2</v>
      </c>
      <c r="N32" s="6"/>
      <c r="O32" s="11">
        <f t="shared" si="7"/>
        <v>0.71102739398211745</v>
      </c>
      <c r="P32" s="11">
        <f t="shared" si="7"/>
        <v>1.8135925367126247</v>
      </c>
      <c r="Q32" s="11">
        <f t="shared" si="7"/>
        <v>0.12351473732460644</v>
      </c>
      <c r="R32" s="11">
        <f t="shared" si="7"/>
        <v>0.61700905385462457</v>
      </c>
      <c r="S32" s="11">
        <f t="shared" si="7"/>
        <v>0.68549491127239537</v>
      </c>
      <c r="T32" s="11">
        <f t="shared" si="7"/>
        <v>0.38386554104066761</v>
      </c>
      <c r="U32" s="11">
        <f t="shared" si="7"/>
        <v>1.1549937319826147</v>
      </c>
      <c r="V32" s="11">
        <f t="shared" si="7"/>
        <v>0.59464397783474932</v>
      </c>
    </row>
    <row r="33" spans="1:22">
      <c r="A33" s="152"/>
      <c r="B33" s="11">
        <f>IF(B10="","",(B10/$O$23))</f>
        <v>0.59668817195038892</v>
      </c>
      <c r="C33" s="11">
        <f>IF(C10="","",(C10/$O$23))</f>
        <v>0.29230299648615821</v>
      </c>
      <c r="D33" s="11">
        <f>IF(D10="","",(D10/$O$23))</f>
        <v>0.56159200832002987</v>
      </c>
      <c r="E33" s="11">
        <f>IF(E10="","",(E10/$O$23))</f>
        <v>1.9280882045471446</v>
      </c>
      <c r="F33" s="11">
        <f>IF(F10="","",(F10/$O$23))</f>
        <v>1.6861053486713078</v>
      </c>
      <c r="G33" s="11">
        <f>IF(G10="","",(G10/$O$23))</f>
        <v>2.4636513872235968</v>
      </c>
      <c r="H33" s="11">
        <f>IF(H10="","",(H10/$O$23))</f>
        <v>2.6860412687498521</v>
      </c>
      <c r="I33" s="11">
        <f>IF(I10="","",(I10/$O$23))</f>
        <v>0.21753338786043816</v>
      </c>
      <c r="J33" s="11">
        <f>IF(J10="","",(J10/$O$23))</f>
        <v>5.8562413232381559E-2</v>
      </c>
      <c r="K33" s="11">
        <f>IF(K10="","",(K10/$O$23))</f>
        <v>0.3133101912276392</v>
      </c>
      <c r="L33" s="11">
        <f>IF(L10="","",(L10/$O$23))</f>
        <v>0.12167199822089461</v>
      </c>
      <c r="M33" s="11">
        <f>IF(M10="","",(M10/$O$23))</f>
        <v>0.11556502456193284</v>
      </c>
      <c r="N33" s="6"/>
      <c r="O33" s="11">
        <f t="shared" si="7"/>
        <v>3.8993185120723722E-2</v>
      </c>
      <c r="P33" s="11">
        <f t="shared" si="7"/>
        <v>1.0907505357405423</v>
      </c>
      <c r="Q33" s="11">
        <f t="shared" si="7"/>
        <v>0.19361425249200179</v>
      </c>
      <c r="R33" s="11">
        <f t="shared" si="7"/>
        <v>0.48477836078283976</v>
      </c>
      <c r="S33" s="11">
        <f t="shared" si="7"/>
        <v>0.85411601554346472</v>
      </c>
      <c r="T33" s="11">
        <f t="shared" si="7"/>
        <v>0.76650031301770893</v>
      </c>
      <c r="U33" s="11">
        <f t="shared" si="7"/>
        <v>1.3929684401827707</v>
      </c>
      <c r="V33" s="11">
        <f t="shared" si="7"/>
        <v>0.4217189067410545</v>
      </c>
    </row>
    <row r="34" spans="1:22">
      <c r="A34" s="152"/>
      <c r="B34" s="11">
        <f>IF(B11="","",(B11/$O$23))</f>
        <v>1.1113860164962243E-2</v>
      </c>
      <c r="C34" s="11">
        <f>IF(C11="","",(C11/$O$23))</f>
        <v>0.19171610549980136</v>
      </c>
      <c r="D34" s="11">
        <f>IF(D11="","",(D11/$O$23))</f>
        <v>0.25014116304223222</v>
      </c>
      <c r="E34" s="11">
        <f>IF(E11="","",(E11/$O$23))</f>
        <v>0.60883181177955803</v>
      </c>
      <c r="F34" s="11">
        <f>IF(F11="","",(F11/$O$23))</f>
        <v>3.444183216426763</v>
      </c>
      <c r="G34" s="11">
        <f>IF(G11="","",(G11/$O$23))</f>
        <v>1.4136538966810113</v>
      </c>
      <c r="H34" s="11">
        <f>IF(H11="","",(H11/$O$23))</f>
        <v>3.6329401992321002</v>
      </c>
      <c r="I34" s="11">
        <f>IF(I11="","",(I11/$O$23))</f>
        <v>8.6675010054805116E-2</v>
      </c>
      <c r="J34" s="11">
        <f>IF(J11="","",(J11/$O$23))</f>
        <v>1.3878356830953579E-3</v>
      </c>
      <c r="K34" s="11">
        <f>IF(K11="","",(K11/$O$23))</f>
        <v>3.4388587821900965E-3</v>
      </c>
      <c r="L34" s="11">
        <f>IF(L11="","",(L11/$O$23))</f>
        <v>1.1940632775547008E-2</v>
      </c>
      <c r="M34" s="11">
        <f>IF(M11="","",(M11/$O$23))</f>
        <v>0.17008623163054376</v>
      </c>
      <c r="N34" s="6"/>
      <c r="O34" s="11">
        <f t="shared" si="7"/>
        <v>2.1304755279206771</v>
      </c>
      <c r="P34" s="11">
        <f t="shared" si="7"/>
        <v>2.5238529116893904</v>
      </c>
      <c r="Q34" s="11">
        <f t="shared" si="7"/>
        <v>2.6866307341853694E-2</v>
      </c>
      <c r="R34" s="11">
        <f t="shared" si="7"/>
        <v>0.70385571972082572</v>
      </c>
      <c r="S34" s="11">
        <f t="shared" si="7"/>
        <v>0.97399975132411953</v>
      </c>
      <c r="T34" s="11">
        <f t="shared" si="7"/>
        <v>1.2842679408308161E-2</v>
      </c>
      <c r="U34" s="11">
        <f t="shared" si="7"/>
        <v>0.60793333484269385</v>
      </c>
      <c r="V34" s="11">
        <f t="shared" si="7"/>
        <v>1.7711027568586808</v>
      </c>
    </row>
    <row r="35" spans="1:22">
      <c r="A35" s="152"/>
      <c r="B35" s="11">
        <f>IF(B12="","",(B12/$O$23))</f>
        <v>0.41442881169848322</v>
      </c>
      <c r="C35" s="11">
        <f>IF(C12="","",(C12/$O$23))</f>
        <v>9.1294817362232578E-2</v>
      </c>
      <c r="D35" s="11">
        <f>IF(D12="","",(D12/$O$23))</f>
        <v>3.0605998365661296</v>
      </c>
      <c r="E35" s="11">
        <f>IF(E12="","",(E12/$O$23))</f>
        <v>1.1691381087599813</v>
      </c>
      <c r="F35" s="11">
        <f>IF(F12="","",(F12/$O$23))</f>
        <v>1.6412384617582845</v>
      </c>
      <c r="G35" s="11">
        <f>IF(G12="","",(G12/$O$23))</f>
        <v>2.0552638978204039</v>
      </c>
      <c r="H35" s="11">
        <f>IF(H12="","",(H12/$O$23))</f>
        <v>3.8874930407905466</v>
      </c>
      <c r="I35" s="11">
        <f>IF(I12="","",(I12/$O$23))</f>
        <v>6.8631128520362794E-2</v>
      </c>
      <c r="J35" s="11">
        <f>IF(J12="","",(J12/$O$23))</f>
        <v>0.2044175491139229</v>
      </c>
      <c r="K35" s="11">
        <f>IF(K12="","",(K12/$O$23))</f>
        <v>0.27202339889099247</v>
      </c>
      <c r="L35" s="11">
        <f>IF(L12="","",(L12/$O$23))</f>
        <v>2.1185369127993327E-4</v>
      </c>
      <c r="M35" s="11">
        <f>IF(M12="","",(M12/$O$23))</f>
        <v>5.2760260562191796E-2</v>
      </c>
      <c r="N35" s="6"/>
      <c r="O35" s="11">
        <f t="shared" si="7"/>
        <v>0.78681653879686153</v>
      </c>
      <c r="P35" s="11">
        <f t="shared" si="7"/>
        <v>2.2637097711520342</v>
      </c>
      <c r="Q35" s="11">
        <f t="shared" si="7"/>
        <v>0.1018600307882391</v>
      </c>
      <c r="R35" s="11">
        <f t="shared" si="7"/>
        <v>0.90214549781708242</v>
      </c>
      <c r="S35" s="11">
        <f t="shared" si="7"/>
        <v>0.44088367278716251</v>
      </c>
      <c r="T35" s="11">
        <f t="shared" si="7"/>
        <v>0.45000067610816308</v>
      </c>
      <c r="U35" s="11">
        <f t="shared" si="7"/>
        <v>0.87809599094631996</v>
      </c>
      <c r="V35" s="11" t="str">
        <f t="shared" si="7"/>
        <v/>
      </c>
    </row>
    <row r="36" spans="1:22">
      <c r="A36" s="152"/>
      <c r="B36" s="11" t="str">
        <f>IF(B13="","",(B13/$O$23))</f>
        <v/>
      </c>
      <c r="C36" s="11" t="str">
        <f>IF(C13="","",(C13/$O$23))</f>
        <v/>
      </c>
      <c r="D36" s="11" t="str">
        <f>IF(D13="","",(D13/$O$23))</f>
        <v/>
      </c>
      <c r="E36" s="11" t="str">
        <f>IF(E13="","",(E13/$O$23))</f>
        <v/>
      </c>
      <c r="F36" s="11" t="str">
        <f>IF(F13="","",(F13/$O$23))</f>
        <v/>
      </c>
      <c r="G36" s="11" t="str">
        <f>IF(G13="","",(G13/$O$23))</f>
        <v/>
      </c>
      <c r="H36" s="11" t="str">
        <f>IF(H13="","",(H13/$O$23))</f>
        <v/>
      </c>
      <c r="I36" s="11" t="str">
        <f>IF(I13="","",(I13/$O$23))</f>
        <v/>
      </c>
      <c r="J36" s="11" t="str">
        <f>IF(J13="","",(J13/$O$23))</f>
        <v/>
      </c>
      <c r="K36" s="11" t="str">
        <f>IF(K13="","",(K13/$O$23))</f>
        <v/>
      </c>
      <c r="L36" s="11" t="str">
        <f>IF(L13="","",(L13/$O$23))</f>
        <v/>
      </c>
      <c r="M36" s="11" t="str">
        <f>IF(M13="","",(M13/$O$23))</f>
        <v/>
      </c>
      <c r="N36" s="6"/>
      <c r="O36" s="11">
        <f t="shared" si="7"/>
        <v>1.4291854883247954</v>
      </c>
      <c r="P36" s="11" t="str">
        <f t="shared" si="7"/>
        <v/>
      </c>
      <c r="Q36" s="11" t="str">
        <f t="shared" si="7"/>
        <v/>
      </c>
      <c r="R36" s="11" t="str">
        <f t="shared" si="7"/>
        <v/>
      </c>
      <c r="S36" s="11" t="str">
        <f t="shared" si="7"/>
        <v/>
      </c>
      <c r="T36" s="11" t="str">
        <f t="shared" si="7"/>
        <v/>
      </c>
      <c r="U36" s="11" t="str">
        <f t="shared" si="7"/>
        <v/>
      </c>
      <c r="V36" s="11" t="str">
        <f t="shared" si="7"/>
        <v/>
      </c>
    </row>
    <row r="37" spans="1:22">
      <c r="A37" s="152"/>
      <c r="B37" s="11" t="str">
        <f>IF(B14="","",(B14/$O$23))</f>
        <v/>
      </c>
      <c r="C37" s="11" t="str">
        <f>IF(C14="","",(C14/$O$23))</f>
        <v/>
      </c>
      <c r="D37" s="11" t="str">
        <f>IF(D14="","",(D14/$O$23))</f>
        <v/>
      </c>
      <c r="E37" s="11" t="str">
        <f>IF(E14="","",(E14/$O$23))</f>
        <v/>
      </c>
      <c r="F37" s="11" t="str">
        <f>IF(F14="","",(F14/$O$23))</f>
        <v/>
      </c>
      <c r="G37" s="11" t="str">
        <f>IF(G14="","",(G14/$O$23))</f>
        <v/>
      </c>
      <c r="H37" s="11" t="str">
        <f>IF(H14="","",(H14/$O$23))</f>
        <v/>
      </c>
      <c r="I37" s="11" t="str">
        <f>IF(I14="","",(I14/$O$23))</f>
        <v/>
      </c>
      <c r="J37" s="11" t="str">
        <f>IF(J14="","",(J14/$O$23))</f>
        <v/>
      </c>
      <c r="K37" s="11" t="str">
        <f>IF(K14="","",(K14/$O$23))</f>
        <v/>
      </c>
      <c r="L37" s="11" t="str">
        <f>IF(L14="","",(L14/$O$23))</f>
        <v/>
      </c>
      <c r="M37" s="11" t="str">
        <f>IF(M14="","",(M14/$O$23))</f>
        <v/>
      </c>
      <c r="N37" s="6"/>
      <c r="O37" s="11">
        <f t="shared" si="7"/>
        <v>0.78030975919743306</v>
      </c>
      <c r="P37" s="11" t="str">
        <f t="shared" si="7"/>
        <v/>
      </c>
      <c r="Q37" s="11" t="str">
        <f t="shared" si="7"/>
        <v/>
      </c>
      <c r="R37" s="11" t="str">
        <f t="shared" si="7"/>
        <v/>
      </c>
      <c r="S37" s="11" t="str">
        <f t="shared" si="7"/>
        <v/>
      </c>
      <c r="T37" s="11" t="str">
        <f t="shared" si="7"/>
        <v/>
      </c>
      <c r="U37" s="11" t="str">
        <f t="shared" si="7"/>
        <v/>
      </c>
      <c r="V37" s="11" t="str">
        <f t="shared" si="7"/>
        <v/>
      </c>
    </row>
    <row r="38" spans="1:22">
      <c r="A38" s="152"/>
      <c r="B38" s="11" t="str">
        <f>IF(B15="","",(B15/$O$23))</f>
        <v/>
      </c>
      <c r="C38" s="11" t="str">
        <f>IF(C15="","",(C15/$O$23))</f>
        <v/>
      </c>
      <c r="D38" s="11" t="str">
        <f>IF(D15="","",(D15/$O$23))</f>
        <v/>
      </c>
      <c r="E38" s="11" t="str">
        <f>IF(E15="","",(E15/$O$23))</f>
        <v/>
      </c>
      <c r="F38" s="11" t="str">
        <f>IF(F15="","",(F15/$O$23))</f>
        <v/>
      </c>
      <c r="G38" s="11" t="str">
        <f>IF(G15="","",(G15/$O$23))</f>
        <v/>
      </c>
      <c r="H38" s="11" t="str">
        <f>IF(H15="","",(H15/$O$23))</f>
        <v/>
      </c>
      <c r="I38" s="11" t="str">
        <f>IF(I15="","",(I15/$O$23))</f>
        <v/>
      </c>
      <c r="J38" s="11" t="str">
        <f>IF(J15="","",(J15/$O$23))</f>
        <v/>
      </c>
      <c r="K38" s="11" t="str">
        <f>IF(K15="","",(K15/$O$23))</f>
        <v/>
      </c>
      <c r="L38" s="11" t="str">
        <f>IF(L15="","",(L15/$O$23))</f>
        <v/>
      </c>
      <c r="M38" s="11" t="str">
        <f>IF(M15="","",(M15/$O$23))</f>
        <v/>
      </c>
      <c r="N38" s="6"/>
      <c r="O38" s="11">
        <f t="shared" si="7"/>
        <v>0.21232333909664616</v>
      </c>
      <c r="P38" s="11" t="str">
        <f t="shared" si="7"/>
        <v/>
      </c>
      <c r="Q38" s="11" t="str">
        <f t="shared" si="7"/>
        <v/>
      </c>
      <c r="R38" s="11" t="str">
        <f t="shared" si="7"/>
        <v/>
      </c>
      <c r="S38" s="11" t="str">
        <f t="shared" si="7"/>
        <v/>
      </c>
      <c r="T38" s="11" t="str">
        <f t="shared" si="7"/>
        <v/>
      </c>
      <c r="U38" s="11" t="str">
        <f t="shared" si="7"/>
        <v/>
      </c>
      <c r="V38" s="11" t="str">
        <f t="shared" si="7"/>
        <v/>
      </c>
    </row>
    <row r="39" spans="1:22">
      <c r="A39" s="152"/>
      <c r="B39" s="11" t="str">
        <f>IF(B16="","",(B16/$O$23))</f>
        <v/>
      </c>
      <c r="C39" s="11" t="str">
        <f>IF(C16="","",(C16/$O$23))</f>
        <v/>
      </c>
      <c r="D39" s="11" t="str">
        <f>IF(D16="","",(D16/$O$23))</f>
        <v/>
      </c>
      <c r="E39" s="11" t="str">
        <f>IF(E16="","",(E16/$O$23))</f>
        <v/>
      </c>
      <c r="F39" s="11" t="str">
        <f>IF(F16="","",(F16/$O$23))</f>
        <v/>
      </c>
      <c r="G39" s="11" t="str">
        <f>IF(G16="","",(G16/$O$23))</f>
        <v/>
      </c>
      <c r="H39" s="11" t="str">
        <f>IF(H16="","",(H16/$O$23))</f>
        <v/>
      </c>
      <c r="I39" s="11" t="str">
        <f>IF(I16="","",(I16/$O$23))</f>
        <v/>
      </c>
      <c r="J39" s="11" t="str">
        <f>IF(J16="","",(J16/$O$23))</f>
        <v/>
      </c>
      <c r="K39" s="11" t="str">
        <f>IF(K16="","",(K16/$O$23))</f>
        <v/>
      </c>
      <c r="L39" s="11" t="str">
        <f>IF(L16="","",(L16/$O$23))</f>
        <v/>
      </c>
      <c r="M39" s="11" t="str">
        <f>IF(M16="","",(M16/$O$23))</f>
        <v/>
      </c>
      <c r="N39" s="6"/>
      <c r="O39" s="11">
        <f t="shared" si="7"/>
        <v>1.5309562767156089</v>
      </c>
      <c r="P39" s="11" t="str">
        <f t="shared" si="7"/>
        <v/>
      </c>
      <c r="Q39" s="11" t="str">
        <f t="shared" ref="Q39:V39" si="8">IF(Q16="","",(Q16/$O$23))</f>
        <v/>
      </c>
      <c r="R39" s="11" t="str">
        <f t="shared" si="8"/>
        <v/>
      </c>
      <c r="S39" s="11" t="str">
        <f t="shared" si="8"/>
        <v/>
      </c>
      <c r="T39" s="11" t="str">
        <f t="shared" si="8"/>
        <v/>
      </c>
      <c r="U39" s="11" t="str">
        <f t="shared" si="8"/>
        <v/>
      </c>
      <c r="V39" s="11" t="str">
        <f t="shared" si="8"/>
        <v/>
      </c>
    </row>
    <row r="40" spans="1:22">
      <c r="A40" s="152"/>
      <c r="B40" s="11" t="str">
        <f>IF(B17="","",(B17/$O$23))</f>
        <v/>
      </c>
      <c r="C40" s="11" t="str">
        <f>IF(C17="","",(C17/$O$23))</f>
        <v/>
      </c>
      <c r="D40" s="11" t="str">
        <f>IF(D17="","",(D17/$O$23))</f>
        <v/>
      </c>
      <c r="E40" s="11" t="str">
        <f>IF(E17="","",(E17/$O$23))</f>
        <v/>
      </c>
      <c r="F40" s="11" t="str">
        <f>IF(F17="","",(F17/$O$23))</f>
        <v/>
      </c>
      <c r="G40" s="11" t="str">
        <f>IF(G17="","",(G17/$O$23))</f>
        <v/>
      </c>
      <c r="H40" s="11" t="str">
        <f>IF(H17="","",(H17/$O$23))</f>
        <v/>
      </c>
      <c r="I40" s="11" t="str">
        <f>IF(I17="","",(I17/$O$23))</f>
        <v/>
      </c>
      <c r="J40" s="11" t="str">
        <f>IF(J17="","",(J17/$O$23))</f>
        <v/>
      </c>
      <c r="K40" s="11" t="str">
        <f>IF(K17="","",(K17/$O$23))</f>
        <v/>
      </c>
      <c r="L40" s="11" t="str">
        <f>IF(L17="","",(L17/$O$23))</f>
        <v/>
      </c>
      <c r="M40" s="11" t="str">
        <f>IF(M17="","",(M17/$O$23))</f>
        <v/>
      </c>
      <c r="N40" s="6"/>
      <c r="O40" s="11">
        <f t="shared" ref="O40:V43" si="9">IF(O17="","",(O17/$O$23))</f>
        <v>2.1264917472995979</v>
      </c>
      <c r="P40" s="11" t="str">
        <f t="shared" si="9"/>
        <v/>
      </c>
      <c r="Q40" s="11" t="str">
        <f t="shared" si="9"/>
        <v/>
      </c>
      <c r="R40" s="11" t="str">
        <f t="shared" si="9"/>
        <v/>
      </c>
      <c r="S40" s="11" t="str">
        <f t="shared" si="9"/>
        <v/>
      </c>
      <c r="T40" s="11" t="str">
        <f t="shared" si="9"/>
        <v/>
      </c>
      <c r="U40" s="11" t="str">
        <f t="shared" si="9"/>
        <v/>
      </c>
      <c r="V40" s="11" t="str">
        <f t="shared" si="9"/>
        <v/>
      </c>
    </row>
    <row r="41" spans="1:22">
      <c r="A41" s="152"/>
      <c r="B41" s="11" t="str">
        <f>IF(B18="","",(B18/$O$23))</f>
        <v/>
      </c>
      <c r="C41" s="11" t="str">
        <f>IF(C18="","",(C18/$O$23))</f>
        <v/>
      </c>
      <c r="D41" s="11" t="str">
        <f>IF(D18="","",(D18/$O$23))</f>
        <v/>
      </c>
      <c r="E41" s="11" t="str">
        <f>IF(E18="","",(E18/$O$23))</f>
        <v/>
      </c>
      <c r="F41" s="11" t="str">
        <f>IF(F18="","",(F18/$O$23))</f>
        <v/>
      </c>
      <c r="G41" s="11" t="str">
        <f>IF(G18="","",(G18/$O$23))</f>
        <v/>
      </c>
      <c r="H41" s="11" t="str">
        <f>IF(H18="","",(H18/$O$23))</f>
        <v/>
      </c>
      <c r="I41" s="11" t="str">
        <f>IF(I18="","",(I18/$O$23))</f>
        <v/>
      </c>
      <c r="J41" s="11" t="str">
        <f>IF(J18="","",(J18/$O$23))</f>
        <v/>
      </c>
      <c r="K41" s="11" t="str">
        <f>IF(K18="","",(K18/$O$23))</f>
        <v/>
      </c>
      <c r="L41" s="11" t="str">
        <f>IF(L18="","",(L18/$O$23))</f>
        <v/>
      </c>
      <c r="M41" s="11" t="str">
        <f>IF(M18="","",(M18/$O$23))</f>
        <v/>
      </c>
      <c r="N41" s="6"/>
      <c r="O41" s="11">
        <f t="shared" si="9"/>
        <v>1.4056360492879554</v>
      </c>
      <c r="P41" s="11" t="str">
        <f t="shared" si="9"/>
        <v/>
      </c>
      <c r="Q41" s="11" t="str">
        <f t="shared" si="9"/>
        <v/>
      </c>
      <c r="R41" s="11" t="str">
        <f t="shared" si="9"/>
        <v/>
      </c>
      <c r="S41" s="11" t="str">
        <f t="shared" si="9"/>
        <v/>
      </c>
      <c r="T41" s="11" t="str">
        <f t="shared" si="9"/>
        <v/>
      </c>
      <c r="U41" s="11" t="str">
        <f t="shared" si="9"/>
        <v/>
      </c>
      <c r="V41" s="11" t="str">
        <f t="shared" si="9"/>
        <v/>
      </c>
    </row>
    <row r="42" spans="1:22">
      <c r="A42" s="152"/>
      <c r="B42" s="11" t="str">
        <f>IF(B19="","",(B19/$O$23))</f>
        <v/>
      </c>
      <c r="C42" s="11" t="str">
        <f>IF(C19="","",(C19/$O$23))</f>
        <v/>
      </c>
      <c r="D42" s="11" t="str">
        <f>IF(D19="","",(D19/$O$23))</f>
        <v/>
      </c>
      <c r="E42" s="11" t="str">
        <f>IF(E19="","",(E19/$O$23))</f>
        <v/>
      </c>
      <c r="F42" s="11" t="str">
        <f>IF(F19="","",(F19/$O$23))</f>
        <v/>
      </c>
      <c r="G42" s="11" t="str">
        <f>IF(G19="","",(G19/$O$23))</f>
        <v/>
      </c>
      <c r="H42" s="11" t="str">
        <f>IF(H19="","",(H19/$O$23))</f>
        <v/>
      </c>
      <c r="I42" s="11" t="str">
        <f>IF(I19="","",(I19/$O$23))</f>
        <v/>
      </c>
      <c r="J42" s="11" t="str">
        <f>IF(J19="","",(J19/$O$23))</f>
        <v/>
      </c>
      <c r="K42" s="11" t="str">
        <f>IF(K19="","",(K19/$O$23))</f>
        <v/>
      </c>
      <c r="L42" s="11" t="str">
        <f>IF(L19="","",(L19/$O$23))</f>
        <v/>
      </c>
      <c r="M42" s="11" t="str">
        <f>IF(M19="","",(M19/$O$23))</f>
        <v/>
      </c>
      <c r="N42" s="6"/>
      <c r="O42" s="11">
        <f t="shared" si="9"/>
        <v>0.84602817106999328</v>
      </c>
      <c r="P42" s="11" t="str">
        <f t="shared" si="9"/>
        <v/>
      </c>
      <c r="Q42" s="11" t="str">
        <f t="shared" si="9"/>
        <v/>
      </c>
      <c r="R42" s="11" t="str">
        <f t="shared" si="9"/>
        <v/>
      </c>
      <c r="S42" s="11" t="str">
        <f t="shared" si="9"/>
        <v/>
      </c>
      <c r="T42" s="11" t="str">
        <f t="shared" si="9"/>
        <v/>
      </c>
      <c r="U42" s="11" t="str">
        <f t="shared" si="9"/>
        <v/>
      </c>
      <c r="V42" s="11" t="str">
        <f t="shared" si="9"/>
        <v/>
      </c>
    </row>
    <row r="43" spans="1:22">
      <c r="A43" s="152"/>
      <c r="B43" s="11" t="str">
        <f>IF(B20="","",(B20/$O$23))</f>
        <v/>
      </c>
      <c r="C43" s="11" t="str">
        <f>IF(C20="","",(C20/$O$23))</f>
        <v/>
      </c>
      <c r="D43" s="11" t="str">
        <f>IF(D20="","",(D20/$O$23))</f>
        <v/>
      </c>
      <c r="E43" s="11" t="str">
        <f>IF(E20="","",(E20/$O$23))</f>
        <v/>
      </c>
      <c r="F43" s="11" t="str">
        <f>IF(F20="","",(F20/$O$23))</f>
        <v/>
      </c>
      <c r="G43" s="11" t="str">
        <f>IF(G20="","",(G20/$O$23))</f>
        <v/>
      </c>
      <c r="H43" s="11" t="str">
        <f>IF(H20="","",(H20/$O$23))</f>
        <v/>
      </c>
      <c r="I43" s="11" t="str">
        <f>IF(I20="","",(I20/$O$23))</f>
        <v/>
      </c>
      <c r="J43" s="11" t="str">
        <f>IF(J20="","",(J20/$O$23))</f>
        <v/>
      </c>
      <c r="K43" s="11" t="str">
        <f>IF(K20="","",(K20/$O$23))</f>
        <v/>
      </c>
      <c r="L43" s="11" t="str">
        <f>IF(L20="","",(L20/$O$23))</f>
        <v/>
      </c>
      <c r="M43" s="11" t="str">
        <f>IF(M20="","",(M20/$O$23))</f>
        <v/>
      </c>
      <c r="N43" s="6"/>
      <c r="O43" s="11">
        <f t="shared" si="9"/>
        <v>0.1458799685486511</v>
      </c>
      <c r="P43" s="11" t="str">
        <f t="shared" si="9"/>
        <v/>
      </c>
      <c r="Q43" s="11" t="str">
        <f t="shared" si="9"/>
        <v/>
      </c>
      <c r="R43" s="11" t="str">
        <f t="shared" si="9"/>
        <v/>
      </c>
      <c r="S43" s="11" t="str">
        <f t="shared" si="9"/>
        <v/>
      </c>
      <c r="T43" s="11" t="str">
        <f t="shared" si="9"/>
        <v/>
      </c>
      <c r="U43" s="11" t="str">
        <f t="shared" si="9"/>
        <v/>
      </c>
      <c r="V43" s="11" t="str">
        <f t="shared" si="9"/>
        <v/>
      </c>
    </row>
    <row r="44" spans="1:22">
      <c r="A44" s="7"/>
      <c r="B44" s="3"/>
      <c r="C44" s="3"/>
      <c r="D44" s="3"/>
      <c r="E44" s="3"/>
      <c r="F44" s="3"/>
      <c r="G44" s="3"/>
      <c r="H44" s="3"/>
      <c r="I44" s="3"/>
      <c r="J44" s="3"/>
      <c r="K44" s="3"/>
      <c r="L44" s="3"/>
      <c r="M44" s="3"/>
      <c r="N44" s="7"/>
      <c r="O44" s="3"/>
      <c r="P44" s="3"/>
      <c r="Q44" s="3"/>
      <c r="R44" s="3"/>
      <c r="S44" s="3"/>
      <c r="T44" s="3"/>
      <c r="U44" s="3"/>
      <c r="V44" s="3"/>
    </row>
    <row r="45" spans="1:22">
      <c r="A45" s="7" t="str">
        <f>A4</f>
        <v>Noms des groupes</v>
      </c>
      <c r="B45" s="7" t="str">
        <f t="shared" ref="B45:V45" si="10">B4</f>
        <v>Solvent control</v>
      </c>
      <c r="C45" s="7" t="str">
        <f t="shared" si="10"/>
        <v>EE2-33.8ng/L</v>
      </c>
      <c r="D45" s="7" t="str">
        <f t="shared" si="10"/>
        <v>EE2-50.6ng/L</v>
      </c>
      <c r="E45" s="7" t="str">
        <f t="shared" si="10"/>
        <v>EE2-76ng/L</v>
      </c>
      <c r="F45" s="7" t="str">
        <f t="shared" si="10"/>
        <v>EE2-114ng/L</v>
      </c>
      <c r="G45" s="7" t="str">
        <f t="shared" si="10"/>
        <v>EE2-170.9ng/L</v>
      </c>
      <c r="H45" s="7" t="str">
        <f t="shared" si="10"/>
        <v>EE2-488ng/L</v>
      </c>
      <c r="I45" s="7" t="str">
        <f t="shared" si="10"/>
        <v>saccharin-100mg/L</v>
      </c>
      <c r="J45" s="7" t="str">
        <f t="shared" si="10"/>
        <v>saccharin-10mg/L</v>
      </c>
      <c r="K45" s="7" t="str">
        <f t="shared" si="10"/>
        <v>saccharin-1mg/L</v>
      </c>
      <c r="L45" s="7" t="str">
        <f t="shared" si="10"/>
        <v>saccharin-0.1mg/L</v>
      </c>
      <c r="M45" s="7" t="str">
        <f t="shared" si="10"/>
        <v>saccharin-0.01mg/L</v>
      </c>
      <c r="N45" s="7"/>
      <c r="O45" s="7" t="str">
        <f t="shared" si="10"/>
        <v>Testo -30µg/L</v>
      </c>
      <c r="P45" s="7" t="str">
        <f t="shared" si="10"/>
        <v>Testo 30µg/L + EE2 -64ng/L</v>
      </c>
      <c r="Q45" s="7" t="str">
        <f t="shared" si="10"/>
        <v>Testo 30µg/L + FAD-10mg/L</v>
      </c>
      <c r="R45" s="7" t="str">
        <f t="shared" si="10"/>
        <v>saccharin-100mg/L + Testostérone</v>
      </c>
      <c r="S45" s="7" t="str">
        <f t="shared" si="10"/>
        <v>saccharin-10mg/L + Testostérone</v>
      </c>
      <c r="T45" s="7" t="str">
        <f t="shared" si="10"/>
        <v>saccharin-1mg/L + Testostérone</v>
      </c>
      <c r="U45" s="7" t="str">
        <f t="shared" si="10"/>
        <v>saccharin-0.1mg/L + Testostérone</v>
      </c>
      <c r="V45" s="7" t="str">
        <f t="shared" si="10"/>
        <v>saccharin-0.01mg/L + Testostérone</v>
      </c>
    </row>
    <row r="46" spans="1:22">
      <c r="A46" s="8" t="s">
        <v>0</v>
      </c>
      <c r="B46" s="10">
        <f t="shared" ref="B46:H46" si="11">AVERAGE(B28:B43)</f>
        <v>0.36585186611770176</v>
      </c>
      <c r="C46" s="10">
        <f t="shared" si="11"/>
        <v>0.21778596324567384</v>
      </c>
      <c r="D46" s="10">
        <f t="shared" si="11"/>
        <v>0.69304175281225588</v>
      </c>
      <c r="E46" s="10">
        <f t="shared" si="11"/>
        <v>0.93818161669858724</v>
      </c>
      <c r="F46" s="10">
        <f t="shared" si="11"/>
        <v>1.897714845591155</v>
      </c>
      <c r="G46" s="10">
        <f t="shared" si="11"/>
        <v>1.9724602229659216</v>
      </c>
      <c r="H46" s="10">
        <f t="shared" si="11"/>
        <v>2.5969440066231826</v>
      </c>
      <c r="I46" s="10">
        <f>AVERAGE(I28:I43)</f>
        <v>0.18811393313032243</v>
      </c>
      <c r="J46" s="9">
        <f>AVERAGE(J28:J43)</f>
        <v>0.17485761520994653</v>
      </c>
      <c r="K46" s="9">
        <f t="shared" ref="K46:M46" si="12">AVERAGE(K28:K43)</f>
        <v>0.27633931643466453</v>
      </c>
      <c r="L46" s="9">
        <f t="shared" si="12"/>
        <v>7.7238926361965582E-2</v>
      </c>
      <c r="M46" s="9">
        <f t="shared" si="12"/>
        <v>0.15036909394541356</v>
      </c>
      <c r="N46" s="8" t="s">
        <v>0</v>
      </c>
      <c r="O46" s="10">
        <f t="shared" ref="O46:V46" si="13">AVERAGE(O28:O43)</f>
        <v>1</v>
      </c>
      <c r="P46" s="10">
        <f t="shared" si="13"/>
        <v>1.8730911996966069</v>
      </c>
      <c r="Q46" s="10">
        <f t="shared" si="13"/>
        <v>0.16743804108902341</v>
      </c>
      <c r="R46" s="10">
        <f t="shared" si="13"/>
        <v>0.62450749109414228</v>
      </c>
      <c r="S46" s="10">
        <f t="shared" si="13"/>
        <v>0.6348601524101064</v>
      </c>
      <c r="T46" s="10">
        <f t="shared" si="13"/>
        <v>0.58359342157039584</v>
      </c>
      <c r="U46" s="10">
        <f t="shared" si="13"/>
        <v>0.9041492612465839</v>
      </c>
      <c r="V46" s="10">
        <f t="shared" si="13"/>
        <v>1.0607992129507879</v>
      </c>
    </row>
    <row r="47" spans="1:22">
      <c r="A47" s="8" t="s">
        <v>1</v>
      </c>
      <c r="B47" s="8">
        <f t="shared" ref="B47:M47" si="14">STDEV(B28:B43)</f>
        <v>0.21186262019587654</v>
      </c>
      <c r="C47" s="8">
        <f t="shared" si="14"/>
        <v>0.16699970385281412</v>
      </c>
      <c r="D47" s="8">
        <f t="shared" si="14"/>
        <v>0.97479934246669508</v>
      </c>
      <c r="E47" s="8">
        <f t="shared" si="14"/>
        <v>0.54660420067987414</v>
      </c>
      <c r="F47" s="8">
        <f t="shared" si="14"/>
        <v>0.81969335021771694</v>
      </c>
      <c r="G47" s="8">
        <f t="shared" si="14"/>
        <v>0.6326540443668931</v>
      </c>
      <c r="H47" s="8">
        <f t="shared" si="14"/>
        <v>0.91717236287519222</v>
      </c>
      <c r="I47" s="8">
        <f t="shared" si="14"/>
        <v>9.1598858668070771E-2</v>
      </c>
      <c r="J47" s="8">
        <f t="shared" si="14"/>
        <v>0.15695953090272169</v>
      </c>
      <c r="K47" s="8">
        <f t="shared" si="14"/>
        <v>0.18588799071290102</v>
      </c>
      <c r="L47" s="8">
        <f t="shared" si="14"/>
        <v>0.10330708464071585</v>
      </c>
      <c r="M47" s="8">
        <f t="shared" si="14"/>
        <v>9.0177810028097993E-2</v>
      </c>
      <c r="N47" s="8" t="s">
        <v>1</v>
      </c>
      <c r="O47" s="8">
        <f t="shared" ref="O47:V47" si="15">STDEV(O28:O43)</f>
        <v>0.62151078361142953</v>
      </c>
      <c r="P47" s="8">
        <f t="shared" si="15"/>
        <v>0.64406599537954523</v>
      </c>
      <c r="Q47" s="8">
        <f t="shared" si="15"/>
        <v>9.5173140678839016E-2</v>
      </c>
      <c r="R47" s="8">
        <f t="shared" si="15"/>
        <v>0.20521207756568535</v>
      </c>
      <c r="S47" s="8">
        <f t="shared" si="15"/>
        <v>0.24898655801091737</v>
      </c>
      <c r="T47" s="8">
        <f t="shared" si="15"/>
        <v>0.29574558652306404</v>
      </c>
      <c r="U47" s="8">
        <f t="shared" si="15"/>
        <v>0.32465057178063195</v>
      </c>
      <c r="V47" s="8">
        <f t="shared" si="15"/>
        <v>0.61302997330722164</v>
      </c>
    </row>
    <row r="48" spans="1:22">
      <c r="A48" s="8" t="s">
        <v>2</v>
      </c>
      <c r="B48" s="8">
        <f t="shared" ref="B48:M48" si="16" xml:space="preserve"> B47/SQRT(COUNT(B28:B43))</f>
        <v>7.4904747710227149E-2</v>
      </c>
      <c r="C48" s="8">
        <f t="shared" si="16"/>
        <v>5.904331152523503E-2</v>
      </c>
      <c r="D48" s="8">
        <f t="shared" si="16"/>
        <v>0.34464361267719384</v>
      </c>
      <c r="E48" s="8">
        <f t="shared" si="16"/>
        <v>0.19325376846289571</v>
      </c>
      <c r="F48" s="8">
        <f t="shared" si="16"/>
        <v>0.28980536321623362</v>
      </c>
      <c r="G48" s="8">
        <f t="shared" si="16"/>
        <v>0.22367698245846249</v>
      </c>
      <c r="H48" s="8">
        <f t="shared" si="16"/>
        <v>0.32426939865296861</v>
      </c>
      <c r="I48" s="8">
        <f t="shared" si="16"/>
        <v>3.2385087056570505E-2</v>
      </c>
      <c r="J48" s="8">
        <f t="shared" si="16"/>
        <v>5.5493574336586984E-2</v>
      </c>
      <c r="K48" s="8">
        <f t="shared" si="16"/>
        <v>6.5721329387117139E-2</v>
      </c>
      <c r="L48" s="8">
        <f t="shared" si="16"/>
        <v>3.6524570047031399E-2</v>
      </c>
      <c r="M48" s="8">
        <f t="shared" si="16"/>
        <v>3.1882670491710167E-2</v>
      </c>
      <c r="N48" s="8" t="s">
        <v>2</v>
      </c>
      <c r="O48" s="8">
        <f t="shared" ref="O48:V48" si="17" xml:space="preserve"> O47/SQRT(COUNT(O28:O43))</f>
        <v>0.15537769590285738</v>
      </c>
      <c r="P48" s="8">
        <f t="shared" si="17"/>
        <v>0.22771171643227001</v>
      </c>
      <c r="Q48" s="8">
        <f t="shared" si="17"/>
        <v>3.3648786580414161E-2</v>
      </c>
      <c r="R48" s="8">
        <f t="shared" si="17"/>
        <v>7.2553425814037939E-2</v>
      </c>
      <c r="S48" s="8">
        <f t="shared" si="17"/>
        <v>8.8030041796908681E-2</v>
      </c>
      <c r="T48" s="8">
        <f t="shared" si="17"/>
        <v>0.1045618548682257</v>
      </c>
      <c r="U48" s="8">
        <f t="shared" si="17"/>
        <v>0.11478131041108743</v>
      </c>
      <c r="V48" s="8">
        <f t="shared" si="17"/>
        <v>0.23170355079992466</v>
      </c>
    </row>
    <row r="49" spans="1:22" ht="15.75" thickBot="1">
      <c r="A49" s="8"/>
      <c r="B49" s="8"/>
      <c r="C49" s="8"/>
      <c r="D49" s="8"/>
      <c r="E49" s="8"/>
      <c r="F49" s="8"/>
      <c r="G49" s="8"/>
      <c r="H49" s="8"/>
      <c r="I49" s="8"/>
      <c r="J49" s="8"/>
      <c r="K49" s="8"/>
      <c r="L49" s="8"/>
      <c r="M49" s="8"/>
      <c r="N49" s="8"/>
      <c r="O49" s="8"/>
      <c r="P49" s="8"/>
      <c r="Q49" s="8"/>
      <c r="R49" s="8"/>
      <c r="S49" s="8"/>
      <c r="T49" s="8"/>
      <c r="U49" s="8"/>
      <c r="V49" s="8"/>
    </row>
    <row r="50" spans="1:22" ht="27" thickBot="1">
      <c r="A50" s="143" t="s">
        <v>24</v>
      </c>
      <c r="B50" s="144"/>
      <c r="C50" s="144"/>
      <c r="D50" s="144"/>
      <c r="E50" s="144"/>
      <c r="F50" s="144"/>
      <c r="G50" s="144"/>
      <c r="H50" s="144"/>
      <c r="I50" s="144"/>
      <c r="J50" s="144"/>
      <c r="K50" s="144"/>
      <c r="L50" s="144"/>
      <c r="M50" s="144"/>
      <c r="N50" s="144"/>
      <c r="O50" s="144"/>
      <c r="P50" s="144"/>
      <c r="Q50" s="144"/>
      <c r="R50" s="144"/>
      <c r="S50" s="144"/>
      <c r="T50" s="144"/>
      <c r="U50" s="144"/>
      <c r="V50" s="144"/>
    </row>
    <row r="51" spans="1:22" ht="15.75" thickBot="1"/>
    <row r="52" spans="1:22">
      <c r="A52" s="29" t="str">
        <f t="shared" ref="A52:H52" si="18">A27</f>
        <v>Noms des groupes</v>
      </c>
      <c r="B52" s="30" t="str">
        <f t="shared" si="18"/>
        <v>Solvent control</v>
      </c>
      <c r="C52" s="30" t="str">
        <f t="shared" si="18"/>
        <v>EE2-33.8ng/L</v>
      </c>
      <c r="D52" s="30" t="str">
        <f t="shared" si="18"/>
        <v>EE2-50.6ng/L</v>
      </c>
      <c r="E52" s="30" t="str">
        <f t="shared" si="18"/>
        <v>EE2-76ng/L</v>
      </c>
      <c r="F52" s="30" t="str">
        <f t="shared" si="18"/>
        <v>EE2-114ng/L</v>
      </c>
      <c r="G52" s="30" t="str">
        <f t="shared" si="18"/>
        <v>EE2-170.9ng/L</v>
      </c>
      <c r="H52" s="30" t="str">
        <f t="shared" si="18"/>
        <v>EE2-488ng/L</v>
      </c>
      <c r="I52" s="30" t="str">
        <f>I4</f>
        <v>saccharin-100mg/L</v>
      </c>
      <c r="J52" s="30" t="str">
        <f>J4</f>
        <v>saccharin-10mg/L</v>
      </c>
      <c r="K52" s="30" t="str">
        <f t="shared" ref="K52:M52" si="19">K4</f>
        <v>saccharin-1mg/L</v>
      </c>
      <c r="L52" s="30" t="str">
        <f t="shared" si="19"/>
        <v>saccharin-0.1mg/L</v>
      </c>
      <c r="M52" s="30" t="str">
        <f t="shared" si="19"/>
        <v>saccharin-0.01mg/L</v>
      </c>
      <c r="N52" s="31"/>
      <c r="O52" s="30" t="str">
        <f>O27</f>
        <v>Testo -30µg/L</v>
      </c>
      <c r="P52" s="30" t="str">
        <f>P27</f>
        <v>Testo 30µg/L + EE2 -64ng/L</v>
      </c>
      <c r="Q52" s="30" t="str">
        <f>Q27</f>
        <v>Testo 30µg/L + FAD-10mg/L</v>
      </c>
      <c r="R52" s="30" t="str">
        <f>R27</f>
        <v>saccharin-100mg/L + Testostérone</v>
      </c>
      <c r="S52" s="30" t="str">
        <f t="shared" ref="S52:V52" si="20">S27</f>
        <v>saccharin-10mg/L + Testostérone</v>
      </c>
      <c r="T52" s="30" t="str">
        <f t="shared" si="20"/>
        <v>saccharin-1mg/L + Testostérone</v>
      </c>
      <c r="U52" s="30" t="str">
        <f t="shared" si="20"/>
        <v>saccharin-0.1mg/L + Testostérone</v>
      </c>
      <c r="V52" s="30" t="str">
        <f t="shared" si="20"/>
        <v>saccharin-0.01mg/L + Testostérone</v>
      </c>
    </row>
    <row r="53" spans="1:22" s="3" customFormat="1">
      <c r="A53" s="45" t="s">
        <v>15</v>
      </c>
      <c r="B53" s="77">
        <f t="shared" ref="B53:V53" si="21">B46</f>
        <v>0.36585186611770176</v>
      </c>
      <c r="C53" s="77">
        <f t="shared" si="21"/>
        <v>0.21778596324567384</v>
      </c>
      <c r="D53" s="77">
        <f t="shared" si="21"/>
        <v>0.69304175281225588</v>
      </c>
      <c r="E53" s="77">
        <f t="shared" si="21"/>
        <v>0.93818161669858724</v>
      </c>
      <c r="F53" s="77">
        <f t="shared" si="21"/>
        <v>1.897714845591155</v>
      </c>
      <c r="G53" s="77">
        <f t="shared" si="21"/>
        <v>1.9724602229659216</v>
      </c>
      <c r="H53" s="77">
        <f t="shared" si="21"/>
        <v>2.5969440066231826</v>
      </c>
      <c r="I53" s="77">
        <f t="shared" si="21"/>
        <v>0.18811393313032243</v>
      </c>
      <c r="J53" s="77">
        <f t="shared" si="21"/>
        <v>0.17485761520994653</v>
      </c>
      <c r="K53" s="77">
        <f t="shared" si="21"/>
        <v>0.27633931643466453</v>
      </c>
      <c r="L53" s="77">
        <f t="shared" si="21"/>
        <v>7.7238926361965582E-2</v>
      </c>
      <c r="M53" s="77">
        <f t="shared" si="21"/>
        <v>0.15036909394541356</v>
      </c>
      <c r="N53" s="77"/>
      <c r="O53" s="77">
        <f t="shared" si="21"/>
        <v>1</v>
      </c>
      <c r="P53" s="77">
        <f t="shared" si="21"/>
        <v>1.8730911996966069</v>
      </c>
      <c r="Q53" s="77">
        <f t="shared" si="21"/>
        <v>0.16743804108902341</v>
      </c>
      <c r="R53" s="77">
        <f t="shared" si="21"/>
        <v>0.62450749109414228</v>
      </c>
      <c r="S53" s="77">
        <f t="shared" si="21"/>
        <v>0.6348601524101064</v>
      </c>
      <c r="T53" s="77">
        <f t="shared" si="21"/>
        <v>0.58359342157039584</v>
      </c>
      <c r="U53" s="77">
        <f t="shared" si="21"/>
        <v>0.9041492612465839</v>
      </c>
      <c r="V53" s="77">
        <f t="shared" si="21"/>
        <v>1.0607992129507879</v>
      </c>
    </row>
    <row r="54" spans="1:22" s="3" customFormat="1">
      <c r="A54" s="45" t="s">
        <v>2</v>
      </c>
      <c r="B54" s="77">
        <f t="shared" ref="B54:V54" si="22">B48</f>
        <v>7.4904747710227149E-2</v>
      </c>
      <c r="C54" s="77">
        <f t="shared" si="22"/>
        <v>5.904331152523503E-2</v>
      </c>
      <c r="D54" s="77">
        <f t="shared" si="22"/>
        <v>0.34464361267719384</v>
      </c>
      <c r="E54" s="77">
        <f t="shared" si="22"/>
        <v>0.19325376846289571</v>
      </c>
      <c r="F54" s="77">
        <f t="shared" si="22"/>
        <v>0.28980536321623362</v>
      </c>
      <c r="G54" s="77">
        <f t="shared" si="22"/>
        <v>0.22367698245846249</v>
      </c>
      <c r="H54" s="77">
        <f t="shared" si="22"/>
        <v>0.32426939865296861</v>
      </c>
      <c r="I54" s="77">
        <f t="shared" si="22"/>
        <v>3.2385087056570505E-2</v>
      </c>
      <c r="J54" s="77">
        <f t="shared" si="22"/>
        <v>5.5493574336586984E-2</v>
      </c>
      <c r="K54" s="77">
        <f t="shared" si="22"/>
        <v>6.5721329387117139E-2</v>
      </c>
      <c r="L54" s="77">
        <f t="shared" si="22"/>
        <v>3.6524570047031399E-2</v>
      </c>
      <c r="M54" s="77">
        <f t="shared" si="22"/>
        <v>3.1882670491710167E-2</v>
      </c>
      <c r="N54" s="77"/>
      <c r="O54" s="77">
        <f t="shared" si="22"/>
        <v>0.15537769590285738</v>
      </c>
      <c r="P54" s="77">
        <f t="shared" si="22"/>
        <v>0.22771171643227001</v>
      </c>
      <c r="Q54" s="77">
        <f t="shared" si="22"/>
        <v>3.3648786580414161E-2</v>
      </c>
      <c r="R54" s="77">
        <f t="shared" si="22"/>
        <v>7.2553425814037939E-2</v>
      </c>
      <c r="S54" s="77">
        <f t="shared" si="22"/>
        <v>8.8030041796908681E-2</v>
      </c>
      <c r="T54" s="77">
        <f t="shared" si="22"/>
        <v>0.1045618548682257</v>
      </c>
      <c r="U54" s="77">
        <f t="shared" si="22"/>
        <v>0.11478131041108743</v>
      </c>
      <c r="V54" s="77">
        <f t="shared" si="22"/>
        <v>0.23170355079992466</v>
      </c>
    </row>
    <row r="55" spans="1:22" s="3" customFormat="1">
      <c r="A55" s="45" t="s">
        <v>42</v>
      </c>
      <c r="B55" s="77">
        <f>(B53*100/$B53)-100</f>
        <v>0</v>
      </c>
      <c r="C55" s="77">
        <f t="shared" ref="C55:M55" si="23">(C53*100/$B53)-100</f>
        <v>-40.471545066382738</v>
      </c>
      <c r="D55" s="77">
        <f t="shared" si="23"/>
        <v>89.432340517101693</v>
      </c>
      <c r="E55" s="77">
        <f t="shared" si="23"/>
        <v>156.43756492327299</v>
      </c>
      <c r="F55" s="77">
        <f t="shared" si="23"/>
        <v>418.71126577242126</v>
      </c>
      <c r="G55" s="77">
        <f t="shared" si="23"/>
        <v>439.14176901624501</v>
      </c>
      <c r="H55" s="77">
        <f t="shared" si="23"/>
        <v>609.83483948874925</v>
      </c>
      <c r="I55" s="77">
        <f t="shared" si="23"/>
        <v>-48.581939699659074</v>
      </c>
      <c r="J55" s="77">
        <f t="shared" si="23"/>
        <v>-52.205351016662192</v>
      </c>
      <c r="K55" s="77">
        <f t="shared" si="23"/>
        <v>-24.46688345010088</v>
      </c>
      <c r="L55" s="77">
        <f t="shared" si="23"/>
        <v>-78.887923360457506</v>
      </c>
      <c r="M55" s="77">
        <f t="shared" si="23"/>
        <v>-58.898912955923848</v>
      </c>
      <c r="N55" s="77"/>
      <c r="O55" s="77">
        <f>(O53*100/$O53)-100</f>
        <v>0</v>
      </c>
      <c r="P55" s="77">
        <f t="shared" ref="P55:V55" si="24">(P53*100/$O53)-100</f>
        <v>87.309119969660685</v>
      </c>
      <c r="Q55" s="77">
        <f t="shared" si="24"/>
        <v>-83.256195891097661</v>
      </c>
      <c r="R55" s="77">
        <f t="shared" si="24"/>
        <v>-37.549250890585775</v>
      </c>
      <c r="S55" s="77">
        <f t="shared" si="24"/>
        <v>-36.513984758989359</v>
      </c>
      <c r="T55" s="77">
        <f t="shared" si="24"/>
        <v>-41.640657842960415</v>
      </c>
      <c r="U55" s="77">
        <f t="shared" si="24"/>
        <v>-9.5850738753416067</v>
      </c>
      <c r="V55" s="77">
        <f t="shared" si="24"/>
        <v>6.0799212950787904</v>
      </c>
    </row>
    <row r="56" spans="1:22" s="3" customFormat="1">
      <c r="A56" s="45" t="s">
        <v>43</v>
      </c>
      <c r="B56" s="77" t="e">
        <f ca="1">[1]!SWTEST(B28:B43)</f>
        <v>#NAME?</v>
      </c>
      <c r="C56" s="77" t="e">
        <f ca="1">[1]!SWTEST(C28:C43)</f>
        <v>#NAME?</v>
      </c>
      <c r="D56" s="77" t="e">
        <f ca="1">[1]!SWTEST(D28:D43)</f>
        <v>#NAME?</v>
      </c>
      <c r="E56" s="77" t="e">
        <f ca="1">[1]!SWTEST(E28:E43)</f>
        <v>#NAME?</v>
      </c>
      <c r="F56" s="77" t="e">
        <f ca="1">[1]!SWTEST(F28:F43)</f>
        <v>#NAME?</v>
      </c>
      <c r="G56" s="77" t="e">
        <f ca="1">[1]!SWTEST(G28:G43)</f>
        <v>#NAME?</v>
      </c>
      <c r="H56" s="77" t="e">
        <f ca="1">[1]!SWTEST(H28:H43)</f>
        <v>#NAME?</v>
      </c>
      <c r="I56" s="77" t="e">
        <f ca="1">[1]!SWTEST(I28:I43)</f>
        <v>#NAME?</v>
      </c>
      <c r="J56" s="77" t="e">
        <f ca="1">[1]!SWTEST(J28:J43)</f>
        <v>#NAME?</v>
      </c>
      <c r="K56" s="77" t="e">
        <f ca="1">[1]!SWTEST(K28:K43)</f>
        <v>#NAME?</v>
      </c>
      <c r="L56" s="77" t="e">
        <f ca="1">[1]!SWTEST(L28:L43)</f>
        <v>#NAME?</v>
      </c>
      <c r="M56" s="77" t="e">
        <f ca="1">[1]!SWTEST(M28:M43)</f>
        <v>#NAME?</v>
      </c>
      <c r="N56" s="77"/>
      <c r="O56" s="77" t="e">
        <f ca="1">[1]!SWTEST(O28:O43)</f>
        <v>#NAME?</v>
      </c>
      <c r="P56" s="77" t="e">
        <f ca="1">[1]!SWTEST(P28:P43)</f>
        <v>#NAME?</v>
      </c>
      <c r="Q56" s="77" t="e">
        <f ca="1">[1]!SWTEST(Q28:Q43)</f>
        <v>#NAME?</v>
      </c>
      <c r="R56" s="77" t="e">
        <f ca="1">[1]!SWTEST(R28:R43)</f>
        <v>#NAME?</v>
      </c>
      <c r="S56" s="77" t="e">
        <f ca="1">[1]!SWTEST(S28:S43)</f>
        <v>#NAME?</v>
      </c>
      <c r="T56" s="77" t="e">
        <f ca="1">[1]!SWTEST(T28:T43)</f>
        <v>#NAME?</v>
      </c>
      <c r="U56" s="77" t="e">
        <f ca="1">[1]!SWTEST(U28:U43)</f>
        <v>#NAME?</v>
      </c>
      <c r="V56" s="77" t="e">
        <f ca="1">[1]!SWTEST(V28:V43)</f>
        <v>#NAME?</v>
      </c>
    </row>
    <row r="57" spans="1:22" s="3" customFormat="1">
      <c r="A57" s="45" t="s">
        <v>47</v>
      </c>
      <c r="B57" s="77" t="e">
        <f ca="1">IF(B56&gt;0.05,"Oui","Non")</f>
        <v>#NAME?</v>
      </c>
      <c r="C57" s="77" t="e">
        <f t="shared" ref="C57:V57" ca="1" si="25">IF(C56&gt;0.05,"Oui","Non")</f>
        <v>#NAME?</v>
      </c>
      <c r="D57" s="77" t="e">
        <f t="shared" ca="1" si="25"/>
        <v>#NAME?</v>
      </c>
      <c r="E57" s="77" t="e">
        <f t="shared" ca="1" si="25"/>
        <v>#NAME?</v>
      </c>
      <c r="F57" s="77" t="e">
        <f t="shared" ca="1" si="25"/>
        <v>#NAME?</v>
      </c>
      <c r="G57" s="77" t="e">
        <f t="shared" ca="1" si="25"/>
        <v>#NAME?</v>
      </c>
      <c r="H57" s="77" t="e">
        <f t="shared" ca="1" si="25"/>
        <v>#NAME?</v>
      </c>
      <c r="I57" s="77" t="e">
        <f t="shared" ca="1" si="25"/>
        <v>#NAME?</v>
      </c>
      <c r="J57" s="77" t="e">
        <f t="shared" ca="1" si="25"/>
        <v>#NAME?</v>
      </c>
      <c r="K57" s="77" t="e">
        <f t="shared" ca="1" si="25"/>
        <v>#NAME?</v>
      </c>
      <c r="L57" s="77" t="e">
        <f t="shared" ca="1" si="25"/>
        <v>#NAME?</v>
      </c>
      <c r="M57" s="77" t="e">
        <f t="shared" ca="1" si="25"/>
        <v>#NAME?</v>
      </c>
      <c r="N57" s="77"/>
      <c r="O57" s="77" t="e">
        <f t="shared" ca="1" si="25"/>
        <v>#NAME?</v>
      </c>
      <c r="P57" s="77" t="e">
        <f t="shared" ca="1" si="25"/>
        <v>#NAME?</v>
      </c>
      <c r="Q57" s="77" t="e">
        <f t="shared" ca="1" si="25"/>
        <v>#NAME?</v>
      </c>
      <c r="R57" s="77" t="e">
        <f t="shared" ca="1" si="25"/>
        <v>#NAME?</v>
      </c>
      <c r="S57" s="77" t="e">
        <f t="shared" ca="1" si="25"/>
        <v>#NAME?</v>
      </c>
      <c r="T57" s="77" t="e">
        <f t="shared" ca="1" si="25"/>
        <v>#NAME?</v>
      </c>
      <c r="U57" s="77" t="e">
        <f t="shared" ca="1" si="25"/>
        <v>#NAME?</v>
      </c>
      <c r="V57" s="77" t="e">
        <f t="shared" ca="1" si="25"/>
        <v>#NAME?</v>
      </c>
    </row>
    <row r="58" spans="1:22" s="3" customFormat="1">
      <c r="A58" s="45"/>
      <c r="B58" s="77"/>
      <c r="C58" s="77"/>
      <c r="D58" s="77"/>
      <c r="E58" s="77"/>
      <c r="F58" s="77"/>
      <c r="G58" s="77"/>
      <c r="H58" s="77"/>
      <c r="I58" s="77"/>
      <c r="J58" s="77"/>
      <c r="K58" s="77"/>
      <c r="L58" s="77"/>
      <c r="M58" s="77"/>
      <c r="N58" s="79"/>
      <c r="O58" s="80"/>
      <c r="P58" s="77"/>
      <c r="Q58" s="77"/>
      <c r="R58" s="77"/>
      <c r="S58" s="77"/>
      <c r="T58" s="77"/>
      <c r="U58" s="77"/>
      <c r="V58" s="77"/>
    </row>
    <row r="59" spans="1:22" s="3" customFormat="1">
      <c r="A59" s="45" t="s">
        <v>44</v>
      </c>
      <c r="B59" s="81"/>
      <c r="C59" s="81" t="e">
        <f t="shared" ref="C59:O59" ca="1" si="26">IF($B57="Non",IF(C57="Non","MW",IF(C57="Oui","MW","")),IF($B57="Oui",IF(C57="Oui","T-Test Welch",IF(C57="Non","MW",""))))</f>
        <v>#NAME?</v>
      </c>
      <c r="D59" s="81" t="e">
        <f t="shared" ca="1" si="26"/>
        <v>#NAME?</v>
      </c>
      <c r="E59" s="81" t="e">
        <f t="shared" ca="1" si="26"/>
        <v>#NAME?</v>
      </c>
      <c r="F59" s="81" t="e">
        <f t="shared" ca="1" si="26"/>
        <v>#NAME?</v>
      </c>
      <c r="G59" s="81" t="e">
        <f t="shared" ca="1" si="26"/>
        <v>#NAME?</v>
      </c>
      <c r="H59" s="81" t="e">
        <f t="shared" ca="1" si="26"/>
        <v>#NAME?</v>
      </c>
      <c r="I59" s="81" t="e">
        <f t="shared" ca="1" si="26"/>
        <v>#NAME?</v>
      </c>
      <c r="J59" s="81" t="e">
        <f t="shared" ca="1" si="26"/>
        <v>#NAME?</v>
      </c>
      <c r="K59" s="81" t="e">
        <f t="shared" ca="1" si="26"/>
        <v>#NAME?</v>
      </c>
      <c r="L59" s="81" t="e">
        <f t="shared" ca="1" si="26"/>
        <v>#NAME?</v>
      </c>
      <c r="M59" s="81" t="e">
        <f t="shared" ca="1" si="26"/>
        <v>#NAME?</v>
      </c>
      <c r="N59" s="81"/>
      <c r="O59" s="81" t="e">
        <f t="shared" ca="1" si="26"/>
        <v>#NAME?</v>
      </c>
      <c r="P59" s="81" t="e">
        <f ca="1">IF($O57="Non",IF(P57="Non","MW",IF(P57="Oui","MW","")),IF($O57="Oui",IF(P57="Oui","T-Test Welch",IF(P57="Non","MW",""))))</f>
        <v>#NAME?</v>
      </c>
      <c r="Q59" s="81" t="e">
        <f t="shared" ref="Q59:V59" ca="1" si="27">IF($O57="Non",IF(Q57="Non","MW",IF(Q57="Oui","MW","")),IF($O57="Oui",IF(Q57="Oui","T-Test Welch",IF(Q57="Non","MW",""))))</f>
        <v>#NAME?</v>
      </c>
      <c r="R59" s="81" t="e">
        <f t="shared" ca="1" si="27"/>
        <v>#NAME?</v>
      </c>
      <c r="S59" s="81" t="e">
        <f t="shared" ca="1" si="27"/>
        <v>#NAME?</v>
      </c>
      <c r="T59" s="81" t="e">
        <f t="shared" ca="1" si="27"/>
        <v>#NAME?</v>
      </c>
      <c r="U59" s="81" t="e">
        <f t="shared" ca="1" si="27"/>
        <v>#NAME?</v>
      </c>
      <c r="V59" s="81" t="e">
        <f t="shared" ca="1" si="27"/>
        <v>#NAME?</v>
      </c>
    </row>
    <row r="60" spans="1:22" s="3" customFormat="1">
      <c r="A60" s="45" t="s">
        <v>45</v>
      </c>
      <c r="B60" s="82"/>
      <c r="C60" s="82" t="e">
        <f ca="1">IF(C59="MW",[1]!MTEST($B28:$B43,C28:C43,2), IF(C59="T-Test Welch",_xlfn.T.TEST($B28:$B43,C28:C43,2,3),""))</f>
        <v>#NAME?</v>
      </c>
      <c r="D60" s="82" t="e">
        <f ca="1">IF(D59="MW",[1]!MTEST($B28:$B43,D28:D43,2), IF(D59="T-Test Welch",_xlfn.T.TEST($B28:$B43,D28:D43,2,3),""))</f>
        <v>#NAME?</v>
      </c>
      <c r="E60" s="82" t="e">
        <f ca="1">IF(E59="MW",[1]!MTEST($B28:$B43,E28:E43,2), IF(E59="T-Test Welch",_xlfn.T.TEST($B28:$B43,E28:E43,2,3),""))</f>
        <v>#NAME?</v>
      </c>
      <c r="F60" s="82" t="e">
        <f ca="1">IF(F59="MW",[1]!MTEST($B28:$B43,F28:F43,2), IF(F59="T-Test Welch",_xlfn.T.TEST($B28:$B43,F28:F43,2,3),""))</f>
        <v>#NAME?</v>
      </c>
      <c r="G60" s="82" t="e">
        <f ca="1">IF(G59="MW",[1]!MTEST($B28:$B43,G28:G43,2), IF(G59="T-Test Welch",_xlfn.T.TEST($B28:$B43,G28:G43,2,3),""))</f>
        <v>#NAME?</v>
      </c>
      <c r="H60" s="82" t="e">
        <f ca="1">IF(H59="MW",[1]!MTEST($B28:$B43,H28:H43,2), IF(H59="T-Test Welch",_xlfn.T.TEST($B28:$B43,H28:H43,2,3),""))</f>
        <v>#NAME?</v>
      </c>
      <c r="I60" s="82" t="e">
        <f ca="1">IF(I59="MW",[1]!MTEST($B28:$B43,I28:I43,2), IF(I59="T-Test Welch",_xlfn.T.TEST($B28:$B43,I28:I43,2,3),""))</f>
        <v>#NAME?</v>
      </c>
      <c r="J60" s="82" t="e">
        <f ca="1">IF(J59="MW",[1]!MTEST($B28:$B43,J28:J43,2), IF(J59="T-Test Welch",_xlfn.T.TEST($B28:$B43,J28:J43,2,3),""))</f>
        <v>#NAME?</v>
      </c>
      <c r="K60" s="82" t="e">
        <f ca="1">IF(K59="MW",[1]!MTEST($B28:$B43,K28:K43,2), IF(K59="T-Test Welch",_xlfn.T.TEST($B28:$B43,K28:K43,2,3),""))</f>
        <v>#NAME?</v>
      </c>
      <c r="L60" s="82" t="e">
        <f ca="1">IF(L59="MW",[1]!MTEST($B28:$B43,L28:L43,2), IF(L59="T-Test Welch",_xlfn.T.TEST($B28:$B43,L28:L43,2,3),""))</f>
        <v>#NAME?</v>
      </c>
      <c r="M60" s="82" t="e">
        <f ca="1">IF(M59="MW",[1]!MTEST($B28:$B43,M28:M43,2), IF(M59="T-Test Welch",_xlfn.T.TEST($B28:$B43,M28:M43,2,3),""))</f>
        <v>#NAME?</v>
      </c>
      <c r="N60" s="82"/>
      <c r="O60" s="82" t="e">
        <f ca="1">IF(O59="MW",[1]!MTEST($B28:$B43,O28:O43,2), IF(O59="T-Test Welch",_xlfn.T.TEST($B28:$B43,O28:O43,2,3),""))</f>
        <v>#NAME?</v>
      </c>
      <c r="P60" s="82" t="e">
        <f ca="1">IF(P59="MW",[1]!MTEST($O28:$O43,P28:P43,2), IF(P59="T-Test Welch",_xlfn.T.TEST($O28:$O43,P28:P43,2,3),""))</f>
        <v>#NAME?</v>
      </c>
      <c r="Q60" s="82" t="e">
        <f ca="1">IF(Q59="MW",[1]!MTEST($O28:$O43,Q28:Q43,2), IF(Q59="T-Test Welch",_xlfn.T.TEST($O28:$O43,Q28:Q43,2,3),""))</f>
        <v>#NAME?</v>
      </c>
      <c r="R60" s="82" t="e">
        <f ca="1">IF(R59="MW",[1]!MTEST($O28:$O43,R28:R43,2), IF(R59="T-Test Welch",_xlfn.T.TEST($O28:$O43,R28:R43,2,3),""))</f>
        <v>#NAME?</v>
      </c>
      <c r="S60" s="82" t="e">
        <f ca="1">IF(S59="MW",[1]!MTEST($O28:$O43,S28:S43,2), IF(S59="T-Test Welch",_xlfn.T.TEST($O28:$O43,S28:S43,2,3),""))</f>
        <v>#NAME?</v>
      </c>
      <c r="T60" s="82" t="e">
        <f ca="1">IF(T59="MW",[1]!MTEST($O28:$O43,T28:T43,2), IF(T59="T-Test Welch",_xlfn.T.TEST($O28:$O43,T28:T43,2,3),""))</f>
        <v>#NAME?</v>
      </c>
      <c r="U60" s="82" t="e">
        <f ca="1">IF(U59="MW",[1]!MTEST($O28:$O43,U28:U43,2), IF(U59="T-Test Welch",_xlfn.T.TEST($O28:$O43,U28:U43,2,3),""))</f>
        <v>#NAME?</v>
      </c>
      <c r="V60" s="82" t="e">
        <f ca="1">IF(V59="MW",[1]!MTEST($O28:$O43,V28:V43,2), IF(V59="T-Test Welch",_xlfn.T.TEST($O28:$O43,V28:V43,2,3),""))</f>
        <v>#NAME?</v>
      </c>
    </row>
    <row r="61" spans="1:22" s="3" customFormat="1" ht="15.75" thickBot="1">
      <c r="A61" s="46" t="s">
        <v>46</v>
      </c>
      <c r="B61" s="78"/>
      <c r="C61" s="78" t="e">
        <f t="shared" ref="C61:O61" ca="1" si="28">IF(C60&gt;0.05,"NS",IF(C60&gt;0.01,"*",IF(C60&gt;0.001,"**","***")))</f>
        <v>#NAME?</v>
      </c>
      <c r="D61" s="78" t="e">
        <f t="shared" ca="1" si="28"/>
        <v>#NAME?</v>
      </c>
      <c r="E61" s="78" t="e">
        <f t="shared" ca="1" si="28"/>
        <v>#NAME?</v>
      </c>
      <c r="F61" s="78" t="e">
        <f t="shared" ca="1" si="28"/>
        <v>#NAME?</v>
      </c>
      <c r="G61" s="78" t="e">
        <f t="shared" ca="1" si="28"/>
        <v>#NAME?</v>
      </c>
      <c r="H61" s="78" t="e">
        <f t="shared" ca="1" si="28"/>
        <v>#NAME?</v>
      </c>
      <c r="I61" s="78" t="e">
        <f t="shared" ca="1" si="28"/>
        <v>#NAME?</v>
      </c>
      <c r="J61" s="78" t="e">
        <f t="shared" ca="1" si="28"/>
        <v>#NAME?</v>
      </c>
      <c r="K61" s="78" t="e">
        <f t="shared" ca="1" si="28"/>
        <v>#NAME?</v>
      </c>
      <c r="L61" s="78" t="e">
        <f t="shared" ca="1" si="28"/>
        <v>#NAME?</v>
      </c>
      <c r="M61" s="78" t="e">
        <f t="shared" ca="1" si="28"/>
        <v>#NAME?</v>
      </c>
      <c r="N61" s="78"/>
      <c r="O61" s="78" t="e">
        <f t="shared" ca="1" si="28"/>
        <v>#NAME?</v>
      </c>
      <c r="P61" s="78" t="e">
        <f ca="1">IF(P60&gt;0.05,"NS",IF(P60&gt;0.01,"*",IF(P60&gt;0.001,"**","***")))</f>
        <v>#NAME?</v>
      </c>
      <c r="Q61" s="78" t="e">
        <f t="shared" ref="Q61:V61" ca="1" si="29">IF(Q60&gt;0.05,"NS",IF(Q60&gt;0.01,"*",IF(Q60&gt;0.001,"**","***")))</f>
        <v>#NAME?</v>
      </c>
      <c r="R61" s="78" t="e">
        <f t="shared" ca="1" si="29"/>
        <v>#NAME?</v>
      </c>
      <c r="S61" s="78" t="e">
        <f t="shared" ca="1" si="29"/>
        <v>#NAME?</v>
      </c>
      <c r="T61" s="78" t="e">
        <f t="shared" ca="1" si="29"/>
        <v>#NAME?</v>
      </c>
      <c r="U61" s="78" t="e">
        <f t="shared" ca="1" si="29"/>
        <v>#NAME?</v>
      </c>
      <c r="V61" s="78" t="e">
        <f t="shared" ca="1" si="29"/>
        <v>#NAME?</v>
      </c>
    </row>
    <row r="63" spans="1:22">
      <c r="A63" s="2" t="s">
        <v>20</v>
      </c>
    </row>
    <row r="64" spans="1:22">
      <c r="A64" s="1" t="s">
        <v>13</v>
      </c>
      <c r="B64" s="1">
        <f>B46+(3*B47)</f>
        <v>1.0014397267053314</v>
      </c>
    </row>
    <row r="65" spans="1:22">
      <c r="A65" s="1" t="s">
        <v>14</v>
      </c>
      <c r="B65" s="1">
        <f>B46+(10*B47)</f>
        <v>2.4844780680764669</v>
      </c>
    </row>
    <row r="66" spans="1:22" ht="15.75" thickBot="1"/>
    <row r="67" spans="1:22" ht="27" thickBot="1">
      <c r="A67" s="143" t="s">
        <v>25</v>
      </c>
      <c r="B67" s="144"/>
      <c r="C67" s="144"/>
      <c r="D67" s="144"/>
      <c r="E67" s="144"/>
      <c r="F67" s="144"/>
      <c r="G67" s="144"/>
      <c r="H67" s="144"/>
      <c r="I67" s="144"/>
      <c r="J67" s="144"/>
      <c r="K67" s="144"/>
      <c r="L67" s="144"/>
      <c r="M67" s="144"/>
      <c r="N67" s="144"/>
      <c r="O67" s="144"/>
      <c r="P67" s="144"/>
      <c r="Q67" s="144"/>
      <c r="R67" s="144"/>
      <c r="S67" s="144"/>
      <c r="T67" s="144"/>
      <c r="U67" s="144"/>
      <c r="V67" s="144"/>
    </row>
    <row r="68" spans="1:22" ht="16.5">
      <c r="A68" s="12"/>
      <c r="B68" s="12"/>
      <c r="C68" s="12"/>
      <c r="D68" s="12"/>
      <c r="E68" s="12"/>
      <c r="F68" s="12"/>
      <c r="N68" s="12"/>
      <c r="O68" s="12"/>
      <c r="P68" s="12"/>
      <c r="Q68" s="12"/>
      <c r="R68" s="12"/>
      <c r="S68" s="12"/>
      <c r="T68" s="12"/>
      <c r="U68" s="12"/>
      <c r="V68" s="12"/>
    </row>
    <row r="69" spans="1:22" ht="16.5">
      <c r="A69" s="12"/>
      <c r="B69" s="12"/>
      <c r="C69" s="12"/>
      <c r="D69" s="12"/>
      <c r="E69" s="12"/>
      <c r="F69" s="12"/>
      <c r="N69" s="12"/>
      <c r="O69" s="12"/>
      <c r="P69" s="12"/>
      <c r="Q69" s="12"/>
      <c r="R69" s="12"/>
      <c r="S69" s="12"/>
      <c r="T69" s="12"/>
      <c r="U69" s="12"/>
      <c r="V69" s="12"/>
    </row>
    <row r="70" spans="1:22" ht="16.5">
      <c r="A70" s="12"/>
      <c r="B70" s="12"/>
      <c r="C70" s="12"/>
      <c r="D70" s="12"/>
      <c r="E70" s="12"/>
      <c r="F70" s="12"/>
      <c r="N70" s="12"/>
      <c r="O70" s="12"/>
      <c r="P70" s="12"/>
      <c r="Q70" s="12"/>
      <c r="R70" s="12"/>
      <c r="S70" s="12"/>
      <c r="T70" s="12"/>
      <c r="U70" s="12"/>
      <c r="V70" s="12"/>
    </row>
    <row r="71" spans="1:22" ht="16.5">
      <c r="A71" s="12"/>
      <c r="B71" s="12"/>
      <c r="C71" s="12"/>
      <c r="D71" s="12"/>
      <c r="E71" s="12"/>
      <c r="F71" s="12"/>
      <c r="N71" s="12"/>
      <c r="O71" s="12"/>
      <c r="P71" s="12"/>
      <c r="Q71" s="12"/>
      <c r="R71" s="12"/>
      <c r="S71" s="12"/>
      <c r="T71" s="12"/>
      <c r="U71" s="12"/>
      <c r="V71" s="12"/>
    </row>
    <row r="72" spans="1:22" ht="16.5">
      <c r="A72" s="12"/>
      <c r="B72" s="12"/>
      <c r="C72" s="12"/>
      <c r="D72" s="12"/>
      <c r="E72" s="12"/>
      <c r="F72" s="12"/>
      <c r="N72" s="12"/>
      <c r="O72" s="12"/>
      <c r="P72" s="12"/>
      <c r="Q72" s="12"/>
      <c r="R72" s="12"/>
      <c r="S72" s="12"/>
      <c r="T72" s="12"/>
      <c r="U72" s="12"/>
      <c r="V72" s="12"/>
    </row>
    <row r="73" spans="1:22" ht="16.5">
      <c r="A73" s="12"/>
      <c r="B73" s="12"/>
      <c r="C73" s="12"/>
      <c r="D73" s="12"/>
      <c r="E73" s="12"/>
      <c r="F73" s="12"/>
      <c r="N73" s="12"/>
      <c r="O73" s="12"/>
      <c r="P73" s="12"/>
      <c r="Q73" s="12"/>
      <c r="R73" s="12"/>
      <c r="S73" s="12"/>
      <c r="T73" s="12"/>
      <c r="U73" s="12"/>
      <c r="V73" s="12"/>
    </row>
    <row r="74" spans="1:22" ht="16.5">
      <c r="A74" s="12"/>
      <c r="B74" s="12"/>
      <c r="C74" s="12"/>
      <c r="D74" s="12"/>
      <c r="E74" s="12"/>
      <c r="F74" s="12"/>
      <c r="N74" s="12"/>
      <c r="O74" s="12"/>
      <c r="P74" s="12"/>
      <c r="Q74" s="12"/>
      <c r="R74" s="12"/>
      <c r="S74" s="12"/>
      <c r="T74" s="12"/>
      <c r="U74" s="12"/>
      <c r="V74" s="12"/>
    </row>
  </sheetData>
  <protectedRanges>
    <protectedRange sqref="O51:V51" name="Plage2"/>
    <protectedRange sqref="R5:V20" name="Plage1"/>
    <protectedRange sqref="B51:J51" name="Plage2_1"/>
    <protectedRange sqref="O5:O20 B5:J20" name="Plage1_1"/>
  </protectedRanges>
  <mergeCells count="9">
    <mergeCell ref="A28:A43"/>
    <mergeCell ref="A50:V50"/>
    <mergeCell ref="A67:V67"/>
    <mergeCell ref="A1:V1"/>
    <mergeCell ref="B3:M3"/>
    <mergeCell ref="O3:V3"/>
    <mergeCell ref="A5:A20"/>
    <mergeCell ref="B26:M26"/>
    <mergeCell ref="O26:V26"/>
  </mergeCells>
  <phoneticPr fontId="12"/>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94"/>
  <sheetViews>
    <sheetView showGridLines="0" topLeftCell="A73" zoomScale="70" zoomScaleNormal="70" workbookViewId="0">
      <selection activeCell="B94" sqref="B94:V94"/>
    </sheetView>
  </sheetViews>
  <sheetFormatPr defaultColWidth="11" defaultRowHeight="15"/>
  <cols>
    <col min="1" max="1" width="42.85546875" customWidth="1"/>
    <col min="2" max="2" width="14" bestFit="1" customWidth="1"/>
    <col min="3" max="14" width="22.7109375" bestFit="1" customWidth="1"/>
    <col min="15" max="15" width="8.42578125" customWidth="1"/>
    <col min="16" max="16" width="22.7109375" customWidth="1"/>
    <col min="19" max="23" width="29.140625" customWidth="1"/>
  </cols>
  <sheetData>
    <row r="1" spans="1:23" s="1" customFormat="1" ht="21.75" thickBot="1">
      <c r="A1" s="22" t="s">
        <v>7</v>
      </c>
      <c r="B1" s="39" t="e">
        <f>'Front page'!#REF!</f>
        <v>#REF!</v>
      </c>
      <c r="C1" s="23"/>
      <c r="D1" s="23"/>
      <c r="E1" s="23"/>
      <c r="F1" s="23"/>
      <c r="G1" s="23"/>
      <c r="H1" s="40"/>
      <c r="I1" s="39"/>
      <c r="J1" s="41"/>
      <c r="K1" s="41"/>
      <c r="L1" s="41"/>
      <c r="M1" s="41"/>
      <c r="N1" s="41"/>
      <c r="O1" s="41"/>
      <c r="P1" s="41"/>
      <c r="Q1" s="41"/>
      <c r="R1" s="41"/>
      <c r="S1" s="41"/>
      <c r="T1" s="41"/>
      <c r="U1" s="41"/>
      <c r="V1" s="41"/>
      <c r="W1" s="41"/>
    </row>
    <row r="2" spans="1:23" ht="15.75" thickBot="1">
      <c r="A2" s="1"/>
      <c r="B2" s="1"/>
      <c r="C2" s="1"/>
      <c r="D2" s="1"/>
      <c r="E2" s="1"/>
      <c r="F2" s="1"/>
      <c r="G2" s="1"/>
      <c r="H2" s="1"/>
      <c r="I2" s="1"/>
      <c r="J2" s="1"/>
      <c r="K2" s="1"/>
      <c r="L2" s="1"/>
      <c r="M2" s="1"/>
      <c r="N2" s="1"/>
    </row>
    <row r="3" spans="1:23" s="18" customFormat="1" ht="15.75" thickBot="1">
      <c r="B3" s="149" t="s">
        <v>6</v>
      </c>
      <c r="C3" s="150"/>
      <c r="D3" s="150"/>
      <c r="E3" s="150"/>
      <c r="F3" s="150"/>
      <c r="G3" s="150"/>
      <c r="H3" s="150"/>
      <c r="I3" s="150"/>
      <c r="J3" s="150"/>
      <c r="K3" s="150"/>
      <c r="L3" s="150"/>
      <c r="M3" s="150"/>
      <c r="N3" s="150"/>
      <c r="O3" s="55"/>
      <c r="P3" s="149" t="s">
        <v>3</v>
      </c>
      <c r="Q3" s="150"/>
      <c r="R3" s="150"/>
      <c r="S3" s="150"/>
      <c r="T3" s="150"/>
      <c r="U3" s="150"/>
      <c r="V3" s="150"/>
      <c r="W3" s="150"/>
    </row>
    <row r="4" spans="1:23">
      <c r="A4" s="19" t="s">
        <v>22</v>
      </c>
      <c r="B4" s="20" t="str">
        <f>'R1'!B4</f>
        <v>Solvent control</v>
      </c>
      <c r="C4" s="20" t="str">
        <f>'R1'!C4</f>
        <v>EE2-33.8ng/L</v>
      </c>
      <c r="D4" s="20" t="str">
        <f>'R1'!D4</f>
        <v>EE2-50.6ng/L</v>
      </c>
      <c r="E4" s="20" t="str">
        <f>'R1'!E4</f>
        <v>EE2-76ng/L</v>
      </c>
      <c r="F4" s="20" t="str">
        <f>'R1'!F4</f>
        <v>EE2-114ng/L</v>
      </c>
      <c r="G4" s="20" t="str">
        <f>'R1'!G4</f>
        <v>EE2-170.9ng/L</v>
      </c>
      <c r="H4" s="20" t="str">
        <f>'R1'!H4</f>
        <v>EE2-488ng/L</v>
      </c>
      <c r="I4" s="20" t="str">
        <f>'R1'!I4</f>
        <v>saccharin-100mg/L</v>
      </c>
      <c r="J4" s="20" t="str">
        <f>'R1'!J4</f>
        <v>saccharin-10mg/L</v>
      </c>
      <c r="K4" s="20" t="str">
        <f>'R1'!K4</f>
        <v>saccharin-1mg/L</v>
      </c>
      <c r="L4" s="20" t="str">
        <f>'R1'!L4</f>
        <v>saccharin-0.1mg/L</v>
      </c>
      <c r="M4" s="20" t="str">
        <f>'R1'!M4</f>
        <v>saccharin-0.01mg/L</v>
      </c>
      <c r="N4" s="20" t="e">
        <f>'R1'!#REF!</f>
        <v>#REF!</v>
      </c>
      <c r="P4" s="20" t="str">
        <f>'R1'!O4</f>
        <v>Testo -30µg/L</v>
      </c>
      <c r="Q4" s="20" t="str">
        <f>'R1'!P4</f>
        <v>Testo 30µg/L + EE2 -64ng/L</v>
      </c>
      <c r="R4" s="20" t="str">
        <f>'R1'!Q4</f>
        <v>Testo 30µg/L + FAD-10mg/L</v>
      </c>
      <c r="S4" s="20" t="str">
        <f>'R1'!R4</f>
        <v>saccharin-100mg/L + Testostérone</v>
      </c>
      <c r="T4" s="20" t="str">
        <f>'R1'!S4</f>
        <v>saccharin-10mg/L + Testostérone</v>
      </c>
      <c r="U4" s="20" t="str">
        <f>'R1'!T4</f>
        <v>saccharin-1mg/L + Testostérone</v>
      </c>
      <c r="V4" s="20" t="str">
        <f>'R1'!U4</f>
        <v>saccharin-0.1mg/L + Testostérone</v>
      </c>
      <c r="W4" s="20" t="str">
        <f>'R1'!V4</f>
        <v>saccharin-0.01mg/L + Testostérone</v>
      </c>
    </row>
    <row r="5" spans="1:23" s="1" customFormat="1">
      <c r="A5" s="19"/>
      <c r="B5" s="20"/>
      <c r="C5" s="114"/>
      <c r="D5" s="20"/>
      <c r="E5" s="20"/>
      <c r="F5" s="20"/>
      <c r="G5" s="20"/>
      <c r="H5" s="20"/>
      <c r="I5" s="20"/>
      <c r="J5" s="20"/>
      <c r="K5" s="20"/>
      <c r="L5" s="20"/>
      <c r="M5" s="20"/>
      <c r="N5" s="20"/>
      <c r="P5" s="20"/>
      <c r="Q5" s="20"/>
      <c r="R5" s="20"/>
      <c r="S5" s="20"/>
      <c r="T5" s="20"/>
      <c r="U5" s="20"/>
      <c r="V5" s="20"/>
      <c r="W5" s="20"/>
    </row>
    <row r="6" spans="1:23" s="1" customFormat="1">
      <c r="A6" s="54" t="s">
        <v>4</v>
      </c>
      <c r="B6" s="37">
        <f>'R1'!B28</f>
        <v>0.23424600067570905</v>
      </c>
      <c r="C6" s="37">
        <f>'R1'!C28</f>
        <v>0.3784185150190737</v>
      </c>
      <c r="D6" s="37">
        <f>'R1'!D28</f>
        <v>0.60417706695424989</v>
      </c>
      <c r="E6" s="37">
        <f>'R1'!E28</f>
        <v>1.3844004860776982</v>
      </c>
      <c r="F6" s="37">
        <f>'R1'!F28</f>
        <v>1.2914744894037682</v>
      </c>
      <c r="G6" s="37">
        <f>'R1'!G28</f>
        <v>1.2815338706678272</v>
      </c>
      <c r="H6" s="37">
        <f>'R1'!H28</f>
        <v>2.802834796698447</v>
      </c>
      <c r="I6" s="37">
        <f>'R1'!I28</f>
        <v>2.6643832098725017E-2</v>
      </c>
      <c r="J6" s="37">
        <f>'R1'!J28</f>
        <v>0.16194932375098339</v>
      </c>
      <c r="K6" s="37">
        <f>'R1'!K28</f>
        <v>0.38985172503529886</v>
      </c>
      <c r="L6" s="37">
        <f>'R1'!L28</f>
        <v>0.18998419697801702</v>
      </c>
      <c r="M6" s="37">
        <f>'R1'!M28</f>
        <v>7.0770427705307828E-3</v>
      </c>
      <c r="N6" s="37" t="e">
        <f>'R1'!#REF!</f>
        <v>#REF!</v>
      </c>
      <c r="O6"/>
      <c r="P6" s="37">
        <f>'R1'!O28</f>
        <v>0.60813740761437818</v>
      </c>
      <c r="Q6" s="37">
        <f>'R1'!P28</f>
        <v>1.3734924321254915</v>
      </c>
      <c r="R6" s="37">
        <f>'R1'!Q28</f>
        <v>0.29878809590446492</v>
      </c>
      <c r="S6" s="37">
        <f>'R1'!R28</f>
        <v>0.9476298244237783</v>
      </c>
      <c r="T6" s="37">
        <f>'R1'!S28</f>
        <v>1.4669462360024812</v>
      </c>
      <c r="U6" s="37">
        <f>'R1'!T28</f>
        <v>2.4382842747377982</v>
      </c>
      <c r="V6" s="37">
        <f>'R1'!U28</f>
        <v>1.4621358018453958</v>
      </c>
      <c r="W6" s="37">
        <f>'R1'!V28</f>
        <v>1.4183763313625837</v>
      </c>
    </row>
    <row r="7" spans="1:23" s="1" customFormat="1">
      <c r="A7" s="145" t="s">
        <v>17</v>
      </c>
      <c r="B7" s="37">
        <f>'R1'!B29</f>
        <v>0.10417270482194139</v>
      </c>
      <c r="C7" s="37">
        <f>'R1'!C29</f>
        <v>9.5516274784250774E-2</v>
      </c>
      <c r="D7" s="37">
        <f>'R1'!D29</f>
        <v>0.47250813119832974</v>
      </c>
      <c r="E7" s="37">
        <f>'R1'!E29</f>
        <v>1.3157875092174809</v>
      </c>
      <c r="F7" s="37">
        <f>'R1'!F29</f>
        <v>2.0912090239355421</v>
      </c>
      <c r="G7" s="37">
        <f>'R1'!G29</f>
        <v>1.7481679998858282</v>
      </c>
      <c r="H7" s="37">
        <f>'R1'!H29</f>
        <v>2.1968307491439578</v>
      </c>
      <c r="I7" s="37">
        <f>'R1'!I29</f>
        <v>7.8836114804435156E-2</v>
      </c>
      <c r="J7" s="37">
        <f>'R1'!J29</f>
        <v>7.6606391603738916E-4</v>
      </c>
      <c r="K7" s="37">
        <f>'R1'!K29</f>
        <v>0.17590757080372904</v>
      </c>
      <c r="L7" s="37">
        <f>'R1'!L29</f>
        <v>6.7273921110502205E-2</v>
      </c>
      <c r="M7" s="37">
        <f>'R1'!M29</f>
        <v>2.3096146993729718E-2</v>
      </c>
      <c r="N7" s="37" t="e">
        <f>'R1'!#REF!</f>
        <v>#REF!</v>
      </c>
      <c r="O7"/>
      <c r="P7" s="37">
        <f>'R1'!O29</f>
        <v>1.2082284929713225</v>
      </c>
      <c r="Q7" s="37">
        <f>'R1'!P29</f>
        <v>1.3580334098415079</v>
      </c>
      <c r="R7" s="37">
        <f>'R1'!Q29</f>
        <v>0.29519891471012666</v>
      </c>
      <c r="S7" s="37">
        <f>'R1'!R29</f>
        <v>0.988238473789395</v>
      </c>
      <c r="T7" s="37">
        <f>'R1'!S29</f>
        <v>1.0603957930140773</v>
      </c>
      <c r="U7" s="37">
        <f>'R1'!T29</f>
        <v>1.3513868889979106</v>
      </c>
      <c r="V7" s="37">
        <f>'R1'!U29</f>
        <v>1.3925061707962756</v>
      </c>
      <c r="W7" s="37">
        <f>'R1'!V29</f>
        <v>1.5262667399889118</v>
      </c>
    </row>
    <row r="8" spans="1:23" s="1" customFormat="1">
      <c r="A8" s="154"/>
      <c r="B8" s="37">
        <f>'R1'!B30</f>
        <v>0.15152227863441067</v>
      </c>
      <c r="C8" s="37">
        <f>'R1'!C30</f>
        <v>6.5619149281035943E-3</v>
      </c>
      <c r="D8" s="37">
        <f>'R1'!D30</f>
        <v>0.60209995714880404</v>
      </c>
      <c r="E8" s="37">
        <f>'R1'!E30</f>
        <v>1.1562653608923175</v>
      </c>
      <c r="F8" s="37">
        <f>'R1'!F30</f>
        <v>1.5341772778206624</v>
      </c>
      <c r="G8" s="37">
        <f>'R1'!G30</f>
        <v>1.550904581968648</v>
      </c>
      <c r="H8" s="37">
        <f>'R1'!H30</f>
        <v>3.5005999534854775</v>
      </c>
      <c r="I8" s="37">
        <f>'R1'!I30</f>
        <v>4.406654154395033E-4</v>
      </c>
      <c r="J8" s="37">
        <f>'R1'!J30</f>
        <v>1.2020494947343228E-2</v>
      </c>
      <c r="K8" s="37">
        <f>'R1'!K30</f>
        <v>1.5596996781048932E-2</v>
      </c>
      <c r="L8" s="37">
        <f>'R1'!L30</f>
        <v>0.11096791998568442</v>
      </c>
      <c r="M8" s="37">
        <f>'R1'!M30</f>
        <v>0.43440688303126279</v>
      </c>
      <c r="N8" s="37" t="e">
        <f>'R1'!#REF!</f>
        <v>#REF!</v>
      </c>
      <c r="O8"/>
      <c r="P8" s="37">
        <f>'R1'!O30</f>
        <v>1.4992609697775841</v>
      </c>
      <c r="Q8" s="37">
        <f>'R1'!P30</f>
        <v>2.3939418994666317</v>
      </c>
      <c r="R8" s="37">
        <f>'R1'!Q30</f>
        <v>0.24553074690561824</v>
      </c>
      <c r="S8" s="37">
        <f>'R1'!R30</f>
        <v>1.247263057347862</v>
      </c>
      <c r="T8" s="37">
        <f>'R1'!S30</f>
        <v>0.91150136950422567</v>
      </c>
      <c r="U8" s="37">
        <f>'R1'!T30</f>
        <v>1.3900483343711079</v>
      </c>
      <c r="V8" s="37">
        <f>'R1'!U30</f>
        <v>0.71261683769671313</v>
      </c>
      <c r="W8" s="37">
        <f>'R1'!V30</f>
        <v>1.7675998116567428</v>
      </c>
    </row>
    <row r="9" spans="1:23" s="1" customFormat="1">
      <c r="A9" s="154"/>
      <c r="B9" s="37">
        <f>'R1'!B31</f>
        <v>0.26028594940757882</v>
      </c>
      <c r="C9" s="37">
        <f>'R1'!C31</f>
        <v>0.18208760644296235</v>
      </c>
      <c r="D9" s="37">
        <f>'R1'!D31</f>
        <v>0.51859864449998405</v>
      </c>
      <c r="E9" s="37">
        <f>'R1'!E31</f>
        <v>1.1415737857273496</v>
      </c>
      <c r="F9" s="37">
        <f>'R1'!F31</f>
        <v>1.1426939496057804</v>
      </c>
      <c r="G9" s="37">
        <f>'R1'!G31</f>
        <v>1.4703911030194377</v>
      </c>
      <c r="H9" s="37">
        <f>'R1'!H31</f>
        <v>2.529003025259426</v>
      </c>
      <c r="I9" s="37">
        <f>'R1'!I31</f>
        <v>0.14792122494784371</v>
      </c>
      <c r="J9" s="37">
        <f>'R1'!J31</f>
        <v>1.3952483707003577E-2</v>
      </c>
      <c r="K9" s="37">
        <f>'R1'!K31</f>
        <v>0.47001260249200877</v>
      </c>
      <c r="L9" s="37">
        <f>'R1'!L31</f>
        <v>0.22794585691121078</v>
      </c>
      <c r="M9" s="37">
        <f>'R1'!M31</f>
        <v>0.35495247649561723</v>
      </c>
      <c r="N9" s="37" t="e">
        <f>'R1'!#REF!</f>
        <v>#REF!</v>
      </c>
      <c r="O9"/>
      <c r="P9" s="37">
        <f>'R1'!O31</f>
        <v>0.95385285462224756</v>
      </c>
      <c r="Q9" s="37">
        <f>'R1'!P31</f>
        <v>0.82199407425758331</v>
      </c>
      <c r="R9" s="37">
        <f>'R1'!Q31</f>
        <v>0.13195767937759842</v>
      </c>
      <c r="S9" s="37">
        <f>'R1'!R31</f>
        <v>1.8405062505609806</v>
      </c>
      <c r="T9" s="37">
        <f>'R1'!S31</f>
        <v>1.3652732094957951</v>
      </c>
      <c r="U9" s="37">
        <f>'R1'!T31</f>
        <v>1.5172179413731002</v>
      </c>
      <c r="V9" s="37">
        <f>'R1'!U31</f>
        <v>2.0873508097619635</v>
      </c>
      <c r="W9" s="37">
        <f>'R1'!V31</f>
        <v>1.1336850333425039</v>
      </c>
    </row>
    <row r="10" spans="1:23" s="1" customFormat="1">
      <c r="A10" s="154"/>
      <c r="B10" s="37">
        <f>'R1'!B32</f>
        <v>0.29273969508198072</v>
      </c>
      <c r="C10" s="37">
        <f>'R1'!C32</f>
        <v>0.26778890342844941</v>
      </c>
      <c r="D10" s="37">
        <f>'R1'!D32</f>
        <v>0.71657187607875872</v>
      </c>
      <c r="E10" s="37">
        <f>'R1'!E32</f>
        <v>0.81059878705634103</v>
      </c>
      <c r="F10" s="37">
        <f>'R1'!F32</f>
        <v>1.4919384084784406</v>
      </c>
      <c r="G10" s="37">
        <f>'R1'!G32</f>
        <v>1.9686927422857059</v>
      </c>
      <c r="H10" s="37">
        <f>'R1'!H32</f>
        <v>2.1743927762339736</v>
      </c>
      <c r="I10" s="37">
        <f>'R1'!I32</f>
        <v>5.6778868514172944E-2</v>
      </c>
      <c r="J10" s="37">
        <f>'R1'!J32</f>
        <v>2.371847306695961E-3</v>
      </c>
      <c r="K10" s="37">
        <f>'R1'!K32</f>
        <v>0.29025822893927039</v>
      </c>
      <c r="L10" s="37">
        <f>'R1'!L32</f>
        <v>0.31170502164853142</v>
      </c>
      <c r="M10" s="37">
        <f>'R1'!M32</f>
        <v>3.6907428730052316E-2</v>
      </c>
      <c r="N10" s="37" t="e">
        <f>'R1'!#REF!</f>
        <v>#REF!</v>
      </c>
      <c r="O10"/>
      <c r="P10" s="37">
        <f>'R1'!O32</f>
        <v>1.2672206015173693</v>
      </c>
      <c r="Q10" s="37">
        <f>'R1'!P32</f>
        <v>1.4477315870991281</v>
      </c>
      <c r="R10" s="37">
        <f>'R1'!Q32</f>
        <v>0.20520968849253143</v>
      </c>
      <c r="S10" s="37">
        <f>'R1'!R32</f>
        <v>0.81068512197555731</v>
      </c>
      <c r="T10" s="37">
        <f>'R1'!S32</f>
        <v>1.2700145562662153</v>
      </c>
      <c r="U10" s="37">
        <f>'R1'!T32</f>
        <v>0.8710032611099422</v>
      </c>
      <c r="V10" s="37">
        <f>'R1'!U32</f>
        <v>1.5627881398211594</v>
      </c>
      <c r="W10" s="37">
        <f>'R1'!V32</f>
        <v>2.2157709475230729</v>
      </c>
    </row>
    <row r="11" spans="1:23" s="1" customFormat="1">
      <c r="A11" s="154"/>
      <c r="B11" s="37">
        <f>'R1'!B33</f>
        <v>0.12068515144066246</v>
      </c>
      <c r="C11" s="37">
        <f>'R1'!C33</f>
        <v>1.6209986234176654E-3</v>
      </c>
      <c r="D11" s="37">
        <f>'R1'!D33</f>
        <v>0.54769547181345357</v>
      </c>
      <c r="E11" s="37">
        <f>'R1'!E33</f>
        <v>1.786920621388665</v>
      </c>
      <c r="F11" s="37">
        <f>'R1'!F33</f>
        <v>0.75862528095500026</v>
      </c>
      <c r="G11" s="37">
        <f>'R1'!G33</f>
        <v>1.6473092188655831</v>
      </c>
      <c r="H11" s="37">
        <f>'R1'!H33</f>
        <v>2.5917405016694217</v>
      </c>
      <c r="I11" s="37">
        <f>'R1'!I33</f>
        <v>0.27943674044010969</v>
      </c>
      <c r="J11" s="37">
        <f>'R1'!J33</f>
        <v>0</v>
      </c>
      <c r="K11" s="37">
        <f>'R1'!K33</f>
        <v>8.9957758349843465E-3</v>
      </c>
      <c r="L11" s="37">
        <f>'R1'!L33</f>
        <v>6.3067024519527698E-2</v>
      </c>
      <c r="M11" s="37">
        <f>'R1'!M33</f>
        <v>2.0486504041715498E-2</v>
      </c>
      <c r="N11" s="37" t="e">
        <f>'R1'!#REF!</f>
        <v>#REF!</v>
      </c>
      <c r="O11"/>
      <c r="P11" s="37">
        <f>'R1'!O33</f>
        <v>0.85506080938511286</v>
      </c>
      <c r="Q11" s="37">
        <f>'R1'!P33</f>
        <v>2.2449686333870287</v>
      </c>
      <c r="R11" s="37">
        <f>'R1'!Q33</f>
        <v>0.15215428712848725</v>
      </c>
      <c r="S11" s="37">
        <f>'R1'!R33</f>
        <v>0.66429763859659618</v>
      </c>
      <c r="T11" s="37">
        <f>'R1'!S33</f>
        <v>0.58197723549032865</v>
      </c>
      <c r="U11" s="37">
        <f>'R1'!T33</f>
        <v>1.7396327153756361</v>
      </c>
      <c r="V11" s="37">
        <f>'R1'!U33</f>
        <v>1.8928528756656637</v>
      </c>
      <c r="W11" s="37">
        <f>'R1'!V33</f>
        <v>1.4627358814040614</v>
      </c>
    </row>
    <row r="12" spans="1:23" s="1" customFormat="1">
      <c r="A12" s="154"/>
      <c r="B12" s="37">
        <f>'R1'!B34</f>
        <v>7.850264761979836E-2</v>
      </c>
      <c r="C12" s="37">
        <f>'R1'!C34</f>
        <v>0.37151471842154987</v>
      </c>
      <c r="D12" s="37">
        <f>'R1'!D34</f>
        <v>0.44224099889847335</v>
      </c>
      <c r="E12" s="37">
        <f>'R1'!E34</f>
        <v>1.5385181145666826</v>
      </c>
      <c r="F12" s="37">
        <f>'R1'!F34</f>
        <v>1.3413639696847726</v>
      </c>
      <c r="G12" s="37">
        <f>'R1'!G34</f>
        <v>1.5122384106519424</v>
      </c>
      <c r="H12" s="37">
        <f>'R1'!H34</f>
        <v>1.7937090358044325</v>
      </c>
      <c r="I12" s="37">
        <f>'R1'!I34</f>
        <v>8.8755524428045382E-5</v>
      </c>
      <c r="J12" s="37">
        <f>'R1'!J34</f>
        <v>1.4434068877211855E-2</v>
      </c>
      <c r="K12" s="37">
        <f>'R1'!K34</f>
        <v>2.4234753578535214E-2</v>
      </c>
      <c r="L12" s="37">
        <f>'R1'!L34</f>
        <v>8.9875342505731703E-2</v>
      </c>
      <c r="M12" s="37">
        <f>'R1'!M34</f>
        <v>0.10302891122596802</v>
      </c>
      <c r="N12" s="37" t="e">
        <f>'R1'!#REF!</f>
        <v>#REF!</v>
      </c>
      <c r="O12"/>
      <c r="P12" s="37">
        <f>'R1'!O34</f>
        <v>0.59797005885694365</v>
      </c>
      <c r="Q12" s="37">
        <f>'R1'!P34</f>
        <v>1.248676344990735</v>
      </c>
      <c r="R12" s="37">
        <f>'R1'!Q34</f>
        <v>0.52987728158340663</v>
      </c>
      <c r="S12" s="37">
        <f>'R1'!R34</f>
        <v>1.7212827988674249</v>
      </c>
      <c r="T12" s="37">
        <f>'R1'!S34</f>
        <v>1.8748841468448336</v>
      </c>
      <c r="U12" s="37">
        <f>'R1'!T34</f>
        <v>1.2449111512174336</v>
      </c>
      <c r="V12" s="37">
        <f>'R1'!U34</f>
        <v>1.494018745757502</v>
      </c>
      <c r="W12" s="37">
        <f>'R1'!V34</f>
        <v>0.91579367887909779</v>
      </c>
    </row>
    <row r="13" spans="1:23" s="1" customFormat="1">
      <c r="A13" s="154"/>
      <c r="B13" s="37">
        <f>'R1'!B35</f>
        <v>0.29151348564189561</v>
      </c>
      <c r="C13" s="37">
        <f>'R1'!C35</f>
        <v>0.28412891074256741</v>
      </c>
      <c r="D13" s="37">
        <f>'R1'!D35</f>
        <v>0.4626712526857461</v>
      </c>
      <c r="E13" s="37">
        <f>'R1'!E35</f>
        <v>0.79480145637729727</v>
      </c>
      <c r="F13" s="37">
        <f>'R1'!F35</f>
        <v>1.9620345794837095</v>
      </c>
      <c r="G13" s="37">
        <f>'R1'!G35</f>
        <v>1.0827476615386746</v>
      </c>
      <c r="H13" s="37">
        <f>'R1'!H35</f>
        <v>2.8267106091041656</v>
      </c>
      <c r="I13" s="37">
        <f>'R1'!I35</f>
        <v>6.2422451931733375E-2</v>
      </c>
      <c r="J13" s="37">
        <f>'R1'!J35</f>
        <v>6.4170244161476818E-3</v>
      </c>
      <c r="K13" s="37">
        <f>'R1'!K35</f>
        <v>1.6331823363164244E-2</v>
      </c>
      <c r="L13" s="37">
        <f>'R1'!L35</f>
        <v>0.15904690283527145</v>
      </c>
      <c r="M13" s="37">
        <f>'R1'!M35</f>
        <v>0.33026034379899044</v>
      </c>
      <c r="N13" s="37" t="e">
        <f>'R1'!#REF!</f>
        <v>#REF!</v>
      </c>
      <c r="O13"/>
      <c r="P13" s="37">
        <f>'R1'!O35</f>
        <v>1.1037617422496202</v>
      </c>
      <c r="Q13" s="37">
        <f>'R1'!P35</f>
        <v>2.2720554362394902</v>
      </c>
      <c r="R13" s="37">
        <f>'R1'!Q35</f>
        <v>2.6851197278525089E-2</v>
      </c>
      <c r="S13" s="37">
        <f>'R1'!R35</f>
        <v>0.60633843687444511</v>
      </c>
      <c r="T13" s="37">
        <f>'R1'!S35</f>
        <v>1.506691651442849</v>
      </c>
      <c r="U13" s="37">
        <f>'R1'!T35</f>
        <v>1.886995472121072</v>
      </c>
      <c r="V13" s="37">
        <f>'R1'!U35</f>
        <v>1.5545062119897892</v>
      </c>
      <c r="W13" s="37">
        <f>'R1'!V35</f>
        <v>0.50141223223018405</v>
      </c>
    </row>
    <row r="14" spans="1:23" s="1" customFormat="1">
      <c r="A14" s="154"/>
      <c r="B14" s="37" t="str">
        <f>'R1'!B36</f>
        <v/>
      </c>
      <c r="C14" s="37" t="str">
        <f>'R1'!C36</f>
        <v/>
      </c>
      <c r="D14" s="37" t="str">
        <f>'R1'!D36</f>
        <v/>
      </c>
      <c r="E14" s="37" t="str">
        <f>'R1'!E36</f>
        <v/>
      </c>
      <c r="F14" s="37" t="str">
        <f>'R1'!F36</f>
        <v/>
      </c>
      <c r="G14" s="37" t="str">
        <f>'R1'!G36</f>
        <v/>
      </c>
      <c r="H14" s="37" t="str">
        <f>'R1'!H36</f>
        <v/>
      </c>
      <c r="I14" s="37" t="str">
        <f>'R1'!I36</f>
        <v/>
      </c>
      <c r="J14" s="37" t="str">
        <f>'R1'!J36</f>
        <v/>
      </c>
      <c r="K14" s="37" t="str">
        <f>'R1'!K36</f>
        <v/>
      </c>
      <c r="L14" s="37" t="str">
        <f>'R1'!L36</f>
        <v/>
      </c>
      <c r="M14" s="37" t="str">
        <f>'R1'!M36</f>
        <v/>
      </c>
      <c r="N14" s="37" t="e">
        <f>'R1'!#REF!</f>
        <v>#REF!</v>
      </c>
      <c r="O14"/>
      <c r="P14" s="37">
        <f>'R1'!O36</f>
        <v>0.86631996635992725</v>
      </c>
      <c r="Q14" s="37" t="str">
        <f>'R1'!P36</f>
        <v/>
      </c>
      <c r="R14" s="37" t="str">
        <f>'R1'!Q36</f>
        <v/>
      </c>
      <c r="S14" s="37" t="str">
        <f>'R1'!R36</f>
        <v/>
      </c>
      <c r="T14" s="37" t="str">
        <f>'R1'!S36</f>
        <v/>
      </c>
      <c r="U14" s="37" t="str">
        <f>'R1'!T36</f>
        <v/>
      </c>
      <c r="V14" s="37" t="str">
        <f>'R1'!U36</f>
        <v/>
      </c>
      <c r="W14" s="37" t="str">
        <f>'R1'!V36</f>
        <v/>
      </c>
    </row>
    <row r="15" spans="1:23" s="1" customFormat="1">
      <c r="A15" s="154"/>
      <c r="B15" s="37" t="str">
        <f>'R1'!B37</f>
        <v/>
      </c>
      <c r="C15" s="37" t="str">
        <f>'R1'!C37</f>
        <v/>
      </c>
      <c r="D15" s="37" t="str">
        <f>'R1'!D37</f>
        <v/>
      </c>
      <c r="E15" s="37" t="str">
        <f>'R1'!E37</f>
        <v/>
      </c>
      <c r="F15" s="37" t="str">
        <f>'R1'!F37</f>
        <v/>
      </c>
      <c r="G15" s="37" t="str">
        <f>'R1'!G37</f>
        <v/>
      </c>
      <c r="H15" s="37" t="str">
        <f>'R1'!H37</f>
        <v/>
      </c>
      <c r="I15" s="37" t="str">
        <f>'R1'!I37</f>
        <v/>
      </c>
      <c r="J15" s="37" t="str">
        <f>'R1'!J37</f>
        <v/>
      </c>
      <c r="K15" s="37" t="str">
        <f>'R1'!K37</f>
        <v/>
      </c>
      <c r="L15" s="37" t="str">
        <f>'R1'!L37</f>
        <v/>
      </c>
      <c r="M15" s="37" t="str">
        <f>'R1'!M37</f>
        <v/>
      </c>
      <c r="N15" s="37" t="e">
        <f>'R1'!#REF!</f>
        <v>#REF!</v>
      </c>
      <c r="O15"/>
      <c r="P15" s="37">
        <f>'R1'!O37</f>
        <v>1.3531067866342623</v>
      </c>
      <c r="Q15" s="37" t="str">
        <f>'R1'!P37</f>
        <v/>
      </c>
      <c r="R15" s="37" t="str">
        <f>'R1'!Q37</f>
        <v/>
      </c>
      <c r="S15" s="37" t="str">
        <f>'R1'!R37</f>
        <v/>
      </c>
      <c r="T15" s="37" t="str">
        <f>'R1'!S37</f>
        <v/>
      </c>
      <c r="U15" s="37" t="str">
        <f>'R1'!T37</f>
        <v/>
      </c>
      <c r="V15" s="37" t="str">
        <f>'R1'!U37</f>
        <v/>
      </c>
      <c r="W15" s="37" t="str">
        <f>'R1'!V37</f>
        <v/>
      </c>
    </row>
    <row r="16" spans="1:23" s="1" customFormat="1">
      <c r="A16" s="154"/>
      <c r="B16" s="37" t="str">
        <f>'R1'!B38</f>
        <v/>
      </c>
      <c r="C16" s="37" t="str">
        <f>'R1'!C38</f>
        <v/>
      </c>
      <c r="D16" s="37" t="str">
        <f>'R1'!D38</f>
        <v/>
      </c>
      <c r="E16" s="37" t="str">
        <f>'R1'!E38</f>
        <v/>
      </c>
      <c r="F16" s="37" t="str">
        <f>'R1'!F38</f>
        <v/>
      </c>
      <c r="G16" s="37" t="str">
        <f>'R1'!G38</f>
        <v/>
      </c>
      <c r="H16" s="37" t="str">
        <f>'R1'!H38</f>
        <v/>
      </c>
      <c r="I16" s="37" t="str">
        <f>'R1'!I38</f>
        <v/>
      </c>
      <c r="J16" s="37" t="str">
        <f>'R1'!J38</f>
        <v/>
      </c>
      <c r="K16" s="37" t="str">
        <f>'R1'!K38</f>
        <v/>
      </c>
      <c r="L16" s="37" t="str">
        <f>'R1'!L38</f>
        <v/>
      </c>
      <c r="M16" s="37" t="str">
        <f>'R1'!M38</f>
        <v/>
      </c>
      <c r="N16" s="37" t="e">
        <f>'R1'!#REF!</f>
        <v>#REF!</v>
      </c>
      <c r="O16"/>
      <c r="P16" s="37">
        <f>'R1'!O38</f>
        <v>0.93999258444711731</v>
      </c>
      <c r="Q16" s="37" t="str">
        <f>'R1'!P38</f>
        <v/>
      </c>
      <c r="R16" s="37" t="str">
        <f>'R1'!Q38</f>
        <v/>
      </c>
      <c r="S16" s="37" t="str">
        <f>'R1'!R38</f>
        <v/>
      </c>
      <c r="T16" s="37" t="str">
        <f>'R1'!S38</f>
        <v/>
      </c>
      <c r="U16" s="37" t="str">
        <f>'R1'!T38</f>
        <v/>
      </c>
      <c r="V16" s="37" t="str">
        <f>'R1'!U38</f>
        <v/>
      </c>
      <c r="W16" s="37" t="str">
        <f>'R1'!V38</f>
        <v/>
      </c>
    </row>
    <row r="17" spans="1:23" s="1" customFormat="1">
      <c r="A17" s="154"/>
      <c r="B17" s="37" t="str">
        <f>'R1'!B39</f>
        <v/>
      </c>
      <c r="C17" s="37" t="str">
        <f>'R1'!C39</f>
        <v/>
      </c>
      <c r="D17" s="37" t="str">
        <f>'R1'!D39</f>
        <v/>
      </c>
      <c r="E17" s="37" t="str">
        <f>'R1'!E39</f>
        <v/>
      </c>
      <c r="F17" s="37" t="str">
        <f>'R1'!F39</f>
        <v/>
      </c>
      <c r="G17" s="37" t="str">
        <f>'R1'!G39</f>
        <v/>
      </c>
      <c r="H17" s="37" t="str">
        <f>'R1'!H39</f>
        <v/>
      </c>
      <c r="I17" s="37" t="str">
        <f>'R1'!I39</f>
        <v/>
      </c>
      <c r="J17" s="37" t="str">
        <f>'R1'!J39</f>
        <v/>
      </c>
      <c r="K17" s="37" t="str">
        <f>'R1'!K39</f>
        <v/>
      </c>
      <c r="L17" s="37" t="str">
        <f>'R1'!L39</f>
        <v/>
      </c>
      <c r="M17" s="37" t="str">
        <f>'R1'!M39</f>
        <v/>
      </c>
      <c r="N17" s="37" t="e">
        <f>'R1'!#REF!</f>
        <v>#REF!</v>
      </c>
      <c r="O17"/>
      <c r="P17" s="37">
        <f>'R1'!O39</f>
        <v>0.60986376019796118</v>
      </c>
      <c r="Q17" s="37" t="str">
        <f>'R1'!P39</f>
        <v/>
      </c>
      <c r="R17" s="37" t="str">
        <f>'R1'!Q39</f>
        <v/>
      </c>
      <c r="S17" s="37" t="str">
        <f>'R1'!R39</f>
        <v/>
      </c>
      <c r="T17" s="37" t="str">
        <f>'R1'!S39</f>
        <v/>
      </c>
      <c r="U17" s="37" t="str">
        <f>'R1'!T39</f>
        <v/>
      </c>
      <c r="V17" s="37" t="str">
        <f>'R1'!U39</f>
        <v/>
      </c>
      <c r="W17" s="37" t="str">
        <f>'R1'!V39</f>
        <v/>
      </c>
    </row>
    <row r="18" spans="1:23" s="1" customFormat="1">
      <c r="A18" s="154"/>
      <c r="B18" s="37" t="str">
        <f>'R1'!B40</f>
        <v/>
      </c>
      <c r="C18" s="37" t="str">
        <f>'R1'!C40</f>
        <v/>
      </c>
      <c r="D18" s="37" t="str">
        <f>'R1'!D40</f>
        <v/>
      </c>
      <c r="E18" s="37" t="str">
        <f>'R1'!E40</f>
        <v/>
      </c>
      <c r="F18" s="37" t="str">
        <f>'R1'!F40</f>
        <v/>
      </c>
      <c r="G18" s="37" t="str">
        <f>'R1'!G40</f>
        <v/>
      </c>
      <c r="H18" s="37" t="str">
        <f>'R1'!H40</f>
        <v/>
      </c>
      <c r="I18" s="37" t="str">
        <f>'R1'!I40</f>
        <v/>
      </c>
      <c r="J18" s="37" t="str">
        <f>'R1'!J40</f>
        <v/>
      </c>
      <c r="K18" s="37" t="str">
        <f>'R1'!K40</f>
        <v/>
      </c>
      <c r="L18" s="37" t="str">
        <f>'R1'!L40</f>
        <v/>
      </c>
      <c r="M18" s="37" t="str">
        <f>'R1'!M40</f>
        <v/>
      </c>
      <c r="N18" s="37" t="e">
        <f>'R1'!#REF!</f>
        <v>#REF!</v>
      </c>
      <c r="O18"/>
      <c r="P18" s="37">
        <f>'R1'!O40</f>
        <v>1.0068375973674939</v>
      </c>
      <c r="Q18" s="37" t="str">
        <f>'R1'!P40</f>
        <v/>
      </c>
      <c r="R18" s="37" t="str">
        <f>'R1'!Q40</f>
        <v/>
      </c>
      <c r="S18" s="37" t="str">
        <f>'R1'!R40</f>
        <v/>
      </c>
      <c r="T18" s="37" t="str">
        <f>'R1'!S40</f>
        <v/>
      </c>
      <c r="U18" s="37" t="str">
        <f>'R1'!T40</f>
        <v/>
      </c>
      <c r="V18" s="37" t="str">
        <f>'R1'!U40</f>
        <v/>
      </c>
      <c r="W18" s="37" t="str">
        <f>'R1'!V40</f>
        <v/>
      </c>
    </row>
    <row r="19" spans="1:23" s="1" customFormat="1">
      <c r="A19" s="154"/>
      <c r="B19" s="37" t="str">
        <f>'R1'!B41</f>
        <v/>
      </c>
      <c r="C19" s="37" t="str">
        <f>'R1'!C41</f>
        <v/>
      </c>
      <c r="D19" s="37" t="str">
        <f>'R1'!D41</f>
        <v/>
      </c>
      <c r="E19" s="37" t="str">
        <f>'R1'!E41</f>
        <v/>
      </c>
      <c r="F19" s="37" t="str">
        <f>'R1'!F41</f>
        <v/>
      </c>
      <c r="G19" s="37" t="str">
        <f>'R1'!G41</f>
        <v/>
      </c>
      <c r="H19" s="37" t="str">
        <f>'R1'!H41</f>
        <v/>
      </c>
      <c r="I19" s="37" t="str">
        <f>'R1'!I41</f>
        <v/>
      </c>
      <c r="J19" s="37" t="str">
        <f>'R1'!J41</f>
        <v/>
      </c>
      <c r="K19" s="37" t="str">
        <f>'R1'!K41</f>
        <v/>
      </c>
      <c r="L19" s="37" t="str">
        <f>'R1'!L41</f>
        <v/>
      </c>
      <c r="M19" s="37" t="str">
        <f>'R1'!M41</f>
        <v/>
      </c>
      <c r="N19" s="37" t="e">
        <f>'R1'!#REF!</f>
        <v>#REF!</v>
      </c>
      <c r="O19"/>
      <c r="P19" s="37">
        <f>'R1'!O41</f>
        <v>0.71744087334974971</v>
      </c>
      <c r="Q19" s="37" t="str">
        <f>'R1'!P41</f>
        <v/>
      </c>
      <c r="R19" s="37" t="str">
        <f>'R1'!Q41</f>
        <v/>
      </c>
      <c r="S19" s="37" t="str">
        <f>'R1'!R41</f>
        <v/>
      </c>
      <c r="T19" s="37" t="str">
        <f>'R1'!S41</f>
        <v/>
      </c>
      <c r="U19" s="37" t="str">
        <f>'R1'!T41</f>
        <v/>
      </c>
      <c r="V19" s="37" t="str">
        <f>'R1'!U41</f>
        <v/>
      </c>
      <c r="W19" s="37" t="str">
        <f>'R1'!V41</f>
        <v/>
      </c>
    </row>
    <row r="20" spans="1:23" s="1" customFormat="1">
      <c r="A20" s="154"/>
      <c r="B20" s="37" t="str">
        <f>'R1'!B42</f>
        <v/>
      </c>
      <c r="C20" s="37" t="str">
        <f>'R1'!C42</f>
        <v/>
      </c>
      <c r="D20" s="37" t="str">
        <f>'R1'!D42</f>
        <v/>
      </c>
      <c r="E20" s="37" t="str">
        <f>'R1'!E42</f>
        <v/>
      </c>
      <c r="F20" s="37" t="str">
        <f>'R1'!F42</f>
        <v/>
      </c>
      <c r="G20" s="37" t="str">
        <f>'R1'!G42</f>
        <v/>
      </c>
      <c r="H20" s="37" t="str">
        <f>'R1'!H42</f>
        <v/>
      </c>
      <c r="I20" s="37" t="str">
        <f>'R1'!I42</f>
        <v/>
      </c>
      <c r="J20" s="37" t="str">
        <f>'R1'!J42</f>
        <v/>
      </c>
      <c r="K20" s="37" t="str">
        <f>'R1'!K42</f>
        <v/>
      </c>
      <c r="L20" s="37" t="str">
        <f>'R1'!L42</f>
        <v/>
      </c>
      <c r="M20" s="37" t="str">
        <f>'R1'!M42</f>
        <v/>
      </c>
      <c r="N20" s="37" t="e">
        <f>'R1'!#REF!</f>
        <v>#REF!</v>
      </c>
      <c r="O20"/>
      <c r="P20" s="37">
        <f>'R1'!O42</f>
        <v>1.7307324958130554</v>
      </c>
      <c r="Q20" s="37" t="str">
        <f>'R1'!P42</f>
        <v/>
      </c>
      <c r="R20" s="37" t="str">
        <f>'R1'!Q42</f>
        <v/>
      </c>
      <c r="S20" s="37" t="str">
        <f>'R1'!R42</f>
        <v/>
      </c>
      <c r="T20" s="37" t="str">
        <f>'R1'!S42</f>
        <v/>
      </c>
      <c r="U20" s="37" t="str">
        <f>'R1'!T42</f>
        <v/>
      </c>
      <c r="V20" s="37" t="str">
        <f>'R1'!U42</f>
        <v/>
      </c>
      <c r="W20" s="37" t="str">
        <f>'R1'!V42</f>
        <v/>
      </c>
    </row>
    <row r="21" spans="1:23" s="1" customFormat="1">
      <c r="A21" s="155"/>
      <c r="B21" s="37" t="str">
        <f>'R1'!B43</f>
        <v/>
      </c>
      <c r="C21" s="37" t="str">
        <f>'R1'!C43</f>
        <v/>
      </c>
      <c r="D21" s="37" t="str">
        <f>'R1'!D43</f>
        <v/>
      </c>
      <c r="E21" s="37" t="str">
        <f>'R1'!E43</f>
        <v/>
      </c>
      <c r="F21" s="37" t="str">
        <f>'R1'!F43</f>
        <v/>
      </c>
      <c r="G21" s="37" t="str">
        <f>'R1'!G43</f>
        <v/>
      </c>
      <c r="H21" s="37" t="str">
        <f>'R1'!H43</f>
        <v/>
      </c>
      <c r="I21" s="37" t="str">
        <f>'R1'!I43</f>
        <v/>
      </c>
      <c r="J21" s="37" t="str">
        <f>'R1'!J43</f>
        <v/>
      </c>
      <c r="K21" s="37" t="str">
        <f>'R1'!K43</f>
        <v/>
      </c>
      <c r="L21" s="37" t="str">
        <f>'R1'!L43</f>
        <v/>
      </c>
      <c r="M21" s="37" t="str">
        <f>'R1'!M43</f>
        <v/>
      </c>
      <c r="N21" s="37" t="e">
        <f>'R1'!#REF!</f>
        <v>#REF!</v>
      </c>
      <c r="O21"/>
      <c r="P21" s="37">
        <f>'R1'!O43</f>
        <v>0.68221299883585462</v>
      </c>
      <c r="Q21" s="37" t="str">
        <f>'R1'!P43</f>
        <v/>
      </c>
      <c r="R21" s="37" t="str">
        <f>'R1'!Q43</f>
        <v/>
      </c>
      <c r="S21" s="37" t="str">
        <f>'R1'!R43</f>
        <v/>
      </c>
      <c r="T21" s="37" t="str">
        <f>'R1'!S43</f>
        <v/>
      </c>
      <c r="U21" s="37" t="str">
        <f>'R1'!T43</f>
        <v/>
      </c>
      <c r="V21" s="37" t="str">
        <f>'R1'!U43</f>
        <v/>
      </c>
      <c r="W21" s="37" t="str">
        <f>'R1'!V43</f>
        <v/>
      </c>
    </row>
    <row r="22" spans="1:23">
      <c r="A22" s="24" t="s">
        <v>5</v>
      </c>
      <c r="B22" s="38">
        <f>'R2'!B28</f>
        <v>0.23304692341416661</v>
      </c>
      <c r="C22" s="38">
        <f>'R2'!C28</f>
        <v>0.35723067140821779</v>
      </c>
      <c r="D22" s="38">
        <f>'R2'!D28</f>
        <v>0.50337789846443182</v>
      </c>
      <c r="E22" s="38">
        <f>'R2'!E28</f>
        <v>0.57847326064896376</v>
      </c>
      <c r="F22" s="38">
        <f>'R2'!F28</f>
        <v>1.3745497103174764</v>
      </c>
      <c r="G22" s="38">
        <f>'R2'!G28</f>
        <v>1.0566657668221935</v>
      </c>
      <c r="H22" s="38">
        <f>'R2'!H28</f>
        <v>1.2632302460736071</v>
      </c>
      <c r="I22" s="38">
        <f>'R2'!I28</f>
        <v>0.12079761900410262</v>
      </c>
      <c r="J22" s="38">
        <f>'R2'!J28</f>
        <v>0.14082663640275458</v>
      </c>
      <c r="K22" s="38">
        <f>'R2'!K28</f>
        <v>0</v>
      </c>
      <c r="L22" s="38">
        <f>'R2'!L28</f>
        <v>0.18635709827245098</v>
      </c>
      <c r="M22" s="38">
        <f>'R2'!M28</f>
        <v>0.14497308436571296</v>
      </c>
      <c r="N22" s="38" t="e">
        <f>'R2'!#REF!</f>
        <v>#REF!</v>
      </c>
      <c r="P22" s="38">
        <f>'R2'!O28</f>
        <v>0.5341217416227797</v>
      </c>
      <c r="Q22" s="38">
        <f>'R2'!P28</f>
        <v>2.1810721771770583</v>
      </c>
      <c r="R22" s="38">
        <f>'R2'!Q28</f>
        <v>0.18135117028085687</v>
      </c>
      <c r="S22" s="38">
        <f>'R2'!R28</f>
        <v>1.4036013732195627</v>
      </c>
      <c r="T22" s="38">
        <f>'R2'!S28</f>
        <v>1.2175396106771161</v>
      </c>
      <c r="U22" s="38">
        <f>'R2'!T28</f>
        <v>1.2125626099234053</v>
      </c>
      <c r="V22" s="38">
        <f>'R2'!U28</f>
        <v>0.83421303374336242</v>
      </c>
      <c r="W22" s="38">
        <f>'R2'!V28</f>
        <v>1.4789612490989745</v>
      </c>
    </row>
    <row r="23" spans="1:23">
      <c r="A23" s="145" t="s">
        <v>17</v>
      </c>
      <c r="B23" s="38">
        <f>'R2'!B29</f>
        <v>5.1018173639834997E-2</v>
      </c>
      <c r="C23" s="38">
        <f>'R2'!C29</f>
        <v>0.58325572888590527</v>
      </c>
      <c r="D23" s="38">
        <f>'R2'!D29</f>
        <v>0.37143078721348821</v>
      </c>
      <c r="E23" s="38">
        <f>'R2'!E29</f>
        <v>0.98081096990336436</v>
      </c>
      <c r="F23" s="38">
        <f>'R2'!F29</f>
        <v>1.5317908489014547</v>
      </c>
      <c r="G23" s="38">
        <f>'R2'!G29</f>
        <v>2.3726253147643099</v>
      </c>
      <c r="H23" s="38">
        <f>'R2'!H29</f>
        <v>1.3007922013050905</v>
      </c>
      <c r="I23" s="38">
        <f>'R2'!I29</f>
        <v>0.32891014760162607</v>
      </c>
      <c r="J23" s="38">
        <f>'R2'!J29</f>
        <v>0.1416477152073008</v>
      </c>
      <c r="K23" s="38">
        <f>'R2'!K29</f>
        <v>0.33854961276699852</v>
      </c>
      <c r="L23" s="38">
        <f>'R2'!L29</f>
        <v>0.16998137627476531</v>
      </c>
      <c r="M23" s="38">
        <f>'R2'!M29</f>
        <v>0</v>
      </c>
      <c r="N23" s="38" t="e">
        <f>'R2'!#REF!</f>
        <v>#REF!</v>
      </c>
      <c r="P23" s="38">
        <f>'R2'!O29</f>
        <v>0.42706456061321763</v>
      </c>
      <c r="Q23" s="38">
        <f>'R2'!P29</f>
        <v>1.8216418988113692</v>
      </c>
      <c r="R23" s="38">
        <f>'R2'!Q29</f>
        <v>0.25059640914290515</v>
      </c>
      <c r="S23" s="38">
        <f>'R2'!R29</f>
        <v>1.1118864744233281</v>
      </c>
      <c r="T23" s="38">
        <f>'R2'!S29</f>
        <v>2.6011997587702052</v>
      </c>
      <c r="U23" s="38">
        <f>'R2'!T29</f>
        <v>1.3644720417101086</v>
      </c>
      <c r="V23" s="38">
        <f>'R2'!U29</f>
        <v>0.96302400292038781</v>
      </c>
      <c r="W23" s="38">
        <f>'R2'!V29</f>
        <v>1.2383203573012842</v>
      </c>
    </row>
    <row r="24" spans="1:23">
      <c r="A24" s="154"/>
      <c r="B24" s="38">
        <f>'R2'!B30</f>
        <v>0.13158469969859854</v>
      </c>
      <c r="C24" s="38">
        <f>'R2'!C30</f>
        <v>0.14424118735132208</v>
      </c>
      <c r="D24" s="38">
        <f>'R2'!D30</f>
        <v>0.38233016622448285</v>
      </c>
      <c r="E24" s="38">
        <f>'R2'!E30</f>
        <v>0.45695801876968778</v>
      </c>
      <c r="F24" s="38">
        <f>'R2'!F30</f>
        <v>1.1773422451226716</v>
      </c>
      <c r="G24" s="38">
        <f>'R2'!G30</f>
        <v>0.54901674273632828</v>
      </c>
      <c r="H24" s="38">
        <f>'R2'!H30</f>
        <v>1.4557215609349148</v>
      </c>
      <c r="I24" s="38">
        <f>'R2'!I30</f>
        <v>6.6798676664132722E-2</v>
      </c>
      <c r="J24" s="38">
        <f>'R2'!J30</f>
        <v>0.23562839517565989</v>
      </c>
      <c r="K24" s="38">
        <f>'R2'!K30</f>
        <v>4.5012550623751854E-2</v>
      </c>
      <c r="L24" s="38">
        <f>'R2'!L30</f>
        <v>9.4434294427916857E-2</v>
      </c>
      <c r="M24" s="38">
        <f>'R2'!M30</f>
        <v>9.3633300474128007E-3</v>
      </c>
      <c r="N24" s="38" t="e">
        <f>'R2'!#REF!</f>
        <v>#REF!</v>
      </c>
      <c r="P24" s="38">
        <f>'R2'!O30</f>
        <v>0.8215015969706424</v>
      </c>
      <c r="Q24" s="38">
        <f>'R2'!P30</f>
        <v>1.8505409673756259</v>
      </c>
      <c r="R24" s="38">
        <f>'R2'!Q30</f>
        <v>0.30947672813581029</v>
      </c>
      <c r="S24" s="38">
        <f>'R2'!R30</f>
        <v>0.87104220772174246</v>
      </c>
      <c r="T24" s="38">
        <f>'R2'!S30</f>
        <v>0.98176354763645401</v>
      </c>
      <c r="U24" s="38">
        <f>'R2'!T30</f>
        <v>0.85009914013390642</v>
      </c>
      <c r="V24" s="38">
        <f>'R2'!U30</f>
        <v>1.0548511826641462</v>
      </c>
      <c r="W24" s="38">
        <f>'R2'!V30</f>
        <v>1.4239115785288177</v>
      </c>
    </row>
    <row r="25" spans="1:23">
      <c r="A25" s="154"/>
      <c r="B25" s="38">
        <f>'R2'!B31</f>
        <v>0.2864260144166122</v>
      </c>
      <c r="C25" s="38">
        <f>'R2'!C31</f>
        <v>0.50374031001677688</v>
      </c>
      <c r="D25" s="38">
        <f>'R2'!D31</f>
        <v>5.2684332013983384E-2</v>
      </c>
      <c r="E25" s="38">
        <f>'R2'!E31</f>
        <v>0.9764108717497092</v>
      </c>
      <c r="F25" s="38">
        <f>'R2'!F31</f>
        <v>0.90892968911927452</v>
      </c>
      <c r="G25" s="38">
        <f>'R2'!G31</f>
        <v>1.7328014247991015</v>
      </c>
      <c r="H25" s="38">
        <f>'R2'!H31</f>
        <v>2.182621489721329</v>
      </c>
      <c r="I25" s="38">
        <f>'R2'!I31</f>
        <v>9.3540076449857998E-2</v>
      </c>
      <c r="J25" s="38">
        <f>'R2'!J31</f>
        <v>3.1027304825640402E-2</v>
      </c>
      <c r="K25" s="38">
        <f>'R2'!K31</f>
        <v>4.6494408386233636E-2</v>
      </c>
      <c r="L25" s="38">
        <f>'R2'!L31</f>
        <v>0.60212765676922753</v>
      </c>
      <c r="M25" s="38">
        <f>'R2'!M31</f>
        <v>2.3164275233857654E-2</v>
      </c>
      <c r="N25" s="38" t="e">
        <f>'R2'!#REF!</f>
        <v>#REF!</v>
      </c>
      <c r="P25" s="38">
        <f>'R2'!O31</f>
        <v>0.39735110819466729</v>
      </c>
      <c r="Q25" s="38">
        <f>'R2'!P31</f>
        <v>1.0312013340572617</v>
      </c>
      <c r="R25" s="38">
        <f>'R2'!Q31</f>
        <v>0.30607556708774775</v>
      </c>
      <c r="S25" s="38">
        <f>'R2'!R31</f>
        <v>1.5868843524477927</v>
      </c>
      <c r="T25" s="38">
        <f>'R2'!S31</f>
        <v>1.723236867284667</v>
      </c>
      <c r="U25" s="38">
        <f>'R2'!T31</f>
        <v>1.5297107404899988</v>
      </c>
      <c r="V25" s="38">
        <f>'R2'!U31</f>
        <v>1.055919469348769</v>
      </c>
      <c r="W25" s="38">
        <f>'R2'!V31</f>
        <v>0.87641534741869287</v>
      </c>
    </row>
    <row r="26" spans="1:23">
      <c r="A26" s="154"/>
      <c r="B26" s="38">
        <f>'R2'!B32</f>
        <v>1.0865398980468028E-2</v>
      </c>
      <c r="C26" s="38">
        <f>'R2'!C32</f>
        <v>0.48955017347697716</v>
      </c>
      <c r="D26" s="38">
        <f>'R2'!D32</f>
        <v>0.59783657261685297</v>
      </c>
      <c r="E26" s="38">
        <f>'R2'!E32</f>
        <v>0.89353597737182611</v>
      </c>
      <c r="F26" s="38">
        <f>'R2'!F32</f>
        <v>0.68176396370234826</v>
      </c>
      <c r="G26" s="38">
        <f>'R2'!G32</f>
        <v>1.3000609358897801</v>
      </c>
      <c r="H26" s="38">
        <f>'R2'!H32</f>
        <v>1.2873603626212433</v>
      </c>
      <c r="I26" s="38">
        <f>'R2'!I32</f>
        <v>6.4591616837512508E-2</v>
      </c>
      <c r="J26" s="38">
        <f>'R2'!J32</f>
        <v>0.20949168834952889</v>
      </c>
      <c r="K26" s="38">
        <f>'R2'!K32</f>
        <v>5.2099723905146479E-2</v>
      </c>
      <c r="L26" s="38">
        <f>'R2'!L32</f>
        <v>0.11992752811091581</v>
      </c>
      <c r="M26" s="38">
        <f>'R2'!M32</f>
        <v>0.12396508839240973</v>
      </c>
      <c r="N26" s="38" t="e">
        <f>'R2'!#REF!</f>
        <v>#REF!</v>
      </c>
      <c r="P26" s="38">
        <f>'R2'!O32</f>
        <v>1.2581591370569136</v>
      </c>
      <c r="Q26" s="38">
        <f>'R2'!P32</f>
        <v>2.0694215023754166</v>
      </c>
      <c r="R26" s="38">
        <f>'R2'!Q32</f>
        <v>9.3722861223731593E-2</v>
      </c>
      <c r="S26" s="38">
        <f>'R2'!R32</f>
        <v>1.6079000539298769</v>
      </c>
      <c r="T26" s="38">
        <f>'R2'!S32</f>
        <v>0.55437459773553255</v>
      </c>
      <c r="U26" s="38">
        <f>'R2'!T32</f>
        <v>0.56935019089174277</v>
      </c>
      <c r="V26" s="38">
        <f>'R2'!U32</f>
        <v>0.50978547113529438</v>
      </c>
      <c r="W26" s="38">
        <f>'R2'!V32</f>
        <v>2.2722231669453188</v>
      </c>
    </row>
    <row r="27" spans="1:23">
      <c r="A27" s="154"/>
      <c r="B27" s="38">
        <f>'R2'!B33</f>
        <v>5.0780313426148763E-2</v>
      </c>
      <c r="C27" s="38">
        <f>'R2'!C33</f>
        <v>0.42928766305648053</v>
      </c>
      <c r="D27" s="38">
        <f>'R2'!D33</f>
        <v>0.15471436330284918</v>
      </c>
      <c r="E27" s="38">
        <f>'R2'!E33</f>
        <v>0.75004929828197398</v>
      </c>
      <c r="F27" s="38">
        <f>'R2'!F33</f>
        <v>1.3093374842235432</v>
      </c>
      <c r="G27" s="38">
        <f>'R2'!G33</f>
        <v>1.9295825606146229</v>
      </c>
      <c r="H27" s="38">
        <f>'R2'!H33</f>
        <v>1.61963592276298</v>
      </c>
      <c r="I27" s="38">
        <f>'R2'!I33</f>
        <v>0.10829978904038065</v>
      </c>
      <c r="J27" s="38">
        <f>'R2'!J33</f>
        <v>5.3724828339067554E-2</v>
      </c>
      <c r="K27" s="38">
        <f>'R2'!K33</f>
        <v>0.51995333209134642</v>
      </c>
      <c r="L27" s="38">
        <f>'R2'!L33</f>
        <v>2.8728663132359267E-2</v>
      </c>
      <c r="M27" s="38">
        <f>'R2'!M33</f>
        <v>0.10603575897670654</v>
      </c>
      <c r="N27" s="38" t="e">
        <f>'R2'!#REF!</f>
        <v>#REF!</v>
      </c>
      <c r="P27" s="38">
        <f>'R2'!O33</f>
        <v>0.79594166642475106</v>
      </c>
      <c r="Q27" s="38">
        <f>'R2'!P33</f>
        <v>1.38320463883629</v>
      </c>
      <c r="R27" s="38">
        <f>'R2'!Q33</f>
        <v>0.28776323598967773</v>
      </c>
      <c r="S27" s="38">
        <f>'R2'!R33</f>
        <v>1.5468402128302579</v>
      </c>
      <c r="T27" s="38">
        <f>'R2'!S33</f>
        <v>1.2010673803399423</v>
      </c>
      <c r="U27" s="38">
        <f>'R2'!T33</f>
        <v>1.8540820907799096</v>
      </c>
      <c r="V27" s="38">
        <f>'R2'!U33</f>
        <v>1.0328681240304904</v>
      </c>
      <c r="W27" s="38">
        <f>'R2'!V33</f>
        <v>0.71623108343977293</v>
      </c>
    </row>
    <row r="28" spans="1:23">
      <c r="A28" s="154"/>
      <c r="B28" s="38">
        <f>'R2'!B34</f>
        <v>5.2602729412793099E-2</v>
      </c>
      <c r="C28" s="38">
        <f>'R2'!C34</f>
        <v>1.8125630409897777E-3</v>
      </c>
      <c r="D28" s="38">
        <f>'R2'!D34</f>
        <v>5.6069576765219358E-3</v>
      </c>
      <c r="E28" s="38">
        <f>'R2'!E34</f>
        <v>0.70231910313499024</v>
      </c>
      <c r="F28" s="38">
        <f>'R2'!F34</f>
        <v>0.92460976788978544</v>
      </c>
      <c r="G28" s="38">
        <f>'R2'!G34</f>
        <v>1.4703032889045751</v>
      </c>
      <c r="H28" s="38">
        <f>'R2'!H34</f>
        <v>2.0225043015647497</v>
      </c>
      <c r="I28" s="38">
        <f>'R2'!I34</f>
        <v>7.6325969832822596E-2</v>
      </c>
      <c r="J28" s="38">
        <f>'R2'!J34</f>
        <v>0.20665113464524726</v>
      </c>
      <c r="K28" s="38">
        <f>'R2'!K34</f>
        <v>7.125700825300255E-4</v>
      </c>
      <c r="L28" s="38">
        <f>'R2'!L34</f>
        <v>0.14053938514097949</v>
      </c>
      <c r="M28" s="38">
        <f>'R2'!M34</f>
        <v>1.2566295304039521E-2</v>
      </c>
      <c r="N28" s="38" t="e">
        <f>'R2'!#REF!</f>
        <v>#REF!</v>
      </c>
      <c r="P28" s="38">
        <f>'R2'!O34</f>
        <v>0.52769004186704505</v>
      </c>
      <c r="Q28" s="38">
        <f>'R2'!P34</f>
        <v>1.7836585406734293</v>
      </c>
      <c r="R28" s="38">
        <f>'R2'!Q34</f>
        <v>0.11868315160267201</v>
      </c>
      <c r="S28" s="38">
        <f>'R2'!R34</f>
        <v>0.94378195797593933</v>
      </c>
      <c r="T28" s="38">
        <f>'R2'!S34</f>
        <v>1.422165333391272</v>
      </c>
      <c r="U28" s="38">
        <f>'R2'!T34</f>
        <v>0.6840344360766426</v>
      </c>
      <c r="V28" s="38">
        <f>'R2'!U34</f>
        <v>0.81389739668201577</v>
      </c>
      <c r="W28" s="38">
        <f>'R2'!V34</f>
        <v>0.57752295667256359</v>
      </c>
    </row>
    <row r="29" spans="1:23">
      <c r="A29" s="154"/>
      <c r="B29" s="38">
        <f>'R2'!B35</f>
        <v>0.11260514733197272</v>
      </c>
      <c r="C29" s="38">
        <f>'R2'!C35</f>
        <v>3.2916165035544932E-2</v>
      </c>
      <c r="D29" s="38">
        <f>'R2'!D35</f>
        <v>0.87928545995993812</v>
      </c>
      <c r="E29" s="38">
        <f>'R2'!E35</f>
        <v>0.1193627522132041</v>
      </c>
      <c r="F29" s="38">
        <f>'R2'!F35</f>
        <v>0.78372704548868943</v>
      </c>
      <c r="G29" s="38">
        <f>'R2'!G35</f>
        <v>0.71508422582954601</v>
      </c>
      <c r="H29" s="38">
        <f>'R2'!H35</f>
        <v>2.1301453327642519</v>
      </c>
      <c r="I29" s="38">
        <f>'R2'!I35</f>
        <v>0.17980223669603448</v>
      </c>
      <c r="J29" s="38">
        <f>'R2'!J35</f>
        <v>0.14575525666690528</v>
      </c>
      <c r="K29" s="38">
        <f>'R2'!K35</f>
        <v>0.22653362105724176</v>
      </c>
      <c r="L29" s="38">
        <f>'R2'!L35</f>
        <v>0.50239184598007991</v>
      </c>
      <c r="M29" s="38">
        <f>'R2'!M35</f>
        <v>2.8194582949955981E-2</v>
      </c>
      <c r="N29" s="38" t="e">
        <f>'R2'!#REF!</f>
        <v>#REF!</v>
      </c>
      <c r="P29" s="38">
        <f>'R2'!O35</f>
        <v>1.2372994405476931</v>
      </c>
      <c r="Q29" s="38">
        <f>'R2'!P35</f>
        <v>1.6605890597770554</v>
      </c>
      <c r="R29" s="38">
        <f>'R2'!Q35</f>
        <v>0.29943240795988846</v>
      </c>
      <c r="S29" s="38">
        <f>'R2'!R35</f>
        <v>1.0055173574519758</v>
      </c>
      <c r="T29" s="38">
        <f>'R2'!S35</f>
        <v>1.086587015338202</v>
      </c>
      <c r="U29" s="38">
        <f>'R2'!T35</f>
        <v>0.69456268746798233</v>
      </c>
      <c r="V29" s="38">
        <f>'R2'!U35</f>
        <v>0.59311360101328703</v>
      </c>
      <c r="W29" s="38">
        <f>'R2'!V35</f>
        <v>0.58668948044651748</v>
      </c>
    </row>
    <row r="30" spans="1:23">
      <c r="A30" s="154"/>
      <c r="B30" s="38" t="str">
        <f>'R2'!B36</f>
        <v/>
      </c>
      <c r="C30" s="38" t="str">
        <f>'R2'!C36</f>
        <v/>
      </c>
      <c r="D30" s="38" t="str">
        <f>'R2'!D36</f>
        <v/>
      </c>
      <c r="E30" s="38" t="str">
        <f>'R2'!E36</f>
        <v/>
      </c>
      <c r="F30" s="38" t="str">
        <f>'R2'!F36</f>
        <v/>
      </c>
      <c r="G30" s="38" t="str">
        <f>'R2'!G36</f>
        <v/>
      </c>
      <c r="H30" s="38" t="str">
        <f>'R2'!H36</f>
        <v/>
      </c>
      <c r="I30" s="38" t="str">
        <f>'R2'!I36</f>
        <v/>
      </c>
      <c r="J30" s="38" t="str">
        <f>'R2'!J36</f>
        <v/>
      </c>
      <c r="K30" s="38" t="str">
        <f>'R2'!K36</f>
        <v/>
      </c>
      <c r="L30" s="38" t="str">
        <f>'R2'!L36</f>
        <v/>
      </c>
      <c r="M30" s="38" t="str">
        <f>'R2'!M36</f>
        <v/>
      </c>
      <c r="N30" s="38" t="e">
        <f>'R2'!#REF!</f>
        <v>#REF!</v>
      </c>
      <c r="P30" s="38">
        <f>'R2'!O36</f>
        <v>1.3213631307147431</v>
      </c>
      <c r="Q30" s="38" t="str">
        <f>'R2'!P36</f>
        <v/>
      </c>
      <c r="R30" s="38" t="str">
        <f>'R2'!Q36</f>
        <v/>
      </c>
      <c r="S30" s="38" t="str">
        <f>'R2'!R36</f>
        <v/>
      </c>
      <c r="T30" s="38" t="str">
        <f>'R2'!S36</f>
        <v/>
      </c>
      <c r="U30" s="38" t="str">
        <f>'R2'!T36</f>
        <v/>
      </c>
      <c r="V30" s="38" t="str">
        <f>'R2'!U36</f>
        <v/>
      </c>
      <c r="W30" s="38" t="str">
        <f>'R2'!V36</f>
        <v/>
      </c>
    </row>
    <row r="31" spans="1:23" s="1" customFormat="1">
      <c r="A31" s="154"/>
      <c r="B31" s="38" t="str">
        <f>'R2'!B37</f>
        <v/>
      </c>
      <c r="C31" s="38" t="str">
        <f>'R2'!C37</f>
        <v/>
      </c>
      <c r="D31" s="38" t="str">
        <f>'R2'!D37</f>
        <v/>
      </c>
      <c r="E31" s="38" t="str">
        <f>'R2'!E37</f>
        <v/>
      </c>
      <c r="F31" s="38" t="str">
        <f>'R2'!F37</f>
        <v/>
      </c>
      <c r="G31" s="38" t="str">
        <f>'R2'!G37</f>
        <v/>
      </c>
      <c r="H31" s="38" t="str">
        <f>'R2'!H37</f>
        <v/>
      </c>
      <c r="I31" s="38" t="str">
        <f>'R2'!I37</f>
        <v/>
      </c>
      <c r="J31" s="38" t="str">
        <f>'R2'!J37</f>
        <v/>
      </c>
      <c r="K31" s="38" t="str">
        <f>'R2'!K37</f>
        <v/>
      </c>
      <c r="L31" s="38" t="str">
        <f>'R2'!L37</f>
        <v/>
      </c>
      <c r="M31" s="38" t="str">
        <f>'R2'!M37</f>
        <v/>
      </c>
      <c r="N31" s="38" t="e">
        <f>'R2'!#REF!</f>
        <v>#REF!</v>
      </c>
      <c r="O31"/>
      <c r="P31" s="38">
        <f>'R2'!O37</f>
        <v>1.0495012858133554</v>
      </c>
      <c r="Q31" s="38" t="str">
        <f>'R2'!P37</f>
        <v/>
      </c>
      <c r="R31" s="38" t="str">
        <f>'R2'!Q37</f>
        <v/>
      </c>
      <c r="S31" s="38" t="str">
        <f>'R2'!R37</f>
        <v/>
      </c>
      <c r="T31" s="38" t="str">
        <f>'R2'!S37</f>
        <v/>
      </c>
      <c r="U31" s="38" t="str">
        <f>'R2'!T37</f>
        <v/>
      </c>
      <c r="V31" s="38" t="str">
        <f>'R2'!U37</f>
        <v/>
      </c>
      <c r="W31" s="38" t="str">
        <f>'R2'!V37</f>
        <v/>
      </c>
    </row>
    <row r="32" spans="1:23" s="1" customFormat="1">
      <c r="A32" s="154"/>
      <c r="B32" s="38" t="str">
        <f>'R2'!B38</f>
        <v/>
      </c>
      <c r="C32" s="38" t="str">
        <f>'R2'!C38</f>
        <v/>
      </c>
      <c r="D32" s="38" t="str">
        <f>'R2'!D38</f>
        <v/>
      </c>
      <c r="E32" s="38" t="str">
        <f>'R2'!E38</f>
        <v/>
      </c>
      <c r="F32" s="38" t="str">
        <f>'R2'!F38</f>
        <v/>
      </c>
      <c r="G32" s="38" t="str">
        <f>'R2'!G38</f>
        <v/>
      </c>
      <c r="H32" s="38" t="str">
        <f>'R2'!H38</f>
        <v/>
      </c>
      <c r="I32" s="38" t="str">
        <f>'R2'!I38</f>
        <v/>
      </c>
      <c r="J32" s="38" t="str">
        <f>'R2'!J38</f>
        <v/>
      </c>
      <c r="K32" s="38" t="str">
        <f>'R2'!K38</f>
        <v/>
      </c>
      <c r="L32" s="38" t="str">
        <f>'R2'!L38</f>
        <v/>
      </c>
      <c r="M32" s="38" t="str">
        <f>'R2'!M38</f>
        <v/>
      </c>
      <c r="N32" s="38" t="e">
        <f>'R2'!#REF!</f>
        <v>#REF!</v>
      </c>
      <c r="O32"/>
      <c r="P32" s="38">
        <f>'R2'!O38</f>
        <v>1.5010257840140047</v>
      </c>
      <c r="Q32" s="38" t="str">
        <f>'R2'!P38</f>
        <v/>
      </c>
      <c r="R32" s="38" t="str">
        <f>'R2'!Q38</f>
        <v/>
      </c>
      <c r="S32" s="38" t="str">
        <f>'R2'!R38</f>
        <v/>
      </c>
      <c r="T32" s="38" t="str">
        <f>'R2'!S38</f>
        <v/>
      </c>
      <c r="U32" s="38" t="str">
        <f>'R2'!T38</f>
        <v/>
      </c>
      <c r="V32" s="38" t="str">
        <f>'R2'!U38</f>
        <v/>
      </c>
      <c r="W32" s="38" t="str">
        <f>'R2'!V38</f>
        <v/>
      </c>
    </row>
    <row r="33" spans="1:23" s="1" customFormat="1">
      <c r="A33" s="154"/>
      <c r="B33" s="38" t="str">
        <f>'R2'!B39</f>
        <v/>
      </c>
      <c r="C33" s="38" t="str">
        <f>'R2'!C39</f>
        <v/>
      </c>
      <c r="D33" s="38" t="str">
        <f>'R2'!D39</f>
        <v/>
      </c>
      <c r="E33" s="38" t="str">
        <f>'R2'!E39</f>
        <v/>
      </c>
      <c r="F33" s="38" t="str">
        <f>'R2'!F39</f>
        <v/>
      </c>
      <c r="G33" s="38" t="str">
        <f>'R2'!G39</f>
        <v/>
      </c>
      <c r="H33" s="38" t="str">
        <f>'R2'!H39</f>
        <v/>
      </c>
      <c r="I33" s="38" t="str">
        <f>'R2'!I39</f>
        <v/>
      </c>
      <c r="J33" s="38" t="str">
        <f>'R2'!J39</f>
        <v/>
      </c>
      <c r="K33" s="38" t="str">
        <f>'R2'!K39</f>
        <v/>
      </c>
      <c r="L33" s="38" t="str">
        <f>'R2'!L39</f>
        <v/>
      </c>
      <c r="M33" s="38" t="str">
        <f>'R2'!M39</f>
        <v/>
      </c>
      <c r="N33" s="38" t="e">
        <f>'R2'!#REF!</f>
        <v>#REF!</v>
      </c>
      <c r="O33"/>
      <c r="P33" s="38">
        <f>'R2'!O39</f>
        <v>1.3387931178974661</v>
      </c>
      <c r="Q33" s="38" t="str">
        <f>'R2'!P39</f>
        <v/>
      </c>
      <c r="R33" s="38" t="str">
        <f>'R2'!Q39</f>
        <v/>
      </c>
      <c r="S33" s="38" t="str">
        <f>'R2'!R39</f>
        <v/>
      </c>
      <c r="T33" s="38" t="str">
        <f>'R2'!S39</f>
        <v/>
      </c>
      <c r="U33" s="38" t="str">
        <f>'R2'!T39</f>
        <v/>
      </c>
      <c r="V33" s="38" t="str">
        <f>'R2'!U39</f>
        <v/>
      </c>
      <c r="W33" s="38" t="str">
        <f>'R2'!V39</f>
        <v/>
      </c>
    </row>
    <row r="34" spans="1:23" s="1" customFormat="1">
      <c r="A34" s="154"/>
      <c r="B34" s="38" t="str">
        <f>'R2'!B40</f>
        <v/>
      </c>
      <c r="C34" s="38" t="str">
        <f>'R2'!C40</f>
        <v/>
      </c>
      <c r="D34" s="38" t="str">
        <f>'R2'!D40</f>
        <v/>
      </c>
      <c r="E34" s="38" t="str">
        <f>'R2'!E40</f>
        <v/>
      </c>
      <c r="F34" s="38" t="str">
        <f>'R2'!F40</f>
        <v/>
      </c>
      <c r="G34" s="38" t="str">
        <f>'R2'!G40</f>
        <v/>
      </c>
      <c r="H34" s="38" t="str">
        <f>'R2'!H40</f>
        <v/>
      </c>
      <c r="I34" s="38" t="str">
        <f>'R2'!I40</f>
        <v/>
      </c>
      <c r="J34" s="38" t="str">
        <f>'R2'!J40</f>
        <v/>
      </c>
      <c r="K34" s="38" t="str">
        <f>'R2'!K40</f>
        <v/>
      </c>
      <c r="L34" s="38" t="str">
        <f>'R2'!L40</f>
        <v/>
      </c>
      <c r="M34" s="38" t="str">
        <f>'R2'!M40</f>
        <v/>
      </c>
      <c r="N34" s="38" t="e">
        <f>'R2'!#REF!</f>
        <v>#REF!</v>
      </c>
      <c r="O34"/>
      <c r="P34" s="38">
        <f>'R2'!O40</f>
        <v>1.6257799922974914</v>
      </c>
      <c r="Q34" s="38" t="str">
        <f>'R2'!P40</f>
        <v/>
      </c>
      <c r="R34" s="38" t="str">
        <f>'R2'!Q40</f>
        <v/>
      </c>
      <c r="S34" s="38" t="str">
        <f>'R2'!R40</f>
        <v/>
      </c>
      <c r="T34" s="38" t="str">
        <f>'R2'!S40</f>
        <v/>
      </c>
      <c r="U34" s="38" t="str">
        <f>'R2'!T40</f>
        <v/>
      </c>
      <c r="V34" s="38" t="str">
        <f>'R2'!U40</f>
        <v/>
      </c>
      <c r="W34" s="38" t="str">
        <f>'R2'!V40</f>
        <v/>
      </c>
    </row>
    <row r="35" spans="1:23" s="1" customFormat="1">
      <c r="A35" s="154"/>
      <c r="B35" s="38" t="str">
        <f>'R2'!B41</f>
        <v/>
      </c>
      <c r="C35" s="38" t="str">
        <f>'R2'!C41</f>
        <v/>
      </c>
      <c r="D35" s="38" t="str">
        <f>'R2'!D41</f>
        <v/>
      </c>
      <c r="E35" s="38" t="str">
        <f>'R2'!E41</f>
        <v/>
      </c>
      <c r="F35" s="38" t="str">
        <f>'R2'!F41</f>
        <v/>
      </c>
      <c r="G35" s="38" t="str">
        <f>'R2'!G41</f>
        <v/>
      </c>
      <c r="H35" s="38" t="str">
        <f>'R2'!H41</f>
        <v/>
      </c>
      <c r="I35" s="38" t="str">
        <f>'R2'!I41</f>
        <v/>
      </c>
      <c r="J35" s="38" t="str">
        <f>'R2'!J41</f>
        <v/>
      </c>
      <c r="K35" s="38" t="str">
        <f>'R2'!K41</f>
        <v/>
      </c>
      <c r="L35" s="38" t="str">
        <f>'R2'!L41</f>
        <v/>
      </c>
      <c r="M35" s="38" t="str">
        <f>'R2'!M41</f>
        <v/>
      </c>
      <c r="N35" s="38" t="e">
        <f>'R2'!#REF!</f>
        <v>#REF!</v>
      </c>
      <c r="O35"/>
      <c r="P35" s="38">
        <f>'R2'!O41</f>
        <v>0.61425802238796101</v>
      </c>
      <c r="Q35" s="38" t="str">
        <f>'R2'!P41</f>
        <v/>
      </c>
      <c r="R35" s="38" t="str">
        <f>'R2'!Q41</f>
        <v/>
      </c>
      <c r="S35" s="38" t="str">
        <f>'R2'!R41</f>
        <v/>
      </c>
      <c r="T35" s="38" t="str">
        <f>'R2'!S41</f>
        <v/>
      </c>
      <c r="U35" s="38" t="str">
        <f>'R2'!T41</f>
        <v/>
      </c>
      <c r="V35" s="38" t="str">
        <f>'R2'!U41</f>
        <v/>
      </c>
      <c r="W35" s="38" t="str">
        <f>'R2'!V41</f>
        <v/>
      </c>
    </row>
    <row r="36" spans="1:23">
      <c r="A36" s="154"/>
      <c r="B36" s="38" t="str">
        <f>'R2'!B42</f>
        <v/>
      </c>
      <c r="C36" s="38" t="str">
        <f>'R2'!C42</f>
        <v/>
      </c>
      <c r="D36" s="38" t="str">
        <f>'R2'!D42</f>
        <v/>
      </c>
      <c r="E36" s="38" t="str">
        <f>'R2'!E42</f>
        <v/>
      </c>
      <c r="F36" s="38" t="str">
        <f>'R2'!F42</f>
        <v/>
      </c>
      <c r="G36" s="38" t="str">
        <f>'R2'!G42</f>
        <v/>
      </c>
      <c r="H36" s="38" t="str">
        <f>'R2'!H42</f>
        <v/>
      </c>
      <c r="I36" s="38" t="str">
        <f>'R2'!I42</f>
        <v/>
      </c>
      <c r="J36" s="38" t="str">
        <f>'R2'!J42</f>
        <v/>
      </c>
      <c r="K36" s="38" t="str">
        <f>'R2'!K42</f>
        <v/>
      </c>
      <c r="L36" s="38" t="str">
        <f>'R2'!L42</f>
        <v/>
      </c>
      <c r="M36" s="38" t="str">
        <f>'R2'!M42</f>
        <v/>
      </c>
      <c r="N36" s="38" t="e">
        <f>'R2'!#REF!</f>
        <v>#REF!</v>
      </c>
      <c r="P36" s="38">
        <f>'R2'!O42</f>
        <v>0.97510106157673393</v>
      </c>
      <c r="Q36" s="38" t="str">
        <f>'R2'!P42</f>
        <v/>
      </c>
      <c r="R36" s="38" t="str">
        <f>'R2'!Q42</f>
        <v/>
      </c>
      <c r="S36" s="38" t="str">
        <f>'R2'!R42</f>
        <v/>
      </c>
      <c r="T36" s="38" t="str">
        <f>'R2'!S42</f>
        <v/>
      </c>
      <c r="U36" s="38" t="str">
        <f>'R2'!T42</f>
        <v/>
      </c>
      <c r="V36" s="38" t="str">
        <f>'R2'!U42</f>
        <v/>
      </c>
      <c r="W36" s="38" t="str">
        <f>'R2'!V42</f>
        <v/>
      </c>
    </row>
    <row r="37" spans="1:23">
      <c r="A37" s="155"/>
      <c r="B37" s="38" t="str">
        <f>'R2'!B43</f>
        <v/>
      </c>
      <c r="C37" s="38" t="str">
        <f>'R2'!C43</f>
        <v/>
      </c>
      <c r="D37" s="38" t="str">
        <f>'R2'!D43</f>
        <v/>
      </c>
      <c r="E37" s="38" t="str">
        <f>'R2'!E43</f>
        <v/>
      </c>
      <c r="F37" s="38" t="str">
        <f>'R2'!F43</f>
        <v/>
      </c>
      <c r="G37" s="38" t="str">
        <f>'R2'!G43</f>
        <v/>
      </c>
      <c r="H37" s="38" t="str">
        <f>'R2'!H43</f>
        <v/>
      </c>
      <c r="I37" s="38" t="str">
        <f>'R2'!I43</f>
        <v/>
      </c>
      <c r="J37" s="38" t="str">
        <f>'R2'!J43</f>
        <v/>
      </c>
      <c r="K37" s="38" t="str">
        <f>'R2'!K43</f>
        <v/>
      </c>
      <c r="L37" s="38" t="str">
        <f>'R2'!L43</f>
        <v/>
      </c>
      <c r="M37" s="38" t="str">
        <f>'R2'!M43</f>
        <v/>
      </c>
      <c r="N37" s="38" t="e">
        <f>'R2'!#REF!</f>
        <v>#REF!</v>
      </c>
      <c r="P37" s="38">
        <f>'R2'!O43</f>
        <v>1.575048312000535</v>
      </c>
      <c r="Q37" s="38" t="str">
        <f>'R2'!P43</f>
        <v/>
      </c>
      <c r="R37" s="38" t="str">
        <f>'R2'!Q43</f>
        <v/>
      </c>
      <c r="S37" s="38" t="str">
        <f>'R2'!R43</f>
        <v/>
      </c>
      <c r="T37" s="38" t="str">
        <f>'R2'!S43</f>
        <v/>
      </c>
      <c r="U37" s="38" t="str">
        <f>'R2'!T43</f>
        <v/>
      </c>
      <c r="V37" s="38" t="str">
        <f>'R2'!U43</f>
        <v/>
      </c>
      <c r="W37" s="38" t="str">
        <f>'R2'!V43</f>
        <v/>
      </c>
    </row>
    <row r="38" spans="1:23" s="1" customFormat="1">
      <c r="A38" s="84" t="s">
        <v>48</v>
      </c>
      <c r="B38" s="85">
        <f>'R3'!B28</f>
        <v>0.36678082127333883</v>
      </c>
      <c r="C38" s="85">
        <f>'R3'!C28</f>
        <v>0.53069784237297712</v>
      </c>
      <c r="D38" s="85">
        <f>'R3'!D28</f>
        <v>0.4624494473344431</v>
      </c>
      <c r="E38" s="85">
        <f>'R3'!E28</f>
        <v>1.4204052780514707</v>
      </c>
      <c r="F38" s="85">
        <f>'R3'!F28</f>
        <v>2.8959473029075347</v>
      </c>
      <c r="G38" s="85">
        <f>'R3'!G28</f>
        <v>1.6594099211200029</v>
      </c>
      <c r="H38" s="85">
        <f>'R3'!H28</f>
        <v>2.3863126839812052</v>
      </c>
      <c r="I38" s="85">
        <f>'R3'!I28</f>
        <v>0.28970906920237688</v>
      </c>
      <c r="J38" s="85">
        <f>'R3'!J28</f>
        <v>1.636891813789064E-2</v>
      </c>
      <c r="K38" s="85">
        <f>'R3'!K28</f>
        <v>0.47427755708714908</v>
      </c>
      <c r="L38" s="85">
        <f>'R3'!L28</f>
        <v>0.13077596439166261</v>
      </c>
      <c r="M38" s="85">
        <f>'R3'!M28</f>
        <v>0.13981381358625095</v>
      </c>
      <c r="N38" s="85" t="e">
        <f>'R3'!#REF!</f>
        <v>#REF!</v>
      </c>
      <c r="O38"/>
      <c r="P38" s="85">
        <f>'R3'!O28</f>
        <v>1.2219873013112599</v>
      </c>
      <c r="Q38" s="85">
        <f>'R3'!P28</f>
        <v>2.3325468556052384</v>
      </c>
      <c r="R38" s="85">
        <f>'R3'!Q28</f>
        <v>0.22598503090706729</v>
      </c>
      <c r="S38" s="85">
        <f>'R3'!R28</f>
        <v>0.27242367044396754</v>
      </c>
      <c r="T38" s="85">
        <f>'R3'!S28</f>
        <v>0.32030726079831556</v>
      </c>
      <c r="U38" s="85">
        <f>'R3'!T28</f>
        <v>0.85503637626821938</v>
      </c>
      <c r="V38" s="85">
        <f>'R3'!U28</f>
        <v>0.51797963670855651</v>
      </c>
      <c r="W38" s="85">
        <f>'R3'!V28</f>
        <v>2.0456930775079729</v>
      </c>
    </row>
    <row r="39" spans="1:23" s="1" customFormat="1">
      <c r="A39" s="145" t="s">
        <v>17</v>
      </c>
      <c r="B39" s="85">
        <f>'R3'!B29</f>
        <v>0.63802462962125506</v>
      </c>
      <c r="C39" s="85">
        <f>'R3'!C29</f>
        <v>0.27283791037219179</v>
      </c>
      <c r="D39" s="85">
        <f>'R3'!D29</f>
        <v>0.21934213725104354</v>
      </c>
      <c r="E39" s="85">
        <f>'R3'!E29</f>
        <v>0.25360299204149878</v>
      </c>
      <c r="F39" s="85">
        <f>'R3'!F29</f>
        <v>1.5478895172135683</v>
      </c>
      <c r="G39" s="85">
        <f>'R3'!G29</f>
        <v>1.1806170091314567</v>
      </c>
      <c r="H39" s="85">
        <f>'R3'!H29</f>
        <v>1.4011436646036346</v>
      </c>
      <c r="I39" s="85">
        <f>'R3'!I29</f>
        <v>0.29436100377287755</v>
      </c>
      <c r="J39" s="85">
        <f>'R3'!J29</f>
        <v>0.30902593533453199</v>
      </c>
      <c r="K39" s="85">
        <f>'R3'!K29</f>
        <v>6.6127685267362554E-2</v>
      </c>
      <c r="L39" s="85">
        <f>'R3'!L29</f>
        <v>9.292073624124253E-4</v>
      </c>
      <c r="M39" s="85">
        <f>'R3'!M29</f>
        <v>0.30647655164737875</v>
      </c>
      <c r="N39" s="85" t="e">
        <f>'R3'!#REF!</f>
        <v>#REF!</v>
      </c>
      <c r="O39"/>
      <c r="P39" s="85">
        <f>'R3'!O29</f>
        <v>0.71681107735614435</v>
      </c>
      <c r="Q39" s="85">
        <f>'R3'!P29</f>
        <v>1.1809444899289663</v>
      </c>
      <c r="R39" s="85">
        <f>'R3'!Q29</f>
        <v>9.5652329623313465E-2</v>
      </c>
      <c r="S39" s="85">
        <f>'R3'!R29</f>
        <v>0.63472514418321835</v>
      </c>
      <c r="T39" s="85">
        <f>'R3'!S29</f>
        <v>0.42359035861611194</v>
      </c>
      <c r="U39" s="85">
        <f>'R3'!T29</f>
        <v>0.92233818107736409</v>
      </c>
      <c r="V39" s="85">
        <f>'R3'!U29</f>
        <v>1.2324825176568508</v>
      </c>
      <c r="W39" s="85">
        <f>'R3'!V29</f>
        <v>0.94574793636171206</v>
      </c>
    </row>
    <row r="40" spans="1:23" s="1" customFormat="1">
      <c r="A40" s="154"/>
      <c r="B40" s="85">
        <f>'R3'!B30</f>
        <v>0.28479002825627708</v>
      </c>
      <c r="C40" s="85">
        <f>'R3'!C30</f>
        <v>6.825258555110876E-2</v>
      </c>
      <c r="D40" s="85">
        <f>'R3'!D30</f>
        <v>0.17783604142298401</v>
      </c>
      <c r="E40" s="85">
        <f>'R3'!E30</f>
        <v>0.88788378668762236</v>
      </c>
      <c r="F40" s="85">
        <f>'R3'!F30</f>
        <v>1.0833423303250302</v>
      </c>
      <c r="G40" s="85">
        <f>'R3'!G30</f>
        <v>1.8821272834437679</v>
      </c>
      <c r="H40" s="85">
        <f>'R3'!H30</f>
        <v>1.7981244235741398</v>
      </c>
      <c r="I40" s="85">
        <f>'R3'!I30</f>
        <v>0.27036923285314524</v>
      </c>
      <c r="J40" s="85">
        <f>'R3'!J30</f>
        <v>0.28316131570221731</v>
      </c>
      <c r="K40" s="85">
        <f>'R3'!K30</f>
        <v>0.40384202489292514</v>
      </c>
      <c r="L40" s="85">
        <f>'R3'!L30</f>
        <v>5.9753605232801697E-5</v>
      </c>
      <c r="M40" s="85">
        <f>'R3'!M30</f>
        <v>0.16036051755701575</v>
      </c>
      <c r="N40" s="85" t="e">
        <f>'R3'!#REF!</f>
        <v>#REF!</v>
      </c>
      <c r="O40"/>
      <c r="P40" s="85">
        <f>'R3'!O30</f>
        <v>0.89073271442178681</v>
      </c>
      <c r="Q40" s="85">
        <f>'R3'!P30</f>
        <v>1.1750473523070819</v>
      </c>
      <c r="R40" s="85">
        <f>'R3'!Q30</f>
        <v>0.29004151653330845</v>
      </c>
      <c r="S40" s="85">
        <f>'R3'!R30</f>
        <v>0.86236185786142194</v>
      </c>
      <c r="T40" s="85">
        <f>'R3'!S30</f>
        <v>0.89145006809291927</v>
      </c>
      <c r="U40" s="85">
        <f>'R3'!T30</f>
        <v>0.62009016702626507</v>
      </c>
      <c r="V40" s="85">
        <f>'R3'!U30</f>
        <v>0.83822419502241996</v>
      </c>
      <c r="W40" s="85">
        <f>'R3'!V30</f>
        <v>0.70385277084160647</v>
      </c>
    </row>
    <row r="41" spans="1:23" s="1" customFormat="1">
      <c r="A41" s="154"/>
      <c r="B41" s="85">
        <f>'R3'!B31</f>
        <v>0.45791888242444123</v>
      </c>
      <c r="C41" s="85">
        <f>'R3'!C31</f>
        <v>6.4706170279499623E-3</v>
      </c>
      <c r="D41" s="85">
        <f>'R3'!D31</f>
        <v>0.15589451758149922</v>
      </c>
      <c r="E41" s="85">
        <f>'R3'!E31</f>
        <v>0.76352194500623505</v>
      </c>
      <c r="F41" s="85">
        <f>'R3'!F31</f>
        <v>1.4792971897355645</v>
      </c>
      <c r="G41" s="85">
        <f>'R3'!G31</f>
        <v>3.1996398021635732</v>
      </c>
      <c r="H41" s="85">
        <f>'R3'!H31</f>
        <v>1.7821203904385927</v>
      </c>
      <c r="I41" s="85">
        <f>'R3'!I31</f>
        <v>0.14449523694894445</v>
      </c>
      <c r="J41" s="85">
        <f>'R3'!J31</f>
        <v>9.3281430731011444E-2</v>
      </c>
      <c r="K41" s="85">
        <f>'R3'!K31</f>
        <v>0.16770369242553407</v>
      </c>
      <c r="L41" s="85">
        <f>'R3'!L31</f>
        <v>0.29515254503700039</v>
      </c>
      <c r="M41" s="85">
        <f>'R3'!M31</f>
        <v>0.22968727116479001</v>
      </c>
      <c r="N41" s="85" t="e">
        <f>'R3'!#REF!</f>
        <v>#REF!</v>
      </c>
      <c r="O41"/>
      <c r="P41" s="85">
        <f>'R3'!O31</f>
        <v>1.0263454615497483</v>
      </c>
      <c r="Q41" s="85">
        <f>'R3'!P31</f>
        <v>2.604285144436977</v>
      </c>
      <c r="R41" s="85">
        <f>'R3'!Q31</f>
        <v>0.28197012370179714</v>
      </c>
      <c r="S41" s="85">
        <f>'R3'!R31</f>
        <v>0.51876062408915768</v>
      </c>
      <c r="T41" s="85">
        <f>'R3'!S31</f>
        <v>0.48903918084636211</v>
      </c>
      <c r="U41" s="85">
        <f>'R3'!T31</f>
        <v>0.65807343861646972</v>
      </c>
      <c r="V41" s="85">
        <f>'R3'!U31</f>
        <v>0.61051624263044524</v>
      </c>
      <c r="W41" s="85">
        <f>'R3'!V31</f>
        <v>0.94283506450973997</v>
      </c>
    </row>
    <row r="42" spans="1:23" s="1" customFormat="1">
      <c r="A42" s="154"/>
      <c r="B42" s="85">
        <f>'R3'!B32</f>
        <v>0.15706972355246746</v>
      </c>
      <c r="C42" s="85">
        <f>'R3'!C32</f>
        <v>0.28871483129297082</v>
      </c>
      <c r="D42" s="85">
        <f>'R3'!D32</f>
        <v>0.65647887097968582</v>
      </c>
      <c r="E42" s="85">
        <f>'R3'!E32</f>
        <v>0.47398080671518777</v>
      </c>
      <c r="F42" s="85">
        <f>'R3'!F32</f>
        <v>1.4037153976911867</v>
      </c>
      <c r="G42" s="85">
        <f>'R3'!G32</f>
        <v>1.9253185861435618</v>
      </c>
      <c r="H42" s="85">
        <f>'R3'!H32</f>
        <v>3.2013763816153911</v>
      </c>
      <c r="I42" s="85">
        <f>'R3'!I32</f>
        <v>0.13313739582962905</v>
      </c>
      <c r="J42" s="85">
        <f>'R3'!J32</f>
        <v>0.43265552374452099</v>
      </c>
      <c r="K42" s="85">
        <f>'R3'!K32</f>
        <v>0.50999112290352389</v>
      </c>
      <c r="L42" s="85">
        <f>'R3'!L32</f>
        <v>5.7169455811694816E-2</v>
      </c>
      <c r="M42" s="85">
        <f>'R3'!M32</f>
        <v>2.8203080853204658E-2</v>
      </c>
      <c r="N42" s="85" t="e">
        <f>'R3'!#REF!</f>
        <v>#REF!</v>
      </c>
      <c r="O42"/>
      <c r="P42" s="85">
        <f>'R3'!O32</f>
        <v>0.71102739398211745</v>
      </c>
      <c r="Q42" s="85">
        <f>'R3'!P32</f>
        <v>1.8135925367126247</v>
      </c>
      <c r="R42" s="85">
        <f>'R3'!Q32</f>
        <v>0.12351473732460644</v>
      </c>
      <c r="S42" s="85">
        <f>'R3'!R32</f>
        <v>0.61700905385462457</v>
      </c>
      <c r="T42" s="85">
        <f>'R3'!S32</f>
        <v>0.68549491127239537</v>
      </c>
      <c r="U42" s="85">
        <f>'R3'!T32</f>
        <v>0.38386554104066761</v>
      </c>
      <c r="V42" s="85">
        <f>'R3'!U32</f>
        <v>1.1549937319826147</v>
      </c>
      <c r="W42" s="85">
        <f>'R3'!V32</f>
        <v>0.59464397783474932</v>
      </c>
    </row>
    <row r="43" spans="1:23" s="1" customFormat="1">
      <c r="A43" s="154"/>
      <c r="B43" s="85">
        <f>'R3'!B33</f>
        <v>0.59668817195038892</v>
      </c>
      <c r="C43" s="85">
        <f>'R3'!C33</f>
        <v>0.29230299648615821</v>
      </c>
      <c r="D43" s="85">
        <f>'R3'!D33</f>
        <v>0.56159200832002987</v>
      </c>
      <c r="E43" s="85">
        <f>'R3'!E33</f>
        <v>1.9280882045471446</v>
      </c>
      <c r="F43" s="85">
        <f>'R3'!F33</f>
        <v>1.6861053486713078</v>
      </c>
      <c r="G43" s="85">
        <f>'R3'!G33</f>
        <v>2.4636513872235968</v>
      </c>
      <c r="H43" s="85">
        <f>'R3'!H33</f>
        <v>2.6860412687498521</v>
      </c>
      <c r="I43" s="85">
        <f>'R3'!I33</f>
        <v>0.21753338786043816</v>
      </c>
      <c r="J43" s="85">
        <f>'R3'!J33</f>
        <v>5.8562413232381559E-2</v>
      </c>
      <c r="K43" s="85">
        <f>'R3'!K33</f>
        <v>0.3133101912276392</v>
      </c>
      <c r="L43" s="85">
        <f>'R3'!L33</f>
        <v>0.12167199822089461</v>
      </c>
      <c r="M43" s="85">
        <f>'R3'!M33</f>
        <v>0.11556502456193284</v>
      </c>
      <c r="N43" s="85" t="e">
        <f>'R3'!#REF!</f>
        <v>#REF!</v>
      </c>
      <c r="O43"/>
      <c r="P43" s="85">
        <f>'R3'!O33</f>
        <v>3.8993185120723722E-2</v>
      </c>
      <c r="Q43" s="85">
        <f>'R3'!P33</f>
        <v>1.0907505357405423</v>
      </c>
      <c r="R43" s="85">
        <f>'R3'!Q33</f>
        <v>0.19361425249200179</v>
      </c>
      <c r="S43" s="85">
        <f>'R3'!R33</f>
        <v>0.48477836078283976</v>
      </c>
      <c r="T43" s="85">
        <f>'R3'!S33</f>
        <v>0.85411601554346472</v>
      </c>
      <c r="U43" s="85">
        <f>'R3'!T33</f>
        <v>0.76650031301770893</v>
      </c>
      <c r="V43" s="85">
        <f>'R3'!U33</f>
        <v>1.3929684401827707</v>
      </c>
      <c r="W43" s="85">
        <f>'R3'!V33</f>
        <v>0.4217189067410545</v>
      </c>
    </row>
    <row r="44" spans="1:23" s="1" customFormat="1">
      <c r="A44" s="154"/>
      <c r="B44" s="85">
        <f>'R3'!B34</f>
        <v>1.1113860164962243E-2</v>
      </c>
      <c r="C44" s="85">
        <f>'R3'!C34</f>
        <v>0.19171610549980136</v>
      </c>
      <c r="D44" s="85">
        <f>'R3'!D34</f>
        <v>0.25014116304223222</v>
      </c>
      <c r="E44" s="85">
        <f>'R3'!E34</f>
        <v>0.60883181177955803</v>
      </c>
      <c r="F44" s="85">
        <f>'R3'!F34</f>
        <v>3.444183216426763</v>
      </c>
      <c r="G44" s="85">
        <f>'R3'!G34</f>
        <v>1.4136538966810113</v>
      </c>
      <c r="H44" s="85">
        <f>'R3'!H34</f>
        <v>3.6329401992321002</v>
      </c>
      <c r="I44" s="85">
        <f>'R3'!I34</f>
        <v>8.6675010054805116E-2</v>
      </c>
      <c r="J44" s="85">
        <f>'R3'!J34</f>
        <v>1.3878356830953579E-3</v>
      </c>
      <c r="K44" s="85">
        <f>'R3'!K34</f>
        <v>3.4388587821900965E-3</v>
      </c>
      <c r="L44" s="85">
        <f>'R3'!L34</f>
        <v>1.1940632775547008E-2</v>
      </c>
      <c r="M44" s="85">
        <f>'R3'!M34</f>
        <v>0.17008623163054376</v>
      </c>
      <c r="N44" s="85" t="e">
        <f>'R3'!#REF!</f>
        <v>#REF!</v>
      </c>
      <c r="O44"/>
      <c r="P44" s="85">
        <f>'R3'!O34</f>
        <v>2.1304755279206771</v>
      </c>
      <c r="Q44" s="85">
        <f>'R3'!P34</f>
        <v>2.5238529116893904</v>
      </c>
      <c r="R44" s="85">
        <f>'R3'!Q34</f>
        <v>2.6866307341853694E-2</v>
      </c>
      <c r="S44" s="85">
        <f>'R3'!R34</f>
        <v>0.70385571972082572</v>
      </c>
      <c r="T44" s="85">
        <f>'R3'!S34</f>
        <v>0.97399975132411953</v>
      </c>
      <c r="U44" s="85">
        <f>'R3'!T34</f>
        <v>1.2842679408308161E-2</v>
      </c>
      <c r="V44" s="85">
        <f>'R3'!U34</f>
        <v>0.60793333484269385</v>
      </c>
      <c r="W44" s="85">
        <f>'R3'!V34</f>
        <v>1.7711027568586808</v>
      </c>
    </row>
    <row r="45" spans="1:23" s="1" customFormat="1">
      <c r="A45" s="154"/>
      <c r="B45" s="85">
        <f>'R3'!B35</f>
        <v>0.41442881169848322</v>
      </c>
      <c r="C45" s="85">
        <f>'R3'!C35</f>
        <v>9.1294817362232578E-2</v>
      </c>
      <c r="D45" s="85">
        <f>'R3'!D35</f>
        <v>3.0605998365661296</v>
      </c>
      <c r="E45" s="85">
        <f>'R3'!E35</f>
        <v>1.1691381087599813</v>
      </c>
      <c r="F45" s="85">
        <f>'R3'!F35</f>
        <v>1.6412384617582845</v>
      </c>
      <c r="G45" s="85">
        <f>'R3'!G35</f>
        <v>2.0552638978204039</v>
      </c>
      <c r="H45" s="85">
        <f>'R3'!H35</f>
        <v>3.8874930407905466</v>
      </c>
      <c r="I45" s="85">
        <f>'R3'!I35</f>
        <v>6.8631128520362794E-2</v>
      </c>
      <c r="J45" s="85">
        <f>'R3'!J35</f>
        <v>0.2044175491139229</v>
      </c>
      <c r="K45" s="85">
        <f>'R3'!K35</f>
        <v>0.27202339889099247</v>
      </c>
      <c r="L45" s="85">
        <f>'R3'!L35</f>
        <v>2.1185369127993327E-4</v>
      </c>
      <c r="M45" s="85">
        <f>'R3'!M35</f>
        <v>5.2760260562191796E-2</v>
      </c>
      <c r="N45" s="85" t="e">
        <f>'R3'!#REF!</f>
        <v>#REF!</v>
      </c>
      <c r="O45"/>
      <c r="P45" s="85">
        <f>'R3'!O35</f>
        <v>0.78681653879686153</v>
      </c>
      <c r="Q45" s="85">
        <f>'R3'!P35</f>
        <v>2.2637097711520342</v>
      </c>
      <c r="R45" s="85">
        <f>'R3'!Q35</f>
        <v>0.1018600307882391</v>
      </c>
      <c r="S45" s="85">
        <f>'R3'!R35</f>
        <v>0.90214549781708242</v>
      </c>
      <c r="T45" s="85">
        <f>'R3'!S35</f>
        <v>0.44088367278716251</v>
      </c>
      <c r="U45" s="85">
        <f>'R3'!T35</f>
        <v>0.45000067610816308</v>
      </c>
      <c r="V45" s="85">
        <f>'R3'!U35</f>
        <v>0.87809599094631996</v>
      </c>
      <c r="W45" s="85" t="str">
        <f>'R3'!V35</f>
        <v/>
      </c>
    </row>
    <row r="46" spans="1:23" s="1" customFormat="1">
      <c r="A46" s="154"/>
      <c r="B46" s="85" t="str">
        <f>'R3'!B36</f>
        <v/>
      </c>
      <c r="C46" s="85" t="str">
        <f>'R3'!C36</f>
        <v/>
      </c>
      <c r="D46" s="85" t="str">
        <f>'R3'!D36</f>
        <v/>
      </c>
      <c r="E46" s="85" t="str">
        <f>'R3'!E36</f>
        <v/>
      </c>
      <c r="F46" s="85" t="str">
        <f>'R3'!F36</f>
        <v/>
      </c>
      <c r="G46" s="85" t="str">
        <f>'R3'!G36</f>
        <v/>
      </c>
      <c r="H46" s="85" t="str">
        <f>'R3'!H36</f>
        <v/>
      </c>
      <c r="I46" s="85" t="str">
        <f>'R3'!I36</f>
        <v/>
      </c>
      <c r="J46" s="85" t="str">
        <f>'R3'!J36</f>
        <v/>
      </c>
      <c r="K46" s="85" t="str">
        <f>'R3'!K36</f>
        <v/>
      </c>
      <c r="L46" s="85" t="str">
        <f>'R3'!L36</f>
        <v/>
      </c>
      <c r="M46" s="85" t="str">
        <f>'R3'!M36</f>
        <v/>
      </c>
      <c r="N46" s="85" t="e">
        <f>'R3'!#REF!</f>
        <v>#REF!</v>
      </c>
      <c r="O46"/>
      <c r="P46" s="85">
        <f>'R3'!O36</f>
        <v>1.4291854883247954</v>
      </c>
      <c r="Q46" s="85" t="str">
        <f>'R3'!P36</f>
        <v/>
      </c>
      <c r="R46" s="85" t="str">
        <f>'R3'!Q36</f>
        <v/>
      </c>
      <c r="S46" s="85" t="str">
        <f>'R3'!R36</f>
        <v/>
      </c>
      <c r="T46" s="85" t="str">
        <f>'R3'!S36</f>
        <v/>
      </c>
      <c r="U46" s="85" t="str">
        <f>'R3'!T36</f>
        <v/>
      </c>
      <c r="V46" s="85" t="str">
        <f>'R3'!U36</f>
        <v/>
      </c>
      <c r="W46" s="85" t="str">
        <f>'R3'!V36</f>
        <v/>
      </c>
    </row>
    <row r="47" spans="1:23" s="1" customFormat="1">
      <c r="A47" s="154"/>
      <c r="B47" s="85" t="str">
        <f>'R3'!B37</f>
        <v/>
      </c>
      <c r="C47" s="85" t="str">
        <f>'R3'!C37</f>
        <v/>
      </c>
      <c r="D47" s="85" t="str">
        <f>'R3'!D37</f>
        <v/>
      </c>
      <c r="E47" s="85" t="str">
        <f>'R3'!E37</f>
        <v/>
      </c>
      <c r="F47" s="85" t="str">
        <f>'R3'!F37</f>
        <v/>
      </c>
      <c r="G47" s="85" t="str">
        <f>'R3'!G37</f>
        <v/>
      </c>
      <c r="H47" s="85" t="str">
        <f>'R3'!H37</f>
        <v/>
      </c>
      <c r="I47" s="85" t="str">
        <f>'R3'!I37</f>
        <v/>
      </c>
      <c r="J47" s="85" t="str">
        <f>'R3'!J37</f>
        <v/>
      </c>
      <c r="K47" s="85" t="str">
        <f>'R3'!K37</f>
        <v/>
      </c>
      <c r="L47" s="85" t="str">
        <f>'R3'!L37</f>
        <v/>
      </c>
      <c r="M47" s="85" t="str">
        <f>'R3'!M37</f>
        <v/>
      </c>
      <c r="N47" s="85" t="e">
        <f>'R3'!#REF!</f>
        <v>#REF!</v>
      </c>
      <c r="O47"/>
      <c r="P47" s="85">
        <f>'R3'!O37</f>
        <v>0.78030975919743306</v>
      </c>
      <c r="Q47" s="85" t="str">
        <f>'R3'!P37</f>
        <v/>
      </c>
      <c r="R47" s="85" t="str">
        <f>'R3'!Q37</f>
        <v/>
      </c>
      <c r="S47" s="85" t="str">
        <f>'R3'!R37</f>
        <v/>
      </c>
      <c r="T47" s="85" t="str">
        <f>'R3'!S37</f>
        <v/>
      </c>
      <c r="U47" s="85" t="str">
        <f>'R3'!T37</f>
        <v/>
      </c>
      <c r="V47" s="85" t="str">
        <f>'R3'!U37</f>
        <v/>
      </c>
      <c r="W47" s="85" t="str">
        <f>'R3'!V37</f>
        <v/>
      </c>
    </row>
    <row r="48" spans="1:23" s="1" customFormat="1">
      <c r="A48" s="154"/>
      <c r="B48" s="85" t="str">
        <f>'R3'!B38</f>
        <v/>
      </c>
      <c r="C48" s="85" t="str">
        <f>'R3'!C38</f>
        <v/>
      </c>
      <c r="D48" s="85" t="str">
        <f>'R3'!D38</f>
        <v/>
      </c>
      <c r="E48" s="85" t="str">
        <f>'R3'!E38</f>
        <v/>
      </c>
      <c r="F48" s="85" t="str">
        <f>'R3'!F38</f>
        <v/>
      </c>
      <c r="G48" s="85" t="str">
        <f>'R3'!G38</f>
        <v/>
      </c>
      <c r="H48" s="85" t="str">
        <f>'R3'!H38</f>
        <v/>
      </c>
      <c r="I48" s="85" t="str">
        <f>'R3'!I38</f>
        <v/>
      </c>
      <c r="J48" s="85" t="str">
        <f>'R3'!J38</f>
        <v/>
      </c>
      <c r="K48" s="85" t="str">
        <f>'R3'!K38</f>
        <v/>
      </c>
      <c r="L48" s="85" t="str">
        <f>'R3'!L38</f>
        <v/>
      </c>
      <c r="M48" s="85" t="str">
        <f>'R3'!M38</f>
        <v/>
      </c>
      <c r="N48" s="85" t="e">
        <f>'R3'!#REF!</f>
        <v>#REF!</v>
      </c>
      <c r="O48"/>
      <c r="P48" s="85">
        <f>'R3'!O38</f>
        <v>0.21232333909664616</v>
      </c>
      <c r="Q48" s="85" t="str">
        <f>'R3'!P38</f>
        <v/>
      </c>
      <c r="R48" s="85" t="str">
        <f>'R3'!Q38</f>
        <v/>
      </c>
      <c r="S48" s="85" t="str">
        <f>'R3'!R38</f>
        <v/>
      </c>
      <c r="T48" s="85" t="str">
        <f>'R3'!S38</f>
        <v/>
      </c>
      <c r="U48" s="85" t="str">
        <f>'R3'!T38</f>
        <v/>
      </c>
      <c r="V48" s="85" t="str">
        <f>'R3'!U38</f>
        <v/>
      </c>
      <c r="W48" s="85" t="str">
        <f>'R3'!V38</f>
        <v/>
      </c>
    </row>
    <row r="49" spans="1:25" s="1" customFormat="1">
      <c r="A49" s="154"/>
      <c r="B49" s="85" t="str">
        <f>'R3'!B39</f>
        <v/>
      </c>
      <c r="C49" s="85" t="str">
        <f>'R3'!C39</f>
        <v/>
      </c>
      <c r="D49" s="85" t="str">
        <f>'R3'!D39</f>
        <v/>
      </c>
      <c r="E49" s="85" t="str">
        <f>'R3'!E39</f>
        <v/>
      </c>
      <c r="F49" s="85" t="str">
        <f>'R3'!F39</f>
        <v/>
      </c>
      <c r="G49" s="85" t="str">
        <f>'R3'!G39</f>
        <v/>
      </c>
      <c r="H49" s="85" t="str">
        <f>'R3'!H39</f>
        <v/>
      </c>
      <c r="I49" s="85" t="str">
        <f>'R3'!I39</f>
        <v/>
      </c>
      <c r="J49" s="85" t="str">
        <f>'R3'!J39</f>
        <v/>
      </c>
      <c r="K49" s="85" t="str">
        <f>'R3'!K39</f>
        <v/>
      </c>
      <c r="L49" s="85" t="str">
        <f>'R3'!L39</f>
        <v/>
      </c>
      <c r="M49" s="85" t="str">
        <f>'R3'!M39</f>
        <v/>
      </c>
      <c r="N49" s="85" t="e">
        <f>'R3'!#REF!</f>
        <v>#REF!</v>
      </c>
      <c r="O49"/>
      <c r="P49" s="85">
        <f>'R3'!O39</f>
        <v>1.5309562767156089</v>
      </c>
      <c r="Q49" s="85" t="str">
        <f>'R3'!P39</f>
        <v/>
      </c>
      <c r="R49" s="85" t="str">
        <f>'R3'!Q39</f>
        <v/>
      </c>
      <c r="S49" s="85" t="str">
        <f>'R3'!R39</f>
        <v/>
      </c>
      <c r="T49" s="85" t="str">
        <f>'R3'!S39</f>
        <v/>
      </c>
      <c r="U49" s="85" t="str">
        <f>'R3'!T39</f>
        <v/>
      </c>
      <c r="V49" s="85" t="str">
        <f>'R3'!U39</f>
        <v/>
      </c>
      <c r="W49" s="85" t="str">
        <f>'R3'!V39</f>
        <v/>
      </c>
    </row>
    <row r="50" spans="1:25" s="1" customFormat="1">
      <c r="A50" s="154"/>
      <c r="B50" s="85" t="str">
        <f>'R3'!B40</f>
        <v/>
      </c>
      <c r="C50" s="85" t="str">
        <f>'R3'!C40</f>
        <v/>
      </c>
      <c r="D50" s="85" t="str">
        <f>'R3'!D40</f>
        <v/>
      </c>
      <c r="E50" s="85" t="str">
        <f>'R3'!E40</f>
        <v/>
      </c>
      <c r="F50" s="85" t="str">
        <f>'R3'!F40</f>
        <v/>
      </c>
      <c r="G50" s="85" t="str">
        <f>'R3'!G40</f>
        <v/>
      </c>
      <c r="H50" s="85" t="str">
        <f>'R3'!H40</f>
        <v/>
      </c>
      <c r="I50" s="85" t="str">
        <f>'R3'!I40</f>
        <v/>
      </c>
      <c r="J50" s="85" t="str">
        <f>'R3'!J40</f>
        <v/>
      </c>
      <c r="K50" s="85" t="str">
        <f>'R3'!K40</f>
        <v/>
      </c>
      <c r="L50" s="85" t="str">
        <f>'R3'!L40</f>
        <v/>
      </c>
      <c r="M50" s="85" t="str">
        <f>'R3'!M40</f>
        <v/>
      </c>
      <c r="N50" s="85" t="e">
        <f>'R3'!#REF!</f>
        <v>#REF!</v>
      </c>
      <c r="O50"/>
      <c r="P50" s="85">
        <f>'R3'!O40</f>
        <v>2.1264917472995979</v>
      </c>
      <c r="Q50" s="85" t="str">
        <f>'R3'!P40</f>
        <v/>
      </c>
      <c r="R50" s="85" t="str">
        <f>'R3'!Q40</f>
        <v/>
      </c>
      <c r="S50" s="85" t="str">
        <f>'R3'!R40</f>
        <v/>
      </c>
      <c r="T50" s="85" t="str">
        <f>'R3'!S40</f>
        <v/>
      </c>
      <c r="U50" s="85" t="str">
        <f>'R3'!T40</f>
        <v/>
      </c>
      <c r="V50" s="85" t="str">
        <f>'R3'!U40</f>
        <v/>
      </c>
      <c r="W50" s="85" t="str">
        <f>'R3'!V40</f>
        <v/>
      </c>
    </row>
    <row r="51" spans="1:25" s="1" customFormat="1">
      <c r="A51" s="154"/>
      <c r="B51" s="85" t="str">
        <f>'R3'!B41</f>
        <v/>
      </c>
      <c r="C51" s="85" t="str">
        <f>'R3'!C41</f>
        <v/>
      </c>
      <c r="D51" s="85" t="str">
        <f>'R3'!D41</f>
        <v/>
      </c>
      <c r="E51" s="85" t="str">
        <f>'R3'!E41</f>
        <v/>
      </c>
      <c r="F51" s="85" t="str">
        <f>'R3'!F41</f>
        <v/>
      </c>
      <c r="G51" s="85" t="str">
        <f>'R3'!G41</f>
        <v/>
      </c>
      <c r="H51" s="85" t="str">
        <f>'R3'!H41</f>
        <v/>
      </c>
      <c r="I51" s="85" t="str">
        <f>'R3'!I41</f>
        <v/>
      </c>
      <c r="J51" s="85" t="str">
        <f>'R3'!J41</f>
        <v/>
      </c>
      <c r="K51" s="85" t="str">
        <f>'R3'!K41</f>
        <v/>
      </c>
      <c r="L51" s="85" t="str">
        <f>'R3'!L41</f>
        <v/>
      </c>
      <c r="M51" s="85" t="str">
        <f>'R3'!M41</f>
        <v/>
      </c>
      <c r="N51" s="85" t="e">
        <f>'R3'!#REF!</f>
        <v>#REF!</v>
      </c>
      <c r="O51"/>
      <c r="P51" s="85">
        <f>'R3'!O41</f>
        <v>1.4056360492879554</v>
      </c>
      <c r="Q51" s="85" t="str">
        <f>'R3'!P41</f>
        <v/>
      </c>
      <c r="R51" s="85" t="str">
        <f>'R3'!Q41</f>
        <v/>
      </c>
      <c r="S51" s="85" t="str">
        <f>'R3'!R41</f>
        <v/>
      </c>
      <c r="T51" s="85" t="str">
        <f>'R3'!S41</f>
        <v/>
      </c>
      <c r="U51" s="85" t="str">
        <f>'R3'!T41</f>
        <v/>
      </c>
      <c r="V51" s="85" t="str">
        <f>'R3'!U41</f>
        <v/>
      </c>
      <c r="W51" s="85" t="str">
        <f>'R3'!V41</f>
        <v/>
      </c>
    </row>
    <row r="52" spans="1:25" s="1" customFormat="1">
      <c r="A52" s="154"/>
      <c r="B52" s="85" t="str">
        <f>'R3'!B42</f>
        <v/>
      </c>
      <c r="C52" s="85" t="str">
        <f>'R3'!C42</f>
        <v/>
      </c>
      <c r="D52" s="85" t="str">
        <f>'R3'!D42</f>
        <v/>
      </c>
      <c r="E52" s="85" t="str">
        <f>'R3'!E42</f>
        <v/>
      </c>
      <c r="F52" s="85" t="str">
        <f>'R3'!F42</f>
        <v/>
      </c>
      <c r="G52" s="85" t="str">
        <f>'R3'!G42</f>
        <v/>
      </c>
      <c r="H52" s="85" t="str">
        <f>'R3'!H42</f>
        <v/>
      </c>
      <c r="I52" s="85" t="str">
        <f>'R3'!I42</f>
        <v/>
      </c>
      <c r="J52" s="85" t="str">
        <f>'R3'!J42</f>
        <v/>
      </c>
      <c r="K52" s="85" t="str">
        <f>'R3'!K42</f>
        <v/>
      </c>
      <c r="L52" s="85" t="str">
        <f>'R3'!L42</f>
        <v/>
      </c>
      <c r="M52" s="85" t="str">
        <f>'R3'!M42</f>
        <v/>
      </c>
      <c r="N52" s="85" t="e">
        <f>'R3'!#REF!</f>
        <v>#REF!</v>
      </c>
      <c r="O52"/>
      <c r="P52" s="85">
        <f>'R3'!O42</f>
        <v>0.84602817106999328</v>
      </c>
      <c r="Q52" s="85" t="str">
        <f>'R3'!P42</f>
        <v/>
      </c>
      <c r="R52" s="85" t="str">
        <f>'R3'!Q42</f>
        <v/>
      </c>
      <c r="S52" s="85" t="str">
        <f>'R3'!R42</f>
        <v/>
      </c>
      <c r="T52" s="85" t="str">
        <f>'R3'!S42</f>
        <v/>
      </c>
      <c r="U52" s="85" t="str">
        <f>'R3'!T42</f>
        <v/>
      </c>
      <c r="V52" s="85" t="str">
        <f>'R3'!U42</f>
        <v/>
      </c>
      <c r="W52" s="85" t="str">
        <f>'R3'!V42</f>
        <v/>
      </c>
    </row>
    <row r="53" spans="1:25" s="1" customFormat="1">
      <c r="A53" s="155"/>
      <c r="B53" s="85" t="str">
        <f>'R3'!B43</f>
        <v/>
      </c>
      <c r="C53" s="85" t="str">
        <f>'R3'!C43</f>
        <v/>
      </c>
      <c r="D53" s="85" t="str">
        <f>'R3'!D43</f>
        <v/>
      </c>
      <c r="E53" s="85" t="str">
        <f>'R3'!E43</f>
        <v/>
      </c>
      <c r="F53" s="85" t="str">
        <f>'R3'!F43</f>
        <v/>
      </c>
      <c r="G53" s="85" t="str">
        <f>'R3'!G43</f>
        <v/>
      </c>
      <c r="H53" s="85" t="str">
        <f>'R3'!H43</f>
        <v/>
      </c>
      <c r="I53" s="85" t="str">
        <f>'R3'!I43</f>
        <v/>
      </c>
      <c r="J53" s="85" t="str">
        <f>'R3'!J43</f>
        <v/>
      </c>
      <c r="K53" s="85" t="str">
        <f>'R3'!K43</f>
        <v/>
      </c>
      <c r="L53" s="85" t="str">
        <f>'R3'!L43</f>
        <v/>
      </c>
      <c r="M53" s="85" t="str">
        <f>'R3'!M43</f>
        <v/>
      </c>
      <c r="N53" s="85" t="e">
        <f>'R3'!#REF!</f>
        <v>#REF!</v>
      </c>
      <c r="O53"/>
      <c r="P53" s="85">
        <f>'R3'!O43</f>
        <v>0.1458799685486511</v>
      </c>
      <c r="Q53" s="85" t="str">
        <f>'R3'!P43</f>
        <v/>
      </c>
      <c r="R53" s="85" t="str">
        <f>'R3'!Q43</f>
        <v/>
      </c>
      <c r="S53" s="85" t="str">
        <f>'R3'!R43</f>
        <v/>
      </c>
      <c r="T53" s="85" t="str">
        <f>'R3'!S43</f>
        <v/>
      </c>
      <c r="U53" s="85" t="str">
        <f>'R3'!T43</f>
        <v/>
      </c>
      <c r="V53" s="85" t="str">
        <f>'R3'!U43</f>
        <v/>
      </c>
      <c r="W53" s="85" t="str">
        <f>'R3'!V43</f>
        <v/>
      </c>
    </row>
    <row r="54" spans="1:25" s="44" customFormat="1">
      <c r="A54" s="42"/>
      <c r="B54" s="43"/>
      <c r="C54" s="43"/>
      <c r="D54" s="43"/>
      <c r="E54" s="43"/>
      <c r="F54" s="43"/>
      <c r="G54" s="43"/>
      <c r="H54" s="43"/>
      <c r="I54" s="43"/>
      <c r="J54" s="43"/>
      <c r="K54" s="43"/>
      <c r="L54" s="43"/>
      <c r="M54" s="43"/>
      <c r="N54" s="43"/>
      <c r="O54"/>
      <c r="P54" s="43"/>
      <c r="Q54" s="43"/>
      <c r="R54" s="43"/>
      <c r="S54" s="43"/>
      <c r="T54" s="43"/>
      <c r="U54" s="43"/>
      <c r="V54" s="43"/>
      <c r="W54" s="43"/>
    </row>
    <row r="55" spans="1:25" s="26" customFormat="1">
      <c r="A55" s="26" t="s">
        <v>27</v>
      </c>
      <c r="B55" s="15" t="str">
        <f t="shared" ref="B55:N55" si="0">B4</f>
        <v>Solvent control</v>
      </c>
      <c r="C55" s="15" t="str">
        <f t="shared" si="0"/>
        <v>EE2-33.8ng/L</v>
      </c>
      <c r="D55" s="15" t="str">
        <f t="shared" si="0"/>
        <v>EE2-50.6ng/L</v>
      </c>
      <c r="E55" s="15" t="str">
        <f t="shared" si="0"/>
        <v>EE2-76ng/L</v>
      </c>
      <c r="F55" s="15" t="str">
        <f t="shared" si="0"/>
        <v>EE2-114ng/L</v>
      </c>
      <c r="G55" s="15" t="str">
        <f t="shared" si="0"/>
        <v>EE2-170.9ng/L</v>
      </c>
      <c r="H55" s="15" t="str">
        <f t="shared" si="0"/>
        <v>EE2-488ng/L</v>
      </c>
      <c r="I55" s="15" t="str">
        <f t="shared" si="0"/>
        <v>saccharin-100mg/L</v>
      </c>
      <c r="J55" s="15" t="str">
        <f t="shared" si="0"/>
        <v>saccharin-10mg/L</v>
      </c>
      <c r="K55" s="15" t="str">
        <f t="shared" si="0"/>
        <v>saccharin-1mg/L</v>
      </c>
      <c r="L55" s="15" t="str">
        <f t="shared" si="0"/>
        <v>saccharin-0.1mg/L</v>
      </c>
      <c r="M55" s="15" t="str">
        <f t="shared" si="0"/>
        <v>saccharin-0.01mg/L</v>
      </c>
      <c r="N55" s="15" t="e">
        <f t="shared" si="0"/>
        <v>#REF!</v>
      </c>
      <c r="P55" s="15" t="str">
        <f t="shared" ref="P55:W55" si="1">P4</f>
        <v>Testo -30µg/L</v>
      </c>
      <c r="Q55" s="15" t="str">
        <f t="shared" si="1"/>
        <v>Testo 30µg/L + EE2 -64ng/L</v>
      </c>
      <c r="R55" s="15" t="str">
        <f t="shared" si="1"/>
        <v>Testo 30µg/L + FAD-10mg/L</v>
      </c>
      <c r="S55" s="15" t="str">
        <f t="shared" si="1"/>
        <v>saccharin-100mg/L + Testostérone</v>
      </c>
      <c r="T55" s="15" t="str">
        <f t="shared" si="1"/>
        <v>saccharin-10mg/L + Testostérone</v>
      </c>
      <c r="U55" s="15" t="str">
        <f t="shared" si="1"/>
        <v>saccharin-1mg/L + Testostérone</v>
      </c>
      <c r="V55" s="15" t="str">
        <f t="shared" si="1"/>
        <v>saccharin-0.1mg/L + Testostérone</v>
      </c>
      <c r="W55" s="15" t="str">
        <f t="shared" si="1"/>
        <v>saccharin-0.01mg/L + Testostérone</v>
      </c>
    </row>
    <row r="56" spans="1:25">
      <c r="A56" t="s">
        <v>28</v>
      </c>
      <c r="B56" s="9">
        <f t="shared" ref="B56:W56" si="2">AVERAGE(B6:B53)</f>
        <v>0.22455884344109112</v>
      </c>
      <c r="C56" s="9">
        <f t="shared" si="2"/>
        <v>0.24466500044283249</v>
      </c>
      <c r="D56" s="9">
        <f t="shared" si="2"/>
        <v>0.53575683163534982</v>
      </c>
      <c r="E56" s="9">
        <f t="shared" si="2"/>
        <v>0.95384330445692722</v>
      </c>
      <c r="F56" s="9">
        <f t="shared" si="2"/>
        <v>1.4786369374525901</v>
      </c>
      <c r="G56" s="9">
        <f t="shared" si="2"/>
        <v>1.6319919847071451</v>
      </c>
      <c r="H56" s="9">
        <f t="shared" si="2"/>
        <v>2.2688910382555387</v>
      </c>
      <c r="I56" s="9">
        <f t="shared" si="2"/>
        <v>0.13318942711858067</v>
      </c>
      <c r="J56" s="9">
        <f t="shared" si="2"/>
        <v>0.11564688284221251</v>
      </c>
      <c r="K56" s="9">
        <f t="shared" si="2"/>
        <v>0.2013024928007752</v>
      </c>
      <c r="L56" s="9">
        <f t="shared" si="2"/>
        <v>0.15342772689578735</v>
      </c>
      <c r="M56" s="9">
        <f t="shared" si="2"/>
        <v>0.12339295433005291</v>
      </c>
      <c r="N56" s="9" t="e">
        <f t="shared" si="2"/>
        <v>#REF!</v>
      </c>
      <c r="O56" s="9"/>
      <c r="P56" s="9">
        <f t="shared" si="2"/>
        <v>1</v>
      </c>
      <c r="Q56" s="9">
        <f t="shared" si="2"/>
        <v>1.7469563972526647</v>
      </c>
      <c r="R56" s="9">
        <f t="shared" si="2"/>
        <v>0.21134057297984318</v>
      </c>
      <c r="S56" s="9">
        <f t="shared" si="2"/>
        <v>0.99582314671623529</v>
      </c>
      <c r="T56" s="9">
        <f t="shared" si="2"/>
        <v>1.0793541470214605</v>
      </c>
      <c r="U56" s="9">
        <f t="shared" si="2"/>
        <v>1.0777958895558692</v>
      </c>
      <c r="V56" s="9">
        <f t="shared" si="2"/>
        <v>1.0937350818685372</v>
      </c>
      <c r="W56" s="9">
        <f t="shared" si="2"/>
        <v>1.1972830594302009</v>
      </c>
    </row>
    <row r="57" spans="1:25">
      <c r="A57" t="s">
        <v>1</v>
      </c>
      <c r="B57" s="3">
        <f>STDEV(B6:B53)</f>
        <v>0.17407991965423456</v>
      </c>
      <c r="C57" s="3">
        <f t="shared" ref="C57:W57" si="3">STDEV(C6:C53)</f>
        <v>0.18431880431025693</v>
      </c>
      <c r="D57" s="3">
        <f t="shared" si="3"/>
        <v>0.58021412211677559</v>
      </c>
      <c r="E57" s="3">
        <f t="shared" si="3"/>
        <v>0.45499627490055844</v>
      </c>
      <c r="F57" s="3">
        <f t="shared" si="3"/>
        <v>0.63547781827588301</v>
      </c>
      <c r="G57" s="3">
        <f t="shared" si="3"/>
        <v>0.56935754523091919</v>
      </c>
      <c r="H57" s="3">
        <f t="shared" si="3"/>
        <v>0.76205413243781694</v>
      </c>
      <c r="I57" s="3">
        <f t="shared" si="3"/>
        <v>9.7831598310568466E-2</v>
      </c>
      <c r="J57" s="3">
        <f t="shared" si="3"/>
        <v>0.11978227557901849</v>
      </c>
      <c r="K57" s="3">
        <f t="shared" si="3"/>
        <v>0.18797530116726502</v>
      </c>
      <c r="L57" s="3">
        <f t="shared" si="3"/>
        <v>0.15026507408062029</v>
      </c>
      <c r="M57" s="3">
        <f t="shared" si="3"/>
        <v>0.12482152735368927</v>
      </c>
      <c r="N57" s="3" t="e">
        <f t="shared" si="3"/>
        <v>#REF!</v>
      </c>
      <c r="O57" s="3"/>
      <c r="P57" s="3">
        <f t="shared" si="3"/>
        <v>0.46566597971789986</v>
      </c>
      <c r="Q57" s="3">
        <f t="shared" si="3"/>
        <v>0.5283134592511527</v>
      </c>
      <c r="R57" s="3">
        <f t="shared" si="3"/>
        <v>0.11365147797477906</v>
      </c>
      <c r="S57" s="3">
        <f t="shared" si="3"/>
        <v>0.42858671293356271</v>
      </c>
      <c r="T57" s="3">
        <f t="shared" si="3"/>
        <v>0.5333038486435695</v>
      </c>
      <c r="U57" s="3">
        <f t="shared" si="3"/>
        <v>0.56972589329905965</v>
      </c>
      <c r="V57" s="3">
        <f t="shared" si="3"/>
        <v>0.43613838365323621</v>
      </c>
      <c r="W57" s="3">
        <f t="shared" si="3"/>
        <v>0.56092782764934923</v>
      </c>
      <c r="X57" s="3"/>
      <c r="Y57" s="3"/>
    </row>
    <row r="58" spans="1:25">
      <c r="A58" t="s">
        <v>2</v>
      </c>
      <c r="B58" s="3">
        <f xml:space="preserve"> B57/SQRT(COUNT(B6:B53))</f>
        <v>3.5533914801463944E-2</v>
      </c>
      <c r="C58" s="3">
        <f t="shared" ref="C58:W58" si="4" xml:space="preserve"> C57/SQRT(COUNT(C6:C53))</f>
        <v>3.7623918380002855E-2</v>
      </c>
      <c r="D58" s="3">
        <f t="shared" si="4"/>
        <v>0.11843571172858236</v>
      </c>
      <c r="E58" s="3">
        <f t="shared" si="4"/>
        <v>9.287572569778943E-2</v>
      </c>
      <c r="F58" s="3">
        <f t="shared" si="4"/>
        <v>0.12971636646941734</v>
      </c>
      <c r="G58" s="3">
        <f t="shared" si="4"/>
        <v>0.11621962225161217</v>
      </c>
      <c r="H58" s="3">
        <f t="shared" si="4"/>
        <v>0.15555364840433053</v>
      </c>
      <c r="I58" s="3">
        <f t="shared" si="4"/>
        <v>1.9969791381818463E-2</v>
      </c>
      <c r="J58" s="3">
        <f t="shared" si="4"/>
        <v>2.4450454616502817E-2</v>
      </c>
      <c r="K58" s="3">
        <f t="shared" si="4"/>
        <v>3.8370297675482876E-2</v>
      </c>
      <c r="L58" s="3">
        <f t="shared" si="4"/>
        <v>3.0672729804919485E-2</v>
      </c>
      <c r="M58" s="3">
        <f t="shared" si="4"/>
        <v>2.5479087577615984E-2</v>
      </c>
      <c r="N58" s="3" t="e">
        <f t="shared" si="4"/>
        <v>#REF!</v>
      </c>
      <c r="O58" s="3"/>
      <c r="P58" s="3">
        <f t="shared" si="4"/>
        <v>6.7213094685645083E-2</v>
      </c>
      <c r="Q58" s="3">
        <f t="shared" si="4"/>
        <v>0.10784153328416643</v>
      </c>
      <c r="R58" s="3">
        <f t="shared" si="4"/>
        <v>2.319901079594747E-2</v>
      </c>
      <c r="S58" s="3">
        <f t="shared" si="4"/>
        <v>8.7484896435326698E-2</v>
      </c>
      <c r="T58" s="3">
        <f t="shared" si="4"/>
        <v>0.10886019225326801</v>
      </c>
      <c r="U58" s="3">
        <f t="shared" si="4"/>
        <v>0.11629481098616917</v>
      </c>
      <c r="V58" s="3">
        <f t="shared" si="4"/>
        <v>8.902637476605306E-2</v>
      </c>
      <c r="W58" s="3">
        <f t="shared" si="4"/>
        <v>0.11696153731061189</v>
      </c>
      <c r="X58" s="3"/>
      <c r="Y58" s="3"/>
    </row>
    <row r="59" spans="1:25" s="1" customFormat="1" ht="15.75" thickBot="1">
      <c r="B59" s="3"/>
      <c r="C59" s="3"/>
      <c r="D59" s="3"/>
      <c r="E59" s="3"/>
      <c r="F59" s="3"/>
      <c r="G59" s="3"/>
      <c r="H59" s="3"/>
      <c r="I59" s="3"/>
      <c r="J59" s="3"/>
      <c r="K59" s="3"/>
      <c r="L59" s="3"/>
      <c r="M59" s="3"/>
      <c r="N59" s="3"/>
      <c r="O59" s="3"/>
      <c r="P59" s="3"/>
      <c r="Q59" s="3"/>
      <c r="R59" s="3"/>
      <c r="S59" s="3"/>
      <c r="T59" s="3"/>
      <c r="U59" s="3"/>
      <c r="V59" s="3"/>
      <c r="W59" s="3"/>
    </row>
    <row r="60" spans="1:25" s="32" customFormat="1" ht="27" thickBot="1">
      <c r="A60" s="156" t="s">
        <v>26</v>
      </c>
      <c r="B60" s="157"/>
      <c r="C60" s="157"/>
      <c r="D60" s="157"/>
      <c r="E60" s="157"/>
      <c r="F60" s="157"/>
      <c r="G60" s="157"/>
      <c r="H60" s="157"/>
      <c r="I60" s="157"/>
      <c r="J60" s="157"/>
      <c r="K60" s="157"/>
      <c r="L60" s="157"/>
      <c r="M60" s="157"/>
      <c r="N60" s="157"/>
      <c r="O60" s="157"/>
      <c r="P60" s="157"/>
      <c r="Q60" s="157"/>
      <c r="R60" s="157"/>
      <c r="S60" s="157"/>
      <c r="T60" s="157"/>
      <c r="U60" s="157"/>
      <c r="V60" s="157"/>
      <c r="W60" s="157"/>
    </row>
    <row r="61" spans="1:25" s="1" customFormat="1">
      <c r="B61" s="3"/>
      <c r="C61" s="3"/>
      <c r="D61" s="3"/>
      <c r="E61" s="3"/>
      <c r="F61" s="3"/>
      <c r="G61" s="3"/>
      <c r="H61" s="3"/>
      <c r="I61" s="3"/>
      <c r="J61" s="3"/>
      <c r="K61" s="3"/>
      <c r="L61" s="3"/>
      <c r="M61" s="3"/>
      <c r="N61" s="3"/>
      <c r="O61" s="3"/>
      <c r="P61" s="3"/>
      <c r="Q61" s="3"/>
      <c r="R61" s="3"/>
      <c r="S61" s="3"/>
      <c r="T61" s="3"/>
      <c r="U61" s="3"/>
      <c r="V61" s="3"/>
      <c r="W61" s="3"/>
    </row>
    <row r="62" spans="1:25" s="1" customFormat="1">
      <c r="A62" s="1" t="s">
        <v>27</v>
      </c>
      <c r="B62" s="3" t="str">
        <f t="shared" ref="B62" si="5">B4</f>
        <v>Solvent control</v>
      </c>
      <c r="C62" s="3" t="str">
        <f t="shared" ref="C62:W62" si="6">C4</f>
        <v>EE2-33.8ng/L</v>
      </c>
      <c r="D62" s="3" t="str">
        <f t="shared" si="6"/>
        <v>EE2-50.6ng/L</v>
      </c>
      <c r="E62" s="3" t="str">
        <f t="shared" si="6"/>
        <v>EE2-76ng/L</v>
      </c>
      <c r="F62" s="3" t="str">
        <f t="shared" si="6"/>
        <v>EE2-114ng/L</v>
      </c>
      <c r="G62" s="3" t="str">
        <f t="shared" si="6"/>
        <v>EE2-170.9ng/L</v>
      </c>
      <c r="H62" s="3" t="str">
        <f t="shared" si="6"/>
        <v>EE2-488ng/L</v>
      </c>
      <c r="I62" s="3" t="str">
        <f t="shared" si="6"/>
        <v>saccharin-100mg/L</v>
      </c>
      <c r="J62" s="3" t="str">
        <f t="shared" si="6"/>
        <v>saccharin-10mg/L</v>
      </c>
      <c r="K62" s="3" t="str">
        <f t="shared" si="6"/>
        <v>saccharin-1mg/L</v>
      </c>
      <c r="L62" s="3" t="str">
        <f t="shared" si="6"/>
        <v>saccharin-0.1mg/L</v>
      </c>
      <c r="M62" s="3" t="str">
        <f t="shared" si="6"/>
        <v>saccharin-0.01mg/L</v>
      </c>
      <c r="N62" s="3" t="e">
        <f t="shared" si="6"/>
        <v>#REF!</v>
      </c>
      <c r="O62" s="3"/>
      <c r="P62" s="3" t="str">
        <f t="shared" si="6"/>
        <v>Testo -30µg/L</v>
      </c>
      <c r="Q62" s="3" t="str">
        <f t="shared" si="6"/>
        <v>Testo 30µg/L + EE2 -64ng/L</v>
      </c>
      <c r="R62" s="3" t="str">
        <f t="shared" si="6"/>
        <v>Testo 30µg/L + FAD-10mg/L</v>
      </c>
      <c r="S62" s="3" t="str">
        <f t="shared" si="6"/>
        <v>saccharin-100mg/L + Testostérone</v>
      </c>
      <c r="T62" s="3" t="str">
        <f t="shared" si="6"/>
        <v>saccharin-10mg/L + Testostérone</v>
      </c>
      <c r="U62" s="3" t="str">
        <f t="shared" si="6"/>
        <v>saccharin-1mg/L + Testostérone</v>
      </c>
      <c r="V62" s="3" t="str">
        <f t="shared" si="6"/>
        <v>saccharin-0.1mg/L + Testostérone</v>
      </c>
      <c r="W62" s="3" t="str">
        <f t="shared" si="6"/>
        <v>saccharin-0.01mg/L + Testostérone</v>
      </c>
    </row>
    <row r="63" spans="1:25" s="1" customFormat="1">
      <c r="A63" s="1" t="s">
        <v>29</v>
      </c>
      <c r="B63" s="3">
        <f>COUNT(B6:B53)</f>
        <v>24</v>
      </c>
      <c r="C63" s="3">
        <f t="shared" ref="C63:W63" si="7">COUNT(C6:C53)</f>
        <v>24</v>
      </c>
      <c r="D63" s="3">
        <f t="shared" si="7"/>
        <v>24</v>
      </c>
      <c r="E63" s="3">
        <f t="shared" si="7"/>
        <v>24</v>
      </c>
      <c r="F63" s="3">
        <f t="shared" si="7"/>
        <v>24</v>
      </c>
      <c r="G63" s="3">
        <f t="shared" si="7"/>
        <v>24</v>
      </c>
      <c r="H63" s="3">
        <f t="shared" si="7"/>
        <v>24</v>
      </c>
      <c r="I63" s="3">
        <f t="shared" si="7"/>
        <v>24</v>
      </c>
      <c r="J63" s="3">
        <f t="shared" si="7"/>
        <v>24</v>
      </c>
      <c r="K63" s="3">
        <f t="shared" si="7"/>
        <v>24</v>
      </c>
      <c r="L63" s="3">
        <f t="shared" si="7"/>
        <v>24</v>
      </c>
      <c r="M63" s="3">
        <f t="shared" si="7"/>
        <v>24</v>
      </c>
      <c r="N63" s="3">
        <f t="shared" si="7"/>
        <v>0</v>
      </c>
      <c r="O63" s="3"/>
      <c r="P63" s="3">
        <f t="shared" si="7"/>
        <v>48</v>
      </c>
      <c r="Q63" s="3">
        <f t="shared" si="7"/>
        <v>24</v>
      </c>
      <c r="R63" s="3">
        <f t="shared" si="7"/>
        <v>24</v>
      </c>
      <c r="S63" s="3">
        <f t="shared" si="7"/>
        <v>24</v>
      </c>
      <c r="T63" s="3">
        <f t="shared" si="7"/>
        <v>24</v>
      </c>
      <c r="U63" s="3">
        <f t="shared" si="7"/>
        <v>24</v>
      </c>
      <c r="V63" s="3">
        <f t="shared" si="7"/>
        <v>24</v>
      </c>
      <c r="W63" s="3">
        <f t="shared" si="7"/>
        <v>23</v>
      </c>
    </row>
    <row r="64" spans="1:25" s="1" customFormat="1" ht="15.75" thickBot="1">
      <c r="B64" s="3" t="str">
        <f>IF(B63&gt;=21,"OK","ATTENTION")</f>
        <v>OK</v>
      </c>
      <c r="C64" s="3" t="str">
        <f t="shared" ref="C64:W64" si="8">IF(C63&gt;=21,"OK","ATTENTION")</f>
        <v>OK</v>
      </c>
      <c r="D64" s="3" t="str">
        <f t="shared" si="8"/>
        <v>OK</v>
      </c>
      <c r="E64" s="3" t="str">
        <f t="shared" si="8"/>
        <v>OK</v>
      </c>
      <c r="F64" s="3" t="str">
        <f t="shared" si="8"/>
        <v>OK</v>
      </c>
      <c r="G64" s="3" t="str">
        <f t="shared" si="8"/>
        <v>OK</v>
      </c>
      <c r="H64" s="3" t="str">
        <f t="shared" si="8"/>
        <v>OK</v>
      </c>
      <c r="I64" s="3" t="str">
        <f t="shared" si="8"/>
        <v>OK</v>
      </c>
      <c r="J64" s="3" t="str">
        <f t="shared" si="8"/>
        <v>OK</v>
      </c>
      <c r="K64" s="3" t="str">
        <f t="shared" si="8"/>
        <v>OK</v>
      </c>
      <c r="L64" s="3" t="str">
        <f t="shared" si="8"/>
        <v>OK</v>
      </c>
      <c r="M64" s="3" t="str">
        <f t="shared" si="8"/>
        <v>OK</v>
      </c>
      <c r="N64" s="3" t="str">
        <f t="shared" si="8"/>
        <v>ATTENTION</v>
      </c>
      <c r="O64" s="3"/>
      <c r="P64" s="3" t="str">
        <f>IF(P63&gt;=41,"OK","ATTENTION")</f>
        <v>OK</v>
      </c>
      <c r="Q64" s="3" t="str">
        <f t="shared" si="8"/>
        <v>OK</v>
      </c>
      <c r="R64" s="3" t="str">
        <f t="shared" si="8"/>
        <v>OK</v>
      </c>
      <c r="S64" s="3" t="str">
        <f t="shared" si="8"/>
        <v>OK</v>
      </c>
      <c r="T64" s="3" t="str">
        <f t="shared" si="8"/>
        <v>OK</v>
      </c>
      <c r="U64" s="3" t="str">
        <f t="shared" si="8"/>
        <v>OK</v>
      </c>
      <c r="V64" s="3" t="str">
        <f t="shared" si="8"/>
        <v>OK</v>
      </c>
      <c r="W64" s="3" t="str">
        <f t="shared" si="8"/>
        <v>OK</v>
      </c>
    </row>
    <row r="65" spans="1:23" s="32" customFormat="1" ht="27" thickBot="1">
      <c r="A65" s="156" t="s">
        <v>37</v>
      </c>
      <c r="B65" s="157"/>
      <c r="C65" s="157"/>
      <c r="D65" s="157"/>
      <c r="E65" s="157"/>
      <c r="F65" s="157"/>
      <c r="G65" s="157"/>
      <c r="H65" s="157"/>
      <c r="I65" s="157"/>
      <c r="J65" s="157"/>
      <c r="K65" s="157"/>
      <c r="L65" s="157"/>
      <c r="M65" s="157"/>
      <c r="N65" s="157"/>
      <c r="O65" s="157"/>
      <c r="P65" s="157"/>
      <c r="Q65" s="157"/>
      <c r="R65" s="157"/>
      <c r="S65" s="157"/>
      <c r="T65" s="157"/>
      <c r="U65" s="157"/>
      <c r="V65" s="157"/>
      <c r="W65" s="157"/>
    </row>
    <row r="66" spans="1:23" s="1" customFormat="1">
      <c r="B66" s="1" t="s">
        <v>39</v>
      </c>
      <c r="C66" s="3"/>
      <c r="D66" s="3"/>
      <c r="E66" s="3"/>
      <c r="F66" s="3"/>
      <c r="G66" s="3"/>
      <c r="H66" s="3"/>
      <c r="I66" s="3"/>
      <c r="J66" s="3"/>
      <c r="K66" s="3"/>
      <c r="L66" s="3"/>
      <c r="M66" s="3"/>
      <c r="N66" s="3"/>
      <c r="O66" s="3"/>
      <c r="P66" s="3"/>
      <c r="Q66" s="3"/>
      <c r="R66" s="3"/>
      <c r="S66" s="3"/>
      <c r="T66" s="3"/>
      <c r="U66" s="3"/>
      <c r="V66" s="3"/>
      <c r="W66" s="3"/>
    </row>
    <row r="67" spans="1:23" s="1" customFormat="1">
      <c r="A67" s="1" t="s">
        <v>38</v>
      </c>
      <c r="B67" s="3">
        <v>3.5</v>
      </c>
      <c r="C67" s="3"/>
      <c r="D67" s="3"/>
      <c r="E67" s="3"/>
      <c r="F67" s="3"/>
      <c r="G67" s="3"/>
      <c r="H67" s="3"/>
      <c r="I67" s="3"/>
      <c r="J67" s="3"/>
      <c r="K67" s="3"/>
      <c r="L67" s="3"/>
      <c r="M67" s="3"/>
      <c r="N67" s="3"/>
      <c r="O67" s="3"/>
      <c r="P67" s="3"/>
      <c r="Q67" s="3"/>
      <c r="R67" s="3"/>
      <c r="S67" s="3"/>
      <c r="T67" s="3"/>
      <c r="U67" s="3"/>
      <c r="V67" s="3"/>
      <c r="W67" s="3"/>
    </row>
    <row r="68" spans="1:23" s="1" customFormat="1">
      <c r="A68" s="1" t="s">
        <v>40</v>
      </c>
      <c r="B68" s="3">
        <v>2</v>
      </c>
      <c r="C68" s="3"/>
      <c r="D68" s="3"/>
      <c r="E68" s="3"/>
      <c r="F68" s="3"/>
      <c r="G68" s="3"/>
      <c r="H68" s="3"/>
      <c r="I68" s="3"/>
      <c r="J68" s="3"/>
      <c r="K68" s="3"/>
      <c r="L68" s="3"/>
      <c r="M68" s="3"/>
      <c r="N68" s="3"/>
      <c r="O68" s="3"/>
      <c r="P68" s="3"/>
      <c r="Q68" s="3"/>
      <c r="R68" s="3"/>
      <c r="S68" s="3"/>
      <c r="T68" s="3"/>
      <c r="U68" s="3"/>
      <c r="V68" s="3"/>
      <c r="W68" s="3"/>
    </row>
    <row r="69" spans="1:23" s="1" customFormat="1" ht="15.75" thickBot="1">
      <c r="A69" s="1" t="s">
        <v>41</v>
      </c>
      <c r="B69" s="3">
        <v>0.5</v>
      </c>
      <c r="C69" s="3"/>
      <c r="D69" s="3"/>
      <c r="E69" s="3"/>
      <c r="F69" s="3"/>
      <c r="G69" s="3"/>
      <c r="H69" s="3"/>
      <c r="I69" s="3"/>
      <c r="J69" s="3"/>
      <c r="K69" s="3"/>
      <c r="L69" s="3"/>
      <c r="M69" s="3"/>
      <c r="N69" s="3"/>
      <c r="O69" s="3"/>
      <c r="P69" s="3"/>
      <c r="Q69" s="3"/>
      <c r="R69" s="3"/>
      <c r="S69" s="3"/>
      <c r="T69" s="3"/>
      <c r="U69" s="3"/>
      <c r="V69" s="3"/>
      <c r="W69" s="3"/>
    </row>
    <row r="70" spans="1:23" s="32" customFormat="1" ht="27" thickBot="1">
      <c r="A70" s="156" t="s">
        <v>32</v>
      </c>
      <c r="B70" s="157"/>
      <c r="C70" s="157"/>
      <c r="D70" s="157"/>
      <c r="E70" s="157"/>
      <c r="F70" s="157"/>
      <c r="G70" s="157"/>
      <c r="H70" s="157"/>
      <c r="I70" s="157"/>
      <c r="J70" s="157"/>
      <c r="K70" s="157"/>
      <c r="L70" s="157"/>
      <c r="M70" s="157"/>
      <c r="N70" s="157"/>
      <c r="O70" s="157"/>
      <c r="P70" s="157"/>
      <c r="Q70" s="157"/>
      <c r="R70" s="157"/>
      <c r="S70" s="157"/>
      <c r="T70" s="157"/>
      <c r="U70" s="157"/>
      <c r="V70" s="157"/>
      <c r="W70" s="157"/>
    </row>
    <row r="71" spans="1:23" ht="15.75" thickBot="1"/>
    <row r="72" spans="1:23" s="32" customFormat="1" ht="27" thickBot="1">
      <c r="A72" s="156" t="s">
        <v>33</v>
      </c>
      <c r="B72" s="157"/>
      <c r="C72" s="157"/>
      <c r="D72" s="157"/>
      <c r="E72" s="157"/>
      <c r="F72" s="157"/>
      <c r="G72" s="157"/>
      <c r="H72" s="157"/>
      <c r="I72" s="157"/>
      <c r="J72" s="157"/>
      <c r="K72" s="157"/>
      <c r="L72" s="157"/>
      <c r="M72" s="157"/>
      <c r="N72" s="157"/>
      <c r="O72" s="157"/>
      <c r="P72" s="157"/>
      <c r="Q72" s="157"/>
      <c r="R72" s="157"/>
      <c r="S72" s="157"/>
      <c r="T72" s="157"/>
      <c r="U72" s="157"/>
      <c r="V72" s="157"/>
      <c r="W72" s="157"/>
    </row>
    <row r="73" spans="1:23" ht="15.75" thickBot="1">
      <c r="J73" s="3">
        <v>1</v>
      </c>
      <c r="K73" s="3">
        <v>2</v>
      </c>
      <c r="L73" s="3">
        <v>3</v>
      </c>
      <c r="M73" s="3">
        <v>4</v>
      </c>
      <c r="N73" s="3">
        <v>5</v>
      </c>
      <c r="S73" s="3">
        <v>1</v>
      </c>
      <c r="T73" s="3">
        <v>2</v>
      </c>
      <c r="U73" s="3">
        <v>3</v>
      </c>
      <c r="V73" s="3">
        <v>4</v>
      </c>
      <c r="W73" s="3">
        <v>5</v>
      </c>
    </row>
    <row r="74" spans="1:23" s="1" customFormat="1">
      <c r="A74" s="29" t="s">
        <v>22</v>
      </c>
      <c r="B74" s="30" t="str">
        <f t="shared" ref="B74:N74" si="9">B4</f>
        <v>Solvent control</v>
      </c>
      <c r="C74" s="30" t="str">
        <f t="shared" si="9"/>
        <v>EE2-33.8ng/L</v>
      </c>
      <c r="D74" s="30" t="str">
        <f t="shared" si="9"/>
        <v>EE2-50.6ng/L</v>
      </c>
      <c r="E74" s="30" t="str">
        <f t="shared" si="9"/>
        <v>EE2-76ng/L</v>
      </c>
      <c r="F74" s="30" t="str">
        <f t="shared" si="9"/>
        <v>EE2-114ng/L</v>
      </c>
      <c r="G74" s="30" t="str">
        <f t="shared" si="9"/>
        <v>EE2-170.9ng/L</v>
      </c>
      <c r="H74" s="30" t="str">
        <f t="shared" si="9"/>
        <v>EE2-488ng/L</v>
      </c>
      <c r="I74" s="30" t="str">
        <f t="shared" si="9"/>
        <v>saccharin-100mg/L</v>
      </c>
      <c r="J74" s="30" t="str">
        <f t="shared" si="9"/>
        <v>saccharin-10mg/L</v>
      </c>
      <c r="K74" s="30" t="str">
        <f t="shared" si="9"/>
        <v>saccharin-1mg/L</v>
      </c>
      <c r="L74" s="30" t="str">
        <f t="shared" si="9"/>
        <v>saccharin-0.1mg/L</v>
      </c>
      <c r="M74" s="30" t="str">
        <f t="shared" si="9"/>
        <v>saccharin-0.01mg/L</v>
      </c>
      <c r="N74" s="30" t="e">
        <f t="shared" si="9"/>
        <v>#REF!</v>
      </c>
      <c r="O74" s="30"/>
      <c r="P74" s="30" t="str">
        <f t="shared" ref="P74:W74" si="10">P4</f>
        <v>Testo -30µg/L</v>
      </c>
      <c r="Q74" s="30" t="str">
        <f t="shared" si="10"/>
        <v>Testo 30µg/L + EE2 -64ng/L</v>
      </c>
      <c r="R74" s="30" t="str">
        <f t="shared" si="10"/>
        <v>Testo 30µg/L + FAD-10mg/L</v>
      </c>
      <c r="S74" s="30" t="str">
        <f t="shared" si="10"/>
        <v>saccharin-100mg/L + Testostérone</v>
      </c>
      <c r="T74" s="30" t="str">
        <f t="shared" si="10"/>
        <v>saccharin-10mg/L + Testostérone</v>
      </c>
      <c r="U74" s="30" t="str">
        <f t="shared" si="10"/>
        <v>saccharin-1mg/L + Testostérone</v>
      </c>
      <c r="V74" s="30" t="str">
        <f t="shared" si="10"/>
        <v>saccharin-0.1mg/L + Testostérone</v>
      </c>
      <c r="W74" s="30" t="str">
        <f t="shared" si="10"/>
        <v>saccharin-0.01mg/L + Testostérone</v>
      </c>
    </row>
    <row r="75" spans="1:23" s="3" customFormat="1">
      <c r="A75" s="45" t="s">
        <v>15</v>
      </c>
      <c r="B75" s="77">
        <f>B56</f>
        <v>0.22455884344109112</v>
      </c>
      <c r="C75" s="77">
        <f t="shared" ref="C75:W75" si="11">C56</f>
        <v>0.24466500044283249</v>
      </c>
      <c r="D75" s="77">
        <f t="shared" si="11"/>
        <v>0.53575683163534982</v>
      </c>
      <c r="E75" s="77">
        <f t="shared" si="11"/>
        <v>0.95384330445692722</v>
      </c>
      <c r="F75" s="77">
        <f t="shared" si="11"/>
        <v>1.4786369374525901</v>
      </c>
      <c r="G75" s="77">
        <f t="shared" si="11"/>
        <v>1.6319919847071451</v>
      </c>
      <c r="H75" s="77">
        <f t="shared" si="11"/>
        <v>2.2688910382555387</v>
      </c>
      <c r="I75" s="77">
        <f t="shared" si="11"/>
        <v>0.13318942711858067</v>
      </c>
      <c r="J75" s="77">
        <f t="shared" si="11"/>
        <v>0.11564688284221251</v>
      </c>
      <c r="K75" s="77">
        <f t="shared" si="11"/>
        <v>0.2013024928007752</v>
      </c>
      <c r="L75" s="77">
        <f t="shared" si="11"/>
        <v>0.15342772689578735</v>
      </c>
      <c r="M75" s="77">
        <f t="shared" si="11"/>
        <v>0.12339295433005291</v>
      </c>
      <c r="N75" s="77" t="e">
        <f t="shared" si="11"/>
        <v>#REF!</v>
      </c>
      <c r="O75" s="77"/>
      <c r="P75" s="77">
        <f t="shared" si="11"/>
        <v>1</v>
      </c>
      <c r="Q75" s="77">
        <f t="shared" si="11"/>
        <v>1.7469563972526647</v>
      </c>
      <c r="R75" s="77">
        <f t="shared" si="11"/>
        <v>0.21134057297984318</v>
      </c>
      <c r="S75" s="77">
        <f t="shared" si="11"/>
        <v>0.99582314671623529</v>
      </c>
      <c r="T75" s="77">
        <f t="shared" si="11"/>
        <v>1.0793541470214605</v>
      </c>
      <c r="U75" s="77">
        <f t="shared" si="11"/>
        <v>1.0777958895558692</v>
      </c>
      <c r="V75" s="77">
        <f t="shared" si="11"/>
        <v>1.0937350818685372</v>
      </c>
      <c r="W75" s="77">
        <f t="shared" si="11"/>
        <v>1.1972830594302009</v>
      </c>
    </row>
    <row r="76" spans="1:23" s="3" customFormat="1">
      <c r="A76" s="45" t="s">
        <v>2</v>
      </c>
      <c r="B76" s="77">
        <f>B58</f>
        <v>3.5533914801463944E-2</v>
      </c>
      <c r="C76" s="77">
        <f t="shared" ref="C76:W76" si="12">C58</f>
        <v>3.7623918380002855E-2</v>
      </c>
      <c r="D76" s="77">
        <f t="shared" si="12"/>
        <v>0.11843571172858236</v>
      </c>
      <c r="E76" s="77">
        <f t="shared" si="12"/>
        <v>9.287572569778943E-2</v>
      </c>
      <c r="F76" s="77">
        <f t="shared" si="12"/>
        <v>0.12971636646941734</v>
      </c>
      <c r="G76" s="77">
        <f t="shared" si="12"/>
        <v>0.11621962225161217</v>
      </c>
      <c r="H76" s="77">
        <f t="shared" si="12"/>
        <v>0.15555364840433053</v>
      </c>
      <c r="I76" s="77">
        <f t="shared" si="12"/>
        <v>1.9969791381818463E-2</v>
      </c>
      <c r="J76" s="77">
        <f t="shared" si="12"/>
        <v>2.4450454616502817E-2</v>
      </c>
      <c r="K76" s="77">
        <f t="shared" si="12"/>
        <v>3.8370297675482876E-2</v>
      </c>
      <c r="L76" s="77">
        <f t="shared" si="12"/>
        <v>3.0672729804919485E-2</v>
      </c>
      <c r="M76" s="77">
        <f t="shared" si="12"/>
        <v>2.5479087577615984E-2</v>
      </c>
      <c r="N76" s="77" t="e">
        <f t="shared" si="12"/>
        <v>#REF!</v>
      </c>
      <c r="O76" s="77"/>
      <c r="P76" s="77">
        <f t="shared" si="12"/>
        <v>6.7213094685645083E-2</v>
      </c>
      <c r="Q76" s="77">
        <f t="shared" si="12"/>
        <v>0.10784153328416643</v>
      </c>
      <c r="R76" s="77">
        <f t="shared" si="12"/>
        <v>2.319901079594747E-2</v>
      </c>
      <c r="S76" s="77">
        <f t="shared" si="12"/>
        <v>8.7484896435326698E-2</v>
      </c>
      <c r="T76" s="77">
        <f t="shared" si="12"/>
        <v>0.10886019225326801</v>
      </c>
      <c r="U76" s="77">
        <f t="shared" si="12"/>
        <v>0.11629481098616917</v>
      </c>
      <c r="V76" s="77">
        <f t="shared" si="12"/>
        <v>8.902637476605306E-2</v>
      </c>
      <c r="W76" s="77">
        <f t="shared" si="12"/>
        <v>0.11696153731061189</v>
      </c>
    </row>
    <row r="77" spans="1:23" s="3" customFormat="1">
      <c r="A77" s="45" t="s">
        <v>42</v>
      </c>
      <c r="B77" s="77">
        <f>(B75*100/$B$75)-100</f>
        <v>0</v>
      </c>
      <c r="C77" s="77">
        <f t="shared" ref="C77:N77" si="13">(C75*100/$B$75)-100</f>
        <v>8.9536251138627847</v>
      </c>
      <c r="D77" s="77">
        <f t="shared" si="13"/>
        <v>138.58193399357071</v>
      </c>
      <c r="E77" s="77">
        <f t="shared" si="13"/>
        <v>324.76318894434922</v>
      </c>
      <c r="F77" s="77">
        <f t="shared" si="13"/>
        <v>558.46301788621531</v>
      </c>
      <c r="G77" s="77">
        <f t="shared" si="13"/>
        <v>626.75471591269945</v>
      </c>
      <c r="H77" s="77">
        <f t="shared" si="13"/>
        <v>910.37705907616169</v>
      </c>
      <c r="I77" s="77">
        <f t="shared" si="13"/>
        <v>-40.688407066221608</v>
      </c>
      <c r="J77" s="77">
        <f t="shared" si="13"/>
        <v>-48.50041037348398</v>
      </c>
      <c r="K77" s="77">
        <f t="shared" si="13"/>
        <v>-10.356461711300526</v>
      </c>
      <c r="L77" s="77">
        <f t="shared" si="13"/>
        <v>-31.675936451802983</v>
      </c>
      <c r="M77" s="77">
        <f t="shared" si="13"/>
        <v>-45.050948589151069</v>
      </c>
      <c r="N77" s="77" t="e">
        <f t="shared" si="13"/>
        <v>#REF!</v>
      </c>
      <c r="O77" s="77"/>
      <c r="P77" s="77">
        <f>(P75*100/$P$75)-100</f>
        <v>0</v>
      </c>
      <c r="Q77" s="77">
        <f t="shared" ref="Q77:W77" si="14">(Q75*100/$P$75)-100</f>
        <v>74.69563972526646</v>
      </c>
      <c r="R77" s="77">
        <f t="shared" si="14"/>
        <v>-78.865942702015687</v>
      </c>
      <c r="S77" s="77">
        <f t="shared" si="14"/>
        <v>-0.41768532837647854</v>
      </c>
      <c r="T77" s="77">
        <f t="shared" si="14"/>
        <v>7.9354147021460477</v>
      </c>
      <c r="U77" s="77">
        <f t="shared" si="14"/>
        <v>7.7795889555869309</v>
      </c>
      <c r="V77" s="77">
        <f t="shared" si="14"/>
        <v>9.3735081868537122</v>
      </c>
      <c r="W77" s="77">
        <f t="shared" si="14"/>
        <v>19.728305943020089</v>
      </c>
    </row>
    <row r="78" spans="1:23" s="3" customFormat="1">
      <c r="A78" s="45" t="s">
        <v>43</v>
      </c>
      <c r="B78" s="77" t="e">
        <f ca="1">[2]!DPTEST(B6:B53)</f>
        <v>#NAME?</v>
      </c>
      <c r="C78" s="77" t="e">
        <f ca="1">[2]!DPTEST(C6:C53)</f>
        <v>#NAME?</v>
      </c>
      <c r="D78" s="77" t="e">
        <f ca="1">[2]!DPTEST(D6:D53)</f>
        <v>#NAME?</v>
      </c>
      <c r="E78" s="77" t="e">
        <f ca="1">[2]!DPTEST(E6:E53)</f>
        <v>#NAME?</v>
      </c>
      <c r="F78" s="77" t="e">
        <f ca="1">[2]!DPTEST(F6:F53)</f>
        <v>#NAME?</v>
      </c>
      <c r="G78" s="77" t="e">
        <f ca="1">[2]!DPTEST(G6:G53)</f>
        <v>#NAME?</v>
      </c>
      <c r="H78" s="77" t="e">
        <f ca="1">[2]!DPTEST(H6:H53)</f>
        <v>#NAME?</v>
      </c>
      <c r="I78" s="77" t="e">
        <f ca="1">[2]!DPTEST(I6:I53)</f>
        <v>#NAME?</v>
      </c>
      <c r="J78" s="77" t="e">
        <f ca="1">[2]!DPTEST(J6:J53)</f>
        <v>#NAME?</v>
      </c>
      <c r="K78" s="77" t="e">
        <f ca="1">[2]!DPTEST(K6:K53)</f>
        <v>#NAME?</v>
      </c>
      <c r="L78" s="77" t="e">
        <f ca="1">[2]!DPTEST(L6:L53)</f>
        <v>#NAME?</v>
      </c>
      <c r="M78" s="77" t="e">
        <f ca="1">[2]!DPTEST(M6:M53)</f>
        <v>#NAME?</v>
      </c>
      <c r="N78" s="77" t="e">
        <f ca="1">[2]!DPTEST(N6:N53)</f>
        <v>#NAME?</v>
      </c>
      <c r="O78" s="77" t="e">
        <f ca="1">[2]!DPTEST(O6:O53)</f>
        <v>#NAME?</v>
      </c>
      <c r="P78" s="77" t="e">
        <f ca="1">[2]!DPTEST(P6:P53)</f>
        <v>#NAME?</v>
      </c>
      <c r="Q78" s="77" t="e">
        <f ca="1">[2]!DPTEST(Q6:Q53)</f>
        <v>#NAME?</v>
      </c>
      <c r="R78" s="77" t="e">
        <f ca="1">[2]!DPTEST(R6:R53)</f>
        <v>#NAME?</v>
      </c>
      <c r="S78" s="77" t="e">
        <f ca="1">[2]!DPTEST(S6:S53)</f>
        <v>#NAME?</v>
      </c>
      <c r="T78" s="77" t="e">
        <f ca="1">[2]!DPTEST(T6:T53)</f>
        <v>#NAME?</v>
      </c>
      <c r="U78" s="77" t="e">
        <f ca="1">[2]!DPTEST(U6:U53)</f>
        <v>#NAME?</v>
      </c>
      <c r="V78" s="77" t="e">
        <f ca="1">[2]!DPTEST(V6:V53)</f>
        <v>#NAME?</v>
      </c>
      <c r="W78" s="77" t="e">
        <f ca="1">[2]!DPTEST(W6:W53)</f>
        <v>#NAME?</v>
      </c>
    </row>
    <row r="79" spans="1:23" s="3" customFormat="1">
      <c r="A79" s="45" t="s">
        <v>47</v>
      </c>
      <c r="B79" s="77" t="e">
        <f ca="1">IF(B78&gt;0.05,"Oui","Non")</f>
        <v>#NAME?</v>
      </c>
      <c r="C79" s="77" t="e">
        <f t="shared" ref="C79:W79" ca="1" si="15">IF(C78&gt;0.05,"Oui","Non")</f>
        <v>#NAME?</v>
      </c>
      <c r="D79" s="77" t="e">
        <f t="shared" ca="1" si="15"/>
        <v>#NAME?</v>
      </c>
      <c r="E79" s="77" t="e">
        <f t="shared" ca="1" si="15"/>
        <v>#NAME?</v>
      </c>
      <c r="F79" s="77" t="e">
        <f t="shared" ca="1" si="15"/>
        <v>#NAME?</v>
      </c>
      <c r="G79" s="77" t="e">
        <f t="shared" ca="1" si="15"/>
        <v>#NAME?</v>
      </c>
      <c r="H79" s="77" t="e">
        <f t="shared" ca="1" si="15"/>
        <v>#NAME?</v>
      </c>
      <c r="I79" s="77" t="e">
        <f t="shared" ca="1" si="15"/>
        <v>#NAME?</v>
      </c>
      <c r="J79" s="77" t="e">
        <f t="shared" ca="1" si="15"/>
        <v>#NAME?</v>
      </c>
      <c r="K79" s="77" t="e">
        <f t="shared" ca="1" si="15"/>
        <v>#NAME?</v>
      </c>
      <c r="L79" s="77" t="e">
        <f t="shared" ca="1" si="15"/>
        <v>#NAME?</v>
      </c>
      <c r="M79" s="77" t="e">
        <f t="shared" ca="1" si="15"/>
        <v>#NAME?</v>
      </c>
      <c r="N79" s="77" t="e">
        <f t="shared" ca="1" si="15"/>
        <v>#NAME?</v>
      </c>
      <c r="O79" s="77"/>
      <c r="P79" s="77" t="e">
        <f t="shared" ca="1" si="15"/>
        <v>#NAME?</v>
      </c>
      <c r="Q79" s="77" t="e">
        <f t="shared" ca="1" si="15"/>
        <v>#NAME?</v>
      </c>
      <c r="R79" s="77" t="e">
        <f t="shared" ca="1" si="15"/>
        <v>#NAME?</v>
      </c>
      <c r="S79" s="77" t="e">
        <f t="shared" ca="1" si="15"/>
        <v>#NAME?</v>
      </c>
      <c r="T79" s="77" t="e">
        <f t="shared" ca="1" si="15"/>
        <v>#NAME?</v>
      </c>
      <c r="U79" s="77" t="e">
        <f t="shared" ca="1" si="15"/>
        <v>#NAME?</v>
      </c>
      <c r="V79" s="77" t="e">
        <f t="shared" ca="1" si="15"/>
        <v>#NAME?</v>
      </c>
      <c r="W79" s="77" t="e">
        <f t="shared" ca="1" si="15"/>
        <v>#NAME?</v>
      </c>
    </row>
    <row r="80" spans="1:23" s="3" customFormat="1">
      <c r="A80" s="45" t="s">
        <v>49</v>
      </c>
      <c r="B80" s="77" t="str">
        <f ca="1">IF(COUNTIF(B79:I79, "Non")=0, "Oui","Non")</f>
        <v>Oui</v>
      </c>
      <c r="C80" s="77"/>
      <c r="D80" s="77"/>
      <c r="E80" s="77"/>
      <c r="F80" s="77"/>
      <c r="G80" s="77"/>
      <c r="H80" s="77"/>
      <c r="I80" s="77"/>
      <c r="J80" s="77" t="str">
        <f ca="1">IF(COUNTIF(J79:N79, "Non")&gt;0, "Oui","Non")</f>
        <v>Non</v>
      </c>
      <c r="K80" s="77"/>
      <c r="L80" s="77"/>
      <c r="M80" s="77"/>
      <c r="N80" s="77"/>
      <c r="O80" s="77"/>
      <c r="P80" s="77"/>
      <c r="Q80" s="77"/>
      <c r="R80" s="77"/>
      <c r="S80" s="77" t="str">
        <f ca="1">IF(COUNTIF(S79:W79, "Non")&gt;0, "Oui","Non")</f>
        <v>Non</v>
      </c>
      <c r="T80" s="77"/>
      <c r="U80" s="77"/>
      <c r="V80" s="77"/>
      <c r="W80" s="77"/>
    </row>
    <row r="81" spans="1:23" s="3" customFormat="1">
      <c r="A81" s="45" t="s">
        <v>44</v>
      </c>
      <c r="B81" s="77"/>
      <c r="C81" s="77" t="str">
        <f t="shared" ref="C81:I81" ca="1" si="16">IF($B80="Non","Kruskal-Wallis","ANOVA")</f>
        <v>ANOVA</v>
      </c>
      <c r="D81" s="77" t="str">
        <f t="shared" ca="1" si="16"/>
        <v>ANOVA</v>
      </c>
      <c r="E81" s="77" t="str">
        <f t="shared" ca="1" si="16"/>
        <v>ANOVA</v>
      </c>
      <c r="F81" s="77" t="str">
        <f t="shared" ca="1" si="16"/>
        <v>ANOVA</v>
      </c>
      <c r="G81" s="77" t="str">
        <f t="shared" ca="1" si="16"/>
        <v>ANOVA</v>
      </c>
      <c r="H81" s="77" t="str">
        <f t="shared" ca="1" si="16"/>
        <v>ANOVA</v>
      </c>
      <c r="I81" s="77" t="str">
        <f t="shared" ca="1" si="16"/>
        <v>ANOVA</v>
      </c>
      <c r="J81" s="77" t="e">
        <f t="shared" ref="J81:N81" ca="1" si="17">IF($B79="Non",IF(J79="Non","Mann Withney",IF(J79="Oui","Mann Withney","")),IF($B79="Oui",IF(J79="Oui","T-Test Welch",IF(J79="Non","Mann Withney",""))))</f>
        <v>#NAME?</v>
      </c>
      <c r="K81" s="77" t="e">
        <f t="shared" ca="1" si="17"/>
        <v>#NAME?</v>
      </c>
      <c r="L81" s="77" t="e">
        <f t="shared" ca="1" si="17"/>
        <v>#NAME?</v>
      </c>
      <c r="M81" s="77" t="e">
        <f t="shared" ca="1" si="17"/>
        <v>#NAME?</v>
      </c>
      <c r="N81" s="77" t="e">
        <f t="shared" ca="1" si="17"/>
        <v>#NAME?</v>
      </c>
      <c r="O81" s="77"/>
      <c r="P81" s="77" t="e">
        <f ca="1">IF($B79="Non",IF(P79="Non","Mann Withney",IF(P79="Oui","Mann Withney","")),IF($B79="Oui",IF(P79="Oui","T-Test Welch",IF(P79="Non","Mann Withney",""))))</f>
        <v>#NAME?</v>
      </c>
      <c r="Q81" s="77" t="e">
        <f t="shared" ref="Q81:W81" ca="1" si="18">IF($P79="Non",IF(Q79="Non","Mann Withney",IF(Q$79="Oui","Mann Withney","")),IF($P79="Oui",IF(Q79="Oui","T-Test Welch",IF(Q79="Non","Mann Withney",""))))</f>
        <v>#NAME?</v>
      </c>
      <c r="R81" s="77" t="e">
        <f t="shared" ca="1" si="18"/>
        <v>#NAME?</v>
      </c>
      <c r="S81" s="77" t="e">
        <f t="shared" ca="1" si="18"/>
        <v>#NAME?</v>
      </c>
      <c r="T81" s="77" t="e">
        <f t="shared" ca="1" si="18"/>
        <v>#NAME?</v>
      </c>
      <c r="U81" s="77" t="e">
        <f t="shared" ca="1" si="18"/>
        <v>#NAME?</v>
      </c>
      <c r="V81" s="77" t="e">
        <f t="shared" ca="1" si="18"/>
        <v>#NAME?</v>
      </c>
      <c r="W81" s="77" t="e">
        <f t="shared" ca="1" si="18"/>
        <v>#NAME?</v>
      </c>
    </row>
    <row r="82" spans="1:23" s="3" customFormat="1">
      <c r="A82" s="45" t="s">
        <v>45</v>
      </c>
      <c r="B82" s="77"/>
      <c r="C82" s="122">
        <v>0.99990000000000001</v>
      </c>
      <c r="D82" s="122">
        <v>0.42170000000000002</v>
      </c>
      <c r="E82" s="122">
        <v>2.0000000000000001E-4</v>
      </c>
      <c r="F82" s="122">
        <v>1E-4</v>
      </c>
      <c r="G82" s="122">
        <v>1E-4</v>
      </c>
      <c r="H82" s="122">
        <v>1E-4</v>
      </c>
      <c r="I82" s="122">
        <v>0.60760000000000003</v>
      </c>
      <c r="J82" s="122">
        <v>7.7899999999999997E-2</v>
      </c>
      <c r="K82" s="122">
        <v>0.99990000000000001</v>
      </c>
      <c r="L82" s="122">
        <v>0.71879999999999999</v>
      </c>
      <c r="M82" s="122">
        <v>0.16239999999999999</v>
      </c>
      <c r="N82" s="77" t="e">
        <f ca="1">IF(N81="Mann Withney",[1]!MTEST($B6:$B53,N6:N53,2), IF(N81="T-Test Welch",_xlfn.T.TEST($B6:$B53,N6:N53,2,3),""))</f>
        <v>#NAME?</v>
      </c>
      <c r="O82" s="77"/>
      <c r="P82" s="122">
        <v>1E-4</v>
      </c>
      <c r="Q82" s="122">
        <v>1E-4</v>
      </c>
      <c r="R82" s="122">
        <v>1E-4</v>
      </c>
      <c r="S82" s="122">
        <v>0.99990000000000001</v>
      </c>
      <c r="T82" s="122">
        <v>0.95279999999999998</v>
      </c>
      <c r="U82" s="122">
        <v>0.95640000000000003</v>
      </c>
      <c r="V82" s="122">
        <v>0.91090000000000004</v>
      </c>
      <c r="W82" s="122">
        <v>0.38169999999999998</v>
      </c>
    </row>
    <row r="83" spans="1:23" s="3" customFormat="1" ht="15.75" thickBot="1">
      <c r="A83" s="46" t="s">
        <v>46</v>
      </c>
      <c r="B83" s="78"/>
      <c r="C83" s="78" t="str">
        <f t="shared" ref="C83:P83" si="19">IF(C82&gt;0.05,"NS",IF(C82&gt;0.01,"*",IF(C82&gt;0.001,"**","***")))</f>
        <v>NS</v>
      </c>
      <c r="D83" s="78" t="str">
        <f t="shared" si="19"/>
        <v>NS</v>
      </c>
      <c r="E83" s="78" t="str">
        <f t="shared" si="19"/>
        <v>***</v>
      </c>
      <c r="F83" s="78" t="str">
        <f t="shared" si="19"/>
        <v>***</v>
      </c>
      <c r="G83" s="78" t="str">
        <f t="shared" si="19"/>
        <v>***</v>
      </c>
      <c r="H83" s="78" t="str">
        <f t="shared" si="19"/>
        <v>***</v>
      </c>
      <c r="I83" s="78" t="str">
        <f t="shared" si="19"/>
        <v>NS</v>
      </c>
      <c r="J83" s="78" t="str">
        <f t="shared" si="19"/>
        <v>NS</v>
      </c>
      <c r="K83" s="78" t="str">
        <f t="shared" si="19"/>
        <v>NS</v>
      </c>
      <c r="L83" s="78" t="str">
        <f t="shared" si="19"/>
        <v>NS</v>
      </c>
      <c r="M83" s="78" t="str">
        <f t="shared" si="19"/>
        <v>NS</v>
      </c>
      <c r="N83" s="78" t="e">
        <f t="shared" ca="1" si="19"/>
        <v>#NAME?</v>
      </c>
      <c r="O83" s="78"/>
      <c r="P83" s="78" t="str">
        <f t="shared" si="19"/>
        <v>***</v>
      </c>
      <c r="Q83" s="78" t="str">
        <f t="shared" ref="Q83" si="20">IF(Q82&gt;0.05,"NS",IF(Q82&gt;0.01,"*",IF(Q82&gt;0.001,"**","***")))</f>
        <v>***</v>
      </c>
      <c r="R83" s="78" t="str">
        <f t="shared" ref="R83:W83" si="21">IF(R82&gt;0.05,"NS",IF(R82&gt;0.01,"*",IF(R82&gt;0.001,"**","***")))</f>
        <v>***</v>
      </c>
      <c r="S83" s="78" t="str">
        <f t="shared" si="21"/>
        <v>NS</v>
      </c>
      <c r="T83" s="78" t="str">
        <f t="shared" si="21"/>
        <v>NS</v>
      </c>
      <c r="U83" s="78" t="str">
        <f t="shared" si="21"/>
        <v>NS</v>
      </c>
      <c r="V83" s="78" t="str">
        <f t="shared" si="21"/>
        <v>NS</v>
      </c>
      <c r="W83" s="78" t="str">
        <f t="shared" si="21"/>
        <v>NS</v>
      </c>
    </row>
    <row r="84" spans="1:23" s="1" customFormat="1"/>
    <row r="85" spans="1:23" s="1" customFormat="1">
      <c r="A85" s="2" t="s">
        <v>20</v>
      </c>
    </row>
    <row r="86" spans="1:23">
      <c r="A86" s="1" t="s">
        <v>13</v>
      </c>
      <c r="B86" s="1">
        <f>B56+(3*B57)</f>
        <v>0.74679860240379481</v>
      </c>
    </row>
    <row r="87" spans="1:23">
      <c r="A87" s="1" t="s">
        <v>14</v>
      </c>
      <c r="B87" s="1">
        <f>B56+(10*B57)</f>
        <v>1.9653580399834367</v>
      </c>
    </row>
    <row r="88" spans="1:23" ht="15.75" thickBot="1"/>
    <row r="89" spans="1:23" s="32" customFormat="1" ht="27" thickBot="1">
      <c r="A89" s="33" t="s">
        <v>34</v>
      </c>
      <c r="B89" s="34"/>
      <c r="C89" s="34"/>
      <c r="D89" s="34"/>
      <c r="E89" s="34"/>
      <c r="F89" s="34"/>
      <c r="G89" s="34"/>
      <c r="H89" s="34"/>
      <c r="I89" s="34"/>
      <c r="J89" s="34"/>
      <c r="K89" s="34"/>
      <c r="L89" s="34"/>
      <c r="M89" s="34"/>
      <c r="N89" s="34"/>
      <c r="O89" s="34"/>
      <c r="P89" s="34"/>
      <c r="Q89" s="34"/>
      <c r="R89" s="34"/>
      <c r="S89" s="34"/>
      <c r="T89" s="34"/>
      <c r="U89" s="34"/>
      <c r="V89" s="34"/>
      <c r="W89" s="34"/>
    </row>
    <row r="90" spans="1:23" ht="15.75" thickBot="1"/>
    <row r="91" spans="1:23" s="32" customFormat="1" ht="27" thickBot="1">
      <c r="A91" s="33" t="s">
        <v>35</v>
      </c>
      <c r="B91" s="34"/>
      <c r="C91" s="34"/>
      <c r="D91" s="34"/>
      <c r="E91" s="34"/>
      <c r="F91" s="34"/>
      <c r="G91" s="34"/>
      <c r="H91" s="34"/>
      <c r="I91" s="34"/>
      <c r="J91" s="34"/>
      <c r="K91" s="34"/>
      <c r="L91" s="34"/>
      <c r="M91" s="34"/>
      <c r="N91" s="34"/>
      <c r="O91" s="34"/>
      <c r="P91" s="34"/>
      <c r="Q91" s="34"/>
      <c r="R91" s="34"/>
      <c r="S91" s="34"/>
      <c r="T91" s="34"/>
      <c r="U91" s="34"/>
      <c r="V91" s="34"/>
      <c r="W91" s="34"/>
    </row>
    <row r="92" spans="1:23" ht="15.75" thickBot="1"/>
    <row r="93" spans="1:23" s="32" customFormat="1" ht="27" thickBot="1">
      <c r="A93" s="156" t="s">
        <v>36</v>
      </c>
      <c r="B93" s="157"/>
      <c r="C93" s="157"/>
      <c r="D93" s="157"/>
      <c r="E93" s="157"/>
      <c r="F93" s="157"/>
      <c r="G93" s="157"/>
      <c r="H93" s="157"/>
      <c r="I93" s="157"/>
      <c r="J93" s="157"/>
      <c r="K93" s="157"/>
      <c r="L93" s="157"/>
      <c r="M93" s="157"/>
      <c r="N93" s="157"/>
      <c r="O93" s="157"/>
      <c r="P93" s="157"/>
      <c r="Q93" s="157"/>
      <c r="R93" s="157"/>
      <c r="S93" s="157"/>
      <c r="T93" s="157"/>
      <c r="U93" s="157"/>
      <c r="V93" s="157"/>
      <c r="W93" s="157"/>
    </row>
    <row r="94" spans="1:23">
      <c r="B94" s="1">
        <f t="shared" ref="B94:V94" si="22">B75/$B$75</f>
        <v>1</v>
      </c>
      <c r="C94" s="1">
        <f t="shared" si="22"/>
        <v>1.089536251138628</v>
      </c>
      <c r="D94" s="1">
        <f t="shared" si="22"/>
        <v>2.3858193399357073</v>
      </c>
      <c r="E94" s="1">
        <f t="shared" si="22"/>
        <v>4.2476318894434923</v>
      </c>
      <c r="F94" s="1">
        <f t="shared" si="22"/>
        <v>6.5846301788621533</v>
      </c>
      <c r="G94" s="1">
        <f t="shared" si="22"/>
        <v>7.2675471591269938</v>
      </c>
      <c r="H94" s="1">
        <f>H75/$B$75</f>
        <v>10.103770590761618</v>
      </c>
      <c r="I94" s="1">
        <f t="shared" si="22"/>
        <v>0.5931159293377839</v>
      </c>
      <c r="J94" s="1">
        <f t="shared" si="22"/>
        <v>0.51499589626516018</v>
      </c>
      <c r="K94" s="1">
        <f t="shared" si="22"/>
        <v>0.89643538288699465</v>
      </c>
      <c r="L94" s="1">
        <f t="shared" si="22"/>
        <v>0.68324063548197023</v>
      </c>
      <c r="M94" s="1">
        <f t="shared" si="22"/>
        <v>0.54949051410848926</v>
      </c>
      <c r="N94" s="1" t="e">
        <f t="shared" si="22"/>
        <v>#REF!</v>
      </c>
      <c r="O94" s="1">
        <f t="shared" si="22"/>
        <v>0</v>
      </c>
      <c r="P94" s="1">
        <f t="shared" si="22"/>
        <v>4.4531757675458978</v>
      </c>
      <c r="Q94" s="1">
        <f t="shared" si="22"/>
        <v>7.7795038952048516</v>
      </c>
      <c r="R94" s="1">
        <f t="shared" si="22"/>
        <v>0.94113671829310297</v>
      </c>
      <c r="S94" s="1">
        <f t="shared" si="22"/>
        <v>4.4345755057180423</v>
      </c>
      <c r="T94" s="1">
        <f t="shared" si="22"/>
        <v>4.8065537321161402</v>
      </c>
      <c r="U94" s="1">
        <f t="shared" si="22"/>
        <v>4.799614537730772</v>
      </c>
      <c r="V94" s="1">
        <f t="shared" si="22"/>
        <v>4.8705945626917986</v>
      </c>
    </row>
  </sheetData>
  <mergeCells count="10">
    <mergeCell ref="A7:A21"/>
    <mergeCell ref="A23:A37"/>
    <mergeCell ref="A93:W93"/>
    <mergeCell ref="P3:W3"/>
    <mergeCell ref="B3:N3"/>
    <mergeCell ref="A60:W60"/>
    <mergeCell ref="A72:W72"/>
    <mergeCell ref="A70:W70"/>
    <mergeCell ref="A65:W65"/>
    <mergeCell ref="A39:A53"/>
  </mergeCells>
  <phoneticPr fontId="12"/>
  <pageMargins left="0.7" right="0.7" top="0.75" bottom="0.75" header="0.3" footer="0.3"/>
  <pageSetup paperSize="9" orientation="portrait" r:id="rId1"/>
  <headerFooter>
    <oddHeader>&amp;C&amp;"-,Gras"&amp;14Données poolées normalisées&amp;R&amp;"-,Gras"&amp;14Page : &amp;P/&amp;P</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76C436BD700BD428C1C0C71E54D8B5E" ma:contentTypeVersion="18" ma:contentTypeDescription="Create a new document." ma:contentTypeScope="" ma:versionID="782111b43a65dadfbc410eb6ccb7aa06">
  <xsd:schema xmlns:xsd="http://www.w3.org/2001/XMLSchema" xmlns:xs="http://www.w3.org/2001/XMLSchema" xmlns:p="http://schemas.microsoft.com/office/2006/metadata/properties" xmlns:ns2="cc801401-75a6-4297-ad63-d4d786ff6e7c" xmlns:ns3="508cc0b8-c8e1-4e41-95d2-be8416ed53ba" targetNamespace="http://schemas.microsoft.com/office/2006/metadata/properties" ma:root="true" ma:fieldsID="7f493af8791a6264672b29a70f2a6765" ns2:_="" ns3:_="">
    <xsd:import namespace="cc801401-75a6-4297-ad63-d4d786ff6e7c"/>
    <xsd:import namespace="508cc0b8-c8e1-4e41-95d2-be8416ed53ba"/>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801401-75a6-4297-ad63-d4d786ff6e7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element name="TaxCatchAll" ma:index="25" nillable="true" ma:displayName="Taxonomy Catch All Column" ma:hidden="true" ma:list="2e281972-ae1b-43a4-854f-cb1565a95e46" ma:internalName="TaxCatchAll" ma:showField="CatchAllData" ma:web="cc801401-75a6-4297-ad63-d4d786ff6e7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8cc0b8-c8e1-4e41-95d2-be8416ed53ba"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04f2cd92-8d93-4e4c-83d3-86703d91558f"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A97F387-EB61-4452-8E11-4CE340A451B2}">
  <ds:schemaRefs>
    <ds:schemaRef ds:uri="http://schemas.microsoft.com/sharepoint/v3/contenttype/forms"/>
  </ds:schemaRefs>
</ds:datastoreItem>
</file>

<file path=customXml/itemProps2.xml><?xml version="1.0" encoding="utf-8"?>
<ds:datastoreItem xmlns:ds="http://schemas.openxmlformats.org/officeDocument/2006/customXml" ds:itemID="{A65A3C7C-EE80-4BEE-AF91-BCDE0B5F728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801401-75a6-4297-ad63-d4d786ff6e7c"/>
    <ds:schemaRef ds:uri="508cc0b8-c8e1-4e41-95d2-be8416ed53b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5</vt:i4>
      </vt:variant>
      <vt:variant>
        <vt:lpstr>Charts</vt:lpstr>
      </vt:variant>
      <vt:variant>
        <vt:i4>4</vt:i4>
      </vt:variant>
      <vt:variant>
        <vt:lpstr>Named Ranges</vt:lpstr>
      </vt:variant>
      <vt:variant>
        <vt:i4>1</vt:i4>
      </vt:variant>
    </vt:vector>
  </HeadingPairs>
  <TitlesOfParts>
    <vt:vector size="10" baseType="lpstr">
      <vt:lpstr>Front page</vt:lpstr>
      <vt:lpstr>R1</vt:lpstr>
      <vt:lpstr>R2</vt:lpstr>
      <vt:lpstr>R3</vt:lpstr>
      <vt:lpstr>pooled normalised values</vt:lpstr>
      <vt:lpstr>Graph R1</vt:lpstr>
      <vt:lpstr>Graph R2</vt:lpstr>
      <vt:lpstr>Graph R3</vt:lpstr>
      <vt:lpstr>pooled normalised graphe</vt:lpstr>
      <vt:lpstr>'Front page'!Print_Area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2023-04-03T08:38:33Z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6530cf4-8573-4c29-a912-bbcdac835909_Enabled">
    <vt:lpwstr>true</vt:lpwstr>
  </property>
  <property fmtid="{D5CDD505-2E9C-101B-9397-08002B2CF9AE}" pid="3" name="MSIP_Label_06530cf4-8573-4c29-a912-bbcdac835909_SetDate">
    <vt:lpwstr>2023-04-03T08:38:33Z</vt:lpwstr>
  </property>
  <property fmtid="{D5CDD505-2E9C-101B-9397-08002B2CF9AE}" pid="4" name="MSIP_Label_06530cf4-8573-4c29-a912-bbcdac835909_Method">
    <vt:lpwstr>Standard</vt:lpwstr>
  </property>
  <property fmtid="{D5CDD505-2E9C-101B-9397-08002B2CF9AE}" pid="5" name="MSIP_Label_06530cf4-8573-4c29-a912-bbcdac835909_Name">
    <vt:lpwstr>06530cf4-8573-4c29-a912-bbcdac835909</vt:lpwstr>
  </property>
  <property fmtid="{D5CDD505-2E9C-101B-9397-08002B2CF9AE}" pid="6" name="MSIP_Label_06530cf4-8573-4c29-a912-bbcdac835909_SiteId">
    <vt:lpwstr>ecaa386b-c8df-4ce0-ad01-740cbdb5ba55</vt:lpwstr>
  </property>
  <property fmtid="{D5CDD505-2E9C-101B-9397-08002B2CF9AE}" pid="7" name="MSIP_Label_06530cf4-8573-4c29-a912-bbcdac835909_ActionId">
    <vt:lpwstr>cfb8175b-cb0a-4ca3-925f-5279601c6e1e</vt:lpwstr>
  </property>
  <property fmtid="{D5CDD505-2E9C-101B-9397-08002B2CF9AE}" pid="8" name="MSIP_Label_06530cf4-8573-4c29-a912-bbcdac835909_ContentBits">
    <vt:lpwstr>2</vt:lpwstr>
  </property>
</Properties>
</file>