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chartsheets/sheet2.xml" ContentType="application/vnd.openxmlformats-officedocument.spreadsheetml.chartsheet+xml"/>
  <Override PartName="/xl/worksheets/sheet4.xml" ContentType="application/vnd.openxmlformats-officedocument.spreadsheetml.worksheet+xml"/>
  <Override PartName="/xl/chartsheets/sheet3.xml" ContentType="application/vnd.openxmlformats-officedocument.spreadsheetml.chartsheet+xml"/>
  <Override PartName="/xl/worksheets/sheet5.xml" ContentType="application/vnd.openxmlformats-officedocument.spreadsheetml.worksheet+xml"/>
  <Override PartName="/xl/chartsheets/sheet4.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omments1.xml" ContentType="application/vnd.openxmlformats-officedocument.spreadsheetml.comments+xml"/>
  <Override PartName="/xl/drawings/drawing7.xml" ContentType="application/vnd.openxmlformats-officedocument.drawing+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filterPrivacy="1" hidePivotFieldList="1" defaultThemeVersion="124226"/>
  <xr:revisionPtr revIDLastSave="14" documentId="13_ncr:1_{E5C1FEB1-3DD7-44B4-B1B3-9E23F07D34E9}" xr6:coauthVersionLast="47" xr6:coauthVersionMax="47" xr10:uidLastSave="{13E1E40B-052C-4B78-8436-448529DCEC33}"/>
  <bookViews>
    <workbookView xWindow="-120" yWindow="-120" windowWidth="29040" windowHeight="15840" activeTab="5" xr2:uid="{00000000-000D-0000-FFFF-FFFF00000000}"/>
  </bookViews>
  <sheets>
    <sheet name="Front page" sheetId="10" r:id="rId1"/>
    <sheet name="R1" sheetId="1" r:id="rId2"/>
    <sheet name="Graph R1" sheetId="8" r:id="rId3"/>
    <sheet name="R2" sheetId="23" r:id="rId4"/>
    <sheet name="Graph R2" sheetId="19" r:id="rId5"/>
    <sheet name="R3" sheetId="33" r:id="rId6"/>
    <sheet name="Graph R3" sheetId="34" r:id="rId7"/>
    <sheet name="pooled normalised values" sheetId="4" r:id="rId8"/>
    <sheet name="pooled normalised graphe" sheetId="5" r:id="rId9"/>
  </sheets>
  <externalReferences>
    <externalReference r:id="rId10"/>
    <externalReference r:id="rId11"/>
  </externalReferences>
  <definedNames>
    <definedName name="_xlnm.Print_Area" localSheetId="0">'Front page'!$A$1:$I$51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B78" i="4"/>
  <c r="O78" i="4"/>
  <c r="M78" i="4"/>
  <c r="H78" i="4"/>
  <c r="E78" i="4"/>
  <c r="N78" i="4"/>
  <c r="I78" i="4"/>
  <c r="F78" i="4"/>
  <c r="C78" i="4"/>
  <c r="S78" i="4"/>
  <c r="J78" i="4"/>
  <c r="L78" i="4"/>
  <c r="Q78" i="4"/>
  <c r="R78" i="4"/>
  <c r="D78" i="4"/>
  <c r="T78" i="4"/>
  <c r="G78" i="4"/>
  <c r="W78" i="4"/>
  <c r="V78" i="4"/>
  <c r="P78" i="4"/>
  <c r="U78" i="4"/>
  <c r="K78" i="4"/>
  <c r="A7" i="10" l="1"/>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B4" i="33" l="1"/>
  <c r="B4" i="23" l="1"/>
  <c r="B4" i="1"/>
  <c r="H4" i="33" l="1"/>
  <c r="H4" i="23"/>
  <c r="H4" i="1"/>
  <c r="G4" i="33"/>
  <c r="G4" i="23"/>
  <c r="G4" i="1"/>
  <c r="C4" i="33"/>
  <c r="C4" i="23"/>
  <c r="C4" i="1"/>
  <c r="D4" i="33"/>
  <c r="D4" i="23"/>
  <c r="D4" i="1"/>
  <c r="F4" i="33" l="1"/>
  <c r="F4" i="23"/>
  <c r="F4" i="1"/>
  <c r="E4" i="33"/>
  <c r="E4" i="23"/>
  <c r="E4" i="1"/>
  <c r="I4" i="33"/>
  <c r="I4" i="23"/>
  <c r="I4" i="1"/>
  <c r="A52" i="33" l="1"/>
  <c r="A45" i="33"/>
  <c r="V43" i="33"/>
  <c r="W53" i="4" s="1"/>
  <c r="U43" i="33"/>
  <c r="V53" i="4" s="1"/>
  <c r="T43" i="33"/>
  <c r="U53" i="4" s="1"/>
  <c r="S43" i="33"/>
  <c r="T53" i="4" s="1"/>
  <c r="R43" i="33"/>
  <c r="S53" i="4" s="1"/>
  <c r="Q43" i="33"/>
  <c r="R53" i="4" s="1"/>
  <c r="P43" i="33"/>
  <c r="Q53" i="4" s="1"/>
  <c r="N43" i="33"/>
  <c r="N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W52" i="4" s="1"/>
  <c r="U42" i="33"/>
  <c r="V52" i="4" s="1"/>
  <c r="T42" i="33"/>
  <c r="U52" i="4" s="1"/>
  <c r="S42" i="33"/>
  <c r="T52" i="4" s="1"/>
  <c r="R42" i="33"/>
  <c r="S52" i="4" s="1"/>
  <c r="Q42" i="33"/>
  <c r="R52" i="4" s="1"/>
  <c r="P42" i="33"/>
  <c r="Q52" i="4" s="1"/>
  <c r="N42" i="33"/>
  <c r="N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W51" i="4" s="1"/>
  <c r="U41" i="33"/>
  <c r="V51" i="4" s="1"/>
  <c r="T41" i="33"/>
  <c r="U51" i="4" s="1"/>
  <c r="S41" i="33"/>
  <c r="T51" i="4" s="1"/>
  <c r="R41" i="33"/>
  <c r="S51" i="4" s="1"/>
  <c r="Q41" i="33"/>
  <c r="R51" i="4" s="1"/>
  <c r="P41" i="33"/>
  <c r="Q51" i="4" s="1"/>
  <c r="N41" i="33"/>
  <c r="N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W50" i="4" s="1"/>
  <c r="U40" i="33"/>
  <c r="V50" i="4" s="1"/>
  <c r="T40" i="33"/>
  <c r="U50" i="4" s="1"/>
  <c r="S40" i="33"/>
  <c r="T50" i="4" s="1"/>
  <c r="R40" i="33"/>
  <c r="S50" i="4" s="1"/>
  <c r="Q40" i="33"/>
  <c r="R50" i="4" s="1"/>
  <c r="P40" i="33"/>
  <c r="Q50" i="4" s="1"/>
  <c r="N40" i="33"/>
  <c r="N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W49" i="4" s="1"/>
  <c r="U39" i="33"/>
  <c r="V49" i="4" s="1"/>
  <c r="T39" i="33"/>
  <c r="U49" i="4" s="1"/>
  <c r="S39" i="33"/>
  <c r="T49" i="4" s="1"/>
  <c r="R39" i="33"/>
  <c r="S49" i="4" s="1"/>
  <c r="Q39" i="33"/>
  <c r="R49" i="4" s="1"/>
  <c r="P39" i="33"/>
  <c r="Q49" i="4" s="1"/>
  <c r="N39" i="33"/>
  <c r="N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W48" i="4" s="1"/>
  <c r="U38" i="33"/>
  <c r="V48" i="4" s="1"/>
  <c r="T38" i="33"/>
  <c r="U48" i="4" s="1"/>
  <c r="S38" i="33"/>
  <c r="T48" i="4" s="1"/>
  <c r="R38" i="33"/>
  <c r="S48" i="4" s="1"/>
  <c r="Q38" i="33"/>
  <c r="R48" i="4" s="1"/>
  <c r="P38" i="33"/>
  <c r="Q48" i="4" s="1"/>
  <c r="N38" i="33"/>
  <c r="N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W47" i="4" s="1"/>
  <c r="U37" i="33"/>
  <c r="V47" i="4" s="1"/>
  <c r="T37" i="33"/>
  <c r="U47" i="4" s="1"/>
  <c r="S37" i="33"/>
  <c r="T47" i="4" s="1"/>
  <c r="R37" i="33"/>
  <c r="S47" i="4" s="1"/>
  <c r="Q37" i="33"/>
  <c r="R47" i="4" s="1"/>
  <c r="P37" i="33"/>
  <c r="Q47" i="4" s="1"/>
  <c r="N37" i="33"/>
  <c r="N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W46" i="4" s="1"/>
  <c r="U36" i="33"/>
  <c r="V46" i="4" s="1"/>
  <c r="T36" i="33"/>
  <c r="U46" i="4" s="1"/>
  <c r="S36" i="33"/>
  <c r="T46" i="4" s="1"/>
  <c r="R36" i="33"/>
  <c r="S46" i="4" s="1"/>
  <c r="Q36" i="33"/>
  <c r="R46" i="4" s="1"/>
  <c r="P36" i="33"/>
  <c r="Q46" i="4" s="1"/>
  <c r="N36" i="33"/>
  <c r="N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P35" i="33"/>
  <c r="Q45" i="4" s="1"/>
  <c r="N35" i="33"/>
  <c r="N45" i="4" s="1"/>
  <c r="N34" i="33"/>
  <c r="N44" i="4" s="1"/>
  <c r="B34" i="33"/>
  <c r="B44" i="4" s="1"/>
  <c r="V33" i="33"/>
  <c r="W43" i="4" s="1"/>
  <c r="N33" i="33"/>
  <c r="N43" i="4" s="1"/>
  <c r="Q32" i="33"/>
  <c r="R42" i="4" s="1"/>
  <c r="N32" i="33"/>
  <c r="N42" i="4" s="1"/>
  <c r="T31" i="33"/>
  <c r="U41" i="4" s="1"/>
  <c r="Q31" i="33"/>
  <c r="R41" i="4" s="1"/>
  <c r="N31" i="33"/>
  <c r="N41" i="4" s="1"/>
  <c r="T30" i="33"/>
  <c r="U40" i="4" s="1"/>
  <c r="N30" i="33"/>
  <c r="N40" i="4" s="1"/>
  <c r="F30" i="33"/>
  <c r="F40" i="4" s="1"/>
  <c r="B30" i="33"/>
  <c r="B40" i="4" s="1"/>
  <c r="N29" i="33"/>
  <c r="N39" i="4" s="1"/>
  <c r="R28" i="33"/>
  <c r="N28" i="33"/>
  <c r="B28" i="33"/>
  <c r="V24" i="33"/>
  <c r="U24" i="33"/>
  <c r="T24" i="33"/>
  <c r="S24" i="33"/>
  <c r="R24" i="33"/>
  <c r="Q24" i="33"/>
  <c r="P24" i="33"/>
  <c r="O24" i="33"/>
  <c r="N24" i="33"/>
  <c r="L24" i="33"/>
  <c r="J24" i="33"/>
  <c r="I24" i="33"/>
  <c r="H24" i="33"/>
  <c r="G24" i="33"/>
  <c r="F24" i="33"/>
  <c r="E24" i="33"/>
  <c r="D24" i="33"/>
  <c r="C24" i="33"/>
  <c r="B24" i="33"/>
  <c r="V23" i="33"/>
  <c r="U23" i="33"/>
  <c r="T23" i="33"/>
  <c r="S23" i="33"/>
  <c r="R23" i="33"/>
  <c r="Q23" i="33"/>
  <c r="P23" i="33"/>
  <c r="O23" i="33"/>
  <c r="F34" i="33" s="1"/>
  <c r="F44" i="4" s="1"/>
  <c r="N23" i="33"/>
  <c r="L23" i="33"/>
  <c r="J23" i="33"/>
  <c r="I23" i="33"/>
  <c r="H23" i="33"/>
  <c r="G23" i="33"/>
  <c r="F23" i="33"/>
  <c r="E23" i="33"/>
  <c r="D23" i="33"/>
  <c r="C23" i="33"/>
  <c r="B23" i="33"/>
  <c r="A22" i="33"/>
  <c r="H22" i="33"/>
  <c r="G45" i="33"/>
  <c r="F27" i="33"/>
  <c r="F52" i="33" s="1"/>
  <c r="E45" i="33"/>
  <c r="D22" i="33"/>
  <c r="C45" i="33"/>
  <c r="B45" i="33"/>
  <c r="O56" i="33"/>
  <c r="N56" i="33"/>
  <c r="V56" i="33"/>
  <c r="Q56" i="33"/>
  <c r="K56" i="33"/>
  <c r="J56" i="33"/>
  <c r="M56" i="33"/>
  <c r="L56" i="33"/>
  <c r="T56" i="33"/>
  <c r="C56" i="33"/>
  <c r="F56" i="33"/>
  <c r="R56" i="33"/>
  <c r="E56" i="33"/>
  <c r="G56" i="33"/>
  <c r="H56" i="33"/>
  <c r="S56" i="33"/>
  <c r="B56" i="33"/>
  <c r="I56" i="33"/>
  <c r="P56" i="33"/>
  <c r="U56" i="33"/>
  <c r="D56" i="33"/>
  <c r="P28" i="33" l="1"/>
  <c r="G30" i="33"/>
  <c r="G40" i="4" s="1"/>
  <c r="U31" i="33"/>
  <c r="V41" i="4" s="1"/>
  <c r="Q28" i="33"/>
  <c r="O38" i="33"/>
  <c r="P48" i="4" s="1"/>
  <c r="R32" i="33"/>
  <c r="S42" i="4" s="1"/>
  <c r="C31" i="33"/>
  <c r="C41" i="4" s="1"/>
  <c r="D31" i="33"/>
  <c r="D41" i="4" s="1"/>
  <c r="I33" i="33"/>
  <c r="I43" i="4" s="1"/>
  <c r="M29" i="33"/>
  <c r="M39" i="4" s="1"/>
  <c r="Q35" i="33"/>
  <c r="R45" i="4" s="1"/>
  <c r="O29" i="33"/>
  <c r="P39" i="4" s="1"/>
  <c r="O42" i="33"/>
  <c r="P52" i="4" s="1"/>
  <c r="F28" i="33"/>
  <c r="S28" i="33"/>
  <c r="T38" i="4" s="1"/>
  <c r="P29" i="33"/>
  <c r="Q39" i="4" s="1"/>
  <c r="J30" i="33"/>
  <c r="J40" i="4" s="1"/>
  <c r="G31" i="33"/>
  <c r="G41" i="4" s="1"/>
  <c r="D32" i="33"/>
  <c r="D42" i="4" s="1"/>
  <c r="M33" i="33"/>
  <c r="M43" i="4" s="1"/>
  <c r="O34" i="33"/>
  <c r="P44" i="4" s="1"/>
  <c r="T35" i="33"/>
  <c r="U45" i="4" s="1"/>
  <c r="G28" i="33"/>
  <c r="G38" i="4" s="1"/>
  <c r="V28" i="33"/>
  <c r="Q29" i="33"/>
  <c r="R39" i="4" s="1"/>
  <c r="K31" i="33"/>
  <c r="K41" i="4" s="1"/>
  <c r="I32" i="33"/>
  <c r="I42" i="4" s="1"/>
  <c r="P34" i="33"/>
  <c r="Q44" i="4" s="1"/>
  <c r="J28" i="33"/>
  <c r="E29" i="33"/>
  <c r="E39" i="4" s="1"/>
  <c r="R29" i="33"/>
  <c r="S39" i="4" s="1"/>
  <c r="O30" i="33"/>
  <c r="P40" i="4" s="1"/>
  <c r="L31" i="33"/>
  <c r="L41" i="4" s="1"/>
  <c r="L32" i="33"/>
  <c r="L42" i="4" s="1"/>
  <c r="P33" i="33"/>
  <c r="Q43" i="4" s="1"/>
  <c r="Q34" i="33"/>
  <c r="R44" i="4" s="1"/>
  <c r="F29" i="33"/>
  <c r="F39" i="4" s="1"/>
  <c r="S29" i="33"/>
  <c r="T39" i="4" s="1"/>
  <c r="P30" i="33"/>
  <c r="Q40" i="4" s="1"/>
  <c r="Q33" i="33"/>
  <c r="R43" i="4" s="1"/>
  <c r="G35" i="33"/>
  <c r="G45" i="4" s="1"/>
  <c r="O28" i="33"/>
  <c r="I29" i="33"/>
  <c r="I39" i="4" s="1"/>
  <c r="V29" i="33"/>
  <c r="W39" i="4" s="1"/>
  <c r="Q30" i="33"/>
  <c r="R40" i="4" s="1"/>
  <c r="P31" i="33"/>
  <c r="Q41" i="4" s="1"/>
  <c r="P32" i="33"/>
  <c r="Q42" i="4" s="1"/>
  <c r="R33" i="33"/>
  <c r="S43" i="4" s="1"/>
  <c r="K35" i="33"/>
  <c r="K45" i="4" s="1"/>
  <c r="E32" i="33"/>
  <c r="E42" i="4" s="1"/>
  <c r="M32" i="33"/>
  <c r="M42" i="4" s="1"/>
  <c r="U32" i="33"/>
  <c r="V42" i="4" s="1"/>
  <c r="O43" i="33"/>
  <c r="P53" i="4" s="1"/>
  <c r="O39" i="33"/>
  <c r="P49" i="4" s="1"/>
  <c r="S35" i="33"/>
  <c r="T45" i="4" s="1"/>
  <c r="O35" i="33"/>
  <c r="P45" i="4" s="1"/>
  <c r="J35" i="33"/>
  <c r="J45" i="4" s="1"/>
  <c r="F35" i="33"/>
  <c r="F45" i="4" s="1"/>
  <c r="B35" i="33"/>
  <c r="B45" i="4" s="1"/>
  <c r="V34" i="33"/>
  <c r="W44" i="4" s="1"/>
  <c r="R34" i="33"/>
  <c r="S44" i="4" s="1"/>
  <c r="M34" i="33"/>
  <c r="M44" i="4" s="1"/>
  <c r="I34" i="33"/>
  <c r="I44" i="4" s="1"/>
  <c r="E34" i="33"/>
  <c r="E44" i="4" s="1"/>
  <c r="U33" i="33"/>
  <c r="V43" i="4" s="1"/>
  <c r="L33" i="33"/>
  <c r="L43" i="4" s="1"/>
  <c r="H33" i="33"/>
  <c r="H43" i="4" s="1"/>
  <c r="D33" i="33"/>
  <c r="D43" i="4" s="1"/>
  <c r="T32" i="33"/>
  <c r="U42" i="4" s="1"/>
  <c r="K32" i="33"/>
  <c r="K42" i="4" s="1"/>
  <c r="G32" i="33"/>
  <c r="G42" i="4" s="1"/>
  <c r="C32" i="33"/>
  <c r="C42" i="4" s="1"/>
  <c r="S31" i="33"/>
  <c r="T41" i="4" s="1"/>
  <c r="O31" i="33"/>
  <c r="P41" i="4" s="1"/>
  <c r="J31" i="33"/>
  <c r="J41" i="4" s="1"/>
  <c r="F31" i="33"/>
  <c r="F41" i="4" s="1"/>
  <c r="B31" i="33"/>
  <c r="B41" i="4" s="1"/>
  <c r="V30" i="33"/>
  <c r="W40" i="4" s="1"/>
  <c r="R30" i="33"/>
  <c r="S40" i="4" s="1"/>
  <c r="M30" i="33"/>
  <c r="M40" i="4" s="1"/>
  <c r="I30" i="33"/>
  <c r="I40" i="4" s="1"/>
  <c r="E30" i="33"/>
  <c r="E40" i="4" s="1"/>
  <c r="U29" i="33"/>
  <c r="V39" i="4" s="1"/>
  <c r="L29" i="33"/>
  <c r="L39" i="4" s="1"/>
  <c r="H29" i="33"/>
  <c r="H39" i="4" s="1"/>
  <c r="D29" i="33"/>
  <c r="D39" i="4" s="1"/>
  <c r="U28" i="33"/>
  <c r="M28" i="33"/>
  <c r="M38" i="4" s="1"/>
  <c r="I28" i="33"/>
  <c r="E28" i="33"/>
  <c r="O40" i="33"/>
  <c r="P50" i="4" s="1"/>
  <c r="O36" i="33"/>
  <c r="P46" i="4" s="1"/>
  <c r="V35" i="33"/>
  <c r="W45" i="4" s="1"/>
  <c r="R35" i="33"/>
  <c r="S45" i="4" s="1"/>
  <c r="M35" i="33"/>
  <c r="M45" i="4" s="1"/>
  <c r="I35" i="33"/>
  <c r="I45" i="4" s="1"/>
  <c r="E35" i="33"/>
  <c r="E45" i="4" s="1"/>
  <c r="U34" i="33"/>
  <c r="V44" i="4" s="1"/>
  <c r="L34" i="33"/>
  <c r="L44" i="4" s="1"/>
  <c r="H34" i="33"/>
  <c r="H44" i="4" s="1"/>
  <c r="D34" i="33"/>
  <c r="D44" i="4" s="1"/>
  <c r="T33" i="33"/>
  <c r="U43" i="4" s="1"/>
  <c r="K33" i="33"/>
  <c r="K43" i="4" s="1"/>
  <c r="G33" i="33"/>
  <c r="G43" i="4" s="1"/>
  <c r="C33" i="33"/>
  <c r="C43" i="4" s="1"/>
  <c r="S32" i="33"/>
  <c r="T42" i="4" s="1"/>
  <c r="O32" i="33"/>
  <c r="P42" i="4" s="1"/>
  <c r="J32" i="33"/>
  <c r="J42" i="4" s="1"/>
  <c r="F32" i="33"/>
  <c r="F42" i="4" s="1"/>
  <c r="B32" i="33"/>
  <c r="B42" i="4" s="1"/>
  <c r="V31" i="33"/>
  <c r="W41" i="4" s="1"/>
  <c r="R31" i="33"/>
  <c r="S41" i="4" s="1"/>
  <c r="M31" i="33"/>
  <c r="M41" i="4" s="1"/>
  <c r="I31" i="33"/>
  <c r="I41" i="4" s="1"/>
  <c r="E31" i="33"/>
  <c r="E41" i="4" s="1"/>
  <c r="U30" i="33"/>
  <c r="V40" i="4" s="1"/>
  <c r="L30" i="33"/>
  <c r="L40" i="4" s="1"/>
  <c r="H30" i="33"/>
  <c r="H40" i="4" s="1"/>
  <c r="D30" i="33"/>
  <c r="D40" i="4" s="1"/>
  <c r="T29" i="33"/>
  <c r="U39" i="4" s="1"/>
  <c r="K29" i="33"/>
  <c r="K39" i="4" s="1"/>
  <c r="G29" i="33"/>
  <c r="G39" i="4" s="1"/>
  <c r="C29" i="33"/>
  <c r="C39" i="4" s="1"/>
  <c r="T28" i="33"/>
  <c r="U38" i="4" s="1"/>
  <c r="L28" i="33"/>
  <c r="H28" i="33"/>
  <c r="D28" i="33"/>
  <c r="D38" i="4" s="1"/>
  <c r="O41" i="33"/>
  <c r="P51" i="4" s="1"/>
  <c r="O37" i="33"/>
  <c r="P47" i="4" s="1"/>
  <c r="U35" i="33"/>
  <c r="V45" i="4" s="1"/>
  <c r="L35" i="33"/>
  <c r="L45" i="4" s="1"/>
  <c r="H35" i="33"/>
  <c r="H45" i="4" s="1"/>
  <c r="D35" i="33"/>
  <c r="D45" i="4" s="1"/>
  <c r="C34" i="33"/>
  <c r="C44" i="4" s="1"/>
  <c r="O33" i="33"/>
  <c r="P43" i="4" s="1"/>
  <c r="J33" i="33"/>
  <c r="J43" i="4" s="1"/>
  <c r="B33" i="33"/>
  <c r="B43" i="4" s="1"/>
  <c r="T34" i="33"/>
  <c r="U44" i="4" s="1"/>
  <c r="K34" i="33"/>
  <c r="K44" i="4" s="1"/>
  <c r="G34" i="33"/>
  <c r="G44" i="4" s="1"/>
  <c r="S33" i="33"/>
  <c r="T43" i="4" s="1"/>
  <c r="F33" i="33"/>
  <c r="F43" i="4" s="1"/>
  <c r="C28" i="33"/>
  <c r="C38" i="4" s="1"/>
  <c r="K28" i="33"/>
  <c r="K38" i="4" s="1"/>
  <c r="B29" i="33"/>
  <c r="B39" i="4" s="1"/>
  <c r="J29" i="33"/>
  <c r="J39" i="4" s="1"/>
  <c r="C30" i="33"/>
  <c r="C40" i="4" s="1"/>
  <c r="K30" i="33"/>
  <c r="K40" i="4" s="1"/>
  <c r="S30" i="33"/>
  <c r="T40" i="4" s="1"/>
  <c r="H31" i="33"/>
  <c r="H41" i="4" s="1"/>
  <c r="H32" i="33"/>
  <c r="H42" i="4" s="1"/>
  <c r="V32" i="33"/>
  <c r="W42" i="4" s="1"/>
  <c r="E33" i="33"/>
  <c r="E43" i="4" s="1"/>
  <c r="J34" i="33"/>
  <c r="J44" i="4" s="1"/>
  <c r="S34" i="33"/>
  <c r="T44" i="4" s="1"/>
  <c r="C35" i="33"/>
  <c r="C45" i="4" s="1"/>
  <c r="H38" i="4"/>
  <c r="V38" i="4"/>
  <c r="W38" i="4"/>
  <c r="E38" i="4"/>
  <c r="S38" i="4"/>
  <c r="B38" i="4"/>
  <c r="F46" i="33"/>
  <c r="F53" i="33" s="1"/>
  <c r="N46" i="33"/>
  <c r="N53" i="33" s="1"/>
  <c r="B22" i="33"/>
  <c r="E22" i="33"/>
  <c r="I45" i="33"/>
  <c r="I52" i="33"/>
  <c r="I27" i="33"/>
  <c r="Q38" i="4"/>
  <c r="B27" i="33"/>
  <c r="B52" i="33" s="1"/>
  <c r="R38" i="4"/>
  <c r="D27" i="33"/>
  <c r="D52" i="33" s="1"/>
  <c r="I22" i="33"/>
  <c r="E27" i="33"/>
  <c r="E52" i="33" s="1"/>
  <c r="F38" i="4"/>
  <c r="J38" i="4"/>
  <c r="N38" i="4"/>
  <c r="N47" i="33"/>
  <c r="N48" i="33" s="1"/>
  <c r="N54" i="33" s="1"/>
  <c r="P38" i="4"/>
  <c r="D45" i="33"/>
  <c r="G57" i="33"/>
  <c r="N57" i="33"/>
  <c r="T57" i="33"/>
  <c r="H57" i="33"/>
  <c r="O57" i="33"/>
  <c r="U57" i="33"/>
  <c r="C57" i="33"/>
  <c r="J57" i="33"/>
  <c r="P57" i="33"/>
  <c r="D57" i="33"/>
  <c r="L57" i="33"/>
  <c r="S57" i="33"/>
  <c r="F57" i="33"/>
  <c r="K57" i="33"/>
  <c r="Q57" i="33"/>
  <c r="B57" i="33"/>
  <c r="E57" i="33"/>
  <c r="I57" i="33"/>
  <c r="M57" i="33"/>
  <c r="R57" i="33"/>
  <c r="V57" i="33"/>
  <c r="F22" i="33"/>
  <c r="F45" i="33"/>
  <c r="G22" i="33"/>
  <c r="G27" i="33"/>
  <c r="G52" i="33" s="1"/>
  <c r="C22" i="33"/>
  <c r="C27" i="33"/>
  <c r="C52" i="33" s="1"/>
  <c r="H27" i="33"/>
  <c r="H52" i="33" s="1"/>
  <c r="H45" i="33"/>
  <c r="C47" i="33" l="1"/>
  <c r="C48" i="33" s="1"/>
  <c r="C54" i="33" s="1"/>
  <c r="M46" i="33"/>
  <c r="M53" i="33" s="1"/>
  <c r="E46" i="33"/>
  <c r="E53" i="33" s="1"/>
  <c r="P47" i="33"/>
  <c r="P48" i="33" s="1"/>
  <c r="P54" i="33" s="1"/>
  <c r="T47" i="33"/>
  <c r="T48" i="33" s="1"/>
  <c r="T54" i="33" s="1"/>
  <c r="Q46" i="33"/>
  <c r="Q53" i="33" s="1"/>
  <c r="I47" i="33"/>
  <c r="I48" i="33" s="1"/>
  <c r="I54" i="33" s="1"/>
  <c r="P46" i="33"/>
  <c r="P53" i="33" s="1"/>
  <c r="P55" i="33" s="1"/>
  <c r="S46" i="33"/>
  <c r="S53" i="33" s="1"/>
  <c r="K47" i="33"/>
  <c r="K48" i="33" s="1"/>
  <c r="K54" i="33" s="1"/>
  <c r="C46" i="33"/>
  <c r="C53" i="33" s="1"/>
  <c r="D47" i="33"/>
  <c r="D48" i="33" s="1"/>
  <c r="D54" i="33" s="1"/>
  <c r="U47" i="33"/>
  <c r="U48" i="33" s="1"/>
  <c r="U54" i="33" s="1"/>
  <c r="U46" i="33"/>
  <c r="U53" i="33" s="1"/>
  <c r="D46" i="33"/>
  <c r="D53" i="33" s="1"/>
  <c r="G47" i="33"/>
  <c r="G48" i="33" s="1"/>
  <c r="G54" i="33" s="1"/>
  <c r="V46" i="33"/>
  <c r="V53" i="33" s="1"/>
  <c r="Q47" i="33"/>
  <c r="Q48" i="33" s="1"/>
  <c r="Q54" i="33" s="1"/>
  <c r="L46" i="33"/>
  <c r="L53" i="33" s="1"/>
  <c r="V47" i="33"/>
  <c r="V48" i="33" s="1"/>
  <c r="V54" i="33" s="1"/>
  <c r="M47" i="33"/>
  <c r="M48" i="33" s="1"/>
  <c r="M54" i="33" s="1"/>
  <c r="L47" i="33"/>
  <c r="L48" i="33" s="1"/>
  <c r="L54" i="33" s="1"/>
  <c r="H47" i="33"/>
  <c r="H48" i="33" s="1"/>
  <c r="H54" i="33" s="1"/>
  <c r="R46" i="33"/>
  <c r="R53" i="33" s="1"/>
  <c r="R55" i="33" s="1"/>
  <c r="I46" i="33"/>
  <c r="I53" i="33" s="1"/>
  <c r="B46" i="33"/>
  <c r="B53" i="33" s="1"/>
  <c r="M55" i="33" s="1"/>
  <c r="H46" i="33"/>
  <c r="H53" i="33" s="1"/>
  <c r="O46" i="33"/>
  <c r="O53" i="33" s="1"/>
  <c r="O55" i="33" s="1"/>
  <c r="G46" i="33"/>
  <c r="G53" i="33" s="1"/>
  <c r="K46" i="33"/>
  <c r="K53" i="33" s="1"/>
  <c r="E47" i="33"/>
  <c r="E48" i="33" s="1"/>
  <c r="E54" i="33" s="1"/>
  <c r="F47" i="33"/>
  <c r="F48" i="33" s="1"/>
  <c r="F54" i="33" s="1"/>
  <c r="L38" i="4"/>
  <c r="T46" i="33"/>
  <c r="T53" i="33" s="1"/>
  <c r="I38" i="4"/>
  <c r="J47" i="33"/>
  <c r="J48" i="33" s="1"/>
  <c r="J54" i="33" s="1"/>
  <c r="R47" i="33"/>
  <c r="R48" i="33" s="1"/>
  <c r="R54" i="33" s="1"/>
  <c r="B47" i="33"/>
  <c r="B48" i="33" s="1"/>
  <c r="B54" i="33" s="1"/>
  <c r="S47" i="33"/>
  <c r="S48" i="33" s="1"/>
  <c r="S54" i="33" s="1"/>
  <c r="O47" i="33"/>
  <c r="O48" i="33" s="1"/>
  <c r="O54" i="33" s="1"/>
  <c r="J46" i="33"/>
  <c r="J53" i="33" s="1"/>
  <c r="O59" i="33"/>
  <c r="O60" i="33" s="1"/>
  <c r="O61" i="33" s="1"/>
  <c r="N59" i="33"/>
  <c r="N60" i="33" s="1"/>
  <c r="N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S59" i="33"/>
  <c r="S60" i="33" s="1"/>
  <c r="S61" i="33" s="1"/>
  <c r="U59" i="33"/>
  <c r="U60" i="33" s="1"/>
  <c r="U61" i="33" s="1"/>
  <c r="P59" i="33"/>
  <c r="P60" i="33" s="1"/>
  <c r="P61" i="33" s="1"/>
  <c r="V59" i="33"/>
  <c r="V60" i="33" s="1"/>
  <c r="V61" i="33" s="1"/>
  <c r="T59" i="33"/>
  <c r="T60" i="33" s="1"/>
  <c r="T61" i="33" s="1"/>
  <c r="R59" i="33"/>
  <c r="R60" i="33" s="1"/>
  <c r="R61" i="33" s="1"/>
  <c r="Q59" i="33"/>
  <c r="Q60" i="33" s="1"/>
  <c r="Q61" i="33" s="1"/>
  <c r="B64" i="33"/>
  <c r="T55" i="33" l="1"/>
  <c r="B65" i="33"/>
  <c r="Q55" i="33"/>
  <c r="V55" i="33"/>
  <c r="S55" i="33"/>
  <c r="U55" i="33"/>
  <c r="D55" i="33"/>
  <c r="B55" i="33"/>
  <c r="K55" i="33"/>
  <c r="L55" i="33"/>
  <c r="N55" i="33"/>
  <c r="G55" i="33"/>
  <c r="F55" i="33"/>
  <c r="C55" i="33"/>
  <c r="J55" i="33"/>
  <c r="H55" i="33"/>
  <c r="I55" i="33"/>
  <c r="E55" i="33"/>
  <c r="M4" i="33" l="1"/>
  <c r="N4" i="33"/>
  <c r="L4" i="33" l="1"/>
  <c r="L22" i="33" s="1"/>
  <c r="K4" i="33"/>
  <c r="K22" i="33" s="1"/>
  <c r="J4" i="33"/>
  <c r="J52" i="33" s="1"/>
  <c r="M45" i="33"/>
  <c r="M52" i="33"/>
  <c r="M27" i="33"/>
  <c r="M22" i="33"/>
  <c r="N27" i="33"/>
  <c r="N52" i="33"/>
  <c r="N22" i="33"/>
  <c r="N45" i="33"/>
  <c r="K45" i="33" l="1"/>
  <c r="K52" i="33"/>
  <c r="K27" i="33"/>
  <c r="O4" i="33"/>
  <c r="O4" i="23"/>
  <c r="O4" i="1"/>
  <c r="Q4" i="1"/>
  <c r="Q4" i="33"/>
  <c r="Q4" i="23"/>
  <c r="P4" i="33"/>
  <c r="P4" i="23"/>
  <c r="P4" i="1"/>
  <c r="J22" i="33"/>
  <c r="L52" i="33"/>
  <c r="J45" i="33"/>
  <c r="L27" i="33"/>
  <c r="J27" i="33"/>
  <c r="L45" i="33"/>
  <c r="Q22" i="33" l="1"/>
  <c r="Q45" i="33"/>
  <c r="Q27" i="33"/>
  <c r="Q52" i="33" s="1"/>
  <c r="O27" i="33"/>
  <c r="O52" i="33" s="1"/>
  <c r="O22" i="33"/>
  <c r="O45" i="33"/>
  <c r="P22" i="33"/>
  <c r="P45" i="33"/>
  <c r="P27" i="33"/>
  <c r="P52" i="33" s="1"/>
  <c r="N4" i="1" l="1"/>
  <c r="N45" i="1" s="1"/>
  <c r="P22" i="1"/>
  <c r="Q45" i="1"/>
  <c r="P36" i="23"/>
  <c r="Q30" i="4" s="1"/>
  <c r="Q36" i="23"/>
  <c r="R30" i="4" s="1"/>
  <c r="R36" i="23"/>
  <c r="S30" i="4" s="1"/>
  <c r="S36" i="23"/>
  <c r="T30" i="4" s="1"/>
  <c r="T36" i="23"/>
  <c r="U30" i="4" s="1"/>
  <c r="U36" i="23"/>
  <c r="V30" i="4" s="1"/>
  <c r="V36" i="23"/>
  <c r="W30" i="4" s="1"/>
  <c r="P37" i="23"/>
  <c r="Q31" i="4" s="1"/>
  <c r="Q37" i="23"/>
  <c r="R31" i="4" s="1"/>
  <c r="R37" i="23"/>
  <c r="S31" i="4" s="1"/>
  <c r="S37" i="23"/>
  <c r="T31" i="4" s="1"/>
  <c r="T37" i="23"/>
  <c r="U31" i="4" s="1"/>
  <c r="U37" i="23"/>
  <c r="V31" i="4" s="1"/>
  <c r="V37" i="23"/>
  <c r="W31" i="4" s="1"/>
  <c r="P38" i="23"/>
  <c r="Q32" i="4" s="1"/>
  <c r="Q38" i="23"/>
  <c r="R32" i="4" s="1"/>
  <c r="R38" i="23"/>
  <c r="S32" i="4" s="1"/>
  <c r="S38" i="23"/>
  <c r="T32" i="4" s="1"/>
  <c r="T38" i="23"/>
  <c r="U32" i="4" s="1"/>
  <c r="U38" i="23"/>
  <c r="V32" i="4" s="1"/>
  <c r="V38" i="23"/>
  <c r="W32" i="4" s="1"/>
  <c r="P39" i="23"/>
  <c r="Q33" i="4" s="1"/>
  <c r="Q39" i="23"/>
  <c r="R33" i="4" s="1"/>
  <c r="R39" i="23"/>
  <c r="S33" i="4" s="1"/>
  <c r="S39" i="23"/>
  <c r="T33" i="4" s="1"/>
  <c r="T39" i="23"/>
  <c r="U33" i="4" s="1"/>
  <c r="U39" i="23"/>
  <c r="V33" i="4" s="1"/>
  <c r="V39" i="23"/>
  <c r="W33" i="4" s="1"/>
  <c r="P40" i="23"/>
  <c r="Q34" i="4" s="1"/>
  <c r="Q40" i="23"/>
  <c r="R34" i="4" s="1"/>
  <c r="R40" i="23"/>
  <c r="S34" i="4" s="1"/>
  <c r="S40" i="23"/>
  <c r="T34" i="4" s="1"/>
  <c r="T40" i="23"/>
  <c r="U34" i="4" s="1"/>
  <c r="U40" i="23"/>
  <c r="V34" i="4" s="1"/>
  <c r="V40" i="23"/>
  <c r="W34" i="4" s="1"/>
  <c r="P41" i="23"/>
  <c r="Q35" i="4" s="1"/>
  <c r="Q41" i="23"/>
  <c r="R35" i="4" s="1"/>
  <c r="R41" i="23"/>
  <c r="S35" i="4" s="1"/>
  <c r="S41" i="23"/>
  <c r="T35" i="4" s="1"/>
  <c r="T41" i="23"/>
  <c r="U35" i="4" s="1"/>
  <c r="U41" i="23"/>
  <c r="V35" i="4" s="1"/>
  <c r="V41" i="23"/>
  <c r="W35" i="4" s="1"/>
  <c r="P42" i="23"/>
  <c r="Q36" i="4" s="1"/>
  <c r="Q42" i="23"/>
  <c r="R36" i="4" s="1"/>
  <c r="R42" i="23"/>
  <c r="S36" i="4" s="1"/>
  <c r="S42" i="23"/>
  <c r="T36" i="4" s="1"/>
  <c r="T42" i="23"/>
  <c r="U36" i="4" s="1"/>
  <c r="U42" i="23"/>
  <c r="V36" i="4" s="1"/>
  <c r="V42" i="23"/>
  <c r="W36" i="4" s="1"/>
  <c r="P43" i="23"/>
  <c r="Q43" i="23"/>
  <c r="R37" i="4" s="1"/>
  <c r="R43" i="23"/>
  <c r="S43" i="23"/>
  <c r="T43" i="23"/>
  <c r="U43" i="23"/>
  <c r="V37" i="4" s="1"/>
  <c r="V43" i="23"/>
  <c r="N28" i="23"/>
  <c r="N29" i="23"/>
  <c r="N23" i="4" s="1"/>
  <c r="N30" i="23"/>
  <c r="N24" i="4" s="1"/>
  <c r="N31" i="23"/>
  <c r="N25" i="4" s="1"/>
  <c r="N32" i="23"/>
  <c r="N26" i="4" s="1"/>
  <c r="N33" i="23"/>
  <c r="N27" i="4" s="1"/>
  <c r="N34" i="23"/>
  <c r="N28" i="4" s="1"/>
  <c r="N35" i="23"/>
  <c r="N29" i="4" s="1"/>
  <c r="K36" i="23"/>
  <c r="K30" i="4" s="1"/>
  <c r="L36" i="23"/>
  <c r="L30" i="4" s="1"/>
  <c r="M36" i="23"/>
  <c r="M30" i="4" s="1"/>
  <c r="N36" i="23"/>
  <c r="N30" i="4" s="1"/>
  <c r="K37" i="23"/>
  <c r="K31" i="4" s="1"/>
  <c r="L37" i="23"/>
  <c r="L31" i="4" s="1"/>
  <c r="M37" i="23"/>
  <c r="M31" i="4" s="1"/>
  <c r="N37" i="23"/>
  <c r="N31" i="4" s="1"/>
  <c r="K38" i="23"/>
  <c r="K32" i="4" s="1"/>
  <c r="L38" i="23"/>
  <c r="L32" i="4" s="1"/>
  <c r="M38" i="23"/>
  <c r="M32" i="4" s="1"/>
  <c r="N38" i="23"/>
  <c r="N32" i="4" s="1"/>
  <c r="K39" i="23"/>
  <c r="K33" i="4" s="1"/>
  <c r="L39" i="23"/>
  <c r="L33" i="4" s="1"/>
  <c r="M39" i="23"/>
  <c r="M33" i="4" s="1"/>
  <c r="N39" i="23"/>
  <c r="N33" i="4" s="1"/>
  <c r="K40" i="23"/>
  <c r="K34" i="4" s="1"/>
  <c r="L40" i="23"/>
  <c r="L34" i="4" s="1"/>
  <c r="M40" i="23"/>
  <c r="M34" i="4" s="1"/>
  <c r="N40" i="23"/>
  <c r="N34" i="4" s="1"/>
  <c r="K41" i="23"/>
  <c r="K35" i="4" s="1"/>
  <c r="L41" i="23"/>
  <c r="L35" i="4" s="1"/>
  <c r="M41" i="23"/>
  <c r="M35" i="4" s="1"/>
  <c r="N41" i="23"/>
  <c r="N35" i="4" s="1"/>
  <c r="K42" i="23"/>
  <c r="K36" i="4" s="1"/>
  <c r="L42" i="23"/>
  <c r="L36" i="4" s="1"/>
  <c r="M42" i="23"/>
  <c r="M36" i="4" s="1"/>
  <c r="N42" i="23"/>
  <c r="N36" i="4" s="1"/>
  <c r="K43" i="23"/>
  <c r="L43" i="23"/>
  <c r="M43" i="23"/>
  <c r="N43" i="23"/>
  <c r="S36" i="1"/>
  <c r="T14" i="4" s="1"/>
  <c r="T36" i="1"/>
  <c r="U14" i="4" s="1"/>
  <c r="U36" i="1"/>
  <c r="V14" i="4" s="1"/>
  <c r="V36" i="1"/>
  <c r="W14" i="4" s="1"/>
  <c r="S37" i="1"/>
  <c r="T15" i="4" s="1"/>
  <c r="T37" i="1"/>
  <c r="U15" i="4" s="1"/>
  <c r="U37" i="1"/>
  <c r="V15" i="4" s="1"/>
  <c r="V37" i="1"/>
  <c r="W15" i="4" s="1"/>
  <c r="S38" i="1"/>
  <c r="T16" i="4" s="1"/>
  <c r="T38" i="1"/>
  <c r="U16" i="4" s="1"/>
  <c r="U38" i="1"/>
  <c r="V16" i="4" s="1"/>
  <c r="V38" i="1"/>
  <c r="W16" i="4" s="1"/>
  <c r="S39" i="1"/>
  <c r="T17" i="4" s="1"/>
  <c r="T39" i="1"/>
  <c r="U17" i="4" s="1"/>
  <c r="U39" i="1"/>
  <c r="V17" i="4" s="1"/>
  <c r="V39" i="1"/>
  <c r="W17" i="4" s="1"/>
  <c r="S40" i="1"/>
  <c r="T18" i="4" s="1"/>
  <c r="T40" i="1"/>
  <c r="U18" i="4" s="1"/>
  <c r="U40" i="1"/>
  <c r="V18" i="4" s="1"/>
  <c r="V40" i="1"/>
  <c r="W18" i="4" s="1"/>
  <c r="S41" i="1"/>
  <c r="T19" i="4" s="1"/>
  <c r="T41" i="1"/>
  <c r="U19" i="4" s="1"/>
  <c r="U41" i="1"/>
  <c r="V19" i="4" s="1"/>
  <c r="V41" i="1"/>
  <c r="W19" i="4" s="1"/>
  <c r="S42" i="1"/>
  <c r="T20" i="4" s="1"/>
  <c r="T42" i="1"/>
  <c r="U20" i="4" s="1"/>
  <c r="U42" i="1"/>
  <c r="V20" i="4" s="1"/>
  <c r="V42" i="1"/>
  <c r="W20" i="4" s="1"/>
  <c r="S43" i="1"/>
  <c r="T21" i="4" s="1"/>
  <c r="T43" i="1"/>
  <c r="U43" i="1"/>
  <c r="V43" i="1"/>
  <c r="N28" i="1"/>
  <c r="N29" i="1"/>
  <c r="N7" i="4" s="1"/>
  <c r="N30" i="1"/>
  <c r="N8" i="4" s="1"/>
  <c r="N31" i="1"/>
  <c r="N9" i="4" s="1"/>
  <c r="N32" i="1"/>
  <c r="N10" i="4" s="1"/>
  <c r="N33" i="1"/>
  <c r="N11" i="4" s="1"/>
  <c r="N34" i="1"/>
  <c r="N12" i="4" s="1"/>
  <c r="N35" i="1"/>
  <c r="N13" i="4" s="1"/>
  <c r="K36" i="1"/>
  <c r="K14" i="4" s="1"/>
  <c r="L36" i="1"/>
  <c r="L14" i="4" s="1"/>
  <c r="M36" i="1"/>
  <c r="M14" i="4" s="1"/>
  <c r="N36" i="1"/>
  <c r="N14" i="4" s="1"/>
  <c r="K37" i="1"/>
  <c r="K15" i="4" s="1"/>
  <c r="L37" i="1"/>
  <c r="L15" i="4" s="1"/>
  <c r="M37" i="1"/>
  <c r="M15" i="4" s="1"/>
  <c r="N37" i="1"/>
  <c r="N15" i="4" s="1"/>
  <c r="K38" i="1"/>
  <c r="K16" i="4" s="1"/>
  <c r="L38" i="1"/>
  <c r="L16" i="4" s="1"/>
  <c r="M38" i="1"/>
  <c r="M16" i="4" s="1"/>
  <c r="N38" i="1"/>
  <c r="N16" i="4" s="1"/>
  <c r="K39" i="1"/>
  <c r="K17" i="4" s="1"/>
  <c r="L39" i="1"/>
  <c r="L17" i="4" s="1"/>
  <c r="M39" i="1"/>
  <c r="M17" i="4" s="1"/>
  <c r="N39" i="1"/>
  <c r="N17" i="4" s="1"/>
  <c r="K40" i="1"/>
  <c r="K18" i="4" s="1"/>
  <c r="L40" i="1"/>
  <c r="L18" i="4" s="1"/>
  <c r="M40" i="1"/>
  <c r="M18" i="4" s="1"/>
  <c r="N40" i="1"/>
  <c r="N18" i="4" s="1"/>
  <c r="K41" i="1"/>
  <c r="K19" i="4" s="1"/>
  <c r="L41" i="1"/>
  <c r="L19" i="4" s="1"/>
  <c r="M41" i="1"/>
  <c r="M19" i="4" s="1"/>
  <c r="N41" i="1"/>
  <c r="N19" i="4" s="1"/>
  <c r="K42" i="1"/>
  <c r="K20" i="4" s="1"/>
  <c r="L42" i="1"/>
  <c r="L20" i="4" s="1"/>
  <c r="M42" i="1"/>
  <c r="M20" i="4" s="1"/>
  <c r="N42" i="1"/>
  <c r="N20" i="4" s="1"/>
  <c r="K43" i="1"/>
  <c r="L43" i="1"/>
  <c r="M43" i="1"/>
  <c r="N43"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I41" i="23"/>
  <c r="I35" i="4" s="1"/>
  <c r="H41" i="23"/>
  <c r="H35" i="4" s="1"/>
  <c r="G41" i="23"/>
  <c r="G35" i="4" s="1"/>
  <c r="F41" i="23"/>
  <c r="F35" i="4" s="1"/>
  <c r="E41" i="23"/>
  <c r="E35" i="4" s="1"/>
  <c r="D41" i="23"/>
  <c r="D35" i="4" s="1"/>
  <c r="C41" i="23"/>
  <c r="C35" i="4" s="1"/>
  <c r="B41" i="23"/>
  <c r="B35" i="4" s="1"/>
  <c r="I40" i="23"/>
  <c r="I34" i="4" s="1"/>
  <c r="H40" i="23"/>
  <c r="H34" i="4" s="1"/>
  <c r="G40" i="23"/>
  <c r="G34" i="4" s="1"/>
  <c r="F40" i="23"/>
  <c r="F34" i="4" s="1"/>
  <c r="E40" i="23"/>
  <c r="E34" i="4" s="1"/>
  <c r="D40" i="23"/>
  <c r="D34" i="4" s="1"/>
  <c r="C40" i="23"/>
  <c r="C34" i="4" s="1"/>
  <c r="B40" i="23"/>
  <c r="B34" i="4" s="1"/>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V24" i="23"/>
  <c r="U24" i="23"/>
  <c r="T24" i="23"/>
  <c r="S24" i="23"/>
  <c r="R24" i="23"/>
  <c r="Q24" i="23"/>
  <c r="P24" i="23"/>
  <c r="O24" i="23"/>
  <c r="N24" i="23"/>
  <c r="L24" i="23"/>
  <c r="J24" i="23"/>
  <c r="I24" i="23"/>
  <c r="H24" i="23"/>
  <c r="G24" i="23"/>
  <c r="F24" i="23"/>
  <c r="E24" i="23"/>
  <c r="D24" i="23"/>
  <c r="C24" i="23"/>
  <c r="B24" i="23"/>
  <c r="V23" i="23"/>
  <c r="U23" i="23"/>
  <c r="T23" i="23"/>
  <c r="S23" i="23"/>
  <c r="R23" i="23"/>
  <c r="Q23" i="23"/>
  <c r="P23" i="23"/>
  <c r="O23" i="23"/>
  <c r="B32" i="23" s="1"/>
  <c r="B26" i="4" s="1"/>
  <c r="N23" i="23"/>
  <c r="L23" i="23"/>
  <c r="J23" i="23"/>
  <c r="I23" i="23"/>
  <c r="H23" i="23"/>
  <c r="G23" i="23"/>
  <c r="F23" i="23"/>
  <c r="E23" i="23"/>
  <c r="D23" i="23"/>
  <c r="C23" i="23"/>
  <c r="B23" i="23"/>
  <c r="Q45" i="23"/>
  <c r="P45" i="23"/>
  <c r="O45" i="23"/>
  <c r="I22" i="23"/>
  <c r="H27" i="23"/>
  <c r="H52" i="23" s="1"/>
  <c r="G45" i="23"/>
  <c r="F27" i="23"/>
  <c r="F52" i="23" s="1"/>
  <c r="E45" i="23"/>
  <c r="C45" i="23"/>
  <c r="B45" i="23"/>
  <c r="D31" i="23"/>
  <c r="D25" i="4" s="1"/>
  <c r="J40" i="23"/>
  <c r="J34" i="4" s="1"/>
  <c r="J36" i="23"/>
  <c r="J30" i="4" s="1"/>
  <c r="D34" i="23"/>
  <c r="D28" i="4" s="1"/>
  <c r="D30" i="23"/>
  <c r="D24" i="4" s="1"/>
  <c r="J42" i="23"/>
  <c r="J36" i="4" s="1"/>
  <c r="J38" i="23"/>
  <c r="J32" i="4" s="1"/>
  <c r="F34" i="23"/>
  <c r="F28" i="4" s="1"/>
  <c r="D28" i="23"/>
  <c r="J41" i="23"/>
  <c r="J35" i="4" s="1"/>
  <c r="J37" i="23"/>
  <c r="J31" i="4" s="1"/>
  <c r="J43" i="23"/>
  <c r="J39" i="23"/>
  <c r="J33" i="4" s="1"/>
  <c r="J35" i="23"/>
  <c r="J29" i="4" s="1"/>
  <c r="E32" i="23"/>
  <c r="E26" i="4" s="1"/>
  <c r="J31" i="23"/>
  <c r="J25" i="4" s="1"/>
  <c r="E28" i="23"/>
  <c r="I35" i="23"/>
  <c r="I29" i="4" s="1"/>
  <c r="J33" i="23"/>
  <c r="J27" i="4" s="1"/>
  <c r="F33" i="23"/>
  <c r="F27" i="4" s="1"/>
  <c r="P22" i="23"/>
  <c r="S23" i="1"/>
  <c r="T23" i="1"/>
  <c r="U23" i="1"/>
  <c r="V23" i="1"/>
  <c r="S24" i="1"/>
  <c r="T24" i="1"/>
  <c r="U24" i="1"/>
  <c r="V24" i="1"/>
  <c r="L23" i="1"/>
  <c r="M23" i="1"/>
  <c r="N23" i="1"/>
  <c r="L24" i="1"/>
  <c r="M24" i="1"/>
  <c r="N24" i="1"/>
  <c r="I23" i="1"/>
  <c r="I24" i="1"/>
  <c r="C36" i="1"/>
  <c r="C14" i="4" s="1"/>
  <c r="D36" i="1"/>
  <c r="D14" i="4" s="1"/>
  <c r="E36" i="1"/>
  <c r="E14" i="4" s="1"/>
  <c r="F36" i="1"/>
  <c r="F14" i="4" s="1"/>
  <c r="G36" i="1"/>
  <c r="G14" i="4" s="1"/>
  <c r="I36" i="1"/>
  <c r="I14" i="4" s="1"/>
  <c r="J36" i="1"/>
  <c r="J14" i="4" s="1"/>
  <c r="C37" i="1"/>
  <c r="C15" i="4" s="1"/>
  <c r="D37" i="1"/>
  <c r="D15" i="4" s="1"/>
  <c r="E37" i="1"/>
  <c r="E15" i="4" s="1"/>
  <c r="F37" i="1"/>
  <c r="F15" i="4" s="1"/>
  <c r="G37" i="1"/>
  <c r="G15" i="4" s="1"/>
  <c r="I37" i="1"/>
  <c r="I15" i="4" s="1"/>
  <c r="J37" i="1"/>
  <c r="J15" i="4" s="1"/>
  <c r="C38" i="1"/>
  <c r="C16" i="4" s="1"/>
  <c r="D38" i="1"/>
  <c r="D16" i="4" s="1"/>
  <c r="E38" i="1"/>
  <c r="E16" i="4" s="1"/>
  <c r="F38" i="1"/>
  <c r="F16" i="4" s="1"/>
  <c r="G38" i="1"/>
  <c r="G16" i="4" s="1"/>
  <c r="I38" i="1"/>
  <c r="I16" i="4" s="1"/>
  <c r="J38" i="1"/>
  <c r="J16" i="4" s="1"/>
  <c r="C39" i="1"/>
  <c r="C17" i="4" s="1"/>
  <c r="D39" i="1"/>
  <c r="E39" i="1"/>
  <c r="E17" i="4" s="1"/>
  <c r="F39" i="1"/>
  <c r="F17" i="4" s="1"/>
  <c r="G39" i="1"/>
  <c r="G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Q36" i="1"/>
  <c r="R14" i="4" s="1"/>
  <c r="R36" i="1"/>
  <c r="S14" i="4" s="1"/>
  <c r="Q37" i="1"/>
  <c r="R15" i="4" s="1"/>
  <c r="P38" i="1"/>
  <c r="Q16" i="4" s="1"/>
  <c r="Q38" i="1"/>
  <c r="R16" i="4" s="1"/>
  <c r="P39" i="1"/>
  <c r="Q17" i="4" s="1"/>
  <c r="Q39" i="1"/>
  <c r="R17" i="4" s="1"/>
  <c r="R39" i="1"/>
  <c r="S17" i="4" s="1"/>
  <c r="P40" i="1"/>
  <c r="Q18" i="4" s="1"/>
  <c r="Q40" i="1"/>
  <c r="R18" i="4" s="1"/>
  <c r="R40" i="1"/>
  <c r="S18" i="4" s="1"/>
  <c r="P41" i="1"/>
  <c r="Q19" i="4" s="1"/>
  <c r="Q41" i="1"/>
  <c r="R19" i="4" s="1"/>
  <c r="P42" i="1"/>
  <c r="Q20" i="4" s="1"/>
  <c r="Q42" i="1"/>
  <c r="R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Q28" i="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P56" i="23"/>
  <c r="G56" i="23"/>
  <c r="V56" i="1"/>
  <c r="T56" i="23"/>
  <c r="S56" i="23"/>
  <c r="N56" i="23"/>
  <c r="J56" i="23"/>
  <c r="Q56" i="23"/>
  <c r="C56" i="23"/>
  <c r="R56" i="23"/>
  <c r="M56" i="1"/>
  <c r="S56" i="1"/>
  <c r="J56" i="1"/>
  <c r="F56" i="23"/>
  <c r="E56" i="23"/>
  <c r="L56" i="1"/>
  <c r="U56" i="23"/>
  <c r="I56" i="23"/>
  <c r="M56" i="23"/>
  <c r="V56" i="23"/>
  <c r="L56" i="23"/>
  <c r="K56" i="1"/>
  <c r="K56" i="23"/>
  <c r="H56" i="23"/>
  <c r="D56" i="23"/>
  <c r="U56" i="1"/>
  <c r="N56" i="1"/>
  <c r="T56" i="1"/>
  <c r="P34" i="1" l="1"/>
  <c r="Q12" i="4" s="1"/>
  <c r="C33" i="23"/>
  <c r="C27" i="4" s="1"/>
  <c r="I29" i="23"/>
  <c r="I23" i="4" s="1"/>
  <c r="I33" i="23"/>
  <c r="I27" i="4" s="1"/>
  <c r="C28" i="23"/>
  <c r="L30" i="23"/>
  <c r="L24" i="4" s="1"/>
  <c r="O29" i="23"/>
  <c r="P23" i="4" s="1"/>
  <c r="Q34" i="23"/>
  <c r="R28" i="4" s="1"/>
  <c r="S32" i="23"/>
  <c r="T26" i="4" s="1"/>
  <c r="P31" i="23"/>
  <c r="Q25" i="4" s="1"/>
  <c r="P29" i="23"/>
  <c r="Q23" i="4" s="1"/>
  <c r="U35" i="23"/>
  <c r="V29" i="4" s="1"/>
  <c r="T28" i="23"/>
  <c r="U22" i="4" s="1"/>
  <c r="K29" i="23"/>
  <c r="K23" i="4" s="1"/>
  <c r="V33" i="23"/>
  <c r="W27" i="4" s="1"/>
  <c r="Q34" i="1"/>
  <c r="R12" i="4" s="1"/>
  <c r="H28" i="23"/>
  <c r="D29" i="23"/>
  <c r="D23" i="4" s="1"/>
  <c r="D33" i="23"/>
  <c r="D27" i="4" s="1"/>
  <c r="C32" i="23"/>
  <c r="C26" i="4" s="1"/>
  <c r="F30" i="23"/>
  <c r="F24" i="4" s="1"/>
  <c r="C31" i="23"/>
  <c r="C25" i="4" s="1"/>
  <c r="C35" i="23"/>
  <c r="C29" i="4" s="1"/>
  <c r="E30" i="23"/>
  <c r="E24" i="4" s="1"/>
  <c r="K32" i="23"/>
  <c r="K26" i="4" s="1"/>
  <c r="Q35" i="23"/>
  <c r="R29" i="4" s="1"/>
  <c r="U33" i="23"/>
  <c r="V27" i="4" s="1"/>
  <c r="P32" i="23"/>
  <c r="Q26" i="4" s="1"/>
  <c r="Q30" i="23"/>
  <c r="R24" i="4" s="1"/>
  <c r="Q28" i="23"/>
  <c r="P34" i="23"/>
  <c r="Q28" i="4" s="1"/>
  <c r="I28" i="23"/>
  <c r="J34" i="23"/>
  <c r="J28" i="4" s="1"/>
  <c r="L32" i="23"/>
  <c r="L26" i="4" s="1"/>
  <c r="S28" i="23"/>
  <c r="T22" i="4" s="1"/>
  <c r="I30" i="23"/>
  <c r="I24" i="4" s="1"/>
  <c r="G29" i="23"/>
  <c r="G23" i="4" s="1"/>
  <c r="H29" i="23"/>
  <c r="H23" i="4" s="1"/>
  <c r="H33" i="23"/>
  <c r="H27" i="4" s="1"/>
  <c r="E34" i="23"/>
  <c r="E28" i="4" s="1"/>
  <c r="J30" i="23"/>
  <c r="J24" i="4" s="1"/>
  <c r="G31" i="23"/>
  <c r="G25" i="4" s="1"/>
  <c r="G35" i="23"/>
  <c r="G29" i="4" s="1"/>
  <c r="O43" i="23"/>
  <c r="P37" i="4" s="1"/>
  <c r="P35" i="23"/>
  <c r="Q29" i="4" s="1"/>
  <c r="R33" i="23"/>
  <c r="S27" i="4" s="1"/>
  <c r="V31" i="23"/>
  <c r="W25" i="4" s="1"/>
  <c r="P30" i="23"/>
  <c r="Q24" i="4" s="1"/>
  <c r="P28" i="23"/>
  <c r="Q22" i="4" s="1"/>
  <c r="T30" i="23"/>
  <c r="U24" i="4" s="1"/>
  <c r="D35" i="23"/>
  <c r="D29" i="4" s="1"/>
  <c r="C29" i="23"/>
  <c r="C23" i="4" s="1"/>
  <c r="F29" i="23"/>
  <c r="F23" i="4" s="1"/>
  <c r="S30" i="23"/>
  <c r="T24" i="4" s="1"/>
  <c r="G28" i="23"/>
  <c r="G22" i="4" s="1"/>
  <c r="D32" i="23"/>
  <c r="D26" i="4" s="1"/>
  <c r="C30" i="23"/>
  <c r="C24" i="4" s="1"/>
  <c r="C34" i="23"/>
  <c r="C28" i="4" s="1"/>
  <c r="I34" i="23"/>
  <c r="I28" i="4" s="1"/>
  <c r="E31" i="23"/>
  <c r="E25" i="4" s="1"/>
  <c r="F28" i="23"/>
  <c r="F32" i="23"/>
  <c r="F26" i="4" s="1"/>
  <c r="L31" i="23"/>
  <c r="L25" i="4" s="1"/>
  <c r="O42" i="23"/>
  <c r="P36" i="4" s="1"/>
  <c r="V34" i="23"/>
  <c r="W28" i="4" s="1"/>
  <c r="Q33" i="23"/>
  <c r="R27" i="4" s="1"/>
  <c r="S31" i="23"/>
  <c r="T25" i="4" s="1"/>
  <c r="T29" i="23"/>
  <c r="U23" i="4" s="1"/>
  <c r="Q32" i="23"/>
  <c r="R26" i="4" s="1"/>
  <c r="H31" i="23"/>
  <c r="H25" i="4" s="1"/>
  <c r="G33" i="23"/>
  <c r="G27" i="4" s="1"/>
  <c r="G30" i="23"/>
  <c r="G24" i="4" s="1"/>
  <c r="G34" i="23"/>
  <c r="G28" i="4" s="1"/>
  <c r="H35" i="23"/>
  <c r="H29" i="4" s="1"/>
  <c r="I31" i="23"/>
  <c r="I25" i="4" s="1"/>
  <c r="J28" i="23"/>
  <c r="J22" i="4" s="1"/>
  <c r="J32" i="23"/>
  <c r="J26" i="4" s="1"/>
  <c r="L34" i="23"/>
  <c r="L28" i="4" s="1"/>
  <c r="K31" i="23"/>
  <c r="K25" i="4" s="1"/>
  <c r="O39" i="23"/>
  <c r="P33" i="4" s="1"/>
  <c r="S34" i="23"/>
  <c r="T28" i="4" s="1"/>
  <c r="P33" i="23"/>
  <c r="Q27" i="4" s="1"/>
  <c r="R31" i="23"/>
  <c r="S25" i="4" s="1"/>
  <c r="S29" i="23"/>
  <c r="T23" i="4" s="1"/>
  <c r="R32" i="23"/>
  <c r="S26" i="4" s="1"/>
  <c r="P28" i="1"/>
  <c r="I32" i="23"/>
  <c r="I26" i="4" s="1"/>
  <c r="H30" i="23"/>
  <c r="H24" i="4" s="1"/>
  <c r="H34" i="23"/>
  <c r="H28" i="4" s="1"/>
  <c r="T35" i="23"/>
  <c r="U29" i="4" s="1"/>
  <c r="G32" i="23"/>
  <c r="G26" i="4" s="1"/>
  <c r="E35" i="23"/>
  <c r="E29" i="4" s="1"/>
  <c r="F31" i="23"/>
  <c r="F25" i="4" s="1"/>
  <c r="F35" i="23"/>
  <c r="F29" i="4" s="1"/>
  <c r="H32" i="23"/>
  <c r="H26" i="4" s="1"/>
  <c r="E29" i="23"/>
  <c r="E23" i="4" s="1"/>
  <c r="E33" i="23"/>
  <c r="E27" i="4" s="1"/>
  <c r="J29" i="23"/>
  <c r="J23" i="4" s="1"/>
  <c r="K34" i="23"/>
  <c r="K28" i="4" s="1"/>
  <c r="O36" i="23"/>
  <c r="P30" i="4" s="1"/>
  <c r="R34" i="23"/>
  <c r="S28" i="4" s="1"/>
  <c r="V32" i="23"/>
  <c r="W26" i="4" s="1"/>
  <c r="Q31" i="23"/>
  <c r="R25" i="4" s="1"/>
  <c r="Q29" i="23"/>
  <c r="R23" i="4" s="1"/>
  <c r="L35" i="23"/>
  <c r="L29" i="4" s="1"/>
  <c r="L33" i="23"/>
  <c r="L27" i="4" s="1"/>
  <c r="K30" i="23"/>
  <c r="K24" i="4" s="1"/>
  <c r="L28" i="23"/>
  <c r="L22" i="4" s="1"/>
  <c r="O41" i="23"/>
  <c r="P35" i="4" s="1"/>
  <c r="O35" i="23"/>
  <c r="P29" i="4" s="1"/>
  <c r="S35" i="23"/>
  <c r="T29" i="4" s="1"/>
  <c r="U34" i="23"/>
  <c r="V28" i="4" s="1"/>
  <c r="T33" i="23"/>
  <c r="U32" i="23"/>
  <c r="V26" i="4" s="1"/>
  <c r="U31" i="23"/>
  <c r="V25" i="4" s="1"/>
  <c r="V30" i="23"/>
  <c r="W24" i="4" s="1"/>
  <c r="R30" i="23"/>
  <c r="S24" i="4" s="1"/>
  <c r="V29" i="23"/>
  <c r="W23" i="4" s="1"/>
  <c r="R29" i="23"/>
  <c r="S23" i="4" s="1"/>
  <c r="V28" i="23"/>
  <c r="R28" i="23"/>
  <c r="S22" i="4" s="1"/>
  <c r="K35" i="23"/>
  <c r="K29" i="4" s="1"/>
  <c r="K33" i="23"/>
  <c r="K27" i="4" s="1"/>
  <c r="L29" i="23"/>
  <c r="L23" i="4" s="1"/>
  <c r="K28" i="23"/>
  <c r="K22" i="4" s="1"/>
  <c r="O40" i="23"/>
  <c r="P34" i="4" s="1"/>
  <c r="O33" i="23"/>
  <c r="P27" i="4" s="1"/>
  <c r="V35" i="23"/>
  <c r="W29" i="4" s="1"/>
  <c r="R35" i="23"/>
  <c r="S29" i="4" s="1"/>
  <c r="T34" i="23"/>
  <c r="U28" i="4" s="1"/>
  <c r="S33" i="23"/>
  <c r="T27" i="4" s="1"/>
  <c r="T32" i="23"/>
  <c r="U26" i="4" s="1"/>
  <c r="T31" i="23"/>
  <c r="U25" i="4" s="1"/>
  <c r="U30" i="23"/>
  <c r="V24" i="4" s="1"/>
  <c r="U29" i="23"/>
  <c r="V23" i="4" s="1"/>
  <c r="U28" i="23"/>
  <c r="V22" i="4" s="1"/>
  <c r="M32" i="23"/>
  <c r="M26" i="4" s="1"/>
  <c r="M33" i="23"/>
  <c r="M27" i="4" s="1"/>
  <c r="M31" i="23"/>
  <c r="M25" i="4" s="1"/>
  <c r="M34" i="23"/>
  <c r="M28" i="4" s="1"/>
  <c r="M29" i="23"/>
  <c r="M23" i="4" s="1"/>
  <c r="M28" i="23"/>
  <c r="M22" i="4" s="1"/>
  <c r="M35" i="23"/>
  <c r="M29" i="4" s="1"/>
  <c r="M30" i="23"/>
  <c r="M24" i="4" s="1"/>
  <c r="Q35" i="1"/>
  <c r="R13" i="4" s="1"/>
  <c r="P33" i="1"/>
  <c r="Q11" i="4" s="1"/>
  <c r="Q31" i="1"/>
  <c r="R9" i="4" s="1"/>
  <c r="Q33" i="1"/>
  <c r="R11" i="4" s="1"/>
  <c r="P30" i="1"/>
  <c r="Q8" i="4" s="1"/>
  <c r="F34" i="1"/>
  <c r="F12" i="4" s="1"/>
  <c r="T35" i="1"/>
  <c r="U13" i="4" s="1"/>
  <c r="O38" i="1"/>
  <c r="P16" i="4" s="1"/>
  <c r="O32" i="1"/>
  <c r="P10" i="4" s="1"/>
  <c r="O43" i="1"/>
  <c r="B33" i="1"/>
  <c r="B11" i="4" s="1"/>
  <c r="H31" i="1"/>
  <c r="H9" i="4" s="1"/>
  <c r="O42" i="1"/>
  <c r="P20" i="4" s="1"/>
  <c r="O39" i="1"/>
  <c r="P17" i="4" s="1"/>
  <c r="F30" i="1"/>
  <c r="F8" i="4" s="1"/>
  <c r="F32" i="1"/>
  <c r="F10" i="4" s="1"/>
  <c r="I34" i="1"/>
  <c r="I12" i="4" s="1"/>
  <c r="G30" i="1"/>
  <c r="G8" i="4" s="1"/>
  <c r="E30" i="1"/>
  <c r="E8" i="4" s="1"/>
  <c r="F29" i="1"/>
  <c r="F7" i="4" s="1"/>
  <c r="I33" i="1"/>
  <c r="I11" i="4" s="1"/>
  <c r="I29" i="1"/>
  <c r="I7" i="4" s="1"/>
  <c r="H33" i="1"/>
  <c r="H11" i="4" s="1"/>
  <c r="H35" i="1"/>
  <c r="H13" i="4" s="1"/>
  <c r="E35" i="1"/>
  <c r="E13" i="4" s="1"/>
  <c r="H30" i="1"/>
  <c r="H8" i="4" s="1"/>
  <c r="U28" i="1"/>
  <c r="O41" i="1"/>
  <c r="P19" i="4" s="1"/>
  <c r="G34" i="1"/>
  <c r="G12" i="4" s="1"/>
  <c r="E33" i="1"/>
  <c r="E11" i="4" s="1"/>
  <c r="D35" i="1"/>
  <c r="D13" i="4" s="1"/>
  <c r="G29" i="1"/>
  <c r="G7" i="4" s="1"/>
  <c r="J35" i="1"/>
  <c r="J13" i="4" s="1"/>
  <c r="M34" i="1"/>
  <c r="M12" i="4" s="1"/>
  <c r="U30" i="1"/>
  <c r="V8" i="4" s="1"/>
  <c r="L28" i="1"/>
  <c r="L6" i="4" s="1"/>
  <c r="T33" i="1"/>
  <c r="U11" i="4" s="1"/>
  <c r="G35" i="1"/>
  <c r="G13" i="4" s="1"/>
  <c r="E29" i="1"/>
  <c r="E7" i="4" s="1"/>
  <c r="D33" i="1"/>
  <c r="D11" i="4" s="1"/>
  <c r="H34" i="1"/>
  <c r="H12" i="4" s="1"/>
  <c r="O40" i="1"/>
  <c r="P18" i="4" s="1"/>
  <c r="F33" i="1"/>
  <c r="F11" i="4" s="1"/>
  <c r="C35" i="1"/>
  <c r="C13" i="4" s="1"/>
  <c r="H32" i="1"/>
  <c r="H10" i="4" s="1"/>
  <c r="F35" i="1"/>
  <c r="F13" i="4" s="1"/>
  <c r="I30" i="1"/>
  <c r="I8" i="4" s="1"/>
  <c r="E32" i="1"/>
  <c r="E10" i="4" s="1"/>
  <c r="C33" i="1"/>
  <c r="C11" i="4" s="1"/>
  <c r="T34" i="1"/>
  <c r="U12" i="4" s="1"/>
  <c r="L34" i="1"/>
  <c r="L12" i="4" s="1"/>
  <c r="L32" i="1"/>
  <c r="L10" i="4" s="1"/>
  <c r="M29" i="1"/>
  <c r="M7" i="4" s="1"/>
  <c r="U33" i="1"/>
  <c r="V11" i="4" s="1"/>
  <c r="T28" i="1"/>
  <c r="U6" i="4" s="1"/>
  <c r="K33" i="1"/>
  <c r="K11" i="4" s="1"/>
  <c r="L29" i="1"/>
  <c r="L7" i="4" s="1"/>
  <c r="U32" i="1"/>
  <c r="V10" i="4" s="1"/>
  <c r="U35" i="1"/>
  <c r="V13" i="4" s="1"/>
  <c r="U29" i="1"/>
  <c r="V7" i="4" s="1"/>
  <c r="J31" i="1"/>
  <c r="J9" i="4" s="1"/>
  <c r="M35" i="1"/>
  <c r="M13" i="4" s="1"/>
  <c r="M33" i="1"/>
  <c r="M11" i="4" s="1"/>
  <c r="M31" i="1"/>
  <c r="M9" i="4" s="1"/>
  <c r="M30" i="1"/>
  <c r="M8" i="4" s="1"/>
  <c r="S35" i="1"/>
  <c r="T13" i="4" s="1"/>
  <c r="V34" i="1"/>
  <c r="W12" i="4" s="1"/>
  <c r="T32" i="1"/>
  <c r="U10" i="4" s="1"/>
  <c r="U31" i="1"/>
  <c r="V9" i="4" s="1"/>
  <c r="R33" i="1"/>
  <c r="S11" i="4" s="1"/>
  <c r="H39" i="1"/>
  <c r="H17" i="4" s="1"/>
  <c r="H38" i="1"/>
  <c r="H16" i="4" s="1"/>
  <c r="H37" i="1"/>
  <c r="H15" i="4" s="1"/>
  <c r="H36" i="1"/>
  <c r="H14" i="4" s="1"/>
  <c r="L35" i="1"/>
  <c r="L13" i="4" s="1"/>
  <c r="L33" i="1"/>
  <c r="L11" i="4" s="1"/>
  <c r="M32" i="1"/>
  <c r="M10" i="4" s="1"/>
  <c r="L31" i="1"/>
  <c r="L9" i="4" s="1"/>
  <c r="L30" i="1"/>
  <c r="L8" i="4" s="1"/>
  <c r="M28" i="1"/>
  <c r="M6" i="4" s="1"/>
  <c r="U34" i="1"/>
  <c r="V12" i="4" s="1"/>
  <c r="S31" i="1"/>
  <c r="T9" i="4" s="1"/>
  <c r="V30" i="1"/>
  <c r="W8" i="4" s="1"/>
  <c r="J34" i="1"/>
  <c r="J12" i="4" s="1"/>
  <c r="J30" i="1"/>
  <c r="J8" i="4" s="1"/>
  <c r="K34" i="1"/>
  <c r="K12" i="4" s="1"/>
  <c r="K32" i="1"/>
  <c r="K10" i="4" s="1"/>
  <c r="K31" i="1"/>
  <c r="K9" i="4" s="1"/>
  <c r="K29" i="1"/>
  <c r="K7" i="4" s="1"/>
  <c r="K28" i="1"/>
  <c r="K6" i="4" s="1"/>
  <c r="V35" i="1"/>
  <c r="W13" i="4" s="1"/>
  <c r="S32" i="1"/>
  <c r="T10" i="4" s="1"/>
  <c r="V31" i="1"/>
  <c r="W9" i="4" s="1"/>
  <c r="T29" i="1"/>
  <c r="U7" i="4" s="1"/>
  <c r="S28" i="1"/>
  <c r="T6" i="4" s="1"/>
  <c r="J33" i="1"/>
  <c r="J11" i="4" s="1"/>
  <c r="J29" i="1"/>
  <c r="J7" i="4" s="1"/>
  <c r="J28" i="1"/>
  <c r="J6" i="4" s="1"/>
  <c r="K35" i="1"/>
  <c r="K13" i="4" s="1"/>
  <c r="K30" i="1"/>
  <c r="K8" i="4" s="1"/>
  <c r="S33" i="1"/>
  <c r="T11" i="4" s="1"/>
  <c r="V32" i="1"/>
  <c r="W10" i="4" s="1"/>
  <c r="T30" i="1"/>
  <c r="U8" i="4" s="1"/>
  <c r="S29" i="1"/>
  <c r="T7" i="4" s="1"/>
  <c r="V28" i="1"/>
  <c r="W6" i="4" s="1"/>
  <c r="J32" i="1"/>
  <c r="J10" i="4" s="1"/>
  <c r="S34" i="1"/>
  <c r="T12" i="4" s="1"/>
  <c r="V33" i="1"/>
  <c r="W11" i="4" s="1"/>
  <c r="T31" i="1"/>
  <c r="U9" i="4" s="1"/>
  <c r="S30" i="1"/>
  <c r="T8" i="4" s="1"/>
  <c r="V29" i="1"/>
  <c r="W7" i="4" s="1"/>
  <c r="D22" i="4"/>
  <c r="E22" i="4"/>
  <c r="H22" i="4"/>
  <c r="C22" i="4"/>
  <c r="R22" i="4"/>
  <c r="F22" i="4"/>
  <c r="N22" i="4"/>
  <c r="R6" i="4"/>
  <c r="N6" i="4"/>
  <c r="Q6" i="4"/>
  <c r="V6" i="4"/>
  <c r="T4" i="33"/>
  <c r="T22" i="33" s="1"/>
  <c r="Q22" i="1"/>
  <c r="R35" i="1"/>
  <c r="S13" i="4" s="1"/>
  <c r="G32" i="1"/>
  <c r="G10" i="4" s="1"/>
  <c r="H29" i="1"/>
  <c r="E28" i="1"/>
  <c r="D34" i="1"/>
  <c r="D12" i="4" s="1"/>
  <c r="I31" i="1"/>
  <c r="I9" i="4" s="1"/>
  <c r="F28" i="1"/>
  <c r="R41" i="1"/>
  <c r="S19" i="4" s="1"/>
  <c r="R37" i="1"/>
  <c r="S15" i="4" s="1"/>
  <c r="Q29" i="1"/>
  <c r="O37" i="1"/>
  <c r="P15" i="4" s="1"/>
  <c r="P29" i="1"/>
  <c r="B34" i="1"/>
  <c r="B12" i="4" s="1"/>
  <c r="B35" i="1"/>
  <c r="B13" i="4" s="1"/>
  <c r="C34" i="1"/>
  <c r="C12" i="4" s="1"/>
  <c r="I28" i="1"/>
  <c r="G31" i="1"/>
  <c r="G9" i="4" s="1"/>
  <c r="H28" i="1"/>
  <c r="E34" i="1"/>
  <c r="F31" i="1"/>
  <c r="G28" i="1"/>
  <c r="I32" i="1"/>
  <c r="I10" i="4" s="1"/>
  <c r="I35" i="1"/>
  <c r="G33" i="1"/>
  <c r="E31" i="1"/>
  <c r="E9" i="4" s="1"/>
  <c r="R42" i="1"/>
  <c r="S20" i="4" s="1"/>
  <c r="R38" i="1"/>
  <c r="S16" i="4" s="1"/>
  <c r="R34" i="1"/>
  <c r="S12" i="4" s="1"/>
  <c r="L74" i="4"/>
  <c r="L62" i="4"/>
  <c r="E55" i="4"/>
  <c r="E62" i="4"/>
  <c r="Q21" i="4"/>
  <c r="I52" i="23"/>
  <c r="R4" i="33"/>
  <c r="W37" i="4"/>
  <c r="S37" i="4"/>
  <c r="K37" i="4"/>
  <c r="I45" i="23"/>
  <c r="U4" i="33"/>
  <c r="P21" i="4"/>
  <c r="S21" i="4"/>
  <c r="R21" i="4"/>
  <c r="S4" i="33"/>
  <c r="C27" i="23"/>
  <c r="C52" i="23" s="1"/>
  <c r="I27" i="23"/>
  <c r="W21" i="4"/>
  <c r="U21" i="4"/>
  <c r="B21" i="4"/>
  <c r="O37" i="23"/>
  <c r="P31" i="4" s="1"/>
  <c r="O34" i="23"/>
  <c r="P28" i="4" s="1"/>
  <c r="O38" i="23"/>
  <c r="U37" i="4"/>
  <c r="B38" i="23"/>
  <c r="F37" i="4"/>
  <c r="N37" i="4"/>
  <c r="L37" i="4"/>
  <c r="Q37" i="4"/>
  <c r="T37" i="4"/>
  <c r="J37" i="4"/>
  <c r="H37" i="4"/>
  <c r="M37" i="4"/>
  <c r="R4" i="4"/>
  <c r="R62" i="4" s="1"/>
  <c r="N4" i="23"/>
  <c r="N22" i="23" s="1"/>
  <c r="P27" i="23"/>
  <c r="P52" i="23" s="1"/>
  <c r="J4" i="1"/>
  <c r="J4" i="4" s="1"/>
  <c r="J4" i="23"/>
  <c r="J45" i="23" s="1"/>
  <c r="M4" i="23"/>
  <c r="M27" i="23" s="1"/>
  <c r="M4" i="1"/>
  <c r="M4" i="4" s="1"/>
  <c r="L45" i="1"/>
  <c r="L27" i="1"/>
  <c r="L52" i="1" s="1"/>
  <c r="O32" i="23"/>
  <c r="O31" i="23"/>
  <c r="P25" i="4" s="1"/>
  <c r="O30" i="23"/>
  <c r="P24" i="4" s="1"/>
  <c r="B33" i="23"/>
  <c r="B27" i="4" s="1"/>
  <c r="B28" i="23"/>
  <c r="B30" i="23"/>
  <c r="B24" i="4" s="1"/>
  <c r="B34" i="23"/>
  <c r="B28" i="4" s="1"/>
  <c r="B35" i="23"/>
  <c r="O28" i="23"/>
  <c r="B31" i="23"/>
  <c r="B25" i="4" s="1"/>
  <c r="B29" i="23"/>
  <c r="B23" i="4" s="1"/>
  <c r="Q32" i="1"/>
  <c r="P32" i="1"/>
  <c r="Q10" i="4" s="1"/>
  <c r="D4" i="4"/>
  <c r="O29" i="1"/>
  <c r="P7" i="4" s="1"/>
  <c r="B27" i="23"/>
  <c r="B52" i="23" s="1"/>
  <c r="K45" i="23"/>
  <c r="E27" i="23"/>
  <c r="E52" i="23" s="1"/>
  <c r="Q30" i="1"/>
  <c r="R8" i="4" s="1"/>
  <c r="B29" i="1"/>
  <c r="B7" i="4" s="1"/>
  <c r="P35" i="1"/>
  <c r="Q13" i="4" s="1"/>
  <c r="P31" i="1"/>
  <c r="Q9" i="4" s="1"/>
  <c r="H22" i="23"/>
  <c r="N47" i="23"/>
  <c r="N48" i="23" s="1"/>
  <c r="N54" i="23" s="1"/>
  <c r="P37" i="1"/>
  <c r="F22" i="23"/>
  <c r="O36" i="1"/>
  <c r="H45" i="23"/>
  <c r="Q47" i="23"/>
  <c r="Q48" i="23" s="1"/>
  <c r="Q54" i="23" s="1"/>
  <c r="R31" i="1"/>
  <c r="S9" i="4" s="1"/>
  <c r="N46" i="23"/>
  <c r="N53" i="23" s="1"/>
  <c r="U27" i="4"/>
  <c r="H46" i="23"/>
  <c r="H53" i="23" s="1"/>
  <c r="J57" i="1"/>
  <c r="E57" i="23"/>
  <c r="M57" i="1"/>
  <c r="V57" i="1"/>
  <c r="N57" i="23"/>
  <c r="U57" i="23"/>
  <c r="Q57" i="23"/>
  <c r="J57" i="23"/>
  <c r="H57" i="23"/>
  <c r="L57" i="1"/>
  <c r="U57" i="1"/>
  <c r="M57" i="23"/>
  <c r="T57" i="23"/>
  <c r="P57" i="23"/>
  <c r="C57" i="23"/>
  <c r="F57" i="23"/>
  <c r="I57" i="23"/>
  <c r="K57" i="1"/>
  <c r="T57" i="1"/>
  <c r="L57" i="23"/>
  <c r="S57" i="23"/>
  <c r="D57" i="23"/>
  <c r="G57" i="23"/>
  <c r="N57" i="1"/>
  <c r="S57" i="1"/>
  <c r="K57" i="23"/>
  <c r="V57" i="23"/>
  <c r="R57" i="23"/>
  <c r="J21" i="4"/>
  <c r="E37" i="4"/>
  <c r="M21" i="4"/>
  <c r="R28" i="1"/>
  <c r="R30" i="1"/>
  <c r="S8" i="4" s="1"/>
  <c r="L21" i="4"/>
  <c r="V21" i="4"/>
  <c r="R29" i="1"/>
  <c r="S7" i="4" s="1"/>
  <c r="D21" i="4"/>
  <c r="C37" i="4"/>
  <c r="I37" i="4"/>
  <c r="K21" i="4"/>
  <c r="P36" i="1"/>
  <c r="Q14" i="4" s="1"/>
  <c r="R32" i="1"/>
  <c r="C21" i="4"/>
  <c r="B37" i="4"/>
  <c r="D37" i="4"/>
  <c r="G37" i="4"/>
  <c r="N21" i="4"/>
  <c r="O34" i="1"/>
  <c r="P12" i="4" s="1"/>
  <c r="O35" i="1"/>
  <c r="P13" i="4" s="1"/>
  <c r="O33" i="1"/>
  <c r="P11" i="4" s="1"/>
  <c r="O30" i="1"/>
  <c r="P8" i="4" s="1"/>
  <c r="B31" i="1"/>
  <c r="B9" i="4" s="1"/>
  <c r="O31" i="1"/>
  <c r="P9" i="4" s="1"/>
  <c r="B32" i="1"/>
  <c r="D28" i="1"/>
  <c r="C32" i="1"/>
  <c r="B28" i="1"/>
  <c r="N47" i="1"/>
  <c r="N48" i="1" s="1"/>
  <c r="N54" i="1" s="1"/>
  <c r="D32" i="1"/>
  <c r="B30" i="1"/>
  <c r="B8" i="4" s="1"/>
  <c r="C28" i="1"/>
  <c r="D31" i="1"/>
  <c r="D9" i="4" s="1"/>
  <c r="N46" i="1"/>
  <c r="N53" i="1" s="1"/>
  <c r="O28" i="1"/>
  <c r="C30" i="1"/>
  <c r="C8" i="4" s="1"/>
  <c r="C31" i="1"/>
  <c r="C9" i="4" s="1"/>
  <c r="D29" i="1"/>
  <c r="D7" i="4" s="1"/>
  <c r="D30" i="1"/>
  <c r="G21" i="4"/>
  <c r="I21" i="4"/>
  <c r="F21" i="4"/>
  <c r="H21" i="4"/>
  <c r="E21" i="4"/>
  <c r="L52" i="23"/>
  <c r="D17" i="4"/>
  <c r="C4" i="4"/>
  <c r="F47" i="23"/>
  <c r="F48" i="23" s="1"/>
  <c r="F54" i="23" s="1"/>
  <c r="F46" i="23"/>
  <c r="F53" i="23" s="1"/>
  <c r="C46" i="23"/>
  <c r="C53" i="23" s="1"/>
  <c r="G27" i="23"/>
  <c r="G52" i="23" s="1"/>
  <c r="K27" i="23"/>
  <c r="L22" i="1"/>
  <c r="D27" i="1"/>
  <c r="D52" i="1" s="1"/>
  <c r="D45" i="1"/>
  <c r="D22" i="23"/>
  <c r="D45" i="23"/>
  <c r="D27" i="23"/>
  <c r="D52" i="23" s="1"/>
  <c r="S46" i="23"/>
  <c r="S53" i="23" s="1"/>
  <c r="F45" i="23"/>
  <c r="E22" i="23"/>
  <c r="G22" i="23"/>
  <c r="K22" i="23"/>
  <c r="L45" i="23"/>
  <c r="O22" i="23"/>
  <c r="Q22" i="23"/>
  <c r="B22" i="23"/>
  <c r="C22" i="23"/>
  <c r="L22" i="23"/>
  <c r="Q27" i="23"/>
  <c r="Q52" i="23" s="1"/>
  <c r="O27" i="23"/>
  <c r="O52" i="23" s="1"/>
  <c r="E45" i="1"/>
  <c r="B27" i="1"/>
  <c r="B52" i="1" s="1"/>
  <c r="K27" i="1"/>
  <c r="K52" i="1" s="1"/>
  <c r="F4" i="4"/>
  <c r="N4" i="4"/>
  <c r="G22" i="1"/>
  <c r="N27" i="1"/>
  <c r="N52" i="1" s="1"/>
  <c r="F45" i="1"/>
  <c r="C22" i="1"/>
  <c r="B22" i="1"/>
  <c r="G45" i="1"/>
  <c r="E27" i="1"/>
  <c r="E52" i="1" s="1"/>
  <c r="E22" i="1"/>
  <c r="I22" i="1"/>
  <c r="I27" i="1"/>
  <c r="P27" i="1"/>
  <c r="P52" i="1" s="1"/>
  <c r="H4" i="4"/>
  <c r="F22" i="1"/>
  <c r="I4" i="4"/>
  <c r="N22" i="1"/>
  <c r="G4" i="4"/>
  <c r="C27" i="1"/>
  <c r="C52" i="1" s="1"/>
  <c r="B45" i="1"/>
  <c r="K74" i="4"/>
  <c r="K22" i="1"/>
  <c r="H22" i="1"/>
  <c r="P4" i="4"/>
  <c r="H45" i="1"/>
  <c r="O45" i="1"/>
  <c r="Q4" i="4"/>
  <c r="K45" i="1"/>
  <c r="P45" i="1"/>
  <c r="O27" i="1"/>
  <c r="O52" i="1" s="1"/>
  <c r="I52" i="1"/>
  <c r="K55" i="4"/>
  <c r="B55" i="4"/>
  <c r="L55" i="4"/>
  <c r="E74" i="4"/>
  <c r="B74" i="4"/>
  <c r="Q56" i="1"/>
  <c r="C56" i="1"/>
  <c r="P56" i="1"/>
  <c r="E56" i="1"/>
  <c r="D56" i="1"/>
  <c r="G56" i="1"/>
  <c r="B56" i="1"/>
  <c r="I56" i="1"/>
  <c r="H56" i="1"/>
  <c r="B56" i="23"/>
  <c r="F56" i="1"/>
  <c r="O56" i="1"/>
  <c r="R56" i="1"/>
  <c r="O56" i="23"/>
  <c r="P47" i="23" l="1"/>
  <c r="P48" i="23" s="1"/>
  <c r="P54" i="23" s="1"/>
  <c r="V46" i="23"/>
  <c r="V53" i="23" s="1"/>
  <c r="I46" i="23"/>
  <c r="I53" i="23" s="1"/>
  <c r="J47" i="23"/>
  <c r="J48" i="23" s="1"/>
  <c r="J54" i="23" s="1"/>
  <c r="J46" i="23"/>
  <c r="J53" i="23" s="1"/>
  <c r="Q46" i="23"/>
  <c r="Q53" i="23" s="1"/>
  <c r="G47" i="23"/>
  <c r="G48" i="23" s="1"/>
  <c r="G54" i="23" s="1"/>
  <c r="E47" i="23"/>
  <c r="E48" i="23" s="1"/>
  <c r="E54" i="23" s="1"/>
  <c r="T46" i="23"/>
  <c r="T53" i="23" s="1"/>
  <c r="I47" i="23"/>
  <c r="I48" i="23" s="1"/>
  <c r="I54" i="23" s="1"/>
  <c r="C47" i="23"/>
  <c r="C48" i="23" s="1"/>
  <c r="C54" i="23" s="1"/>
  <c r="T47" i="23"/>
  <c r="T48" i="23" s="1"/>
  <c r="T54" i="23" s="1"/>
  <c r="H47" i="23"/>
  <c r="H48" i="23" s="1"/>
  <c r="H54" i="23" s="1"/>
  <c r="D47" i="23"/>
  <c r="D48" i="23" s="1"/>
  <c r="D54" i="23" s="1"/>
  <c r="P46" i="23"/>
  <c r="P53" i="23" s="1"/>
  <c r="D46" i="23"/>
  <c r="D53" i="23" s="1"/>
  <c r="G46" i="23"/>
  <c r="G53" i="23" s="1"/>
  <c r="R47" i="23"/>
  <c r="R48" i="23" s="1"/>
  <c r="R54" i="23" s="1"/>
  <c r="R46" i="23"/>
  <c r="R53" i="23" s="1"/>
  <c r="I22" i="4"/>
  <c r="E46" i="23"/>
  <c r="E53" i="23" s="1"/>
  <c r="U47" i="23"/>
  <c r="U48" i="23" s="1"/>
  <c r="U54" i="23" s="1"/>
  <c r="W22" i="4"/>
  <c r="U46" i="23"/>
  <c r="U53" i="23" s="1"/>
  <c r="L46" i="23"/>
  <c r="L53" i="23" s="1"/>
  <c r="V47" i="23"/>
  <c r="V48" i="23" s="1"/>
  <c r="V54" i="23" s="1"/>
  <c r="L47" i="23"/>
  <c r="L48" i="23" s="1"/>
  <c r="L54" i="23" s="1"/>
  <c r="S47" i="23"/>
  <c r="S48" i="23" s="1"/>
  <c r="S54" i="23" s="1"/>
  <c r="K46" i="23"/>
  <c r="K53" i="23" s="1"/>
  <c r="K47" i="23"/>
  <c r="K48" i="23" s="1"/>
  <c r="K54" i="23" s="1"/>
  <c r="M47" i="23"/>
  <c r="M48" i="23" s="1"/>
  <c r="M54" i="23" s="1"/>
  <c r="M46" i="23"/>
  <c r="M53" i="23" s="1"/>
  <c r="U46" i="1"/>
  <c r="U53" i="1" s="1"/>
  <c r="K46" i="1"/>
  <c r="K53" i="1" s="1"/>
  <c r="K47" i="1"/>
  <c r="K48" i="1" s="1"/>
  <c r="K54" i="1" s="1"/>
  <c r="V47" i="1"/>
  <c r="V48" i="1" s="1"/>
  <c r="V54" i="1" s="1"/>
  <c r="U47" i="1"/>
  <c r="U48" i="1" s="1"/>
  <c r="U54" i="1" s="1"/>
  <c r="L47" i="1"/>
  <c r="L48" i="1" s="1"/>
  <c r="L54" i="1" s="1"/>
  <c r="L46" i="1"/>
  <c r="L53" i="1" s="1"/>
  <c r="V46" i="1"/>
  <c r="V53" i="1" s="1"/>
  <c r="T47" i="1"/>
  <c r="T48" i="1" s="1"/>
  <c r="T54" i="1" s="1"/>
  <c r="T46" i="1"/>
  <c r="T53" i="1" s="1"/>
  <c r="M46" i="1"/>
  <c r="M53" i="1" s="1"/>
  <c r="M47" i="1"/>
  <c r="M48" i="1" s="1"/>
  <c r="M54" i="1" s="1"/>
  <c r="J46" i="1"/>
  <c r="J53" i="1" s="1"/>
  <c r="S47" i="1"/>
  <c r="S48" i="1" s="1"/>
  <c r="S54" i="1" s="1"/>
  <c r="J47" i="1"/>
  <c r="J48" i="1" s="1"/>
  <c r="J54" i="1" s="1"/>
  <c r="M63" i="4"/>
  <c r="M64" i="4" s="1"/>
  <c r="S46" i="1"/>
  <c r="S53" i="1" s="1"/>
  <c r="T63" i="4"/>
  <c r="T64" i="4" s="1"/>
  <c r="F46" i="1"/>
  <c r="F53" i="1" s="1"/>
  <c r="B22" i="4"/>
  <c r="D6" i="4"/>
  <c r="S6" i="4"/>
  <c r="I6" i="4"/>
  <c r="Q7" i="4"/>
  <c r="E6" i="4"/>
  <c r="P6" i="4"/>
  <c r="B6" i="4"/>
  <c r="C6" i="4"/>
  <c r="H6" i="4"/>
  <c r="F6" i="4"/>
  <c r="P47" i="1"/>
  <c r="P48" i="1" s="1"/>
  <c r="P54" i="1" s="1"/>
  <c r="L63" i="4"/>
  <c r="L64" i="4" s="1"/>
  <c r="G6" i="4"/>
  <c r="R7" i="4"/>
  <c r="K63" i="4"/>
  <c r="K64" i="4" s="1"/>
  <c r="V63" i="4"/>
  <c r="V64" i="4" s="1"/>
  <c r="J63" i="4"/>
  <c r="J64" i="4" s="1"/>
  <c r="W63" i="4"/>
  <c r="W64" i="4" s="1"/>
  <c r="U63" i="4"/>
  <c r="U64" i="4" s="1"/>
  <c r="N63" i="4"/>
  <c r="N64" i="4" s="1"/>
  <c r="T27" i="33"/>
  <c r="T52" i="33" s="1"/>
  <c r="T45" i="33"/>
  <c r="I47" i="1"/>
  <c r="I48" i="1" s="1"/>
  <c r="I54" i="1" s="1"/>
  <c r="F47" i="1"/>
  <c r="F48" i="1" s="1"/>
  <c r="F54" i="1" s="1"/>
  <c r="G47" i="1"/>
  <c r="G48" i="1" s="1"/>
  <c r="G54" i="1" s="1"/>
  <c r="E47" i="1"/>
  <c r="E48" i="1" s="1"/>
  <c r="E54" i="1" s="1"/>
  <c r="Q46" i="1"/>
  <c r="Q53" i="1" s="1"/>
  <c r="E46" i="1"/>
  <c r="E53" i="1" s="1"/>
  <c r="Q47" i="1"/>
  <c r="Q48" i="1" s="1"/>
  <c r="Q54" i="1" s="1"/>
  <c r="I46" i="1"/>
  <c r="I53" i="1" s="1"/>
  <c r="R74" i="4"/>
  <c r="M57" i="4"/>
  <c r="M58" i="4" s="1"/>
  <c r="M76" i="4" s="1"/>
  <c r="U57" i="4"/>
  <c r="U58" i="4" s="1"/>
  <c r="U76" i="4" s="1"/>
  <c r="H57" i="1"/>
  <c r="G57" i="1"/>
  <c r="F57" i="1"/>
  <c r="I57" i="1"/>
  <c r="E57" i="1"/>
  <c r="H7" i="4"/>
  <c r="G46" i="1"/>
  <c r="G53" i="1" s="1"/>
  <c r="H46" i="1"/>
  <c r="H53" i="1" s="1"/>
  <c r="H47" i="1"/>
  <c r="H48" i="1" s="1"/>
  <c r="H54" i="1" s="1"/>
  <c r="G11" i="4"/>
  <c r="F9" i="4"/>
  <c r="I13" i="4"/>
  <c r="E12" i="4"/>
  <c r="I55" i="4"/>
  <c r="I62" i="4"/>
  <c r="N55" i="4"/>
  <c r="N62" i="4"/>
  <c r="W57" i="4"/>
  <c r="W58" i="4" s="1"/>
  <c r="W76" i="4" s="1"/>
  <c r="W56" i="4"/>
  <c r="W75" i="4" s="1"/>
  <c r="V57" i="4"/>
  <c r="V58" i="4" s="1"/>
  <c r="V76" i="4" s="1"/>
  <c r="L56" i="4"/>
  <c r="L75" i="4" s="1"/>
  <c r="T56" i="4"/>
  <c r="T75" i="4" s="1"/>
  <c r="K57" i="4"/>
  <c r="K58" i="4" s="1"/>
  <c r="K76" i="4" s="1"/>
  <c r="J56" i="4"/>
  <c r="J75" i="4" s="1"/>
  <c r="P55" i="4"/>
  <c r="P62" i="4"/>
  <c r="F55" i="4"/>
  <c r="F62" i="4"/>
  <c r="M55" i="4"/>
  <c r="M62" i="4"/>
  <c r="J55" i="4"/>
  <c r="J62" i="4"/>
  <c r="L57" i="4"/>
  <c r="L58" i="4" s="1"/>
  <c r="L76" i="4" s="1"/>
  <c r="N57" i="4"/>
  <c r="N58" i="4" s="1"/>
  <c r="N76" i="4" s="1"/>
  <c r="K56" i="4"/>
  <c r="K75" i="4" s="1"/>
  <c r="J57" i="4"/>
  <c r="J58" i="4" s="1"/>
  <c r="J76" i="4" s="1"/>
  <c r="Q55" i="4"/>
  <c r="Q62" i="4"/>
  <c r="G55" i="4"/>
  <c r="G62" i="4"/>
  <c r="H74" i="4"/>
  <c r="H62" i="4"/>
  <c r="U22" i="33"/>
  <c r="U45" i="33"/>
  <c r="U27" i="33"/>
  <c r="U52" i="33" s="1"/>
  <c r="R45" i="33"/>
  <c r="R27" i="33"/>
  <c r="R52" i="33" s="1"/>
  <c r="R22" i="33"/>
  <c r="V56" i="4"/>
  <c r="V75" i="4" s="1"/>
  <c r="M56" i="4"/>
  <c r="M75" i="4" s="1"/>
  <c r="N56" i="4"/>
  <c r="N75" i="4" s="1"/>
  <c r="U56" i="4"/>
  <c r="U75" i="4" s="1"/>
  <c r="C74" i="4"/>
  <c r="C62" i="4"/>
  <c r="D55" i="4"/>
  <c r="D62" i="4"/>
  <c r="S27" i="33"/>
  <c r="S52" i="33" s="1"/>
  <c r="S22" i="33"/>
  <c r="S45" i="33"/>
  <c r="V4" i="33"/>
  <c r="T57" i="4"/>
  <c r="T58" i="4" s="1"/>
  <c r="T76" i="4" s="1"/>
  <c r="R55" i="4"/>
  <c r="V4" i="1"/>
  <c r="V45" i="1" s="1"/>
  <c r="P32" i="4"/>
  <c r="R10" i="4"/>
  <c r="B32" i="4"/>
  <c r="H55" i="4"/>
  <c r="S10" i="4"/>
  <c r="P14" i="4"/>
  <c r="Q15" i="4"/>
  <c r="V4" i="23"/>
  <c r="V45" i="23" s="1"/>
  <c r="N52" i="23"/>
  <c r="K79" i="4"/>
  <c r="B10" i="4"/>
  <c r="L79" i="4"/>
  <c r="N79" i="4"/>
  <c r="W79" i="4"/>
  <c r="M79" i="4"/>
  <c r="J79" i="4"/>
  <c r="V79" i="4"/>
  <c r="U79" i="4"/>
  <c r="T79" i="4"/>
  <c r="P26" i="4"/>
  <c r="P46" i="1"/>
  <c r="P53" i="1" s="1"/>
  <c r="U4" i="1"/>
  <c r="U22" i="1" s="1"/>
  <c r="M74" i="4"/>
  <c r="M27" i="1"/>
  <c r="M52" i="1" s="1"/>
  <c r="M22" i="1"/>
  <c r="J52" i="1"/>
  <c r="J74" i="4"/>
  <c r="J27" i="1"/>
  <c r="J45" i="1"/>
  <c r="S4" i="1"/>
  <c r="S4" i="23"/>
  <c r="C55" i="4"/>
  <c r="U4" i="23"/>
  <c r="U22" i="23" s="1"/>
  <c r="N27" i="23"/>
  <c r="N45" i="23"/>
  <c r="J22" i="23"/>
  <c r="J52" i="23"/>
  <c r="J22" i="1"/>
  <c r="J27" i="23"/>
  <c r="R4" i="1"/>
  <c r="R22" i="1" s="1"/>
  <c r="R4" i="23"/>
  <c r="R22" i="23" s="1"/>
  <c r="M52" i="23"/>
  <c r="M22" i="23"/>
  <c r="M45" i="23"/>
  <c r="M45" i="1"/>
  <c r="B46" i="23"/>
  <c r="B53" i="23" s="1"/>
  <c r="B55" i="23" s="1"/>
  <c r="O46" i="23"/>
  <c r="O53" i="23" s="1"/>
  <c r="O55" i="23" s="1"/>
  <c r="O47" i="23"/>
  <c r="O48" i="23" s="1"/>
  <c r="O54" i="23" s="1"/>
  <c r="B47" i="23"/>
  <c r="B48" i="23" s="1"/>
  <c r="B54" i="23" s="1"/>
  <c r="B57" i="23"/>
  <c r="O57" i="23"/>
  <c r="B29" i="4"/>
  <c r="P22" i="4"/>
  <c r="R47" i="1"/>
  <c r="R48" i="1" s="1"/>
  <c r="R54" i="1" s="1"/>
  <c r="Q57" i="1"/>
  <c r="D74" i="4"/>
  <c r="R46" i="1"/>
  <c r="R53" i="1" s="1"/>
  <c r="N74" i="4"/>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O55" i="1" s="1"/>
  <c r="D47" i="1"/>
  <c r="D48" i="1" s="1"/>
  <c r="D54" i="1" s="1"/>
  <c r="D8" i="4"/>
  <c r="T4" i="1"/>
  <c r="T4" i="23"/>
  <c r="F74" i="4"/>
  <c r="I74" i="4"/>
  <c r="P74" i="4"/>
  <c r="Q74" i="4"/>
  <c r="F55" i="23" l="1"/>
  <c r="G55" i="1"/>
  <c r="I63" i="4"/>
  <c r="I64" i="4" s="1"/>
  <c r="H56" i="4"/>
  <c r="H75" i="4" s="1"/>
  <c r="C63" i="4"/>
  <c r="C64" i="4" s="1"/>
  <c r="I57" i="4"/>
  <c r="I58" i="4" s="1"/>
  <c r="I76" i="4" s="1"/>
  <c r="W4" i="4"/>
  <c r="W55" i="4" s="1"/>
  <c r="F63" i="4"/>
  <c r="F64" i="4" s="1"/>
  <c r="S63" i="4"/>
  <c r="S64" i="4" s="1"/>
  <c r="C55" i="23"/>
  <c r="N55" i="23"/>
  <c r="Q55" i="23"/>
  <c r="U55" i="23"/>
  <c r="T55" i="23"/>
  <c r="R55" i="23"/>
  <c r="S55" i="23"/>
  <c r="V55" i="23"/>
  <c r="P55" i="23"/>
  <c r="S55" i="1"/>
  <c r="U55" i="1"/>
  <c r="R55" i="1"/>
  <c r="T55" i="1"/>
  <c r="P55" i="1"/>
  <c r="Q55" i="1"/>
  <c r="V55" i="1"/>
  <c r="D63" i="4"/>
  <c r="D64" i="4" s="1"/>
  <c r="B63" i="4"/>
  <c r="B64" i="4" s="1"/>
  <c r="P63" i="4"/>
  <c r="P64" i="4" s="1"/>
  <c r="G56" i="4"/>
  <c r="G75" i="4" s="1"/>
  <c r="H57" i="4"/>
  <c r="H58" i="4" s="1"/>
  <c r="H76" i="4" s="1"/>
  <c r="H63" i="4"/>
  <c r="H64" i="4" s="1"/>
  <c r="Q63" i="4"/>
  <c r="Q64" i="4" s="1"/>
  <c r="G63" i="4"/>
  <c r="G64" i="4" s="1"/>
  <c r="E63" i="4"/>
  <c r="E64" i="4" s="1"/>
  <c r="R63" i="4"/>
  <c r="R64" i="4" s="1"/>
  <c r="V27" i="23"/>
  <c r="V52" i="23" s="1"/>
  <c r="I56" i="4"/>
  <c r="I75" i="4" s="1"/>
  <c r="U45" i="1"/>
  <c r="V22" i="1"/>
  <c r="V22" i="23"/>
  <c r="V27" i="1"/>
  <c r="V52" i="1" s="1"/>
  <c r="G57" i="4"/>
  <c r="G58" i="4" s="1"/>
  <c r="G76" i="4" s="1"/>
  <c r="F57" i="4"/>
  <c r="F58" i="4" s="1"/>
  <c r="F76" i="4" s="1"/>
  <c r="B56" i="4"/>
  <c r="E79" i="4"/>
  <c r="G79" i="4"/>
  <c r="I79" i="4"/>
  <c r="H79" i="4"/>
  <c r="F79" i="4"/>
  <c r="J80" i="4"/>
  <c r="E57" i="4"/>
  <c r="E58" i="4" s="1"/>
  <c r="E76" i="4" s="1"/>
  <c r="E56" i="4"/>
  <c r="E75" i="4" s="1"/>
  <c r="F56" i="4"/>
  <c r="F75" i="4" s="1"/>
  <c r="Q57" i="4"/>
  <c r="Q58" i="4" s="1"/>
  <c r="Q76" i="4" s="1"/>
  <c r="S56" i="4"/>
  <c r="S75" i="4" s="1"/>
  <c r="D56" i="4"/>
  <c r="D75" i="4" s="1"/>
  <c r="B57" i="4"/>
  <c r="B58" i="4" s="1"/>
  <c r="B76" i="4" s="1"/>
  <c r="V45" i="33"/>
  <c r="V27" i="33"/>
  <c r="V52" i="33" s="1"/>
  <c r="V22" i="33"/>
  <c r="D57" i="4"/>
  <c r="D58" i="4" s="1"/>
  <c r="D76" i="4" s="1"/>
  <c r="P57" i="4"/>
  <c r="P58" i="4" s="1"/>
  <c r="P76" i="4" s="1"/>
  <c r="C57" i="4"/>
  <c r="C58" i="4" s="1"/>
  <c r="C76" i="4" s="1"/>
  <c r="R56" i="4"/>
  <c r="R75" i="4" s="1"/>
  <c r="P56" i="4"/>
  <c r="P75" i="4" s="1"/>
  <c r="C56" i="4"/>
  <c r="C75" i="4" s="1"/>
  <c r="Q56" i="4"/>
  <c r="S57" i="4"/>
  <c r="S58" i="4" s="1"/>
  <c r="S76" i="4" s="1"/>
  <c r="R57" i="4"/>
  <c r="R58" i="4" s="1"/>
  <c r="R76" i="4" s="1"/>
  <c r="R79" i="4"/>
  <c r="Q79" i="4"/>
  <c r="S79" i="4"/>
  <c r="S80" i="4" s="1"/>
  <c r="V4" i="4"/>
  <c r="U27" i="1"/>
  <c r="U52" i="1" s="1"/>
  <c r="C79" i="4"/>
  <c r="D79" i="4"/>
  <c r="L55" i="23"/>
  <c r="D55" i="23"/>
  <c r="H55" i="23"/>
  <c r="K55" i="23"/>
  <c r="J55" i="23"/>
  <c r="M55" i="23"/>
  <c r="G55" i="23"/>
  <c r="E55" i="23"/>
  <c r="I55" i="23"/>
  <c r="R59" i="23"/>
  <c r="R60" i="23" s="1"/>
  <c r="P79" i="4"/>
  <c r="B79" i="4"/>
  <c r="B64" i="23"/>
  <c r="L59" i="23"/>
  <c r="L60" i="23" s="1"/>
  <c r="F59" i="23"/>
  <c r="F60" i="23" s="1"/>
  <c r="Q59" i="23"/>
  <c r="Q60" i="23" s="1"/>
  <c r="V59" i="23"/>
  <c r="V60" i="23" s="1"/>
  <c r="P59" i="23"/>
  <c r="P60" i="23" s="1"/>
  <c r="T59" i="23"/>
  <c r="T60" i="23" s="1"/>
  <c r="U59" i="23"/>
  <c r="U60" i="23" s="1"/>
  <c r="S59" i="23"/>
  <c r="S60" i="23" s="1"/>
  <c r="B65" i="23"/>
  <c r="R45" i="23"/>
  <c r="T4" i="4"/>
  <c r="T62" i="4" s="1"/>
  <c r="S45" i="1"/>
  <c r="S27" i="1"/>
  <c r="S52" i="1" s="1"/>
  <c r="S22" i="1"/>
  <c r="U27" i="23"/>
  <c r="U52" i="23" s="1"/>
  <c r="U45" i="23"/>
  <c r="S45" i="23"/>
  <c r="S27" i="23"/>
  <c r="S52" i="23" s="1"/>
  <c r="S22" i="23"/>
  <c r="R45" i="1"/>
  <c r="S4" i="4"/>
  <c r="S62" i="4" s="1"/>
  <c r="R27" i="1"/>
  <c r="R52" i="1" s="1"/>
  <c r="R27" i="23"/>
  <c r="R52" i="23" s="1"/>
  <c r="C59" i="23"/>
  <c r="C60" i="23" s="1"/>
  <c r="N59" i="23"/>
  <c r="N60" i="23" s="1"/>
  <c r="E59" i="23"/>
  <c r="E60" i="23" s="1"/>
  <c r="J59" i="23"/>
  <c r="J60" i="23" s="1"/>
  <c r="K59" i="23"/>
  <c r="K60" i="23" s="1"/>
  <c r="D59" i="23"/>
  <c r="D60" i="23" s="1"/>
  <c r="I59" i="23"/>
  <c r="I60" i="23" s="1"/>
  <c r="O59" i="23"/>
  <c r="O60" i="23" s="1"/>
  <c r="G59" i="23"/>
  <c r="G60" i="23" s="1"/>
  <c r="H59" i="23"/>
  <c r="H60" i="23" s="1"/>
  <c r="M59" i="23"/>
  <c r="M60" i="23" s="1"/>
  <c r="C55" i="1"/>
  <c r="H55" i="1"/>
  <c r="F55" i="1"/>
  <c r="N55" i="1"/>
  <c r="I55" i="1"/>
  <c r="L55" i="1"/>
  <c r="J55" i="1"/>
  <c r="D55" i="1"/>
  <c r="K55" i="1"/>
  <c r="E55" i="1"/>
  <c r="O59" i="1"/>
  <c r="O60" i="1" s="1"/>
  <c r="N59" i="1"/>
  <c r="N60" i="1" s="1"/>
  <c r="J59" i="1"/>
  <c r="J60" i="1" s="1"/>
  <c r="F59" i="1"/>
  <c r="F60" i="1" s="1"/>
  <c r="M59" i="1"/>
  <c r="M60" i="1" s="1"/>
  <c r="I59" i="1"/>
  <c r="I60" i="1" s="1"/>
  <c r="E59" i="1"/>
  <c r="E60" i="1" s="1"/>
  <c r="L59" i="1"/>
  <c r="L60" i="1" s="1"/>
  <c r="H59" i="1"/>
  <c r="H60" i="1" s="1"/>
  <c r="D59" i="1"/>
  <c r="D60" i="1" s="1"/>
  <c r="K59" i="1"/>
  <c r="K60" i="1" s="1"/>
  <c r="C59" i="1"/>
  <c r="C60" i="1" s="1"/>
  <c r="G59" i="1"/>
  <c r="G60" i="1" s="1"/>
  <c r="M55" i="1"/>
  <c r="T59" i="1"/>
  <c r="T60" i="1" s="1"/>
  <c r="P59" i="1"/>
  <c r="P60" i="1" s="1"/>
  <c r="S59" i="1"/>
  <c r="S60" i="1" s="1"/>
  <c r="V59" i="1"/>
  <c r="V60" i="1" s="1"/>
  <c r="R59" i="1"/>
  <c r="R60" i="1" s="1"/>
  <c r="U59" i="1"/>
  <c r="U60" i="1" s="1"/>
  <c r="Q59" i="1"/>
  <c r="Q60" i="1" s="1"/>
  <c r="B65" i="1"/>
  <c r="B64" i="1"/>
  <c r="B55" i="1"/>
  <c r="T27" i="23"/>
  <c r="T52" i="23" s="1"/>
  <c r="T45" i="23"/>
  <c r="T22" i="23"/>
  <c r="T27" i="1"/>
  <c r="T52" i="1" s="1"/>
  <c r="T45" i="1"/>
  <c r="U4" i="4"/>
  <c r="U62" i="4" s="1"/>
  <c r="T22" i="1"/>
  <c r="W74" i="4" l="1"/>
  <c r="U77" i="4"/>
  <c r="W62" i="4"/>
  <c r="B80" i="4"/>
  <c r="Q75" i="4"/>
  <c r="P81" i="4"/>
  <c r="V74" i="4"/>
  <c r="V62" i="4"/>
  <c r="R61" i="23"/>
  <c r="V55" i="4"/>
  <c r="W77" i="4"/>
  <c r="V77" i="4"/>
  <c r="P77" i="4"/>
  <c r="T77" i="4"/>
  <c r="R77" i="4"/>
  <c r="S77" i="4"/>
  <c r="Q81" i="4"/>
  <c r="Q82" i="4" s="1"/>
  <c r="R81" i="4"/>
  <c r="B86" i="4"/>
  <c r="B87" i="4"/>
  <c r="B75" i="4"/>
  <c r="F94" i="4" s="1"/>
  <c r="N81" i="4"/>
  <c r="N82" i="4" s="1"/>
  <c r="M61" i="23"/>
  <c r="I61" i="23"/>
  <c r="E61" i="23"/>
  <c r="D61" i="23"/>
  <c r="C61" i="23"/>
  <c r="Q61" i="23"/>
  <c r="U61" i="23"/>
  <c r="P61" i="23"/>
  <c r="F61" i="23"/>
  <c r="H61" i="23"/>
  <c r="K61" i="23"/>
  <c r="N61" i="23"/>
  <c r="G61" i="23"/>
  <c r="J61" i="23"/>
  <c r="S61" i="23"/>
  <c r="T61" i="23"/>
  <c r="V61" i="23"/>
  <c r="L61" i="23"/>
  <c r="D61" i="1"/>
  <c r="U61" i="1"/>
  <c r="S61" i="1"/>
  <c r="G61" i="1"/>
  <c r="M61" i="1"/>
  <c r="L61" i="1"/>
  <c r="T61" i="1"/>
  <c r="E61" i="1"/>
  <c r="F61" i="1"/>
  <c r="K61" i="1"/>
  <c r="I61" i="1"/>
  <c r="J61" i="1"/>
  <c r="V61" i="1"/>
  <c r="H61" i="1"/>
  <c r="N61" i="1"/>
  <c r="T55" i="4"/>
  <c r="T74" i="4"/>
  <c r="S55" i="4"/>
  <c r="S74" i="4"/>
  <c r="O61" i="1"/>
  <c r="Q61" i="1"/>
  <c r="P61" i="1"/>
  <c r="C61" i="1"/>
  <c r="R61" i="1"/>
  <c r="U55" i="4"/>
  <c r="U74" i="4"/>
  <c r="E94" i="4" l="1"/>
  <c r="B94" i="4"/>
  <c r="O94" i="4"/>
  <c r="J94" i="4"/>
  <c r="M94" i="4"/>
  <c r="L94" i="4"/>
  <c r="V94" i="4"/>
  <c r="U94" i="4"/>
  <c r="T94" i="4"/>
  <c r="N94" i="4"/>
  <c r="K94" i="4"/>
  <c r="Q77" i="4"/>
  <c r="Q94" i="4"/>
  <c r="I94" i="4"/>
  <c r="P94" i="4"/>
  <c r="S94" i="4"/>
  <c r="D94" i="4"/>
  <c r="G94" i="4"/>
  <c r="R94" i="4"/>
  <c r="H94" i="4"/>
  <c r="C94" i="4"/>
  <c r="J81" i="4"/>
  <c r="K81" i="4"/>
  <c r="L81" i="4"/>
  <c r="M81" i="4"/>
  <c r="I81" i="4"/>
  <c r="F81" i="4"/>
  <c r="F83" i="4" s="1"/>
  <c r="G81" i="4"/>
  <c r="H81" i="4"/>
  <c r="D81" i="4"/>
  <c r="D83" i="4" s="1"/>
  <c r="E81" i="4"/>
  <c r="C81" i="4"/>
  <c r="K77" i="4"/>
  <c r="J77" i="4"/>
  <c r="G77" i="4"/>
  <c r="N77" i="4"/>
  <c r="F77" i="4"/>
  <c r="L77" i="4"/>
  <c r="B77" i="4"/>
  <c r="M77" i="4"/>
  <c r="I77" i="4"/>
  <c r="H77" i="4"/>
  <c r="D77" i="4"/>
  <c r="C77" i="4"/>
  <c r="E77" i="4"/>
  <c r="L83" i="4"/>
  <c r="W83" i="4"/>
  <c r="U83" i="4"/>
  <c r="M83" i="4"/>
  <c r="Q83" i="4"/>
  <c r="V83" i="4"/>
  <c r="N83" i="4"/>
  <c r="R83" i="4"/>
  <c r="K83" i="4"/>
  <c r="J83" i="4"/>
  <c r="S83" i="4"/>
  <c r="T83" i="4"/>
  <c r="P83" i="4"/>
  <c r="O61" i="23"/>
  <c r="G83" i="4" l="1"/>
  <c r="I83" i="4"/>
  <c r="E83" i="4"/>
  <c r="C83" i="4"/>
  <c r="H8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<sst xmlns="http://schemas.openxmlformats.org/spreadsheetml/2006/main" count="228" uniqueCount="77">
  <si>
    <t>mean</t>
  </si>
  <si>
    <t>SD</t>
  </si>
  <si>
    <t>SEM</t>
  </si>
  <si>
    <t>avec testo</t>
  </si>
  <si>
    <t>Rep1</t>
  </si>
  <si>
    <t>Rep2</t>
  </si>
  <si>
    <t>Non dopé</t>
  </si>
  <si>
    <t>N°BDC :</t>
  </si>
  <si>
    <t>R1</t>
  </si>
  <si>
    <t>R2</t>
  </si>
  <si>
    <t>Concentration</t>
  </si>
  <si>
    <t xml:space="preserve">Testo </t>
  </si>
  <si>
    <t>R3</t>
  </si>
  <si>
    <t>LOD</t>
  </si>
  <si>
    <t>LOQ</t>
  </si>
  <si>
    <t>Mean</t>
  </si>
  <si>
    <t>Données brutes</t>
  </si>
  <si>
    <t>Données normalisées sur la moyenne du groupe "Testo"</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</si>
  <si>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</si>
  <si>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</si>
  <si>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</si>
  <si>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</si>
  <si>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</si>
  <si>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</si>
  <si>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</si>
  <si>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</si>
  <si>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</si>
  <si>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</si>
  <si>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</si>
  <si>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</si>
  <si>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</si>
  <si>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</si>
  <si>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</si>
  <si>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</si>
  <si>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</si>
  <si>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</si>
  <si>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</si>
  <si>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</si>
  <si>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</si>
  <si>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Ratio à atteindre</t>
  </si>
  <si>
    <t>Evian/Testo + EE2 64 ng/L &gt;=</t>
  </si>
  <si>
    <t>Evian/ Testo + FAD &lt;=</t>
  </si>
  <si>
    <t>% induction</t>
  </si>
  <si>
    <t>Test de normalité : valeur du p</t>
  </si>
  <si>
    <t>Test statistique utilisé</t>
  </si>
  <si>
    <t>Test statistique : valeur du p</t>
  </si>
  <si>
    <t>Annotation</t>
  </si>
  <si>
    <t>Test de normalité : résultat normal?</t>
  </si>
  <si>
    <t>Rep3</t>
  </si>
  <si>
    <t>Tous les groupes du gamme sont normale?</t>
  </si>
  <si>
    <t>Témoin</t>
  </si>
  <si>
    <t>ng/L</t>
  </si>
  <si>
    <t>EE2</t>
  </si>
  <si>
    <t>µg/L</t>
  </si>
  <si>
    <t xml:space="preserve">Testo 30µg/L + EE2 </t>
  </si>
  <si>
    <t>mg/L</t>
  </si>
  <si>
    <t>Testo 30µg/L + FAD</t>
  </si>
  <si>
    <t>Experiment number :</t>
  </si>
  <si>
    <t>Do not fill in</t>
  </si>
  <si>
    <t>Do not fill in2</t>
  </si>
  <si>
    <t>Units</t>
  </si>
  <si>
    <t>Chemical name</t>
  </si>
  <si>
    <t>Do not fill in3</t>
  </si>
  <si>
    <t>test chemical</t>
  </si>
  <si>
    <t>Solvent control</t>
  </si>
  <si>
    <t>33.8</t>
  </si>
  <si>
    <t>50.6</t>
  </si>
  <si>
    <t>170.9</t>
  </si>
  <si>
    <t>Date performed :20210602</t>
    <phoneticPr fontId="12"/>
  </si>
  <si>
    <t>Date performed :20210603</t>
    <phoneticPr fontId="12"/>
  </si>
  <si>
    <t>6. Expérimentateur 2 : copier et coller les valeurs des intensités totales de fluorescences obtenues dans le fichier raw data lors du traitement des images. Ne pas supprimer les colonnes correspondant aux concentrations non lues.
画像処理時に取得した蛍光強度全体の値をコピーして、生データファイルに貼り付けます。未読濃度に対応する列は削除しないでください。</t>
    <phoneticPr fontId="12"/>
  </si>
  <si>
    <t>Données brutes
ローデータ</t>
    <phoneticPr fontId="12"/>
  </si>
  <si>
    <t>Données normalisées sur la moyenne du groupe "Testo"
「Testo」群の平均に関する標準化データ</t>
    <phoneticPr fontId="12"/>
  </si>
  <si>
    <t>Date performed :20210609</t>
    <phoneticPr fontId="12"/>
  </si>
  <si>
    <t>mg/L</t>
    <phoneticPr fontId="12"/>
  </si>
  <si>
    <t>Dutasteride</t>
    <phoneticPr fontId="12"/>
  </si>
  <si>
    <t>Kruskal-Wallis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</si>
</sst>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4">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b/>
      <sz val="11"/>
      <color rgb="FFFF0000"/>
      <name val="Calibri"/>
      <family val="2"/>
      <scheme val="minor"/>
    </font>
    <font>
      <sz val="6"/>
      <name val="Calibri"/>
      <family val="3"/>
      <charset val="128"/>
      <scheme val="minor"/>
    </font>
    <font>
      <sz val="9"/>
      <name val="Arial"/>
      <family val="2"/>
    </font>
  </fonts>
  <fills count="1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rgb="FFFFC0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s>
  <cellStyleXfs count="7">
    <xf numFmtId="0" fontId="0" fillId="0" borderId="0"/>
    <xf numFmtId="0" fontId="4" fillId="0" borderId="0"/>
    <xf numFmtId="0" fontId="8" fillId="0" borderId="0"/>
    <xf numFmtId="0" fontId="4" fillId="0" borderId="0"/>
    <xf numFmtId="0" fontId="8" fillId="0" borderId="0"/>
    <xf numFmtId="0" fontId="4" fillId="0" borderId="0"/>
    <xf numFmtId="0" fontId="8" fillId="0" borderId="0"/>
  </cellStyleXfs>
  <cellXfs count="155">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0" fillId="0" borderId="1" xfId="0" applyBorder="1" applyAlignment="1">
      <alignment horizontal="center"/>
    </xf>
    <xf numFmtId="0" fontId="0" fillId="0" borderId="0" xfId="0" applyBorder="1"/>
    <xf numFmtId="0" fontId="0" fillId="8" borderId="1" xfId="0" applyFill="1" applyBorder="1" applyAlignment="1">
      <alignment horizontal="center"/>
    </xf>
    <xf numFmtId="0" fontId="0" fillId="8" borderId="12" xfId="0" applyFill="1" applyBorder="1" applyAlignment="1">
      <alignment horizontal="center"/>
    </xf>
    <xf numFmtId="0" fontId="0" fillId="10"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0" fillId="0" borderId="0" xfId="0" applyNumberFormat="1"/>
    <xf numFmtId="0" fontId="0" fillId="6" borderId="8" xfId="0" applyFill="1" applyBorder="1" applyAlignment="1">
      <alignment horizontal="center"/>
    </xf>
    <xf numFmtId="0" fontId="0" fillId="6" borderId="9" xfId="0" applyFill="1" applyBorder="1" applyAlignment="1">
      <alignment horizontal="center"/>
    </xf>
    <xf numFmtId="0" fontId="0" fillId="0" borderId="0" xfId="0" applyAlignment="1">
      <alignment vertical="center"/>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xf numFmtId="0" fontId="1" fillId="0" borderId="0" xfId="0" applyFont="1" applyAlignment="1">
      <alignment horizontal="center"/>
    </xf>
    <xf numFmtId="0" fontId="3" fillId="13"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6" borderId="10" xfId="0" applyNumberFormat="1" applyFill="1" applyBorder="1" applyAlignment="1">
      <alignment horizontal="center"/>
    </xf>
    <xf numFmtId="164" fontId="0" fillId="6" borderId="18" xfId="0" applyNumberFormat="1" applyFill="1" applyBorder="1" applyAlignment="1">
      <alignment horizontal="center"/>
    </xf>
    <xf numFmtId="0" fontId="3" fillId="7"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9" borderId="0" xfId="0" applyFont="1" applyFill="1" applyBorder="1" applyAlignment="1">
      <alignment vertical="center"/>
    </xf>
    <xf numFmtId="0" fontId="3" fillId="0" borderId="4" xfId="0" applyFont="1" applyBorder="1" applyAlignment="1">
      <alignment vertical="center"/>
    </xf>
    <xf numFmtId="0" fontId="3" fillId="13" borderId="3" xfId="0" applyFont="1" applyFill="1" applyBorder="1" applyAlignment="1">
      <alignment vertical="center"/>
    </xf>
    <xf numFmtId="2" fontId="3" fillId="7" borderId="2" xfId="0" applyNumberFormat="1" applyFont="1" applyFill="1" applyBorder="1" applyAlignment="1">
      <alignment horizontal="center" vertical="center" wrapText="1"/>
    </xf>
    <xf numFmtId="2" fontId="3" fillId="7"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3" borderId="13" xfId="0" applyFont="1" applyFill="1" applyBorder="1" applyAlignment="1">
      <alignment vertical="center"/>
    </xf>
    <xf numFmtId="0" fontId="3" fillId="13" borderId="15" xfId="0" applyFont="1" applyFill="1" applyBorder="1" applyAlignment="1">
      <alignment vertical="center"/>
    </xf>
    <xf numFmtId="0" fontId="3" fillId="13" borderId="4" xfId="0" applyFont="1" applyFill="1" applyBorder="1" applyAlignment="1">
      <alignment vertical="center"/>
    </xf>
    <xf numFmtId="0" fontId="3" fillId="0" borderId="1" xfId="0" applyNumberFormat="1" applyFont="1" applyBorder="1" applyAlignment="1">
      <alignment horizontal="center" vertical="center"/>
    </xf>
    <xf numFmtId="0" fontId="3" fillId="13" borderId="9" xfId="0" applyNumberFormat="1" applyFont="1" applyFill="1" applyBorder="1" applyAlignment="1">
      <alignment horizontal="center" vertical="center"/>
    </xf>
    <xf numFmtId="0" fontId="3" fillId="13" borderId="1" xfId="0" applyNumberFormat="1" applyFont="1" applyFill="1" applyBorder="1" applyAlignment="1">
      <alignment horizontal="center" vertical="center"/>
    </xf>
    <xf numFmtId="0" fontId="3" fillId="7"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3" borderId="23" xfId="0" applyFont="1" applyFill="1" applyBorder="1" applyAlignment="1">
      <alignment vertical="center"/>
    </xf>
    <xf numFmtId="0" fontId="3" fillId="13"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3" borderId="26" xfId="0" applyNumberFormat="1" applyFont="1" applyFill="1" applyBorder="1" applyAlignment="1">
      <alignment horizontal="center" vertical="center"/>
    </xf>
    <xf numFmtId="0" fontId="3" fillId="13" borderId="3" xfId="0" applyNumberFormat="1" applyFont="1" applyFill="1" applyBorder="1" applyAlignment="1">
      <alignment horizontal="center" vertical="center"/>
    </xf>
    <xf numFmtId="164" fontId="0" fillId="6" borderId="1" xfId="0" applyNumberFormat="1" applyFill="1" applyBorder="1" applyAlignment="1">
      <alignment horizontal="center"/>
    </xf>
    <xf numFmtId="0" fontId="0" fillId="6" borderId="11" xfId="0" applyFill="1" applyBorder="1" applyAlignment="1">
      <alignment horizontal="center"/>
    </xf>
    <xf numFmtId="164" fontId="0" fillId="6" borderId="15" xfId="0" applyNumberFormat="1" applyFill="1" applyBorder="1" applyAlignment="1">
      <alignment horizontal="center"/>
    </xf>
    <xf numFmtId="0" fontId="0" fillId="6" borderId="1" xfId="0" applyFill="1" applyBorder="1" applyAlignment="1">
      <alignment horizontal="center"/>
    </xf>
    <xf numFmtId="0" fontId="0" fillId="6" borderId="22" xfId="0" applyFill="1" applyBorder="1" applyAlignment="1">
      <alignment horizontal="center"/>
    </xf>
    <xf numFmtId="0" fontId="1" fillId="0" borderId="0" xfId="0" applyFont="1" applyAlignment="1">
      <alignment horizontal="center"/>
    </xf>
    <xf numFmtId="0" fontId="1" fillId="14" borderId="3" xfId="0" applyFont="1" applyFill="1" applyBorder="1" applyAlignment="1">
      <alignment horizontal="center"/>
    </xf>
    <xf numFmtId="164" fontId="0" fillId="14" borderId="1" xfId="0" applyNumberFormat="1" applyFill="1" applyBorder="1" applyAlignment="1">
      <alignment horizontal="center"/>
    </xf>
    <xf numFmtId="2" fontId="3" fillId="7" borderId="2" xfId="0" applyNumberFormat="1" applyFont="1" applyFill="1" applyBorder="1" applyAlignment="1">
      <alignment horizontal="center" vertical="center"/>
    </xf>
    <xf numFmtId="0" fontId="3" fillId="13" borderId="26" xfId="0" applyFont="1" applyFill="1" applyBorder="1" applyAlignment="1">
      <alignment horizontal="center" vertical="center"/>
    </xf>
    <xf numFmtId="0" fontId="3" fillId="13"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3" borderId="31" xfId="0" applyNumberFormat="1" applyFont="1" applyFill="1" applyBorder="1" applyAlignment="1">
      <alignment vertical="center"/>
    </xf>
    <xf numFmtId="0" fontId="3" fillId="13" borderId="29" xfId="0" applyFont="1" applyFill="1" applyBorder="1" applyAlignment="1">
      <alignment vertical="center"/>
    </xf>
    <xf numFmtId="0" fontId="3" fillId="13" borderId="32" xfId="0" applyNumberFormat="1" applyFont="1" applyFill="1" applyBorder="1" applyAlignment="1">
      <alignment vertical="center"/>
    </xf>
    <xf numFmtId="0" fontId="3" fillId="13" borderId="24" xfId="0" applyFont="1" applyFill="1" applyBorder="1" applyAlignment="1">
      <alignment vertical="center"/>
    </xf>
    <xf numFmtId="0" fontId="3" fillId="13" borderId="33" xfId="0" applyNumberFormat="1" applyFont="1" applyFill="1" applyBorder="1" applyAlignment="1">
      <alignment vertical="center"/>
    </xf>
    <xf numFmtId="0" fontId="3" fillId="13" borderId="34" xfId="0" applyFont="1" applyFill="1" applyBorder="1" applyAlignment="1">
      <alignment vertical="center"/>
    </xf>
    <xf numFmtId="0" fontId="3" fillId="13" borderId="11" xfId="0" applyNumberFormat="1" applyFont="1" applyFill="1" applyBorder="1" applyAlignment="1">
      <alignment horizontal="center" vertical="center"/>
    </xf>
    <xf numFmtId="0" fontId="3" fillId="13" borderId="35" xfId="0" applyNumberFormat="1" applyFont="1" applyFill="1" applyBorder="1" applyAlignment="1">
      <alignment horizontal="center" vertical="center"/>
    </xf>
    <xf numFmtId="0" fontId="3" fillId="13" borderId="35" xfId="0" applyFont="1" applyFill="1" applyBorder="1" applyAlignment="1">
      <alignment horizontal="center" vertical="center"/>
    </xf>
    <xf numFmtId="0" fontId="3" fillId="13" borderId="30" xfId="0" applyFont="1" applyFill="1" applyBorder="1" applyAlignment="1">
      <alignment vertical="center"/>
    </xf>
    <xf numFmtId="0" fontId="3" fillId="8" borderId="8" xfId="0" applyFont="1" applyFill="1" applyBorder="1" applyAlignment="1">
      <alignment horizontal="center"/>
    </xf>
    <xf numFmtId="0" fontId="3" fillId="8" borderId="10" xfId="0" applyFont="1" applyFill="1" applyBorder="1" applyAlignment="1">
      <alignment horizontal="center"/>
    </xf>
    <xf numFmtId="0" fontId="3" fillId="8" borderId="18" xfId="0" applyFont="1" applyFill="1" applyBorder="1" applyAlignment="1">
      <alignment horizontal="center"/>
    </xf>
    <xf numFmtId="0" fontId="3" fillId="13" borderId="39" xfId="0" applyNumberFormat="1" applyFont="1" applyFill="1" applyBorder="1" applyAlignment="1">
      <alignment vertical="center"/>
    </xf>
    <xf numFmtId="0" fontId="3" fillId="13" borderId="25" xfId="0" applyNumberFormat="1" applyFont="1" applyFill="1" applyBorder="1" applyAlignment="1">
      <alignment vertical="center"/>
    </xf>
    <xf numFmtId="0" fontId="3" fillId="13" borderId="1" xfId="0" applyNumberFormat="1" applyFont="1" applyFill="1" applyBorder="1" applyAlignment="1">
      <alignment vertical="center"/>
    </xf>
    <xf numFmtId="0" fontId="11" fillId="8" borderId="12" xfId="0" applyFont="1" applyFill="1" applyBorder="1" applyAlignment="1">
      <alignment horizontal="left"/>
    </xf>
    <xf numFmtId="0" fontId="2" fillId="6" borderId="1" xfId="0" applyFont="1" applyFill="1" applyBorder="1"/>
    <xf numFmtId="0" fontId="0" fillId="6" borderId="1" xfId="0" applyFill="1" applyBorder="1"/>
    <xf numFmtId="0" fontId="6" fillId="6" borderId="1" xfId="0" applyFont="1" applyFill="1" applyBorder="1" applyAlignment="1">
      <alignment horizontal="center"/>
    </xf>
    <xf numFmtId="0" fontId="0" fillId="0" borderId="1" xfId="0" applyFill="1" applyBorder="1"/>
    <xf numFmtId="0" fontId="0" fillId="0" borderId="1" xfId="0" applyFill="1" applyBorder="1" applyAlignment="1">
      <alignment horizontal="center"/>
    </xf>
    <xf numFmtId="0" fontId="2" fillId="6" borderId="1" xfId="0" applyFont="1" applyFill="1" applyBorder="1" applyAlignment="1">
      <alignment horizontal="right"/>
    </xf>
    <xf numFmtId="0" fontId="3" fillId="13" borderId="39" xfId="0" applyNumberFormat="1" applyFont="1" applyFill="1" applyBorder="1" applyAlignment="1">
      <alignment horizontal="center" vertical="center"/>
    </xf>
    <xf numFmtId="0" fontId="13" fillId="0" borderId="0" xfId="0" applyFont="1"/>
    <xf numFmtId="0" fontId="7" fillId="12" borderId="7" xfId="0" applyFont="1" applyFill="1" applyBorder="1" applyAlignment="1">
      <alignment horizontal="center" vertical="center" wrapText="1"/>
    </xf>
    <xf numFmtId="0" fontId="7" fillId="12" borderId="6" xfId="0" applyFont="1" applyFill="1" applyBorder="1" applyAlignment="1">
      <alignment horizontal="center" vertical="center" wrapText="1"/>
    </xf>
    <xf numFmtId="0" fontId="7" fillId="12"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6" xfId="0" applyFont="1" applyBorder="1" applyAlignment="1">
      <alignment horizontal="center" vertical="center"/>
    </xf>
    <xf numFmtId="0" fontId="3" fillId="0" borderId="35" xfId="0" applyFont="1" applyBorder="1" applyAlignment="1">
      <alignment horizontal="left" vertical="center"/>
    </xf>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1" borderId="7" xfId="0" applyFont="1" applyFill="1" applyBorder="1" applyAlignment="1">
      <alignment horizontal="left"/>
    </xf>
    <xf numFmtId="0" fontId="7" fillId="11" borderId="6" xfId="0" applyFont="1" applyFill="1" applyBorder="1" applyAlignment="1">
      <alignment horizontal="left"/>
    </xf>
    <xf numFmtId="164" fontId="7" fillId="11" borderId="7" xfId="0" applyNumberFormat="1" applyFont="1" applyFill="1" applyBorder="1" applyAlignment="1">
      <alignment horizontal="left"/>
    </xf>
    <xf numFmtId="164" fontId="7" fillId="11" borderId="6" xfId="0" applyNumberFormat="1" applyFont="1" applyFill="1" applyBorder="1" applyAlignment="1">
      <alignment horizontal="left"/>
    </xf>
    <xf numFmtId="0" fontId="1" fillId="0" borderId="19"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7" fillId="11" borderId="7" xfId="0" applyFont="1" applyFill="1" applyBorder="1" applyAlignment="1">
      <alignment horizontal="left"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1" borderId="7" xfId="0" applyNumberFormat="1" applyFont="1" applyFill="1" applyBorder="1" applyAlignment="1">
      <alignment horizontal="left" vertical="center"/>
    </xf>
    <xf numFmtId="164" fontId="7" fillId="11" borderId="6" xfId="0" applyNumberFormat="1" applyFont="1" applyFill="1" applyBorder="1" applyAlignment="1">
      <alignment horizontal="left" vertical="center"/>
    </xf>
  </cellXfs>
  <cellStyles count="7">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s>
  <dxfs count="9">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styles" Target="styles.xml"/><Relationship Id="rId3" Type="http://schemas.openxmlformats.org/officeDocument/2006/relationships/chartsheet" Target="chartsheets/sheet1.xml"/><Relationship Id="rId7" Type="http://schemas.openxmlformats.org/officeDocument/2006/relationships/chartsheet" Target="chartsheets/sheet3.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externalLink" Target="externalLinks/externalLink2.xml"/><Relationship Id="rId5" Type="http://schemas.openxmlformats.org/officeDocument/2006/relationships/chartsheet" Target="chartsheets/sheet2.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3.xml"/><Relationship Id="rId9" Type="http://schemas.openxmlformats.org/officeDocument/2006/relationships/chartsheet" Target="chartsheets/sheet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932821640450779E-2"/>
          <c:y val="0.14661961377408195"/>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'R1'!$O$48:$V$48</c:f>
                <c:numCache>
                  <c:formatCode>General</c:formatCode>
                  <c:ptCount val="8"/>
                  <c:pt idx="0">
                    <c:v>9.2343432842551365E-2</c:v>
                  </c:pt>
                  <c:pt idx="1">
                    <c:v>0.16688610703361614</c:v>
                  </c:pt>
                  <c:pt idx="2">
                    <c:v>2.0032928790144424E-2</c:v>
                  </c:pt>
                  <c:pt idx="3">
                    <c:v>0.22804907445006001</c:v>
                  </c:pt>
                  <c:pt idx="4">
                    <c:v>0.16734719730169689</c:v>
                  </c:pt>
                  <c:pt idx="5">
                    <c:v>0.18098325247515692</c:v>
                  </c:pt>
                  <c:pt idx="6">
                    <c:v>0.23916477275414191</c:v>
                  </c:pt>
                  <c:pt idx="7">
                    <c:v>0.1325962920933422</c:v>
                  </c:pt>
                </c:numCache>
              </c:numRef>
            </c:plus>
            <c:minus>
              <c:numRef>
                <c:f>'R1'!$O$48:$V$48</c:f>
                <c:numCache>
                  <c:formatCode>General</c:formatCode>
                  <c:ptCount val="8"/>
                  <c:pt idx="0">
                    <c:v>9.2343432842551365E-2</c:v>
                  </c:pt>
                  <c:pt idx="1">
                    <c:v>0.16688610703361614</c:v>
                  </c:pt>
                  <c:pt idx="2">
                    <c:v>2.0032928790144424E-2</c:v>
                  </c:pt>
                  <c:pt idx="3">
                    <c:v>0.22804907445006001</c:v>
                  </c:pt>
                  <c:pt idx="4">
                    <c:v>0.16734719730169689</c:v>
                  </c:pt>
                  <c:pt idx="5">
                    <c:v>0.18098325247515692</c:v>
                  </c:pt>
                  <c:pt idx="6">
                    <c:v>0.23916477275414191</c:v>
                  </c:pt>
                  <c:pt idx="7">
                    <c:v>0.1325962920933422</c:v>
                  </c:pt>
                </c:numCache>
              </c:numRef>
            </c:minus>
          </c:errBars>
          <c:cat>
            <c:strRef>
              <c:f>'R1'!$B$52:$V$52</c:f>
              <c:strCache>
                <c:ptCount val="21"/>
                <c:pt idx="0">
                  <c:v>Solvent control</c:v>
                </c:pt>
                <c:pt idx="1">
                  <c:v>EE2-33.8ng/L</c:v>
                </c:pt>
                <c:pt idx="2">
                  <c:v>EE2-50.6ng/L</c:v>
                </c:pt>
                <c:pt idx="3">
                  <c:v>EE2-76ng/L</c:v>
                </c:pt>
                <c:pt idx="4">
                  <c:v>EE2-114ng/L</c:v>
                </c:pt>
                <c:pt idx="5">
                  <c:v>EE2-170.9ng/L</c:v>
                </c:pt>
                <c:pt idx="6">
                  <c:v>EE2-488ng/L</c:v>
                </c:pt>
                <c:pt idx="7">
                  <c:v>Dutasteride-1mg/L</c:v>
                </c:pt>
                <c:pt idx="8">
                  <c:v>Dutasteride-0.5mg/L</c:v>
                </c:pt>
                <c:pt idx="9">
                  <c:v>Dutasteride-0.25mg/L</c:v>
                </c:pt>
                <c:pt idx="10">
                  <c:v>Dutasteride-0.1mg/L</c:v>
                </c:pt>
                <c:pt idx="11">
                  <c:v>Dutasteride-0.01mg/L</c:v>
                </c:pt>
                <c:pt idx="13">
                  <c:v>Testo -30µg/L</c:v>
                </c:pt>
                <c:pt idx="14">
                  <c:v>Testo 30µg/L + EE2 -64ng/L</c:v>
                </c:pt>
                <c:pt idx="15">
                  <c:v>Testo 30µg/L + FAD-10mg/L</c:v>
                </c:pt>
                <c:pt idx="16">
                  <c:v>Dutasteride-1mg/L + Testostérone</c:v>
                </c:pt>
                <c:pt idx="17">
                  <c:v>Dutasteride-0.5mg/L + Testostérone</c:v>
                </c:pt>
                <c:pt idx="18">
                  <c:v>Dutasteride-0.25mg/L + Testostérone</c:v>
                </c:pt>
                <c:pt idx="19">
                  <c:v>Dutasteride-0.1mg/L + Testostérone</c:v>
                </c:pt>
                <c:pt idx="20">
                  <c:v>Dutasteride-0.01mg/L + Testostérone</c:v>
                </c:pt>
              </c:strCache>
            </c:strRef>
          </c:cat>
          <c:val>
            <c:numRef>
              <c:f>'R1'!$B$53:$V$53</c:f>
              <c:numCache>
                <c:formatCode>0.0000</c:formatCode>
                <c:ptCount val="21"/>
                <c:pt idx="0">
                  <c:v>6.5203173609967469E-2</c:v>
                </c:pt>
                <c:pt idx="1">
                  <c:v>0.29501221554749119</c:v>
                </c:pt>
                <c:pt idx="2">
                  <c:v>0.52328646701648029</c:v>
                </c:pt>
                <c:pt idx="3">
                  <c:v>0.94434749608959312</c:v>
                </c:pt>
                <c:pt idx="4">
                  <c:v>1.3856813236523615</c:v>
                </c:pt>
                <c:pt idx="5">
                  <c:v>2.3893560175689585</c:v>
                </c:pt>
                <c:pt idx="6">
                  <c:v>3.0665407917752394</c:v>
                </c:pt>
                <c:pt idx="7">
                  <c:v>0.16799862791842285</c:v>
                </c:pt>
                <c:pt idx="8">
                  <c:v>7.8239274723647487E-2</c:v>
                </c:pt>
                <c:pt idx="9">
                  <c:v>0.10631864715146717</c:v>
                </c:pt>
                <c:pt idx="10">
                  <c:v>0.10316000035491296</c:v>
                </c:pt>
                <c:pt idx="11">
                  <c:v>0.17087569170347175</c:v>
                </c:pt>
                <c:pt idx="12">
                  <c:v>0</c:v>
                </c:pt>
                <c:pt idx="13">
                  <c:v>1</c:v>
                </c:pt>
                <c:pt idx="14">
                  <c:v>1.3532172529709128</c:v>
                </c:pt>
                <c:pt idx="15">
                  <c:v>4.6632894830842916E-2</c:v>
                </c:pt>
                <c:pt idx="16">
                  <c:v>1.6792787766533697</c:v>
                </c:pt>
                <c:pt idx="17">
                  <c:v>1.554729931261817</c:v>
                </c:pt>
                <c:pt idx="18">
                  <c:v>1.2471775725195453</c:v>
                </c:pt>
                <c:pt idx="19">
                  <c:v>1.4663082920971588</c:v>
                </c:pt>
                <c:pt idx="20">
                  <c:v>1.0705289597419096</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5400000" vert="horz"/>
          <a:lstStyle/>
          <a:p>
            <a:pPr>
              <a:defRPr lang="en-GB"/>
            </a:pPr>
            <a:endParaRPr lang="en-US"/>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rgbClr val="C00000"/>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3.4895681812656634E-2</c:v>
                  </c:pt>
                  <c:pt idx="1">
                    <c:v>5.4068696876837845E-2</c:v>
                  </c:pt>
                  <c:pt idx="2">
                    <c:v>0.11490361040845488</c:v>
                  </c:pt>
                  <c:pt idx="3">
                    <c:v>0.23377313475270553</c:v>
                  </c:pt>
                  <c:pt idx="4">
                    <c:v>8.858085384962458E-2</c:v>
                  </c:pt>
                  <c:pt idx="5">
                    <c:v>0.18432265663544925</c:v>
                  </c:pt>
                  <c:pt idx="6">
                    <c:v>0.31326999793686389</c:v>
                  </c:pt>
                  <c:pt idx="7">
                    <c:v>5.8420221278875049E-2</c:v>
                  </c:pt>
                  <c:pt idx="8">
                    <c:v>3.8760530050191193E-2</c:v>
                  </c:pt>
                  <c:pt idx="9">
                    <c:v>6.581159594602963E-2</c:v>
                  </c:pt>
                  <c:pt idx="10">
                    <c:v>4.1476368652142569E-2</c:v>
                  </c:pt>
                  <c:pt idx="11">
                    <c:v>8.3620298334180734E-2</c:v>
                  </c:pt>
                  <c:pt idx="12">
                    <c:v>0</c:v>
                  </c:pt>
                  <c:pt idx="13">
                    <c:v>0.11376776994516535</c:v>
                  </c:pt>
                  <c:pt idx="14">
                    <c:v>0.14694271879564499</c:v>
                  </c:pt>
                  <c:pt idx="15">
                    <c:v>4.7654832040989838E-2</c:v>
                  </c:pt>
                  <c:pt idx="16">
                    <c:v>0.22313367719438398</c:v>
                  </c:pt>
                  <c:pt idx="17">
                    <c:v>0.26423787495809242</c:v>
                  </c:pt>
                  <c:pt idx="18">
                    <c:v>0.21856614718035039</c:v>
                  </c:pt>
                  <c:pt idx="19">
                    <c:v>0.2078030974868551</c:v>
                  </c:pt>
                  <c:pt idx="20">
                    <c:v>0.19819046111665531</c:v>
                  </c:pt>
                </c:numCache>
              </c:numRef>
            </c:plus>
            <c:minus>
              <c:numRef>
                <c:f>'R1'!$O$48:$V$48</c:f>
                <c:numCache>
                  <c:formatCode>General</c:formatCode>
                  <c:ptCount val="8"/>
                  <c:pt idx="0">
                    <c:v>9.2343432842551365E-2</c:v>
                  </c:pt>
                  <c:pt idx="1">
                    <c:v>0.16688610703361614</c:v>
                  </c:pt>
                  <c:pt idx="2">
                    <c:v>2.0032928790144424E-2</c:v>
                  </c:pt>
                  <c:pt idx="3">
                    <c:v>0.22804907445006001</c:v>
                  </c:pt>
                  <c:pt idx="4">
                    <c:v>0.16734719730169689</c:v>
                  </c:pt>
                  <c:pt idx="5">
                    <c:v>0.18098325247515692</c:v>
                  </c:pt>
                  <c:pt idx="6">
                    <c:v>0.23916477275414191</c:v>
                  </c:pt>
                  <c:pt idx="7">
                    <c:v>0.1325962920933422</c:v>
                  </c:pt>
                </c:numCache>
              </c:numRef>
            </c:minus>
          </c:errBars>
          <c:cat>
            <c:strRef>
              <c:f>'R2'!$B$52:$V$52</c:f>
              <c:strCache>
                <c:ptCount val="21"/>
                <c:pt idx="0">
                  <c:v>Solvent control</c:v>
                </c:pt>
                <c:pt idx="1">
                  <c:v>EE2-33.8ng/L</c:v>
                </c:pt>
                <c:pt idx="2">
                  <c:v>EE2-50.6ng/L</c:v>
                </c:pt>
                <c:pt idx="3">
                  <c:v>EE2-76ng/L</c:v>
                </c:pt>
                <c:pt idx="4">
                  <c:v>EE2-114ng/L</c:v>
                </c:pt>
                <c:pt idx="5">
                  <c:v>EE2-170.9ng/L</c:v>
                </c:pt>
                <c:pt idx="6">
                  <c:v>EE2-488ng/L</c:v>
                </c:pt>
                <c:pt idx="7">
                  <c:v>Dutasteride-1mg/L</c:v>
                </c:pt>
                <c:pt idx="8">
                  <c:v>Dutasteride-0.5mg/L</c:v>
                </c:pt>
                <c:pt idx="9">
                  <c:v>Dutasteride-0.25mg/L</c:v>
                </c:pt>
                <c:pt idx="10">
                  <c:v>Dutasteride-0.1mg/L</c:v>
                </c:pt>
                <c:pt idx="11">
                  <c:v>Dutasteride-0.01mg/L</c:v>
                </c:pt>
                <c:pt idx="13">
                  <c:v>Testo -30µg/L</c:v>
                </c:pt>
                <c:pt idx="14">
                  <c:v>Testo 30µg/L + EE2 -64ng/L</c:v>
                </c:pt>
                <c:pt idx="15">
                  <c:v>Testo 30µg/L + FAD-10mg/L</c:v>
                </c:pt>
                <c:pt idx="16">
                  <c:v>Dutasteride-1mg/L + Testostérone</c:v>
                </c:pt>
                <c:pt idx="17">
                  <c:v>Dutasteride-0.5mg/L + Testostérone</c:v>
                </c:pt>
                <c:pt idx="18">
                  <c:v>Dutasteride-0.25mg/L + Testostérone</c:v>
                </c:pt>
                <c:pt idx="19">
                  <c:v>Dutasteride-0.1mg/L + Testostérone</c:v>
                </c:pt>
                <c:pt idx="20">
                  <c:v>Dutasteride-0.01mg/L + Testostérone</c:v>
                </c:pt>
              </c:strCache>
            </c:strRef>
          </c:cat>
          <c:val>
            <c:numRef>
              <c:f>'R2'!$B$53:$V$53</c:f>
              <c:numCache>
                <c:formatCode>0.0000</c:formatCode>
                <c:ptCount val="21"/>
                <c:pt idx="0">
                  <c:v>9.9407189269747911E-2</c:v>
                </c:pt>
                <c:pt idx="1">
                  <c:v>0.19164526868755116</c:v>
                </c:pt>
                <c:pt idx="2">
                  <c:v>0.45574925040379743</c:v>
                </c:pt>
                <c:pt idx="3">
                  <c:v>0.96087971120540427</c:v>
                </c:pt>
                <c:pt idx="4">
                  <c:v>1.2563098049451895</c:v>
                </c:pt>
                <c:pt idx="5">
                  <c:v>2.0607181495716831</c:v>
                </c:pt>
                <c:pt idx="6">
                  <c:v>2.5693305271260298</c:v>
                </c:pt>
                <c:pt idx="7">
                  <c:v>0.15159968188295272</c:v>
                </c:pt>
                <c:pt idx="8">
                  <c:v>0.21616137566809634</c:v>
                </c:pt>
                <c:pt idx="9">
                  <c:v>0.22672936794622375</c:v>
                </c:pt>
                <c:pt idx="10">
                  <c:v>0.22769763986207633</c:v>
                </c:pt>
                <c:pt idx="11">
                  <c:v>0.35589931798332897</c:v>
                </c:pt>
                <c:pt idx="12">
                  <c:v>0</c:v>
                </c:pt>
                <c:pt idx="13">
                  <c:v>1</c:v>
                </c:pt>
                <c:pt idx="14">
                  <c:v>1.5806029432630924</c:v>
                </c:pt>
                <c:pt idx="15">
                  <c:v>0.11580364410549637</c:v>
                </c:pt>
                <c:pt idx="16">
                  <c:v>1.1063726926996396</c:v>
                </c:pt>
                <c:pt idx="17">
                  <c:v>1.2934690695268229</c:v>
                </c:pt>
                <c:pt idx="18">
                  <c:v>0.95249393706406649</c:v>
                </c:pt>
                <c:pt idx="19">
                  <c:v>1.2161127346783414</c:v>
                </c:pt>
                <c:pt idx="20">
                  <c:v>0.90934149142334808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tx2">
                <a:lumMod val="50000"/>
              </a:schemeClr>
            </a:solidFill>
          </c:spPr>
          <c:invertIfNegative val="0"/>
          <c:dPt>
            <c:idx val="9"/>
            <c:invertIfNegative val="0"/>
            <c:bubble3D val="0"/>
            <c:extLst>
              <c:ext xmlns:c16="http://schemas.microsoft.com/office/drawing/2014/chart" uri="{C3380CC4-5D6E-409C-BE32-E72D297353CC}">
                <c16:uniqueId val="{00000001-EED2-4ACE-91AA-7F8713196E92}"/>
              </c:ext>
            </c:extLst>
          </c:dPt>
          <c:dPt>
            <c:idx val="11"/>
            <c:invertIfNegative val="0"/>
            <c:bubble3D val="0"/>
            <c:extLst>
              <c:ext xmlns:c16="http://schemas.microsoft.com/office/drawing/2014/chart" uri="{C3380CC4-5D6E-409C-BE32-E72D297353CC}">
                <c16:uniqueId val="{00000003-EED2-4ACE-91AA-7F8713196E92}"/>
              </c:ext>
            </c:extLst>
          </c:dPt>
          <c:dPt>
            <c:idx val="13"/>
            <c:invertIfNegative val="0"/>
            <c:bubble3D val="0"/>
            <c:extLst>
              <c:ext xmlns:c16="http://schemas.microsoft.com/office/drawing/2014/chart" uri="{C3380CC4-5D6E-409C-BE32-E72D297353CC}">
                <c16:uniqueId val="{00000005-EED2-4ACE-91AA-7F8713196E92}"/>
              </c:ext>
            </c:extLst>
          </c:dPt>
          <c:dPt>
            <c:idx val="15"/>
            <c:invertIfNegative val="0"/>
            <c:bubble3D val="0"/>
            <c:extLst>
              <c:ext xmlns:c16="http://schemas.microsoft.com/office/drawing/2014/chart" uri="{C3380CC4-5D6E-409C-BE32-E72D297353CC}">
                <c16:uniqueId val="{00000007-EED2-4ACE-91AA-7F8713196E92}"/>
              </c:ext>
            </c:extLst>
          </c:dPt>
          <c:dPt>
            <c:idx val="25"/>
            <c:invertIfNegative val="0"/>
            <c:bubble3D val="0"/>
            <c:extLst>
              <c:ext xmlns:c16="http://schemas.microsoft.com/office/drawing/2014/chart" uri="{C3380CC4-5D6E-409C-BE32-E72D297353CC}">
                <c16:uniqueId val="{00000009-EED2-4ACE-91AA-7F8713196E92}"/>
              </c:ext>
            </c:extLst>
          </c:dPt>
          <c:dPt>
            <c:idx val="26"/>
            <c:invertIfNegative val="0"/>
            <c:bubble3D val="0"/>
            <c:extLst>
              <c:ext xmlns:c16="http://schemas.microsoft.com/office/drawing/2014/chart" uri="{C3380CC4-5D6E-409C-BE32-E72D297353CC}">
                <c16:uniqueId val="{0000000B-EED2-4ACE-91AA-7F8713196E92}"/>
              </c:ext>
            </c:extLst>
          </c:dPt>
          <c:dPt>
            <c:idx val="27"/>
            <c:invertIfNegative val="0"/>
            <c:bubble3D val="0"/>
            <c:extLst>
              <c:ext xmlns:c16="http://schemas.microsoft.com/office/drawing/2014/chart" uri="{C3380CC4-5D6E-409C-BE32-E72D297353CC}">
                <c16:uniqueId val="{0000000D-EED2-4ACE-91AA-7F8713196E92}"/>
              </c:ext>
            </c:extLst>
          </c:dPt>
          <c:dPt>
            <c:idx val="28"/>
            <c:invertIfNegative val="0"/>
            <c:bubble3D val="0"/>
            <c:extLst>
              <c:ext xmlns:c16="http://schemas.microsoft.com/office/drawing/2014/chart" uri="{C3380CC4-5D6E-409C-BE32-E72D297353CC}">
                <c16:uniqueId val="{0000000F-EED2-4ACE-91AA-7F8713196E92}"/>
              </c:ext>
            </c:extLst>
          </c:dPt>
          <c:dPt>
            <c:idx val="30"/>
            <c:invertIfNegative val="0"/>
            <c:bubble3D val="0"/>
            <c:extLst>
              <c:ext xmlns:c16="http://schemas.microsoft.com/office/drawing/2014/chart" uri="{C3380CC4-5D6E-409C-BE32-E72D297353CC}">
                <c16:uniqueId val="{00000011-EED2-4ACE-91AA-7F8713196E92}"/>
              </c:ext>
            </c:extLst>
          </c:dPt>
          <c:dPt>
            <c:idx val="32"/>
            <c:invertIfNegative val="0"/>
            <c:bubble3D val="0"/>
            <c:extLst>
              <c:ext xmlns:c16="http://schemas.microsoft.com/office/drawing/2014/chart" uri="{C3380CC4-5D6E-409C-BE32-E72D297353CC}">
                <c16:uniqueId val="{00000013-EED2-4ACE-91AA-7F8713196E92}"/>
              </c:ext>
            </c:extLst>
          </c:dPt>
          <c:dPt>
            <c:idx val="34"/>
            <c:invertIfNegative val="0"/>
            <c:bubble3D val="0"/>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1.5705129335396018E-2</c:v>
                  </c:pt>
                  <c:pt idx="1">
                    <c:v>8.2991485064911968E-2</c:v>
                  </c:pt>
                  <c:pt idx="2">
                    <c:v>5.6919883610006168E-2</c:v>
                  </c:pt>
                  <c:pt idx="3">
                    <c:v>0.2244210482027553</c:v>
                  </c:pt>
                  <c:pt idx="4">
                    <c:v>0.12066294550695914</c:v>
                  </c:pt>
                  <c:pt idx="5">
                    <c:v>0.1305065020974901</c:v>
                  </c:pt>
                  <c:pt idx="6">
                    <c:v>0.20932910777466482</c:v>
                  </c:pt>
                  <c:pt idx="7">
                    <c:v>5.4637408004568268E-2</c:v>
                  </c:pt>
                  <c:pt idx="8">
                    <c:v>1.3991767061818955E-2</c:v>
                  </c:pt>
                  <c:pt idx="9">
                    <c:v>3.5874256246271143E-2</c:v>
                  </c:pt>
                  <c:pt idx="10">
                    <c:v>3.7964186722521574E-2</c:v>
                  </c:pt>
                  <c:pt idx="11">
                    <c:v>1.7362515759640377E-2</c:v>
                  </c:pt>
                  <c:pt idx="12">
                    <c:v>0</c:v>
                  </c:pt>
                  <c:pt idx="13">
                    <c:v>0.14887960089463484</c:v>
                  </c:pt>
                  <c:pt idx="14">
                    <c:v>0.18944329606136776</c:v>
                  </c:pt>
                  <c:pt idx="15">
                    <c:v>8.2251480506859723E-2</c:v>
                  </c:pt>
                  <c:pt idx="16">
                    <c:v>0.11114438496773543</c:v>
                  </c:pt>
                  <c:pt idx="17">
                    <c:v>0.12760662990563348</c:v>
                  </c:pt>
                  <c:pt idx="18">
                    <c:v>0.16929343228259378</c:v>
                  </c:pt>
                  <c:pt idx="19">
                    <c:v>0.20784441122750358</c:v>
                  </c:pt>
                  <c:pt idx="20">
                    <c:v>0.15484156601760826</c:v>
                  </c:pt>
                </c:numCache>
              </c:numRef>
            </c:plus>
            <c:minus>
              <c:numRef>
                <c:f>'R1'!$O$48:$V$48</c:f>
                <c:numCache>
                  <c:formatCode>General</c:formatCode>
                  <c:ptCount val="8"/>
                  <c:pt idx="0">
                    <c:v>9.2343432842551365E-2</c:v>
                  </c:pt>
                  <c:pt idx="1">
                    <c:v>0.16688610703361614</c:v>
                  </c:pt>
                  <c:pt idx="2">
                    <c:v>2.0032928790144424E-2</c:v>
                  </c:pt>
                  <c:pt idx="3">
                    <c:v>0.22804907445006001</c:v>
                  </c:pt>
                  <c:pt idx="4">
                    <c:v>0.16734719730169689</c:v>
                  </c:pt>
                  <c:pt idx="5">
                    <c:v>0.18098325247515692</c:v>
                  </c:pt>
                  <c:pt idx="6">
                    <c:v>0.23916477275414191</c:v>
                  </c:pt>
                  <c:pt idx="7">
                    <c:v>0.1325962920933422</c:v>
                  </c:pt>
                </c:numCache>
              </c:numRef>
            </c:minus>
          </c:errBars>
          <c:cat>
            <c:strRef>
              <c:f>'R3'!$B$52:$V$52</c:f>
              <c:strCache>
                <c:ptCount val="21"/>
                <c:pt idx="0">
                  <c:v>Solvent control</c:v>
                </c:pt>
                <c:pt idx="1">
                  <c:v>EE2-33.8ng/L</c:v>
                </c:pt>
                <c:pt idx="2">
                  <c:v>EE2-50.6ng/L</c:v>
                </c:pt>
                <c:pt idx="3">
                  <c:v>EE2-76ng/L</c:v>
                </c:pt>
                <c:pt idx="4">
                  <c:v>EE2-114ng/L</c:v>
                </c:pt>
                <c:pt idx="5">
                  <c:v>EE2-170.9ng/L</c:v>
                </c:pt>
                <c:pt idx="6">
                  <c:v>EE2-488ng/L</c:v>
                </c:pt>
                <c:pt idx="7">
                  <c:v>Dutasteride-1mg/L</c:v>
                </c:pt>
                <c:pt idx="8">
                  <c:v>Dutasteride-0.5mg/L</c:v>
                </c:pt>
                <c:pt idx="9">
                  <c:v>Dutasteride-0.25mg/L</c:v>
                </c:pt>
                <c:pt idx="10">
                  <c:v>Dutasteride-0.1mg/L</c:v>
                </c:pt>
                <c:pt idx="11">
                  <c:v>Dutasteride-0.01mg/L</c:v>
                </c:pt>
                <c:pt idx="13">
                  <c:v>Testo -30µg/L</c:v>
                </c:pt>
                <c:pt idx="14">
                  <c:v>Testo 30µg/L + EE2 -64ng/L</c:v>
                </c:pt>
                <c:pt idx="15">
                  <c:v>Testo 30µg/L + FAD-10mg/L</c:v>
                </c:pt>
                <c:pt idx="16">
                  <c:v>Dutasteride-1mg/L + Testostérone</c:v>
                </c:pt>
                <c:pt idx="17">
                  <c:v>Dutasteride-0.5mg/L + Testostérone</c:v>
                </c:pt>
                <c:pt idx="18">
                  <c:v>Dutasteride-0.25mg/L + Testostérone</c:v>
                </c:pt>
                <c:pt idx="19">
                  <c:v>Dutasteride-0.1mg/L + Testostérone</c:v>
                </c:pt>
                <c:pt idx="20">
                  <c:v>Dutasteride-0.01mg/L + Testostérone</c:v>
                </c:pt>
              </c:strCache>
            </c:strRef>
          </c:cat>
          <c:val>
            <c:numRef>
              <c:f>'R3'!$B$53:$V$53</c:f>
              <c:numCache>
                <c:formatCode>0.0000</c:formatCode>
                <c:ptCount val="21"/>
                <c:pt idx="0">
                  <c:v>3.3727929021182448E-2</c:v>
                </c:pt>
                <c:pt idx="1">
                  <c:v>0.32919052744282379</c:v>
                </c:pt>
                <c:pt idx="2">
                  <c:v>0.36797347290401394</c:v>
                </c:pt>
                <c:pt idx="3">
                  <c:v>1.3338274718197558</c:v>
                </c:pt>
                <c:pt idx="4">
                  <c:v>1.3397908339217963</c:v>
                </c:pt>
                <c:pt idx="5">
                  <c:v>2.4214252860522656</c:v>
                </c:pt>
                <c:pt idx="6">
                  <c:v>2.4944659725150098</c:v>
                </c:pt>
                <c:pt idx="7">
                  <c:v>0.19023130698914947</c:v>
                </c:pt>
                <c:pt idx="8">
                  <c:v>5.4872235035716047E-2</c:v>
                </c:pt>
                <c:pt idx="9">
                  <c:v>0.1929208025478053</c:v>
                </c:pt>
                <c:pt idx="10">
                  <c:v>0.14692534781860525</c:v>
                </c:pt>
                <c:pt idx="11">
                  <c:v>7.9472682678246753E-2</c:v>
                </c:pt>
                <c:pt idx="12">
                  <c:v>0</c:v>
                </c:pt>
                <c:pt idx="13">
                  <c:v>0.99999999999999989</c:v>
                </c:pt>
                <c:pt idx="14">
                  <c:v>1.2369739357466227</c:v>
                </c:pt>
                <c:pt idx="15">
                  <c:v>0.22268137603215946</c:v>
                </c:pt>
                <c:pt idx="16">
                  <c:v>0.6209388019851787</c:v>
                </c:pt>
                <c:pt idx="17">
                  <c:v>0.63530273587770414</c:v>
                </c:pt>
                <c:pt idx="18">
                  <c:v>0.63351494381267393</c:v>
                </c:pt>
                <c:pt idx="19">
                  <c:v>0.66914938491947407</c:v>
                </c:pt>
                <c:pt idx="20">
                  <c:v>0.70267247878931305</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en-US"/>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en-US"/>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chemeClr val="bg1">
                <a:lumMod val="50000"/>
              </a:schemeClr>
            </a:solidFill>
          </c:spPr>
          <c:invertIfNegative val="0"/>
          <c:dPt>
            <c:idx val="1"/>
            <c:invertIfNegative val="0"/>
            <c:bubble3D val="0"/>
            <c:extLst>
              <c:ext xmlns:c16="http://schemas.microsoft.com/office/drawing/2014/chart" uri="{C3380CC4-5D6E-409C-BE32-E72D297353CC}">
                <c16:uniqueId val="{00000001-033C-4530-84A9-991A3866ABD4}"/>
              </c:ext>
            </c:extLst>
          </c:dPt>
          <c:dPt>
            <c:idx val="2"/>
            <c:invertIfNegative val="0"/>
            <c:bubble3D val="0"/>
            <c:extLst>
              <c:ext xmlns:c16="http://schemas.microsoft.com/office/drawing/2014/chart" uri="{C3380CC4-5D6E-409C-BE32-E72D297353CC}">
                <c16:uniqueId val="{00000003-033C-4530-84A9-991A3866ABD4}"/>
              </c:ext>
            </c:extLst>
          </c:dPt>
          <c:dPt>
            <c:idx val="3"/>
            <c:invertIfNegative val="0"/>
            <c:bubble3D val="0"/>
            <c:extLst>
              <c:ext xmlns:c16="http://schemas.microsoft.com/office/drawing/2014/chart" uri="{C3380CC4-5D6E-409C-BE32-E72D297353CC}">
                <c16:uniqueId val="{00000005-033C-4530-84A9-991A3866ABD4}"/>
              </c:ext>
            </c:extLst>
          </c:dPt>
          <c:dPt>
            <c:idx val="4"/>
            <c:invertIfNegative val="0"/>
            <c:bubble3D val="0"/>
            <c:extLst>
              <c:ext xmlns:c16="http://schemas.microsoft.com/office/drawing/2014/chart" uri="{C3380CC4-5D6E-409C-BE32-E72D297353CC}">
                <c16:uniqueId val="{00000007-033C-4530-84A9-991A3866ABD4}"/>
              </c:ext>
            </c:extLst>
          </c:dPt>
          <c:dPt>
            <c:idx val="5"/>
            <c:invertIfNegative val="0"/>
            <c:bubble3D val="0"/>
            <c:extLst>
              <c:ext xmlns:c16="http://schemas.microsoft.com/office/drawing/2014/chart" uri="{C3380CC4-5D6E-409C-BE32-E72D297353CC}">
                <c16:uniqueId val="{00000009-033C-4530-84A9-991A3866ABD4}"/>
              </c:ext>
            </c:extLst>
          </c:dPt>
          <c:dPt>
            <c:idx val="6"/>
            <c:invertIfNegative val="0"/>
            <c:bubble3D val="0"/>
            <c:extLst>
              <c:ext xmlns:c16="http://schemas.microsoft.com/office/drawing/2014/chart" uri="{C3380CC4-5D6E-409C-BE32-E72D297353CC}">
                <c16:uniqueId val="{0000000B-033C-4530-84A9-991A3866ABD4}"/>
              </c:ext>
            </c:extLst>
          </c:dPt>
          <c:dPt>
            <c:idx val="7"/>
            <c:invertIfNegative val="0"/>
            <c:bubble3D val="0"/>
            <c:extLst>
              <c:ext xmlns:c16="http://schemas.microsoft.com/office/drawing/2014/chart" uri="{C3380CC4-5D6E-409C-BE32-E72D297353CC}">
                <c16:uniqueId val="{0000000D-033C-4530-84A9-991A3866ABD4}"/>
              </c:ext>
            </c:extLst>
          </c:dPt>
          <c:dPt>
            <c:idx val="8"/>
            <c:invertIfNegative val="0"/>
            <c:bubble3D val="0"/>
            <c:extLst>
              <c:ext xmlns:c16="http://schemas.microsoft.com/office/drawing/2014/chart" uri="{C3380CC4-5D6E-409C-BE32-E72D297353CC}">
                <c16:uniqueId val="{0000000F-033C-4530-84A9-991A3866ABD4}"/>
              </c:ext>
            </c:extLst>
          </c:dPt>
          <c:dPt>
            <c:idx val="9"/>
            <c:invertIfNegative val="0"/>
            <c:bubble3D val="0"/>
            <c:extLst>
              <c:ext xmlns:c16="http://schemas.microsoft.com/office/drawing/2014/chart" uri="{C3380CC4-5D6E-409C-BE32-E72D297353CC}">
                <c16:uniqueId val="{00000011-033C-4530-84A9-991A3866ABD4}"/>
              </c:ext>
            </c:extLst>
          </c:dPt>
          <c:dPt>
            <c:idx val="10"/>
            <c:invertIfNegative val="0"/>
            <c:bubble3D val="0"/>
            <c:extLst>
              <c:ext xmlns:c16="http://schemas.microsoft.com/office/drawing/2014/chart" uri="{C3380CC4-5D6E-409C-BE32-E72D297353CC}">
                <c16:uniqueId val="{00000013-033C-4530-84A9-991A3866ABD4}"/>
              </c:ext>
            </c:extLst>
          </c:dPt>
          <c:dPt>
            <c:idx val="11"/>
            <c:invertIfNegative val="0"/>
            <c:bubble3D val="0"/>
            <c:extLst>
              <c:ext xmlns:c16="http://schemas.microsoft.com/office/drawing/2014/chart" uri="{C3380CC4-5D6E-409C-BE32-E72D297353CC}">
                <c16:uniqueId val="{00000015-033C-4530-84A9-991A3866ABD4}"/>
              </c:ext>
            </c:extLst>
          </c:dPt>
          <c:dPt>
            <c:idx val="12"/>
            <c:invertIfNegative val="0"/>
            <c:bubble3D val="0"/>
            <c:extLst>
              <c:ext xmlns:c16="http://schemas.microsoft.com/office/drawing/2014/chart" uri="{C3380CC4-5D6E-409C-BE32-E72D297353CC}">
                <c16:uniqueId val="{00000017-033C-4530-84A9-991A3866ABD4}"/>
              </c:ext>
            </c:extLst>
          </c:dPt>
          <c:dPt>
            <c:idx val="13"/>
            <c:invertIfNegative val="0"/>
            <c:bubble3D val="0"/>
            <c:extLst>
              <c:ext xmlns:c16="http://schemas.microsoft.com/office/drawing/2014/chart" uri="{C3380CC4-5D6E-409C-BE32-E72D297353CC}">
                <c16:uniqueId val="{00000019-033C-4530-84A9-991A3866ABD4}"/>
              </c:ext>
            </c:extLst>
          </c:dPt>
          <c:dPt>
            <c:idx val="14"/>
            <c:invertIfNegative val="0"/>
            <c:bubble3D val="0"/>
            <c:extLst>
              <c:ext xmlns:c16="http://schemas.microsoft.com/office/drawing/2014/chart" uri="{C3380CC4-5D6E-409C-BE32-E72D297353CC}">
                <c16:uniqueId val="{0000001B-033C-4530-84A9-991A3866ABD4}"/>
              </c:ext>
            </c:extLst>
          </c:dPt>
          <c:dPt>
            <c:idx val="15"/>
            <c:invertIfNegative val="0"/>
            <c:bubble3D val="0"/>
            <c:extLst>
              <c:ext xmlns:c16="http://schemas.microsoft.com/office/drawing/2014/chart" uri="{C3380CC4-5D6E-409C-BE32-E72D297353CC}">
                <c16:uniqueId val="{0000001D-033C-4530-84A9-991A3866ABD4}"/>
              </c:ext>
            </c:extLst>
          </c:dPt>
          <c:dPt>
            <c:idx val="16"/>
            <c:invertIfNegative val="0"/>
            <c:bubble3D val="0"/>
            <c:extLst>
              <c:ext xmlns:c16="http://schemas.microsoft.com/office/drawing/2014/chart" uri="{C3380CC4-5D6E-409C-BE32-E72D297353CC}">
                <c16:uniqueId val="{0000001F-033C-4530-84A9-991A3866ABD4}"/>
              </c:ext>
            </c:extLst>
          </c:dPt>
          <c:dPt>
            <c:idx val="17"/>
            <c:invertIfNegative val="0"/>
            <c:bubble3D val="0"/>
            <c:extLst>
              <c:ext xmlns:c16="http://schemas.microsoft.com/office/drawing/2014/chart" uri="{C3380CC4-5D6E-409C-BE32-E72D297353CC}">
                <c16:uniqueId val="{00000021-033C-4530-84A9-991A3866ABD4}"/>
              </c:ext>
            </c:extLst>
          </c:dPt>
          <c:dPt>
            <c:idx val="18"/>
            <c:invertIfNegative val="0"/>
            <c:bubble3D val="0"/>
            <c:extLst>
              <c:ext xmlns:c16="http://schemas.microsoft.com/office/drawing/2014/chart" uri="{C3380CC4-5D6E-409C-BE32-E72D297353CC}">
                <c16:uniqueId val="{00000023-033C-4530-84A9-991A3866ABD4}"/>
              </c:ext>
            </c:extLst>
          </c:dPt>
          <c:dPt>
            <c:idx val="19"/>
            <c:invertIfNegative val="0"/>
            <c:bubble3D val="0"/>
            <c:extLst>
              <c:ext xmlns:c16="http://schemas.microsoft.com/office/drawing/2014/chart" uri="{C3380CC4-5D6E-409C-BE32-E72D297353CC}">
                <c16:uniqueId val="{00000025-033C-4530-84A9-991A3866ABD4}"/>
              </c:ext>
            </c:extLst>
          </c:dPt>
          <c:dPt>
            <c:idx val="20"/>
            <c:invertIfNegative val="0"/>
            <c:bubble3D val="0"/>
            <c:extLst>
              <c:ext xmlns:c16="http://schemas.microsoft.com/office/drawing/2014/chart" uri="{C3380CC4-5D6E-409C-BE32-E72D297353CC}">
                <c16:uniqueId val="{00000027-033C-4530-84A9-991A3866ABD4}"/>
              </c:ext>
            </c:extLst>
          </c:dPt>
          <c:dPt>
            <c:idx val="21"/>
            <c:invertIfNegative val="0"/>
            <c:bubble3D val="0"/>
            <c:extLst>
              <c:ext xmlns:c16="http://schemas.microsoft.com/office/drawing/2014/chart" uri="{C3380CC4-5D6E-409C-BE32-E72D297353CC}">
                <c16:uniqueId val="{00000029-033C-4530-84A9-991A3866ABD4}"/>
              </c:ext>
            </c:extLst>
          </c:dPt>
          <c:dPt>
            <c:idx val="22"/>
            <c:invertIfNegative val="0"/>
            <c:bubble3D val="0"/>
            <c:extLst>
              <c:ext xmlns:c16="http://schemas.microsoft.com/office/drawing/2014/chart" uri="{C3380CC4-5D6E-409C-BE32-E72D297353CC}">
                <c16:uniqueId val="{0000002B-033C-4530-84A9-991A3866ABD4}"/>
              </c:ext>
            </c:extLst>
          </c:dPt>
          <c:dLbls>
            <c:dLbl>
              <c:idx val="0"/>
              <c:tx>
                <c:rich>
                  <a:bodyPr/>
                  <a:lstStyle/>
                  <a:p>
                    <a:fld id="{3981E382-C302-46C1-B02D-25E51154E454}" type="CELLRANGE">
                      <a:rPr lang="en-US"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169FF162-A826-46DF-8980-BA836D8C1789}"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3C-4530-84A9-991A3866ABD4}"/>
                </c:ext>
              </c:extLst>
            </c:dLbl>
            <c:dLbl>
              <c:idx val="2"/>
              <c:tx>
                <c:rich>
                  <a:bodyPr/>
                  <a:lstStyle/>
                  <a:p>
                    <a:fld id="{D4192F9F-AD28-4034-9491-5116FB4B9A93}"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33C-4530-84A9-991A3866ABD4}"/>
                </c:ext>
              </c:extLst>
            </c:dLbl>
            <c:dLbl>
              <c:idx val="3"/>
              <c:tx>
                <c:rich>
                  <a:bodyPr/>
                  <a:lstStyle/>
                  <a:p>
                    <a:fld id="{38859E27-ECDC-47B3-A23C-21244AA33076}"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033C-4530-84A9-991A3866ABD4}"/>
                </c:ext>
              </c:extLst>
            </c:dLbl>
            <c:dLbl>
              <c:idx val="4"/>
              <c:tx>
                <c:rich>
                  <a:bodyPr/>
                  <a:lstStyle/>
                  <a:p>
                    <a:fld id="{987AD58D-4A9A-4190-8B0C-3B4C253917F8}"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033C-4530-84A9-991A3866ABD4}"/>
                </c:ext>
              </c:extLst>
            </c:dLbl>
            <c:dLbl>
              <c:idx val="5"/>
              <c:tx>
                <c:rich>
                  <a:bodyPr/>
                  <a:lstStyle/>
                  <a:p>
                    <a:fld id="{149B3781-28B5-4958-9429-67571012BC94}"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033C-4530-84A9-991A3866ABD4}"/>
                </c:ext>
              </c:extLst>
            </c:dLbl>
            <c:dLbl>
              <c:idx val="6"/>
              <c:tx>
                <c:rich>
                  <a:bodyPr/>
                  <a:lstStyle/>
                  <a:p>
                    <a:fld id="{FBF401A3-08D3-46E9-A5BF-662B24A243C0}"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033C-4530-84A9-991A3866ABD4}"/>
                </c:ext>
              </c:extLst>
            </c:dLbl>
            <c:dLbl>
              <c:idx val="7"/>
              <c:tx>
                <c:rich>
                  <a:bodyPr/>
                  <a:lstStyle/>
                  <a:p>
                    <a:fld id="{1231B616-2996-41E6-AABB-4EF8DB475667}"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033C-4530-84A9-991A3866ABD4}"/>
                </c:ext>
              </c:extLst>
            </c:dLbl>
            <c:dLbl>
              <c:idx val="8"/>
              <c:tx>
                <c:rich>
                  <a:bodyPr/>
                  <a:lstStyle/>
                  <a:p>
                    <a:fld id="{A4A91CBC-B300-436C-AC0D-943A28B94DD2}"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033C-4530-84A9-991A3866ABD4}"/>
                </c:ext>
              </c:extLst>
            </c:dLbl>
            <c:dLbl>
              <c:idx val="9"/>
              <c:tx>
                <c:rich>
                  <a:bodyPr/>
                  <a:lstStyle/>
                  <a:p>
                    <a:fld id="{A6F04460-9FC4-463F-9703-0188410BA953}"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033C-4530-84A9-991A3866ABD4}"/>
                </c:ext>
              </c:extLst>
            </c:dLbl>
            <c:dLbl>
              <c:idx val="10"/>
              <c:tx>
                <c:rich>
                  <a:bodyPr/>
                  <a:lstStyle/>
                  <a:p>
                    <a:fld id="{CC102E5D-8B2D-4F59-B1C2-371A91160741}"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033C-4530-84A9-991A3866ABD4}"/>
                </c:ext>
              </c:extLst>
            </c:dLbl>
            <c:dLbl>
              <c:idx val="11"/>
              <c:tx>
                <c:rich>
                  <a:bodyPr/>
                  <a:lstStyle/>
                  <a:p>
                    <a:fld id="{E8836226-4BC5-45E3-9AE1-54D435F58244}"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033C-4530-84A9-991A3866ABD4}"/>
                </c:ext>
              </c:extLst>
            </c:dLbl>
            <c:dLbl>
              <c:idx val="12"/>
              <c:tx>
                <c:rich>
                  <a:bodyPr/>
                  <a:lstStyle/>
                  <a:p>
                    <a:fld id="{5D76D856-4EC0-4682-B28A-6D3B753EC408}"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033C-4530-84A9-991A3866ABD4}"/>
                </c:ext>
              </c:extLst>
            </c:dLbl>
            <c:dLbl>
              <c:idx val="13"/>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033C-4530-84A9-991A3866ABD4}"/>
                </c:ext>
              </c:extLst>
            </c:dLbl>
            <c:dLbl>
              <c:idx val="14"/>
              <c:tx>
                <c:rich>
                  <a:bodyPr/>
                  <a:lstStyle/>
                  <a:p>
                    <a:fld id="{CCE63624-8DA7-4686-823D-2D0D7C361250}"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033C-4530-84A9-991A3866ABD4}"/>
                </c:ext>
              </c:extLst>
            </c:dLbl>
            <c:dLbl>
              <c:idx val="15"/>
              <c:tx>
                <c:rich>
                  <a:bodyPr/>
                  <a:lstStyle/>
                  <a:p>
                    <a:fld id="{86CADCAB-D410-4869-9089-7976AF963878}"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033C-4530-84A9-991A3866ABD4}"/>
                </c:ext>
              </c:extLst>
            </c:dLbl>
            <c:dLbl>
              <c:idx val="16"/>
              <c:tx>
                <c:rich>
                  <a:bodyPr/>
                  <a:lstStyle/>
                  <a:p>
                    <a:fld id="{CC8DC136-2A20-4AF7-BB68-3FF9410B425C}"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033C-4530-84A9-991A3866ABD4}"/>
                </c:ext>
              </c:extLst>
            </c:dLbl>
            <c:dLbl>
              <c:idx val="17"/>
              <c:tx>
                <c:rich>
                  <a:bodyPr/>
                  <a:lstStyle/>
                  <a:p>
                    <a:fld id="{C286A96C-D4B6-416E-B812-E9EACEA12922}"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033C-4530-84A9-991A3866ABD4}"/>
                </c:ext>
              </c:extLst>
            </c:dLbl>
            <c:dLbl>
              <c:idx val="18"/>
              <c:tx>
                <c:rich>
                  <a:bodyPr/>
                  <a:lstStyle/>
                  <a:p>
                    <a:fld id="{C8953203-78EC-4B30-942D-7875E74CC6F9}"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033C-4530-84A9-991A3866ABD4}"/>
                </c:ext>
              </c:extLst>
            </c:dLbl>
            <c:dLbl>
              <c:idx val="19"/>
              <c:tx>
                <c:rich>
                  <a:bodyPr/>
                  <a:lstStyle/>
                  <a:p>
                    <a:fld id="{B57A1A28-7734-4EF8-B25E-84ED76B129C1}"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033C-4530-84A9-991A3866ABD4}"/>
                </c:ext>
              </c:extLst>
            </c:dLbl>
            <c:dLbl>
              <c:idx val="20"/>
              <c:tx>
                <c:rich>
                  <a:bodyPr/>
                  <a:lstStyle/>
                  <a:p>
                    <a:fld id="{1B2133C7-0DD2-4182-AFEB-E73997AAF0B5}"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033C-4530-84A9-991A3866ABD4}"/>
                </c:ext>
              </c:extLst>
            </c:dLbl>
            <c:dLbl>
              <c:idx val="21"/>
              <c:tx>
                <c:rich>
                  <a:bodyPr/>
                  <a:lstStyle/>
                  <a:p>
                    <a:fld id="{334DFD31-33CE-40EE-81E7-4A2B87EA55B8}" type="CELLRANGE">
                      <a:rPr lang="fr-FR" altLang="ja-JP"/>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txPr>
              <a:bodyPr wrap="square" lIns="38100" tIns="19050" rIns="38100" bIns="19050" anchor="ctr">
                <a:spAutoFit/>
              </a:bodyPr>
              <a:lstStyle/>
              <a:p>
                <a:pPr>
                  <a:defRPr lang="ja-JP"/>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values'!$B$76:$W$76</c:f>
                <c:numCache>
                  <c:formatCode>General</c:formatCode>
                  <c:ptCount val="22"/>
                  <c:pt idx="0">
                    <c:v>1.5063371143234121E-2</c:v>
                  </c:pt>
                  <c:pt idx="1">
                    <c:v>3.9900477479834766E-2</c:v>
                  </c:pt>
                  <c:pt idx="2">
                    <c:v>4.7316039826808674E-2</c:v>
                  </c:pt>
                  <c:pt idx="3">
                    <c:v>0.1217733383755436</c:v>
                  </c:pt>
                  <c:pt idx="4">
                    <c:v>6.1144829000850297E-2</c:v>
                  </c:pt>
                  <c:pt idx="5">
                    <c:v>9.6736553899614469E-2</c:v>
                  </c:pt>
                  <c:pt idx="6">
                    <c:v>0.165745488213936</c:v>
                  </c:pt>
                  <c:pt idx="7">
                    <c:v>2.9392655447101297E-2</c:v>
                  </c:pt>
                  <c:pt idx="8">
                    <c:v>2.4781738683666309E-2</c:v>
                  </c:pt>
                  <c:pt idx="9">
                    <c:v>2.7829987319490664E-2</c:v>
                  </c:pt>
                  <c:pt idx="10">
                    <c:v>2.8367559865591883E-2</c:v>
                  </c:pt>
                  <c:pt idx="11">
                    <c:v>3.8688869656063156E-2</c:v>
                  </c:pt>
                  <c:pt idx="12">
                    <c:v>0</c:v>
                  </c:pt>
                  <c:pt idx="14">
                    <c:v>6.8742884127654905E-2</c:v>
                  </c:pt>
                  <c:pt idx="15">
                    <c:v>9.7684978955843133E-2</c:v>
                  </c:pt>
                  <c:pt idx="16">
                    <c:v>3.4430512752257496E-2</c:v>
                  </c:pt>
                  <c:pt idx="17">
                    <c:v>0.14041107504705752</c:v>
                  </c:pt>
                  <c:pt idx="18">
                    <c:v>0.13447160035099057</c:v>
                  </c:pt>
                  <c:pt idx="19">
                    <c:v>0.11750385996890467</c:v>
                  </c:pt>
                  <c:pt idx="20">
                    <c:v>0.139225507199183</c:v>
                  </c:pt>
                  <c:pt idx="21">
                    <c:v>9.5845889280874869E-2</c:v>
                  </c:pt>
                </c:numCache>
              </c:numRef>
            </c:plus>
            <c:minus>
              <c:numRef>
                <c:f>'pooled normalised values'!$B$76:$W$76</c:f>
                <c:numCache>
                  <c:formatCode>General</c:formatCode>
                  <c:ptCount val="22"/>
                  <c:pt idx="0">
                    <c:v>1.5063371143234121E-2</c:v>
                  </c:pt>
                  <c:pt idx="1">
                    <c:v>3.9900477479834766E-2</c:v>
                  </c:pt>
                  <c:pt idx="2">
                    <c:v>4.7316039826808674E-2</c:v>
                  </c:pt>
                  <c:pt idx="3">
                    <c:v>0.1217733383755436</c:v>
                  </c:pt>
                  <c:pt idx="4">
                    <c:v>6.1144829000850297E-2</c:v>
                  </c:pt>
                  <c:pt idx="5">
                    <c:v>9.6736553899614469E-2</c:v>
                  </c:pt>
                  <c:pt idx="6">
                    <c:v>0.165745488213936</c:v>
                  </c:pt>
                  <c:pt idx="7">
                    <c:v>2.9392655447101297E-2</c:v>
                  </c:pt>
                  <c:pt idx="8">
                    <c:v>2.4781738683666309E-2</c:v>
                  </c:pt>
                  <c:pt idx="9">
                    <c:v>2.7829987319490664E-2</c:v>
                  </c:pt>
                  <c:pt idx="10">
                    <c:v>2.8367559865591883E-2</c:v>
                  </c:pt>
                  <c:pt idx="11">
                    <c:v>3.8688869656063156E-2</c:v>
                  </c:pt>
                  <c:pt idx="12">
                    <c:v>0</c:v>
                  </c:pt>
                  <c:pt idx="14">
                    <c:v>6.8742884127654905E-2</c:v>
                  </c:pt>
                  <c:pt idx="15">
                    <c:v>9.7684978955843133E-2</c:v>
                  </c:pt>
                  <c:pt idx="16">
                    <c:v>3.4430512752257496E-2</c:v>
                  </c:pt>
                  <c:pt idx="17">
                    <c:v>0.14041107504705752</c:v>
                  </c:pt>
                  <c:pt idx="18">
                    <c:v>0.13447160035099057</c:v>
                  </c:pt>
                  <c:pt idx="19">
                    <c:v>0.11750385996890467</c:v>
                  </c:pt>
                  <c:pt idx="20">
                    <c:v>0.139225507199183</c:v>
                  </c:pt>
                  <c:pt idx="21">
                    <c:v>9.5845889280874869E-2</c:v>
                  </c:pt>
                </c:numCache>
              </c:numRef>
            </c:minus>
          </c:errBars>
          <c:cat>
            <c:strRef>
              <c:f>'pooled normalised values'!$B$74:$W$74</c:f>
              <c:strCache>
                <c:ptCount val="22"/>
                <c:pt idx="0">
                  <c:v>Solvent control</c:v>
                </c:pt>
                <c:pt idx="1">
                  <c:v>EE2-33.8ng/L</c:v>
                </c:pt>
                <c:pt idx="2">
                  <c:v>EE2-50.6ng/L</c:v>
                </c:pt>
                <c:pt idx="3">
                  <c:v>EE2-76ng/L</c:v>
                </c:pt>
                <c:pt idx="4">
                  <c:v>EE2-114ng/L</c:v>
                </c:pt>
                <c:pt idx="5">
                  <c:v>EE2-170.9ng/L</c:v>
                </c:pt>
                <c:pt idx="6">
                  <c:v>EE2-488ng/L</c:v>
                </c:pt>
                <c:pt idx="7">
                  <c:v>Dutasteride-1mg/L</c:v>
                </c:pt>
                <c:pt idx="8">
                  <c:v>Dutasteride-0.5mg/L</c:v>
                </c:pt>
                <c:pt idx="9">
                  <c:v>Dutasteride-0.25mg/L</c:v>
                </c:pt>
                <c:pt idx="10">
                  <c:v>Dutasteride-0.1mg/L</c:v>
                </c:pt>
                <c:pt idx="11">
                  <c:v>Dutasteride-0.01mg/L</c:v>
                </c:pt>
                <c:pt idx="14">
                  <c:v>Testo -30µg/L</c:v>
                </c:pt>
                <c:pt idx="15">
                  <c:v>Testo 30µg/L + EE2 -64ng/L</c:v>
                </c:pt>
                <c:pt idx="16">
                  <c:v>Testo 30µg/L + FAD-10mg/L</c:v>
                </c:pt>
                <c:pt idx="17">
                  <c:v>Dutasteride-1mg/L + Testostérone</c:v>
                </c:pt>
                <c:pt idx="18">
                  <c:v>Dutasteride-0.5mg/L + Testostérone</c:v>
                </c:pt>
                <c:pt idx="19">
                  <c:v>Dutasteride-0.25mg/L + Testostérone</c:v>
                </c:pt>
                <c:pt idx="20">
                  <c:v>Dutasteride-0.1mg/L + Testostérone</c:v>
                </c:pt>
                <c:pt idx="21">
                  <c:v>Dutasteride-0.01mg/L + Testostérone</c:v>
                </c:pt>
              </c:strCache>
            </c:strRef>
          </c:cat>
          <c:val>
            <c:numRef>
              <c:f>'pooled normalised values'!$B$75:$W$75</c:f>
              <c:numCache>
                <c:formatCode>0.0000</c:formatCode>
                <c:ptCount val="22"/>
                <c:pt idx="0">
                  <c:v>6.6112763966965957E-2</c:v>
                </c:pt>
                <c:pt idx="1">
                  <c:v>0.27094660338588861</c:v>
                </c:pt>
                <c:pt idx="2">
                  <c:v>0.44900306344143054</c:v>
                </c:pt>
                <c:pt idx="3">
                  <c:v>1.0796848930382508</c:v>
                </c:pt>
                <c:pt idx="4">
                  <c:v>1.3272606541731158</c:v>
                </c:pt>
                <c:pt idx="5">
                  <c:v>2.2904998177309692</c:v>
                </c:pt>
                <c:pt idx="6">
                  <c:v>2.7101124304720927</c:v>
                </c:pt>
                <c:pt idx="7">
                  <c:v>0.16994320559684165</c:v>
                </c:pt>
                <c:pt idx="8">
                  <c:v>0.11642429514248663</c:v>
                </c:pt>
                <c:pt idx="9">
                  <c:v>0.1753229392151654</c:v>
                </c:pt>
                <c:pt idx="10">
                  <c:v>0.15926099601186486</c:v>
                </c:pt>
                <c:pt idx="11">
                  <c:v>0.20208256412168249</c:v>
                </c:pt>
                <c:pt idx="12">
                  <c:v>0</c:v>
                </c:pt>
                <c:pt idx="14">
                  <c:v>1</c:v>
                </c:pt>
                <c:pt idx="15">
                  <c:v>1.3902647106602093</c:v>
                </c:pt>
                <c:pt idx="16">
                  <c:v>0.12837263832283294</c:v>
                </c:pt>
                <c:pt idx="17">
                  <c:v>1.1355300904460623</c:v>
                </c:pt>
                <c:pt idx="18">
                  <c:v>1.161167245555448</c:v>
                </c:pt>
                <c:pt idx="19">
                  <c:v>0.94439548446542843</c:v>
                </c:pt>
                <c:pt idx="20">
                  <c:v>1.1171901372316579</c:v>
                </c:pt>
                <c:pt idx="21">
                  <c:v>0.89418097665152363</c:v>
                </c:pt>
              </c:numCache>
            </c:numRef>
          </c:val>
          <c:extLst>
            <c:ext xmlns:c15="http://schemas.microsoft.com/office/drawing/2012/chart" uri="{02D57815-91ED-43cb-92C2-25804820EDAC}">
              <c15:datalabelsRange>
                <c15:f>'pooled normalised values'!$B$83:$W$83</c15:f>
                <c15:dlblRangeCache>
                  <c:ptCount val="22"/>
                  <c:pt idx="1">
                    <c:v>NS</c:v>
                  </c:pt>
                  <c:pt idx="2">
                    <c:v>*</c:v>
                  </c:pt>
                  <c:pt idx="3">
                    <c:v>***</c:v>
                  </c:pt>
                  <c:pt idx="4">
                    <c:v>***</c:v>
                  </c:pt>
                  <c:pt idx="5">
                    <c:v>***</c:v>
                  </c:pt>
                  <c:pt idx="6">
                    <c:v>***</c:v>
                  </c:pt>
                  <c:pt idx="7">
                    <c:v>*</c:v>
                  </c:pt>
                  <c:pt idx="8">
                    <c:v>NS</c:v>
                  </c:pt>
                  <c:pt idx="9">
                    <c:v>*</c:v>
                  </c:pt>
                  <c:pt idx="10">
                    <c:v>*</c:v>
                  </c:pt>
                  <c:pt idx="11">
                    <c:v>**</c:v>
                  </c:pt>
                  <c:pt idx="12">
                    <c:v>#NAME?</c:v>
                  </c:pt>
                  <c:pt idx="14">
                    <c:v>***</c:v>
                  </c:pt>
                  <c:pt idx="15">
                    <c:v>#NAME?</c:v>
                  </c:pt>
                  <c:pt idx="16">
                    <c:v>***</c:v>
                  </c:pt>
                  <c:pt idx="17">
                    <c:v>NS</c:v>
                  </c:pt>
                  <c:pt idx="18">
                    <c:v>NS</c:v>
                  </c:pt>
                  <c:pt idx="19">
                    <c:v>NS</c:v>
                  </c:pt>
                  <c:pt idx="20">
                    <c:v>NS</c:v>
                  </c:pt>
                  <c:pt idx="21">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en-US"/>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en-US"/>
          </a:p>
        </c:txPr>
        <c:crossAx val="434374272"/>
        <c:crosses val="autoZero"/>
        <c:crossBetween val="between"/>
      </c:valAx>
    </c:plotArea>
    <c:plotVisOnly val="1"/>
    <c:dispBlanksAs val="gap"/>
    <c:showDLblsOverMax val="0"/>
  </c:chart>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79"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79"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1" workbookViewId="0" zoomToFit="1"/>
  </sheetViews>
  <pageMargins left="0.7" right="0.7" top="0.75" bottom="0.75" header="0.3" footer="0.3"/>
  <pageSetup paperSize="9" orientation="landscape" r:id="rId1"/>
  <headerFooter>
    <oddFooter>&amp;C&amp;1#&amp;"Arial"&amp;10&amp;K000000Internal</oddFooter>
  </headerFooter>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34" workbookViewId="0"/>
  </sheetViews>
  <pageMargins left="0.7" right="0.7" top="0.75" bottom="0.75" header="0.3" footer="0.3"/>
  <pageSetup paperSize="9" orientation="landscape" r:id="rId1"/>
  <headerFooter>
    <oddFooter>&amp;C&amp;1#&amp;"Arial"&amp;10&amp;K000000Internal</oddFooter>
  </headerFooter>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absoluteAnchor>
    <xdr:pos x="0" y="0"/>
    <xdr:ext cx="9299937" cy="6076709"/>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0.10431</cdr:y>
    </cdr:to>
    <cdr:sp macro="" textlink="">
      <cdr:nvSpPr>
        <cdr:cNvPr id="2" name="ZoneTexte 1"/>
        <cdr:cNvSpPr txBox="1"/>
      </cdr:nvSpPr>
      <cdr:spPr>
        <a:xfrm xmlns:a="http://schemas.openxmlformats.org/drawingml/2006/main">
          <a:off x="3954923" y="103035"/>
          <a:ext cx="1558925" cy="530658"/>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BPA run1</a:t>
          </a:r>
        </a:p>
        <a:p xmlns:a="http://schemas.openxmlformats.org/drawingml/2006/main">
          <a:pPr algn="ctr"/>
          <a:r>
            <a:rPr lang="fr-FR" sz="1400" b="1"/>
            <a:t>20210805</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99937" cy="6076709"/>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84730" cy="6041081"/>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3321" cy="6049086"/>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DP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8" dataDxfId="7" tableBorderDxfId="6">
  <autoFilter ref="A6:F57" xr:uid="{00000000-0009-0000-0100-000001000000}"/>
  <tableColumns count="6">
    <tableColumn id="4" xr3:uid="{00000000-0010-0000-0000-000004000000}" name="Do not fill in" dataDxfId="5">
      <calculatedColumnFormula>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calculatedColumnFormula>
    </tableColumn>
    <tableColumn id="1" xr3:uid="{00000000-0010-0000-0000-000001000000}" name="Do not fill in2" dataDxfId="4">
      <calculatedColumnFormula>A2</calculatedColumnFormula>
    </tableColumn>
    <tableColumn id="2" xr3:uid="{00000000-0010-0000-0000-000002000000}" name="Concentration" dataDxfId="3">
      <calculatedColumnFormula>B2</calculatedColumnFormula>
    </tableColumn>
    <tableColumn id="10" xr3:uid="{00000000-0010-0000-0000-00000A000000}" name="Units" dataDxfId="2"/>
    <tableColumn id="3" xr3:uid="{00000000-0010-0000-0000-000003000000}" name="Chemical name" dataDxfId="1">
      <calculatedColumnFormula>C2</calculatedColumnFormula>
    </tableColumn>
    <tableColumn id="9" xr3:uid="{00000000-0010-0000-0000-000009000000}" name="Do not fill in3"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7" zoomScale="55" zoomScaleNormal="55" workbookViewId="0">
      <selection activeCell="C19" sqref="C19"/>
    </sheetView>
  </sheetViews>
  <sheetFormatPr defaultColWidth="11" defaultRowHeight="39" customHeight="1"/>
  <cols>
    <col min="1" max="1" width="42" bestFit="1" customWidth="1"/>
    <col min="2" max="2" width="33.85546875" style="27" bestFit="1" customWidth="1"/>
    <col min="3" max="3" width="21.28515625" customWidth="1"/>
    <col min="4" max="4" width="30.42578125" customWidth="1"/>
    <col min="5" max="5" width="62.28515625" style="86" bestFit="1" customWidth="1"/>
    <col min="6" max="6" width="56.7109375" bestFit="1" customWidth="1"/>
    <col min="7" max="7" width="19.42578125" customWidth="1"/>
    <col min="8" max="8" width="15.28515625" customWidth="1"/>
    <col min="9" max="9" width="18" customWidth="1"/>
    <col min="10" max="10" width="19.42578125" bestFit="1" customWidth="1"/>
  </cols>
  <sheetData>
    <row r="1" spans="1:9" ht="39" customHeight="1" thickBot="1">
      <c r="A1" s="120"/>
      <c r="B1" s="121"/>
      <c r="C1" s="121"/>
      <c r="D1" s="121"/>
      <c r="E1" s="121"/>
      <c r="F1" s="121"/>
      <c r="G1" s="121"/>
      <c r="H1" s="121"/>
      <c r="I1" s="122"/>
    </row>
    <row r="2" spans="1:9" ht="21.75" thickBot="1">
      <c r="A2" s="105" t="s">
        <v>8</v>
      </c>
      <c r="B2" s="26" t="s">
        <v>57</v>
      </c>
      <c r="C2" s="123"/>
      <c r="D2" s="124"/>
      <c r="E2" s="26" t="s">
        <v>68</v>
      </c>
      <c r="F2" s="135"/>
      <c r="G2" s="136"/>
      <c r="H2" s="136"/>
      <c r="I2" s="137"/>
    </row>
    <row r="3" spans="1:9" ht="21.75" thickBot="1">
      <c r="A3" s="106" t="s">
        <v>9</v>
      </c>
      <c r="B3" s="26" t="s">
        <v>57</v>
      </c>
      <c r="C3" s="125"/>
      <c r="D3" s="126"/>
      <c r="E3" s="26" t="s">
        <v>69</v>
      </c>
      <c r="F3" s="132"/>
      <c r="G3" s="133"/>
      <c r="H3" s="133"/>
      <c r="I3" s="134"/>
    </row>
    <row r="4" spans="1:9" ht="21.75" thickBot="1">
      <c r="A4" s="107" t="s">
        <v>12</v>
      </c>
      <c r="B4" s="26" t="s">
        <v>57</v>
      </c>
      <c r="C4" s="127"/>
      <c r="D4" s="128"/>
      <c r="E4" s="26" t="s">
        <v>73</v>
      </c>
      <c r="F4" s="129"/>
      <c r="G4" s="130"/>
      <c r="H4" s="130"/>
      <c r="I4" s="131"/>
    </row>
    <row r="5" spans="1:9" s="1" customFormat="1" ht="65.25" customHeight="1" thickBot="1">
      <c r="A5" s="120" t="s">
        <v>18</v>
      </c>
      <c r="B5" s="121"/>
      <c r="C5" s="121"/>
      <c r="D5" s="121"/>
      <c r="E5" s="121"/>
      <c r="F5" s="121"/>
      <c r="G5" s="121"/>
      <c r="H5" s="121"/>
      <c r="I5" s="122"/>
    </row>
    <row r="6" spans="1:9" s="66" customFormat="1" ht="39" customHeight="1">
      <c r="A6" s="56" t="s">
        <v>58</v>
      </c>
      <c r="B6" s="57" t="s">
        <v>59</v>
      </c>
      <c r="C6" s="45" t="s">
        <v>10</v>
      </c>
      <c r="D6" s="45" t="s">
        <v>60</v>
      </c>
      <c r="E6" s="83" t="s">
        <v>61</v>
      </c>
      <c r="F6" s="65" t="s">
        <v>62</v>
      </c>
    </row>
    <row r="7" spans="1:9" s="92" customFormat="1" ht="39" customHeight="1">
      <c r="A7"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Solvent control</v>
      </c>
      <c r="B7" s="88" t="s">
        <v>50</v>
      </c>
      <c r="C7" s="89">
        <v>0</v>
      </c>
      <c r="D7" s="90"/>
      <c r="E7" s="91" t="s">
        <v>64</v>
      </c>
      <c r="F7" s="67"/>
    </row>
    <row r="8" spans="1:9" s="92" customFormat="1" ht="39" customHeight="1">
      <c r="A8"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EE2-33.8ng/L</v>
      </c>
      <c r="B8" s="88" t="s">
        <v>50</v>
      </c>
      <c r="C8" s="89" t="s">
        <v>65</v>
      </c>
      <c r="D8" s="90" t="s">
        <v>51</v>
      </c>
      <c r="E8" s="91" t="s">
        <v>52</v>
      </c>
      <c r="F8" s="67"/>
    </row>
    <row r="9" spans="1:9" s="92" customFormat="1" ht="39" customHeight="1">
      <c r="A9"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EE2-50.6ng/L</v>
      </c>
      <c r="B9" s="88" t="s">
        <v>50</v>
      </c>
      <c r="C9" s="89" t="s">
        <v>66</v>
      </c>
      <c r="D9" s="90" t="s">
        <v>51</v>
      </c>
      <c r="E9" s="91" t="s">
        <v>52</v>
      </c>
      <c r="F9" s="67"/>
    </row>
    <row r="10" spans="1:9" s="92" customFormat="1" ht="39" customHeight="1">
      <c r="A10"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EE2-76ng/L</v>
      </c>
      <c r="B10" s="88" t="s">
        <v>50</v>
      </c>
      <c r="C10" s="89">
        <v>76</v>
      </c>
      <c r="D10" s="90" t="s">
        <v>51</v>
      </c>
      <c r="E10" s="91" t="s">
        <v>52</v>
      </c>
      <c r="F10" s="67"/>
    </row>
    <row r="11" spans="1:9" s="92" customFormat="1" ht="39" customHeight="1">
      <c r="A11"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EE2-114ng/L</v>
      </c>
      <c r="B11" s="88" t="s">
        <v>50</v>
      </c>
      <c r="C11" s="89">
        <v>114</v>
      </c>
      <c r="D11" s="90" t="s">
        <v>51</v>
      </c>
      <c r="E11" s="91" t="s">
        <v>52</v>
      </c>
      <c r="F11" s="67"/>
    </row>
    <row r="12" spans="1:9" s="92" customFormat="1" ht="39" customHeight="1">
      <c r="A12"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EE2-170.9ng/L</v>
      </c>
      <c r="B12" s="88" t="s">
        <v>50</v>
      </c>
      <c r="C12" s="89" t="s">
        <v>67</v>
      </c>
      <c r="D12" s="90" t="s">
        <v>51</v>
      </c>
      <c r="E12" s="91" t="s">
        <v>52</v>
      </c>
      <c r="F12" s="67"/>
    </row>
    <row r="13" spans="1:9" s="92" customFormat="1" ht="39" customHeight="1">
      <c r="A13"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EE2-488ng/L</v>
      </c>
      <c r="B13" s="88" t="s">
        <v>50</v>
      </c>
      <c r="C13" s="89">
        <v>488</v>
      </c>
      <c r="D13" s="90" t="s">
        <v>51</v>
      </c>
      <c r="E13" s="91" t="s">
        <v>52</v>
      </c>
      <c r="F13" s="67"/>
    </row>
    <row r="14" spans="1:9" s="92" customFormat="1" ht="39" customHeight="1">
      <c r="A14" s="8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Dutasteride-1mg/L</v>
      </c>
      <c r="B14" s="88" t="s">
        <v>63</v>
      </c>
      <c r="C14" s="89">
        <v>1</v>
      </c>
      <c r="D14" s="90" t="s">
        <v>74</v>
      </c>
      <c r="E14" s="91" t="s">
        <v>75</v>
      </c>
      <c r="F14" s="67"/>
    </row>
    <row r="15" spans="1:9" s="68" customFormat="1" ht="39" customHeight="1">
      <c r="A1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Dutasteride-0.5mg/L</v>
      </c>
      <c r="B15" s="88" t="s">
        <v>63</v>
      </c>
      <c r="C15" s="62">
        <v>0.5</v>
      </c>
      <c r="D15" s="90" t="s">
        <v>74</v>
      </c>
      <c r="E15" s="91" t="s">
        <v>75</v>
      </c>
      <c r="F15" s="67"/>
    </row>
    <row r="16" spans="1:9" s="68" customFormat="1" ht="39" customHeight="1">
      <c r="A1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Dutasteride-0.25mg/L</v>
      </c>
      <c r="B16" s="88" t="s">
        <v>63</v>
      </c>
      <c r="C16" s="62">
        <v>0.25</v>
      </c>
      <c r="D16" s="90" t="s">
        <v>74</v>
      </c>
      <c r="E16" s="91" t="s">
        <v>75</v>
      </c>
      <c r="F16" s="67"/>
    </row>
    <row r="17" spans="1:6" s="68" customFormat="1" ht="39" customHeight="1">
      <c r="A1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Dutasteride-0.1mg/L</v>
      </c>
      <c r="B17" s="88" t="s">
        <v>63</v>
      </c>
      <c r="C17" s="62">
        <v>0.1</v>
      </c>
      <c r="D17" s="90" t="s">
        <v>74</v>
      </c>
      <c r="E17" s="91" t="s">
        <v>75</v>
      </c>
      <c r="F17" s="67"/>
    </row>
    <row r="18" spans="1:6" s="68" customFormat="1" ht="39" customHeight="1">
      <c r="A1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Dutasteride-0.01mg/L</v>
      </c>
      <c r="B18" s="88" t="s">
        <v>63</v>
      </c>
      <c r="C18" s="62">
        <v>0.01</v>
      </c>
      <c r="D18" s="90" t="s">
        <v>74</v>
      </c>
      <c r="E18" s="91" t="s">
        <v>75</v>
      </c>
      <c r="F18" s="67"/>
    </row>
    <row r="19" spans="1:6" s="68" customFormat="1" ht="39" customHeight="1">
      <c r="A1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19" s="88" t="s">
        <v>63</v>
      </c>
      <c r="C19" s="62"/>
      <c r="D19" s="62"/>
      <c r="E19" s="24"/>
      <c r="F19" s="67"/>
    </row>
    <row r="20" spans="1:6" s="68" customFormat="1" ht="39" customHeight="1">
      <c r="A2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0" s="88" t="s">
        <v>63</v>
      </c>
      <c r="C20" s="62"/>
      <c r="D20" s="62"/>
      <c r="E20" s="58"/>
      <c r="F20" s="67"/>
    </row>
    <row r="21" spans="1:6" s="68" customFormat="1" ht="39" customHeight="1">
      <c r="A2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1" s="88" t="s">
        <v>63</v>
      </c>
      <c r="C21" s="62"/>
      <c r="D21" s="62"/>
      <c r="E21" s="24"/>
      <c r="F21" s="67"/>
    </row>
    <row r="22" spans="1:6" s="68" customFormat="1" ht="39" customHeight="1">
      <c r="A2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2" s="88" t="s">
        <v>63</v>
      </c>
      <c r="C22" s="62"/>
      <c r="D22" s="62"/>
      <c r="E22" s="58"/>
      <c r="F22" s="67"/>
    </row>
    <row r="23" spans="1:6" s="68" customFormat="1" ht="39" customHeight="1">
      <c r="A2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3" s="88" t="s">
        <v>63</v>
      </c>
      <c r="C23" s="62"/>
      <c r="D23" s="62"/>
      <c r="E23" s="24"/>
      <c r="F23" s="67"/>
    </row>
    <row r="24" spans="1:6" s="68" customFormat="1" ht="39" customHeight="1">
      <c r="A24"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4" s="88" t="s">
        <v>63</v>
      </c>
      <c r="C24" s="62"/>
      <c r="D24" s="62"/>
      <c r="E24" s="58"/>
      <c r="F24" s="67"/>
    </row>
    <row r="25" spans="1:6" s="68" customFormat="1" ht="39" customHeight="1">
      <c r="A25"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5" s="88" t="s">
        <v>63</v>
      </c>
      <c r="C25" s="62"/>
      <c r="D25" s="62"/>
      <c r="E25" s="24"/>
      <c r="F25" s="67"/>
    </row>
    <row r="26" spans="1:6" s="68" customFormat="1" ht="39" customHeight="1">
      <c r="A26"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6" s="88" t="s">
        <v>63</v>
      </c>
      <c r="C26" s="62"/>
      <c r="D26" s="62"/>
      <c r="E26" s="58"/>
      <c r="F26" s="67"/>
    </row>
    <row r="27" spans="1:6" s="68" customFormat="1" ht="39" customHeight="1">
      <c r="A27"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7" s="88" t="s">
        <v>63</v>
      </c>
      <c r="C27" s="62"/>
      <c r="D27" s="62"/>
      <c r="E27" s="24"/>
      <c r="F27" s="67"/>
    </row>
    <row r="28" spans="1:6" s="68" customFormat="1" ht="39" customHeight="1">
      <c r="A28"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8" s="88" t="s">
        <v>63</v>
      </c>
      <c r="C28" s="62"/>
      <c r="D28" s="62"/>
      <c r="E28" s="58"/>
      <c r="F28" s="67"/>
    </row>
    <row r="29" spans="1:6" s="68" customFormat="1" ht="39" customHeight="1">
      <c r="A29"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29" s="88" t="s">
        <v>63</v>
      </c>
      <c r="C29" s="62"/>
      <c r="D29" s="71"/>
      <c r="E29" s="24"/>
      <c r="F29" s="67"/>
    </row>
    <row r="30" spans="1:6" s="68" customFormat="1" ht="39" customHeight="1">
      <c r="A30"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0" s="88" t="s">
        <v>63</v>
      </c>
      <c r="C30" s="62"/>
      <c r="D30" s="71"/>
      <c r="E30" s="58"/>
      <c r="F30" s="67"/>
    </row>
    <row r="31" spans="1:6" s="68" customFormat="1" ht="39" customHeight="1">
      <c r="A31"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1" s="88" t="s">
        <v>63</v>
      </c>
      <c r="C31" s="62"/>
      <c r="D31" s="71"/>
      <c r="E31" s="24"/>
      <c r="F31" s="67"/>
    </row>
    <row r="32" spans="1:6" s="68" customFormat="1" ht="39" customHeight="1">
      <c r="A32"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2" s="88" t="s">
        <v>63</v>
      </c>
      <c r="C32" s="62"/>
      <c r="D32" s="71"/>
      <c r="E32" s="58"/>
      <c r="F32" s="67"/>
    </row>
    <row r="33" spans="1:6" s="68" customFormat="1" ht="39" customHeight="1">
      <c r="A33" s="46"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3" s="88" t="s">
        <v>63</v>
      </c>
      <c r="C33" s="62"/>
      <c r="D33" s="71"/>
      <c r="E33" s="24"/>
      <c r="F33" s="67"/>
    </row>
    <row r="34" spans="1:6" s="68" customFormat="1" ht="39" customHeight="1" thickBot="1">
      <c r="A34" s="5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
      </c>
      <c r="B34" s="88" t="s">
        <v>63</v>
      </c>
      <c r="C34" s="94"/>
      <c r="D34" s="72"/>
      <c r="E34" s="93"/>
      <c r="F34" s="67"/>
    </row>
    <row r="35" spans="1:6" s="68" customFormat="1" ht="39" customHeight="1">
      <c r="A35" s="9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v>
      </c>
      <c r="B35" s="59" t="s">
        <v>50</v>
      </c>
      <c r="C35" s="63">
        <v>30</v>
      </c>
      <c r="D35" s="73" t="s">
        <v>53</v>
      </c>
      <c r="E35" s="84" t="s">
        <v>11</v>
      </c>
      <c r="F35" s="96"/>
    </row>
    <row r="36" spans="1:6" s="68" customFormat="1" ht="39" customHeight="1">
      <c r="A36" s="97"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EE2 -64ng/L</v>
      </c>
      <c r="B36" s="60" t="s">
        <v>50</v>
      </c>
      <c r="C36" s="64">
        <v>64</v>
      </c>
      <c r="D36" s="74" t="s">
        <v>51</v>
      </c>
      <c r="E36" s="85" t="s">
        <v>54</v>
      </c>
      <c r="F36" s="98"/>
    </row>
    <row r="37" spans="1:6" s="68" customFormat="1" ht="39" customHeight="1" thickBot="1">
      <c r="A37" s="99"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Testo 30µg/L + FAD-10mg/L</v>
      </c>
      <c r="B37" s="100" t="s">
        <v>50</v>
      </c>
      <c r="C37" s="101">
        <v>10</v>
      </c>
      <c r="D37" s="102" t="s">
        <v>55</v>
      </c>
      <c r="E37" s="103" t="s">
        <v>56</v>
      </c>
      <c r="F37" s="104"/>
    </row>
    <row r="38" spans="1:6" s="68" customFormat="1" ht="39" customHeight="1">
      <c r="A38" s="34"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Dutasteride-1mg/L + Testostérone</v>
      </c>
      <c r="B38" s="108" t="str">
        <f>B14</f>
        <v>test chemical</v>
      </c>
      <c r="C38" s="108">
        <f t="shared" ref="C38:E38" si="0">C14</f>
        <v>1</v>
      </c>
      <c r="D38" s="108" t="str">
        <f t="shared" si="0"/>
        <v>mg/L</v>
      </c>
      <c r="E38" s="118" t="str">
        <f t="shared" si="0"/>
        <v>Dutasteride</v>
      </c>
      <c r="F38" s="69" t="s">
        <v>30</v>
      </c>
    </row>
    <row r="39" spans="1:6" s="68" customFormat="1" ht="39" customHeight="1">
      <c r="A3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Dutasteride-0.5mg/L + Testostérone</v>
      </c>
      <c r="B39" s="110" t="str">
        <f t="shared" ref="B39:E39" si="1">B15</f>
        <v>test chemical</v>
      </c>
      <c r="C39" s="110">
        <f t="shared" si="1"/>
        <v>0.5</v>
      </c>
      <c r="D39" s="110" t="str">
        <f t="shared" si="1"/>
        <v>mg/L</v>
      </c>
      <c r="E39" s="64" t="str">
        <f t="shared" si="1"/>
        <v>Dutasteride</v>
      </c>
      <c r="F39" s="70" t="s">
        <v>30</v>
      </c>
    </row>
    <row r="40" spans="1:6" s="68" customFormat="1" ht="39" customHeight="1">
      <c r="A4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Dutasteride-0.25mg/L + Testostérone</v>
      </c>
      <c r="B40" s="110" t="str">
        <f t="shared" ref="B40:E40" si="2">B16</f>
        <v>test chemical</v>
      </c>
      <c r="C40" s="110">
        <f t="shared" si="2"/>
        <v>0.25</v>
      </c>
      <c r="D40" s="110" t="str">
        <f t="shared" si="2"/>
        <v>mg/L</v>
      </c>
      <c r="E40" s="64" t="str">
        <f t="shared" si="2"/>
        <v>Dutasteride</v>
      </c>
      <c r="F40" s="70" t="s">
        <v>30</v>
      </c>
    </row>
    <row r="41" spans="1:6" s="68" customFormat="1" ht="39" customHeight="1">
      <c r="A4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Dutasteride-0.1mg/L + Testostérone</v>
      </c>
      <c r="B41" s="110" t="str">
        <f t="shared" ref="B41:E41" si="3">B17</f>
        <v>test chemical</v>
      </c>
      <c r="C41" s="110">
        <f t="shared" si="3"/>
        <v>0.1</v>
      </c>
      <c r="D41" s="110" t="str">
        <f t="shared" si="3"/>
        <v>mg/L</v>
      </c>
      <c r="E41" s="64" t="str">
        <f t="shared" si="3"/>
        <v>Dutasteride</v>
      </c>
      <c r="F41" s="70" t="s">
        <v>30</v>
      </c>
    </row>
    <row r="42" spans="1:6" s="68" customFormat="1" ht="39" customHeight="1">
      <c r="A4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Dutasteride-0.01mg/L + Testostérone</v>
      </c>
      <c r="B42" s="110" t="str">
        <f t="shared" ref="B42:E42" si="4">B18</f>
        <v>test chemical</v>
      </c>
      <c r="C42" s="110">
        <f t="shared" si="4"/>
        <v>0.01</v>
      </c>
      <c r="D42" s="110" t="str">
        <f t="shared" si="4"/>
        <v>mg/L</v>
      </c>
      <c r="E42" s="64" t="str">
        <f t="shared" si="4"/>
        <v>Dutasteride</v>
      </c>
      <c r="F42" s="70" t="s">
        <v>30</v>
      </c>
    </row>
    <row r="43" spans="1:6" s="68" customFormat="1" ht="39" customHeight="1">
      <c r="A4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3" s="110" t="str">
        <f t="shared" ref="B43:E43" si="5">B19</f>
        <v>test chemical</v>
      </c>
      <c r="C43" s="110">
        <f t="shared" si="5"/>
        <v>0</v>
      </c>
      <c r="D43" s="110">
        <f t="shared" si="5"/>
        <v>0</v>
      </c>
      <c r="E43" s="110">
        <f t="shared" si="5"/>
        <v>0</v>
      </c>
      <c r="F43" s="70" t="s">
        <v>30</v>
      </c>
    </row>
    <row r="44" spans="1:6" s="68" customFormat="1" ht="39" customHeight="1">
      <c r="A4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4" s="110" t="str">
        <f t="shared" ref="B44:E44" si="6">B20</f>
        <v>test chemical</v>
      </c>
      <c r="C44" s="110">
        <f t="shared" si="6"/>
        <v>0</v>
      </c>
      <c r="D44" s="110">
        <f t="shared" si="6"/>
        <v>0</v>
      </c>
      <c r="E44" s="110">
        <f t="shared" si="6"/>
        <v>0</v>
      </c>
      <c r="F44" s="70" t="s">
        <v>30</v>
      </c>
    </row>
    <row r="45" spans="1:6" s="68" customFormat="1" ht="39" customHeight="1">
      <c r="A4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5" s="110" t="str">
        <f t="shared" ref="B45:E45" si="7">B21</f>
        <v>test chemical</v>
      </c>
      <c r="C45" s="110">
        <f t="shared" si="7"/>
        <v>0</v>
      </c>
      <c r="D45" s="110">
        <f t="shared" si="7"/>
        <v>0</v>
      </c>
      <c r="E45" s="110">
        <f t="shared" si="7"/>
        <v>0</v>
      </c>
      <c r="F45" s="70" t="s">
        <v>30</v>
      </c>
    </row>
    <row r="46" spans="1:6" s="68" customFormat="1" ht="39" customHeight="1">
      <c r="A4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6" s="110" t="str">
        <f t="shared" ref="B46:E46" si="8">B22</f>
        <v>test chemical</v>
      </c>
      <c r="C46" s="110">
        <f t="shared" si="8"/>
        <v>0</v>
      </c>
      <c r="D46" s="110">
        <f t="shared" si="8"/>
        <v>0</v>
      </c>
      <c r="E46" s="110">
        <f t="shared" si="8"/>
        <v>0</v>
      </c>
      <c r="F46" s="70" t="s">
        <v>30</v>
      </c>
    </row>
    <row r="47" spans="1:6" s="68" customFormat="1" ht="39" customHeight="1">
      <c r="A47"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7" s="110" t="str">
        <f t="shared" ref="B47:E47" si="9">B23</f>
        <v>test chemical</v>
      </c>
      <c r="C47" s="110">
        <f t="shared" si="9"/>
        <v>0</v>
      </c>
      <c r="D47" s="110">
        <f t="shared" si="9"/>
        <v>0</v>
      </c>
      <c r="E47" s="110">
        <f t="shared" si="9"/>
        <v>0</v>
      </c>
      <c r="F47" s="70" t="s">
        <v>30</v>
      </c>
    </row>
    <row r="48" spans="1:6" s="68" customFormat="1" ht="39" customHeight="1">
      <c r="A48"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8" s="110" t="str">
        <f t="shared" ref="B48:E48" si="10">B24</f>
        <v>test chemical</v>
      </c>
      <c r="C48" s="110">
        <f t="shared" si="10"/>
        <v>0</v>
      </c>
      <c r="D48" s="110">
        <f t="shared" si="10"/>
        <v>0</v>
      </c>
      <c r="E48" s="110">
        <f t="shared" si="10"/>
        <v>0</v>
      </c>
      <c r="F48" s="70" t="s">
        <v>30</v>
      </c>
    </row>
    <row r="49" spans="1:6" s="68" customFormat="1" ht="39" customHeight="1">
      <c r="A49"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49" s="110" t="str">
        <f t="shared" ref="B49:E49" si="11">B25</f>
        <v>test chemical</v>
      </c>
      <c r="C49" s="110">
        <f t="shared" si="11"/>
        <v>0</v>
      </c>
      <c r="D49" s="110">
        <f t="shared" si="11"/>
        <v>0</v>
      </c>
      <c r="E49" s="110">
        <f t="shared" si="11"/>
        <v>0</v>
      </c>
      <c r="F49" s="70" t="s">
        <v>30</v>
      </c>
    </row>
    <row r="50" spans="1:6" s="68" customFormat="1" ht="39" customHeight="1">
      <c r="A50"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0" s="110" t="str">
        <f t="shared" ref="B50:E50" si="12">B26</f>
        <v>test chemical</v>
      </c>
      <c r="C50" s="110">
        <f t="shared" si="12"/>
        <v>0</v>
      </c>
      <c r="D50" s="110">
        <f t="shared" si="12"/>
        <v>0</v>
      </c>
      <c r="E50" s="110">
        <f t="shared" si="12"/>
        <v>0</v>
      </c>
      <c r="F50" s="70" t="s">
        <v>30</v>
      </c>
    </row>
    <row r="51" spans="1:6" s="68" customFormat="1" ht="39" customHeight="1">
      <c r="A51"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1" s="110" t="str">
        <f t="shared" ref="B51:E51" si="13">B27</f>
        <v>test chemical</v>
      </c>
      <c r="C51" s="110">
        <f t="shared" si="13"/>
        <v>0</v>
      </c>
      <c r="D51" s="110">
        <f t="shared" si="13"/>
        <v>0</v>
      </c>
      <c r="E51" s="110">
        <f t="shared" si="13"/>
        <v>0</v>
      </c>
      <c r="F51" s="70" t="s">
        <v>30</v>
      </c>
    </row>
    <row r="52" spans="1:6" s="68" customFormat="1" ht="39" customHeight="1">
      <c r="A52"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2" s="110" t="str">
        <f t="shared" ref="B52:E52" si="14">B28</f>
        <v>test chemical</v>
      </c>
      <c r="C52" s="110">
        <f t="shared" si="14"/>
        <v>0</v>
      </c>
      <c r="D52" s="110">
        <f t="shared" si="14"/>
        <v>0</v>
      </c>
      <c r="E52" s="110">
        <f t="shared" si="14"/>
        <v>0</v>
      </c>
      <c r="F52" s="70" t="s">
        <v>30</v>
      </c>
    </row>
    <row r="53" spans="1:6" s="68" customFormat="1" ht="39" customHeight="1">
      <c r="A53"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3" s="110" t="str">
        <f t="shared" ref="B53:E53" si="15">B29</f>
        <v>test chemical</v>
      </c>
      <c r="C53" s="110">
        <f t="shared" si="15"/>
        <v>0</v>
      </c>
      <c r="D53" s="110">
        <f t="shared" si="15"/>
        <v>0</v>
      </c>
      <c r="E53" s="110">
        <f t="shared" si="15"/>
        <v>0</v>
      </c>
      <c r="F53" s="70" t="s">
        <v>30</v>
      </c>
    </row>
    <row r="54" spans="1:6" s="68" customFormat="1" ht="39" customHeight="1">
      <c r="A54"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4" s="110" t="str">
        <f t="shared" ref="B54:E54" si="16">B30</f>
        <v>test chemical</v>
      </c>
      <c r="C54" s="110">
        <f t="shared" si="16"/>
        <v>0</v>
      </c>
      <c r="D54" s="110">
        <f t="shared" si="16"/>
        <v>0</v>
      </c>
      <c r="E54" s="110">
        <f t="shared" si="16"/>
        <v>0</v>
      </c>
      <c r="F54" s="70" t="s">
        <v>30</v>
      </c>
    </row>
    <row r="55" spans="1:6" s="68" customFormat="1" ht="39" customHeight="1">
      <c r="A55"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5" s="110" t="str">
        <f t="shared" ref="B55:E55" si="17">B31</f>
        <v>test chemical</v>
      </c>
      <c r="C55" s="110">
        <f t="shared" si="17"/>
        <v>0</v>
      </c>
      <c r="D55" s="110">
        <f t="shared" si="17"/>
        <v>0</v>
      </c>
      <c r="E55" s="110">
        <f t="shared" si="17"/>
        <v>0</v>
      </c>
      <c r="F55" s="70" t="s">
        <v>30</v>
      </c>
    </row>
    <row r="56" spans="1:6" s="68" customFormat="1" ht="39" customHeight="1">
      <c r="A56" s="55"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6" s="110" t="str">
        <f t="shared" ref="B56:E56" si="18">B32</f>
        <v>test chemical</v>
      </c>
      <c r="C56" s="110">
        <f t="shared" si="18"/>
        <v>0</v>
      </c>
      <c r="D56" s="110">
        <f t="shared" si="18"/>
        <v>0</v>
      </c>
      <c r="E56" s="110">
        <f t="shared" si="18"/>
        <v>0</v>
      </c>
      <c r="F56" s="70" t="s">
        <v>30</v>
      </c>
    </row>
    <row r="57" spans="1:6" s="68" customFormat="1" ht="39" customHeight="1">
      <c r="A57" s="61" t="str">
        <f>IF(ISBLANK(liste_groupe[[#This Row],[Do not fill in2]])," ",IF(ISBLANK(liste_groupe[[#This Row],[Units]]),CONCATENATE(liste_groupe[[#This Row],[Chemical name]],liste_groupe[[#This Row],[Do not fill in3]]),CONCATENATE(liste_groupe[[#This Row],[Chemical name]],"-",liste_groupe[[#This Row],[Concentration]],liste_groupe[[#This Row],[Units]],liste_groupe[[#This Row],[Do not fill in3]])))</f>
        <v>0-00 + Testostérone</v>
      </c>
      <c r="B57" s="109" t="str">
        <f t="shared" ref="B57:E57" si="19">B33</f>
        <v>test chemical</v>
      </c>
      <c r="C57" s="109">
        <f t="shared" si="19"/>
        <v>0</v>
      </c>
      <c r="D57" s="109">
        <f t="shared" si="19"/>
        <v>0</v>
      </c>
      <c r="E57" s="109">
        <f t="shared" si="19"/>
        <v>0</v>
      </c>
      <c r="F57" s="70" t="s">
        <v>30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2"/>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25" orientation="landscape" r:id="rId1"/>
  <headerFooter>
    <oddHeader>&amp;C&amp;"-,Gras"&amp;20Résultats&amp;R&amp;"-,Gras"&amp;20Page : &amp;P/&amp;P</oddHeader>
    <oddFooter>&amp;C&amp;1#&amp;"Arial"&amp;10&amp;K000000Internal</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G1" activePane="topRight" state="frozen"/>
      <selection pane="topRight" activeCell="O2" sqref="O1:O1048576"/>
    </sheetView>
  </sheetViews>
  <sheetFormatPr defaultColWidth="9.140625" defaultRowHeight="15"/>
  <cols>
    <col min="1" max="1" width="29.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customWidth="1"/>
    <col min="16" max="16" width="26.42578125" customWidth="1"/>
    <col min="17" max="18" width="25.85546875" bestFit="1" customWidth="1"/>
    <col min="19" max="22" width="25.85546875" style="1" customWidth="1"/>
  </cols>
  <sheetData>
    <row r="1" spans="1:22" s="1" customFormat="1" ht="27" thickBot="1">
      <c r="A1" s="138" t="s">
        <v>21</v>
      </c>
      <c r="B1" s="139"/>
      <c r="C1" s="139"/>
      <c r="D1" s="139"/>
      <c r="E1" s="139"/>
      <c r="F1" s="139"/>
      <c r="G1" s="139"/>
      <c r="H1" s="139"/>
      <c r="I1" s="139"/>
      <c r="J1" s="139"/>
      <c r="K1" s="139"/>
      <c r="L1" s="139"/>
      <c r="M1" s="139"/>
      <c r="N1" s="139"/>
      <c r="O1" s="139"/>
      <c r="P1" s="139"/>
      <c r="Q1" s="139"/>
      <c r="R1" s="139"/>
      <c r="S1" s="139"/>
      <c r="T1" s="139"/>
      <c r="U1" s="139"/>
      <c r="V1" s="139"/>
    </row>
    <row r="2" spans="1:22" ht="15.75" thickBot="1">
      <c r="A2"/>
      <c r="B2"/>
      <c r="C2"/>
      <c r="D2"/>
      <c r="E2"/>
      <c r="F2"/>
      <c r="G2"/>
      <c r="H2"/>
      <c r="I2"/>
      <c r="J2"/>
      <c r="K2"/>
      <c r="L2"/>
      <c r="M2"/>
      <c r="N2"/>
      <c r="S2"/>
      <c r="T2"/>
      <c r="U2"/>
      <c r="V2"/>
    </row>
    <row r="3" spans="1:22" ht="15.75" thickBot="1">
      <c r="A3" s="33" t="s">
        <v>8</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Dutasteride-1mg/L</v>
      </c>
      <c r="J4" s="19" t="str">
        <f>'Front page'!A15</f>
        <v>Dutasteride-0.5mg/L</v>
      </c>
      <c r="K4" s="19" t="str">
        <f>'Front page'!A16</f>
        <v>Dutasteride-0.25mg/L</v>
      </c>
      <c r="L4" s="19" t="str">
        <f>'Front page'!A17</f>
        <v>Dutasteride-0.1mg/L</v>
      </c>
      <c r="M4" s="19" t="str">
        <f>'Front page'!A18</f>
        <v>Dutasteride-0.01mg/L</v>
      </c>
      <c r="N4" s="19" t="str">
        <f>'Front page'!A19</f>
        <v/>
      </c>
      <c r="O4" s="20" t="str">
        <f>'Front page'!A35</f>
        <v>Testo -30µg/L</v>
      </c>
      <c r="P4" s="20" t="str">
        <f>'Front page'!A36</f>
        <v>Testo 30µg/L + EE2 -64ng/L</v>
      </c>
      <c r="Q4" s="20" t="str">
        <f>'Front page'!A37</f>
        <v>Testo 30µg/L + FAD-10mg/L</v>
      </c>
      <c r="R4" s="20" t="str">
        <f>'Front page'!A38</f>
        <v>Dutasteride-1mg/L + Testostérone</v>
      </c>
      <c r="S4" s="20" t="str">
        <f>'Front page'!A39</f>
        <v>Dutasteride-0.5mg/L + Testostérone</v>
      </c>
      <c r="T4" s="20" t="str">
        <f>'Front page'!A40</f>
        <v>Dutasteride-0.25mg/L + Testostérone</v>
      </c>
      <c r="U4" s="20" t="str">
        <f>'Front page'!A41</f>
        <v>Dutasteride-0.1mg/L + Testostérone</v>
      </c>
      <c r="V4" s="20" t="str">
        <f>'Front page'!A42</f>
        <v>Dutasteride-0.01mg/L + Testostérone</v>
      </c>
    </row>
    <row r="5" spans="1:22" ht="16.5">
      <c r="A5" s="142" t="s">
        <v>71</v>
      </c>
      <c r="B5" s="117">
        <v>1032709</v>
      </c>
      <c r="C5" s="113">
        <v>2299530</v>
      </c>
      <c r="D5" s="78">
        <v>2122657</v>
      </c>
      <c r="E5" s="78">
        <v>11206942</v>
      </c>
      <c r="F5" s="78">
        <v>5788179</v>
      </c>
      <c r="G5" s="78">
        <v>14380382</v>
      </c>
      <c r="H5" s="78">
        <v>16381498</v>
      </c>
      <c r="I5" s="78">
        <v>1318807</v>
      </c>
      <c r="J5" s="78">
        <v>715082</v>
      </c>
      <c r="K5" s="113">
        <v>1004469</v>
      </c>
      <c r="L5" s="113">
        <v>38503</v>
      </c>
      <c r="M5" s="113">
        <v>712400</v>
      </c>
      <c r="N5" s="12"/>
      <c r="O5" s="78">
        <v>7360714</v>
      </c>
      <c r="P5" s="113">
        <v>9927719</v>
      </c>
      <c r="Q5" s="113">
        <v>828988</v>
      </c>
      <c r="R5" s="78">
        <v>13208384</v>
      </c>
      <c r="S5" s="78">
        <v>5199250</v>
      </c>
      <c r="T5" s="78">
        <v>3668191</v>
      </c>
      <c r="U5" s="78">
        <v>12043901</v>
      </c>
      <c r="V5" s="78">
        <v>7976935</v>
      </c>
    </row>
    <row r="6" spans="1:22" ht="16.5">
      <c r="A6" s="143"/>
      <c r="B6" s="117">
        <v>854313</v>
      </c>
      <c r="C6" s="113">
        <v>3057768</v>
      </c>
      <c r="D6" s="78">
        <v>4189516</v>
      </c>
      <c r="E6" s="78">
        <v>1297234</v>
      </c>
      <c r="F6" s="78">
        <v>8493152</v>
      </c>
      <c r="G6" s="78">
        <v>15053382</v>
      </c>
      <c r="H6" s="78">
        <v>19395577</v>
      </c>
      <c r="I6" s="78">
        <v>2174167</v>
      </c>
      <c r="J6" s="78">
        <v>0</v>
      </c>
      <c r="K6" s="113">
        <v>1457165</v>
      </c>
      <c r="L6" s="113">
        <v>89486</v>
      </c>
      <c r="M6" s="113">
        <v>1540029</v>
      </c>
      <c r="N6" s="12"/>
      <c r="O6" s="78">
        <v>4066439</v>
      </c>
      <c r="P6" s="113">
        <v>8617235</v>
      </c>
      <c r="Q6" s="113">
        <v>31531</v>
      </c>
      <c r="R6" s="78">
        <v>10000869</v>
      </c>
      <c r="S6" s="78">
        <v>11001233</v>
      </c>
      <c r="T6" s="78">
        <v>10310712</v>
      </c>
      <c r="U6" s="78">
        <v>6305054</v>
      </c>
      <c r="V6" s="78">
        <v>4138448</v>
      </c>
    </row>
    <row r="7" spans="1:22" ht="16.5">
      <c r="A7" s="143"/>
      <c r="B7" s="117">
        <v>55338</v>
      </c>
      <c r="C7" s="113">
        <v>3052599</v>
      </c>
      <c r="D7" s="78">
        <v>1424665</v>
      </c>
      <c r="E7" s="78">
        <v>6924664</v>
      </c>
      <c r="F7" s="78">
        <v>11243952</v>
      </c>
      <c r="G7" s="78">
        <v>9793547</v>
      </c>
      <c r="H7" s="78">
        <v>7099700</v>
      </c>
      <c r="I7" s="78">
        <v>1979505</v>
      </c>
      <c r="J7" s="78">
        <v>1960</v>
      </c>
      <c r="K7" s="113">
        <v>422747</v>
      </c>
      <c r="L7" s="113">
        <v>100909</v>
      </c>
      <c r="M7" s="113">
        <v>1902563</v>
      </c>
      <c r="N7" s="12"/>
      <c r="O7" s="78">
        <v>5504108</v>
      </c>
      <c r="P7" s="113">
        <v>6740602</v>
      </c>
      <c r="Q7" s="113">
        <v>806489</v>
      </c>
      <c r="R7" s="78">
        <v>17053295</v>
      </c>
      <c r="S7" s="78">
        <v>12048802</v>
      </c>
      <c r="T7" s="78">
        <v>4276122</v>
      </c>
      <c r="U7" s="78">
        <v>14728978</v>
      </c>
      <c r="V7" s="78">
        <v>7182411</v>
      </c>
    </row>
    <row r="8" spans="1:22" ht="16.5">
      <c r="A8" s="143"/>
      <c r="B8" s="117">
        <v>153624</v>
      </c>
      <c r="C8" s="113">
        <v>237510</v>
      </c>
      <c r="D8" s="78">
        <v>3764141</v>
      </c>
      <c r="E8" s="78">
        <v>4781817</v>
      </c>
      <c r="F8" s="78">
        <v>6618431</v>
      </c>
      <c r="G8" s="78">
        <v>16338893</v>
      </c>
      <c r="H8" s="78">
        <v>23090918</v>
      </c>
      <c r="I8" s="78">
        <v>290467</v>
      </c>
      <c r="J8" s="78">
        <v>304386</v>
      </c>
      <c r="K8" s="113">
        <v>3780</v>
      </c>
      <c r="L8" s="113">
        <v>790825</v>
      </c>
      <c r="M8" s="113">
        <v>971156</v>
      </c>
      <c r="N8" s="12"/>
      <c r="O8" s="78">
        <v>11180636</v>
      </c>
      <c r="P8" s="113">
        <v>5480243</v>
      </c>
      <c r="Q8" s="113">
        <v>0</v>
      </c>
      <c r="R8" s="78">
        <v>8840097</v>
      </c>
      <c r="S8" s="78">
        <v>7370904</v>
      </c>
      <c r="T8" s="78">
        <v>6609412</v>
      </c>
      <c r="U8" s="78">
        <v>5109705</v>
      </c>
      <c r="V8" s="78">
        <v>6852352</v>
      </c>
    </row>
    <row r="9" spans="1:22" ht="16.5">
      <c r="A9" s="143"/>
      <c r="B9" s="117">
        <v>23561</v>
      </c>
      <c r="C9" s="113">
        <v>1431170</v>
      </c>
      <c r="D9" s="78">
        <v>3430568</v>
      </c>
      <c r="E9" s="78">
        <v>4621523</v>
      </c>
      <c r="F9" s="78">
        <v>11454021</v>
      </c>
      <c r="G9" s="78">
        <v>11804479</v>
      </c>
      <c r="H9" s="78">
        <v>25544428</v>
      </c>
      <c r="I9" s="78">
        <v>1014901</v>
      </c>
      <c r="J9" s="78">
        <v>2446662</v>
      </c>
      <c r="K9" s="113">
        <v>432871</v>
      </c>
      <c r="L9" s="113">
        <v>524865</v>
      </c>
      <c r="M9" s="113">
        <v>1888392</v>
      </c>
      <c r="N9" s="12"/>
      <c r="O9" s="78">
        <v>4429486</v>
      </c>
      <c r="P9" s="113">
        <v>10114823</v>
      </c>
      <c r="Q9" s="113">
        <v>0</v>
      </c>
      <c r="R9" s="78">
        <v>5186632</v>
      </c>
      <c r="S9" s="78">
        <v>11776380</v>
      </c>
      <c r="T9" s="78">
        <v>5935940</v>
      </c>
      <c r="U9" s="78">
        <v>13131661</v>
      </c>
      <c r="V9" s="78">
        <v>11509464</v>
      </c>
    </row>
    <row r="10" spans="1:22" ht="16.5">
      <c r="A10" s="143"/>
      <c r="B10" s="117">
        <v>597453</v>
      </c>
      <c r="C10" s="113">
        <v>1968641</v>
      </c>
      <c r="D10" s="78">
        <v>4600272</v>
      </c>
      <c r="E10" s="78">
        <v>6675720</v>
      </c>
      <c r="F10" s="78">
        <v>7454765</v>
      </c>
      <c r="G10" s="78">
        <v>19779371</v>
      </c>
      <c r="H10" s="78">
        <v>21768963</v>
      </c>
      <c r="I10" s="78">
        <v>320098</v>
      </c>
      <c r="J10" s="78">
        <v>70569</v>
      </c>
      <c r="K10" s="113">
        <v>1151030</v>
      </c>
      <c r="L10" s="113">
        <v>3200904</v>
      </c>
      <c r="M10" s="113">
        <v>103646</v>
      </c>
      <c r="N10" s="12"/>
      <c r="O10" s="78">
        <v>8975382</v>
      </c>
      <c r="P10" s="113">
        <v>7395563</v>
      </c>
      <c r="Q10" s="113">
        <v>108489</v>
      </c>
      <c r="R10" s="78">
        <v>7448516</v>
      </c>
      <c r="S10" s="78">
        <v>10368355</v>
      </c>
      <c r="T10" s="78">
        <v>11190868</v>
      </c>
      <c r="U10" s="78">
        <v>7973721</v>
      </c>
      <c r="V10" s="78">
        <v>4733848</v>
      </c>
    </row>
    <row r="11" spans="1:22" ht="16.5">
      <c r="A11" s="143"/>
      <c r="B11" s="117">
        <v>372895</v>
      </c>
      <c r="C11" s="113">
        <v>877763</v>
      </c>
      <c r="D11" s="78">
        <v>4014608</v>
      </c>
      <c r="E11" s="78">
        <v>7618648</v>
      </c>
      <c r="F11" s="78">
        <v>9396807</v>
      </c>
      <c r="G11" s="78">
        <v>16420711</v>
      </c>
      <c r="H11" s="78">
        <v>18734589</v>
      </c>
      <c r="I11" s="78">
        <v>28415</v>
      </c>
      <c r="J11" s="78">
        <v>40564</v>
      </c>
      <c r="K11" s="113">
        <v>851365</v>
      </c>
      <c r="L11" s="113">
        <v>358315</v>
      </c>
      <c r="M11" s="113">
        <v>1437644</v>
      </c>
      <c r="N11" s="12"/>
      <c r="O11" s="78">
        <v>3905752</v>
      </c>
      <c r="P11" s="113">
        <v>14208479</v>
      </c>
      <c r="Q11" s="113">
        <v>445482</v>
      </c>
      <c r="R11" s="78">
        <v>7829128</v>
      </c>
      <c r="S11" s="78">
        <v>6608385</v>
      </c>
      <c r="T11" s="78">
        <v>12213002</v>
      </c>
      <c r="U11" s="78">
        <v>11282880</v>
      </c>
      <c r="V11" s="78">
        <v>6205260</v>
      </c>
    </row>
    <row r="12" spans="1:22" ht="16.5">
      <c r="A12" s="143"/>
      <c r="B12" s="117">
        <v>174862</v>
      </c>
      <c r="C12" s="113"/>
      <c r="D12" s="78">
        <v>2654784</v>
      </c>
      <c r="E12" s="78">
        <v>4157396</v>
      </c>
      <c r="F12" s="78">
        <v>8932439</v>
      </c>
      <c r="G12" s="78">
        <v>16065467</v>
      </c>
      <c r="H12" s="78">
        <v>21527534</v>
      </c>
      <c r="I12" s="78">
        <v>1285414</v>
      </c>
      <c r="J12" s="78">
        <v>338256</v>
      </c>
      <c r="K12" s="113">
        <v>0</v>
      </c>
      <c r="L12" s="113">
        <v>61465</v>
      </c>
      <c r="M12" s="113">
        <v>0</v>
      </c>
      <c r="N12" s="12"/>
      <c r="O12" s="78">
        <v>5340183</v>
      </c>
      <c r="P12" s="113">
        <v>5271590</v>
      </c>
      <c r="Q12" s="113">
        <v>113953</v>
      </c>
      <c r="R12" s="78">
        <v>14515394</v>
      </c>
      <c r="S12" s="78">
        <v>13472784</v>
      </c>
      <c r="T12" s="78">
        <v>8242548</v>
      </c>
      <c r="U12" s="78">
        <v>2842878</v>
      </c>
      <c r="V12" s="78">
        <v>5003194</v>
      </c>
    </row>
    <row r="13" spans="1:22" ht="16.5">
      <c r="A13" s="143"/>
      <c r="B13" s="13"/>
      <c r="C13" s="12"/>
      <c r="D13" s="15"/>
      <c r="E13" s="15"/>
      <c r="F13" s="15"/>
      <c r="G13" s="15"/>
      <c r="H13" s="15"/>
      <c r="I13" s="16"/>
      <c r="J13" s="15"/>
      <c r="K13" s="12"/>
      <c r="L13" s="12"/>
      <c r="M13" s="12"/>
      <c r="N13" s="12"/>
      <c r="O13" s="16">
        <v>4933720</v>
      </c>
      <c r="P13" s="12"/>
      <c r="Q13" s="12"/>
      <c r="R13" s="4"/>
      <c r="S13" s="16"/>
      <c r="T13" s="16"/>
      <c r="U13" s="16"/>
      <c r="V13" s="16"/>
    </row>
    <row r="14" spans="1:22" ht="16.5">
      <c r="A14" s="143"/>
      <c r="B14" s="13"/>
      <c r="C14" s="15"/>
      <c r="D14" s="15"/>
      <c r="E14" s="15"/>
      <c r="F14" s="15"/>
      <c r="G14" s="15"/>
      <c r="H14" s="15"/>
      <c r="I14" s="16"/>
      <c r="J14" s="15"/>
      <c r="K14" s="12"/>
      <c r="L14" s="12"/>
      <c r="M14" s="12"/>
      <c r="N14" s="12"/>
      <c r="O14" s="16">
        <v>8227349</v>
      </c>
      <c r="P14" s="12"/>
      <c r="Q14" s="12"/>
      <c r="R14" s="4"/>
      <c r="S14" s="16"/>
      <c r="T14" s="16"/>
      <c r="U14" s="16"/>
      <c r="V14" s="16"/>
    </row>
    <row r="15" spans="1:22" ht="16.5">
      <c r="A15" s="143"/>
      <c r="B15" s="13"/>
      <c r="C15" s="15"/>
      <c r="D15" s="15"/>
      <c r="E15" s="15"/>
      <c r="F15" s="15"/>
      <c r="G15" s="15"/>
      <c r="H15" s="15"/>
      <c r="I15" s="16"/>
      <c r="J15" s="15"/>
      <c r="K15" s="12"/>
      <c r="L15" s="12"/>
      <c r="M15" s="12"/>
      <c r="N15" s="12"/>
      <c r="O15" s="16">
        <v>6443247</v>
      </c>
      <c r="P15" s="12"/>
      <c r="Q15" s="12"/>
      <c r="R15" s="4"/>
      <c r="S15" s="16"/>
      <c r="T15" s="16"/>
      <c r="U15" s="16"/>
      <c r="V15" s="16"/>
    </row>
    <row r="16" spans="1:22" ht="16.5">
      <c r="A16" s="143"/>
      <c r="B16" s="13"/>
      <c r="C16" s="15"/>
      <c r="D16" s="15"/>
      <c r="E16" s="15"/>
      <c r="F16" s="15"/>
      <c r="G16" s="15"/>
      <c r="H16" s="15"/>
      <c r="I16" s="16"/>
      <c r="J16" s="15"/>
      <c r="K16" s="12"/>
      <c r="L16" s="12"/>
      <c r="M16" s="12"/>
      <c r="N16" s="12"/>
      <c r="O16" s="16">
        <v>2675558</v>
      </c>
      <c r="P16" s="12"/>
      <c r="Q16" s="12"/>
      <c r="R16" s="4"/>
      <c r="S16" s="16"/>
      <c r="T16" s="16"/>
      <c r="U16" s="16"/>
      <c r="V16" s="16"/>
    </row>
    <row r="17" spans="1:22" s="1" customFormat="1" ht="16.5">
      <c r="A17" s="143"/>
      <c r="B17" s="13"/>
      <c r="C17" s="16"/>
      <c r="D17" s="16"/>
      <c r="E17" s="16"/>
      <c r="F17" s="16"/>
      <c r="G17" s="16"/>
      <c r="H17" s="16"/>
      <c r="I17" s="16"/>
      <c r="J17" s="16"/>
      <c r="K17" s="12"/>
      <c r="L17" s="12"/>
      <c r="M17" s="12"/>
      <c r="N17" s="12"/>
      <c r="O17" s="16">
        <v>5709691</v>
      </c>
      <c r="P17" s="12"/>
      <c r="Q17" s="12"/>
      <c r="R17" s="16"/>
      <c r="S17" s="16"/>
      <c r="T17" s="16"/>
      <c r="U17" s="16"/>
      <c r="V17" s="16"/>
    </row>
    <row r="18" spans="1:22" s="1" customFormat="1" ht="16.5">
      <c r="A18" s="143"/>
      <c r="B18" s="13"/>
      <c r="C18" s="16"/>
      <c r="D18" s="16"/>
      <c r="E18" s="16"/>
      <c r="F18" s="16"/>
      <c r="G18" s="16"/>
      <c r="H18" s="16"/>
      <c r="I18" s="16"/>
      <c r="J18" s="16"/>
      <c r="K18" s="12"/>
      <c r="L18" s="12"/>
      <c r="M18" s="12"/>
      <c r="N18" s="12"/>
      <c r="O18" s="16">
        <v>7501272</v>
      </c>
      <c r="P18" s="12"/>
      <c r="Q18" s="12"/>
      <c r="R18" s="16"/>
      <c r="S18" s="16"/>
      <c r="T18" s="16"/>
      <c r="U18" s="16"/>
      <c r="V18" s="16"/>
    </row>
    <row r="19" spans="1:22" s="1" customFormat="1" ht="16.5">
      <c r="A19" s="143"/>
      <c r="B19" s="13"/>
      <c r="C19" s="16"/>
      <c r="D19" s="16"/>
      <c r="E19" s="16"/>
      <c r="F19" s="16"/>
      <c r="G19" s="16"/>
      <c r="H19" s="16"/>
      <c r="I19" s="16"/>
      <c r="J19" s="16"/>
      <c r="K19" s="12"/>
      <c r="L19" s="12"/>
      <c r="M19" s="12"/>
      <c r="N19" s="12"/>
      <c r="O19" s="16">
        <v>7628636</v>
      </c>
      <c r="P19" s="12"/>
      <c r="Q19" s="12"/>
      <c r="R19" s="16"/>
      <c r="S19" s="16"/>
      <c r="T19" s="16"/>
      <c r="U19" s="16"/>
      <c r="V19" s="16"/>
    </row>
    <row r="20" spans="1:22" ht="16.5">
      <c r="A20" s="143"/>
      <c r="B20" s="13"/>
      <c r="C20" s="15"/>
      <c r="D20" s="15"/>
      <c r="E20" s="15"/>
      <c r="F20" s="15"/>
      <c r="G20" s="15"/>
      <c r="H20" s="15"/>
      <c r="I20" s="16"/>
      <c r="J20" s="15"/>
      <c r="K20" s="12"/>
      <c r="L20" s="12"/>
      <c r="M20" s="12"/>
      <c r="N20" s="12"/>
      <c r="O20" s="16"/>
      <c r="P20" s="12"/>
      <c r="Q20" s="12"/>
      <c r="R20" s="4"/>
      <c r="S20" s="16"/>
      <c r="T20" s="16"/>
      <c r="U20" s="16"/>
      <c r="V20" s="16"/>
    </row>
    <row r="21" spans="1:22" s="1" customFormat="1" ht="16.5">
      <c r="A21" s="47"/>
      <c r="B21" s="48"/>
      <c r="C21" s="6"/>
      <c r="D21" s="6"/>
      <c r="E21" s="6"/>
      <c r="F21" s="6"/>
      <c r="G21" s="6"/>
      <c r="H21" s="6"/>
      <c r="I21" s="6"/>
      <c r="J21" s="6"/>
      <c r="K21" s="17"/>
      <c r="L21" s="17"/>
      <c r="M21" s="17"/>
      <c r="N21" s="17"/>
      <c r="O21" s="6"/>
      <c r="P21" s="17"/>
      <c r="Q21" s="17"/>
      <c r="R21" s="6"/>
      <c r="S21" s="6"/>
      <c r="T21" s="6"/>
      <c r="U21" s="6"/>
      <c r="V21" s="6"/>
    </row>
    <row r="22" spans="1:22" s="50" customFormat="1">
      <c r="A22" s="49" t="str">
        <f t="shared" ref="A22:N22" si="0">A4</f>
        <v>Noms des groupes</v>
      </c>
      <c r="B22" s="49" t="str">
        <f t="shared" si="0"/>
        <v>Solvent control</v>
      </c>
      <c r="C22" s="49" t="str">
        <f t="shared" si="0"/>
        <v>EE2-33.8ng/L</v>
      </c>
      <c r="D22" s="49" t="str">
        <f t="shared" si="0"/>
        <v>EE2-50.6ng/L</v>
      </c>
      <c r="E22" s="49" t="str">
        <f t="shared" si="0"/>
        <v>EE2-76ng/L</v>
      </c>
      <c r="F22" s="49" t="str">
        <f t="shared" si="0"/>
        <v>EE2-114ng/L</v>
      </c>
      <c r="G22" s="49" t="str">
        <f t="shared" si="0"/>
        <v>EE2-170.9ng/L</v>
      </c>
      <c r="H22" s="49" t="str">
        <f t="shared" si="0"/>
        <v>EE2-488ng/L</v>
      </c>
      <c r="I22" s="49" t="str">
        <f t="shared" si="0"/>
        <v>Dutasteride-1mg/L</v>
      </c>
      <c r="J22" s="49" t="str">
        <f t="shared" si="0"/>
        <v>Dutasteride-0.5mg/L</v>
      </c>
      <c r="K22" s="49" t="str">
        <f t="shared" si="0"/>
        <v>Dutasteride-0.25mg/L</v>
      </c>
      <c r="L22" s="49" t="str">
        <f t="shared" si="0"/>
        <v>Dutasteride-0.1mg/L</v>
      </c>
      <c r="M22" s="49" t="str">
        <f t="shared" si="0"/>
        <v>Dutasteride-0.01mg/L</v>
      </c>
      <c r="N22" s="49" t="str">
        <f t="shared" si="0"/>
        <v/>
      </c>
      <c r="O22" s="49" t="str">
        <f t="shared" ref="O22:V22" si="1">O4</f>
        <v>Testo -30µg/L</v>
      </c>
      <c r="P22" s="49" t="str">
        <f t="shared" si="1"/>
        <v>Testo 30µg/L + EE2 -64ng/L</v>
      </c>
      <c r="Q22" s="49" t="str">
        <f t="shared" si="1"/>
        <v>Testo 30µg/L + FAD-10mg/L</v>
      </c>
      <c r="R22" s="49" t="str">
        <f t="shared" si="1"/>
        <v>Dutasteride-1mg/L + Testostérone</v>
      </c>
      <c r="S22" s="49" t="str">
        <f t="shared" si="1"/>
        <v>Dutasteride-0.5mg/L + Testostérone</v>
      </c>
      <c r="T22" s="49" t="str">
        <f t="shared" si="1"/>
        <v>Dutasteride-0.25mg/L + Testostérone</v>
      </c>
      <c r="U22" s="49" t="str">
        <f t="shared" si="1"/>
        <v>Dutasteride-0.1mg/L + Testostérone</v>
      </c>
      <c r="V22" s="49" t="str">
        <f t="shared" si="1"/>
        <v>Dutasteride-0.01mg/L + Testostérone</v>
      </c>
    </row>
    <row r="23" spans="1:22">
      <c r="A23" s="5" t="s">
        <v>0</v>
      </c>
      <c r="B23" s="5">
        <f t="shared" ref="B23:N23" si="2">AVERAGE(B5:B20)</f>
        <v>408094.375</v>
      </c>
      <c r="C23" s="5">
        <f t="shared" si="2"/>
        <v>1846425.857142857</v>
      </c>
      <c r="D23" s="5">
        <f t="shared" si="2"/>
        <v>3275151.375</v>
      </c>
      <c r="E23" s="5">
        <f t="shared" si="2"/>
        <v>5910493</v>
      </c>
      <c r="F23" s="5">
        <f t="shared" si="2"/>
        <v>8672718.25</v>
      </c>
      <c r="G23" s="5">
        <f t="shared" si="2"/>
        <v>14954529</v>
      </c>
      <c r="H23" s="5">
        <f t="shared" si="2"/>
        <v>19192900.875</v>
      </c>
      <c r="I23" s="5">
        <f>AVERAGE(I5:I20)</f>
        <v>1051471.75</v>
      </c>
      <c r="J23" s="5">
        <f t="shared" si="2"/>
        <v>489684.875</v>
      </c>
      <c r="K23" s="5">
        <f t="shared" si="2"/>
        <v>665428.375</v>
      </c>
      <c r="L23" s="5">
        <f t="shared" si="2"/>
        <v>645659</v>
      </c>
      <c r="M23" s="5">
        <f t="shared" si="2"/>
        <v>1069478.75</v>
      </c>
      <c r="N23" s="5" t="e">
        <f t="shared" si="2"/>
        <v>#DIV/0!</v>
      </c>
      <c r="O23" s="5">
        <f t="shared" ref="O23:V23" si="3">AVERAGE(O5:O20)</f>
        <v>6258811.5333333332</v>
      </c>
      <c r="P23" s="5">
        <f t="shared" si="3"/>
        <v>8469531.75</v>
      </c>
      <c r="Q23" s="5">
        <f t="shared" si="3"/>
        <v>291866.5</v>
      </c>
      <c r="R23" s="5">
        <f t="shared" si="3"/>
        <v>10510289.375</v>
      </c>
      <c r="S23" s="5">
        <f t="shared" si="3"/>
        <v>9730761.625</v>
      </c>
      <c r="T23" s="5">
        <f t="shared" si="3"/>
        <v>7805849.375</v>
      </c>
      <c r="U23" s="5">
        <f t="shared" si="3"/>
        <v>9177347.25</v>
      </c>
      <c r="V23" s="5">
        <f t="shared" si="3"/>
        <v>6700239</v>
      </c>
    </row>
    <row r="24" spans="1:22">
      <c r="A24" s="3" t="s">
        <v>1</v>
      </c>
      <c r="B24" s="3">
        <f t="shared" ref="B24:N24" si="4">STDEV(B5:B20)</f>
        <v>381314.58048176201</v>
      </c>
      <c r="C24" s="3">
        <f t="shared" si="4"/>
        <v>1067848.2052001317</v>
      </c>
      <c r="D24" s="3">
        <f t="shared" si="4"/>
        <v>1104501.6592902155</v>
      </c>
      <c r="E24" s="3">
        <f t="shared" si="4"/>
        <v>2924652.3983632163</v>
      </c>
      <c r="F24" s="3">
        <f t="shared" si="4"/>
        <v>2035224.2529222846</v>
      </c>
      <c r="G24" s="3">
        <f t="shared" si="4"/>
        <v>3058417.0463649519</v>
      </c>
      <c r="H24" s="3">
        <f t="shared" si="4"/>
        <v>5631843.9398741582</v>
      </c>
      <c r="I24" s="3">
        <f>STDEV(I5:I20)</f>
        <v>793716.91381153022</v>
      </c>
      <c r="J24" s="3">
        <f t="shared" si="4"/>
        <v>827462.92247765872</v>
      </c>
      <c r="K24" s="3">
        <f t="shared" si="4"/>
        <v>535287.30233931052</v>
      </c>
      <c r="L24" s="3">
        <f t="shared" si="4"/>
        <v>1066604.0869945269</v>
      </c>
      <c r="M24" s="3">
        <f t="shared" si="4"/>
        <v>749800.14120426029</v>
      </c>
      <c r="N24" s="3" t="e">
        <f t="shared" si="4"/>
        <v>#DIV/0!</v>
      </c>
      <c r="O24" s="3">
        <f t="shared" ref="O24:V24" si="5">STDEV(O5:O20)</f>
        <v>2238430.0066840495</v>
      </c>
      <c r="P24" s="3">
        <f t="shared" si="5"/>
        <v>2954316.7149447482</v>
      </c>
      <c r="Q24" s="3">
        <f t="shared" si="5"/>
        <v>354634.77113825956</v>
      </c>
      <c r="R24" s="3">
        <f t="shared" si="5"/>
        <v>4037059.7915606117</v>
      </c>
      <c r="S24" s="3">
        <f t="shared" si="5"/>
        <v>2962479.2079784861</v>
      </c>
      <c r="T24" s="3">
        <f t="shared" si="5"/>
        <v>3203872.7334248354</v>
      </c>
      <c r="U24" s="3">
        <f t="shared" si="5"/>
        <v>4233836.4668737752</v>
      </c>
      <c r="V24" s="3">
        <f t="shared" si="5"/>
        <v>2347298.1006870125</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s="1" customFormat="1">
      <c r="A27" s="18" t="s">
        <v>22</v>
      </c>
      <c r="B27" s="19" t="str">
        <f t="shared" ref="B27:N27" si="6">B4</f>
        <v>Solvent control</v>
      </c>
      <c r="C27" s="19" t="str">
        <f t="shared" si="6"/>
        <v>EE2-33.8ng/L</v>
      </c>
      <c r="D27" s="19" t="str">
        <f t="shared" si="6"/>
        <v>EE2-50.6ng/L</v>
      </c>
      <c r="E27" s="19" t="str">
        <f t="shared" si="6"/>
        <v>EE2-76ng/L</v>
      </c>
      <c r="F27" s="19" t="str">
        <f t="shared" si="6"/>
        <v>EE2-114ng/L</v>
      </c>
      <c r="G27" s="19" t="str">
        <f t="shared" si="6"/>
        <v>EE2-170.9ng/L</v>
      </c>
      <c r="H27" s="19" t="str">
        <f t="shared" si="6"/>
        <v>EE2-488ng/L</v>
      </c>
      <c r="I27" s="19" t="str">
        <f t="shared" si="6"/>
        <v>Dutasteride-1mg/L</v>
      </c>
      <c r="J27" s="19" t="str">
        <f t="shared" si="6"/>
        <v>Dutasteride-0.5mg/L</v>
      </c>
      <c r="K27" s="19" t="str">
        <f t="shared" si="6"/>
        <v>Dutasteride-0.25mg/L</v>
      </c>
      <c r="L27" s="19" t="str">
        <f t="shared" si="6"/>
        <v>Dutasteride-0.1mg/L</v>
      </c>
      <c r="M27" s="19" t="str">
        <f t="shared" si="6"/>
        <v>Dutasteride-0.01mg/L</v>
      </c>
      <c r="N27" s="19" t="str">
        <f t="shared" si="6"/>
        <v/>
      </c>
      <c r="O27" s="20" t="str">
        <f t="shared" ref="O27:V27" si="7">O4</f>
        <v>Testo -30µg/L</v>
      </c>
      <c r="P27" s="20" t="str">
        <f t="shared" si="7"/>
        <v>Testo 30µg/L + EE2 -64ng/L</v>
      </c>
      <c r="Q27" s="20" t="str">
        <f t="shared" si="7"/>
        <v>Testo 30µg/L + FAD-10mg/L</v>
      </c>
      <c r="R27" s="20" t="str">
        <f t="shared" si="7"/>
        <v>Dutasteride-1mg/L + Testostérone</v>
      </c>
      <c r="S27" s="20" t="str">
        <f t="shared" si="7"/>
        <v>Dutasteride-0.5mg/L + Testostérone</v>
      </c>
      <c r="T27" s="20" t="str">
        <f t="shared" si="7"/>
        <v>Dutasteride-0.25mg/L + Testostérone</v>
      </c>
      <c r="U27" s="20" t="str">
        <f t="shared" si="7"/>
        <v>Dutasteride-0.1mg/L + Testostérone</v>
      </c>
      <c r="V27" s="20" t="str">
        <f t="shared" si="7"/>
        <v>Dutasteride-0.01mg/L + Testostérone</v>
      </c>
    </row>
    <row r="28" spans="1:22">
      <c r="A28" s="144" t="s">
        <v>72</v>
      </c>
      <c r="B28" s="75">
        <f>IF(B5="","",(B5/$O$23))</f>
        <v>0.16500081437186165</v>
      </c>
      <c r="C28" s="75">
        <f>IF(C5="","",(C5/$O$23))</f>
        <v>0.36740681321894841</v>
      </c>
      <c r="D28" s="75">
        <f>IF(D5="","",(D5/$O$23))</f>
        <v>0.33914697521967241</v>
      </c>
      <c r="E28" s="75">
        <f>IF(E5="","",(E5/$O$23))</f>
        <v>1.7905862703028828</v>
      </c>
      <c r="F28" s="75">
        <f>IF(F5="","",(F5/$O$23))</f>
        <v>0.92480480825683486</v>
      </c>
      <c r="G28" s="75">
        <f>IF(G5="","",(G5/$O$23))</f>
        <v>2.2976218285872014</v>
      </c>
      <c r="H28" s="75">
        <f>IF(H5="","",(H5/$O$23))</f>
        <v>2.6173496218499332</v>
      </c>
      <c r="I28" s="10">
        <f>IF(I5="","",(I5/$O$23))</f>
        <v>0.21071204860160192</v>
      </c>
      <c r="J28" s="10">
        <f>IF(J5="","",(J5/$O$23))</f>
        <v>0.11425204229135173</v>
      </c>
      <c r="K28" s="10">
        <f>IF(K5="","",(K5/$O$23))</f>
        <v>0.16048877564859945</v>
      </c>
      <c r="L28" s="10">
        <f>IF(L5="","",(L5/$O$23))</f>
        <v>6.1518069037451873E-3</v>
      </c>
      <c r="M28" s="10">
        <f>IF(M5="","",(M5/$O$23))</f>
        <v>0.11382352643243569</v>
      </c>
      <c r="N28" s="10" t="str">
        <f>IF(N5="","",(N5/$O$23))</f>
        <v/>
      </c>
      <c r="O28" s="75">
        <f t="shared" ref="O28:V28" si="8">IF(O5="","",(O5/$O$23))</f>
        <v>1.176056182679112</v>
      </c>
      <c r="P28" s="75">
        <f t="shared" si="8"/>
        <v>1.5861987451014796</v>
      </c>
      <c r="Q28" s="75">
        <f t="shared" si="8"/>
        <v>0.13245134409064008</v>
      </c>
      <c r="R28" s="75">
        <f t="shared" si="8"/>
        <v>2.1103661501316124</v>
      </c>
      <c r="S28" s="75">
        <f t="shared" si="8"/>
        <v>0.83070882903402754</v>
      </c>
      <c r="T28" s="75">
        <f t="shared" si="8"/>
        <v>0.58608427182442824</v>
      </c>
      <c r="U28" s="75">
        <f t="shared" si="8"/>
        <v>1.9243111788645966</v>
      </c>
      <c r="V28" s="75">
        <f t="shared" si="8"/>
        <v>1.2745127341694573</v>
      </c>
    </row>
    <row r="29" spans="1:22">
      <c r="A29" s="145"/>
      <c r="B29" s="75">
        <f>IF(B6="","",(B6/$O$23))</f>
        <v>0.13649763944002447</v>
      </c>
      <c r="C29" s="75">
        <f>IF(C6="","",(C6/$O$23))</f>
        <v>0.48855409429008423</v>
      </c>
      <c r="D29" s="75">
        <f>IF(D6="","",(D6/$O$23))</f>
        <v>0.6693788393670862</v>
      </c>
      <c r="E29" s="75">
        <f>IF(E6="","",(E6/$O$23))</f>
        <v>0.2072652280854215</v>
      </c>
      <c r="F29" s="75">
        <f>IF(F6="","",(F6/$O$23))</f>
        <v>1.3569911723283183</v>
      </c>
      <c r="G29" s="75">
        <f>IF(G6="","",(G6/$O$23))</f>
        <v>2.4051502301720262</v>
      </c>
      <c r="H29" s="75">
        <f>IF(H6="","",(H6/$O$23))</f>
        <v>3.0989233174225741</v>
      </c>
      <c r="I29" s="10">
        <f>IF(I6="","",(I6/$O$23))</f>
        <v>0.34737697219684083</v>
      </c>
      <c r="J29" s="10">
        <f>IF(J6="","",(J6/$O$23))</f>
        <v>0</v>
      </c>
      <c r="K29" s="10">
        <f>IF(K6="","",(K6/$O$23))</f>
        <v>0.23281816240022479</v>
      </c>
      <c r="L29" s="10">
        <f>IF(L6="","",(L6/$O$23))</f>
        <v>1.4297602591708225E-2</v>
      </c>
      <c r="M29" s="10">
        <f>IF(M6="","",(M6/$O$23))</f>
        <v>0.24605773664825589</v>
      </c>
      <c r="N29" s="10" t="str">
        <f>IF(N6="","",(N6/$O$23))</f>
        <v/>
      </c>
      <c r="O29" s="75">
        <f t="shared" ref="O29:V29" si="9">IF(O6="","",(O6/$O$23))</f>
        <v>0.64971424340593398</v>
      </c>
      <c r="P29" s="75">
        <f t="shared" si="9"/>
        <v>1.3768165016802498</v>
      </c>
      <c r="Q29" s="75">
        <f t="shared" si="9"/>
        <v>5.0378574002542531E-3</v>
      </c>
      <c r="R29" s="75">
        <f t="shared" si="9"/>
        <v>1.597886267502564</v>
      </c>
      <c r="S29" s="75">
        <f t="shared" si="9"/>
        <v>1.7577191678339188</v>
      </c>
      <c r="T29" s="75">
        <f t="shared" si="9"/>
        <v>1.6473913529888151</v>
      </c>
      <c r="U29" s="75">
        <f t="shared" si="9"/>
        <v>1.0073883781961459</v>
      </c>
      <c r="V29" s="75">
        <f t="shared" si="9"/>
        <v>0.66121946282602562</v>
      </c>
    </row>
    <row r="30" spans="1:22">
      <c r="A30" s="145"/>
      <c r="B30" s="75">
        <f>IF(B7="","",(B7/$O$23))</f>
        <v>8.841614690789059E-3</v>
      </c>
      <c r="C30" s="75">
        <f>IF(C7="","",(C7/$O$23))</f>
        <v>0.48772821864700555</v>
      </c>
      <c r="D30" s="75">
        <f>IF(D7="","",(D7/$O$23))</f>
        <v>0.22762548327465748</v>
      </c>
      <c r="E30" s="75">
        <f>IF(E7="","",(E7/$O$23))</f>
        <v>1.1063864062882312</v>
      </c>
      <c r="F30" s="75">
        <f>IF(F7="","",(F7/$O$23))</f>
        <v>1.7964995335163365</v>
      </c>
      <c r="G30" s="75">
        <f>IF(G7="","",(G7/$O$23))</f>
        <v>1.5647614483742298</v>
      </c>
      <c r="H30" s="75">
        <f>IF(H7="","",(H7/$O$23))</f>
        <v>1.1343527380858558</v>
      </c>
      <c r="I30" s="10">
        <f>IF(I7="","",(I7/$O$23))</f>
        <v>0.31627490130634278</v>
      </c>
      <c r="J30" s="10">
        <f>IF(J7="","",(J7/$O$23))</f>
        <v>3.1315849495729077E-4</v>
      </c>
      <c r="K30" s="10">
        <f>IF(K7="","",(K7/$O$23))</f>
        <v>6.7544292993729493E-2</v>
      </c>
      <c r="L30" s="10">
        <f>IF(L7="","",(L7/$O$23))</f>
        <v>1.6122709473288397E-2</v>
      </c>
      <c r="M30" s="10">
        <f>IF(M7="","",(M7/$O$23))</f>
        <v>0.30398151308236121</v>
      </c>
      <c r="N30" s="10" t="str">
        <f>IF(N7="","",(N7/$O$23))</f>
        <v/>
      </c>
      <c r="O30" s="75">
        <f t="shared" ref="O30:V30" si="10">IF(O7="","",(O7/$O$23))</f>
        <v>0.87941743742978762</v>
      </c>
      <c r="P30" s="75">
        <f t="shared" si="10"/>
        <v>1.0769779476663797</v>
      </c>
      <c r="Q30" s="75">
        <f t="shared" si="10"/>
        <v>0.12885657216306656</v>
      </c>
      <c r="R30" s="75">
        <f t="shared" si="10"/>
        <v>2.724685814419741</v>
      </c>
      <c r="S30" s="75">
        <f t="shared" si="10"/>
        <v>1.9250942348767321</v>
      </c>
      <c r="T30" s="75">
        <f t="shared" si="10"/>
        <v>0.68321629070089807</v>
      </c>
      <c r="U30" s="75">
        <f t="shared" si="10"/>
        <v>2.3533186646627788</v>
      </c>
      <c r="V30" s="75">
        <f t="shared" si="10"/>
        <v>1.1475678667983111</v>
      </c>
    </row>
    <row r="31" spans="1:22">
      <c r="A31" s="145"/>
      <c r="B31" s="75">
        <f>IF(B8="","",(B8/$O$23))</f>
        <v>2.4545235014958592E-2</v>
      </c>
      <c r="C31" s="75">
        <f>IF(C8="","",(C8/$O$23))</f>
        <v>3.7948099049645988E-2</v>
      </c>
      <c r="D31" s="75">
        <f>IF(D8="","",(D8/$O$23))</f>
        <v>0.60141465835052621</v>
      </c>
      <c r="E31" s="75">
        <f>IF(E8="","",(E8/$O$23))</f>
        <v>0.76401357902101397</v>
      </c>
      <c r="F31" s="75">
        <f>IF(F8="","",(F8/$O$23))</f>
        <v>1.0574581076217739</v>
      </c>
      <c r="G31" s="75">
        <f>IF(G8="","",(G8/$O$23))</f>
        <v>2.6105424189531701</v>
      </c>
      <c r="H31" s="75">
        <f>IF(H8="","",(H8/$O$23))</f>
        <v>3.6893454735011302</v>
      </c>
      <c r="I31" s="10">
        <f>IF(I8="","",(I8/$O$23))</f>
        <v>4.6409290078958866E-2</v>
      </c>
      <c r="J31" s="10">
        <f>IF(J8="","",(J8/$O$23))</f>
        <v>4.8633194717382609E-2</v>
      </c>
      <c r="K31" s="10">
        <f>IF(K8="","",(K8/$O$23))</f>
        <v>6.0394852598906078E-4</v>
      </c>
      <c r="L31" s="10">
        <f>IF(L8="","",(L8/$O$23))</f>
        <v>0.12635386059928544</v>
      </c>
      <c r="M31" s="10">
        <f>IF(M8="","",(M8/$O$23))</f>
        <v>0.15516619965752176</v>
      </c>
      <c r="N31" s="10" t="str">
        <f>IF(N8="","",(N8/$O$23))</f>
        <v/>
      </c>
      <c r="O31" s="75">
        <f t="shared" ref="O31:V31" si="11">IF(O8="","",(O8/$O$23))</f>
        <v>1.7863832359312775</v>
      </c>
      <c r="P31" s="75">
        <f t="shared" si="11"/>
        <v>0.87560441320419802</v>
      </c>
      <c r="Q31" s="75">
        <f t="shared" si="11"/>
        <v>0</v>
      </c>
      <c r="R31" s="75">
        <f t="shared" si="11"/>
        <v>1.4124242203043169</v>
      </c>
      <c r="S31" s="75">
        <f t="shared" si="11"/>
        <v>1.1776842873034052</v>
      </c>
      <c r="T31" s="75">
        <f t="shared" si="11"/>
        <v>1.0560170992207434</v>
      </c>
      <c r="U31" s="75">
        <f t="shared" si="11"/>
        <v>0.81640179973252214</v>
      </c>
      <c r="V31" s="75">
        <f t="shared" si="11"/>
        <v>1.094832775121215</v>
      </c>
    </row>
    <row r="32" spans="1:22">
      <c r="A32" s="145"/>
      <c r="B32" s="75">
        <f>IF(B9="","",(B9/$O$23))</f>
        <v>3.7644527039228204E-3</v>
      </c>
      <c r="C32" s="75">
        <f>IF(C9="","",(C9/$O$23))</f>
        <v>0.22866481797348256</v>
      </c>
      <c r="D32" s="75">
        <f>IF(D9="","",(D9/$O$23))</f>
        <v>0.54811811822889955</v>
      </c>
      <c r="E32" s="75">
        <f>IF(E9="","",(E9/$O$23))</f>
        <v>0.73840264647474663</v>
      </c>
      <c r="F32" s="75">
        <f>IF(F9="","",(F9/$O$23))</f>
        <v>1.8300632538618382</v>
      </c>
      <c r="G32" s="75">
        <f>IF(G9="","",(G9/$O$23))</f>
        <v>1.8860575905076249</v>
      </c>
      <c r="H32" s="75">
        <f>IF(H9="","",(H9/$O$23))</f>
        <v>4.0813544015433045</v>
      </c>
      <c r="I32" s="10">
        <f>IF(I9="","",(I9/$O$23))</f>
        <v>0.1621555457605354</v>
      </c>
      <c r="J32" s="10">
        <f>IF(J9="","",(J9/$O$23))</f>
        <v>0.39091479060673212</v>
      </c>
      <c r="K32" s="10">
        <f>IF(K9="","",(K9/$O$23))</f>
        <v>6.916185248502929E-2</v>
      </c>
      <c r="L32" s="10">
        <f>IF(L9="","",(L9/$O$23))</f>
        <v>8.3860170130488992E-2</v>
      </c>
      <c r="M32" s="10">
        <f>IF(M9="","",(M9/$O$23))</f>
        <v>0.30171734520887156</v>
      </c>
      <c r="N32" s="10" t="str">
        <f>IF(N9="","",(N9/$O$23))</f>
        <v/>
      </c>
      <c r="O32" s="75">
        <f t="shared" ref="O32:V32" si="12">IF(O9="","",(O9/$O$23))</f>
        <v>0.7077199842828521</v>
      </c>
      <c r="P32" s="75">
        <f t="shared" si="12"/>
        <v>1.6160932384894842</v>
      </c>
      <c r="Q32" s="75">
        <f t="shared" si="12"/>
        <v>0</v>
      </c>
      <c r="R32" s="75">
        <f t="shared" si="12"/>
        <v>0.82869279133536888</v>
      </c>
      <c r="S32" s="75">
        <f t="shared" si="12"/>
        <v>1.8815680800230306</v>
      </c>
      <c r="T32" s="75">
        <f t="shared" si="12"/>
        <v>0.9484132839575411</v>
      </c>
      <c r="U32" s="75">
        <f t="shared" si="12"/>
        <v>2.0981077525762002</v>
      </c>
      <c r="V32" s="75">
        <f t="shared" si="12"/>
        <v>1.8389216449005714</v>
      </c>
    </row>
    <row r="33" spans="1:22">
      <c r="A33" s="145"/>
      <c r="B33" s="75">
        <f>IF(B10="","",(B10/$O$23))</f>
        <v>9.5457899126386858E-2</v>
      </c>
      <c r="C33" s="75">
        <f>IF(C10="","",(C10/$O$23))</f>
        <v>0.31453910850572236</v>
      </c>
      <c r="D33" s="75">
        <f>IF(D10="","",(D10/$O$23))</f>
        <v>0.73500727342559491</v>
      </c>
      <c r="E33" s="75">
        <f>IF(E10="","",(E10/$O$23))</f>
        <v>1.0666114428348394</v>
      </c>
      <c r="F33" s="75">
        <f>IF(F10="","",(F10/$O$23))</f>
        <v>1.1910831569695346</v>
      </c>
      <c r="G33" s="75">
        <f>IF(G10="","",(G10/$O$23))</f>
        <v>3.160243904878512</v>
      </c>
      <c r="H33" s="75">
        <f>IF(H10="","",(H10/$O$23))</f>
        <v>3.4781304540106888</v>
      </c>
      <c r="I33" s="10">
        <f>IF(I10="","",(I10/$O$23))</f>
        <v>5.114357546879534E-2</v>
      </c>
      <c r="J33" s="10">
        <f>IF(J10="","",(J10/$O$23))</f>
        <v>1.1275143791143395E-2</v>
      </c>
      <c r="K33" s="10">
        <f>IF(K10="","",(K10/$O$23))</f>
        <v>0.18390552165851551</v>
      </c>
      <c r="L33" s="10">
        <f>IF(L10="","",(L10/$O$23))</f>
        <v>0.5114236118075367</v>
      </c>
      <c r="M33" s="10">
        <f>IF(M10="","",(M10/$O$23))</f>
        <v>1.6560012943032328E-2</v>
      </c>
      <c r="N33" s="10" t="str">
        <f>IF(N10="","",(N10/$O$23))</f>
        <v/>
      </c>
      <c r="O33" s="75">
        <f t="shared" ref="O33:V33" si="13">IF(O10="","",(O10/$O$23))</f>
        <v>1.4340393463197747</v>
      </c>
      <c r="P33" s="75">
        <f t="shared" si="13"/>
        <v>1.1816241726744012</v>
      </c>
      <c r="Q33" s="75">
        <f t="shared" si="13"/>
        <v>1.7333802020113021E-2</v>
      </c>
      <c r="R33" s="75">
        <f t="shared" si="13"/>
        <v>1.1900847246047448</v>
      </c>
      <c r="S33" s="75">
        <f t="shared" si="13"/>
        <v>1.6566012484606636</v>
      </c>
      <c r="T33" s="75">
        <f t="shared" si="13"/>
        <v>1.7880180510947483</v>
      </c>
      <c r="U33" s="75">
        <f t="shared" si="13"/>
        <v>1.2739992181476243</v>
      </c>
      <c r="V33" s="75">
        <f t="shared" si="13"/>
        <v>0.75634934440641888</v>
      </c>
    </row>
    <row r="34" spans="1:22">
      <c r="A34" s="145"/>
      <c r="B34" s="75">
        <f>IF(B11="","",(B11/$O$23))</f>
        <v>5.9579202539336198E-2</v>
      </c>
      <c r="C34" s="75">
        <f>IF(C11="","",(C11/$O$23))</f>
        <v>0.14024435714754921</v>
      </c>
      <c r="D34" s="75">
        <f>IF(D11="","",(D11/$O$23))</f>
        <v>0.64143295873647921</v>
      </c>
      <c r="E34" s="75">
        <f>IF(E11="","",(E11/$O$23))</f>
        <v>1.2172675210660069</v>
      </c>
      <c r="F34" s="75">
        <f>IF(F11="","",(F11/$O$23))</f>
        <v>1.5013724171041503</v>
      </c>
      <c r="G34" s="75">
        <f>IF(G11="","",(G11/$O$23))</f>
        <v>2.623614868820729</v>
      </c>
      <c r="H34" s="75">
        <f>IF(H11="","",(H11/$O$23))</f>
        <v>2.9933141300425588</v>
      </c>
      <c r="I34" s="10">
        <f>IF(I11="","",(I11/$O$23))</f>
        <v>4.5399993031690908E-3</v>
      </c>
      <c r="J34" s="10">
        <f>IF(J11="","",(J11/$O$23))</f>
        <v>6.4811026476773179E-3</v>
      </c>
      <c r="K34" s="10">
        <f>IF(K11="","",(K11/$O$23))</f>
        <v>0.13602662349964992</v>
      </c>
      <c r="L34" s="10">
        <f>IF(L11="","",(L11/$O$23))</f>
        <v>5.7249686796235537E-2</v>
      </c>
      <c r="M34" s="10">
        <f>IF(M11="","",(M11/$O$23))</f>
        <v>0.22969919965529559</v>
      </c>
      <c r="N34" s="10" t="str">
        <f>IF(N11="","",(N11/$O$23))</f>
        <v/>
      </c>
      <c r="O34" s="75">
        <f t="shared" ref="O34:V34" si="14">IF(O11="","",(O11/$O$23))</f>
        <v>0.62404051938593286</v>
      </c>
      <c r="P34" s="75">
        <f t="shared" si="14"/>
        <v>2.2701560710572815</v>
      </c>
      <c r="Q34" s="75">
        <f t="shared" si="14"/>
        <v>7.1176771760491739E-2</v>
      </c>
      <c r="R34" s="75">
        <f t="shared" si="14"/>
        <v>1.2508969088306041</v>
      </c>
      <c r="S34" s="75">
        <f t="shared" si="14"/>
        <v>1.0558530105603756</v>
      </c>
      <c r="T34" s="75">
        <f t="shared" si="14"/>
        <v>1.9513292475665216</v>
      </c>
      <c r="U34" s="75">
        <f t="shared" si="14"/>
        <v>1.80271924468557</v>
      </c>
      <c r="V34" s="75">
        <f t="shared" si="14"/>
        <v>0.99144381756055011</v>
      </c>
    </row>
    <row r="35" spans="1:22">
      <c r="A35" s="145"/>
      <c r="B35" s="75">
        <f>IF(B12="","",(B12/$O$23))</f>
        <v>2.7938530992460093E-2</v>
      </c>
      <c r="C35" s="75" t="str">
        <f>IF(C12="","",(C12/$O$23))</f>
        <v/>
      </c>
      <c r="D35" s="75">
        <f>IF(D12="","",(D12/$O$23))</f>
        <v>0.42416742952892666</v>
      </c>
      <c r="E35" s="75">
        <f>IF(E12="","",(E12/$O$23))</f>
        <v>0.66424687464360244</v>
      </c>
      <c r="F35" s="75">
        <f>IF(F12="","",(F12/$O$23))</f>
        <v>1.427178139560106</v>
      </c>
      <c r="G35" s="75">
        <f>IF(G12="","",(G12/$O$23))</f>
        <v>2.566855850258174</v>
      </c>
      <c r="H35" s="75">
        <f>IF(H12="","",(H12/$O$23))</f>
        <v>3.4395561977458704</v>
      </c>
      <c r="I35" s="10">
        <f>IF(I12="","",(I12/$O$23))</f>
        <v>0.20537669063113825</v>
      </c>
      <c r="J35" s="10">
        <f>IF(J12="","",(J12/$O$23))</f>
        <v>5.4044765239935386E-2</v>
      </c>
      <c r="K35" s="10">
        <f>IF(K12="","",(K12/$O$23))</f>
        <v>0</v>
      </c>
      <c r="L35" s="10">
        <f>IF(L12="","",(L12/$O$23))</f>
        <v>9.8205545370152435E-3</v>
      </c>
      <c r="M35" s="10">
        <f>IF(M12="","",(M12/$O$23))</f>
        <v>0</v>
      </c>
      <c r="N35" s="10" t="str">
        <f>IF(N12="","",(N12/$O$23))</f>
        <v/>
      </c>
      <c r="O35" s="75">
        <f t="shared" ref="O35:V35" si="15">IF(O12="","",(O12/$O$23))</f>
        <v>0.85322636279413777</v>
      </c>
      <c r="P35" s="75">
        <f t="shared" si="15"/>
        <v>0.84226693389382878</v>
      </c>
      <c r="Q35" s="75">
        <f t="shared" si="15"/>
        <v>1.8206811212177629E-2</v>
      </c>
      <c r="R35" s="75">
        <f t="shared" si="15"/>
        <v>2.3191933360980044</v>
      </c>
      <c r="S35" s="75">
        <f t="shared" si="15"/>
        <v>2.1526105920023815</v>
      </c>
      <c r="T35" s="75">
        <f t="shared" si="15"/>
        <v>1.3169509828026669</v>
      </c>
      <c r="U35" s="75">
        <f t="shared" si="15"/>
        <v>0.4542200999118331</v>
      </c>
      <c r="V35" s="75">
        <f t="shared" si="15"/>
        <v>0.79938403215272835</v>
      </c>
    </row>
    <row r="36" spans="1:22" s="1" customFormat="1">
      <c r="A36" s="145"/>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ref="O36:V36" si="16">IF(O13="","",(O13/$O$23))</f>
        <v>0.788283841704431</v>
      </c>
      <c r="P36" s="10" t="str">
        <f t="shared" si="16"/>
        <v/>
      </c>
      <c r="Q36" s="10" t="str">
        <f t="shared" si="16"/>
        <v/>
      </c>
      <c r="R36" s="10" t="str">
        <f t="shared" si="16"/>
        <v/>
      </c>
      <c r="S36" s="10" t="str">
        <f t="shared" si="16"/>
        <v/>
      </c>
      <c r="T36" s="10" t="str">
        <f t="shared" si="16"/>
        <v/>
      </c>
      <c r="U36" s="10" t="str">
        <f t="shared" si="16"/>
        <v/>
      </c>
      <c r="V36" s="10" t="str">
        <f t="shared" si="16"/>
        <v/>
      </c>
    </row>
    <row r="37" spans="1:22" s="1" customFormat="1">
      <c r="A37" s="145"/>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ref="O37:V37" si="17">IF(O14="","",(O14/$O$23))</f>
        <v>1.314522566494067</v>
      </c>
      <c r="P37" s="10" t="str">
        <f t="shared" si="17"/>
        <v/>
      </c>
      <c r="Q37" s="10" t="str">
        <f t="shared" si="17"/>
        <v/>
      </c>
      <c r="R37" s="10" t="str">
        <f t="shared" si="17"/>
        <v/>
      </c>
      <c r="S37" s="10" t="str">
        <f t="shared" si="17"/>
        <v/>
      </c>
      <c r="T37" s="10" t="str">
        <f t="shared" si="17"/>
        <v/>
      </c>
      <c r="U37" s="10" t="str">
        <f t="shared" si="17"/>
        <v/>
      </c>
      <c r="V37" s="10" t="str">
        <f t="shared" si="17"/>
        <v/>
      </c>
    </row>
    <row r="38" spans="1:22" s="1" customFormat="1">
      <c r="A38" s="145"/>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R38" si="18">IF(O15="","",(O15/$O$23))</f>
        <v>1.0294681291622851</v>
      </c>
      <c r="P38" s="10" t="str">
        <f t="shared" si="18"/>
        <v/>
      </c>
      <c r="Q38" s="10" t="str">
        <f t="shared" si="18"/>
        <v/>
      </c>
      <c r="R38" s="10" t="str">
        <f t="shared" si="18"/>
        <v/>
      </c>
      <c r="S38" s="10" t="str">
        <f t="shared" ref="S38:V38" si="19">IF(S15="","",(S15/$O$23))</f>
        <v/>
      </c>
      <c r="T38" s="10" t="str">
        <f t="shared" si="19"/>
        <v/>
      </c>
      <c r="U38" s="10" t="str">
        <f t="shared" si="19"/>
        <v/>
      </c>
      <c r="V38" s="10" t="str">
        <f t="shared" si="19"/>
        <v/>
      </c>
    </row>
    <row r="39" spans="1:22" s="1" customFormat="1">
      <c r="A39" s="145"/>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R39" si="20">IF(O16="","",(O16/$O$23))</f>
        <v>0.42748659002598927</v>
      </c>
      <c r="P39" s="10" t="str">
        <f t="shared" si="20"/>
        <v/>
      </c>
      <c r="Q39" s="10" t="str">
        <f t="shared" si="20"/>
        <v/>
      </c>
      <c r="R39" s="10" t="str">
        <f t="shared" si="20"/>
        <v/>
      </c>
      <c r="S39" s="10" t="str">
        <f t="shared" ref="S39:V39" si="21">IF(S16="","",(S16/$O$23))</f>
        <v/>
      </c>
      <c r="T39" s="10" t="str">
        <f t="shared" si="21"/>
        <v/>
      </c>
      <c r="U39" s="10" t="str">
        <f t="shared" si="21"/>
        <v/>
      </c>
      <c r="V39" s="10" t="str">
        <f t="shared" si="21"/>
        <v/>
      </c>
    </row>
    <row r="40" spans="1:22" s="1" customFormat="1">
      <c r="A40" s="145"/>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R40" si="22">IF(O17="","",(O17/$O$23))</f>
        <v>0.91226440828121869</v>
      </c>
      <c r="P40" s="10" t="str">
        <f t="shared" si="22"/>
        <v/>
      </c>
      <c r="Q40" s="10" t="str">
        <f t="shared" si="22"/>
        <v/>
      </c>
      <c r="R40" s="10" t="str">
        <f t="shared" si="22"/>
        <v/>
      </c>
      <c r="S40" s="10" t="str">
        <f t="shared" ref="S40:V40" si="23">IF(S17="","",(S17/$O$23))</f>
        <v/>
      </c>
      <c r="T40" s="10" t="str">
        <f t="shared" si="23"/>
        <v/>
      </c>
      <c r="U40" s="10" t="str">
        <f t="shared" si="23"/>
        <v/>
      </c>
      <c r="V40" s="10" t="str">
        <f t="shared" si="23"/>
        <v/>
      </c>
    </row>
    <row r="41" spans="1:22" s="1" customFormat="1">
      <c r="A41" s="145"/>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R41" si="24">IF(O18="","",(O18/$O$23))</f>
        <v>1.1985138009108502</v>
      </c>
      <c r="P41" s="10" t="str">
        <f t="shared" si="24"/>
        <v/>
      </c>
      <c r="Q41" s="10" t="str">
        <f t="shared" si="24"/>
        <v/>
      </c>
      <c r="R41" s="10" t="str">
        <f t="shared" si="24"/>
        <v/>
      </c>
      <c r="S41" s="10" t="str">
        <f t="shared" ref="S41:V41" si="25">IF(S18="","",(S18/$O$23))</f>
        <v/>
      </c>
      <c r="T41" s="10" t="str">
        <f t="shared" si="25"/>
        <v/>
      </c>
      <c r="U41" s="10" t="str">
        <f t="shared" si="25"/>
        <v/>
      </c>
      <c r="V41" s="10" t="str">
        <f t="shared" si="25"/>
        <v/>
      </c>
    </row>
    <row r="42" spans="1:22" s="1" customFormat="1">
      <c r="A42" s="145"/>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R42" si="26">IF(O19="","",(O19/$O$23))</f>
        <v>1.2188633511923506</v>
      </c>
      <c r="P42" s="10" t="str">
        <f t="shared" si="26"/>
        <v/>
      </c>
      <c r="Q42" s="10" t="str">
        <f t="shared" si="26"/>
        <v/>
      </c>
      <c r="R42" s="10" t="str">
        <f t="shared" si="26"/>
        <v/>
      </c>
      <c r="S42" s="10" t="str">
        <f t="shared" ref="S42:V42" si="27">IF(S19="","",(S19/$O$23))</f>
        <v/>
      </c>
      <c r="T42" s="10" t="str">
        <f t="shared" si="27"/>
        <v/>
      </c>
      <c r="U42" s="10" t="str">
        <f t="shared" si="27"/>
        <v/>
      </c>
      <c r="V42" s="10" t="str">
        <f t="shared" si="27"/>
        <v/>
      </c>
    </row>
    <row r="43" spans="1:22" s="1" customFormat="1">
      <c r="A43" s="145"/>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t="str">
        <f t="shared" ref="O43:R43" si="28">IF(O20="","",(O20/$O$23))</f>
        <v/>
      </c>
      <c r="P43" s="10" t="str">
        <f t="shared" si="28"/>
        <v/>
      </c>
      <c r="Q43" s="10" t="str">
        <f t="shared" si="28"/>
        <v/>
      </c>
      <c r="R43" s="10" t="str">
        <f t="shared" si="28"/>
        <v/>
      </c>
      <c r="S43" s="10" t="str">
        <f t="shared" ref="S43:V43" si="29">IF(S20="","",(S20/$O$23))</f>
        <v/>
      </c>
      <c r="T43" s="10" t="str">
        <f t="shared" si="29"/>
        <v/>
      </c>
      <c r="U43" s="10" t="str">
        <f t="shared" si="29"/>
        <v/>
      </c>
      <c r="V43" s="10" t="str">
        <f t="shared" si="29"/>
        <v/>
      </c>
    </row>
    <row r="44" spans="1:22">
      <c r="A44" s="6"/>
      <c r="B44" s="3"/>
      <c r="C44" s="3"/>
      <c r="D44" s="3"/>
      <c r="E44" s="3"/>
      <c r="F44" s="3"/>
      <c r="G44" s="3"/>
      <c r="H44" s="3"/>
      <c r="I44" s="3"/>
      <c r="J44" s="3"/>
      <c r="O44" s="3"/>
      <c r="P44" s="3"/>
      <c r="Q44" s="3"/>
      <c r="R44" s="3"/>
      <c r="S44" s="3"/>
      <c r="T44" s="3"/>
      <c r="U44" s="3"/>
      <c r="V44" s="3"/>
    </row>
    <row r="45" spans="1:22" s="50" customFormat="1">
      <c r="A45" s="51" t="str">
        <f t="shared" ref="A45:N45" si="30">A4</f>
        <v>Noms des groupes</v>
      </c>
      <c r="B45" s="51" t="str">
        <f t="shared" si="30"/>
        <v>Solvent control</v>
      </c>
      <c r="C45" s="51" t="str">
        <f t="shared" si="30"/>
        <v>EE2-33.8ng/L</v>
      </c>
      <c r="D45" s="51" t="str">
        <f t="shared" si="30"/>
        <v>EE2-50.6ng/L</v>
      </c>
      <c r="E45" s="51" t="str">
        <f t="shared" si="30"/>
        <v>EE2-76ng/L</v>
      </c>
      <c r="F45" s="51" t="str">
        <f t="shared" si="30"/>
        <v>EE2-114ng/L</v>
      </c>
      <c r="G45" s="51" t="str">
        <f t="shared" si="30"/>
        <v>EE2-170.9ng/L</v>
      </c>
      <c r="H45" s="51" t="str">
        <f t="shared" si="30"/>
        <v>EE2-488ng/L</v>
      </c>
      <c r="I45" s="51" t="str">
        <f t="shared" si="30"/>
        <v>Dutasteride-1mg/L</v>
      </c>
      <c r="J45" s="51" t="str">
        <f t="shared" si="30"/>
        <v>Dutasteride-0.5mg/L</v>
      </c>
      <c r="K45" s="51" t="str">
        <f t="shared" si="30"/>
        <v>Dutasteride-0.25mg/L</v>
      </c>
      <c r="L45" s="51" t="str">
        <f t="shared" si="30"/>
        <v>Dutasteride-0.1mg/L</v>
      </c>
      <c r="M45" s="51" t="str">
        <f t="shared" si="30"/>
        <v>Dutasteride-0.01mg/L</v>
      </c>
      <c r="N45" s="51" t="str">
        <f t="shared" si="30"/>
        <v/>
      </c>
      <c r="O45" s="51" t="str">
        <f t="shared" ref="O45:V45" si="31">O4</f>
        <v>Testo -30µg/L</v>
      </c>
      <c r="P45" s="51" t="str">
        <f t="shared" si="31"/>
        <v>Testo 30µg/L + EE2 -64ng/L</v>
      </c>
      <c r="Q45" s="51" t="str">
        <f t="shared" si="31"/>
        <v>Testo 30µg/L + FAD-10mg/L</v>
      </c>
      <c r="R45" s="51" t="str">
        <f t="shared" si="31"/>
        <v>Dutasteride-1mg/L + Testostérone</v>
      </c>
      <c r="S45" s="51" t="str">
        <f t="shared" si="31"/>
        <v>Dutasteride-0.5mg/L + Testostérone</v>
      </c>
      <c r="T45" s="51" t="str">
        <f t="shared" si="31"/>
        <v>Dutasteride-0.25mg/L + Testostérone</v>
      </c>
      <c r="U45" s="51" t="str">
        <f t="shared" si="31"/>
        <v>Dutasteride-0.1mg/L + Testostérone</v>
      </c>
      <c r="V45" s="51" t="str">
        <f t="shared" si="31"/>
        <v>Dutasteride-0.01mg/L + Testostérone</v>
      </c>
    </row>
    <row r="46" spans="1:22">
      <c r="A46" s="7" t="s">
        <v>0</v>
      </c>
      <c r="B46" s="9">
        <f t="shared" ref="B46:H46" si="32">AVERAGE(B28:B43)</f>
        <v>6.5203173609967469E-2</v>
      </c>
      <c r="C46" s="9">
        <f t="shared" si="32"/>
        <v>0.29501221554749119</v>
      </c>
      <c r="D46" s="9">
        <f t="shared" si="32"/>
        <v>0.52328646701648029</v>
      </c>
      <c r="E46" s="9">
        <f t="shared" si="32"/>
        <v>0.94434749608959312</v>
      </c>
      <c r="F46" s="9">
        <f t="shared" si="32"/>
        <v>1.3856813236523615</v>
      </c>
      <c r="G46" s="9">
        <f t="shared" si="32"/>
        <v>2.3893560175689585</v>
      </c>
      <c r="H46" s="9">
        <f t="shared" si="32"/>
        <v>3.0665407917752394</v>
      </c>
      <c r="I46" s="9">
        <f>AVERAGE(I28:I43)</f>
        <v>0.16799862791842285</v>
      </c>
      <c r="J46" s="8">
        <f>AVERAGE(J28:J43)</f>
        <v>7.8239274723647487E-2</v>
      </c>
      <c r="K46" s="8">
        <f>AVERAGE(K28:K43)</f>
        <v>0.10631864715146717</v>
      </c>
      <c r="L46" s="8">
        <f t="shared" ref="L46:N46" si="33">AVERAGE(L28:L43)</f>
        <v>0.10316000035491296</v>
      </c>
      <c r="M46" s="8">
        <f t="shared" si="33"/>
        <v>0.17087569170347175</v>
      </c>
      <c r="N46" s="8" t="e">
        <f t="shared" si="33"/>
        <v>#DIV/0!</v>
      </c>
      <c r="O46" s="9">
        <f>AVERAGE(O28:O43)</f>
        <v>1</v>
      </c>
      <c r="P46" s="9">
        <f>AVERAGE(P28:P43)</f>
        <v>1.3532172529709128</v>
      </c>
      <c r="Q46" s="9">
        <f>AVERAGE(Q28:Q43)</f>
        <v>4.6632894830842916E-2</v>
      </c>
      <c r="R46" s="9">
        <f>AVERAGE(R28:R43)</f>
        <v>1.6792787766533697</v>
      </c>
      <c r="S46" s="9">
        <f t="shared" ref="S46:V46" si="34">AVERAGE(S28:S43)</f>
        <v>1.554729931261817</v>
      </c>
      <c r="T46" s="9">
        <f t="shared" si="34"/>
        <v>1.2471775725195453</v>
      </c>
      <c r="U46" s="9">
        <f t="shared" si="34"/>
        <v>1.4663082920971588</v>
      </c>
      <c r="V46" s="9">
        <f t="shared" si="34"/>
        <v>1.0705289597419096</v>
      </c>
    </row>
    <row r="47" spans="1:22">
      <c r="A47" s="7" t="s">
        <v>1</v>
      </c>
      <c r="B47" s="7">
        <f t="shared" ref="B47:K47" si="35">STDEV(B28:B43)</f>
        <v>6.0924438841295572E-2</v>
      </c>
      <c r="C47" s="7">
        <f t="shared" si="35"/>
        <v>0.17061517182822331</v>
      </c>
      <c r="D47" s="7">
        <f t="shared" si="35"/>
        <v>0.17647146801079308</v>
      </c>
      <c r="E47" s="7">
        <f t="shared" si="35"/>
        <v>0.46728558333910986</v>
      </c>
      <c r="F47" s="7">
        <f t="shared" si="35"/>
        <v>0.32517743058455073</v>
      </c>
      <c r="G47" s="7">
        <f t="shared" si="35"/>
        <v>0.48865779550580096</v>
      </c>
      <c r="H47" s="7">
        <f t="shared" si="35"/>
        <v>0.89982641430884236</v>
      </c>
      <c r="I47" s="7">
        <f>STDEV(I28:I43)</f>
        <v>0.12681591538334913</v>
      </c>
      <c r="J47" s="7">
        <f t="shared" si="35"/>
        <v>0.13220767522248211</v>
      </c>
      <c r="K47" s="7">
        <f t="shared" si="35"/>
        <v>8.5525390801187165E-2</v>
      </c>
      <c r="L47" s="7">
        <f t="shared" ref="L47:N47" si="36">STDEV(L28:L43)</f>
        <v>0.17041639316250071</v>
      </c>
      <c r="M47" s="7">
        <f t="shared" si="36"/>
        <v>0.11979912435627049</v>
      </c>
      <c r="N47" s="7" t="e">
        <f t="shared" si="36"/>
        <v>#DIV/0!</v>
      </c>
      <c r="O47" s="7">
        <f>STDEV(O28:O43)</f>
        <v>0.35764457753082446</v>
      </c>
      <c r="P47" s="7">
        <f>STDEV(P28:P43)</f>
        <v>0.4720251918771759</v>
      </c>
      <c r="Q47" s="7">
        <f>STDEV(Q28:Q43)</f>
        <v>5.6661679178153374E-2</v>
      </c>
      <c r="R47" s="7">
        <f>STDEV(R28:R43)</f>
        <v>0.64502018794781313</v>
      </c>
      <c r="S47" s="7">
        <f t="shared" ref="S47:V47" si="37">STDEV(S28:S43)</f>
        <v>0.47332935209837196</v>
      </c>
      <c r="T47" s="7">
        <f t="shared" si="37"/>
        <v>0.51189794042552195</v>
      </c>
      <c r="U47" s="7">
        <f t="shared" si="37"/>
        <v>0.67646013054157361</v>
      </c>
      <c r="V47" s="7">
        <f t="shared" si="37"/>
        <v>0.37503894919757785</v>
      </c>
    </row>
    <row r="48" spans="1:22">
      <c r="A48" s="7" t="s">
        <v>2</v>
      </c>
      <c r="B48" s="7">
        <f t="shared" ref="B48:K48" si="38" xml:space="preserve"> B47/SQRT(COUNT(B28:B43))</f>
        <v>2.1540041922332592E-2</v>
      </c>
      <c r="C48" s="7">
        <f t="shared" si="38"/>
        <v>6.4486473507433167E-2</v>
      </c>
      <c r="D48" s="7">
        <f t="shared" si="38"/>
        <v>6.239208585818834E-2</v>
      </c>
      <c r="E48" s="7">
        <f t="shared" si="38"/>
        <v>0.16521040236489806</v>
      </c>
      <c r="F48" s="7">
        <f t="shared" si="38"/>
        <v>0.11496758312757682</v>
      </c>
      <c r="G48" s="7">
        <f t="shared" si="38"/>
        <v>0.17276662044091054</v>
      </c>
      <c r="H48" s="7">
        <f t="shared" si="38"/>
        <v>0.31813667972427911</v>
      </c>
      <c r="I48" s="7">
        <f xml:space="preserve"> I47/SQRT(COUNT(I28:I43))</f>
        <v>4.483619686497279E-2</v>
      </c>
      <c r="J48" s="7">
        <f t="shared" si="38"/>
        <v>4.6742471837362895E-2</v>
      </c>
      <c r="K48" s="7">
        <f t="shared" si="38"/>
        <v>3.0237791899574505E-2</v>
      </c>
      <c r="L48" s="7">
        <f t="shared" ref="L48:N48" si="39" xml:space="preserve"> L47/SQRT(COUNT(L28:L43))</f>
        <v>6.0251293615278513E-2</v>
      </c>
      <c r="M48" s="7">
        <f t="shared" si="39"/>
        <v>4.2355386606264672E-2</v>
      </c>
      <c r="N48" s="7" t="e">
        <f t="shared" si="39"/>
        <v>#DIV/0!</v>
      </c>
      <c r="O48" s="7">
        <f xml:space="preserve"> O47/SQRT(COUNT(O28:O43))</f>
        <v>9.2343432842551365E-2</v>
      </c>
      <c r="P48" s="7">
        <f xml:space="preserve"> P47/SQRT(COUNT(P28:P43))</f>
        <v>0.16688610703361614</v>
      </c>
      <c r="Q48" s="7">
        <f xml:space="preserve"> Q47/SQRT(COUNT(Q28:Q43))</f>
        <v>2.0032928790144424E-2</v>
      </c>
      <c r="R48" s="7">
        <f xml:space="preserve"> R47/SQRT(COUNT(R28:R43))</f>
        <v>0.22804907445006001</v>
      </c>
      <c r="S48" s="7">
        <f t="shared" ref="S48:V48" si="40" xml:space="preserve"> S47/SQRT(COUNT(S28:S43))</f>
        <v>0.16734719730169689</v>
      </c>
      <c r="T48" s="7">
        <f t="shared" si="40"/>
        <v>0.18098325247515692</v>
      </c>
      <c r="U48" s="7">
        <f t="shared" si="40"/>
        <v>0.23916477275414191</v>
      </c>
      <c r="V48" s="7">
        <f t="shared" si="40"/>
        <v>0.1325962920933422</v>
      </c>
    </row>
    <row r="49" spans="1:22" s="1" customFormat="1"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19</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c r="A51"/>
      <c r="B51"/>
      <c r="C51"/>
      <c r="D51"/>
      <c r="E51"/>
      <c r="F51"/>
      <c r="G51"/>
      <c r="H51"/>
      <c r="I51"/>
      <c r="J51"/>
      <c r="K51"/>
      <c r="L51"/>
      <c r="M51"/>
      <c r="N51"/>
      <c r="S51"/>
      <c r="T51"/>
      <c r="U51"/>
      <c r="V51"/>
    </row>
    <row r="52" spans="1:22">
      <c r="A52" s="28" t="str">
        <f t="shared" ref="A52:H52" si="41">A27</f>
        <v>Noms des groupes</v>
      </c>
      <c r="B52" s="29" t="str">
        <f t="shared" si="41"/>
        <v>Solvent control</v>
      </c>
      <c r="C52" s="29" t="str">
        <f t="shared" si="41"/>
        <v>EE2-33.8ng/L</v>
      </c>
      <c r="D52" s="29" t="str">
        <f t="shared" si="41"/>
        <v>EE2-50.6ng/L</v>
      </c>
      <c r="E52" s="29" t="str">
        <f t="shared" si="41"/>
        <v>EE2-76ng/L</v>
      </c>
      <c r="F52" s="29" t="str">
        <f t="shared" si="41"/>
        <v>EE2-114ng/L</v>
      </c>
      <c r="G52" s="29" t="str">
        <f t="shared" si="41"/>
        <v>EE2-170.9ng/L</v>
      </c>
      <c r="H52" s="29" t="str">
        <f t="shared" si="41"/>
        <v>EE2-488ng/L</v>
      </c>
      <c r="I52" s="29" t="str">
        <f>I4</f>
        <v>Dutasteride-1mg/L</v>
      </c>
      <c r="J52" s="29" t="str">
        <f>J4</f>
        <v>Dutasteride-0.5mg/L</v>
      </c>
      <c r="K52" s="29" t="str">
        <f>K27</f>
        <v>Dutasteride-0.25mg/L</v>
      </c>
      <c r="L52" s="29" t="str">
        <f t="shared" ref="L52:N52" si="42">L27</f>
        <v>Dutasteride-0.1mg/L</v>
      </c>
      <c r="M52" s="29" t="str">
        <f t="shared" si="42"/>
        <v>Dutasteride-0.01mg/L</v>
      </c>
      <c r="N52" s="29" t="str">
        <f t="shared" si="42"/>
        <v/>
      </c>
      <c r="O52" s="29" t="str">
        <f>O27</f>
        <v>Testo -30µg/L</v>
      </c>
      <c r="P52" s="29" t="str">
        <f>P27</f>
        <v>Testo 30µg/L + EE2 -64ng/L</v>
      </c>
      <c r="Q52" s="29" t="str">
        <f>Q27</f>
        <v>Testo 30µg/L + FAD-10mg/L</v>
      </c>
      <c r="R52" s="29" t="str">
        <f>R27</f>
        <v>Dutasteride-1mg/L + Testostérone</v>
      </c>
      <c r="S52" s="29" t="str">
        <f t="shared" ref="S52:V52" si="43">S27</f>
        <v>Dutasteride-0.5mg/L + Testostérone</v>
      </c>
      <c r="T52" s="29" t="str">
        <f t="shared" si="43"/>
        <v>Dutasteride-0.25mg/L + Testostérone</v>
      </c>
      <c r="U52" s="29" t="str">
        <f t="shared" si="43"/>
        <v>Dutasteride-0.1mg/L + Testostérone</v>
      </c>
      <c r="V52" s="29" t="str">
        <f t="shared" si="43"/>
        <v>Dutasteride-0.01mg/L + Testostérone</v>
      </c>
    </row>
    <row r="53" spans="1:22" s="3" customFormat="1">
      <c r="A53" s="43" t="s">
        <v>15</v>
      </c>
      <c r="B53" s="75">
        <f t="shared" ref="B53:N53" si="44">B46</f>
        <v>6.5203173609967469E-2</v>
      </c>
      <c r="C53" s="75">
        <f t="shared" si="44"/>
        <v>0.29501221554749119</v>
      </c>
      <c r="D53" s="75">
        <f t="shared" si="44"/>
        <v>0.52328646701648029</v>
      </c>
      <c r="E53" s="75">
        <f t="shared" si="44"/>
        <v>0.94434749608959312</v>
      </c>
      <c r="F53" s="75">
        <f t="shared" si="44"/>
        <v>1.3856813236523615</v>
      </c>
      <c r="G53" s="75">
        <f t="shared" si="44"/>
        <v>2.3893560175689585</v>
      </c>
      <c r="H53" s="75">
        <f t="shared" si="44"/>
        <v>3.0665407917752394</v>
      </c>
      <c r="I53" s="75">
        <f t="shared" si="44"/>
        <v>0.16799862791842285</v>
      </c>
      <c r="J53" s="75">
        <f t="shared" si="44"/>
        <v>7.8239274723647487E-2</v>
      </c>
      <c r="K53" s="75">
        <f t="shared" si="44"/>
        <v>0.10631864715146717</v>
      </c>
      <c r="L53" s="75">
        <f t="shared" si="44"/>
        <v>0.10316000035491296</v>
      </c>
      <c r="M53" s="75">
        <f t="shared" si="44"/>
        <v>0.17087569170347175</v>
      </c>
      <c r="N53" s="75" t="e">
        <f t="shared" si="44"/>
        <v>#DIV/0!</v>
      </c>
      <c r="O53" s="75">
        <f t="shared" ref="O53:V53" si="45">O46</f>
        <v>1</v>
      </c>
      <c r="P53" s="75">
        <f t="shared" si="45"/>
        <v>1.3532172529709128</v>
      </c>
      <c r="Q53" s="75">
        <f t="shared" si="45"/>
        <v>4.6632894830842916E-2</v>
      </c>
      <c r="R53" s="75">
        <f t="shared" si="45"/>
        <v>1.6792787766533697</v>
      </c>
      <c r="S53" s="75">
        <f t="shared" si="45"/>
        <v>1.554729931261817</v>
      </c>
      <c r="T53" s="75">
        <f t="shared" si="45"/>
        <v>1.2471775725195453</v>
      </c>
      <c r="U53" s="75">
        <f t="shared" si="45"/>
        <v>1.4663082920971588</v>
      </c>
      <c r="V53" s="75">
        <f t="shared" si="45"/>
        <v>1.0705289597419096</v>
      </c>
    </row>
    <row r="54" spans="1:22" s="3" customFormat="1">
      <c r="A54" s="43" t="s">
        <v>2</v>
      </c>
      <c r="B54" s="75">
        <f t="shared" ref="B54:N54" si="46">B48</f>
        <v>2.1540041922332592E-2</v>
      </c>
      <c r="C54" s="75">
        <f t="shared" si="46"/>
        <v>6.4486473507433167E-2</v>
      </c>
      <c r="D54" s="75">
        <f t="shared" si="46"/>
        <v>6.239208585818834E-2</v>
      </c>
      <c r="E54" s="75">
        <f t="shared" si="46"/>
        <v>0.16521040236489806</v>
      </c>
      <c r="F54" s="75">
        <f t="shared" si="46"/>
        <v>0.11496758312757682</v>
      </c>
      <c r="G54" s="75">
        <f t="shared" si="46"/>
        <v>0.17276662044091054</v>
      </c>
      <c r="H54" s="75">
        <f t="shared" si="46"/>
        <v>0.31813667972427911</v>
      </c>
      <c r="I54" s="75">
        <f t="shared" si="46"/>
        <v>4.483619686497279E-2</v>
      </c>
      <c r="J54" s="75">
        <f t="shared" si="46"/>
        <v>4.6742471837362895E-2</v>
      </c>
      <c r="K54" s="75">
        <f t="shared" si="46"/>
        <v>3.0237791899574505E-2</v>
      </c>
      <c r="L54" s="75">
        <f t="shared" si="46"/>
        <v>6.0251293615278513E-2</v>
      </c>
      <c r="M54" s="75">
        <f t="shared" si="46"/>
        <v>4.2355386606264672E-2</v>
      </c>
      <c r="N54" s="75" t="e">
        <f t="shared" si="46"/>
        <v>#DIV/0!</v>
      </c>
      <c r="O54" s="75">
        <f t="shared" ref="O54:V54" si="47">O48</f>
        <v>9.2343432842551365E-2</v>
      </c>
      <c r="P54" s="75">
        <f t="shared" si="47"/>
        <v>0.16688610703361614</v>
      </c>
      <c r="Q54" s="75">
        <f t="shared" si="47"/>
        <v>2.0032928790144424E-2</v>
      </c>
      <c r="R54" s="75">
        <f t="shared" si="47"/>
        <v>0.22804907445006001</v>
      </c>
      <c r="S54" s="75">
        <f t="shared" si="47"/>
        <v>0.16734719730169689</v>
      </c>
      <c r="T54" s="75">
        <f t="shared" si="47"/>
        <v>0.18098325247515692</v>
      </c>
      <c r="U54" s="75">
        <f t="shared" si="47"/>
        <v>0.23916477275414191</v>
      </c>
      <c r="V54" s="75">
        <f t="shared" si="47"/>
        <v>0.1325962920933422</v>
      </c>
    </row>
    <row r="55" spans="1:22" s="3" customFormat="1">
      <c r="A55" s="43" t="s">
        <v>42</v>
      </c>
      <c r="B55" s="75">
        <f t="shared" ref="B55:N55" si="48">(B53*100/$B$53)-100</f>
        <v>0</v>
      </c>
      <c r="C55" s="75">
        <f t="shared" si="48"/>
        <v>352.45070019474224</v>
      </c>
      <c r="D55" s="75">
        <f t="shared" si="48"/>
        <v>702.54754185229808</v>
      </c>
      <c r="E55" s="75">
        <f t="shared" si="48"/>
        <v>1348.3152334554966</v>
      </c>
      <c r="F55" s="75">
        <f t="shared" si="48"/>
        <v>2025.1746608857325</v>
      </c>
      <c r="G55" s="75">
        <f t="shared" si="48"/>
        <v>3564.4781001943484</v>
      </c>
      <c r="H55" s="75">
        <f t="shared" si="48"/>
        <v>4603.0545017926306</v>
      </c>
      <c r="I55" s="75">
        <f t="shared" si="48"/>
        <v>157.65406592531446</v>
      </c>
      <c r="J55" s="75">
        <f t="shared" si="48"/>
        <v>19.993046951455767</v>
      </c>
      <c r="K55" s="75">
        <f t="shared" si="48"/>
        <v>63.057472919101087</v>
      </c>
      <c r="L55" s="75">
        <f t="shared" si="48"/>
        <v>58.213158414643658</v>
      </c>
      <c r="M55" s="75">
        <f t="shared" si="48"/>
        <v>162.06652566578504</v>
      </c>
      <c r="N55" s="75" t="e">
        <f t="shared" si="48"/>
        <v>#DIV/0!</v>
      </c>
      <c r="O55" s="75">
        <f>(O53*100/$O$53)-100</f>
        <v>0</v>
      </c>
      <c r="P55" s="75">
        <f t="shared" ref="P55:V55" si="49">(P53*100/$O$53)-100</f>
        <v>35.321725297091291</v>
      </c>
      <c r="Q55" s="75">
        <f t="shared" si="49"/>
        <v>-95.336710516915701</v>
      </c>
      <c r="R55" s="75">
        <f t="shared" si="49"/>
        <v>67.927877665336979</v>
      </c>
      <c r="S55" s="75">
        <f t="shared" si="49"/>
        <v>55.472993126181706</v>
      </c>
      <c r="T55" s="75">
        <f t="shared" si="49"/>
        <v>24.717757251954538</v>
      </c>
      <c r="U55" s="75">
        <f t="shared" si="49"/>
        <v>46.630829209715898</v>
      </c>
      <c r="V55" s="75">
        <f t="shared" si="49"/>
        <v>7.0528959741909603</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t="shared" ref="B57:N57" ca="1" si="50">IF(B56&gt;0.05,"Oui","Non")</f>
        <v>#NAME?</v>
      </c>
      <c r="C57" s="75" t="e">
        <f t="shared" ca="1" si="50"/>
        <v>#NAME?</v>
      </c>
      <c r="D57" s="75" t="e">
        <f t="shared" ca="1" si="50"/>
        <v>#NAME?</v>
      </c>
      <c r="E57" s="75" t="e">
        <f t="shared" ca="1" si="50"/>
        <v>#NAME?</v>
      </c>
      <c r="F57" s="75" t="e">
        <f t="shared" ca="1" si="50"/>
        <v>#NAME?</v>
      </c>
      <c r="G57" s="75" t="e">
        <f t="shared" ca="1" si="50"/>
        <v>#NAME?</v>
      </c>
      <c r="H57" s="75" t="e">
        <f t="shared" ca="1" si="50"/>
        <v>#NAME?</v>
      </c>
      <c r="I57" s="75" t="e">
        <f t="shared" ca="1" si="50"/>
        <v>#NAME?</v>
      </c>
      <c r="J57" s="75" t="e">
        <f t="shared" ca="1" si="50"/>
        <v>#NAME?</v>
      </c>
      <c r="K57" s="75" t="e">
        <f t="shared" ca="1" si="50"/>
        <v>#NAME?</v>
      </c>
      <c r="L57" s="75" t="e">
        <f t="shared" ca="1" si="50"/>
        <v>#NAME?</v>
      </c>
      <c r="M57" s="75" t="e">
        <f t="shared" ca="1" si="50"/>
        <v>#NAME?</v>
      </c>
      <c r="N57" s="75" t="e">
        <f t="shared" ca="1" si="50"/>
        <v>#NAME?</v>
      </c>
      <c r="O57" s="75" t="e">
        <f t="shared" ref="O57:V57" ca="1" si="51">IF(O56&gt;0.05,"Oui","Non")</f>
        <v>#NAME?</v>
      </c>
      <c r="P57" s="75" t="e">
        <f t="shared" ca="1" si="51"/>
        <v>#NAME?</v>
      </c>
      <c r="Q57" s="75" t="e">
        <f t="shared" ca="1" si="51"/>
        <v>#NAME?</v>
      </c>
      <c r="R57" s="75" t="e">
        <f t="shared" ca="1" si="51"/>
        <v>#NAME?</v>
      </c>
      <c r="S57" s="75" t="e">
        <f t="shared" ca="1" si="51"/>
        <v>#NAME?</v>
      </c>
      <c r="T57" s="75" t="e">
        <f t="shared" ca="1" si="51"/>
        <v>#NAME?</v>
      </c>
      <c r="U57" s="75" t="e">
        <f t="shared" ca="1" si="51"/>
        <v>#NAME?</v>
      </c>
      <c r="V57" s="75" t="e">
        <f t="shared" ca="1" si="51"/>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N59" ca="1" si="52">IF($B57="Non",IF(C$57="Non","Mann Withney",IF(C$57="Oui","Mann Withney","")),IF($B$57="Oui",IF(C$57="Oui","T-Test Welch",IF(C$57="Non","Mann Withney",""))))</f>
        <v>#NAME?</v>
      </c>
      <c r="D59" s="78" t="e">
        <f t="shared" ca="1" si="52"/>
        <v>#NAME?</v>
      </c>
      <c r="E59" s="78" t="e">
        <f t="shared" ca="1" si="52"/>
        <v>#NAME?</v>
      </c>
      <c r="F59" s="78" t="e">
        <f t="shared" ca="1" si="52"/>
        <v>#NAME?</v>
      </c>
      <c r="G59" s="78" t="e">
        <f t="shared" ca="1" si="52"/>
        <v>#NAME?</v>
      </c>
      <c r="H59" s="78" t="e">
        <f t="shared" ca="1" si="52"/>
        <v>#NAME?</v>
      </c>
      <c r="I59" s="78" t="e">
        <f t="shared" ca="1" si="52"/>
        <v>#NAME?</v>
      </c>
      <c r="J59" s="78" t="e">
        <f t="shared" ca="1" si="52"/>
        <v>#NAME?</v>
      </c>
      <c r="K59" s="78" t="e">
        <f t="shared" ca="1" si="52"/>
        <v>#NAME?</v>
      </c>
      <c r="L59" s="78" t="e">
        <f t="shared" ca="1" si="52"/>
        <v>#NAME?</v>
      </c>
      <c r="M59" s="78" t="e">
        <f t="shared" ca="1" si="52"/>
        <v>#NAME?</v>
      </c>
      <c r="N59" s="78" t="e">
        <f t="shared" ca="1" si="52"/>
        <v>#NAME?</v>
      </c>
      <c r="O59" s="78" t="e">
        <f ca="1">IF($B57="Non",IF(O$57="Non","Mann Withney",IF(O$57="Oui","Mann Withney","")),IF($B$57="Oui",IF(O$57="Oui","T-Test Welch",IF(O$57="Non","Mann Withney",""))))</f>
        <v>#NAME?</v>
      </c>
      <c r="P59" s="78" t="e">
        <f ca="1">IF($O57="Non",IF(P$57="Non","Mann Withney",IF(P$57="Oui","Mann Withney","")),IF($O$57="Oui",IF(P$57="Oui","T-Test Welch",IF(P$57="Non","Mann Withney",""))))</f>
        <v>#NAME?</v>
      </c>
      <c r="Q59" s="78" t="e">
        <f t="shared" ref="Q59:V59" ca="1" si="53">IF($O57="Non",IF(Q$57="Non","Mann Withney",IF(Q$57="Oui","Mann Withney","")),IF($O$57="Oui",IF(Q$57="Oui","T-Test Welch",IF(Q$57="Non","Mann Withney",""))))</f>
        <v>#NAME?</v>
      </c>
      <c r="R59" s="78" t="e">
        <f t="shared" ca="1" si="53"/>
        <v>#NAME?</v>
      </c>
      <c r="S59" s="78" t="e">
        <f t="shared" ca="1" si="53"/>
        <v>#NAME?</v>
      </c>
      <c r="T59" s="78" t="e">
        <f t="shared" ca="1" si="53"/>
        <v>#NAME?</v>
      </c>
      <c r="U59" s="78" t="e">
        <f t="shared" ca="1" si="53"/>
        <v>#NAME?</v>
      </c>
      <c r="V59" s="78" t="e">
        <f t="shared" ca="1" si="53"/>
        <v>#NAME?</v>
      </c>
    </row>
    <row r="60" spans="1:22" s="3" customFormat="1">
      <c r="A60" s="43" t="s">
        <v>45</v>
      </c>
      <c r="B60" s="79"/>
      <c r="C60" s="79" t="e">
        <f ca="1">IF(C59="Mann Withney",[1]!MTEST($B28:$B43,C28:C43,2), IF(C59="T-Test Welch",_xlfn.T.TEST($B28:$B43,C28:C43,2,3),""))</f>
        <v>#NAME?</v>
      </c>
      <c r="D60" s="79" t="e">
        <f ca="1">IF(D59="Mann Withney",[1]!MTEST($B28:$B43,D28:D43,2), IF(D59="T-Test Welch",_xlfn.T.TEST($B28:$B43,D28:D43,2,3),""))</f>
        <v>#NAME?</v>
      </c>
      <c r="E60" s="79" t="e">
        <f ca="1">IF(E59="Mann Withney",[1]!MTEST($B28:$B43,E28:E43,2), IF(E59="T-Test Welch",_xlfn.T.TEST($B28:$B43,E28:E43,2,3),""))</f>
        <v>#NAME?</v>
      </c>
      <c r="F60" s="79" t="e">
        <f ca="1">IF(F59="Mann Withney",[1]!MTEST($B28:$B43,F28:F43,2), IF(F59="T-Test Welch",_xlfn.T.TEST($B28:$B43,F28:F43,2,3),""))</f>
        <v>#NAME?</v>
      </c>
      <c r="G60" s="79" t="e">
        <f ca="1">IF(G59="Mann Withney",[1]!MTEST($B28:$B43,G28:G43,2), IF(G59="T-Test Welch",_xlfn.T.TEST($B28:$B43,G28:G43,2,3),""))</f>
        <v>#NAME?</v>
      </c>
      <c r="H60" s="79" t="e">
        <f ca="1">IF(H59="Mann Withney",[1]!MTEST($B28:$B43,H28:H43,2), IF(H59="T-Test Welch",_xlfn.T.TEST($B28:$B43,H28:H43,2,3),""))</f>
        <v>#NAME?</v>
      </c>
      <c r="I60" s="79" t="e">
        <f ca="1">IF(I59="Mann Withney",[1]!MTEST($B28:$B43,I28:I43,2), IF(I59="T-Test Welch",_xlfn.T.TEST($B28:$B43,I28:I43,2,3),""))</f>
        <v>#NAME?</v>
      </c>
      <c r="J60" s="79" t="e">
        <f ca="1">IF(J59="Mann Withney",[1]!MTEST($B28:$B43,J28:J43,2), IF(J59="T-Test Welch",_xlfn.T.TEST($B28:$B43,J28:J43,2,3),""))</f>
        <v>#NAME?</v>
      </c>
      <c r="K60" s="79" t="e">
        <f ca="1">IF(K59="Mann Withney",[1]!MTEST($B28:$B43,K28:K43,2), IF(K59="T-Test Welch",_xlfn.T.TEST($B28:$B43,K28:K43,2,3),""))</f>
        <v>#NAME?</v>
      </c>
      <c r="L60" s="79" t="e">
        <f ca="1">IF(L59="Mann Withney",[1]!MTEST($B28:$B43,L28:L43,2), IF(L59="T-Test Welch",_xlfn.T.TEST($B28:$B43,L28:L43,2,3),""))</f>
        <v>#NAME?</v>
      </c>
      <c r="M60" s="79" t="e">
        <f ca="1">IF(M59="Mann Withney",[1]!MTEST($B28:$B43,M28:M43,2), IF(M59="T-Test Welch",_xlfn.T.TEST($B28:$B43,M28:M43,2,3),""))</f>
        <v>#NAME?</v>
      </c>
      <c r="N60" s="79" t="e">
        <f ca="1">IF(N59="Mann Withney",[1]!MTEST($B28:$B43,N28:N43,2), IF(N59="T-Test Welch",_xlfn.T.TEST($B28:$B43,N28:N43,2,3),""))</f>
        <v>#NAME?</v>
      </c>
      <c r="O60" s="79" t="e">
        <f ca="1">IF(O59="Mann Withney",[1]!MTEST($B28:$B43,O28:O43,2), IF(O59="T-Test Welch",_xlfn.T.TEST($B28:$B43,O28:O43,2,3),""))</f>
        <v>#NAME?</v>
      </c>
      <c r="P60" s="79" t="e">
        <f ca="1">IF(P59="Mann Withney",[1]!MTEST($O28:$O43,P28:P43,2), IF(P59="T-Test Welch",_xlfn.T.TEST($O28:$O43,P28:P43,2,3),""))</f>
        <v>#NAME?</v>
      </c>
      <c r="Q60" s="79" t="e">
        <f ca="1">IF(Q59="Mann Withney",[1]!MTEST($O28:$O43,Q28:Q43,2), IF(Q59="T-Test Welch",_xlfn.T.TEST($O28:$O43,Q28:Q43,2,3),""))</f>
        <v>#NAME?</v>
      </c>
      <c r="R60" s="79" t="e">
        <f ca="1">IF(R59="Mann Withney",[1]!MTEST($O28:$O43,R28:R43,2), IF(R59="T-Test Welch",_xlfn.T.TEST($O28:$O43,R28:R43,2,3),""))</f>
        <v>#NAME?</v>
      </c>
      <c r="S60" s="79" t="e">
        <f ca="1">IF(S59="Mann Withney",[1]!MTEST($O28:$O43,S28:S43,2), IF(S59="T-Test Welch",_xlfn.T.TEST($O28:$O43,S28:S43,2,3),""))</f>
        <v>#NAME?</v>
      </c>
      <c r="T60" s="79" t="e">
        <f ca="1">IF(T59="Mann Withney",[1]!MTEST($O28:$O43,T28:T43,2), IF(T59="T-Test Welch",_xlfn.T.TEST($O28:$O43,T28:T43,2,3),""))</f>
        <v>#NAME?</v>
      </c>
      <c r="U60" s="79" t="e">
        <f ca="1">IF(U59="Mann Withney",[1]!MTEST($O28:$O43,U28:U43,2), IF(U59="T-Test Welch",_xlfn.T.TEST($O28:$O43,U28:U43,2,3),""))</f>
        <v>#NAME?</v>
      </c>
      <c r="V60" s="79" t="e">
        <f ca="1">IF(V59="Mann Withney",[1]!MTEST($O28:$O43,V28:V43,2), IF(V59="T-Test Welch",_xlfn.T.TEST($O28:$O43,V28:V43,2,3),""))</f>
        <v>#NAME?</v>
      </c>
    </row>
    <row r="61" spans="1:22" s="3" customFormat="1" ht="15.75" thickBot="1">
      <c r="A61" s="44" t="s">
        <v>46</v>
      </c>
      <c r="B61" s="76"/>
      <c r="C61" s="76" t="e">
        <f t="shared" ref="C61:N61" ca="1" si="54">IF(C60&gt;0.05,"NS",IF(C60&gt;0.01,"*",IF(C60&gt;0.001,"**","***")))</f>
        <v>#NAME?</v>
      </c>
      <c r="D61" s="76" t="e">
        <f t="shared" ca="1" si="54"/>
        <v>#NAME?</v>
      </c>
      <c r="E61" s="76" t="e">
        <f t="shared" ca="1" si="54"/>
        <v>#NAME?</v>
      </c>
      <c r="F61" s="76" t="e">
        <f t="shared" ca="1" si="54"/>
        <v>#NAME?</v>
      </c>
      <c r="G61" s="76" t="e">
        <f t="shared" ca="1" si="54"/>
        <v>#NAME?</v>
      </c>
      <c r="H61" s="76" t="e">
        <f t="shared" ca="1" si="54"/>
        <v>#NAME?</v>
      </c>
      <c r="I61" s="76" t="e">
        <f t="shared" ca="1" si="54"/>
        <v>#NAME?</v>
      </c>
      <c r="J61" s="76" t="e">
        <f t="shared" ca="1" si="54"/>
        <v>#NAME?</v>
      </c>
      <c r="K61" s="76" t="e">
        <f t="shared" ca="1" si="54"/>
        <v>#NAME?</v>
      </c>
      <c r="L61" s="76" t="e">
        <f t="shared" ca="1" si="54"/>
        <v>#NAME?</v>
      </c>
      <c r="M61" s="76" t="e">
        <f t="shared" ca="1" si="54"/>
        <v>#NAME?</v>
      </c>
      <c r="N61" s="76" t="e">
        <f t="shared" ca="1" si="54"/>
        <v>#NAME?</v>
      </c>
      <c r="O61" s="76" t="e">
        <f ca="1">IF(O60&gt;0.05,"NS",IF(O60&gt;0.01,"*",IF(O60&gt;0.001,"**","***")))</f>
        <v>#NAME?</v>
      </c>
      <c r="P61" s="76" t="e">
        <f ca="1">IF(P60&gt;0.05,"NS",IF(P60&gt;0.01,"*",IF(P60&gt;0.001,"**","***")))</f>
        <v>#NAME?</v>
      </c>
      <c r="Q61" s="76" t="e">
        <f t="shared" ref="Q61" ca="1" si="55">IF(Q60&gt;0.05,"NS",IF(Q60&gt;0.01,"*",IF(Q60&gt;0.001,"**","***")))</f>
        <v>#NAME?</v>
      </c>
      <c r="R61" s="76" t="e">
        <f t="shared" ref="R61" ca="1" si="56">IF(R60&gt;0.05,"NS",IF(R60&gt;0.01,"*",IF(R60&gt;0.001,"**","***")))</f>
        <v>#NAME?</v>
      </c>
      <c r="S61" s="76" t="e">
        <f t="shared" ref="S61" ca="1" si="57">IF(S60&gt;0.05,"NS",IF(S60&gt;0.01,"*",IF(S60&gt;0.001,"**","***")))</f>
        <v>#NAME?</v>
      </c>
      <c r="T61" s="76" t="e">
        <f t="shared" ref="T61" ca="1" si="58">IF(T60&gt;0.05,"NS",IF(T60&gt;0.01,"*",IF(T60&gt;0.001,"**","***")))</f>
        <v>#NAME?</v>
      </c>
      <c r="U61" s="76" t="e">
        <f t="shared" ref="U61" ca="1" si="59">IF(U60&gt;0.05,"NS",IF(U60&gt;0.01,"*",IF(U60&gt;0.001,"**","***")))</f>
        <v>#NAME?</v>
      </c>
      <c r="V61" s="76" t="e">
        <f t="shared" ref="V61" ca="1" si="60">IF(V60&gt;0.05,"NS",IF(V60&gt;0.01,"*",IF(V60&gt;0.001,"**","***")))</f>
        <v>#NAME?</v>
      </c>
    </row>
    <row r="63" spans="1:22">
      <c r="A63" s="2" t="s">
        <v>20</v>
      </c>
    </row>
    <row r="64" spans="1:22">
      <c r="A64" s="1" t="s">
        <v>13</v>
      </c>
      <c r="B64" s="1">
        <f>B46+(3*B47)</f>
        <v>0.2479764901338542</v>
      </c>
    </row>
    <row r="65" spans="1:22">
      <c r="A65" s="1" t="s">
        <v>14</v>
      </c>
      <c r="B65" s="1">
        <f>B46+(10*B47)</f>
        <v>0.67444756202292311</v>
      </c>
    </row>
    <row r="66" spans="1:22" ht="15.75" thickBot="1"/>
    <row r="67" spans="1:22" s="1" customFormat="1" ht="27" thickBot="1">
      <c r="A67" s="140" t="s">
        <v>31</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N3"/>
    <mergeCell ref="B26:N26"/>
    <mergeCell ref="O26:V26"/>
    <mergeCell ref="O3:V3"/>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zoomScale="70" zoomScaleNormal="70" zoomScaleSheetLayoutView="40" zoomScalePageLayoutView="30" workbookViewId="0">
      <selection activeCell="O2"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c r="A1" s="138" t="s">
        <v>23</v>
      </c>
      <c r="B1" s="139"/>
      <c r="C1" s="139"/>
      <c r="D1" s="139"/>
      <c r="E1" s="139"/>
      <c r="F1" s="139"/>
      <c r="G1" s="139"/>
      <c r="H1" s="139"/>
      <c r="I1" s="139"/>
      <c r="J1" s="139"/>
      <c r="K1" s="139"/>
      <c r="L1" s="139"/>
      <c r="M1" s="139"/>
      <c r="N1" s="139"/>
      <c r="O1" s="139"/>
      <c r="P1" s="139"/>
      <c r="Q1" s="139"/>
      <c r="R1" s="139"/>
      <c r="S1" s="139"/>
      <c r="T1" s="139"/>
      <c r="U1" s="139"/>
      <c r="V1" s="139"/>
    </row>
    <row r="2" spans="1:22" customFormat="1" ht="15.75" thickBot="1"/>
    <row r="3" spans="1:22" ht="15.75" thickBot="1">
      <c r="A3" s="33" t="s">
        <v>9</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Dutasteride-1mg/L</v>
      </c>
      <c r="J4" s="19" t="str">
        <f>'Front page'!A15</f>
        <v>Dutasteride-0.5mg/L</v>
      </c>
      <c r="K4" s="19" t="str">
        <f>'Front page'!A16</f>
        <v>Dutasteride-0.25mg/L</v>
      </c>
      <c r="L4" s="19" t="str">
        <f>'Front page'!A17</f>
        <v>Dutasteride-0.1mg/L</v>
      </c>
      <c r="M4" s="19" t="str">
        <f>'Front page'!A18</f>
        <v>Dutasteride-0.01mg/L</v>
      </c>
      <c r="N4" s="19" t="str">
        <f>'Front page'!A19</f>
        <v/>
      </c>
      <c r="O4" s="20" t="str">
        <f>'Front page'!A35</f>
        <v>Testo -30µg/L</v>
      </c>
      <c r="P4" s="20" t="str">
        <f>'Front page'!A36</f>
        <v>Testo 30µg/L + EE2 -64ng/L</v>
      </c>
      <c r="Q4" s="20" t="str">
        <f>'Front page'!A37</f>
        <v>Testo 30µg/L + FAD-10mg/L</v>
      </c>
      <c r="R4" s="20" t="str">
        <f>'Front page'!A38</f>
        <v>Dutasteride-1mg/L + Testostérone</v>
      </c>
      <c r="S4" s="20" t="str">
        <f>'Front page'!A39</f>
        <v>Dutasteride-0.5mg/L + Testostérone</v>
      </c>
      <c r="T4" s="20" t="str">
        <f>'Front page'!A40</f>
        <v>Dutasteride-0.25mg/L + Testostérone</v>
      </c>
      <c r="U4" s="20" t="str">
        <f>'Front page'!A41</f>
        <v>Dutasteride-0.1mg/L + Testostérone</v>
      </c>
      <c r="V4" s="20" t="str">
        <f>'Front page'!A42</f>
        <v>Dutasteride-0.01mg/L + Testostérone</v>
      </c>
    </row>
    <row r="5" spans="1:22">
      <c r="A5" s="148" t="s">
        <v>16</v>
      </c>
      <c r="B5" s="16">
        <v>2176826</v>
      </c>
      <c r="C5" s="16">
        <v>2512384</v>
      </c>
      <c r="D5" s="16">
        <v>5930300</v>
      </c>
      <c r="E5" s="16">
        <v>5536794</v>
      </c>
      <c r="F5" s="16">
        <v>9367053</v>
      </c>
      <c r="G5" s="16">
        <v>13051974</v>
      </c>
      <c r="H5" s="16">
        <v>17656948</v>
      </c>
      <c r="I5" s="16">
        <v>90104</v>
      </c>
      <c r="J5" s="16">
        <v>554105</v>
      </c>
      <c r="K5" s="12">
        <v>3164969</v>
      </c>
      <c r="L5" s="12">
        <v>1711796</v>
      </c>
      <c r="M5" s="12">
        <v>2040133</v>
      </c>
      <c r="N5" s="12"/>
      <c r="O5" s="16">
        <v>12145370</v>
      </c>
      <c r="P5" s="12">
        <v>13440348</v>
      </c>
      <c r="Q5" s="12">
        <v>2622814</v>
      </c>
      <c r="R5" s="16">
        <v>165713</v>
      </c>
      <c r="S5" s="16">
        <v>14905792</v>
      </c>
      <c r="T5" s="16">
        <v>5851261</v>
      </c>
      <c r="U5" s="16">
        <v>4954281</v>
      </c>
      <c r="V5" s="16">
        <v>3776584</v>
      </c>
    </row>
    <row r="6" spans="1:22" ht="16.5">
      <c r="A6" s="148"/>
      <c r="B6" s="13">
        <v>1186359</v>
      </c>
      <c r="C6" s="12">
        <v>1648932</v>
      </c>
      <c r="D6" s="16">
        <v>2173974</v>
      </c>
      <c r="E6" s="16">
        <v>5511764</v>
      </c>
      <c r="F6" s="16">
        <v>7643020</v>
      </c>
      <c r="G6" s="16">
        <v>8587876</v>
      </c>
      <c r="H6" s="16">
        <v>9610626</v>
      </c>
      <c r="I6" s="16">
        <v>126107</v>
      </c>
      <c r="J6" s="16">
        <v>1677545</v>
      </c>
      <c r="K6" s="12">
        <v>1719918</v>
      </c>
      <c r="L6" s="12">
        <v>3252376</v>
      </c>
      <c r="M6" s="12">
        <v>5436334</v>
      </c>
      <c r="N6" s="12"/>
      <c r="O6" s="16">
        <v>10111023</v>
      </c>
      <c r="P6" s="12">
        <v>6432439</v>
      </c>
      <c r="Q6" s="12">
        <v>1086765</v>
      </c>
      <c r="R6" s="16">
        <v>5495953</v>
      </c>
      <c r="S6" s="16">
        <v>14681693</v>
      </c>
      <c r="T6" s="16">
        <v>3521689</v>
      </c>
      <c r="U6" s="16">
        <v>6255838</v>
      </c>
      <c r="V6" s="16">
        <v>9040971</v>
      </c>
    </row>
    <row r="7" spans="1:22" ht="16.5">
      <c r="A7" s="148"/>
      <c r="B7" s="13">
        <v>438618</v>
      </c>
      <c r="C7" s="12">
        <v>5292</v>
      </c>
      <c r="D7" s="16">
        <v>0</v>
      </c>
      <c r="E7" s="16">
        <v>4527084</v>
      </c>
      <c r="F7" s="16">
        <v>6079702</v>
      </c>
      <c r="G7" s="16">
        <v>15119472</v>
      </c>
      <c r="H7" s="16">
        <v>22081109</v>
      </c>
      <c r="I7" s="16">
        <v>2446174</v>
      </c>
      <c r="J7" s="16">
        <v>1035135</v>
      </c>
      <c r="K7" s="12">
        <v>3060512</v>
      </c>
      <c r="L7" s="12">
        <v>1772011</v>
      </c>
      <c r="M7" s="12">
        <v>2947822</v>
      </c>
      <c r="N7" s="12"/>
      <c r="O7" s="16">
        <v>2822701</v>
      </c>
      <c r="P7" s="12">
        <v>10448709</v>
      </c>
      <c r="Q7" s="12">
        <v>444538</v>
      </c>
      <c r="R7" s="16">
        <v>6255693</v>
      </c>
      <c r="S7" s="16">
        <v>4836169</v>
      </c>
      <c r="T7" s="16">
        <v>4393620</v>
      </c>
      <c r="U7" s="16">
        <v>8345826</v>
      </c>
      <c r="V7" s="16">
        <v>3520472</v>
      </c>
    </row>
    <row r="8" spans="1:22" ht="16.5">
      <c r="A8" s="148"/>
      <c r="B8" s="13">
        <v>250513</v>
      </c>
      <c r="C8" s="12">
        <v>161676</v>
      </c>
      <c r="D8" s="16">
        <v>787147</v>
      </c>
      <c r="E8" s="16">
        <v>16487421</v>
      </c>
      <c r="F8" s="16">
        <v>10714273</v>
      </c>
      <c r="G8" s="16">
        <v>17914892</v>
      </c>
      <c r="H8" s="16">
        <v>24206065</v>
      </c>
      <c r="I8" s="16">
        <v>3042601</v>
      </c>
      <c r="J8" s="16">
        <v>1945341</v>
      </c>
      <c r="K8" s="12">
        <v>560</v>
      </c>
      <c r="L8" s="12">
        <v>305306</v>
      </c>
      <c r="M8" s="12">
        <v>4095718</v>
      </c>
      <c r="N8" s="12"/>
      <c r="O8" s="16">
        <v>5996817</v>
      </c>
      <c r="P8" s="12">
        <v>12614815</v>
      </c>
      <c r="Q8" s="12">
        <v>120069</v>
      </c>
      <c r="R8" s="16">
        <v>6720741</v>
      </c>
      <c r="S8" s="16">
        <v>5812962</v>
      </c>
      <c r="T8" s="16">
        <v>5208940</v>
      </c>
      <c r="U8" s="16">
        <v>11050683</v>
      </c>
      <c r="V8" s="16">
        <v>2257482</v>
      </c>
    </row>
    <row r="9" spans="1:22" ht="16.5">
      <c r="A9" s="148"/>
      <c r="B9" s="13">
        <v>316905</v>
      </c>
      <c r="C9" s="12">
        <v>2080776</v>
      </c>
      <c r="D9" s="16">
        <v>2500083</v>
      </c>
      <c r="E9" s="16">
        <v>3871358</v>
      </c>
      <c r="F9" s="16">
        <v>10815369</v>
      </c>
      <c r="G9" s="16">
        <v>20616214</v>
      </c>
      <c r="H9" s="16">
        <v>27035264</v>
      </c>
      <c r="I9" s="16">
        <v>201424</v>
      </c>
      <c r="J9" s="16">
        <v>2047136</v>
      </c>
      <c r="K9" s="12">
        <v>2948078</v>
      </c>
      <c r="L9" s="12">
        <v>1321141</v>
      </c>
      <c r="M9" s="12">
        <v>314310</v>
      </c>
      <c r="N9" s="12"/>
      <c r="O9" s="16">
        <v>6738526</v>
      </c>
      <c r="P9" s="12">
        <v>9798293</v>
      </c>
      <c r="Q9" s="12">
        <v>14915</v>
      </c>
      <c r="R9" s="16">
        <v>6212995</v>
      </c>
      <c r="S9" s="16">
        <v>10713000</v>
      </c>
      <c r="T9" s="16">
        <v>3430786</v>
      </c>
      <c r="U9" s="16">
        <v>14760395</v>
      </c>
      <c r="V9" s="16">
        <v>10657329</v>
      </c>
    </row>
    <row r="10" spans="1:22" ht="16.5">
      <c r="A10" s="148"/>
      <c r="B10" s="13">
        <v>0</v>
      </c>
      <c r="C10" s="12">
        <v>198388</v>
      </c>
      <c r="D10" s="16">
        <v>4942825</v>
      </c>
      <c r="E10" s="16">
        <v>7925963</v>
      </c>
      <c r="F10" s="16">
        <v>7503785</v>
      </c>
      <c r="G10" s="16">
        <v>15138368</v>
      </c>
      <c r="H10" s="16">
        <v>11653840</v>
      </c>
      <c r="I10" s="16">
        <v>85163</v>
      </c>
      <c r="J10" s="16">
        <v>823393</v>
      </c>
      <c r="K10" s="12">
        <v>291718</v>
      </c>
      <c r="L10" s="12">
        <v>1281421</v>
      </c>
      <c r="M10" s="12">
        <v>1646544</v>
      </c>
      <c r="N10" s="12"/>
      <c r="O10" s="16">
        <v>2595968</v>
      </c>
      <c r="P10" s="12">
        <v>8004509</v>
      </c>
      <c r="Q10" s="12">
        <v>22557</v>
      </c>
      <c r="R10" s="16">
        <v>11403469</v>
      </c>
      <c r="S10" s="16">
        <v>1775015</v>
      </c>
      <c r="T10" s="16">
        <v>7416128</v>
      </c>
      <c r="U10" s="16">
        <v>3632066</v>
      </c>
      <c r="V10" s="16">
        <v>3242733</v>
      </c>
    </row>
    <row r="11" spans="1:22" ht="16.5">
      <c r="A11" s="148"/>
      <c r="B11" s="13">
        <v>478407</v>
      </c>
      <c r="C11" s="12">
        <v>1595909</v>
      </c>
      <c r="D11" s="16">
        <v>6116961</v>
      </c>
      <c r="E11" s="16">
        <v>9220418</v>
      </c>
      <c r="F11" s="16">
        <v>10481745</v>
      </c>
      <c r="G11" s="16">
        <v>11948377</v>
      </c>
      <c r="H11" s="16">
        <v>19193317</v>
      </c>
      <c r="I11" s="16">
        <v>1168208</v>
      </c>
      <c r="J11" s="16">
        <v>1181618</v>
      </c>
      <c r="K11" s="12">
        <v>848557</v>
      </c>
      <c r="L11" s="12">
        <v>1320778</v>
      </c>
      <c r="M11" s="12">
        <v>2567875</v>
      </c>
      <c r="N11" s="12"/>
      <c r="O11" s="16">
        <v>6837351</v>
      </c>
      <c r="P11" s="12">
        <v>13663378</v>
      </c>
      <c r="Q11" s="12">
        <v>432815</v>
      </c>
      <c r="R11" s="16">
        <v>12278275</v>
      </c>
      <c r="S11" s="16">
        <v>5476213</v>
      </c>
      <c r="T11" s="16">
        <v>16839800</v>
      </c>
      <c r="U11" s="16">
        <v>13581815</v>
      </c>
      <c r="V11" s="16">
        <v>12820260</v>
      </c>
    </row>
    <row r="12" spans="1:22" ht="16.5">
      <c r="A12" s="148"/>
      <c r="B12" s="13">
        <v>748000</v>
      </c>
      <c r="C12" s="12">
        <v>2584350</v>
      </c>
      <c r="D12" s="16">
        <v>3202823</v>
      </c>
      <c r="E12" s="16">
        <v>1007091</v>
      </c>
      <c r="F12" s="16">
        <v>8112698</v>
      </c>
      <c r="G12" s="16">
        <v>13620596</v>
      </c>
      <c r="H12" s="16">
        <v>13190377</v>
      </c>
      <c r="I12" s="16">
        <v>1373761</v>
      </c>
      <c r="J12" s="16">
        <v>2903445</v>
      </c>
      <c r="K12" s="12">
        <v>728278</v>
      </c>
      <c r="L12" s="12">
        <v>1852265</v>
      </c>
      <c r="M12" s="12">
        <v>984827</v>
      </c>
      <c r="N12" s="12"/>
      <c r="O12" s="16">
        <v>11239687</v>
      </c>
      <c r="P12" s="12">
        <v>14569606</v>
      </c>
      <c r="Q12" s="12">
        <v>1774111</v>
      </c>
      <c r="R12" s="16">
        <v>13744850</v>
      </c>
      <c r="S12" s="16">
        <v>14608495</v>
      </c>
      <c r="T12" s="16">
        <v>6953634</v>
      </c>
      <c r="U12" s="16">
        <v>5874049</v>
      </c>
      <c r="V12" s="16">
        <v>5870977</v>
      </c>
    </row>
    <row r="13" spans="1:22" ht="16.5">
      <c r="A13" s="148"/>
      <c r="B13" s="13"/>
      <c r="C13" s="12"/>
      <c r="D13" s="16"/>
      <c r="E13" s="16"/>
      <c r="F13" s="16"/>
      <c r="G13" s="16"/>
      <c r="H13" s="16"/>
      <c r="I13" s="16"/>
      <c r="J13" s="16"/>
      <c r="K13" s="12"/>
      <c r="L13" s="12"/>
      <c r="M13" s="12"/>
      <c r="N13" s="12"/>
      <c r="O13" s="16">
        <v>9546984</v>
      </c>
      <c r="P13" s="12"/>
      <c r="Q13" s="12"/>
      <c r="R13" s="16"/>
      <c r="S13" s="16"/>
      <c r="T13" s="16"/>
      <c r="U13" s="16"/>
      <c r="V13" s="16"/>
    </row>
    <row r="14" spans="1:22" ht="16.5">
      <c r="A14" s="148"/>
      <c r="B14" s="13"/>
      <c r="C14" s="16"/>
      <c r="D14" s="16"/>
      <c r="E14" s="16"/>
      <c r="F14" s="16"/>
      <c r="G14" s="16"/>
      <c r="H14" s="16"/>
      <c r="I14" s="16"/>
      <c r="J14" s="16"/>
      <c r="K14" s="12"/>
      <c r="L14" s="12"/>
      <c r="M14" s="12"/>
      <c r="N14" s="12"/>
      <c r="O14" s="16">
        <v>5424039</v>
      </c>
      <c r="P14" s="12"/>
      <c r="Q14" s="12"/>
      <c r="R14" s="16"/>
      <c r="S14" s="16"/>
      <c r="T14" s="16"/>
      <c r="U14" s="16"/>
      <c r="V14" s="16"/>
    </row>
    <row r="15" spans="1:22" ht="16.5">
      <c r="A15" s="148"/>
      <c r="B15" s="13"/>
      <c r="C15" s="16"/>
      <c r="D15" s="16"/>
      <c r="E15" s="16"/>
      <c r="F15" s="16"/>
      <c r="G15" s="16"/>
      <c r="H15" s="16"/>
      <c r="I15" s="16"/>
      <c r="J15" s="16"/>
      <c r="K15" s="12"/>
      <c r="L15" s="12"/>
      <c r="M15" s="12"/>
      <c r="N15" s="12"/>
      <c r="O15" s="16">
        <v>2399058</v>
      </c>
      <c r="P15" s="12"/>
      <c r="Q15" s="12"/>
      <c r="R15" s="16"/>
      <c r="S15" s="16"/>
      <c r="T15" s="16"/>
      <c r="U15" s="16"/>
      <c r="V15" s="16"/>
    </row>
    <row r="16" spans="1:22" ht="16.5">
      <c r="A16" s="148"/>
      <c r="B16" s="13"/>
      <c r="C16" s="16"/>
      <c r="D16" s="16"/>
      <c r="E16" s="16"/>
      <c r="F16" s="16"/>
      <c r="G16" s="16"/>
      <c r="H16" s="16"/>
      <c r="I16" s="16"/>
      <c r="J16" s="16"/>
      <c r="K16" s="12"/>
      <c r="L16" s="12"/>
      <c r="M16" s="12"/>
      <c r="N16" s="12"/>
      <c r="O16" s="16">
        <v>4950715</v>
      </c>
      <c r="P16" s="12"/>
      <c r="Q16" s="12"/>
      <c r="R16" s="16"/>
      <c r="S16" s="16"/>
      <c r="T16" s="16"/>
      <c r="U16" s="16"/>
      <c r="V16" s="16"/>
    </row>
    <row r="17" spans="1:22" ht="16.5">
      <c r="A17" s="148"/>
      <c r="B17" s="13"/>
      <c r="C17" s="16"/>
      <c r="D17" s="16"/>
      <c r="E17" s="16"/>
      <c r="F17" s="16"/>
      <c r="G17" s="16"/>
      <c r="H17" s="16"/>
      <c r="I17" s="16"/>
      <c r="J17" s="16"/>
      <c r="K17" s="12"/>
      <c r="L17" s="12"/>
      <c r="M17" s="12"/>
      <c r="N17" s="12"/>
      <c r="O17" s="16">
        <v>11264517</v>
      </c>
      <c r="P17" s="12"/>
      <c r="Q17" s="12"/>
      <c r="R17" s="16"/>
      <c r="S17" s="16"/>
      <c r="T17" s="16"/>
      <c r="U17" s="16"/>
      <c r="V17" s="16"/>
    </row>
    <row r="18" spans="1:22" ht="16.5">
      <c r="A18" s="148"/>
      <c r="B18" s="13"/>
      <c r="C18" s="16"/>
      <c r="D18" s="16"/>
      <c r="E18" s="16"/>
      <c r="F18" s="16"/>
      <c r="G18" s="16"/>
      <c r="H18" s="16"/>
      <c r="I18" s="16"/>
      <c r="J18" s="16"/>
      <c r="K18" s="12"/>
      <c r="L18" s="12"/>
      <c r="M18" s="12"/>
      <c r="N18" s="12"/>
      <c r="O18" s="16">
        <v>5999725</v>
      </c>
      <c r="P18" s="12"/>
      <c r="Q18" s="12"/>
      <c r="R18" s="16"/>
      <c r="S18" s="16"/>
      <c r="T18" s="16"/>
      <c r="U18" s="16"/>
      <c r="V18" s="16"/>
    </row>
    <row r="19" spans="1:22" ht="16.5">
      <c r="A19" s="148"/>
      <c r="B19" s="13"/>
      <c r="C19" s="16"/>
      <c r="D19" s="16"/>
      <c r="E19" s="16"/>
      <c r="F19" s="16"/>
      <c r="G19" s="16"/>
      <c r="H19" s="16"/>
      <c r="I19" s="16"/>
      <c r="J19" s="16"/>
      <c r="K19" s="12"/>
      <c r="L19" s="12"/>
      <c r="M19" s="12"/>
      <c r="N19" s="12"/>
      <c r="O19" s="16">
        <v>9264099</v>
      </c>
      <c r="P19" s="12"/>
      <c r="Q19" s="12"/>
      <c r="R19" s="16"/>
      <c r="S19" s="16"/>
      <c r="T19" s="16"/>
      <c r="U19" s="16"/>
      <c r="V19" s="16"/>
    </row>
    <row r="20" spans="1:22" ht="16.5">
      <c r="A20" s="148"/>
      <c r="B20" s="13"/>
      <c r="C20" s="16"/>
      <c r="D20" s="16"/>
      <c r="E20" s="16"/>
      <c r="F20" s="16"/>
      <c r="G20" s="16"/>
      <c r="H20" s="16"/>
      <c r="I20" s="16"/>
      <c r="J20" s="16"/>
      <c r="K20" s="12"/>
      <c r="L20" s="12"/>
      <c r="M20" s="12"/>
      <c r="N20" s="12"/>
      <c r="O20" s="16">
        <v>5243366</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Dutasteride-1mg/L</v>
      </c>
      <c r="J22" s="3" t="str">
        <f t="shared" si="0"/>
        <v>Dutasteride-0.5mg/L</v>
      </c>
      <c r="K22" s="3" t="str">
        <f t="shared" si="0"/>
        <v>Dutasteride-0.25mg/L</v>
      </c>
      <c r="L22" s="3" t="str">
        <f t="shared" si="0"/>
        <v>Dutasteride-0.1mg/L</v>
      </c>
      <c r="M22" s="3" t="str">
        <f t="shared" si="0"/>
        <v>Dutasteride-0.01mg/L</v>
      </c>
      <c r="N22" s="3" t="str">
        <f t="shared" si="0"/>
        <v/>
      </c>
      <c r="O22" s="3" t="str">
        <f t="shared" si="0"/>
        <v>Testo -30µg/L</v>
      </c>
      <c r="P22" s="3" t="str">
        <f t="shared" si="0"/>
        <v>Testo 30µg/L + EE2 -64ng/L</v>
      </c>
      <c r="Q22" s="3" t="str">
        <f t="shared" si="0"/>
        <v>Testo 30µg/L + FAD-10mg/L</v>
      </c>
      <c r="R22" s="3" t="str">
        <f t="shared" si="0"/>
        <v>Dutasteride-1mg/L + Testostérone</v>
      </c>
      <c r="S22" s="3" t="str">
        <f t="shared" si="0"/>
        <v>Dutasteride-0.5mg/L + Testostérone</v>
      </c>
      <c r="T22" s="3" t="str">
        <f t="shared" si="0"/>
        <v>Dutasteride-0.25mg/L + Testostérone</v>
      </c>
      <c r="U22" s="3" t="str">
        <f t="shared" si="0"/>
        <v>Dutasteride-0.1mg/L + Testostérone</v>
      </c>
      <c r="V22" s="3" t="str">
        <f t="shared" si="0"/>
        <v>Dutasteride-0.01mg/L + Testostérone</v>
      </c>
    </row>
    <row r="23" spans="1:22">
      <c r="A23" s="5" t="s">
        <v>0</v>
      </c>
      <c r="B23" s="5">
        <f t="shared" ref="B23:J23" si="1">AVERAGE(B5:B20)</f>
        <v>699453.5</v>
      </c>
      <c r="C23" s="5">
        <f t="shared" si="1"/>
        <v>1348463.375</v>
      </c>
      <c r="D23" s="5">
        <f t="shared" si="1"/>
        <v>3206764.125</v>
      </c>
      <c r="E23" s="5">
        <f t="shared" si="1"/>
        <v>6760986.625</v>
      </c>
      <c r="F23" s="5">
        <f t="shared" si="1"/>
        <v>8839705.625</v>
      </c>
      <c r="G23" s="5">
        <f t="shared" si="1"/>
        <v>14499721.125</v>
      </c>
      <c r="H23" s="5">
        <f t="shared" si="1"/>
        <v>18078443.25</v>
      </c>
      <c r="I23" s="5">
        <f t="shared" si="1"/>
        <v>1066692.75</v>
      </c>
      <c r="J23" s="5">
        <f t="shared" si="1"/>
        <v>1520964.75</v>
      </c>
      <c r="K23" s="5"/>
      <c r="L23" s="5">
        <f>AVERAGE(L5:L20)</f>
        <v>1602136.75</v>
      </c>
      <c r="M23" s="5"/>
      <c r="N23" s="5" t="e">
        <f>AVERAGE(N5:N20)</f>
        <v>#DIV/0!</v>
      </c>
      <c r="O23" s="5">
        <f>AVERAGE(O5:O20)</f>
        <v>7036246.625</v>
      </c>
      <c r="P23" s="5">
        <f>AVERAGE(P5:P20)</f>
        <v>11121512.125</v>
      </c>
      <c r="Q23" s="5">
        <f>AVERAGE(Q5:Q20)</f>
        <v>814823</v>
      </c>
      <c r="R23" s="5">
        <f>AVERAGE(R5:R20)</f>
        <v>7784711.125</v>
      </c>
      <c r="S23" s="5">
        <f>AVERAGE(S5:S20)</f>
        <v>9101167.375</v>
      </c>
      <c r="T23" s="5">
        <f t="shared" ref="T23:V23" si="2">AVERAGE(T5:T20)</f>
        <v>6701982.25</v>
      </c>
      <c r="U23" s="5">
        <f t="shared" si="2"/>
        <v>8556869.125</v>
      </c>
      <c r="V23" s="5">
        <f t="shared" si="2"/>
        <v>6398351</v>
      </c>
    </row>
    <row r="24" spans="1:22">
      <c r="A24" s="3" t="s">
        <v>1</v>
      </c>
      <c r="B24" s="3">
        <f t="shared" ref="B24:J24" si="3">STDEV(B5:B20)</f>
        <v>694476.78883623297</v>
      </c>
      <c r="C24" s="3">
        <f t="shared" si="3"/>
        <v>1076048.7554069469</v>
      </c>
      <c r="D24" s="3">
        <f t="shared" si="3"/>
        <v>2286755.4447155306</v>
      </c>
      <c r="E24" s="3">
        <f t="shared" si="3"/>
        <v>4652438.5684980284</v>
      </c>
      <c r="F24" s="3">
        <f t="shared" si="3"/>
        <v>1762892.8204963841</v>
      </c>
      <c r="G24" s="3">
        <f t="shared" si="3"/>
        <v>3668299.3436603951</v>
      </c>
      <c r="H24" s="3">
        <f t="shared" si="3"/>
        <v>6234546.2505626716</v>
      </c>
      <c r="I24" s="3">
        <f t="shared" si="3"/>
        <v>1162650.665336479</v>
      </c>
      <c r="J24" s="3">
        <f t="shared" si="3"/>
        <v>771393.10781667696</v>
      </c>
      <c r="K24" s="3"/>
      <c r="L24" s="3">
        <f>STDEV(L5:L20)</f>
        <v>825442.3991131318</v>
      </c>
      <c r="M24" s="3"/>
      <c r="N24" s="3" t="e">
        <f>STDEV(N5:N20)</f>
        <v>#DIV/0!</v>
      </c>
      <c r="O24" s="3">
        <f>STDEV(O5:O20)</f>
        <v>3201992.3492417834</v>
      </c>
      <c r="P24" s="3">
        <f>STDEV(P5:P20)</f>
        <v>2924382.1066436991</v>
      </c>
      <c r="Q24" s="3">
        <f>STDEV(Q5:Q20)</f>
        <v>948403.15503888647</v>
      </c>
      <c r="R24" s="3">
        <f>STDEV(R5:R20)</f>
        <v>4440697.2888826635</v>
      </c>
      <c r="S24" s="3">
        <f>STDEV(S5:S20)</f>
        <v>5258732.925036246</v>
      </c>
      <c r="T24" s="3">
        <f t="shared" ref="T24:V24" si="4">STDEV(T5:T20)</f>
        <v>4349796.540930843</v>
      </c>
      <c r="U24" s="3">
        <f t="shared" si="4"/>
        <v>4135595.5911012189</v>
      </c>
      <c r="V24" s="3">
        <f t="shared" si="4"/>
        <v>3944289.6044617645</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Dutasteride-1mg/L</v>
      </c>
      <c r="J27" s="19" t="str">
        <f t="shared" si="5"/>
        <v>Dutasteride-0.5mg/L</v>
      </c>
      <c r="K27" s="19" t="str">
        <f t="shared" si="5"/>
        <v>Dutasteride-0.25mg/L</v>
      </c>
      <c r="L27" s="19" t="str">
        <f t="shared" si="5"/>
        <v>Dutasteride-0.1mg/L</v>
      </c>
      <c r="M27" s="19" t="str">
        <f t="shared" si="5"/>
        <v>Dutasteride-0.01mg/L</v>
      </c>
      <c r="N27" s="19" t="str">
        <f t="shared" si="5"/>
        <v/>
      </c>
      <c r="O27" s="20" t="str">
        <f>O4</f>
        <v>Testo -30µg/L</v>
      </c>
      <c r="P27" s="20" t="str">
        <f t="shared" ref="P27:R27" si="6">P4</f>
        <v>Testo 30µg/L + EE2 -64ng/L</v>
      </c>
      <c r="Q27" s="20" t="str">
        <f t="shared" si="6"/>
        <v>Testo 30µg/L + FAD-10mg/L</v>
      </c>
      <c r="R27" s="20" t="str">
        <f t="shared" si="6"/>
        <v>Dutasteride-1mg/L + Testostérone</v>
      </c>
      <c r="S27" s="20" t="str">
        <f t="shared" ref="S27:V27" si="7">S4</f>
        <v>Dutasteride-0.5mg/L + Testostérone</v>
      </c>
      <c r="T27" s="20" t="str">
        <f t="shared" si="7"/>
        <v>Dutasteride-0.25mg/L + Testostérone</v>
      </c>
      <c r="U27" s="20" t="str">
        <f t="shared" si="7"/>
        <v>Dutasteride-0.1mg/L + Testostérone</v>
      </c>
      <c r="V27" s="20" t="str">
        <f t="shared" si="7"/>
        <v>Dutasteride-0.01mg/L + Testostérone</v>
      </c>
    </row>
    <row r="28" spans="1:22">
      <c r="A28" s="149" t="s">
        <v>17</v>
      </c>
      <c r="B28" s="10">
        <f>IF(B5="","",(B5/$O$23))</f>
        <v>0.30937318090381744</v>
      </c>
      <c r="C28" s="10">
        <f>IF(C5="","",(C5/$O$23))</f>
        <v>0.35706309541132664</v>
      </c>
      <c r="D28" s="10">
        <f>IF(D5="","",(D5/$O$23))</f>
        <v>0.84282150925885146</v>
      </c>
      <c r="E28" s="10">
        <f>IF(E5="","",(E5/$O$23))</f>
        <v>0.78689595392060319</v>
      </c>
      <c r="F28" s="10">
        <f>IF(F5="","",(F5/$O$23))</f>
        <v>1.3312570606491496</v>
      </c>
      <c r="G28" s="10">
        <f>IF(G5="","",(G5/$O$23))</f>
        <v>1.8549625525668665</v>
      </c>
      <c r="H28" s="10">
        <f>IF(H5="","",(H5/$O$23))</f>
        <v>2.509427105250166</v>
      </c>
      <c r="I28" s="10">
        <f>IF(I5="","",(I5/$O$23))</f>
        <v>1.280569098869527E-2</v>
      </c>
      <c r="J28" s="10">
        <f>IF(J5="","",(J5/$O$23))</f>
        <v>7.8750082186040488E-2</v>
      </c>
      <c r="K28" s="10">
        <f>IF(K5="","",(K5/$O$23))</f>
        <v>0.4498092759788675</v>
      </c>
      <c r="L28" s="10">
        <f>IF(L5="","",(L5/$O$23))</f>
        <v>0.24328254696444782</v>
      </c>
      <c r="M28" s="10">
        <f>IF(M5="","",(M5/$O$23))</f>
        <v>0.28994620409570993</v>
      </c>
      <c r="N28" s="10" t="str">
        <f>IF(N5="","",(N5/$O$23))</f>
        <v/>
      </c>
      <c r="O28" s="10">
        <f t="shared" ref="O28:S37" si="8">IF(O5="","",(O5/$O$23))</f>
        <v>1.7261148801759063</v>
      </c>
      <c r="P28" s="10">
        <f t="shared" si="8"/>
        <v>1.9101587417709367</v>
      </c>
      <c r="Q28" s="10">
        <f t="shared" si="8"/>
        <v>0.37275754244899001</v>
      </c>
      <c r="R28" s="10">
        <f t="shared" si="8"/>
        <v>2.3551334799894113E-2</v>
      </c>
      <c r="S28" s="10">
        <f t="shared" si="8"/>
        <v>2.1184294403552122</v>
      </c>
      <c r="T28" s="10">
        <f t="shared" ref="T28:V28" si="9">IF(T5="","",(T5/$O$23))</f>
        <v>0.83158838964090465</v>
      </c>
      <c r="U28" s="10">
        <f t="shared" si="9"/>
        <v>0.704108491933368</v>
      </c>
      <c r="V28" s="10">
        <f t="shared" si="9"/>
        <v>0.53673274989845887</v>
      </c>
    </row>
    <row r="29" spans="1:22">
      <c r="A29" s="149"/>
      <c r="B29" s="10">
        <f>IF(B6="","",(B6/$O$23))</f>
        <v>0.16860679609848098</v>
      </c>
      <c r="C29" s="10">
        <f>IF(C6="","",(C6/$O$23))</f>
        <v>0.23434823818444539</v>
      </c>
      <c r="D29" s="10">
        <f>IF(D6="","",(D6/$O$23))</f>
        <v>0.30896785116596165</v>
      </c>
      <c r="E29" s="10">
        <f>IF(E6="","",(E6/$O$23))</f>
        <v>0.7833386596223807</v>
      </c>
      <c r="F29" s="10">
        <f>IF(F6="","",(F6/$O$23))</f>
        <v>1.0862353762365458</v>
      </c>
      <c r="G29" s="10">
        <f>IF(G6="","",(G6/$O$23))</f>
        <v>1.220519469781945</v>
      </c>
      <c r="H29" s="10">
        <f>IF(H6="","",(H6/$O$23))</f>
        <v>1.3658739541409977</v>
      </c>
      <c r="I29" s="10">
        <f>IF(I6="","",(I6/$O$23))</f>
        <v>1.7922481504832131E-2</v>
      </c>
      <c r="J29" s="10">
        <f>IF(J6="","",(J6/$O$23))</f>
        <v>0.2384147528370639</v>
      </c>
      <c r="K29" s="10">
        <f>IF(K6="","",(K6/$O$23))</f>
        <v>0.24443685556573283</v>
      </c>
      <c r="L29" s="10">
        <f>IF(L6="","",(L6/$O$23))</f>
        <v>0.46223166601980781</v>
      </c>
      <c r="M29" s="10">
        <f>IF(M6="","",(M6/$O$23))</f>
        <v>0.77261845551071773</v>
      </c>
      <c r="N29" s="10" t="str">
        <f>IF(N6="","",(N6/$O$23))</f>
        <v/>
      </c>
      <c r="O29" s="10">
        <f t="shared" si="8"/>
        <v>1.4369909894964774</v>
      </c>
      <c r="P29" s="10">
        <f t="shared" si="8"/>
        <v>0.91418611979081954</v>
      </c>
      <c r="Q29" s="10">
        <f t="shared" si="8"/>
        <v>0.15445237467070733</v>
      </c>
      <c r="R29" s="10">
        <f t="shared" si="8"/>
        <v>0.78109158091086661</v>
      </c>
      <c r="S29" s="10">
        <f t="shared" si="8"/>
        <v>2.0865802156273907</v>
      </c>
      <c r="T29" s="10">
        <f t="shared" ref="T29:V29" si="10">IF(T6="","",(T6/$O$23))</f>
        <v>0.50050675988066295</v>
      </c>
      <c r="U29" s="10">
        <f t="shared" si="10"/>
        <v>0.88908736907726005</v>
      </c>
      <c r="V29" s="10">
        <f t="shared" si="10"/>
        <v>1.2849138868835486</v>
      </c>
    </row>
    <row r="30" spans="1:22">
      <c r="A30" s="149"/>
      <c r="B30" s="10">
        <f>IF(B7="","",(B7/$O$23))</f>
        <v>6.2336928106183319E-2</v>
      </c>
      <c r="C30" s="10">
        <f>IF(C7="","",(C7/$O$23))</f>
        <v>7.5210553041125104E-4</v>
      </c>
      <c r="D30" s="10">
        <f>IF(D7="","",(D7/$O$23))</f>
        <v>0</v>
      </c>
      <c r="E30" s="10">
        <f>IF(E7="","",(E7/$O$23))</f>
        <v>0.64339473035455175</v>
      </c>
      <c r="F30" s="10">
        <f>IF(F7="","",(F7/$O$23))</f>
        <v>0.86405470473400303</v>
      </c>
      <c r="G30" s="10">
        <f>IF(G7="","",(G7/$O$23))</f>
        <v>2.1487979040245766</v>
      </c>
      <c r="H30" s="10">
        <f>IF(H7="","",(H7/$O$23))</f>
        <v>3.138194292614068</v>
      </c>
      <c r="I30" s="10">
        <f>IF(I7="","",(I7/$O$23))</f>
        <v>0.34765324900759859</v>
      </c>
      <c r="J30" s="10">
        <f>IF(J7="","",(J7/$O$23))</f>
        <v>0.14711465574872457</v>
      </c>
      <c r="K30" s="10">
        <f>IF(K7="","",(K7/$O$23))</f>
        <v>0.43496371902683273</v>
      </c>
      <c r="L30" s="10">
        <f>IF(L7="","",(L7/$O$23))</f>
        <v>0.25184037661556524</v>
      </c>
      <c r="M30" s="10">
        <f>IF(M7="","",(M7/$O$23))</f>
        <v>0.41894807801737621</v>
      </c>
      <c r="N30" s="10" t="str">
        <f>IF(N7="","",(N7/$O$23))</f>
        <v/>
      </c>
      <c r="O30" s="10">
        <f t="shared" si="8"/>
        <v>0.40116572804183082</v>
      </c>
      <c r="P30" s="10">
        <f t="shared" si="8"/>
        <v>1.4849833379738875</v>
      </c>
      <c r="Q30" s="10">
        <f t="shared" si="8"/>
        <v>6.3178285766809658E-2</v>
      </c>
      <c r="R30" s="10">
        <f t="shared" si="8"/>
        <v>0.88906676149942365</v>
      </c>
      <c r="S30" s="10">
        <f t="shared" si="8"/>
        <v>0.68732226963406073</v>
      </c>
      <c r="T30" s="10">
        <f t="shared" ref="T30:V30" si="11">IF(T7="","",(T7/$O$23))</f>
        <v>0.62442666298667437</v>
      </c>
      <c r="U30" s="10">
        <f t="shared" si="11"/>
        <v>1.1861190269179913</v>
      </c>
      <c r="V30" s="10">
        <f t="shared" si="11"/>
        <v>0.50033379834806457</v>
      </c>
    </row>
    <row r="31" spans="1:22">
      <c r="A31" s="149"/>
      <c r="B31" s="10">
        <f>IF(B8="","",(B8/$O$23))</f>
        <v>3.5603214803460646E-2</v>
      </c>
      <c r="C31" s="10">
        <f>IF(C8="","",(C8/$O$23))</f>
        <v>2.2977591408686587E-2</v>
      </c>
      <c r="D31" s="10">
        <f>IF(D8="","",(D8/$O$23))</f>
        <v>0.11187029704206822</v>
      </c>
      <c r="E31" s="10">
        <f>IF(E8="","",(E8/$O$23))</f>
        <v>2.343212493635412</v>
      </c>
      <c r="F31" s="10">
        <f>IF(F8="","",(F8/$O$23))</f>
        <v>1.5227256193567547</v>
      </c>
      <c r="G31" s="10">
        <f>IF(G8="","",(G8/$O$23))</f>
        <v>2.5460864228874298</v>
      </c>
      <c r="H31" s="10">
        <f>IF(H8="","",(H8/$O$23))</f>
        <v>3.4401956455015532</v>
      </c>
      <c r="I31" s="10">
        <f>IF(I8="","",(I8/$O$23))</f>
        <v>0.43241818573975865</v>
      </c>
      <c r="J31" s="10">
        <f>IF(J8="","",(J8/$O$23))</f>
        <v>0.27647424879738353</v>
      </c>
      <c r="K31" s="10">
        <f>IF(K8="","",(K8/$O$23))</f>
        <v>7.9587886816005404E-5</v>
      </c>
      <c r="L31" s="10">
        <f>IF(L8="","",(L8/$O$23))</f>
        <v>4.3390463164727403E-2</v>
      </c>
      <c r="M31" s="10">
        <f>IF(M8="","",(M8/$O$23))</f>
        <v>0.5820884653826357</v>
      </c>
      <c r="N31" s="10" t="str">
        <f>IF(N8="","",(N8/$O$23))</f>
        <v/>
      </c>
      <c r="O31" s="10">
        <f t="shared" si="8"/>
        <v>0.85227498687910186</v>
      </c>
      <c r="P31" s="10">
        <f t="shared" si="8"/>
        <v>1.7928329793300843</v>
      </c>
      <c r="Q31" s="10">
        <f t="shared" si="8"/>
        <v>1.7064353539483844E-2</v>
      </c>
      <c r="R31" s="10">
        <f t="shared" si="8"/>
        <v>0.95515995362086958</v>
      </c>
      <c r="S31" s="10">
        <f t="shared" si="8"/>
        <v>0.8261452887888221</v>
      </c>
      <c r="T31" s="10">
        <f t="shared" ref="T31:V31" si="12">IF(T8="","",(T8/$O$23))</f>
        <v>0.74030094134171998</v>
      </c>
      <c r="U31" s="10">
        <f t="shared" si="12"/>
        <v>1.5705366211492053</v>
      </c>
      <c r="V31" s="10">
        <f t="shared" si="12"/>
        <v>0.32083611054494554</v>
      </c>
    </row>
    <row r="32" spans="1:22">
      <c r="A32" s="149"/>
      <c r="B32" s="10">
        <f>IF(B9="","",(B9/$O$23))</f>
        <v>4.5038927270403914E-2</v>
      </c>
      <c r="C32" s="10">
        <f>IF(C9="","",(C9/$O$23))</f>
        <v>0.29572243710260798</v>
      </c>
      <c r="D32" s="10">
        <f>IF(D9="","",(D9/$O$23))</f>
        <v>0.35531486220467717</v>
      </c>
      <c r="E32" s="10">
        <f>IF(E9="","",(E9/$O$23))</f>
        <v>0.55020214701470904</v>
      </c>
      <c r="F32" s="10">
        <f>IF(F9="","",(F9/$O$23))</f>
        <v>1.5370935068666669</v>
      </c>
      <c r="G32" s="10">
        <f>IF(G9="","",(G9/$O$23))</f>
        <v>2.9300016185831179</v>
      </c>
      <c r="H32" s="10">
        <f>IF(H9="","",(H9/$O$23))</f>
        <v>3.8422848772729026</v>
      </c>
      <c r="I32" s="10">
        <f>IF(I9="","",(I9/$O$23))</f>
        <v>2.8626625917905487E-2</v>
      </c>
      <c r="J32" s="10">
        <f>IF(J9="","",(J9/$O$23))</f>
        <v>0.29094147904458934</v>
      </c>
      <c r="K32" s="10">
        <f>IF(K9="","",(K9/$O$23))</f>
        <v>0.41898446105134923</v>
      </c>
      <c r="L32" s="10">
        <f>IF(L9="","",(L9/$O$23))</f>
        <v>0.18776217924282892</v>
      </c>
      <c r="M32" s="10">
        <f>IF(M9="","",(M9/$O$23))</f>
        <v>4.4670122687747602E-2</v>
      </c>
      <c r="N32" s="10" t="str">
        <f>IF(N9="","",(N9/$O$23))</f>
        <v/>
      </c>
      <c r="O32" s="10">
        <f t="shared" si="8"/>
        <v>0.95768757963341</v>
      </c>
      <c r="P32" s="10">
        <f t="shared" si="8"/>
        <v>1.3925454183465322</v>
      </c>
      <c r="Q32" s="10">
        <f t="shared" si="8"/>
        <v>2.1197380926084295E-3</v>
      </c>
      <c r="R32" s="10">
        <f t="shared" si="8"/>
        <v>0.8829984693721562</v>
      </c>
      <c r="S32" s="10">
        <f t="shared" si="8"/>
        <v>1.5225446990354747</v>
      </c>
      <c r="T32" s="10">
        <f t="shared" ref="T32:V32" si="13">IF(T9="","",(T9/$O$23))</f>
        <v>0.48758751403202838</v>
      </c>
      <c r="U32" s="10">
        <f t="shared" si="13"/>
        <v>2.0977654403920214</v>
      </c>
      <c r="V32" s="10">
        <f t="shared" si="13"/>
        <v>1.5146326682373785</v>
      </c>
    </row>
    <row r="33" spans="1:22">
      <c r="A33" s="149"/>
      <c r="B33" s="10">
        <f>IF(B10="","",(B10/$O$23))</f>
        <v>0</v>
      </c>
      <c r="C33" s="10">
        <f>IF(C10="","",(C10/$O$23))</f>
        <v>2.8195145874381572E-2</v>
      </c>
      <c r="D33" s="10">
        <f>IF(D10="","",(D10/$O$23))</f>
        <v>0.70248035116307483</v>
      </c>
      <c r="E33" s="10">
        <f>IF(E10="","",(E10/$O$23))</f>
        <v>1.1264475824140119</v>
      </c>
      <c r="F33" s="10">
        <f>IF(F10="","",(F10/$O$23))</f>
        <v>1.0664471272707841</v>
      </c>
      <c r="G33" s="10">
        <f>IF(G10="","",(G10/$O$23))</f>
        <v>2.1514834267197109</v>
      </c>
      <c r="H33" s="10">
        <f>IF(H10="","",(H10/$O$23))</f>
        <v>1.656258033735422</v>
      </c>
      <c r="I33" s="10">
        <f>IF(I10="","",(I10/$O$23))</f>
        <v>1.2103470008770479E-2</v>
      </c>
      <c r="J33" s="10">
        <f>IF(J10="","",(J10/$O$23))</f>
        <v>0.11702162301623417</v>
      </c>
      <c r="K33" s="10">
        <f>IF(K10="","",(K10/$O$23))</f>
        <v>4.1459319939627613E-2</v>
      </c>
      <c r="L33" s="10">
        <f>IF(L10="","",(L10/$O$23))</f>
        <v>0.18211712412795081</v>
      </c>
      <c r="M33" s="10">
        <f>IF(M10="","",(M10/$O$23))</f>
        <v>0.23400885269566571</v>
      </c>
      <c r="N33" s="10" t="str">
        <f>IF(N10="","",(N10/$O$23))</f>
        <v/>
      </c>
      <c r="O33" s="10">
        <f t="shared" si="8"/>
        <v>0.36894215600352126</v>
      </c>
      <c r="P33" s="10">
        <f t="shared" si="8"/>
        <v>1.1376106362673153</v>
      </c>
      <c r="Q33" s="10">
        <f t="shared" si="8"/>
        <v>3.205828505193989E-3</v>
      </c>
      <c r="R33" s="10">
        <f t="shared" si="8"/>
        <v>1.6206750001461183</v>
      </c>
      <c r="S33" s="10">
        <f t="shared" si="8"/>
        <v>0.25226730877984255</v>
      </c>
      <c r="T33" s="10">
        <f t="shared" ref="T33:V33" si="14">IF(T10="","",(T10/$O$23))</f>
        <v>1.0539892069232295</v>
      </c>
      <c r="U33" s="10">
        <f t="shared" si="14"/>
        <v>0.5161936744933241</v>
      </c>
      <c r="V33" s="10">
        <f t="shared" si="14"/>
        <v>0.46086119103308149</v>
      </c>
    </row>
    <row r="34" spans="1:22">
      <c r="A34" s="149"/>
      <c r="B34" s="10">
        <f>IF(B11="","",(B11/$O$23))</f>
        <v>6.7991789585686954E-2</v>
      </c>
      <c r="C34" s="10">
        <f>IF(C11="","",(C11/$O$23))</f>
        <v>0.2268125443940078</v>
      </c>
      <c r="D34" s="10">
        <f>IF(D11="","",(D11/$O$23))</f>
        <v>0.86934999951057002</v>
      </c>
      <c r="E34" s="10">
        <f>IF(E11="","",(E11/$O$23))</f>
        <v>1.3104171146076051</v>
      </c>
      <c r="F34" s="10">
        <f>IF(F11="","",(F11/$O$23))</f>
        <v>1.4896784548111259</v>
      </c>
      <c r="G34" s="10">
        <f>IF(G11="","",(G11/$O$23))</f>
        <v>1.6981179934124324</v>
      </c>
      <c r="H34" s="10">
        <f>IF(H11="","",(H11/$O$23))</f>
        <v>2.727777751820915</v>
      </c>
      <c r="I34" s="10">
        <f>IF(I11="","",(I11/$O$23))</f>
        <v>0.1660271537170572</v>
      </c>
      <c r="J34" s="10">
        <f>IF(J11="","",(J11/$O$23))</f>
        <v>0.16793299936384762</v>
      </c>
      <c r="K34" s="10">
        <f>IF(K11="","",(K11/$O$23))</f>
        <v>0.12059796155880195</v>
      </c>
      <c r="L34" s="10">
        <f>IF(L11="","",(L11/$O$23))</f>
        <v>0.18771058923762496</v>
      </c>
      <c r="M34" s="10">
        <f>IF(M11="","",(M11/$O$23))</f>
        <v>0.36494954438866051</v>
      </c>
      <c r="N34" s="10" t="str">
        <f>IF(N11="","",(N11/$O$23))</f>
        <v/>
      </c>
      <c r="O34" s="10">
        <f t="shared" si="8"/>
        <v>0.97173270983803817</v>
      </c>
      <c r="P34" s="10">
        <f t="shared" si="8"/>
        <v>1.9418560389076753</v>
      </c>
      <c r="Q34" s="10">
        <f t="shared" si="8"/>
        <v>6.151219862905246E-2</v>
      </c>
      <c r="R34" s="10">
        <f t="shared" si="8"/>
        <v>1.7450035017781942</v>
      </c>
      <c r="S34" s="10">
        <f t="shared" si="8"/>
        <v>0.77828610790060249</v>
      </c>
      <c r="T34" s="10">
        <f t="shared" ref="T34:V34" si="15">IF(T11="","",(T11/$O$23))</f>
        <v>2.3932930292931567</v>
      </c>
      <c r="U34" s="10">
        <f t="shared" si="15"/>
        <v>1.9302642053141508</v>
      </c>
      <c r="V34" s="10">
        <f t="shared" si="15"/>
        <v>1.822031074699574</v>
      </c>
    </row>
    <row r="35" spans="1:22">
      <c r="A35" s="149"/>
      <c r="B35" s="10">
        <f>IF(B12="","",(B12/$O$23))</f>
        <v>0.10630667738995007</v>
      </c>
      <c r="C35" s="10">
        <f>IF(C12="","",(C12/$O$23))</f>
        <v>0.36729099159454209</v>
      </c>
      <c r="D35" s="10">
        <f>IF(D12="","",(D12/$O$23))</f>
        <v>0.45518913288517654</v>
      </c>
      <c r="E35" s="10">
        <f>IF(E12="","",(E12/$O$23))</f>
        <v>0.14312900807396017</v>
      </c>
      <c r="F35" s="10">
        <f>IF(F12="","",(F12/$O$23))</f>
        <v>1.1529865896364881</v>
      </c>
      <c r="G35" s="10">
        <f>IF(G12="","",(G12/$O$23))</f>
        <v>1.9357758085973855</v>
      </c>
      <c r="H35" s="10">
        <f>IF(H12="","",(H12/$O$23))</f>
        <v>1.874632556672216</v>
      </c>
      <c r="I35" s="10">
        <f>IF(I12="","",(I12/$O$23))</f>
        <v>0.19524059817900427</v>
      </c>
      <c r="J35" s="10">
        <f>IF(J12="","",(J12/$O$23))</f>
        <v>0.41264116435088716</v>
      </c>
      <c r="K35" s="10">
        <f>IF(K12="","",(K12/$O$23))</f>
        <v>0.10350376256176211</v>
      </c>
      <c r="L35" s="10">
        <f>IF(L12="","",(L12/$O$23))</f>
        <v>0.26324617352365759</v>
      </c>
      <c r="M35" s="10">
        <f>IF(M12="","",(M12/$O$23))</f>
        <v>0.13996482108811814</v>
      </c>
      <c r="N35" s="10" t="str">
        <f>IF(N12="","",(N12/$O$23))</f>
        <v/>
      </c>
      <c r="O35" s="10">
        <f t="shared" si="8"/>
        <v>1.5973981014345131</v>
      </c>
      <c r="P35" s="10">
        <f t="shared" si="8"/>
        <v>2.0706502737174879</v>
      </c>
      <c r="Q35" s="10">
        <f t="shared" si="8"/>
        <v>0.25213883119112529</v>
      </c>
      <c r="R35" s="10">
        <f t="shared" si="8"/>
        <v>1.9534349394695927</v>
      </c>
      <c r="S35" s="10">
        <f t="shared" si="8"/>
        <v>2.0761772260931801</v>
      </c>
      <c r="T35" s="10">
        <f t="shared" ref="T35:V35" si="16">IF(T12="","",(T12/$O$23))</f>
        <v>0.98825899241415516</v>
      </c>
      <c r="U35" s="10">
        <f t="shared" si="16"/>
        <v>0.83482704814941022</v>
      </c>
      <c r="V35" s="10">
        <f t="shared" si="16"/>
        <v>0.83439045174173387</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8"/>
        <v>1.3568290750468117</v>
      </c>
      <c r="P36" s="10" t="str">
        <f t="shared" si="8"/>
        <v/>
      </c>
      <c r="Q36" s="10" t="str">
        <f t="shared" si="8"/>
        <v/>
      </c>
      <c r="R36" s="10" t="str">
        <f t="shared" si="8"/>
        <v/>
      </c>
      <c r="S36" s="10" t="str">
        <f t="shared" si="8"/>
        <v/>
      </c>
      <c r="T36" s="10" t="str">
        <f t="shared" ref="T36:V36" si="17">IF(T13="","",(T13/$O$23))</f>
        <v/>
      </c>
      <c r="U36" s="10" t="str">
        <f t="shared" si="17"/>
        <v/>
      </c>
      <c r="V36" s="10" t="str">
        <f t="shared" si="1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8"/>
        <v>0.77087107503142704</v>
      </c>
      <c r="P37" s="10" t="str">
        <f t="shared" si="8"/>
        <v/>
      </c>
      <c r="Q37" s="10" t="str">
        <f t="shared" si="8"/>
        <v/>
      </c>
      <c r="R37" s="10" t="str">
        <f t="shared" si="8"/>
        <v/>
      </c>
      <c r="S37" s="10" t="str">
        <f t="shared" si="8"/>
        <v/>
      </c>
      <c r="T37" s="10" t="str">
        <f t="shared" ref="T37:V37" si="18">IF(T14="","",(T14/$O$23))</f>
        <v/>
      </c>
      <c r="U37" s="10" t="str">
        <f t="shared" si="18"/>
        <v/>
      </c>
      <c r="V37" s="10" t="str">
        <f t="shared" si="18"/>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ref="O38:V38" si="19">IF(O15="","",(O15/$O$23))</f>
        <v>0.34095706530184339</v>
      </c>
      <c r="P38" s="10" t="str">
        <f t="shared" si="19"/>
        <v/>
      </c>
      <c r="Q38" s="10" t="str">
        <f t="shared" si="19"/>
        <v/>
      </c>
      <c r="R38" s="10" t="str">
        <f t="shared" si="19"/>
        <v/>
      </c>
      <c r="S38" s="10" t="str">
        <f t="shared" si="19"/>
        <v/>
      </c>
      <c r="T38" s="10" t="str">
        <f t="shared" si="19"/>
        <v/>
      </c>
      <c r="U38" s="10" t="str">
        <f t="shared" si="19"/>
        <v/>
      </c>
      <c r="V38" s="10" t="str">
        <f t="shared" si="19"/>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ref="O39:V39" si="20">IF(O16="","",(O16/$O$23))</f>
        <v>0.70360168763982178</v>
      </c>
      <c r="P39" s="10" t="str">
        <f t="shared" si="20"/>
        <v/>
      </c>
      <c r="Q39" s="10" t="str">
        <f t="shared" si="20"/>
        <v/>
      </c>
      <c r="R39" s="10" t="str">
        <f t="shared" si="20"/>
        <v/>
      </c>
      <c r="S39" s="10" t="str">
        <f t="shared" si="20"/>
        <v/>
      </c>
      <c r="T39" s="10" t="str">
        <f t="shared" si="20"/>
        <v/>
      </c>
      <c r="U39" s="10" t="str">
        <f t="shared" si="20"/>
        <v/>
      </c>
      <c r="V39" s="10" t="str">
        <f t="shared" si="20"/>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0" si="21">IF(O17="","",(O17/$O$23))</f>
        <v>1.6009269714874441</v>
      </c>
      <c r="P40" s="10" t="str">
        <f t="shared" si="21"/>
        <v/>
      </c>
      <c r="Q40" s="10" t="str">
        <f t="shared" si="21"/>
        <v/>
      </c>
      <c r="R40" s="10" t="str">
        <f t="shared" si="21"/>
        <v/>
      </c>
      <c r="S40" s="10" t="str">
        <f t="shared" si="21"/>
        <v/>
      </c>
      <c r="T40" s="10" t="str">
        <f t="shared" si="21"/>
        <v/>
      </c>
      <c r="U40" s="10" t="str">
        <f t="shared" si="21"/>
        <v/>
      </c>
      <c r="V40" s="10" t="str">
        <f t="shared" si="21"/>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ref="O41:V41" si="22">IF(O18="","",(O18/$O$23))</f>
        <v>0.8526882754056393</v>
      </c>
      <c r="P41" s="10" t="str">
        <f t="shared" si="22"/>
        <v/>
      </c>
      <c r="Q41" s="10" t="str">
        <f t="shared" si="22"/>
        <v/>
      </c>
      <c r="R41" s="10" t="str">
        <f t="shared" si="22"/>
        <v/>
      </c>
      <c r="S41" s="10" t="str">
        <f t="shared" si="22"/>
        <v/>
      </c>
      <c r="T41" s="10" t="str">
        <f t="shared" si="22"/>
        <v/>
      </c>
      <c r="U41" s="10" t="str">
        <f t="shared" si="22"/>
        <v/>
      </c>
      <c r="V41" s="10" t="str">
        <f t="shared" si="22"/>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ref="O42:V42" si="23">IF(O19="","",(O19/$O$23))</f>
        <v>1.3166251119004799</v>
      </c>
      <c r="P42" s="10" t="str">
        <f t="shared" si="23"/>
        <v/>
      </c>
      <c r="Q42" s="10" t="str">
        <f t="shared" si="23"/>
        <v/>
      </c>
      <c r="R42" s="10" t="str">
        <f t="shared" si="23"/>
        <v/>
      </c>
      <c r="S42" s="10" t="str">
        <f t="shared" si="23"/>
        <v/>
      </c>
      <c r="T42" s="10" t="str">
        <f t="shared" si="23"/>
        <v/>
      </c>
      <c r="U42" s="10" t="str">
        <f t="shared" si="23"/>
        <v/>
      </c>
      <c r="V42" s="10" t="str">
        <f t="shared" si="23"/>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ref="O43:V43" si="24">IF(O20="","",(O20/$O$23))</f>
        <v>0.74519360668373391</v>
      </c>
      <c r="P43" s="10" t="str">
        <f t="shared" si="24"/>
        <v/>
      </c>
      <c r="Q43" s="10" t="str">
        <f t="shared" si="24"/>
        <v/>
      </c>
      <c r="R43" s="10" t="str">
        <f t="shared" si="24"/>
        <v/>
      </c>
      <c r="S43" s="10" t="str">
        <f t="shared" si="24"/>
        <v/>
      </c>
      <c r="T43" s="10" t="str">
        <f t="shared" si="24"/>
        <v/>
      </c>
      <c r="U43" s="10" t="str">
        <f t="shared" si="24"/>
        <v/>
      </c>
      <c r="V43" s="10" t="str">
        <f t="shared" si="24"/>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R45" si="25">B4</f>
        <v>Solvent control</v>
      </c>
      <c r="C45" s="6" t="str">
        <f t="shared" si="25"/>
        <v>EE2-33.8ng/L</v>
      </c>
      <c r="D45" s="6" t="str">
        <f t="shared" si="25"/>
        <v>EE2-50.6ng/L</v>
      </c>
      <c r="E45" s="6" t="str">
        <f t="shared" si="25"/>
        <v>EE2-76ng/L</v>
      </c>
      <c r="F45" s="6" t="str">
        <f t="shared" si="25"/>
        <v>EE2-114ng/L</v>
      </c>
      <c r="G45" s="6" t="str">
        <f t="shared" si="25"/>
        <v>EE2-170.9ng/L</v>
      </c>
      <c r="H45" s="6" t="str">
        <f t="shared" si="25"/>
        <v>EE2-488ng/L</v>
      </c>
      <c r="I45" s="6" t="str">
        <f t="shared" si="25"/>
        <v>Dutasteride-1mg/L</v>
      </c>
      <c r="J45" s="6" t="str">
        <f t="shared" si="25"/>
        <v>Dutasteride-0.5mg/L</v>
      </c>
      <c r="K45" s="6" t="str">
        <f t="shared" ref="K45:N45" si="26">K4</f>
        <v>Dutasteride-0.25mg/L</v>
      </c>
      <c r="L45" s="6" t="str">
        <f t="shared" si="26"/>
        <v>Dutasteride-0.1mg/L</v>
      </c>
      <c r="M45" s="6" t="str">
        <f t="shared" si="26"/>
        <v>Dutasteride-0.01mg/L</v>
      </c>
      <c r="N45" s="6" t="str">
        <f t="shared" si="26"/>
        <v/>
      </c>
      <c r="O45" s="6" t="str">
        <f t="shared" si="25"/>
        <v>Testo -30µg/L</v>
      </c>
      <c r="P45" s="6" t="str">
        <f t="shared" si="25"/>
        <v>Testo 30µg/L + EE2 -64ng/L</v>
      </c>
      <c r="Q45" s="6" t="str">
        <f t="shared" si="25"/>
        <v>Testo 30µg/L + FAD-10mg/L</v>
      </c>
      <c r="R45" s="6" t="str">
        <f t="shared" si="25"/>
        <v>Dutasteride-1mg/L + Testostérone</v>
      </c>
      <c r="S45" s="6" t="str">
        <f t="shared" ref="S45:V45" si="27">S4</f>
        <v>Dutasteride-0.5mg/L + Testostérone</v>
      </c>
      <c r="T45" s="6" t="str">
        <f t="shared" si="27"/>
        <v>Dutasteride-0.25mg/L + Testostérone</v>
      </c>
      <c r="U45" s="6" t="str">
        <f t="shared" si="27"/>
        <v>Dutasteride-0.1mg/L + Testostérone</v>
      </c>
      <c r="V45" s="6" t="str">
        <f t="shared" si="27"/>
        <v>Dutasteride-0.01mg/L + Testostérone</v>
      </c>
    </row>
    <row r="46" spans="1:22">
      <c r="A46" s="7" t="s">
        <v>0</v>
      </c>
      <c r="B46" s="9">
        <f t="shared" ref="B46:H46" si="28">AVERAGE(B28:B43)</f>
        <v>9.9407189269747911E-2</v>
      </c>
      <c r="C46" s="9">
        <f t="shared" si="28"/>
        <v>0.19164526868755116</v>
      </c>
      <c r="D46" s="9">
        <f t="shared" si="28"/>
        <v>0.45574925040379743</v>
      </c>
      <c r="E46" s="9">
        <f t="shared" si="28"/>
        <v>0.96087971120540427</v>
      </c>
      <c r="F46" s="9">
        <f t="shared" si="28"/>
        <v>1.2563098049451895</v>
      </c>
      <c r="G46" s="9">
        <f t="shared" si="28"/>
        <v>2.0607181495716831</v>
      </c>
      <c r="H46" s="9">
        <f t="shared" si="28"/>
        <v>2.5693305271260298</v>
      </c>
      <c r="I46" s="9">
        <f>AVERAGE(I28:I43)</f>
        <v>0.15159968188295272</v>
      </c>
      <c r="J46" s="8">
        <f>AVERAGE(J28:J43)</f>
        <v>0.21616137566809634</v>
      </c>
      <c r="K46" s="8">
        <f t="shared" ref="K46:N46" si="29">AVERAGE(K28:K43)</f>
        <v>0.22672936794622375</v>
      </c>
      <c r="L46" s="8">
        <f t="shared" si="29"/>
        <v>0.22769763986207633</v>
      </c>
      <c r="M46" s="8">
        <f t="shared" si="29"/>
        <v>0.35589931798332897</v>
      </c>
      <c r="N46" s="8" t="e">
        <f t="shared" si="29"/>
        <v>#DIV/0!</v>
      </c>
      <c r="O46" s="9">
        <f t="shared" ref="O46:R46" si="30">AVERAGE(O28:O43)</f>
        <v>1</v>
      </c>
      <c r="P46" s="9">
        <f t="shared" si="30"/>
        <v>1.5806029432630924</v>
      </c>
      <c r="Q46" s="9">
        <f t="shared" si="30"/>
        <v>0.11580364410549637</v>
      </c>
      <c r="R46" s="9">
        <f t="shared" si="30"/>
        <v>1.1063726926996396</v>
      </c>
      <c r="S46" s="9">
        <f t="shared" ref="S46:V46" si="31">AVERAGE(S28:S43)</f>
        <v>1.2934690695268229</v>
      </c>
      <c r="T46" s="9">
        <f t="shared" si="31"/>
        <v>0.95249393706406649</v>
      </c>
      <c r="U46" s="9">
        <f t="shared" si="31"/>
        <v>1.2161127346783414</v>
      </c>
      <c r="V46" s="9">
        <f t="shared" si="31"/>
        <v>0.90934149142334808</v>
      </c>
    </row>
    <row r="47" spans="1:22">
      <c r="A47" s="7" t="s">
        <v>1</v>
      </c>
      <c r="B47" s="7">
        <f t="shared" ref="B47:J47" si="32">STDEV(B28:B43)</f>
        <v>9.8699892975430331E-2</v>
      </c>
      <c r="C47" s="7">
        <f t="shared" si="32"/>
        <v>0.15292936884612779</v>
      </c>
      <c r="D47" s="7">
        <f t="shared" si="32"/>
        <v>0.32499648841054246</v>
      </c>
      <c r="E47" s="7">
        <f t="shared" si="32"/>
        <v>0.66121027537149857</v>
      </c>
      <c r="F47" s="7">
        <f t="shared" si="32"/>
        <v>0.25054448976145616</v>
      </c>
      <c r="G47" s="7">
        <f t="shared" si="32"/>
        <v>0.52134320173298299</v>
      </c>
      <c r="H47" s="7">
        <f t="shared" si="32"/>
        <v>0.88606135953380882</v>
      </c>
      <c r="I47" s="7">
        <f t="shared" si="32"/>
        <v>0.16523733849884475</v>
      </c>
      <c r="J47" s="7">
        <f t="shared" si="32"/>
        <v>0.10963133456350059</v>
      </c>
      <c r="K47" s="7">
        <f t="shared" ref="K47:N47" si="33">STDEV(K28:K43)</f>
        <v>0.18614330309658661</v>
      </c>
      <c r="L47" s="7">
        <f t="shared" si="33"/>
        <v>0.11731288613169262</v>
      </c>
      <c r="M47" s="7">
        <f t="shared" si="33"/>
        <v>0.23651391998776547</v>
      </c>
      <c r="N47" s="7" t="e">
        <f t="shared" si="33"/>
        <v>#DIV/0!</v>
      </c>
      <c r="O47" s="7">
        <f t="shared" ref="O47:R47" si="34">STDEV(O28:O43)</f>
        <v>0.45507107978066141</v>
      </c>
      <c r="P47" s="7">
        <f t="shared" si="34"/>
        <v>0.41561677162555416</v>
      </c>
      <c r="Q47" s="7">
        <f t="shared" si="34"/>
        <v>0.13478821956995951</v>
      </c>
      <c r="R47" s="7">
        <f t="shared" si="34"/>
        <v>0.63111734502095607</v>
      </c>
      <c r="S47" s="7">
        <f t="shared" ref="S47:V47" si="35">STDEV(S28:S43)</f>
        <v>0.74737757291676077</v>
      </c>
      <c r="T47" s="7">
        <f t="shared" si="35"/>
        <v>0.61819841923617114</v>
      </c>
      <c r="U47" s="7">
        <f t="shared" si="35"/>
        <v>0.58775591753809786</v>
      </c>
      <c r="V47" s="7">
        <f t="shared" si="35"/>
        <v>0.56056727608830303</v>
      </c>
    </row>
    <row r="48" spans="1:22">
      <c r="A48" s="7" t="s">
        <v>2</v>
      </c>
      <c r="B48" s="7">
        <f t="shared" ref="B48:J48" si="36" xml:space="preserve"> B47/SQRT(COUNT(B28:B43))</f>
        <v>3.4895681812656634E-2</v>
      </c>
      <c r="C48" s="7">
        <f t="shared" si="36"/>
        <v>5.4068696876837845E-2</v>
      </c>
      <c r="D48" s="7">
        <f t="shared" si="36"/>
        <v>0.11490361040845488</v>
      </c>
      <c r="E48" s="7">
        <f t="shared" si="36"/>
        <v>0.23377313475270553</v>
      </c>
      <c r="F48" s="7">
        <f t="shared" si="36"/>
        <v>8.858085384962458E-2</v>
      </c>
      <c r="G48" s="7">
        <f t="shared" si="36"/>
        <v>0.18432265663544925</v>
      </c>
      <c r="H48" s="7">
        <f t="shared" si="36"/>
        <v>0.31326999793686389</v>
      </c>
      <c r="I48" s="7">
        <f t="shared" si="36"/>
        <v>5.8420221278875049E-2</v>
      </c>
      <c r="J48" s="7">
        <f t="shared" si="36"/>
        <v>3.8760530050191193E-2</v>
      </c>
      <c r="K48" s="7">
        <f t="shared" ref="K48:N48" si="37" xml:space="preserve"> K47/SQRT(COUNT(K28:K43))</f>
        <v>6.581159594602963E-2</v>
      </c>
      <c r="L48" s="7">
        <f t="shared" si="37"/>
        <v>4.1476368652142569E-2</v>
      </c>
      <c r="M48" s="7">
        <f t="shared" si="37"/>
        <v>8.3620298334180734E-2</v>
      </c>
      <c r="N48" s="7" t="e">
        <f t="shared" si="37"/>
        <v>#DIV/0!</v>
      </c>
      <c r="O48" s="7">
        <f t="shared" ref="O48:R48" si="38" xml:space="preserve"> O47/SQRT(COUNT(O28:O43))</f>
        <v>0.11376776994516535</v>
      </c>
      <c r="P48" s="7">
        <f t="shared" si="38"/>
        <v>0.14694271879564499</v>
      </c>
      <c r="Q48" s="7">
        <f t="shared" si="38"/>
        <v>4.7654832040989838E-2</v>
      </c>
      <c r="R48" s="7">
        <f t="shared" si="38"/>
        <v>0.22313367719438398</v>
      </c>
      <c r="S48" s="7">
        <f t="shared" ref="S48:V48" si="39" xml:space="preserve"> S47/SQRT(COUNT(S28:S43))</f>
        <v>0.26423787495809242</v>
      </c>
      <c r="T48" s="7">
        <f t="shared" si="39"/>
        <v>0.21856614718035039</v>
      </c>
      <c r="U48" s="7">
        <f t="shared" si="39"/>
        <v>0.2078030974868551</v>
      </c>
      <c r="V48" s="7">
        <f t="shared" si="39"/>
        <v>0.19819046111665531</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customFormat="1" ht="15.75" thickBot="1"/>
    <row r="52" spans="1:22">
      <c r="A52" s="28" t="str">
        <f t="shared" ref="A52:H52" si="40">A27</f>
        <v>Noms des groupes</v>
      </c>
      <c r="B52" s="29" t="str">
        <f t="shared" si="40"/>
        <v>Solvent control</v>
      </c>
      <c r="C52" s="29" t="str">
        <f t="shared" si="40"/>
        <v>EE2-33.8ng/L</v>
      </c>
      <c r="D52" s="29" t="str">
        <f t="shared" si="40"/>
        <v>EE2-50.6ng/L</v>
      </c>
      <c r="E52" s="29" t="str">
        <f t="shared" si="40"/>
        <v>EE2-76ng/L</v>
      </c>
      <c r="F52" s="29" t="str">
        <f t="shared" si="40"/>
        <v>EE2-114ng/L</v>
      </c>
      <c r="G52" s="29" t="str">
        <f t="shared" si="40"/>
        <v>EE2-170.9ng/L</v>
      </c>
      <c r="H52" s="29" t="str">
        <f t="shared" si="40"/>
        <v>EE2-488ng/L</v>
      </c>
      <c r="I52" s="29" t="str">
        <f>I4</f>
        <v>Dutasteride-1mg/L</v>
      </c>
      <c r="J52" s="29" t="str">
        <f>J4</f>
        <v>Dutasteride-0.5mg/L</v>
      </c>
      <c r="K52" s="29" t="str">
        <f t="shared" ref="K52:N52" si="41">K4</f>
        <v>Dutasteride-0.25mg/L</v>
      </c>
      <c r="L52" s="29" t="str">
        <f t="shared" si="41"/>
        <v>Dutasteride-0.1mg/L</v>
      </c>
      <c r="M52" s="29" t="str">
        <f t="shared" si="41"/>
        <v>Dutasteride-0.01mg/L</v>
      </c>
      <c r="N52" s="29" t="str">
        <f t="shared" si="41"/>
        <v/>
      </c>
      <c r="O52" s="29" t="str">
        <f>O27</f>
        <v>Testo -30µg/L</v>
      </c>
      <c r="P52" s="29" t="str">
        <f>P27</f>
        <v>Testo 30µg/L + EE2 -64ng/L</v>
      </c>
      <c r="Q52" s="29" t="str">
        <f>Q27</f>
        <v>Testo 30µg/L + FAD-10mg/L</v>
      </c>
      <c r="R52" s="29" t="str">
        <f>R27</f>
        <v>Dutasteride-1mg/L + Testostérone</v>
      </c>
      <c r="S52" s="29" t="str">
        <f t="shared" ref="S52:V52" si="42">S27</f>
        <v>Dutasteride-0.5mg/L + Testostérone</v>
      </c>
      <c r="T52" s="29" t="str">
        <f t="shared" si="42"/>
        <v>Dutasteride-0.25mg/L + Testostérone</v>
      </c>
      <c r="U52" s="29" t="str">
        <f t="shared" si="42"/>
        <v>Dutasteride-0.1mg/L + Testostérone</v>
      </c>
      <c r="V52" s="29" t="str">
        <f t="shared" si="42"/>
        <v>Dutasteride-0.01mg/L + Testostérone</v>
      </c>
    </row>
    <row r="53" spans="1:22" s="3" customFormat="1">
      <c r="A53" s="43" t="s">
        <v>15</v>
      </c>
      <c r="B53" s="75">
        <f t="shared" ref="B53" si="43">B46</f>
        <v>9.9407189269747911E-2</v>
      </c>
      <c r="C53" s="75">
        <f t="shared" ref="C53:V53" si="44">C46</f>
        <v>0.19164526868755116</v>
      </c>
      <c r="D53" s="75">
        <f t="shared" si="44"/>
        <v>0.45574925040379743</v>
      </c>
      <c r="E53" s="75">
        <f t="shared" si="44"/>
        <v>0.96087971120540427</v>
      </c>
      <c r="F53" s="75">
        <f t="shared" si="44"/>
        <v>1.2563098049451895</v>
      </c>
      <c r="G53" s="75">
        <f t="shared" si="44"/>
        <v>2.0607181495716831</v>
      </c>
      <c r="H53" s="75">
        <f t="shared" si="44"/>
        <v>2.5693305271260298</v>
      </c>
      <c r="I53" s="75">
        <f t="shared" si="44"/>
        <v>0.15159968188295272</v>
      </c>
      <c r="J53" s="75">
        <f t="shared" si="44"/>
        <v>0.21616137566809634</v>
      </c>
      <c r="K53" s="75">
        <f t="shared" si="44"/>
        <v>0.22672936794622375</v>
      </c>
      <c r="L53" s="75">
        <f t="shared" si="44"/>
        <v>0.22769763986207633</v>
      </c>
      <c r="M53" s="75">
        <f t="shared" si="44"/>
        <v>0.35589931798332897</v>
      </c>
      <c r="N53" s="75" t="e">
        <f t="shared" si="44"/>
        <v>#DIV/0!</v>
      </c>
      <c r="O53" s="75">
        <f t="shared" si="44"/>
        <v>1</v>
      </c>
      <c r="P53" s="75">
        <f t="shared" si="44"/>
        <v>1.5806029432630924</v>
      </c>
      <c r="Q53" s="75">
        <f t="shared" si="44"/>
        <v>0.11580364410549637</v>
      </c>
      <c r="R53" s="75">
        <f t="shared" si="44"/>
        <v>1.1063726926996396</v>
      </c>
      <c r="S53" s="75">
        <f t="shared" si="44"/>
        <v>1.2934690695268229</v>
      </c>
      <c r="T53" s="75">
        <f t="shared" si="44"/>
        <v>0.95249393706406649</v>
      </c>
      <c r="U53" s="75">
        <f t="shared" si="44"/>
        <v>1.2161127346783414</v>
      </c>
      <c r="V53" s="75">
        <f t="shared" si="44"/>
        <v>0.90934149142334808</v>
      </c>
    </row>
    <row r="54" spans="1:22" s="3" customFormat="1">
      <c r="A54" s="43" t="s">
        <v>2</v>
      </c>
      <c r="B54" s="75">
        <f t="shared" ref="B54" si="45">B48</f>
        <v>3.4895681812656634E-2</v>
      </c>
      <c r="C54" s="75">
        <f t="shared" ref="C54:V54" si="46">C48</f>
        <v>5.4068696876837845E-2</v>
      </c>
      <c r="D54" s="75">
        <f t="shared" si="46"/>
        <v>0.11490361040845488</v>
      </c>
      <c r="E54" s="75">
        <f t="shared" si="46"/>
        <v>0.23377313475270553</v>
      </c>
      <c r="F54" s="75">
        <f t="shared" si="46"/>
        <v>8.858085384962458E-2</v>
      </c>
      <c r="G54" s="75">
        <f t="shared" si="46"/>
        <v>0.18432265663544925</v>
      </c>
      <c r="H54" s="75">
        <f t="shared" si="46"/>
        <v>0.31326999793686389</v>
      </c>
      <c r="I54" s="75">
        <f t="shared" si="46"/>
        <v>5.8420221278875049E-2</v>
      </c>
      <c r="J54" s="75">
        <f t="shared" si="46"/>
        <v>3.8760530050191193E-2</v>
      </c>
      <c r="K54" s="75">
        <f t="shared" si="46"/>
        <v>6.581159594602963E-2</v>
      </c>
      <c r="L54" s="75">
        <f t="shared" si="46"/>
        <v>4.1476368652142569E-2</v>
      </c>
      <c r="M54" s="75">
        <f t="shared" si="46"/>
        <v>8.3620298334180734E-2</v>
      </c>
      <c r="N54" s="75" t="e">
        <f t="shared" si="46"/>
        <v>#DIV/0!</v>
      </c>
      <c r="O54" s="75">
        <f t="shared" si="46"/>
        <v>0.11376776994516535</v>
      </c>
      <c r="P54" s="75">
        <f t="shared" si="46"/>
        <v>0.14694271879564499</v>
      </c>
      <c r="Q54" s="75">
        <f t="shared" si="46"/>
        <v>4.7654832040989838E-2</v>
      </c>
      <c r="R54" s="75">
        <f t="shared" si="46"/>
        <v>0.22313367719438398</v>
      </c>
      <c r="S54" s="75">
        <f t="shared" si="46"/>
        <v>0.26423787495809242</v>
      </c>
      <c r="T54" s="75">
        <f t="shared" si="46"/>
        <v>0.21856614718035039</v>
      </c>
      <c r="U54" s="75">
        <f t="shared" si="46"/>
        <v>0.2078030974868551</v>
      </c>
      <c r="V54" s="75">
        <f t="shared" si="46"/>
        <v>0.19819046111665531</v>
      </c>
    </row>
    <row r="55" spans="1:22" s="3" customFormat="1">
      <c r="A55" s="43" t="s">
        <v>42</v>
      </c>
      <c r="B55" s="75">
        <f>(B53*100/$B53)-100</f>
        <v>0</v>
      </c>
      <c r="C55" s="75">
        <f t="shared" ref="C55:N55" si="47">(C53*100/$B53)-100</f>
        <v>92.788137453025854</v>
      </c>
      <c r="D55" s="75">
        <f t="shared" si="47"/>
        <v>358.46709252294829</v>
      </c>
      <c r="E55" s="75">
        <f t="shared" si="47"/>
        <v>866.60987828354587</v>
      </c>
      <c r="F55" s="75">
        <f t="shared" si="47"/>
        <v>1163.8017573720051</v>
      </c>
      <c r="G55" s="75">
        <f t="shared" si="47"/>
        <v>1973.0071584458437</v>
      </c>
      <c r="H55" s="75">
        <f t="shared" si="47"/>
        <v>2484.6526252281246</v>
      </c>
      <c r="I55" s="75">
        <f t="shared" si="47"/>
        <v>52.503740420199449</v>
      </c>
      <c r="J55" s="75">
        <f t="shared" si="47"/>
        <v>117.45044524046276</v>
      </c>
      <c r="K55" s="75">
        <f t="shared" si="47"/>
        <v>128.08145931073335</v>
      </c>
      <c r="L55" s="75">
        <f t="shared" si="47"/>
        <v>129.05550547677581</v>
      </c>
      <c r="M55" s="75">
        <f t="shared" si="47"/>
        <v>258.02170909145502</v>
      </c>
      <c r="N55" s="75" t="e">
        <f t="shared" si="47"/>
        <v>#DIV/0!</v>
      </c>
      <c r="O55" s="75">
        <f>(O53*100/$O53)-100</f>
        <v>0</v>
      </c>
      <c r="P55" s="75">
        <f t="shared" ref="P55:V55" si="48">(P53*100/$O53)-100</f>
        <v>58.060294326309247</v>
      </c>
      <c r="Q55" s="75">
        <f t="shared" si="48"/>
        <v>-88.419635589450365</v>
      </c>
      <c r="R55" s="75">
        <f t="shared" si="48"/>
        <v>10.637269269963952</v>
      </c>
      <c r="S55" s="75">
        <f t="shared" si="48"/>
        <v>29.346906952682303</v>
      </c>
      <c r="T55" s="75">
        <f t="shared" si="48"/>
        <v>-4.75060629359335</v>
      </c>
      <c r="U55" s="75">
        <f t="shared" si="48"/>
        <v>21.611273467834138</v>
      </c>
      <c r="V55" s="75">
        <f t="shared" si="48"/>
        <v>-9.0658508576651968</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49">IF(C56&gt;0.05,"Oui","Non")</f>
        <v>#NAME?</v>
      </c>
      <c r="D57" s="75" t="e">
        <f t="shared" ca="1" si="49"/>
        <v>#NAME?</v>
      </c>
      <c r="E57" s="75" t="e">
        <f t="shared" ca="1" si="49"/>
        <v>#NAME?</v>
      </c>
      <c r="F57" s="75" t="e">
        <f t="shared" ca="1" si="49"/>
        <v>#NAME?</v>
      </c>
      <c r="G57" s="75" t="e">
        <f t="shared" ca="1" si="49"/>
        <v>#NAME?</v>
      </c>
      <c r="H57" s="75" t="e">
        <f t="shared" ca="1" si="49"/>
        <v>#NAME?</v>
      </c>
      <c r="I57" s="75" t="e">
        <f t="shared" ca="1" si="49"/>
        <v>#NAME?</v>
      </c>
      <c r="J57" s="75" t="e">
        <f t="shared" ca="1" si="49"/>
        <v>#NAME?</v>
      </c>
      <c r="K57" s="75" t="e">
        <f t="shared" ca="1" si="49"/>
        <v>#NAME?</v>
      </c>
      <c r="L57" s="75" t="e">
        <f t="shared" ca="1" si="49"/>
        <v>#NAME?</v>
      </c>
      <c r="M57" s="75" t="e">
        <f t="shared" ca="1" si="49"/>
        <v>#NAME?</v>
      </c>
      <c r="N57" s="75" t="e">
        <f t="shared" ca="1" si="49"/>
        <v>#NAME?</v>
      </c>
      <c r="O57" s="75" t="e">
        <f t="shared" ca="1" si="49"/>
        <v>#NAME?</v>
      </c>
      <c r="P57" s="75" t="e">
        <f t="shared" ca="1" si="49"/>
        <v>#NAME?</v>
      </c>
      <c r="Q57" s="75" t="e">
        <f t="shared" ca="1" si="49"/>
        <v>#NAME?</v>
      </c>
      <c r="R57" s="75" t="e">
        <f t="shared" ca="1" si="49"/>
        <v>#NAME?</v>
      </c>
      <c r="S57" s="75" t="e">
        <f t="shared" ca="1" si="49"/>
        <v>#NAME?</v>
      </c>
      <c r="T57" s="75" t="e">
        <f t="shared" ca="1" si="49"/>
        <v>#NAME?</v>
      </c>
      <c r="U57" s="75" t="e">
        <f t="shared" ca="1" si="49"/>
        <v>#NAME?</v>
      </c>
      <c r="V57" s="75" t="e">
        <f t="shared" ca="1" si="49"/>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50">IF($B57="Non",IF(C57="Non","MW",IF(C57="Oui","MW","")),IF($B57="Oui",IF(C57="Oui","T-Test Welch",IF(C57="Non","MW",""))))</f>
        <v>#NAME?</v>
      </c>
      <c r="D59" s="78" t="e">
        <f t="shared" ca="1" si="50"/>
        <v>#NAME?</v>
      </c>
      <c r="E59" s="78" t="e">
        <f t="shared" ca="1" si="50"/>
        <v>#NAME?</v>
      </c>
      <c r="F59" s="78" t="e">
        <f t="shared" ca="1" si="50"/>
        <v>#NAME?</v>
      </c>
      <c r="G59" s="78" t="e">
        <f t="shared" ca="1" si="50"/>
        <v>#NAME?</v>
      </c>
      <c r="H59" s="78" t="e">
        <f t="shared" ca="1" si="50"/>
        <v>#NAME?</v>
      </c>
      <c r="I59" s="78" t="e">
        <f t="shared" ca="1" si="50"/>
        <v>#NAME?</v>
      </c>
      <c r="J59" s="78" t="e">
        <f t="shared" ca="1" si="50"/>
        <v>#NAME?</v>
      </c>
      <c r="K59" s="78" t="e">
        <f t="shared" ca="1" si="50"/>
        <v>#NAME?</v>
      </c>
      <c r="L59" s="78" t="e">
        <f t="shared" ca="1" si="50"/>
        <v>#NAME?</v>
      </c>
      <c r="M59" s="78" t="e">
        <f t="shared" ca="1" si="50"/>
        <v>#NAME?</v>
      </c>
      <c r="N59" s="78" t="e">
        <f t="shared" ca="1" si="50"/>
        <v>#NAME?</v>
      </c>
      <c r="O59" s="78" t="e">
        <f t="shared" ca="1" si="50"/>
        <v>#NAME?</v>
      </c>
      <c r="P59" s="78" t="e">
        <f ca="1">IF($O57="Non",IF(P57="Non","MW",IF(P57="Oui","MW","")),IF($O57="Oui",IF(P57="Oui","T-Test Welch",IF(P57="Non","MW",""))))</f>
        <v>#NAME?</v>
      </c>
      <c r="Q59" s="78" t="e">
        <f t="shared" ref="Q59:V59" ca="1" si="51">IF($O57="Non",IF(Q57="Non","MW",IF(Q57="Oui","MW","")),IF($O57="Oui",IF(Q57="Oui","T-Test Welch",IF(Q57="Non","MW",""))))</f>
        <v>#NAME?</v>
      </c>
      <c r="R59" s="78" t="e">
        <f t="shared" ca="1" si="51"/>
        <v>#NAME?</v>
      </c>
      <c r="S59" s="78" t="e">
        <f t="shared" ca="1" si="51"/>
        <v>#NAME?</v>
      </c>
      <c r="T59" s="78" t="e">
        <f t="shared" ca="1" si="51"/>
        <v>#NAME?</v>
      </c>
      <c r="U59" s="78" t="e">
        <f t="shared" ca="1" si="51"/>
        <v>#NAME?</v>
      </c>
      <c r="V59" s="78" t="e">
        <f t="shared" ca="1" si="51"/>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52">IF(C60&gt;0.05,"NS",IF(C60&gt;0.01,"*",IF(C60&gt;0.001,"**","***")))</f>
        <v>#NAME?</v>
      </c>
      <c r="D61" s="76" t="e">
        <f t="shared" ca="1" si="52"/>
        <v>#NAME?</v>
      </c>
      <c r="E61" s="76" t="e">
        <f t="shared" ca="1" si="52"/>
        <v>#NAME?</v>
      </c>
      <c r="F61" s="76" t="e">
        <f t="shared" ca="1" si="52"/>
        <v>#NAME?</v>
      </c>
      <c r="G61" s="76" t="e">
        <f t="shared" ca="1" si="52"/>
        <v>#NAME?</v>
      </c>
      <c r="H61" s="76" t="e">
        <f t="shared" ca="1" si="52"/>
        <v>#NAME?</v>
      </c>
      <c r="I61" s="76" t="e">
        <f t="shared" ca="1" si="52"/>
        <v>#NAME?</v>
      </c>
      <c r="J61" s="76" t="e">
        <f t="shared" ca="1" si="52"/>
        <v>#NAME?</v>
      </c>
      <c r="K61" s="76" t="e">
        <f t="shared" ca="1" si="52"/>
        <v>#NAME?</v>
      </c>
      <c r="L61" s="76" t="e">
        <f t="shared" ca="1" si="52"/>
        <v>#NAME?</v>
      </c>
      <c r="M61" s="76" t="e">
        <f t="shared" ca="1" si="52"/>
        <v>#NAME?</v>
      </c>
      <c r="N61" s="76" t="e">
        <f t="shared" ca="1" si="52"/>
        <v>#NAME?</v>
      </c>
      <c r="O61" s="76" t="e">
        <f t="shared" ca="1" si="52"/>
        <v>#NAME?</v>
      </c>
      <c r="P61" s="76" t="e">
        <f ca="1">IF(P60&gt;0.05,"NS",IF(P60&gt;0.01,"*",IF(P60&gt;0.001,"**","***")))</f>
        <v>#NAME?</v>
      </c>
      <c r="Q61" s="76" t="e">
        <f t="shared" ref="Q61:V61" ca="1" si="53">IF(Q60&gt;0.05,"NS",IF(Q60&gt;0.01,"*",IF(Q60&gt;0.001,"**","***")))</f>
        <v>#NAME?</v>
      </c>
      <c r="R61" s="76" t="e">
        <f t="shared" ca="1" si="53"/>
        <v>#NAME?</v>
      </c>
      <c r="S61" s="76" t="e">
        <f t="shared" ca="1" si="53"/>
        <v>#NAME?</v>
      </c>
      <c r="T61" s="76" t="e">
        <f t="shared" ca="1" si="53"/>
        <v>#NAME?</v>
      </c>
      <c r="U61" s="76" t="e">
        <f t="shared" ca="1" si="53"/>
        <v>#NAME?</v>
      </c>
      <c r="V61" s="76" t="e">
        <f t="shared" ca="1" si="53"/>
        <v>#NAME?</v>
      </c>
    </row>
    <row r="63" spans="1:22">
      <c r="A63" s="2" t="s">
        <v>20</v>
      </c>
    </row>
    <row r="64" spans="1:22">
      <c r="A64" s="1" t="s">
        <v>13</v>
      </c>
      <c r="B64" s="1">
        <f>B46+(3*B47)</f>
        <v>0.39550686819603886</v>
      </c>
    </row>
    <row r="65" spans="1:22">
      <c r="A65" s="1" t="s">
        <v>14</v>
      </c>
      <c r="B65" s="1">
        <f>B46+(10*B47)</f>
        <v>1.0864061190240513</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N3"/>
    <mergeCell ref="O3:V3"/>
    <mergeCell ref="B26:N26"/>
    <mergeCell ref="O26:V26"/>
    <mergeCell ref="A28:A43"/>
    <mergeCell ref="A50:V50"/>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abSelected="1" topLeftCell="H4" zoomScale="70" zoomScaleNormal="70" zoomScaleSheetLayoutView="40" zoomScalePageLayoutView="30" workbookViewId="0">
      <selection activeCell="O4" sqref="O1:O1048576"/>
    </sheetView>
  </sheetViews>
  <sheetFormatPr defaultColWidth="9.140625" defaultRowHeight="15"/>
  <cols>
    <col min="1" max="1" width="33.42578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4" width="26.42578125" style="1" customWidth="1"/>
    <col min="15" max="15" width="14.85546875" style="1" customWidth="1"/>
    <col min="16" max="22" width="25.85546875" style="1" customWidth="1"/>
    <col min="23" max="16384" width="9.140625" style="1"/>
  </cols>
  <sheetData>
    <row r="1" spans="1:22" ht="60" customHeight="1" thickBot="1">
      <c r="A1" s="150" t="s">
        <v>70</v>
      </c>
      <c r="B1" s="139"/>
      <c r="C1" s="139"/>
      <c r="D1" s="139"/>
      <c r="E1" s="139"/>
      <c r="F1" s="139"/>
      <c r="G1" s="139"/>
      <c r="H1" s="139"/>
      <c r="I1" s="139"/>
      <c r="J1" s="139"/>
      <c r="K1" s="139"/>
      <c r="L1" s="139"/>
      <c r="M1" s="139"/>
      <c r="N1" s="139"/>
      <c r="O1" s="139"/>
      <c r="P1" s="139"/>
      <c r="Q1" s="139"/>
      <c r="R1" s="139"/>
      <c r="S1" s="139"/>
      <c r="T1" s="139"/>
      <c r="U1" s="139"/>
      <c r="V1" s="139"/>
    </row>
    <row r="2" spans="1:22" ht="15.75" thickBot="1"/>
    <row r="3" spans="1:22" ht="15.75" thickBot="1">
      <c r="A3" s="80" t="s">
        <v>12</v>
      </c>
      <c r="B3" s="146" t="s">
        <v>6</v>
      </c>
      <c r="C3" s="147"/>
      <c r="D3" s="147"/>
      <c r="E3" s="147"/>
      <c r="F3" s="147"/>
      <c r="G3" s="147"/>
      <c r="H3" s="147"/>
      <c r="I3" s="147"/>
      <c r="J3" s="147"/>
      <c r="K3" s="147"/>
      <c r="L3" s="147"/>
      <c r="M3" s="147"/>
      <c r="N3" s="147"/>
      <c r="O3" s="146" t="s">
        <v>3</v>
      </c>
      <c r="P3" s="147"/>
      <c r="Q3" s="147"/>
      <c r="R3" s="147"/>
      <c r="S3" s="147"/>
      <c r="T3" s="147"/>
      <c r="U3" s="147"/>
      <c r="V3" s="147"/>
    </row>
    <row r="4" spans="1:22">
      <c r="A4" s="18" t="s">
        <v>22</v>
      </c>
      <c r="B4" s="19" t="str">
        <f>'Front page'!A7</f>
        <v>Solvent control</v>
      </c>
      <c r="C4" s="19" t="str">
        <f>'Front page'!A8</f>
        <v>EE2-33.8ng/L</v>
      </c>
      <c r="D4" s="19" t="str">
        <f>'Front page'!A9</f>
        <v>EE2-50.6ng/L</v>
      </c>
      <c r="E4" s="19" t="str">
        <f>'Front page'!A10</f>
        <v>EE2-76ng/L</v>
      </c>
      <c r="F4" s="19" t="str">
        <f>'Front page'!A11</f>
        <v>EE2-114ng/L</v>
      </c>
      <c r="G4" s="19" t="str">
        <f>'Front page'!A12</f>
        <v>EE2-170.9ng/L</v>
      </c>
      <c r="H4" s="19" t="str">
        <f>'Front page'!A13</f>
        <v>EE2-488ng/L</v>
      </c>
      <c r="I4" s="19" t="str">
        <f>'Front page'!A14</f>
        <v>Dutasteride-1mg/L</v>
      </c>
      <c r="J4" s="19" t="str">
        <f>'Front page'!A15</f>
        <v>Dutasteride-0.5mg/L</v>
      </c>
      <c r="K4" s="19" t="str">
        <f>'Front page'!A16</f>
        <v>Dutasteride-0.25mg/L</v>
      </c>
      <c r="L4" s="19" t="str">
        <f>'Front page'!A17</f>
        <v>Dutasteride-0.1mg/L</v>
      </c>
      <c r="M4" s="19" t="str">
        <f>'Front page'!A18</f>
        <v>Dutasteride-0.01mg/L</v>
      </c>
      <c r="N4" s="19" t="str">
        <f>'Front page'!A19</f>
        <v/>
      </c>
      <c r="O4" s="20" t="str">
        <f>'Front page'!A35</f>
        <v>Testo -30µg/L</v>
      </c>
      <c r="P4" s="20" t="str">
        <f>'Front page'!A36</f>
        <v>Testo 30µg/L + EE2 -64ng/L</v>
      </c>
      <c r="Q4" s="20" t="str">
        <f>'Front page'!A37</f>
        <v>Testo 30µg/L + FAD-10mg/L</v>
      </c>
      <c r="R4" s="20" t="str">
        <f>'Front page'!A38</f>
        <v>Dutasteride-1mg/L + Testostérone</v>
      </c>
      <c r="S4" s="20" t="str">
        <f>'Front page'!A39</f>
        <v>Dutasteride-0.5mg/L + Testostérone</v>
      </c>
      <c r="T4" s="20" t="str">
        <f>'Front page'!A40</f>
        <v>Dutasteride-0.25mg/L + Testostérone</v>
      </c>
      <c r="U4" s="20" t="str">
        <f>'Front page'!A41</f>
        <v>Dutasteride-0.1mg/L + Testostérone</v>
      </c>
      <c r="V4" s="20" t="str">
        <f>'Front page'!A42</f>
        <v>Dutasteride-0.01mg/L + Testostérone</v>
      </c>
    </row>
    <row r="5" spans="1:22">
      <c r="A5" s="149" t="s">
        <v>71</v>
      </c>
      <c r="B5" s="78">
        <v>161555</v>
      </c>
      <c r="C5" s="78">
        <v>1808878</v>
      </c>
      <c r="D5" s="78">
        <v>1222649</v>
      </c>
      <c r="E5" s="78">
        <v>12625973</v>
      </c>
      <c r="F5" s="78">
        <v>5389903</v>
      </c>
      <c r="G5" s="78">
        <v>14388648</v>
      </c>
      <c r="H5" s="78">
        <v>19725716</v>
      </c>
      <c r="I5" s="16">
        <v>2219666</v>
      </c>
      <c r="J5" s="16">
        <v>286111</v>
      </c>
      <c r="K5" s="12">
        <v>1436517</v>
      </c>
      <c r="L5" s="12">
        <v>1168700</v>
      </c>
      <c r="M5" s="12">
        <v>244540</v>
      </c>
      <c r="N5" s="12"/>
      <c r="O5" s="114">
        <v>4992054</v>
      </c>
      <c r="P5" s="113">
        <v>3692007</v>
      </c>
      <c r="Q5" s="113">
        <v>659844</v>
      </c>
      <c r="R5" s="78">
        <v>110515</v>
      </c>
      <c r="S5" s="78">
        <v>6912101</v>
      </c>
      <c r="T5" s="78">
        <v>6137481</v>
      </c>
      <c r="U5" s="78">
        <v>3480057</v>
      </c>
      <c r="V5" s="78">
        <v>5228411</v>
      </c>
    </row>
    <row r="6" spans="1:22" ht="16.5">
      <c r="A6" s="148"/>
      <c r="B6" s="112">
        <v>552391</v>
      </c>
      <c r="C6" s="113">
        <v>3423588</v>
      </c>
      <c r="D6" s="78">
        <v>2754214</v>
      </c>
      <c r="E6" s="78">
        <v>3509199</v>
      </c>
      <c r="F6" s="78">
        <v>4838504</v>
      </c>
      <c r="G6" s="78">
        <v>14058314</v>
      </c>
      <c r="H6" s="78">
        <v>10285753</v>
      </c>
      <c r="I6" s="16">
        <v>942340</v>
      </c>
      <c r="J6" s="16">
        <v>131223</v>
      </c>
      <c r="K6" s="12">
        <v>726943</v>
      </c>
      <c r="L6" s="12">
        <v>127080</v>
      </c>
      <c r="M6" s="12">
        <v>742156</v>
      </c>
      <c r="N6" s="12"/>
      <c r="O6" s="114">
        <v>3063841</v>
      </c>
      <c r="P6" s="113">
        <v>6317995</v>
      </c>
      <c r="Q6" s="113">
        <v>407372</v>
      </c>
      <c r="R6" s="78">
        <v>3307770</v>
      </c>
      <c r="S6" s="78">
        <v>5557031</v>
      </c>
      <c r="T6" s="78">
        <v>2431091</v>
      </c>
      <c r="U6" s="78">
        <v>4525597</v>
      </c>
      <c r="V6" s="78">
        <v>2569550</v>
      </c>
    </row>
    <row r="7" spans="1:22" ht="16.5">
      <c r="A7" s="148"/>
      <c r="B7" s="112">
        <v>3827</v>
      </c>
      <c r="C7" s="113">
        <v>887139</v>
      </c>
      <c r="D7" s="78">
        <v>1307463</v>
      </c>
      <c r="E7" s="78">
        <v>5781023</v>
      </c>
      <c r="F7" s="78">
        <v>6060483</v>
      </c>
      <c r="G7" s="78">
        <v>15285315</v>
      </c>
      <c r="H7" s="78">
        <v>11965295</v>
      </c>
      <c r="I7" s="16">
        <v>1738043</v>
      </c>
      <c r="J7" s="16">
        <v>65897</v>
      </c>
      <c r="K7" s="12">
        <v>679995</v>
      </c>
      <c r="L7" s="12">
        <v>1026943</v>
      </c>
      <c r="M7" s="12">
        <v>592866</v>
      </c>
      <c r="N7" s="12"/>
      <c r="O7" s="114">
        <v>9749890</v>
      </c>
      <c r="P7" s="113">
        <v>4674458</v>
      </c>
      <c r="Q7" s="113">
        <v>561225</v>
      </c>
      <c r="R7" s="78">
        <v>2912029</v>
      </c>
      <c r="S7" s="78">
        <v>956054</v>
      </c>
      <c r="T7" s="78">
        <v>8091363</v>
      </c>
      <c r="U7" s="78">
        <v>2373014</v>
      </c>
      <c r="V7" s="78">
        <v>2309661</v>
      </c>
    </row>
    <row r="8" spans="1:22" ht="16.5">
      <c r="A8" s="148"/>
      <c r="B8" s="112">
        <v>805</v>
      </c>
      <c r="C8" s="113">
        <v>2776207</v>
      </c>
      <c r="D8" s="78">
        <v>1673176</v>
      </c>
      <c r="E8" s="78">
        <v>1992248</v>
      </c>
      <c r="F8" s="78">
        <v>10231497</v>
      </c>
      <c r="G8" s="78">
        <v>9474984</v>
      </c>
      <c r="H8" s="78">
        <v>15579661</v>
      </c>
      <c r="I8" s="16">
        <v>92646</v>
      </c>
      <c r="J8" s="16">
        <v>154417</v>
      </c>
      <c r="K8" s="12">
        <v>1506824</v>
      </c>
      <c r="L8" s="12">
        <v>889944</v>
      </c>
      <c r="M8" s="12">
        <v>22835</v>
      </c>
      <c r="N8" s="12"/>
      <c r="O8" s="114">
        <v>10013445</v>
      </c>
      <c r="P8" s="113">
        <v>7706593</v>
      </c>
      <c r="Q8" s="113">
        <v>1149378</v>
      </c>
      <c r="R8" s="78">
        <v>5630262</v>
      </c>
      <c r="S8" s="78">
        <v>1767377</v>
      </c>
      <c r="T8" s="78">
        <v>1336457</v>
      </c>
      <c r="U8" s="78">
        <v>1417944</v>
      </c>
      <c r="V8" s="78">
        <v>5388007</v>
      </c>
    </row>
    <row r="9" spans="1:22" ht="16.5">
      <c r="A9" s="148"/>
      <c r="B9" s="112">
        <v>72221</v>
      </c>
      <c r="C9" s="113">
        <v>1328074</v>
      </c>
      <c r="D9" s="78">
        <v>3321536</v>
      </c>
      <c r="E9" s="78">
        <v>6742762</v>
      </c>
      <c r="F9" s="78">
        <v>6399284</v>
      </c>
      <c r="G9" s="78">
        <v>12441139</v>
      </c>
      <c r="H9" s="78">
        <v>13809188</v>
      </c>
      <c r="I9" s="16">
        <v>391902</v>
      </c>
      <c r="J9" s="16">
        <v>316006</v>
      </c>
      <c r="K9" s="12">
        <v>1769753</v>
      </c>
      <c r="L9" s="12">
        <v>743239</v>
      </c>
      <c r="M9" s="12">
        <v>570885</v>
      </c>
      <c r="N9" s="12"/>
      <c r="O9" s="114">
        <v>5806715</v>
      </c>
      <c r="P9" s="113">
        <v>10047411</v>
      </c>
      <c r="Q9" s="113">
        <v>463689</v>
      </c>
      <c r="R9" s="78">
        <v>3856837</v>
      </c>
      <c r="S9" s="78">
        <v>2906848</v>
      </c>
      <c r="T9" s="78">
        <v>851382</v>
      </c>
      <c r="U9" s="78">
        <v>286714</v>
      </c>
      <c r="V9" s="78">
        <v>1294893</v>
      </c>
    </row>
    <row r="10" spans="1:22" ht="16.5">
      <c r="A10" s="148"/>
      <c r="B10" s="112">
        <v>24257</v>
      </c>
      <c r="C10" s="113">
        <v>3246378</v>
      </c>
      <c r="D10" s="78">
        <v>1830635</v>
      </c>
      <c r="E10" s="78">
        <v>9422521</v>
      </c>
      <c r="F10" s="78">
        <v>7609001</v>
      </c>
      <c r="G10" s="78">
        <v>11475418</v>
      </c>
      <c r="H10" s="78">
        <v>11856270</v>
      </c>
      <c r="I10" s="16">
        <v>48939</v>
      </c>
      <c r="J10" s="16">
        <v>177044</v>
      </c>
      <c r="K10" s="12">
        <v>183623</v>
      </c>
      <c r="L10" s="12">
        <v>164996</v>
      </c>
      <c r="M10" s="12">
        <v>645212</v>
      </c>
      <c r="N10" s="12"/>
      <c r="O10" s="114">
        <v>2235181</v>
      </c>
      <c r="P10" s="113">
        <v>8567868</v>
      </c>
      <c r="Q10" s="113">
        <v>4004742</v>
      </c>
      <c r="R10" s="78">
        <v>3798397</v>
      </c>
      <c r="S10" s="78">
        <v>3049651</v>
      </c>
      <c r="T10" s="78">
        <v>1489576</v>
      </c>
      <c r="U10" s="78">
        <v>10716636</v>
      </c>
      <c r="V10" s="78">
        <v>8304467</v>
      </c>
    </row>
    <row r="11" spans="1:22" ht="16.5">
      <c r="A11" s="148"/>
      <c r="B11" s="112">
        <v>68798</v>
      </c>
      <c r="C11" s="113">
        <v>204985</v>
      </c>
      <c r="D11" s="78">
        <v>934436</v>
      </c>
      <c r="E11" s="78">
        <v>8616875</v>
      </c>
      <c r="F11" s="78">
        <v>8351368</v>
      </c>
      <c r="G11" s="78">
        <v>14766402</v>
      </c>
      <c r="H11" s="78">
        <v>10027557</v>
      </c>
      <c r="I11" s="16">
        <v>909717</v>
      </c>
      <c r="J11" s="16">
        <v>634815</v>
      </c>
      <c r="K11" s="12">
        <v>1302620</v>
      </c>
      <c r="L11" s="12">
        <v>350711</v>
      </c>
      <c r="M11" s="12">
        <v>468058</v>
      </c>
      <c r="N11" s="12"/>
      <c r="O11" s="114">
        <v>4625322</v>
      </c>
      <c r="P11" s="113">
        <v>9773616</v>
      </c>
      <c r="Q11" s="113">
        <v>1914239</v>
      </c>
      <c r="R11" s="78">
        <v>2189958</v>
      </c>
      <c r="S11" s="78">
        <v>3021454</v>
      </c>
      <c r="T11" s="78">
        <v>4236279</v>
      </c>
      <c r="U11" s="78">
        <v>2957363</v>
      </c>
      <c r="V11" s="78">
        <v>2012726</v>
      </c>
    </row>
    <row r="12" spans="1:22" ht="16.5">
      <c r="A12" s="148"/>
      <c r="B12" s="112">
        <v>563333</v>
      </c>
      <c r="C12" s="113">
        <v>449551</v>
      </c>
      <c r="D12" s="78">
        <v>2744777</v>
      </c>
      <c r="E12" s="78">
        <v>8540834</v>
      </c>
      <c r="F12" s="78">
        <v>8607269</v>
      </c>
      <c r="G12" s="78">
        <v>12007508</v>
      </c>
      <c r="H12" s="78">
        <v>13782294</v>
      </c>
      <c r="I12" s="16">
        <v>1819130</v>
      </c>
      <c r="J12" s="16">
        <v>588927</v>
      </c>
      <c r="K12" s="12">
        <v>671508</v>
      </c>
      <c r="L12" s="12">
        <v>1832612</v>
      </c>
      <c r="M12" s="12">
        <v>123436</v>
      </c>
      <c r="N12" s="12"/>
      <c r="O12" s="114">
        <v>4457088</v>
      </c>
      <c r="P12" s="113">
        <v>2295727</v>
      </c>
      <c r="Q12" s="113">
        <v>394251</v>
      </c>
      <c r="R12" s="78">
        <v>4837272</v>
      </c>
      <c r="S12" s="78">
        <v>3088847</v>
      </c>
      <c r="T12" s="78">
        <v>2609024</v>
      </c>
      <c r="U12" s="78">
        <v>2954319</v>
      </c>
      <c r="V12" s="78">
        <v>3042327</v>
      </c>
    </row>
    <row r="13" spans="1:22" ht="16.5">
      <c r="A13" s="148"/>
      <c r="B13" s="13"/>
      <c r="C13" s="12"/>
      <c r="D13" s="16"/>
      <c r="E13" s="16"/>
      <c r="F13" s="16"/>
      <c r="G13" s="16"/>
      <c r="H13" s="16"/>
      <c r="I13" s="16"/>
      <c r="J13" s="16"/>
      <c r="K13" s="12"/>
      <c r="L13" s="12"/>
      <c r="M13" s="12"/>
      <c r="N13" s="12"/>
      <c r="O13" s="114">
        <v>3565987</v>
      </c>
      <c r="P13" s="115"/>
      <c r="Q13" s="115"/>
      <c r="R13" s="116"/>
      <c r="S13" s="116"/>
      <c r="T13" s="116"/>
      <c r="U13" s="116"/>
      <c r="V13" s="116"/>
    </row>
    <row r="14" spans="1:22" ht="16.5">
      <c r="A14" s="148"/>
      <c r="B14" s="13"/>
      <c r="C14" s="16"/>
      <c r="D14" s="16"/>
      <c r="E14" s="16"/>
      <c r="F14" s="16"/>
      <c r="G14" s="16"/>
      <c r="H14" s="16"/>
      <c r="I14" s="16"/>
      <c r="J14" s="16"/>
      <c r="K14" s="12"/>
      <c r="L14" s="12"/>
      <c r="M14" s="12"/>
      <c r="N14" s="12"/>
      <c r="O14" s="114">
        <v>3211524</v>
      </c>
      <c r="P14" s="12"/>
      <c r="Q14" s="12"/>
      <c r="R14" s="16"/>
      <c r="S14" s="16"/>
      <c r="T14" s="16"/>
      <c r="U14" s="16"/>
      <c r="V14" s="16"/>
    </row>
    <row r="15" spans="1:22" ht="16.5">
      <c r="A15" s="148"/>
      <c r="B15" s="13"/>
      <c r="C15" s="16"/>
      <c r="D15" s="16"/>
      <c r="E15" s="16"/>
      <c r="F15" s="16"/>
      <c r="G15" s="16"/>
      <c r="H15" s="16"/>
      <c r="I15" s="16"/>
      <c r="J15" s="16"/>
      <c r="K15" s="12"/>
      <c r="L15" s="12"/>
      <c r="M15" s="12"/>
      <c r="N15" s="12"/>
      <c r="O15" s="114">
        <v>7759606</v>
      </c>
      <c r="P15" s="12"/>
      <c r="Q15" s="12"/>
      <c r="R15" s="16"/>
      <c r="S15" s="16"/>
      <c r="T15" s="16"/>
      <c r="U15" s="16"/>
      <c r="V15" s="16"/>
    </row>
    <row r="16" spans="1:22" ht="16.5">
      <c r="A16" s="148"/>
      <c r="B16" s="13"/>
      <c r="C16" s="16"/>
      <c r="D16" s="16"/>
      <c r="E16" s="16"/>
      <c r="F16" s="16"/>
      <c r="G16" s="16"/>
      <c r="H16" s="16"/>
      <c r="I16" s="16"/>
      <c r="J16" s="16"/>
      <c r="K16" s="12"/>
      <c r="L16" s="12"/>
      <c r="M16" s="12"/>
      <c r="N16" s="12"/>
      <c r="O16" s="114">
        <v>793483</v>
      </c>
      <c r="P16" s="12"/>
      <c r="Q16" s="12"/>
      <c r="R16" s="16"/>
      <c r="S16" s="16"/>
      <c r="T16" s="16"/>
      <c r="U16" s="16"/>
      <c r="V16" s="16"/>
    </row>
    <row r="17" spans="1:22" ht="16.5">
      <c r="A17" s="148"/>
      <c r="B17" s="13"/>
      <c r="C17" s="16"/>
      <c r="D17" s="16"/>
      <c r="E17" s="16"/>
      <c r="F17" s="16"/>
      <c r="G17" s="16"/>
      <c r="H17" s="16"/>
      <c r="I17" s="16"/>
      <c r="J17" s="16"/>
      <c r="K17" s="12"/>
      <c r="L17" s="12"/>
      <c r="M17" s="12"/>
      <c r="N17" s="12"/>
      <c r="O17" s="114">
        <v>38309</v>
      </c>
      <c r="P17" s="12"/>
      <c r="Q17" s="12"/>
      <c r="R17" s="16"/>
      <c r="S17" s="16"/>
      <c r="T17" s="16"/>
      <c r="U17" s="16"/>
      <c r="V17" s="16"/>
    </row>
    <row r="18" spans="1:22" ht="16.5">
      <c r="A18" s="148"/>
      <c r="B18" s="13"/>
      <c r="C18" s="16"/>
      <c r="D18" s="16"/>
      <c r="E18" s="16"/>
      <c r="F18" s="16"/>
      <c r="G18" s="16"/>
      <c r="H18" s="16"/>
      <c r="I18" s="16"/>
      <c r="J18" s="16"/>
      <c r="K18" s="12"/>
      <c r="L18" s="12"/>
      <c r="M18" s="12"/>
      <c r="N18" s="12"/>
      <c r="O18" s="114">
        <v>9374173</v>
      </c>
      <c r="P18" s="12"/>
      <c r="Q18" s="12"/>
      <c r="R18" s="16"/>
      <c r="S18" s="16"/>
      <c r="T18" s="16"/>
      <c r="U18" s="16"/>
      <c r="V18" s="16"/>
    </row>
    <row r="19" spans="1:22" ht="16.5">
      <c r="A19" s="148"/>
      <c r="B19" s="13"/>
      <c r="C19" s="16"/>
      <c r="D19" s="16"/>
      <c r="E19" s="16"/>
      <c r="F19" s="16"/>
      <c r="G19" s="16"/>
      <c r="H19" s="16"/>
      <c r="I19" s="16"/>
      <c r="J19" s="16"/>
      <c r="K19" s="12"/>
      <c r="L19" s="12"/>
      <c r="M19" s="12"/>
      <c r="N19" s="12"/>
      <c r="O19" s="114">
        <v>9031111</v>
      </c>
      <c r="P19" s="12"/>
      <c r="Q19" s="12"/>
      <c r="R19" s="16"/>
      <c r="S19" s="16"/>
      <c r="T19" s="16"/>
      <c r="U19" s="16"/>
      <c r="V19" s="16"/>
    </row>
    <row r="20" spans="1:22" ht="16.5">
      <c r="A20" s="148"/>
      <c r="B20" s="13"/>
      <c r="C20" s="16"/>
      <c r="D20" s="16"/>
      <c r="E20" s="16"/>
      <c r="F20" s="16"/>
      <c r="G20" s="16"/>
      <c r="H20" s="16"/>
      <c r="I20" s="16"/>
      <c r="J20" s="16"/>
      <c r="K20" s="12"/>
      <c r="L20" s="12"/>
      <c r="M20" s="12"/>
      <c r="N20" s="12"/>
      <c r="O20" s="114">
        <v>7097620</v>
      </c>
      <c r="P20" s="12"/>
      <c r="Q20" s="12"/>
      <c r="R20" s="16"/>
      <c r="S20" s="16"/>
      <c r="T20" s="16"/>
      <c r="U20" s="16"/>
      <c r="V20" s="16"/>
    </row>
    <row r="21" spans="1:22">
      <c r="A21" s="3"/>
      <c r="B21" s="6"/>
      <c r="C21" s="6"/>
      <c r="D21" s="6"/>
      <c r="E21" s="6"/>
      <c r="F21" s="6"/>
      <c r="G21" s="6"/>
      <c r="H21" s="6"/>
      <c r="I21" s="6"/>
      <c r="J21" s="6"/>
      <c r="O21" s="6"/>
      <c r="R21" s="6"/>
      <c r="S21" s="6"/>
      <c r="T21" s="6"/>
      <c r="U21" s="6"/>
      <c r="V21" s="6"/>
    </row>
    <row r="22" spans="1:22">
      <c r="A22" s="3" t="str">
        <f>A4</f>
        <v>Noms des groupes</v>
      </c>
      <c r="B22" s="3" t="str">
        <f t="shared" ref="B22:V22" si="0">B4</f>
        <v>Solvent control</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Dutasteride-1mg/L</v>
      </c>
      <c r="J22" s="3" t="str">
        <f t="shared" si="0"/>
        <v>Dutasteride-0.5mg/L</v>
      </c>
      <c r="K22" s="3" t="str">
        <f t="shared" si="0"/>
        <v>Dutasteride-0.25mg/L</v>
      </c>
      <c r="L22" s="3" t="str">
        <f t="shared" si="0"/>
        <v>Dutasteride-0.1mg/L</v>
      </c>
      <c r="M22" s="3" t="str">
        <f t="shared" si="0"/>
        <v>Dutasteride-0.01mg/L</v>
      </c>
      <c r="N22" s="3" t="str">
        <f t="shared" si="0"/>
        <v/>
      </c>
      <c r="O22" s="3" t="str">
        <f t="shared" si="0"/>
        <v>Testo -30µg/L</v>
      </c>
      <c r="P22" s="3" t="str">
        <f t="shared" si="0"/>
        <v>Testo 30µg/L + EE2 -64ng/L</v>
      </c>
      <c r="Q22" s="3" t="str">
        <f t="shared" si="0"/>
        <v>Testo 30µg/L + FAD-10mg/L</v>
      </c>
      <c r="R22" s="3" t="str">
        <f t="shared" si="0"/>
        <v>Dutasteride-1mg/L + Testostérone</v>
      </c>
      <c r="S22" s="3" t="str">
        <f t="shared" si="0"/>
        <v>Dutasteride-0.5mg/L + Testostérone</v>
      </c>
      <c r="T22" s="3" t="str">
        <f t="shared" si="0"/>
        <v>Dutasteride-0.25mg/L + Testostérone</v>
      </c>
      <c r="U22" s="3" t="str">
        <f t="shared" si="0"/>
        <v>Dutasteride-0.1mg/L + Testostérone</v>
      </c>
      <c r="V22" s="3" t="str">
        <f t="shared" si="0"/>
        <v>Dutasteride-0.01mg/L + Testostérone</v>
      </c>
    </row>
    <row r="23" spans="1:22">
      <c r="A23" s="5" t="s">
        <v>0</v>
      </c>
      <c r="B23" s="5">
        <f t="shared" ref="B23:J23" si="1">AVERAGE(B5:B20)</f>
        <v>180898.375</v>
      </c>
      <c r="C23" s="5">
        <f t="shared" si="1"/>
        <v>1765600</v>
      </c>
      <c r="D23" s="5">
        <f t="shared" si="1"/>
        <v>1973610.75</v>
      </c>
      <c r="E23" s="5">
        <f t="shared" si="1"/>
        <v>7153929.375</v>
      </c>
      <c r="F23" s="5">
        <f t="shared" si="1"/>
        <v>7185913.625</v>
      </c>
      <c r="G23" s="5">
        <f t="shared" si="1"/>
        <v>12987216</v>
      </c>
      <c r="H23" s="5">
        <f t="shared" si="1"/>
        <v>13378966.75</v>
      </c>
      <c r="I23" s="5">
        <f t="shared" si="1"/>
        <v>1020297.875</v>
      </c>
      <c r="J23" s="5">
        <f t="shared" si="1"/>
        <v>294305</v>
      </c>
      <c r="K23" s="5"/>
      <c r="L23" s="5">
        <f>AVERAGE(L5:L20)</f>
        <v>788028.125</v>
      </c>
      <c r="M23" s="5"/>
      <c r="N23" s="5" t="e">
        <f>AVERAGE(N5:N20)</f>
        <v>#DIV/0!</v>
      </c>
      <c r="O23" s="5">
        <f>AVERAGE(O5:O20)</f>
        <v>5363459.3125</v>
      </c>
      <c r="P23" s="5">
        <f>AVERAGE(P5:P20)</f>
        <v>6634459.375</v>
      </c>
      <c r="Q23" s="5">
        <f>AVERAGE(Q5:Q20)</f>
        <v>1194342.5</v>
      </c>
      <c r="R23" s="5">
        <f>AVERAGE(R5:R20)</f>
        <v>3330380</v>
      </c>
      <c r="S23" s="5">
        <f>AVERAGE(S5:S20)</f>
        <v>3407420.375</v>
      </c>
      <c r="T23" s="5">
        <f t="shared" ref="T23:V23" si="2">AVERAGE(T5:T20)</f>
        <v>3397831.625</v>
      </c>
      <c r="U23" s="5">
        <f t="shared" si="2"/>
        <v>3588955.5</v>
      </c>
      <c r="V23" s="5">
        <f t="shared" si="2"/>
        <v>3768755.25</v>
      </c>
    </row>
    <row r="24" spans="1:22">
      <c r="A24" s="3" t="s">
        <v>1</v>
      </c>
      <c r="B24" s="3">
        <f t="shared" ref="B24:J24" si="3">STDEV(B5:B20)</f>
        <v>238249.22749743596</v>
      </c>
      <c r="C24" s="3">
        <f t="shared" si="3"/>
        <v>1258993.5926867481</v>
      </c>
      <c r="D24" s="3">
        <f t="shared" si="3"/>
        <v>863483.38875274756</v>
      </c>
      <c r="E24" s="3">
        <f t="shared" si="3"/>
        <v>3404501.8176300852</v>
      </c>
      <c r="F24" s="3">
        <f t="shared" si="3"/>
        <v>1830475.4415365844</v>
      </c>
      <c r="G24" s="3">
        <f t="shared" si="3"/>
        <v>1979803.7089731179</v>
      </c>
      <c r="H24" s="3">
        <f t="shared" si="3"/>
        <v>3175554.7601661105</v>
      </c>
      <c r="I24" s="3">
        <f t="shared" si="3"/>
        <v>828857.88276906114</v>
      </c>
      <c r="J24" s="3">
        <f t="shared" si="3"/>
        <v>212257.25828881733</v>
      </c>
      <c r="K24" s="3"/>
      <c r="L24" s="3">
        <f>STDEV(L5:L20)</f>
        <v>575922.55154650728</v>
      </c>
      <c r="M24" s="3"/>
      <c r="N24" s="3" t="e">
        <f>STDEV(N5:N20)</f>
        <v>#DIV/0!</v>
      </c>
      <c r="O24" s="3">
        <f>STDEV(O5:O20)</f>
        <v>3194038.7274384494</v>
      </c>
      <c r="P24" s="3">
        <f>STDEV(P5:P20)</f>
        <v>2873883.9379988359</v>
      </c>
      <c r="Q24" s="3">
        <f>STDEV(Q5:Q20)</f>
        <v>1247767.6097269533</v>
      </c>
      <c r="R24" s="3">
        <f>STDEV(R5:R20)</f>
        <v>1686077.4141834143</v>
      </c>
      <c r="S24" s="3">
        <f>STDEV(S5:S20)</f>
        <v>1935812.2018166608</v>
      </c>
      <c r="T24" s="3">
        <f t="shared" ref="T24:V24" si="4">STDEV(T5:T20)</f>
        <v>2568207.4053865406</v>
      </c>
      <c r="U24" s="3">
        <f t="shared" si="4"/>
        <v>3153031.6851964644</v>
      </c>
      <c r="V24" s="3">
        <f t="shared" si="4"/>
        <v>2348970.3714215327</v>
      </c>
    </row>
    <row r="25" spans="1:22" ht="15.75" thickBot="1"/>
    <row r="26" spans="1:22" ht="15.75" thickBot="1">
      <c r="B26" s="146" t="s">
        <v>6</v>
      </c>
      <c r="C26" s="147"/>
      <c r="D26" s="147"/>
      <c r="E26" s="147"/>
      <c r="F26" s="147"/>
      <c r="G26" s="147"/>
      <c r="H26" s="147"/>
      <c r="I26" s="147"/>
      <c r="J26" s="147"/>
      <c r="K26" s="147"/>
      <c r="L26" s="147"/>
      <c r="M26" s="147"/>
      <c r="N26" s="147"/>
      <c r="O26" s="146" t="s">
        <v>3</v>
      </c>
      <c r="P26" s="147"/>
      <c r="Q26" s="147"/>
      <c r="R26" s="147"/>
      <c r="S26" s="147"/>
      <c r="T26" s="147"/>
      <c r="U26" s="147"/>
      <c r="V26" s="147"/>
    </row>
    <row r="27" spans="1:22">
      <c r="A27" s="18" t="s">
        <v>22</v>
      </c>
      <c r="B27" s="19" t="str">
        <f>B4</f>
        <v>Solvent control</v>
      </c>
      <c r="C27" s="19" t="str">
        <f t="shared" ref="C27:N27" si="5">C4</f>
        <v>EE2-33.8ng/L</v>
      </c>
      <c r="D27" s="19" t="str">
        <f t="shared" si="5"/>
        <v>EE2-50.6ng/L</v>
      </c>
      <c r="E27" s="19" t="str">
        <f t="shared" si="5"/>
        <v>EE2-76ng/L</v>
      </c>
      <c r="F27" s="19" t="str">
        <f t="shared" si="5"/>
        <v>EE2-114ng/L</v>
      </c>
      <c r="G27" s="19" t="str">
        <f t="shared" si="5"/>
        <v>EE2-170.9ng/L</v>
      </c>
      <c r="H27" s="19" t="str">
        <f t="shared" si="5"/>
        <v>EE2-488ng/L</v>
      </c>
      <c r="I27" s="19" t="str">
        <f t="shared" si="5"/>
        <v>Dutasteride-1mg/L</v>
      </c>
      <c r="J27" s="19" t="str">
        <f t="shared" si="5"/>
        <v>Dutasteride-0.5mg/L</v>
      </c>
      <c r="K27" s="19" t="str">
        <f t="shared" si="5"/>
        <v>Dutasteride-0.25mg/L</v>
      </c>
      <c r="L27" s="19" t="str">
        <f t="shared" si="5"/>
        <v>Dutasteride-0.1mg/L</v>
      </c>
      <c r="M27" s="19" t="str">
        <f t="shared" si="5"/>
        <v>Dutasteride-0.01mg/L</v>
      </c>
      <c r="N27" s="19" t="str">
        <f t="shared" si="5"/>
        <v/>
      </c>
      <c r="O27" s="20" t="str">
        <f>O4</f>
        <v>Testo -30µg/L</v>
      </c>
      <c r="P27" s="20" t="str">
        <f t="shared" ref="P27:V27" si="6">P4</f>
        <v>Testo 30µg/L + EE2 -64ng/L</v>
      </c>
      <c r="Q27" s="20" t="str">
        <f t="shared" si="6"/>
        <v>Testo 30µg/L + FAD-10mg/L</v>
      </c>
      <c r="R27" s="20" t="str">
        <f t="shared" si="6"/>
        <v>Dutasteride-1mg/L + Testostérone</v>
      </c>
      <c r="S27" s="20" t="str">
        <f t="shared" si="6"/>
        <v>Dutasteride-0.5mg/L + Testostérone</v>
      </c>
      <c r="T27" s="20" t="str">
        <f t="shared" si="6"/>
        <v>Dutasteride-0.25mg/L + Testostérone</v>
      </c>
      <c r="U27" s="20" t="str">
        <f t="shared" si="6"/>
        <v>Dutasteride-0.1mg/L + Testostérone</v>
      </c>
      <c r="V27" s="20" t="str">
        <f t="shared" si="6"/>
        <v>Dutasteride-0.01mg/L + Testostérone</v>
      </c>
    </row>
    <row r="28" spans="1:22">
      <c r="A28" s="149" t="s">
        <v>72</v>
      </c>
      <c r="B28" s="10">
        <f>IF(B5="","",(B5/$O$23))</f>
        <v>3.0121418022782849E-2</v>
      </c>
      <c r="C28" s="10">
        <f>IF(C5="","",(C5/$O$23))</f>
        <v>0.33725957345928875</v>
      </c>
      <c r="D28" s="10">
        <f>IF(D5="","",(D5/$O$23))</f>
        <v>0.22795903329601327</v>
      </c>
      <c r="E28" s="10">
        <f>IF(E5="","",(E5/$O$23))</f>
        <v>2.3540726729433916</v>
      </c>
      <c r="F28" s="10">
        <f>IF(F5="","",(F5/$O$23))</f>
        <v>1.0049303417737077</v>
      </c>
      <c r="G28" s="10">
        <f>IF(G5="","",(G5/$O$23))</f>
        <v>2.6827178434011847</v>
      </c>
      <c r="H28" s="10">
        <f>IF(H5="","",(H5/$O$23))</f>
        <v>3.6777972667803285</v>
      </c>
      <c r="I28" s="10">
        <f>IF(I5="","",(I5/$O$23))</f>
        <v>0.41384969488383716</v>
      </c>
      <c r="J28" s="10">
        <f>IF(J5="","",(J5/$O$23))</f>
        <v>5.3344489690300041E-2</v>
      </c>
      <c r="K28" s="10">
        <f>IF(K5="","",(K5/$O$23))</f>
        <v>0.26783404446680048</v>
      </c>
      <c r="L28" s="10">
        <f>IF(L5="","",(L5/$O$23))</f>
        <v>0.21790041313005673</v>
      </c>
      <c r="M28" s="10">
        <f>IF(M5="","",(M5/$O$23))</f>
        <v>4.5593708416894044E-2</v>
      </c>
      <c r="N28" s="10" t="str">
        <f>IF(N5="","",(N5/$O$23))</f>
        <v/>
      </c>
      <c r="O28" s="10">
        <f t="shared" ref="O28:V39" si="7">IF(O5="","",(O5/$O$23))</f>
        <v>0.93075265591473622</v>
      </c>
      <c r="P28" s="10">
        <f t="shared" si="7"/>
        <v>0.68836301067772854</v>
      </c>
      <c r="Q28" s="10">
        <f t="shared" si="7"/>
        <v>0.12302582373696341</v>
      </c>
      <c r="R28" s="10">
        <f t="shared" si="7"/>
        <v>2.0605171692537193E-2</v>
      </c>
      <c r="S28" s="10">
        <f t="shared" si="7"/>
        <v>1.28873933729501</v>
      </c>
      <c r="T28" s="10">
        <f t="shared" si="7"/>
        <v>1.1443138919122733</v>
      </c>
      <c r="U28" s="10">
        <f t="shared" si="7"/>
        <v>0.64884560453165552</v>
      </c>
      <c r="V28" s="10">
        <f t="shared" si="7"/>
        <v>0.97482066990137162</v>
      </c>
    </row>
    <row r="29" spans="1:22">
      <c r="A29" s="149"/>
      <c r="B29" s="10">
        <f>IF(B6="","",(B6/$O$23))</f>
        <v>0.10299155224550798</v>
      </c>
      <c r="C29" s="10">
        <f>IF(C6="","",(C6/$O$23))</f>
        <v>0.63831713834782633</v>
      </c>
      <c r="D29" s="10">
        <f>IF(D6="","",(D6/$O$23))</f>
        <v>0.51351447629724145</v>
      </c>
      <c r="E29" s="10">
        <f>IF(E6="","",(E6/$O$23))</f>
        <v>0.65427903812405397</v>
      </c>
      <c r="F29" s="10">
        <f>IF(F6="","",(F6/$O$23))</f>
        <v>0.90212374478602886</v>
      </c>
      <c r="G29" s="10">
        <f>IF(G6="","",(G6/$O$23))</f>
        <v>2.6211281154377173</v>
      </c>
      <c r="H29" s="10">
        <f>IF(H6="","",(H6/$O$23))</f>
        <v>1.9177460666156587</v>
      </c>
      <c r="I29" s="10">
        <f>IF(I6="","",(I6/$O$23))</f>
        <v>0.17569630812781523</v>
      </c>
      <c r="J29" s="10">
        <f>IF(J6="","",(J6/$O$23))</f>
        <v>2.4466112699722285E-2</v>
      </c>
      <c r="K29" s="10">
        <f>IF(K6="","",(K6/$O$23))</f>
        <v>0.13553621975015215</v>
      </c>
      <c r="L29" s="10">
        <f>IF(L6="","",(L6/$O$23))</f>
        <v>2.369366347271978E-2</v>
      </c>
      <c r="M29" s="10">
        <f>IF(M6="","",(M6/$O$23))</f>
        <v>0.13837263541280942</v>
      </c>
      <c r="N29" s="10" t="str">
        <f>IF(N6="","",(N6/$O$23))</f>
        <v/>
      </c>
      <c r="O29" s="10">
        <f t="shared" si="7"/>
        <v>0.57124344970035601</v>
      </c>
      <c r="P29" s="10">
        <f t="shared" si="7"/>
        <v>1.1779701554322175</v>
      </c>
      <c r="Q29" s="10">
        <f t="shared" si="7"/>
        <v>7.5953219044765527E-2</v>
      </c>
      <c r="R29" s="10">
        <f t="shared" si="7"/>
        <v>0.61672323910259919</v>
      </c>
      <c r="S29" s="10">
        <f t="shared" si="7"/>
        <v>1.0360908279939525</v>
      </c>
      <c r="T29" s="10">
        <f t="shared" si="7"/>
        <v>0.45326921644285334</v>
      </c>
      <c r="U29" s="10">
        <f t="shared" si="7"/>
        <v>0.84378322577234988</v>
      </c>
      <c r="V29" s="10">
        <f t="shared" si="7"/>
        <v>0.47908445842246705</v>
      </c>
    </row>
    <row r="30" spans="1:22">
      <c r="A30" s="149"/>
      <c r="B30" s="10">
        <f>IF(B7="","",(B7/$O$23))</f>
        <v>7.1353202793593483E-4</v>
      </c>
      <c r="C30" s="10">
        <f>IF(C7="","",(C7/$O$23))</f>
        <v>0.16540425652758226</v>
      </c>
      <c r="D30" s="10">
        <f>IF(D7="","",(D7/$O$23))</f>
        <v>0.2437723349467471</v>
      </c>
      <c r="E30" s="10">
        <f>IF(E7="","",(E7/$O$23))</f>
        <v>1.0778534268968596</v>
      </c>
      <c r="F30" s="10">
        <f>IF(F7="","",(F7/$O$23))</f>
        <v>1.1299578587042745</v>
      </c>
      <c r="G30" s="10">
        <f>IF(G7="","",(G7/$O$23))</f>
        <v>2.8498985653487234</v>
      </c>
      <c r="H30" s="10">
        <f>IF(H7="","",(H7/$O$23))</f>
        <v>2.2308913525481322</v>
      </c>
      <c r="I30" s="10">
        <f>IF(I7="","",(I7/$O$23))</f>
        <v>0.32405261207992059</v>
      </c>
      <c r="J30" s="10">
        <f>IF(J7="","",(J7/$O$23))</f>
        <v>1.2286286920536791E-2</v>
      </c>
      <c r="K30" s="10">
        <f>IF(K7="","",(K7/$O$23))</f>
        <v>0.12678291385845206</v>
      </c>
      <c r="L30" s="10">
        <f>IF(L7="","",(L7/$O$23))</f>
        <v>0.19147026949689386</v>
      </c>
      <c r="M30" s="10">
        <f>IF(M7="","",(M7/$O$23))</f>
        <v>0.11053798779050587</v>
      </c>
      <c r="N30" s="10" t="str">
        <f>IF(N7="","",(N7/$O$23))</f>
        <v/>
      </c>
      <c r="O30" s="10">
        <f t="shared" si="7"/>
        <v>1.8178361076175311</v>
      </c>
      <c r="P30" s="10">
        <f t="shared" si="7"/>
        <v>0.87153788770351559</v>
      </c>
      <c r="Q30" s="10">
        <f t="shared" si="7"/>
        <v>0.10463862356371702</v>
      </c>
      <c r="R30" s="10">
        <f t="shared" si="7"/>
        <v>0.54293858316651489</v>
      </c>
      <c r="S30" s="10">
        <f t="shared" si="7"/>
        <v>0.17825323998857129</v>
      </c>
      <c r="T30" s="10">
        <f t="shared" si="7"/>
        <v>1.5086090018698171</v>
      </c>
      <c r="U30" s="10">
        <f t="shared" si="7"/>
        <v>0.44244094375238163</v>
      </c>
      <c r="V30" s="10">
        <f t="shared" si="7"/>
        <v>0.43062897757369722</v>
      </c>
    </row>
    <row r="31" spans="1:22">
      <c r="A31" s="149"/>
      <c r="B31" s="10">
        <f>IF(B8="","",(B8/$O$23))</f>
        <v>1.5008970015375686E-4</v>
      </c>
      <c r="C31" s="10">
        <f>IF(C8="","",(C8/$O$23))</f>
        <v>0.51761500148417505</v>
      </c>
      <c r="D31" s="10">
        <f>IF(D8="","",(D8/$O$23))</f>
        <v>0.31195836539684757</v>
      </c>
      <c r="E31" s="10">
        <f>IF(E8="","",(E8/$O$23))</f>
        <v>0.37144832913282216</v>
      </c>
      <c r="F31" s="10">
        <f>IF(F8="","",(F8/$O$23))</f>
        <v>1.9076302072721281</v>
      </c>
      <c r="G31" s="10">
        <f>IF(G8="","",(G8/$O$23))</f>
        <v>1.7665807546852719</v>
      </c>
      <c r="H31" s="10">
        <f>IF(H8="","",(H8/$O$23))</f>
        <v>2.9047784447045712</v>
      </c>
      <c r="I31" s="10">
        <f>IF(I8="","",(I8/$O$23))</f>
        <v>1.7273553242788769E-2</v>
      </c>
      <c r="J31" s="10">
        <f>IF(J8="","",(J8/$O$23))</f>
        <v>2.8790560532475373E-2</v>
      </c>
      <c r="K31" s="10">
        <f>IF(K8="","",(K8/$O$23))</f>
        <v>0.28094256191861433</v>
      </c>
      <c r="L31" s="10">
        <f>IF(L8="","",(L8/$O$23))</f>
        <v>0.1659272398927143</v>
      </c>
      <c r="M31" s="10">
        <f>IF(M8="","",(M8/$O$23))</f>
        <v>4.2575134198894887E-3</v>
      </c>
      <c r="N31" s="10" t="str">
        <f>IF(N8="","",(N8/$O$23))</f>
        <v/>
      </c>
      <c r="O31" s="10">
        <f t="shared" si="7"/>
        <v>1.8669751025542063</v>
      </c>
      <c r="P31" s="10">
        <f t="shared" si="7"/>
        <v>1.436869854132971</v>
      </c>
      <c r="Q31" s="10">
        <f t="shared" si="7"/>
        <v>0.21429788743270159</v>
      </c>
      <c r="R31" s="10">
        <f t="shared" si="7"/>
        <v>1.0497445159839647</v>
      </c>
      <c r="S31" s="10">
        <f t="shared" si="7"/>
        <v>0.32952184346415697</v>
      </c>
      <c r="T31" s="10">
        <f t="shared" si="7"/>
        <v>0.24917817440793721</v>
      </c>
      <c r="U31" s="10">
        <f t="shared" si="7"/>
        <v>0.26437116744697969</v>
      </c>
      <c r="V31" s="10">
        <f t="shared" si="7"/>
        <v>1.0045768385793081</v>
      </c>
    </row>
    <row r="32" spans="1:22">
      <c r="A32" s="149"/>
      <c r="B32" s="10">
        <f>IF(B9="","",(B9/$O$23))</f>
        <v>1.3465376689198106E-2</v>
      </c>
      <c r="C32" s="10">
        <f>IF(C9="","",(C9/$O$23))</f>
        <v>0.24761519061118076</v>
      </c>
      <c r="D32" s="10">
        <f>IF(D9="","",(D9/$O$23))</f>
        <v>0.61928986619864468</v>
      </c>
      <c r="E32" s="10">
        <f>IF(E9="","",(E9/$O$23))</f>
        <v>1.2571666171281317</v>
      </c>
      <c r="F32" s="10">
        <f>IF(F9="","",(F9/$O$23))</f>
        <v>1.1931262319984273</v>
      </c>
      <c r="G32" s="10">
        <f>IF(G9="","",(G9/$O$23))</f>
        <v>2.3196109591070941</v>
      </c>
      <c r="H32" s="10">
        <f>IF(H9="","",(H9/$O$23))</f>
        <v>2.5746793618470281</v>
      </c>
      <c r="I32" s="10">
        <f>IF(I9="","",(I9/$O$23))</f>
        <v>7.3068886546158549E-2</v>
      </c>
      <c r="J32" s="10">
        <f>IF(J9="","",(J9/$O$23))</f>
        <v>5.891831774756285E-2</v>
      </c>
      <c r="K32" s="10">
        <f>IF(K9="","",(K9/$O$23))</f>
        <v>0.32996484113815117</v>
      </c>
      <c r="L32" s="10">
        <f>IF(L9="","",(L9/$O$23))</f>
        <v>0.13857455733239515</v>
      </c>
      <c r="M32" s="10">
        <f>IF(M9="","",(M9/$O$23))</f>
        <v>0.1064396999655621</v>
      </c>
      <c r="N32" s="10" t="str">
        <f>IF(N9="","",(N9/$O$23))</f>
        <v/>
      </c>
      <c r="O32" s="10">
        <f t="shared" si="7"/>
        <v>1.0826436189171706</v>
      </c>
      <c r="P32" s="10">
        <f t="shared" si="7"/>
        <v>1.8733079556665324</v>
      </c>
      <c r="Q32" s="10">
        <f t="shared" si="7"/>
        <v>8.6453345310056356E-2</v>
      </c>
      <c r="R32" s="10">
        <f t="shared" si="7"/>
        <v>0.71909504207691333</v>
      </c>
      <c r="S32" s="10">
        <f t="shared" si="7"/>
        <v>0.54197260212738863</v>
      </c>
      <c r="T32" s="10">
        <f t="shared" si="7"/>
        <v>0.15873747713826811</v>
      </c>
      <c r="U32" s="10">
        <f t="shared" si="7"/>
        <v>5.3456917130290993E-2</v>
      </c>
      <c r="V32" s="10">
        <f t="shared" si="7"/>
        <v>0.24142869826235863</v>
      </c>
    </row>
    <row r="33" spans="1:22">
      <c r="A33" s="149"/>
      <c r="B33" s="10">
        <f>IF(B10="","",(B10/$O$23))</f>
        <v>4.5226408156890437E-3</v>
      </c>
      <c r="C33" s="10">
        <f>IF(C10="","",(C10/$O$23))</f>
        <v>0.605276895162426</v>
      </c>
      <c r="D33" s="10">
        <f>IF(D10="","",(D10/$O$23))</f>
        <v>0.34131609719375494</v>
      </c>
      <c r="E33" s="10">
        <f>IF(E10="","",(E10/$O$23))</f>
        <v>1.7567991945123942</v>
      </c>
      <c r="F33" s="10">
        <f>IF(F10="","",(F10/$O$23))</f>
        <v>1.4186741348566909</v>
      </c>
      <c r="G33" s="10">
        <f>IF(G10="","",(G10/$O$23))</f>
        <v>2.1395553375888503</v>
      </c>
      <c r="H33" s="10">
        <f>IF(H10="","",(H10/$O$23))</f>
        <v>2.2105639866360036</v>
      </c>
      <c r="I33" s="10">
        <f>IF(I10="","",(I10/$O$23))</f>
        <v>9.1245215351859719E-3</v>
      </c>
      <c r="J33" s="10">
        <f>IF(J10="","",(J10/$O$23))</f>
        <v>3.3009293011207121E-2</v>
      </c>
      <c r="K33" s="10">
        <f>IF(K10="","",(K10/$O$23))</f>
        <v>3.4235926722153164E-2</v>
      </c>
      <c r="L33" s="10">
        <f>IF(L10="","",(L10/$O$23))</f>
        <v>3.0762981573377975E-2</v>
      </c>
      <c r="M33" s="10">
        <f>IF(M10="","",(M10/$O$23))</f>
        <v>0.12029773368398233</v>
      </c>
      <c r="N33" s="10" t="str">
        <f>IF(N10="","",(N10/$O$23))</f>
        <v/>
      </c>
      <c r="O33" s="10">
        <f t="shared" si="7"/>
        <v>0.41674241748990615</v>
      </c>
      <c r="P33" s="10">
        <f t="shared" si="7"/>
        <v>1.5974518497850543</v>
      </c>
      <c r="Q33" s="10">
        <f t="shared" si="7"/>
        <v>0.74667146083621938</v>
      </c>
      <c r="R33" s="10">
        <f t="shared" si="7"/>
        <v>0.70819908918624808</v>
      </c>
      <c r="S33" s="10">
        <f t="shared" si="7"/>
        <v>0.56859776914733517</v>
      </c>
      <c r="T33" s="10">
        <f t="shared" si="7"/>
        <v>0.2777267269518417</v>
      </c>
      <c r="U33" s="10">
        <f t="shared" si="7"/>
        <v>1.9980828371390764</v>
      </c>
      <c r="V33" s="10">
        <f t="shared" si="7"/>
        <v>1.5483415676605825</v>
      </c>
    </row>
    <row r="34" spans="1:22">
      <c r="A34" s="149"/>
      <c r="B34" s="10">
        <f>IF(B11="","",(B11/$O$23))</f>
        <v>1.2827169181587784E-2</v>
      </c>
      <c r="C34" s="10">
        <f>IF(C11="","",(C11/$O$23))</f>
        <v>3.8218803957786152E-2</v>
      </c>
      <c r="D34" s="10">
        <f>IF(D11="","",(D11/$O$23))</f>
        <v>0.17422263236382107</v>
      </c>
      <c r="E34" s="10">
        <f>IF(E11="","",(E11/$O$23))</f>
        <v>1.6065890497048494</v>
      </c>
      <c r="F34" s="10">
        <f>IF(F11="","",(F11/$O$23))</f>
        <v>1.5570861105511555</v>
      </c>
      <c r="G34" s="10">
        <f>IF(G11="","",(G11/$O$23))</f>
        <v>2.7531488801612869</v>
      </c>
      <c r="H34" s="10">
        <f>IF(H11="","",(H11/$O$23))</f>
        <v>1.869606240254293</v>
      </c>
      <c r="I34" s="10">
        <f>IF(I11="","",(I11/$O$23))</f>
        <v>0.16961385311152205</v>
      </c>
      <c r="J34" s="10">
        <f>IF(J11="","",(J11/$O$23))</f>
        <v>0.11835924596659277</v>
      </c>
      <c r="K34" s="10">
        <f>IF(K11="","",(K11/$O$23))</f>
        <v>0.24286937293700223</v>
      </c>
      <c r="L34" s="10">
        <f>IF(L11="","",(L11/$O$23))</f>
        <v>6.538895506909842E-2</v>
      </c>
      <c r="M34" s="10">
        <f>IF(M11="","",(M11/$O$23))</f>
        <v>8.7267931521201408E-2</v>
      </c>
      <c r="N34" s="10" t="str">
        <f>IF(N11="","",(N11/$O$23))</f>
        <v/>
      </c>
      <c r="O34" s="10">
        <f t="shared" si="7"/>
        <v>0.86237663614232929</v>
      </c>
      <c r="P34" s="10">
        <f t="shared" si="7"/>
        <v>1.8222597451651685</v>
      </c>
      <c r="Q34" s="10">
        <f t="shared" si="7"/>
        <v>0.35690379817717688</v>
      </c>
      <c r="R34" s="10">
        <f t="shared" si="7"/>
        <v>0.40831073238424981</v>
      </c>
      <c r="S34" s="10">
        <f t="shared" si="7"/>
        <v>0.5633405278116389</v>
      </c>
      <c r="T34" s="10">
        <f t="shared" si="7"/>
        <v>0.78984080109025723</v>
      </c>
      <c r="U34" s="10">
        <f t="shared" si="7"/>
        <v>0.55139096387057751</v>
      </c>
      <c r="V34" s="10">
        <f t="shared" si="7"/>
        <v>0.37526638736853474</v>
      </c>
    </row>
    <row r="35" spans="1:22">
      <c r="A35" s="149"/>
      <c r="B35" s="10">
        <f>IF(B12="","",(B12/$O$23))</f>
        <v>0.10503165348660412</v>
      </c>
      <c r="C35" s="10">
        <f>IF(C12="","",(C12/$O$23))</f>
        <v>8.3817359992324911E-2</v>
      </c>
      <c r="D35" s="10">
        <f>IF(D12="","",(D12/$O$23))</f>
        <v>0.51175497753904142</v>
      </c>
      <c r="E35" s="10">
        <f>IF(E12="","",(E12/$O$23))</f>
        <v>1.5924114461155428</v>
      </c>
      <c r="F35" s="10">
        <f>IF(F12="","",(F12/$O$23))</f>
        <v>1.6047980414319587</v>
      </c>
      <c r="G35" s="10">
        <f>IF(G12="","",(G12/$O$23))</f>
        <v>2.2387618326879961</v>
      </c>
      <c r="H35" s="10">
        <f>IF(H12="","",(H12/$O$23))</f>
        <v>2.569665060734065</v>
      </c>
      <c r="I35" s="10">
        <f>IF(I12="","",(I12/$O$23))</f>
        <v>0.33917102638596741</v>
      </c>
      <c r="J35" s="10">
        <f>IF(J12="","",(J12/$O$23))</f>
        <v>0.10980357371733115</v>
      </c>
      <c r="K35" s="10">
        <f>IF(K12="","",(K12/$O$23))</f>
        <v>0.12520053959111674</v>
      </c>
      <c r="L35" s="10">
        <f>IF(L12="","",(L12/$O$23))</f>
        <v>0.34168470258158595</v>
      </c>
      <c r="M35" s="10">
        <f>IF(M12="","",(M12/$O$23))</f>
        <v>2.3014251215129358E-2</v>
      </c>
      <c r="N35" s="10" t="str">
        <f>IF(N12="","",(N12/$O$23))</f>
        <v/>
      </c>
      <c r="O35" s="10">
        <f t="shared" si="7"/>
        <v>0.83100993972535142</v>
      </c>
      <c r="P35" s="10">
        <f t="shared" si="7"/>
        <v>0.42803102740979354</v>
      </c>
      <c r="Q35" s="10">
        <f t="shared" si="7"/>
        <v>7.3506850155675527E-2</v>
      </c>
      <c r="R35" s="10">
        <f t="shared" si="7"/>
        <v>0.90189404228840231</v>
      </c>
      <c r="S35" s="10">
        <f t="shared" si="7"/>
        <v>0.57590573919357946</v>
      </c>
      <c r="T35" s="10">
        <f t="shared" si="7"/>
        <v>0.48644426068814334</v>
      </c>
      <c r="U35" s="10">
        <f t="shared" si="7"/>
        <v>0.55082341971248061</v>
      </c>
      <c r="V35" s="10">
        <f t="shared" si="7"/>
        <v>0.56723223254618471</v>
      </c>
    </row>
    <row r="36" spans="1:22">
      <c r="A36" s="149"/>
      <c r="B36" s="10" t="str">
        <f>IF(B13="","",(B13/$O$23))</f>
        <v/>
      </c>
      <c r="C36" s="10" t="str">
        <f>IF(C13="","",(C13/$O$23))</f>
        <v/>
      </c>
      <c r="D36" s="10" t="str">
        <f>IF(D13="","",(D13/$O$23))</f>
        <v/>
      </c>
      <c r="E36" s="10" t="str">
        <f>IF(E13="","",(E13/$O$23))</f>
        <v/>
      </c>
      <c r="F36" s="10" t="str">
        <f>IF(F13="","",(F13/$O$23))</f>
        <v/>
      </c>
      <c r="G36" s="10" t="str">
        <f>IF(G13="","",(G13/$O$23))</f>
        <v/>
      </c>
      <c r="H36" s="10" t="str">
        <f>IF(H13="","",(H13/$O$23))</f>
        <v/>
      </c>
      <c r="I36" s="10" t="str">
        <f>IF(I13="","",(I13/$O$23))</f>
        <v/>
      </c>
      <c r="J36" s="10" t="str">
        <f>IF(J13="","",(J13/$O$23))</f>
        <v/>
      </c>
      <c r="K36" s="10" t="str">
        <f>IF(K13="","",(K13/$O$23))</f>
        <v/>
      </c>
      <c r="L36" s="10" t="str">
        <f>IF(L13="","",(L13/$O$23))</f>
        <v/>
      </c>
      <c r="M36" s="10" t="str">
        <f>IF(M13="","",(M13/$O$23))</f>
        <v/>
      </c>
      <c r="N36" s="10" t="str">
        <f>IF(N13="","",(N13/$O$23))</f>
        <v/>
      </c>
      <c r="O36" s="10">
        <f t="shared" si="7"/>
        <v>0.66486698084744722</v>
      </c>
      <c r="P36" s="10" t="str">
        <f t="shared" si="7"/>
        <v/>
      </c>
      <c r="Q36" s="10" t="str">
        <f t="shared" si="7"/>
        <v/>
      </c>
      <c r="R36" s="10" t="str">
        <f t="shared" si="7"/>
        <v/>
      </c>
      <c r="S36" s="10" t="str">
        <f t="shared" si="7"/>
        <v/>
      </c>
      <c r="T36" s="10" t="str">
        <f t="shared" si="7"/>
        <v/>
      </c>
      <c r="U36" s="10" t="str">
        <f t="shared" si="7"/>
        <v/>
      </c>
      <c r="V36" s="10" t="str">
        <f t="shared" si="7"/>
        <v/>
      </c>
    </row>
    <row r="37" spans="1:22">
      <c r="A37" s="149"/>
      <c r="B37" s="10" t="str">
        <f>IF(B14="","",(B14/$O$23))</f>
        <v/>
      </c>
      <c r="C37" s="10" t="str">
        <f>IF(C14="","",(C14/$O$23))</f>
        <v/>
      </c>
      <c r="D37" s="10" t="str">
        <f>IF(D14="","",(D14/$O$23))</f>
        <v/>
      </c>
      <c r="E37" s="10" t="str">
        <f>IF(E14="","",(E14/$O$23))</f>
        <v/>
      </c>
      <c r="F37" s="10" t="str">
        <f>IF(F14="","",(F14/$O$23))</f>
        <v/>
      </c>
      <c r="G37" s="10" t="str">
        <f>IF(G14="","",(G14/$O$23))</f>
        <v/>
      </c>
      <c r="H37" s="10" t="str">
        <f>IF(H14="","",(H14/$O$23))</f>
        <v/>
      </c>
      <c r="I37" s="10" t="str">
        <f>IF(I14="","",(I14/$O$23))</f>
        <v/>
      </c>
      <c r="J37" s="10" t="str">
        <f>IF(J14="","",(J14/$O$23))</f>
        <v/>
      </c>
      <c r="K37" s="10" t="str">
        <f>IF(K14="","",(K14/$O$23))</f>
        <v/>
      </c>
      <c r="L37" s="10" t="str">
        <f>IF(L14="","",(L14/$O$23))</f>
        <v/>
      </c>
      <c r="M37" s="10" t="str">
        <f>IF(M14="","",(M14/$O$23))</f>
        <v/>
      </c>
      <c r="N37" s="10" t="str">
        <f>IF(N14="","",(N14/$O$23))</f>
        <v/>
      </c>
      <c r="O37" s="10">
        <f t="shared" si="7"/>
        <v>0.59877847726284961</v>
      </c>
      <c r="P37" s="10" t="str">
        <f t="shared" si="7"/>
        <v/>
      </c>
      <c r="Q37" s="10" t="str">
        <f t="shared" si="7"/>
        <v/>
      </c>
      <c r="R37" s="10" t="str">
        <f t="shared" si="7"/>
        <v/>
      </c>
      <c r="S37" s="10" t="str">
        <f t="shared" si="7"/>
        <v/>
      </c>
      <c r="T37" s="10" t="str">
        <f t="shared" si="7"/>
        <v/>
      </c>
      <c r="U37" s="10" t="str">
        <f t="shared" si="7"/>
        <v/>
      </c>
      <c r="V37" s="10" t="str">
        <f t="shared" si="7"/>
        <v/>
      </c>
    </row>
    <row r="38" spans="1:22">
      <c r="A38" s="149"/>
      <c r="B38" s="10" t="str">
        <f>IF(B15="","",(B15/$O$23))</f>
        <v/>
      </c>
      <c r="C38" s="10" t="str">
        <f>IF(C15="","",(C15/$O$23))</f>
        <v/>
      </c>
      <c r="D38" s="10" t="str">
        <f>IF(D15="","",(D15/$O$23))</f>
        <v/>
      </c>
      <c r="E38" s="10" t="str">
        <f>IF(E15="","",(E15/$O$23))</f>
        <v/>
      </c>
      <c r="F38" s="10" t="str">
        <f>IF(F15="","",(F15/$O$23))</f>
        <v/>
      </c>
      <c r="G38" s="10" t="str">
        <f>IF(G15="","",(G15/$O$23))</f>
        <v/>
      </c>
      <c r="H38" s="10" t="str">
        <f>IF(H15="","",(H15/$O$23))</f>
        <v/>
      </c>
      <c r="I38" s="10" t="str">
        <f>IF(I15="","",(I15/$O$23))</f>
        <v/>
      </c>
      <c r="J38" s="10" t="str">
        <f>IF(J15="","",(J15/$O$23))</f>
        <v/>
      </c>
      <c r="K38" s="10" t="str">
        <f>IF(K15="","",(K15/$O$23))</f>
        <v/>
      </c>
      <c r="L38" s="10" t="str">
        <f>IF(L15="","",(L15/$O$23))</f>
        <v/>
      </c>
      <c r="M38" s="10" t="str">
        <f>IF(M15="","",(M15/$O$23))</f>
        <v/>
      </c>
      <c r="N38" s="10" t="str">
        <f>IF(N15="","",(N15/$O$23))</f>
        <v/>
      </c>
      <c r="O38" s="10">
        <f t="shared" si="7"/>
        <v>1.4467539600637178</v>
      </c>
      <c r="P38" s="10" t="str">
        <f t="shared" si="7"/>
        <v/>
      </c>
      <c r="Q38" s="10" t="str">
        <f t="shared" si="7"/>
        <v/>
      </c>
      <c r="R38" s="10" t="str">
        <f t="shared" si="7"/>
        <v/>
      </c>
      <c r="S38" s="10" t="str">
        <f t="shared" si="7"/>
        <v/>
      </c>
      <c r="T38" s="10" t="str">
        <f t="shared" si="7"/>
        <v/>
      </c>
      <c r="U38" s="10" t="str">
        <f t="shared" si="7"/>
        <v/>
      </c>
      <c r="V38" s="10" t="str">
        <f t="shared" si="7"/>
        <v/>
      </c>
    </row>
    <row r="39" spans="1:22">
      <c r="A39" s="149"/>
      <c r="B39" s="10" t="str">
        <f>IF(B16="","",(B16/$O$23))</f>
        <v/>
      </c>
      <c r="C39" s="10" t="str">
        <f>IF(C16="","",(C16/$O$23))</f>
        <v/>
      </c>
      <c r="D39" s="10" t="str">
        <f>IF(D16="","",(D16/$O$23))</f>
        <v/>
      </c>
      <c r="E39" s="10" t="str">
        <f>IF(E16="","",(E16/$O$23))</f>
        <v/>
      </c>
      <c r="F39" s="10" t="str">
        <f>IF(F16="","",(F16/$O$23))</f>
        <v/>
      </c>
      <c r="G39" s="10" t="str">
        <f>IF(G16="","",(G16/$O$23))</f>
        <v/>
      </c>
      <c r="H39" s="10" t="str">
        <f>IF(H16="","",(H16/$O$23))</f>
        <v/>
      </c>
      <c r="I39" s="10" t="str">
        <f>IF(I16="","",(I16/$O$23))</f>
        <v/>
      </c>
      <c r="J39" s="10" t="str">
        <f>IF(J16="","",(J16/$O$23))</f>
        <v/>
      </c>
      <c r="K39" s="10" t="str">
        <f>IF(K16="","",(K16/$O$23))</f>
        <v/>
      </c>
      <c r="L39" s="10" t="str">
        <f>IF(L16="","",(L16/$O$23))</f>
        <v/>
      </c>
      <c r="M39" s="10" t="str">
        <f>IF(M16="","",(M16/$O$23))</f>
        <v/>
      </c>
      <c r="N39" s="10" t="str">
        <f>IF(N16="","",(N16/$O$23))</f>
        <v/>
      </c>
      <c r="O39" s="10">
        <f t="shared" si="7"/>
        <v>0.14794239198397946</v>
      </c>
      <c r="P39" s="10" t="str">
        <f t="shared" si="7"/>
        <v/>
      </c>
      <c r="Q39" s="10" t="str">
        <f t="shared" ref="Q39:V39" si="8">IF(Q16="","",(Q16/$O$23))</f>
        <v/>
      </c>
      <c r="R39" s="10" t="str">
        <f t="shared" si="8"/>
        <v/>
      </c>
      <c r="S39" s="10" t="str">
        <f t="shared" si="8"/>
        <v/>
      </c>
      <c r="T39" s="10" t="str">
        <f t="shared" si="8"/>
        <v/>
      </c>
      <c r="U39" s="10" t="str">
        <f t="shared" si="8"/>
        <v/>
      </c>
      <c r="V39" s="10" t="str">
        <f t="shared" si="8"/>
        <v/>
      </c>
    </row>
    <row r="40" spans="1:22">
      <c r="A40" s="149"/>
      <c r="B40" s="10" t="str">
        <f>IF(B17="","",(B17/$O$23))</f>
        <v/>
      </c>
      <c r="C40" s="10" t="str">
        <f>IF(C17="","",(C17/$O$23))</f>
        <v/>
      </c>
      <c r="D40" s="10" t="str">
        <f>IF(D17="","",(D17/$O$23))</f>
        <v/>
      </c>
      <c r="E40" s="10" t="str">
        <f>IF(E17="","",(E17/$O$23))</f>
        <v/>
      </c>
      <c r="F40" s="10" t="str">
        <f>IF(F17="","",(F17/$O$23))</f>
        <v/>
      </c>
      <c r="G40" s="10" t="str">
        <f>IF(G17="","",(G17/$O$23))</f>
        <v/>
      </c>
      <c r="H40" s="10" t="str">
        <f>IF(H17="","",(H17/$O$23))</f>
        <v/>
      </c>
      <c r="I40" s="10" t="str">
        <f>IF(I17="","",(I17/$O$23))</f>
        <v/>
      </c>
      <c r="J40" s="10" t="str">
        <f>IF(J17="","",(J17/$O$23))</f>
        <v/>
      </c>
      <c r="K40" s="10" t="str">
        <f>IF(K17="","",(K17/$O$23))</f>
        <v/>
      </c>
      <c r="L40" s="10" t="str">
        <f>IF(L17="","",(L17/$O$23))</f>
        <v/>
      </c>
      <c r="M40" s="10" t="str">
        <f>IF(M17="","",(M17/$O$23))</f>
        <v/>
      </c>
      <c r="N40" s="10" t="str">
        <f>IF(N17="","",(N17/$O$23))</f>
        <v/>
      </c>
      <c r="O40" s="10">
        <f t="shared" ref="O40:V43" si="9">IF(O17="","",(O17/$O$23))</f>
        <v>7.1425917058264253E-3</v>
      </c>
      <c r="P40" s="10" t="str">
        <f t="shared" si="9"/>
        <v/>
      </c>
      <c r="Q40" s="10" t="str">
        <f t="shared" si="9"/>
        <v/>
      </c>
      <c r="R40" s="10" t="str">
        <f t="shared" si="9"/>
        <v/>
      </c>
      <c r="S40" s="10" t="str">
        <f t="shared" si="9"/>
        <v/>
      </c>
      <c r="T40" s="10" t="str">
        <f t="shared" si="9"/>
        <v/>
      </c>
      <c r="U40" s="10" t="str">
        <f t="shared" si="9"/>
        <v/>
      </c>
      <c r="V40" s="10" t="str">
        <f t="shared" si="9"/>
        <v/>
      </c>
    </row>
    <row r="41" spans="1:22">
      <c r="A41" s="149"/>
      <c r="B41" s="10" t="str">
        <f>IF(B18="","",(B18/$O$23))</f>
        <v/>
      </c>
      <c r="C41" s="10" t="str">
        <f>IF(C18="","",(C18/$O$23))</f>
        <v/>
      </c>
      <c r="D41" s="10" t="str">
        <f>IF(D18="","",(D18/$O$23))</f>
        <v/>
      </c>
      <c r="E41" s="10" t="str">
        <f>IF(E18="","",(E18/$O$23))</f>
        <v/>
      </c>
      <c r="F41" s="10" t="str">
        <f>IF(F18="","",(F18/$O$23))</f>
        <v/>
      </c>
      <c r="G41" s="10" t="str">
        <f>IF(G18="","",(G18/$O$23))</f>
        <v/>
      </c>
      <c r="H41" s="10" t="str">
        <f>IF(H18="","",(H18/$O$23))</f>
        <v/>
      </c>
      <c r="I41" s="10" t="str">
        <f>IF(I18="","",(I18/$O$23))</f>
        <v/>
      </c>
      <c r="J41" s="10" t="str">
        <f>IF(J18="","",(J18/$O$23))</f>
        <v/>
      </c>
      <c r="K41" s="10" t="str">
        <f>IF(K18="","",(K18/$O$23))</f>
        <v/>
      </c>
      <c r="L41" s="10" t="str">
        <f>IF(L18="","",(L18/$O$23))</f>
        <v/>
      </c>
      <c r="M41" s="10" t="str">
        <f>IF(M18="","",(M18/$O$23))</f>
        <v/>
      </c>
      <c r="N41" s="10" t="str">
        <f>IF(N18="","",(N18/$O$23))</f>
        <v/>
      </c>
      <c r="O41" s="10">
        <f t="shared" si="9"/>
        <v>1.7477848630552093</v>
      </c>
      <c r="P41" s="10" t="str">
        <f t="shared" si="9"/>
        <v/>
      </c>
      <c r="Q41" s="10" t="str">
        <f t="shared" si="9"/>
        <v/>
      </c>
      <c r="R41" s="10" t="str">
        <f t="shared" si="9"/>
        <v/>
      </c>
      <c r="S41" s="10" t="str">
        <f t="shared" si="9"/>
        <v/>
      </c>
      <c r="T41" s="10" t="str">
        <f t="shared" si="9"/>
        <v/>
      </c>
      <c r="U41" s="10" t="str">
        <f t="shared" si="9"/>
        <v/>
      </c>
      <c r="V41" s="10" t="str">
        <f t="shared" si="9"/>
        <v/>
      </c>
    </row>
    <row r="42" spans="1:22">
      <c r="A42" s="149"/>
      <c r="B42" s="10" t="str">
        <f>IF(B19="","",(B19/$O$23))</f>
        <v/>
      </c>
      <c r="C42" s="10" t="str">
        <f>IF(C19="","",(C19/$O$23))</f>
        <v/>
      </c>
      <c r="D42" s="10" t="str">
        <f>IF(D19="","",(D19/$O$23))</f>
        <v/>
      </c>
      <c r="E42" s="10" t="str">
        <f>IF(E19="","",(E19/$O$23))</f>
        <v/>
      </c>
      <c r="F42" s="10" t="str">
        <f>IF(F19="","",(F19/$O$23))</f>
        <v/>
      </c>
      <c r="G42" s="10" t="str">
        <f>IF(G19="","",(G19/$O$23))</f>
        <v/>
      </c>
      <c r="H42" s="10" t="str">
        <f>IF(H19="","",(H19/$O$23))</f>
        <v/>
      </c>
      <c r="I42" s="10" t="str">
        <f>IF(I19="","",(I19/$O$23))</f>
        <v/>
      </c>
      <c r="J42" s="10" t="str">
        <f>IF(J19="","",(J19/$O$23))</f>
        <v/>
      </c>
      <c r="K42" s="10" t="str">
        <f>IF(K19="","",(K19/$O$23))</f>
        <v/>
      </c>
      <c r="L42" s="10" t="str">
        <f>IF(L19="","",(L19/$O$23))</f>
        <v/>
      </c>
      <c r="M42" s="10" t="str">
        <f>IF(M19="","",(M19/$O$23))</f>
        <v/>
      </c>
      <c r="N42" s="10" t="str">
        <f>IF(N19="","",(N19/$O$23))</f>
        <v/>
      </c>
      <c r="O42" s="10">
        <f t="shared" si="9"/>
        <v>1.6838220398078203</v>
      </c>
      <c r="P42" s="10" t="str">
        <f t="shared" si="9"/>
        <v/>
      </c>
      <c r="Q42" s="10" t="str">
        <f t="shared" si="9"/>
        <v/>
      </c>
      <c r="R42" s="10" t="str">
        <f t="shared" si="9"/>
        <v/>
      </c>
      <c r="S42" s="10" t="str">
        <f t="shared" si="9"/>
        <v/>
      </c>
      <c r="T42" s="10" t="str">
        <f t="shared" si="9"/>
        <v/>
      </c>
      <c r="U42" s="10" t="str">
        <f t="shared" si="9"/>
        <v/>
      </c>
      <c r="V42" s="10" t="str">
        <f t="shared" si="9"/>
        <v/>
      </c>
    </row>
    <row r="43" spans="1:22">
      <c r="A43" s="149"/>
      <c r="B43" s="10" t="str">
        <f>IF(B20="","",(B20/$O$23))</f>
        <v/>
      </c>
      <c r="C43" s="10" t="str">
        <f>IF(C20="","",(C20/$O$23))</f>
        <v/>
      </c>
      <c r="D43" s="10" t="str">
        <f>IF(D20="","",(D20/$O$23))</f>
        <v/>
      </c>
      <c r="E43" s="10" t="str">
        <f>IF(E20="","",(E20/$O$23))</f>
        <v/>
      </c>
      <c r="F43" s="10" t="str">
        <f>IF(F20="","",(F20/$O$23))</f>
        <v/>
      </c>
      <c r="G43" s="10" t="str">
        <f>IF(G20="","",(G20/$O$23))</f>
        <v/>
      </c>
      <c r="H43" s="10" t="str">
        <f>IF(H20="","",(H20/$O$23))</f>
        <v/>
      </c>
      <c r="I43" s="10" t="str">
        <f>IF(I20="","",(I20/$O$23))</f>
        <v/>
      </c>
      <c r="J43" s="10" t="str">
        <f>IF(J20="","",(J20/$O$23))</f>
        <v/>
      </c>
      <c r="K43" s="10" t="str">
        <f>IF(K20="","",(K20/$O$23))</f>
        <v/>
      </c>
      <c r="L43" s="10" t="str">
        <f>IF(L20="","",(L20/$O$23))</f>
        <v/>
      </c>
      <c r="M43" s="10" t="str">
        <f>IF(M20="","",(M20/$O$23))</f>
        <v/>
      </c>
      <c r="N43" s="10" t="str">
        <f>IF(N20="","",(N20/$O$23))</f>
        <v/>
      </c>
      <c r="O43" s="10">
        <f t="shared" si="9"/>
        <v>1.3233287672115626</v>
      </c>
      <c r="P43" s="10" t="str">
        <f t="shared" si="9"/>
        <v/>
      </c>
      <c r="Q43" s="10" t="str">
        <f t="shared" si="9"/>
        <v/>
      </c>
      <c r="R43" s="10" t="str">
        <f t="shared" si="9"/>
        <v/>
      </c>
      <c r="S43" s="10" t="str">
        <f t="shared" si="9"/>
        <v/>
      </c>
      <c r="T43" s="10" t="str">
        <f t="shared" si="9"/>
        <v/>
      </c>
      <c r="U43" s="10" t="str">
        <f t="shared" si="9"/>
        <v/>
      </c>
      <c r="V43" s="10" t="str">
        <f t="shared" si="9"/>
        <v/>
      </c>
    </row>
    <row r="44" spans="1:22">
      <c r="A44" s="6"/>
      <c r="B44" s="3"/>
      <c r="C44" s="3"/>
      <c r="D44" s="3"/>
      <c r="E44" s="3"/>
      <c r="F44" s="3"/>
      <c r="G44" s="3"/>
      <c r="H44" s="3"/>
      <c r="I44" s="3"/>
      <c r="J44" s="3"/>
      <c r="K44" s="3"/>
      <c r="L44" s="3"/>
      <c r="M44" s="3"/>
      <c r="N44" s="3"/>
      <c r="O44" s="3"/>
      <c r="P44" s="3"/>
      <c r="Q44" s="3"/>
      <c r="R44" s="3"/>
      <c r="S44" s="3"/>
      <c r="T44" s="3"/>
      <c r="U44" s="3"/>
      <c r="V44" s="3"/>
    </row>
    <row r="45" spans="1:22">
      <c r="A45" s="6" t="str">
        <f>A4</f>
        <v>Noms des groupes</v>
      </c>
      <c r="B45" s="6" t="str">
        <f t="shared" ref="B45:V45" si="10">B4</f>
        <v>Solvent control</v>
      </c>
      <c r="C45" s="6" t="str">
        <f t="shared" si="10"/>
        <v>EE2-33.8ng/L</v>
      </c>
      <c r="D45" s="6" t="str">
        <f t="shared" si="10"/>
        <v>EE2-50.6ng/L</v>
      </c>
      <c r="E45" s="6" t="str">
        <f t="shared" si="10"/>
        <v>EE2-76ng/L</v>
      </c>
      <c r="F45" s="6" t="str">
        <f t="shared" si="10"/>
        <v>EE2-114ng/L</v>
      </c>
      <c r="G45" s="6" t="str">
        <f t="shared" si="10"/>
        <v>EE2-170.9ng/L</v>
      </c>
      <c r="H45" s="6" t="str">
        <f t="shared" si="10"/>
        <v>EE2-488ng/L</v>
      </c>
      <c r="I45" s="6" t="str">
        <f t="shared" si="10"/>
        <v>Dutasteride-1mg/L</v>
      </c>
      <c r="J45" s="6" t="str">
        <f t="shared" si="10"/>
        <v>Dutasteride-0.5mg/L</v>
      </c>
      <c r="K45" s="6" t="str">
        <f t="shared" si="10"/>
        <v>Dutasteride-0.25mg/L</v>
      </c>
      <c r="L45" s="6" t="str">
        <f t="shared" si="10"/>
        <v>Dutasteride-0.1mg/L</v>
      </c>
      <c r="M45" s="6" t="str">
        <f t="shared" si="10"/>
        <v>Dutasteride-0.01mg/L</v>
      </c>
      <c r="N45" s="6" t="str">
        <f t="shared" si="10"/>
        <v/>
      </c>
      <c r="O45" s="6" t="str">
        <f t="shared" si="10"/>
        <v>Testo -30µg/L</v>
      </c>
      <c r="P45" s="6" t="str">
        <f t="shared" si="10"/>
        <v>Testo 30µg/L + EE2 -64ng/L</v>
      </c>
      <c r="Q45" s="6" t="str">
        <f t="shared" si="10"/>
        <v>Testo 30µg/L + FAD-10mg/L</v>
      </c>
      <c r="R45" s="6" t="str">
        <f t="shared" si="10"/>
        <v>Dutasteride-1mg/L + Testostérone</v>
      </c>
      <c r="S45" s="6" t="str">
        <f t="shared" si="10"/>
        <v>Dutasteride-0.5mg/L + Testostérone</v>
      </c>
      <c r="T45" s="6" t="str">
        <f t="shared" si="10"/>
        <v>Dutasteride-0.25mg/L + Testostérone</v>
      </c>
      <c r="U45" s="6" t="str">
        <f t="shared" si="10"/>
        <v>Dutasteride-0.1mg/L + Testostérone</v>
      </c>
      <c r="V45" s="6" t="str">
        <f t="shared" si="10"/>
        <v>Dutasteride-0.01mg/L + Testostérone</v>
      </c>
    </row>
    <row r="46" spans="1:22">
      <c r="A46" s="7" t="s">
        <v>0</v>
      </c>
      <c r="B46" s="9">
        <f t="shared" ref="B46:H46" si="11">AVERAGE(B28:B43)</f>
        <v>3.3727929021182448E-2</v>
      </c>
      <c r="C46" s="9">
        <f t="shared" si="11"/>
        <v>0.32919052744282379</v>
      </c>
      <c r="D46" s="9">
        <f t="shared" si="11"/>
        <v>0.36797347290401394</v>
      </c>
      <c r="E46" s="9">
        <f t="shared" si="11"/>
        <v>1.3338274718197558</v>
      </c>
      <c r="F46" s="9">
        <f t="shared" si="11"/>
        <v>1.3397908339217963</v>
      </c>
      <c r="G46" s="9">
        <f t="shared" si="11"/>
        <v>2.4214252860522656</v>
      </c>
      <c r="H46" s="9">
        <f t="shared" si="11"/>
        <v>2.4944659725150098</v>
      </c>
      <c r="I46" s="9">
        <f>AVERAGE(I28:I43)</f>
        <v>0.19023130698914947</v>
      </c>
      <c r="J46" s="8">
        <f>AVERAGE(J28:J43)</f>
        <v>5.4872235035716047E-2</v>
      </c>
      <c r="K46" s="8">
        <f t="shared" ref="K46:N46" si="12">AVERAGE(K28:K43)</f>
        <v>0.1929208025478053</v>
      </c>
      <c r="L46" s="8">
        <f t="shared" si="12"/>
        <v>0.14692534781860525</v>
      </c>
      <c r="M46" s="8">
        <f t="shared" si="12"/>
        <v>7.9472682678246753E-2</v>
      </c>
      <c r="N46" s="8" t="e">
        <f t="shared" si="12"/>
        <v>#DIV/0!</v>
      </c>
      <c r="O46" s="9">
        <f t="shared" ref="O46:V46" si="13">AVERAGE(O28:O43)</f>
        <v>0.99999999999999989</v>
      </c>
      <c r="P46" s="9">
        <f t="shared" si="13"/>
        <v>1.2369739357466227</v>
      </c>
      <c r="Q46" s="9">
        <f t="shared" si="13"/>
        <v>0.22268137603215946</v>
      </c>
      <c r="R46" s="9">
        <f t="shared" si="13"/>
        <v>0.6209388019851787</v>
      </c>
      <c r="S46" s="9">
        <f t="shared" si="13"/>
        <v>0.63530273587770414</v>
      </c>
      <c r="T46" s="9">
        <f t="shared" si="13"/>
        <v>0.63351494381267393</v>
      </c>
      <c r="U46" s="9">
        <f t="shared" si="13"/>
        <v>0.66914938491947407</v>
      </c>
      <c r="V46" s="9">
        <f t="shared" si="13"/>
        <v>0.70267247878931305</v>
      </c>
    </row>
    <row r="47" spans="1:22">
      <c r="A47" s="7" t="s">
        <v>1</v>
      </c>
      <c r="B47" s="7">
        <f t="shared" ref="B47:N47" si="14">STDEV(B28:B43)</f>
        <v>4.4420813809881207E-2</v>
      </c>
      <c r="C47" s="7">
        <f t="shared" si="14"/>
        <v>0.23473536748056537</v>
      </c>
      <c r="D47" s="7">
        <f t="shared" si="14"/>
        <v>0.16099374273993755</v>
      </c>
      <c r="E47" s="7">
        <f t="shared" si="14"/>
        <v>0.63475858010064534</v>
      </c>
      <c r="F47" s="7">
        <f t="shared" si="14"/>
        <v>0.34128634802365465</v>
      </c>
      <c r="G47" s="7">
        <f t="shared" si="14"/>
        <v>0.36912813048828658</v>
      </c>
      <c r="H47" s="7">
        <f t="shared" si="14"/>
        <v>0.5920721264287806</v>
      </c>
      <c r="I47" s="7">
        <f t="shared" si="14"/>
        <v>0.1545379268259455</v>
      </c>
      <c r="J47" s="7">
        <f t="shared" si="14"/>
        <v>3.9574693480779036E-2</v>
      </c>
      <c r="K47" s="7">
        <f t="shared" si="14"/>
        <v>0.10146771944704874</v>
      </c>
      <c r="L47" s="7">
        <f t="shared" si="14"/>
        <v>0.10737893549490919</v>
      </c>
      <c r="M47" s="7">
        <f t="shared" si="14"/>
        <v>4.910861052840005E-2</v>
      </c>
      <c r="N47" s="7" t="e">
        <f t="shared" si="14"/>
        <v>#DIV/0!</v>
      </c>
      <c r="O47" s="7">
        <f t="shared" ref="O47:V47" si="15">STDEV(O28:O43)</f>
        <v>0.59551840357853936</v>
      </c>
      <c r="P47" s="7">
        <f t="shared" si="15"/>
        <v>0.53582655718129568</v>
      </c>
      <c r="Q47" s="7">
        <f t="shared" si="15"/>
        <v>0.23264231851613457</v>
      </c>
      <c r="R47" s="7">
        <f t="shared" si="15"/>
        <v>0.31436379320597563</v>
      </c>
      <c r="S47" s="7">
        <f t="shared" si="15"/>
        <v>0.36092605332254213</v>
      </c>
      <c r="T47" s="7">
        <f t="shared" si="15"/>
        <v>0.4788341359094706</v>
      </c>
      <c r="U47" s="7">
        <f t="shared" si="15"/>
        <v>0.58787277044277275</v>
      </c>
      <c r="V47" s="7">
        <f t="shared" si="15"/>
        <v>0.43795808536238118</v>
      </c>
    </row>
    <row r="48" spans="1:22">
      <c r="A48" s="7" t="s">
        <v>2</v>
      </c>
      <c r="B48" s="7">
        <f t="shared" ref="B48:N48" si="16" xml:space="preserve"> B47/SQRT(COUNT(B28:B43))</f>
        <v>1.5705129335396018E-2</v>
      </c>
      <c r="C48" s="7">
        <f t="shared" si="16"/>
        <v>8.2991485064911968E-2</v>
      </c>
      <c r="D48" s="7">
        <f t="shared" si="16"/>
        <v>5.6919883610006168E-2</v>
      </c>
      <c r="E48" s="7">
        <f t="shared" si="16"/>
        <v>0.2244210482027553</v>
      </c>
      <c r="F48" s="7">
        <f t="shared" si="16"/>
        <v>0.12066294550695914</v>
      </c>
      <c r="G48" s="7">
        <f t="shared" si="16"/>
        <v>0.1305065020974901</v>
      </c>
      <c r="H48" s="7">
        <f t="shared" si="16"/>
        <v>0.20932910777466482</v>
      </c>
      <c r="I48" s="7">
        <f t="shared" si="16"/>
        <v>5.4637408004568268E-2</v>
      </c>
      <c r="J48" s="7">
        <f t="shared" si="16"/>
        <v>1.3991767061818955E-2</v>
      </c>
      <c r="K48" s="7">
        <f t="shared" si="16"/>
        <v>3.5874256246271143E-2</v>
      </c>
      <c r="L48" s="7">
        <f t="shared" si="16"/>
        <v>3.7964186722521574E-2</v>
      </c>
      <c r="M48" s="7">
        <f t="shared" si="16"/>
        <v>1.7362515759640377E-2</v>
      </c>
      <c r="N48" s="7" t="e">
        <f t="shared" si="16"/>
        <v>#DIV/0!</v>
      </c>
      <c r="O48" s="7">
        <f t="shared" ref="O48:V48" si="17" xml:space="preserve"> O47/SQRT(COUNT(O28:O43))</f>
        <v>0.14887960089463484</v>
      </c>
      <c r="P48" s="7">
        <f t="shared" si="17"/>
        <v>0.18944329606136776</v>
      </c>
      <c r="Q48" s="7">
        <f t="shared" si="17"/>
        <v>8.2251480506859723E-2</v>
      </c>
      <c r="R48" s="7">
        <f t="shared" si="17"/>
        <v>0.11114438496773543</v>
      </c>
      <c r="S48" s="7">
        <f t="shared" si="17"/>
        <v>0.12760662990563348</v>
      </c>
      <c r="T48" s="7">
        <f t="shared" si="17"/>
        <v>0.16929343228259378</v>
      </c>
      <c r="U48" s="7">
        <f t="shared" si="17"/>
        <v>0.20784441122750358</v>
      </c>
      <c r="V48" s="7">
        <f t="shared" si="17"/>
        <v>0.15484156601760826</v>
      </c>
    </row>
    <row r="49" spans="1:22" ht="15.75" thickBot="1">
      <c r="A49" s="7"/>
      <c r="B49" s="7"/>
      <c r="C49" s="7"/>
      <c r="D49" s="7"/>
      <c r="E49" s="7"/>
      <c r="F49" s="7"/>
      <c r="G49" s="7"/>
      <c r="H49" s="7"/>
      <c r="I49" s="7"/>
      <c r="J49" s="7"/>
      <c r="K49" s="7"/>
      <c r="L49" s="7"/>
      <c r="M49" s="7"/>
      <c r="N49" s="7"/>
      <c r="O49" s="7"/>
      <c r="P49" s="7"/>
      <c r="Q49" s="7"/>
      <c r="R49" s="7"/>
      <c r="S49" s="7"/>
      <c r="T49" s="7"/>
      <c r="U49" s="7"/>
      <c r="V49" s="7"/>
    </row>
    <row r="50" spans="1:22" ht="27" thickBot="1">
      <c r="A50" s="140" t="s">
        <v>24</v>
      </c>
      <c r="B50" s="141"/>
      <c r="C50" s="141"/>
      <c r="D50" s="141"/>
      <c r="E50" s="141"/>
      <c r="F50" s="141"/>
      <c r="G50" s="141"/>
      <c r="H50" s="141"/>
      <c r="I50" s="141"/>
      <c r="J50" s="141"/>
      <c r="K50" s="141"/>
      <c r="L50" s="141"/>
      <c r="M50" s="141"/>
      <c r="N50" s="141"/>
      <c r="O50" s="141"/>
      <c r="P50" s="141"/>
      <c r="Q50" s="141"/>
      <c r="R50" s="141"/>
      <c r="S50" s="141"/>
      <c r="T50" s="141"/>
      <c r="U50" s="141"/>
      <c r="V50" s="141"/>
    </row>
    <row r="51" spans="1:22" ht="15.75" thickBot="1"/>
    <row r="52" spans="1:22">
      <c r="A52" s="28" t="str">
        <f t="shared" ref="A52:H52" si="18">A27</f>
        <v>Noms des groupes</v>
      </c>
      <c r="B52" s="29" t="str">
        <f t="shared" si="18"/>
        <v>Solvent control</v>
      </c>
      <c r="C52" s="29" t="str">
        <f t="shared" si="18"/>
        <v>EE2-33.8ng/L</v>
      </c>
      <c r="D52" s="29" t="str">
        <f t="shared" si="18"/>
        <v>EE2-50.6ng/L</v>
      </c>
      <c r="E52" s="29" t="str">
        <f t="shared" si="18"/>
        <v>EE2-76ng/L</v>
      </c>
      <c r="F52" s="29" t="str">
        <f t="shared" si="18"/>
        <v>EE2-114ng/L</v>
      </c>
      <c r="G52" s="29" t="str">
        <f t="shared" si="18"/>
        <v>EE2-170.9ng/L</v>
      </c>
      <c r="H52" s="29" t="str">
        <f t="shared" si="18"/>
        <v>EE2-488ng/L</v>
      </c>
      <c r="I52" s="29" t="str">
        <f>I4</f>
        <v>Dutasteride-1mg/L</v>
      </c>
      <c r="J52" s="29" t="str">
        <f>J4</f>
        <v>Dutasteride-0.5mg/L</v>
      </c>
      <c r="K52" s="29" t="str">
        <f t="shared" ref="K52:N52" si="19">K4</f>
        <v>Dutasteride-0.25mg/L</v>
      </c>
      <c r="L52" s="29" t="str">
        <f t="shared" si="19"/>
        <v>Dutasteride-0.1mg/L</v>
      </c>
      <c r="M52" s="29" t="str">
        <f t="shared" si="19"/>
        <v>Dutasteride-0.01mg/L</v>
      </c>
      <c r="N52" s="29" t="str">
        <f t="shared" si="19"/>
        <v/>
      </c>
      <c r="O52" s="29" t="str">
        <f>O27</f>
        <v>Testo -30µg/L</v>
      </c>
      <c r="P52" s="29" t="str">
        <f>P27</f>
        <v>Testo 30µg/L + EE2 -64ng/L</v>
      </c>
      <c r="Q52" s="29" t="str">
        <f>Q27</f>
        <v>Testo 30µg/L + FAD-10mg/L</v>
      </c>
      <c r="R52" s="29" t="str">
        <f>R27</f>
        <v>Dutasteride-1mg/L + Testostérone</v>
      </c>
      <c r="S52" s="29" t="str">
        <f t="shared" ref="S52:V52" si="20">S27</f>
        <v>Dutasteride-0.5mg/L + Testostérone</v>
      </c>
      <c r="T52" s="29" t="str">
        <f t="shared" si="20"/>
        <v>Dutasteride-0.25mg/L + Testostérone</v>
      </c>
      <c r="U52" s="29" t="str">
        <f t="shared" si="20"/>
        <v>Dutasteride-0.1mg/L + Testostérone</v>
      </c>
      <c r="V52" s="29" t="str">
        <f t="shared" si="20"/>
        <v>Dutasteride-0.01mg/L + Testostérone</v>
      </c>
    </row>
    <row r="53" spans="1:22" s="3" customFormat="1">
      <c r="A53" s="43" t="s">
        <v>15</v>
      </c>
      <c r="B53" s="75">
        <f t="shared" ref="B53:V53" si="21">B46</f>
        <v>3.3727929021182448E-2</v>
      </c>
      <c r="C53" s="75">
        <f t="shared" si="21"/>
        <v>0.32919052744282379</v>
      </c>
      <c r="D53" s="75">
        <f t="shared" si="21"/>
        <v>0.36797347290401394</v>
      </c>
      <c r="E53" s="75">
        <f t="shared" si="21"/>
        <v>1.3338274718197558</v>
      </c>
      <c r="F53" s="75">
        <f t="shared" si="21"/>
        <v>1.3397908339217963</v>
      </c>
      <c r="G53" s="75">
        <f t="shared" si="21"/>
        <v>2.4214252860522656</v>
      </c>
      <c r="H53" s="75">
        <f t="shared" si="21"/>
        <v>2.4944659725150098</v>
      </c>
      <c r="I53" s="75">
        <f t="shared" si="21"/>
        <v>0.19023130698914947</v>
      </c>
      <c r="J53" s="75">
        <f t="shared" si="21"/>
        <v>5.4872235035716047E-2</v>
      </c>
      <c r="K53" s="75">
        <f t="shared" si="21"/>
        <v>0.1929208025478053</v>
      </c>
      <c r="L53" s="75">
        <f t="shared" si="21"/>
        <v>0.14692534781860525</v>
      </c>
      <c r="M53" s="75">
        <f t="shared" si="21"/>
        <v>7.9472682678246753E-2</v>
      </c>
      <c r="N53" s="75" t="e">
        <f t="shared" si="21"/>
        <v>#DIV/0!</v>
      </c>
      <c r="O53" s="75">
        <f t="shared" si="21"/>
        <v>0.99999999999999989</v>
      </c>
      <c r="P53" s="75">
        <f t="shared" si="21"/>
        <v>1.2369739357466227</v>
      </c>
      <c r="Q53" s="75">
        <f t="shared" si="21"/>
        <v>0.22268137603215946</v>
      </c>
      <c r="R53" s="75">
        <f t="shared" si="21"/>
        <v>0.6209388019851787</v>
      </c>
      <c r="S53" s="75">
        <f t="shared" si="21"/>
        <v>0.63530273587770414</v>
      </c>
      <c r="T53" s="75">
        <f t="shared" si="21"/>
        <v>0.63351494381267393</v>
      </c>
      <c r="U53" s="75">
        <f t="shared" si="21"/>
        <v>0.66914938491947407</v>
      </c>
      <c r="V53" s="75">
        <f t="shared" si="21"/>
        <v>0.70267247878931305</v>
      </c>
    </row>
    <row r="54" spans="1:22" s="3" customFormat="1">
      <c r="A54" s="43" t="s">
        <v>2</v>
      </c>
      <c r="B54" s="75">
        <f t="shared" ref="B54:V54" si="22">B48</f>
        <v>1.5705129335396018E-2</v>
      </c>
      <c r="C54" s="75">
        <f t="shared" si="22"/>
        <v>8.2991485064911968E-2</v>
      </c>
      <c r="D54" s="75">
        <f t="shared" si="22"/>
        <v>5.6919883610006168E-2</v>
      </c>
      <c r="E54" s="75">
        <f t="shared" si="22"/>
        <v>0.2244210482027553</v>
      </c>
      <c r="F54" s="75">
        <f t="shared" si="22"/>
        <v>0.12066294550695914</v>
      </c>
      <c r="G54" s="75">
        <f t="shared" si="22"/>
        <v>0.1305065020974901</v>
      </c>
      <c r="H54" s="75">
        <f t="shared" si="22"/>
        <v>0.20932910777466482</v>
      </c>
      <c r="I54" s="75">
        <f t="shared" si="22"/>
        <v>5.4637408004568268E-2</v>
      </c>
      <c r="J54" s="75">
        <f t="shared" si="22"/>
        <v>1.3991767061818955E-2</v>
      </c>
      <c r="K54" s="75">
        <f t="shared" si="22"/>
        <v>3.5874256246271143E-2</v>
      </c>
      <c r="L54" s="75">
        <f t="shared" si="22"/>
        <v>3.7964186722521574E-2</v>
      </c>
      <c r="M54" s="75">
        <f t="shared" si="22"/>
        <v>1.7362515759640377E-2</v>
      </c>
      <c r="N54" s="75" t="e">
        <f t="shared" si="22"/>
        <v>#DIV/0!</v>
      </c>
      <c r="O54" s="75">
        <f t="shared" si="22"/>
        <v>0.14887960089463484</v>
      </c>
      <c r="P54" s="75">
        <f t="shared" si="22"/>
        <v>0.18944329606136776</v>
      </c>
      <c r="Q54" s="75">
        <f t="shared" si="22"/>
        <v>8.2251480506859723E-2</v>
      </c>
      <c r="R54" s="75">
        <f t="shared" si="22"/>
        <v>0.11114438496773543</v>
      </c>
      <c r="S54" s="75">
        <f t="shared" si="22"/>
        <v>0.12760662990563348</v>
      </c>
      <c r="T54" s="75">
        <f t="shared" si="22"/>
        <v>0.16929343228259378</v>
      </c>
      <c r="U54" s="75">
        <f t="shared" si="22"/>
        <v>0.20784441122750358</v>
      </c>
      <c r="V54" s="75">
        <f t="shared" si="22"/>
        <v>0.15484156601760826</v>
      </c>
    </row>
    <row r="55" spans="1:22" s="3" customFormat="1">
      <c r="A55" s="43" t="s">
        <v>42</v>
      </c>
      <c r="B55" s="75">
        <f>(B53*100/$B53)-100</f>
        <v>0</v>
      </c>
      <c r="C55" s="75">
        <f t="shared" ref="C55:N55" si="23">(C53*100/$B53)-100</f>
        <v>876.01761209850565</v>
      </c>
      <c r="D55" s="75">
        <f t="shared" si="23"/>
        <v>991.00523982042409</v>
      </c>
      <c r="E55" s="75">
        <f t="shared" si="23"/>
        <v>3854.667572331703</v>
      </c>
      <c r="F55" s="75">
        <f t="shared" si="23"/>
        <v>3872.3483558102712</v>
      </c>
      <c r="G55" s="75">
        <f t="shared" si="23"/>
        <v>7079.2883711641962</v>
      </c>
      <c r="H55" s="75">
        <f t="shared" si="23"/>
        <v>7295.8468394201982</v>
      </c>
      <c r="I55" s="75">
        <f t="shared" si="23"/>
        <v>464.01715880532367</v>
      </c>
      <c r="J55" s="75">
        <f t="shared" si="23"/>
        <v>62.690792551342696</v>
      </c>
      <c r="K55" s="75">
        <f t="shared" si="23"/>
        <v>471.99124923040347</v>
      </c>
      <c r="L55" s="75">
        <f t="shared" si="23"/>
        <v>335.61923925518948</v>
      </c>
      <c r="M55" s="75">
        <f t="shared" si="23"/>
        <v>135.62870589633542</v>
      </c>
      <c r="N55" s="75" t="e">
        <f t="shared" si="23"/>
        <v>#DIV/0!</v>
      </c>
      <c r="O55" s="75">
        <f>(O53*100/$O53)-100</f>
        <v>0</v>
      </c>
      <c r="P55" s="75">
        <f t="shared" ref="P55:V55" si="24">(P53*100/$O53)-100</f>
        <v>23.697393574662286</v>
      </c>
      <c r="Q55" s="75">
        <f t="shared" si="24"/>
        <v>-77.731862396784052</v>
      </c>
      <c r="R55" s="75">
        <f t="shared" si="24"/>
        <v>-37.90611980148212</v>
      </c>
      <c r="S55" s="75">
        <f t="shared" si="24"/>
        <v>-36.469726412229576</v>
      </c>
      <c r="T55" s="75">
        <f t="shared" si="24"/>
        <v>-36.648505618732599</v>
      </c>
      <c r="U55" s="75">
        <f t="shared" si="24"/>
        <v>-33.085061508052576</v>
      </c>
      <c r="V55" s="75">
        <f t="shared" si="24"/>
        <v>-29.732752121068685</v>
      </c>
    </row>
    <row r="56" spans="1:22" s="3" customFormat="1">
      <c r="A56" s="43" t="s">
        <v>43</v>
      </c>
      <c r="B56" s="75" t="e">
        <f ca="1">[1]!SWTEST(B28:B43)</f>
        <v>#NAME?</v>
      </c>
      <c r="C56" s="75" t="e">
        <f ca="1">[1]!SWTEST(C28:C43)</f>
        <v>#NAME?</v>
      </c>
      <c r="D56" s="75" t="e">
        <f ca="1">[1]!SWTEST(D28:D43)</f>
        <v>#NAME?</v>
      </c>
      <c r="E56" s="75" t="e">
        <f ca="1">[1]!SWTEST(E28:E43)</f>
        <v>#NAME?</v>
      </c>
      <c r="F56" s="75" t="e">
        <f ca="1">[1]!SWTEST(F28:F43)</f>
        <v>#NAME?</v>
      </c>
      <c r="G56" s="75" t="e">
        <f ca="1">[1]!SWTEST(G28:G43)</f>
        <v>#NAME?</v>
      </c>
      <c r="H56" s="75" t="e">
        <f ca="1">[1]!SWTEST(H28:H43)</f>
        <v>#NAME?</v>
      </c>
      <c r="I56" s="75" t="e">
        <f ca="1">[1]!SWTEST(I28:I43)</f>
        <v>#NAME?</v>
      </c>
      <c r="J56" s="75" t="e">
        <f ca="1">[1]!SWTEST(J28:J43)</f>
        <v>#NAME?</v>
      </c>
      <c r="K56" s="75" t="e">
        <f ca="1">[1]!SWTEST(K28:K43)</f>
        <v>#NAME?</v>
      </c>
      <c r="L56" s="75" t="e">
        <f ca="1">[1]!SWTEST(L28:L43)</f>
        <v>#NAME?</v>
      </c>
      <c r="M56" s="75" t="e">
        <f ca="1">[1]!SWTEST(M28:M43)</f>
        <v>#NAME?</v>
      </c>
      <c r="N56" s="75" t="e">
        <f ca="1">[1]!SWTEST(N28:N43)</f>
        <v>#NAME?</v>
      </c>
      <c r="O56" s="75" t="e">
        <f ca="1">[1]!SWTEST(O28:O43)</f>
        <v>#NAME?</v>
      </c>
      <c r="P56" s="75" t="e">
        <f ca="1">[1]!SWTEST(P28:P43)</f>
        <v>#NAME?</v>
      </c>
      <c r="Q56" s="75" t="e">
        <f ca="1">[1]!SWTEST(Q28:Q43)</f>
        <v>#NAME?</v>
      </c>
      <c r="R56" s="75" t="e">
        <f ca="1">[1]!SWTEST(R28:R43)</f>
        <v>#NAME?</v>
      </c>
      <c r="S56" s="75" t="e">
        <f ca="1">[1]!SWTEST(S28:S43)</f>
        <v>#NAME?</v>
      </c>
      <c r="T56" s="75" t="e">
        <f ca="1">[1]!SWTEST(T28:T43)</f>
        <v>#NAME?</v>
      </c>
      <c r="U56" s="75" t="e">
        <f ca="1">[1]!SWTEST(U28:U43)</f>
        <v>#NAME?</v>
      </c>
      <c r="V56" s="75" t="e">
        <f ca="1">[1]!SWTEST(V28:V43)</f>
        <v>#NAME?</v>
      </c>
    </row>
    <row r="57" spans="1:22" s="3" customFormat="1">
      <c r="A57" s="43" t="s">
        <v>47</v>
      </c>
      <c r="B57" s="75" t="e">
        <f ca="1">IF(B56&gt;0.05,"Oui","Non")</f>
        <v>#NAME?</v>
      </c>
      <c r="C57" s="75" t="e">
        <f t="shared" ref="C57:V57" ca="1" si="25">IF(C56&gt;0.05,"Oui","Non")</f>
        <v>#NAME?</v>
      </c>
      <c r="D57" s="75" t="e">
        <f t="shared" ca="1" si="25"/>
        <v>#NAME?</v>
      </c>
      <c r="E57" s="75" t="e">
        <f t="shared" ca="1" si="25"/>
        <v>#NAME?</v>
      </c>
      <c r="F57" s="75" t="e">
        <f t="shared" ca="1" si="25"/>
        <v>#NAME?</v>
      </c>
      <c r="G57" s="75" t="e">
        <f t="shared" ca="1" si="25"/>
        <v>#NAME?</v>
      </c>
      <c r="H57" s="75" t="e">
        <f t="shared" ca="1" si="25"/>
        <v>#NAME?</v>
      </c>
      <c r="I57" s="75" t="e">
        <f t="shared" ca="1" si="25"/>
        <v>#NAME?</v>
      </c>
      <c r="J57" s="75" t="e">
        <f t="shared" ca="1" si="25"/>
        <v>#NAME?</v>
      </c>
      <c r="K57" s="75" t="e">
        <f t="shared" ca="1" si="25"/>
        <v>#NAME?</v>
      </c>
      <c r="L57" s="75" t="e">
        <f t="shared" ca="1" si="25"/>
        <v>#NAME?</v>
      </c>
      <c r="M57" s="75" t="e">
        <f t="shared" ca="1" si="25"/>
        <v>#NAME?</v>
      </c>
      <c r="N57" s="75" t="e">
        <f t="shared" ca="1" si="25"/>
        <v>#NAME?</v>
      </c>
      <c r="O57" s="75" t="e">
        <f t="shared" ca="1" si="25"/>
        <v>#NAME?</v>
      </c>
      <c r="P57" s="75" t="e">
        <f t="shared" ca="1" si="25"/>
        <v>#NAME?</v>
      </c>
      <c r="Q57" s="75" t="e">
        <f t="shared" ca="1" si="25"/>
        <v>#NAME?</v>
      </c>
      <c r="R57" s="75" t="e">
        <f t="shared" ca="1" si="25"/>
        <v>#NAME?</v>
      </c>
      <c r="S57" s="75" t="e">
        <f t="shared" ca="1" si="25"/>
        <v>#NAME?</v>
      </c>
      <c r="T57" s="75" t="e">
        <f t="shared" ca="1" si="25"/>
        <v>#NAME?</v>
      </c>
      <c r="U57" s="75" t="e">
        <f t="shared" ca="1" si="25"/>
        <v>#NAME?</v>
      </c>
      <c r="V57" s="75" t="e">
        <f t="shared" ca="1" si="25"/>
        <v>#NAME?</v>
      </c>
    </row>
    <row r="58" spans="1:22" s="3" customFormat="1">
      <c r="A58" s="43"/>
      <c r="B58" s="75"/>
      <c r="C58" s="75"/>
      <c r="D58" s="75"/>
      <c r="E58" s="75"/>
      <c r="F58" s="75"/>
      <c r="G58" s="75"/>
      <c r="H58" s="75"/>
      <c r="I58" s="75"/>
      <c r="J58" s="75"/>
      <c r="K58" s="75"/>
      <c r="L58" s="75"/>
      <c r="M58" s="75"/>
      <c r="N58" s="75"/>
      <c r="O58" s="77"/>
      <c r="P58" s="75"/>
      <c r="Q58" s="75"/>
      <c r="R58" s="75"/>
      <c r="S58" s="75"/>
      <c r="T58" s="75"/>
      <c r="U58" s="75"/>
      <c r="V58" s="75"/>
    </row>
    <row r="59" spans="1:22" s="3" customFormat="1">
      <c r="A59" s="43" t="s">
        <v>44</v>
      </c>
      <c r="B59" s="78"/>
      <c r="C59" s="78" t="e">
        <f t="shared" ref="C59:O59" ca="1" si="26">IF($B57="Non",IF(C57="Non","MW",IF(C57="Oui","MW","")),IF($B57="Oui",IF(C57="Oui","T-Test Welch",IF(C57="Non","MW",""))))</f>
        <v>#NAME?</v>
      </c>
      <c r="D59" s="78" t="e">
        <f t="shared" ca="1" si="26"/>
        <v>#NAME?</v>
      </c>
      <c r="E59" s="78" t="e">
        <f t="shared" ca="1" si="26"/>
        <v>#NAME?</v>
      </c>
      <c r="F59" s="78" t="e">
        <f t="shared" ca="1" si="26"/>
        <v>#NAME?</v>
      </c>
      <c r="G59" s="78" t="e">
        <f t="shared" ca="1" si="26"/>
        <v>#NAME?</v>
      </c>
      <c r="H59" s="78" t="e">
        <f t="shared" ca="1" si="26"/>
        <v>#NAME?</v>
      </c>
      <c r="I59" s="78" t="e">
        <f t="shared" ca="1" si="26"/>
        <v>#NAME?</v>
      </c>
      <c r="J59" s="78" t="e">
        <f t="shared" ca="1" si="26"/>
        <v>#NAME?</v>
      </c>
      <c r="K59" s="78" t="e">
        <f t="shared" ca="1" si="26"/>
        <v>#NAME?</v>
      </c>
      <c r="L59" s="78" t="e">
        <f t="shared" ca="1" si="26"/>
        <v>#NAME?</v>
      </c>
      <c r="M59" s="78" t="e">
        <f t="shared" ca="1" si="26"/>
        <v>#NAME?</v>
      </c>
      <c r="N59" s="78" t="e">
        <f t="shared" ca="1" si="26"/>
        <v>#NAME?</v>
      </c>
      <c r="O59" s="78" t="e">
        <f t="shared" ca="1" si="26"/>
        <v>#NAME?</v>
      </c>
      <c r="P59" s="78" t="e">
        <f ca="1">IF($O57="Non",IF(P57="Non","MW",IF(P57="Oui","MW","")),IF($O57="Oui",IF(P57="Oui","T-Test Welch",IF(P57="Non","MW",""))))</f>
        <v>#NAME?</v>
      </c>
      <c r="Q59" s="78" t="e">
        <f t="shared" ref="Q59:V59" ca="1" si="27">IF($O57="Non",IF(Q57="Non","MW",IF(Q57="Oui","MW","")),IF($O57="Oui",IF(Q57="Oui","T-Test Welch",IF(Q57="Non","MW",""))))</f>
        <v>#NAME?</v>
      </c>
      <c r="R59" s="78" t="e">
        <f t="shared" ca="1" si="27"/>
        <v>#NAME?</v>
      </c>
      <c r="S59" s="78" t="e">
        <f t="shared" ca="1" si="27"/>
        <v>#NAME?</v>
      </c>
      <c r="T59" s="78" t="e">
        <f t="shared" ca="1" si="27"/>
        <v>#NAME?</v>
      </c>
      <c r="U59" s="78" t="e">
        <f t="shared" ca="1" si="27"/>
        <v>#NAME?</v>
      </c>
      <c r="V59" s="78" t="e">
        <f t="shared" ca="1" si="27"/>
        <v>#NAME?</v>
      </c>
    </row>
    <row r="60" spans="1:22" s="3" customFormat="1">
      <c r="A60" s="43" t="s">
        <v>45</v>
      </c>
      <c r="B60" s="79"/>
      <c r="C60" s="79" t="e">
        <f ca="1">IF(C59="MW",[1]!MTEST($B28:$B43,C28:C43,2), IF(C59="T-Test Welch",_xlfn.T.TEST($B28:$B43,C28:C43,2,3),""))</f>
        <v>#NAME?</v>
      </c>
      <c r="D60" s="79" t="e">
        <f ca="1">IF(D59="MW",[1]!MTEST($B28:$B43,D28:D43,2), IF(D59="T-Test Welch",_xlfn.T.TEST($B28:$B43,D28:D43,2,3),""))</f>
        <v>#NAME?</v>
      </c>
      <c r="E60" s="79" t="e">
        <f ca="1">IF(E59="MW",[1]!MTEST($B28:$B43,E28:E43,2), IF(E59="T-Test Welch",_xlfn.T.TEST($B28:$B43,E28:E43,2,3),""))</f>
        <v>#NAME?</v>
      </c>
      <c r="F60" s="79" t="e">
        <f ca="1">IF(F59="MW",[1]!MTEST($B28:$B43,F28:F43,2), IF(F59="T-Test Welch",_xlfn.T.TEST($B28:$B43,F28:F43,2,3),""))</f>
        <v>#NAME?</v>
      </c>
      <c r="G60" s="79" t="e">
        <f ca="1">IF(G59="MW",[1]!MTEST($B28:$B43,G28:G43,2), IF(G59="T-Test Welch",_xlfn.T.TEST($B28:$B43,G28:G43,2,3),""))</f>
        <v>#NAME?</v>
      </c>
      <c r="H60" s="79" t="e">
        <f ca="1">IF(H59="MW",[1]!MTEST($B28:$B43,H28:H43,2), IF(H59="T-Test Welch",_xlfn.T.TEST($B28:$B43,H28:H43,2,3),""))</f>
        <v>#NAME?</v>
      </c>
      <c r="I60" s="79" t="e">
        <f ca="1">IF(I59="MW",[1]!MTEST($B28:$B43,I28:I43,2), IF(I59="T-Test Welch",_xlfn.T.TEST($B28:$B43,I28:I43,2,3),""))</f>
        <v>#NAME?</v>
      </c>
      <c r="J60" s="79" t="e">
        <f ca="1">IF(J59="MW",[1]!MTEST($B28:$B43,J28:J43,2), IF(J59="T-Test Welch",_xlfn.T.TEST($B28:$B43,J28:J43,2,3),""))</f>
        <v>#NAME?</v>
      </c>
      <c r="K60" s="79" t="e">
        <f ca="1">IF(K59="MW",[1]!MTEST($B28:$B43,K28:K43,2), IF(K59="T-Test Welch",_xlfn.T.TEST($B28:$B43,K28:K43,2,3),""))</f>
        <v>#NAME?</v>
      </c>
      <c r="L60" s="79" t="e">
        <f ca="1">IF(L59="MW",[1]!MTEST($B28:$B43,L28:L43,2), IF(L59="T-Test Welch",_xlfn.T.TEST($B28:$B43,L28:L43,2,3),""))</f>
        <v>#NAME?</v>
      </c>
      <c r="M60" s="79" t="e">
        <f ca="1">IF(M59="MW",[1]!MTEST($B28:$B43,M28:M43,2), IF(M59="T-Test Welch",_xlfn.T.TEST($B28:$B43,M28:M43,2,3),""))</f>
        <v>#NAME?</v>
      </c>
      <c r="N60" s="79" t="e">
        <f ca="1">IF(N59="MW",[1]!MTEST($B28:$B43,N28:N43,2), IF(N59="T-Test Welch",_xlfn.T.TEST($B28:$B43,N28:N43,2,3),""))</f>
        <v>#NAME?</v>
      </c>
      <c r="O60" s="79" t="e">
        <f ca="1">IF(O59="MW",[1]!MTEST($B28:$B43,O28:O43,2), IF(O59="T-Test Welch",_xlfn.T.TEST($B28:$B43,O28:O43,2,3),""))</f>
        <v>#NAME?</v>
      </c>
      <c r="P60" s="79" t="e">
        <f ca="1">IF(P59="MW",[1]!MTEST($O28:$O43,P28:P43,2), IF(P59="T-Test Welch",_xlfn.T.TEST($O28:$O43,P28:P43,2,3),""))</f>
        <v>#NAME?</v>
      </c>
      <c r="Q60" s="79" t="e">
        <f ca="1">IF(Q59="MW",[1]!MTEST($O28:$O43,Q28:Q43,2), IF(Q59="T-Test Welch",_xlfn.T.TEST($O28:$O43,Q28:Q43,2,3),""))</f>
        <v>#NAME?</v>
      </c>
      <c r="R60" s="79" t="e">
        <f ca="1">IF(R59="MW",[1]!MTEST($O28:$O43,R28:R43,2), IF(R59="T-Test Welch",_xlfn.T.TEST($O28:$O43,R28:R43,2,3),""))</f>
        <v>#NAME?</v>
      </c>
      <c r="S60" s="79" t="e">
        <f ca="1">IF(S59="MW",[1]!MTEST($O28:$O43,S28:S43,2), IF(S59="T-Test Welch",_xlfn.T.TEST($O28:$O43,S28:S43,2,3),""))</f>
        <v>#NAME?</v>
      </c>
      <c r="T60" s="79" t="e">
        <f ca="1">IF(T59="MW",[1]!MTEST($O28:$O43,T28:T43,2), IF(T59="T-Test Welch",_xlfn.T.TEST($O28:$O43,T28:T43,2,3),""))</f>
        <v>#NAME?</v>
      </c>
      <c r="U60" s="79" t="e">
        <f ca="1">IF(U59="MW",[1]!MTEST($O28:$O43,U28:U43,2), IF(U59="T-Test Welch",_xlfn.T.TEST($O28:$O43,U28:U43,2,3),""))</f>
        <v>#NAME?</v>
      </c>
      <c r="V60" s="79" t="e">
        <f ca="1">IF(V59="MW",[1]!MTEST($O28:$O43,V28:V43,2), IF(V59="T-Test Welch",_xlfn.T.TEST($O28:$O43,V28:V43,2,3),""))</f>
        <v>#NAME?</v>
      </c>
    </row>
    <row r="61" spans="1:22" s="3" customFormat="1" ht="15.75" thickBot="1">
      <c r="A61" s="44" t="s">
        <v>46</v>
      </c>
      <c r="B61" s="76"/>
      <c r="C61" s="76" t="e">
        <f t="shared" ref="C61:O61" ca="1" si="28">IF(C60&gt;0.05,"NS",IF(C60&gt;0.01,"*",IF(C60&gt;0.001,"**","***")))</f>
        <v>#NAME?</v>
      </c>
      <c r="D61" s="76" t="e">
        <f t="shared" ca="1" si="28"/>
        <v>#NAME?</v>
      </c>
      <c r="E61" s="76" t="e">
        <f t="shared" ca="1" si="28"/>
        <v>#NAME?</v>
      </c>
      <c r="F61" s="76" t="e">
        <f t="shared" ca="1" si="28"/>
        <v>#NAME?</v>
      </c>
      <c r="G61" s="76" t="e">
        <f t="shared" ca="1" si="28"/>
        <v>#NAME?</v>
      </c>
      <c r="H61" s="76" t="e">
        <f t="shared" ca="1" si="28"/>
        <v>#NAME?</v>
      </c>
      <c r="I61" s="76" t="e">
        <f t="shared" ca="1" si="28"/>
        <v>#NAME?</v>
      </c>
      <c r="J61" s="76" t="e">
        <f t="shared" ca="1" si="28"/>
        <v>#NAME?</v>
      </c>
      <c r="K61" s="76" t="e">
        <f t="shared" ca="1" si="28"/>
        <v>#NAME?</v>
      </c>
      <c r="L61" s="76" t="e">
        <f t="shared" ca="1" si="28"/>
        <v>#NAME?</v>
      </c>
      <c r="M61" s="76" t="e">
        <f t="shared" ca="1" si="28"/>
        <v>#NAME?</v>
      </c>
      <c r="N61" s="76" t="e">
        <f t="shared" ca="1" si="28"/>
        <v>#NAME?</v>
      </c>
      <c r="O61" s="76" t="e">
        <f t="shared" ca="1" si="28"/>
        <v>#NAME?</v>
      </c>
      <c r="P61" s="76" t="e">
        <f ca="1">IF(P60&gt;0.05,"NS",IF(P60&gt;0.01,"*",IF(P60&gt;0.001,"**","***")))</f>
        <v>#NAME?</v>
      </c>
      <c r="Q61" s="76" t="e">
        <f t="shared" ref="Q61:V61" ca="1" si="29">IF(Q60&gt;0.05,"NS",IF(Q60&gt;0.01,"*",IF(Q60&gt;0.001,"**","***")))</f>
        <v>#NAME?</v>
      </c>
      <c r="R61" s="76" t="e">
        <f t="shared" ca="1" si="29"/>
        <v>#NAME?</v>
      </c>
      <c r="S61" s="76" t="e">
        <f t="shared" ca="1" si="29"/>
        <v>#NAME?</v>
      </c>
      <c r="T61" s="76" t="e">
        <f t="shared" ca="1" si="29"/>
        <v>#NAME?</v>
      </c>
      <c r="U61" s="76" t="e">
        <f t="shared" ca="1" si="29"/>
        <v>#NAME?</v>
      </c>
      <c r="V61" s="76" t="e">
        <f t="shared" ca="1" si="29"/>
        <v>#NAME?</v>
      </c>
    </row>
    <row r="63" spans="1:22">
      <c r="A63" s="2" t="s">
        <v>20</v>
      </c>
    </row>
    <row r="64" spans="1:22">
      <c r="A64" s="1" t="s">
        <v>13</v>
      </c>
      <c r="B64" s="1">
        <f>B46+(3*B47)</f>
        <v>0.16699037045082604</v>
      </c>
    </row>
    <row r="65" spans="1:22">
      <c r="A65" s="1" t="s">
        <v>14</v>
      </c>
      <c r="B65" s="1">
        <f>B46+(10*B47)</f>
        <v>0.47793606711999453</v>
      </c>
    </row>
    <row r="66" spans="1:22" ht="15.75" thickBot="1"/>
    <row r="67" spans="1:22" ht="27" thickBot="1">
      <c r="A67" s="140" t="s">
        <v>25</v>
      </c>
      <c r="B67" s="141"/>
      <c r="C67" s="141"/>
      <c r="D67" s="141"/>
      <c r="E67" s="141"/>
      <c r="F67" s="141"/>
      <c r="G67" s="141"/>
      <c r="H67" s="141"/>
      <c r="I67" s="141"/>
      <c r="J67" s="141"/>
      <c r="K67" s="141"/>
      <c r="L67" s="141"/>
      <c r="M67" s="141"/>
      <c r="N67" s="141"/>
      <c r="O67" s="141"/>
      <c r="P67" s="141"/>
      <c r="Q67" s="141"/>
      <c r="R67" s="141"/>
      <c r="S67" s="141"/>
      <c r="T67" s="141"/>
      <c r="U67" s="141"/>
      <c r="V67" s="141"/>
    </row>
    <row r="68" spans="1:22" ht="16.5">
      <c r="A68" s="11"/>
      <c r="B68" s="11"/>
      <c r="C68" s="11"/>
      <c r="D68" s="11"/>
      <c r="E68" s="11"/>
      <c r="F68" s="11"/>
      <c r="O68" s="11"/>
      <c r="P68" s="11"/>
      <c r="Q68" s="11"/>
      <c r="R68" s="11"/>
      <c r="S68" s="11"/>
      <c r="T68" s="11"/>
      <c r="U68" s="11"/>
      <c r="V68" s="11"/>
    </row>
    <row r="69" spans="1:22" ht="16.5">
      <c r="A69" s="11"/>
      <c r="B69" s="11"/>
      <c r="C69" s="11"/>
      <c r="D69" s="11"/>
      <c r="E69" s="11"/>
      <c r="F69" s="11"/>
      <c r="O69" s="11"/>
      <c r="P69" s="11"/>
      <c r="Q69" s="11"/>
      <c r="R69" s="11"/>
      <c r="S69" s="11"/>
      <c r="T69" s="11"/>
      <c r="U69" s="11"/>
      <c r="V69" s="11"/>
    </row>
    <row r="70" spans="1:22" ht="16.5">
      <c r="A70" s="11"/>
      <c r="B70" s="11"/>
      <c r="C70" s="11"/>
      <c r="D70" s="11"/>
      <c r="E70" s="11"/>
      <c r="F70" s="11"/>
      <c r="O70" s="11"/>
      <c r="P70" s="11"/>
      <c r="Q70" s="11"/>
      <c r="R70" s="11"/>
      <c r="S70" s="11"/>
      <c r="T70" s="11"/>
      <c r="U70" s="11"/>
      <c r="V70" s="11"/>
    </row>
    <row r="71" spans="1:22" ht="16.5">
      <c r="A71" s="11"/>
      <c r="B71" s="11"/>
      <c r="C71" s="11"/>
      <c r="D71" s="11"/>
      <c r="E71" s="11"/>
      <c r="F71" s="11"/>
      <c r="O71" s="11"/>
      <c r="P71" s="11"/>
      <c r="Q71" s="11"/>
      <c r="R71" s="11"/>
      <c r="S71" s="11"/>
      <c r="T71" s="11"/>
      <c r="U71" s="11"/>
      <c r="V71" s="11"/>
    </row>
    <row r="72" spans="1:22" ht="16.5">
      <c r="A72" s="11"/>
      <c r="B72" s="11"/>
      <c r="C72" s="11"/>
      <c r="D72" s="11"/>
      <c r="E72" s="11"/>
      <c r="F72" s="11"/>
      <c r="O72" s="11"/>
      <c r="P72" s="11"/>
      <c r="Q72" s="11"/>
      <c r="R72" s="11"/>
      <c r="S72" s="11"/>
      <c r="T72" s="11"/>
      <c r="U72" s="11"/>
      <c r="V72" s="11"/>
    </row>
    <row r="73" spans="1:22" ht="16.5">
      <c r="A73" s="11"/>
      <c r="B73" s="11"/>
      <c r="C73" s="11"/>
      <c r="D73" s="11"/>
      <c r="E73" s="11"/>
      <c r="F73" s="11"/>
      <c r="O73" s="11"/>
      <c r="P73" s="11"/>
      <c r="Q73" s="11"/>
      <c r="R73" s="11"/>
      <c r="S73" s="11"/>
      <c r="T73" s="11"/>
      <c r="U73" s="11"/>
      <c r="V73" s="11"/>
    </row>
    <row r="74" spans="1:22" ht="16.5">
      <c r="A74" s="11"/>
      <c r="B74" s="11"/>
      <c r="C74" s="11"/>
      <c r="D74" s="11"/>
      <c r="E74" s="11"/>
      <c r="F74" s="11"/>
      <c r="O74" s="11"/>
      <c r="P74" s="11"/>
      <c r="Q74" s="11"/>
      <c r="R74" s="11"/>
      <c r="S74" s="11"/>
      <c r="T74" s="11"/>
      <c r="U74" s="11"/>
      <c r="V74" s="11"/>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N3"/>
    <mergeCell ref="O3:V3"/>
    <mergeCell ref="A5:A20"/>
    <mergeCell ref="B26:N26"/>
    <mergeCell ref="O26:V26"/>
  </mergeCells>
  <phoneticPr fontId="12"/>
  <pageMargins left="0.7" right="0.7" top="0.75" bottom="0.75" header="0.3" footer="0.3"/>
  <pageSetup paperSize="9" scale="21" orientation="landscape" r:id="rId1"/>
  <headerFooter>
    <oddHeader>&amp;C&amp;"-,Gras"&amp;14Données brutes et normalisées R1&amp;R&amp;"-,Gras"&amp;14Page : &amp;P/&amp;P</oddHeader>
    <oddFooter>&amp;C&amp;1#&amp;"Arial"&amp;10&amp;K000000Internal</oddFoot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94"/>
  <sheetViews>
    <sheetView showGridLines="0" topLeftCell="A7" zoomScale="70" zoomScaleNormal="70" workbookViewId="0">
      <selection activeCell="O7" sqref="O1:O1048576"/>
    </sheetView>
  </sheetViews>
  <sheetFormatPr defaultColWidth="11" defaultRowHeight="15"/>
  <cols>
    <col min="1" max="1" width="42.85546875" customWidth="1"/>
    <col min="2" max="2" width="14" bestFit="1" customWidth="1"/>
    <col min="3" max="14" width="22.7109375" bestFit="1" customWidth="1"/>
    <col min="15" max="15" width="8.42578125" customWidth="1"/>
    <col min="16" max="16" width="22.7109375" customWidth="1"/>
    <col min="19" max="23" width="29.140625" customWidth="1"/>
  </cols>
  <sheetData>
    <row r="1" spans="1:23" s="1" customFormat="1" ht="21.75" thickBot="1">
      <c r="A1" s="21" t="s">
        <v>7</v>
      </c>
      <c r="B1" s="37" t="e">
        <f>'Front page'!#REF!</f>
        <v>#REF!</v>
      </c>
      <c r="C1" s="22"/>
      <c r="D1" s="22"/>
      <c r="E1" s="22"/>
      <c r="F1" s="22"/>
      <c r="G1" s="22"/>
      <c r="H1" s="38"/>
      <c r="I1" s="37"/>
      <c r="J1" s="39"/>
      <c r="K1" s="39"/>
      <c r="L1" s="39"/>
      <c r="M1" s="39"/>
      <c r="N1" s="39"/>
      <c r="O1" s="39"/>
      <c r="P1" s="39"/>
      <c r="Q1" s="39"/>
      <c r="R1" s="39"/>
      <c r="S1" s="39"/>
      <c r="T1" s="39"/>
      <c r="U1" s="39"/>
      <c r="V1" s="39"/>
      <c r="W1" s="39"/>
    </row>
    <row r="2" spans="1:23" ht="15.75" thickBot="1">
      <c r="A2" s="1"/>
      <c r="B2" s="1"/>
      <c r="C2" s="1"/>
      <c r="D2" s="1"/>
      <c r="E2" s="1"/>
      <c r="F2" s="1"/>
      <c r="G2" s="1"/>
      <c r="H2" s="1"/>
      <c r="I2" s="1"/>
      <c r="J2" s="1"/>
      <c r="K2" s="1"/>
      <c r="L2" s="1"/>
      <c r="M2" s="1"/>
      <c r="N2" s="1"/>
    </row>
    <row r="3" spans="1:23" s="17" customFormat="1" ht="15.75" thickBot="1">
      <c r="B3" s="146" t="s">
        <v>6</v>
      </c>
      <c r="C3" s="147"/>
      <c r="D3" s="147"/>
      <c r="E3" s="147"/>
      <c r="F3" s="147"/>
      <c r="G3" s="147"/>
      <c r="H3" s="147"/>
      <c r="I3" s="147"/>
      <c r="J3" s="147"/>
      <c r="K3" s="147"/>
      <c r="L3" s="147"/>
      <c r="M3" s="147"/>
      <c r="N3" s="147"/>
      <c r="O3" s="53"/>
      <c r="P3" s="146" t="s">
        <v>3</v>
      </c>
      <c r="Q3" s="147"/>
      <c r="R3" s="147"/>
      <c r="S3" s="147"/>
      <c r="T3" s="147"/>
      <c r="U3" s="147"/>
      <c r="V3" s="147"/>
      <c r="W3" s="147"/>
    </row>
    <row r="4" spans="1:23">
      <c r="A4" s="18" t="s">
        <v>22</v>
      </c>
      <c r="B4" s="19" t="str">
        <f>'R1'!B4</f>
        <v>Solvent control</v>
      </c>
      <c r="C4" s="19" t="str">
        <f>'R1'!C4</f>
        <v>EE2-33.8ng/L</v>
      </c>
      <c r="D4" s="19" t="str">
        <f>'R1'!D4</f>
        <v>EE2-50.6ng/L</v>
      </c>
      <c r="E4" s="19" t="str">
        <f>'R1'!E4</f>
        <v>EE2-76ng/L</v>
      </c>
      <c r="F4" s="19" t="str">
        <f>'R1'!F4</f>
        <v>EE2-114ng/L</v>
      </c>
      <c r="G4" s="19" t="str">
        <f>'R1'!G4</f>
        <v>EE2-170.9ng/L</v>
      </c>
      <c r="H4" s="19" t="str">
        <f>'R1'!H4</f>
        <v>EE2-488ng/L</v>
      </c>
      <c r="I4" s="19" t="str">
        <f>'R1'!I4</f>
        <v>Dutasteride-1mg/L</v>
      </c>
      <c r="J4" s="19" t="str">
        <f>'R1'!J4</f>
        <v>Dutasteride-0.5mg/L</v>
      </c>
      <c r="K4" s="19" t="str">
        <f>'R1'!K4</f>
        <v>Dutasteride-0.25mg/L</v>
      </c>
      <c r="L4" s="19" t="str">
        <f>'R1'!L4</f>
        <v>Dutasteride-0.1mg/L</v>
      </c>
      <c r="M4" s="19" t="str">
        <f>'R1'!M4</f>
        <v>Dutasteride-0.01mg/L</v>
      </c>
      <c r="N4" s="19" t="str">
        <f>'R1'!N4</f>
        <v/>
      </c>
      <c r="P4" s="19" t="str">
        <f>'R1'!O4</f>
        <v>Testo -30µg/L</v>
      </c>
      <c r="Q4" s="19" t="str">
        <f>'R1'!P4</f>
        <v>Testo 30µg/L + EE2 -64ng/L</v>
      </c>
      <c r="R4" s="19" t="str">
        <f>'R1'!Q4</f>
        <v>Testo 30µg/L + FAD-10mg/L</v>
      </c>
      <c r="S4" s="19" t="str">
        <f>'R1'!R4</f>
        <v>Dutasteride-1mg/L + Testostérone</v>
      </c>
      <c r="T4" s="19" t="str">
        <f>'R1'!S4</f>
        <v>Dutasteride-0.5mg/L + Testostérone</v>
      </c>
      <c r="U4" s="19" t="str">
        <f>'R1'!T4</f>
        <v>Dutasteride-0.25mg/L + Testostérone</v>
      </c>
      <c r="V4" s="19" t="str">
        <f>'R1'!U4</f>
        <v>Dutasteride-0.1mg/L + Testostérone</v>
      </c>
      <c r="W4" s="19" t="str">
        <f>'R1'!V4</f>
        <v>Dutasteride-0.01mg/L + Testostérone</v>
      </c>
    </row>
    <row r="5" spans="1:23" s="1" customFormat="1">
      <c r="A5" s="18"/>
      <c r="B5" s="19"/>
      <c r="C5" s="111"/>
      <c r="D5" s="19"/>
      <c r="E5" s="19"/>
      <c r="F5" s="19"/>
      <c r="G5" s="19"/>
      <c r="H5" s="19"/>
      <c r="I5" s="19"/>
      <c r="J5" s="19"/>
      <c r="K5" s="19"/>
      <c r="L5" s="19"/>
      <c r="M5" s="19"/>
      <c r="N5" s="19"/>
      <c r="P5" s="19"/>
      <c r="Q5" s="19"/>
      <c r="R5" s="19"/>
      <c r="S5" s="19"/>
      <c r="T5" s="19"/>
      <c r="U5" s="19"/>
      <c r="V5" s="19"/>
      <c r="W5" s="19"/>
    </row>
    <row r="6" spans="1:23" s="1" customFormat="1">
      <c r="A6" s="52" t="s">
        <v>4</v>
      </c>
      <c r="B6" s="35">
        <f>'R1'!B28</f>
        <v>0.16500081437186165</v>
      </c>
      <c r="C6" s="35">
        <f>'R1'!C28</f>
        <v>0.36740681321894841</v>
      </c>
      <c r="D6" s="35">
        <f>'R1'!D28</f>
        <v>0.33914697521967241</v>
      </c>
      <c r="E6" s="35">
        <f>'R1'!E28</f>
        <v>1.7905862703028828</v>
      </c>
      <c r="F6" s="35">
        <f>'R1'!F28</f>
        <v>0.92480480825683486</v>
      </c>
      <c r="G6" s="35">
        <f>'R1'!G28</f>
        <v>2.2976218285872014</v>
      </c>
      <c r="H6" s="35">
        <f>'R1'!H28</f>
        <v>2.6173496218499332</v>
      </c>
      <c r="I6" s="35">
        <f>'R1'!I28</f>
        <v>0.21071204860160192</v>
      </c>
      <c r="J6" s="35">
        <f>'R1'!J28</f>
        <v>0.11425204229135173</v>
      </c>
      <c r="K6" s="35">
        <f>'R1'!K28</f>
        <v>0.16048877564859945</v>
      </c>
      <c r="L6" s="35">
        <f>'R1'!L28</f>
        <v>6.1518069037451873E-3</v>
      </c>
      <c r="M6" s="35">
        <f>'R1'!M28</f>
        <v>0.11382352643243569</v>
      </c>
      <c r="N6" s="35" t="str">
        <f>'R1'!N28</f>
        <v/>
      </c>
      <c r="O6"/>
      <c r="P6" s="35">
        <f>'R1'!O28</f>
        <v>1.176056182679112</v>
      </c>
      <c r="Q6" s="35">
        <f>'R1'!P28</f>
        <v>1.5861987451014796</v>
      </c>
      <c r="R6" s="35">
        <f>'R1'!Q28</f>
        <v>0.13245134409064008</v>
      </c>
      <c r="S6" s="35">
        <f>'R1'!R28</f>
        <v>2.1103661501316124</v>
      </c>
      <c r="T6" s="35">
        <f>'R1'!S28</f>
        <v>0.83070882903402754</v>
      </c>
      <c r="U6" s="35">
        <f>'R1'!T28</f>
        <v>0.58608427182442824</v>
      </c>
      <c r="V6" s="35">
        <f>'R1'!U28</f>
        <v>1.9243111788645966</v>
      </c>
      <c r="W6" s="35">
        <f>'R1'!V28</f>
        <v>1.2745127341694573</v>
      </c>
    </row>
    <row r="7" spans="1:23" s="1" customFormat="1">
      <c r="A7" s="142" t="s">
        <v>17</v>
      </c>
      <c r="B7" s="35">
        <f>'R1'!B29</f>
        <v>0.13649763944002447</v>
      </c>
      <c r="C7" s="35">
        <f>'R1'!C29</f>
        <v>0.48855409429008423</v>
      </c>
      <c r="D7" s="35">
        <f>'R1'!D29</f>
        <v>0.6693788393670862</v>
      </c>
      <c r="E7" s="35">
        <f>'R1'!E29</f>
        <v>0.2072652280854215</v>
      </c>
      <c r="F7" s="35">
        <f>'R1'!F29</f>
        <v>1.3569911723283183</v>
      </c>
      <c r="G7" s="35">
        <f>'R1'!G29</f>
        <v>2.4051502301720262</v>
      </c>
      <c r="H7" s="35">
        <f>'R1'!H29</f>
        <v>3.0989233174225741</v>
      </c>
      <c r="I7" s="35">
        <f>'R1'!I29</f>
        <v>0.34737697219684083</v>
      </c>
      <c r="J7" s="35">
        <f>'R1'!J29</f>
        <v>0</v>
      </c>
      <c r="K7" s="35">
        <f>'R1'!K29</f>
        <v>0.23281816240022479</v>
      </c>
      <c r="L7" s="35">
        <f>'R1'!L29</f>
        <v>1.4297602591708225E-2</v>
      </c>
      <c r="M7" s="35">
        <f>'R1'!M29</f>
        <v>0.24605773664825589</v>
      </c>
      <c r="N7" s="35" t="str">
        <f>'R1'!N29</f>
        <v/>
      </c>
      <c r="O7"/>
      <c r="P7" s="35">
        <f>'R1'!O29</f>
        <v>0.64971424340593398</v>
      </c>
      <c r="Q7" s="35">
        <f>'R1'!P29</f>
        <v>1.3768165016802498</v>
      </c>
      <c r="R7" s="35">
        <f>'R1'!Q29</f>
        <v>5.0378574002542531E-3</v>
      </c>
      <c r="S7" s="35">
        <f>'R1'!R29</f>
        <v>1.597886267502564</v>
      </c>
      <c r="T7" s="35">
        <f>'R1'!S29</f>
        <v>1.7577191678339188</v>
      </c>
      <c r="U7" s="35">
        <f>'R1'!T29</f>
        <v>1.6473913529888151</v>
      </c>
      <c r="V7" s="35">
        <f>'R1'!U29</f>
        <v>1.0073883781961459</v>
      </c>
      <c r="W7" s="35">
        <f>'R1'!V29</f>
        <v>0.66121946282602562</v>
      </c>
    </row>
    <row r="8" spans="1:23" s="1" customFormat="1">
      <c r="A8" s="151"/>
      <c r="B8" s="35">
        <f>'R1'!B30</f>
        <v>8.841614690789059E-3</v>
      </c>
      <c r="C8" s="35">
        <f>'R1'!C30</f>
        <v>0.48772821864700555</v>
      </c>
      <c r="D8" s="35">
        <f>'R1'!D30</f>
        <v>0.22762548327465748</v>
      </c>
      <c r="E8" s="35">
        <f>'R1'!E30</f>
        <v>1.1063864062882312</v>
      </c>
      <c r="F8" s="35">
        <f>'R1'!F30</f>
        <v>1.7964995335163365</v>
      </c>
      <c r="G8" s="35">
        <f>'R1'!G30</f>
        <v>1.5647614483742298</v>
      </c>
      <c r="H8" s="35">
        <f>'R1'!H30</f>
        <v>1.1343527380858558</v>
      </c>
      <c r="I8" s="35">
        <f>'R1'!I30</f>
        <v>0.31627490130634278</v>
      </c>
      <c r="J8" s="35">
        <f>'R1'!J30</f>
        <v>3.1315849495729077E-4</v>
      </c>
      <c r="K8" s="35">
        <f>'R1'!K30</f>
        <v>6.7544292993729493E-2</v>
      </c>
      <c r="L8" s="35">
        <f>'R1'!L30</f>
        <v>1.6122709473288397E-2</v>
      </c>
      <c r="M8" s="35">
        <f>'R1'!M30</f>
        <v>0.30398151308236121</v>
      </c>
      <c r="N8" s="35" t="str">
        <f>'R1'!N30</f>
        <v/>
      </c>
      <c r="O8"/>
      <c r="P8" s="35">
        <f>'R1'!O30</f>
        <v>0.87941743742978762</v>
      </c>
      <c r="Q8" s="35">
        <f>'R1'!P30</f>
        <v>1.0769779476663797</v>
      </c>
      <c r="R8" s="35">
        <f>'R1'!Q30</f>
        <v>0.12885657216306656</v>
      </c>
      <c r="S8" s="35">
        <f>'R1'!R30</f>
        <v>2.724685814419741</v>
      </c>
      <c r="T8" s="35">
        <f>'R1'!S30</f>
        <v>1.9250942348767321</v>
      </c>
      <c r="U8" s="35">
        <f>'R1'!T30</f>
        <v>0.68321629070089807</v>
      </c>
      <c r="V8" s="35">
        <f>'R1'!U30</f>
        <v>2.3533186646627788</v>
      </c>
      <c r="W8" s="35">
        <f>'R1'!V30</f>
        <v>1.1475678667983111</v>
      </c>
    </row>
    <row r="9" spans="1:23" s="1" customFormat="1">
      <c r="A9" s="151"/>
      <c r="B9" s="35">
        <f>'R1'!B31</f>
        <v>2.4545235014958592E-2</v>
      </c>
      <c r="C9" s="35">
        <f>'R1'!C31</f>
        <v>3.7948099049645988E-2</v>
      </c>
      <c r="D9" s="35">
        <f>'R1'!D31</f>
        <v>0.60141465835052621</v>
      </c>
      <c r="E9" s="35">
        <f>'R1'!E31</f>
        <v>0.76401357902101397</v>
      </c>
      <c r="F9" s="35">
        <f>'R1'!F31</f>
        <v>1.0574581076217739</v>
      </c>
      <c r="G9" s="35">
        <f>'R1'!G31</f>
        <v>2.6105424189531701</v>
      </c>
      <c r="H9" s="35">
        <f>'R1'!H31</f>
        <v>3.6893454735011302</v>
      </c>
      <c r="I9" s="35">
        <f>'R1'!I31</f>
        <v>4.6409290078958866E-2</v>
      </c>
      <c r="J9" s="35">
        <f>'R1'!J31</f>
        <v>4.8633194717382609E-2</v>
      </c>
      <c r="K9" s="35">
        <f>'R1'!K31</f>
        <v>6.0394852598906078E-4</v>
      </c>
      <c r="L9" s="35">
        <f>'R1'!L31</f>
        <v>0.12635386059928544</v>
      </c>
      <c r="M9" s="35">
        <f>'R1'!M31</f>
        <v>0.15516619965752176</v>
      </c>
      <c r="N9" s="35" t="str">
        <f>'R1'!N31</f>
        <v/>
      </c>
      <c r="O9"/>
      <c r="P9" s="35">
        <f>'R1'!O31</f>
        <v>1.7863832359312775</v>
      </c>
      <c r="Q9" s="35">
        <f>'R1'!P31</f>
        <v>0.87560441320419802</v>
      </c>
      <c r="R9" s="35">
        <f>'R1'!Q31</f>
        <v>0</v>
      </c>
      <c r="S9" s="35">
        <f>'R1'!R31</f>
        <v>1.4124242203043169</v>
      </c>
      <c r="T9" s="35">
        <f>'R1'!S31</f>
        <v>1.1776842873034052</v>
      </c>
      <c r="U9" s="35">
        <f>'R1'!T31</f>
        <v>1.0560170992207434</v>
      </c>
      <c r="V9" s="35">
        <f>'R1'!U31</f>
        <v>0.81640179973252214</v>
      </c>
      <c r="W9" s="35">
        <f>'R1'!V31</f>
        <v>1.094832775121215</v>
      </c>
    </row>
    <row r="10" spans="1:23" s="1" customFormat="1">
      <c r="A10" s="151"/>
      <c r="B10" s="35">
        <f>'R1'!B32</f>
        <v>3.7644527039228204E-3</v>
      </c>
      <c r="C10" s="35">
        <f>'R1'!C32</f>
        <v>0.22866481797348256</v>
      </c>
      <c r="D10" s="35">
        <f>'R1'!D32</f>
        <v>0.54811811822889955</v>
      </c>
      <c r="E10" s="35">
        <f>'R1'!E32</f>
        <v>0.73840264647474663</v>
      </c>
      <c r="F10" s="35">
        <f>'R1'!F32</f>
        <v>1.8300632538618382</v>
      </c>
      <c r="G10" s="35">
        <f>'R1'!G32</f>
        <v>1.8860575905076249</v>
      </c>
      <c r="H10" s="35">
        <f>'R1'!H32</f>
        <v>4.0813544015433045</v>
      </c>
      <c r="I10" s="35">
        <f>'R1'!I32</f>
        <v>0.1621555457605354</v>
      </c>
      <c r="J10" s="35">
        <f>'R1'!J32</f>
        <v>0.39091479060673212</v>
      </c>
      <c r="K10" s="35">
        <f>'R1'!K32</f>
        <v>6.916185248502929E-2</v>
      </c>
      <c r="L10" s="35">
        <f>'R1'!L32</f>
        <v>8.3860170130488992E-2</v>
      </c>
      <c r="M10" s="35">
        <f>'R1'!M32</f>
        <v>0.30171734520887156</v>
      </c>
      <c r="N10" s="35" t="str">
        <f>'R1'!N32</f>
        <v/>
      </c>
      <c r="O10"/>
      <c r="P10" s="35">
        <f>'R1'!O32</f>
        <v>0.7077199842828521</v>
      </c>
      <c r="Q10" s="35">
        <f>'R1'!P32</f>
        <v>1.6160932384894842</v>
      </c>
      <c r="R10" s="35">
        <f>'R1'!Q32</f>
        <v>0</v>
      </c>
      <c r="S10" s="35">
        <f>'R1'!R32</f>
        <v>0.82869279133536888</v>
      </c>
      <c r="T10" s="35">
        <f>'R1'!S32</f>
        <v>1.8815680800230306</v>
      </c>
      <c r="U10" s="35">
        <f>'R1'!T32</f>
        <v>0.9484132839575411</v>
      </c>
      <c r="V10" s="35">
        <f>'R1'!U32</f>
        <v>2.0981077525762002</v>
      </c>
      <c r="W10" s="35">
        <f>'R1'!V32</f>
        <v>1.8389216449005714</v>
      </c>
    </row>
    <row r="11" spans="1:23" s="1" customFormat="1">
      <c r="A11" s="151"/>
      <c r="B11" s="35">
        <f>'R1'!B33</f>
        <v>9.5457899126386858E-2</v>
      </c>
      <c r="C11" s="35">
        <f>'R1'!C33</f>
        <v>0.31453910850572236</v>
      </c>
      <c r="D11" s="35">
        <f>'R1'!D33</f>
        <v>0.73500727342559491</v>
      </c>
      <c r="E11" s="35">
        <f>'R1'!E33</f>
        <v>1.0666114428348394</v>
      </c>
      <c r="F11" s="35">
        <f>'R1'!F33</f>
        <v>1.1910831569695346</v>
      </c>
      <c r="G11" s="35">
        <f>'R1'!G33</f>
        <v>3.160243904878512</v>
      </c>
      <c r="H11" s="35">
        <f>'R1'!H33</f>
        <v>3.4781304540106888</v>
      </c>
      <c r="I11" s="35">
        <f>'R1'!I33</f>
        <v>5.114357546879534E-2</v>
      </c>
      <c r="J11" s="35">
        <f>'R1'!J33</f>
        <v>1.1275143791143395E-2</v>
      </c>
      <c r="K11" s="35">
        <f>'R1'!K33</f>
        <v>0.18390552165851551</v>
      </c>
      <c r="L11" s="35">
        <f>'R1'!L33</f>
        <v>0.5114236118075367</v>
      </c>
      <c r="M11" s="35">
        <f>'R1'!M33</f>
        <v>1.6560012943032328E-2</v>
      </c>
      <c r="N11" s="35" t="str">
        <f>'R1'!N33</f>
        <v/>
      </c>
      <c r="O11"/>
      <c r="P11" s="35">
        <f>'R1'!O33</f>
        <v>1.4340393463197747</v>
      </c>
      <c r="Q11" s="35">
        <f>'R1'!P33</f>
        <v>1.1816241726744012</v>
      </c>
      <c r="R11" s="35">
        <f>'R1'!Q33</f>
        <v>1.7333802020113021E-2</v>
      </c>
      <c r="S11" s="35">
        <f>'R1'!R33</f>
        <v>1.1900847246047448</v>
      </c>
      <c r="T11" s="35">
        <f>'R1'!S33</f>
        <v>1.6566012484606636</v>
      </c>
      <c r="U11" s="35">
        <f>'R1'!T33</f>
        <v>1.7880180510947483</v>
      </c>
      <c r="V11" s="35">
        <f>'R1'!U33</f>
        <v>1.2739992181476243</v>
      </c>
      <c r="W11" s="35">
        <f>'R1'!V33</f>
        <v>0.75634934440641888</v>
      </c>
    </row>
    <row r="12" spans="1:23" s="1" customFormat="1">
      <c r="A12" s="151"/>
      <c r="B12" s="35">
        <f>'R1'!B34</f>
        <v>5.9579202539336198E-2</v>
      </c>
      <c r="C12" s="35">
        <f>'R1'!C34</f>
        <v>0.14024435714754921</v>
      </c>
      <c r="D12" s="35">
        <f>'R1'!D34</f>
        <v>0.64143295873647921</v>
      </c>
      <c r="E12" s="35">
        <f>'R1'!E34</f>
        <v>1.2172675210660069</v>
      </c>
      <c r="F12" s="35">
        <f>'R1'!F34</f>
        <v>1.5013724171041503</v>
      </c>
      <c r="G12" s="35">
        <f>'R1'!G34</f>
        <v>2.623614868820729</v>
      </c>
      <c r="H12" s="35">
        <f>'R1'!H34</f>
        <v>2.9933141300425588</v>
      </c>
      <c r="I12" s="35">
        <f>'R1'!I34</f>
        <v>4.5399993031690908E-3</v>
      </c>
      <c r="J12" s="35">
        <f>'R1'!J34</f>
        <v>6.4811026476773179E-3</v>
      </c>
      <c r="K12" s="35">
        <f>'R1'!K34</f>
        <v>0.13602662349964992</v>
      </c>
      <c r="L12" s="35">
        <f>'R1'!L34</f>
        <v>5.7249686796235537E-2</v>
      </c>
      <c r="M12" s="35">
        <f>'R1'!M34</f>
        <v>0.22969919965529559</v>
      </c>
      <c r="N12" s="35" t="str">
        <f>'R1'!N34</f>
        <v/>
      </c>
      <c r="O12"/>
      <c r="P12" s="35">
        <f>'R1'!O34</f>
        <v>0.62404051938593286</v>
      </c>
      <c r="Q12" s="35">
        <f>'R1'!P34</f>
        <v>2.2701560710572815</v>
      </c>
      <c r="R12" s="35">
        <f>'R1'!Q34</f>
        <v>7.1176771760491739E-2</v>
      </c>
      <c r="S12" s="35">
        <f>'R1'!R34</f>
        <v>1.2508969088306041</v>
      </c>
      <c r="T12" s="35">
        <f>'R1'!S34</f>
        <v>1.0558530105603756</v>
      </c>
      <c r="U12" s="35">
        <f>'R1'!T34</f>
        <v>1.9513292475665216</v>
      </c>
      <c r="V12" s="35">
        <f>'R1'!U34</f>
        <v>1.80271924468557</v>
      </c>
      <c r="W12" s="35">
        <f>'R1'!V34</f>
        <v>0.99144381756055011</v>
      </c>
    </row>
    <row r="13" spans="1:23" s="1" customFormat="1">
      <c r="A13" s="151"/>
      <c r="B13" s="35">
        <f>'R1'!B35</f>
        <v>2.7938530992460093E-2</v>
      </c>
      <c r="C13" s="35" t="str">
        <f>'R1'!C35</f>
        <v/>
      </c>
      <c r="D13" s="35">
        <f>'R1'!D35</f>
        <v>0.42416742952892666</v>
      </c>
      <c r="E13" s="35">
        <f>'R1'!E35</f>
        <v>0.66424687464360244</v>
      </c>
      <c r="F13" s="35">
        <f>'R1'!F35</f>
        <v>1.427178139560106</v>
      </c>
      <c r="G13" s="35">
        <f>'R1'!G35</f>
        <v>2.566855850258174</v>
      </c>
      <c r="H13" s="35">
        <f>'R1'!H35</f>
        <v>3.4395561977458704</v>
      </c>
      <c r="I13" s="35">
        <f>'R1'!I35</f>
        <v>0.20537669063113825</v>
      </c>
      <c r="J13" s="35">
        <f>'R1'!J35</f>
        <v>5.4044765239935386E-2</v>
      </c>
      <c r="K13" s="35">
        <f>'R1'!K35</f>
        <v>0</v>
      </c>
      <c r="L13" s="35">
        <f>'R1'!L35</f>
        <v>9.8205545370152435E-3</v>
      </c>
      <c r="M13" s="35">
        <f>'R1'!M35</f>
        <v>0</v>
      </c>
      <c r="N13" s="35" t="str">
        <f>'R1'!N35</f>
        <v/>
      </c>
      <c r="O13"/>
      <c r="P13" s="35">
        <f>'R1'!O35</f>
        <v>0.85322636279413777</v>
      </c>
      <c r="Q13" s="35">
        <f>'R1'!P35</f>
        <v>0.84226693389382878</v>
      </c>
      <c r="R13" s="35">
        <f>'R1'!Q35</f>
        <v>1.8206811212177629E-2</v>
      </c>
      <c r="S13" s="35">
        <f>'R1'!R35</f>
        <v>2.3191933360980044</v>
      </c>
      <c r="T13" s="35">
        <f>'R1'!S35</f>
        <v>2.1526105920023815</v>
      </c>
      <c r="U13" s="35">
        <f>'R1'!T35</f>
        <v>1.3169509828026669</v>
      </c>
      <c r="V13" s="35">
        <f>'R1'!U35</f>
        <v>0.4542200999118331</v>
      </c>
      <c r="W13" s="35">
        <f>'R1'!V35</f>
        <v>0.79938403215272835</v>
      </c>
    </row>
    <row r="14" spans="1:23" s="1" customFormat="1">
      <c r="A14" s="151"/>
      <c r="B14" s="35" t="str">
        <f>'R1'!B36</f>
        <v/>
      </c>
      <c r="C14" s="35" t="str">
        <f>'R1'!C36</f>
        <v/>
      </c>
      <c r="D14" s="35" t="str">
        <f>'R1'!D36</f>
        <v/>
      </c>
      <c r="E14" s="35" t="str">
        <f>'R1'!E36</f>
        <v/>
      </c>
      <c r="F14" s="35" t="str">
        <f>'R1'!F36</f>
        <v/>
      </c>
      <c r="G14" s="35" t="str">
        <f>'R1'!G36</f>
        <v/>
      </c>
      <c r="H14" s="35" t="str">
        <f>'R1'!H36</f>
        <v/>
      </c>
      <c r="I14" s="35" t="str">
        <f>'R1'!I36</f>
        <v/>
      </c>
      <c r="J14" s="35" t="str">
        <f>'R1'!J36</f>
        <v/>
      </c>
      <c r="K14" s="35" t="str">
        <f>'R1'!K36</f>
        <v/>
      </c>
      <c r="L14" s="35" t="str">
        <f>'R1'!L36</f>
        <v/>
      </c>
      <c r="M14" s="35" t="str">
        <f>'R1'!M36</f>
        <v/>
      </c>
      <c r="N14" s="35" t="str">
        <f>'R1'!N36</f>
        <v/>
      </c>
      <c r="O14"/>
      <c r="P14" s="35">
        <f>'R1'!O36</f>
        <v>0.788283841704431</v>
      </c>
      <c r="Q14" s="35" t="str">
        <f>'R1'!P36</f>
        <v/>
      </c>
      <c r="R14" s="35" t="str">
        <f>'R1'!Q36</f>
        <v/>
      </c>
      <c r="S14" s="35" t="str">
        <f>'R1'!R36</f>
        <v/>
      </c>
      <c r="T14" s="35" t="str">
        <f>'R1'!S36</f>
        <v/>
      </c>
      <c r="U14" s="35" t="str">
        <f>'R1'!T36</f>
        <v/>
      </c>
      <c r="V14" s="35" t="str">
        <f>'R1'!U36</f>
        <v/>
      </c>
      <c r="W14" s="35" t="str">
        <f>'R1'!V36</f>
        <v/>
      </c>
    </row>
    <row r="15" spans="1:23" s="1" customFormat="1">
      <c r="A15" s="151"/>
      <c r="B15" s="35" t="str">
        <f>'R1'!B37</f>
        <v/>
      </c>
      <c r="C15" s="35" t="str">
        <f>'R1'!C37</f>
        <v/>
      </c>
      <c r="D15" s="35" t="str">
        <f>'R1'!D37</f>
        <v/>
      </c>
      <c r="E15" s="35" t="str">
        <f>'R1'!E37</f>
        <v/>
      </c>
      <c r="F15" s="35" t="str">
        <f>'R1'!F37</f>
        <v/>
      </c>
      <c r="G15" s="35" t="str">
        <f>'R1'!G37</f>
        <v/>
      </c>
      <c r="H15" s="35" t="str">
        <f>'R1'!H37</f>
        <v/>
      </c>
      <c r="I15" s="35" t="str">
        <f>'R1'!I37</f>
        <v/>
      </c>
      <c r="J15" s="35" t="str">
        <f>'R1'!J37</f>
        <v/>
      </c>
      <c r="K15" s="35" t="str">
        <f>'R1'!K37</f>
        <v/>
      </c>
      <c r="L15" s="35" t="str">
        <f>'R1'!L37</f>
        <v/>
      </c>
      <c r="M15" s="35" t="str">
        <f>'R1'!M37</f>
        <v/>
      </c>
      <c r="N15" s="35" t="str">
        <f>'R1'!N37</f>
        <v/>
      </c>
      <c r="O15"/>
      <c r="P15" s="35">
        <f>'R1'!O37</f>
        <v>1.314522566494067</v>
      </c>
      <c r="Q15" s="35" t="str">
        <f>'R1'!P37</f>
        <v/>
      </c>
      <c r="R15" s="35" t="str">
        <f>'R1'!Q37</f>
        <v/>
      </c>
      <c r="S15" s="35" t="str">
        <f>'R1'!R37</f>
        <v/>
      </c>
      <c r="T15" s="35" t="str">
        <f>'R1'!S37</f>
        <v/>
      </c>
      <c r="U15" s="35" t="str">
        <f>'R1'!T37</f>
        <v/>
      </c>
      <c r="V15" s="35" t="str">
        <f>'R1'!U37</f>
        <v/>
      </c>
      <c r="W15" s="35" t="str">
        <f>'R1'!V37</f>
        <v/>
      </c>
    </row>
    <row r="16" spans="1:23" s="1" customFormat="1">
      <c r="A16" s="151"/>
      <c r="B16" s="35" t="str">
        <f>'R1'!B38</f>
        <v/>
      </c>
      <c r="C16" s="35" t="str">
        <f>'R1'!C38</f>
        <v/>
      </c>
      <c r="D16" s="35" t="str">
        <f>'R1'!D38</f>
        <v/>
      </c>
      <c r="E16" s="35" t="str">
        <f>'R1'!E38</f>
        <v/>
      </c>
      <c r="F16" s="35" t="str">
        <f>'R1'!F38</f>
        <v/>
      </c>
      <c r="G16" s="35" t="str">
        <f>'R1'!G38</f>
        <v/>
      </c>
      <c r="H16" s="35" t="str">
        <f>'R1'!H38</f>
        <v/>
      </c>
      <c r="I16" s="35" t="str">
        <f>'R1'!I38</f>
        <v/>
      </c>
      <c r="J16" s="35" t="str">
        <f>'R1'!J38</f>
        <v/>
      </c>
      <c r="K16" s="35" t="str">
        <f>'R1'!K38</f>
        <v/>
      </c>
      <c r="L16" s="35" t="str">
        <f>'R1'!L38</f>
        <v/>
      </c>
      <c r="M16" s="35" t="str">
        <f>'R1'!M38</f>
        <v/>
      </c>
      <c r="N16" s="35" t="str">
        <f>'R1'!N38</f>
        <v/>
      </c>
      <c r="O16"/>
      <c r="P16" s="35">
        <f>'R1'!O38</f>
        <v>1.0294681291622851</v>
      </c>
      <c r="Q16" s="35" t="str">
        <f>'R1'!P38</f>
        <v/>
      </c>
      <c r="R16" s="35" t="str">
        <f>'R1'!Q38</f>
        <v/>
      </c>
      <c r="S16" s="35" t="str">
        <f>'R1'!R38</f>
        <v/>
      </c>
      <c r="T16" s="35" t="str">
        <f>'R1'!S38</f>
        <v/>
      </c>
      <c r="U16" s="35" t="str">
        <f>'R1'!T38</f>
        <v/>
      </c>
      <c r="V16" s="35" t="str">
        <f>'R1'!U38</f>
        <v/>
      </c>
      <c r="W16" s="35" t="str">
        <f>'R1'!V38</f>
        <v/>
      </c>
    </row>
    <row r="17" spans="1:23" s="1" customFormat="1">
      <c r="A17" s="151"/>
      <c r="B17" s="35" t="str">
        <f>'R1'!B39</f>
        <v/>
      </c>
      <c r="C17" s="35" t="str">
        <f>'R1'!C39</f>
        <v/>
      </c>
      <c r="D17" s="35" t="str">
        <f>'R1'!D39</f>
        <v/>
      </c>
      <c r="E17" s="35" t="str">
        <f>'R1'!E39</f>
        <v/>
      </c>
      <c r="F17" s="35" t="str">
        <f>'R1'!F39</f>
        <v/>
      </c>
      <c r="G17" s="35" t="str">
        <f>'R1'!G39</f>
        <v/>
      </c>
      <c r="H17" s="35" t="str">
        <f>'R1'!H39</f>
        <v/>
      </c>
      <c r="I17" s="35" t="str">
        <f>'R1'!I39</f>
        <v/>
      </c>
      <c r="J17" s="35" t="str">
        <f>'R1'!J39</f>
        <v/>
      </c>
      <c r="K17" s="35" t="str">
        <f>'R1'!K39</f>
        <v/>
      </c>
      <c r="L17" s="35" t="str">
        <f>'R1'!L39</f>
        <v/>
      </c>
      <c r="M17" s="35" t="str">
        <f>'R1'!M39</f>
        <v/>
      </c>
      <c r="N17" s="35" t="str">
        <f>'R1'!N39</f>
        <v/>
      </c>
      <c r="O17"/>
      <c r="P17" s="35">
        <f>'R1'!O39</f>
        <v>0.42748659002598927</v>
      </c>
      <c r="Q17" s="35" t="str">
        <f>'R1'!P39</f>
        <v/>
      </c>
      <c r="R17" s="35" t="str">
        <f>'R1'!Q39</f>
        <v/>
      </c>
      <c r="S17" s="35" t="str">
        <f>'R1'!R39</f>
        <v/>
      </c>
      <c r="T17" s="35" t="str">
        <f>'R1'!S39</f>
        <v/>
      </c>
      <c r="U17" s="35" t="str">
        <f>'R1'!T39</f>
        <v/>
      </c>
      <c r="V17" s="35" t="str">
        <f>'R1'!U39</f>
        <v/>
      </c>
      <c r="W17" s="35" t="str">
        <f>'R1'!V39</f>
        <v/>
      </c>
    </row>
    <row r="18" spans="1:23" s="1" customFormat="1">
      <c r="A18" s="151"/>
      <c r="B18" s="35" t="str">
        <f>'R1'!B40</f>
        <v/>
      </c>
      <c r="C18" s="35" t="str">
        <f>'R1'!C40</f>
        <v/>
      </c>
      <c r="D18" s="35" t="str">
        <f>'R1'!D40</f>
        <v/>
      </c>
      <c r="E18" s="35" t="str">
        <f>'R1'!E40</f>
        <v/>
      </c>
      <c r="F18" s="35" t="str">
        <f>'R1'!F40</f>
        <v/>
      </c>
      <c r="G18" s="35" t="str">
        <f>'R1'!G40</f>
        <v/>
      </c>
      <c r="H18" s="35" t="str">
        <f>'R1'!H40</f>
        <v/>
      </c>
      <c r="I18" s="35" t="str">
        <f>'R1'!I40</f>
        <v/>
      </c>
      <c r="J18" s="35" t="str">
        <f>'R1'!J40</f>
        <v/>
      </c>
      <c r="K18" s="35" t="str">
        <f>'R1'!K40</f>
        <v/>
      </c>
      <c r="L18" s="35" t="str">
        <f>'R1'!L40</f>
        <v/>
      </c>
      <c r="M18" s="35" t="str">
        <f>'R1'!M40</f>
        <v/>
      </c>
      <c r="N18" s="35" t="str">
        <f>'R1'!N40</f>
        <v/>
      </c>
      <c r="O18"/>
      <c r="P18" s="35">
        <f>'R1'!O40</f>
        <v>0.91226440828121869</v>
      </c>
      <c r="Q18" s="35" t="str">
        <f>'R1'!P40</f>
        <v/>
      </c>
      <c r="R18" s="35" t="str">
        <f>'R1'!Q40</f>
        <v/>
      </c>
      <c r="S18" s="35" t="str">
        <f>'R1'!R40</f>
        <v/>
      </c>
      <c r="T18" s="35" t="str">
        <f>'R1'!S40</f>
        <v/>
      </c>
      <c r="U18" s="35" t="str">
        <f>'R1'!T40</f>
        <v/>
      </c>
      <c r="V18" s="35" t="str">
        <f>'R1'!U40</f>
        <v/>
      </c>
      <c r="W18" s="35" t="str">
        <f>'R1'!V40</f>
        <v/>
      </c>
    </row>
    <row r="19" spans="1:23" s="1" customFormat="1">
      <c r="A19" s="151"/>
      <c r="B19" s="35" t="str">
        <f>'R1'!B41</f>
        <v/>
      </c>
      <c r="C19" s="35" t="str">
        <f>'R1'!C41</f>
        <v/>
      </c>
      <c r="D19" s="35" t="str">
        <f>'R1'!D41</f>
        <v/>
      </c>
      <c r="E19" s="35" t="str">
        <f>'R1'!E41</f>
        <v/>
      </c>
      <c r="F19" s="35" t="str">
        <f>'R1'!F41</f>
        <v/>
      </c>
      <c r="G19" s="35" t="str">
        <f>'R1'!G41</f>
        <v/>
      </c>
      <c r="H19" s="35" t="str">
        <f>'R1'!H41</f>
        <v/>
      </c>
      <c r="I19" s="35" t="str">
        <f>'R1'!I41</f>
        <v/>
      </c>
      <c r="J19" s="35" t="str">
        <f>'R1'!J41</f>
        <v/>
      </c>
      <c r="K19" s="35" t="str">
        <f>'R1'!K41</f>
        <v/>
      </c>
      <c r="L19" s="35" t="str">
        <f>'R1'!L41</f>
        <v/>
      </c>
      <c r="M19" s="35" t="str">
        <f>'R1'!M41</f>
        <v/>
      </c>
      <c r="N19" s="35" t="str">
        <f>'R1'!N41</f>
        <v/>
      </c>
      <c r="O19"/>
      <c r="P19" s="35">
        <f>'R1'!O41</f>
        <v>1.1985138009108502</v>
      </c>
      <c r="Q19" s="35" t="str">
        <f>'R1'!P41</f>
        <v/>
      </c>
      <c r="R19" s="35" t="str">
        <f>'R1'!Q41</f>
        <v/>
      </c>
      <c r="S19" s="35" t="str">
        <f>'R1'!R41</f>
        <v/>
      </c>
      <c r="T19" s="35" t="str">
        <f>'R1'!S41</f>
        <v/>
      </c>
      <c r="U19" s="35" t="str">
        <f>'R1'!T41</f>
        <v/>
      </c>
      <c r="V19" s="35" t="str">
        <f>'R1'!U41</f>
        <v/>
      </c>
      <c r="W19" s="35" t="str">
        <f>'R1'!V41</f>
        <v/>
      </c>
    </row>
    <row r="20" spans="1:23" s="1" customFormat="1">
      <c r="A20" s="151"/>
      <c r="B20" s="35" t="str">
        <f>'R1'!B42</f>
        <v/>
      </c>
      <c r="C20" s="35" t="str">
        <f>'R1'!C42</f>
        <v/>
      </c>
      <c r="D20" s="35" t="str">
        <f>'R1'!D42</f>
        <v/>
      </c>
      <c r="E20" s="35" t="str">
        <f>'R1'!E42</f>
        <v/>
      </c>
      <c r="F20" s="35" t="str">
        <f>'R1'!F42</f>
        <v/>
      </c>
      <c r="G20" s="35" t="str">
        <f>'R1'!G42</f>
        <v/>
      </c>
      <c r="H20" s="35" t="str">
        <f>'R1'!H42</f>
        <v/>
      </c>
      <c r="I20" s="35" t="str">
        <f>'R1'!I42</f>
        <v/>
      </c>
      <c r="J20" s="35" t="str">
        <f>'R1'!J42</f>
        <v/>
      </c>
      <c r="K20" s="35" t="str">
        <f>'R1'!K42</f>
        <v/>
      </c>
      <c r="L20" s="35" t="str">
        <f>'R1'!L42</f>
        <v/>
      </c>
      <c r="M20" s="35" t="str">
        <f>'R1'!M42</f>
        <v/>
      </c>
      <c r="N20" s="35" t="str">
        <f>'R1'!N42</f>
        <v/>
      </c>
      <c r="O20"/>
      <c r="P20" s="35">
        <f>'R1'!O42</f>
        <v>1.2188633511923506</v>
      </c>
      <c r="Q20" s="35" t="str">
        <f>'R1'!P42</f>
        <v/>
      </c>
      <c r="R20" s="35" t="str">
        <f>'R1'!Q42</f>
        <v/>
      </c>
      <c r="S20" s="35" t="str">
        <f>'R1'!R42</f>
        <v/>
      </c>
      <c r="T20" s="35" t="str">
        <f>'R1'!S42</f>
        <v/>
      </c>
      <c r="U20" s="35" t="str">
        <f>'R1'!T42</f>
        <v/>
      </c>
      <c r="V20" s="35" t="str">
        <f>'R1'!U42</f>
        <v/>
      </c>
      <c r="W20" s="35" t="str">
        <f>'R1'!V42</f>
        <v/>
      </c>
    </row>
    <row r="21" spans="1:23" s="1" customFormat="1">
      <c r="A21" s="152"/>
      <c r="B21" s="35" t="str">
        <f>'R1'!B43</f>
        <v/>
      </c>
      <c r="C21" s="35" t="str">
        <f>'R1'!C43</f>
        <v/>
      </c>
      <c r="D21" s="35" t="str">
        <f>'R1'!D43</f>
        <v/>
      </c>
      <c r="E21" s="35" t="str">
        <f>'R1'!E43</f>
        <v/>
      </c>
      <c r="F21" s="35" t="str">
        <f>'R1'!F43</f>
        <v/>
      </c>
      <c r="G21" s="35" t="str">
        <f>'R1'!G43</f>
        <v/>
      </c>
      <c r="H21" s="35" t="str">
        <f>'R1'!H43</f>
        <v/>
      </c>
      <c r="I21" s="35" t="str">
        <f>'R1'!I43</f>
        <v/>
      </c>
      <c r="J21" s="35" t="str">
        <f>'R1'!J43</f>
        <v/>
      </c>
      <c r="K21" s="35" t="str">
        <f>'R1'!K43</f>
        <v/>
      </c>
      <c r="L21" s="35" t="str">
        <f>'R1'!L43</f>
        <v/>
      </c>
      <c r="M21" s="35" t="str">
        <f>'R1'!M43</f>
        <v/>
      </c>
      <c r="N21" s="35" t="str">
        <f>'R1'!N43</f>
        <v/>
      </c>
      <c r="O21"/>
      <c r="P21" s="35" t="str">
        <f>'R1'!O43</f>
        <v/>
      </c>
      <c r="Q21" s="35" t="str">
        <f>'R1'!P43</f>
        <v/>
      </c>
      <c r="R21" s="35" t="str">
        <f>'R1'!Q43</f>
        <v/>
      </c>
      <c r="S21" s="35" t="str">
        <f>'R1'!R43</f>
        <v/>
      </c>
      <c r="T21" s="35" t="str">
        <f>'R1'!S43</f>
        <v/>
      </c>
      <c r="U21" s="35" t="str">
        <f>'R1'!T43</f>
        <v/>
      </c>
      <c r="V21" s="35" t="str">
        <f>'R1'!U43</f>
        <v/>
      </c>
      <c r="W21" s="35" t="str">
        <f>'R1'!V43</f>
        <v/>
      </c>
    </row>
    <row r="22" spans="1:23">
      <c r="A22" s="23" t="s">
        <v>5</v>
      </c>
      <c r="B22" s="36">
        <f>'R2'!B28</f>
        <v>0.30937318090381744</v>
      </c>
      <c r="C22" s="36">
        <f>'R2'!C28</f>
        <v>0.35706309541132664</v>
      </c>
      <c r="D22" s="36">
        <f>'R2'!D28</f>
        <v>0.84282150925885146</v>
      </c>
      <c r="E22" s="36">
        <f>'R2'!E28</f>
        <v>0.78689595392060319</v>
      </c>
      <c r="F22" s="36">
        <f>'R2'!F28</f>
        <v>1.3312570606491496</v>
      </c>
      <c r="G22" s="36">
        <f>'R2'!G28</f>
        <v>1.8549625525668665</v>
      </c>
      <c r="H22" s="36">
        <f>'R2'!H28</f>
        <v>2.509427105250166</v>
      </c>
      <c r="I22" s="36">
        <f>'R2'!I28</f>
        <v>1.280569098869527E-2</v>
      </c>
      <c r="J22" s="36">
        <f>'R2'!J28</f>
        <v>7.8750082186040488E-2</v>
      </c>
      <c r="K22" s="36">
        <f>'R2'!K28</f>
        <v>0.4498092759788675</v>
      </c>
      <c r="L22" s="36">
        <f>'R2'!L28</f>
        <v>0.24328254696444782</v>
      </c>
      <c r="M22" s="36">
        <f>'R2'!M28</f>
        <v>0.28994620409570993</v>
      </c>
      <c r="N22" s="36" t="str">
        <f>'R2'!N28</f>
        <v/>
      </c>
      <c r="P22" s="36">
        <f>'R2'!O28</f>
        <v>1.7261148801759063</v>
      </c>
      <c r="Q22" s="36">
        <f>'R2'!P28</f>
        <v>1.9101587417709367</v>
      </c>
      <c r="R22" s="36">
        <f>'R2'!Q28</f>
        <v>0.37275754244899001</v>
      </c>
      <c r="S22" s="36">
        <f>'R2'!R28</f>
        <v>2.3551334799894113E-2</v>
      </c>
      <c r="T22" s="36">
        <f>'R2'!S28</f>
        <v>2.1184294403552122</v>
      </c>
      <c r="U22" s="36">
        <f>'R2'!T28</f>
        <v>0.83158838964090465</v>
      </c>
      <c r="V22" s="36">
        <f>'R2'!U28</f>
        <v>0.704108491933368</v>
      </c>
      <c r="W22" s="36">
        <f>'R2'!V28</f>
        <v>0.53673274989845887</v>
      </c>
    </row>
    <row r="23" spans="1:23">
      <c r="A23" s="142" t="s">
        <v>17</v>
      </c>
      <c r="B23" s="36">
        <f>'R2'!B29</f>
        <v>0.16860679609848098</v>
      </c>
      <c r="C23" s="36">
        <f>'R2'!C29</f>
        <v>0.23434823818444539</v>
      </c>
      <c r="D23" s="36">
        <f>'R2'!D29</f>
        <v>0.30896785116596165</v>
      </c>
      <c r="E23" s="36">
        <f>'R2'!E29</f>
        <v>0.7833386596223807</v>
      </c>
      <c r="F23" s="36">
        <f>'R2'!F29</f>
        <v>1.0862353762365458</v>
      </c>
      <c r="G23" s="36">
        <f>'R2'!G29</f>
        <v>1.220519469781945</v>
      </c>
      <c r="H23" s="36">
        <f>'R2'!H29</f>
        <v>1.3658739541409977</v>
      </c>
      <c r="I23" s="36">
        <f>'R2'!I29</f>
        <v>1.7922481504832131E-2</v>
      </c>
      <c r="J23" s="36">
        <f>'R2'!J29</f>
        <v>0.2384147528370639</v>
      </c>
      <c r="K23" s="36">
        <f>'R2'!K29</f>
        <v>0.24443685556573283</v>
      </c>
      <c r="L23" s="36">
        <f>'R2'!L29</f>
        <v>0.46223166601980781</v>
      </c>
      <c r="M23" s="36">
        <f>'R2'!M29</f>
        <v>0.77261845551071773</v>
      </c>
      <c r="N23" s="36" t="str">
        <f>'R2'!N29</f>
        <v/>
      </c>
      <c r="P23" s="36">
        <f>'R2'!O29</f>
        <v>1.4369909894964774</v>
      </c>
      <c r="Q23" s="36">
        <f>'R2'!P29</f>
        <v>0.91418611979081954</v>
      </c>
      <c r="R23" s="36">
        <f>'R2'!Q29</f>
        <v>0.15445237467070733</v>
      </c>
      <c r="S23" s="36">
        <f>'R2'!R29</f>
        <v>0.78109158091086661</v>
      </c>
      <c r="T23" s="36">
        <f>'R2'!S29</f>
        <v>2.0865802156273907</v>
      </c>
      <c r="U23" s="36">
        <f>'R2'!T29</f>
        <v>0.50050675988066295</v>
      </c>
      <c r="V23" s="36">
        <f>'R2'!U29</f>
        <v>0.88908736907726005</v>
      </c>
      <c r="W23" s="36">
        <f>'R2'!V29</f>
        <v>1.2849138868835486</v>
      </c>
    </row>
    <row r="24" spans="1:23">
      <c r="A24" s="151"/>
      <c r="B24" s="36">
        <f>'R2'!B30</f>
        <v>6.2336928106183319E-2</v>
      </c>
      <c r="C24" s="36">
        <f>'R2'!C30</f>
        <v>7.5210553041125104E-4</v>
      </c>
      <c r="D24" s="36">
        <f>'R2'!D30</f>
        <v>0</v>
      </c>
      <c r="E24" s="36">
        <f>'R2'!E30</f>
        <v>0.64339473035455175</v>
      </c>
      <c r="F24" s="36">
        <f>'R2'!F30</f>
        <v>0.86405470473400303</v>
      </c>
      <c r="G24" s="36">
        <f>'R2'!G30</f>
        <v>2.1487979040245766</v>
      </c>
      <c r="H24" s="36">
        <f>'R2'!H30</f>
        <v>3.138194292614068</v>
      </c>
      <c r="I24" s="36">
        <f>'R2'!I30</f>
        <v>0.34765324900759859</v>
      </c>
      <c r="J24" s="36">
        <f>'R2'!J30</f>
        <v>0.14711465574872457</v>
      </c>
      <c r="K24" s="36">
        <f>'R2'!K30</f>
        <v>0.43496371902683273</v>
      </c>
      <c r="L24" s="36">
        <f>'R2'!L30</f>
        <v>0.25184037661556524</v>
      </c>
      <c r="M24" s="36">
        <f>'R2'!M30</f>
        <v>0.41894807801737621</v>
      </c>
      <c r="N24" s="36" t="str">
        <f>'R2'!N30</f>
        <v/>
      </c>
      <c r="P24" s="36">
        <f>'R2'!O30</f>
        <v>0.40116572804183082</v>
      </c>
      <c r="Q24" s="36">
        <f>'R2'!P30</f>
        <v>1.4849833379738875</v>
      </c>
      <c r="R24" s="36">
        <f>'R2'!Q30</f>
        <v>6.3178285766809658E-2</v>
      </c>
      <c r="S24" s="36">
        <f>'R2'!R30</f>
        <v>0.88906676149942365</v>
      </c>
      <c r="T24" s="36">
        <f>'R2'!S30</f>
        <v>0.68732226963406073</v>
      </c>
      <c r="U24" s="36">
        <f>'R2'!T30</f>
        <v>0.62442666298667437</v>
      </c>
      <c r="V24" s="36">
        <f>'R2'!U30</f>
        <v>1.1861190269179913</v>
      </c>
      <c r="W24" s="36">
        <f>'R2'!V30</f>
        <v>0.50033379834806457</v>
      </c>
    </row>
    <row r="25" spans="1:23">
      <c r="A25" s="151"/>
      <c r="B25" s="36">
        <f>'R2'!B31</f>
        <v>3.5603214803460646E-2</v>
      </c>
      <c r="C25" s="36">
        <f>'R2'!C31</f>
        <v>2.2977591408686587E-2</v>
      </c>
      <c r="D25" s="36">
        <f>'R2'!D31</f>
        <v>0.11187029704206822</v>
      </c>
      <c r="E25" s="36">
        <f>'R2'!E31</f>
        <v>2.343212493635412</v>
      </c>
      <c r="F25" s="36">
        <f>'R2'!F31</f>
        <v>1.5227256193567547</v>
      </c>
      <c r="G25" s="36">
        <f>'R2'!G31</f>
        <v>2.5460864228874298</v>
      </c>
      <c r="H25" s="36">
        <f>'R2'!H31</f>
        <v>3.4401956455015532</v>
      </c>
      <c r="I25" s="36">
        <f>'R2'!I31</f>
        <v>0.43241818573975865</v>
      </c>
      <c r="J25" s="36">
        <f>'R2'!J31</f>
        <v>0.27647424879738353</v>
      </c>
      <c r="K25" s="36">
        <f>'R2'!K31</f>
        <v>7.9587886816005404E-5</v>
      </c>
      <c r="L25" s="36">
        <f>'R2'!L31</f>
        <v>4.3390463164727403E-2</v>
      </c>
      <c r="M25" s="36">
        <f>'R2'!M31</f>
        <v>0.5820884653826357</v>
      </c>
      <c r="N25" s="36" t="str">
        <f>'R2'!N31</f>
        <v/>
      </c>
      <c r="P25" s="36">
        <f>'R2'!O31</f>
        <v>0.85227498687910186</v>
      </c>
      <c r="Q25" s="36">
        <f>'R2'!P31</f>
        <v>1.7928329793300843</v>
      </c>
      <c r="R25" s="36">
        <f>'R2'!Q31</f>
        <v>1.7064353539483844E-2</v>
      </c>
      <c r="S25" s="36">
        <f>'R2'!R31</f>
        <v>0.95515995362086958</v>
      </c>
      <c r="T25" s="36">
        <f>'R2'!S31</f>
        <v>0.8261452887888221</v>
      </c>
      <c r="U25" s="36">
        <f>'R2'!T31</f>
        <v>0.74030094134171998</v>
      </c>
      <c r="V25" s="36">
        <f>'R2'!U31</f>
        <v>1.5705366211492053</v>
      </c>
      <c r="W25" s="36">
        <f>'R2'!V31</f>
        <v>0.32083611054494554</v>
      </c>
    </row>
    <row r="26" spans="1:23">
      <c r="A26" s="151"/>
      <c r="B26" s="36">
        <f>'R2'!B32</f>
        <v>4.5038927270403914E-2</v>
      </c>
      <c r="C26" s="36">
        <f>'R2'!C32</f>
        <v>0.29572243710260798</v>
      </c>
      <c r="D26" s="36">
        <f>'R2'!D32</f>
        <v>0.35531486220467717</v>
      </c>
      <c r="E26" s="36">
        <f>'R2'!E32</f>
        <v>0.55020214701470904</v>
      </c>
      <c r="F26" s="36">
        <f>'R2'!F32</f>
        <v>1.5370935068666669</v>
      </c>
      <c r="G26" s="36">
        <f>'R2'!G32</f>
        <v>2.9300016185831179</v>
      </c>
      <c r="H26" s="36">
        <f>'R2'!H32</f>
        <v>3.8422848772729026</v>
      </c>
      <c r="I26" s="36">
        <f>'R2'!I32</f>
        <v>2.8626625917905487E-2</v>
      </c>
      <c r="J26" s="36">
        <f>'R2'!J32</f>
        <v>0.29094147904458934</v>
      </c>
      <c r="K26" s="36">
        <f>'R2'!K32</f>
        <v>0.41898446105134923</v>
      </c>
      <c r="L26" s="36">
        <f>'R2'!L32</f>
        <v>0.18776217924282892</v>
      </c>
      <c r="M26" s="36">
        <f>'R2'!M32</f>
        <v>4.4670122687747602E-2</v>
      </c>
      <c r="N26" s="36" t="str">
        <f>'R2'!N32</f>
        <v/>
      </c>
      <c r="P26" s="36">
        <f>'R2'!O32</f>
        <v>0.95768757963341</v>
      </c>
      <c r="Q26" s="36">
        <f>'R2'!P32</f>
        <v>1.3925454183465322</v>
      </c>
      <c r="R26" s="36">
        <f>'R2'!Q32</f>
        <v>2.1197380926084295E-3</v>
      </c>
      <c r="S26" s="36">
        <f>'R2'!R32</f>
        <v>0.8829984693721562</v>
      </c>
      <c r="T26" s="36">
        <f>'R2'!S32</f>
        <v>1.5225446990354747</v>
      </c>
      <c r="U26" s="36">
        <f>'R2'!T32</f>
        <v>0.48758751403202838</v>
      </c>
      <c r="V26" s="36">
        <f>'R2'!U32</f>
        <v>2.0977654403920214</v>
      </c>
      <c r="W26" s="36">
        <f>'R2'!V32</f>
        <v>1.5146326682373785</v>
      </c>
    </row>
    <row r="27" spans="1:23">
      <c r="A27" s="151"/>
      <c r="B27" s="36">
        <f>'R2'!B33</f>
        <v>0</v>
      </c>
      <c r="C27" s="36">
        <f>'R2'!C33</f>
        <v>2.8195145874381572E-2</v>
      </c>
      <c r="D27" s="36">
        <f>'R2'!D33</f>
        <v>0.70248035116307483</v>
      </c>
      <c r="E27" s="36">
        <f>'R2'!E33</f>
        <v>1.1264475824140119</v>
      </c>
      <c r="F27" s="36">
        <f>'R2'!F33</f>
        <v>1.0664471272707841</v>
      </c>
      <c r="G27" s="36">
        <f>'R2'!G33</f>
        <v>2.1514834267197109</v>
      </c>
      <c r="H27" s="36">
        <f>'R2'!H33</f>
        <v>1.656258033735422</v>
      </c>
      <c r="I27" s="36">
        <f>'R2'!I33</f>
        <v>1.2103470008770479E-2</v>
      </c>
      <c r="J27" s="36">
        <f>'R2'!J33</f>
        <v>0.11702162301623417</v>
      </c>
      <c r="K27" s="36">
        <f>'R2'!K33</f>
        <v>4.1459319939627613E-2</v>
      </c>
      <c r="L27" s="36">
        <f>'R2'!L33</f>
        <v>0.18211712412795081</v>
      </c>
      <c r="M27" s="36">
        <f>'R2'!M33</f>
        <v>0.23400885269566571</v>
      </c>
      <c r="N27" s="36" t="str">
        <f>'R2'!N33</f>
        <v/>
      </c>
      <c r="P27" s="36">
        <f>'R2'!O33</f>
        <v>0.36894215600352126</v>
      </c>
      <c r="Q27" s="36">
        <f>'R2'!P33</f>
        <v>1.1376106362673153</v>
      </c>
      <c r="R27" s="36">
        <f>'R2'!Q33</f>
        <v>3.205828505193989E-3</v>
      </c>
      <c r="S27" s="36">
        <f>'R2'!R33</f>
        <v>1.6206750001461183</v>
      </c>
      <c r="T27" s="36">
        <f>'R2'!S33</f>
        <v>0.25226730877984255</v>
      </c>
      <c r="U27" s="36">
        <f>'R2'!T33</f>
        <v>1.0539892069232295</v>
      </c>
      <c r="V27" s="36">
        <f>'R2'!U33</f>
        <v>0.5161936744933241</v>
      </c>
      <c r="W27" s="36">
        <f>'R2'!V33</f>
        <v>0.46086119103308149</v>
      </c>
    </row>
    <row r="28" spans="1:23">
      <c r="A28" s="151"/>
      <c r="B28" s="36">
        <f>'R2'!B34</f>
        <v>6.7991789585686954E-2</v>
      </c>
      <c r="C28" s="36">
        <f>'R2'!C34</f>
        <v>0.2268125443940078</v>
      </c>
      <c r="D28" s="36">
        <f>'R2'!D34</f>
        <v>0.86934999951057002</v>
      </c>
      <c r="E28" s="36">
        <f>'R2'!E34</f>
        <v>1.3104171146076051</v>
      </c>
      <c r="F28" s="36">
        <f>'R2'!F34</f>
        <v>1.4896784548111259</v>
      </c>
      <c r="G28" s="36">
        <f>'R2'!G34</f>
        <v>1.6981179934124324</v>
      </c>
      <c r="H28" s="36">
        <f>'R2'!H34</f>
        <v>2.727777751820915</v>
      </c>
      <c r="I28" s="36">
        <f>'R2'!I34</f>
        <v>0.1660271537170572</v>
      </c>
      <c r="J28" s="36">
        <f>'R2'!J34</f>
        <v>0.16793299936384762</v>
      </c>
      <c r="K28" s="36">
        <f>'R2'!K34</f>
        <v>0.12059796155880195</v>
      </c>
      <c r="L28" s="36">
        <f>'R2'!L34</f>
        <v>0.18771058923762496</v>
      </c>
      <c r="M28" s="36">
        <f>'R2'!M34</f>
        <v>0.36494954438866051</v>
      </c>
      <c r="N28" s="36" t="str">
        <f>'R2'!N34</f>
        <v/>
      </c>
      <c r="P28" s="36">
        <f>'R2'!O34</f>
        <v>0.97173270983803817</v>
      </c>
      <c r="Q28" s="36">
        <f>'R2'!P34</f>
        <v>1.9418560389076753</v>
      </c>
      <c r="R28" s="36">
        <f>'R2'!Q34</f>
        <v>6.151219862905246E-2</v>
      </c>
      <c r="S28" s="36">
        <f>'R2'!R34</f>
        <v>1.7450035017781942</v>
      </c>
      <c r="T28" s="36">
        <f>'R2'!S34</f>
        <v>0.77828610790060249</v>
      </c>
      <c r="U28" s="36">
        <f>'R2'!T34</f>
        <v>2.3932930292931567</v>
      </c>
      <c r="V28" s="36">
        <f>'R2'!U34</f>
        <v>1.9302642053141508</v>
      </c>
      <c r="W28" s="36">
        <f>'R2'!V34</f>
        <v>1.822031074699574</v>
      </c>
    </row>
    <row r="29" spans="1:23">
      <c r="A29" s="151"/>
      <c r="B29" s="36">
        <f>'R2'!B35</f>
        <v>0.10630667738995007</v>
      </c>
      <c r="C29" s="36">
        <f>'R2'!C35</f>
        <v>0.36729099159454209</v>
      </c>
      <c r="D29" s="36">
        <f>'R2'!D35</f>
        <v>0.45518913288517654</v>
      </c>
      <c r="E29" s="36">
        <f>'R2'!E35</f>
        <v>0.14312900807396017</v>
      </c>
      <c r="F29" s="36">
        <f>'R2'!F35</f>
        <v>1.1529865896364881</v>
      </c>
      <c r="G29" s="36">
        <f>'R2'!G35</f>
        <v>1.9357758085973855</v>
      </c>
      <c r="H29" s="36">
        <f>'R2'!H35</f>
        <v>1.874632556672216</v>
      </c>
      <c r="I29" s="36">
        <f>'R2'!I35</f>
        <v>0.19524059817900427</v>
      </c>
      <c r="J29" s="36">
        <f>'R2'!J35</f>
        <v>0.41264116435088716</v>
      </c>
      <c r="K29" s="36">
        <f>'R2'!K35</f>
        <v>0.10350376256176211</v>
      </c>
      <c r="L29" s="36">
        <f>'R2'!L35</f>
        <v>0.26324617352365759</v>
      </c>
      <c r="M29" s="36">
        <f>'R2'!M35</f>
        <v>0.13996482108811814</v>
      </c>
      <c r="N29" s="36" t="str">
        <f>'R2'!N35</f>
        <v/>
      </c>
      <c r="P29" s="36">
        <f>'R2'!O35</f>
        <v>1.5973981014345131</v>
      </c>
      <c r="Q29" s="36">
        <f>'R2'!P35</f>
        <v>2.0706502737174879</v>
      </c>
      <c r="R29" s="36">
        <f>'R2'!Q35</f>
        <v>0.25213883119112529</v>
      </c>
      <c r="S29" s="36">
        <f>'R2'!R35</f>
        <v>1.9534349394695927</v>
      </c>
      <c r="T29" s="36">
        <f>'R2'!S35</f>
        <v>2.0761772260931801</v>
      </c>
      <c r="U29" s="36">
        <f>'R2'!T35</f>
        <v>0.98825899241415516</v>
      </c>
      <c r="V29" s="36">
        <f>'R2'!U35</f>
        <v>0.83482704814941022</v>
      </c>
      <c r="W29" s="36">
        <f>'R2'!V35</f>
        <v>0.83439045174173387</v>
      </c>
    </row>
    <row r="30" spans="1:23">
      <c r="A30" s="151"/>
      <c r="B30" s="36" t="str">
        <f>'R2'!B36</f>
        <v/>
      </c>
      <c r="C30" s="36" t="str">
        <f>'R2'!C36</f>
        <v/>
      </c>
      <c r="D30" s="36" t="str">
        <f>'R2'!D36</f>
        <v/>
      </c>
      <c r="E30" s="36" t="str">
        <f>'R2'!E36</f>
        <v/>
      </c>
      <c r="F30" s="36" t="str">
        <f>'R2'!F36</f>
        <v/>
      </c>
      <c r="G30" s="36" t="str">
        <f>'R2'!G36</f>
        <v/>
      </c>
      <c r="H30" s="36" t="str">
        <f>'R2'!H36</f>
        <v/>
      </c>
      <c r="I30" s="36" t="str">
        <f>'R2'!I36</f>
        <v/>
      </c>
      <c r="J30" s="36" t="str">
        <f>'R2'!J36</f>
        <v/>
      </c>
      <c r="K30" s="36" t="str">
        <f>'R2'!K36</f>
        <v/>
      </c>
      <c r="L30" s="36" t="str">
        <f>'R2'!L36</f>
        <v/>
      </c>
      <c r="M30" s="36" t="str">
        <f>'R2'!M36</f>
        <v/>
      </c>
      <c r="N30" s="36" t="str">
        <f>'R2'!N36</f>
        <v/>
      </c>
      <c r="P30" s="36">
        <f>'R2'!O36</f>
        <v>1.3568290750468117</v>
      </c>
      <c r="Q30" s="36" t="str">
        <f>'R2'!P36</f>
        <v/>
      </c>
      <c r="R30" s="36" t="str">
        <f>'R2'!Q36</f>
        <v/>
      </c>
      <c r="S30" s="36" t="str">
        <f>'R2'!R36</f>
        <v/>
      </c>
      <c r="T30" s="36" t="str">
        <f>'R2'!S36</f>
        <v/>
      </c>
      <c r="U30" s="36" t="str">
        <f>'R2'!T36</f>
        <v/>
      </c>
      <c r="V30" s="36" t="str">
        <f>'R2'!U36</f>
        <v/>
      </c>
      <c r="W30" s="36" t="str">
        <f>'R2'!V36</f>
        <v/>
      </c>
    </row>
    <row r="31" spans="1:23" s="1" customFormat="1">
      <c r="A31" s="151"/>
      <c r="B31" s="36" t="str">
        <f>'R2'!B37</f>
        <v/>
      </c>
      <c r="C31" s="36" t="str">
        <f>'R2'!C37</f>
        <v/>
      </c>
      <c r="D31" s="36" t="str">
        <f>'R2'!D37</f>
        <v/>
      </c>
      <c r="E31" s="36" t="str">
        <f>'R2'!E37</f>
        <v/>
      </c>
      <c r="F31" s="36" t="str">
        <f>'R2'!F37</f>
        <v/>
      </c>
      <c r="G31" s="36" t="str">
        <f>'R2'!G37</f>
        <v/>
      </c>
      <c r="H31" s="36" t="str">
        <f>'R2'!H37</f>
        <v/>
      </c>
      <c r="I31" s="36" t="str">
        <f>'R2'!I37</f>
        <v/>
      </c>
      <c r="J31" s="36" t="str">
        <f>'R2'!J37</f>
        <v/>
      </c>
      <c r="K31" s="36" t="str">
        <f>'R2'!K37</f>
        <v/>
      </c>
      <c r="L31" s="36" t="str">
        <f>'R2'!L37</f>
        <v/>
      </c>
      <c r="M31" s="36" t="str">
        <f>'R2'!M37</f>
        <v/>
      </c>
      <c r="N31" s="36" t="str">
        <f>'R2'!N37</f>
        <v/>
      </c>
      <c r="O31"/>
      <c r="P31" s="36">
        <f>'R2'!O37</f>
        <v>0.77087107503142704</v>
      </c>
      <c r="Q31" s="36" t="str">
        <f>'R2'!P37</f>
        <v/>
      </c>
      <c r="R31" s="36" t="str">
        <f>'R2'!Q37</f>
        <v/>
      </c>
      <c r="S31" s="36" t="str">
        <f>'R2'!R37</f>
        <v/>
      </c>
      <c r="T31" s="36" t="str">
        <f>'R2'!S37</f>
        <v/>
      </c>
      <c r="U31" s="36" t="str">
        <f>'R2'!T37</f>
        <v/>
      </c>
      <c r="V31" s="36" t="str">
        <f>'R2'!U37</f>
        <v/>
      </c>
      <c r="W31" s="36" t="str">
        <f>'R2'!V37</f>
        <v/>
      </c>
    </row>
    <row r="32" spans="1:23" s="1" customFormat="1">
      <c r="A32" s="151"/>
      <c r="B32" s="36" t="str">
        <f>'R2'!B38</f>
        <v/>
      </c>
      <c r="C32" s="36" t="str">
        <f>'R2'!C38</f>
        <v/>
      </c>
      <c r="D32" s="36" t="str">
        <f>'R2'!D38</f>
        <v/>
      </c>
      <c r="E32" s="36" t="str">
        <f>'R2'!E38</f>
        <v/>
      </c>
      <c r="F32" s="36" t="str">
        <f>'R2'!F38</f>
        <v/>
      </c>
      <c r="G32" s="36" t="str">
        <f>'R2'!G38</f>
        <v/>
      </c>
      <c r="H32" s="36" t="str">
        <f>'R2'!H38</f>
        <v/>
      </c>
      <c r="I32" s="36" t="str">
        <f>'R2'!I38</f>
        <v/>
      </c>
      <c r="J32" s="36" t="str">
        <f>'R2'!J38</f>
        <v/>
      </c>
      <c r="K32" s="36" t="str">
        <f>'R2'!K38</f>
        <v/>
      </c>
      <c r="L32" s="36" t="str">
        <f>'R2'!L38</f>
        <v/>
      </c>
      <c r="M32" s="36" t="str">
        <f>'R2'!M38</f>
        <v/>
      </c>
      <c r="N32" s="36" t="str">
        <f>'R2'!N38</f>
        <v/>
      </c>
      <c r="O32"/>
      <c r="P32" s="36">
        <f>'R2'!O38</f>
        <v>0.34095706530184339</v>
      </c>
      <c r="Q32" s="36" t="str">
        <f>'R2'!P38</f>
        <v/>
      </c>
      <c r="R32" s="36" t="str">
        <f>'R2'!Q38</f>
        <v/>
      </c>
      <c r="S32" s="36" t="str">
        <f>'R2'!R38</f>
        <v/>
      </c>
      <c r="T32" s="36" t="str">
        <f>'R2'!S38</f>
        <v/>
      </c>
      <c r="U32" s="36" t="str">
        <f>'R2'!T38</f>
        <v/>
      </c>
      <c r="V32" s="36" t="str">
        <f>'R2'!U38</f>
        <v/>
      </c>
      <c r="W32" s="36" t="str">
        <f>'R2'!V38</f>
        <v/>
      </c>
    </row>
    <row r="33" spans="1:23" s="1" customFormat="1">
      <c r="A33" s="151"/>
      <c r="B33" s="36" t="str">
        <f>'R2'!B39</f>
        <v/>
      </c>
      <c r="C33" s="36" t="str">
        <f>'R2'!C39</f>
        <v/>
      </c>
      <c r="D33" s="36" t="str">
        <f>'R2'!D39</f>
        <v/>
      </c>
      <c r="E33" s="36" t="str">
        <f>'R2'!E39</f>
        <v/>
      </c>
      <c r="F33" s="36" t="str">
        <f>'R2'!F39</f>
        <v/>
      </c>
      <c r="G33" s="36" t="str">
        <f>'R2'!G39</f>
        <v/>
      </c>
      <c r="H33" s="36" t="str">
        <f>'R2'!H39</f>
        <v/>
      </c>
      <c r="I33" s="36" t="str">
        <f>'R2'!I39</f>
        <v/>
      </c>
      <c r="J33" s="36" t="str">
        <f>'R2'!J39</f>
        <v/>
      </c>
      <c r="K33" s="36" t="str">
        <f>'R2'!K39</f>
        <v/>
      </c>
      <c r="L33" s="36" t="str">
        <f>'R2'!L39</f>
        <v/>
      </c>
      <c r="M33" s="36" t="str">
        <f>'R2'!M39</f>
        <v/>
      </c>
      <c r="N33" s="36" t="str">
        <f>'R2'!N39</f>
        <v/>
      </c>
      <c r="O33"/>
      <c r="P33" s="36">
        <f>'R2'!O39</f>
        <v>0.70360168763982178</v>
      </c>
      <c r="Q33" s="36" t="str">
        <f>'R2'!P39</f>
        <v/>
      </c>
      <c r="R33" s="36" t="str">
        <f>'R2'!Q39</f>
        <v/>
      </c>
      <c r="S33" s="36" t="str">
        <f>'R2'!R39</f>
        <v/>
      </c>
      <c r="T33" s="36" t="str">
        <f>'R2'!S39</f>
        <v/>
      </c>
      <c r="U33" s="36" t="str">
        <f>'R2'!T39</f>
        <v/>
      </c>
      <c r="V33" s="36" t="str">
        <f>'R2'!U39</f>
        <v/>
      </c>
      <c r="W33" s="36" t="str">
        <f>'R2'!V39</f>
        <v/>
      </c>
    </row>
    <row r="34" spans="1:23" s="1" customFormat="1">
      <c r="A34" s="151"/>
      <c r="B34" s="36" t="str">
        <f>'R2'!B40</f>
        <v/>
      </c>
      <c r="C34" s="36" t="str">
        <f>'R2'!C40</f>
        <v/>
      </c>
      <c r="D34" s="36" t="str">
        <f>'R2'!D40</f>
        <v/>
      </c>
      <c r="E34" s="36" t="str">
        <f>'R2'!E40</f>
        <v/>
      </c>
      <c r="F34" s="36" t="str">
        <f>'R2'!F40</f>
        <v/>
      </c>
      <c r="G34" s="36" t="str">
        <f>'R2'!G40</f>
        <v/>
      </c>
      <c r="H34" s="36" t="str">
        <f>'R2'!H40</f>
        <v/>
      </c>
      <c r="I34" s="36" t="str">
        <f>'R2'!I40</f>
        <v/>
      </c>
      <c r="J34" s="36" t="str">
        <f>'R2'!J40</f>
        <v/>
      </c>
      <c r="K34" s="36" t="str">
        <f>'R2'!K40</f>
        <v/>
      </c>
      <c r="L34" s="36" t="str">
        <f>'R2'!L40</f>
        <v/>
      </c>
      <c r="M34" s="36" t="str">
        <f>'R2'!M40</f>
        <v/>
      </c>
      <c r="N34" s="36" t="str">
        <f>'R2'!N40</f>
        <v/>
      </c>
      <c r="O34"/>
      <c r="P34" s="36">
        <f>'R2'!O40</f>
        <v>1.6009269714874441</v>
      </c>
      <c r="Q34" s="36" t="str">
        <f>'R2'!P40</f>
        <v/>
      </c>
      <c r="R34" s="36" t="str">
        <f>'R2'!Q40</f>
        <v/>
      </c>
      <c r="S34" s="36" t="str">
        <f>'R2'!R40</f>
        <v/>
      </c>
      <c r="T34" s="36" t="str">
        <f>'R2'!S40</f>
        <v/>
      </c>
      <c r="U34" s="36" t="str">
        <f>'R2'!T40</f>
        <v/>
      </c>
      <c r="V34" s="36" t="str">
        <f>'R2'!U40</f>
        <v/>
      </c>
      <c r="W34" s="36" t="str">
        <f>'R2'!V40</f>
        <v/>
      </c>
    </row>
    <row r="35" spans="1:23" s="1" customFormat="1">
      <c r="A35" s="151"/>
      <c r="B35" s="36" t="str">
        <f>'R2'!B41</f>
        <v/>
      </c>
      <c r="C35" s="36" t="str">
        <f>'R2'!C41</f>
        <v/>
      </c>
      <c r="D35" s="36" t="str">
        <f>'R2'!D41</f>
        <v/>
      </c>
      <c r="E35" s="36" t="str">
        <f>'R2'!E41</f>
        <v/>
      </c>
      <c r="F35" s="36" t="str">
        <f>'R2'!F41</f>
        <v/>
      </c>
      <c r="G35" s="36" t="str">
        <f>'R2'!G41</f>
        <v/>
      </c>
      <c r="H35" s="36" t="str">
        <f>'R2'!H41</f>
        <v/>
      </c>
      <c r="I35" s="36" t="str">
        <f>'R2'!I41</f>
        <v/>
      </c>
      <c r="J35" s="36" t="str">
        <f>'R2'!J41</f>
        <v/>
      </c>
      <c r="K35" s="36" t="str">
        <f>'R2'!K41</f>
        <v/>
      </c>
      <c r="L35" s="36" t="str">
        <f>'R2'!L41</f>
        <v/>
      </c>
      <c r="M35" s="36" t="str">
        <f>'R2'!M41</f>
        <v/>
      </c>
      <c r="N35" s="36" t="str">
        <f>'R2'!N41</f>
        <v/>
      </c>
      <c r="O35"/>
      <c r="P35" s="36">
        <f>'R2'!O41</f>
        <v>0.8526882754056393</v>
      </c>
      <c r="Q35" s="36" t="str">
        <f>'R2'!P41</f>
        <v/>
      </c>
      <c r="R35" s="36" t="str">
        <f>'R2'!Q41</f>
        <v/>
      </c>
      <c r="S35" s="36" t="str">
        <f>'R2'!R41</f>
        <v/>
      </c>
      <c r="T35" s="36" t="str">
        <f>'R2'!S41</f>
        <v/>
      </c>
      <c r="U35" s="36" t="str">
        <f>'R2'!T41</f>
        <v/>
      </c>
      <c r="V35" s="36" t="str">
        <f>'R2'!U41</f>
        <v/>
      </c>
      <c r="W35" s="36" t="str">
        <f>'R2'!V41</f>
        <v/>
      </c>
    </row>
    <row r="36" spans="1:23">
      <c r="A36" s="151"/>
      <c r="B36" s="36" t="str">
        <f>'R2'!B42</f>
        <v/>
      </c>
      <c r="C36" s="36" t="str">
        <f>'R2'!C42</f>
        <v/>
      </c>
      <c r="D36" s="36" t="str">
        <f>'R2'!D42</f>
        <v/>
      </c>
      <c r="E36" s="36" t="str">
        <f>'R2'!E42</f>
        <v/>
      </c>
      <c r="F36" s="36" t="str">
        <f>'R2'!F42</f>
        <v/>
      </c>
      <c r="G36" s="36" t="str">
        <f>'R2'!G42</f>
        <v/>
      </c>
      <c r="H36" s="36" t="str">
        <f>'R2'!H42</f>
        <v/>
      </c>
      <c r="I36" s="36" t="str">
        <f>'R2'!I42</f>
        <v/>
      </c>
      <c r="J36" s="36" t="str">
        <f>'R2'!J42</f>
        <v/>
      </c>
      <c r="K36" s="36" t="str">
        <f>'R2'!K42</f>
        <v/>
      </c>
      <c r="L36" s="36" t="str">
        <f>'R2'!L42</f>
        <v/>
      </c>
      <c r="M36" s="36" t="str">
        <f>'R2'!M42</f>
        <v/>
      </c>
      <c r="N36" s="36" t="str">
        <f>'R2'!N42</f>
        <v/>
      </c>
      <c r="P36" s="36">
        <f>'R2'!O42</f>
        <v>1.3166251119004799</v>
      </c>
      <c r="Q36" s="36" t="str">
        <f>'R2'!P42</f>
        <v/>
      </c>
      <c r="R36" s="36" t="str">
        <f>'R2'!Q42</f>
        <v/>
      </c>
      <c r="S36" s="36" t="str">
        <f>'R2'!R42</f>
        <v/>
      </c>
      <c r="T36" s="36" t="str">
        <f>'R2'!S42</f>
        <v/>
      </c>
      <c r="U36" s="36" t="str">
        <f>'R2'!T42</f>
        <v/>
      </c>
      <c r="V36" s="36" t="str">
        <f>'R2'!U42</f>
        <v/>
      </c>
      <c r="W36" s="36" t="str">
        <f>'R2'!V42</f>
        <v/>
      </c>
    </row>
    <row r="37" spans="1:23">
      <c r="A37" s="152"/>
      <c r="B37" s="36" t="str">
        <f>'R2'!B43</f>
        <v/>
      </c>
      <c r="C37" s="36" t="str">
        <f>'R2'!C43</f>
        <v/>
      </c>
      <c r="D37" s="36" t="str">
        <f>'R2'!D43</f>
        <v/>
      </c>
      <c r="E37" s="36" t="str">
        <f>'R2'!E43</f>
        <v/>
      </c>
      <c r="F37" s="36" t="str">
        <f>'R2'!F43</f>
        <v/>
      </c>
      <c r="G37" s="36" t="str">
        <f>'R2'!G43</f>
        <v/>
      </c>
      <c r="H37" s="36" t="str">
        <f>'R2'!H43</f>
        <v/>
      </c>
      <c r="I37" s="36" t="str">
        <f>'R2'!I43</f>
        <v/>
      </c>
      <c r="J37" s="36" t="str">
        <f>'R2'!J43</f>
        <v/>
      </c>
      <c r="K37" s="36" t="str">
        <f>'R2'!K43</f>
        <v/>
      </c>
      <c r="L37" s="36" t="str">
        <f>'R2'!L43</f>
        <v/>
      </c>
      <c r="M37" s="36" t="str">
        <f>'R2'!M43</f>
        <v/>
      </c>
      <c r="N37" s="36" t="str">
        <f>'R2'!N43</f>
        <v/>
      </c>
      <c r="P37" s="36">
        <f>'R2'!O43</f>
        <v>0.74519360668373391</v>
      </c>
      <c r="Q37" s="36" t="str">
        <f>'R2'!P43</f>
        <v/>
      </c>
      <c r="R37" s="36" t="str">
        <f>'R2'!Q43</f>
        <v/>
      </c>
      <c r="S37" s="36" t="str">
        <f>'R2'!R43</f>
        <v/>
      </c>
      <c r="T37" s="36" t="str">
        <f>'R2'!S43</f>
        <v/>
      </c>
      <c r="U37" s="36" t="str">
        <f>'R2'!T43</f>
        <v/>
      </c>
      <c r="V37" s="36" t="str">
        <f>'R2'!U43</f>
        <v/>
      </c>
      <c r="W37" s="36" t="str">
        <f>'R2'!V43</f>
        <v/>
      </c>
    </row>
    <row r="38" spans="1:23" s="1" customFormat="1">
      <c r="A38" s="81" t="s">
        <v>48</v>
      </c>
      <c r="B38" s="82">
        <f>'R3'!B28</f>
        <v>3.0121418022782849E-2</v>
      </c>
      <c r="C38" s="82">
        <f>'R3'!C28</f>
        <v>0.33725957345928875</v>
      </c>
      <c r="D38" s="82">
        <f>'R3'!D28</f>
        <v>0.22795903329601327</v>
      </c>
      <c r="E38" s="82">
        <f>'R3'!E28</f>
        <v>2.3540726729433916</v>
      </c>
      <c r="F38" s="82">
        <f>'R3'!F28</f>
        <v>1.0049303417737077</v>
      </c>
      <c r="G38" s="82">
        <f>'R3'!G28</f>
        <v>2.6827178434011847</v>
      </c>
      <c r="H38" s="82">
        <f>'R3'!H28</f>
        <v>3.6777972667803285</v>
      </c>
      <c r="I38" s="82">
        <f>'R3'!I28</f>
        <v>0.41384969488383716</v>
      </c>
      <c r="J38" s="82">
        <f>'R3'!J28</f>
        <v>5.3344489690300041E-2</v>
      </c>
      <c r="K38" s="82">
        <f>'R3'!K28</f>
        <v>0.26783404446680048</v>
      </c>
      <c r="L38" s="82">
        <f>'R3'!L28</f>
        <v>0.21790041313005673</v>
      </c>
      <c r="M38" s="82">
        <f>'R3'!M28</f>
        <v>4.5593708416894044E-2</v>
      </c>
      <c r="N38" s="82" t="str">
        <f>'R3'!N28</f>
        <v/>
      </c>
      <c r="O38"/>
      <c r="P38" s="82">
        <f>'R3'!O28</f>
        <v>0.93075265591473622</v>
      </c>
      <c r="Q38" s="82">
        <f>'R3'!P28</f>
        <v>0.68836301067772854</v>
      </c>
      <c r="R38" s="82">
        <f>'R3'!Q28</f>
        <v>0.12302582373696341</v>
      </c>
      <c r="S38" s="82">
        <f>'R3'!R28</f>
        <v>2.0605171692537193E-2</v>
      </c>
      <c r="T38" s="82">
        <f>'R3'!S28</f>
        <v>1.28873933729501</v>
      </c>
      <c r="U38" s="82">
        <f>'R3'!T28</f>
        <v>1.1443138919122733</v>
      </c>
      <c r="V38" s="82">
        <f>'R3'!U28</f>
        <v>0.64884560453165552</v>
      </c>
      <c r="W38" s="82">
        <f>'R3'!V28</f>
        <v>0.97482066990137162</v>
      </c>
    </row>
    <row r="39" spans="1:23" s="1" customFormat="1">
      <c r="A39" s="142" t="s">
        <v>17</v>
      </c>
      <c r="B39" s="82">
        <f>'R3'!B29</f>
        <v>0.10299155224550798</v>
      </c>
      <c r="C39" s="82">
        <f>'R3'!C29</f>
        <v>0.63831713834782633</v>
      </c>
      <c r="D39" s="82">
        <f>'R3'!D29</f>
        <v>0.51351447629724145</v>
      </c>
      <c r="E39" s="82">
        <f>'R3'!E29</f>
        <v>0.65427903812405397</v>
      </c>
      <c r="F39" s="82">
        <f>'R3'!F29</f>
        <v>0.90212374478602886</v>
      </c>
      <c r="G39" s="82">
        <f>'R3'!G29</f>
        <v>2.6211281154377173</v>
      </c>
      <c r="H39" s="82">
        <f>'R3'!H29</f>
        <v>1.9177460666156587</v>
      </c>
      <c r="I39" s="82">
        <f>'R3'!I29</f>
        <v>0.17569630812781523</v>
      </c>
      <c r="J39" s="82">
        <f>'R3'!J29</f>
        <v>2.4466112699722285E-2</v>
      </c>
      <c r="K39" s="82">
        <f>'R3'!K29</f>
        <v>0.13553621975015215</v>
      </c>
      <c r="L39" s="82">
        <f>'R3'!L29</f>
        <v>2.369366347271978E-2</v>
      </c>
      <c r="M39" s="82">
        <f>'R3'!M29</f>
        <v>0.13837263541280942</v>
      </c>
      <c r="N39" s="82" t="str">
        <f>'R3'!N29</f>
        <v/>
      </c>
      <c r="O39"/>
      <c r="P39" s="82">
        <f>'R3'!O29</f>
        <v>0.57124344970035601</v>
      </c>
      <c r="Q39" s="82">
        <f>'R3'!P29</f>
        <v>1.1779701554322175</v>
      </c>
      <c r="R39" s="82">
        <f>'R3'!Q29</f>
        <v>7.5953219044765527E-2</v>
      </c>
      <c r="S39" s="82">
        <f>'R3'!R29</f>
        <v>0.61672323910259919</v>
      </c>
      <c r="T39" s="82">
        <f>'R3'!S29</f>
        <v>1.0360908279939525</v>
      </c>
      <c r="U39" s="82">
        <f>'R3'!T29</f>
        <v>0.45326921644285334</v>
      </c>
      <c r="V39" s="82">
        <f>'R3'!U29</f>
        <v>0.84378322577234988</v>
      </c>
      <c r="W39" s="82">
        <f>'R3'!V29</f>
        <v>0.47908445842246705</v>
      </c>
    </row>
    <row r="40" spans="1:23" s="1" customFormat="1">
      <c r="A40" s="151"/>
      <c r="B40" s="82">
        <f>'R3'!B30</f>
        <v>7.1353202793593483E-4</v>
      </c>
      <c r="C40" s="82">
        <f>'R3'!C30</f>
        <v>0.16540425652758226</v>
      </c>
      <c r="D40" s="82">
        <f>'R3'!D30</f>
        <v>0.2437723349467471</v>
      </c>
      <c r="E40" s="82">
        <f>'R3'!E30</f>
        <v>1.0778534268968596</v>
      </c>
      <c r="F40" s="82">
        <f>'R3'!F30</f>
        <v>1.1299578587042745</v>
      </c>
      <c r="G40" s="82">
        <f>'R3'!G30</f>
        <v>2.8498985653487234</v>
      </c>
      <c r="H40" s="82">
        <f>'R3'!H30</f>
        <v>2.2308913525481322</v>
      </c>
      <c r="I40" s="82">
        <f>'R3'!I30</f>
        <v>0.32405261207992059</v>
      </c>
      <c r="J40" s="82">
        <f>'R3'!J30</f>
        <v>1.2286286920536791E-2</v>
      </c>
      <c r="K40" s="82">
        <f>'R3'!K30</f>
        <v>0.12678291385845206</v>
      </c>
      <c r="L40" s="82">
        <f>'R3'!L30</f>
        <v>0.19147026949689386</v>
      </c>
      <c r="M40" s="82">
        <f>'R3'!M30</f>
        <v>0.11053798779050587</v>
      </c>
      <c r="N40" s="82" t="str">
        <f>'R3'!N30</f>
        <v/>
      </c>
      <c r="O40"/>
      <c r="P40" s="82">
        <f>'R3'!O30</f>
        <v>1.8178361076175311</v>
      </c>
      <c r="Q40" s="82">
        <f>'R3'!P30</f>
        <v>0.87153788770351559</v>
      </c>
      <c r="R40" s="82">
        <f>'R3'!Q30</f>
        <v>0.10463862356371702</v>
      </c>
      <c r="S40" s="82">
        <f>'R3'!R30</f>
        <v>0.54293858316651489</v>
      </c>
      <c r="T40" s="82">
        <f>'R3'!S30</f>
        <v>0.17825323998857129</v>
      </c>
      <c r="U40" s="82">
        <f>'R3'!T30</f>
        <v>1.5086090018698171</v>
      </c>
      <c r="V40" s="82">
        <f>'R3'!U30</f>
        <v>0.44244094375238163</v>
      </c>
      <c r="W40" s="82">
        <f>'R3'!V30</f>
        <v>0.43062897757369722</v>
      </c>
    </row>
    <row r="41" spans="1:23" s="1" customFormat="1">
      <c r="A41" s="151"/>
      <c r="B41" s="82">
        <f>'R3'!B31</f>
        <v>1.5008970015375686E-4</v>
      </c>
      <c r="C41" s="82">
        <f>'R3'!C31</f>
        <v>0.51761500148417505</v>
      </c>
      <c r="D41" s="82">
        <f>'R3'!D31</f>
        <v>0.31195836539684757</v>
      </c>
      <c r="E41" s="82">
        <f>'R3'!E31</f>
        <v>0.37144832913282216</v>
      </c>
      <c r="F41" s="82">
        <f>'R3'!F31</f>
        <v>1.9076302072721281</v>
      </c>
      <c r="G41" s="82">
        <f>'R3'!G31</f>
        <v>1.7665807546852719</v>
      </c>
      <c r="H41" s="82">
        <f>'R3'!H31</f>
        <v>2.9047784447045712</v>
      </c>
      <c r="I41" s="82">
        <f>'R3'!I31</f>
        <v>1.7273553242788769E-2</v>
      </c>
      <c r="J41" s="82">
        <f>'R3'!J31</f>
        <v>2.8790560532475373E-2</v>
      </c>
      <c r="K41" s="82">
        <f>'R3'!K31</f>
        <v>0.28094256191861433</v>
      </c>
      <c r="L41" s="82">
        <f>'R3'!L31</f>
        <v>0.1659272398927143</v>
      </c>
      <c r="M41" s="82">
        <f>'R3'!M31</f>
        <v>4.2575134198894887E-3</v>
      </c>
      <c r="N41" s="82" t="str">
        <f>'R3'!N31</f>
        <v/>
      </c>
      <c r="O41"/>
      <c r="P41" s="82">
        <f>'R3'!O31</f>
        <v>1.8669751025542063</v>
      </c>
      <c r="Q41" s="82">
        <f>'R3'!P31</f>
        <v>1.436869854132971</v>
      </c>
      <c r="R41" s="82">
        <f>'R3'!Q31</f>
        <v>0.21429788743270159</v>
      </c>
      <c r="S41" s="82">
        <f>'R3'!R31</f>
        <v>1.0497445159839647</v>
      </c>
      <c r="T41" s="82">
        <f>'R3'!S31</f>
        <v>0.32952184346415697</v>
      </c>
      <c r="U41" s="82">
        <f>'R3'!T31</f>
        <v>0.24917817440793721</v>
      </c>
      <c r="V41" s="82">
        <f>'R3'!U31</f>
        <v>0.26437116744697969</v>
      </c>
      <c r="W41" s="82">
        <f>'R3'!V31</f>
        <v>1.0045768385793081</v>
      </c>
    </row>
    <row r="42" spans="1:23" s="1" customFormat="1">
      <c r="A42" s="151"/>
      <c r="B42" s="82">
        <f>'R3'!B32</f>
        <v>1.3465376689198106E-2</v>
      </c>
      <c r="C42" s="82">
        <f>'R3'!C32</f>
        <v>0.24761519061118076</v>
      </c>
      <c r="D42" s="82">
        <f>'R3'!D32</f>
        <v>0.61928986619864468</v>
      </c>
      <c r="E42" s="82">
        <f>'R3'!E32</f>
        <v>1.2571666171281317</v>
      </c>
      <c r="F42" s="82">
        <f>'R3'!F32</f>
        <v>1.1931262319984273</v>
      </c>
      <c r="G42" s="82">
        <f>'R3'!G32</f>
        <v>2.3196109591070941</v>
      </c>
      <c r="H42" s="82">
        <f>'R3'!H32</f>
        <v>2.5746793618470281</v>
      </c>
      <c r="I42" s="82">
        <f>'R3'!I32</f>
        <v>7.3068886546158549E-2</v>
      </c>
      <c r="J42" s="82">
        <f>'R3'!J32</f>
        <v>5.891831774756285E-2</v>
      </c>
      <c r="K42" s="82">
        <f>'R3'!K32</f>
        <v>0.32996484113815117</v>
      </c>
      <c r="L42" s="82">
        <f>'R3'!L32</f>
        <v>0.13857455733239515</v>
      </c>
      <c r="M42" s="82">
        <f>'R3'!M32</f>
        <v>0.1064396999655621</v>
      </c>
      <c r="N42" s="82" t="str">
        <f>'R3'!N32</f>
        <v/>
      </c>
      <c r="O42"/>
      <c r="P42" s="82">
        <f>'R3'!O32</f>
        <v>1.0826436189171706</v>
      </c>
      <c r="Q42" s="82">
        <f>'R3'!P32</f>
        <v>1.8733079556665324</v>
      </c>
      <c r="R42" s="82">
        <f>'R3'!Q32</f>
        <v>8.6453345310056356E-2</v>
      </c>
      <c r="S42" s="82">
        <f>'R3'!R32</f>
        <v>0.71909504207691333</v>
      </c>
      <c r="T42" s="82">
        <f>'R3'!S32</f>
        <v>0.54197260212738863</v>
      </c>
      <c r="U42" s="82">
        <f>'R3'!T32</f>
        <v>0.15873747713826811</v>
      </c>
      <c r="V42" s="82">
        <f>'R3'!U32</f>
        <v>5.3456917130290993E-2</v>
      </c>
      <c r="W42" s="82">
        <f>'R3'!V32</f>
        <v>0.24142869826235863</v>
      </c>
    </row>
    <row r="43" spans="1:23" s="1" customFormat="1">
      <c r="A43" s="151"/>
      <c r="B43" s="82">
        <f>'R3'!B33</f>
        <v>4.5226408156890437E-3</v>
      </c>
      <c r="C43" s="82">
        <f>'R3'!C33</f>
        <v>0.605276895162426</v>
      </c>
      <c r="D43" s="82">
        <f>'R3'!D33</f>
        <v>0.34131609719375494</v>
      </c>
      <c r="E43" s="82">
        <f>'R3'!E33</f>
        <v>1.7567991945123942</v>
      </c>
      <c r="F43" s="82">
        <f>'R3'!F33</f>
        <v>1.4186741348566909</v>
      </c>
      <c r="G43" s="82">
        <f>'R3'!G33</f>
        <v>2.1395553375888503</v>
      </c>
      <c r="H43" s="82">
        <f>'R3'!H33</f>
        <v>2.2105639866360036</v>
      </c>
      <c r="I43" s="82">
        <f>'R3'!I33</f>
        <v>9.1245215351859719E-3</v>
      </c>
      <c r="J43" s="82">
        <f>'R3'!J33</f>
        <v>3.3009293011207121E-2</v>
      </c>
      <c r="K43" s="82">
        <f>'R3'!K33</f>
        <v>3.4235926722153164E-2</v>
      </c>
      <c r="L43" s="82">
        <f>'R3'!L33</f>
        <v>3.0762981573377975E-2</v>
      </c>
      <c r="M43" s="82">
        <f>'R3'!M33</f>
        <v>0.12029773368398233</v>
      </c>
      <c r="N43" s="82" t="str">
        <f>'R3'!N33</f>
        <v/>
      </c>
      <c r="O43"/>
      <c r="P43" s="82">
        <f>'R3'!O33</f>
        <v>0.41674241748990615</v>
      </c>
      <c r="Q43" s="82">
        <f>'R3'!P33</f>
        <v>1.5974518497850543</v>
      </c>
      <c r="R43" s="82">
        <f>'R3'!Q33</f>
        <v>0.74667146083621938</v>
      </c>
      <c r="S43" s="82">
        <f>'R3'!R33</f>
        <v>0.70819908918624808</v>
      </c>
      <c r="T43" s="82">
        <f>'R3'!S33</f>
        <v>0.56859776914733517</v>
      </c>
      <c r="U43" s="82">
        <f>'R3'!T33</f>
        <v>0.2777267269518417</v>
      </c>
      <c r="V43" s="82">
        <f>'R3'!U33</f>
        <v>1.9980828371390764</v>
      </c>
      <c r="W43" s="82">
        <f>'R3'!V33</f>
        <v>1.5483415676605825</v>
      </c>
    </row>
    <row r="44" spans="1:23" s="1" customFormat="1">
      <c r="A44" s="151"/>
      <c r="B44" s="82">
        <f>'R3'!B34</f>
        <v>1.2827169181587784E-2</v>
      </c>
      <c r="C44" s="82">
        <f>'R3'!C34</f>
        <v>3.8218803957786152E-2</v>
      </c>
      <c r="D44" s="82">
        <f>'R3'!D34</f>
        <v>0.17422263236382107</v>
      </c>
      <c r="E44" s="82">
        <f>'R3'!E34</f>
        <v>1.6065890497048494</v>
      </c>
      <c r="F44" s="82">
        <f>'R3'!F34</f>
        <v>1.5570861105511555</v>
      </c>
      <c r="G44" s="82">
        <f>'R3'!G34</f>
        <v>2.7531488801612869</v>
      </c>
      <c r="H44" s="82">
        <f>'R3'!H34</f>
        <v>1.869606240254293</v>
      </c>
      <c r="I44" s="82">
        <f>'R3'!I34</f>
        <v>0.16961385311152205</v>
      </c>
      <c r="J44" s="82">
        <f>'R3'!J34</f>
        <v>0.11835924596659277</v>
      </c>
      <c r="K44" s="82">
        <f>'R3'!K34</f>
        <v>0.24286937293700223</v>
      </c>
      <c r="L44" s="82">
        <f>'R3'!L34</f>
        <v>6.538895506909842E-2</v>
      </c>
      <c r="M44" s="82">
        <f>'R3'!M34</f>
        <v>8.7267931521201408E-2</v>
      </c>
      <c r="N44" s="82" t="str">
        <f>'R3'!N34</f>
        <v/>
      </c>
      <c r="O44"/>
      <c r="P44" s="82">
        <f>'R3'!O34</f>
        <v>0.86237663614232929</v>
      </c>
      <c r="Q44" s="82">
        <f>'R3'!P34</f>
        <v>1.8222597451651685</v>
      </c>
      <c r="R44" s="82">
        <f>'R3'!Q34</f>
        <v>0.35690379817717688</v>
      </c>
      <c r="S44" s="82">
        <f>'R3'!R34</f>
        <v>0.40831073238424981</v>
      </c>
      <c r="T44" s="82">
        <f>'R3'!S34</f>
        <v>0.5633405278116389</v>
      </c>
      <c r="U44" s="82">
        <f>'R3'!T34</f>
        <v>0.78984080109025723</v>
      </c>
      <c r="V44" s="82">
        <f>'R3'!U34</f>
        <v>0.55139096387057751</v>
      </c>
      <c r="W44" s="82">
        <f>'R3'!V34</f>
        <v>0.37526638736853474</v>
      </c>
    </row>
    <row r="45" spans="1:23" s="1" customFormat="1">
      <c r="A45" s="151"/>
      <c r="B45" s="82">
        <f>'R3'!B35</f>
        <v>0.10503165348660412</v>
      </c>
      <c r="C45" s="82">
        <f>'R3'!C35</f>
        <v>8.3817359992324911E-2</v>
      </c>
      <c r="D45" s="82">
        <f>'R3'!D35</f>
        <v>0.51175497753904142</v>
      </c>
      <c r="E45" s="82">
        <f>'R3'!E35</f>
        <v>1.5924114461155428</v>
      </c>
      <c r="F45" s="82">
        <f>'R3'!F35</f>
        <v>1.6047980414319587</v>
      </c>
      <c r="G45" s="82">
        <f>'R3'!G35</f>
        <v>2.2387618326879961</v>
      </c>
      <c r="H45" s="82">
        <f>'R3'!H35</f>
        <v>2.569665060734065</v>
      </c>
      <c r="I45" s="82">
        <f>'R3'!I35</f>
        <v>0.33917102638596741</v>
      </c>
      <c r="J45" s="82">
        <f>'R3'!J35</f>
        <v>0.10980357371733115</v>
      </c>
      <c r="K45" s="82">
        <f>'R3'!K35</f>
        <v>0.12520053959111674</v>
      </c>
      <c r="L45" s="82">
        <f>'R3'!L35</f>
        <v>0.34168470258158595</v>
      </c>
      <c r="M45" s="82">
        <f>'R3'!M35</f>
        <v>2.3014251215129358E-2</v>
      </c>
      <c r="N45" s="82" t="str">
        <f>'R3'!N35</f>
        <v/>
      </c>
      <c r="O45"/>
      <c r="P45" s="82">
        <f>'R3'!O35</f>
        <v>0.83100993972535142</v>
      </c>
      <c r="Q45" s="82">
        <f>'R3'!P35</f>
        <v>0.42803102740979354</v>
      </c>
      <c r="R45" s="82">
        <f>'R3'!Q35</f>
        <v>7.3506850155675527E-2</v>
      </c>
      <c r="S45" s="82">
        <f>'R3'!R35</f>
        <v>0.90189404228840231</v>
      </c>
      <c r="T45" s="82">
        <f>'R3'!S35</f>
        <v>0.57590573919357946</v>
      </c>
      <c r="U45" s="82">
        <f>'R3'!T35</f>
        <v>0.48644426068814334</v>
      </c>
      <c r="V45" s="82">
        <f>'R3'!U35</f>
        <v>0.55082341971248061</v>
      </c>
      <c r="W45" s="82">
        <f>'R3'!V35</f>
        <v>0.56723223254618471</v>
      </c>
    </row>
    <row r="46" spans="1:23" s="1" customFormat="1">
      <c r="A46" s="151"/>
      <c r="B46" s="82" t="str">
        <f>'R3'!B36</f>
        <v/>
      </c>
      <c r="C46" s="82" t="str">
        <f>'R3'!C36</f>
        <v/>
      </c>
      <c r="D46" s="82" t="str">
        <f>'R3'!D36</f>
        <v/>
      </c>
      <c r="E46" s="82" t="str">
        <f>'R3'!E36</f>
        <v/>
      </c>
      <c r="F46" s="82" t="str">
        <f>'R3'!F36</f>
        <v/>
      </c>
      <c r="G46" s="82" t="str">
        <f>'R3'!G36</f>
        <v/>
      </c>
      <c r="H46" s="82" t="str">
        <f>'R3'!H36</f>
        <v/>
      </c>
      <c r="I46" s="82" t="str">
        <f>'R3'!I36</f>
        <v/>
      </c>
      <c r="J46" s="82" t="str">
        <f>'R3'!J36</f>
        <v/>
      </c>
      <c r="K46" s="82" t="str">
        <f>'R3'!K36</f>
        <v/>
      </c>
      <c r="L46" s="82" t="str">
        <f>'R3'!L36</f>
        <v/>
      </c>
      <c r="M46" s="82" t="str">
        <f>'R3'!M36</f>
        <v/>
      </c>
      <c r="N46" s="82" t="str">
        <f>'R3'!N36</f>
        <v/>
      </c>
      <c r="O46"/>
      <c r="P46" s="82">
        <f>'R3'!O36</f>
        <v>0.66486698084744722</v>
      </c>
      <c r="Q46" s="82" t="str">
        <f>'R3'!P36</f>
        <v/>
      </c>
      <c r="R46" s="82" t="str">
        <f>'R3'!Q36</f>
        <v/>
      </c>
      <c r="S46" s="82" t="str">
        <f>'R3'!R36</f>
        <v/>
      </c>
      <c r="T46" s="82" t="str">
        <f>'R3'!S36</f>
        <v/>
      </c>
      <c r="U46" s="82" t="str">
        <f>'R3'!T36</f>
        <v/>
      </c>
      <c r="V46" s="82" t="str">
        <f>'R3'!U36</f>
        <v/>
      </c>
      <c r="W46" s="82" t="str">
        <f>'R3'!V36</f>
        <v/>
      </c>
    </row>
    <row r="47" spans="1:23" s="1" customFormat="1">
      <c r="A47" s="151"/>
      <c r="B47" s="82" t="str">
        <f>'R3'!B37</f>
        <v/>
      </c>
      <c r="C47" s="82" t="str">
        <f>'R3'!C37</f>
        <v/>
      </c>
      <c r="D47" s="82" t="str">
        <f>'R3'!D37</f>
        <v/>
      </c>
      <c r="E47" s="82" t="str">
        <f>'R3'!E37</f>
        <v/>
      </c>
      <c r="F47" s="82" t="str">
        <f>'R3'!F37</f>
        <v/>
      </c>
      <c r="G47" s="82" t="str">
        <f>'R3'!G37</f>
        <v/>
      </c>
      <c r="H47" s="82" t="str">
        <f>'R3'!H37</f>
        <v/>
      </c>
      <c r="I47" s="82" t="str">
        <f>'R3'!I37</f>
        <v/>
      </c>
      <c r="J47" s="82" t="str">
        <f>'R3'!J37</f>
        <v/>
      </c>
      <c r="K47" s="82" t="str">
        <f>'R3'!K37</f>
        <v/>
      </c>
      <c r="L47" s="82" t="str">
        <f>'R3'!L37</f>
        <v/>
      </c>
      <c r="M47" s="82" t="str">
        <f>'R3'!M37</f>
        <v/>
      </c>
      <c r="N47" s="82" t="str">
        <f>'R3'!N37</f>
        <v/>
      </c>
      <c r="O47"/>
      <c r="P47" s="82">
        <f>'R3'!O37</f>
        <v>0.59877847726284961</v>
      </c>
      <c r="Q47" s="82" t="str">
        <f>'R3'!P37</f>
        <v/>
      </c>
      <c r="R47" s="82" t="str">
        <f>'R3'!Q37</f>
        <v/>
      </c>
      <c r="S47" s="82" t="str">
        <f>'R3'!R37</f>
        <v/>
      </c>
      <c r="T47" s="82" t="str">
        <f>'R3'!S37</f>
        <v/>
      </c>
      <c r="U47" s="82" t="str">
        <f>'R3'!T37</f>
        <v/>
      </c>
      <c r="V47" s="82" t="str">
        <f>'R3'!U37</f>
        <v/>
      </c>
      <c r="W47" s="82" t="str">
        <f>'R3'!V37</f>
        <v/>
      </c>
    </row>
    <row r="48" spans="1:23" s="1" customFormat="1">
      <c r="A48" s="151"/>
      <c r="B48" s="82" t="str">
        <f>'R3'!B38</f>
        <v/>
      </c>
      <c r="C48" s="82" t="str">
        <f>'R3'!C38</f>
        <v/>
      </c>
      <c r="D48" s="82" t="str">
        <f>'R3'!D38</f>
        <v/>
      </c>
      <c r="E48" s="82" t="str">
        <f>'R3'!E38</f>
        <v/>
      </c>
      <c r="F48" s="82" t="str">
        <f>'R3'!F38</f>
        <v/>
      </c>
      <c r="G48" s="82" t="str">
        <f>'R3'!G38</f>
        <v/>
      </c>
      <c r="H48" s="82" t="str">
        <f>'R3'!H38</f>
        <v/>
      </c>
      <c r="I48" s="82" t="str">
        <f>'R3'!I38</f>
        <v/>
      </c>
      <c r="J48" s="82" t="str">
        <f>'R3'!J38</f>
        <v/>
      </c>
      <c r="K48" s="82" t="str">
        <f>'R3'!K38</f>
        <v/>
      </c>
      <c r="L48" s="82" t="str">
        <f>'R3'!L38</f>
        <v/>
      </c>
      <c r="M48" s="82" t="str">
        <f>'R3'!M38</f>
        <v/>
      </c>
      <c r="N48" s="82" t="str">
        <f>'R3'!N38</f>
        <v/>
      </c>
      <c r="O48"/>
      <c r="P48" s="82">
        <f>'R3'!O38</f>
        <v>1.4467539600637178</v>
      </c>
      <c r="Q48" s="82" t="str">
        <f>'R3'!P38</f>
        <v/>
      </c>
      <c r="R48" s="82" t="str">
        <f>'R3'!Q38</f>
        <v/>
      </c>
      <c r="S48" s="82" t="str">
        <f>'R3'!R38</f>
        <v/>
      </c>
      <c r="T48" s="82" t="str">
        <f>'R3'!S38</f>
        <v/>
      </c>
      <c r="U48" s="82" t="str">
        <f>'R3'!T38</f>
        <v/>
      </c>
      <c r="V48" s="82" t="str">
        <f>'R3'!U38</f>
        <v/>
      </c>
      <c r="W48" s="82" t="str">
        <f>'R3'!V38</f>
        <v/>
      </c>
    </row>
    <row r="49" spans="1:25" s="1" customFormat="1">
      <c r="A49" s="151"/>
      <c r="B49" s="82" t="str">
        <f>'R3'!B39</f>
        <v/>
      </c>
      <c r="C49" s="82" t="str">
        <f>'R3'!C39</f>
        <v/>
      </c>
      <c r="D49" s="82" t="str">
        <f>'R3'!D39</f>
        <v/>
      </c>
      <c r="E49" s="82" t="str">
        <f>'R3'!E39</f>
        <v/>
      </c>
      <c r="F49" s="82" t="str">
        <f>'R3'!F39</f>
        <v/>
      </c>
      <c r="G49" s="82" t="str">
        <f>'R3'!G39</f>
        <v/>
      </c>
      <c r="H49" s="82" t="str">
        <f>'R3'!H39</f>
        <v/>
      </c>
      <c r="I49" s="82" t="str">
        <f>'R3'!I39</f>
        <v/>
      </c>
      <c r="J49" s="82" t="str">
        <f>'R3'!J39</f>
        <v/>
      </c>
      <c r="K49" s="82" t="str">
        <f>'R3'!K39</f>
        <v/>
      </c>
      <c r="L49" s="82" t="str">
        <f>'R3'!L39</f>
        <v/>
      </c>
      <c r="M49" s="82" t="str">
        <f>'R3'!M39</f>
        <v/>
      </c>
      <c r="N49" s="82" t="str">
        <f>'R3'!N39</f>
        <v/>
      </c>
      <c r="O49"/>
      <c r="P49" s="82">
        <f>'R3'!O39</f>
        <v>0.14794239198397946</v>
      </c>
      <c r="Q49" s="82" t="str">
        <f>'R3'!P39</f>
        <v/>
      </c>
      <c r="R49" s="82" t="str">
        <f>'R3'!Q39</f>
        <v/>
      </c>
      <c r="S49" s="82" t="str">
        <f>'R3'!R39</f>
        <v/>
      </c>
      <c r="T49" s="82" t="str">
        <f>'R3'!S39</f>
        <v/>
      </c>
      <c r="U49" s="82" t="str">
        <f>'R3'!T39</f>
        <v/>
      </c>
      <c r="V49" s="82" t="str">
        <f>'R3'!U39</f>
        <v/>
      </c>
      <c r="W49" s="82" t="str">
        <f>'R3'!V39</f>
        <v/>
      </c>
    </row>
    <row r="50" spans="1:25" s="1" customFormat="1">
      <c r="A50" s="151"/>
      <c r="B50" s="82" t="str">
        <f>'R3'!B40</f>
        <v/>
      </c>
      <c r="C50" s="82" t="str">
        <f>'R3'!C40</f>
        <v/>
      </c>
      <c r="D50" s="82" t="str">
        <f>'R3'!D40</f>
        <v/>
      </c>
      <c r="E50" s="82" t="str">
        <f>'R3'!E40</f>
        <v/>
      </c>
      <c r="F50" s="82" t="str">
        <f>'R3'!F40</f>
        <v/>
      </c>
      <c r="G50" s="82" t="str">
        <f>'R3'!G40</f>
        <v/>
      </c>
      <c r="H50" s="82" t="str">
        <f>'R3'!H40</f>
        <v/>
      </c>
      <c r="I50" s="82" t="str">
        <f>'R3'!I40</f>
        <v/>
      </c>
      <c r="J50" s="82" t="str">
        <f>'R3'!J40</f>
        <v/>
      </c>
      <c r="K50" s="82" t="str">
        <f>'R3'!K40</f>
        <v/>
      </c>
      <c r="L50" s="82" t="str">
        <f>'R3'!L40</f>
        <v/>
      </c>
      <c r="M50" s="82" t="str">
        <f>'R3'!M40</f>
        <v/>
      </c>
      <c r="N50" s="82" t="str">
        <f>'R3'!N40</f>
        <v/>
      </c>
      <c r="O50"/>
      <c r="P50" s="82">
        <f>'R3'!O40</f>
        <v>7.1425917058264253E-3</v>
      </c>
      <c r="Q50" s="82" t="str">
        <f>'R3'!P40</f>
        <v/>
      </c>
      <c r="R50" s="82" t="str">
        <f>'R3'!Q40</f>
        <v/>
      </c>
      <c r="S50" s="82" t="str">
        <f>'R3'!R40</f>
        <v/>
      </c>
      <c r="T50" s="82" t="str">
        <f>'R3'!S40</f>
        <v/>
      </c>
      <c r="U50" s="82" t="str">
        <f>'R3'!T40</f>
        <v/>
      </c>
      <c r="V50" s="82" t="str">
        <f>'R3'!U40</f>
        <v/>
      </c>
      <c r="W50" s="82" t="str">
        <f>'R3'!V40</f>
        <v/>
      </c>
    </row>
    <row r="51" spans="1:25" s="1" customFormat="1">
      <c r="A51" s="151"/>
      <c r="B51" s="82" t="str">
        <f>'R3'!B41</f>
        <v/>
      </c>
      <c r="C51" s="82" t="str">
        <f>'R3'!C41</f>
        <v/>
      </c>
      <c r="D51" s="82" t="str">
        <f>'R3'!D41</f>
        <v/>
      </c>
      <c r="E51" s="82" t="str">
        <f>'R3'!E41</f>
        <v/>
      </c>
      <c r="F51" s="82" t="str">
        <f>'R3'!F41</f>
        <v/>
      </c>
      <c r="G51" s="82" t="str">
        <f>'R3'!G41</f>
        <v/>
      </c>
      <c r="H51" s="82" t="str">
        <f>'R3'!H41</f>
        <v/>
      </c>
      <c r="I51" s="82" t="str">
        <f>'R3'!I41</f>
        <v/>
      </c>
      <c r="J51" s="82" t="str">
        <f>'R3'!J41</f>
        <v/>
      </c>
      <c r="K51" s="82" t="str">
        <f>'R3'!K41</f>
        <v/>
      </c>
      <c r="L51" s="82" t="str">
        <f>'R3'!L41</f>
        <v/>
      </c>
      <c r="M51" s="82" t="str">
        <f>'R3'!M41</f>
        <v/>
      </c>
      <c r="N51" s="82" t="str">
        <f>'R3'!N41</f>
        <v/>
      </c>
      <c r="O51"/>
      <c r="P51" s="82">
        <f>'R3'!O41</f>
        <v>1.7477848630552093</v>
      </c>
      <c r="Q51" s="82" t="str">
        <f>'R3'!P41</f>
        <v/>
      </c>
      <c r="R51" s="82" t="str">
        <f>'R3'!Q41</f>
        <v/>
      </c>
      <c r="S51" s="82" t="str">
        <f>'R3'!R41</f>
        <v/>
      </c>
      <c r="T51" s="82" t="str">
        <f>'R3'!S41</f>
        <v/>
      </c>
      <c r="U51" s="82" t="str">
        <f>'R3'!T41</f>
        <v/>
      </c>
      <c r="V51" s="82" t="str">
        <f>'R3'!U41</f>
        <v/>
      </c>
      <c r="W51" s="82" t="str">
        <f>'R3'!V41</f>
        <v/>
      </c>
    </row>
    <row r="52" spans="1:25" s="1" customFormat="1">
      <c r="A52" s="151"/>
      <c r="B52" s="82" t="str">
        <f>'R3'!B42</f>
        <v/>
      </c>
      <c r="C52" s="82" t="str">
        <f>'R3'!C42</f>
        <v/>
      </c>
      <c r="D52" s="82" t="str">
        <f>'R3'!D42</f>
        <v/>
      </c>
      <c r="E52" s="82" t="str">
        <f>'R3'!E42</f>
        <v/>
      </c>
      <c r="F52" s="82" t="str">
        <f>'R3'!F42</f>
        <v/>
      </c>
      <c r="G52" s="82" t="str">
        <f>'R3'!G42</f>
        <v/>
      </c>
      <c r="H52" s="82" t="str">
        <f>'R3'!H42</f>
        <v/>
      </c>
      <c r="I52" s="82" t="str">
        <f>'R3'!I42</f>
        <v/>
      </c>
      <c r="J52" s="82" t="str">
        <f>'R3'!J42</f>
        <v/>
      </c>
      <c r="K52" s="82" t="str">
        <f>'R3'!K42</f>
        <v/>
      </c>
      <c r="L52" s="82" t="str">
        <f>'R3'!L42</f>
        <v/>
      </c>
      <c r="M52" s="82" t="str">
        <f>'R3'!M42</f>
        <v/>
      </c>
      <c r="N52" s="82" t="str">
        <f>'R3'!N42</f>
        <v/>
      </c>
      <c r="O52"/>
      <c r="P52" s="82">
        <f>'R3'!O42</f>
        <v>1.6838220398078203</v>
      </c>
      <c r="Q52" s="82" t="str">
        <f>'R3'!P42</f>
        <v/>
      </c>
      <c r="R52" s="82" t="str">
        <f>'R3'!Q42</f>
        <v/>
      </c>
      <c r="S52" s="82" t="str">
        <f>'R3'!R42</f>
        <v/>
      </c>
      <c r="T52" s="82" t="str">
        <f>'R3'!S42</f>
        <v/>
      </c>
      <c r="U52" s="82" t="str">
        <f>'R3'!T42</f>
        <v/>
      </c>
      <c r="V52" s="82" t="str">
        <f>'R3'!U42</f>
        <v/>
      </c>
      <c r="W52" s="82" t="str">
        <f>'R3'!V42</f>
        <v/>
      </c>
    </row>
    <row r="53" spans="1:25" s="1" customFormat="1">
      <c r="A53" s="152"/>
      <c r="B53" s="82" t="str">
        <f>'R3'!B43</f>
        <v/>
      </c>
      <c r="C53" s="82" t="str">
        <f>'R3'!C43</f>
        <v/>
      </c>
      <c r="D53" s="82" t="str">
        <f>'R3'!D43</f>
        <v/>
      </c>
      <c r="E53" s="82" t="str">
        <f>'R3'!E43</f>
        <v/>
      </c>
      <c r="F53" s="82" t="str">
        <f>'R3'!F43</f>
        <v/>
      </c>
      <c r="G53" s="82" t="str">
        <f>'R3'!G43</f>
        <v/>
      </c>
      <c r="H53" s="82" t="str">
        <f>'R3'!H43</f>
        <v/>
      </c>
      <c r="I53" s="82" t="str">
        <f>'R3'!I43</f>
        <v/>
      </c>
      <c r="J53" s="82" t="str">
        <f>'R3'!J43</f>
        <v/>
      </c>
      <c r="K53" s="82" t="str">
        <f>'R3'!K43</f>
        <v/>
      </c>
      <c r="L53" s="82" t="str">
        <f>'R3'!L43</f>
        <v/>
      </c>
      <c r="M53" s="82" t="str">
        <f>'R3'!M43</f>
        <v/>
      </c>
      <c r="N53" s="82" t="str">
        <f>'R3'!N43</f>
        <v/>
      </c>
      <c r="O53"/>
      <c r="P53" s="82">
        <f>'R3'!O43</f>
        <v>1.3233287672115626</v>
      </c>
      <c r="Q53" s="82" t="str">
        <f>'R3'!P43</f>
        <v/>
      </c>
      <c r="R53" s="82" t="str">
        <f>'R3'!Q43</f>
        <v/>
      </c>
      <c r="S53" s="82" t="str">
        <f>'R3'!R43</f>
        <v/>
      </c>
      <c r="T53" s="82" t="str">
        <f>'R3'!S43</f>
        <v/>
      </c>
      <c r="U53" s="82" t="str">
        <f>'R3'!T43</f>
        <v/>
      </c>
      <c r="V53" s="82" t="str">
        <f>'R3'!U43</f>
        <v/>
      </c>
      <c r="W53" s="82" t="str">
        <f>'R3'!V43</f>
        <v/>
      </c>
    </row>
    <row r="54" spans="1:25" s="42" customFormat="1">
      <c r="A54" s="40"/>
      <c r="B54" s="41"/>
      <c r="C54" s="41"/>
      <c r="D54" s="41"/>
      <c r="E54" s="41"/>
      <c r="F54" s="41"/>
      <c r="G54" s="41"/>
      <c r="H54" s="41"/>
      <c r="I54" s="41"/>
      <c r="J54" s="41"/>
      <c r="K54" s="41"/>
      <c r="L54" s="41"/>
      <c r="M54" s="41"/>
      <c r="N54" s="41"/>
      <c r="O54"/>
      <c r="P54" s="41"/>
      <c r="Q54" s="41"/>
      <c r="R54" s="41"/>
      <c r="S54" s="41"/>
      <c r="T54" s="41"/>
      <c r="U54" s="41"/>
      <c r="V54" s="41"/>
      <c r="W54" s="41"/>
    </row>
    <row r="55" spans="1:25" s="25" customFormat="1">
      <c r="A55" s="25" t="s">
        <v>27</v>
      </c>
      <c r="B55" s="14" t="str">
        <f t="shared" ref="B55:N55" si="0">B4</f>
        <v>Solvent control</v>
      </c>
      <c r="C55" s="14" t="str">
        <f t="shared" si="0"/>
        <v>EE2-33.8ng/L</v>
      </c>
      <c r="D55" s="14" t="str">
        <f t="shared" si="0"/>
        <v>EE2-50.6ng/L</v>
      </c>
      <c r="E55" s="14" t="str">
        <f t="shared" si="0"/>
        <v>EE2-76ng/L</v>
      </c>
      <c r="F55" s="14" t="str">
        <f t="shared" si="0"/>
        <v>EE2-114ng/L</v>
      </c>
      <c r="G55" s="14" t="str">
        <f t="shared" si="0"/>
        <v>EE2-170.9ng/L</v>
      </c>
      <c r="H55" s="14" t="str">
        <f t="shared" si="0"/>
        <v>EE2-488ng/L</v>
      </c>
      <c r="I55" s="14" t="str">
        <f t="shared" si="0"/>
        <v>Dutasteride-1mg/L</v>
      </c>
      <c r="J55" s="14" t="str">
        <f t="shared" si="0"/>
        <v>Dutasteride-0.5mg/L</v>
      </c>
      <c r="K55" s="14" t="str">
        <f t="shared" si="0"/>
        <v>Dutasteride-0.25mg/L</v>
      </c>
      <c r="L55" s="14" t="str">
        <f t="shared" si="0"/>
        <v>Dutasteride-0.1mg/L</v>
      </c>
      <c r="M55" s="14" t="str">
        <f t="shared" si="0"/>
        <v>Dutasteride-0.01mg/L</v>
      </c>
      <c r="N55" s="14" t="str">
        <f t="shared" si="0"/>
        <v/>
      </c>
      <c r="P55" s="14" t="str">
        <f t="shared" ref="P55:W55" si="1">P4</f>
        <v>Testo -30µg/L</v>
      </c>
      <c r="Q55" s="14" t="str">
        <f t="shared" si="1"/>
        <v>Testo 30µg/L + EE2 -64ng/L</v>
      </c>
      <c r="R55" s="14" t="str">
        <f t="shared" si="1"/>
        <v>Testo 30µg/L + FAD-10mg/L</v>
      </c>
      <c r="S55" s="14" t="str">
        <f t="shared" si="1"/>
        <v>Dutasteride-1mg/L + Testostérone</v>
      </c>
      <c r="T55" s="14" t="str">
        <f t="shared" si="1"/>
        <v>Dutasteride-0.5mg/L + Testostérone</v>
      </c>
      <c r="U55" s="14" t="str">
        <f t="shared" si="1"/>
        <v>Dutasteride-0.25mg/L + Testostérone</v>
      </c>
      <c r="V55" s="14" t="str">
        <f t="shared" si="1"/>
        <v>Dutasteride-0.1mg/L + Testostérone</v>
      </c>
      <c r="W55" s="14" t="str">
        <f t="shared" si="1"/>
        <v>Dutasteride-0.01mg/L + Testostérone</v>
      </c>
    </row>
    <row r="56" spans="1:25">
      <c r="A56" t="s">
        <v>28</v>
      </c>
      <c r="B56" s="8">
        <f t="shared" ref="B56:W56" si="2">AVERAGE(B6:B53)</f>
        <v>6.6112763966965957E-2</v>
      </c>
      <c r="C56" s="8">
        <f t="shared" si="2"/>
        <v>0.27094660338588861</v>
      </c>
      <c r="D56" s="8">
        <f t="shared" si="2"/>
        <v>0.44900306344143054</v>
      </c>
      <c r="E56" s="8">
        <f t="shared" si="2"/>
        <v>1.0796848930382508</v>
      </c>
      <c r="F56" s="8">
        <f t="shared" si="2"/>
        <v>1.3272606541731158</v>
      </c>
      <c r="G56" s="8">
        <f t="shared" si="2"/>
        <v>2.2904998177309692</v>
      </c>
      <c r="H56" s="8">
        <f t="shared" si="2"/>
        <v>2.7101124304720927</v>
      </c>
      <c r="I56" s="8">
        <f t="shared" si="2"/>
        <v>0.16994320559684165</v>
      </c>
      <c r="J56" s="8">
        <f t="shared" si="2"/>
        <v>0.11642429514248663</v>
      </c>
      <c r="K56" s="8">
        <f t="shared" si="2"/>
        <v>0.1753229392151654</v>
      </c>
      <c r="L56" s="8">
        <f t="shared" si="2"/>
        <v>0.15926099601186486</v>
      </c>
      <c r="M56" s="8">
        <f t="shared" si="2"/>
        <v>0.20208256412168249</v>
      </c>
      <c r="N56" s="8" t="e">
        <f t="shared" si="2"/>
        <v>#DIV/0!</v>
      </c>
      <c r="O56" s="8"/>
      <c r="P56" s="8">
        <f t="shared" si="2"/>
        <v>1</v>
      </c>
      <c r="Q56" s="8">
        <f t="shared" si="2"/>
        <v>1.3902647106602093</v>
      </c>
      <c r="R56" s="8">
        <f t="shared" si="2"/>
        <v>0.12837263832283294</v>
      </c>
      <c r="S56" s="8">
        <f t="shared" si="2"/>
        <v>1.1355300904460623</v>
      </c>
      <c r="T56" s="8">
        <f t="shared" si="2"/>
        <v>1.161167245555448</v>
      </c>
      <c r="U56" s="8">
        <f t="shared" si="2"/>
        <v>0.94439548446542843</v>
      </c>
      <c r="V56" s="8">
        <f t="shared" si="2"/>
        <v>1.1171901372316579</v>
      </c>
      <c r="W56" s="8">
        <f t="shared" si="2"/>
        <v>0.89418097665152363</v>
      </c>
    </row>
    <row r="57" spans="1:25">
      <c r="A57" t="s">
        <v>1</v>
      </c>
      <c r="B57" s="3">
        <f>STDEV(B6:B53)</f>
        <v>7.3795146214176183E-2</v>
      </c>
      <c r="C57" s="3">
        <f t="shared" ref="C57:W57" si="3">STDEV(C6:C53)</f>
        <v>0.19135596769302082</v>
      </c>
      <c r="D57" s="3">
        <f t="shared" si="3"/>
        <v>0.23180030844977637</v>
      </c>
      <c r="E57" s="3">
        <f t="shared" si="3"/>
        <v>0.59656508659071839</v>
      </c>
      <c r="F57" s="3">
        <f t="shared" si="3"/>
        <v>0.29954726292362838</v>
      </c>
      <c r="G57" s="3">
        <f t="shared" si="3"/>
        <v>0.47391039305859534</v>
      </c>
      <c r="H57" s="3">
        <f t="shared" si="3"/>
        <v>0.81198374658525274</v>
      </c>
      <c r="I57" s="3">
        <f t="shared" si="3"/>
        <v>0.14399401606166945</v>
      </c>
      <c r="J57" s="3">
        <f t="shared" si="3"/>
        <v>0.12140522942794743</v>
      </c>
      <c r="K57" s="3">
        <f t="shared" si="3"/>
        <v>0.13633853696175657</v>
      </c>
      <c r="L57" s="3">
        <f t="shared" si="3"/>
        <v>0.13897209383711012</v>
      </c>
      <c r="M57" s="3">
        <f t="shared" si="3"/>
        <v>0.18953597876480408</v>
      </c>
      <c r="N57" s="3" t="e">
        <f t="shared" si="3"/>
        <v>#DIV/0!</v>
      </c>
      <c r="O57" s="3"/>
      <c r="P57" s="3">
        <f t="shared" si="3"/>
        <v>0.47127746981459329</v>
      </c>
      <c r="Q57" s="3">
        <f t="shared" si="3"/>
        <v>0.4785567079526567</v>
      </c>
      <c r="R57" s="3">
        <f t="shared" si="3"/>
        <v>0.16867437565084029</v>
      </c>
      <c r="S57" s="3">
        <f t="shared" si="3"/>
        <v>0.68787097620185289</v>
      </c>
      <c r="T57" s="3">
        <f t="shared" si="3"/>
        <v>0.6587736115107804</v>
      </c>
      <c r="U57" s="3">
        <f t="shared" si="3"/>
        <v>0.57564899946252568</v>
      </c>
      <c r="V57" s="3">
        <f t="shared" si="3"/>
        <v>0.68206290363636846</v>
      </c>
      <c r="W57" s="3">
        <f t="shared" si="3"/>
        <v>0.46954704536287029</v>
      </c>
      <c r="X57" s="3"/>
      <c r="Y57" s="3"/>
    </row>
    <row r="58" spans="1:25">
      <c r="A58" t="s">
        <v>2</v>
      </c>
      <c r="B58" s="3">
        <f xml:space="preserve"> B57/SQRT(COUNT(B6:B53))</f>
        <v>1.5063371143234121E-2</v>
      </c>
      <c r="C58" s="3">
        <f t="shared" ref="C58:W58" si="4" xml:space="preserve"> C57/SQRT(COUNT(C6:C53))</f>
        <v>3.9900477479834766E-2</v>
      </c>
      <c r="D58" s="3">
        <f t="shared" si="4"/>
        <v>4.7316039826808674E-2</v>
      </c>
      <c r="E58" s="3">
        <f t="shared" si="4"/>
        <v>0.1217733383755436</v>
      </c>
      <c r="F58" s="3">
        <f t="shared" si="4"/>
        <v>6.1144829000850297E-2</v>
      </c>
      <c r="G58" s="3">
        <f t="shared" si="4"/>
        <v>9.6736553899614469E-2</v>
      </c>
      <c r="H58" s="3">
        <f t="shared" si="4"/>
        <v>0.165745488213936</v>
      </c>
      <c r="I58" s="3">
        <f t="shared" si="4"/>
        <v>2.9392655447101297E-2</v>
      </c>
      <c r="J58" s="3">
        <f t="shared" si="4"/>
        <v>2.4781738683666309E-2</v>
      </c>
      <c r="K58" s="3">
        <f t="shared" si="4"/>
        <v>2.7829987319490664E-2</v>
      </c>
      <c r="L58" s="3">
        <f t="shared" si="4"/>
        <v>2.8367559865591883E-2</v>
      </c>
      <c r="M58" s="3">
        <f t="shared" si="4"/>
        <v>3.8688869656063156E-2</v>
      </c>
      <c r="N58" s="3" t="e">
        <f t="shared" si="4"/>
        <v>#DIV/0!</v>
      </c>
      <c r="O58" s="3"/>
      <c r="P58" s="3">
        <f t="shared" si="4"/>
        <v>6.8742884127654905E-2</v>
      </c>
      <c r="Q58" s="3">
        <f t="shared" si="4"/>
        <v>9.7684978955843133E-2</v>
      </c>
      <c r="R58" s="3">
        <f t="shared" si="4"/>
        <v>3.4430512752257496E-2</v>
      </c>
      <c r="S58" s="3">
        <f t="shared" si="4"/>
        <v>0.14041107504705752</v>
      </c>
      <c r="T58" s="3">
        <f t="shared" si="4"/>
        <v>0.13447160035099057</v>
      </c>
      <c r="U58" s="3">
        <f t="shared" si="4"/>
        <v>0.11750385996890467</v>
      </c>
      <c r="V58" s="3">
        <f t="shared" si="4"/>
        <v>0.139225507199183</v>
      </c>
      <c r="W58" s="3">
        <f t="shared" si="4"/>
        <v>9.5845889280874869E-2</v>
      </c>
      <c r="X58" s="3"/>
      <c r="Y58" s="3"/>
    </row>
    <row r="59" spans="1:25" s="1" customFormat="1" ht="15.75" thickBot="1">
      <c r="B59" s="3"/>
      <c r="C59" s="3"/>
      <c r="D59" s="3"/>
      <c r="E59" s="3"/>
      <c r="F59" s="3"/>
      <c r="G59" s="3"/>
      <c r="H59" s="3"/>
      <c r="I59" s="3"/>
      <c r="J59" s="3"/>
      <c r="K59" s="3"/>
      <c r="L59" s="3"/>
      <c r="M59" s="3"/>
      <c r="N59" s="3"/>
      <c r="O59" s="3"/>
      <c r="P59" s="3"/>
      <c r="Q59" s="3"/>
      <c r="R59" s="3"/>
      <c r="S59" s="3"/>
      <c r="T59" s="3"/>
      <c r="U59" s="3"/>
      <c r="V59" s="3"/>
      <c r="W59" s="3"/>
    </row>
    <row r="60" spans="1:25" s="30" customFormat="1" ht="27" thickBot="1">
      <c r="A60" s="153" t="s">
        <v>26</v>
      </c>
      <c r="B60" s="154"/>
      <c r="C60" s="154"/>
      <c r="D60" s="154"/>
      <c r="E60" s="154"/>
      <c r="F60" s="154"/>
      <c r="G60" s="154"/>
      <c r="H60" s="154"/>
      <c r="I60" s="154"/>
      <c r="J60" s="154"/>
      <c r="K60" s="154"/>
      <c r="L60" s="154"/>
      <c r="M60" s="154"/>
      <c r="N60" s="154"/>
      <c r="O60" s="154"/>
      <c r="P60" s="154"/>
      <c r="Q60" s="154"/>
      <c r="R60" s="154"/>
      <c r="S60" s="154"/>
      <c r="T60" s="154"/>
      <c r="U60" s="154"/>
      <c r="V60" s="154"/>
      <c r="W60" s="154"/>
    </row>
    <row r="61" spans="1:25" s="1" customFormat="1">
      <c r="B61" s="3"/>
      <c r="C61" s="3"/>
      <c r="D61" s="3"/>
      <c r="E61" s="3"/>
      <c r="F61" s="3"/>
      <c r="G61" s="3"/>
      <c r="H61" s="3"/>
      <c r="I61" s="3"/>
      <c r="J61" s="3"/>
      <c r="K61" s="3"/>
      <c r="L61" s="3"/>
      <c r="M61" s="3"/>
      <c r="N61" s="3"/>
      <c r="O61" s="3"/>
      <c r="P61" s="3"/>
      <c r="Q61" s="3"/>
      <c r="R61" s="3"/>
      <c r="S61" s="3"/>
      <c r="T61" s="3"/>
      <c r="U61" s="3"/>
      <c r="V61" s="3"/>
      <c r="W61" s="3"/>
    </row>
    <row r="62" spans="1:25" s="1" customFormat="1">
      <c r="A62" s="1" t="s">
        <v>27</v>
      </c>
      <c r="B62" s="3" t="str">
        <f t="shared" ref="B62" si="5">B4</f>
        <v>Solvent control</v>
      </c>
      <c r="C62" s="3" t="str">
        <f t="shared" ref="C62:W62" si="6">C4</f>
        <v>EE2-33.8ng/L</v>
      </c>
      <c r="D62" s="3" t="str">
        <f t="shared" si="6"/>
        <v>EE2-50.6ng/L</v>
      </c>
      <c r="E62" s="3" t="str">
        <f t="shared" si="6"/>
        <v>EE2-76ng/L</v>
      </c>
      <c r="F62" s="3" t="str">
        <f t="shared" si="6"/>
        <v>EE2-114ng/L</v>
      </c>
      <c r="G62" s="3" t="str">
        <f t="shared" si="6"/>
        <v>EE2-170.9ng/L</v>
      </c>
      <c r="H62" s="3" t="str">
        <f t="shared" si="6"/>
        <v>EE2-488ng/L</v>
      </c>
      <c r="I62" s="3" t="str">
        <f t="shared" si="6"/>
        <v>Dutasteride-1mg/L</v>
      </c>
      <c r="J62" s="3" t="str">
        <f t="shared" si="6"/>
        <v>Dutasteride-0.5mg/L</v>
      </c>
      <c r="K62" s="3" t="str">
        <f t="shared" si="6"/>
        <v>Dutasteride-0.25mg/L</v>
      </c>
      <c r="L62" s="3" t="str">
        <f t="shared" si="6"/>
        <v>Dutasteride-0.1mg/L</v>
      </c>
      <c r="M62" s="3" t="str">
        <f t="shared" si="6"/>
        <v>Dutasteride-0.01mg/L</v>
      </c>
      <c r="N62" s="3" t="str">
        <f t="shared" si="6"/>
        <v/>
      </c>
      <c r="O62" s="3"/>
      <c r="P62" s="3" t="str">
        <f t="shared" si="6"/>
        <v>Testo -30µg/L</v>
      </c>
      <c r="Q62" s="3" t="str">
        <f t="shared" si="6"/>
        <v>Testo 30µg/L + EE2 -64ng/L</v>
      </c>
      <c r="R62" s="3" t="str">
        <f t="shared" si="6"/>
        <v>Testo 30µg/L + FAD-10mg/L</v>
      </c>
      <c r="S62" s="3" t="str">
        <f t="shared" si="6"/>
        <v>Dutasteride-1mg/L + Testostérone</v>
      </c>
      <c r="T62" s="3" t="str">
        <f t="shared" si="6"/>
        <v>Dutasteride-0.5mg/L + Testostérone</v>
      </c>
      <c r="U62" s="3" t="str">
        <f t="shared" si="6"/>
        <v>Dutasteride-0.25mg/L + Testostérone</v>
      </c>
      <c r="V62" s="3" t="str">
        <f t="shared" si="6"/>
        <v>Dutasteride-0.1mg/L + Testostérone</v>
      </c>
      <c r="W62" s="3" t="str">
        <f t="shared" si="6"/>
        <v>Dutasteride-0.01mg/L + Testostérone</v>
      </c>
    </row>
    <row r="63" spans="1:25" s="1" customFormat="1">
      <c r="A63" s="1" t="s">
        <v>29</v>
      </c>
      <c r="B63" s="3">
        <f>COUNT(B6:B53)</f>
        <v>24</v>
      </c>
      <c r="C63" s="3">
        <f t="shared" ref="C63:W63" si="7">COUNT(C6:C53)</f>
        <v>23</v>
      </c>
      <c r="D63" s="3">
        <f t="shared" si="7"/>
        <v>24</v>
      </c>
      <c r="E63" s="3">
        <f t="shared" si="7"/>
        <v>24</v>
      </c>
      <c r="F63" s="3">
        <f t="shared" si="7"/>
        <v>24</v>
      </c>
      <c r="G63" s="3">
        <f t="shared" si="7"/>
        <v>24</v>
      </c>
      <c r="H63" s="3">
        <f t="shared" si="7"/>
        <v>24</v>
      </c>
      <c r="I63" s="3">
        <f t="shared" si="7"/>
        <v>24</v>
      </c>
      <c r="J63" s="3">
        <f t="shared" si="7"/>
        <v>24</v>
      </c>
      <c r="K63" s="3">
        <f t="shared" si="7"/>
        <v>24</v>
      </c>
      <c r="L63" s="3">
        <f t="shared" si="7"/>
        <v>24</v>
      </c>
      <c r="M63" s="3">
        <f t="shared" si="7"/>
        <v>24</v>
      </c>
      <c r="N63" s="3">
        <f t="shared" si="7"/>
        <v>0</v>
      </c>
      <c r="O63" s="3"/>
      <c r="P63" s="3">
        <f t="shared" si="7"/>
        <v>47</v>
      </c>
      <c r="Q63" s="3">
        <f t="shared" si="7"/>
        <v>24</v>
      </c>
      <c r="R63" s="3">
        <f t="shared" si="7"/>
        <v>24</v>
      </c>
      <c r="S63" s="3">
        <f t="shared" si="7"/>
        <v>24</v>
      </c>
      <c r="T63" s="3">
        <f t="shared" si="7"/>
        <v>24</v>
      </c>
      <c r="U63" s="3">
        <f t="shared" si="7"/>
        <v>24</v>
      </c>
      <c r="V63" s="3">
        <f t="shared" si="7"/>
        <v>24</v>
      </c>
      <c r="W63" s="3">
        <f t="shared" si="7"/>
        <v>24</v>
      </c>
    </row>
    <row r="64" spans="1:25" s="1" customFormat="1" ht="15.75" thickBot="1">
      <c r="B64" s="3" t="str">
        <f>IF(B63&gt;=21,"OK","ATTENTION")</f>
        <v>OK</v>
      </c>
      <c r="C64" s="3" t="str">
        <f t="shared" ref="C64:W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t="str">
        <f t="shared" si="8"/>
        <v>ATTENTION</v>
      </c>
      <c r="O64" s="3"/>
      <c r="P64" s="3" t="str">
        <f>IF(P63&gt;=41,"OK","ATTENTION")</f>
        <v>OK</v>
      </c>
      <c r="Q64" s="3" t="str">
        <f t="shared" si="8"/>
        <v>OK</v>
      </c>
      <c r="R64" s="3" t="str">
        <f t="shared" si="8"/>
        <v>OK</v>
      </c>
      <c r="S64" s="3" t="str">
        <f t="shared" si="8"/>
        <v>OK</v>
      </c>
      <c r="T64" s="3" t="str">
        <f t="shared" si="8"/>
        <v>OK</v>
      </c>
      <c r="U64" s="3" t="str">
        <f t="shared" si="8"/>
        <v>OK</v>
      </c>
      <c r="V64" s="3" t="str">
        <f t="shared" si="8"/>
        <v>OK</v>
      </c>
      <c r="W64" s="3" t="str">
        <f t="shared" si="8"/>
        <v>OK</v>
      </c>
    </row>
    <row r="65" spans="1:23" s="30" customFormat="1" ht="27" thickBot="1">
      <c r="A65" s="153" t="s">
        <v>37</v>
      </c>
      <c r="B65" s="154"/>
      <c r="C65" s="154"/>
      <c r="D65" s="154"/>
      <c r="E65" s="154"/>
      <c r="F65" s="154"/>
      <c r="G65" s="154"/>
      <c r="H65" s="154"/>
      <c r="I65" s="154"/>
      <c r="J65" s="154"/>
      <c r="K65" s="154"/>
      <c r="L65" s="154"/>
      <c r="M65" s="154"/>
      <c r="N65" s="154"/>
      <c r="O65" s="154"/>
      <c r="P65" s="154"/>
      <c r="Q65" s="154"/>
      <c r="R65" s="154"/>
      <c r="S65" s="154"/>
      <c r="T65" s="154"/>
      <c r="U65" s="154"/>
      <c r="V65" s="154"/>
      <c r="W65" s="154"/>
    </row>
    <row r="66" spans="1:23" s="1" customFormat="1">
      <c r="B66" s="1" t="s">
        <v>39</v>
      </c>
      <c r="C66" s="3"/>
      <c r="D66" s="3"/>
      <c r="E66" s="3"/>
      <c r="F66" s="3"/>
      <c r="G66" s="3"/>
      <c r="H66" s="3"/>
      <c r="I66" s="3"/>
      <c r="J66" s="3"/>
      <c r="K66" s="3"/>
      <c r="L66" s="3"/>
      <c r="M66" s="3"/>
      <c r="N66" s="3"/>
      <c r="O66" s="3"/>
      <c r="P66" s="3"/>
      <c r="Q66" s="3"/>
      <c r="R66" s="3"/>
      <c r="S66" s="3"/>
      <c r="T66" s="3"/>
      <c r="U66" s="3"/>
      <c r="V66" s="3"/>
      <c r="W66" s="3"/>
    </row>
    <row r="67" spans="1:23" s="1" customFormat="1">
      <c r="A67" s="1" t="s">
        <v>38</v>
      </c>
      <c r="B67" s="3">
        <v>3.5</v>
      </c>
      <c r="C67" s="3"/>
      <c r="D67" s="3"/>
      <c r="E67" s="3"/>
      <c r="F67" s="3"/>
      <c r="G67" s="3"/>
      <c r="H67" s="3"/>
      <c r="I67" s="3"/>
      <c r="J67" s="3"/>
      <c r="K67" s="3"/>
      <c r="L67" s="3"/>
      <c r="M67" s="3"/>
      <c r="N67" s="3"/>
      <c r="O67" s="3"/>
      <c r="P67" s="3"/>
      <c r="Q67" s="3"/>
      <c r="R67" s="3"/>
      <c r="S67" s="3"/>
      <c r="T67" s="3"/>
      <c r="U67" s="3"/>
      <c r="V67" s="3"/>
      <c r="W67" s="3"/>
    </row>
    <row r="68" spans="1:23" s="1" customFormat="1">
      <c r="A68" s="1" t="s">
        <v>40</v>
      </c>
      <c r="B68" s="3">
        <v>2</v>
      </c>
      <c r="C68" s="3"/>
      <c r="D68" s="3"/>
      <c r="E68" s="3"/>
      <c r="F68" s="3"/>
      <c r="G68" s="3"/>
      <c r="H68" s="3"/>
      <c r="I68" s="3"/>
      <c r="J68" s="3"/>
      <c r="K68" s="3"/>
      <c r="L68" s="3"/>
      <c r="M68" s="3"/>
      <c r="N68" s="3"/>
      <c r="O68" s="3"/>
      <c r="P68" s="3"/>
      <c r="Q68" s="3"/>
      <c r="R68" s="3"/>
      <c r="S68" s="3"/>
      <c r="T68" s="3"/>
      <c r="U68" s="3"/>
      <c r="V68" s="3"/>
      <c r="W68" s="3"/>
    </row>
    <row r="69" spans="1:23" s="1" customFormat="1" ht="15.75" thickBot="1">
      <c r="A69" s="1" t="s">
        <v>41</v>
      </c>
      <c r="B69" s="3">
        <v>0.5</v>
      </c>
      <c r="C69" s="3"/>
      <c r="D69" s="3"/>
      <c r="E69" s="3"/>
      <c r="F69" s="3"/>
      <c r="G69" s="3"/>
      <c r="H69" s="3"/>
      <c r="I69" s="3"/>
      <c r="J69" s="3"/>
      <c r="K69" s="3"/>
      <c r="L69" s="3"/>
      <c r="M69" s="3"/>
      <c r="N69" s="3"/>
      <c r="O69" s="3"/>
      <c r="P69" s="3"/>
      <c r="Q69" s="3"/>
      <c r="R69" s="3"/>
      <c r="S69" s="3"/>
      <c r="T69" s="3"/>
      <c r="U69" s="3"/>
      <c r="V69" s="3"/>
      <c r="W69" s="3"/>
    </row>
    <row r="70" spans="1:23" s="30" customFormat="1" ht="27" thickBot="1">
      <c r="A70" s="153" t="s">
        <v>32</v>
      </c>
      <c r="B70" s="154"/>
      <c r="C70" s="154"/>
      <c r="D70" s="154"/>
      <c r="E70" s="154"/>
      <c r="F70" s="154"/>
      <c r="G70" s="154"/>
      <c r="H70" s="154"/>
      <c r="I70" s="154"/>
      <c r="J70" s="154"/>
      <c r="K70" s="154"/>
      <c r="L70" s="154"/>
      <c r="M70" s="154"/>
      <c r="N70" s="154"/>
      <c r="O70" s="154"/>
      <c r="P70" s="154"/>
      <c r="Q70" s="154"/>
      <c r="R70" s="154"/>
      <c r="S70" s="154"/>
      <c r="T70" s="154"/>
      <c r="U70" s="154"/>
      <c r="V70" s="154"/>
      <c r="W70" s="154"/>
    </row>
    <row r="71" spans="1:23" ht="15.75" thickBot="1"/>
    <row r="72" spans="1:23" s="30" customFormat="1" ht="27" thickBot="1">
      <c r="A72" s="153" t="s">
        <v>33</v>
      </c>
      <c r="B72" s="154"/>
      <c r="C72" s="154"/>
      <c r="D72" s="154"/>
      <c r="E72" s="154"/>
      <c r="F72" s="154"/>
      <c r="G72" s="154"/>
      <c r="H72" s="154"/>
      <c r="I72" s="154"/>
      <c r="J72" s="154"/>
      <c r="K72" s="154"/>
      <c r="L72" s="154"/>
      <c r="M72" s="154"/>
      <c r="N72" s="154"/>
      <c r="O72" s="154"/>
      <c r="P72" s="154"/>
      <c r="Q72" s="154"/>
      <c r="R72" s="154"/>
      <c r="S72" s="154"/>
      <c r="T72" s="154"/>
      <c r="U72" s="154"/>
      <c r="V72" s="154"/>
      <c r="W72" s="154"/>
    </row>
    <row r="73" spans="1:23" ht="15.75" thickBot="1">
      <c r="J73" s="3">
        <v>1</v>
      </c>
      <c r="K73" s="3">
        <v>2</v>
      </c>
      <c r="L73" s="3">
        <v>3</v>
      </c>
      <c r="M73" s="3">
        <v>4</v>
      </c>
      <c r="N73" s="3">
        <v>5</v>
      </c>
      <c r="S73" s="3">
        <v>1</v>
      </c>
      <c r="T73" s="3">
        <v>2</v>
      </c>
      <c r="U73" s="3">
        <v>3</v>
      </c>
      <c r="V73" s="3">
        <v>4</v>
      </c>
      <c r="W73" s="3">
        <v>5</v>
      </c>
    </row>
    <row r="74" spans="1:23" s="1" customFormat="1">
      <c r="A74" s="28" t="s">
        <v>22</v>
      </c>
      <c r="B74" s="29" t="str">
        <f t="shared" ref="B74:N74" si="9">B4</f>
        <v>Solvent control</v>
      </c>
      <c r="C74" s="29" t="str">
        <f t="shared" si="9"/>
        <v>EE2-33.8ng/L</v>
      </c>
      <c r="D74" s="29" t="str">
        <f t="shared" si="9"/>
        <v>EE2-50.6ng/L</v>
      </c>
      <c r="E74" s="29" t="str">
        <f t="shared" si="9"/>
        <v>EE2-76ng/L</v>
      </c>
      <c r="F74" s="29" t="str">
        <f t="shared" si="9"/>
        <v>EE2-114ng/L</v>
      </c>
      <c r="G74" s="29" t="str">
        <f t="shared" si="9"/>
        <v>EE2-170.9ng/L</v>
      </c>
      <c r="H74" s="29" t="str">
        <f t="shared" si="9"/>
        <v>EE2-488ng/L</v>
      </c>
      <c r="I74" s="29" t="str">
        <f t="shared" si="9"/>
        <v>Dutasteride-1mg/L</v>
      </c>
      <c r="J74" s="29" t="str">
        <f t="shared" si="9"/>
        <v>Dutasteride-0.5mg/L</v>
      </c>
      <c r="K74" s="29" t="str">
        <f t="shared" si="9"/>
        <v>Dutasteride-0.25mg/L</v>
      </c>
      <c r="L74" s="29" t="str">
        <f t="shared" si="9"/>
        <v>Dutasteride-0.1mg/L</v>
      </c>
      <c r="M74" s="29" t="str">
        <f t="shared" si="9"/>
        <v>Dutasteride-0.01mg/L</v>
      </c>
      <c r="N74" s="29" t="str">
        <f t="shared" si="9"/>
        <v/>
      </c>
      <c r="O74" s="29"/>
      <c r="P74" s="29" t="str">
        <f t="shared" ref="P74:W74" si="10">P4</f>
        <v>Testo -30µg/L</v>
      </c>
      <c r="Q74" s="29" t="str">
        <f t="shared" si="10"/>
        <v>Testo 30µg/L + EE2 -64ng/L</v>
      </c>
      <c r="R74" s="29" t="str">
        <f t="shared" si="10"/>
        <v>Testo 30µg/L + FAD-10mg/L</v>
      </c>
      <c r="S74" s="29" t="str">
        <f t="shared" si="10"/>
        <v>Dutasteride-1mg/L + Testostérone</v>
      </c>
      <c r="T74" s="29" t="str">
        <f t="shared" si="10"/>
        <v>Dutasteride-0.5mg/L + Testostérone</v>
      </c>
      <c r="U74" s="29" t="str">
        <f t="shared" si="10"/>
        <v>Dutasteride-0.25mg/L + Testostérone</v>
      </c>
      <c r="V74" s="29" t="str">
        <f t="shared" si="10"/>
        <v>Dutasteride-0.1mg/L + Testostérone</v>
      </c>
      <c r="W74" s="29" t="str">
        <f t="shared" si="10"/>
        <v>Dutasteride-0.01mg/L + Testostérone</v>
      </c>
    </row>
    <row r="75" spans="1:23" s="3" customFormat="1">
      <c r="A75" s="43" t="s">
        <v>15</v>
      </c>
      <c r="B75" s="75">
        <f>B56</f>
        <v>6.6112763966965957E-2</v>
      </c>
      <c r="C75" s="75">
        <f t="shared" ref="C75:W75" si="11">C56</f>
        <v>0.27094660338588861</v>
      </c>
      <c r="D75" s="75">
        <f t="shared" si="11"/>
        <v>0.44900306344143054</v>
      </c>
      <c r="E75" s="75">
        <f t="shared" si="11"/>
        <v>1.0796848930382508</v>
      </c>
      <c r="F75" s="75">
        <f t="shared" si="11"/>
        <v>1.3272606541731158</v>
      </c>
      <c r="G75" s="75">
        <f t="shared" si="11"/>
        <v>2.2904998177309692</v>
      </c>
      <c r="H75" s="75">
        <f t="shared" si="11"/>
        <v>2.7101124304720927</v>
      </c>
      <c r="I75" s="75">
        <f t="shared" si="11"/>
        <v>0.16994320559684165</v>
      </c>
      <c r="J75" s="75">
        <f t="shared" si="11"/>
        <v>0.11642429514248663</v>
      </c>
      <c r="K75" s="75">
        <f t="shared" si="11"/>
        <v>0.1753229392151654</v>
      </c>
      <c r="L75" s="75">
        <f t="shared" si="11"/>
        <v>0.15926099601186486</v>
      </c>
      <c r="M75" s="75">
        <f t="shared" si="11"/>
        <v>0.20208256412168249</v>
      </c>
      <c r="N75" s="75" t="e">
        <f t="shared" si="11"/>
        <v>#DIV/0!</v>
      </c>
      <c r="O75" s="75"/>
      <c r="P75" s="75">
        <f t="shared" si="11"/>
        <v>1</v>
      </c>
      <c r="Q75" s="75">
        <f t="shared" si="11"/>
        <v>1.3902647106602093</v>
      </c>
      <c r="R75" s="75">
        <f t="shared" si="11"/>
        <v>0.12837263832283294</v>
      </c>
      <c r="S75" s="75">
        <f t="shared" si="11"/>
        <v>1.1355300904460623</v>
      </c>
      <c r="T75" s="75">
        <f t="shared" si="11"/>
        <v>1.161167245555448</v>
      </c>
      <c r="U75" s="75">
        <f t="shared" si="11"/>
        <v>0.94439548446542843</v>
      </c>
      <c r="V75" s="75">
        <f t="shared" si="11"/>
        <v>1.1171901372316579</v>
      </c>
      <c r="W75" s="75">
        <f t="shared" si="11"/>
        <v>0.89418097665152363</v>
      </c>
    </row>
    <row r="76" spans="1:23" s="3" customFormat="1">
      <c r="A76" s="43" t="s">
        <v>2</v>
      </c>
      <c r="B76" s="75">
        <f>B58</f>
        <v>1.5063371143234121E-2</v>
      </c>
      <c r="C76" s="75">
        <f t="shared" ref="C76:W76" si="12">C58</f>
        <v>3.9900477479834766E-2</v>
      </c>
      <c r="D76" s="75">
        <f t="shared" si="12"/>
        <v>4.7316039826808674E-2</v>
      </c>
      <c r="E76" s="75">
        <f t="shared" si="12"/>
        <v>0.1217733383755436</v>
      </c>
      <c r="F76" s="75">
        <f t="shared" si="12"/>
        <v>6.1144829000850297E-2</v>
      </c>
      <c r="G76" s="75">
        <f t="shared" si="12"/>
        <v>9.6736553899614469E-2</v>
      </c>
      <c r="H76" s="75">
        <f t="shared" si="12"/>
        <v>0.165745488213936</v>
      </c>
      <c r="I76" s="75">
        <f t="shared" si="12"/>
        <v>2.9392655447101297E-2</v>
      </c>
      <c r="J76" s="75">
        <f t="shared" si="12"/>
        <v>2.4781738683666309E-2</v>
      </c>
      <c r="K76" s="75">
        <f t="shared" si="12"/>
        <v>2.7829987319490664E-2</v>
      </c>
      <c r="L76" s="75">
        <f t="shared" si="12"/>
        <v>2.8367559865591883E-2</v>
      </c>
      <c r="M76" s="75">
        <f t="shared" si="12"/>
        <v>3.8688869656063156E-2</v>
      </c>
      <c r="N76" s="75" t="e">
        <f t="shared" si="12"/>
        <v>#DIV/0!</v>
      </c>
      <c r="O76" s="75"/>
      <c r="P76" s="75">
        <f t="shared" si="12"/>
        <v>6.8742884127654905E-2</v>
      </c>
      <c r="Q76" s="75">
        <f t="shared" si="12"/>
        <v>9.7684978955843133E-2</v>
      </c>
      <c r="R76" s="75">
        <f t="shared" si="12"/>
        <v>3.4430512752257496E-2</v>
      </c>
      <c r="S76" s="75">
        <f t="shared" si="12"/>
        <v>0.14041107504705752</v>
      </c>
      <c r="T76" s="75">
        <f t="shared" si="12"/>
        <v>0.13447160035099057</v>
      </c>
      <c r="U76" s="75">
        <f t="shared" si="12"/>
        <v>0.11750385996890467</v>
      </c>
      <c r="V76" s="75">
        <f t="shared" si="12"/>
        <v>0.139225507199183</v>
      </c>
      <c r="W76" s="75">
        <f t="shared" si="12"/>
        <v>9.5845889280874869E-2</v>
      </c>
    </row>
    <row r="77" spans="1:23" s="3" customFormat="1">
      <c r="A77" s="43" t="s">
        <v>42</v>
      </c>
      <c r="B77" s="75">
        <f>(B75*100/$B$75)-100</f>
        <v>0</v>
      </c>
      <c r="C77" s="75">
        <f t="shared" ref="C77:N77" si="13">(C75*100/$B$75)-100</f>
        <v>309.82495229101352</v>
      </c>
      <c r="D77" s="75">
        <f t="shared" si="13"/>
        <v>579.14731815747461</v>
      </c>
      <c r="E77" s="75">
        <f t="shared" si="13"/>
        <v>1533.0959836707605</v>
      </c>
      <c r="F77" s="75">
        <f t="shared" si="13"/>
        <v>1907.5709659276954</v>
      </c>
      <c r="G77" s="75">
        <f t="shared" si="13"/>
        <v>3364.534955572944</v>
      </c>
      <c r="H77" s="75">
        <f t="shared" si="13"/>
        <v>3999.2272412423017</v>
      </c>
      <c r="I77" s="75">
        <f t="shared" si="13"/>
        <v>157.05052307562852</v>
      </c>
      <c r="J77" s="75">
        <f t="shared" si="13"/>
        <v>76.099573148476196</v>
      </c>
      <c r="K77" s="75">
        <f t="shared" si="13"/>
        <v>165.18773183158345</v>
      </c>
      <c r="L77" s="75">
        <f t="shared" si="13"/>
        <v>140.89296295559743</v>
      </c>
      <c r="M77" s="75">
        <f t="shared" si="13"/>
        <v>205.66346344656762</v>
      </c>
      <c r="N77" s="75" t="e">
        <f t="shared" si="13"/>
        <v>#DIV/0!</v>
      </c>
      <c r="O77" s="75"/>
      <c r="P77" s="75">
        <f>(P75*100/$P$75)-100</f>
        <v>0</v>
      </c>
      <c r="Q77" s="75">
        <f t="shared" ref="Q77:W77" si="14">(Q75*100/$P$75)-100</f>
        <v>39.026471066020918</v>
      </c>
      <c r="R77" s="75">
        <f t="shared" si="14"/>
        <v>-87.162736167716702</v>
      </c>
      <c r="S77" s="75">
        <f t="shared" si="14"/>
        <v>13.553009044606227</v>
      </c>
      <c r="T77" s="75">
        <f t="shared" si="14"/>
        <v>16.116724555544806</v>
      </c>
      <c r="U77" s="75">
        <f t="shared" si="14"/>
        <v>-5.5604515534571561</v>
      </c>
      <c r="V77" s="75">
        <f t="shared" si="14"/>
        <v>11.719013723165801</v>
      </c>
      <c r="W77" s="75">
        <f t="shared" si="14"/>
        <v>-10.581902334847641</v>
      </c>
    </row>
    <row r="78" spans="1:23" s="3" customFormat="1">
      <c r="A78" s="43" t="s">
        <v>43</v>
      </c>
      <c r="B78" s="75" t="e">
        <f ca="1">[2]!DPTEST(B6:B53)</f>
        <v>#NAME?</v>
      </c>
      <c r="C78" s="75" t="e">
        <f ca="1">[2]!DPTEST(C6:C53)</f>
        <v>#NAME?</v>
      </c>
      <c r="D78" s="75" t="e">
        <f ca="1">[2]!DPTEST(D6:D53)</f>
        <v>#NAME?</v>
      </c>
      <c r="E78" s="75" t="e">
        <f ca="1">[2]!DPTEST(E6:E53)</f>
        <v>#NAME?</v>
      </c>
      <c r="F78" s="75" t="e">
        <f ca="1">[2]!DPTEST(F6:F53)</f>
        <v>#NAME?</v>
      </c>
      <c r="G78" s="75" t="e">
        <f ca="1">[2]!DPTEST(G6:G53)</f>
        <v>#NAME?</v>
      </c>
      <c r="H78" s="75" t="e">
        <f ca="1">[2]!DPTEST(H6:H53)</f>
        <v>#NAME?</v>
      </c>
      <c r="I78" s="75" t="e">
        <f ca="1">[2]!DPTEST(I6:I53)</f>
        <v>#NAME?</v>
      </c>
      <c r="J78" s="75" t="e">
        <f ca="1">[2]!DPTEST(J6:J53)</f>
        <v>#NAME?</v>
      </c>
      <c r="K78" s="75" t="e">
        <f ca="1">[2]!DPTEST(K6:K53)</f>
        <v>#NAME?</v>
      </c>
      <c r="L78" s="75" t="e">
        <f ca="1">[2]!DPTEST(L6:L53)</f>
        <v>#NAME?</v>
      </c>
      <c r="M78" s="75" t="e">
        <f ca="1">[2]!DPTEST(M6:M53)</f>
        <v>#NAME?</v>
      </c>
      <c r="N78" s="75" t="e">
        <f ca="1">[2]!DPTEST(N6:N53)</f>
        <v>#NAME?</v>
      </c>
      <c r="O78" s="75" t="e">
        <f ca="1">[2]!DPTEST(O6:O53)</f>
        <v>#NAME?</v>
      </c>
      <c r="P78" s="75" t="e">
        <f ca="1">[2]!DPTEST(P6:P53)</f>
        <v>#NAME?</v>
      </c>
      <c r="Q78" s="75" t="e">
        <f ca="1">[2]!DPTEST(Q6:Q53)</f>
        <v>#NAME?</v>
      </c>
      <c r="R78" s="75" t="e">
        <f ca="1">[2]!DPTEST(R6:R53)</f>
        <v>#NAME?</v>
      </c>
      <c r="S78" s="75" t="e">
        <f ca="1">[2]!DPTEST(S6:S53)</f>
        <v>#NAME?</v>
      </c>
      <c r="T78" s="75" t="e">
        <f ca="1">[2]!DPTEST(T6:T53)</f>
        <v>#NAME?</v>
      </c>
      <c r="U78" s="75" t="e">
        <f ca="1">[2]!DPTEST(U6:U53)</f>
        <v>#NAME?</v>
      </c>
      <c r="V78" s="75" t="e">
        <f ca="1">[2]!DPTEST(V6:V53)</f>
        <v>#NAME?</v>
      </c>
      <c r="W78" s="75" t="e">
        <f ca="1">[2]!DPTEST(W6:W53)</f>
        <v>#NAME?</v>
      </c>
    </row>
    <row r="79" spans="1:23" s="3" customFormat="1">
      <c r="A79" s="43" t="s">
        <v>47</v>
      </c>
      <c r="B79" s="75" t="e">
        <f ca="1">IF(B78&gt;0.05,"Oui","Non")</f>
        <v>#NAME?</v>
      </c>
      <c r="C79" s="75" t="e">
        <f t="shared" ref="C79:W79" ca="1" si="15">IF(C78&gt;0.05,"Oui","Non")</f>
        <v>#NAME?</v>
      </c>
      <c r="D79" s="75" t="e">
        <f t="shared" ca="1" si="15"/>
        <v>#NAME?</v>
      </c>
      <c r="E79" s="75" t="e">
        <f t="shared" ca="1" si="15"/>
        <v>#NAME?</v>
      </c>
      <c r="F79" s="75" t="e">
        <f t="shared" ca="1" si="15"/>
        <v>#NAME?</v>
      </c>
      <c r="G79" s="75" t="e">
        <f t="shared" ca="1" si="15"/>
        <v>#NAME?</v>
      </c>
      <c r="H79" s="75" t="e">
        <f t="shared" ca="1" si="15"/>
        <v>#NAME?</v>
      </c>
      <c r="I79" s="75" t="e">
        <f t="shared" ca="1" si="15"/>
        <v>#NAME?</v>
      </c>
      <c r="J79" s="75" t="e">
        <f t="shared" ca="1" si="15"/>
        <v>#NAME?</v>
      </c>
      <c r="K79" s="75" t="e">
        <f t="shared" ca="1" si="15"/>
        <v>#NAME?</v>
      </c>
      <c r="L79" s="75" t="e">
        <f t="shared" ca="1" si="15"/>
        <v>#NAME?</v>
      </c>
      <c r="M79" s="75" t="e">
        <f t="shared" ca="1" si="15"/>
        <v>#NAME?</v>
      </c>
      <c r="N79" s="75" t="e">
        <f t="shared" ca="1" si="15"/>
        <v>#NAME?</v>
      </c>
      <c r="O79" s="75"/>
      <c r="P79" s="75" t="e">
        <f t="shared" ca="1" si="15"/>
        <v>#NAME?</v>
      </c>
      <c r="Q79" s="75" t="e">
        <f t="shared" ca="1" si="15"/>
        <v>#NAME?</v>
      </c>
      <c r="R79" s="75" t="e">
        <f t="shared" ca="1" si="15"/>
        <v>#NAME?</v>
      </c>
      <c r="S79" s="75" t="e">
        <f t="shared" ca="1" si="15"/>
        <v>#NAME?</v>
      </c>
      <c r="T79" s="75" t="e">
        <f t="shared" ca="1" si="15"/>
        <v>#NAME?</v>
      </c>
      <c r="U79" s="75" t="e">
        <f t="shared" ca="1" si="15"/>
        <v>#NAME?</v>
      </c>
      <c r="V79" s="75" t="e">
        <f t="shared" ca="1" si="15"/>
        <v>#NAME?</v>
      </c>
      <c r="W79" s="75" t="e">
        <f t="shared" ca="1" si="15"/>
        <v>#NAME?</v>
      </c>
    </row>
    <row r="80" spans="1:23" s="3" customFormat="1">
      <c r="A80" s="43" t="s">
        <v>49</v>
      </c>
      <c r="B80" s="75" t="str">
        <f ca="1">IF(COUNTIF(B79:I79, "Non")=0, "Oui","Non")</f>
        <v>Oui</v>
      </c>
      <c r="C80" s="75"/>
      <c r="D80" s="75"/>
      <c r="E80" s="75"/>
      <c r="F80" s="75"/>
      <c r="G80" s="75"/>
      <c r="H80" s="75"/>
      <c r="I80" s="75"/>
      <c r="J80" s="75" t="str">
        <f ca="1">IF(COUNTIF(J79:N79, "Non")&gt;0, "Oui","Non")</f>
        <v>Non</v>
      </c>
      <c r="K80" s="75"/>
      <c r="L80" s="75"/>
      <c r="M80" s="75"/>
      <c r="N80" s="75"/>
      <c r="O80" s="75"/>
      <c r="P80" s="75"/>
      <c r="Q80" s="75"/>
      <c r="R80" s="75"/>
      <c r="S80" s="75" t="str">
        <f ca="1">IF(COUNTIF(S79:W79, "Non")&gt;0, "Oui","Non")</f>
        <v>Non</v>
      </c>
      <c r="T80" s="75"/>
      <c r="U80" s="75"/>
      <c r="V80" s="75"/>
      <c r="W80" s="75"/>
    </row>
    <row r="81" spans="1:23" s="3" customFormat="1">
      <c r="A81" s="43" t="s">
        <v>44</v>
      </c>
      <c r="B81" s="75"/>
      <c r="C81" s="75" t="str">
        <f t="shared" ref="C81:M81" ca="1" si="16">IF($B80="Non","Kruskal-Wallis","ANOVA")</f>
        <v>ANOVA</v>
      </c>
      <c r="D81" s="75" t="str">
        <f t="shared" ca="1" si="16"/>
        <v>ANOVA</v>
      </c>
      <c r="E81" s="75" t="str">
        <f t="shared" ca="1" si="16"/>
        <v>ANOVA</v>
      </c>
      <c r="F81" s="75" t="str">
        <f t="shared" ca="1" si="16"/>
        <v>ANOVA</v>
      </c>
      <c r="G81" s="75" t="str">
        <f t="shared" ca="1" si="16"/>
        <v>ANOVA</v>
      </c>
      <c r="H81" s="75" t="str">
        <f t="shared" ca="1" si="16"/>
        <v>ANOVA</v>
      </c>
      <c r="I81" s="75" t="str">
        <f t="shared" ca="1" si="16"/>
        <v>ANOVA</v>
      </c>
      <c r="J81" s="75" t="str">
        <f t="shared" ca="1" si="16"/>
        <v>ANOVA</v>
      </c>
      <c r="K81" s="75" t="str">
        <f t="shared" ca="1" si="16"/>
        <v>ANOVA</v>
      </c>
      <c r="L81" s="75" t="str">
        <f t="shared" ca="1" si="16"/>
        <v>ANOVA</v>
      </c>
      <c r="M81" s="75" t="str">
        <f t="shared" ca="1" si="16"/>
        <v>ANOVA</v>
      </c>
      <c r="N81" s="75" t="e">
        <f t="shared" ref="N81" ca="1" si="17">IF($B79="Non",IF(N79="Non","Mann Withney",IF(N79="Oui","Mann Withney","")),IF($B79="Oui",IF(N79="Oui","T-Test Welch",IF(N79="Non","Mann Withney",""))))</f>
        <v>#NAME?</v>
      </c>
      <c r="O81" s="75"/>
      <c r="P81" s="75" t="e">
        <f ca="1">IF($B79="Non",IF(P79="Non","Mann Withney",IF(P79="Oui","Mann Withney","")),IF($B79="Oui",IF(P79="Oui","T-Test Welch",IF(P79="Non","Mann Withney",""))))</f>
        <v>#NAME?</v>
      </c>
      <c r="Q81" s="75" t="e">
        <f t="shared" ref="Q81:R81" ca="1" si="18">IF($P79="Non",IF(Q79="Non","Mann Withney",IF(Q$79="Oui","Mann Withney","")),IF($P79="Oui",IF(Q79="Oui","T-Test Welch",IF(Q79="Non","Mann Withney",""))))</f>
        <v>#NAME?</v>
      </c>
      <c r="R81" s="75" t="e">
        <f t="shared" ca="1" si="18"/>
        <v>#NAME?</v>
      </c>
      <c r="S81" s="75" t="s">
        <v>76</v>
      </c>
      <c r="T81" s="75" t="s">
        <v>76</v>
      </c>
      <c r="U81" s="75" t="s">
        <v>76</v>
      </c>
      <c r="V81" s="75" t="s">
        <v>76</v>
      </c>
      <c r="W81" s="75" t="s">
        <v>76</v>
      </c>
    </row>
    <row r="82" spans="1:23" s="3" customFormat="1">
      <c r="A82" s="43" t="s">
        <v>45</v>
      </c>
      <c r="B82" s="75"/>
      <c r="C82" s="119">
        <v>0.64870000000000005</v>
      </c>
      <c r="D82" s="119">
        <v>4.5699999999999998E-2</v>
      </c>
      <c r="E82" s="119">
        <v>1E-4</v>
      </c>
      <c r="F82" s="119">
        <v>1E-4</v>
      </c>
      <c r="G82" s="119">
        <v>1E-4</v>
      </c>
      <c r="H82" s="119">
        <v>1E-4</v>
      </c>
      <c r="I82" s="119">
        <v>2.6700000000000002E-2</v>
      </c>
      <c r="J82" s="119">
        <v>0.79010000000000002</v>
      </c>
      <c r="K82" s="119">
        <v>1.4500000000000001E-2</v>
      </c>
      <c r="L82" s="119">
        <v>3.9800000000000002E-2</v>
      </c>
      <c r="M82" s="119">
        <v>8.8000000000000005E-3</v>
      </c>
      <c r="N82" s="75" t="e">
        <f ca="1">IF(N81="Mann Withney",[1]!MTEST($B6:$B53,N6:N53,2), IF(N81="T-Test Welch",_xlfn.T.TEST($B6:$B53,N6:N53,2,3),""))</f>
        <v>#NAME?</v>
      </c>
      <c r="O82" s="75"/>
      <c r="P82" s="75">
        <v>1E-4</v>
      </c>
      <c r="Q82" s="75" t="e">
        <f ca="1">IF(Q81="Mann Withney",[1]!MTEST($P6:$P53,Q6:Q53,2), IF(Q81="T-Test Welch",_xlfn.T.TEST($P6:$P53,Q6:Q53,2,3),""))</f>
        <v>#NAME?</v>
      </c>
      <c r="R82" s="75">
        <v>1E-4</v>
      </c>
      <c r="S82" s="119">
        <v>0.99990000000000001</v>
      </c>
      <c r="T82" s="119">
        <v>0.99990000000000001</v>
      </c>
      <c r="U82" s="119">
        <v>0.99990000000000001</v>
      </c>
      <c r="V82" s="119">
        <v>0.99990000000000001</v>
      </c>
      <c r="W82" s="119">
        <v>0.99990000000000001</v>
      </c>
    </row>
    <row r="83" spans="1:23" s="3" customFormat="1" ht="15.75" thickBot="1">
      <c r="A83" s="44" t="s">
        <v>46</v>
      </c>
      <c r="B83" s="76"/>
      <c r="C83" s="76" t="str">
        <f t="shared" ref="C83:P83" si="19">IF(C82&gt;0.05,"NS",IF(C82&gt;0.01,"*",IF(C82&gt;0.001,"**","***")))</f>
        <v>NS</v>
      </c>
      <c r="D83" s="76" t="str">
        <f t="shared" si="19"/>
        <v>*</v>
      </c>
      <c r="E83" s="76" t="str">
        <f t="shared" si="19"/>
        <v>***</v>
      </c>
      <c r="F83" s="76" t="str">
        <f t="shared" si="19"/>
        <v>***</v>
      </c>
      <c r="G83" s="76" t="str">
        <f t="shared" si="19"/>
        <v>***</v>
      </c>
      <c r="H83" s="76" t="str">
        <f t="shared" si="19"/>
        <v>***</v>
      </c>
      <c r="I83" s="76" t="str">
        <f t="shared" si="19"/>
        <v>*</v>
      </c>
      <c r="J83" s="76" t="str">
        <f t="shared" si="19"/>
        <v>NS</v>
      </c>
      <c r="K83" s="76" t="str">
        <f t="shared" si="19"/>
        <v>*</v>
      </c>
      <c r="L83" s="76" t="str">
        <f t="shared" si="19"/>
        <v>*</v>
      </c>
      <c r="M83" s="76" t="str">
        <f t="shared" si="19"/>
        <v>**</v>
      </c>
      <c r="N83" s="76" t="e">
        <f t="shared" ca="1" si="19"/>
        <v>#NAME?</v>
      </c>
      <c r="O83" s="76"/>
      <c r="P83" s="76" t="str">
        <f t="shared" si="19"/>
        <v>***</v>
      </c>
      <c r="Q83" s="76" t="e">
        <f t="shared" ref="Q83" ca="1" si="20">IF(Q82&gt;0.05,"NS",IF(Q82&gt;0.01,"*",IF(Q82&gt;0.001,"**","***")))</f>
        <v>#NAME?</v>
      </c>
      <c r="R83" s="76" t="str">
        <f t="shared" ref="R83:W83" si="21">IF(R82&gt;0.05,"NS",IF(R82&gt;0.01,"*",IF(R82&gt;0.001,"**","***")))</f>
        <v>***</v>
      </c>
      <c r="S83" s="76" t="str">
        <f t="shared" si="21"/>
        <v>NS</v>
      </c>
      <c r="T83" s="76" t="str">
        <f t="shared" si="21"/>
        <v>NS</v>
      </c>
      <c r="U83" s="76" t="str">
        <f t="shared" si="21"/>
        <v>NS</v>
      </c>
      <c r="V83" s="76" t="str">
        <f t="shared" si="21"/>
        <v>NS</v>
      </c>
      <c r="W83" s="76" t="str">
        <f t="shared" si="21"/>
        <v>NS</v>
      </c>
    </row>
    <row r="84" spans="1:23" s="1" customFormat="1"/>
    <row r="85" spans="1:23" s="1" customFormat="1">
      <c r="A85" s="2" t="s">
        <v>20</v>
      </c>
    </row>
    <row r="86" spans="1:23">
      <c r="A86" s="1" t="s">
        <v>13</v>
      </c>
      <c r="B86" s="1">
        <f>B56+(3*B57)</f>
        <v>0.28749820260949449</v>
      </c>
    </row>
    <row r="87" spans="1:23">
      <c r="A87" s="1" t="s">
        <v>14</v>
      </c>
      <c r="B87" s="1">
        <f>B56+(10*B57)</f>
        <v>0.80406422610872774</v>
      </c>
    </row>
    <row r="88" spans="1:23" ht="15.75" thickBot="1"/>
    <row r="89" spans="1:23" s="30" customFormat="1" ht="27" thickBot="1">
      <c r="A89" s="31" t="s">
        <v>34</v>
      </c>
      <c r="B89" s="32"/>
      <c r="C89" s="32"/>
      <c r="D89" s="32"/>
      <c r="E89" s="32"/>
      <c r="F89" s="32"/>
      <c r="G89" s="32"/>
      <c r="H89" s="32"/>
      <c r="I89" s="32"/>
      <c r="J89" s="32"/>
      <c r="K89" s="32"/>
      <c r="L89" s="32"/>
      <c r="M89" s="32"/>
      <c r="N89" s="32"/>
      <c r="O89" s="32"/>
      <c r="P89" s="32"/>
      <c r="Q89" s="32"/>
      <c r="R89" s="32"/>
      <c r="S89" s="32"/>
      <c r="T89" s="32"/>
      <c r="U89" s="32"/>
      <c r="V89" s="32"/>
      <c r="W89" s="32"/>
    </row>
    <row r="90" spans="1:23" ht="15.75" thickBot="1"/>
    <row r="91" spans="1:23" s="30" customFormat="1" ht="27" thickBot="1">
      <c r="A91" s="31" t="s">
        <v>35</v>
      </c>
      <c r="B91" s="32"/>
      <c r="C91" s="32"/>
      <c r="D91" s="32"/>
      <c r="E91" s="32"/>
      <c r="F91" s="32"/>
      <c r="G91" s="32"/>
      <c r="H91" s="32"/>
      <c r="I91" s="32"/>
      <c r="J91" s="32"/>
      <c r="K91" s="32"/>
      <c r="L91" s="32"/>
      <c r="M91" s="32"/>
      <c r="N91" s="32"/>
      <c r="O91" s="32"/>
      <c r="P91" s="32"/>
      <c r="Q91" s="32"/>
      <c r="R91" s="32"/>
      <c r="S91" s="32"/>
      <c r="T91" s="32"/>
      <c r="U91" s="32"/>
      <c r="V91" s="32"/>
      <c r="W91" s="32"/>
    </row>
    <row r="92" spans="1:23" ht="15.75" thickBot="1"/>
    <row r="93" spans="1:23" s="30" customFormat="1" ht="27" thickBot="1">
      <c r="A93" s="153" t="s">
        <v>36</v>
      </c>
      <c r="B93" s="154"/>
      <c r="C93" s="154"/>
      <c r="D93" s="154"/>
      <c r="E93" s="154"/>
      <c r="F93" s="154"/>
      <c r="G93" s="154"/>
      <c r="H93" s="154"/>
      <c r="I93" s="154"/>
      <c r="J93" s="154"/>
      <c r="K93" s="154"/>
      <c r="L93" s="154"/>
      <c r="M93" s="154"/>
      <c r="N93" s="154"/>
      <c r="O93" s="154"/>
      <c r="P93" s="154"/>
      <c r="Q93" s="154"/>
      <c r="R93" s="154"/>
      <c r="S93" s="154"/>
      <c r="T93" s="154"/>
      <c r="U93" s="154"/>
      <c r="V93" s="154"/>
      <c r="W93" s="154"/>
    </row>
    <row r="94" spans="1:23">
      <c r="B94" s="1">
        <f t="shared" ref="B94:V94" si="22">B75/$B$75</f>
        <v>1</v>
      </c>
      <c r="C94" s="1">
        <f t="shared" si="22"/>
        <v>4.0982495229101348</v>
      </c>
      <c r="D94" s="1">
        <f t="shared" si="22"/>
        <v>6.7914731815747462</v>
      </c>
      <c r="E94" s="1">
        <f t="shared" si="22"/>
        <v>16.330959836707606</v>
      </c>
      <c r="F94" s="1">
        <f t="shared" si="22"/>
        <v>20.075709659276953</v>
      </c>
      <c r="G94" s="1">
        <f t="shared" si="22"/>
        <v>34.645349555729439</v>
      </c>
      <c r="H94" s="1">
        <f>H75/$B$75</f>
        <v>40.992272412423013</v>
      </c>
      <c r="I94" s="1">
        <f t="shared" si="22"/>
        <v>2.570505230756285</v>
      </c>
      <c r="J94" s="1">
        <f t="shared" si="22"/>
        <v>1.760995731484762</v>
      </c>
      <c r="K94" s="1">
        <f t="shared" si="22"/>
        <v>2.6518773183158344</v>
      </c>
      <c r="L94" s="1">
        <f t="shared" si="22"/>
        <v>2.4089296295559741</v>
      </c>
      <c r="M94" s="1">
        <f t="shared" si="22"/>
        <v>3.0566346344656758</v>
      </c>
      <c r="N94" s="1" t="e">
        <f t="shared" si="22"/>
        <v>#DIV/0!</v>
      </c>
      <c r="O94" s="1">
        <f t="shared" si="22"/>
        <v>0</v>
      </c>
      <c r="P94" s="1">
        <f t="shared" si="22"/>
        <v>15.12567226049817</v>
      </c>
      <c r="Q94" s="1">
        <f t="shared" si="22"/>
        <v>21.028688368782642</v>
      </c>
      <c r="R94" s="1">
        <f t="shared" si="22"/>
        <v>1.9417224544866387</v>
      </c>
      <c r="S94" s="1">
        <f t="shared" si="22"/>
        <v>17.175655990020985</v>
      </c>
      <c r="T94" s="1">
        <f t="shared" si="22"/>
        <v>17.56343519589711</v>
      </c>
      <c r="U94" s="1">
        <f t="shared" si="22"/>
        <v>14.284616582318462</v>
      </c>
      <c r="V94" s="1">
        <f t="shared" si="22"/>
        <v>16.898251868427035</v>
      </c>
    </row>
  </sheetData>
  <mergeCells count="10">
    <mergeCell ref="A7:A21"/>
    <mergeCell ref="A23:A37"/>
    <mergeCell ref="A93:W93"/>
    <mergeCell ref="P3:W3"/>
    <mergeCell ref="B3:N3"/>
    <mergeCell ref="A60:W60"/>
    <mergeCell ref="A72:W72"/>
    <mergeCell ref="A70:W70"/>
    <mergeCell ref="A65:W65"/>
    <mergeCell ref="A39:A53"/>
  </mergeCells>
  <phoneticPr fontId="12"/>
  <pageMargins left="0.7" right="0.7" top="0.75" bottom="0.75" header="0.3" footer="0.3"/>
  <pageSetup paperSize="9" orientation="portrait" r:id="rId1"/>
  <headerFooter>
    <oddHeader>&amp;C&amp;"-,Gras"&amp;14Données poolées normalisées&amp;R&amp;"-,Gras"&amp;14Page : &amp;P/&amp;P</oddHeader>
    <oddFooter>&amp;C&amp;1#&amp;"Arial"&amp;10&amp;K000000Internal</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03E910-3A95-4FA9-929B-A7FD55ABBF6B}">
  <ds:schemaRefs>
    <ds:schemaRef ds:uri="http://schemas.microsoft.com/sharepoint/v3/contenttype/forms"/>
  </ds:schemaRefs>
</ds:datastoreItem>
</file>

<file path=customXml/itemProps2.xml><?xml version="1.0" encoding="utf-8"?>
<ds:datastoreItem xmlns:ds="http://schemas.openxmlformats.org/officeDocument/2006/customXml" ds:itemID="{C055C98F-0B38-4A72-A361-3892049E51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801401-75a6-4297-ad63-d4d786ff6e7c"/>
    <ds:schemaRef ds:uri="508cc0b8-c8e1-4e41-95d2-be8416ed53b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5</vt:i4>
      </vt:variant>
      <vt:variant>
        <vt:lpstr>Charts</vt:lpstr>
      </vt:variant>
      <vt:variant>
        <vt:i4>4</vt:i4>
      </vt:variant>
      <vt:variant>
        <vt:lpstr>Named Ranges</vt:lpstr>
      </vt:variant>
      <vt:variant>
        <vt:i4>1</vt:i4>
      </vt:variant>
    </vt:vector>
  </HeadingPairs>
  <TitlesOfParts>
    <vt:vector size="10" baseType="lpstr">
      <vt:lpstr>Front page</vt:lpstr>
      <vt:lpstr>R1</vt:lpstr>
      <vt:lpstr>R2</vt:lpstr>
      <vt:lpstr>R3</vt:lpstr>
      <vt:lpstr>pooled normalised values</vt:lpstr>
      <vt:lpstr>Graph R1</vt:lpstr>
      <vt:lpstr>Graph R2</vt:lpstr>
      <vt:lpstr>Graph R3</vt:lpstr>
      <vt:lpstr>pooled normalised graphe</vt:lpstr>
      <vt:lpstr>'Front page'!Print_Area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2023-04-03T08:31:03Z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6530cf4-8573-4c29-a912-bbcdac835909_Enabled">
    <vt:lpwstr>true</vt:lpwstr>
  </property>
  <property fmtid="{D5CDD505-2E9C-101B-9397-08002B2CF9AE}" pid="3" name="MSIP_Label_06530cf4-8573-4c29-a912-bbcdac835909_SetDate">
    <vt:lpwstr>2023-04-03T08:31:03Z</vt:lpwstr>
  </property>
  <property fmtid="{D5CDD505-2E9C-101B-9397-08002B2CF9AE}" pid="4" name="MSIP_Label_06530cf4-8573-4c29-a912-bbcdac835909_Method">
    <vt:lpwstr>Standard</vt:lpwstr>
  </property>
  <property fmtid="{D5CDD505-2E9C-101B-9397-08002B2CF9AE}" pid="5" name="MSIP_Label_06530cf4-8573-4c29-a912-bbcdac835909_Name">
    <vt:lpwstr>06530cf4-8573-4c29-a912-bbcdac835909</vt:lpwstr>
  </property>
  <property fmtid="{D5CDD505-2E9C-101B-9397-08002B2CF9AE}" pid="6" name="MSIP_Label_06530cf4-8573-4c29-a912-bbcdac835909_SiteId">
    <vt:lpwstr>ecaa386b-c8df-4ce0-ad01-740cbdb5ba55</vt:lpwstr>
  </property>
  <property fmtid="{D5CDD505-2E9C-101B-9397-08002B2CF9AE}" pid="7" name="MSIP_Label_06530cf4-8573-4c29-a912-bbcdac835909_ActionId">
    <vt:lpwstr>e8f0c773-dbd2-4604-b7af-3378496806a5</vt:lpwstr>
  </property>
  <property fmtid="{D5CDD505-2E9C-101B-9397-08002B2CF9AE}" pid="8" name="MSIP_Label_06530cf4-8573-4c29-a912-bbcdac835909_ContentBits">
    <vt:lpwstr>2</vt:lpwstr>
  </property>
</Properties>
</file>