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defaultThemeVersion="124226"/>
  <xr:revisionPtr revIDLastSave="5" documentId="13_ncr:1_{4D45F2BB-58E6-4F2C-897E-C5D1E4B905B1}" xr6:coauthVersionLast="47" xr6:coauthVersionMax="47" xr10:uidLastSave="{1985BB3D-3C17-491B-AECB-CE9A2B7D6135}"/>
  <bookViews>
    <workbookView xWindow="-120" yWindow="-120" windowWidth="29040" windowHeight="15840" firstSheet="1" activeTab="5"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s>
  <definedNames>
    <definedName name="_xlnm.Print_Area" localSheetId="0">'Front page'!$A$1:$I$51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0" l="1"/>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A7" i="10" l="1"/>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B4" i="33" l="1"/>
  <c r="B4" i="23" l="1"/>
  <c r="B4" i="1"/>
  <c r="H4" i="33" l="1"/>
  <c r="H4" i="23"/>
  <c r="H4" i="1"/>
  <c r="G4" i="33"/>
  <c r="G4" i="23"/>
  <c r="G4" i="1"/>
  <c r="C4" i="33"/>
  <c r="C4" i="23"/>
  <c r="C4" i="1"/>
  <c r="D4" i="33"/>
  <c r="D4" i="23"/>
  <c r="D4" i="1"/>
  <c r="F4" i="33" l="1"/>
  <c r="F4" i="23"/>
  <c r="F4" i="1"/>
  <c r="E4" i="33"/>
  <c r="E4" i="23"/>
  <c r="E4" i="1"/>
  <c r="I4" i="33"/>
  <c r="I4" i="23"/>
  <c r="I4" i="1"/>
  <c r="A52" i="33" l="1"/>
  <c r="A45" i="33"/>
  <c r="V43" i="33"/>
  <c r="W53" i="4" s="1"/>
  <c r="U43" i="33"/>
  <c r="V53" i="4" s="1"/>
  <c r="T43" i="33"/>
  <c r="U53" i="4" s="1"/>
  <c r="S43" i="33"/>
  <c r="T53" i="4" s="1"/>
  <c r="R43" i="33"/>
  <c r="S53" i="4" s="1"/>
  <c r="Q43" i="33"/>
  <c r="R53" i="4" s="1"/>
  <c r="P43" i="33"/>
  <c r="Q53" i="4" s="1"/>
  <c r="N43" i="33"/>
  <c r="N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W52" i="4" s="1"/>
  <c r="U42" i="33"/>
  <c r="V52" i="4" s="1"/>
  <c r="T42" i="33"/>
  <c r="U52" i="4" s="1"/>
  <c r="S42" i="33"/>
  <c r="T52" i="4" s="1"/>
  <c r="R42" i="33"/>
  <c r="S52" i="4" s="1"/>
  <c r="Q42" i="33"/>
  <c r="R52" i="4" s="1"/>
  <c r="P42" i="33"/>
  <c r="Q52" i="4" s="1"/>
  <c r="N42" i="33"/>
  <c r="N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W51" i="4" s="1"/>
  <c r="U41" i="33"/>
  <c r="V51" i="4" s="1"/>
  <c r="T41" i="33"/>
  <c r="U51" i="4" s="1"/>
  <c r="S41" i="33"/>
  <c r="T51" i="4" s="1"/>
  <c r="R41" i="33"/>
  <c r="S51" i="4" s="1"/>
  <c r="Q41" i="33"/>
  <c r="R51" i="4" s="1"/>
  <c r="P41" i="33"/>
  <c r="Q51" i="4" s="1"/>
  <c r="N41" i="33"/>
  <c r="N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W50" i="4" s="1"/>
  <c r="U40" i="33"/>
  <c r="V50" i="4" s="1"/>
  <c r="T40" i="33"/>
  <c r="U50" i="4" s="1"/>
  <c r="S40" i="33"/>
  <c r="T50" i="4" s="1"/>
  <c r="R40" i="33"/>
  <c r="S50" i="4" s="1"/>
  <c r="Q40" i="33"/>
  <c r="R50" i="4" s="1"/>
  <c r="P40" i="33"/>
  <c r="Q50" i="4" s="1"/>
  <c r="N40" i="33"/>
  <c r="N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W49" i="4" s="1"/>
  <c r="U39" i="33"/>
  <c r="V49" i="4" s="1"/>
  <c r="T39" i="33"/>
  <c r="U49" i="4" s="1"/>
  <c r="S39" i="33"/>
  <c r="T49" i="4" s="1"/>
  <c r="R39" i="33"/>
  <c r="S49" i="4" s="1"/>
  <c r="Q39" i="33"/>
  <c r="R49" i="4" s="1"/>
  <c r="P39" i="33"/>
  <c r="Q49" i="4" s="1"/>
  <c r="N39" i="33"/>
  <c r="N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W48" i="4" s="1"/>
  <c r="U38" i="33"/>
  <c r="V48" i="4" s="1"/>
  <c r="T38" i="33"/>
  <c r="U48" i="4" s="1"/>
  <c r="S38" i="33"/>
  <c r="T48" i="4" s="1"/>
  <c r="R38" i="33"/>
  <c r="S48" i="4" s="1"/>
  <c r="Q38" i="33"/>
  <c r="R48" i="4" s="1"/>
  <c r="P38" i="33"/>
  <c r="Q48" i="4" s="1"/>
  <c r="N38" i="33"/>
  <c r="N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W47" i="4" s="1"/>
  <c r="U37" i="33"/>
  <c r="V47" i="4" s="1"/>
  <c r="T37" i="33"/>
  <c r="U47" i="4" s="1"/>
  <c r="S37" i="33"/>
  <c r="T47" i="4" s="1"/>
  <c r="R37" i="33"/>
  <c r="S47" i="4" s="1"/>
  <c r="Q37" i="33"/>
  <c r="R47" i="4" s="1"/>
  <c r="P37" i="33"/>
  <c r="Q47" i="4" s="1"/>
  <c r="N37" i="33"/>
  <c r="N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W46" i="4" s="1"/>
  <c r="U36" i="33"/>
  <c r="V46" i="4" s="1"/>
  <c r="T36" i="33"/>
  <c r="U46" i="4" s="1"/>
  <c r="S36" i="33"/>
  <c r="T46" i="4" s="1"/>
  <c r="R36" i="33"/>
  <c r="S46" i="4" s="1"/>
  <c r="Q36" i="33"/>
  <c r="R46" i="4" s="1"/>
  <c r="P36" i="33"/>
  <c r="Q46" i="4" s="1"/>
  <c r="N36" i="33"/>
  <c r="N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N35" i="33"/>
  <c r="N45" i="4" s="1"/>
  <c r="C35" i="33"/>
  <c r="C45" i="4" s="1"/>
  <c r="O34" i="33"/>
  <c r="P44" i="4" s="1"/>
  <c r="N34" i="33"/>
  <c r="N44" i="4" s="1"/>
  <c r="N33" i="33"/>
  <c r="N43" i="4" s="1"/>
  <c r="N32" i="33"/>
  <c r="N42" i="4" s="1"/>
  <c r="L32" i="33"/>
  <c r="L42" i="4" s="1"/>
  <c r="N31" i="33"/>
  <c r="N41" i="4" s="1"/>
  <c r="G31" i="33"/>
  <c r="G41" i="4" s="1"/>
  <c r="N30" i="33"/>
  <c r="N40" i="4" s="1"/>
  <c r="N29" i="33"/>
  <c r="N39" i="4" s="1"/>
  <c r="M29" i="33"/>
  <c r="M39" i="4" s="1"/>
  <c r="I29" i="33"/>
  <c r="I39" i="4" s="1"/>
  <c r="N28" i="33"/>
  <c r="J28" i="33"/>
  <c r="F28" i="33"/>
  <c r="V24" i="33"/>
  <c r="U24" i="33"/>
  <c r="T24" i="33"/>
  <c r="S24" i="33"/>
  <c r="R24" i="33"/>
  <c r="Q24" i="33"/>
  <c r="P24" i="33"/>
  <c r="O24" i="33"/>
  <c r="N24" i="33"/>
  <c r="L24" i="33"/>
  <c r="J24" i="33"/>
  <c r="I24" i="33"/>
  <c r="H24" i="33"/>
  <c r="G24" i="33"/>
  <c r="F24" i="33"/>
  <c r="E24" i="33"/>
  <c r="D24" i="33"/>
  <c r="C24" i="33"/>
  <c r="B24" i="33"/>
  <c r="V23" i="33"/>
  <c r="U23" i="33"/>
  <c r="T23" i="33"/>
  <c r="S23" i="33"/>
  <c r="R23" i="33"/>
  <c r="Q23" i="33"/>
  <c r="P23" i="33"/>
  <c r="O23" i="33"/>
  <c r="O43" i="33" s="1"/>
  <c r="P53" i="4" s="1"/>
  <c r="N23" i="33"/>
  <c r="L23" i="33"/>
  <c r="J23" i="33"/>
  <c r="I23" i="33"/>
  <c r="H23" i="33"/>
  <c r="G23" i="33"/>
  <c r="F23" i="33"/>
  <c r="E23" i="33"/>
  <c r="D23" i="33"/>
  <c r="C23" i="33"/>
  <c r="B23" i="33"/>
  <c r="A22" i="33"/>
  <c r="H22" i="33"/>
  <c r="G45" i="33"/>
  <c r="F27" i="33"/>
  <c r="F52" i="33" s="1"/>
  <c r="E45" i="33"/>
  <c r="D22" i="33"/>
  <c r="C45" i="33"/>
  <c r="B45" i="33"/>
  <c r="O56" i="33"/>
  <c r="N56" i="33"/>
  <c r="V56" i="33"/>
  <c r="Q56" i="33"/>
  <c r="K56" i="33"/>
  <c r="J56" i="33"/>
  <c r="M56" i="33"/>
  <c r="L56" i="33"/>
  <c r="T56" i="33"/>
  <c r="C56" i="33"/>
  <c r="F56" i="33"/>
  <c r="R56" i="33"/>
  <c r="E56" i="33"/>
  <c r="G56" i="33"/>
  <c r="H56" i="33"/>
  <c r="S56" i="33"/>
  <c r="B56" i="33"/>
  <c r="I56" i="33"/>
  <c r="P56" i="33"/>
  <c r="U56" i="33"/>
  <c r="D56" i="33"/>
  <c r="K31" i="33" l="1"/>
  <c r="K41" i="4" s="1"/>
  <c r="O38" i="33"/>
  <c r="P48" i="4" s="1"/>
  <c r="P35" i="33"/>
  <c r="Q45" i="4" s="1"/>
  <c r="F30" i="33"/>
  <c r="F40" i="4" s="1"/>
  <c r="J30" i="33"/>
  <c r="J40" i="4" s="1"/>
  <c r="P33" i="33"/>
  <c r="Q43" i="4" s="1"/>
  <c r="P32" i="33"/>
  <c r="Q42" i="4" s="1"/>
  <c r="Q33" i="33"/>
  <c r="R43" i="4" s="1"/>
  <c r="P34" i="33"/>
  <c r="Q44" i="4" s="1"/>
  <c r="Q35" i="33"/>
  <c r="R45" i="4" s="1"/>
  <c r="O42" i="33"/>
  <c r="P52" i="4" s="1"/>
  <c r="P28" i="33"/>
  <c r="Q38" i="4" s="1"/>
  <c r="P29" i="33"/>
  <c r="Q39" i="4" s="1"/>
  <c r="O30" i="33"/>
  <c r="P40" i="4" s="1"/>
  <c r="P31" i="33"/>
  <c r="Q41" i="4" s="1"/>
  <c r="Q32" i="33"/>
  <c r="R42" i="4" s="1"/>
  <c r="R33" i="33"/>
  <c r="S43" i="4" s="1"/>
  <c r="Q34" i="33"/>
  <c r="R44" i="4" s="1"/>
  <c r="T35" i="33"/>
  <c r="U45" i="4" s="1"/>
  <c r="Q28" i="33"/>
  <c r="R38" i="4" s="1"/>
  <c r="Q29" i="33"/>
  <c r="R39" i="4" s="1"/>
  <c r="P30" i="33"/>
  <c r="Q40" i="4" s="1"/>
  <c r="Q31" i="33"/>
  <c r="R41" i="4" s="1"/>
  <c r="U32" i="33"/>
  <c r="V42" i="4" s="1"/>
  <c r="V33" i="33"/>
  <c r="W43" i="4" s="1"/>
  <c r="S34" i="33"/>
  <c r="T44" i="4" s="1"/>
  <c r="R28" i="33"/>
  <c r="R29" i="33"/>
  <c r="S39" i="4" s="1"/>
  <c r="Q30" i="33"/>
  <c r="R40" i="4" s="1"/>
  <c r="T31" i="33"/>
  <c r="U41" i="4" s="1"/>
  <c r="E33" i="33"/>
  <c r="E43" i="4" s="1"/>
  <c r="B34" i="33"/>
  <c r="B44" i="4" s="1"/>
  <c r="V28" i="33"/>
  <c r="V29" i="33"/>
  <c r="W39" i="4" s="1"/>
  <c r="S30" i="33"/>
  <c r="T40" i="4" s="1"/>
  <c r="D32" i="33"/>
  <c r="D42" i="4" s="1"/>
  <c r="I33" i="33"/>
  <c r="I43" i="4" s="1"/>
  <c r="F34" i="33"/>
  <c r="F44" i="4" s="1"/>
  <c r="G35" i="33"/>
  <c r="G45" i="4" s="1"/>
  <c r="B28" i="33"/>
  <c r="E29" i="33"/>
  <c r="E39" i="4" s="1"/>
  <c r="B30" i="33"/>
  <c r="B40" i="4" s="1"/>
  <c r="C31" i="33"/>
  <c r="C41" i="4" s="1"/>
  <c r="H32" i="33"/>
  <c r="H42" i="4" s="1"/>
  <c r="M33" i="33"/>
  <c r="M43" i="4" s="1"/>
  <c r="J34" i="33"/>
  <c r="J44" i="4" s="1"/>
  <c r="K35" i="33"/>
  <c r="K45" i="4" s="1"/>
  <c r="G28" i="33"/>
  <c r="K28" i="33"/>
  <c r="B29" i="33"/>
  <c r="B39" i="4" s="1"/>
  <c r="O29" i="33"/>
  <c r="P39" i="4" s="1"/>
  <c r="S29" i="33"/>
  <c r="T39" i="4" s="1"/>
  <c r="C30" i="33"/>
  <c r="C40" i="4" s="1"/>
  <c r="G30" i="33"/>
  <c r="G40" i="4" s="1"/>
  <c r="K30" i="33"/>
  <c r="K40" i="4" s="1"/>
  <c r="T30" i="33"/>
  <c r="U40" i="4" s="1"/>
  <c r="D31" i="33"/>
  <c r="D41" i="4" s="1"/>
  <c r="H31" i="33"/>
  <c r="H41" i="4" s="1"/>
  <c r="L31" i="33"/>
  <c r="L41" i="4" s="1"/>
  <c r="U31" i="33"/>
  <c r="V41" i="4" s="1"/>
  <c r="E32" i="33"/>
  <c r="E42" i="4" s="1"/>
  <c r="I32" i="33"/>
  <c r="I42" i="4" s="1"/>
  <c r="V32" i="33"/>
  <c r="W42" i="4" s="1"/>
  <c r="B33" i="33"/>
  <c r="B43" i="4" s="1"/>
  <c r="O33" i="33"/>
  <c r="P43" i="4" s="1"/>
  <c r="S33" i="33"/>
  <c r="T43" i="4" s="1"/>
  <c r="C34" i="33"/>
  <c r="C44" i="4" s="1"/>
  <c r="G34" i="33"/>
  <c r="G44" i="4" s="1"/>
  <c r="K34" i="33"/>
  <c r="K44" i="4" s="1"/>
  <c r="T34" i="33"/>
  <c r="U44" i="4" s="1"/>
  <c r="D35" i="33"/>
  <c r="D45" i="4" s="1"/>
  <c r="H35" i="33"/>
  <c r="H45" i="4" s="1"/>
  <c r="L35" i="33"/>
  <c r="L45" i="4" s="1"/>
  <c r="U35" i="33"/>
  <c r="V45" i="4" s="1"/>
  <c r="O41" i="33"/>
  <c r="P51" i="4" s="1"/>
  <c r="D28" i="33"/>
  <c r="H28" i="33"/>
  <c r="H47" i="33" s="1"/>
  <c r="H48" i="33" s="1"/>
  <c r="H54" i="33" s="1"/>
  <c r="L28" i="33"/>
  <c r="T28" i="33"/>
  <c r="C29" i="33"/>
  <c r="C39" i="4" s="1"/>
  <c r="G29" i="33"/>
  <c r="G39" i="4" s="1"/>
  <c r="K29" i="33"/>
  <c r="K39" i="4" s="1"/>
  <c r="T29" i="33"/>
  <c r="U39" i="4" s="1"/>
  <c r="D30" i="33"/>
  <c r="D40" i="4" s="1"/>
  <c r="H30" i="33"/>
  <c r="H40" i="4" s="1"/>
  <c r="L30" i="33"/>
  <c r="L40" i="4" s="1"/>
  <c r="U30" i="33"/>
  <c r="V40" i="4" s="1"/>
  <c r="E31" i="33"/>
  <c r="E41" i="4" s="1"/>
  <c r="I31" i="33"/>
  <c r="I41" i="4" s="1"/>
  <c r="M31" i="33"/>
  <c r="M41" i="4" s="1"/>
  <c r="R31" i="33"/>
  <c r="S41" i="4" s="1"/>
  <c r="V31" i="33"/>
  <c r="W41" i="4" s="1"/>
  <c r="B32" i="33"/>
  <c r="B42" i="4" s="1"/>
  <c r="F32" i="33"/>
  <c r="F42" i="4" s="1"/>
  <c r="J32" i="33"/>
  <c r="J42" i="4" s="1"/>
  <c r="O32" i="33"/>
  <c r="P42" i="4" s="1"/>
  <c r="S32" i="33"/>
  <c r="T42" i="4" s="1"/>
  <c r="C33" i="33"/>
  <c r="C43" i="4" s="1"/>
  <c r="G33" i="33"/>
  <c r="G43" i="4" s="1"/>
  <c r="K33" i="33"/>
  <c r="K43" i="4" s="1"/>
  <c r="T33" i="33"/>
  <c r="U43" i="4" s="1"/>
  <c r="D34" i="33"/>
  <c r="D44" i="4" s="1"/>
  <c r="H34" i="33"/>
  <c r="H44" i="4" s="1"/>
  <c r="L34" i="33"/>
  <c r="L44" i="4" s="1"/>
  <c r="U34" i="33"/>
  <c r="V44" i="4" s="1"/>
  <c r="E35" i="33"/>
  <c r="E45" i="4" s="1"/>
  <c r="I35" i="33"/>
  <c r="I45" i="4" s="1"/>
  <c r="M35" i="33"/>
  <c r="M45" i="4" s="1"/>
  <c r="R35" i="33"/>
  <c r="S45" i="4" s="1"/>
  <c r="V35" i="33"/>
  <c r="W45" i="4" s="1"/>
  <c r="O36" i="33"/>
  <c r="P46" i="4" s="1"/>
  <c r="O40" i="33"/>
  <c r="P50" i="4" s="1"/>
  <c r="C28" i="33"/>
  <c r="O28" i="33"/>
  <c r="P38" i="4" s="1"/>
  <c r="S28" i="33"/>
  <c r="F29" i="33"/>
  <c r="F39" i="4" s="1"/>
  <c r="J29" i="33"/>
  <c r="J39" i="4" s="1"/>
  <c r="M32" i="33"/>
  <c r="M42" i="4" s="1"/>
  <c r="R32" i="33"/>
  <c r="S42" i="4" s="1"/>
  <c r="F33" i="33"/>
  <c r="F43" i="4" s="1"/>
  <c r="J33" i="33"/>
  <c r="J43" i="4" s="1"/>
  <c r="O37" i="33"/>
  <c r="P47" i="4" s="1"/>
  <c r="E28" i="33"/>
  <c r="E38" i="4" s="1"/>
  <c r="I28" i="33"/>
  <c r="I38" i="4" s="1"/>
  <c r="M28" i="33"/>
  <c r="M38" i="4" s="1"/>
  <c r="U28" i="33"/>
  <c r="V38" i="4" s="1"/>
  <c r="D29" i="33"/>
  <c r="D39" i="4" s="1"/>
  <c r="H29" i="33"/>
  <c r="H39" i="4" s="1"/>
  <c r="L29" i="33"/>
  <c r="L39" i="4" s="1"/>
  <c r="U29" i="33"/>
  <c r="V39" i="4" s="1"/>
  <c r="E30" i="33"/>
  <c r="E40" i="4" s="1"/>
  <c r="I30" i="33"/>
  <c r="I40" i="4" s="1"/>
  <c r="M30" i="33"/>
  <c r="M40" i="4" s="1"/>
  <c r="R30" i="33"/>
  <c r="S40" i="4" s="1"/>
  <c r="V30" i="33"/>
  <c r="W40" i="4" s="1"/>
  <c r="B31" i="33"/>
  <c r="B41" i="4" s="1"/>
  <c r="F31" i="33"/>
  <c r="F41" i="4" s="1"/>
  <c r="J31" i="33"/>
  <c r="J41" i="4" s="1"/>
  <c r="O31" i="33"/>
  <c r="P41" i="4" s="1"/>
  <c r="S31" i="33"/>
  <c r="T41" i="4" s="1"/>
  <c r="C32" i="33"/>
  <c r="C42" i="4" s="1"/>
  <c r="G32" i="33"/>
  <c r="G42" i="4" s="1"/>
  <c r="K32" i="33"/>
  <c r="K42" i="4" s="1"/>
  <c r="T32" i="33"/>
  <c r="U42" i="4" s="1"/>
  <c r="D33" i="33"/>
  <c r="D43" i="4" s="1"/>
  <c r="H33" i="33"/>
  <c r="H43" i="4" s="1"/>
  <c r="L33" i="33"/>
  <c r="L43" i="4" s="1"/>
  <c r="U33" i="33"/>
  <c r="V43" i="4" s="1"/>
  <c r="E34" i="33"/>
  <c r="E44" i="4" s="1"/>
  <c r="I34" i="33"/>
  <c r="I44" i="4" s="1"/>
  <c r="M34" i="33"/>
  <c r="M44" i="4" s="1"/>
  <c r="R34" i="33"/>
  <c r="S44" i="4" s="1"/>
  <c r="V34" i="33"/>
  <c r="W44" i="4" s="1"/>
  <c r="B35" i="33"/>
  <c r="B45" i="4" s="1"/>
  <c r="F35" i="33"/>
  <c r="F45" i="4" s="1"/>
  <c r="J35" i="33"/>
  <c r="J45" i="4" s="1"/>
  <c r="O35" i="33"/>
  <c r="P45" i="4" s="1"/>
  <c r="S35" i="33"/>
  <c r="T45" i="4" s="1"/>
  <c r="O39" i="33"/>
  <c r="P49" i="4" s="1"/>
  <c r="D38" i="4"/>
  <c r="W38" i="4"/>
  <c r="S38" i="4"/>
  <c r="B38" i="4"/>
  <c r="N46" i="33"/>
  <c r="N53" i="33" s="1"/>
  <c r="B22" i="33"/>
  <c r="E22" i="33"/>
  <c r="I45" i="33"/>
  <c r="I52" i="33"/>
  <c r="I27" i="33"/>
  <c r="C38" i="4"/>
  <c r="G38" i="4"/>
  <c r="K38" i="4"/>
  <c r="B27" i="33"/>
  <c r="B52" i="33" s="1"/>
  <c r="L38" i="4"/>
  <c r="D27" i="33"/>
  <c r="D52" i="33" s="1"/>
  <c r="I22" i="33"/>
  <c r="E27" i="33"/>
  <c r="E52" i="33" s="1"/>
  <c r="F38" i="4"/>
  <c r="J38" i="4"/>
  <c r="N38" i="4"/>
  <c r="N47" i="33"/>
  <c r="N48" i="33" s="1"/>
  <c r="N54" i="33" s="1"/>
  <c r="T38" i="4"/>
  <c r="D45" i="33"/>
  <c r="G57" i="33"/>
  <c r="N57" i="33"/>
  <c r="T57" i="33"/>
  <c r="H57" i="33"/>
  <c r="O57" i="33"/>
  <c r="U57" i="33"/>
  <c r="C57" i="33"/>
  <c r="J57" i="33"/>
  <c r="P57" i="33"/>
  <c r="D57" i="33"/>
  <c r="L57" i="33"/>
  <c r="S57" i="33"/>
  <c r="F57" i="33"/>
  <c r="K57" i="33"/>
  <c r="Q57" i="33"/>
  <c r="B57" i="33"/>
  <c r="E57" i="33"/>
  <c r="I57" i="33"/>
  <c r="M57" i="33"/>
  <c r="R57" i="33"/>
  <c r="V57" i="33"/>
  <c r="F22" i="33"/>
  <c r="V47" i="33"/>
  <c r="V48" i="33" s="1"/>
  <c r="V54" i="33" s="1"/>
  <c r="F45" i="33"/>
  <c r="G22" i="33"/>
  <c r="G27" i="33"/>
  <c r="G52" i="33" s="1"/>
  <c r="C22" i="33"/>
  <c r="C27" i="33"/>
  <c r="C52" i="33" s="1"/>
  <c r="H27" i="33"/>
  <c r="H52" i="33" s="1"/>
  <c r="H45" i="33"/>
  <c r="F47" i="33" l="1"/>
  <c r="F48" i="33" s="1"/>
  <c r="F54" i="33" s="1"/>
  <c r="E47" i="33"/>
  <c r="E48" i="33" s="1"/>
  <c r="E54" i="33" s="1"/>
  <c r="L47" i="33"/>
  <c r="L48" i="33" s="1"/>
  <c r="L54" i="33" s="1"/>
  <c r="M47" i="33"/>
  <c r="M48" i="33" s="1"/>
  <c r="M54" i="33" s="1"/>
  <c r="B46" i="33"/>
  <c r="B65" i="33" s="1"/>
  <c r="T46" i="33"/>
  <c r="T53" i="33" s="1"/>
  <c r="P47" i="33"/>
  <c r="P48" i="33" s="1"/>
  <c r="P54" i="33" s="1"/>
  <c r="S46" i="33"/>
  <c r="S53" i="33" s="1"/>
  <c r="Q46" i="33"/>
  <c r="Q53" i="33" s="1"/>
  <c r="P46" i="33"/>
  <c r="P53" i="33" s="1"/>
  <c r="H38" i="4"/>
  <c r="Q47" i="33"/>
  <c r="Q48" i="33" s="1"/>
  <c r="Q54" i="33" s="1"/>
  <c r="G47" i="33"/>
  <c r="G48" i="33" s="1"/>
  <c r="G54" i="33" s="1"/>
  <c r="T47" i="33"/>
  <c r="T48" i="33" s="1"/>
  <c r="T54" i="33" s="1"/>
  <c r="I46" i="33"/>
  <c r="I53" i="33" s="1"/>
  <c r="U38" i="4"/>
  <c r="R47" i="33"/>
  <c r="R48" i="33" s="1"/>
  <c r="R54" i="33" s="1"/>
  <c r="I47" i="33"/>
  <c r="I48" i="33" s="1"/>
  <c r="I54" i="33" s="1"/>
  <c r="B47" i="33"/>
  <c r="B48" i="33" s="1"/>
  <c r="B54" i="33" s="1"/>
  <c r="U47" i="33"/>
  <c r="U48" i="33" s="1"/>
  <c r="U54" i="33" s="1"/>
  <c r="D47" i="33"/>
  <c r="D48" i="33" s="1"/>
  <c r="D54" i="33" s="1"/>
  <c r="S47" i="33"/>
  <c r="S48" i="33" s="1"/>
  <c r="S54" i="33" s="1"/>
  <c r="O47" i="33"/>
  <c r="O48" i="33" s="1"/>
  <c r="O54" i="33" s="1"/>
  <c r="J46" i="33"/>
  <c r="J53" i="33" s="1"/>
  <c r="C46" i="33"/>
  <c r="C53" i="33" s="1"/>
  <c r="R46" i="33"/>
  <c r="R53" i="33" s="1"/>
  <c r="H46" i="33"/>
  <c r="H53" i="33" s="1"/>
  <c r="O46" i="33"/>
  <c r="O53" i="33" s="1"/>
  <c r="O55" i="33" s="1"/>
  <c r="J47" i="33"/>
  <c r="J48" i="33" s="1"/>
  <c r="J54" i="33" s="1"/>
  <c r="G46" i="33"/>
  <c r="G53" i="33" s="1"/>
  <c r="L46" i="33"/>
  <c r="L53" i="33" s="1"/>
  <c r="K46" i="33"/>
  <c r="K53" i="33" s="1"/>
  <c r="V46" i="33"/>
  <c r="V53" i="33" s="1"/>
  <c r="M46" i="33"/>
  <c r="M53" i="33" s="1"/>
  <c r="E46" i="33"/>
  <c r="E53" i="33" s="1"/>
  <c r="U46" i="33"/>
  <c r="U53" i="33" s="1"/>
  <c r="U55" i="33" s="1"/>
  <c r="D46" i="33"/>
  <c r="D53" i="33" s="1"/>
  <c r="K47" i="33"/>
  <c r="K48" i="33" s="1"/>
  <c r="K54" i="33" s="1"/>
  <c r="C47" i="33"/>
  <c r="C48" i="33" s="1"/>
  <c r="C54" i="33" s="1"/>
  <c r="F46" i="33"/>
  <c r="F53" i="33" s="1"/>
  <c r="O59" i="33"/>
  <c r="O60" i="33" s="1"/>
  <c r="O61" i="33" s="1"/>
  <c r="N59" i="33"/>
  <c r="N60" i="33" s="1"/>
  <c r="N61" i="33" s="1"/>
  <c r="J59" i="33"/>
  <c r="J60" i="33" s="1"/>
  <c r="J61" i="33" s="1"/>
  <c r="F59" i="33"/>
  <c r="F60" i="33" s="1"/>
  <c r="F61" i="33" s="1"/>
  <c r="I59" i="33"/>
  <c r="I60" i="33" s="1"/>
  <c r="I61" i="33" s="1"/>
  <c r="D59" i="33"/>
  <c r="D60" i="33" s="1"/>
  <c r="D61" i="33" s="1"/>
  <c r="H59" i="33"/>
  <c r="H60" i="33" s="1"/>
  <c r="H61" i="33" s="1"/>
  <c r="M59" i="33"/>
  <c r="M60" i="33" s="1"/>
  <c r="M61" i="33" s="1"/>
  <c r="G59" i="33"/>
  <c r="G60" i="33" s="1"/>
  <c r="G61" i="33" s="1"/>
  <c r="L59" i="33"/>
  <c r="L60" i="33" s="1"/>
  <c r="L61" i="33" s="1"/>
  <c r="E59" i="33"/>
  <c r="E60" i="33" s="1"/>
  <c r="E61" i="33" s="1"/>
  <c r="K59" i="33"/>
  <c r="K60" i="33" s="1"/>
  <c r="K61" i="33" s="1"/>
  <c r="C59" i="33"/>
  <c r="C60" i="33" s="1"/>
  <c r="C61" i="33" s="1"/>
  <c r="S59" i="33"/>
  <c r="S60" i="33" s="1"/>
  <c r="S61" i="33" s="1"/>
  <c r="U59" i="33"/>
  <c r="U60" i="33" s="1"/>
  <c r="U61" i="33" s="1"/>
  <c r="P59" i="33"/>
  <c r="P60" i="33" s="1"/>
  <c r="P61" i="33" s="1"/>
  <c r="V59" i="33"/>
  <c r="V60" i="33" s="1"/>
  <c r="V61" i="33" s="1"/>
  <c r="T59" i="33"/>
  <c r="T60" i="33" s="1"/>
  <c r="T61" i="33" s="1"/>
  <c r="R59" i="33"/>
  <c r="R60" i="33" s="1"/>
  <c r="R61" i="33" s="1"/>
  <c r="Q59" i="33"/>
  <c r="Q60" i="33" s="1"/>
  <c r="Q61" i="33" s="1"/>
  <c r="B53" i="33"/>
  <c r="B64" i="33"/>
  <c r="P55" i="33" l="1"/>
  <c r="S55" i="33"/>
  <c r="Q55" i="33"/>
  <c r="V55" i="33"/>
  <c r="R55" i="33"/>
  <c r="T55" i="33"/>
  <c r="M55" i="33"/>
  <c r="D55" i="33"/>
  <c r="B55" i="33"/>
  <c r="K55" i="33"/>
  <c r="L55" i="33"/>
  <c r="N55" i="33"/>
  <c r="G55" i="33"/>
  <c r="F55" i="33"/>
  <c r="C55" i="33"/>
  <c r="J55" i="33"/>
  <c r="H55" i="33"/>
  <c r="I55" i="33"/>
  <c r="E55" i="33"/>
  <c r="M4" i="33" l="1"/>
  <c r="N4" i="33"/>
  <c r="L4" i="33" l="1"/>
  <c r="L22" i="33" s="1"/>
  <c r="K4" i="33"/>
  <c r="K22" i="33" s="1"/>
  <c r="J4" i="33"/>
  <c r="J52" i="33" s="1"/>
  <c r="M45" i="33"/>
  <c r="M52" i="33"/>
  <c r="M27" i="33"/>
  <c r="M22" i="33"/>
  <c r="N27" i="33"/>
  <c r="N52" i="33"/>
  <c r="N22" i="33"/>
  <c r="N45" i="33"/>
  <c r="K45" i="33" l="1"/>
  <c r="K52" i="33"/>
  <c r="K27" i="33"/>
  <c r="O4" i="33"/>
  <c r="O4" i="23"/>
  <c r="O4" i="1"/>
  <c r="Q4" i="1"/>
  <c r="Q4" i="33"/>
  <c r="Q4" i="23"/>
  <c r="P4" i="33"/>
  <c r="P4" i="23"/>
  <c r="P4" i="1"/>
  <c r="J22" i="33"/>
  <c r="L52" i="33"/>
  <c r="J45" i="33"/>
  <c r="L27" i="33"/>
  <c r="J27" i="33"/>
  <c r="L45" i="33"/>
  <c r="Q22" i="33" l="1"/>
  <c r="Q45" i="33"/>
  <c r="Q27" i="33"/>
  <c r="Q52" i="33" s="1"/>
  <c r="O27" i="33"/>
  <c r="O52" i="33" s="1"/>
  <c r="O22" i="33"/>
  <c r="O45" i="33"/>
  <c r="P22" i="33"/>
  <c r="P45" i="33"/>
  <c r="P27" i="33"/>
  <c r="P52" i="33" s="1"/>
  <c r="N4" i="1" l="1"/>
  <c r="N45" i="1" s="1"/>
  <c r="P22" i="1"/>
  <c r="Q45" i="1"/>
  <c r="P36" i="23"/>
  <c r="Q30" i="4" s="1"/>
  <c r="Q36" i="23"/>
  <c r="R30" i="4" s="1"/>
  <c r="R36" i="23"/>
  <c r="S30" i="4" s="1"/>
  <c r="S36" i="23"/>
  <c r="T30" i="4" s="1"/>
  <c r="T36" i="23"/>
  <c r="U30" i="4" s="1"/>
  <c r="U36" i="23"/>
  <c r="V30" i="4" s="1"/>
  <c r="V36" i="23"/>
  <c r="W30" i="4" s="1"/>
  <c r="P37" i="23"/>
  <c r="Q31" i="4" s="1"/>
  <c r="Q37" i="23"/>
  <c r="R31" i="4" s="1"/>
  <c r="R37" i="23"/>
  <c r="S31" i="4" s="1"/>
  <c r="S37" i="23"/>
  <c r="T31" i="4" s="1"/>
  <c r="T37" i="23"/>
  <c r="U31" i="4" s="1"/>
  <c r="U37" i="23"/>
  <c r="V31" i="4" s="1"/>
  <c r="V37" i="23"/>
  <c r="W31" i="4" s="1"/>
  <c r="P38" i="23"/>
  <c r="Q32" i="4" s="1"/>
  <c r="Q38" i="23"/>
  <c r="R32" i="4" s="1"/>
  <c r="R38" i="23"/>
  <c r="S32" i="4" s="1"/>
  <c r="S38" i="23"/>
  <c r="T32" i="4" s="1"/>
  <c r="T38" i="23"/>
  <c r="U32" i="4" s="1"/>
  <c r="U38" i="23"/>
  <c r="V32" i="4" s="1"/>
  <c r="V38" i="23"/>
  <c r="W32" i="4" s="1"/>
  <c r="P39" i="23"/>
  <c r="Q33" i="4" s="1"/>
  <c r="Q39" i="23"/>
  <c r="R33" i="4" s="1"/>
  <c r="R39" i="23"/>
  <c r="S33" i="4" s="1"/>
  <c r="S39" i="23"/>
  <c r="T33" i="4" s="1"/>
  <c r="T39" i="23"/>
  <c r="U33" i="4" s="1"/>
  <c r="U39" i="23"/>
  <c r="V33" i="4" s="1"/>
  <c r="V39" i="23"/>
  <c r="W33" i="4" s="1"/>
  <c r="P40" i="23"/>
  <c r="Q34" i="4" s="1"/>
  <c r="Q40" i="23"/>
  <c r="R34" i="4" s="1"/>
  <c r="R40" i="23"/>
  <c r="S34" i="4" s="1"/>
  <c r="S40" i="23"/>
  <c r="T34" i="4" s="1"/>
  <c r="T40" i="23"/>
  <c r="U34" i="4" s="1"/>
  <c r="U40" i="23"/>
  <c r="V34" i="4" s="1"/>
  <c r="V40" i="23"/>
  <c r="W34" i="4" s="1"/>
  <c r="P41" i="23"/>
  <c r="Q35" i="4" s="1"/>
  <c r="Q41" i="23"/>
  <c r="R35" i="4" s="1"/>
  <c r="R41" i="23"/>
  <c r="S35" i="4" s="1"/>
  <c r="S41" i="23"/>
  <c r="T35" i="4" s="1"/>
  <c r="T41" i="23"/>
  <c r="U35" i="4" s="1"/>
  <c r="U41" i="23"/>
  <c r="V35" i="4" s="1"/>
  <c r="V41" i="23"/>
  <c r="W35" i="4" s="1"/>
  <c r="P42" i="23"/>
  <c r="Q36" i="4" s="1"/>
  <c r="Q42" i="23"/>
  <c r="R36" i="4" s="1"/>
  <c r="R42" i="23"/>
  <c r="S36" i="4" s="1"/>
  <c r="S42" i="23"/>
  <c r="T36" i="4" s="1"/>
  <c r="T42" i="23"/>
  <c r="U36" i="4" s="1"/>
  <c r="U42" i="23"/>
  <c r="V36" i="4" s="1"/>
  <c r="V42" i="23"/>
  <c r="W36" i="4" s="1"/>
  <c r="P43" i="23"/>
  <c r="Q43" i="23"/>
  <c r="R37" i="4" s="1"/>
  <c r="R43" i="23"/>
  <c r="S43" i="23"/>
  <c r="T43" i="23"/>
  <c r="U43" i="23"/>
  <c r="V37" i="4" s="1"/>
  <c r="V43" i="23"/>
  <c r="N28" i="23"/>
  <c r="N29" i="23"/>
  <c r="N23" i="4" s="1"/>
  <c r="N30" i="23"/>
  <c r="N24" i="4" s="1"/>
  <c r="N31" i="23"/>
  <c r="N25" i="4" s="1"/>
  <c r="N32" i="23"/>
  <c r="N26" i="4" s="1"/>
  <c r="N33" i="23"/>
  <c r="N27" i="4" s="1"/>
  <c r="N34" i="23"/>
  <c r="N28" i="4" s="1"/>
  <c r="N35" i="23"/>
  <c r="N29" i="4" s="1"/>
  <c r="K36" i="23"/>
  <c r="K30" i="4" s="1"/>
  <c r="L36" i="23"/>
  <c r="L30" i="4" s="1"/>
  <c r="M36" i="23"/>
  <c r="M30" i="4" s="1"/>
  <c r="N36" i="23"/>
  <c r="N30" i="4" s="1"/>
  <c r="K37" i="23"/>
  <c r="K31" i="4" s="1"/>
  <c r="L37" i="23"/>
  <c r="L31" i="4" s="1"/>
  <c r="M37" i="23"/>
  <c r="M31" i="4" s="1"/>
  <c r="N37" i="23"/>
  <c r="N31" i="4" s="1"/>
  <c r="K38" i="23"/>
  <c r="K32" i="4" s="1"/>
  <c r="L38" i="23"/>
  <c r="L32" i="4" s="1"/>
  <c r="M38" i="23"/>
  <c r="M32" i="4" s="1"/>
  <c r="N38" i="23"/>
  <c r="N32" i="4" s="1"/>
  <c r="K39" i="23"/>
  <c r="K33" i="4" s="1"/>
  <c r="L39" i="23"/>
  <c r="L33" i="4" s="1"/>
  <c r="M39" i="23"/>
  <c r="M33" i="4" s="1"/>
  <c r="N39" i="23"/>
  <c r="N33" i="4" s="1"/>
  <c r="K40" i="23"/>
  <c r="K34" i="4" s="1"/>
  <c r="L40" i="23"/>
  <c r="L34" i="4" s="1"/>
  <c r="M40" i="23"/>
  <c r="M34" i="4" s="1"/>
  <c r="N40" i="23"/>
  <c r="N34" i="4" s="1"/>
  <c r="K41" i="23"/>
  <c r="K35" i="4" s="1"/>
  <c r="L41" i="23"/>
  <c r="L35" i="4" s="1"/>
  <c r="M41" i="23"/>
  <c r="M35" i="4" s="1"/>
  <c r="N41" i="23"/>
  <c r="N35" i="4" s="1"/>
  <c r="K42" i="23"/>
  <c r="K36" i="4" s="1"/>
  <c r="L42" i="23"/>
  <c r="L36" i="4" s="1"/>
  <c r="M42" i="23"/>
  <c r="M36" i="4" s="1"/>
  <c r="N42" i="23"/>
  <c r="N36" i="4" s="1"/>
  <c r="K43" i="23"/>
  <c r="L43" i="23"/>
  <c r="M43" i="23"/>
  <c r="N43" i="23"/>
  <c r="S36" i="1"/>
  <c r="T14" i="4" s="1"/>
  <c r="T36" i="1"/>
  <c r="U14" i="4" s="1"/>
  <c r="U36" i="1"/>
  <c r="V14" i="4" s="1"/>
  <c r="V36" i="1"/>
  <c r="W14" i="4" s="1"/>
  <c r="S37" i="1"/>
  <c r="T15" i="4" s="1"/>
  <c r="T37" i="1"/>
  <c r="U15" i="4" s="1"/>
  <c r="U37" i="1"/>
  <c r="V15" i="4" s="1"/>
  <c r="V37" i="1"/>
  <c r="W15" i="4" s="1"/>
  <c r="S38" i="1"/>
  <c r="T16" i="4" s="1"/>
  <c r="T38" i="1"/>
  <c r="U16" i="4" s="1"/>
  <c r="U38" i="1"/>
  <c r="V16" i="4" s="1"/>
  <c r="V38" i="1"/>
  <c r="W16" i="4" s="1"/>
  <c r="S39" i="1"/>
  <c r="T17" i="4" s="1"/>
  <c r="T39" i="1"/>
  <c r="U17" i="4" s="1"/>
  <c r="U39" i="1"/>
  <c r="V17" i="4" s="1"/>
  <c r="V39" i="1"/>
  <c r="W17" i="4" s="1"/>
  <c r="S40" i="1"/>
  <c r="T18" i="4" s="1"/>
  <c r="T40" i="1"/>
  <c r="U18" i="4" s="1"/>
  <c r="U40" i="1"/>
  <c r="V18" i="4" s="1"/>
  <c r="V40" i="1"/>
  <c r="W18" i="4" s="1"/>
  <c r="S41" i="1"/>
  <c r="T19" i="4" s="1"/>
  <c r="T41" i="1"/>
  <c r="U19" i="4" s="1"/>
  <c r="U41" i="1"/>
  <c r="V19" i="4" s="1"/>
  <c r="V41" i="1"/>
  <c r="W19" i="4" s="1"/>
  <c r="S42" i="1"/>
  <c r="T20" i="4" s="1"/>
  <c r="T42" i="1"/>
  <c r="U20" i="4" s="1"/>
  <c r="U42" i="1"/>
  <c r="V20" i="4" s="1"/>
  <c r="V42" i="1"/>
  <c r="W20" i="4" s="1"/>
  <c r="S43" i="1"/>
  <c r="T21" i="4" s="1"/>
  <c r="T43" i="1"/>
  <c r="U43" i="1"/>
  <c r="V43" i="1"/>
  <c r="N28" i="1"/>
  <c r="N29" i="1"/>
  <c r="N7" i="4" s="1"/>
  <c r="N30" i="1"/>
  <c r="N8" i="4" s="1"/>
  <c r="N31" i="1"/>
  <c r="N9" i="4" s="1"/>
  <c r="N32" i="1"/>
  <c r="N10" i="4" s="1"/>
  <c r="N33" i="1"/>
  <c r="N11" i="4" s="1"/>
  <c r="N34" i="1"/>
  <c r="N12" i="4" s="1"/>
  <c r="N35" i="1"/>
  <c r="N13" i="4" s="1"/>
  <c r="K36" i="1"/>
  <c r="K14" i="4" s="1"/>
  <c r="L36" i="1"/>
  <c r="L14" i="4" s="1"/>
  <c r="M36" i="1"/>
  <c r="M14" i="4" s="1"/>
  <c r="N36" i="1"/>
  <c r="N14" i="4" s="1"/>
  <c r="K37" i="1"/>
  <c r="K15" i="4" s="1"/>
  <c r="L37" i="1"/>
  <c r="L15" i="4" s="1"/>
  <c r="M37" i="1"/>
  <c r="M15" i="4" s="1"/>
  <c r="N37" i="1"/>
  <c r="N15" i="4" s="1"/>
  <c r="K38" i="1"/>
  <c r="K16" i="4" s="1"/>
  <c r="L38" i="1"/>
  <c r="L16" i="4" s="1"/>
  <c r="M38" i="1"/>
  <c r="M16" i="4" s="1"/>
  <c r="N38" i="1"/>
  <c r="N16" i="4" s="1"/>
  <c r="K39" i="1"/>
  <c r="K17" i="4" s="1"/>
  <c r="L39" i="1"/>
  <c r="L17" i="4" s="1"/>
  <c r="M39" i="1"/>
  <c r="M17" i="4" s="1"/>
  <c r="N39" i="1"/>
  <c r="N17" i="4" s="1"/>
  <c r="K40" i="1"/>
  <c r="K18" i="4" s="1"/>
  <c r="L40" i="1"/>
  <c r="L18" i="4" s="1"/>
  <c r="M40" i="1"/>
  <c r="M18" i="4" s="1"/>
  <c r="N40" i="1"/>
  <c r="N18" i="4" s="1"/>
  <c r="K41" i="1"/>
  <c r="K19" i="4" s="1"/>
  <c r="L41" i="1"/>
  <c r="L19" i="4" s="1"/>
  <c r="M41" i="1"/>
  <c r="M19" i="4" s="1"/>
  <c r="N41" i="1"/>
  <c r="N19" i="4" s="1"/>
  <c r="K42" i="1"/>
  <c r="K20" i="4" s="1"/>
  <c r="L42" i="1"/>
  <c r="L20" i="4" s="1"/>
  <c r="M42" i="1"/>
  <c r="M20" i="4" s="1"/>
  <c r="N42" i="1"/>
  <c r="N20" i="4" s="1"/>
  <c r="K43" i="1"/>
  <c r="L43" i="1"/>
  <c r="M43" i="1"/>
  <c r="N43"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N24" i="23"/>
  <c r="L24" i="23"/>
  <c r="J24" i="23"/>
  <c r="I24" i="23"/>
  <c r="H24" i="23"/>
  <c r="G24" i="23"/>
  <c r="F24" i="23"/>
  <c r="E24" i="23"/>
  <c r="D24" i="23"/>
  <c r="C24" i="23"/>
  <c r="B24" i="23"/>
  <c r="V23" i="23"/>
  <c r="U23" i="23"/>
  <c r="T23" i="23"/>
  <c r="S23" i="23"/>
  <c r="R23" i="23"/>
  <c r="Q23" i="23"/>
  <c r="P23" i="23"/>
  <c r="O23" i="23"/>
  <c r="B32" i="23" s="1"/>
  <c r="B26" i="4" s="1"/>
  <c r="N23" i="23"/>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I28" i="23"/>
  <c r="P22" i="23"/>
  <c r="S23" i="1"/>
  <c r="T23" i="1"/>
  <c r="U23" i="1"/>
  <c r="V23" i="1"/>
  <c r="S24" i="1"/>
  <c r="T24" i="1"/>
  <c r="U24" i="1"/>
  <c r="V24" i="1"/>
  <c r="L23" i="1"/>
  <c r="M23" i="1"/>
  <c r="N23" i="1"/>
  <c r="L24" i="1"/>
  <c r="M24" i="1"/>
  <c r="N24" i="1"/>
  <c r="I23" i="1"/>
  <c r="I24" i="1"/>
  <c r="C36" i="1"/>
  <c r="C14" i="4" s="1"/>
  <c r="D36" i="1"/>
  <c r="D14" i="4" s="1"/>
  <c r="E36" i="1"/>
  <c r="E14" i="4" s="1"/>
  <c r="F36" i="1"/>
  <c r="F14" i="4" s="1"/>
  <c r="G36" i="1"/>
  <c r="G14" i="4" s="1"/>
  <c r="I36" i="1"/>
  <c r="I14" i="4" s="1"/>
  <c r="J36" i="1"/>
  <c r="J14" i="4" s="1"/>
  <c r="C37" i="1"/>
  <c r="C15" i="4" s="1"/>
  <c r="D37" i="1"/>
  <c r="D15" i="4" s="1"/>
  <c r="E37" i="1"/>
  <c r="E15" i="4" s="1"/>
  <c r="F37" i="1"/>
  <c r="F15" i="4" s="1"/>
  <c r="G37" i="1"/>
  <c r="G15" i="4" s="1"/>
  <c r="I37" i="1"/>
  <c r="I15" i="4" s="1"/>
  <c r="J37" i="1"/>
  <c r="J15" i="4" s="1"/>
  <c r="C38" i="1"/>
  <c r="C16" i="4" s="1"/>
  <c r="D38" i="1"/>
  <c r="D16" i="4" s="1"/>
  <c r="E38" i="1"/>
  <c r="E16" i="4" s="1"/>
  <c r="F38" i="1"/>
  <c r="F16" i="4" s="1"/>
  <c r="G38" i="1"/>
  <c r="G16" i="4" s="1"/>
  <c r="I38" i="1"/>
  <c r="I16" i="4" s="1"/>
  <c r="J38" i="1"/>
  <c r="J16" i="4" s="1"/>
  <c r="C39" i="1"/>
  <c r="C17" i="4" s="1"/>
  <c r="D39" i="1"/>
  <c r="E39" i="1"/>
  <c r="E17" i="4" s="1"/>
  <c r="F39" i="1"/>
  <c r="F17" i="4" s="1"/>
  <c r="G39" i="1"/>
  <c r="G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R14" i="4" s="1"/>
  <c r="R36" i="1"/>
  <c r="S14" i="4" s="1"/>
  <c r="Q37" i="1"/>
  <c r="R15" i="4" s="1"/>
  <c r="P38" i="1"/>
  <c r="Q16" i="4" s="1"/>
  <c r="Q38" i="1"/>
  <c r="R16" i="4" s="1"/>
  <c r="P39" i="1"/>
  <c r="Q17" i="4" s="1"/>
  <c r="Q39" i="1"/>
  <c r="R17" i="4" s="1"/>
  <c r="R39" i="1"/>
  <c r="S17" i="4" s="1"/>
  <c r="P40" i="1"/>
  <c r="Q18" i="4" s="1"/>
  <c r="Q40" i="1"/>
  <c r="R18" i="4" s="1"/>
  <c r="R40" i="1"/>
  <c r="S18" i="4" s="1"/>
  <c r="P41" i="1"/>
  <c r="Q19" i="4" s="1"/>
  <c r="Q41" i="1"/>
  <c r="R19" i="4" s="1"/>
  <c r="P42" i="1"/>
  <c r="Q20" i="4" s="1"/>
  <c r="Q42" i="1"/>
  <c r="R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H31" i="1"/>
  <c r="F30" i="1"/>
  <c r="O43" i="1"/>
  <c r="O32" i="1"/>
  <c r="P10" i="4" s="1"/>
  <c r="P33" i="1"/>
  <c r="Q11" i="4" s="1"/>
  <c r="P34" i="1"/>
  <c r="Q12" i="4" s="1"/>
  <c r="B33" i="1"/>
  <c r="B11" i="4" s="1"/>
  <c r="Q28" i="1"/>
  <c r="Q35" i="1"/>
  <c r="R13"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P56" i="23"/>
  <c r="G56" i="23"/>
  <c r="V56" i="1"/>
  <c r="T56" i="23"/>
  <c r="S56" i="23"/>
  <c r="N56" i="23"/>
  <c r="J56" i="23"/>
  <c r="Q56" i="23"/>
  <c r="C56" i="23"/>
  <c r="R56" i="23"/>
  <c r="M56" i="1"/>
  <c r="S56" i="1"/>
  <c r="J56" i="1"/>
  <c r="F56" i="23"/>
  <c r="E56" i="23"/>
  <c r="L56" i="1"/>
  <c r="U56" i="23"/>
  <c r="I56" i="23"/>
  <c r="M56" i="23"/>
  <c r="V56" i="23"/>
  <c r="L56" i="23"/>
  <c r="K56" i="1"/>
  <c r="K56" i="23"/>
  <c r="H56" i="23"/>
  <c r="D56" i="23"/>
  <c r="U56" i="1"/>
  <c r="N56" i="1"/>
  <c r="T56" i="1"/>
  <c r="O39" i="1" l="1"/>
  <c r="P17" i="4" s="1"/>
  <c r="G30" i="1"/>
  <c r="G8" i="4" s="1"/>
  <c r="P30" i="1"/>
  <c r="Q8" i="4" s="1"/>
  <c r="E30" i="1"/>
  <c r="E8" i="4" s="1"/>
  <c r="Q34" i="1"/>
  <c r="R12" i="4" s="1"/>
  <c r="F32" i="1"/>
  <c r="F10" i="4" s="1"/>
  <c r="Q33" i="1"/>
  <c r="R11" i="4" s="1"/>
  <c r="Q31" i="1"/>
  <c r="R9" i="4" s="1"/>
  <c r="E32" i="23"/>
  <c r="E26" i="4" s="1"/>
  <c r="T35" i="1"/>
  <c r="U13" i="4" s="1"/>
  <c r="E29" i="23"/>
  <c r="E23" i="4" s="1"/>
  <c r="O38" i="1"/>
  <c r="P16" i="4" s="1"/>
  <c r="P28" i="1"/>
  <c r="Q6" i="4" s="1"/>
  <c r="F34" i="1"/>
  <c r="F12" i="4" s="1"/>
  <c r="O42" i="1"/>
  <c r="P20" i="4" s="1"/>
  <c r="I34" i="1"/>
  <c r="I12" i="4" s="1"/>
  <c r="I30" i="23"/>
  <c r="I24" i="4" s="1"/>
  <c r="H32" i="23"/>
  <c r="H26" i="4" s="1"/>
  <c r="J32" i="23"/>
  <c r="J26" i="4" s="1"/>
  <c r="H28" i="23"/>
  <c r="H22" i="4" s="1"/>
  <c r="Q35" i="23"/>
  <c r="R29" i="4" s="1"/>
  <c r="P28" i="23"/>
  <c r="G28" i="23"/>
  <c r="G22" i="4" s="1"/>
  <c r="G29" i="23"/>
  <c r="G23" i="4" s="1"/>
  <c r="D29" i="23"/>
  <c r="D23" i="4" s="1"/>
  <c r="I32" i="23"/>
  <c r="I26" i="4" s="1"/>
  <c r="C33" i="23"/>
  <c r="C27" i="4" s="1"/>
  <c r="I29" i="23"/>
  <c r="I23" i="4" s="1"/>
  <c r="D34" i="23"/>
  <c r="D28" i="4" s="1"/>
  <c r="D31" i="23"/>
  <c r="D25" i="4" s="1"/>
  <c r="G32" i="23"/>
  <c r="G26" i="4" s="1"/>
  <c r="G33" i="23"/>
  <c r="G27" i="4" s="1"/>
  <c r="C30" i="23"/>
  <c r="C24" i="4" s="1"/>
  <c r="C34" i="23"/>
  <c r="C28" i="4" s="1"/>
  <c r="E34" i="23"/>
  <c r="E28" i="4" s="1"/>
  <c r="F30" i="23"/>
  <c r="F24" i="4" s="1"/>
  <c r="H30" i="23"/>
  <c r="H24" i="4" s="1"/>
  <c r="H34" i="23"/>
  <c r="H28" i="4" s="1"/>
  <c r="F29" i="23"/>
  <c r="F23" i="4" s="1"/>
  <c r="K34" i="23"/>
  <c r="K28" i="4" s="1"/>
  <c r="P34" i="23"/>
  <c r="Q28" i="4" s="1"/>
  <c r="F33" i="23"/>
  <c r="F27" i="4" s="1"/>
  <c r="E35" i="23"/>
  <c r="E29" i="4" s="1"/>
  <c r="G30" i="23"/>
  <c r="G24" i="4" s="1"/>
  <c r="J35" i="23"/>
  <c r="J29" i="4" s="1"/>
  <c r="I34" i="23"/>
  <c r="I28" i="4" s="1"/>
  <c r="J30" i="23"/>
  <c r="J24" i="4" s="1"/>
  <c r="C31" i="23"/>
  <c r="C25" i="4" s="1"/>
  <c r="L31" i="23"/>
  <c r="L25" i="4" s="1"/>
  <c r="K30" i="23"/>
  <c r="K24" i="4" s="1"/>
  <c r="M32" i="23"/>
  <c r="M26" i="4" s="1"/>
  <c r="U29" i="23"/>
  <c r="V23" i="4" s="1"/>
  <c r="O36" i="23"/>
  <c r="P30" i="4" s="1"/>
  <c r="U33" i="23"/>
  <c r="V27" i="4" s="1"/>
  <c r="U31" i="23"/>
  <c r="V25" i="4" s="1"/>
  <c r="Q29" i="23"/>
  <c r="R23" i="4" s="1"/>
  <c r="U35" i="23"/>
  <c r="V29" i="4" s="1"/>
  <c r="Q33" i="23"/>
  <c r="R27" i="4" s="1"/>
  <c r="P32" i="23"/>
  <c r="Q26" i="4" s="1"/>
  <c r="Q31" i="23"/>
  <c r="R25" i="4" s="1"/>
  <c r="P30" i="23"/>
  <c r="Q24" i="4" s="1"/>
  <c r="M28" i="23"/>
  <c r="M22" i="4" s="1"/>
  <c r="P35" i="23"/>
  <c r="Q29" i="4" s="1"/>
  <c r="S34" i="23"/>
  <c r="T28" i="4" s="1"/>
  <c r="P33" i="23"/>
  <c r="Q27" i="4" s="1"/>
  <c r="S32" i="23"/>
  <c r="T26" i="4" s="1"/>
  <c r="P31" i="23"/>
  <c r="Q25" i="4" s="1"/>
  <c r="S30" i="23"/>
  <c r="T24" i="4" s="1"/>
  <c r="P29" i="23"/>
  <c r="S28" i="23"/>
  <c r="T22" i="4" s="1"/>
  <c r="L35" i="23"/>
  <c r="L29" i="4" s="1"/>
  <c r="O42" i="23"/>
  <c r="P36" i="4" s="1"/>
  <c r="Q34" i="23"/>
  <c r="R28" i="4" s="1"/>
  <c r="Q32" i="23"/>
  <c r="R26" i="4" s="1"/>
  <c r="Q30" i="23"/>
  <c r="R24" i="4" s="1"/>
  <c r="Q28" i="23"/>
  <c r="R22" i="4" s="1"/>
  <c r="L32" i="23"/>
  <c r="L26" i="4" s="1"/>
  <c r="K31" i="23"/>
  <c r="K25" i="4" s="1"/>
  <c r="M29" i="23"/>
  <c r="M23" i="4" s="1"/>
  <c r="L28" i="23"/>
  <c r="L22" i="4" s="1"/>
  <c r="V30" i="23"/>
  <c r="W24" i="4" s="1"/>
  <c r="V28" i="23"/>
  <c r="H31" i="23"/>
  <c r="H25" i="4" s="1"/>
  <c r="J33" i="23"/>
  <c r="J27" i="4" s="1"/>
  <c r="I35" i="23"/>
  <c r="I29" i="4" s="1"/>
  <c r="H29" i="23"/>
  <c r="H23" i="4" s="1"/>
  <c r="F31" i="23"/>
  <c r="F25" i="4" s="1"/>
  <c r="D33" i="23"/>
  <c r="D27" i="4" s="1"/>
  <c r="G34" i="23"/>
  <c r="G28" i="4" s="1"/>
  <c r="H35" i="23"/>
  <c r="H29" i="4" s="1"/>
  <c r="D28" i="23"/>
  <c r="E31" i="23"/>
  <c r="E25" i="4" s="1"/>
  <c r="F34" i="23"/>
  <c r="F28" i="4" s="1"/>
  <c r="F28" i="23"/>
  <c r="F22" i="4" s="1"/>
  <c r="G31" i="23"/>
  <c r="G25" i="4" s="1"/>
  <c r="E33" i="23"/>
  <c r="E27" i="4" s="1"/>
  <c r="C35" i="23"/>
  <c r="C29" i="4" s="1"/>
  <c r="J29" i="23"/>
  <c r="J23" i="4" s="1"/>
  <c r="E30" i="23"/>
  <c r="E24" i="4" s="1"/>
  <c r="M34" i="23"/>
  <c r="M28" i="4" s="1"/>
  <c r="L33" i="23"/>
  <c r="L27" i="4" s="1"/>
  <c r="K32" i="23"/>
  <c r="K26" i="4" s="1"/>
  <c r="M30" i="23"/>
  <c r="M24" i="4" s="1"/>
  <c r="L29" i="23"/>
  <c r="L23" i="4" s="1"/>
  <c r="K28" i="23"/>
  <c r="K22" i="4" s="1"/>
  <c r="O40" i="23"/>
  <c r="P34" i="4" s="1"/>
  <c r="O33" i="23"/>
  <c r="P27" i="4" s="1"/>
  <c r="S35" i="23"/>
  <c r="T29" i="4" s="1"/>
  <c r="U34" i="23"/>
  <c r="V28" i="4" s="1"/>
  <c r="S33" i="23"/>
  <c r="T27" i="4" s="1"/>
  <c r="U32" i="23"/>
  <c r="V26" i="4" s="1"/>
  <c r="S31" i="23"/>
  <c r="T25" i="4" s="1"/>
  <c r="U30" i="23"/>
  <c r="V24" i="4" s="1"/>
  <c r="S29" i="23"/>
  <c r="T23" i="4" s="1"/>
  <c r="U28" i="23"/>
  <c r="V22" i="4" s="1"/>
  <c r="K35" i="23"/>
  <c r="K29" i="4" s="1"/>
  <c r="M33" i="23"/>
  <c r="M27" i="4" s="1"/>
  <c r="O41" i="23"/>
  <c r="P35" i="4" s="1"/>
  <c r="O35" i="23"/>
  <c r="P29" i="4" s="1"/>
  <c r="T35" i="23"/>
  <c r="U29" i="4" s="1"/>
  <c r="V34" i="23"/>
  <c r="W28" i="4" s="1"/>
  <c r="R34" i="23"/>
  <c r="S28" i="4" s="1"/>
  <c r="T33" i="23"/>
  <c r="V32" i="23"/>
  <c r="W26" i="4" s="1"/>
  <c r="R32" i="23"/>
  <c r="S26" i="4" s="1"/>
  <c r="T31" i="23"/>
  <c r="U25" i="4" s="1"/>
  <c r="R30" i="23"/>
  <c r="S24" i="4" s="1"/>
  <c r="T29" i="23"/>
  <c r="U23" i="4" s="1"/>
  <c r="R28" i="23"/>
  <c r="S22" i="4" s="1"/>
  <c r="D35" i="23"/>
  <c r="D29" i="4" s="1"/>
  <c r="D32" i="23"/>
  <c r="D26" i="4" s="1"/>
  <c r="E28" i="23"/>
  <c r="E22" i="4" s="1"/>
  <c r="J31" i="23"/>
  <c r="J25" i="4" s="1"/>
  <c r="H33" i="23"/>
  <c r="H27" i="4" s="1"/>
  <c r="F35" i="23"/>
  <c r="F29" i="4" s="1"/>
  <c r="C32" i="23"/>
  <c r="C26" i="4" s="1"/>
  <c r="C29" i="23"/>
  <c r="C23" i="4" s="1"/>
  <c r="I31" i="23"/>
  <c r="I25" i="4" s="1"/>
  <c r="J34" i="23"/>
  <c r="J28" i="4" s="1"/>
  <c r="J28" i="23"/>
  <c r="J22" i="4" s="1"/>
  <c r="D30" i="23"/>
  <c r="D24" i="4" s="1"/>
  <c r="F32" i="23"/>
  <c r="F26" i="4" s="1"/>
  <c r="I33" i="23"/>
  <c r="I27" i="4" s="1"/>
  <c r="G35" i="23"/>
  <c r="G29" i="4" s="1"/>
  <c r="C28" i="23"/>
  <c r="M35" i="23"/>
  <c r="M29" i="4" s="1"/>
  <c r="L34" i="23"/>
  <c r="L28" i="4" s="1"/>
  <c r="K33" i="23"/>
  <c r="K27" i="4" s="1"/>
  <c r="M31" i="23"/>
  <c r="M25" i="4" s="1"/>
  <c r="L30" i="23"/>
  <c r="L24" i="4" s="1"/>
  <c r="K29" i="23"/>
  <c r="K23" i="4" s="1"/>
  <c r="O43" i="23"/>
  <c r="P37" i="4" s="1"/>
  <c r="O39" i="23"/>
  <c r="P33" i="4" s="1"/>
  <c r="O29" i="23"/>
  <c r="P23" i="4" s="1"/>
  <c r="V35" i="23"/>
  <c r="W29" i="4" s="1"/>
  <c r="R35" i="23"/>
  <c r="S29" i="4" s="1"/>
  <c r="T34" i="23"/>
  <c r="U28" i="4" s="1"/>
  <c r="V33" i="23"/>
  <c r="W27" i="4" s="1"/>
  <c r="R33" i="23"/>
  <c r="S27" i="4" s="1"/>
  <c r="T32" i="23"/>
  <c r="U26" i="4" s="1"/>
  <c r="V31" i="23"/>
  <c r="W25" i="4" s="1"/>
  <c r="R31" i="23"/>
  <c r="S25" i="4" s="1"/>
  <c r="T30" i="23"/>
  <c r="U24" i="4" s="1"/>
  <c r="V29" i="23"/>
  <c r="W23" i="4" s="1"/>
  <c r="R29" i="23"/>
  <c r="S23" i="4" s="1"/>
  <c r="T28" i="23"/>
  <c r="U22" i="4" s="1"/>
  <c r="F29" i="1"/>
  <c r="F7" i="4" s="1"/>
  <c r="I33" i="1"/>
  <c r="I11" i="4" s="1"/>
  <c r="I29" i="1"/>
  <c r="I7" i="4" s="1"/>
  <c r="H33" i="1"/>
  <c r="H11" i="4" s="1"/>
  <c r="H35" i="1"/>
  <c r="H13" i="4" s="1"/>
  <c r="E35" i="1"/>
  <c r="E13" i="4" s="1"/>
  <c r="H30" i="1"/>
  <c r="H8" i="4" s="1"/>
  <c r="U28" i="1"/>
  <c r="V6" i="4" s="1"/>
  <c r="O41" i="1"/>
  <c r="P19" i="4" s="1"/>
  <c r="G34" i="1"/>
  <c r="G12" i="4" s="1"/>
  <c r="E33" i="1"/>
  <c r="E11" i="4" s="1"/>
  <c r="D35" i="1"/>
  <c r="D13" i="4" s="1"/>
  <c r="G29" i="1"/>
  <c r="J35" i="1"/>
  <c r="J13" i="4" s="1"/>
  <c r="M34" i="1"/>
  <c r="M12" i="4" s="1"/>
  <c r="U30" i="1"/>
  <c r="V8" i="4" s="1"/>
  <c r="L28" i="1"/>
  <c r="L6" i="4" s="1"/>
  <c r="T33" i="1"/>
  <c r="U11" i="4" s="1"/>
  <c r="G35" i="1"/>
  <c r="G13" i="4" s="1"/>
  <c r="E29" i="1"/>
  <c r="E7" i="4" s="1"/>
  <c r="D33" i="1"/>
  <c r="D11" i="4" s="1"/>
  <c r="H34" i="1"/>
  <c r="H12" i="4" s="1"/>
  <c r="O40" i="1"/>
  <c r="P18" i="4" s="1"/>
  <c r="F33" i="1"/>
  <c r="F11" i="4" s="1"/>
  <c r="C35" i="1"/>
  <c r="C13" i="4" s="1"/>
  <c r="H32" i="1"/>
  <c r="H10" i="4" s="1"/>
  <c r="F35" i="1"/>
  <c r="F13" i="4" s="1"/>
  <c r="I30" i="1"/>
  <c r="I8" i="4" s="1"/>
  <c r="E32" i="1"/>
  <c r="E10" i="4" s="1"/>
  <c r="C33" i="1"/>
  <c r="C11" i="4" s="1"/>
  <c r="T34" i="1"/>
  <c r="U12" i="4" s="1"/>
  <c r="L34" i="1"/>
  <c r="L12" i="4" s="1"/>
  <c r="L32" i="1"/>
  <c r="L10" i="4" s="1"/>
  <c r="M29" i="1"/>
  <c r="M7" i="4" s="1"/>
  <c r="U33" i="1"/>
  <c r="V11" i="4" s="1"/>
  <c r="T28" i="1"/>
  <c r="U6" i="4" s="1"/>
  <c r="K33" i="1"/>
  <c r="K11" i="4" s="1"/>
  <c r="L29" i="1"/>
  <c r="L7" i="4" s="1"/>
  <c r="U32" i="1"/>
  <c r="V10" i="4" s="1"/>
  <c r="U35" i="1"/>
  <c r="V13" i="4" s="1"/>
  <c r="U29" i="1"/>
  <c r="V7" i="4" s="1"/>
  <c r="J31" i="1"/>
  <c r="J9" i="4" s="1"/>
  <c r="M35" i="1"/>
  <c r="M13" i="4" s="1"/>
  <c r="M33" i="1"/>
  <c r="M11" i="4" s="1"/>
  <c r="M31" i="1"/>
  <c r="M9" i="4" s="1"/>
  <c r="M30" i="1"/>
  <c r="M8" i="4" s="1"/>
  <c r="S35" i="1"/>
  <c r="T13" i="4" s="1"/>
  <c r="V34" i="1"/>
  <c r="W12" i="4" s="1"/>
  <c r="T32" i="1"/>
  <c r="U10" i="4" s="1"/>
  <c r="U31" i="1"/>
  <c r="V9" i="4" s="1"/>
  <c r="R33" i="1"/>
  <c r="S11" i="4" s="1"/>
  <c r="H39" i="1"/>
  <c r="H17" i="4" s="1"/>
  <c r="H38" i="1"/>
  <c r="H16" i="4" s="1"/>
  <c r="H37" i="1"/>
  <c r="H15" i="4" s="1"/>
  <c r="H36" i="1"/>
  <c r="H14" i="4" s="1"/>
  <c r="L35" i="1"/>
  <c r="L13" i="4" s="1"/>
  <c r="L33" i="1"/>
  <c r="L11" i="4" s="1"/>
  <c r="M32" i="1"/>
  <c r="M10" i="4" s="1"/>
  <c r="L31" i="1"/>
  <c r="L9" i="4" s="1"/>
  <c r="L30" i="1"/>
  <c r="L8" i="4" s="1"/>
  <c r="M28" i="1"/>
  <c r="M6" i="4" s="1"/>
  <c r="U34" i="1"/>
  <c r="V12" i="4" s="1"/>
  <c r="S31" i="1"/>
  <c r="T9" i="4" s="1"/>
  <c r="V30" i="1"/>
  <c r="W8" i="4" s="1"/>
  <c r="J34" i="1"/>
  <c r="J12" i="4" s="1"/>
  <c r="J30" i="1"/>
  <c r="J8" i="4" s="1"/>
  <c r="K34" i="1"/>
  <c r="K12" i="4" s="1"/>
  <c r="K32" i="1"/>
  <c r="K10" i="4" s="1"/>
  <c r="K31" i="1"/>
  <c r="K9" i="4" s="1"/>
  <c r="K29" i="1"/>
  <c r="K7" i="4" s="1"/>
  <c r="K28" i="1"/>
  <c r="K6" i="4" s="1"/>
  <c r="V35" i="1"/>
  <c r="W13" i="4" s="1"/>
  <c r="S32" i="1"/>
  <c r="T10" i="4" s="1"/>
  <c r="V31" i="1"/>
  <c r="W9" i="4" s="1"/>
  <c r="T29" i="1"/>
  <c r="U7" i="4" s="1"/>
  <c r="S28" i="1"/>
  <c r="T6" i="4" s="1"/>
  <c r="J33" i="1"/>
  <c r="J11" i="4" s="1"/>
  <c r="J29" i="1"/>
  <c r="J7" i="4" s="1"/>
  <c r="J28" i="1"/>
  <c r="J6" i="4" s="1"/>
  <c r="K35" i="1"/>
  <c r="K13" i="4" s="1"/>
  <c r="K30" i="1"/>
  <c r="K8" i="4" s="1"/>
  <c r="S33" i="1"/>
  <c r="T11" i="4" s="1"/>
  <c r="V32" i="1"/>
  <c r="W10" i="4" s="1"/>
  <c r="T30" i="1"/>
  <c r="U8" i="4" s="1"/>
  <c r="S29" i="1"/>
  <c r="T7" i="4" s="1"/>
  <c r="V28" i="1"/>
  <c r="W6" i="4" s="1"/>
  <c r="J32" i="1"/>
  <c r="J10" i="4" s="1"/>
  <c r="S34" i="1"/>
  <c r="T12" i="4" s="1"/>
  <c r="V33" i="1"/>
  <c r="W11" i="4" s="1"/>
  <c r="T31" i="1"/>
  <c r="U9" i="4" s="1"/>
  <c r="S30" i="1"/>
  <c r="T8" i="4" s="1"/>
  <c r="V29" i="1"/>
  <c r="W7" i="4" s="1"/>
  <c r="D22" i="4"/>
  <c r="I22" i="4"/>
  <c r="N22" i="4"/>
  <c r="Q22" i="4"/>
  <c r="R6" i="4"/>
  <c r="N6" i="4"/>
  <c r="T4" i="33"/>
  <c r="T22" i="33" s="1"/>
  <c r="Q22" i="1"/>
  <c r="R35" i="1"/>
  <c r="S13" i="4" s="1"/>
  <c r="G32" i="1"/>
  <c r="G10" i="4" s="1"/>
  <c r="H29" i="1"/>
  <c r="E28" i="1"/>
  <c r="D34" i="1"/>
  <c r="D12" i="4" s="1"/>
  <c r="I31" i="1"/>
  <c r="I9" i="4" s="1"/>
  <c r="F28" i="1"/>
  <c r="R41" i="1"/>
  <c r="S19" i="4" s="1"/>
  <c r="R37" i="1"/>
  <c r="S15" i="4" s="1"/>
  <c r="Q29" i="1"/>
  <c r="O37" i="1"/>
  <c r="P15" i="4" s="1"/>
  <c r="P29" i="1"/>
  <c r="B34" i="1"/>
  <c r="B12" i="4" s="1"/>
  <c r="B35" i="1"/>
  <c r="B13" i="4" s="1"/>
  <c r="C34" i="1"/>
  <c r="C12" i="4" s="1"/>
  <c r="I28" i="1"/>
  <c r="G31" i="1"/>
  <c r="G9" i="4" s="1"/>
  <c r="H28" i="1"/>
  <c r="E34" i="1"/>
  <c r="F31" i="1"/>
  <c r="G28" i="1"/>
  <c r="I32" i="1"/>
  <c r="I10" i="4" s="1"/>
  <c r="I35" i="1"/>
  <c r="G33" i="1"/>
  <c r="E31" i="1"/>
  <c r="E9" i="4" s="1"/>
  <c r="R42" i="1"/>
  <c r="S20" i="4" s="1"/>
  <c r="R38" i="1"/>
  <c r="S16" i="4" s="1"/>
  <c r="R34" i="1"/>
  <c r="S12" i="4" s="1"/>
  <c r="L74" i="4"/>
  <c r="L62" i="4"/>
  <c r="E55" i="4"/>
  <c r="E62" i="4"/>
  <c r="Q21" i="4"/>
  <c r="I52" i="23"/>
  <c r="R4" i="33"/>
  <c r="W37" i="4"/>
  <c r="S37" i="4"/>
  <c r="K37" i="4"/>
  <c r="I45" i="23"/>
  <c r="U4" i="33"/>
  <c r="P21" i="4"/>
  <c r="S21" i="4"/>
  <c r="R21" i="4"/>
  <c r="S4" i="33"/>
  <c r="C27" i="23"/>
  <c r="C52" i="23" s="1"/>
  <c r="I27" i="23"/>
  <c r="W21" i="4"/>
  <c r="U21" i="4"/>
  <c r="B21" i="4"/>
  <c r="O37" i="23"/>
  <c r="P31" i="4" s="1"/>
  <c r="O34" i="23"/>
  <c r="P28" i="4" s="1"/>
  <c r="O38" i="23"/>
  <c r="U37" i="4"/>
  <c r="B38" i="23"/>
  <c r="F37" i="4"/>
  <c r="N37" i="4"/>
  <c r="L37" i="4"/>
  <c r="Q37" i="4"/>
  <c r="T37" i="4"/>
  <c r="J37" i="4"/>
  <c r="H37" i="4"/>
  <c r="M37" i="4"/>
  <c r="R4" i="4"/>
  <c r="R62" i="4" s="1"/>
  <c r="N4" i="23"/>
  <c r="N22" i="23" s="1"/>
  <c r="P27" i="23"/>
  <c r="P52" i="23" s="1"/>
  <c r="J4" i="1"/>
  <c r="J4" i="4" s="1"/>
  <c r="J4" i="23"/>
  <c r="J45" i="23" s="1"/>
  <c r="M4" i="23"/>
  <c r="M27" i="23" s="1"/>
  <c r="M4" i="1"/>
  <c r="M4" i="4" s="1"/>
  <c r="L45" i="1"/>
  <c r="L27" i="1"/>
  <c r="L52" i="1" s="1"/>
  <c r="O32" i="23"/>
  <c r="O31" i="23"/>
  <c r="P25" i="4" s="1"/>
  <c r="O30" i="23"/>
  <c r="P24" i="4" s="1"/>
  <c r="B33" i="23"/>
  <c r="B27" i="4" s="1"/>
  <c r="B28" i="23"/>
  <c r="B30" i="23"/>
  <c r="B24" i="4" s="1"/>
  <c r="B34" i="23"/>
  <c r="B28" i="4" s="1"/>
  <c r="B35" i="23"/>
  <c r="O28" i="23"/>
  <c r="B31" i="23"/>
  <c r="B25" i="4" s="1"/>
  <c r="B29" i="23"/>
  <c r="B23" i="4" s="1"/>
  <c r="Q32" i="1"/>
  <c r="P32" i="1"/>
  <c r="Q10" i="4" s="1"/>
  <c r="D4" i="4"/>
  <c r="O29" i="1"/>
  <c r="P7" i="4" s="1"/>
  <c r="B27" i="23"/>
  <c r="B52" i="23" s="1"/>
  <c r="K45" i="23"/>
  <c r="E27" i="23"/>
  <c r="E52" i="23" s="1"/>
  <c r="Q30" i="1"/>
  <c r="R8" i="4" s="1"/>
  <c r="B29" i="1"/>
  <c r="B7" i="4" s="1"/>
  <c r="P35" i="1"/>
  <c r="Q13" i="4" s="1"/>
  <c r="P31" i="1"/>
  <c r="Q9" i="4" s="1"/>
  <c r="H22" i="23"/>
  <c r="N47" i="23"/>
  <c r="N48" i="23" s="1"/>
  <c r="N54" i="23" s="1"/>
  <c r="P37" i="1"/>
  <c r="F22" i="23"/>
  <c r="O36" i="1"/>
  <c r="H45" i="23"/>
  <c r="R31" i="1"/>
  <c r="S9" i="4" s="1"/>
  <c r="N46" i="23"/>
  <c r="N53" i="23" s="1"/>
  <c r="U27" i="4"/>
  <c r="J57" i="1"/>
  <c r="E57" i="23"/>
  <c r="M57" i="1"/>
  <c r="V57" i="1"/>
  <c r="N57" i="23"/>
  <c r="U57" i="23"/>
  <c r="Q57" i="23"/>
  <c r="J57" i="23"/>
  <c r="H57" i="23"/>
  <c r="L57" i="1"/>
  <c r="U57" i="1"/>
  <c r="M57" i="23"/>
  <c r="T57" i="23"/>
  <c r="P57" i="23"/>
  <c r="C57" i="23"/>
  <c r="F57" i="23"/>
  <c r="I57" i="23"/>
  <c r="K57" i="1"/>
  <c r="T57" i="1"/>
  <c r="L57" i="23"/>
  <c r="S57" i="23"/>
  <c r="D57" i="23"/>
  <c r="G57" i="23"/>
  <c r="N57" i="1"/>
  <c r="S57" i="1"/>
  <c r="K57" i="23"/>
  <c r="V57" i="23"/>
  <c r="R57" i="23"/>
  <c r="J21" i="4"/>
  <c r="E37" i="4"/>
  <c r="M21" i="4"/>
  <c r="R28" i="1"/>
  <c r="R30" i="1"/>
  <c r="S8" i="4" s="1"/>
  <c r="L21" i="4"/>
  <c r="V21" i="4"/>
  <c r="R29" i="1"/>
  <c r="S7" i="4" s="1"/>
  <c r="D21" i="4"/>
  <c r="C37" i="4"/>
  <c r="I37" i="4"/>
  <c r="K21" i="4"/>
  <c r="P36" i="1"/>
  <c r="Q14" i="4" s="1"/>
  <c r="R32" i="1"/>
  <c r="C21" i="4"/>
  <c r="B37" i="4"/>
  <c r="D37" i="4"/>
  <c r="G37" i="4"/>
  <c r="N21" i="4"/>
  <c r="O34" i="1"/>
  <c r="P12" i="4" s="1"/>
  <c r="O35" i="1"/>
  <c r="P13" i="4" s="1"/>
  <c r="O33" i="1"/>
  <c r="P11" i="4" s="1"/>
  <c r="O30" i="1"/>
  <c r="P8" i="4" s="1"/>
  <c r="B31" i="1"/>
  <c r="B9" i="4" s="1"/>
  <c r="O31" i="1"/>
  <c r="P9" i="4" s="1"/>
  <c r="B32" i="1"/>
  <c r="D28" i="1"/>
  <c r="C32" i="1"/>
  <c r="B28" i="1"/>
  <c r="N47" i="1"/>
  <c r="N48" i="1" s="1"/>
  <c r="N54" i="1" s="1"/>
  <c r="D32" i="1"/>
  <c r="B30" i="1"/>
  <c r="B8" i="4" s="1"/>
  <c r="C28" i="1"/>
  <c r="D31" i="1"/>
  <c r="D9" i="4" s="1"/>
  <c r="N46" i="1"/>
  <c r="N53" i="1" s="1"/>
  <c r="O28" i="1"/>
  <c r="C30" i="1"/>
  <c r="C8" i="4" s="1"/>
  <c r="C31" i="1"/>
  <c r="C9" i="4" s="1"/>
  <c r="D29" i="1"/>
  <c r="D7" i="4" s="1"/>
  <c r="D30" i="1"/>
  <c r="G21" i="4"/>
  <c r="I21" i="4"/>
  <c r="F21" i="4"/>
  <c r="H21" i="4"/>
  <c r="E21" i="4"/>
  <c r="L52" i="23"/>
  <c r="D17" i="4"/>
  <c r="F8" i="4"/>
  <c r="H9" i="4"/>
  <c r="G7" i="4"/>
  <c r="C4" i="4"/>
  <c r="G27" i="23"/>
  <c r="G52" i="23" s="1"/>
  <c r="K27" i="23"/>
  <c r="L22" i="1"/>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N4" i="4"/>
  <c r="G22" i="1"/>
  <c r="N27" i="1"/>
  <c r="N52" i="1" s="1"/>
  <c r="F45" i="1"/>
  <c r="C22" i="1"/>
  <c r="B22" i="1"/>
  <c r="G45" i="1"/>
  <c r="E27" i="1"/>
  <c r="E52" i="1" s="1"/>
  <c r="E22" i="1"/>
  <c r="I22" i="1"/>
  <c r="I27" i="1"/>
  <c r="P27" i="1"/>
  <c r="P52" i="1" s="1"/>
  <c r="H4" i="4"/>
  <c r="F22" i="1"/>
  <c r="I4" i="4"/>
  <c r="N22" i="1"/>
  <c r="G4" i="4"/>
  <c r="C27" i="1"/>
  <c r="C52" i="1" s="1"/>
  <c r="B45" i="1"/>
  <c r="K74" i="4"/>
  <c r="K22" i="1"/>
  <c r="H22" i="1"/>
  <c r="P4" i="4"/>
  <c r="H45" i="1"/>
  <c r="O45" i="1"/>
  <c r="Q4" i="4"/>
  <c r="K45" i="1"/>
  <c r="P45" i="1"/>
  <c r="O27" i="1"/>
  <c r="O52" i="1" s="1"/>
  <c r="I52" i="1"/>
  <c r="K55" i="4"/>
  <c r="B55" i="4"/>
  <c r="L55" i="4"/>
  <c r="E74" i="4"/>
  <c r="B74" i="4"/>
  <c r="Q56" i="1"/>
  <c r="C56" i="1"/>
  <c r="P56" i="1"/>
  <c r="K78" i="4"/>
  <c r="E56" i="1"/>
  <c r="D56" i="1"/>
  <c r="L78" i="4"/>
  <c r="T78" i="4"/>
  <c r="G56" i="1"/>
  <c r="B56" i="1"/>
  <c r="I56" i="1"/>
  <c r="H56" i="1"/>
  <c r="W78" i="4"/>
  <c r="B56" i="23"/>
  <c r="F56" i="1"/>
  <c r="O56" i="1"/>
  <c r="R56" i="1"/>
  <c r="U78" i="4"/>
  <c r="N78" i="4"/>
  <c r="V78" i="4"/>
  <c r="O56" i="23"/>
  <c r="M78" i="4"/>
  <c r="J78" i="4"/>
  <c r="M47" i="23" l="1"/>
  <c r="M48" i="23" s="1"/>
  <c r="M54" i="23" s="1"/>
  <c r="P47" i="23"/>
  <c r="P48" i="23" s="1"/>
  <c r="P54" i="23" s="1"/>
  <c r="S46" i="23"/>
  <c r="S53" i="23" s="1"/>
  <c r="U46" i="23"/>
  <c r="U53" i="23" s="1"/>
  <c r="E47" i="23"/>
  <c r="E48" i="23" s="1"/>
  <c r="E54" i="23" s="1"/>
  <c r="V47" i="23"/>
  <c r="V48" i="23" s="1"/>
  <c r="V54" i="23" s="1"/>
  <c r="C47" i="23"/>
  <c r="C48" i="23" s="1"/>
  <c r="C54" i="23" s="1"/>
  <c r="C46" i="23"/>
  <c r="C53" i="23" s="1"/>
  <c r="W22" i="4"/>
  <c r="W57" i="4" s="1"/>
  <c r="W58" i="4" s="1"/>
  <c r="W76" i="4" s="1"/>
  <c r="V46" i="23"/>
  <c r="V53" i="23" s="1"/>
  <c r="I47" i="23"/>
  <c r="I48" i="23" s="1"/>
  <c r="I54" i="23" s="1"/>
  <c r="H47" i="23"/>
  <c r="H48" i="23" s="1"/>
  <c r="H54" i="23" s="1"/>
  <c r="S47" i="23"/>
  <c r="S48" i="23" s="1"/>
  <c r="S54" i="23" s="1"/>
  <c r="F47" i="23"/>
  <c r="F48" i="23" s="1"/>
  <c r="F54" i="23" s="1"/>
  <c r="H46" i="23"/>
  <c r="H53" i="23" s="1"/>
  <c r="J46" i="23"/>
  <c r="J53" i="23" s="1"/>
  <c r="I46" i="23"/>
  <c r="I53" i="23" s="1"/>
  <c r="Q23" i="4"/>
  <c r="C22" i="4"/>
  <c r="F46" i="23"/>
  <c r="F53" i="23" s="1"/>
  <c r="Q47" i="23"/>
  <c r="Q48" i="23" s="1"/>
  <c r="Q54" i="23" s="1"/>
  <c r="D47" i="23"/>
  <c r="D48" i="23" s="1"/>
  <c r="D54" i="23" s="1"/>
  <c r="K47" i="23"/>
  <c r="K48" i="23" s="1"/>
  <c r="K54" i="23" s="1"/>
  <c r="P46" i="23"/>
  <c r="P53" i="23" s="1"/>
  <c r="U47" i="23"/>
  <c r="U48" i="23" s="1"/>
  <c r="U54" i="23" s="1"/>
  <c r="Q46" i="23"/>
  <c r="Q53" i="23" s="1"/>
  <c r="L46" i="23"/>
  <c r="L53" i="23" s="1"/>
  <c r="T47" i="23"/>
  <c r="T48" i="23" s="1"/>
  <c r="T54" i="23" s="1"/>
  <c r="D46" i="23"/>
  <c r="D53" i="23" s="1"/>
  <c r="E46" i="23"/>
  <c r="E53" i="23" s="1"/>
  <c r="K46" i="23"/>
  <c r="K53" i="23" s="1"/>
  <c r="G46" i="23"/>
  <c r="G53" i="23" s="1"/>
  <c r="M46" i="23"/>
  <c r="M53" i="23" s="1"/>
  <c r="R47" i="23"/>
  <c r="R48" i="23" s="1"/>
  <c r="R54" i="23" s="1"/>
  <c r="J47" i="23"/>
  <c r="J48" i="23" s="1"/>
  <c r="J54" i="23" s="1"/>
  <c r="T46" i="23"/>
  <c r="T53" i="23" s="1"/>
  <c r="L47" i="23"/>
  <c r="L48" i="23" s="1"/>
  <c r="L54" i="23" s="1"/>
  <c r="G47" i="23"/>
  <c r="G48" i="23" s="1"/>
  <c r="G54" i="23" s="1"/>
  <c r="R46" i="23"/>
  <c r="R53" i="23" s="1"/>
  <c r="U46" i="1"/>
  <c r="U53" i="1" s="1"/>
  <c r="K46" i="1"/>
  <c r="K53" i="1" s="1"/>
  <c r="K47" i="1"/>
  <c r="K48" i="1" s="1"/>
  <c r="K54" i="1" s="1"/>
  <c r="V47" i="1"/>
  <c r="V48" i="1" s="1"/>
  <c r="V54" i="1" s="1"/>
  <c r="U47" i="1"/>
  <c r="U48" i="1" s="1"/>
  <c r="U54" i="1" s="1"/>
  <c r="L47" i="1"/>
  <c r="L48" i="1" s="1"/>
  <c r="L54" i="1" s="1"/>
  <c r="L46" i="1"/>
  <c r="L53" i="1" s="1"/>
  <c r="V46" i="1"/>
  <c r="V53" i="1" s="1"/>
  <c r="T47" i="1"/>
  <c r="T48" i="1" s="1"/>
  <c r="T54" i="1" s="1"/>
  <c r="T46" i="1"/>
  <c r="T53" i="1" s="1"/>
  <c r="M46" i="1"/>
  <c r="M53" i="1" s="1"/>
  <c r="M47" i="1"/>
  <c r="M48" i="1" s="1"/>
  <c r="M54" i="1" s="1"/>
  <c r="J46" i="1"/>
  <c r="J53" i="1" s="1"/>
  <c r="S47" i="1"/>
  <c r="S48" i="1" s="1"/>
  <c r="S54" i="1" s="1"/>
  <c r="J47" i="1"/>
  <c r="J48" i="1" s="1"/>
  <c r="J54" i="1" s="1"/>
  <c r="M63" i="4"/>
  <c r="M64" i="4" s="1"/>
  <c r="S46" i="1"/>
  <c r="S53" i="1" s="1"/>
  <c r="T63" i="4"/>
  <c r="T64" i="4" s="1"/>
  <c r="F46" i="1"/>
  <c r="F53" i="1" s="1"/>
  <c r="B22" i="4"/>
  <c r="D6" i="4"/>
  <c r="S6" i="4"/>
  <c r="I6" i="4"/>
  <c r="Q7" i="4"/>
  <c r="E6" i="4"/>
  <c r="P6" i="4"/>
  <c r="B6" i="4"/>
  <c r="C6" i="4"/>
  <c r="H6" i="4"/>
  <c r="F6" i="4"/>
  <c r="P47" i="1"/>
  <c r="P48" i="1" s="1"/>
  <c r="P54" i="1" s="1"/>
  <c r="L63" i="4"/>
  <c r="L64" i="4" s="1"/>
  <c r="G6" i="4"/>
  <c r="R7" i="4"/>
  <c r="K63" i="4"/>
  <c r="K64" i="4" s="1"/>
  <c r="V63" i="4"/>
  <c r="V64" i="4" s="1"/>
  <c r="J63" i="4"/>
  <c r="J64" i="4" s="1"/>
  <c r="U63" i="4"/>
  <c r="U64" i="4" s="1"/>
  <c r="N63" i="4"/>
  <c r="N64" i="4" s="1"/>
  <c r="T27" i="33"/>
  <c r="T52" i="33" s="1"/>
  <c r="T45" i="33"/>
  <c r="I47" i="1"/>
  <c r="I48" i="1" s="1"/>
  <c r="I54" i="1" s="1"/>
  <c r="F47" i="1"/>
  <c r="F48" i="1" s="1"/>
  <c r="F54" i="1" s="1"/>
  <c r="G47" i="1"/>
  <c r="G48" i="1" s="1"/>
  <c r="G54" i="1" s="1"/>
  <c r="E47" i="1"/>
  <c r="E48" i="1" s="1"/>
  <c r="E54" i="1" s="1"/>
  <c r="Q46" i="1"/>
  <c r="Q53" i="1" s="1"/>
  <c r="E46" i="1"/>
  <c r="E53" i="1" s="1"/>
  <c r="Q47" i="1"/>
  <c r="Q48" i="1" s="1"/>
  <c r="Q54" i="1" s="1"/>
  <c r="I46" i="1"/>
  <c r="I53" i="1" s="1"/>
  <c r="R74" i="4"/>
  <c r="M57" i="4"/>
  <c r="M58" i="4" s="1"/>
  <c r="M76" i="4" s="1"/>
  <c r="U57" i="4"/>
  <c r="U58" i="4" s="1"/>
  <c r="U76" i="4" s="1"/>
  <c r="H57" i="1"/>
  <c r="G57" i="1"/>
  <c r="F57" i="1"/>
  <c r="I57" i="1"/>
  <c r="E57" i="1"/>
  <c r="H7" i="4"/>
  <c r="G46" i="1"/>
  <c r="G53" i="1" s="1"/>
  <c r="H46" i="1"/>
  <c r="H53" i="1" s="1"/>
  <c r="H47" i="1"/>
  <c r="H48" i="1" s="1"/>
  <c r="H54" i="1" s="1"/>
  <c r="G11" i="4"/>
  <c r="F9" i="4"/>
  <c r="I13" i="4"/>
  <c r="E12" i="4"/>
  <c r="I55" i="4"/>
  <c r="I62" i="4"/>
  <c r="N55" i="4"/>
  <c r="N62" i="4"/>
  <c r="W56" i="4"/>
  <c r="W75" i="4" s="1"/>
  <c r="V57" i="4"/>
  <c r="V58" i="4" s="1"/>
  <c r="V76" i="4" s="1"/>
  <c r="L56" i="4"/>
  <c r="L75" i="4" s="1"/>
  <c r="T56" i="4"/>
  <c r="T75" i="4" s="1"/>
  <c r="K57" i="4"/>
  <c r="K58" i="4" s="1"/>
  <c r="K76" i="4" s="1"/>
  <c r="J56" i="4"/>
  <c r="J75" i="4" s="1"/>
  <c r="P55" i="4"/>
  <c r="P62" i="4"/>
  <c r="F55" i="4"/>
  <c r="F62" i="4"/>
  <c r="M55" i="4"/>
  <c r="M62" i="4"/>
  <c r="J55" i="4"/>
  <c r="J62" i="4"/>
  <c r="L57" i="4"/>
  <c r="L58" i="4" s="1"/>
  <c r="L76" i="4" s="1"/>
  <c r="N57" i="4"/>
  <c r="N58" i="4" s="1"/>
  <c r="N76" i="4" s="1"/>
  <c r="K56" i="4"/>
  <c r="K75" i="4" s="1"/>
  <c r="J57" i="4"/>
  <c r="J58" i="4" s="1"/>
  <c r="J76" i="4" s="1"/>
  <c r="Q55" i="4"/>
  <c r="Q62" i="4"/>
  <c r="G55" i="4"/>
  <c r="G62" i="4"/>
  <c r="H74" i="4"/>
  <c r="H62" i="4"/>
  <c r="U22" i="33"/>
  <c r="U45" i="33"/>
  <c r="U27" i="33"/>
  <c r="U52" i="33" s="1"/>
  <c r="R45" i="33"/>
  <c r="R27" i="33"/>
  <c r="R52" i="33" s="1"/>
  <c r="R22" i="33"/>
  <c r="V56" i="4"/>
  <c r="V75" i="4" s="1"/>
  <c r="M56" i="4"/>
  <c r="M75" i="4" s="1"/>
  <c r="N56" i="4"/>
  <c r="N75" i="4" s="1"/>
  <c r="U56" i="4"/>
  <c r="U75" i="4" s="1"/>
  <c r="C74" i="4"/>
  <c r="C62" i="4"/>
  <c r="D55" i="4"/>
  <c r="D62" i="4"/>
  <c r="S27" i="33"/>
  <c r="S52" i="33" s="1"/>
  <c r="S22" i="33"/>
  <c r="S45" i="33"/>
  <c r="V4" i="33"/>
  <c r="T57" i="4"/>
  <c r="T58" i="4" s="1"/>
  <c r="T76" i="4" s="1"/>
  <c r="R55" i="4"/>
  <c r="V4" i="1"/>
  <c r="V45" i="1" s="1"/>
  <c r="P32" i="4"/>
  <c r="R10" i="4"/>
  <c r="B32" i="4"/>
  <c r="H55" i="4"/>
  <c r="S10" i="4"/>
  <c r="P14" i="4"/>
  <c r="Q15" i="4"/>
  <c r="V4" i="23"/>
  <c r="V45" i="23" s="1"/>
  <c r="N52" i="23"/>
  <c r="K79" i="4"/>
  <c r="B10" i="4"/>
  <c r="L79" i="4"/>
  <c r="N79" i="4"/>
  <c r="W79" i="4"/>
  <c r="M79" i="4"/>
  <c r="J79" i="4"/>
  <c r="V79" i="4"/>
  <c r="U79" i="4"/>
  <c r="T79" i="4"/>
  <c r="P26" i="4"/>
  <c r="P46" i="1"/>
  <c r="P53" i="1" s="1"/>
  <c r="U4" i="1"/>
  <c r="U22" i="1" s="1"/>
  <c r="M74" i="4"/>
  <c r="M27" i="1"/>
  <c r="M52" i="1" s="1"/>
  <c r="M22" i="1"/>
  <c r="J52" i="1"/>
  <c r="J74" i="4"/>
  <c r="J27" i="1"/>
  <c r="J45" i="1"/>
  <c r="S4" i="1"/>
  <c r="S4" i="23"/>
  <c r="C55" i="4"/>
  <c r="U4" i="23"/>
  <c r="U22" i="23" s="1"/>
  <c r="N27" i="23"/>
  <c r="N45" i="23"/>
  <c r="J22" i="23"/>
  <c r="J52" i="23"/>
  <c r="J22" i="1"/>
  <c r="J27" i="23"/>
  <c r="R4" i="1"/>
  <c r="R22" i="1" s="1"/>
  <c r="R4" i="23"/>
  <c r="R22" i="23" s="1"/>
  <c r="M52" i="23"/>
  <c r="M22" i="23"/>
  <c r="M45" i="23"/>
  <c r="M45" i="1"/>
  <c r="B46" i="23"/>
  <c r="B53" i="23" s="1"/>
  <c r="B55" i="23" s="1"/>
  <c r="O46" i="23"/>
  <c r="O53" i="23" s="1"/>
  <c r="O55" i="23" s="1"/>
  <c r="O47" i="23"/>
  <c r="O48" i="23" s="1"/>
  <c r="O54" i="23" s="1"/>
  <c r="B47" i="23"/>
  <c r="B48" i="23" s="1"/>
  <c r="B54" i="23" s="1"/>
  <c r="B57" i="23"/>
  <c r="O57" i="23"/>
  <c r="B29" i="4"/>
  <c r="P22" i="4"/>
  <c r="F55" i="23"/>
  <c r="R47" i="1"/>
  <c r="R48" i="1" s="1"/>
  <c r="R54" i="1" s="1"/>
  <c r="Q57" i="1"/>
  <c r="D74" i="4"/>
  <c r="R46" i="1"/>
  <c r="R53" i="1" s="1"/>
  <c r="N74" i="4"/>
  <c r="C47" i="1"/>
  <c r="C48" i="1" s="1"/>
  <c r="C54" i="1" s="1"/>
  <c r="G74" i="4"/>
  <c r="D57" i="1"/>
  <c r="R57" i="1"/>
  <c r="P57" i="1"/>
  <c r="O57" i="1"/>
  <c r="C57" i="1"/>
  <c r="D10" i="4"/>
  <c r="C10" i="4"/>
  <c r="B57" i="1"/>
  <c r="C46" i="1"/>
  <c r="C53" i="1" s="1"/>
  <c r="B46" i="1"/>
  <c r="B53" i="1" s="1"/>
  <c r="G55" i="1" s="1"/>
  <c r="B47" i="1"/>
  <c r="B48" i="1" s="1"/>
  <c r="B54" i="1" s="1"/>
  <c r="D46" i="1"/>
  <c r="D53" i="1" s="1"/>
  <c r="O47" i="1"/>
  <c r="O48" i="1" s="1"/>
  <c r="O54" i="1" s="1"/>
  <c r="O46" i="1"/>
  <c r="O53" i="1" s="1"/>
  <c r="O55" i="1" s="1"/>
  <c r="D47" i="1"/>
  <c r="D48" i="1" s="1"/>
  <c r="D54" i="1" s="1"/>
  <c r="D8" i="4"/>
  <c r="T4" i="1"/>
  <c r="T4" i="23"/>
  <c r="F74" i="4"/>
  <c r="I74" i="4"/>
  <c r="P74" i="4"/>
  <c r="Q74" i="4"/>
  <c r="C78" i="4"/>
  <c r="Q78" i="4"/>
  <c r="E78" i="4"/>
  <c r="R78" i="4"/>
  <c r="I78" i="4"/>
  <c r="S78" i="4"/>
  <c r="F78" i="4"/>
  <c r="B78" i="4"/>
  <c r="H78" i="4"/>
  <c r="G78" i="4"/>
  <c r="D78" i="4"/>
  <c r="P78" i="4"/>
  <c r="W63" i="4" l="1"/>
  <c r="W64" i="4" s="1"/>
  <c r="I63" i="4"/>
  <c r="I64" i="4" s="1"/>
  <c r="H56" i="4"/>
  <c r="H75" i="4" s="1"/>
  <c r="C63" i="4"/>
  <c r="C64" i="4" s="1"/>
  <c r="I57" i="4"/>
  <c r="I58" i="4" s="1"/>
  <c r="I76" i="4" s="1"/>
  <c r="W4" i="4"/>
  <c r="W55" i="4" s="1"/>
  <c r="F63" i="4"/>
  <c r="F64" i="4" s="1"/>
  <c r="S63" i="4"/>
  <c r="S64" i="4" s="1"/>
  <c r="C55" i="23"/>
  <c r="N55" i="23"/>
  <c r="Q55" i="23"/>
  <c r="U55" i="23"/>
  <c r="T55" i="23"/>
  <c r="R55" i="23"/>
  <c r="S55" i="23"/>
  <c r="V55" i="23"/>
  <c r="P55" i="23"/>
  <c r="S55" i="1"/>
  <c r="U55" i="1"/>
  <c r="R55" i="1"/>
  <c r="T55" i="1"/>
  <c r="P55" i="1"/>
  <c r="Q55" i="1"/>
  <c r="V55" i="1"/>
  <c r="D63" i="4"/>
  <c r="D64" i="4" s="1"/>
  <c r="B63" i="4"/>
  <c r="B64" i="4" s="1"/>
  <c r="P63" i="4"/>
  <c r="P64" i="4" s="1"/>
  <c r="G56" i="4"/>
  <c r="G75" i="4" s="1"/>
  <c r="H57" i="4"/>
  <c r="H58" i="4" s="1"/>
  <c r="H76" i="4" s="1"/>
  <c r="H63" i="4"/>
  <c r="H64" i="4" s="1"/>
  <c r="Q63" i="4"/>
  <c r="Q64" i="4" s="1"/>
  <c r="G63" i="4"/>
  <c r="G64" i="4" s="1"/>
  <c r="E63" i="4"/>
  <c r="E64" i="4" s="1"/>
  <c r="R63" i="4"/>
  <c r="R64" i="4" s="1"/>
  <c r="V27" i="23"/>
  <c r="V52" i="23" s="1"/>
  <c r="I56" i="4"/>
  <c r="I75" i="4" s="1"/>
  <c r="U45" i="1"/>
  <c r="V22" i="1"/>
  <c r="V22" i="23"/>
  <c r="V27" i="1"/>
  <c r="V52" i="1" s="1"/>
  <c r="G57" i="4"/>
  <c r="G58" i="4" s="1"/>
  <c r="G76" i="4" s="1"/>
  <c r="F57" i="4"/>
  <c r="F58" i="4" s="1"/>
  <c r="F76" i="4" s="1"/>
  <c r="B56" i="4"/>
  <c r="E79" i="4"/>
  <c r="G79" i="4"/>
  <c r="I79" i="4"/>
  <c r="H79" i="4"/>
  <c r="F79" i="4"/>
  <c r="J80" i="4"/>
  <c r="E57" i="4"/>
  <c r="E58" i="4" s="1"/>
  <c r="E76" i="4" s="1"/>
  <c r="E56" i="4"/>
  <c r="E75" i="4" s="1"/>
  <c r="F56" i="4"/>
  <c r="F75" i="4" s="1"/>
  <c r="Q57" i="4"/>
  <c r="Q58" i="4" s="1"/>
  <c r="Q76" i="4" s="1"/>
  <c r="S56" i="4"/>
  <c r="S75" i="4" s="1"/>
  <c r="D56" i="4"/>
  <c r="D75" i="4" s="1"/>
  <c r="B57" i="4"/>
  <c r="B58" i="4" s="1"/>
  <c r="B76" i="4" s="1"/>
  <c r="V45" i="33"/>
  <c r="V27" i="33"/>
  <c r="V52" i="33" s="1"/>
  <c r="V22" i="33"/>
  <c r="D57" i="4"/>
  <c r="D58" i="4" s="1"/>
  <c r="D76" i="4" s="1"/>
  <c r="P57" i="4"/>
  <c r="P58" i="4" s="1"/>
  <c r="P76" i="4" s="1"/>
  <c r="C57" i="4"/>
  <c r="C58" i="4" s="1"/>
  <c r="C76" i="4" s="1"/>
  <c r="R56" i="4"/>
  <c r="R75" i="4" s="1"/>
  <c r="P56" i="4"/>
  <c r="P75" i="4" s="1"/>
  <c r="C56" i="4"/>
  <c r="C75" i="4" s="1"/>
  <c r="Q56" i="4"/>
  <c r="S57" i="4"/>
  <c r="S58" i="4" s="1"/>
  <c r="S76" i="4" s="1"/>
  <c r="R57" i="4"/>
  <c r="R58" i="4" s="1"/>
  <c r="R76" i="4" s="1"/>
  <c r="R79" i="4"/>
  <c r="Q79" i="4"/>
  <c r="S79" i="4"/>
  <c r="S80" i="4" s="1"/>
  <c r="V4" i="4"/>
  <c r="U27" i="1"/>
  <c r="U52" i="1" s="1"/>
  <c r="C79" i="4"/>
  <c r="D79" i="4"/>
  <c r="L55" i="23"/>
  <c r="D55" i="23"/>
  <c r="H55" i="23"/>
  <c r="K55" i="23"/>
  <c r="J55" i="23"/>
  <c r="M55" i="23"/>
  <c r="G55" i="23"/>
  <c r="E55" i="23"/>
  <c r="I55" i="23"/>
  <c r="R59" i="23"/>
  <c r="R60" i="23" s="1"/>
  <c r="P79" i="4"/>
  <c r="B79" i="4"/>
  <c r="B64" i="23"/>
  <c r="L59" i="23"/>
  <c r="L60" i="23" s="1"/>
  <c r="F59" i="23"/>
  <c r="F60" i="23" s="1"/>
  <c r="Q59" i="23"/>
  <c r="Q60" i="23" s="1"/>
  <c r="V59" i="23"/>
  <c r="V60" i="23" s="1"/>
  <c r="P59" i="23"/>
  <c r="P60" i="23" s="1"/>
  <c r="T59" i="23"/>
  <c r="T60" i="23" s="1"/>
  <c r="U59" i="23"/>
  <c r="U60" i="23" s="1"/>
  <c r="S59" i="23"/>
  <c r="S60" i="23" s="1"/>
  <c r="B65" i="23"/>
  <c r="R45" i="23"/>
  <c r="T4" i="4"/>
  <c r="T62" i="4" s="1"/>
  <c r="S45" i="1"/>
  <c r="S27" i="1"/>
  <c r="S52" i="1" s="1"/>
  <c r="S22" i="1"/>
  <c r="U27" i="23"/>
  <c r="U52" i="23" s="1"/>
  <c r="U45" i="23"/>
  <c r="S45" i="23"/>
  <c r="S27" i="23"/>
  <c r="S52" i="23" s="1"/>
  <c r="S22" i="23"/>
  <c r="R45" i="1"/>
  <c r="S4" i="4"/>
  <c r="S62" i="4" s="1"/>
  <c r="R27" i="1"/>
  <c r="R52" i="1" s="1"/>
  <c r="R27" i="23"/>
  <c r="R52" i="23" s="1"/>
  <c r="C59" i="23"/>
  <c r="C60" i="23" s="1"/>
  <c r="N59" i="23"/>
  <c r="N60" i="23" s="1"/>
  <c r="E59" i="23"/>
  <c r="E60" i="23" s="1"/>
  <c r="J59" i="23"/>
  <c r="J60" i="23" s="1"/>
  <c r="K59" i="23"/>
  <c r="K60" i="23" s="1"/>
  <c r="D59" i="23"/>
  <c r="D60" i="23" s="1"/>
  <c r="I59" i="23"/>
  <c r="I60" i="23" s="1"/>
  <c r="O59" i="23"/>
  <c r="O60" i="23" s="1"/>
  <c r="G59" i="23"/>
  <c r="G60" i="23" s="1"/>
  <c r="H59" i="23"/>
  <c r="H60" i="23" s="1"/>
  <c r="M59" i="23"/>
  <c r="M60" i="23" s="1"/>
  <c r="C55" i="1"/>
  <c r="H55" i="1"/>
  <c r="F55" i="1"/>
  <c r="N55" i="1"/>
  <c r="I55" i="1"/>
  <c r="L55" i="1"/>
  <c r="J55" i="1"/>
  <c r="D55" i="1"/>
  <c r="K55" i="1"/>
  <c r="E55" i="1"/>
  <c r="O59" i="1"/>
  <c r="O60" i="1" s="1"/>
  <c r="N59" i="1"/>
  <c r="N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T27" i="1"/>
  <c r="T52" i="1" s="1"/>
  <c r="T45" i="1"/>
  <c r="U4" i="4"/>
  <c r="U62" i="4" s="1"/>
  <c r="T22" i="1"/>
  <c r="U77" i="4" l="1"/>
  <c r="W74" i="4"/>
  <c r="W62" i="4"/>
  <c r="B80" i="4"/>
  <c r="Q75" i="4"/>
  <c r="V74" i="4"/>
  <c r="V62" i="4"/>
  <c r="R61" i="23"/>
  <c r="V55" i="4"/>
  <c r="W77" i="4"/>
  <c r="V77" i="4"/>
  <c r="P77" i="4"/>
  <c r="T77" i="4"/>
  <c r="R77" i="4"/>
  <c r="S77" i="4"/>
  <c r="B86" i="4"/>
  <c r="B87" i="4"/>
  <c r="B75" i="4"/>
  <c r="G94" i="4" s="1"/>
  <c r="N81" i="4"/>
  <c r="N82" i="4" s="1"/>
  <c r="M61" i="23"/>
  <c r="I61" i="23"/>
  <c r="E61" i="23"/>
  <c r="D61" i="23"/>
  <c r="C61" i="23"/>
  <c r="Q61" i="23"/>
  <c r="U61" i="23"/>
  <c r="P61" i="23"/>
  <c r="F61" i="23"/>
  <c r="H61" i="23"/>
  <c r="K61" i="23"/>
  <c r="N61" i="23"/>
  <c r="G61" i="23"/>
  <c r="J61" i="23"/>
  <c r="S61" i="23"/>
  <c r="T61" i="23"/>
  <c r="V61" i="23"/>
  <c r="L61" i="23"/>
  <c r="D61" i="1"/>
  <c r="U61" i="1"/>
  <c r="S61" i="1"/>
  <c r="G61" i="1"/>
  <c r="M61" i="1"/>
  <c r="L61" i="1"/>
  <c r="T61" i="1"/>
  <c r="E61" i="1"/>
  <c r="F61" i="1"/>
  <c r="K61" i="1"/>
  <c r="I61" i="1"/>
  <c r="J61" i="1"/>
  <c r="V61" i="1"/>
  <c r="H61" i="1"/>
  <c r="N61" i="1"/>
  <c r="T55" i="4"/>
  <c r="T74" i="4"/>
  <c r="S55" i="4"/>
  <c r="S74" i="4"/>
  <c r="O61" i="1"/>
  <c r="Q61" i="1"/>
  <c r="P61" i="1"/>
  <c r="C61" i="1"/>
  <c r="R61" i="1"/>
  <c r="U55" i="4"/>
  <c r="U74" i="4"/>
  <c r="E94" i="4" l="1"/>
  <c r="I94" i="4"/>
  <c r="Q77" i="4"/>
  <c r="Q94" i="4"/>
  <c r="C94" i="4"/>
  <c r="B94" i="4"/>
  <c r="O94" i="4"/>
  <c r="L94" i="4"/>
  <c r="U94" i="4"/>
  <c r="N94" i="4"/>
  <c r="T94" i="4"/>
  <c r="K94" i="4"/>
  <c r="M94" i="4"/>
  <c r="V94" i="4"/>
  <c r="J94" i="4"/>
  <c r="P94" i="4"/>
  <c r="S94" i="4"/>
  <c r="F94" i="4"/>
  <c r="D94" i="4"/>
  <c r="H94" i="4"/>
  <c r="R94" i="4"/>
  <c r="K77" i="4"/>
  <c r="J77" i="4"/>
  <c r="G77" i="4"/>
  <c r="N77" i="4"/>
  <c r="F77" i="4"/>
  <c r="L77" i="4"/>
  <c r="B77" i="4"/>
  <c r="M77" i="4"/>
  <c r="I77" i="4"/>
  <c r="H77" i="4"/>
  <c r="D77" i="4"/>
  <c r="C77" i="4"/>
  <c r="E77" i="4"/>
  <c r="N83" i="4"/>
  <c r="O61"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<sst xmlns="http://schemas.openxmlformats.org/spreadsheetml/2006/main" count="278" uniqueCount="84">
  <si>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</si>
  <si>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</si>
  <si>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</si>
  <si>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</si>
  <si>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</si>
  <si>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</si>
  <si>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</si>
  <si>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</si>
  <si>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</si>
  <si>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</si>
  <si>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</si>
  <si>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</si>
  <si>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</si>
  <si>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</si>
  <si>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</si>
  <si>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</si>
  <si>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</si>
  <si>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</si>
  <si>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</si>
  <si>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</si>
  <si>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</si>
  <si>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</si>
  <si>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</si>
  <si>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</si>
  <si>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</si>
  <si>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</si>
  <si>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</si>
  <si>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</si>
  <si>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</si>
  <si>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</si>
  <si>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</si>
  <si>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</si>
  <si>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</si>
  <si>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</si>
  <si>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</si>
  <si>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</si>
  <si>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</si>
  <si>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</si>
  <si>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</si>
  <si>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</si>
  <si>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</si>
  <si>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</si>
  <si>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</si>
  <si>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</si>
  <si>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</si>
  <si>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</si>
  <si>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</si>
  <si>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</si>
  <si>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</si>
  <si>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</si>
  <si>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</si>
  <si>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</si>
  <si>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</si>
  <si>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</si>
  <si>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</si>
  <si>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</si>
  <si>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</si>
  <si>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</si>
  <si>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</si>
  <si>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</si>
  <si>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</si>
  <si>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</si>
  <si>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</si>
  <si>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</si>
  <si>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</si>
  <si>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</si>
  <si>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</si>
  <si>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</si>
  <si>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Date performed :20210602</t>
    <phoneticPr fontId="12"/>
  </si>
  <si>
    <t>Date performed :20210603</t>
    <phoneticPr fontId="12"/>
  </si>
  <si>
    <t>6. Expérimentateur 2 : copier et coller les valeurs des intensités totales de fluorescences obtenues dans le fichier raw data lors du traitement des images. Ne pas supprimer les colonnes correspondant aux concentrations non lues.
画像処理時に取得した蛍光強度全体の値をコピーして、生データファイルに貼り付けます。未読濃度に対応する列は削除しないでください。</t>
    <phoneticPr fontId="12"/>
  </si>
  <si>
    <t>Données brutes
ローデータ</t>
    <phoneticPr fontId="12"/>
  </si>
  <si>
    <t>Données normalisées sur la moyenne du groupe "Testo"
「Testo」群の平均に関する標準化データ</t>
    <phoneticPr fontId="12"/>
  </si>
  <si>
    <t>Date performed :20210609</t>
    <phoneticPr fontId="12"/>
  </si>
  <si>
    <t>cromolyn</t>
    <phoneticPr fontId="12"/>
  </si>
  <si>
    <t>ng/L</t>
    <phoneticPr fontId="12"/>
  </si>
  <si>
    <t>µg/L</t>
    <phoneticPr fontId="12"/>
  </si>
  <si>
    <t>Kruskal-Wallis</t>
  </si>
  <si>
    <t>ns</t>
  </si>
  <si>
    <t>&gt;0,9999</t>
  </si>
  <si>
    <t>****</t>
  </si>
  <si>
    <t>&lt;0,0001</t>
  </si>
  <si>
    <t>T-Test Welch</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</si>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</sst>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6"/>
      <name val="Calibri"/>
      <family val="3"/>
      <charset val="128"/>
      <scheme val="minor"/>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5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0" fillId="0" borderId="0" xfId="0" applyNumberFormat="1"/>
    <xf numFmtId="0" fontId="0" fillId="6" borderId="8" xfId="0" applyFill="1" applyBorder="1" applyAlignment="1">
      <alignment horizontal="center"/>
    </xf>
    <xf numFmtId="0" fontId="0" fillId="6" borderId="9" xfId="0" applyFill="1" applyBorder="1" applyAlignment="1">
      <alignment horizontal="center"/>
    </xf>
    <xf numFmtId="0" fontId="0" fillId="0" borderId="0" xfId="0" applyAlignment="1">
      <alignment vertical="center"/>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10" xfId="0" applyNumberFormat="1" applyFill="1" applyBorder="1" applyAlignment="1">
      <alignment horizontal="center"/>
    </xf>
    <xf numFmtId="164" fontId="0" fillId="6" borderId="18"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3" fillId="0" borderId="4" xfId="0" applyFont="1" applyBorder="1" applyAlignment="1">
      <alignment vertical="center"/>
    </xf>
    <xf numFmtId="0" fontId="3" fillId="13" borderId="3" xfId="0" applyFont="1" applyFill="1" applyBorder="1" applyAlignment="1">
      <alignment vertical="center"/>
    </xf>
    <xf numFmtId="2" fontId="3" fillId="7" borderId="2" xfId="0" applyNumberFormat="1" applyFont="1" applyFill="1" applyBorder="1" applyAlignment="1">
      <alignment horizontal="center" vertical="center" wrapText="1"/>
    </xf>
    <xf numFmtId="2" fontId="3" fillId="7"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1" xfId="0" applyFill="1" applyBorder="1" applyAlignment="1">
      <alignment horizontal="center"/>
    </xf>
    <xf numFmtId="164" fontId="0" fillId="6" borderId="15" xfId="0" applyNumberFormat="1" applyFill="1" applyBorder="1" applyAlignment="1">
      <alignment horizontal="center"/>
    </xf>
    <xf numFmtId="0" fontId="0" fillId="6" borderId="1" xfId="0" applyFill="1" applyBorder="1" applyAlignment="1">
      <alignment horizontal="center"/>
    </xf>
    <xf numFmtId="0" fontId="0" fillId="6" borderId="22"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1" xfId="0" applyNumberFormat="1" applyFont="1" applyFill="1" applyBorder="1" applyAlignment="1">
      <alignment vertical="center"/>
    </xf>
    <xf numFmtId="0" fontId="3" fillId="13" borderId="29" xfId="0" applyFont="1" applyFill="1" applyBorder="1" applyAlignment="1">
      <alignment vertical="center"/>
    </xf>
    <xf numFmtId="0" fontId="3" fillId="13" borderId="32" xfId="0" applyNumberFormat="1" applyFont="1" applyFill="1" applyBorder="1" applyAlignment="1">
      <alignment vertical="center"/>
    </xf>
    <xf numFmtId="0" fontId="3" fillId="13" borderId="24" xfId="0" applyFont="1" applyFill="1" applyBorder="1" applyAlignment="1">
      <alignment vertical="center"/>
    </xf>
    <xf numFmtId="0" fontId="3" fillId="13" borderId="33" xfId="0" applyNumberFormat="1" applyFont="1" applyFill="1" applyBorder="1" applyAlignment="1">
      <alignment vertical="center"/>
    </xf>
    <xf numFmtId="0" fontId="3" fillId="13" borderId="34"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5" xfId="0" applyNumberFormat="1" applyFont="1" applyFill="1" applyBorder="1" applyAlignment="1">
      <alignment horizontal="center" vertical="center"/>
    </xf>
    <xf numFmtId="0" fontId="3" fillId="13" borderId="35" xfId="0" applyFont="1" applyFill="1" applyBorder="1" applyAlignment="1">
      <alignment horizontal="center" vertical="center"/>
    </xf>
    <xf numFmtId="0" fontId="3" fillId="13" borderId="30" xfId="0" applyFont="1" applyFill="1" applyBorder="1" applyAlignment="1">
      <alignment vertical="center"/>
    </xf>
    <xf numFmtId="0" fontId="3" fillId="8" borderId="8" xfId="0" applyFont="1" applyFill="1" applyBorder="1" applyAlignment="1">
      <alignment horizontal="center"/>
    </xf>
    <xf numFmtId="0" fontId="3" fillId="8" borderId="10" xfId="0" applyFont="1" applyFill="1" applyBorder="1" applyAlignment="1">
      <alignment horizontal="center"/>
    </xf>
    <xf numFmtId="0" fontId="3" fillId="8" borderId="18" xfId="0" applyFont="1" applyFill="1" applyBorder="1" applyAlignment="1">
      <alignment horizontal="center"/>
    </xf>
    <xf numFmtId="0" fontId="3" fillId="13" borderId="39"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2" xfId="0" applyFont="1" applyFill="1" applyBorder="1" applyAlignment="1">
      <alignment horizontal="left"/>
    </xf>
    <xf numFmtId="0" fontId="2" fillId="6" borderId="1" xfId="0" applyFont="1" applyFill="1" applyBorder="1"/>
    <xf numFmtId="0" fontId="0" fillId="6" borderId="1" xfId="0" applyFill="1" applyBorder="1"/>
    <xf numFmtId="0" fontId="6" fillId="6" borderId="1" xfId="0" applyFont="1" applyFill="1" applyBorder="1" applyAlignment="1">
      <alignment horizontal="center"/>
    </xf>
    <xf numFmtId="0" fontId="0" fillId="0" borderId="1" xfId="0" applyFill="1" applyBorder="1"/>
    <xf numFmtId="0" fontId="0" fillId="0" borderId="1" xfId="0" applyFill="1" applyBorder="1" applyAlignment="1">
      <alignment horizontal="center"/>
    </xf>
    <xf numFmtId="0" fontId="2" fillId="6" borderId="1" xfId="0" applyFont="1" applyFill="1" applyBorder="1" applyAlignment="1">
      <alignment horizontal="right"/>
    </xf>
    <xf numFmtId="0" fontId="3" fillId="13" borderId="39" xfId="0" applyNumberFormat="1" applyFont="1" applyFill="1" applyBorder="1" applyAlignment="1">
      <alignment horizontal="center" vertical="center"/>
    </xf>
    <xf numFmtId="0" fontId="4" fillId="0" borderId="0" xfId="0" applyFont="1"/>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6" xfId="0" applyFont="1" applyBorder="1" applyAlignment="1">
      <alignment horizontal="center" vertical="center"/>
    </xf>
    <xf numFmtId="0" fontId="3" fillId="0" borderId="35" xfId="0" applyFont="1" applyBorder="1" applyAlignment="1">
      <alignment horizontal="left"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0" fontId="1" fillId="0" borderId="19"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7" fillId="11" borderId="7" xfId="0" applyFont="1" applyFill="1" applyBorder="1" applyAlignment="1">
      <alignment horizontal="left"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BA3838"/>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haredStrings" Target="sharedString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theme" Target="theme/theme1.xml"/><Relationship Id="rId5" Type="http://schemas.openxmlformats.org/officeDocument/2006/relationships/chartsheet" Target="chartsheets/sheet2.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932821640450779E-2"/>
          <c:y val="0.14661961377408195"/>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'R1'!$O$48:$V$48</c:f>
                <c:numCache>
                  <c:formatCode>General</c:formatCode>
                  <c:ptCount val="8"/>
                  <c:pt idx="0">
                    <c:v>0.11673197908408775</c:v>
                  </c:pt>
                  <c:pt idx="1">
                    <c:v>0.20673384654336074</c:v>
                  </c:pt>
                  <c:pt idx="2">
                    <c:v>3.0489499843097734E-2</c:v>
                  </c:pt>
                  <c:pt idx="3">
                    <c:v>7.9640217812365563E-2</c:v>
                  </c:pt>
                  <c:pt idx="4">
                    <c:v>9.9618798020934693E-2</c:v>
                  </c:pt>
                  <c:pt idx="5">
                    <c:v>0.15855329553301897</c:v>
                  </c:pt>
                  <c:pt idx="6">
                    <c:v>0.19141706194591435</c:v>
                  </c:pt>
                  <c:pt idx="7">
                    <c:v>0.1105686791309639</c:v>
                  </c:pt>
                </c:numCache>
              </c:numRef>
            </c:plus>
            <c:minus>
              <c:numRef>
                <c:f>'R1'!$O$48:$V$48</c:f>
                <c:numCache>
                  <c:formatCode>General</c:formatCode>
                  <c:ptCount val="8"/>
                  <c:pt idx="0">
                    <c:v>0.11673197908408775</c:v>
                  </c:pt>
                  <c:pt idx="1">
                    <c:v>0.20673384654336074</c:v>
                  </c:pt>
                  <c:pt idx="2">
                    <c:v>3.0489499843097734E-2</c:v>
                  </c:pt>
                  <c:pt idx="3">
                    <c:v>7.9640217812365563E-2</c:v>
                  </c:pt>
                  <c:pt idx="4">
                    <c:v>9.9618798020934693E-2</c:v>
                  </c:pt>
                  <c:pt idx="5">
                    <c:v>0.15855329553301897</c:v>
                  </c:pt>
                  <c:pt idx="6">
                    <c:v>0.19141706194591435</c:v>
                  </c:pt>
                  <c:pt idx="7">
                    <c:v>0.1105686791309639</c:v>
                  </c:pt>
                </c:numCache>
              </c:numRef>
            </c:minus>
          </c:errBars>
          <c:cat>
            <c:strRef>
              <c:f>'R1'!$B$52:$V$52</c:f>
              <c:strCache>
                <c:ptCount val="21"/>
                <c:pt idx="0">
                  <c:v>Solvent control</c:v>
                </c:pt>
                <c:pt idx="1">
                  <c:v>EE2-33.8ng/L</c:v>
                </c:pt>
                <c:pt idx="2">
                  <c:v>EE2-50.6ng/L</c:v>
                </c:pt>
                <c:pt idx="3">
                  <c:v>EE2-76ng/L</c:v>
                </c:pt>
                <c:pt idx="4">
                  <c:v>EE2-114ng/L</c:v>
                </c:pt>
                <c:pt idx="5">
                  <c:v>EE2-170.9ng/L</c:v>
                </c:pt>
                <c:pt idx="6">
                  <c:v>EE2-488ng/L</c:v>
                </c:pt>
                <c:pt idx="7">
                  <c:v>cromolyn-1000µg/L</c:v>
                </c:pt>
                <c:pt idx="8">
                  <c:v>cromolyn-100µg/L</c:v>
                </c:pt>
                <c:pt idx="9">
                  <c:v>cromolyn-10µg/L</c:v>
                </c:pt>
                <c:pt idx="10">
                  <c:v>cromolyn-1µg/L</c:v>
                </c:pt>
                <c:pt idx="11">
                  <c:v>cromolyn-0.1µg/L</c:v>
                </c:pt>
                <c:pt idx="13">
                  <c:v>Testo -30µg/L</c:v>
                </c:pt>
                <c:pt idx="14">
                  <c:v>Testo 30µg/L + EE2 -64ng/L</c:v>
                </c:pt>
                <c:pt idx="15">
                  <c:v>Testo 30µg/L + FAD-10mg/L</c:v>
                </c:pt>
                <c:pt idx="16">
                  <c:v>cromolyn-1000µg/L + Testostérone</c:v>
                </c:pt>
                <c:pt idx="17">
                  <c:v>cromolyn-100µg/L + Testostérone</c:v>
                </c:pt>
                <c:pt idx="18">
                  <c:v>cromolyn-10µg/L + Testostérone</c:v>
                </c:pt>
                <c:pt idx="19">
                  <c:v>cromolyn-1µg/L + Testostérone</c:v>
                </c:pt>
                <c:pt idx="20">
                  <c:v>cromolyn-0.1µg/L + Testostérone</c:v>
                </c:pt>
              </c:strCache>
            </c:strRef>
          </c:cat>
          <c:val>
            <c:numRef>
              <c:f>'R1'!$B$53:$V$53</c:f>
              <c:numCache>
                <c:formatCode>0.0000</c:formatCode>
                <c:ptCount val="21"/>
                <c:pt idx="0">
                  <c:v>0.16427290035739073</c:v>
                </c:pt>
                <c:pt idx="1">
                  <c:v>0.28929323573335358</c:v>
                </c:pt>
                <c:pt idx="2">
                  <c:v>0.58579782908450928</c:v>
                </c:pt>
                <c:pt idx="3">
                  <c:v>1.0344888995401893</c:v>
                </c:pt>
                <c:pt idx="4">
                  <c:v>1.7170021647352138</c:v>
                </c:pt>
                <c:pt idx="5">
                  <c:v>1.850713235997842</c:v>
                </c:pt>
                <c:pt idx="6">
                  <c:v>2.5726691935616035</c:v>
                </c:pt>
                <c:pt idx="7">
                  <c:v>0.25813931041453531</c:v>
                </c:pt>
                <c:pt idx="8">
                  <c:v>0.27490838292376996</c:v>
                </c:pt>
                <c:pt idx="9">
                  <c:v>0.15000701238782538</c:v>
                </c:pt>
                <c:pt idx="10">
                  <c:v>0.13083079890902594</c:v>
                </c:pt>
                <c:pt idx="11">
                  <c:v>0.1543873580009103</c:v>
                </c:pt>
                <c:pt idx="12">
                  <c:v>0</c:v>
                </c:pt>
                <c:pt idx="13">
                  <c:v>1</c:v>
                </c:pt>
                <c:pt idx="14">
                  <c:v>1.435216224985528</c:v>
                </c:pt>
                <c:pt idx="15">
                  <c:v>0.22534696895954437</c:v>
                </c:pt>
                <c:pt idx="16">
                  <c:v>0.76314883469604233</c:v>
                </c:pt>
                <c:pt idx="17">
                  <c:v>1.1136309648734439</c:v>
                </c:pt>
                <c:pt idx="18">
                  <c:v>1.0585979208134872</c:v>
                </c:pt>
                <c:pt idx="19">
                  <c:v>1.0268945278156862</c:v>
                </c:pt>
                <c:pt idx="20">
                  <c:v>0.71881389357881709</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rgbClr val="BA3838"/>
              </a:solidFill>
            </c:spPr>
            <c:extLst>
              <c:ext xmlns:c16="http://schemas.microsoft.com/office/drawing/2014/chart" uri="{C3380CC4-5D6E-409C-BE32-E72D297353CC}">
                <c16:uniqueId val="{00000001-EED2-4ACE-91AA-7F8713196E92}"/>
              </c:ext>
            </c:extLst>
          </c:dPt>
          <c:dPt>
            <c:idx val="11"/>
            <c:invertIfNegative val="0"/>
            <c:bubble3D val="0"/>
            <c:spPr>
              <a:solidFill>
                <a:srgbClr val="BA3838"/>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rgbClr val="BA3838"/>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6.8563392257230113E-2</c:v>
                  </c:pt>
                  <c:pt idx="1">
                    <c:v>9.77351510144049E-2</c:v>
                  </c:pt>
                  <c:pt idx="2">
                    <c:v>6.1641041794961861E-2</c:v>
                  </c:pt>
                  <c:pt idx="3">
                    <c:v>9.9608788242702945E-2</c:v>
                  </c:pt>
                  <c:pt idx="4">
                    <c:v>0.13991625847416572</c:v>
                  </c:pt>
                  <c:pt idx="5">
                    <c:v>0.32160814445074015</c:v>
                  </c:pt>
                  <c:pt idx="6">
                    <c:v>0.38667314838820593</c:v>
                  </c:pt>
                  <c:pt idx="7">
                    <c:v>0.14288136915742727</c:v>
                  </c:pt>
                  <c:pt idx="8">
                    <c:v>0.10987035344114178</c:v>
                  </c:pt>
                  <c:pt idx="9">
                    <c:v>0.10496660937438344</c:v>
                  </c:pt>
                  <c:pt idx="10">
                    <c:v>7.4610861991535854E-2</c:v>
                  </c:pt>
                  <c:pt idx="11">
                    <c:v>7.2919752965152421E-2</c:v>
                  </c:pt>
                  <c:pt idx="12">
                    <c:v>0</c:v>
                  </c:pt>
                  <c:pt idx="13">
                    <c:v>0.14888873292687058</c:v>
                  </c:pt>
                  <c:pt idx="14">
                    <c:v>0.32224801910254647</c:v>
                  </c:pt>
                  <c:pt idx="15">
                    <c:v>5.5695599317958269E-2</c:v>
                  </c:pt>
                  <c:pt idx="16">
                    <c:v>0.33488263895188275</c:v>
                  </c:pt>
                  <c:pt idx="17">
                    <c:v>0.24016739620633423</c:v>
                  </c:pt>
                  <c:pt idx="18">
                    <c:v>0.29846585781726404</c:v>
                  </c:pt>
                  <c:pt idx="19">
                    <c:v>0.37690508344162715</c:v>
                  </c:pt>
                  <c:pt idx="20">
                    <c:v>0.25631934715487759</c:v>
                  </c:pt>
                </c:numCache>
              </c:numRef>
            </c:plus>
            <c:minus>
              <c:numRef>
                <c:f>'R1'!$O$48:$V$48</c:f>
                <c:numCache>
                  <c:formatCode>General</c:formatCode>
                  <c:ptCount val="8"/>
                  <c:pt idx="0">
                    <c:v>0.11673197908408775</c:v>
                  </c:pt>
                  <c:pt idx="1">
                    <c:v>0.20673384654336074</c:v>
                  </c:pt>
                  <c:pt idx="2">
                    <c:v>3.0489499843097734E-2</c:v>
                  </c:pt>
                  <c:pt idx="3">
                    <c:v>7.9640217812365563E-2</c:v>
                  </c:pt>
                  <c:pt idx="4">
                    <c:v>9.9618798020934693E-2</c:v>
                  </c:pt>
                  <c:pt idx="5">
                    <c:v>0.15855329553301897</c:v>
                  </c:pt>
                  <c:pt idx="6">
                    <c:v>0.19141706194591435</c:v>
                  </c:pt>
                  <c:pt idx="7">
                    <c:v>0.1105686791309639</c:v>
                  </c:pt>
                </c:numCache>
              </c:numRef>
            </c:minus>
          </c:errBars>
          <c:cat>
            <c:strRef>
              <c:f>'R2'!$B$52:$V$52</c:f>
              <c:strCache>
                <c:ptCount val="21"/>
                <c:pt idx="0">
                  <c:v>Solvent control</c:v>
                </c:pt>
                <c:pt idx="1">
                  <c:v>EE2-33.8ng/L</c:v>
                </c:pt>
                <c:pt idx="2">
                  <c:v>EE2-50.6ng/L</c:v>
                </c:pt>
                <c:pt idx="3">
                  <c:v>EE2-76ng/L</c:v>
                </c:pt>
                <c:pt idx="4">
                  <c:v>EE2-114ng/L</c:v>
                </c:pt>
                <c:pt idx="5">
                  <c:v>EE2-170.9ng/L</c:v>
                </c:pt>
                <c:pt idx="6">
                  <c:v>EE2-488ng/L</c:v>
                </c:pt>
                <c:pt idx="7">
                  <c:v>cromolyn-1000µg/L</c:v>
                </c:pt>
                <c:pt idx="8">
                  <c:v>cromolyn-100µg/L</c:v>
                </c:pt>
                <c:pt idx="9">
                  <c:v>cromolyn-10µg/L</c:v>
                </c:pt>
                <c:pt idx="10">
                  <c:v>cromolyn-1µg/L</c:v>
                </c:pt>
                <c:pt idx="11">
                  <c:v>cromolyn-0.1µg/L</c:v>
                </c:pt>
                <c:pt idx="13">
                  <c:v>Testo -30µg/L</c:v>
                </c:pt>
                <c:pt idx="14">
                  <c:v>Testo 30µg/L + EE2 -64ng/L</c:v>
                </c:pt>
                <c:pt idx="15">
                  <c:v>Testo 30µg/L + FAD-10mg/L</c:v>
                </c:pt>
                <c:pt idx="16">
                  <c:v>cromolyn-1000µg/L + Testostérone</c:v>
                </c:pt>
                <c:pt idx="17">
                  <c:v>cromolyn-100µg/L + Testostérone</c:v>
                </c:pt>
                <c:pt idx="18">
                  <c:v>cromolyn-10µg/L + Testostérone</c:v>
                </c:pt>
                <c:pt idx="19">
                  <c:v>cromolyn-1µg/L + Testostérone</c:v>
                </c:pt>
                <c:pt idx="20">
                  <c:v>cromolyn-0.1µg/L + Testostérone</c:v>
                </c:pt>
              </c:strCache>
            </c:strRef>
          </c:cat>
          <c:val>
            <c:numRef>
              <c:f>'R2'!$B$53:$V$53</c:f>
              <c:numCache>
                <c:formatCode>0.0000</c:formatCode>
                <c:ptCount val="21"/>
                <c:pt idx="0">
                  <c:v>0.2321501375419105</c:v>
                </c:pt>
                <c:pt idx="1">
                  <c:v>0.28305038005564909</c:v>
                </c:pt>
                <c:pt idx="2">
                  <c:v>0.30235996840471474</c:v>
                </c:pt>
                <c:pt idx="3">
                  <c:v>0.89065846234302382</c:v>
                </c:pt>
                <c:pt idx="4">
                  <c:v>1.3677976358862372</c:v>
                </c:pt>
                <c:pt idx="5">
                  <c:v>2.0708809919154403</c:v>
                </c:pt>
                <c:pt idx="6">
                  <c:v>3.1454355038269024</c:v>
                </c:pt>
                <c:pt idx="7">
                  <c:v>0.38260395339547226</c:v>
                </c:pt>
                <c:pt idx="8">
                  <c:v>0.28563044350967837</c:v>
                </c:pt>
                <c:pt idx="9">
                  <c:v>0.33325677936881221</c:v>
                </c:pt>
                <c:pt idx="10">
                  <c:v>0.33278197738272869</c:v>
                </c:pt>
                <c:pt idx="11">
                  <c:v>0.3623990582668567</c:v>
                </c:pt>
                <c:pt idx="12">
                  <c:v>0</c:v>
                </c:pt>
                <c:pt idx="13">
                  <c:v>1</c:v>
                </c:pt>
                <c:pt idx="14">
                  <c:v>2.1787778555242325</c:v>
                </c:pt>
                <c:pt idx="15">
                  <c:v>0.21125753286071039</c:v>
                </c:pt>
                <c:pt idx="16">
                  <c:v>1.4702538037673936</c:v>
                </c:pt>
                <c:pt idx="17">
                  <c:v>1.5615302867188161</c:v>
                </c:pt>
                <c:pt idx="18">
                  <c:v>1.8868671269070707</c:v>
                </c:pt>
                <c:pt idx="19">
                  <c:v>1.6049288719126347</c:v>
                </c:pt>
                <c:pt idx="20">
                  <c:v>2.0965380679246413</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tx2"/>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4.2519232552547095E-2</c:v>
                  </c:pt>
                  <c:pt idx="1">
                    <c:v>5.0453203759963414E-2</c:v>
                  </c:pt>
                  <c:pt idx="2">
                    <c:v>6.3484688336414227E-2</c:v>
                  </c:pt>
                  <c:pt idx="3">
                    <c:v>0.10106192807394061</c:v>
                  </c:pt>
                  <c:pt idx="4">
                    <c:v>0.14843821742446653</c:v>
                  </c:pt>
                  <c:pt idx="5">
                    <c:v>0.18310794630148017</c:v>
                  </c:pt>
                  <c:pt idx="6">
                    <c:v>0.22419514413801772</c:v>
                  </c:pt>
                  <c:pt idx="7">
                    <c:v>4.3797030561047876E-2</c:v>
                  </c:pt>
                  <c:pt idx="8">
                    <c:v>2.225351114367272E-2</c:v>
                  </c:pt>
                  <c:pt idx="9">
                    <c:v>1.8463174079688654E-2</c:v>
                  </c:pt>
                  <c:pt idx="10">
                    <c:v>3.0761520154767623E-2</c:v>
                  </c:pt>
                  <c:pt idx="11">
                    <c:v>6.243198901890433E-2</c:v>
                  </c:pt>
                  <c:pt idx="12">
                    <c:v>0</c:v>
                  </c:pt>
                  <c:pt idx="13">
                    <c:v>6.7626863252341601E-2</c:v>
                  </c:pt>
                  <c:pt idx="14">
                    <c:v>0.17310979256194312</c:v>
                  </c:pt>
                  <c:pt idx="15">
                    <c:v>2.2530050707009121E-2</c:v>
                  </c:pt>
                  <c:pt idx="16">
                    <c:v>0.17571657183063016</c:v>
                  </c:pt>
                  <c:pt idx="17">
                    <c:v>0.21779300845455132</c:v>
                  </c:pt>
                  <c:pt idx="18">
                    <c:v>9.8068541400721534E-2</c:v>
                  </c:pt>
                  <c:pt idx="19">
                    <c:v>0.15117327885276791</c:v>
                  </c:pt>
                  <c:pt idx="20">
                    <c:v>0.17281700392492261</c:v>
                  </c:pt>
                </c:numCache>
              </c:numRef>
            </c:plus>
            <c:minus>
              <c:numRef>
                <c:f>'R1'!$O$48:$V$48</c:f>
                <c:numCache>
                  <c:formatCode>General</c:formatCode>
                  <c:ptCount val="8"/>
                  <c:pt idx="0">
                    <c:v>0.11673197908408775</c:v>
                  </c:pt>
                  <c:pt idx="1">
                    <c:v>0.20673384654336074</c:v>
                  </c:pt>
                  <c:pt idx="2">
                    <c:v>3.0489499843097734E-2</c:v>
                  </c:pt>
                  <c:pt idx="3">
                    <c:v>7.9640217812365563E-2</c:v>
                  </c:pt>
                  <c:pt idx="4">
                    <c:v>9.9618798020934693E-2</c:v>
                  </c:pt>
                  <c:pt idx="5">
                    <c:v>0.15855329553301897</c:v>
                  </c:pt>
                  <c:pt idx="6">
                    <c:v>0.19141706194591435</c:v>
                  </c:pt>
                  <c:pt idx="7">
                    <c:v>0.1105686791309639</c:v>
                  </c:pt>
                </c:numCache>
              </c:numRef>
            </c:minus>
          </c:errBars>
          <c:cat>
            <c:strRef>
              <c:f>'R3'!$B$52:$V$52</c:f>
              <c:strCache>
                <c:ptCount val="21"/>
                <c:pt idx="0">
                  <c:v>Solvent control</c:v>
                </c:pt>
                <c:pt idx="1">
                  <c:v>EE2-33.8ng/L</c:v>
                </c:pt>
                <c:pt idx="2">
                  <c:v>EE2-50.6ng/L</c:v>
                </c:pt>
                <c:pt idx="3">
                  <c:v>EE2-76ng/L</c:v>
                </c:pt>
                <c:pt idx="4">
                  <c:v>EE2-114ng/L</c:v>
                </c:pt>
                <c:pt idx="5">
                  <c:v>EE2-170.9ng/L</c:v>
                </c:pt>
                <c:pt idx="6">
                  <c:v>EE2-488ng/L</c:v>
                </c:pt>
                <c:pt idx="7">
                  <c:v>cromolyn-1000µg/L</c:v>
                </c:pt>
                <c:pt idx="8">
                  <c:v>cromolyn-100µg/L</c:v>
                </c:pt>
                <c:pt idx="9">
                  <c:v>cromolyn-10µg/L</c:v>
                </c:pt>
                <c:pt idx="10">
                  <c:v>cromolyn-1µg/L</c:v>
                </c:pt>
                <c:pt idx="11">
                  <c:v>cromolyn-0.1µg/L</c:v>
                </c:pt>
                <c:pt idx="13">
                  <c:v>Testo -30µg/L</c:v>
                </c:pt>
                <c:pt idx="14">
                  <c:v>Testo 30µg/L + EE2 -64ng/L</c:v>
                </c:pt>
                <c:pt idx="15">
                  <c:v>Testo 30µg/L + FAD-10mg/L</c:v>
                </c:pt>
                <c:pt idx="16">
                  <c:v>cromolyn-1000µg/L + Testostérone</c:v>
                </c:pt>
                <c:pt idx="17">
                  <c:v>cromolyn-100µg/L + Testostérone</c:v>
                </c:pt>
                <c:pt idx="18">
                  <c:v>cromolyn-10µg/L + Testostérone</c:v>
                </c:pt>
                <c:pt idx="19">
                  <c:v>cromolyn-1µg/L + Testostérone</c:v>
                </c:pt>
                <c:pt idx="20">
                  <c:v>cromolyn-0.1µg/L + Testostérone</c:v>
                </c:pt>
              </c:strCache>
            </c:strRef>
          </c:cat>
          <c:val>
            <c:numRef>
              <c:f>'R3'!$B$53:$V$53</c:f>
              <c:numCache>
                <c:formatCode>0.0000</c:formatCode>
                <c:ptCount val="21"/>
                <c:pt idx="0">
                  <c:v>0.19542672817297607</c:v>
                </c:pt>
                <c:pt idx="1">
                  <c:v>0.1868451257991009</c:v>
                </c:pt>
                <c:pt idx="2">
                  <c:v>0.32316593793484077</c:v>
                </c:pt>
                <c:pt idx="3">
                  <c:v>0.82726532280221887</c:v>
                </c:pt>
                <c:pt idx="4">
                  <c:v>1.1857887513406506</c:v>
                </c:pt>
                <c:pt idx="5">
                  <c:v>1.1343194610688156</c:v>
                </c:pt>
                <c:pt idx="6">
                  <c:v>1.9551598960547645</c:v>
                </c:pt>
                <c:pt idx="7">
                  <c:v>0.15911873556037917</c:v>
                </c:pt>
                <c:pt idx="8">
                  <c:v>0.12287263030088671</c:v>
                </c:pt>
                <c:pt idx="9">
                  <c:v>0.12942199527421178</c:v>
                </c:pt>
                <c:pt idx="10">
                  <c:v>0.14159994118336058</c:v>
                </c:pt>
                <c:pt idx="11">
                  <c:v>0.15356986129197725</c:v>
                </c:pt>
                <c:pt idx="12">
                  <c:v>0</c:v>
                </c:pt>
                <c:pt idx="13">
                  <c:v>1.0000000000000002</c:v>
                </c:pt>
                <c:pt idx="14">
                  <c:v>1.4486067213607798</c:v>
                </c:pt>
                <c:pt idx="15">
                  <c:v>6.103801835290458E-2</c:v>
                </c:pt>
                <c:pt idx="16">
                  <c:v>1.1900483845992353</c:v>
                </c:pt>
                <c:pt idx="17">
                  <c:v>0.80861763257277752</c:v>
                </c:pt>
                <c:pt idx="18">
                  <c:v>0.77110192625569229</c:v>
                </c:pt>
                <c:pt idx="19">
                  <c:v>0.96764755827620019</c:v>
                </c:pt>
                <c:pt idx="20">
                  <c:v>0.90090876424338251</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chemeClr val="bg1">
                <a:lumMod val="50000"/>
              </a:schemeClr>
            </a:solidFill>
          </c:spPr>
          <c:invertIfNegative val="0"/>
          <c:dPt>
            <c:idx val="1"/>
            <c:invertIfNegative val="0"/>
            <c:bubble3D val="0"/>
            <c:extLst>
              <c:ext xmlns:c16="http://schemas.microsoft.com/office/drawing/2014/chart" uri="{C3380CC4-5D6E-409C-BE32-E72D297353CC}">
                <c16:uniqueId val="{00000001-033C-4530-84A9-991A3866ABD4}"/>
              </c:ext>
            </c:extLst>
          </c:dPt>
          <c:dPt>
            <c:idx val="2"/>
            <c:invertIfNegative val="0"/>
            <c:bubble3D val="0"/>
            <c:extLst>
              <c:ext xmlns:c16="http://schemas.microsoft.com/office/drawing/2014/chart" uri="{C3380CC4-5D6E-409C-BE32-E72D297353CC}">
                <c16:uniqueId val="{00000003-033C-4530-84A9-991A3866ABD4}"/>
              </c:ext>
            </c:extLst>
          </c:dPt>
          <c:dPt>
            <c:idx val="3"/>
            <c:invertIfNegative val="0"/>
            <c:bubble3D val="0"/>
            <c:extLst>
              <c:ext xmlns:c16="http://schemas.microsoft.com/office/drawing/2014/chart" uri="{C3380CC4-5D6E-409C-BE32-E72D297353CC}">
                <c16:uniqueId val="{00000005-033C-4530-84A9-991A3866ABD4}"/>
              </c:ext>
            </c:extLst>
          </c:dPt>
          <c:dPt>
            <c:idx val="4"/>
            <c:invertIfNegative val="0"/>
            <c:bubble3D val="0"/>
            <c:extLst>
              <c:ext xmlns:c16="http://schemas.microsoft.com/office/drawing/2014/chart" uri="{C3380CC4-5D6E-409C-BE32-E72D297353CC}">
                <c16:uniqueId val="{00000007-033C-4530-84A9-991A3866ABD4}"/>
              </c:ext>
            </c:extLst>
          </c:dPt>
          <c:dPt>
            <c:idx val="5"/>
            <c:invertIfNegative val="0"/>
            <c:bubble3D val="0"/>
            <c:extLst>
              <c:ext xmlns:c16="http://schemas.microsoft.com/office/drawing/2014/chart" uri="{C3380CC4-5D6E-409C-BE32-E72D297353CC}">
                <c16:uniqueId val="{00000009-033C-4530-84A9-991A3866ABD4}"/>
              </c:ext>
            </c:extLst>
          </c:dPt>
          <c:dPt>
            <c:idx val="6"/>
            <c:invertIfNegative val="0"/>
            <c:bubble3D val="0"/>
            <c:extLst>
              <c:ext xmlns:c16="http://schemas.microsoft.com/office/drawing/2014/chart" uri="{C3380CC4-5D6E-409C-BE32-E72D297353CC}">
                <c16:uniqueId val="{0000000B-033C-4530-84A9-991A3866ABD4}"/>
              </c:ext>
            </c:extLst>
          </c:dPt>
          <c:dPt>
            <c:idx val="7"/>
            <c:invertIfNegative val="0"/>
            <c:bubble3D val="0"/>
            <c:extLst>
              <c:ext xmlns:c16="http://schemas.microsoft.com/office/drawing/2014/chart" uri="{C3380CC4-5D6E-409C-BE32-E72D297353CC}">
                <c16:uniqueId val="{0000000D-033C-4530-84A9-991A3866ABD4}"/>
              </c:ext>
            </c:extLst>
          </c:dPt>
          <c:dPt>
            <c:idx val="8"/>
            <c:invertIfNegative val="0"/>
            <c:bubble3D val="0"/>
            <c:extLst>
              <c:ext xmlns:c16="http://schemas.microsoft.com/office/drawing/2014/chart" uri="{C3380CC4-5D6E-409C-BE32-E72D297353CC}">
                <c16:uniqueId val="{0000000F-033C-4530-84A9-991A3866ABD4}"/>
              </c:ext>
            </c:extLst>
          </c:dPt>
          <c:dPt>
            <c:idx val="9"/>
            <c:invertIfNegative val="0"/>
            <c:bubble3D val="0"/>
            <c:extLst>
              <c:ext xmlns:c16="http://schemas.microsoft.com/office/drawing/2014/chart" uri="{C3380CC4-5D6E-409C-BE32-E72D297353CC}">
                <c16:uniqueId val="{00000011-033C-4530-84A9-991A3866ABD4}"/>
              </c:ext>
            </c:extLst>
          </c:dPt>
          <c:dPt>
            <c:idx val="10"/>
            <c:invertIfNegative val="0"/>
            <c:bubble3D val="0"/>
            <c:extLst>
              <c:ext xmlns:c16="http://schemas.microsoft.com/office/drawing/2014/chart" uri="{C3380CC4-5D6E-409C-BE32-E72D297353CC}">
                <c16:uniqueId val="{00000013-033C-4530-84A9-991A3866ABD4}"/>
              </c:ext>
            </c:extLst>
          </c:dPt>
          <c:dPt>
            <c:idx val="11"/>
            <c:invertIfNegative val="0"/>
            <c:bubble3D val="0"/>
            <c:extLst>
              <c:ext xmlns:c16="http://schemas.microsoft.com/office/drawing/2014/chart" uri="{C3380CC4-5D6E-409C-BE32-E72D297353CC}">
                <c16:uniqueId val="{00000015-033C-4530-84A9-991A3866ABD4}"/>
              </c:ext>
            </c:extLst>
          </c:dPt>
          <c:dPt>
            <c:idx val="12"/>
            <c:invertIfNegative val="0"/>
            <c:bubble3D val="0"/>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extLst>
              <c:ext xmlns:c16="http://schemas.microsoft.com/office/drawing/2014/chart" uri="{C3380CC4-5D6E-409C-BE32-E72D297353CC}">
                <c16:uniqueId val="{0000001B-033C-4530-84A9-991A3866ABD4}"/>
              </c:ext>
            </c:extLst>
          </c:dPt>
          <c:dPt>
            <c:idx val="15"/>
            <c:invertIfNegative val="0"/>
            <c:bubble3D val="0"/>
            <c:extLst>
              <c:ext xmlns:c16="http://schemas.microsoft.com/office/drawing/2014/chart" uri="{C3380CC4-5D6E-409C-BE32-E72D297353CC}">
                <c16:uniqueId val="{0000001D-033C-4530-84A9-991A3866ABD4}"/>
              </c:ext>
            </c:extLst>
          </c:dPt>
          <c:dPt>
            <c:idx val="16"/>
            <c:invertIfNegative val="0"/>
            <c:bubble3D val="0"/>
            <c:extLst>
              <c:ext xmlns:c16="http://schemas.microsoft.com/office/drawing/2014/chart" uri="{C3380CC4-5D6E-409C-BE32-E72D297353CC}">
                <c16:uniqueId val="{0000001F-033C-4530-84A9-991A3866ABD4}"/>
              </c:ext>
            </c:extLst>
          </c:dPt>
          <c:dPt>
            <c:idx val="17"/>
            <c:invertIfNegative val="0"/>
            <c:bubble3D val="0"/>
            <c:extLst>
              <c:ext xmlns:c16="http://schemas.microsoft.com/office/drawing/2014/chart" uri="{C3380CC4-5D6E-409C-BE32-E72D297353CC}">
                <c16:uniqueId val="{00000021-033C-4530-84A9-991A3866ABD4}"/>
              </c:ext>
            </c:extLst>
          </c:dPt>
          <c:dPt>
            <c:idx val="18"/>
            <c:invertIfNegative val="0"/>
            <c:bubble3D val="0"/>
            <c:extLst>
              <c:ext xmlns:c16="http://schemas.microsoft.com/office/drawing/2014/chart" uri="{C3380CC4-5D6E-409C-BE32-E72D297353CC}">
                <c16:uniqueId val="{00000023-033C-4530-84A9-991A3866ABD4}"/>
              </c:ext>
            </c:extLst>
          </c:dPt>
          <c:dPt>
            <c:idx val="19"/>
            <c:invertIfNegative val="0"/>
            <c:bubble3D val="0"/>
            <c:extLst>
              <c:ext xmlns:c16="http://schemas.microsoft.com/office/drawing/2014/chart" uri="{C3380CC4-5D6E-409C-BE32-E72D297353CC}">
                <c16:uniqueId val="{00000025-033C-4530-84A9-991A3866ABD4}"/>
              </c:ext>
            </c:extLst>
          </c:dPt>
          <c:dPt>
            <c:idx val="20"/>
            <c:invertIfNegative val="0"/>
            <c:bubble3D val="0"/>
            <c:extLst>
              <c:ext xmlns:c16="http://schemas.microsoft.com/office/drawing/2014/chart" uri="{C3380CC4-5D6E-409C-BE32-E72D297353CC}">
                <c16:uniqueId val="{00000027-033C-4530-84A9-991A3866ABD4}"/>
              </c:ext>
            </c:extLst>
          </c:dPt>
          <c:dPt>
            <c:idx val="21"/>
            <c:invertIfNegative val="0"/>
            <c:bubble3D val="0"/>
            <c:extLst>
              <c:ext xmlns:c16="http://schemas.microsoft.com/office/drawing/2014/chart" uri="{C3380CC4-5D6E-409C-BE32-E72D297353CC}">
                <c16:uniqueId val="{00000029-033C-4530-84A9-991A3866ABD4}"/>
              </c:ext>
            </c:extLst>
          </c:dPt>
          <c:dPt>
            <c:idx val="22"/>
            <c:invertIfNegative val="0"/>
            <c:bubble3D val="0"/>
            <c:extLst>
              <c:ext xmlns:c16="http://schemas.microsoft.com/office/drawing/2014/chart" uri="{C3380CC4-5D6E-409C-BE32-E72D297353CC}">
                <c16:uniqueId val="{0000002B-033C-4530-84A9-991A3866ABD4}"/>
              </c:ext>
            </c:extLst>
          </c:dPt>
          <c:dLbls>
            <c:dLbl>
              <c:idx val="0"/>
              <c:tx>
                <c:rich>
                  <a:bodyPr/>
                  <a:lstStyle/>
                  <a:p>
                    <a:fld id="{B7A806B0-2222-43CD-977D-1F3EF342D5F2}"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1380726E-A830-4A78-9B35-BFFE0345D84E}"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3C-4530-84A9-991A3866ABD4}"/>
                </c:ext>
              </c:extLst>
            </c:dLbl>
            <c:dLbl>
              <c:idx val="2"/>
              <c:tx>
                <c:rich>
                  <a:bodyPr/>
                  <a:lstStyle/>
                  <a:p>
                    <a:fld id="{83427643-A0B0-41C4-A1A9-5FD0E9D46095}"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3C-4530-84A9-991A3866ABD4}"/>
                </c:ext>
              </c:extLst>
            </c:dLbl>
            <c:dLbl>
              <c:idx val="3"/>
              <c:tx>
                <c:rich>
                  <a:bodyPr/>
                  <a:lstStyle/>
                  <a:p>
                    <a:fld id="{B46FF473-003C-47AD-AAD2-9BEA02075D2C}"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3C-4530-84A9-991A3866ABD4}"/>
                </c:ext>
              </c:extLst>
            </c:dLbl>
            <c:dLbl>
              <c:idx val="4"/>
              <c:tx>
                <c:rich>
                  <a:bodyPr/>
                  <a:lstStyle/>
                  <a:p>
                    <a:fld id="{82613290-5230-4E7F-A1ED-840E3C8D73A1}"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3C-4530-84A9-991A3866ABD4}"/>
                </c:ext>
              </c:extLst>
            </c:dLbl>
            <c:dLbl>
              <c:idx val="5"/>
              <c:tx>
                <c:rich>
                  <a:bodyPr/>
                  <a:lstStyle/>
                  <a:p>
                    <a:fld id="{C73932E1-227A-4EEF-89CB-A2C274BFD64C}"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33C-4530-84A9-991A3866ABD4}"/>
                </c:ext>
              </c:extLst>
            </c:dLbl>
            <c:dLbl>
              <c:idx val="6"/>
              <c:tx>
                <c:rich>
                  <a:bodyPr/>
                  <a:lstStyle/>
                  <a:p>
                    <a:fld id="{413587E4-610A-4797-B571-375B2DB56D71}"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33C-4530-84A9-991A3866ABD4}"/>
                </c:ext>
              </c:extLst>
            </c:dLbl>
            <c:dLbl>
              <c:idx val="7"/>
              <c:tx>
                <c:rich>
                  <a:bodyPr/>
                  <a:lstStyle/>
                  <a:p>
                    <a:fld id="{59CAFD71-7BA6-47E4-BFA5-90E10ECA2F13}"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33C-4530-84A9-991A3866ABD4}"/>
                </c:ext>
              </c:extLst>
            </c:dLbl>
            <c:dLbl>
              <c:idx val="8"/>
              <c:tx>
                <c:rich>
                  <a:bodyPr/>
                  <a:lstStyle/>
                  <a:p>
                    <a:fld id="{B541EA54-26C9-48BB-B4BF-94D152AE6745}"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33C-4530-84A9-991A3866ABD4}"/>
                </c:ext>
              </c:extLst>
            </c:dLbl>
            <c:dLbl>
              <c:idx val="9"/>
              <c:tx>
                <c:rich>
                  <a:bodyPr/>
                  <a:lstStyle/>
                  <a:p>
                    <a:fld id="{A9A7F2B2-51D2-4452-AB29-A915CFC5AD54}"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33C-4530-84A9-991A3866ABD4}"/>
                </c:ext>
              </c:extLst>
            </c:dLbl>
            <c:dLbl>
              <c:idx val="10"/>
              <c:tx>
                <c:rich>
                  <a:bodyPr/>
                  <a:lstStyle/>
                  <a:p>
                    <a:fld id="{5E2A765C-AE50-4825-83B7-9455A03910B0}"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033C-4530-84A9-991A3866ABD4}"/>
                </c:ext>
              </c:extLst>
            </c:dLbl>
            <c:dLbl>
              <c:idx val="11"/>
              <c:tx>
                <c:rich>
                  <a:bodyPr/>
                  <a:lstStyle/>
                  <a:p>
                    <a:fld id="{DEBAEF8F-5212-46AE-AEE8-2302327E05A3}"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033C-4530-84A9-991A3866ABD4}"/>
                </c:ext>
              </c:extLst>
            </c:dLbl>
            <c:dLbl>
              <c:idx val="12"/>
              <c:tx>
                <c:rich>
                  <a:bodyPr/>
                  <a:lstStyle/>
                  <a:p>
                    <a:fld id="{76CAB2FD-3FDD-4EC7-8730-5AF154D81BEB}"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33C-4530-84A9-991A3866ABD4}"/>
                </c:ext>
              </c:extLst>
            </c:dLbl>
            <c:dLbl>
              <c:idx val="13"/>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033C-4530-84A9-991A3866ABD4}"/>
                </c:ext>
              </c:extLst>
            </c:dLbl>
            <c:dLbl>
              <c:idx val="14"/>
              <c:tx>
                <c:rich>
                  <a:bodyPr/>
                  <a:lstStyle/>
                  <a:p>
                    <a:fld id="{3B32DC67-336B-4024-85D0-4711B296520D}"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033C-4530-84A9-991A3866ABD4}"/>
                </c:ext>
              </c:extLst>
            </c:dLbl>
            <c:dLbl>
              <c:idx val="15"/>
              <c:tx>
                <c:rich>
                  <a:bodyPr/>
                  <a:lstStyle/>
                  <a:p>
                    <a:fld id="{3F5132FF-85AA-4DE1-B574-F0379E142C8E}"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033C-4530-84A9-991A3866ABD4}"/>
                </c:ext>
              </c:extLst>
            </c:dLbl>
            <c:dLbl>
              <c:idx val="16"/>
              <c:tx>
                <c:rich>
                  <a:bodyPr/>
                  <a:lstStyle/>
                  <a:p>
                    <a:fld id="{771E924B-F91A-4946-9671-50D058C6B91A}"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033C-4530-84A9-991A3866ABD4}"/>
                </c:ext>
              </c:extLst>
            </c:dLbl>
            <c:dLbl>
              <c:idx val="17"/>
              <c:tx>
                <c:rich>
                  <a:bodyPr/>
                  <a:lstStyle/>
                  <a:p>
                    <a:fld id="{CB0DDF25-1C4E-43B7-B389-A2A2665B8FC8}"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033C-4530-84A9-991A3866ABD4}"/>
                </c:ext>
              </c:extLst>
            </c:dLbl>
            <c:dLbl>
              <c:idx val="18"/>
              <c:tx>
                <c:rich>
                  <a:bodyPr/>
                  <a:lstStyle/>
                  <a:p>
                    <a:fld id="{4E946EB4-EE07-4FD2-B996-BE231DD7F855}"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033C-4530-84A9-991A3866ABD4}"/>
                </c:ext>
              </c:extLst>
            </c:dLbl>
            <c:dLbl>
              <c:idx val="19"/>
              <c:tx>
                <c:rich>
                  <a:bodyPr/>
                  <a:lstStyle/>
                  <a:p>
                    <a:fld id="{36137A22-A4BC-4E3B-BF48-1FAF670490B8}"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033C-4530-84A9-991A3866ABD4}"/>
                </c:ext>
              </c:extLst>
            </c:dLbl>
            <c:dLbl>
              <c:idx val="20"/>
              <c:tx>
                <c:rich>
                  <a:bodyPr/>
                  <a:lstStyle/>
                  <a:p>
                    <a:fld id="{FA521C0B-D8F7-4792-AC89-63F471B920B0}"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033C-4530-84A9-991A3866ABD4}"/>
                </c:ext>
              </c:extLst>
            </c:dLbl>
            <c:dLbl>
              <c:idx val="21"/>
              <c:tx>
                <c:rich>
                  <a:bodyPr/>
                  <a:lstStyle/>
                  <a:p>
                    <a:fld id="{0B375F89-46BD-4380-BBFC-CF22403132C1}"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txPr>
              <a:bodyPr wrap="square" lIns="38100" tIns="19050" rIns="38100" bIns="19050" anchor="ctr">
                <a:spAutoFit/>
              </a:bodyPr>
              <a:lstStyle/>
              <a:p>
                <a:pPr>
                  <a:defRPr lang="ja-JP"/>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values'!$B$76:$W$76</c:f>
                <c:numCache>
                  <c:formatCode>General</c:formatCode>
                  <c:ptCount val="22"/>
                  <c:pt idx="0">
                    <c:v>2.8896431267573471E-2</c:v>
                  </c:pt>
                  <c:pt idx="1">
                    <c:v>4.1086976390259586E-2</c:v>
                  </c:pt>
                  <c:pt idx="2">
                    <c:v>5.175724212239504E-2</c:v>
                  </c:pt>
                  <c:pt idx="3">
                    <c:v>6.4921570830944492E-2</c:v>
                  </c:pt>
                  <c:pt idx="4">
                    <c:v>9.063410881195684E-2</c:v>
                  </c:pt>
                  <c:pt idx="5">
                    <c:v>0.14869662830574298</c:v>
                  </c:pt>
                  <c:pt idx="6">
                    <c:v>0.18574134718475749</c:v>
                  </c:pt>
                  <c:pt idx="7">
                    <c:v>5.3749248056047694E-2</c:v>
                  </c:pt>
                  <c:pt idx="8">
                    <c:v>4.0219270464429593E-2</c:v>
                  </c:pt>
                  <c:pt idx="9">
                    <c:v>3.9787780158847562E-2</c:v>
                  </c:pt>
                  <c:pt idx="10">
                    <c:v>3.3871897506854348E-2</c:v>
                  </c:pt>
                  <c:pt idx="11">
                    <c:v>3.8697194667112564E-2</c:v>
                  </c:pt>
                  <c:pt idx="12">
                    <c:v>0</c:v>
                  </c:pt>
                  <c:pt idx="14">
                    <c:v>6.5531868458811454E-2</c:v>
                  </c:pt>
                  <c:pt idx="15">
                    <c:v>0.1479619355401027</c:v>
                  </c:pt>
                  <c:pt idx="16">
                    <c:v>2.6474425718569998E-2</c:v>
                  </c:pt>
                  <c:pt idx="17">
                    <c:v>0.13721569105275072</c:v>
                  </c:pt>
                  <c:pt idx="18">
                    <c:v>0.12580799784953908</c:v>
                  </c:pt>
                  <c:pt idx="19">
                    <c:v>0.14930148720089423</c:v>
                  </c:pt>
                  <c:pt idx="20">
                    <c:v>0.15504929165087178</c:v>
                  </c:pt>
                  <c:pt idx="21">
                    <c:v>0.16219143774332681</c:v>
                  </c:pt>
                </c:numCache>
              </c:numRef>
            </c:plus>
            <c:minus>
              <c:numRef>
                <c:f>'pooled normalised values'!$B$76:$W$76</c:f>
                <c:numCache>
                  <c:formatCode>General</c:formatCode>
                  <c:ptCount val="22"/>
                  <c:pt idx="0">
                    <c:v>2.8896431267573471E-2</c:v>
                  </c:pt>
                  <c:pt idx="1">
                    <c:v>4.1086976390259586E-2</c:v>
                  </c:pt>
                  <c:pt idx="2">
                    <c:v>5.175724212239504E-2</c:v>
                  </c:pt>
                  <c:pt idx="3">
                    <c:v>6.4921570830944492E-2</c:v>
                  </c:pt>
                  <c:pt idx="4">
                    <c:v>9.063410881195684E-2</c:v>
                  </c:pt>
                  <c:pt idx="5">
                    <c:v>0.14869662830574298</c:v>
                  </c:pt>
                  <c:pt idx="6">
                    <c:v>0.18574134718475749</c:v>
                  </c:pt>
                  <c:pt idx="7">
                    <c:v>5.3749248056047694E-2</c:v>
                  </c:pt>
                  <c:pt idx="8">
                    <c:v>4.0219270464429593E-2</c:v>
                  </c:pt>
                  <c:pt idx="9">
                    <c:v>3.9787780158847562E-2</c:v>
                  </c:pt>
                  <c:pt idx="10">
                    <c:v>3.3871897506854348E-2</c:v>
                  </c:pt>
                  <c:pt idx="11">
                    <c:v>3.8697194667112564E-2</c:v>
                  </c:pt>
                  <c:pt idx="12">
                    <c:v>0</c:v>
                  </c:pt>
                  <c:pt idx="14">
                    <c:v>6.5531868458811454E-2</c:v>
                  </c:pt>
                  <c:pt idx="15">
                    <c:v>0.1479619355401027</c:v>
                  </c:pt>
                  <c:pt idx="16">
                    <c:v>2.6474425718569998E-2</c:v>
                  </c:pt>
                  <c:pt idx="17">
                    <c:v>0.13721569105275072</c:v>
                  </c:pt>
                  <c:pt idx="18">
                    <c:v>0.12580799784953908</c:v>
                  </c:pt>
                  <c:pt idx="19">
                    <c:v>0.14930148720089423</c:v>
                  </c:pt>
                  <c:pt idx="20">
                    <c:v>0.15504929165087178</c:v>
                  </c:pt>
                  <c:pt idx="21">
                    <c:v>0.16219143774332681</c:v>
                  </c:pt>
                </c:numCache>
              </c:numRef>
            </c:minus>
          </c:errBars>
          <c:cat>
            <c:strRef>
              <c:f>'pooled normalised values'!$B$74:$W$74</c:f>
              <c:strCache>
                <c:ptCount val="22"/>
                <c:pt idx="0">
                  <c:v>Solvent control</c:v>
                </c:pt>
                <c:pt idx="1">
                  <c:v>EE2-33.8ng/L</c:v>
                </c:pt>
                <c:pt idx="2">
                  <c:v>EE2-50.6ng/L</c:v>
                </c:pt>
                <c:pt idx="3">
                  <c:v>EE2-76ng/L</c:v>
                </c:pt>
                <c:pt idx="4">
                  <c:v>EE2-114ng/L</c:v>
                </c:pt>
                <c:pt idx="5">
                  <c:v>EE2-170.9ng/L</c:v>
                </c:pt>
                <c:pt idx="6">
                  <c:v>EE2-488ng/L</c:v>
                </c:pt>
                <c:pt idx="7">
                  <c:v>cromolyn-1000µg/L</c:v>
                </c:pt>
                <c:pt idx="8">
                  <c:v>cromolyn-100µg/L</c:v>
                </c:pt>
                <c:pt idx="9">
                  <c:v>cromolyn-10µg/L</c:v>
                </c:pt>
                <c:pt idx="10">
                  <c:v>cromolyn-1µg/L</c:v>
                </c:pt>
                <c:pt idx="11">
                  <c:v>cromolyn-0.1µg/L</c:v>
                </c:pt>
                <c:pt idx="14">
                  <c:v>Testo -30µg/L</c:v>
                </c:pt>
                <c:pt idx="15">
                  <c:v>Testo 30µg/L + EE2 -64ng/L</c:v>
                </c:pt>
                <c:pt idx="16">
                  <c:v>Testo 30µg/L + FAD-10mg/L</c:v>
                </c:pt>
                <c:pt idx="17">
                  <c:v>cromolyn-1000µg/L + Testostérone</c:v>
                </c:pt>
                <c:pt idx="18">
                  <c:v>cromolyn-100µg/L + Testostérone</c:v>
                </c:pt>
                <c:pt idx="19">
                  <c:v>cromolyn-10µg/L + Testostérone</c:v>
                </c:pt>
                <c:pt idx="20">
                  <c:v>cromolyn-1µg/L + Testostérone</c:v>
                </c:pt>
                <c:pt idx="21">
                  <c:v>cromolyn-0.1µg/L + Testostérone</c:v>
                </c:pt>
              </c:strCache>
            </c:strRef>
          </c:cat>
          <c:val>
            <c:numRef>
              <c:f>'pooled normalised values'!$B$75:$W$75</c:f>
              <c:numCache>
                <c:formatCode>0.0000</c:formatCode>
                <c:ptCount val="22"/>
                <c:pt idx="0">
                  <c:v>0.19728325535742572</c:v>
                </c:pt>
                <c:pt idx="1">
                  <c:v>0.25594194812633597</c:v>
                </c:pt>
                <c:pt idx="2">
                  <c:v>0.40377457847468828</c:v>
                </c:pt>
                <c:pt idx="3">
                  <c:v>0.917470894895144</c:v>
                </c:pt>
                <c:pt idx="4">
                  <c:v>1.4235295173207005</c:v>
                </c:pt>
                <c:pt idx="5">
                  <c:v>1.6853045629940331</c:v>
                </c:pt>
                <c:pt idx="6">
                  <c:v>2.5577548644810899</c:v>
                </c:pt>
                <c:pt idx="7">
                  <c:v>0.26662066645679566</c:v>
                </c:pt>
                <c:pt idx="8">
                  <c:v>0.22780381891144497</c:v>
                </c:pt>
                <c:pt idx="9">
                  <c:v>0.20422859567694976</c:v>
                </c:pt>
                <c:pt idx="10">
                  <c:v>0.2017375724917051</c:v>
                </c:pt>
                <c:pt idx="11">
                  <c:v>0.2234520925199148</c:v>
                </c:pt>
                <c:pt idx="12">
                  <c:v>0</c:v>
                </c:pt>
                <c:pt idx="14">
                  <c:v>0.99999999999999989</c:v>
                </c:pt>
                <c:pt idx="15">
                  <c:v>1.6661751547582646</c:v>
                </c:pt>
                <c:pt idx="16">
                  <c:v>0.16588084005771978</c:v>
                </c:pt>
                <c:pt idx="17">
                  <c:v>1.1411503410208905</c:v>
                </c:pt>
                <c:pt idx="18">
                  <c:v>1.1612596280550125</c:v>
                </c:pt>
                <c:pt idx="19">
                  <c:v>1.2388556579920833</c:v>
                </c:pt>
                <c:pt idx="20">
                  <c:v>1.1998236526681738</c:v>
                </c:pt>
                <c:pt idx="21">
                  <c:v>1.2014585973065257</c:v>
                </c:pt>
              </c:numCache>
            </c:numRef>
          </c:val>
          <c:extLst>
            <c:ext xmlns:c15="http://schemas.microsoft.com/office/drawing/2012/chart" uri="{02D57815-91ED-43cb-92C2-25804820EDAC}">
              <c15:datalabelsRange>
                <c15:f>'pooled normalised values'!$B$83:$W$83</c15:f>
                <c15:dlblRangeCache>
                  <c:ptCount val="22"/>
                  <c:pt idx="1">
                    <c:v>ns</c:v>
                  </c:pt>
                  <c:pt idx="2">
                    <c:v>ns</c:v>
                  </c:pt>
                  <c:pt idx="3">
                    <c:v>****</c:v>
                  </c:pt>
                  <c:pt idx="4">
                    <c:v>****</c:v>
                  </c:pt>
                  <c:pt idx="5">
                    <c:v>****</c:v>
                  </c:pt>
                  <c:pt idx="6">
                    <c:v>****</c:v>
                  </c:pt>
                  <c:pt idx="7">
                    <c:v>ns</c:v>
                  </c:pt>
                  <c:pt idx="8">
                    <c:v>ns</c:v>
                  </c:pt>
                  <c:pt idx="9">
                    <c:v>ns</c:v>
                  </c:pt>
                  <c:pt idx="10">
                    <c:v>ns</c:v>
                  </c:pt>
                  <c:pt idx="11">
                    <c:v>ns</c:v>
                  </c:pt>
                  <c:pt idx="12">
                    <c:v>#NAME?</c:v>
                  </c:pt>
                  <c:pt idx="14">
                    <c:v>****</c:v>
                  </c:pt>
                  <c:pt idx="15">
                    <c:v>***</c:v>
                  </c:pt>
                  <c:pt idx="16">
                    <c:v>****</c:v>
                  </c:pt>
                  <c:pt idx="17">
                    <c:v>ns</c:v>
                  </c:pt>
                  <c:pt idx="18">
                    <c:v>ns</c:v>
                  </c:pt>
                  <c:pt idx="19">
                    <c:v>ns</c:v>
                  </c:pt>
                  <c:pt idx="20">
                    <c:v>ns</c:v>
                  </c:pt>
                  <c:pt idx="21">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5"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5"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5"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5"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0.10665</cdr:y>
    </cdr:to>
    <cdr:sp macro="" textlink="">
      <cdr:nvSpPr>
        <cdr:cNvPr id="2" name="ZoneTexte 1"/>
        <cdr:cNvSpPr txBox="1"/>
      </cdr:nvSpPr>
      <cdr:spPr>
        <a:xfrm xmlns:a="http://schemas.openxmlformats.org/drawingml/2006/main">
          <a:off x="3954923" y="103035"/>
          <a:ext cx="1558925" cy="544893"/>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cromolyn run1</a:t>
          </a:r>
        </a:p>
        <a:p xmlns:a="http://schemas.openxmlformats.org/drawingml/2006/main">
          <a:pPr algn="ctr"/>
          <a:r>
            <a:rPr lang="fr-FR" sz="1400" b="1"/>
            <a:t>20210716</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0.42168</cdr:x>
      <cdr:y>0.0251</cdr:y>
    </cdr:from>
    <cdr:to>
      <cdr:x>0.58918</cdr:x>
      <cdr:y>0.11479</cdr:y>
    </cdr:to>
    <cdr:sp macro="" textlink="">
      <cdr:nvSpPr>
        <cdr:cNvPr id="3" name="ZoneTexte 1">
          <a:extLst xmlns:a="http://schemas.openxmlformats.org/drawingml/2006/main">
            <a:ext uri="{FF2B5EF4-FFF2-40B4-BE49-F238E27FC236}">
              <a16:creationId xmlns:a16="http://schemas.microsoft.com/office/drawing/2014/main" id="{976BE409-166E-49F5-B02D-CD0ED5C3FDF8}"/>
            </a:ext>
          </a:extLst>
        </cdr:cNvPr>
        <cdr:cNvSpPr txBox="1"/>
      </cdr:nvSpPr>
      <cdr:spPr>
        <a:xfrm xmlns:a="http://schemas.openxmlformats.org/drawingml/2006/main">
          <a:off x="3920066" y="152400"/>
          <a:ext cx="1557147" cy="544472"/>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b="1"/>
            <a:t>cromolyn run3</a:t>
          </a:r>
        </a:p>
        <a:p xmlns:a="http://schemas.openxmlformats.org/drawingml/2006/main">
          <a:pPr algn="ctr"/>
          <a:r>
            <a:rPr lang="fr-FR" sz="1400" b="1"/>
            <a:t>20210902</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0.42623</cdr:x>
      <cdr:y>0.02092</cdr:y>
    </cdr:from>
    <cdr:to>
      <cdr:x>0.59373</cdr:x>
      <cdr:y>0.11061</cdr:y>
    </cdr:to>
    <cdr:sp macro="" textlink="">
      <cdr:nvSpPr>
        <cdr:cNvPr id="3" name="ZoneTexte 1">
          <a:extLst xmlns:a="http://schemas.openxmlformats.org/drawingml/2006/main">
            <a:ext uri="{FF2B5EF4-FFF2-40B4-BE49-F238E27FC236}">
              <a16:creationId xmlns:a16="http://schemas.microsoft.com/office/drawing/2014/main" id="{976BE409-166E-49F5-B02D-CD0ED5C3FDF8}"/>
            </a:ext>
          </a:extLst>
        </cdr:cNvPr>
        <cdr:cNvSpPr txBox="1"/>
      </cdr:nvSpPr>
      <cdr:spPr>
        <a:xfrm xmlns:a="http://schemas.openxmlformats.org/drawingml/2006/main">
          <a:off x="3962400" y="127000"/>
          <a:ext cx="1557147" cy="544472"/>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b="1"/>
            <a:t>cromolyn run3</a:t>
          </a:r>
        </a:p>
        <a:p xmlns:a="http://schemas.openxmlformats.org/drawingml/2006/main">
          <a:pPr algn="ctr"/>
          <a:r>
            <a:rPr lang="fr-FR" sz="1400" b="1"/>
            <a:t>20211006</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8" dataDxfId="7" tableBorderDxfId="6">
  <autoFilter ref="A6:F5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topLeftCell="A7" zoomScale="55" zoomScaleNormal="55" workbookViewId="0">
      <selection activeCell="D21" sqref="D21"/>
    </sheetView>
  </sheetViews>
  <sheetFormatPr defaultColWidth="11" defaultRowHeight="39" customHeight="1"/>
  <cols>
    <col min="1" max="1" width="42" bestFit="1" customWidth="1"/>
    <col min="2" max="2" width="33.85546875" style="27" bestFit="1" customWidth="1"/>
    <col min="3" max="3" width="21.28515625" customWidth="1"/>
    <col min="4" max="4" width="30.42578125" customWidth="1"/>
    <col min="5" max="5" width="62.28515625" style="86" bestFit="1" customWidth="1"/>
    <col min="6" max="6" width="56.7109375" bestFit="1" customWidth="1"/>
    <col min="7" max="7" width="19.42578125" customWidth="1"/>
    <col min="8" max="8" width="15.28515625" customWidth="1"/>
    <col min="9" max="9" width="18" customWidth="1"/>
    <col min="10" max="10" width="19.42578125" bestFit="1" customWidth="1"/>
  </cols>
  <sheetData>
    <row r="1" spans="1:9" ht="39" customHeight="1" thickBot="1">
      <c r="A1" s="120"/>
      <c r="B1" s="121"/>
      <c r="C1" s="121"/>
      <c r="D1" s="121"/>
      <c r="E1" s="121"/>
      <c r="F1" s="121"/>
      <c r="G1" s="121"/>
      <c r="H1" s="121"/>
      <c r="I1" s="122"/>
    </row>
    <row r="2" spans="1:9" ht="21.75" thickBot="1">
      <c r="A2" s="105" t="s">
        <v>8</v>
      </c>
      <c r="B2" s="26" t="s">
        <v>57</v>
      </c>
      <c r="C2" s="123"/>
      <c r="D2" s="124"/>
      <c r="E2" s="26" t="s">
        <v>68</v>
      </c>
      <c r="F2" s="135"/>
      <c r="G2" s="136"/>
      <c r="H2" s="136"/>
      <c r="I2" s="137"/>
    </row>
    <row r="3" spans="1:9" ht="21.75" thickBot="1">
      <c r="A3" s="106" t="s">
        <v>9</v>
      </c>
      <c r="B3" s="26" t="s">
        <v>57</v>
      </c>
      <c r="C3" s="125"/>
      <c r="D3" s="126"/>
      <c r="E3" s="26" t="s">
        <v>69</v>
      </c>
      <c r="F3" s="132"/>
      <c r="G3" s="133"/>
      <c r="H3" s="133"/>
      <c r="I3" s="134"/>
    </row>
    <row r="4" spans="1:9" ht="21.75" thickBot="1">
      <c r="A4" s="107" t="s">
        <v>12</v>
      </c>
      <c r="B4" s="26" t="s">
        <v>57</v>
      </c>
      <c r="C4" s="127"/>
      <c r="D4" s="128"/>
      <c r="E4" s="26" t="s">
        <v>73</v>
      </c>
      <c r="F4" s="129"/>
      <c r="G4" s="130"/>
      <c r="H4" s="130"/>
      <c r="I4" s="131"/>
    </row>
    <row r="5" spans="1:9" s="1" customFormat="1" ht="65.25" customHeight="1" thickBot="1">
      <c r="A5" s="120" t="s">
        <v>18</v>
      </c>
      <c r="B5" s="121"/>
      <c r="C5" s="121"/>
      <c r="D5" s="121"/>
      <c r="E5" s="121"/>
      <c r="F5" s="121"/>
      <c r="G5" s="121"/>
      <c r="H5" s="121"/>
      <c r="I5" s="122"/>
    </row>
    <row r="6" spans="1:9" s="66" customFormat="1" ht="39" customHeight="1">
      <c r="A6" s="56" t="s">
        <v>58</v>
      </c>
      <c r="B6" s="57" t="s">
        <v>59</v>
      </c>
      <c r="C6" s="45" t="s">
        <v>10</v>
      </c>
      <c r="D6" s="45" t="s">
        <v>60</v>
      </c>
      <c r="E6" s="83" t="s">
        <v>61</v>
      </c>
      <c r="F6" s="65" t="s">
        <v>62</v>
      </c>
    </row>
    <row r="7" spans="1:9" s="92" customFormat="1" ht="39" customHeight="1">
      <c r="A7"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88" t="s">
        <v>50</v>
      </c>
      <c r="C7" s="89">
        <v>0</v>
      </c>
      <c r="D7" s="90"/>
      <c r="E7" s="91" t="s">
        <v>64</v>
      </c>
      <c r="F7" s="67"/>
    </row>
    <row r="8" spans="1:9" s="92" customFormat="1" ht="39" customHeight="1">
      <c r="A8"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88" t="s">
        <v>50</v>
      </c>
      <c r="C8" s="89" t="s">
        <v>65</v>
      </c>
      <c r="D8" s="90" t="s">
        <v>75</v>
      </c>
      <c r="E8" s="91" t="s">
        <v>52</v>
      </c>
      <c r="F8" s="67"/>
    </row>
    <row r="9" spans="1:9" s="92" customFormat="1" ht="39" customHeight="1">
      <c r="A9"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88" t="s">
        <v>50</v>
      </c>
      <c r="C9" s="89" t="s">
        <v>66</v>
      </c>
      <c r="D9" s="90" t="s">
        <v>51</v>
      </c>
      <c r="E9" s="91" t="s">
        <v>52</v>
      </c>
      <c r="F9" s="67"/>
    </row>
    <row r="10" spans="1:9" s="92" customFormat="1" ht="39" customHeight="1">
      <c r="A10"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88" t="s">
        <v>50</v>
      </c>
      <c r="C10" s="89">
        <v>76</v>
      </c>
      <c r="D10" s="90" t="s">
        <v>51</v>
      </c>
      <c r="E10" s="91" t="s">
        <v>52</v>
      </c>
      <c r="F10" s="67"/>
    </row>
    <row r="11" spans="1:9" s="92" customFormat="1" ht="39" customHeight="1">
      <c r="A11"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88" t="s">
        <v>50</v>
      </c>
      <c r="C11" s="89">
        <v>114</v>
      </c>
      <c r="D11" s="90" t="s">
        <v>51</v>
      </c>
      <c r="E11" s="91" t="s">
        <v>52</v>
      </c>
      <c r="F11" s="67"/>
    </row>
    <row r="12" spans="1:9" s="92" customFormat="1" ht="39" customHeight="1">
      <c r="A12"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88" t="s">
        <v>50</v>
      </c>
      <c r="C12" s="89" t="s">
        <v>67</v>
      </c>
      <c r="D12" s="90" t="s">
        <v>51</v>
      </c>
      <c r="E12" s="91" t="s">
        <v>52</v>
      </c>
      <c r="F12" s="67"/>
    </row>
    <row r="13" spans="1:9" s="92" customFormat="1" ht="39" customHeight="1">
      <c r="A13"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88" t="s">
        <v>50</v>
      </c>
      <c r="C13" s="89">
        <v>488</v>
      </c>
      <c r="D13" s="90" t="s">
        <v>51</v>
      </c>
      <c r="E13" s="91" t="s">
        <v>52</v>
      </c>
      <c r="F13" s="67"/>
    </row>
    <row r="14" spans="1:9" s="92" customFormat="1" ht="39" customHeight="1">
      <c r="A14"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cromolyn-1000µg/L</v>
      </c>
      <c r="B14" s="88" t="s">
        <v>63</v>
      </c>
      <c r="C14" s="89">
        <v>1000</v>
      </c>
      <c r="D14" s="90" t="s">
        <v>76</v>
      </c>
      <c r="E14" s="91" t="s">
        <v>74</v>
      </c>
      <c r="F14" s="67"/>
    </row>
    <row r="15" spans="1:9" s="68" customFormat="1" ht="39" customHeight="1">
      <c r="A15"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cromolyn-100µg/L</v>
      </c>
      <c r="B15" s="88" t="s">
        <v>63</v>
      </c>
      <c r="C15" s="62">
        <v>100</v>
      </c>
      <c r="D15" s="90" t="s">
        <v>76</v>
      </c>
      <c r="E15" s="91" t="s">
        <v>74</v>
      </c>
      <c r="F15" s="67"/>
    </row>
    <row r="16" spans="1:9" s="68" customFormat="1" ht="39" customHeight="1">
      <c r="A16"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cromolyn-10µg/L</v>
      </c>
      <c r="B16" s="88" t="s">
        <v>63</v>
      </c>
      <c r="C16" s="62">
        <v>10</v>
      </c>
      <c r="D16" s="90" t="s">
        <v>76</v>
      </c>
      <c r="E16" s="91" t="s">
        <v>74</v>
      </c>
      <c r="F16" s="67"/>
    </row>
    <row r="17" spans="1:6" s="68" customFormat="1" ht="39" customHeight="1">
      <c r="A17"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cromolyn-1µg/L</v>
      </c>
      <c r="B17" s="88" t="s">
        <v>63</v>
      </c>
      <c r="C17" s="62">
        <v>1</v>
      </c>
      <c r="D17" s="90" t="s">
        <v>76</v>
      </c>
      <c r="E17" s="91" t="s">
        <v>74</v>
      </c>
      <c r="F17" s="67"/>
    </row>
    <row r="18" spans="1:6" s="68" customFormat="1" ht="39" customHeight="1">
      <c r="A18"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cromolyn-0.1µg/L</v>
      </c>
      <c r="B18" s="88" t="s">
        <v>63</v>
      </c>
      <c r="C18" s="62">
        <v>0.1</v>
      </c>
      <c r="D18" s="90" t="s">
        <v>76</v>
      </c>
      <c r="E18" s="91" t="s">
        <v>74</v>
      </c>
      <c r="F18" s="67"/>
    </row>
    <row r="19" spans="1:6" s="68" customFormat="1" ht="39" customHeight="1">
      <c r="A19"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88" t="s">
        <v>63</v>
      </c>
      <c r="C19" s="62"/>
      <c r="D19" s="62"/>
      <c r="E19" s="24"/>
      <c r="F19" s="67"/>
    </row>
    <row r="20" spans="1:6" s="68" customFormat="1" ht="39" customHeight="1">
      <c r="A20"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0" s="88" t="s">
        <v>63</v>
      </c>
      <c r="C20" s="62"/>
      <c r="D20" s="62"/>
      <c r="E20" s="58"/>
      <c r="F20" s="67"/>
    </row>
    <row r="21" spans="1:6" s="68" customFormat="1" ht="39" customHeight="1">
      <c r="A21"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1" s="88" t="s">
        <v>63</v>
      </c>
      <c r="C21" s="62"/>
      <c r="D21" s="62"/>
      <c r="E21" s="24"/>
      <c r="F21" s="67"/>
    </row>
    <row r="22" spans="1:6" s="68" customFormat="1" ht="39" customHeight="1">
      <c r="A22"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2" s="88" t="s">
        <v>63</v>
      </c>
      <c r="C22" s="62"/>
      <c r="D22" s="62"/>
      <c r="E22" s="58"/>
      <c r="F22" s="67"/>
    </row>
    <row r="23" spans="1:6" s="68" customFormat="1" ht="39" customHeight="1">
      <c r="A23"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3" s="88" t="s">
        <v>63</v>
      </c>
      <c r="C23" s="62"/>
      <c r="D23" s="62"/>
      <c r="E23" s="24"/>
      <c r="F23" s="67"/>
    </row>
    <row r="24" spans="1:6" s="68" customFormat="1" ht="39" customHeight="1">
      <c r="A24"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4" s="88" t="s">
        <v>63</v>
      </c>
      <c r="C24" s="62"/>
      <c r="D24" s="62"/>
      <c r="E24" s="58"/>
      <c r="F24" s="67"/>
    </row>
    <row r="25" spans="1:6" s="68" customFormat="1" ht="39" customHeight="1">
      <c r="A25"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5" s="88" t="s">
        <v>63</v>
      </c>
      <c r="C25" s="62"/>
      <c r="D25" s="62"/>
      <c r="E25" s="24"/>
      <c r="F25" s="67"/>
    </row>
    <row r="26" spans="1:6" s="68" customFormat="1" ht="39" customHeight="1">
      <c r="A26"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6" s="88" t="s">
        <v>63</v>
      </c>
      <c r="C26" s="62"/>
      <c r="D26" s="62"/>
      <c r="E26" s="58"/>
      <c r="F26" s="67"/>
    </row>
    <row r="27" spans="1:6" s="68" customFormat="1" ht="39" customHeight="1">
      <c r="A27"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7" s="88" t="s">
        <v>63</v>
      </c>
      <c r="C27" s="62"/>
      <c r="D27" s="62"/>
      <c r="E27" s="24"/>
      <c r="F27" s="67"/>
    </row>
    <row r="28" spans="1:6" s="68" customFormat="1" ht="39" customHeight="1">
      <c r="A28"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8" s="88" t="s">
        <v>63</v>
      </c>
      <c r="C28" s="62"/>
      <c r="D28" s="62"/>
      <c r="E28" s="58"/>
      <c r="F28" s="67"/>
    </row>
    <row r="29" spans="1:6" s="68" customFormat="1" ht="39" customHeight="1">
      <c r="A29"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9" s="88" t="s">
        <v>63</v>
      </c>
      <c r="C29" s="62"/>
      <c r="D29" s="71"/>
      <c r="E29" s="24"/>
      <c r="F29" s="67"/>
    </row>
    <row r="30" spans="1:6" s="68" customFormat="1" ht="39" customHeight="1">
      <c r="A30"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0" s="88" t="s">
        <v>63</v>
      </c>
      <c r="C30" s="62"/>
      <c r="D30" s="71"/>
      <c r="E30" s="58"/>
      <c r="F30" s="67"/>
    </row>
    <row r="31" spans="1:6" s="68" customFormat="1" ht="39" customHeight="1">
      <c r="A31"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1" s="88" t="s">
        <v>63</v>
      </c>
      <c r="C31" s="62"/>
      <c r="D31" s="71"/>
      <c r="E31" s="24"/>
      <c r="F31" s="67"/>
    </row>
    <row r="32" spans="1:6" s="68" customFormat="1" ht="39" customHeight="1">
      <c r="A32"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2" s="88" t="s">
        <v>63</v>
      </c>
      <c r="C32" s="62"/>
      <c r="D32" s="71"/>
      <c r="E32" s="58"/>
      <c r="F32" s="67"/>
    </row>
    <row r="33" spans="1:6" s="68" customFormat="1" ht="39" customHeight="1">
      <c r="A33"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3" s="88" t="s">
        <v>63</v>
      </c>
      <c r="C33" s="62"/>
      <c r="D33" s="71"/>
      <c r="E33" s="24"/>
      <c r="F33" s="67"/>
    </row>
    <row r="34" spans="1:6" s="68" customFormat="1" ht="39" customHeight="1" thickBot="1">
      <c r="A34" s="5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4" s="88" t="s">
        <v>63</v>
      </c>
      <c r="C34" s="94"/>
      <c r="D34" s="72"/>
      <c r="E34" s="93"/>
      <c r="F34" s="67"/>
    </row>
    <row r="35" spans="1:6" s="68" customFormat="1" ht="39" customHeight="1">
      <c r="A35" s="9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35" s="59" t="s">
        <v>50</v>
      </c>
      <c r="C35" s="63">
        <v>30</v>
      </c>
      <c r="D35" s="73" t="s">
        <v>53</v>
      </c>
      <c r="E35" s="84" t="s">
        <v>11</v>
      </c>
      <c r="F35" s="96"/>
    </row>
    <row r="36" spans="1:6" s="68" customFormat="1" ht="39" customHeight="1">
      <c r="A36" s="9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36" s="60" t="s">
        <v>50</v>
      </c>
      <c r="C36" s="64">
        <v>64</v>
      </c>
      <c r="D36" s="74" t="s">
        <v>51</v>
      </c>
      <c r="E36" s="85" t="s">
        <v>54</v>
      </c>
      <c r="F36" s="98"/>
    </row>
    <row r="37" spans="1:6" s="68" customFormat="1" ht="39" customHeight="1" thickBot="1">
      <c r="A37"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37" s="100" t="s">
        <v>50</v>
      </c>
      <c r="C37" s="101">
        <v>10</v>
      </c>
      <c r="D37" s="102" t="s">
        <v>55</v>
      </c>
      <c r="E37" s="103" t="s">
        <v>56</v>
      </c>
      <c r="F37" s="104"/>
    </row>
    <row r="38" spans="1:6" s="68" customFormat="1" ht="39" customHeight="1">
      <c r="A38" s="3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cromolyn-1000µg/L + Testostérone</v>
      </c>
      <c r="B38" s="108" t="str">
        <f>B14</f>
        <v>test chemical</v>
      </c>
      <c r="C38" s="108">
        <f t="shared" ref="C38:E38" si="0">C14</f>
        <v>1000</v>
      </c>
      <c r="D38" s="108" t="str">
        <f t="shared" si="0"/>
        <v>µg/L</v>
      </c>
      <c r="E38" s="118" t="str">
        <f t="shared" si="0"/>
        <v>cromolyn</v>
      </c>
      <c r="F38" s="69" t="s">
        <v>30</v>
      </c>
    </row>
    <row r="39" spans="1:6" s="68" customFormat="1" ht="39" customHeight="1">
      <c r="A39"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cromolyn-100µg/L + Testostérone</v>
      </c>
      <c r="B39" s="110" t="str">
        <f t="shared" ref="B39:E39" si="1">B15</f>
        <v>test chemical</v>
      </c>
      <c r="C39" s="110">
        <f t="shared" si="1"/>
        <v>100</v>
      </c>
      <c r="D39" s="110" t="str">
        <f t="shared" si="1"/>
        <v>µg/L</v>
      </c>
      <c r="E39" s="64" t="str">
        <f t="shared" si="1"/>
        <v>cromolyn</v>
      </c>
      <c r="F39" s="70" t="s">
        <v>30</v>
      </c>
    </row>
    <row r="40" spans="1:6" s="68" customFormat="1" ht="39" customHeight="1">
      <c r="A40"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cromolyn-10µg/L + Testostérone</v>
      </c>
      <c r="B40" s="110" t="str">
        <f t="shared" ref="B40:E40" si="2">B16</f>
        <v>test chemical</v>
      </c>
      <c r="C40" s="110">
        <f t="shared" si="2"/>
        <v>10</v>
      </c>
      <c r="D40" s="110" t="str">
        <f t="shared" si="2"/>
        <v>µg/L</v>
      </c>
      <c r="E40" s="64" t="str">
        <f t="shared" si="2"/>
        <v>cromolyn</v>
      </c>
      <c r="F40" s="70" t="s">
        <v>30</v>
      </c>
    </row>
    <row r="41" spans="1:6" s="68" customFormat="1" ht="39" customHeight="1">
      <c r="A41"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cromolyn-1µg/L + Testostérone</v>
      </c>
      <c r="B41" s="110" t="str">
        <f t="shared" ref="B41:E41" si="3">B17</f>
        <v>test chemical</v>
      </c>
      <c r="C41" s="110">
        <f t="shared" si="3"/>
        <v>1</v>
      </c>
      <c r="D41" s="110" t="str">
        <f t="shared" si="3"/>
        <v>µg/L</v>
      </c>
      <c r="E41" s="64" t="str">
        <f t="shared" si="3"/>
        <v>cromolyn</v>
      </c>
      <c r="F41" s="70" t="s">
        <v>30</v>
      </c>
    </row>
    <row r="42" spans="1:6" s="68" customFormat="1" ht="39" customHeight="1">
      <c r="A42"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cromolyn-0.1µg/L + Testostérone</v>
      </c>
      <c r="B42" s="110" t="str">
        <f t="shared" ref="B42:E42" si="4">B18</f>
        <v>test chemical</v>
      </c>
      <c r="C42" s="110">
        <f t="shared" si="4"/>
        <v>0.1</v>
      </c>
      <c r="D42" s="110" t="str">
        <f t="shared" si="4"/>
        <v>µg/L</v>
      </c>
      <c r="E42" s="64" t="str">
        <f t="shared" si="4"/>
        <v>cromolyn</v>
      </c>
      <c r="F42" s="70" t="s">
        <v>30</v>
      </c>
    </row>
    <row r="43" spans="1:6" s="68" customFormat="1" ht="39" customHeight="1">
      <c r="A43"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3" s="110" t="str">
        <f t="shared" ref="B43:E43" si="5">B19</f>
        <v>test chemical</v>
      </c>
      <c r="C43" s="110">
        <f t="shared" si="5"/>
        <v>0</v>
      </c>
      <c r="D43" s="110">
        <f t="shared" si="5"/>
        <v>0</v>
      </c>
      <c r="E43" s="110">
        <f t="shared" si="5"/>
        <v>0</v>
      </c>
      <c r="F43" s="70" t="s">
        <v>30</v>
      </c>
    </row>
    <row r="44" spans="1:6" s="68" customFormat="1" ht="39" customHeight="1">
      <c r="A44"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4" s="110" t="str">
        <f t="shared" ref="B44:E44" si="6">B20</f>
        <v>test chemical</v>
      </c>
      <c r="C44" s="110">
        <f t="shared" si="6"/>
        <v>0</v>
      </c>
      <c r="D44" s="110">
        <f t="shared" si="6"/>
        <v>0</v>
      </c>
      <c r="E44" s="110">
        <f t="shared" si="6"/>
        <v>0</v>
      </c>
      <c r="F44" s="70" t="s">
        <v>30</v>
      </c>
    </row>
    <row r="45" spans="1:6" s="68" customFormat="1" ht="39" customHeight="1">
      <c r="A45"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5" s="110" t="str">
        <f t="shared" ref="B45:E45" si="7">B21</f>
        <v>test chemical</v>
      </c>
      <c r="C45" s="110">
        <f t="shared" si="7"/>
        <v>0</v>
      </c>
      <c r="D45" s="110">
        <f t="shared" si="7"/>
        <v>0</v>
      </c>
      <c r="E45" s="110">
        <f t="shared" si="7"/>
        <v>0</v>
      </c>
      <c r="F45" s="70" t="s">
        <v>30</v>
      </c>
    </row>
    <row r="46" spans="1:6" s="68" customFormat="1" ht="39" customHeight="1">
      <c r="A46"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6" s="110" t="str">
        <f t="shared" ref="B46:E46" si="8">B22</f>
        <v>test chemical</v>
      </c>
      <c r="C46" s="110">
        <f t="shared" si="8"/>
        <v>0</v>
      </c>
      <c r="D46" s="110">
        <f t="shared" si="8"/>
        <v>0</v>
      </c>
      <c r="E46" s="110">
        <f t="shared" si="8"/>
        <v>0</v>
      </c>
      <c r="F46" s="70" t="s">
        <v>30</v>
      </c>
    </row>
    <row r="47" spans="1:6" s="68" customFormat="1" ht="39" customHeight="1">
      <c r="A47"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7" s="110" t="str">
        <f t="shared" ref="B47:E47" si="9">B23</f>
        <v>test chemical</v>
      </c>
      <c r="C47" s="110">
        <f t="shared" si="9"/>
        <v>0</v>
      </c>
      <c r="D47" s="110">
        <f t="shared" si="9"/>
        <v>0</v>
      </c>
      <c r="E47" s="110">
        <f t="shared" si="9"/>
        <v>0</v>
      </c>
      <c r="F47" s="70" t="s">
        <v>30</v>
      </c>
    </row>
    <row r="48" spans="1:6" s="68" customFormat="1" ht="39" customHeight="1">
      <c r="A48"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8" s="110" t="str">
        <f t="shared" ref="B48:E48" si="10">B24</f>
        <v>test chemical</v>
      </c>
      <c r="C48" s="110">
        <f t="shared" si="10"/>
        <v>0</v>
      </c>
      <c r="D48" s="110">
        <f t="shared" si="10"/>
        <v>0</v>
      </c>
      <c r="E48" s="110">
        <f t="shared" si="10"/>
        <v>0</v>
      </c>
      <c r="F48" s="70" t="s">
        <v>30</v>
      </c>
    </row>
    <row r="49" spans="1:6" s="68" customFormat="1" ht="39" customHeight="1">
      <c r="A49"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9" s="110" t="str">
        <f t="shared" ref="B49:E49" si="11">B25</f>
        <v>test chemical</v>
      </c>
      <c r="C49" s="110">
        <f t="shared" si="11"/>
        <v>0</v>
      </c>
      <c r="D49" s="110">
        <f t="shared" si="11"/>
        <v>0</v>
      </c>
      <c r="E49" s="110">
        <f t="shared" si="11"/>
        <v>0</v>
      </c>
      <c r="F49" s="70" t="s">
        <v>30</v>
      </c>
    </row>
    <row r="50" spans="1:6" s="68" customFormat="1" ht="39" customHeight="1">
      <c r="A50"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0" s="110" t="str">
        <f t="shared" ref="B50:E50" si="12">B26</f>
        <v>test chemical</v>
      </c>
      <c r="C50" s="110">
        <f t="shared" si="12"/>
        <v>0</v>
      </c>
      <c r="D50" s="110">
        <f t="shared" si="12"/>
        <v>0</v>
      </c>
      <c r="E50" s="110">
        <f t="shared" si="12"/>
        <v>0</v>
      </c>
      <c r="F50" s="70" t="s">
        <v>30</v>
      </c>
    </row>
    <row r="51" spans="1:6" s="68" customFormat="1" ht="39" customHeight="1">
      <c r="A51"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1" s="110" t="str">
        <f t="shared" ref="B51:E51" si="13">B27</f>
        <v>test chemical</v>
      </c>
      <c r="C51" s="110">
        <f t="shared" si="13"/>
        <v>0</v>
      </c>
      <c r="D51" s="110">
        <f t="shared" si="13"/>
        <v>0</v>
      </c>
      <c r="E51" s="110">
        <f t="shared" si="13"/>
        <v>0</v>
      </c>
      <c r="F51" s="70" t="s">
        <v>30</v>
      </c>
    </row>
    <row r="52" spans="1:6" s="68" customFormat="1" ht="39" customHeight="1">
      <c r="A52"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2" s="110" t="str">
        <f t="shared" ref="B52:E52" si="14">B28</f>
        <v>test chemical</v>
      </c>
      <c r="C52" s="110">
        <f t="shared" si="14"/>
        <v>0</v>
      </c>
      <c r="D52" s="110">
        <f t="shared" si="14"/>
        <v>0</v>
      </c>
      <c r="E52" s="110">
        <f t="shared" si="14"/>
        <v>0</v>
      </c>
      <c r="F52" s="70" t="s">
        <v>30</v>
      </c>
    </row>
    <row r="53" spans="1:6" s="68" customFormat="1" ht="39" customHeight="1">
      <c r="A53"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3" s="110" t="str">
        <f t="shared" ref="B53:E53" si="15">B29</f>
        <v>test chemical</v>
      </c>
      <c r="C53" s="110">
        <f t="shared" si="15"/>
        <v>0</v>
      </c>
      <c r="D53" s="110">
        <f t="shared" si="15"/>
        <v>0</v>
      </c>
      <c r="E53" s="110">
        <f t="shared" si="15"/>
        <v>0</v>
      </c>
      <c r="F53" s="70" t="s">
        <v>30</v>
      </c>
    </row>
    <row r="54" spans="1:6" s="68" customFormat="1" ht="39" customHeight="1">
      <c r="A54"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4" s="110" t="str">
        <f t="shared" ref="B54:E54" si="16">B30</f>
        <v>test chemical</v>
      </c>
      <c r="C54" s="110">
        <f t="shared" si="16"/>
        <v>0</v>
      </c>
      <c r="D54" s="110">
        <f t="shared" si="16"/>
        <v>0</v>
      </c>
      <c r="E54" s="110">
        <f t="shared" si="16"/>
        <v>0</v>
      </c>
      <c r="F54" s="70" t="s">
        <v>30</v>
      </c>
    </row>
    <row r="55" spans="1:6" s="68" customFormat="1" ht="39" customHeight="1">
      <c r="A55"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5" s="110" t="str">
        <f t="shared" ref="B55:E55" si="17">B31</f>
        <v>test chemical</v>
      </c>
      <c r="C55" s="110">
        <f t="shared" si="17"/>
        <v>0</v>
      </c>
      <c r="D55" s="110">
        <f t="shared" si="17"/>
        <v>0</v>
      </c>
      <c r="E55" s="110">
        <f t="shared" si="17"/>
        <v>0</v>
      </c>
      <c r="F55" s="70" t="s">
        <v>30</v>
      </c>
    </row>
    <row r="56" spans="1:6" s="68" customFormat="1" ht="39" customHeight="1">
      <c r="A56"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6" s="110" t="str">
        <f t="shared" ref="B56:E56" si="18">B32</f>
        <v>test chemical</v>
      </c>
      <c r="C56" s="110">
        <f t="shared" si="18"/>
        <v>0</v>
      </c>
      <c r="D56" s="110">
        <f t="shared" si="18"/>
        <v>0</v>
      </c>
      <c r="E56" s="110">
        <f t="shared" si="18"/>
        <v>0</v>
      </c>
      <c r="F56" s="70" t="s">
        <v>30</v>
      </c>
    </row>
    <row r="57" spans="1:6" s="68" customFormat="1" ht="39" customHeight="1">
      <c r="A57"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7" s="109" t="str">
        <f t="shared" ref="B57:E57" si="19">B33</f>
        <v>test chemical</v>
      </c>
      <c r="C57" s="109">
        <f t="shared" si="19"/>
        <v>0</v>
      </c>
      <c r="D57" s="109">
        <f t="shared" si="19"/>
        <v>0</v>
      </c>
      <c r="E57" s="109">
        <f t="shared" si="19"/>
        <v>0</v>
      </c>
      <c r="F57" s="70" t="s">
        <v>30</v>
      </c>
    </row>
  </sheetData>
  <protectedRanges>
    <protectedRange sqref="C19:D37 A15:A51 C15:C18" name="Plage1_1"/>
  </protectedRanges>
  <mergeCells count="8">
    <mergeCell ref="A5:I5"/>
    <mergeCell ref="A1:I1"/>
    <mergeCell ref="C2:D2"/>
    <mergeCell ref="C3:D3"/>
    <mergeCell ref="C4:D4"/>
    <mergeCell ref="F4:I4"/>
    <mergeCell ref="F3:I3"/>
    <mergeCell ref="F2:I2"/>
  </mergeCells>
  <phoneticPr fontId="12"/>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N1" activePane="topRight" state="frozen"/>
      <selection pane="topRight" activeCell="O2" sqref="O1:O1048576"/>
    </sheetView>
  </sheetViews>
  <sheetFormatPr defaultColWidth="9.140625" defaultRowHeight="15"/>
  <cols>
    <col min="1" max="1" width="29.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customWidth="1"/>
    <col min="16" max="16" width="26.42578125" customWidth="1"/>
    <col min="17" max="18" width="25.85546875" bestFit="1" customWidth="1"/>
    <col min="19" max="22" width="25.85546875" style="1" customWidth="1"/>
  </cols>
  <sheetData>
    <row r="1" spans="1:22" s="1" customFormat="1" ht="27" thickBot="1">
      <c r="A1" s="138" t="s">
        <v>21</v>
      </c>
      <c r="B1" s="139"/>
      <c r="C1" s="139"/>
      <c r="D1" s="139"/>
      <c r="E1" s="139"/>
      <c r="F1" s="139"/>
      <c r="G1" s="139"/>
      <c r="H1" s="139"/>
      <c r="I1" s="139"/>
      <c r="J1" s="139"/>
      <c r="K1" s="139"/>
      <c r="L1" s="139"/>
      <c r="M1" s="139"/>
      <c r="N1" s="139"/>
      <c r="O1" s="139"/>
      <c r="P1" s="139"/>
      <c r="Q1" s="139"/>
      <c r="R1" s="139"/>
      <c r="S1" s="139"/>
      <c r="T1" s="139"/>
      <c r="U1" s="139"/>
      <c r="V1" s="139"/>
    </row>
    <row r="2" spans="1:22" ht="15.75" thickBot="1">
      <c r="A2"/>
      <c r="B2"/>
      <c r="C2"/>
      <c r="D2"/>
      <c r="E2"/>
      <c r="F2"/>
      <c r="G2"/>
      <c r="H2"/>
      <c r="I2"/>
      <c r="J2"/>
      <c r="K2"/>
      <c r="L2"/>
      <c r="M2"/>
      <c r="N2"/>
      <c r="S2"/>
      <c r="T2"/>
      <c r="U2"/>
      <c r="V2"/>
    </row>
    <row r="3" spans="1:22" ht="15.75" thickBot="1">
      <c r="A3" s="33" t="s">
        <v>8</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cromolyn-1000µg/L</v>
      </c>
      <c r="J4" s="19" t="str">
        <f>'Front page'!A15</f>
        <v>cromolyn-100µg/L</v>
      </c>
      <c r="K4" s="19" t="str">
        <f>'Front page'!A16</f>
        <v>cromolyn-10µg/L</v>
      </c>
      <c r="L4" s="19" t="str">
        <f>'Front page'!A17</f>
        <v>cromolyn-1µg/L</v>
      </c>
      <c r="M4" s="19" t="str">
        <f>'Front page'!A18</f>
        <v>cromolyn-0.1µg/L</v>
      </c>
      <c r="N4" s="19" t="str">
        <f>'Front page'!A19</f>
        <v/>
      </c>
      <c r="O4" s="20" t="str">
        <f>'Front page'!A35</f>
        <v>Testo -30µg/L</v>
      </c>
      <c r="P4" s="20" t="str">
        <f>'Front page'!A36</f>
        <v>Testo 30µg/L + EE2 -64ng/L</v>
      </c>
      <c r="Q4" s="20" t="str">
        <f>'Front page'!A37</f>
        <v>Testo 30µg/L + FAD-10mg/L</v>
      </c>
      <c r="R4" s="20" t="str">
        <f>'Front page'!A38</f>
        <v>cromolyn-1000µg/L + Testostérone</v>
      </c>
      <c r="S4" s="20" t="str">
        <f>'Front page'!A39</f>
        <v>cromolyn-100µg/L + Testostérone</v>
      </c>
      <c r="T4" s="20" t="str">
        <f>'Front page'!A40</f>
        <v>cromolyn-10µg/L + Testostérone</v>
      </c>
      <c r="U4" s="20" t="str">
        <f>'Front page'!A41</f>
        <v>cromolyn-1µg/L + Testostérone</v>
      </c>
      <c r="V4" s="20" t="str">
        <f>'Front page'!A42</f>
        <v>cromolyn-0.1µg/L + Testostérone</v>
      </c>
    </row>
    <row r="5" spans="1:22" ht="16.5">
      <c r="A5" s="142" t="s">
        <v>71</v>
      </c>
      <c r="B5" s="117">
        <v>1472951</v>
      </c>
      <c r="C5" s="113">
        <v>1388022</v>
      </c>
      <c r="D5" s="78">
        <v>4858775</v>
      </c>
      <c r="E5" s="78">
        <v>4436170</v>
      </c>
      <c r="F5" s="78">
        <v>13008274</v>
      </c>
      <c r="G5" s="78">
        <v>13687380</v>
      </c>
      <c r="H5" s="78">
        <v>25848246</v>
      </c>
      <c r="I5" s="78">
        <v>263801</v>
      </c>
      <c r="J5" s="78">
        <v>3063733</v>
      </c>
      <c r="K5" s="113">
        <v>1715757</v>
      </c>
      <c r="L5" s="113">
        <v>770624</v>
      </c>
      <c r="M5" s="113">
        <v>2323936</v>
      </c>
      <c r="N5" s="12"/>
      <c r="O5" s="78">
        <v>9882531</v>
      </c>
      <c r="P5" s="113">
        <v>5310627</v>
      </c>
      <c r="Q5" s="113">
        <v>1429386</v>
      </c>
      <c r="R5" s="78">
        <v>8388465</v>
      </c>
      <c r="S5" s="78">
        <v>9789161</v>
      </c>
      <c r="T5" s="78">
        <v>11038992</v>
      </c>
      <c r="U5" s="78">
        <v>8101694</v>
      </c>
      <c r="V5" s="78">
        <v>8186707</v>
      </c>
    </row>
    <row r="6" spans="1:22" ht="16.5">
      <c r="A6" s="143"/>
      <c r="B6" s="117">
        <v>816709</v>
      </c>
      <c r="C6" s="113">
        <v>1860448</v>
      </c>
      <c r="D6" s="78">
        <v>10209762</v>
      </c>
      <c r="E6" s="78">
        <v>6051141</v>
      </c>
      <c r="F6" s="78">
        <v>14506594</v>
      </c>
      <c r="G6" s="78">
        <v>15395263</v>
      </c>
      <c r="H6" s="78">
        <v>14482207</v>
      </c>
      <c r="I6" s="78">
        <v>2049116</v>
      </c>
      <c r="J6" s="78">
        <v>1406160</v>
      </c>
      <c r="K6" s="113">
        <v>478632</v>
      </c>
      <c r="L6" s="113">
        <v>2178481</v>
      </c>
      <c r="M6" s="113">
        <v>71928</v>
      </c>
      <c r="N6" s="12"/>
      <c r="O6" s="78">
        <v>11767221</v>
      </c>
      <c r="P6" s="113">
        <v>15784800</v>
      </c>
      <c r="Q6" s="113">
        <v>1355032</v>
      </c>
      <c r="R6" s="78">
        <v>6478294</v>
      </c>
      <c r="S6" s="78">
        <v>8855311</v>
      </c>
      <c r="T6" s="78">
        <v>8250099</v>
      </c>
      <c r="U6" s="78">
        <v>3071935</v>
      </c>
      <c r="V6" s="78">
        <v>4388278</v>
      </c>
    </row>
    <row r="7" spans="1:22" ht="16.5">
      <c r="A7" s="143"/>
      <c r="B7" s="117">
        <v>2494406</v>
      </c>
      <c r="C7" s="113">
        <v>1535502</v>
      </c>
      <c r="D7" s="78">
        <v>2602483</v>
      </c>
      <c r="E7" s="78">
        <v>8533173</v>
      </c>
      <c r="F7" s="78">
        <v>10543169</v>
      </c>
      <c r="G7" s="78">
        <v>12651346</v>
      </c>
      <c r="H7" s="78">
        <v>20363493</v>
      </c>
      <c r="I7" s="78">
        <v>2973774</v>
      </c>
      <c r="J7" s="78">
        <v>1964535</v>
      </c>
      <c r="K7" s="113">
        <v>747555</v>
      </c>
      <c r="L7" s="113">
        <v>129435</v>
      </c>
      <c r="M7" s="113">
        <v>646985</v>
      </c>
      <c r="N7" s="12"/>
      <c r="O7" s="78">
        <v>10335007</v>
      </c>
      <c r="P7" s="113">
        <v>13091888</v>
      </c>
      <c r="Q7" s="113">
        <v>1753850</v>
      </c>
      <c r="R7" s="78">
        <v>8128738</v>
      </c>
      <c r="S7" s="78">
        <v>11488938</v>
      </c>
      <c r="T7" s="78">
        <v>14646715</v>
      </c>
      <c r="U7" s="78">
        <v>13344976</v>
      </c>
      <c r="V7" s="78">
        <v>4284510</v>
      </c>
    </row>
    <row r="8" spans="1:22" ht="16.5">
      <c r="A8" s="143"/>
      <c r="B8" s="117">
        <v>635378</v>
      </c>
      <c r="C8" s="113">
        <v>1808635</v>
      </c>
      <c r="D8" s="78">
        <v>4621808</v>
      </c>
      <c r="E8" s="78">
        <v>11727785</v>
      </c>
      <c r="F8" s="78">
        <v>13070891</v>
      </c>
      <c r="G8" s="78">
        <v>17449101</v>
      </c>
      <c r="H8" s="78">
        <v>15475426</v>
      </c>
      <c r="I8" s="78">
        <v>956424</v>
      </c>
      <c r="J8" s="78">
        <v>1912883</v>
      </c>
      <c r="K8" s="113">
        <v>1700124</v>
      </c>
      <c r="L8" s="113">
        <v>1338677</v>
      </c>
      <c r="M8" s="113">
        <v>980886</v>
      </c>
      <c r="N8" s="12"/>
      <c r="O8" s="78">
        <v>8113737</v>
      </c>
      <c r="P8" s="113">
        <v>13927756</v>
      </c>
      <c r="Q8" s="113">
        <v>3248687</v>
      </c>
      <c r="R8" s="78">
        <v>3784260</v>
      </c>
      <c r="S8" s="78">
        <v>6693824</v>
      </c>
      <c r="T8" s="78">
        <v>5330012</v>
      </c>
      <c r="U8" s="78">
        <v>9234871</v>
      </c>
      <c r="V8" s="78">
        <v>2652379</v>
      </c>
    </row>
    <row r="9" spans="1:22" ht="16.5">
      <c r="A9" s="143"/>
      <c r="B9" s="117">
        <v>521122</v>
      </c>
      <c r="C9" s="113">
        <v>4047222</v>
      </c>
      <c r="D9" s="78">
        <v>2664740</v>
      </c>
      <c r="E9" s="78">
        <v>11518378</v>
      </c>
      <c r="F9" s="78">
        <v>9044171</v>
      </c>
      <c r="G9" s="78">
        <v>11789281</v>
      </c>
      <c r="H9" s="78">
        <v>23597188</v>
      </c>
      <c r="I9" s="78">
        <v>2777854</v>
      </c>
      <c r="J9" s="78">
        <v>1299288</v>
      </c>
      <c r="K9" s="113">
        <v>1410674</v>
      </c>
      <c r="L9" s="113">
        <v>1217690</v>
      </c>
      <c r="M9" s="113">
        <v>1264911</v>
      </c>
      <c r="N9" s="12"/>
      <c r="O9" s="78">
        <v>13593556</v>
      </c>
      <c r="P9" s="113">
        <v>12367835</v>
      </c>
      <c r="Q9" s="113">
        <v>1870351</v>
      </c>
      <c r="R9" s="78">
        <v>6725695</v>
      </c>
      <c r="S9" s="78">
        <v>9532420</v>
      </c>
      <c r="T9" s="78">
        <v>5981765</v>
      </c>
      <c r="U9" s="78">
        <v>15195864</v>
      </c>
      <c r="V9" s="78">
        <v>4793892</v>
      </c>
    </row>
    <row r="10" spans="1:22" ht="16.5">
      <c r="A10" s="143"/>
      <c r="B10" s="117">
        <v>2611159</v>
      </c>
      <c r="C10" s="113">
        <v>3122728</v>
      </c>
      <c r="D10" s="78">
        <v>3396651</v>
      </c>
      <c r="E10" s="78">
        <v>6488634</v>
      </c>
      <c r="F10" s="78">
        <v>16440973</v>
      </c>
      <c r="G10" s="78">
        <v>14180835</v>
      </c>
      <c r="H10" s="78">
        <v>25330504</v>
      </c>
      <c r="I10" s="78">
        <v>3151900</v>
      </c>
      <c r="J10" s="78">
        <v>1985482</v>
      </c>
      <c r="K10" s="113">
        <v>541381</v>
      </c>
      <c r="L10" s="113">
        <v>766019</v>
      </c>
      <c r="M10" s="113">
        <v>993744</v>
      </c>
      <c r="N10" s="12"/>
      <c r="O10" s="78">
        <v>12028431</v>
      </c>
      <c r="P10" s="113">
        <v>5318398</v>
      </c>
      <c r="Q10" s="113">
        <v>896448</v>
      </c>
      <c r="R10" s="78">
        <v>3410556</v>
      </c>
      <c r="S10" s="78">
        <v>9717020</v>
      </c>
      <c r="T10" s="78">
        <v>10166578</v>
      </c>
      <c r="U10" s="78">
        <v>5111789</v>
      </c>
      <c r="V10" s="78">
        <v>9070451</v>
      </c>
    </row>
    <row r="11" spans="1:22" ht="16.5">
      <c r="A11" s="143"/>
      <c r="B11" s="117">
        <v>1331685</v>
      </c>
      <c r="C11" s="113">
        <v>3902300</v>
      </c>
      <c r="D11" s="78">
        <v>4651025</v>
      </c>
      <c r="E11" s="78">
        <v>5520110</v>
      </c>
      <c r="F11" s="78">
        <v>18707279</v>
      </c>
      <c r="G11" s="78">
        <v>19302462</v>
      </c>
      <c r="H11" s="78">
        <v>16854473</v>
      </c>
      <c r="I11" s="78">
        <v>3174325</v>
      </c>
      <c r="J11" s="78">
        <v>2730568</v>
      </c>
      <c r="K11" s="113">
        <v>1946526</v>
      </c>
      <c r="L11" s="113">
        <v>94102</v>
      </c>
      <c r="M11" s="113">
        <v>943677</v>
      </c>
      <c r="N11" s="12"/>
      <c r="O11" s="78">
        <v>12960409</v>
      </c>
      <c r="P11" s="113">
        <v>8162033</v>
      </c>
      <c r="Q11" s="113">
        <v>2027422</v>
      </c>
      <c r="R11" s="78">
        <v>5867921</v>
      </c>
      <c r="S11" s="78">
        <v>10465040</v>
      </c>
      <c r="T11" s="78">
        <v>8707660</v>
      </c>
      <c r="U11" s="78">
        <v>7421127</v>
      </c>
      <c r="V11" s="78">
        <v>3830317</v>
      </c>
    </row>
    <row r="12" spans="1:22" ht="16.5">
      <c r="A12" s="143"/>
      <c r="B12" s="117">
        <v>594499</v>
      </c>
      <c r="C12" s="113">
        <v>787293</v>
      </c>
      <c r="D12" s="78">
        <v>4359022</v>
      </c>
      <c r="E12" s="78">
        <v>11707985</v>
      </c>
      <c r="F12" s="78">
        <v>14195145</v>
      </c>
      <c r="G12" s="78">
        <v>13589395</v>
      </c>
      <c r="H12" s="78">
        <v>22142441</v>
      </c>
      <c r="I12" s="78">
        <v>1117848</v>
      </c>
      <c r="J12" s="78">
        <v>3171984</v>
      </c>
      <c r="K12" s="113">
        <v>1027331</v>
      </c>
      <c r="L12" s="113">
        <v>1849825</v>
      </c>
      <c r="M12" s="113">
        <v>2621307</v>
      </c>
      <c r="N12" s="12"/>
      <c r="O12" s="78">
        <v>5765967</v>
      </c>
      <c r="P12" s="113">
        <v>17579851</v>
      </c>
      <c r="Q12" s="113">
        <v>1792254</v>
      </c>
      <c r="R12" s="78">
        <v>5892414</v>
      </c>
      <c r="S12" s="78">
        <v>4489624</v>
      </c>
      <c r="T12" s="78">
        <v>3399314</v>
      </c>
      <c r="U12" s="78">
        <v>4016724</v>
      </c>
      <c r="V12" s="78">
        <v>8641969</v>
      </c>
    </row>
    <row r="13" spans="1:22" ht="16.5">
      <c r="A13" s="143"/>
      <c r="B13" s="13"/>
      <c r="C13" s="12"/>
      <c r="D13" s="15"/>
      <c r="E13" s="15"/>
      <c r="F13" s="15"/>
      <c r="G13" s="15"/>
      <c r="H13" s="15"/>
      <c r="I13" s="16"/>
      <c r="J13" s="15"/>
      <c r="K13" s="12"/>
      <c r="L13" s="12"/>
      <c r="M13" s="12"/>
      <c r="N13" s="12"/>
      <c r="O13" s="16">
        <v>5463680</v>
      </c>
      <c r="P13" s="12"/>
      <c r="Q13" s="12"/>
      <c r="R13" s="4"/>
      <c r="S13" s="16"/>
      <c r="T13" s="16"/>
      <c r="U13" s="16"/>
      <c r="V13" s="16"/>
    </row>
    <row r="14" spans="1:22" ht="16.5">
      <c r="A14" s="143"/>
      <c r="B14" s="13"/>
      <c r="C14" s="15"/>
      <c r="D14" s="15"/>
      <c r="E14" s="15"/>
      <c r="F14" s="15"/>
      <c r="G14" s="15"/>
      <c r="H14" s="15"/>
      <c r="I14" s="16"/>
      <c r="J14" s="15"/>
      <c r="K14" s="12"/>
      <c r="L14" s="12"/>
      <c r="M14" s="12"/>
      <c r="N14" s="12"/>
      <c r="O14" s="16">
        <v>6446106</v>
      </c>
      <c r="P14" s="12"/>
      <c r="Q14" s="12"/>
      <c r="R14" s="4"/>
      <c r="S14" s="16"/>
      <c r="T14" s="16"/>
      <c r="U14" s="16"/>
      <c r="V14" s="16"/>
    </row>
    <row r="15" spans="1:22" ht="16.5">
      <c r="A15" s="143"/>
      <c r="B15" s="13"/>
      <c r="C15" s="15"/>
      <c r="D15" s="15"/>
      <c r="E15" s="15"/>
      <c r="F15" s="15"/>
      <c r="G15" s="15"/>
      <c r="H15" s="15"/>
      <c r="I15" s="16"/>
      <c r="J15" s="15"/>
      <c r="K15" s="12"/>
      <c r="L15" s="12"/>
      <c r="M15" s="12"/>
      <c r="N15" s="12"/>
      <c r="O15" s="16">
        <v>3625788</v>
      </c>
      <c r="P15" s="12"/>
      <c r="Q15" s="12"/>
      <c r="R15" s="4"/>
      <c r="S15" s="16"/>
      <c r="T15" s="16"/>
      <c r="U15" s="16"/>
      <c r="V15" s="16"/>
    </row>
    <row r="16" spans="1:22" ht="16.5">
      <c r="A16" s="143"/>
      <c r="B16" s="13"/>
      <c r="C16" s="15"/>
      <c r="D16" s="15"/>
      <c r="E16" s="15"/>
      <c r="F16" s="15"/>
      <c r="G16" s="15"/>
      <c r="H16" s="15"/>
      <c r="I16" s="16"/>
      <c r="J16" s="15"/>
      <c r="K16" s="12"/>
      <c r="L16" s="12"/>
      <c r="M16" s="12"/>
      <c r="N16" s="12"/>
      <c r="O16" s="16">
        <v>10815847</v>
      </c>
      <c r="P16" s="12"/>
      <c r="Q16" s="12"/>
      <c r="R16" s="4"/>
      <c r="S16" s="16"/>
      <c r="T16" s="16"/>
      <c r="U16" s="16"/>
      <c r="V16" s="16"/>
    </row>
    <row r="17" spans="1:22" s="1" customFormat="1" ht="16.5">
      <c r="A17" s="143"/>
      <c r="B17" s="13"/>
      <c r="C17" s="16"/>
      <c r="D17" s="16"/>
      <c r="E17" s="16"/>
      <c r="F17" s="16"/>
      <c r="G17" s="16"/>
      <c r="H17" s="16"/>
      <c r="I17" s="16"/>
      <c r="J17" s="16"/>
      <c r="K17" s="12"/>
      <c r="L17" s="12"/>
      <c r="M17" s="12"/>
      <c r="N17" s="12"/>
      <c r="O17" s="16">
        <v>1120330</v>
      </c>
      <c r="P17" s="12"/>
      <c r="Q17" s="12"/>
      <c r="R17" s="16"/>
      <c r="S17" s="16"/>
      <c r="T17" s="16"/>
      <c r="U17" s="16"/>
      <c r="V17" s="16"/>
    </row>
    <row r="18" spans="1:22" s="1" customFormat="1" ht="16.5">
      <c r="A18" s="143"/>
      <c r="B18" s="13"/>
      <c r="C18" s="16"/>
      <c r="D18" s="16"/>
      <c r="E18" s="16"/>
      <c r="F18" s="16"/>
      <c r="G18" s="16"/>
      <c r="H18" s="16"/>
      <c r="I18" s="16"/>
      <c r="J18" s="16"/>
      <c r="K18" s="12"/>
      <c r="L18" s="12"/>
      <c r="M18" s="12"/>
      <c r="N18" s="12"/>
      <c r="O18" s="16">
        <v>4914149</v>
      </c>
      <c r="P18" s="12"/>
      <c r="Q18" s="12"/>
      <c r="R18" s="16"/>
      <c r="S18" s="16"/>
      <c r="T18" s="16"/>
      <c r="U18" s="16"/>
      <c r="V18" s="16"/>
    </row>
    <row r="19" spans="1:22" s="1" customFormat="1" ht="16.5">
      <c r="A19" s="143"/>
      <c r="B19" s="13"/>
      <c r="C19" s="16"/>
      <c r="D19" s="16"/>
      <c r="E19" s="16"/>
      <c r="F19" s="16"/>
      <c r="G19" s="16"/>
      <c r="H19" s="16"/>
      <c r="I19" s="16"/>
      <c r="J19" s="16"/>
      <c r="K19" s="12"/>
      <c r="L19" s="12"/>
      <c r="M19" s="12"/>
      <c r="N19" s="12"/>
      <c r="O19" s="16">
        <v>6059745</v>
      </c>
      <c r="P19" s="12"/>
      <c r="Q19" s="12"/>
      <c r="R19" s="16"/>
      <c r="S19" s="16"/>
      <c r="T19" s="16"/>
      <c r="U19" s="16"/>
      <c r="V19" s="16"/>
    </row>
    <row r="20" spans="1:22" ht="16.5">
      <c r="A20" s="143"/>
      <c r="B20" s="13"/>
      <c r="C20" s="15"/>
      <c r="D20" s="15"/>
      <c r="E20" s="15"/>
      <c r="F20" s="15"/>
      <c r="G20" s="15"/>
      <c r="H20" s="15"/>
      <c r="I20" s="16"/>
      <c r="J20" s="15"/>
      <c r="K20" s="12"/>
      <c r="L20" s="12"/>
      <c r="M20" s="12"/>
      <c r="N20" s="12"/>
      <c r="O20" s="16">
        <v>4674599</v>
      </c>
      <c r="P20" s="12"/>
      <c r="Q20" s="12"/>
      <c r="R20" s="4"/>
      <c r="S20" s="16"/>
      <c r="T20" s="16"/>
      <c r="U20" s="16"/>
      <c r="V20" s="16"/>
    </row>
    <row r="21" spans="1:22" s="1" customFormat="1" ht="16.5">
      <c r="A21" s="47"/>
      <c r="B21" s="48"/>
      <c r="C21" s="6"/>
      <c r="D21" s="6"/>
      <c r="E21" s="6"/>
      <c r="F21" s="6"/>
      <c r="G21" s="6"/>
      <c r="H21" s="6"/>
      <c r="I21" s="6"/>
      <c r="J21" s="6"/>
      <c r="K21" s="17"/>
      <c r="L21" s="17"/>
      <c r="M21" s="17"/>
      <c r="N21" s="17"/>
      <c r="O21" s="6"/>
      <c r="P21" s="17"/>
      <c r="Q21" s="17"/>
      <c r="R21" s="6"/>
      <c r="S21" s="6"/>
      <c r="T21" s="6"/>
      <c r="U21" s="6"/>
      <c r="V21" s="6"/>
    </row>
    <row r="22" spans="1:22" s="50" customFormat="1">
      <c r="A22" s="49" t="str">
        <f t="shared" ref="A22:N22" si="0">A4</f>
        <v>Noms des groupes</v>
      </c>
      <c r="B22" s="49" t="str">
        <f t="shared" si="0"/>
        <v>Solvent control</v>
      </c>
      <c r="C22" s="49" t="str">
        <f t="shared" si="0"/>
        <v>EE2-33.8ng/L</v>
      </c>
      <c r="D22" s="49" t="str">
        <f t="shared" si="0"/>
        <v>EE2-50.6ng/L</v>
      </c>
      <c r="E22" s="49" t="str">
        <f t="shared" si="0"/>
        <v>EE2-76ng/L</v>
      </c>
      <c r="F22" s="49" t="str">
        <f t="shared" si="0"/>
        <v>EE2-114ng/L</v>
      </c>
      <c r="G22" s="49" t="str">
        <f t="shared" si="0"/>
        <v>EE2-170.9ng/L</v>
      </c>
      <c r="H22" s="49" t="str">
        <f t="shared" si="0"/>
        <v>EE2-488ng/L</v>
      </c>
      <c r="I22" s="49" t="str">
        <f t="shared" si="0"/>
        <v>cromolyn-1000µg/L</v>
      </c>
      <c r="J22" s="49" t="str">
        <f t="shared" si="0"/>
        <v>cromolyn-100µg/L</v>
      </c>
      <c r="K22" s="49" t="str">
        <f t="shared" si="0"/>
        <v>cromolyn-10µg/L</v>
      </c>
      <c r="L22" s="49" t="str">
        <f t="shared" si="0"/>
        <v>cromolyn-1µg/L</v>
      </c>
      <c r="M22" s="49" t="str">
        <f t="shared" si="0"/>
        <v>cromolyn-0.1µg/L</v>
      </c>
      <c r="N22" s="49" t="str">
        <f t="shared" si="0"/>
        <v/>
      </c>
      <c r="O22" s="49" t="str">
        <f t="shared" ref="O22:V22" si="1">O4</f>
        <v>Testo -30µg/L</v>
      </c>
      <c r="P22" s="49" t="str">
        <f t="shared" si="1"/>
        <v>Testo 30µg/L + EE2 -64ng/L</v>
      </c>
      <c r="Q22" s="49" t="str">
        <f t="shared" si="1"/>
        <v>Testo 30µg/L + FAD-10mg/L</v>
      </c>
      <c r="R22" s="49" t="str">
        <f t="shared" si="1"/>
        <v>cromolyn-1000µg/L + Testostérone</v>
      </c>
      <c r="S22" s="49" t="str">
        <f t="shared" si="1"/>
        <v>cromolyn-100µg/L + Testostérone</v>
      </c>
      <c r="T22" s="49" t="str">
        <f t="shared" si="1"/>
        <v>cromolyn-10µg/L + Testostérone</v>
      </c>
      <c r="U22" s="49" t="str">
        <f t="shared" si="1"/>
        <v>cromolyn-1µg/L + Testostérone</v>
      </c>
      <c r="V22" s="49" t="str">
        <f t="shared" si="1"/>
        <v>cromolyn-0.1µg/L + Testostérone</v>
      </c>
    </row>
    <row r="23" spans="1:22">
      <c r="A23" s="5" t="s">
        <v>0</v>
      </c>
      <c r="B23" s="5">
        <f t="shared" ref="B23:N23" si="2">AVERAGE(B5:B20)</f>
        <v>1309738.625</v>
      </c>
      <c r="C23" s="5">
        <f t="shared" si="2"/>
        <v>2306518.75</v>
      </c>
      <c r="D23" s="5">
        <f t="shared" si="2"/>
        <v>4670533.25</v>
      </c>
      <c r="E23" s="5">
        <f t="shared" si="2"/>
        <v>8247922</v>
      </c>
      <c r="F23" s="5">
        <f t="shared" si="2"/>
        <v>13689562</v>
      </c>
      <c r="G23" s="5">
        <f t="shared" si="2"/>
        <v>14755632.875</v>
      </c>
      <c r="H23" s="5">
        <f t="shared" si="2"/>
        <v>20511747.25</v>
      </c>
      <c r="I23" s="5">
        <f>AVERAGE(I5:I20)</f>
        <v>2058130.25</v>
      </c>
      <c r="J23" s="5">
        <f t="shared" si="2"/>
        <v>2191829.125</v>
      </c>
      <c r="K23" s="5">
        <f t="shared" si="2"/>
        <v>1195997.5</v>
      </c>
      <c r="L23" s="5">
        <f t="shared" si="2"/>
        <v>1043106.625</v>
      </c>
      <c r="M23" s="5">
        <f t="shared" si="2"/>
        <v>1230921.75</v>
      </c>
      <c r="N23" s="5" t="e">
        <f t="shared" si="2"/>
        <v>#DIV/0!</v>
      </c>
      <c r="O23" s="5">
        <f t="shared" ref="O23:V23" si="3">AVERAGE(O5:O20)</f>
        <v>7972943.9375</v>
      </c>
      <c r="P23" s="5">
        <f t="shared" si="3"/>
        <v>11442898.5</v>
      </c>
      <c r="Q23" s="5">
        <f t="shared" si="3"/>
        <v>1796678.75</v>
      </c>
      <c r="R23" s="5">
        <f t="shared" si="3"/>
        <v>6084542.875</v>
      </c>
      <c r="S23" s="5">
        <f t="shared" si="3"/>
        <v>8878917.25</v>
      </c>
      <c r="T23" s="5">
        <f t="shared" si="3"/>
        <v>8440141.875</v>
      </c>
      <c r="U23" s="5">
        <f t="shared" si="3"/>
        <v>8187372.5</v>
      </c>
      <c r="V23" s="5">
        <f t="shared" si="3"/>
        <v>5731062.875</v>
      </c>
    </row>
    <row r="24" spans="1:22">
      <c r="A24" s="3" t="s">
        <v>1</v>
      </c>
      <c r="B24" s="3">
        <f t="shared" ref="B24:N24" si="4">STDEV(B5:B20)</f>
        <v>841391.37068632385</v>
      </c>
      <c r="C24" s="3">
        <f t="shared" si="4"/>
        <v>1220993.7681320724</v>
      </c>
      <c r="D24" s="3">
        <f t="shared" si="4"/>
        <v>2412500.1396620981</v>
      </c>
      <c r="E24" s="3">
        <f t="shared" si="4"/>
        <v>3041383.2776134708</v>
      </c>
      <c r="F24" s="3">
        <f t="shared" si="4"/>
        <v>3070534.0494177882</v>
      </c>
      <c r="G24" s="3">
        <f t="shared" si="4"/>
        <v>2518403.3096642517</v>
      </c>
      <c r="H24" s="3">
        <f t="shared" si="4"/>
        <v>4456059.5000259317</v>
      </c>
      <c r="I24" s="3">
        <f>STDEV(I5:I20)</f>
        <v>1141190.7831129413</v>
      </c>
      <c r="J24" s="3">
        <f t="shared" si="4"/>
        <v>716850.03924559476</v>
      </c>
      <c r="K24" s="3">
        <f t="shared" si="4"/>
        <v>574003.18335329322</v>
      </c>
      <c r="L24" s="3">
        <f t="shared" si="4"/>
        <v>750632.17726601951</v>
      </c>
      <c r="M24" s="3">
        <f t="shared" si="4"/>
        <v>846381.8718987226</v>
      </c>
      <c r="N24" s="3" t="e">
        <f t="shared" si="4"/>
        <v>#DIV/0!</v>
      </c>
      <c r="O24" s="3">
        <f t="shared" ref="O24:V24" si="5">STDEV(O5:O20)</f>
        <v>3722790.099803417</v>
      </c>
      <c r="P24" s="3">
        <f t="shared" si="5"/>
        <v>4662032.4180969764</v>
      </c>
      <c r="Q24" s="3">
        <f t="shared" si="5"/>
        <v>687565.3844629199</v>
      </c>
      <c r="R24" s="3">
        <f t="shared" si="5"/>
        <v>1795957.8628924645</v>
      </c>
      <c r="S24" s="3">
        <f t="shared" si="5"/>
        <v>2246492.6454509832</v>
      </c>
      <c r="T24" s="3">
        <f t="shared" si="5"/>
        <v>3575518.068909952</v>
      </c>
      <c r="U24" s="3">
        <f t="shared" si="5"/>
        <v>4316625.2797485543</v>
      </c>
      <c r="V24" s="3">
        <f t="shared" si="5"/>
        <v>2493422.2196973404</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s="1" customFormat="1">
      <c r="A27" s="18" t="s">
        <v>22</v>
      </c>
      <c r="B27" s="19" t="str">
        <f t="shared" ref="B27:N27" si="6">B4</f>
        <v>Solvent control</v>
      </c>
      <c r="C27" s="19" t="str">
        <f t="shared" si="6"/>
        <v>EE2-33.8ng/L</v>
      </c>
      <c r="D27" s="19" t="str">
        <f t="shared" si="6"/>
        <v>EE2-50.6ng/L</v>
      </c>
      <c r="E27" s="19" t="str">
        <f t="shared" si="6"/>
        <v>EE2-76ng/L</v>
      </c>
      <c r="F27" s="19" t="str">
        <f t="shared" si="6"/>
        <v>EE2-114ng/L</v>
      </c>
      <c r="G27" s="19" t="str">
        <f t="shared" si="6"/>
        <v>EE2-170.9ng/L</v>
      </c>
      <c r="H27" s="19" t="str">
        <f t="shared" si="6"/>
        <v>EE2-488ng/L</v>
      </c>
      <c r="I27" s="19" t="str">
        <f t="shared" si="6"/>
        <v>cromolyn-1000µg/L</v>
      </c>
      <c r="J27" s="19" t="str">
        <f t="shared" si="6"/>
        <v>cromolyn-100µg/L</v>
      </c>
      <c r="K27" s="19" t="str">
        <f t="shared" si="6"/>
        <v>cromolyn-10µg/L</v>
      </c>
      <c r="L27" s="19" t="str">
        <f t="shared" si="6"/>
        <v>cromolyn-1µg/L</v>
      </c>
      <c r="M27" s="19" t="str">
        <f t="shared" si="6"/>
        <v>cromolyn-0.1µg/L</v>
      </c>
      <c r="N27" s="19" t="str">
        <f t="shared" si="6"/>
        <v/>
      </c>
      <c r="O27" s="20" t="str">
        <f t="shared" ref="O27:V27" si="7">O4</f>
        <v>Testo -30µg/L</v>
      </c>
      <c r="P27" s="20" t="str">
        <f t="shared" si="7"/>
        <v>Testo 30µg/L + EE2 -64ng/L</v>
      </c>
      <c r="Q27" s="20" t="str">
        <f t="shared" si="7"/>
        <v>Testo 30µg/L + FAD-10mg/L</v>
      </c>
      <c r="R27" s="20" t="str">
        <f t="shared" si="7"/>
        <v>cromolyn-1000µg/L + Testostérone</v>
      </c>
      <c r="S27" s="20" t="str">
        <f t="shared" si="7"/>
        <v>cromolyn-100µg/L + Testostérone</v>
      </c>
      <c r="T27" s="20" t="str">
        <f t="shared" si="7"/>
        <v>cromolyn-10µg/L + Testostérone</v>
      </c>
      <c r="U27" s="20" t="str">
        <f t="shared" si="7"/>
        <v>cromolyn-1µg/L + Testostérone</v>
      </c>
      <c r="V27" s="20" t="str">
        <f t="shared" si="7"/>
        <v>cromolyn-0.1µg/L + Testostérone</v>
      </c>
    </row>
    <row r="28" spans="1:22">
      <c r="A28" s="144" t="s">
        <v>72</v>
      </c>
      <c r="B28" s="75">
        <f>IF(B5="","",(B5/$O$23))</f>
        <v>0.18474367956760765</v>
      </c>
      <c r="C28" s="75">
        <f>IF(C5="","",(C5/$O$23))</f>
        <v>0.17409152891086663</v>
      </c>
      <c r="D28" s="75">
        <f>IF(D5="","",(D5/$O$23))</f>
        <v>0.6094078972695649</v>
      </c>
      <c r="E28" s="75">
        <f>IF(E5="","",(E5/$O$23))</f>
        <v>0.55640300932443376</v>
      </c>
      <c r="F28" s="75">
        <f>IF(F5="","",(F5/$O$23))</f>
        <v>1.6315521721928576</v>
      </c>
      <c r="G28" s="75">
        <f>IF(G5="","",(G5/$O$23))</f>
        <v>1.7167284891622883</v>
      </c>
      <c r="H28" s="75">
        <f>IF(H5="","",(H5/$O$23))</f>
        <v>3.2419952031049886</v>
      </c>
      <c r="I28" s="10">
        <f>IF(I5="","",(I5/$O$23))</f>
        <v>3.3087025579000569E-2</v>
      </c>
      <c r="J28" s="10">
        <f>IF(J5="","",(J5/$O$23))</f>
        <v>0.38426621634576119</v>
      </c>
      <c r="K28" s="10">
        <f>IF(K5="","",(K5/$O$23))</f>
        <v>0.21519742437045075</v>
      </c>
      <c r="L28" s="10">
        <f>IF(L5="","",(L5/$O$23))</f>
        <v>9.6654887584928531E-2</v>
      </c>
      <c r="M28" s="10">
        <f>IF(M5="","",(M5/$O$23))</f>
        <v>0.29147778012956838</v>
      </c>
      <c r="N28" s="10" t="str">
        <f>IF(N5="","",(N5/$O$23))</f>
        <v/>
      </c>
      <c r="O28" s="75">
        <f t="shared" ref="O28:V28" si="8">IF(O5="","",(O5/$O$23))</f>
        <v>1.2395084020995601</v>
      </c>
      <c r="P28" s="75">
        <f t="shared" si="8"/>
        <v>0.66608106637022246</v>
      </c>
      <c r="Q28" s="75">
        <f t="shared" si="8"/>
        <v>0.1792795749230113</v>
      </c>
      <c r="R28" s="75">
        <f t="shared" si="8"/>
        <v>1.0521163908535258</v>
      </c>
      <c r="S28" s="75">
        <f t="shared" si="8"/>
        <v>1.2277975458923764</v>
      </c>
      <c r="T28" s="75">
        <f t="shared" si="8"/>
        <v>1.3845565811743801</v>
      </c>
      <c r="U28" s="75">
        <f t="shared" si="8"/>
        <v>1.0161483717318562</v>
      </c>
      <c r="V28" s="75">
        <f t="shared" si="8"/>
        <v>1.0268110580201857</v>
      </c>
    </row>
    <row r="29" spans="1:22">
      <c r="A29" s="145"/>
      <c r="B29" s="75">
        <f>IF(B6="","",(B6/$O$23))</f>
        <v>0.10243506117717512</v>
      </c>
      <c r="C29" s="75">
        <f>IF(C6="","",(C6/$O$23))</f>
        <v>0.23334517520555437</v>
      </c>
      <c r="D29" s="75">
        <f>IF(D6="","",(D6/$O$23))</f>
        <v>1.2805510837696141</v>
      </c>
      <c r="E29" s="75">
        <f>IF(E6="","",(E6/$O$23))</f>
        <v>0.75895943172747282</v>
      </c>
      <c r="F29" s="75">
        <f>IF(F6="","",(F6/$O$23))</f>
        <v>1.8194777379243299</v>
      </c>
      <c r="G29" s="75">
        <f>IF(G6="","",(G6/$O$23))</f>
        <v>1.9309383234955175</v>
      </c>
      <c r="H29" s="75">
        <f>IF(H6="","",(H6/$O$23))</f>
        <v>1.8164190183107003</v>
      </c>
      <c r="I29" s="10">
        <f>IF(I6="","",(I6/$O$23))</f>
        <v>0.25700870544971144</v>
      </c>
      <c r="J29" s="10">
        <f>IF(J6="","",(J6/$O$23))</f>
        <v>0.17636647278883491</v>
      </c>
      <c r="K29" s="10">
        <f>IF(K6="","",(K6/$O$23))</f>
        <v>6.003202879036925E-2</v>
      </c>
      <c r="L29" s="10">
        <f>IF(L6="","",(L6/$O$23))</f>
        <v>0.27323420521668507</v>
      </c>
      <c r="M29" s="10">
        <f>IF(M6="","",(M6/$O$23))</f>
        <v>9.0215108200740433E-3</v>
      </c>
      <c r="N29" s="10" t="str">
        <f>IF(N6="","",(N6/$O$23))</f>
        <v/>
      </c>
      <c r="O29" s="75">
        <f t="shared" ref="O29:V29" si="9">IF(O6="","",(O6/$O$23))</f>
        <v>1.4758941104118355</v>
      </c>
      <c r="P29" s="75">
        <f t="shared" si="9"/>
        <v>1.9797956844720381</v>
      </c>
      <c r="Q29" s="75">
        <f t="shared" si="9"/>
        <v>0.16995378502873112</v>
      </c>
      <c r="R29" s="75">
        <f t="shared" si="9"/>
        <v>0.81253474886860133</v>
      </c>
      <c r="S29" s="75">
        <f t="shared" si="9"/>
        <v>1.1106701701927024</v>
      </c>
      <c r="T29" s="75">
        <f t="shared" si="9"/>
        <v>1.0347619479921872</v>
      </c>
      <c r="U29" s="75">
        <f t="shared" si="9"/>
        <v>0.38529494551585136</v>
      </c>
      <c r="V29" s="75">
        <f t="shared" si="9"/>
        <v>0.55039619422885222</v>
      </c>
    </row>
    <row r="30" spans="1:22">
      <c r="A30" s="145"/>
      <c r="B30" s="75">
        <f>IF(B7="","",(B7/$O$23))</f>
        <v>0.31285884104462258</v>
      </c>
      <c r="C30" s="75">
        <f>IF(C7="","",(C7/$O$23))</f>
        <v>0.19258908779954029</v>
      </c>
      <c r="D30" s="75">
        <f>IF(D7="","",(D7/$O$23))</f>
        <v>0.32641431074906513</v>
      </c>
      <c r="E30" s="75">
        <f>IF(E7="","",(E7/$O$23))</f>
        <v>1.0702662738997843</v>
      </c>
      <c r="F30" s="75">
        <f>IF(F7="","",(F7/$O$23))</f>
        <v>1.3223683852097825</v>
      </c>
      <c r="G30" s="75">
        <f>IF(G7="","",(G7/$O$23))</f>
        <v>1.5867847684837681</v>
      </c>
      <c r="H30" s="75">
        <f>IF(H7="","",(H7/$O$23))</f>
        <v>2.5540745249972479</v>
      </c>
      <c r="I30" s="10">
        <f>IF(I7="","",(I7/$O$23))</f>
        <v>0.3729831820355754</v>
      </c>
      <c r="J30" s="10">
        <f>IF(J7="","",(J7/$O$23))</f>
        <v>0.24640020240955068</v>
      </c>
      <c r="K30" s="10">
        <f>IF(K7="","",(K7/$O$23))</f>
        <v>9.3761477047887495E-2</v>
      </c>
      <c r="L30" s="10">
        <f>IF(L7="","",(L7/$O$23))</f>
        <v>1.6234279459963905E-2</v>
      </c>
      <c r="M30" s="10">
        <f>IF(M7="","",(M7/$O$23))</f>
        <v>8.1147566704560192E-2</v>
      </c>
      <c r="N30" s="10" t="str">
        <f>IF(N7="","",(N7/$O$23))</f>
        <v/>
      </c>
      <c r="O30" s="75">
        <f t="shared" ref="O30:V30" si="10">IF(O7="","",(O7/$O$23))</f>
        <v>1.2962598358920168</v>
      </c>
      <c r="P30" s="75">
        <f t="shared" si="10"/>
        <v>1.6420393900455668</v>
      </c>
      <c r="Q30" s="75">
        <f t="shared" si="10"/>
        <v>0.21997520787157798</v>
      </c>
      <c r="R30" s="75">
        <f t="shared" si="10"/>
        <v>1.01954034340656</v>
      </c>
      <c r="S30" s="75">
        <f t="shared" si="10"/>
        <v>1.4409906917773307</v>
      </c>
      <c r="T30" s="75">
        <f t="shared" si="10"/>
        <v>1.8370523002313535</v>
      </c>
      <c r="U30" s="75">
        <f t="shared" si="10"/>
        <v>1.6737827463244972</v>
      </c>
      <c r="V30" s="75">
        <f t="shared" si="10"/>
        <v>0.53738117734005453</v>
      </c>
    </row>
    <row r="31" spans="1:22">
      <c r="A31" s="145"/>
      <c r="B31" s="75">
        <f>IF(B8="","",(B8/$O$23))</f>
        <v>7.9691768182585443E-2</v>
      </c>
      <c r="C31" s="75">
        <f>IF(C8="","",(C8/$O$23))</f>
        <v>0.22684657187833135</v>
      </c>
      <c r="D31" s="75">
        <f>IF(D8="","",(D8/$O$23))</f>
        <v>0.57968650428629709</v>
      </c>
      <c r="E31" s="75">
        <f>IF(E8="","",(E8/$O$23))</f>
        <v>1.4709478822294804</v>
      </c>
      <c r="F31" s="75">
        <f>IF(F8="","",(F8/$O$23))</f>
        <v>1.6394058584210383</v>
      </c>
      <c r="G31" s="75">
        <f>IF(G8="","",(G8/$O$23))</f>
        <v>2.1885392819495162</v>
      </c>
      <c r="H31" s="75">
        <f>IF(H8="","",(H8/$O$23))</f>
        <v>1.9409927024838056</v>
      </c>
      <c r="I31" s="10">
        <f>IF(I8="","",(I8/$O$23))</f>
        <v>0.1199587012648551</v>
      </c>
      <c r="J31" s="10">
        <f>IF(J8="","",(J8/$O$23))</f>
        <v>0.23992179237620534</v>
      </c>
      <c r="K31" s="10">
        <f>IF(K8="","",(K8/$O$23))</f>
        <v>0.21323666807734906</v>
      </c>
      <c r="L31" s="10">
        <f>IF(L8="","",(L8/$O$23))</f>
        <v>0.16790247247364393</v>
      </c>
      <c r="M31" s="10">
        <f>IF(M8="","",(M8/$O$23))</f>
        <v>0.12302682769240279</v>
      </c>
      <c r="N31" s="10" t="str">
        <f>IF(N8="","",(N8/$O$23))</f>
        <v/>
      </c>
      <c r="O31" s="75">
        <f t="shared" ref="O31:V31" si="11">IF(O8="","",(O8/$O$23))</f>
        <v>1.017658855198742</v>
      </c>
      <c r="P31" s="75">
        <f t="shared" si="11"/>
        <v>1.7468774531941829</v>
      </c>
      <c r="Q31" s="75">
        <f t="shared" si="11"/>
        <v>0.40746392116469088</v>
      </c>
      <c r="R31" s="75">
        <f t="shared" si="11"/>
        <v>0.47463772850591424</v>
      </c>
      <c r="S31" s="75">
        <f t="shared" si="11"/>
        <v>0.83956742358568726</v>
      </c>
      <c r="T31" s="75">
        <f t="shared" si="11"/>
        <v>0.66851241420760332</v>
      </c>
      <c r="U31" s="75">
        <f t="shared" si="11"/>
        <v>1.1582761740697365</v>
      </c>
      <c r="V31" s="75">
        <f t="shared" si="11"/>
        <v>0.33267247591253996</v>
      </c>
    </row>
    <row r="32" spans="1:22">
      <c r="A32" s="145"/>
      <c r="B32" s="75">
        <f>IF(B9="","",(B9/$O$23))</f>
        <v>6.5361302435471946E-2</v>
      </c>
      <c r="C32" s="75">
        <f>IF(C9="","",(C9/$O$23))</f>
        <v>0.50761952319321701</v>
      </c>
      <c r="D32" s="75">
        <f>IF(D9="","",(D9/$O$23))</f>
        <v>0.33422284427043858</v>
      </c>
      <c r="E32" s="75">
        <f>IF(E9="","",(E9/$O$23))</f>
        <v>1.4446831798006732</v>
      </c>
      <c r="F32" s="75">
        <f>IF(F9="","",(F9/$O$23))</f>
        <v>1.13435778188049</v>
      </c>
      <c r="G32" s="75">
        <f>IF(G9="","",(G9/$O$23))</f>
        <v>1.4786609679456308</v>
      </c>
      <c r="H32" s="75">
        <f>IF(H9="","",(H9/$O$23))</f>
        <v>2.9596580867717912</v>
      </c>
      <c r="I32" s="10">
        <f>IF(I9="","",(I9/$O$23))</f>
        <v>0.34841007559762488</v>
      </c>
      <c r="J32" s="10">
        <f>IF(J9="","",(J9/$O$23))</f>
        <v>0.16296213922801084</v>
      </c>
      <c r="K32" s="10">
        <f>IF(K9="","",(K9/$O$23))</f>
        <v>0.17693263756252267</v>
      </c>
      <c r="L32" s="10">
        <f>IF(L9="","",(L9/$O$23))</f>
        <v>0.15272777653342179</v>
      </c>
      <c r="M32" s="10">
        <f>IF(M9="","",(M9/$O$23))</f>
        <v>0.15865043200048212</v>
      </c>
      <c r="N32" s="10" t="str">
        <f>IF(N9="","",(N9/$O$23))</f>
        <v/>
      </c>
      <c r="O32" s="75">
        <f t="shared" ref="O32:V32" si="12">IF(O9="","",(O9/$O$23))</f>
        <v>1.7049606903748531</v>
      </c>
      <c r="P32" s="75">
        <f t="shared" si="12"/>
        <v>1.5512256322070745</v>
      </c>
      <c r="Q32" s="75">
        <f t="shared" si="12"/>
        <v>0.23458725091530847</v>
      </c>
      <c r="R32" s="75">
        <f t="shared" si="12"/>
        <v>0.84356481780416381</v>
      </c>
      <c r="S32" s="75">
        <f t="shared" si="12"/>
        <v>1.1955960150635387</v>
      </c>
      <c r="T32" s="75">
        <f t="shared" si="12"/>
        <v>0.75025800342898752</v>
      </c>
      <c r="U32" s="75">
        <f t="shared" si="12"/>
        <v>1.9059288663159497</v>
      </c>
      <c r="V32" s="75">
        <f t="shared" si="12"/>
        <v>0.60126999983687013</v>
      </c>
    </row>
    <row r="33" spans="1:22">
      <c r="A33" s="145"/>
      <c r="B33" s="75">
        <f>IF(B10="","",(B10/$O$23))</f>
        <v>0.32750249098311812</v>
      </c>
      <c r="C33" s="75">
        <f>IF(C10="","",(C10/$O$23))</f>
        <v>0.39166561617378737</v>
      </c>
      <c r="D33" s="75">
        <f>IF(D10="","",(D10/$O$23))</f>
        <v>0.42602218535918307</v>
      </c>
      <c r="E33" s="75">
        <f>IF(E10="","",(E10/$O$23))</f>
        <v>0.81383163494745192</v>
      </c>
      <c r="F33" s="75">
        <f>IF(F10="","",(F10/$O$23))</f>
        <v>2.0620956485936661</v>
      </c>
      <c r="G33" s="75">
        <f>IF(G10="","",(G10/$O$23))</f>
        <v>1.7786196806554431</v>
      </c>
      <c r="H33" s="75">
        <f>IF(H10="","",(H10/$O$23))</f>
        <v>3.1770578344167619</v>
      </c>
      <c r="I33" s="10">
        <f>IF(I10="","",(I10/$O$23))</f>
        <v>0.39532449051539564</v>
      </c>
      <c r="J33" s="10">
        <f>IF(J10="","",(J10/$O$23))</f>
        <v>0.24902746282480054</v>
      </c>
      <c r="K33" s="10">
        <f>IF(K10="","",(K10/$O$23))</f>
        <v>6.7902271011045845E-2</v>
      </c>
      <c r="L33" s="10">
        <f>IF(L10="","",(L10/$O$23))</f>
        <v>9.6077309210353387E-2</v>
      </c>
      <c r="M33" s="10">
        <f>IF(M10="","",(M10/$O$23))</f>
        <v>0.12463953187053248</v>
      </c>
      <c r="N33" s="10" t="str">
        <f>IF(N10="","",(N10/$O$23))</f>
        <v/>
      </c>
      <c r="O33" s="75">
        <f t="shared" ref="O33:V33" si="13">IF(O10="","",(O10/$O$23))</f>
        <v>1.5086561619260099</v>
      </c>
      <c r="P33" s="75">
        <f t="shared" si="13"/>
        <v>0.66705573771632953</v>
      </c>
      <c r="Q33" s="75">
        <f t="shared" si="13"/>
        <v>0.11243626031077934</v>
      </c>
      <c r="R33" s="75">
        <f t="shared" si="13"/>
        <v>0.42776620865961029</v>
      </c>
      <c r="S33" s="75">
        <f t="shared" si="13"/>
        <v>1.2187493197207748</v>
      </c>
      <c r="T33" s="75">
        <f t="shared" si="13"/>
        <v>1.2751347657397221</v>
      </c>
      <c r="U33" s="75">
        <f t="shared" si="13"/>
        <v>0.64114197215876256</v>
      </c>
      <c r="V33" s="75">
        <f t="shared" si="13"/>
        <v>1.1376539294774139</v>
      </c>
    </row>
    <row r="34" spans="1:22">
      <c r="A34" s="145"/>
      <c r="B34" s="75">
        <f>IF(B11="","",(B11/$O$23))</f>
        <v>0.16702550656810009</v>
      </c>
      <c r="C34" s="75">
        <f>IF(C11="","",(C11/$O$23))</f>
        <v>0.48944279937124541</v>
      </c>
      <c r="D34" s="75">
        <f>IF(D11="","",(D11/$O$23))</f>
        <v>0.58335102271625627</v>
      </c>
      <c r="E34" s="75">
        <f>IF(E11="","",(E11/$O$23))</f>
        <v>0.69235530103713339</v>
      </c>
      <c r="F34" s="75">
        <f>IF(F11="","",(F11/$O$23))</f>
        <v>2.3463452329085186</v>
      </c>
      <c r="G34" s="75">
        <f>IF(G11="","",(G11/$O$23))</f>
        <v>2.4209955759518973</v>
      </c>
      <c r="H34" s="75">
        <f>IF(H11="","",(H11/$O$23))</f>
        <v>2.1139585493291322</v>
      </c>
      <c r="I34" s="10">
        <f>IF(I11="","",(I11/$O$23))</f>
        <v>0.39813712787692607</v>
      </c>
      <c r="J34" s="10">
        <f>IF(J11="","",(J11/$O$23))</f>
        <v>0.34247926755850211</v>
      </c>
      <c r="K34" s="10">
        <f>IF(K11="","",(K11/$O$23))</f>
        <v>0.24414143825152163</v>
      </c>
      <c r="L34" s="10">
        <f>IF(L11="","",(L11/$O$23))</f>
        <v>1.180266671102502E-2</v>
      </c>
      <c r="M34" s="10">
        <f>IF(M11="","",(M11/$O$23))</f>
        <v>0.11835991917132428</v>
      </c>
      <c r="N34" s="10" t="str">
        <f>IF(N11="","",(N11/$O$23))</f>
        <v/>
      </c>
      <c r="O34" s="75">
        <f t="shared" ref="O34:V34" si="14">IF(O11="","",(O11/$O$23))</f>
        <v>1.6255487435502867</v>
      </c>
      <c r="P34" s="75">
        <f t="shared" si="14"/>
        <v>1.0237163416652959</v>
      </c>
      <c r="Q34" s="75">
        <f t="shared" si="14"/>
        <v>0.25428775316783669</v>
      </c>
      <c r="R34" s="75">
        <f t="shared" si="14"/>
        <v>0.73597921244633113</v>
      </c>
      <c r="S34" s="75">
        <f t="shared" si="14"/>
        <v>1.3125691190149549</v>
      </c>
      <c r="T34" s="75">
        <f t="shared" si="14"/>
        <v>1.0921511637682952</v>
      </c>
      <c r="U34" s="75">
        <f t="shared" si="14"/>
        <v>0.93078881002729996</v>
      </c>
      <c r="V34" s="75">
        <f t="shared" si="14"/>
        <v>0.48041439022096472</v>
      </c>
    </row>
    <row r="35" spans="1:22">
      <c r="A35" s="145"/>
      <c r="B35" s="75">
        <f>IF(B12="","",(B12/$O$23))</f>
        <v>7.4564552900444878E-2</v>
      </c>
      <c r="C35" s="75">
        <f>IF(C12="","",(C12/$O$23))</f>
        <v>9.874558333428643E-2</v>
      </c>
      <c r="D35" s="75">
        <f>IF(D12="","",(D12/$O$23))</f>
        <v>0.54672678425565568</v>
      </c>
      <c r="E35" s="75">
        <f>IF(E12="","",(E12/$O$23))</f>
        <v>1.4684644833550857</v>
      </c>
      <c r="F35" s="75">
        <f>IF(F12="","",(F12/$O$23))</f>
        <v>1.7804145007510284</v>
      </c>
      <c r="G35" s="75">
        <f>IF(G12="","",(G12/$O$23))</f>
        <v>1.7044388003386735</v>
      </c>
      <c r="H35" s="75">
        <f>IF(H12="","",(H12/$O$23))</f>
        <v>2.7771976290783997</v>
      </c>
      <c r="I35" s="10">
        <f>IF(I12="","",(I12/$O$23))</f>
        <v>0.14020517499719343</v>
      </c>
      <c r="J35" s="10">
        <f>IF(J12="","",(J12/$O$23))</f>
        <v>0.39784350985849387</v>
      </c>
      <c r="K35" s="10">
        <f>IF(K12="","",(K12/$O$23))</f>
        <v>0.12885215399145655</v>
      </c>
      <c r="L35" s="10">
        <f>IF(L12="","",(L12/$O$23))</f>
        <v>0.23201279408218592</v>
      </c>
      <c r="M35" s="10">
        <f>IF(M12="","",(M12/$O$23))</f>
        <v>0.32877529561833824</v>
      </c>
      <c r="N35" s="10" t="str">
        <f>IF(N12="","",(N12/$O$23))</f>
        <v/>
      </c>
      <c r="O35" s="75">
        <f t="shared" ref="O35:V35" si="15">IF(O12="","",(O12/$O$23))</f>
        <v>0.72319171503016733</v>
      </c>
      <c r="P35" s="75">
        <f t="shared" si="15"/>
        <v>2.2049384942135122</v>
      </c>
      <c r="Q35" s="75">
        <f t="shared" si="15"/>
        <v>0.2247919982944192</v>
      </c>
      <c r="R35" s="75">
        <f t="shared" si="15"/>
        <v>0.73905122702363168</v>
      </c>
      <c r="S35" s="75">
        <f t="shared" si="15"/>
        <v>0.56310743374018613</v>
      </c>
      <c r="T35" s="75">
        <f t="shared" si="15"/>
        <v>0.42635618996537061</v>
      </c>
      <c r="U35" s="75">
        <f t="shared" si="15"/>
        <v>0.50379433638153559</v>
      </c>
      <c r="V35" s="75">
        <f t="shared" si="15"/>
        <v>1.0839119235936556</v>
      </c>
    </row>
    <row r="36" spans="1:22" s="1" customFormat="1">
      <c r="A36" s="145"/>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ref="O36:V36" si="16">IF(O13="","",(O13/$O$23))</f>
        <v>0.68527761424510836</v>
      </c>
      <c r="P36" s="10" t="str">
        <f t="shared" si="16"/>
        <v/>
      </c>
      <c r="Q36" s="10" t="str">
        <f t="shared" si="16"/>
        <v/>
      </c>
      <c r="R36" s="10" t="str">
        <f t="shared" si="16"/>
        <v/>
      </c>
      <c r="S36" s="10" t="str">
        <f t="shared" si="16"/>
        <v/>
      </c>
      <c r="T36" s="10" t="str">
        <f t="shared" si="16"/>
        <v/>
      </c>
      <c r="U36" s="10" t="str">
        <f t="shared" si="16"/>
        <v/>
      </c>
      <c r="V36" s="10" t="str">
        <f t="shared" si="16"/>
        <v/>
      </c>
    </row>
    <row r="37" spans="1:22" s="1" customFormat="1">
      <c r="A37" s="145"/>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ref="O37:V37" si="17">IF(O14="","",(O14/$O$23))</f>
        <v>0.80849759518329734</v>
      </c>
      <c r="P37" s="10" t="str">
        <f t="shared" si="17"/>
        <v/>
      </c>
      <c r="Q37" s="10" t="str">
        <f t="shared" si="17"/>
        <v/>
      </c>
      <c r="R37" s="10" t="str">
        <f t="shared" si="17"/>
        <v/>
      </c>
      <c r="S37" s="10" t="str">
        <f t="shared" si="17"/>
        <v/>
      </c>
      <c r="T37" s="10" t="str">
        <f t="shared" si="17"/>
        <v/>
      </c>
      <c r="U37" s="10" t="str">
        <f t="shared" si="17"/>
        <v/>
      </c>
      <c r="V37" s="10" t="str">
        <f t="shared" si="17"/>
        <v/>
      </c>
    </row>
    <row r="38" spans="1:22" s="1" customFormat="1">
      <c r="A38" s="145"/>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ref="O38:R38" si="18">IF(O15="","",(O15/$O$23))</f>
        <v>0.45476150696939477</v>
      </c>
      <c r="P38" s="10" t="str">
        <f t="shared" si="18"/>
        <v/>
      </c>
      <c r="Q38" s="10" t="str">
        <f t="shared" si="18"/>
        <v/>
      </c>
      <c r="R38" s="10" t="str">
        <f t="shared" si="18"/>
        <v/>
      </c>
      <c r="S38" s="10" t="str">
        <f t="shared" ref="S38:V38" si="19">IF(S15="","",(S15/$O$23))</f>
        <v/>
      </c>
      <c r="T38" s="10" t="str">
        <f t="shared" si="19"/>
        <v/>
      </c>
      <c r="U38" s="10" t="str">
        <f t="shared" si="19"/>
        <v/>
      </c>
      <c r="V38" s="10" t="str">
        <f t="shared" si="19"/>
        <v/>
      </c>
    </row>
    <row r="39" spans="1:22" s="1" customFormat="1">
      <c r="A39" s="145"/>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ref="O39:R39" si="20">IF(O16="","",(O16/$O$23))</f>
        <v>1.3565688012841368</v>
      </c>
      <c r="P39" s="10" t="str">
        <f t="shared" si="20"/>
        <v/>
      </c>
      <c r="Q39" s="10" t="str">
        <f t="shared" si="20"/>
        <v/>
      </c>
      <c r="R39" s="10" t="str">
        <f t="shared" si="20"/>
        <v/>
      </c>
      <c r="S39" s="10" t="str">
        <f t="shared" ref="S39:V39" si="21">IF(S16="","",(S16/$O$23))</f>
        <v/>
      </c>
      <c r="T39" s="10" t="str">
        <f t="shared" si="21"/>
        <v/>
      </c>
      <c r="U39" s="10" t="str">
        <f t="shared" si="21"/>
        <v/>
      </c>
      <c r="V39" s="10" t="str">
        <f t="shared" si="21"/>
        <v/>
      </c>
    </row>
    <row r="40" spans="1:22" s="1" customFormat="1">
      <c r="A40" s="145"/>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R40" si="22">IF(O17="","",(O17/$O$23))</f>
        <v>0.14051647782579182</v>
      </c>
      <c r="P40" s="10" t="str">
        <f t="shared" si="22"/>
        <v/>
      </c>
      <c r="Q40" s="10" t="str">
        <f t="shared" si="22"/>
        <v/>
      </c>
      <c r="R40" s="10" t="str">
        <f t="shared" si="22"/>
        <v/>
      </c>
      <c r="S40" s="10" t="str">
        <f t="shared" ref="S40:V40" si="23">IF(S17="","",(S17/$O$23))</f>
        <v/>
      </c>
      <c r="T40" s="10" t="str">
        <f t="shared" si="23"/>
        <v/>
      </c>
      <c r="U40" s="10" t="str">
        <f t="shared" si="23"/>
        <v/>
      </c>
      <c r="V40" s="10" t="str">
        <f t="shared" si="23"/>
        <v/>
      </c>
    </row>
    <row r="41" spans="1:22" s="1" customFormat="1">
      <c r="A41" s="145"/>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R41" si="24">IF(O18="","",(O18/$O$23))</f>
        <v>0.61635313612162224</v>
      </c>
      <c r="P41" s="10" t="str">
        <f t="shared" si="24"/>
        <v/>
      </c>
      <c r="Q41" s="10" t="str">
        <f t="shared" si="24"/>
        <v/>
      </c>
      <c r="R41" s="10" t="str">
        <f t="shared" si="24"/>
        <v/>
      </c>
      <c r="S41" s="10" t="str">
        <f t="shared" ref="S41:V41" si="25">IF(S18="","",(S18/$O$23))</f>
        <v/>
      </c>
      <c r="T41" s="10" t="str">
        <f t="shared" si="25"/>
        <v/>
      </c>
      <c r="U41" s="10" t="str">
        <f t="shared" si="25"/>
        <v/>
      </c>
      <c r="V41" s="10" t="str">
        <f t="shared" si="25"/>
        <v/>
      </c>
    </row>
    <row r="42" spans="1:22" s="1" customFormat="1">
      <c r="A42" s="145"/>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R42" si="26">IF(O19="","",(O19/$O$23))</f>
        <v>0.76003858142016445</v>
      </c>
      <c r="P42" s="10" t="str">
        <f t="shared" si="26"/>
        <v/>
      </c>
      <c r="Q42" s="10" t="str">
        <f t="shared" si="26"/>
        <v/>
      </c>
      <c r="R42" s="10" t="str">
        <f t="shared" si="26"/>
        <v/>
      </c>
      <c r="S42" s="10" t="str">
        <f t="shared" ref="S42:V42" si="27">IF(S19="","",(S19/$O$23))</f>
        <v/>
      </c>
      <c r="T42" s="10" t="str">
        <f t="shared" si="27"/>
        <v/>
      </c>
      <c r="U42" s="10" t="str">
        <f t="shared" si="27"/>
        <v/>
      </c>
      <c r="V42" s="10" t="str">
        <f t="shared" si="27"/>
        <v/>
      </c>
    </row>
    <row r="43" spans="1:22" s="1" customFormat="1">
      <c r="A43" s="145"/>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ref="O43:R43" si="28">IF(O20="","",(O20/$O$23))</f>
        <v>0.58630777246701293</v>
      </c>
      <c r="P43" s="10" t="str">
        <f t="shared" si="28"/>
        <v/>
      </c>
      <c r="Q43" s="10" t="str">
        <f t="shared" si="28"/>
        <v/>
      </c>
      <c r="R43" s="10" t="str">
        <f t="shared" si="28"/>
        <v/>
      </c>
      <c r="S43" s="10" t="str">
        <f t="shared" ref="S43:V43" si="29">IF(S20="","",(S20/$O$23))</f>
        <v/>
      </c>
      <c r="T43" s="10" t="str">
        <f t="shared" si="29"/>
        <v/>
      </c>
      <c r="U43" s="10" t="str">
        <f t="shared" si="29"/>
        <v/>
      </c>
      <c r="V43" s="10" t="str">
        <f t="shared" si="29"/>
        <v/>
      </c>
    </row>
    <row r="44" spans="1:22">
      <c r="A44" s="6"/>
      <c r="B44" s="3"/>
      <c r="C44" s="3"/>
      <c r="D44" s="3"/>
      <c r="E44" s="3"/>
      <c r="F44" s="3"/>
      <c r="G44" s="3"/>
      <c r="H44" s="3"/>
      <c r="I44" s="3"/>
      <c r="J44" s="3"/>
      <c r="O44" s="3"/>
      <c r="P44" s="3"/>
      <c r="Q44" s="3"/>
      <c r="R44" s="3"/>
      <c r="S44" s="3"/>
      <c r="T44" s="3"/>
      <c r="U44" s="3"/>
      <c r="V44" s="3"/>
    </row>
    <row r="45" spans="1:22" s="50" customFormat="1">
      <c r="A45" s="51" t="str">
        <f t="shared" ref="A45:N45" si="30">A4</f>
        <v>Noms des groupes</v>
      </c>
      <c r="B45" s="51" t="str">
        <f t="shared" si="30"/>
        <v>Solvent control</v>
      </c>
      <c r="C45" s="51" t="str">
        <f t="shared" si="30"/>
        <v>EE2-33.8ng/L</v>
      </c>
      <c r="D45" s="51" t="str">
        <f t="shared" si="30"/>
        <v>EE2-50.6ng/L</v>
      </c>
      <c r="E45" s="51" t="str">
        <f t="shared" si="30"/>
        <v>EE2-76ng/L</v>
      </c>
      <c r="F45" s="51" t="str">
        <f t="shared" si="30"/>
        <v>EE2-114ng/L</v>
      </c>
      <c r="G45" s="51" t="str">
        <f t="shared" si="30"/>
        <v>EE2-170.9ng/L</v>
      </c>
      <c r="H45" s="51" t="str">
        <f t="shared" si="30"/>
        <v>EE2-488ng/L</v>
      </c>
      <c r="I45" s="51" t="str">
        <f t="shared" si="30"/>
        <v>cromolyn-1000µg/L</v>
      </c>
      <c r="J45" s="51" t="str">
        <f t="shared" si="30"/>
        <v>cromolyn-100µg/L</v>
      </c>
      <c r="K45" s="51" t="str">
        <f t="shared" si="30"/>
        <v>cromolyn-10µg/L</v>
      </c>
      <c r="L45" s="51" t="str">
        <f t="shared" si="30"/>
        <v>cromolyn-1µg/L</v>
      </c>
      <c r="M45" s="51" t="str">
        <f t="shared" si="30"/>
        <v>cromolyn-0.1µg/L</v>
      </c>
      <c r="N45" s="51" t="str">
        <f t="shared" si="30"/>
        <v/>
      </c>
      <c r="O45" s="51" t="str">
        <f t="shared" ref="O45:V45" si="31">O4</f>
        <v>Testo -30µg/L</v>
      </c>
      <c r="P45" s="51" t="str">
        <f t="shared" si="31"/>
        <v>Testo 30µg/L + EE2 -64ng/L</v>
      </c>
      <c r="Q45" s="51" t="str">
        <f t="shared" si="31"/>
        <v>Testo 30µg/L + FAD-10mg/L</v>
      </c>
      <c r="R45" s="51" t="str">
        <f t="shared" si="31"/>
        <v>cromolyn-1000µg/L + Testostérone</v>
      </c>
      <c r="S45" s="51" t="str">
        <f t="shared" si="31"/>
        <v>cromolyn-100µg/L + Testostérone</v>
      </c>
      <c r="T45" s="51" t="str">
        <f t="shared" si="31"/>
        <v>cromolyn-10µg/L + Testostérone</v>
      </c>
      <c r="U45" s="51" t="str">
        <f t="shared" si="31"/>
        <v>cromolyn-1µg/L + Testostérone</v>
      </c>
      <c r="V45" s="51" t="str">
        <f t="shared" si="31"/>
        <v>cromolyn-0.1µg/L + Testostérone</v>
      </c>
    </row>
    <row r="46" spans="1:22">
      <c r="A46" s="7" t="s">
        <v>0</v>
      </c>
      <c r="B46" s="9">
        <f t="shared" ref="B46:H46" si="32">AVERAGE(B28:B43)</f>
        <v>0.16427290035739073</v>
      </c>
      <c r="C46" s="9">
        <f t="shared" si="32"/>
        <v>0.28929323573335358</v>
      </c>
      <c r="D46" s="9">
        <f t="shared" si="32"/>
        <v>0.58579782908450928</v>
      </c>
      <c r="E46" s="9">
        <f t="shared" si="32"/>
        <v>1.0344888995401893</v>
      </c>
      <c r="F46" s="9">
        <f t="shared" si="32"/>
        <v>1.7170021647352138</v>
      </c>
      <c r="G46" s="9">
        <f t="shared" si="32"/>
        <v>1.850713235997842</v>
      </c>
      <c r="H46" s="9">
        <f t="shared" si="32"/>
        <v>2.5726691935616035</v>
      </c>
      <c r="I46" s="9">
        <f>AVERAGE(I28:I43)</f>
        <v>0.25813931041453531</v>
      </c>
      <c r="J46" s="8">
        <f>AVERAGE(J28:J43)</f>
        <v>0.27490838292376996</v>
      </c>
      <c r="K46" s="8">
        <f>AVERAGE(K28:K43)</f>
        <v>0.15000701238782538</v>
      </c>
      <c r="L46" s="8">
        <f t="shared" ref="L46:N46" si="33">AVERAGE(L28:L43)</f>
        <v>0.13083079890902594</v>
      </c>
      <c r="M46" s="8">
        <f t="shared" si="33"/>
        <v>0.1543873580009103</v>
      </c>
      <c r="N46" s="8" t="e">
        <f t="shared" si="33"/>
        <v>#DIV/0!</v>
      </c>
      <c r="O46" s="9">
        <f>AVERAGE(O28:O43)</f>
        <v>1</v>
      </c>
      <c r="P46" s="9">
        <f>AVERAGE(P28:P43)</f>
        <v>1.435216224985528</v>
      </c>
      <c r="Q46" s="9">
        <f>AVERAGE(Q28:Q43)</f>
        <v>0.22534696895954437</v>
      </c>
      <c r="R46" s="9">
        <f>AVERAGE(R28:R43)</f>
        <v>0.76314883469604233</v>
      </c>
      <c r="S46" s="9">
        <f t="shared" ref="S46:V46" si="34">AVERAGE(S28:S43)</f>
        <v>1.1136309648734439</v>
      </c>
      <c r="T46" s="9">
        <f t="shared" si="34"/>
        <v>1.0585979208134872</v>
      </c>
      <c r="U46" s="9">
        <f t="shared" si="34"/>
        <v>1.0268945278156862</v>
      </c>
      <c r="V46" s="9">
        <f t="shared" si="34"/>
        <v>0.71881389357881709</v>
      </c>
    </row>
    <row r="47" spans="1:22">
      <c r="A47" s="7" t="s">
        <v>1</v>
      </c>
      <c r="B47" s="7">
        <f t="shared" ref="B47:K47" si="35">STDEV(B28:B43)</f>
        <v>0.10553082741857965</v>
      </c>
      <c r="C47" s="7">
        <f t="shared" si="35"/>
        <v>0.15314214896071732</v>
      </c>
      <c r="D47" s="7">
        <f t="shared" si="35"/>
        <v>0.30258586521788133</v>
      </c>
      <c r="E47" s="7">
        <f t="shared" si="35"/>
        <v>0.38146302061759307</v>
      </c>
      <c r="F47" s="7">
        <f t="shared" si="35"/>
        <v>0.3851192324300462</v>
      </c>
      <c r="G47" s="7">
        <f t="shared" si="35"/>
        <v>0.31586868406526358</v>
      </c>
      <c r="H47" s="7">
        <f t="shared" si="35"/>
        <v>0.55889763366668899</v>
      </c>
      <c r="I47" s="7">
        <f>STDEV(I28:I43)</f>
        <v>0.14313292455819956</v>
      </c>
      <c r="J47" s="7">
        <f t="shared" si="35"/>
        <v>8.9910332352138689E-2</v>
      </c>
      <c r="K47" s="7">
        <f t="shared" si="35"/>
        <v>7.1993881789827074E-2</v>
      </c>
      <c r="L47" s="7">
        <f t="shared" ref="L47:N47" si="36">STDEV(L28:L43)</f>
        <v>9.4147429500349419E-2</v>
      </c>
      <c r="M47" s="7">
        <f t="shared" si="36"/>
        <v>0.10615675696875838</v>
      </c>
      <c r="N47" s="7" t="e">
        <f t="shared" si="36"/>
        <v>#DIV/0!</v>
      </c>
      <c r="O47" s="7">
        <f>STDEV(O28:O43)</f>
        <v>0.466927916336351</v>
      </c>
      <c r="P47" s="7">
        <f>STDEV(P28:P43)</f>
        <v>0.58473161916635796</v>
      </c>
      <c r="Q47" s="7">
        <f>STDEV(Q28:Q43)</f>
        <v>8.6237328376162339E-2</v>
      </c>
      <c r="R47" s="7">
        <f>STDEV(R28:R43)</f>
        <v>0.22525655228118946</v>
      </c>
      <c r="S47" s="7">
        <f t="shared" ref="S47:V47" si="37">STDEV(S28:S43)</f>
        <v>0.28176451045702378</v>
      </c>
      <c r="T47" s="7">
        <f t="shared" si="37"/>
        <v>0.44845644180348987</v>
      </c>
      <c r="U47" s="7">
        <f t="shared" si="37"/>
        <v>0.54140921014704591</v>
      </c>
      <c r="V47" s="7">
        <f t="shared" si="37"/>
        <v>0.3127354512013763</v>
      </c>
    </row>
    <row r="48" spans="1:22">
      <c r="A48" s="7" t="s">
        <v>2</v>
      </c>
      <c r="B48" s="7">
        <f t="shared" ref="B48:K48" si="38" xml:space="preserve"> B47/SQRT(COUNT(B28:B43))</f>
        <v>3.7310781845952455E-2</v>
      </c>
      <c r="C48" s="7">
        <f t="shared" si="38"/>
        <v>5.4143926007801803E-2</v>
      </c>
      <c r="D48" s="7">
        <f t="shared" si="38"/>
        <v>0.10698025859338128</v>
      </c>
      <c r="E48" s="7">
        <f t="shared" si="38"/>
        <v>0.13486754432530193</v>
      </c>
      <c r="F48" s="7">
        <f t="shared" si="38"/>
        <v>0.13616021040832191</v>
      </c>
      <c r="G48" s="7">
        <f t="shared" si="38"/>
        <v>0.11167644423350952</v>
      </c>
      <c r="H48" s="7">
        <f t="shared" si="38"/>
        <v>0.19760015337741532</v>
      </c>
      <c r="I48" s="7">
        <f xml:space="preserve"> I47/SQRT(COUNT(I28:I43))</f>
        <v>5.0605130783082715E-2</v>
      </c>
      <c r="J48" s="7">
        <f t="shared" si="38"/>
        <v>3.1788102852466749E-2</v>
      </c>
      <c r="K48" s="7">
        <f t="shared" si="38"/>
        <v>2.545368100876471E-2</v>
      </c>
      <c r="L48" s="7">
        <f t="shared" ref="L48:N48" si="39" xml:space="preserve"> L47/SQRT(COUNT(L28:L43))</f>
        <v>3.3286142915489744E-2</v>
      </c>
      <c r="M48" s="7">
        <f t="shared" si="39"/>
        <v>3.7532081360690667E-2</v>
      </c>
      <c r="N48" s="7" t="e">
        <f t="shared" si="39"/>
        <v>#DIV/0!</v>
      </c>
      <c r="O48" s="7">
        <f xml:space="preserve"> O47/SQRT(COUNT(O28:O43))</f>
        <v>0.11673197908408775</v>
      </c>
      <c r="P48" s="7">
        <f xml:space="preserve"> P47/SQRT(COUNT(P28:P43))</f>
        <v>0.20673384654336074</v>
      </c>
      <c r="Q48" s="7">
        <f xml:space="preserve"> Q47/SQRT(COUNT(Q28:Q43))</f>
        <v>3.0489499843097734E-2</v>
      </c>
      <c r="R48" s="7">
        <f xml:space="preserve"> R47/SQRT(COUNT(R28:R43))</f>
        <v>7.9640217812365563E-2</v>
      </c>
      <c r="S48" s="7">
        <f t="shared" ref="S48:V48" si="40" xml:space="preserve"> S47/SQRT(COUNT(S28:S43))</f>
        <v>9.9618798020934693E-2</v>
      </c>
      <c r="T48" s="7">
        <f t="shared" si="40"/>
        <v>0.15855329553301897</v>
      </c>
      <c r="U48" s="7">
        <f t="shared" si="40"/>
        <v>0.19141706194591435</v>
      </c>
      <c r="V48" s="7">
        <f t="shared" si="40"/>
        <v>0.1105686791309639</v>
      </c>
    </row>
    <row r="49" spans="1:22" s="1" customFormat="1"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19</v>
      </c>
      <c r="B50" s="141"/>
      <c r="C50" s="141"/>
      <c r="D50" s="141"/>
      <c r="E50" s="141"/>
      <c r="F50" s="141"/>
      <c r="G50" s="141"/>
      <c r="H50" s="141"/>
      <c r="I50" s="141"/>
      <c r="J50" s="141"/>
      <c r="K50" s="141"/>
      <c r="L50" s="141"/>
      <c r="M50" s="141"/>
      <c r="N50" s="141"/>
      <c r="O50" s="141"/>
      <c r="P50" s="141"/>
      <c r="Q50" s="141"/>
      <c r="R50" s="141"/>
      <c r="S50" s="141"/>
      <c r="T50" s="141"/>
      <c r="U50" s="141"/>
      <c r="V50" s="141"/>
    </row>
    <row r="51" spans="1:22" ht="15.75" thickBot="1">
      <c r="A51"/>
      <c r="B51"/>
      <c r="C51"/>
      <c r="D51"/>
      <c r="E51"/>
      <c r="F51"/>
      <c r="G51"/>
      <c r="H51"/>
      <c r="I51"/>
      <c r="J51"/>
      <c r="K51"/>
      <c r="L51"/>
      <c r="M51"/>
      <c r="N51"/>
      <c r="S51"/>
      <c r="T51"/>
      <c r="U51"/>
      <c r="V51"/>
    </row>
    <row r="52" spans="1:22">
      <c r="A52" s="28" t="str">
        <f t="shared" ref="A52:H52" si="41">A27</f>
        <v>Noms des groupes</v>
      </c>
      <c r="B52" s="29" t="str">
        <f t="shared" si="41"/>
        <v>Solvent control</v>
      </c>
      <c r="C52" s="29" t="str">
        <f t="shared" si="41"/>
        <v>EE2-33.8ng/L</v>
      </c>
      <c r="D52" s="29" t="str">
        <f t="shared" si="41"/>
        <v>EE2-50.6ng/L</v>
      </c>
      <c r="E52" s="29" t="str">
        <f t="shared" si="41"/>
        <v>EE2-76ng/L</v>
      </c>
      <c r="F52" s="29" t="str">
        <f t="shared" si="41"/>
        <v>EE2-114ng/L</v>
      </c>
      <c r="G52" s="29" t="str">
        <f t="shared" si="41"/>
        <v>EE2-170.9ng/L</v>
      </c>
      <c r="H52" s="29" t="str">
        <f t="shared" si="41"/>
        <v>EE2-488ng/L</v>
      </c>
      <c r="I52" s="29" t="str">
        <f>I4</f>
        <v>cromolyn-1000µg/L</v>
      </c>
      <c r="J52" s="29" t="str">
        <f>J4</f>
        <v>cromolyn-100µg/L</v>
      </c>
      <c r="K52" s="29" t="str">
        <f>K27</f>
        <v>cromolyn-10µg/L</v>
      </c>
      <c r="L52" s="29" t="str">
        <f t="shared" ref="L52:N52" si="42">L27</f>
        <v>cromolyn-1µg/L</v>
      </c>
      <c r="M52" s="29" t="str">
        <f t="shared" si="42"/>
        <v>cromolyn-0.1µg/L</v>
      </c>
      <c r="N52" s="29" t="str">
        <f t="shared" si="42"/>
        <v/>
      </c>
      <c r="O52" s="29" t="str">
        <f>O27</f>
        <v>Testo -30µg/L</v>
      </c>
      <c r="P52" s="29" t="str">
        <f>P27</f>
        <v>Testo 30µg/L + EE2 -64ng/L</v>
      </c>
      <c r="Q52" s="29" t="str">
        <f>Q27</f>
        <v>Testo 30µg/L + FAD-10mg/L</v>
      </c>
      <c r="R52" s="29" t="str">
        <f>R27</f>
        <v>cromolyn-1000µg/L + Testostérone</v>
      </c>
      <c r="S52" s="29" t="str">
        <f t="shared" ref="S52:V52" si="43">S27</f>
        <v>cromolyn-100µg/L + Testostérone</v>
      </c>
      <c r="T52" s="29" t="str">
        <f t="shared" si="43"/>
        <v>cromolyn-10µg/L + Testostérone</v>
      </c>
      <c r="U52" s="29" t="str">
        <f t="shared" si="43"/>
        <v>cromolyn-1µg/L + Testostérone</v>
      </c>
      <c r="V52" s="29" t="str">
        <f t="shared" si="43"/>
        <v>cromolyn-0.1µg/L + Testostérone</v>
      </c>
    </row>
    <row r="53" spans="1:22" s="3" customFormat="1">
      <c r="A53" s="43" t="s">
        <v>15</v>
      </c>
      <c r="B53" s="75">
        <f t="shared" ref="B53:N53" si="44">B46</f>
        <v>0.16427290035739073</v>
      </c>
      <c r="C53" s="75">
        <f t="shared" si="44"/>
        <v>0.28929323573335358</v>
      </c>
      <c r="D53" s="75">
        <f t="shared" si="44"/>
        <v>0.58579782908450928</v>
      </c>
      <c r="E53" s="75">
        <f t="shared" si="44"/>
        <v>1.0344888995401893</v>
      </c>
      <c r="F53" s="75">
        <f t="shared" si="44"/>
        <v>1.7170021647352138</v>
      </c>
      <c r="G53" s="75">
        <f t="shared" si="44"/>
        <v>1.850713235997842</v>
      </c>
      <c r="H53" s="75">
        <f t="shared" si="44"/>
        <v>2.5726691935616035</v>
      </c>
      <c r="I53" s="75">
        <f t="shared" si="44"/>
        <v>0.25813931041453531</v>
      </c>
      <c r="J53" s="75">
        <f t="shared" si="44"/>
        <v>0.27490838292376996</v>
      </c>
      <c r="K53" s="75">
        <f t="shared" si="44"/>
        <v>0.15000701238782538</v>
      </c>
      <c r="L53" s="75">
        <f t="shared" si="44"/>
        <v>0.13083079890902594</v>
      </c>
      <c r="M53" s="75">
        <f t="shared" si="44"/>
        <v>0.1543873580009103</v>
      </c>
      <c r="N53" s="75" t="e">
        <f t="shared" si="44"/>
        <v>#DIV/0!</v>
      </c>
      <c r="O53" s="75">
        <f t="shared" ref="O53:V53" si="45">O46</f>
        <v>1</v>
      </c>
      <c r="P53" s="75">
        <f t="shared" si="45"/>
        <v>1.435216224985528</v>
      </c>
      <c r="Q53" s="75">
        <f t="shared" si="45"/>
        <v>0.22534696895954437</v>
      </c>
      <c r="R53" s="75">
        <f t="shared" si="45"/>
        <v>0.76314883469604233</v>
      </c>
      <c r="S53" s="75">
        <f t="shared" si="45"/>
        <v>1.1136309648734439</v>
      </c>
      <c r="T53" s="75">
        <f t="shared" si="45"/>
        <v>1.0585979208134872</v>
      </c>
      <c r="U53" s="75">
        <f t="shared" si="45"/>
        <v>1.0268945278156862</v>
      </c>
      <c r="V53" s="75">
        <f t="shared" si="45"/>
        <v>0.71881389357881709</v>
      </c>
    </row>
    <row r="54" spans="1:22" s="3" customFormat="1">
      <c r="A54" s="43" t="s">
        <v>2</v>
      </c>
      <c r="B54" s="75">
        <f t="shared" ref="B54:N54" si="46">B48</f>
        <v>3.7310781845952455E-2</v>
      </c>
      <c r="C54" s="75">
        <f t="shared" si="46"/>
        <v>5.4143926007801803E-2</v>
      </c>
      <c r="D54" s="75">
        <f t="shared" si="46"/>
        <v>0.10698025859338128</v>
      </c>
      <c r="E54" s="75">
        <f t="shared" si="46"/>
        <v>0.13486754432530193</v>
      </c>
      <c r="F54" s="75">
        <f t="shared" si="46"/>
        <v>0.13616021040832191</v>
      </c>
      <c r="G54" s="75">
        <f t="shared" si="46"/>
        <v>0.11167644423350952</v>
      </c>
      <c r="H54" s="75">
        <f t="shared" si="46"/>
        <v>0.19760015337741532</v>
      </c>
      <c r="I54" s="75">
        <f t="shared" si="46"/>
        <v>5.0605130783082715E-2</v>
      </c>
      <c r="J54" s="75">
        <f t="shared" si="46"/>
        <v>3.1788102852466749E-2</v>
      </c>
      <c r="K54" s="75">
        <f t="shared" si="46"/>
        <v>2.545368100876471E-2</v>
      </c>
      <c r="L54" s="75">
        <f t="shared" si="46"/>
        <v>3.3286142915489744E-2</v>
      </c>
      <c r="M54" s="75">
        <f t="shared" si="46"/>
        <v>3.7532081360690667E-2</v>
      </c>
      <c r="N54" s="75" t="e">
        <f t="shared" si="46"/>
        <v>#DIV/0!</v>
      </c>
      <c r="O54" s="75">
        <f t="shared" ref="O54:V54" si="47">O48</f>
        <v>0.11673197908408775</v>
      </c>
      <c r="P54" s="75">
        <f t="shared" si="47"/>
        <v>0.20673384654336074</v>
      </c>
      <c r="Q54" s="75">
        <f t="shared" si="47"/>
        <v>3.0489499843097734E-2</v>
      </c>
      <c r="R54" s="75">
        <f t="shared" si="47"/>
        <v>7.9640217812365563E-2</v>
      </c>
      <c r="S54" s="75">
        <f t="shared" si="47"/>
        <v>9.9618798020934693E-2</v>
      </c>
      <c r="T54" s="75">
        <f t="shared" si="47"/>
        <v>0.15855329553301897</v>
      </c>
      <c r="U54" s="75">
        <f t="shared" si="47"/>
        <v>0.19141706194591435</v>
      </c>
      <c r="V54" s="75">
        <f t="shared" si="47"/>
        <v>0.1105686791309639</v>
      </c>
    </row>
    <row r="55" spans="1:22" s="3" customFormat="1">
      <c r="A55" s="43" t="s">
        <v>42</v>
      </c>
      <c r="B55" s="75">
        <f t="shared" ref="B55:N55" si="48">(B53*100/$B$53)-100</f>
        <v>0</v>
      </c>
      <c r="C55" s="75">
        <f t="shared" si="48"/>
        <v>76.10527062222053</v>
      </c>
      <c r="D55" s="75">
        <f t="shared" si="48"/>
        <v>256.60040567254401</v>
      </c>
      <c r="E55" s="75">
        <f t="shared" si="48"/>
        <v>529.73801356740159</v>
      </c>
      <c r="F55" s="75">
        <f t="shared" si="48"/>
        <v>945.21327680933291</v>
      </c>
      <c r="G55" s="75">
        <f t="shared" si="48"/>
        <v>1026.608973221661</v>
      </c>
      <c r="H55" s="75">
        <f t="shared" si="48"/>
        <v>1466.0947045827561</v>
      </c>
      <c r="I55" s="75">
        <f t="shared" si="48"/>
        <v>57.140532524189695</v>
      </c>
      <c r="J55" s="75">
        <f t="shared" si="48"/>
        <v>67.348590257846297</v>
      </c>
      <c r="K55" s="75">
        <f t="shared" si="48"/>
        <v>-8.6842613349667488</v>
      </c>
      <c r="L55" s="75">
        <f t="shared" si="48"/>
        <v>-20.357649603561171</v>
      </c>
      <c r="M55" s="75">
        <f t="shared" si="48"/>
        <v>-6.017756023649369</v>
      </c>
      <c r="N55" s="75" t="e">
        <f t="shared" si="48"/>
        <v>#DIV/0!</v>
      </c>
      <c r="O55" s="75">
        <f>(O53*100/$O$53)-100</f>
        <v>0</v>
      </c>
      <c r="P55" s="75">
        <f t="shared" ref="P55:V55" si="49">(P53*100/$O$53)-100</f>
        <v>43.521622498552802</v>
      </c>
      <c r="Q55" s="75">
        <f t="shared" si="49"/>
        <v>-77.46530310404556</v>
      </c>
      <c r="R55" s="75">
        <f t="shared" si="49"/>
        <v>-23.68511653039576</v>
      </c>
      <c r="S55" s="75">
        <f t="shared" si="49"/>
        <v>11.363096487344393</v>
      </c>
      <c r="T55" s="75">
        <f t="shared" si="49"/>
        <v>5.8597920813487292</v>
      </c>
      <c r="U55" s="75">
        <f t="shared" si="49"/>
        <v>2.6894527815686189</v>
      </c>
      <c r="V55" s="75">
        <f t="shared" si="49"/>
        <v>-28.118610642118284</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t="shared" ref="B57:N57" ca="1" si="50">IF(B56&gt;0.05,"Oui","Non")</f>
        <v>#NAME?</v>
      </c>
      <c r="C57" s="75" t="e">
        <f t="shared" ca="1" si="50"/>
        <v>#NAME?</v>
      </c>
      <c r="D57" s="75" t="e">
        <f t="shared" ca="1" si="50"/>
        <v>#NAME?</v>
      </c>
      <c r="E57" s="75" t="e">
        <f t="shared" ca="1" si="50"/>
        <v>#NAME?</v>
      </c>
      <c r="F57" s="75" t="e">
        <f t="shared" ca="1" si="50"/>
        <v>#NAME?</v>
      </c>
      <c r="G57" s="75" t="e">
        <f t="shared" ca="1" si="50"/>
        <v>#NAME?</v>
      </c>
      <c r="H57" s="75" t="e">
        <f t="shared" ca="1" si="50"/>
        <v>#NAME?</v>
      </c>
      <c r="I57" s="75" t="e">
        <f t="shared" ca="1" si="50"/>
        <v>#NAME?</v>
      </c>
      <c r="J57" s="75" t="e">
        <f t="shared" ca="1" si="50"/>
        <v>#NAME?</v>
      </c>
      <c r="K57" s="75" t="e">
        <f t="shared" ca="1" si="50"/>
        <v>#NAME?</v>
      </c>
      <c r="L57" s="75" t="e">
        <f t="shared" ca="1" si="50"/>
        <v>#NAME?</v>
      </c>
      <c r="M57" s="75" t="e">
        <f t="shared" ca="1" si="50"/>
        <v>#NAME?</v>
      </c>
      <c r="N57" s="75" t="e">
        <f t="shared" ca="1" si="50"/>
        <v>#NAME?</v>
      </c>
      <c r="O57" s="75" t="e">
        <f t="shared" ref="O57:V57" ca="1" si="51">IF(O56&gt;0.05,"Oui","Non")</f>
        <v>#NAME?</v>
      </c>
      <c r="P57" s="75" t="e">
        <f t="shared" ca="1" si="51"/>
        <v>#NAME?</v>
      </c>
      <c r="Q57" s="75" t="e">
        <f t="shared" ca="1" si="51"/>
        <v>#NAME?</v>
      </c>
      <c r="R57" s="75" t="e">
        <f t="shared" ca="1" si="51"/>
        <v>#NAME?</v>
      </c>
      <c r="S57" s="75" t="e">
        <f t="shared" ca="1" si="51"/>
        <v>#NAME?</v>
      </c>
      <c r="T57" s="75" t="e">
        <f t="shared" ca="1" si="51"/>
        <v>#NAME?</v>
      </c>
      <c r="U57" s="75" t="e">
        <f t="shared" ca="1" si="51"/>
        <v>#NAME?</v>
      </c>
      <c r="V57" s="75" t="e">
        <f t="shared" ca="1" si="51"/>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N59" ca="1" si="52">IF($B57="Non",IF(C$57="Non","Mann Withney",IF(C$57="Oui","Mann Withney","")),IF($B$57="Oui",IF(C$57="Oui","T-Test Welch",IF(C$57="Non","Mann Withney",""))))</f>
        <v>#NAME?</v>
      </c>
      <c r="D59" s="78" t="e">
        <f t="shared" ca="1" si="52"/>
        <v>#NAME?</v>
      </c>
      <c r="E59" s="78" t="e">
        <f t="shared" ca="1" si="52"/>
        <v>#NAME?</v>
      </c>
      <c r="F59" s="78" t="e">
        <f t="shared" ca="1" si="52"/>
        <v>#NAME?</v>
      </c>
      <c r="G59" s="78" t="e">
        <f t="shared" ca="1" si="52"/>
        <v>#NAME?</v>
      </c>
      <c r="H59" s="78" t="e">
        <f t="shared" ca="1" si="52"/>
        <v>#NAME?</v>
      </c>
      <c r="I59" s="78" t="e">
        <f t="shared" ca="1" si="52"/>
        <v>#NAME?</v>
      </c>
      <c r="J59" s="78" t="e">
        <f t="shared" ca="1" si="52"/>
        <v>#NAME?</v>
      </c>
      <c r="K59" s="78" t="e">
        <f t="shared" ca="1" si="52"/>
        <v>#NAME?</v>
      </c>
      <c r="L59" s="78" t="e">
        <f t="shared" ca="1" si="52"/>
        <v>#NAME?</v>
      </c>
      <c r="M59" s="78" t="e">
        <f t="shared" ca="1" si="52"/>
        <v>#NAME?</v>
      </c>
      <c r="N59" s="78" t="e">
        <f t="shared" ca="1" si="52"/>
        <v>#NAME?</v>
      </c>
      <c r="O59" s="78" t="e">
        <f ca="1">IF($B57="Non",IF(O$57="Non","Mann Withney",IF(O$57="Oui","Mann Withney","")),IF($B$57="Oui",IF(O$57="Oui","T-Test Welch",IF(O$57="Non","Mann Withney",""))))</f>
        <v>#NAME?</v>
      </c>
      <c r="P59" s="78" t="e">
        <f ca="1">IF($O57="Non",IF(P$57="Non","Mann Withney",IF(P$57="Oui","Mann Withney","")),IF($O$57="Oui",IF(P$57="Oui","T-Test Welch",IF(P$57="Non","Mann Withney",""))))</f>
        <v>#NAME?</v>
      </c>
      <c r="Q59" s="78" t="e">
        <f t="shared" ref="Q59:V59" ca="1" si="53">IF($O57="Non",IF(Q$57="Non","Mann Withney",IF(Q$57="Oui","Mann Withney","")),IF($O$57="Oui",IF(Q$57="Oui","T-Test Welch",IF(Q$57="Non","Mann Withney",""))))</f>
        <v>#NAME?</v>
      </c>
      <c r="R59" s="78" t="e">
        <f t="shared" ca="1" si="53"/>
        <v>#NAME?</v>
      </c>
      <c r="S59" s="78" t="e">
        <f t="shared" ca="1" si="53"/>
        <v>#NAME?</v>
      </c>
      <c r="T59" s="78" t="e">
        <f t="shared" ca="1" si="53"/>
        <v>#NAME?</v>
      </c>
      <c r="U59" s="78" t="e">
        <f t="shared" ca="1" si="53"/>
        <v>#NAME?</v>
      </c>
      <c r="V59" s="78" t="e">
        <f t="shared" ca="1" si="53"/>
        <v>#NAME?</v>
      </c>
    </row>
    <row r="60" spans="1:22" s="3" customFormat="1">
      <c r="A60" s="43" t="s">
        <v>45</v>
      </c>
      <c r="B60" s="79"/>
      <c r="C60" s="79" t="e">
        <f ca="1">IF(C59="Mann Withney",[1]!MTEST($B28:$B43,C28:C43,2), IF(C59="T-Test Welch",_xlfn.T.TEST($B28:$B43,C28:C43,2,3),""))</f>
        <v>#NAME?</v>
      </c>
      <c r="D60" s="79" t="e">
        <f ca="1">IF(D59="Mann Withney",[1]!MTEST($B28:$B43,D28:D43,2), IF(D59="T-Test Welch",_xlfn.T.TEST($B28:$B43,D28:D43,2,3),""))</f>
        <v>#NAME?</v>
      </c>
      <c r="E60" s="79" t="e">
        <f ca="1">IF(E59="Mann Withney",[1]!MTEST($B28:$B43,E28:E43,2), IF(E59="T-Test Welch",_xlfn.T.TEST($B28:$B43,E28:E43,2,3),""))</f>
        <v>#NAME?</v>
      </c>
      <c r="F60" s="79" t="e">
        <f ca="1">IF(F59="Mann Withney",[1]!MTEST($B28:$B43,F28:F43,2), IF(F59="T-Test Welch",_xlfn.T.TEST($B28:$B43,F28:F43,2,3),""))</f>
        <v>#NAME?</v>
      </c>
      <c r="G60" s="79" t="e">
        <f ca="1">IF(G59="Mann Withney",[1]!MTEST($B28:$B43,G28:G43,2), IF(G59="T-Test Welch",_xlfn.T.TEST($B28:$B43,G28:G43,2,3),""))</f>
        <v>#NAME?</v>
      </c>
      <c r="H60" s="79" t="e">
        <f ca="1">IF(H59="Mann Withney",[1]!MTEST($B28:$B43,H28:H43,2), IF(H59="T-Test Welch",_xlfn.T.TEST($B28:$B43,H28:H43,2,3),""))</f>
        <v>#NAME?</v>
      </c>
      <c r="I60" s="79" t="e">
        <f ca="1">IF(I59="Mann Withney",[1]!MTEST($B28:$B43,I28:I43,2), IF(I59="T-Test Welch",_xlfn.T.TEST($B28:$B43,I28:I43,2,3),""))</f>
        <v>#NAME?</v>
      </c>
      <c r="J60" s="79" t="e">
        <f ca="1">IF(J59="Mann Withney",[1]!MTEST($B28:$B43,J28:J43,2), IF(J59="T-Test Welch",_xlfn.T.TEST($B28:$B43,J28:J43,2,3),""))</f>
        <v>#NAME?</v>
      </c>
      <c r="K60" s="79" t="e">
        <f ca="1">IF(K59="Mann Withney",[1]!MTEST($B28:$B43,K28:K43,2), IF(K59="T-Test Welch",_xlfn.T.TEST($B28:$B43,K28:K43,2,3),""))</f>
        <v>#NAME?</v>
      </c>
      <c r="L60" s="79" t="e">
        <f ca="1">IF(L59="Mann Withney",[1]!MTEST($B28:$B43,L28:L43,2), IF(L59="T-Test Welch",_xlfn.T.TEST($B28:$B43,L28:L43,2,3),""))</f>
        <v>#NAME?</v>
      </c>
      <c r="M60" s="79" t="e">
        <f ca="1">IF(M59="Mann Withney",[1]!MTEST($B28:$B43,M28:M43,2), IF(M59="T-Test Welch",_xlfn.T.TEST($B28:$B43,M28:M43,2,3),""))</f>
        <v>#NAME?</v>
      </c>
      <c r="N60" s="79" t="e">
        <f ca="1">IF(N59="Mann Withney",[1]!MTEST($B28:$B43,N28:N43,2), IF(N59="T-Test Welch",_xlfn.T.TEST($B28:$B43,N28:N43,2,3),""))</f>
        <v>#NAME?</v>
      </c>
      <c r="O60" s="79" t="e">
        <f ca="1">IF(O59="Mann Withney",[1]!MTEST($B28:$B43,O28:O43,2), IF(O59="T-Test Welch",_xlfn.T.TEST($B28:$B43,O28:O43,2,3),""))</f>
        <v>#NAME?</v>
      </c>
      <c r="P60" s="79" t="e">
        <f ca="1">IF(P59="Mann Withney",[1]!MTEST($O28:$O43,P28:P43,2), IF(P59="T-Test Welch",_xlfn.T.TEST($O28:$O43,P28:P43,2,3),""))</f>
        <v>#NAME?</v>
      </c>
      <c r="Q60" s="79" t="e">
        <f ca="1">IF(Q59="Mann Withney",[1]!MTEST($O28:$O43,Q28:Q43,2), IF(Q59="T-Test Welch",_xlfn.T.TEST($O28:$O43,Q28:Q43,2,3),""))</f>
        <v>#NAME?</v>
      </c>
      <c r="R60" s="79" t="e">
        <f ca="1">IF(R59="Mann Withney",[1]!MTEST($O28:$O43,R28:R43,2), IF(R59="T-Test Welch",_xlfn.T.TEST($O28:$O43,R28:R43,2,3),""))</f>
        <v>#NAME?</v>
      </c>
      <c r="S60" s="79" t="e">
        <f ca="1">IF(S59="Mann Withney",[1]!MTEST($O28:$O43,S28:S43,2), IF(S59="T-Test Welch",_xlfn.T.TEST($O28:$O43,S28:S43,2,3),""))</f>
        <v>#NAME?</v>
      </c>
      <c r="T60" s="79" t="e">
        <f ca="1">IF(T59="Mann Withney",[1]!MTEST($O28:$O43,T28:T43,2), IF(T59="T-Test Welch",_xlfn.T.TEST($O28:$O43,T28:T43,2,3),""))</f>
        <v>#NAME?</v>
      </c>
      <c r="U60" s="79" t="e">
        <f ca="1">IF(U59="Mann Withney",[1]!MTEST($O28:$O43,U28:U43,2), IF(U59="T-Test Welch",_xlfn.T.TEST($O28:$O43,U28:U43,2,3),""))</f>
        <v>#NAME?</v>
      </c>
      <c r="V60" s="79" t="e">
        <f ca="1">IF(V59="Mann Withney",[1]!MTEST($O28:$O43,V28:V43,2), IF(V59="T-Test Welch",_xlfn.T.TEST($O28:$O43,V28:V43,2,3),""))</f>
        <v>#NAME?</v>
      </c>
    </row>
    <row r="61" spans="1:22" s="3" customFormat="1" ht="15.75" thickBot="1">
      <c r="A61" s="44" t="s">
        <v>46</v>
      </c>
      <c r="B61" s="76"/>
      <c r="C61" s="76" t="e">
        <f t="shared" ref="C61:N61" ca="1" si="54">IF(C60&gt;0.05,"NS",IF(C60&gt;0.01,"*",IF(C60&gt;0.001,"**","***")))</f>
        <v>#NAME?</v>
      </c>
      <c r="D61" s="76" t="e">
        <f t="shared" ca="1" si="54"/>
        <v>#NAME?</v>
      </c>
      <c r="E61" s="76" t="e">
        <f t="shared" ca="1" si="54"/>
        <v>#NAME?</v>
      </c>
      <c r="F61" s="76" t="e">
        <f t="shared" ca="1" si="54"/>
        <v>#NAME?</v>
      </c>
      <c r="G61" s="76" t="e">
        <f t="shared" ca="1" si="54"/>
        <v>#NAME?</v>
      </c>
      <c r="H61" s="76" t="e">
        <f t="shared" ca="1" si="54"/>
        <v>#NAME?</v>
      </c>
      <c r="I61" s="76" t="e">
        <f t="shared" ca="1" si="54"/>
        <v>#NAME?</v>
      </c>
      <c r="J61" s="76" t="e">
        <f t="shared" ca="1" si="54"/>
        <v>#NAME?</v>
      </c>
      <c r="K61" s="76" t="e">
        <f t="shared" ca="1" si="54"/>
        <v>#NAME?</v>
      </c>
      <c r="L61" s="76" t="e">
        <f t="shared" ca="1" si="54"/>
        <v>#NAME?</v>
      </c>
      <c r="M61" s="76" t="e">
        <f t="shared" ca="1" si="54"/>
        <v>#NAME?</v>
      </c>
      <c r="N61" s="76" t="e">
        <f t="shared" ca="1" si="54"/>
        <v>#NAME?</v>
      </c>
      <c r="O61" s="76" t="e">
        <f ca="1">IF(O60&gt;0.05,"NS",IF(O60&gt;0.01,"*",IF(O60&gt;0.001,"**","***")))</f>
        <v>#NAME?</v>
      </c>
      <c r="P61" s="76" t="e">
        <f ca="1">IF(P60&gt;0.05,"NS",IF(P60&gt;0.01,"*",IF(P60&gt;0.001,"**","***")))</f>
        <v>#NAME?</v>
      </c>
      <c r="Q61" s="76" t="e">
        <f t="shared" ref="Q61" ca="1" si="55">IF(Q60&gt;0.05,"NS",IF(Q60&gt;0.01,"*",IF(Q60&gt;0.001,"**","***")))</f>
        <v>#NAME?</v>
      </c>
      <c r="R61" s="76" t="e">
        <f t="shared" ref="R61" ca="1" si="56">IF(R60&gt;0.05,"NS",IF(R60&gt;0.01,"*",IF(R60&gt;0.001,"**","***")))</f>
        <v>#NAME?</v>
      </c>
      <c r="S61" s="76" t="e">
        <f t="shared" ref="S61" ca="1" si="57">IF(S60&gt;0.05,"NS",IF(S60&gt;0.01,"*",IF(S60&gt;0.001,"**","***")))</f>
        <v>#NAME?</v>
      </c>
      <c r="T61" s="76" t="e">
        <f t="shared" ref="T61" ca="1" si="58">IF(T60&gt;0.05,"NS",IF(T60&gt;0.01,"*",IF(T60&gt;0.001,"**","***")))</f>
        <v>#NAME?</v>
      </c>
      <c r="U61" s="76" t="e">
        <f t="shared" ref="U61" ca="1" si="59">IF(U60&gt;0.05,"NS",IF(U60&gt;0.01,"*",IF(U60&gt;0.001,"**","***")))</f>
        <v>#NAME?</v>
      </c>
      <c r="V61" s="76" t="e">
        <f t="shared" ref="V61" ca="1" si="60">IF(V60&gt;0.05,"NS",IF(V60&gt;0.01,"*",IF(V60&gt;0.001,"**","***")))</f>
        <v>#NAME?</v>
      </c>
    </row>
    <row r="63" spans="1:22">
      <c r="A63" s="2" t="s">
        <v>20</v>
      </c>
    </row>
    <row r="64" spans="1:22">
      <c r="A64" s="1" t="s">
        <v>13</v>
      </c>
      <c r="B64" s="1">
        <f>B46+(3*B47)</f>
        <v>0.48086538261312967</v>
      </c>
    </row>
    <row r="65" spans="1:22">
      <c r="A65" s="1" t="s">
        <v>14</v>
      </c>
      <c r="B65" s="1">
        <f>B46+(10*B47)</f>
        <v>1.2195811745431873</v>
      </c>
    </row>
    <row r="66" spans="1:22" ht="15.75" thickBot="1"/>
    <row r="67" spans="1:22" s="1" customFormat="1" ht="27" thickBot="1">
      <c r="A67" s="140" t="s">
        <v>31</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N3"/>
    <mergeCell ref="B26:N26"/>
    <mergeCell ref="O26:V26"/>
    <mergeCell ref="O3:V3"/>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H4" zoomScale="70" zoomScaleNormal="70" zoomScaleSheetLayoutView="40" zoomScalePageLayoutView="30" workbookViewId="0">
      <selection activeCell="O4"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c r="A1" s="138" t="s">
        <v>23</v>
      </c>
      <c r="B1" s="139"/>
      <c r="C1" s="139"/>
      <c r="D1" s="139"/>
      <c r="E1" s="139"/>
      <c r="F1" s="139"/>
      <c r="G1" s="139"/>
      <c r="H1" s="139"/>
      <c r="I1" s="139"/>
      <c r="J1" s="139"/>
      <c r="K1" s="139"/>
      <c r="L1" s="139"/>
      <c r="M1" s="139"/>
      <c r="N1" s="139"/>
      <c r="O1" s="139"/>
      <c r="P1" s="139"/>
      <c r="Q1" s="139"/>
      <c r="R1" s="139"/>
      <c r="S1" s="139"/>
      <c r="T1" s="139"/>
      <c r="U1" s="139"/>
      <c r="V1" s="139"/>
    </row>
    <row r="2" spans="1:22" customFormat="1" ht="15.75" thickBot="1"/>
    <row r="3" spans="1:22" ht="15.75" thickBot="1">
      <c r="A3" s="33" t="s">
        <v>9</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cromolyn-1000µg/L</v>
      </c>
      <c r="J4" s="19" t="str">
        <f>'Front page'!A15</f>
        <v>cromolyn-100µg/L</v>
      </c>
      <c r="K4" s="19" t="str">
        <f>'Front page'!A16</f>
        <v>cromolyn-10µg/L</v>
      </c>
      <c r="L4" s="19" t="str">
        <f>'Front page'!A17</f>
        <v>cromolyn-1µg/L</v>
      </c>
      <c r="M4" s="19" t="str">
        <f>'Front page'!A18</f>
        <v>cromolyn-0.1µg/L</v>
      </c>
      <c r="N4" s="19" t="str">
        <f>'Front page'!A19</f>
        <v/>
      </c>
      <c r="O4" s="20" t="str">
        <f>'Front page'!A35</f>
        <v>Testo -30µg/L</v>
      </c>
      <c r="P4" s="20" t="str">
        <f>'Front page'!A36</f>
        <v>Testo 30µg/L + EE2 -64ng/L</v>
      </c>
      <c r="Q4" s="20" t="str">
        <f>'Front page'!A37</f>
        <v>Testo 30µg/L + FAD-10mg/L</v>
      </c>
      <c r="R4" s="20" t="str">
        <f>'Front page'!A38</f>
        <v>cromolyn-1000µg/L + Testostérone</v>
      </c>
      <c r="S4" s="20" t="str">
        <f>'Front page'!A39</f>
        <v>cromolyn-100µg/L + Testostérone</v>
      </c>
      <c r="T4" s="20" t="str">
        <f>'Front page'!A40</f>
        <v>cromolyn-10µg/L + Testostérone</v>
      </c>
      <c r="U4" s="20" t="str">
        <f>'Front page'!A41</f>
        <v>cromolyn-1µg/L + Testostérone</v>
      </c>
      <c r="V4" s="20" t="str">
        <f>'Front page'!A42</f>
        <v>cromolyn-0.1µg/L + Testostérone</v>
      </c>
    </row>
    <row r="5" spans="1:22">
      <c r="A5" s="148" t="s">
        <v>16</v>
      </c>
      <c r="B5" s="16">
        <v>54117</v>
      </c>
      <c r="C5" s="16">
        <v>2398030</v>
      </c>
      <c r="D5" s="16">
        <v>2149316</v>
      </c>
      <c r="E5" s="16">
        <v>8003766</v>
      </c>
      <c r="F5" s="16">
        <v>7142867</v>
      </c>
      <c r="G5" s="16">
        <v>19217393</v>
      </c>
      <c r="H5" s="16">
        <v>14122082</v>
      </c>
      <c r="I5" s="16">
        <v>331658</v>
      </c>
      <c r="J5" s="16">
        <v>427030</v>
      </c>
      <c r="K5" s="12">
        <v>1433290</v>
      </c>
      <c r="L5" s="12">
        <v>1351562</v>
      </c>
      <c r="M5" s="12">
        <v>3360910</v>
      </c>
      <c r="N5" s="12"/>
      <c r="O5" s="16">
        <v>7742245</v>
      </c>
      <c r="P5" s="12">
        <v>20750818</v>
      </c>
      <c r="Q5" s="12">
        <v>390972</v>
      </c>
      <c r="R5" s="16">
        <v>4857582</v>
      </c>
      <c r="S5" s="16">
        <v>16399830</v>
      </c>
      <c r="T5" s="16">
        <v>15216299</v>
      </c>
      <c r="U5" s="16">
        <v>1420096</v>
      </c>
      <c r="V5" s="16">
        <v>16314421</v>
      </c>
    </row>
    <row r="6" spans="1:22" ht="16.5">
      <c r="A6" s="148"/>
      <c r="B6" s="13">
        <v>3188123</v>
      </c>
      <c r="C6" s="12">
        <v>4956223</v>
      </c>
      <c r="D6" s="16">
        <v>1487841</v>
      </c>
      <c r="E6" s="16">
        <v>5562752</v>
      </c>
      <c r="F6" s="16">
        <v>5971228</v>
      </c>
      <c r="G6" s="16">
        <v>5383807</v>
      </c>
      <c r="H6" s="16">
        <v>26942560</v>
      </c>
      <c r="I6" s="16">
        <v>2299465</v>
      </c>
      <c r="J6" s="16">
        <v>1759260</v>
      </c>
      <c r="K6" s="12">
        <v>1985765</v>
      </c>
      <c r="L6" s="12">
        <v>2464851</v>
      </c>
      <c r="M6" s="12">
        <v>950923</v>
      </c>
      <c r="N6" s="12"/>
      <c r="O6" s="16">
        <v>5090050</v>
      </c>
      <c r="P6" s="12">
        <v>19774036</v>
      </c>
      <c r="Q6" s="12">
        <v>2195022</v>
      </c>
      <c r="R6" s="16">
        <v>2743564</v>
      </c>
      <c r="S6" s="16">
        <v>9687312</v>
      </c>
      <c r="T6" s="16">
        <v>7767529</v>
      </c>
      <c r="U6" s="16">
        <v>7310839</v>
      </c>
      <c r="V6" s="16">
        <v>10459713</v>
      </c>
    </row>
    <row r="7" spans="1:22" ht="16.5">
      <c r="A7" s="148"/>
      <c r="B7" s="13">
        <v>1347792</v>
      </c>
      <c r="C7" s="12">
        <v>9230</v>
      </c>
      <c r="D7" s="16">
        <v>3658187</v>
      </c>
      <c r="E7" s="16">
        <v>6721422</v>
      </c>
      <c r="F7" s="16">
        <v>10010714</v>
      </c>
      <c r="G7" s="16">
        <v>7130414</v>
      </c>
      <c r="H7" s="16">
        <v>9822402</v>
      </c>
      <c r="I7" s="16">
        <v>1181452</v>
      </c>
      <c r="J7" s="16">
        <v>846172</v>
      </c>
      <c r="K7" s="12">
        <v>869622</v>
      </c>
      <c r="L7" s="12">
        <v>866373</v>
      </c>
      <c r="M7" s="12">
        <v>3256759</v>
      </c>
      <c r="N7" s="12"/>
      <c r="O7" s="16">
        <v>11232083</v>
      </c>
      <c r="P7" s="12">
        <v>11846225</v>
      </c>
      <c r="Q7" s="12">
        <v>1773488</v>
      </c>
      <c r="R7" s="16">
        <v>13098206</v>
      </c>
      <c r="S7" s="16">
        <v>7312554</v>
      </c>
      <c r="T7" s="16">
        <v>9437816</v>
      </c>
      <c r="U7" s="16">
        <v>9564482</v>
      </c>
      <c r="V7" s="16">
        <v>13974536</v>
      </c>
    </row>
    <row r="8" spans="1:22" ht="16.5">
      <c r="A8" s="148"/>
      <c r="B8" s="13">
        <v>2578161</v>
      </c>
      <c r="C8" s="12">
        <v>195749</v>
      </c>
      <c r="D8" s="16">
        <v>1651231</v>
      </c>
      <c r="E8" s="16">
        <v>5811782</v>
      </c>
      <c r="F8" s="16">
        <v>8916558</v>
      </c>
      <c r="G8" s="16">
        <v>16038178</v>
      </c>
      <c r="H8" s="16">
        <v>20789308</v>
      </c>
      <c r="I8" s="16">
        <v>1582780</v>
      </c>
      <c r="J8" s="16">
        <v>5755298</v>
      </c>
      <c r="K8" s="12">
        <v>1439838</v>
      </c>
      <c r="L8" s="12">
        <v>1093657</v>
      </c>
      <c r="M8" s="12">
        <v>2365471</v>
      </c>
      <c r="N8" s="12"/>
      <c r="O8" s="16">
        <v>4643689</v>
      </c>
      <c r="P8" s="12">
        <v>7825005</v>
      </c>
      <c r="Q8" s="12">
        <v>758334</v>
      </c>
      <c r="R8" s="16">
        <v>8114629</v>
      </c>
      <c r="S8" s="16">
        <v>11549646</v>
      </c>
      <c r="T8" s="16">
        <v>5121360</v>
      </c>
      <c r="U8" s="16">
        <v>6041775</v>
      </c>
      <c r="V8" s="16">
        <v>17079598</v>
      </c>
    </row>
    <row r="9" spans="1:22" ht="16.5">
      <c r="A9" s="148"/>
      <c r="B9" s="13">
        <v>2333980</v>
      </c>
      <c r="C9" s="12">
        <v>2009732</v>
      </c>
      <c r="D9" s="16">
        <v>2318740</v>
      </c>
      <c r="E9" s="16">
        <v>5293350</v>
      </c>
      <c r="F9" s="16">
        <v>9609875</v>
      </c>
      <c r="G9" s="16">
        <v>9459343</v>
      </c>
      <c r="H9" s="16">
        <v>26998927</v>
      </c>
      <c r="I9" s="16">
        <v>1669330</v>
      </c>
      <c r="J9" s="16">
        <v>243870</v>
      </c>
      <c r="K9" s="12">
        <v>1842362</v>
      </c>
      <c r="L9" s="12">
        <v>2047087</v>
      </c>
      <c r="M9" s="12">
        <v>2277034</v>
      </c>
      <c r="N9" s="12"/>
      <c r="O9" s="16">
        <v>11237334</v>
      </c>
      <c r="P9" s="12">
        <v>13711370</v>
      </c>
      <c r="Q9" s="12">
        <v>1902104</v>
      </c>
      <c r="R9" s="16">
        <v>5607863</v>
      </c>
      <c r="S9" s="16">
        <v>3655644</v>
      </c>
      <c r="T9" s="16">
        <v>7704011</v>
      </c>
      <c r="U9" s="16">
        <v>5076584</v>
      </c>
      <c r="V9" s="16">
        <v>10227485</v>
      </c>
    </row>
    <row r="10" spans="1:22" ht="16.5">
      <c r="A10" s="148"/>
      <c r="B10" s="13">
        <v>283124</v>
      </c>
      <c r="C10" s="12">
        <v>472417</v>
      </c>
      <c r="D10" s="16">
        <v>90788</v>
      </c>
      <c r="E10" s="16">
        <v>2406106</v>
      </c>
      <c r="F10" s="16">
        <v>11345554</v>
      </c>
      <c r="G10" s="16">
        <v>19731487</v>
      </c>
      <c r="H10" s="16">
        <v>22952872</v>
      </c>
      <c r="I10" s="16">
        <v>7876621</v>
      </c>
      <c r="J10" s="16">
        <v>2997315</v>
      </c>
      <c r="K10" s="12">
        <v>178603</v>
      </c>
      <c r="L10" s="12">
        <v>4711258</v>
      </c>
      <c r="M10" s="12">
        <v>490636</v>
      </c>
      <c r="N10" s="12"/>
      <c r="O10" s="16">
        <v>2409423</v>
      </c>
      <c r="P10" s="12">
        <v>9110594</v>
      </c>
      <c r="Q10" s="12">
        <v>447887</v>
      </c>
      <c r="R10" s="16">
        <v>6299866</v>
      </c>
      <c r="S10" s="16">
        <v>13286019</v>
      </c>
      <c r="T10" s="16">
        <v>20551473</v>
      </c>
      <c r="U10" s="16">
        <v>11581509</v>
      </c>
      <c r="V10" s="16">
        <v>15404161</v>
      </c>
    </row>
    <row r="11" spans="1:22" ht="16.5">
      <c r="A11" s="148"/>
      <c r="B11" s="13">
        <v>1157536</v>
      </c>
      <c r="C11" s="12">
        <v>2821945</v>
      </c>
      <c r="D11" s="16">
        <v>982162</v>
      </c>
      <c r="E11" s="16">
        <v>5715329</v>
      </c>
      <c r="F11" s="16">
        <v>4041994</v>
      </c>
      <c r="G11" s="16">
        <v>14482236</v>
      </c>
      <c r="H11" s="16">
        <v>19582869</v>
      </c>
      <c r="I11" s="16">
        <v>3336835</v>
      </c>
      <c r="J11" s="16">
        <v>170380</v>
      </c>
      <c r="K11" s="12">
        <v>2266097</v>
      </c>
      <c r="L11" s="12">
        <v>2634427</v>
      </c>
      <c r="M11" s="12">
        <v>1060712</v>
      </c>
      <c r="N11" s="12"/>
      <c r="O11" s="16">
        <v>8463481</v>
      </c>
      <c r="P11" s="12">
        <v>9604862</v>
      </c>
      <c r="Q11" s="12">
        <v>141761</v>
      </c>
      <c r="R11" s="16">
        <v>20750188</v>
      </c>
      <c r="S11" s="16">
        <v>6153581</v>
      </c>
      <c r="T11" s="16">
        <v>15266372</v>
      </c>
      <c r="U11" s="16">
        <v>22117600</v>
      </c>
      <c r="V11" s="16">
        <v>5666867</v>
      </c>
    </row>
    <row r="12" spans="1:22" ht="16.5">
      <c r="A12" s="148"/>
      <c r="B12" s="13">
        <v>336057</v>
      </c>
      <c r="C12" s="12">
        <v>888525</v>
      </c>
      <c r="D12" s="16">
        <v>2351732</v>
      </c>
      <c r="E12" s="16">
        <v>3757657</v>
      </c>
      <c r="F12" s="16">
        <v>9414925</v>
      </c>
      <c r="G12" s="16">
        <v>9169785</v>
      </c>
      <c r="H12" s="16">
        <v>11608278</v>
      </c>
      <c r="I12" s="16">
        <v>310467</v>
      </c>
      <c r="J12" s="16">
        <v>1677877</v>
      </c>
      <c r="K12" s="12">
        <v>6175525</v>
      </c>
      <c r="L12" s="12">
        <v>998819</v>
      </c>
      <c r="M12" s="12">
        <v>3844519</v>
      </c>
      <c r="N12" s="12"/>
      <c r="O12" s="16">
        <v>2534619</v>
      </c>
      <c r="P12" s="12"/>
      <c r="Q12" s="12">
        <v>2654266</v>
      </c>
      <c r="R12" s="16">
        <v>9959595</v>
      </c>
      <c r="S12" s="16">
        <v>7821526</v>
      </c>
      <c r="T12" s="16">
        <v>10607568</v>
      </c>
      <c r="U12" s="16">
        <v>14861724</v>
      </c>
      <c r="V12" s="16"/>
    </row>
    <row r="13" spans="1:22" ht="16.5">
      <c r="A13" s="148"/>
      <c r="B13" s="13"/>
      <c r="C13" s="12"/>
      <c r="D13" s="16"/>
      <c r="E13" s="16"/>
      <c r="F13" s="16"/>
      <c r="G13" s="16"/>
      <c r="H13" s="16"/>
      <c r="I13" s="16"/>
      <c r="J13" s="16"/>
      <c r="K13" s="12"/>
      <c r="L13" s="12"/>
      <c r="M13" s="12"/>
      <c r="N13" s="12"/>
      <c r="O13" s="16">
        <v>8249170</v>
      </c>
      <c r="P13" s="12"/>
      <c r="Q13" s="12"/>
      <c r="R13" s="16"/>
      <c r="S13" s="16"/>
      <c r="T13" s="16"/>
      <c r="U13" s="16"/>
      <c r="V13" s="16"/>
    </row>
    <row r="14" spans="1:22" ht="16.5">
      <c r="A14" s="148"/>
      <c r="B14" s="13"/>
      <c r="C14" s="16"/>
      <c r="D14" s="16"/>
      <c r="E14" s="16"/>
      <c r="F14" s="16"/>
      <c r="G14" s="16"/>
      <c r="H14" s="16"/>
      <c r="I14" s="16"/>
      <c r="J14" s="16"/>
      <c r="K14" s="12"/>
      <c r="L14" s="12"/>
      <c r="M14" s="12"/>
      <c r="N14" s="12"/>
      <c r="O14" s="16">
        <v>4382841</v>
      </c>
      <c r="P14" s="12"/>
      <c r="Q14" s="12"/>
      <c r="R14" s="16"/>
      <c r="S14" s="16"/>
      <c r="T14" s="16"/>
      <c r="U14" s="16"/>
      <c r="V14" s="16"/>
    </row>
    <row r="15" spans="1:22" ht="16.5">
      <c r="A15" s="148"/>
      <c r="B15" s="13"/>
      <c r="C15" s="16"/>
      <c r="D15" s="16"/>
      <c r="E15" s="16"/>
      <c r="F15" s="16"/>
      <c r="G15" s="16"/>
      <c r="H15" s="16"/>
      <c r="I15" s="16"/>
      <c r="J15" s="16"/>
      <c r="K15" s="12"/>
      <c r="L15" s="12"/>
      <c r="M15" s="12"/>
      <c r="N15" s="12"/>
      <c r="O15" s="16">
        <v>318418</v>
      </c>
      <c r="P15" s="12"/>
      <c r="Q15" s="12"/>
      <c r="R15" s="16"/>
      <c r="S15" s="16"/>
      <c r="T15" s="16"/>
      <c r="U15" s="16"/>
      <c r="V15" s="16"/>
    </row>
    <row r="16" spans="1:22" ht="16.5">
      <c r="A16" s="148"/>
      <c r="B16" s="13"/>
      <c r="C16" s="16"/>
      <c r="D16" s="16"/>
      <c r="E16" s="16"/>
      <c r="F16" s="16"/>
      <c r="G16" s="16"/>
      <c r="H16" s="16"/>
      <c r="I16" s="16"/>
      <c r="J16" s="16"/>
      <c r="K16" s="12"/>
      <c r="L16" s="12"/>
      <c r="M16" s="12"/>
      <c r="N16" s="12"/>
      <c r="O16" s="16">
        <v>3286820</v>
      </c>
      <c r="P16" s="12"/>
      <c r="Q16" s="12"/>
      <c r="R16" s="16"/>
      <c r="S16" s="16"/>
      <c r="T16" s="16"/>
      <c r="U16" s="16"/>
      <c r="V16" s="16"/>
    </row>
    <row r="17" spans="1:22" ht="16.5">
      <c r="A17" s="148"/>
      <c r="B17" s="13"/>
      <c r="C17" s="16"/>
      <c r="D17" s="16"/>
      <c r="E17" s="16"/>
      <c r="F17" s="16"/>
      <c r="G17" s="16"/>
      <c r="H17" s="16"/>
      <c r="I17" s="16"/>
      <c r="J17" s="16"/>
      <c r="K17" s="12"/>
      <c r="L17" s="12"/>
      <c r="M17" s="12"/>
      <c r="N17" s="12"/>
      <c r="O17" s="16">
        <v>6082691</v>
      </c>
      <c r="P17" s="12"/>
      <c r="Q17" s="12"/>
      <c r="R17" s="16"/>
      <c r="S17" s="16"/>
      <c r="T17" s="16"/>
      <c r="U17" s="16"/>
      <c r="V17" s="16"/>
    </row>
    <row r="18" spans="1:22" ht="16.5">
      <c r="A18" s="148"/>
      <c r="B18" s="13"/>
      <c r="C18" s="16"/>
      <c r="D18" s="16"/>
      <c r="E18" s="16"/>
      <c r="F18" s="16"/>
      <c r="G18" s="16"/>
      <c r="H18" s="16"/>
      <c r="I18" s="16"/>
      <c r="J18" s="16"/>
      <c r="K18" s="12"/>
      <c r="L18" s="12"/>
      <c r="M18" s="12"/>
      <c r="N18" s="12"/>
      <c r="O18" s="16">
        <v>12158904</v>
      </c>
      <c r="P18" s="12"/>
      <c r="Q18" s="12"/>
      <c r="R18" s="16"/>
      <c r="S18" s="16"/>
      <c r="T18" s="16"/>
      <c r="U18" s="16"/>
      <c r="V18" s="16"/>
    </row>
    <row r="19" spans="1:22" ht="16.5">
      <c r="A19" s="148"/>
      <c r="B19" s="13"/>
      <c r="C19" s="16"/>
      <c r="D19" s="16"/>
      <c r="E19" s="16"/>
      <c r="F19" s="16"/>
      <c r="G19" s="16"/>
      <c r="H19" s="16"/>
      <c r="I19" s="16"/>
      <c r="J19" s="16"/>
      <c r="K19" s="12"/>
      <c r="L19" s="12"/>
      <c r="M19" s="12"/>
      <c r="N19" s="12"/>
      <c r="O19" s="16">
        <v>1837402</v>
      </c>
      <c r="P19" s="12"/>
      <c r="Q19" s="12"/>
      <c r="R19" s="16"/>
      <c r="S19" s="16"/>
      <c r="T19" s="16"/>
      <c r="U19" s="16"/>
      <c r="V19" s="16"/>
    </row>
    <row r="20" spans="1:22" ht="16.5">
      <c r="A20" s="148"/>
      <c r="B20" s="13"/>
      <c r="C20" s="16"/>
      <c r="D20" s="16"/>
      <c r="E20" s="16"/>
      <c r="F20" s="16"/>
      <c r="G20" s="16"/>
      <c r="H20" s="16"/>
      <c r="I20" s="16"/>
      <c r="J20" s="16"/>
      <c r="K20" s="12"/>
      <c r="L20" s="12"/>
      <c r="M20" s="12"/>
      <c r="N20" s="12"/>
      <c r="O20" s="16">
        <v>7499758</v>
      </c>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cromolyn-1000µg/L</v>
      </c>
      <c r="J22" s="3" t="str">
        <f t="shared" si="0"/>
        <v>cromolyn-100µg/L</v>
      </c>
      <c r="K22" s="3" t="str">
        <f t="shared" si="0"/>
        <v>cromolyn-10µg/L</v>
      </c>
      <c r="L22" s="3" t="str">
        <f t="shared" si="0"/>
        <v>cromolyn-1µg/L</v>
      </c>
      <c r="M22" s="3" t="str">
        <f t="shared" si="0"/>
        <v>cromolyn-0.1µg/L</v>
      </c>
      <c r="N22" s="3" t="str">
        <f t="shared" si="0"/>
        <v/>
      </c>
      <c r="O22" s="3" t="str">
        <f t="shared" si="0"/>
        <v>Testo -30µg/L</v>
      </c>
      <c r="P22" s="3" t="str">
        <f t="shared" si="0"/>
        <v>Testo 30µg/L + EE2 -64ng/L</v>
      </c>
      <c r="Q22" s="3" t="str">
        <f t="shared" si="0"/>
        <v>Testo 30µg/L + FAD-10mg/L</v>
      </c>
      <c r="R22" s="3" t="str">
        <f t="shared" si="0"/>
        <v>cromolyn-1000µg/L + Testostérone</v>
      </c>
      <c r="S22" s="3" t="str">
        <f t="shared" si="0"/>
        <v>cromolyn-100µg/L + Testostérone</v>
      </c>
      <c r="T22" s="3" t="str">
        <f t="shared" si="0"/>
        <v>cromolyn-10µg/L + Testostérone</v>
      </c>
      <c r="U22" s="3" t="str">
        <f t="shared" si="0"/>
        <v>cromolyn-1µg/L + Testostérone</v>
      </c>
      <c r="V22" s="3" t="str">
        <f t="shared" si="0"/>
        <v>cromolyn-0.1µg/L + Testostérone</v>
      </c>
    </row>
    <row r="23" spans="1:22">
      <c r="A23" s="5" t="s">
        <v>0</v>
      </c>
      <c r="B23" s="5">
        <f t="shared" ref="B23:J23" si="1">AVERAGE(B5:B20)</f>
        <v>1409861.25</v>
      </c>
      <c r="C23" s="5">
        <f t="shared" si="1"/>
        <v>1718981.375</v>
      </c>
      <c r="D23" s="5">
        <f t="shared" si="1"/>
        <v>1836249.625</v>
      </c>
      <c r="E23" s="5">
        <f t="shared" si="1"/>
        <v>5409020.5</v>
      </c>
      <c r="F23" s="5">
        <f t="shared" si="1"/>
        <v>8306714.375</v>
      </c>
      <c r="G23" s="5">
        <f t="shared" si="1"/>
        <v>12576580.375</v>
      </c>
      <c r="H23" s="5">
        <f t="shared" si="1"/>
        <v>19102412.25</v>
      </c>
      <c r="I23" s="5">
        <f t="shared" si="1"/>
        <v>2323576</v>
      </c>
      <c r="J23" s="5">
        <f t="shared" si="1"/>
        <v>1734650.25</v>
      </c>
      <c r="K23" s="5"/>
      <c r="L23" s="5">
        <f>AVERAGE(L5:L20)</f>
        <v>2021004.25</v>
      </c>
      <c r="M23" s="5"/>
      <c r="N23" s="5" t="e">
        <f>AVERAGE(N5:N20)</f>
        <v>#DIV/0!</v>
      </c>
      <c r="O23" s="5">
        <f>AVERAGE(O5:O20)</f>
        <v>6073058</v>
      </c>
      <c r="P23" s="5">
        <f>AVERAGE(P5:P20)</f>
        <v>13231844.285714285</v>
      </c>
      <c r="Q23" s="5">
        <f>AVERAGE(Q5:Q20)</f>
        <v>1282979.25</v>
      </c>
      <c r="R23" s="5">
        <f>AVERAGE(R5:R20)</f>
        <v>8928936.625</v>
      </c>
      <c r="S23" s="5">
        <f>AVERAGE(S5:S20)</f>
        <v>9483264</v>
      </c>
      <c r="T23" s="5">
        <f t="shared" ref="T23:V23" si="2">AVERAGE(T5:T20)</f>
        <v>11459053.5</v>
      </c>
      <c r="U23" s="5">
        <f t="shared" si="2"/>
        <v>9746826.125</v>
      </c>
      <c r="V23" s="5">
        <f t="shared" si="2"/>
        <v>12732397.285714285</v>
      </c>
    </row>
    <row r="24" spans="1:22">
      <c r="A24" s="3" t="s">
        <v>1</v>
      </c>
      <c r="B24" s="3">
        <f t="shared" ref="B24:J24" si="3">STDEV(B5:B20)</f>
        <v>1177727.2370551862</v>
      </c>
      <c r="C24" s="3">
        <f t="shared" si="3"/>
        <v>1678816.4292619061</v>
      </c>
      <c r="D24" s="3">
        <f t="shared" si="3"/>
        <v>1058820.6250067556</v>
      </c>
      <c r="E24" s="3">
        <f t="shared" si="3"/>
        <v>1711000.274364677</v>
      </c>
      <c r="F24" s="3">
        <f t="shared" si="3"/>
        <v>2403369.8317268095</v>
      </c>
      <c r="G24" s="3">
        <f t="shared" si="3"/>
        <v>5524328.0547933225</v>
      </c>
      <c r="H24" s="3">
        <f t="shared" si="3"/>
        <v>6641962.7690846827</v>
      </c>
      <c r="I24" s="3">
        <f t="shared" si="3"/>
        <v>2454302.1368184132</v>
      </c>
      <c r="J24" s="3">
        <f t="shared" si="3"/>
        <v>1887265.2523820773</v>
      </c>
      <c r="K24" s="3"/>
      <c r="L24" s="3">
        <f>STDEV(L5:L20)</f>
        <v>1281605.8461333078</v>
      </c>
      <c r="M24" s="3"/>
      <c r="N24" s="3" t="e">
        <f>STDEV(N5:N20)</f>
        <v>#DIV/0!</v>
      </c>
      <c r="O24" s="3">
        <f>STDEV(O5:O20)</f>
        <v>3616839.6424455796</v>
      </c>
      <c r="P24" s="3">
        <f>STDEV(P5:P20)</f>
        <v>5177817.0969711663</v>
      </c>
      <c r="Q24" s="3">
        <f>STDEV(Q5:Q20)</f>
        <v>956694.55873450765</v>
      </c>
      <c r="R24" s="3">
        <f>STDEV(R5:R20)</f>
        <v>5752346.7279867595</v>
      </c>
      <c r="S24" s="3">
        <f>STDEV(S5:S20)</f>
        <v>4125403.8730120887</v>
      </c>
      <c r="T24" s="3">
        <f t="shared" ref="T24:V24" si="4">STDEV(T5:T20)</f>
        <v>5126808.3230722183</v>
      </c>
      <c r="U24" s="3">
        <f t="shared" si="4"/>
        <v>6474174.7445693677</v>
      </c>
      <c r="V24" s="3">
        <f t="shared" si="4"/>
        <v>4118488.3049992486</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cromolyn-1000µg/L</v>
      </c>
      <c r="J27" s="19" t="str">
        <f t="shared" si="5"/>
        <v>cromolyn-100µg/L</v>
      </c>
      <c r="K27" s="19" t="str">
        <f t="shared" si="5"/>
        <v>cromolyn-10µg/L</v>
      </c>
      <c r="L27" s="19" t="str">
        <f t="shared" si="5"/>
        <v>cromolyn-1µg/L</v>
      </c>
      <c r="M27" s="19" t="str">
        <f t="shared" si="5"/>
        <v>cromolyn-0.1µg/L</v>
      </c>
      <c r="N27" s="19" t="str">
        <f t="shared" si="5"/>
        <v/>
      </c>
      <c r="O27" s="20" t="str">
        <f>O4</f>
        <v>Testo -30µg/L</v>
      </c>
      <c r="P27" s="20" t="str">
        <f t="shared" ref="P27:R27" si="6">P4</f>
        <v>Testo 30µg/L + EE2 -64ng/L</v>
      </c>
      <c r="Q27" s="20" t="str">
        <f t="shared" si="6"/>
        <v>Testo 30µg/L + FAD-10mg/L</v>
      </c>
      <c r="R27" s="20" t="str">
        <f t="shared" si="6"/>
        <v>cromolyn-1000µg/L + Testostérone</v>
      </c>
      <c r="S27" s="20" t="str">
        <f t="shared" ref="S27:V27" si="7">S4</f>
        <v>cromolyn-100µg/L + Testostérone</v>
      </c>
      <c r="T27" s="20" t="str">
        <f t="shared" si="7"/>
        <v>cromolyn-10µg/L + Testostérone</v>
      </c>
      <c r="U27" s="20" t="str">
        <f t="shared" si="7"/>
        <v>cromolyn-1µg/L + Testostérone</v>
      </c>
      <c r="V27" s="20" t="str">
        <f t="shared" si="7"/>
        <v>cromolyn-0.1µg/L + Testostérone</v>
      </c>
    </row>
    <row r="28" spans="1:22">
      <c r="A28" s="149" t="s">
        <v>17</v>
      </c>
      <c r="B28" s="10">
        <f>IF(B5="","",(B5/$O$23))</f>
        <v>8.9109967334413728E-3</v>
      </c>
      <c r="C28" s="10">
        <f>IF(C5="","",(C5/$O$23))</f>
        <v>0.39486367493937979</v>
      </c>
      <c r="D28" s="10">
        <f>IF(D5="","",(D5/$O$23))</f>
        <v>0.3539100071166783</v>
      </c>
      <c r="E28" s="10">
        <f>IF(E5="","",(E5/$O$23))</f>
        <v>1.3179136441641097</v>
      </c>
      <c r="F28" s="10">
        <f>IF(F5="","",(F5/$O$23))</f>
        <v>1.1761565590185372</v>
      </c>
      <c r="G28" s="10">
        <f>IF(G5="","",(G5/$O$23))</f>
        <v>3.1643684285577383</v>
      </c>
      <c r="H28" s="10">
        <f>IF(H5="","",(H5/$O$23))</f>
        <v>2.3253659029767211</v>
      </c>
      <c r="I28" s="10">
        <f>IF(I5="","",(I5/$O$23))</f>
        <v>5.4611367123449175E-2</v>
      </c>
      <c r="J28" s="10">
        <f>IF(J5="","",(J5/$O$23))</f>
        <v>7.0315481920310993E-2</v>
      </c>
      <c r="K28" s="10">
        <f>IF(K5="","",(K5/$O$23))</f>
        <v>0.23600795513561701</v>
      </c>
      <c r="L28" s="10">
        <f>IF(L5="","",(L5/$O$23))</f>
        <v>0.22255048445116118</v>
      </c>
      <c r="M28" s="10">
        <f>IF(M5="","",(M5/$O$23))</f>
        <v>0.55341312399782783</v>
      </c>
      <c r="N28" s="10" t="str">
        <f>IF(N5="","",(N5/$O$23))</f>
        <v/>
      </c>
      <c r="O28" s="10">
        <f t="shared" ref="O28:S37" si="8">IF(O5="","",(O5/$O$23))</f>
        <v>1.2748511540643939</v>
      </c>
      <c r="P28" s="10">
        <f t="shared" si="8"/>
        <v>3.4168647821245903</v>
      </c>
      <c r="Q28" s="10">
        <f t="shared" si="8"/>
        <v>6.4378110665170657E-2</v>
      </c>
      <c r="R28" s="10">
        <f t="shared" si="8"/>
        <v>0.79985766643427414</v>
      </c>
      <c r="S28" s="10">
        <f t="shared" si="8"/>
        <v>2.7004237403956952</v>
      </c>
      <c r="T28" s="10">
        <f t="shared" ref="T28:V28" si="9">IF(T5="","",(T5/$O$23))</f>
        <v>2.5055415245499053</v>
      </c>
      <c r="U28" s="10">
        <f t="shared" si="9"/>
        <v>0.2338354087841743</v>
      </c>
      <c r="V28" s="10">
        <f t="shared" si="9"/>
        <v>2.6863601500265601</v>
      </c>
    </row>
    <row r="29" spans="1:22">
      <c r="A29" s="149"/>
      <c r="B29" s="10">
        <f>IF(B6="","",(B6/$O$23))</f>
        <v>0.52496172438992017</v>
      </c>
      <c r="C29" s="10">
        <f>IF(C6="","",(C6/$O$23))</f>
        <v>0.81610006029911131</v>
      </c>
      <c r="D29" s="10">
        <f>IF(D6="","",(D6/$O$23))</f>
        <v>0.24499041504296518</v>
      </c>
      <c r="E29" s="10">
        <f>IF(E6="","",(E6/$O$23))</f>
        <v>0.91597215109751962</v>
      </c>
      <c r="F29" s="10">
        <f>IF(F6="","",(F6/$O$23))</f>
        <v>0.98323250000246998</v>
      </c>
      <c r="G29" s="10">
        <f>IF(G6="","",(G6/$O$23))</f>
        <v>0.88650676479625257</v>
      </c>
      <c r="H29" s="10">
        <f>IF(H6="","",(H6/$O$23))</f>
        <v>4.4364074902627308</v>
      </c>
      <c r="I29" s="10">
        <f>IF(I6="","",(I6/$O$23))</f>
        <v>0.37863379536306091</v>
      </c>
      <c r="J29" s="10">
        <f>IF(J6="","",(J6/$O$23))</f>
        <v>0.2896827265604906</v>
      </c>
      <c r="K29" s="10">
        <f>IF(K6="","",(K6/$O$23))</f>
        <v>0.32697942288711879</v>
      </c>
      <c r="L29" s="10">
        <f>IF(L6="","",(L6/$O$23))</f>
        <v>0.40586653379565946</v>
      </c>
      <c r="M29" s="10">
        <f>IF(M6="","",(M6/$O$23))</f>
        <v>0.15658058921880871</v>
      </c>
      <c r="N29" s="10" t="str">
        <f>IF(N6="","",(N6/$O$23))</f>
        <v/>
      </c>
      <c r="O29" s="10">
        <f t="shared" si="8"/>
        <v>0.83813624042451096</v>
      </c>
      <c r="P29" s="10">
        <f t="shared" si="8"/>
        <v>3.2560262062374505</v>
      </c>
      <c r="Q29" s="10">
        <f t="shared" si="8"/>
        <v>0.36143603436687088</v>
      </c>
      <c r="R29" s="10">
        <f t="shared" si="8"/>
        <v>0.45175988768755376</v>
      </c>
      <c r="S29" s="10">
        <f t="shared" si="8"/>
        <v>1.5951291754499957</v>
      </c>
      <c r="T29" s="10">
        <f t="shared" ref="T29:V29" si="10">IF(T6="","",(T6/$O$23))</f>
        <v>1.2790144602603828</v>
      </c>
      <c r="U29" s="10">
        <f t="shared" si="10"/>
        <v>1.2038151125841381</v>
      </c>
      <c r="V29" s="10">
        <f t="shared" si="10"/>
        <v>1.7223140302628428</v>
      </c>
    </row>
    <row r="30" spans="1:22">
      <c r="A30" s="149"/>
      <c r="B30" s="10">
        <f>IF(B7="","",(B7/$O$23))</f>
        <v>0.2219297098759801</v>
      </c>
      <c r="C30" s="10">
        <f>IF(C7="","",(C7/$O$23))</f>
        <v>1.5198274082019307E-3</v>
      </c>
      <c r="D30" s="10">
        <f>IF(D7="","",(D7/$O$23))</f>
        <v>0.60236325752199305</v>
      </c>
      <c r="E30" s="10">
        <f>IF(E7="","",(E7/$O$23))</f>
        <v>1.1067607126426258</v>
      </c>
      <c r="F30" s="10">
        <f>IF(F7="","",(F7/$O$23))</f>
        <v>1.6483810956523057</v>
      </c>
      <c r="G30" s="10">
        <f>IF(G7="","",(G7/$O$23))</f>
        <v>1.1741060269801473</v>
      </c>
      <c r="H30" s="10">
        <f>IF(H7="","",(H7/$O$23))</f>
        <v>1.6173733232911656</v>
      </c>
      <c r="I30" s="10">
        <f>IF(I7="","",(I7/$O$23))</f>
        <v>0.19453988419013946</v>
      </c>
      <c r="J30" s="10">
        <f>IF(J7="","",(J7/$O$23))</f>
        <v>0.13933211242178159</v>
      </c>
      <c r="K30" s="10">
        <f>IF(K7="","",(K7/$O$23))</f>
        <v>0.14319342907642246</v>
      </c>
      <c r="L30" s="10">
        <f>IF(L7="","",(L7/$O$23))</f>
        <v>0.14265844324226773</v>
      </c>
      <c r="M30" s="10">
        <f>IF(M7="","",(M7/$O$23))</f>
        <v>0.53626344421541838</v>
      </c>
      <c r="N30" s="10" t="str">
        <f>IF(N7="","",(N7/$O$23))</f>
        <v/>
      </c>
      <c r="O30" s="10">
        <f t="shared" si="8"/>
        <v>1.8494937805632681</v>
      </c>
      <c r="P30" s="10">
        <f t="shared" si="8"/>
        <v>1.9506194408154838</v>
      </c>
      <c r="Q30" s="10">
        <f t="shared" si="8"/>
        <v>0.29202553310045781</v>
      </c>
      <c r="R30" s="10">
        <f t="shared" si="8"/>
        <v>2.15677274941224</v>
      </c>
      <c r="S30" s="10">
        <f t="shared" si="8"/>
        <v>1.2040975073842535</v>
      </c>
      <c r="T30" s="10">
        <f t="shared" ref="T30:V30" si="11">IF(T7="","",(T7/$O$23))</f>
        <v>1.5540467421849091</v>
      </c>
      <c r="U30" s="10">
        <f t="shared" si="11"/>
        <v>1.574903779940847</v>
      </c>
      <c r="V30" s="10">
        <f t="shared" si="11"/>
        <v>2.3010707291120882</v>
      </c>
    </row>
    <row r="31" spans="1:22">
      <c r="A31" s="149"/>
      <c r="B31" s="10">
        <f>IF(B8="","",(B8/$O$23))</f>
        <v>0.42452435000620775</v>
      </c>
      <c r="C31" s="10">
        <f>IF(C8="","",(C8/$O$23))</f>
        <v>3.2232361357326079E-2</v>
      </c>
      <c r="D31" s="10">
        <f>IF(D8="","",(D8/$O$23))</f>
        <v>0.27189448874026889</v>
      </c>
      <c r="E31" s="10">
        <f>IF(E8="","",(E8/$O$23))</f>
        <v>0.95697785201458641</v>
      </c>
      <c r="F31" s="10">
        <f>IF(F8="","",(F8/$O$23))</f>
        <v>1.468215518442274</v>
      </c>
      <c r="G31" s="10">
        <f>IF(G8="","",(G8/$O$23))</f>
        <v>2.6408735105115082</v>
      </c>
      <c r="H31" s="10">
        <f>IF(H8="","",(H8/$O$23))</f>
        <v>3.4232026106123143</v>
      </c>
      <c r="I31" s="10">
        <f>IF(I8="","",(I8/$O$23))</f>
        <v>0.26062323132761123</v>
      </c>
      <c r="J31" s="10">
        <f>IF(J8="","",(J8/$O$23))</f>
        <v>0.94767710105847824</v>
      </c>
      <c r="K31" s="10">
        <f>IF(K8="","",(K8/$O$23))</f>
        <v>0.23708615988847792</v>
      </c>
      <c r="L31" s="10">
        <f>IF(L8="","",(L8/$O$23))</f>
        <v>0.1800834110262079</v>
      </c>
      <c r="M31" s="10">
        <f>IF(M8="","",(M8/$O$23))</f>
        <v>0.38950245494115154</v>
      </c>
      <c r="N31" s="10" t="str">
        <f>IF(N8="","",(N8/$O$23))</f>
        <v/>
      </c>
      <c r="O31" s="10">
        <f t="shared" si="8"/>
        <v>0.76463768335490956</v>
      </c>
      <c r="P31" s="10">
        <f t="shared" si="8"/>
        <v>1.2884785556139922</v>
      </c>
      <c r="Q31" s="10">
        <f t="shared" si="8"/>
        <v>0.12486855880513573</v>
      </c>
      <c r="R31" s="10">
        <f t="shared" si="8"/>
        <v>1.336168533216709</v>
      </c>
      <c r="S31" s="10">
        <f t="shared" si="8"/>
        <v>1.901784241151657</v>
      </c>
      <c r="T31" s="10">
        <f t="shared" ref="T31:V31" si="12">IF(T8="","",(T8/$O$23))</f>
        <v>0.84329179797064346</v>
      </c>
      <c r="U31" s="10">
        <f t="shared" si="12"/>
        <v>0.99484888831952534</v>
      </c>
      <c r="V31" s="10">
        <f t="shared" si="12"/>
        <v>2.8123554887834104</v>
      </c>
    </row>
    <row r="32" spans="1:22">
      <c r="A32" s="149"/>
      <c r="B32" s="10">
        <f>IF(B9="","",(B9/$O$23))</f>
        <v>0.38431709362894279</v>
      </c>
      <c r="C32" s="10">
        <f>IF(C9="","",(C9/$O$23))</f>
        <v>0.33092586963602194</v>
      </c>
      <c r="D32" s="10">
        <f>IF(D9="","",(D9/$O$23))</f>
        <v>0.38180764945765377</v>
      </c>
      <c r="E32" s="10">
        <f>IF(E9="","",(E9/$O$23))</f>
        <v>0.87161196221080051</v>
      </c>
      <c r="F32" s="10">
        <f>IF(F9="","",(F9/$O$23))</f>
        <v>1.5823782680817473</v>
      </c>
      <c r="G32" s="10">
        <f>IF(G9="","",(G9/$O$23))</f>
        <v>1.5575914144077003</v>
      </c>
      <c r="H32" s="10">
        <f>IF(H9="","",(H9/$O$23))</f>
        <v>4.445688975800989</v>
      </c>
      <c r="I32" s="10">
        <f>IF(I9="","",(I9/$O$23))</f>
        <v>0.27487470068621112</v>
      </c>
      <c r="J32" s="10">
        <f>IF(J9="","",(J9/$O$23))</f>
        <v>4.0156046591354799E-2</v>
      </c>
      <c r="K32" s="10">
        <f>IF(K9="","",(K9/$O$23))</f>
        <v>0.30336644240842092</v>
      </c>
      <c r="L32" s="10">
        <f>IF(L9="","",(L9/$O$23))</f>
        <v>0.33707680710442744</v>
      </c>
      <c r="M32" s="10">
        <f>IF(M9="","",(M9/$O$23))</f>
        <v>0.37494026897157906</v>
      </c>
      <c r="N32" s="10" t="str">
        <f>IF(N9="","",(N9/$O$23))</f>
        <v/>
      </c>
      <c r="O32" s="10">
        <f t="shared" si="8"/>
        <v>1.8503584191028639</v>
      </c>
      <c r="P32" s="10">
        <f t="shared" si="8"/>
        <v>2.257737370530629</v>
      </c>
      <c r="Q32" s="10">
        <f t="shared" si="8"/>
        <v>0.31320366115390302</v>
      </c>
      <c r="R32" s="10">
        <f t="shared" si="8"/>
        <v>0.92340020464154959</v>
      </c>
      <c r="S32" s="10">
        <f t="shared" si="8"/>
        <v>0.60194452284170508</v>
      </c>
      <c r="T32" s="10">
        <f t="shared" ref="T32:V32" si="13">IF(T9="","",(T9/$O$23))</f>
        <v>1.2685554789695734</v>
      </c>
      <c r="U32" s="10">
        <f t="shared" si="13"/>
        <v>0.83591890609310826</v>
      </c>
      <c r="V32" s="10">
        <f t="shared" si="13"/>
        <v>1.6840749750784532</v>
      </c>
    </row>
    <row r="33" spans="1:22">
      <c r="A33" s="149"/>
      <c r="B33" s="10">
        <f>IF(B10="","",(B10/$O$23))</f>
        <v>4.6619676611025285E-2</v>
      </c>
      <c r="C33" s="10">
        <f>IF(C10="","",(C10/$O$23))</f>
        <v>7.7788982091065162E-2</v>
      </c>
      <c r="D33" s="10">
        <f>IF(D10="","",(D10/$O$23))</f>
        <v>1.4949305605182759E-2</v>
      </c>
      <c r="E33" s="10">
        <f>IF(E10="","",(E10/$O$23))</f>
        <v>0.39619348275613375</v>
      </c>
      <c r="F33" s="10">
        <f>IF(F10="","",(F10/$O$23))</f>
        <v>1.8681781073060721</v>
      </c>
      <c r="G33" s="10">
        <f>IF(G10="","",(G10/$O$23))</f>
        <v>3.2490200159458382</v>
      </c>
      <c r="H33" s="10">
        <f>IF(H10="","",(H10/$O$23))</f>
        <v>3.7794587175027803</v>
      </c>
      <c r="I33" s="10">
        <f>IF(I10="","",(I10/$O$23))</f>
        <v>1.2969777334581689</v>
      </c>
      <c r="J33" s="10">
        <f>IF(J10="","",(J10/$O$23))</f>
        <v>0.49354295644797069</v>
      </c>
      <c r="K33" s="10">
        <f>IF(K10="","",(K10/$O$23))</f>
        <v>2.9409072002934931E-2</v>
      </c>
      <c r="L33" s="10">
        <f>IF(L10="","",(L10/$O$23))</f>
        <v>0.77576370915607917</v>
      </c>
      <c r="M33" s="10">
        <f>IF(M10="","",(M10/$O$23))</f>
        <v>8.0788953439930922E-2</v>
      </c>
      <c r="N33" s="10" t="str">
        <f>IF(N10="","",(N10/$O$23))</f>
        <v/>
      </c>
      <c r="O33" s="10">
        <f t="shared" si="8"/>
        <v>0.39673966558527846</v>
      </c>
      <c r="P33" s="10">
        <f t="shared" si="8"/>
        <v>1.5001658143228667</v>
      </c>
      <c r="Q33" s="10">
        <f t="shared" si="8"/>
        <v>7.3749830810112466E-2</v>
      </c>
      <c r="R33" s="10">
        <f t="shared" si="8"/>
        <v>1.0373465888190101</v>
      </c>
      <c r="S33" s="10">
        <f t="shared" si="8"/>
        <v>2.1876983555895562</v>
      </c>
      <c r="T33" s="10">
        <f t="shared" ref="T33:V33" si="14">IF(T10="","",(T10/$O$23))</f>
        <v>3.3840402973263224</v>
      </c>
      <c r="U33" s="10">
        <f t="shared" si="14"/>
        <v>1.9070308566129288</v>
      </c>
      <c r="V33" s="10">
        <f t="shared" si="14"/>
        <v>2.536475199150082</v>
      </c>
    </row>
    <row r="34" spans="1:22">
      <c r="A34" s="149"/>
      <c r="B34" s="10">
        <f>IF(B11="","",(B11/$O$23))</f>
        <v>0.19060183518747886</v>
      </c>
      <c r="C34" s="10">
        <f>IF(C11="","",(C11/$O$23))</f>
        <v>0.464666235692134</v>
      </c>
      <c r="D34" s="10">
        <f>IF(D11="","",(D11/$O$23))</f>
        <v>0.16172445578487807</v>
      </c>
      <c r="E34" s="10">
        <f>IF(E11="","",(E11/$O$23))</f>
        <v>0.94109573792972168</v>
      </c>
      <c r="F34" s="10">
        <f>IF(F11="","",(F11/$O$23))</f>
        <v>0.66556156717093762</v>
      </c>
      <c r="G34" s="10">
        <f>IF(G11="","",(G11/$O$23))</f>
        <v>2.3846694696477457</v>
      </c>
      <c r="H34" s="10">
        <f>IF(H11="","",(H11/$O$23))</f>
        <v>3.2245483247484215</v>
      </c>
      <c r="I34" s="10">
        <f>IF(I11="","",(I11/$O$23))</f>
        <v>0.54944889378629347</v>
      </c>
      <c r="J34" s="10">
        <f>IF(J11="","",(J11/$O$23))</f>
        <v>2.8055058917599667E-2</v>
      </c>
      <c r="K34" s="10">
        <f>IF(K11="","",(K11/$O$23))</f>
        <v>0.37313936405678982</v>
      </c>
      <c r="L34" s="10">
        <f>IF(L11="","",(L11/$O$23))</f>
        <v>0.43378920471367144</v>
      </c>
      <c r="M34" s="10">
        <f>IF(M11="","",(M11/$O$23))</f>
        <v>0.17465863161524228</v>
      </c>
      <c r="N34" s="10" t="str">
        <f>IF(N11="","",(N11/$O$23))</f>
        <v/>
      </c>
      <c r="O34" s="10">
        <f t="shared" si="8"/>
        <v>1.3936110934557187</v>
      </c>
      <c r="P34" s="10">
        <f t="shared" si="8"/>
        <v>1.5815528190246166</v>
      </c>
      <c r="Q34" s="10">
        <f t="shared" si="8"/>
        <v>2.3342605982027507E-2</v>
      </c>
      <c r="R34" s="10">
        <f t="shared" si="8"/>
        <v>3.4167610452592418</v>
      </c>
      <c r="S34" s="10">
        <f t="shared" si="8"/>
        <v>1.0132590533467654</v>
      </c>
      <c r="T34" s="10">
        <f t="shared" ref="T34:V34" si="15">IF(T11="","",(T11/$O$23))</f>
        <v>2.5137866294048239</v>
      </c>
      <c r="U34" s="10">
        <f t="shared" si="15"/>
        <v>3.64192141751322</v>
      </c>
      <c r="V34" s="10">
        <f t="shared" si="15"/>
        <v>0.93311590305905201</v>
      </c>
    </row>
    <row r="35" spans="1:22">
      <c r="A35" s="149"/>
      <c r="B35" s="10">
        <f>IF(B12="","",(B12/$O$23))</f>
        <v>5.5335713902287774E-2</v>
      </c>
      <c r="C35" s="10">
        <f>IF(C12="","",(C12/$O$23))</f>
        <v>0.14630602902195236</v>
      </c>
      <c r="D35" s="10">
        <f>IF(D12="","",(D12/$O$23))</f>
        <v>0.38724016796809779</v>
      </c>
      <c r="E35" s="10">
        <f>IF(E12="","",(E12/$O$23))</f>
        <v>0.61874215592869364</v>
      </c>
      <c r="F35" s="10">
        <f>IF(F12="","",(F12/$O$23))</f>
        <v>1.5502774714155538</v>
      </c>
      <c r="G35" s="10">
        <f>IF(G12="","",(G12/$O$23))</f>
        <v>1.5099123044765916</v>
      </c>
      <c r="H35" s="10">
        <f>IF(H12="","",(H12/$O$23))</f>
        <v>1.9114386854200964</v>
      </c>
      <c r="I35" s="10">
        <f>IF(I12="","",(I12/$O$23))</f>
        <v>5.1122021228843857E-2</v>
      </c>
      <c r="J35" s="10">
        <f>IF(J12="","",(J12/$O$23))</f>
        <v>0.27628206415943996</v>
      </c>
      <c r="K35" s="10">
        <f>IF(K12="","",(K12/$O$23))</f>
        <v>1.0168723894947158</v>
      </c>
      <c r="L35" s="10">
        <f>IF(L12="","",(L12/$O$23))</f>
        <v>0.1644672255723558</v>
      </c>
      <c r="M35" s="10">
        <f>IF(M12="","",(M12/$O$23))</f>
        <v>0.6330449997348947</v>
      </c>
      <c r="N35" s="10" t="str">
        <f>IF(N12="","",(N12/$O$23))</f>
        <v/>
      </c>
      <c r="O35" s="10">
        <f t="shared" si="8"/>
        <v>0.41735465065540295</v>
      </c>
      <c r="P35" s="10" t="str">
        <f t="shared" si="8"/>
        <v/>
      </c>
      <c r="Q35" s="10">
        <f t="shared" si="8"/>
        <v>0.43705592800200493</v>
      </c>
      <c r="R35" s="10">
        <f t="shared" si="8"/>
        <v>1.6399637546685706</v>
      </c>
      <c r="S35" s="10">
        <f t="shared" si="8"/>
        <v>1.2879056975909007</v>
      </c>
      <c r="T35" s="10">
        <f t="shared" ref="T35:V35" si="16">IF(T12="","",(T12/$O$23))</f>
        <v>1.746660084590004</v>
      </c>
      <c r="U35" s="10">
        <f t="shared" si="16"/>
        <v>2.447156605453134</v>
      </c>
      <c r="V35" s="10" t="str">
        <f t="shared" si="16"/>
        <v/>
      </c>
    </row>
    <row r="36" spans="1:22">
      <c r="A36" s="149"/>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8"/>
        <v>1.3583222817895038</v>
      </c>
      <c r="P36" s="10" t="str">
        <f t="shared" si="8"/>
        <v/>
      </c>
      <c r="Q36" s="10" t="str">
        <f t="shared" si="8"/>
        <v/>
      </c>
      <c r="R36" s="10" t="str">
        <f t="shared" si="8"/>
        <v/>
      </c>
      <c r="S36" s="10" t="str">
        <f t="shared" si="8"/>
        <v/>
      </c>
      <c r="T36" s="10" t="str">
        <f t="shared" ref="T36:V36" si="17">IF(T13="","",(T13/$O$23))</f>
        <v/>
      </c>
      <c r="U36" s="10" t="str">
        <f t="shared" si="17"/>
        <v/>
      </c>
      <c r="V36" s="10" t="str">
        <f t="shared" si="17"/>
        <v/>
      </c>
    </row>
    <row r="37" spans="1:22">
      <c r="A37" s="149"/>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8"/>
        <v>0.72168601057325654</v>
      </c>
      <c r="P37" s="10" t="str">
        <f t="shared" si="8"/>
        <v/>
      </c>
      <c r="Q37" s="10" t="str">
        <f t="shared" si="8"/>
        <v/>
      </c>
      <c r="R37" s="10" t="str">
        <f t="shared" si="8"/>
        <v/>
      </c>
      <c r="S37" s="10" t="str">
        <f t="shared" si="8"/>
        <v/>
      </c>
      <c r="T37" s="10" t="str">
        <f t="shared" ref="T37:V37" si="18">IF(T14="","",(T14/$O$23))</f>
        <v/>
      </c>
      <c r="U37" s="10" t="str">
        <f t="shared" si="18"/>
        <v/>
      </c>
      <c r="V37" s="10" t="str">
        <f t="shared" si="18"/>
        <v/>
      </c>
    </row>
    <row r="38" spans="1:22">
      <c r="A38" s="149"/>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ref="O38:V38" si="19">IF(O15="","",(O15/$O$23))</f>
        <v>5.2431246334219105E-2</v>
      </c>
      <c r="P38" s="10" t="str">
        <f t="shared" si="19"/>
        <v/>
      </c>
      <c r="Q38" s="10" t="str">
        <f t="shared" si="19"/>
        <v/>
      </c>
      <c r="R38" s="10" t="str">
        <f t="shared" si="19"/>
        <v/>
      </c>
      <c r="S38" s="10" t="str">
        <f t="shared" si="19"/>
        <v/>
      </c>
      <c r="T38" s="10" t="str">
        <f t="shared" si="19"/>
        <v/>
      </c>
      <c r="U38" s="10" t="str">
        <f t="shared" si="19"/>
        <v/>
      </c>
      <c r="V38" s="10" t="str">
        <f t="shared" si="19"/>
        <v/>
      </c>
    </row>
    <row r="39" spans="1:22">
      <c r="A39" s="149"/>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ref="O39:V39" si="20">IF(O16="","",(O16/$O$23))</f>
        <v>0.54121333930945492</v>
      </c>
      <c r="P39" s="10" t="str">
        <f t="shared" si="20"/>
        <v/>
      </c>
      <c r="Q39" s="10" t="str">
        <f t="shared" si="20"/>
        <v/>
      </c>
      <c r="R39" s="10" t="str">
        <f t="shared" si="20"/>
        <v/>
      </c>
      <c r="S39" s="10" t="str">
        <f t="shared" si="20"/>
        <v/>
      </c>
      <c r="T39" s="10" t="str">
        <f t="shared" si="20"/>
        <v/>
      </c>
      <c r="U39" s="10" t="str">
        <f t="shared" si="20"/>
        <v/>
      </c>
      <c r="V39" s="10" t="str">
        <f t="shared" si="20"/>
        <v/>
      </c>
    </row>
    <row r="40" spans="1:22">
      <c r="A40" s="149"/>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0" si="21">IF(O17="","",(O17/$O$23))</f>
        <v>1.0015861860696869</v>
      </c>
      <c r="P40" s="10" t="str">
        <f t="shared" si="21"/>
        <v/>
      </c>
      <c r="Q40" s="10" t="str">
        <f t="shared" si="21"/>
        <v/>
      </c>
      <c r="R40" s="10" t="str">
        <f t="shared" si="21"/>
        <v/>
      </c>
      <c r="S40" s="10" t="str">
        <f t="shared" si="21"/>
        <v/>
      </c>
      <c r="T40" s="10" t="str">
        <f t="shared" si="21"/>
        <v/>
      </c>
      <c r="U40" s="10" t="str">
        <f t="shared" si="21"/>
        <v/>
      </c>
      <c r="V40" s="10" t="str">
        <f t="shared" si="21"/>
        <v/>
      </c>
    </row>
    <row r="41" spans="1:22">
      <c r="A41" s="149"/>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V41" si="22">IF(O18="","",(O18/$O$23))</f>
        <v>2.0021056937048849</v>
      </c>
      <c r="P41" s="10" t="str">
        <f t="shared" si="22"/>
        <v/>
      </c>
      <c r="Q41" s="10" t="str">
        <f t="shared" si="22"/>
        <v/>
      </c>
      <c r="R41" s="10" t="str">
        <f t="shared" si="22"/>
        <v/>
      </c>
      <c r="S41" s="10" t="str">
        <f t="shared" si="22"/>
        <v/>
      </c>
      <c r="T41" s="10" t="str">
        <f t="shared" si="22"/>
        <v/>
      </c>
      <c r="U41" s="10" t="str">
        <f t="shared" si="22"/>
        <v/>
      </c>
      <c r="V41" s="10" t="str">
        <f t="shared" si="22"/>
        <v/>
      </c>
    </row>
    <row r="42" spans="1:22">
      <c r="A42" s="149"/>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V42" si="23">IF(O19="","",(O19/$O$23))</f>
        <v>0.30254972042091482</v>
      </c>
      <c r="P42" s="10" t="str">
        <f t="shared" si="23"/>
        <v/>
      </c>
      <c r="Q42" s="10" t="str">
        <f t="shared" si="23"/>
        <v/>
      </c>
      <c r="R42" s="10" t="str">
        <f t="shared" si="23"/>
        <v/>
      </c>
      <c r="S42" s="10" t="str">
        <f t="shared" si="23"/>
        <v/>
      </c>
      <c r="T42" s="10" t="str">
        <f t="shared" si="23"/>
        <v/>
      </c>
      <c r="U42" s="10" t="str">
        <f t="shared" si="23"/>
        <v/>
      </c>
      <c r="V42" s="10" t="str">
        <f t="shared" si="23"/>
        <v/>
      </c>
    </row>
    <row r="43" spans="1:22">
      <c r="A43" s="149"/>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ref="O43:V43" si="24">IF(O20="","",(O20/$O$23))</f>
        <v>1.2349228345917329</v>
      </c>
      <c r="P43" s="10" t="str">
        <f t="shared" si="24"/>
        <v/>
      </c>
      <c r="Q43" s="10" t="str">
        <f t="shared" si="24"/>
        <v/>
      </c>
      <c r="R43" s="10" t="str">
        <f t="shared" si="24"/>
        <v/>
      </c>
      <c r="S43" s="10" t="str">
        <f t="shared" si="24"/>
        <v/>
      </c>
      <c r="T43" s="10" t="str">
        <f t="shared" si="24"/>
        <v/>
      </c>
      <c r="U43" s="10" t="str">
        <f t="shared" si="24"/>
        <v/>
      </c>
      <c r="V43" s="10" t="str">
        <f t="shared" si="24"/>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R45" si="25">B4</f>
        <v>Solvent control</v>
      </c>
      <c r="C45" s="6" t="str">
        <f t="shared" si="25"/>
        <v>EE2-33.8ng/L</v>
      </c>
      <c r="D45" s="6" t="str">
        <f t="shared" si="25"/>
        <v>EE2-50.6ng/L</v>
      </c>
      <c r="E45" s="6" t="str">
        <f t="shared" si="25"/>
        <v>EE2-76ng/L</v>
      </c>
      <c r="F45" s="6" t="str">
        <f t="shared" si="25"/>
        <v>EE2-114ng/L</v>
      </c>
      <c r="G45" s="6" t="str">
        <f t="shared" si="25"/>
        <v>EE2-170.9ng/L</v>
      </c>
      <c r="H45" s="6" t="str">
        <f t="shared" si="25"/>
        <v>EE2-488ng/L</v>
      </c>
      <c r="I45" s="6" t="str">
        <f t="shared" si="25"/>
        <v>cromolyn-1000µg/L</v>
      </c>
      <c r="J45" s="6" t="str">
        <f t="shared" si="25"/>
        <v>cromolyn-100µg/L</v>
      </c>
      <c r="K45" s="6" t="str">
        <f t="shared" ref="K45:N45" si="26">K4</f>
        <v>cromolyn-10µg/L</v>
      </c>
      <c r="L45" s="6" t="str">
        <f t="shared" si="26"/>
        <v>cromolyn-1µg/L</v>
      </c>
      <c r="M45" s="6" t="str">
        <f t="shared" si="26"/>
        <v>cromolyn-0.1µg/L</v>
      </c>
      <c r="N45" s="6" t="str">
        <f t="shared" si="26"/>
        <v/>
      </c>
      <c r="O45" s="6" t="str">
        <f t="shared" si="25"/>
        <v>Testo -30µg/L</v>
      </c>
      <c r="P45" s="6" t="str">
        <f t="shared" si="25"/>
        <v>Testo 30µg/L + EE2 -64ng/L</v>
      </c>
      <c r="Q45" s="6" t="str">
        <f t="shared" si="25"/>
        <v>Testo 30µg/L + FAD-10mg/L</v>
      </c>
      <c r="R45" s="6" t="str">
        <f t="shared" si="25"/>
        <v>cromolyn-1000µg/L + Testostérone</v>
      </c>
      <c r="S45" s="6" t="str">
        <f t="shared" ref="S45:V45" si="27">S4</f>
        <v>cromolyn-100µg/L + Testostérone</v>
      </c>
      <c r="T45" s="6" t="str">
        <f t="shared" si="27"/>
        <v>cromolyn-10µg/L + Testostérone</v>
      </c>
      <c r="U45" s="6" t="str">
        <f t="shared" si="27"/>
        <v>cromolyn-1µg/L + Testostérone</v>
      </c>
      <c r="V45" s="6" t="str">
        <f t="shared" si="27"/>
        <v>cromolyn-0.1µg/L + Testostérone</v>
      </c>
    </row>
    <row r="46" spans="1:22">
      <c r="A46" s="7" t="s">
        <v>0</v>
      </c>
      <c r="B46" s="9">
        <f t="shared" ref="B46:H46" si="28">AVERAGE(B28:B43)</f>
        <v>0.2321501375419105</v>
      </c>
      <c r="C46" s="9">
        <f t="shared" si="28"/>
        <v>0.28305038005564909</v>
      </c>
      <c r="D46" s="9">
        <f t="shared" si="28"/>
        <v>0.30235996840471474</v>
      </c>
      <c r="E46" s="9">
        <f t="shared" si="28"/>
        <v>0.89065846234302382</v>
      </c>
      <c r="F46" s="9">
        <f t="shared" si="28"/>
        <v>1.3677976358862372</v>
      </c>
      <c r="G46" s="9">
        <f t="shared" si="28"/>
        <v>2.0708809919154403</v>
      </c>
      <c r="H46" s="9">
        <f t="shared" si="28"/>
        <v>3.1454355038269024</v>
      </c>
      <c r="I46" s="9">
        <f>AVERAGE(I28:I43)</f>
        <v>0.38260395339547226</v>
      </c>
      <c r="J46" s="8">
        <f>AVERAGE(J28:J43)</f>
        <v>0.28563044350967837</v>
      </c>
      <c r="K46" s="8">
        <f t="shared" ref="K46:N46" si="29">AVERAGE(K28:K43)</f>
        <v>0.33325677936881221</v>
      </c>
      <c r="L46" s="8">
        <f t="shared" si="29"/>
        <v>0.33278197738272869</v>
      </c>
      <c r="M46" s="8">
        <f t="shared" si="29"/>
        <v>0.3623990582668567</v>
      </c>
      <c r="N46" s="8" t="e">
        <f t="shared" si="29"/>
        <v>#DIV/0!</v>
      </c>
      <c r="O46" s="9">
        <f t="shared" ref="O46:R46" si="30">AVERAGE(O28:O43)</f>
        <v>1</v>
      </c>
      <c r="P46" s="9">
        <f t="shared" si="30"/>
        <v>2.1787778555242325</v>
      </c>
      <c r="Q46" s="9">
        <f t="shared" si="30"/>
        <v>0.21125753286071039</v>
      </c>
      <c r="R46" s="9">
        <f t="shared" si="30"/>
        <v>1.4702538037673936</v>
      </c>
      <c r="S46" s="9">
        <f t="shared" ref="S46:V46" si="31">AVERAGE(S28:S43)</f>
        <v>1.5615302867188161</v>
      </c>
      <c r="T46" s="9">
        <f t="shared" si="31"/>
        <v>1.8868671269070707</v>
      </c>
      <c r="U46" s="9">
        <f t="shared" si="31"/>
        <v>1.6049288719126347</v>
      </c>
      <c r="V46" s="9">
        <f t="shared" si="31"/>
        <v>2.0965380679246413</v>
      </c>
    </row>
    <row r="47" spans="1:22">
      <c r="A47" s="7" t="s">
        <v>1</v>
      </c>
      <c r="B47" s="7">
        <f t="shared" ref="B47:J47" si="32">STDEV(B28:B43)</f>
        <v>0.19392655842496259</v>
      </c>
      <c r="C47" s="7">
        <f t="shared" si="32"/>
        <v>0.27643675217030794</v>
      </c>
      <c r="D47" s="7">
        <f t="shared" si="32"/>
        <v>0.17434719461048373</v>
      </c>
      <c r="E47" s="7">
        <f t="shared" si="32"/>
        <v>0.28173619852876042</v>
      </c>
      <c r="F47" s="7">
        <f t="shared" si="32"/>
        <v>0.39574294066132937</v>
      </c>
      <c r="G47" s="7">
        <f t="shared" si="32"/>
        <v>0.90964519930376442</v>
      </c>
      <c r="H47" s="7">
        <f t="shared" si="32"/>
        <v>1.0936768213122103</v>
      </c>
      <c r="I47" s="7">
        <f t="shared" si="32"/>
        <v>0.40412954014574098</v>
      </c>
      <c r="J47" s="7">
        <f t="shared" si="32"/>
        <v>0.31076028787837634</v>
      </c>
      <c r="K47" s="7">
        <f t="shared" ref="K47:N47" si="33">STDEV(K28:K43)</f>
        <v>0.29689040514714388</v>
      </c>
      <c r="L47" s="7">
        <f t="shared" si="33"/>
        <v>0.21103138585755457</v>
      </c>
      <c r="M47" s="7">
        <f t="shared" si="33"/>
        <v>0.20624820721642853</v>
      </c>
      <c r="N47" s="7" t="e">
        <f t="shared" si="33"/>
        <v>#DIV/0!</v>
      </c>
      <c r="O47" s="7">
        <f t="shared" ref="O47:R47" si="34">STDEV(O28:O43)</f>
        <v>0.5955549317074823</v>
      </c>
      <c r="P47" s="7">
        <f t="shared" si="34"/>
        <v>0.8525881190285296</v>
      </c>
      <c r="Q47" s="7">
        <f t="shared" si="34"/>
        <v>0.15753094383990859</v>
      </c>
      <c r="R47" s="7">
        <f t="shared" si="34"/>
        <v>0.94719113961809032</v>
      </c>
      <c r="S47" s="7">
        <f t="shared" ref="S47:V47" si="35">STDEV(S28:S43)</f>
        <v>0.67929597790966101</v>
      </c>
      <c r="T47" s="7">
        <f t="shared" si="35"/>
        <v>0.84418892806098933</v>
      </c>
      <c r="U47" s="7">
        <f t="shared" si="35"/>
        <v>1.0660485614610244</v>
      </c>
      <c r="V47" s="7">
        <f t="shared" si="35"/>
        <v>0.6781572487862374</v>
      </c>
    </row>
    <row r="48" spans="1:22">
      <c r="A48" s="7" t="s">
        <v>2</v>
      </c>
      <c r="B48" s="7">
        <f t="shared" ref="B48:J48" si="36" xml:space="preserve"> B47/SQRT(COUNT(B28:B43))</f>
        <v>6.8563392257230113E-2</v>
      </c>
      <c r="C48" s="7">
        <f t="shared" si="36"/>
        <v>9.77351510144049E-2</v>
      </c>
      <c r="D48" s="7">
        <f t="shared" si="36"/>
        <v>6.1641041794961861E-2</v>
      </c>
      <c r="E48" s="7">
        <f t="shared" si="36"/>
        <v>9.9608788242702945E-2</v>
      </c>
      <c r="F48" s="7">
        <f t="shared" si="36"/>
        <v>0.13991625847416572</v>
      </c>
      <c r="G48" s="7">
        <f t="shared" si="36"/>
        <v>0.32160814445074015</v>
      </c>
      <c r="H48" s="7">
        <f t="shared" si="36"/>
        <v>0.38667314838820593</v>
      </c>
      <c r="I48" s="7">
        <f t="shared" si="36"/>
        <v>0.14288136915742727</v>
      </c>
      <c r="J48" s="7">
        <f t="shared" si="36"/>
        <v>0.10987035344114178</v>
      </c>
      <c r="K48" s="7">
        <f t="shared" ref="K48:N48" si="37" xml:space="preserve"> K47/SQRT(COUNT(K28:K43))</f>
        <v>0.10496660937438344</v>
      </c>
      <c r="L48" s="7">
        <f t="shared" si="37"/>
        <v>7.4610861991535854E-2</v>
      </c>
      <c r="M48" s="7">
        <f t="shared" si="37"/>
        <v>7.2919752965152421E-2</v>
      </c>
      <c r="N48" s="7" t="e">
        <f t="shared" si="37"/>
        <v>#DIV/0!</v>
      </c>
      <c r="O48" s="7">
        <f t="shared" ref="O48:R48" si="38" xml:space="preserve"> O47/SQRT(COUNT(O28:O43))</f>
        <v>0.14888873292687058</v>
      </c>
      <c r="P48" s="7">
        <f t="shared" si="38"/>
        <v>0.32224801910254647</v>
      </c>
      <c r="Q48" s="7">
        <f t="shared" si="38"/>
        <v>5.5695599317958269E-2</v>
      </c>
      <c r="R48" s="7">
        <f t="shared" si="38"/>
        <v>0.33488263895188275</v>
      </c>
      <c r="S48" s="7">
        <f t="shared" ref="S48:V48" si="39" xml:space="preserve"> S47/SQRT(COUNT(S28:S43))</f>
        <v>0.24016739620633423</v>
      </c>
      <c r="T48" s="7">
        <f t="shared" si="39"/>
        <v>0.29846585781726404</v>
      </c>
      <c r="U48" s="7">
        <f t="shared" si="39"/>
        <v>0.37690508344162715</v>
      </c>
      <c r="V48" s="7">
        <f t="shared" si="39"/>
        <v>0.25631934715487759</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24</v>
      </c>
      <c r="B50" s="141"/>
      <c r="C50" s="141"/>
      <c r="D50" s="141"/>
      <c r="E50" s="141"/>
      <c r="F50" s="141"/>
      <c r="G50" s="141"/>
      <c r="H50" s="141"/>
      <c r="I50" s="141"/>
      <c r="J50" s="141"/>
      <c r="K50" s="141"/>
      <c r="L50" s="141"/>
      <c r="M50" s="141"/>
      <c r="N50" s="141"/>
      <c r="O50" s="141"/>
      <c r="P50" s="141"/>
      <c r="Q50" s="141"/>
      <c r="R50" s="141"/>
      <c r="S50" s="141"/>
      <c r="T50" s="141"/>
      <c r="U50" s="141"/>
      <c r="V50" s="141"/>
    </row>
    <row r="51" spans="1:22" customFormat="1" ht="15.75" thickBot="1"/>
    <row r="52" spans="1:22">
      <c r="A52" s="28" t="str">
        <f t="shared" ref="A52:H52" si="40">A27</f>
        <v>Noms des groupes</v>
      </c>
      <c r="B52" s="29" t="str">
        <f t="shared" si="40"/>
        <v>Solvent control</v>
      </c>
      <c r="C52" s="29" t="str">
        <f t="shared" si="40"/>
        <v>EE2-33.8ng/L</v>
      </c>
      <c r="D52" s="29" t="str">
        <f t="shared" si="40"/>
        <v>EE2-50.6ng/L</v>
      </c>
      <c r="E52" s="29" t="str">
        <f t="shared" si="40"/>
        <v>EE2-76ng/L</v>
      </c>
      <c r="F52" s="29" t="str">
        <f t="shared" si="40"/>
        <v>EE2-114ng/L</v>
      </c>
      <c r="G52" s="29" t="str">
        <f t="shared" si="40"/>
        <v>EE2-170.9ng/L</v>
      </c>
      <c r="H52" s="29" t="str">
        <f t="shared" si="40"/>
        <v>EE2-488ng/L</v>
      </c>
      <c r="I52" s="29" t="str">
        <f>I4</f>
        <v>cromolyn-1000µg/L</v>
      </c>
      <c r="J52" s="29" t="str">
        <f>J4</f>
        <v>cromolyn-100µg/L</v>
      </c>
      <c r="K52" s="29" t="str">
        <f t="shared" ref="K52:N52" si="41">K4</f>
        <v>cromolyn-10µg/L</v>
      </c>
      <c r="L52" s="29" t="str">
        <f t="shared" si="41"/>
        <v>cromolyn-1µg/L</v>
      </c>
      <c r="M52" s="29" t="str">
        <f t="shared" si="41"/>
        <v>cromolyn-0.1µg/L</v>
      </c>
      <c r="N52" s="29" t="str">
        <f t="shared" si="41"/>
        <v/>
      </c>
      <c r="O52" s="29" t="str">
        <f>O27</f>
        <v>Testo -30µg/L</v>
      </c>
      <c r="P52" s="29" t="str">
        <f>P27</f>
        <v>Testo 30µg/L + EE2 -64ng/L</v>
      </c>
      <c r="Q52" s="29" t="str">
        <f>Q27</f>
        <v>Testo 30µg/L + FAD-10mg/L</v>
      </c>
      <c r="R52" s="29" t="str">
        <f>R27</f>
        <v>cromolyn-1000µg/L + Testostérone</v>
      </c>
      <c r="S52" s="29" t="str">
        <f t="shared" ref="S52:V52" si="42">S27</f>
        <v>cromolyn-100µg/L + Testostérone</v>
      </c>
      <c r="T52" s="29" t="str">
        <f t="shared" si="42"/>
        <v>cromolyn-10µg/L + Testostérone</v>
      </c>
      <c r="U52" s="29" t="str">
        <f t="shared" si="42"/>
        <v>cromolyn-1µg/L + Testostérone</v>
      </c>
      <c r="V52" s="29" t="str">
        <f t="shared" si="42"/>
        <v>cromolyn-0.1µg/L + Testostérone</v>
      </c>
    </row>
    <row r="53" spans="1:22" s="3" customFormat="1">
      <c r="A53" s="43" t="s">
        <v>15</v>
      </c>
      <c r="B53" s="75">
        <f t="shared" ref="B53" si="43">B46</f>
        <v>0.2321501375419105</v>
      </c>
      <c r="C53" s="75">
        <f t="shared" ref="C53:V53" si="44">C46</f>
        <v>0.28305038005564909</v>
      </c>
      <c r="D53" s="75">
        <f t="shared" si="44"/>
        <v>0.30235996840471474</v>
      </c>
      <c r="E53" s="75">
        <f t="shared" si="44"/>
        <v>0.89065846234302382</v>
      </c>
      <c r="F53" s="75">
        <f t="shared" si="44"/>
        <v>1.3677976358862372</v>
      </c>
      <c r="G53" s="75">
        <f t="shared" si="44"/>
        <v>2.0708809919154403</v>
      </c>
      <c r="H53" s="75">
        <f t="shared" si="44"/>
        <v>3.1454355038269024</v>
      </c>
      <c r="I53" s="75">
        <f t="shared" si="44"/>
        <v>0.38260395339547226</v>
      </c>
      <c r="J53" s="75">
        <f t="shared" si="44"/>
        <v>0.28563044350967837</v>
      </c>
      <c r="K53" s="75">
        <f t="shared" si="44"/>
        <v>0.33325677936881221</v>
      </c>
      <c r="L53" s="75">
        <f t="shared" si="44"/>
        <v>0.33278197738272869</v>
      </c>
      <c r="M53" s="75">
        <f t="shared" si="44"/>
        <v>0.3623990582668567</v>
      </c>
      <c r="N53" s="75" t="e">
        <f t="shared" si="44"/>
        <v>#DIV/0!</v>
      </c>
      <c r="O53" s="75">
        <f t="shared" si="44"/>
        <v>1</v>
      </c>
      <c r="P53" s="75">
        <f t="shared" si="44"/>
        <v>2.1787778555242325</v>
      </c>
      <c r="Q53" s="75">
        <f t="shared" si="44"/>
        <v>0.21125753286071039</v>
      </c>
      <c r="R53" s="75">
        <f t="shared" si="44"/>
        <v>1.4702538037673936</v>
      </c>
      <c r="S53" s="75">
        <f t="shared" si="44"/>
        <v>1.5615302867188161</v>
      </c>
      <c r="T53" s="75">
        <f t="shared" si="44"/>
        <v>1.8868671269070707</v>
      </c>
      <c r="U53" s="75">
        <f t="shared" si="44"/>
        <v>1.6049288719126347</v>
      </c>
      <c r="V53" s="75">
        <f t="shared" si="44"/>
        <v>2.0965380679246413</v>
      </c>
    </row>
    <row r="54" spans="1:22" s="3" customFormat="1">
      <c r="A54" s="43" t="s">
        <v>2</v>
      </c>
      <c r="B54" s="75">
        <f t="shared" ref="B54" si="45">B48</f>
        <v>6.8563392257230113E-2</v>
      </c>
      <c r="C54" s="75">
        <f t="shared" ref="C54:V54" si="46">C48</f>
        <v>9.77351510144049E-2</v>
      </c>
      <c r="D54" s="75">
        <f t="shared" si="46"/>
        <v>6.1641041794961861E-2</v>
      </c>
      <c r="E54" s="75">
        <f t="shared" si="46"/>
        <v>9.9608788242702945E-2</v>
      </c>
      <c r="F54" s="75">
        <f t="shared" si="46"/>
        <v>0.13991625847416572</v>
      </c>
      <c r="G54" s="75">
        <f t="shared" si="46"/>
        <v>0.32160814445074015</v>
      </c>
      <c r="H54" s="75">
        <f t="shared" si="46"/>
        <v>0.38667314838820593</v>
      </c>
      <c r="I54" s="75">
        <f t="shared" si="46"/>
        <v>0.14288136915742727</v>
      </c>
      <c r="J54" s="75">
        <f t="shared" si="46"/>
        <v>0.10987035344114178</v>
      </c>
      <c r="K54" s="75">
        <f t="shared" si="46"/>
        <v>0.10496660937438344</v>
      </c>
      <c r="L54" s="75">
        <f t="shared" si="46"/>
        <v>7.4610861991535854E-2</v>
      </c>
      <c r="M54" s="75">
        <f t="shared" si="46"/>
        <v>7.2919752965152421E-2</v>
      </c>
      <c r="N54" s="75" t="e">
        <f t="shared" si="46"/>
        <v>#DIV/0!</v>
      </c>
      <c r="O54" s="75">
        <f t="shared" si="46"/>
        <v>0.14888873292687058</v>
      </c>
      <c r="P54" s="75">
        <f t="shared" si="46"/>
        <v>0.32224801910254647</v>
      </c>
      <c r="Q54" s="75">
        <f t="shared" si="46"/>
        <v>5.5695599317958269E-2</v>
      </c>
      <c r="R54" s="75">
        <f t="shared" si="46"/>
        <v>0.33488263895188275</v>
      </c>
      <c r="S54" s="75">
        <f t="shared" si="46"/>
        <v>0.24016739620633423</v>
      </c>
      <c r="T54" s="75">
        <f t="shared" si="46"/>
        <v>0.29846585781726404</v>
      </c>
      <c r="U54" s="75">
        <f t="shared" si="46"/>
        <v>0.37690508344162715</v>
      </c>
      <c r="V54" s="75">
        <f t="shared" si="46"/>
        <v>0.25631934715487759</v>
      </c>
    </row>
    <row r="55" spans="1:22" s="3" customFormat="1">
      <c r="A55" s="43" t="s">
        <v>42</v>
      </c>
      <c r="B55" s="75">
        <f>(B53*100/$B53)-100</f>
        <v>0</v>
      </c>
      <c r="C55" s="75">
        <f t="shared" ref="C55:N55" si="47">(C53*100/$B53)-100</f>
        <v>21.925570690023605</v>
      </c>
      <c r="D55" s="75">
        <f t="shared" si="47"/>
        <v>30.243286351759821</v>
      </c>
      <c r="E55" s="75">
        <f t="shared" si="47"/>
        <v>283.6562285827772</v>
      </c>
      <c r="F55" s="75">
        <f t="shared" si="47"/>
        <v>489.18665755229461</v>
      </c>
      <c r="G55" s="75">
        <f t="shared" si="47"/>
        <v>792.04383587392022</v>
      </c>
      <c r="H55" s="75">
        <f t="shared" si="47"/>
        <v>1254.9143399749444</v>
      </c>
      <c r="I55" s="75">
        <f t="shared" si="47"/>
        <v>64.808842004842688</v>
      </c>
      <c r="J55" s="75">
        <f t="shared" si="47"/>
        <v>23.036947784755441</v>
      </c>
      <c r="K55" s="75">
        <f t="shared" si="47"/>
        <v>43.552264451555089</v>
      </c>
      <c r="L55" s="75">
        <f t="shared" si="47"/>
        <v>43.347740779456103</v>
      </c>
      <c r="M55" s="75">
        <f t="shared" si="47"/>
        <v>56.105467825291356</v>
      </c>
      <c r="N55" s="75" t="e">
        <f t="shared" si="47"/>
        <v>#DIV/0!</v>
      </c>
      <c r="O55" s="75">
        <f>(O53*100/$O53)-100</f>
        <v>0</v>
      </c>
      <c r="P55" s="75">
        <f t="shared" ref="P55:V55" si="48">(P53*100/$O53)-100</f>
        <v>117.87778555242326</v>
      </c>
      <c r="Q55" s="75">
        <f t="shared" si="48"/>
        <v>-78.874246713928954</v>
      </c>
      <c r="R55" s="75">
        <f t="shared" si="48"/>
        <v>47.025380376739349</v>
      </c>
      <c r="S55" s="75">
        <f t="shared" si="48"/>
        <v>56.1530286718816</v>
      </c>
      <c r="T55" s="75">
        <f t="shared" si="48"/>
        <v>88.686712690707083</v>
      </c>
      <c r="U55" s="75">
        <f t="shared" si="48"/>
        <v>60.492887191263463</v>
      </c>
      <c r="V55" s="75">
        <f t="shared" si="48"/>
        <v>109.65380679246414</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ca="1">IF(B56&gt;0.05,"Oui","Non")</f>
        <v>#NAME?</v>
      </c>
      <c r="C57" s="75" t="e">
        <f t="shared" ref="C57:V57" ca="1" si="49">IF(C56&gt;0.05,"Oui","Non")</f>
        <v>#NAME?</v>
      </c>
      <c r="D57" s="75" t="e">
        <f t="shared" ca="1" si="49"/>
        <v>#NAME?</v>
      </c>
      <c r="E57" s="75" t="e">
        <f t="shared" ca="1" si="49"/>
        <v>#NAME?</v>
      </c>
      <c r="F57" s="75" t="e">
        <f t="shared" ca="1" si="49"/>
        <v>#NAME?</v>
      </c>
      <c r="G57" s="75" t="e">
        <f t="shared" ca="1" si="49"/>
        <v>#NAME?</v>
      </c>
      <c r="H57" s="75" t="e">
        <f t="shared" ca="1" si="49"/>
        <v>#NAME?</v>
      </c>
      <c r="I57" s="75" t="e">
        <f t="shared" ca="1" si="49"/>
        <v>#NAME?</v>
      </c>
      <c r="J57" s="75" t="e">
        <f t="shared" ca="1" si="49"/>
        <v>#NAME?</v>
      </c>
      <c r="K57" s="75" t="e">
        <f t="shared" ca="1" si="49"/>
        <v>#NAME?</v>
      </c>
      <c r="L57" s="75" t="e">
        <f t="shared" ca="1" si="49"/>
        <v>#NAME?</v>
      </c>
      <c r="M57" s="75" t="e">
        <f t="shared" ca="1" si="49"/>
        <v>#NAME?</v>
      </c>
      <c r="N57" s="75" t="e">
        <f t="shared" ca="1" si="49"/>
        <v>#NAME?</v>
      </c>
      <c r="O57" s="75" t="e">
        <f t="shared" ca="1" si="49"/>
        <v>#NAME?</v>
      </c>
      <c r="P57" s="75" t="e">
        <f t="shared" ca="1" si="49"/>
        <v>#NAME?</v>
      </c>
      <c r="Q57" s="75" t="e">
        <f t="shared" ca="1" si="49"/>
        <v>#NAME?</v>
      </c>
      <c r="R57" s="75" t="e">
        <f t="shared" ca="1" si="49"/>
        <v>#NAME?</v>
      </c>
      <c r="S57" s="75" t="e">
        <f t="shared" ca="1" si="49"/>
        <v>#NAME?</v>
      </c>
      <c r="T57" s="75" t="e">
        <f t="shared" ca="1" si="49"/>
        <v>#NAME?</v>
      </c>
      <c r="U57" s="75" t="e">
        <f t="shared" ca="1" si="49"/>
        <v>#NAME?</v>
      </c>
      <c r="V57" s="75" t="e">
        <f t="shared" ca="1" si="49"/>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O59" ca="1" si="50">IF($B57="Non",IF(C57="Non","MW",IF(C57="Oui","MW","")),IF($B57="Oui",IF(C57="Oui","T-Test Welch",IF(C57="Non","MW",""))))</f>
        <v>#NAME?</v>
      </c>
      <c r="D59" s="78" t="e">
        <f t="shared" ca="1" si="50"/>
        <v>#NAME?</v>
      </c>
      <c r="E59" s="78" t="e">
        <f t="shared" ca="1" si="50"/>
        <v>#NAME?</v>
      </c>
      <c r="F59" s="78" t="e">
        <f t="shared" ca="1" si="50"/>
        <v>#NAME?</v>
      </c>
      <c r="G59" s="78" t="e">
        <f t="shared" ca="1" si="50"/>
        <v>#NAME?</v>
      </c>
      <c r="H59" s="78" t="e">
        <f t="shared" ca="1" si="50"/>
        <v>#NAME?</v>
      </c>
      <c r="I59" s="78" t="e">
        <f t="shared" ca="1" si="50"/>
        <v>#NAME?</v>
      </c>
      <c r="J59" s="78" t="e">
        <f t="shared" ca="1" si="50"/>
        <v>#NAME?</v>
      </c>
      <c r="K59" s="78" t="e">
        <f t="shared" ca="1" si="50"/>
        <v>#NAME?</v>
      </c>
      <c r="L59" s="78" t="e">
        <f t="shared" ca="1" si="50"/>
        <v>#NAME?</v>
      </c>
      <c r="M59" s="78" t="e">
        <f t="shared" ca="1" si="50"/>
        <v>#NAME?</v>
      </c>
      <c r="N59" s="78" t="e">
        <f t="shared" ca="1" si="50"/>
        <v>#NAME?</v>
      </c>
      <c r="O59" s="78" t="e">
        <f t="shared" ca="1" si="50"/>
        <v>#NAME?</v>
      </c>
      <c r="P59" s="78" t="e">
        <f ca="1">IF($O57="Non",IF(P57="Non","MW",IF(P57="Oui","MW","")),IF($O57="Oui",IF(P57="Oui","T-Test Welch",IF(P57="Non","MW",""))))</f>
        <v>#NAME?</v>
      </c>
      <c r="Q59" s="78" t="e">
        <f t="shared" ref="Q59:V59" ca="1" si="51">IF($O57="Non",IF(Q57="Non","MW",IF(Q57="Oui","MW","")),IF($O57="Oui",IF(Q57="Oui","T-Test Welch",IF(Q57="Non","MW",""))))</f>
        <v>#NAME?</v>
      </c>
      <c r="R59" s="78" t="e">
        <f t="shared" ca="1" si="51"/>
        <v>#NAME?</v>
      </c>
      <c r="S59" s="78" t="e">
        <f t="shared" ca="1" si="51"/>
        <v>#NAME?</v>
      </c>
      <c r="T59" s="78" t="e">
        <f t="shared" ca="1" si="51"/>
        <v>#NAME?</v>
      </c>
      <c r="U59" s="78" t="e">
        <f t="shared" ca="1" si="51"/>
        <v>#NAME?</v>
      </c>
      <c r="V59" s="78" t="e">
        <f t="shared" ca="1" si="51"/>
        <v>#NAME?</v>
      </c>
    </row>
    <row r="60" spans="1:22" s="3" customFormat="1">
      <c r="A60" s="43" t="s">
        <v>45</v>
      </c>
      <c r="B60" s="79"/>
      <c r="C60" s="79" t="e">
        <f ca="1">IF(C59="MW",[1]!MTEST($B28:$B43,C28:C43,2), IF(C59="T-Test Welch",_xlfn.T.TEST($B28:$B43,C28:C43,2,3),""))</f>
        <v>#NAME?</v>
      </c>
      <c r="D60" s="79" t="e">
        <f ca="1">IF(D59="MW",[1]!MTEST($B28:$B43,D28:D43,2), IF(D59="T-Test Welch",_xlfn.T.TEST($B28:$B43,D28:D43,2,3),""))</f>
        <v>#NAME?</v>
      </c>
      <c r="E60" s="79" t="e">
        <f ca="1">IF(E59="MW",[1]!MTEST($B28:$B43,E28:E43,2), IF(E59="T-Test Welch",_xlfn.T.TEST($B28:$B43,E28:E43,2,3),""))</f>
        <v>#NAME?</v>
      </c>
      <c r="F60" s="79" t="e">
        <f ca="1">IF(F59="MW",[1]!MTEST($B28:$B43,F28:F43,2), IF(F59="T-Test Welch",_xlfn.T.TEST($B28:$B43,F28:F43,2,3),""))</f>
        <v>#NAME?</v>
      </c>
      <c r="G60" s="79" t="e">
        <f ca="1">IF(G59="MW",[1]!MTEST($B28:$B43,G28:G43,2), IF(G59="T-Test Welch",_xlfn.T.TEST($B28:$B43,G28:G43,2,3),""))</f>
        <v>#NAME?</v>
      </c>
      <c r="H60" s="79" t="e">
        <f ca="1">IF(H59="MW",[1]!MTEST($B28:$B43,H28:H43,2), IF(H59="T-Test Welch",_xlfn.T.TEST($B28:$B43,H28:H43,2,3),""))</f>
        <v>#NAME?</v>
      </c>
      <c r="I60" s="79" t="e">
        <f ca="1">IF(I59="MW",[1]!MTEST($B28:$B43,I28:I43,2), IF(I59="T-Test Welch",_xlfn.T.TEST($B28:$B43,I28:I43,2,3),""))</f>
        <v>#NAME?</v>
      </c>
      <c r="J60" s="79" t="e">
        <f ca="1">IF(J59="MW",[1]!MTEST($B28:$B43,J28:J43,2), IF(J59="T-Test Welch",_xlfn.T.TEST($B28:$B43,J28:J43,2,3),""))</f>
        <v>#NAME?</v>
      </c>
      <c r="K60" s="79" t="e">
        <f ca="1">IF(K59="MW",[1]!MTEST($B28:$B43,K28:K43,2), IF(K59="T-Test Welch",_xlfn.T.TEST($B28:$B43,K28:K43,2,3),""))</f>
        <v>#NAME?</v>
      </c>
      <c r="L60" s="79" t="e">
        <f ca="1">IF(L59="MW",[1]!MTEST($B28:$B43,L28:L43,2), IF(L59="T-Test Welch",_xlfn.T.TEST($B28:$B43,L28:L43,2,3),""))</f>
        <v>#NAME?</v>
      </c>
      <c r="M60" s="79" t="e">
        <f ca="1">IF(M59="MW",[1]!MTEST($B28:$B43,M28:M43,2), IF(M59="T-Test Welch",_xlfn.T.TEST($B28:$B43,M28:M43,2,3),""))</f>
        <v>#NAME?</v>
      </c>
      <c r="N60" s="79" t="e">
        <f ca="1">IF(N59="MW",[1]!MTEST($B28:$B43,N28:N43,2), IF(N59="T-Test Welch",_xlfn.T.TEST($B28:$B43,N28:N43,2,3),""))</f>
        <v>#NAME?</v>
      </c>
      <c r="O60" s="79" t="e">
        <f ca="1">IF(O59="MW",[1]!MTEST($B28:$B43,O28:O43,2), IF(O59="T-Test Welch",_xlfn.T.TEST($B28:$B43,O28:O43,2,3),""))</f>
        <v>#NAME?</v>
      </c>
      <c r="P60" s="79" t="e">
        <f ca="1">IF(P59="MW",[1]!MTEST($O28:$O43,P28:P43,2), IF(P59="T-Test Welch",_xlfn.T.TEST($O28:$O43,P28:P43,2,3),""))</f>
        <v>#NAME?</v>
      </c>
      <c r="Q60" s="79" t="e">
        <f ca="1">IF(Q59="MW",[1]!MTEST($O28:$O43,Q28:Q43,2), IF(Q59="T-Test Welch",_xlfn.T.TEST($O28:$O43,Q28:Q43,2,3),""))</f>
        <v>#NAME?</v>
      </c>
      <c r="R60" s="79" t="e">
        <f ca="1">IF(R59="MW",[1]!MTEST($O28:$O43,R28:R43,2), IF(R59="T-Test Welch",_xlfn.T.TEST($O28:$O43,R28:R43,2,3),""))</f>
        <v>#NAME?</v>
      </c>
      <c r="S60" s="79" t="e">
        <f ca="1">IF(S59="MW",[1]!MTEST($O28:$O43,S28:S43,2), IF(S59="T-Test Welch",_xlfn.T.TEST($O28:$O43,S28:S43,2,3),""))</f>
        <v>#NAME?</v>
      </c>
      <c r="T60" s="79" t="e">
        <f ca="1">IF(T59="MW",[1]!MTEST($O28:$O43,T28:T43,2), IF(T59="T-Test Welch",_xlfn.T.TEST($O28:$O43,T28:T43,2,3),""))</f>
        <v>#NAME?</v>
      </c>
      <c r="U60" s="79" t="e">
        <f ca="1">IF(U59="MW",[1]!MTEST($O28:$O43,U28:U43,2), IF(U59="T-Test Welch",_xlfn.T.TEST($O28:$O43,U28:U43,2,3),""))</f>
        <v>#NAME?</v>
      </c>
      <c r="V60" s="79" t="e">
        <f ca="1">IF(V59="MW",[1]!MTEST($O28:$O43,V28:V43,2), IF(V59="T-Test Welch",_xlfn.T.TEST($O28:$O43,V28:V43,2,3),""))</f>
        <v>#NAME?</v>
      </c>
    </row>
    <row r="61" spans="1:22" s="3" customFormat="1" ht="15.75" thickBot="1">
      <c r="A61" s="44" t="s">
        <v>46</v>
      </c>
      <c r="B61" s="76"/>
      <c r="C61" s="76" t="e">
        <f t="shared" ref="C61:O61" ca="1" si="52">IF(C60&gt;0.05,"NS",IF(C60&gt;0.01,"*",IF(C60&gt;0.001,"**","***")))</f>
        <v>#NAME?</v>
      </c>
      <c r="D61" s="76" t="e">
        <f t="shared" ca="1" si="52"/>
        <v>#NAME?</v>
      </c>
      <c r="E61" s="76" t="e">
        <f t="shared" ca="1" si="52"/>
        <v>#NAME?</v>
      </c>
      <c r="F61" s="76" t="e">
        <f t="shared" ca="1" si="52"/>
        <v>#NAME?</v>
      </c>
      <c r="G61" s="76" t="e">
        <f t="shared" ca="1" si="52"/>
        <v>#NAME?</v>
      </c>
      <c r="H61" s="76" t="e">
        <f t="shared" ca="1" si="52"/>
        <v>#NAME?</v>
      </c>
      <c r="I61" s="76" t="e">
        <f t="shared" ca="1" si="52"/>
        <v>#NAME?</v>
      </c>
      <c r="J61" s="76" t="e">
        <f t="shared" ca="1" si="52"/>
        <v>#NAME?</v>
      </c>
      <c r="K61" s="76" t="e">
        <f t="shared" ca="1" si="52"/>
        <v>#NAME?</v>
      </c>
      <c r="L61" s="76" t="e">
        <f t="shared" ca="1" si="52"/>
        <v>#NAME?</v>
      </c>
      <c r="M61" s="76" t="e">
        <f t="shared" ca="1" si="52"/>
        <v>#NAME?</v>
      </c>
      <c r="N61" s="76" t="e">
        <f t="shared" ca="1" si="52"/>
        <v>#NAME?</v>
      </c>
      <c r="O61" s="76" t="e">
        <f t="shared" ca="1" si="52"/>
        <v>#NAME?</v>
      </c>
      <c r="P61" s="76" t="e">
        <f ca="1">IF(P60&gt;0.05,"NS",IF(P60&gt;0.01,"*",IF(P60&gt;0.001,"**","***")))</f>
        <v>#NAME?</v>
      </c>
      <c r="Q61" s="76" t="e">
        <f t="shared" ref="Q61:V61" ca="1" si="53">IF(Q60&gt;0.05,"NS",IF(Q60&gt;0.01,"*",IF(Q60&gt;0.001,"**","***")))</f>
        <v>#NAME?</v>
      </c>
      <c r="R61" s="76" t="e">
        <f t="shared" ca="1" si="53"/>
        <v>#NAME?</v>
      </c>
      <c r="S61" s="76" t="e">
        <f t="shared" ca="1" si="53"/>
        <v>#NAME?</v>
      </c>
      <c r="T61" s="76" t="e">
        <f t="shared" ca="1" si="53"/>
        <v>#NAME?</v>
      </c>
      <c r="U61" s="76" t="e">
        <f t="shared" ca="1" si="53"/>
        <v>#NAME?</v>
      </c>
      <c r="V61" s="76" t="e">
        <f t="shared" ca="1" si="53"/>
        <v>#NAME?</v>
      </c>
    </row>
    <row r="63" spans="1:22">
      <c r="A63" s="2" t="s">
        <v>20</v>
      </c>
    </row>
    <row r="64" spans="1:22">
      <c r="A64" s="1" t="s">
        <v>13</v>
      </c>
      <c r="B64" s="1">
        <f>B46+(3*B47)</f>
        <v>0.81392981281679833</v>
      </c>
    </row>
    <row r="65" spans="1:22">
      <c r="A65" s="1" t="s">
        <v>14</v>
      </c>
      <c r="B65" s="1">
        <f>B46+(10*B47)</f>
        <v>2.1714157217915364</v>
      </c>
    </row>
    <row r="66" spans="1:22" ht="15.75" thickBot="1"/>
    <row r="67" spans="1:22" ht="27" thickBot="1">
      <c r="A67" s="140" t="s">
        <v>25</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N3"/>
    <mergeCell ref="O3:V3"/>
    <mergeCell ref="B26:N26"/>
    <mergeCell ref="O26:V26"/>
    <mergeCell ref="A28:A43"/>
    <mergeCell ref="A50:V50"/>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abSelected="1" topLeftCell="K31" zoomScale="70" zoomScaleNormal="70" zoomScaleSheetLayoutView="40" zoomScalePageLayoutView="30" workbookViewId="0">
      <selection activeCell="O31"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22" width="25.85546875" style="1" customWidth="1"/>
    <col min="23" max="16384" width="9.140625" style="1"/>
  </cols>
  <sheetData>
    <row r="1" spans="1:22" ht="60" customHeight="1" thickBot="1">
      <c r="A1" s="150" t="s">
        <v>70</v>
      </c>
      <c r="B1" s="139"/>
      <c r="C1" s="139"/>
      <c r="D1" s="139"/>
      <c r="E1" s="139"/>
      <c r="F1" s="139"/>
      <c r="G1" s="139"/>
      <c r="H1" s="139"/>
      <c r="I1" s="139"/>
      <c r="J1" s="139"/>
      <c r="K1" s="139"/>
      <c r="L1" s="139"/>
      <c r="M1" s="139"/>
      <c r="N1" s="139"/>
      <c r="O1" s="139"/>
      <c r="P1" s="139"/>
      <c r="Q1" s="139"/>
      <c r="R1" s="139"/>
      <c r="S1" s="139"/>
      <c r="T1" s="139"/>
      <c r="U1" s="139"/>
      <c r="V1" s="139"/>
    </row>
    <row r="2" spans="1:22" ht="15.75" thickBot="1"/>
    <row r="3" spans="1:22" ht="15.75" thickBot="1">
      <c r="A3" s="80" t="s">
        <v>12</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cromolyn-1000µg/L</v>
      </c>
      <c r="J4" s="19" t="str">
        <f>'Front page'!A15</f>
        <v>cromolyn-100µg/L</v>
      </c>
      <c r="K4" s="19" t="str">
        <f>'Front page'!A16</f>
        <v>cromolyn-10µg/L</v>
      </c>
      <c r="L4" s="19" t="str">
        <f>'Front page'!A17</f>
        <v>cromolyn-1µg/L</v>
      </c>
      <c r="M4" s="19" t="str">
        <f>'Front page'!A18</f>
        <v>cromolyn-0.1µg/L</v>
      </c>
      <c r="N4" s="19" t="str">
        <f>'Front page'!A19</f>
        <v/>
      </c>
      <c r="O4" s="20" t="str">
        <f>'Front page'!A35</f>
        <v>Testo -30µg/L</v>
      </c>
      <c r="P4" s="20" t="str">
        <f>'Front page'!A36</f>
        <v>Testo 30µg/L + EE2 -64ng/L</v>
      </c>
      <c r="Q4" s="20" t="str">
        <f>'Front page'!A37</f>
        <v>Testo 30µg/L + FAD-10mg/L</v>
      </c>
      <c r="R4" s="20" t="str">
        <f>'Front page'!A38</f>
        <v>cromolyn-1000µg/L + Testostérone</v>
      </c>
      <c r="S4" s="20" t="str">
        <f>'Front page'!A39</f>
        <v>cromolyn-100µg/L + Testostérone</v>
      </c>
      <c r="T4" s="20" t="str">
        <f>'Front page'!A40</f>
        <v>cromolyn-10µg/L + Testostérone</v>
      </c>
      <c r="U4" s="20" t="str">
        <f>'Front page'!A41</f>
        <v>cromolyn-1µg/L + Testostérone</v>
      </c>
      <c r="V4" s="20" t="str">
        <f>'Front page'!A42</f>
        <v>cromolyn-0.1µg/L + Testostérone</v>
      </c>
    </row>
    <row r="5" spans="1:22">
      <c r="A5" s="149" t="s">
        <v>71</v>
      </c>
      <c r="B5" s="78">
        <v>3026040</v>
      </c>
      <c r="C5" s="78">
        <v>2518455</v>
      </c>
      <c r="D5" s="78">
        <v>3565074</v>
      </c>
      <c r="E5" s="78">
        <v>5110102</v>
      </c>
      <c r="F5" s="78">
        <v>3444469</v>
      </c>
      <c r="G5" s="78">
        <v>4517604</v>
      </c>
      <c r="H5" s="78">
        <v>20922547</v>
      </c>
      <c r="I5" s="16">
        <v>309441</v>
      </c>
      <c r="J5" s="16">
        <v>702435</v>
      </c>
      <c r="K5" s="12">
        <v>1851314</v>
      </c>
      <c r="L5" s="12">
        <v>2026320</v>
      </c>
      <c r="M5" s="12">
        <v>3198788</v>
      </c>
      <c r="N5" s="12"/>
      <c r="O5" s="114">
        <v>8732314</v>
      </c>
      <c r="P5" s="113">
        <v>21674103</v>
      </c>
      <c r="Q5" s="113">
        <v>1012708</v>
      </c>
      <c r="R5" s="78">
        <v>14073722</v>
      </c>
      <c r="S5" s="78">
        <v>7703451</v>
      </c>
      <c r="T5" s="78">
        <v>7285418</v>
      </c>
      <c r="U5" s="78">
        <v>7523902</v>
      </c>
      <c r="V5" s="78">
        <v>11123757</v>
      </c>
    </row>
    <row r="6" spans="1:22" ht="16.5">
      <c r="A6" s="148"/>
      <c r="B6" s="112">
        <v>2074639</v>
      </c>
      <c r="C6" s="113">
        <v>1168594</v>
      </c>
      <c r="D6" s="78">
        <v>188937</v>
      </c>
      <c r="E6" s="78">
        <v>4054025</v>
      </c>
      <c r="F6" s="78">
        <v>12671692</v>
      </c>
      <c r="G6" s="78">
        <v>8312458</v>
      </c>
      <c r="H6" s="78">
        <v>11539269</v>
      </c>
      <c r="I6" s="16">
        <v>2910813</v>
      </c>
      <c r="J6" s="16">
        <v>575209</v>
      </c>
      <c r="K6" s="12">
        <v>1393026</v>
      </c>
      <c r="L6" s="12">
        <v>1956175</v>
      </c>
      <c r="M6" s="12">
        <v>410522</v>
      </c>
      <c r="N6" s="12"/>
      <c r="O6" s="114">
        <v>11438933</v>
      </c>
      <c r="P6" s="113">
        <v>13765842</v>
      </c>
      <c r="Q6" s="113">
        <v>267799</v>
      </c>
      <c r="R6" s="78">
        <v>14634788</v>
      </c>
      <c r="S6" s="78">
        <v>12301765</v>
      </c>
      <c r="T6" s="78">
        <v>3584308</v>
      </c>
      <c r="U6" s="78">
        <v>9218560</v>
      </c>
      <c r="V6" s="78">
        <v>7695181</v>
      </c>
    </row>
    <row r="7" spans="1:22" ht="16.5">
      <c r="A7" s="148"/>
      <c r="B7" s="112">
        <v>1975848</v>
      </c>
      <c r="C7" s="113">
        <v>2326954</v>
      </c>
      <c r="D7" s="78">
        <v>4190641</v>
      </c>
      <c r="E7" s="78">
        <v>9048505</v>
      </c>
      <c r="F7" s="78">
        <v>14925285</v>
      </c>
      <c r="G7" s="78">
        <v>9755567</v>
      </c>
      <c r="H7" s="78">
        <v>16370511</v>
      </c>
      <c r="I7" s="16">
        <v>1987651</v>
      </c>
      <c r="J7" s="16">
        <v>798240</v>
      </c>
      <c r="K7" s="12">
        <v>1042710</v>
      </c>
      <c r="L7" s="12">
        <v>1688580</v>
      </c>
      <c r="M7" s="12">
        <v>4072027</v>
      </c>
      <c r="N7" s="12"/>
      <c r="O7" s="114">
        <v>7849967</v>
      </c>
      <c r="P7" s="113">
        <v>11518090</v>
      </c>
      <c r="Q7" s="113">
        <v>291154</v>
      </c>
      <c r="R7" s="78">
        <v>6638382</v>
      </c>
      <c r="S7" s="78">
        <v>3232094</v>
      </c>
      <c r="T7" s="78">
        <v>11099691</v>
      </c>
      <c r="U7" s="78">
        <v>11012241</v>
      </c>
      <c r="V7" s="78">
        <v>15639898</v>
      </c>
    </row>
    <row r="8" spans="1:22" ht="16.5">
      <c r="A8" s="148"/>
      <c r="B8" s="112">
        <v>2727175</v>
      </c>
      <c r="C8" s="113">
        <v>426671</v>
      </c>
      <c r="D8" s="78">
        <v>3966158</v>
      </c>
      <c r="E8" s="78">
        <v>6425562</v>
      </c>
      <c r="F8" s="78">
        <v>8356036</v>
      </c>
      <c r="G8" s="78">
        <v>11786396</v>
      </c>
      <c r="H8" s="78">
        <v>22006465</v>
      </c>
      <c r="I8" s="16">
        <v>463148</v>
      </c>
      <c r="J8" s="16">
        <v>1479952</v>
      </c>
      <c r="K8" s="12">
        <v>1285449</v>
      </c>
      <c r="L8" s="12">
        <v>187243</v>
      </c>
      <c r="M8" s="12">
        <v>78789</v>
      </c>
      <c r="N8" s="12"/>
      <c r="O8" s="114">
        <v>11094555</v>
      </c>
      <c r="P8" s="113">
        <v>8447245</v>
      </c>
      <c r="Q8" s="113">
        <v>384779</v>
      </c>
      <c r="R8" s="78">
        <v>8048173</v>
      </c>
      <c r="S8" s="78">
        <v>5976883</v>
      </c>
      <c r="T8" s="78">
        <v>6104927</v>
      </c>
      <c r="U8" s="78">
        <v>3914836</v>
      </c>
      <c r="V8" s="78">
        <v>8758630</v>
      </c>
    </row>
    <row r="9" spans="1:22" ht="16.5">
      <c r="A9" s="148"/>
      <c r="B9" s="112">
        <v>61466</v>
      </c>
      <c r="C9" s="113">
        <v>156461</v>
      </c>
      <c r="D9" s="78">
        <v>3118301</v>
      </c>
      <c r="E9" s="78">
        <v>10487473</v>
      </c>
      <c r="F9" s="78">
        <v>11759596</v>
      </c>
      <c r="G9" s="78">
        <v>12068832</v>
      </c>
      <c r="H9" s="78">
        <v>15352564</v>
      </c>
      <c r="I9" s="16">
        <v>2574621</v>
      </c>
      <c r="J9" s="16">
        <v>1988284</v>
      </c>
      <c r="K9" s="12">
        <v>778672</v>
      </c>
      <c r="L9" s="12">
        <v>945826</v>
      </c>
      <c r="M9" s="12">
        <v>1374905</v>
      </c>
      <c r="N9" s="12"/>
      <c r="O9" s="114">
        <v>6391847</v>
      </c>
      <c r="P9" s="113">
        <v>12001693</v>
      </c>
      <c r="Q9" s="113">
        <v>1686947</v>
      </c>
      <c r="R9" s="78">
        <v>8117504</v>
      </c>
      <c r="S9" s="78">
        <v>17450551</v>
      </c>
      <c r="T9" s="78">
        <v>6834850</v>
      </c>
      <c r="U9" s="78">
        <v>5507201</v>
      </c>
      <c r="V9" s="78">
        <v>7245366</v>
      </c>
    </row>
    <row r="10" spans="1:22" ht="16.5">
      <c r="A10" s="148"/>
      <c r="B10" s="112">
        <v>405157</v>
      </c>
      <c r="C10" s="113">
        <v>1448556</v>
      </c>
      <c r="D10" s="78">
        <v>1489876</v>
      </c>
      <c r="E10" s="78">
        <v>4463628</v>
      </c>
      <c r="F10" s="78">
        <v>13387975</v>
      </c>
      <c r="G10" s="78">
        <v>17797308</v>
      </c>
      <c r="H10" s="78">
        <v>26142568</v>
      </c>
      <c r="I10" s="16">
        <v>1755498</v>
      </c>
      <c r="J10" s="16">
        <v>448182</v>
      </c>
      <c r="K10" s="12">
        <v>852232</v>
      </c>
      <c r="L10" s="12">
        <v>75706</v>
      </c>
      <c r="M10" s="12">
        <v>85277</v>
      </c>
      <c r="N10" s="12"/>
      <c r="O10" s="114">
        <v>6138791</v>
      </c>
      <c r="P10" s="113">
        <v>14806021</v>
      </c>
      <c r="Q10" s="113">
        <v>45728</v>
      </c>
      <c r="R10" s="78">
        <v>14323489</v>
      </c>
      <c r="S10" s="78">
        <v>2516268</v>
      </c>
      <c r="T10" s="78">
        <v>5482325</v>
      </c>
      <c r="U10" s="78">
        <v>15444251</v>
      </c>
      <c r="V10" s="78">
        <v>5959817</v>
      </c>
    </row>
    <row r="11" spans="1:22" ht="16.5">
      <c r="A11" s="148"/>
      <c r="B11" s="112">
        <v>1290150</v>
      </c>
      <c r="C11" s="113">
        <v>3358644</v>
      </c>
      <c r="D11" s="78">
        <v>1502246</v>
      </c>
      <c r="E11" s="78">
        <v>9082441</v>
      </c>
      <c r="F11" s="78">
        <v>9925562</v>
      </c>
      <c r="G11" s="78">
        <v>11221395</v>
      </c>
      <c r="H11" s="78">
        <v>10081854</v>
      </c>
      <c r="I11" s="16">
        <v>39615</v>
      </c>
      <c r="J11" s="16">
        <v>1572649</v>
      </c>
      <c r="K11" s="12">
        <v>395189</v>
      </c>
      <c r="L11" s="12">
        <v>1420292</v>
      </c>
      <c r="M11" s="12">
        <v>60313</v>
      </c>
      <c r="N11" s="12"/>
      <c r="O11" s="114">
        <v>7685934</v>
      </c>
      <c r="P11" s="113">
        <v>9367560</v>
      </c>
      <c r="Q11" s="113">
        <v>75069</v>
      </c>
      <c r="R11" s="78">
        <v>13745189</v>
      </c>
      <c r="S11" s="78">
        <v>5323930</v>
      </c>
      <c r="T11" s="78">
        <v>4497574</v>
      </c>
      <c r="U11" s="78">
        <v>9571791</v>
      </c>
      <c r="V11" s="78">
        <v>5200326</v>
      </c>
    </row>
    <row r="12" spans="1:22" ht="16.5">
      <c r="A12" s="148"/>
      <c r="B12" s="112">
        <v>2071667</v>
      </c>
      <c r="C12" s="113"/>
      <c r="D12" s="78">
        <v>4521456</v>
      </c>
      <c r="E12" s="78">
        <v>9034794</v>
      </c>
      <c r="F12" s="78">
        <v>8244993</v>
      </c>
      <c r="G12" s="78">
        <v>3665768</v>
      </c>
      <c r="H12" s="78">
        <v>13967907</v>
      </c>
      <c r="I12" s="16">
        <v>1058663</v>
      </c>
      <c r="J12" s="16">
        <v>1006124</v>
      </c>
      <c r="K12" s="12">
        <v>1429339</v>
      </c>
      <c r="L12" s="12">
        <v>1577271</v>
      </c>
      <c r="M12" s="12">
        <v>1431763</v>
      </c>
      <c r="N12" s="12"/>
      <c r="O12" s="114">
        <v>7381282</v>
      </c>
      <c r="P12" s="113">
        <v>9468124</v>
      </c>
      <c r="Q12" s="113">
        <v>493570</v>
      </c>
      <c r="R12" s="78">
        <v>3431495</v>
      </c>
      <c r="S12" s="78">
        <v>1900804</v>
      </c>
      <c r="T12" s="78">
        <v>8899716</v>
      </c>
      <c r="U12" s="78">
        <v>5306219</v>
      </c>
      <c r="V12" s="78">
        <v>1220610</v>
      </c>
    </row>
    <row r="13" spans="1:22" ht="16.5">
      <c r="A13" s="148"/>
      <c r="B13" s="13"/>
      <c r="C13" s="12"/>
      <c r="D13" s="16"/>
      <c r="E13" s="16"/>
      <c r="F13" s="16"/>
      <c r="G13" s="16"/>
      <c r="H13" s="16"/>
      <c r="I13" s="16"/>
      <c r="J13" s="16"/>
      <c r="K13" s="12"/>
      <c r="L13" s="12"/>
      <c r="M13" s="12"/>
      <c r="N13" s="12"/>
      <c r="O13" s="114">
        <v>11920238</v>
      </c>
      <c r="P13" s="115"/>
      <c r="Q13" s="115"/>
      <c r="R13" s="116"/>
      <c r="S13" s="116"/>
      <c r="T13" s="116"/>
      <c r="U13" s="116"/>
      <c r="V13" s="116"/>
    </row>
    <row r="14" spans="1:22" ht="16.5">
      <c r="A14" s="148"/>
      <c r="B14" s="13"/>
      <c r="C14" s="16"/>
      <c r="D14" s="16"/>
      <c r="E14" s="16"/>
      <c r="F14" s="16"/>
      <c r="G14" s="16"/>
      <c r="H14" s="16"/>
      <c r="I14" s="16"/>
      <c r="J14" s="16"/>
      <c r="K14" s="12"/>
      <c r="L14" s="12"/>
      <c r="M14" s="12"/>
      <c r="N14" s="12"/>
      <c r="O14" s="114">
        <v>6406819</v>
      </c>
      <c r="P14" s="12"/>
      <c r="Q14" s="12"/>
      <c r="R14" s="16"/>
      <c r="S14" s="16"/>
      <c r="T14" s="16"/>
      <c r="U14" s="16"/>
      <c r="V14" s="16"/>
    </row>
    <row r="15" spans="1:22" ht="16.5">
      <c r="A15" s="148"/>
      <c r="B15" s="13"/>
      <c r="C15" s="16"/>
      <c r="D15" s="16"/>
      <c r="E15" s="16"/>
      <c r="F15" s="16"/>
      <c r="G15" s="16"/>
      <c r="H15" s="16"/>
      <c r="I15" s="16"/>
      <c r="J15" s="16"/>
      <c r="K15" s="12"/>
      <c r="L15" s="12"/>
      <c r="M15" s="12"/>
      <c r="N15" s="12"/>
      <c r="O15" s="114">
        <v>11578464</v>
      </c>
      <c r="P15" s="12"/>
      <c r="Q15" s="12"/>
      <c r="R15" s="16"/>
      <c r="S15" s="16"/>
      <c r="T15" s="16"/>
      <c r="U15" s="16"/>
      <c r="V15" s="16"/>
    </row>
    <row r="16" spans="1:22" ht="16.5">
      <c r="A16" s="148"/>
      <c r="B16" s="13"/>
      <c r="C16" s="16"/>
      <c r="D16" s="16"/>
      <c r="E16" s="16"/>
      <c r="F16" s="16"/>
      <c r="G16" s="16"/>
      <c r="H16" s="16"/>
      <c r="I16" s="16"/>
      <c r="J16" s="16"/>
      <c r="K16" s="12"/>
      <c r="L16" s="12"/>
      <c r="M16" s="12"/>
      <c r="N16" s="12"/>
      <c r="O16" s="114">
        <v>5960765</v>
      </c>
      <c r="P16" s="12"/>
      <c r="Q16" s="12"/>
      <c r="R16" s="16"/>
      <c r="S16" s="16"/>
      <c r="T16" s="16"/>
      <c r="U16" s="16"/>
      <c r="V16" s="16"/>
    </row>
    <row r="17" spans="1:22" ht="16.5">
      <c r="A17" s="148"/>
      <c r="B17" s="13"/>
      <c r="C17" s="16"/>
      <c r="D17" s="16"/>
      <c r="E17" s="16"/>
      <c r="F17" s="16"/>
      <c r="G17" s="16"/>
      <c r="H17" s="16"/>
      <c r="I17" s="16"/>
      <c r="J17" s="16"/>
      <c r="K17" s="12"/>
      <c r="L17" s="12"/>
      <c r="M17" s="12"/>
      <c r="N17" s="12"/>
      <c r="O17" s="114">
        <v>8254324</v>
      </c>
      <c r="P17" s="12"/>
      <c r="Q17" s="12"/>
      <c r="R17" s="16"/>
      <c r="S17" s="16"/>
      <c r="T17" s="16"/>
      <c r="U17" s="16"/>
      <c r="V17" s="16"/>
    </row>
    <row r="18" spans="1:22" ht="16.5">
      <c r="A18" s="148"/>
      <c r="B18" s="13"/>
      <c r="C18" s="16"/>
      <c r="D18" s="16"/>
      <c r="E18" s="16"/>
      <c r="F18" s="16"/>
      <c r="G18" s="16"/>
      <c r="H18" s="16"/>
      <c r="I18" s="16"/>
      <c r="J18" s="16"/>
      <c r="K18" s="12"/>
      <c r="L18" s="12"/>
      <c r="M18" s="12"/>
      <c r="N18" s="12"/>
      <c r="O18" s="114">
        <v>10304553</v>
      </c>
      <c r="P18" s="12"/>
      <c r="Q18" s="12"/>
      <c r="R18" s="16"/>
      <c r="S18" s="16"/>
      <c r="T18" s="16"/>
      <c r="U18" s="16"/>
      <c r="V18" s="16"/>
    </row>
    <row r="19" spans="1:22" ht="16.5">
      <c r="A19" s="148"/>
      <c r="B19" s="13"/>
      <c r="C19" s="16"/>
      <c r="D19" s="16"/>
      <c r="E19" s="16"/>
      <c r="F19" s="16"/>
      <c r="G19" s="16"/>
      <c r="H19" s="16"/>
      <c r="I19" s="16"/>
      <c r="J19" s="16"/>
      <c r="K19" s="12"/>
      <c r="L19" s="12"/>
      <c r="M19" s="12"/>
      <c r="N19" s="12"/>
      <c r="O19" s="114">
        <v>12362767</v>
      </c>
      <c r="P19" s="12"/>
      <c r="Q19" s="12"/>
      <c r="R19" s="16"/>
      <c r="S19" s="16"/>
      <c r="T19" s="16"/>
      <c r="U19" s="16"/>
      <c r="V19" s="16"/>
    </row>
    <row r="20" spans="1:22" ht="16.5">
      <c r="A20" s="148"/>
      <c r="B20" s="13"/>
      <c r="C20" s="16"/>
      <c r="D20" s="16"/>
      <c r="E20" s="16"/>
      <c r="F20" s="16"/>
      <c r="G20" s="16"/>
      <c r="H20" s="16"/>
      <c r="I20" s="16"/>
      <c r="J20" s="16"/>
      <c r="K20" s="12"/>
      <c r="L20" s="12"/>
      <c r="M20" s="12"/>
      <c r="N20" s="12"/>
      <c r="O20" s="114">
        <v>6009988</v>
      </c>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cromolyn-1000µg/L</v>
      </c>
      <c r="J22" s="3" t="str">
        <f t="shared" si="0"/>
        <v>cromolyn-100µg/L</v>
      </c>
      <c r="K22" s="3" t="str">
        <f t="shared" si="0"/>
        <v>cromolyn-10µg/L</v>
      </c>
      <c r="L22" s="3" t="str">
        <f t="shared" si="0"/>
        <v>cromolyn-1µg/L</v>
      </c>
      <c r="M22" s="3" t="str">
        <f t="shared" si="0"/>
        <v>cromolyn-0.1µg/L</v>
      </c>
      <c r="N22" s="3" t="str">
        <f t="shared" si="0"/>
        <v/>
      </c>
      <c r="O22" s="3" t="str">
        <f t="shared" si="0"/>
        <v>Testo -30µg/L</v>
      </c>
      <c r="P22" s="3" t="str">
        <f t="shared" si="0"/>
        <v>Testo 30µg/L + EE2 -64ng/L</v>
      </c>
      <c r="Q22" s="3" t="str">
        <f t="shared" si="0"/>
        <v>Testo 30µg/L + FAD-10mg/L</v>
      </c>
      <c r="R22" s="3" t="str">
        <f t="shared" si="0"/>
        <v>cromolyn-1000µg/L + Testostérone</v>
      </c>
      <c r="S22" s="3" t="str">
        <f t="shared" si="0"/>
        <v>cromolyn-100µg/L + Testostérone</v>
      </c>
      <c r="T22" s="3" t="str">
        <f t="shared" si="0"/>
        <v>cromolyn-10µg/L + Testostérone</v>
      </c>
      <c r="U22" s="3" t="str">
        <f t="shared" si="0"/>
        <v>cromolyn-1µg/L + Testostérone</v>
      </c>
      <c r="V22" s="3" t="str">
        <f t="shared" si="0"/>
        <v>cromolyn-0.1µg/L + Testostérone</v>
      </c>
    </row>
    <row r="23" spans="1:22">
      <c r="A23" s="5" t="s">
        <v>0</v>
      </c>
      <c r="B23" s="5">
        <f t="shared" ref="B23:J23" si="1">AVERAGE(B5:B20)</f>
        <v>1704017.75</v>
      </c>
      <c r="C23" s="5">
        <f t="shared" si="1"/>
        <v>1629190.7142857143</v>
      </c>
      <c r="D23" s="5">
        <f t="shared" si="1"/>
        <v>2817836.125</v>
      </c>
      <c r="E23" s="5">
        <f t="shared" si="1"/>
        <v>7213316.25</v>
      </c>
      <c r="F23" s="5">
        <f t="shared" si="1"/>
        <v>10339451</v>
      </c>
      <c r="G23" s="5">
        <f t="shared" si="1"/>
        <v>9890666</v>
      </c>
      <c r="H23" s="5">
        <f t="shared" si="1"/>
        <v>17047960.625</v>
      </c>
      <c r="I23" s="5">
        <f t="shared" si="1"/>
        <v>1387431.25</v>
      </c>
      <c r="J23" s="5">
        <f t="shared" si="1"/>
        <v>1071384.375</v>
      </c>
      <c r="K23" s="5"/>
      <c r="L23" s="5">
        <f>AVERAGE(L5:L20)</f>
        <v>1234676.625</v>
      </c>
      <c r="M23" s="5"/>
      <c r="N23" s="5" t="e">
        <f>AVERAGE(N5:N20)</f>
        <v>#DIV/0!</v>
      </c>
      <c r="O23" s="5">
        <f>AVERAGE(O5:O20)</f>
        <v>8719471.3125</v>
      </c>
      <c r="P23" s="5">
        <f>AVERAGE(P5:P20)</f>
        <v>12631084.75</v>
      </c>
      <c r="Q23" s="5">
        <f>AVERAGE(Q5:Q20)</f>
        <v>532219.25</v>
      </c>
      <c r="R23" s="5">
        <f>AVERAGE(R5:R20)</f>
        <v>10376592.75</v>
      </c>
      <c r="S23" s="5">
        <f>AVERAGE(S5:S20)</f>
        <v>7050718.25</v>
      </c>
      <c r="T23" s="5">
        <f t="shared" ref="T23:V23" si="2">AVERAGE(T5:T20)</f>
        <v>6723601.125</v>
      </c>
      <c r="U23" s="5">
        <f t="shared" si="2"/>
        <v>8437375.125</v>
      </c>
      <c r="V23" s="5">
        <f t="shared" si="2"/>
        <v>7855448.125</v>
      </c>
    </row>
    <row r="24" spans="1:22">
      <c r="A24" s="3" t="s">
        <v>1</v>
      </c>
      <c r="B24" s="3">
        <f t="shared" ref="B24:J24" si="3">STDEV(B5:B20)</f>
        <v>1048625.8605788748</v>
      </c>
      <c r="C24" s="3">
        <f t="shared" si="3"/>
        <v>1163932.8408466007</v>
      </c>
      <c r="D24" s="3">
        <f t="shared" si="3"/>
        <v>1565684.0903250508</v>
      </c>
      <c r="E24" s="3">
        <f t="shared" si="3"/>
        <v>2492428.6008061497</v>
      </c>
      <c r="F24" s="3">
        <f t="shared" si="3"/>
        <v>3660841.086375643</v>
      </c>
      <c r="G24" s="3">
        <f t="shared" si="3"/>
        <v>4515879.4324879525</v>
      </c>
      <c r="H24" s="3">
        <f t="shared" si="3"/>
        <v>5529187.8955903249</v>
      </c>
      <c r="I24" s="3">
        <f t="shared" si="3"/>
        <v>1080139.4123499256</v>
      </c>
      <c r="J24" s="3">
        <f t="shared" si="3"/>
        <v>548824.75230699941</v>
      </c>
      <c r="K24" s="3"/>
      <c r="L24" s="3">
        <f>STDEV(L5:L20)</f>
        <v>758652.58163214929</v>
      </c>
      <c r="M24" s="3"/>
      <c r="N24" s="3" t="e">
        <f>STDEV(N5:N20)</f>
        <v>#DIV/0!</v>
      </c>
      <c r="O24" s="3">
        <f>STDEV(O5:O20)</f>
        <v>2358681.9763326226</v>
      </c>
      <c r="P24" s="3">
        <f>STDEV(P5:P20)</f>
        <v>4269301.0739447987</v>
      </c>
      <c r="Q24" s="3">
        <f>STDEV(Q5:Q20)</f>
        <v>555644.87863993284</v>
      </c>
      <c r="R24" s="3">
        <f>STDEV(R5:R20)</f>
        <v>4333590.4787591463</v>
      </c>
      <c r="S24" s="3">
        <f>STDEV(S5:S20)</f>
        <v>5371295.9338217108</v>
      </c>
      <c r="T24" s="3">
        <f t="shared" ref="T24:V24" si="4">STDEV(T5:T20)</f>
        <v>2418604.5337237893</v>
      </c>
      <c r="U24" s="3">
        <f t="shared" si="4"/>
        <v>3728294.235734446</v>
      </c>
      <c r="V24" s="3">
        <f t="shared" si="4"/>
        <v>4262080.206632955</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cromolyn-1000µg/L</v>
      </c>
      <c r="J27" s="19" t="str">
        <f t="shared" si="5"/>
        <v>cromolyn-100µg/L</v>
      </c>
      <c r="K27" s="19" t="str">
        <f t="shared" si="5"/>
        <v>cromolyn-10µg/L</v>
      </c>
      <c r="L27" s="19" t="str">
        <f t="shared" si="5"/>
        <v>cromolyn-1µg/L</v>
      </c>
      <c r="M27" s="19" t="str">
        <f t="shared" si="5"/>
        <v>cromolyn-0.1µg/L</v>
      </c>
      <c r="N27" s="19" t="str">
        <f t="shared" si="5"/>
        <v/>
      </c>
      <c r="O27" s="20" t="str">
        <f>O4</f>
        <v>Testo -30µg/L</v>
      </c>
      <c r="P27" s="20" t="str">
        <f t="shared" ref="P27:V27" si="6">P4</f>
        <v>Testo 30µg/L + EE2 -64ng/L</v>
      </c>
      <c r="Q27" s="20" t="str">
        <f t="shared" si="6"/>
        <v>Testo 30µg/L + FAD-10mg/L</v>
      </c>
      <c r="R27" s="20" t="str">
        <f t="shared" si="6"/>
        <v>cromolyn-1000µg/L + Testostérone</v>
      </c>
      <c r="S27" s="20" t="str">
        <f t="shared" si="6"/>
        <v>cromolyn-100µg/L + Testostérone</v>
      </c>
      <c r="T27" s="20" t="str">
        <f t="shared" si="6"/>
        <v>cromolyn-10µg/L + Testostérone</v>
      </c>
      <c r="U27" s="20" t="str">
        <f t="shared" si="6"/>
        <v>cromolyn-1µg/L + Testostérone</v>
      </c>
      <c r="V27" s="20" t="str">
        <f t="shared" si="6"/>
        <v>cromolyn-0.1µg/L + Testostérone</v>
      </c>
    </row>
    <row r="28" spans="1:22">
      <c r="A28" s="149" t="s">
        <v>72</v>
      </c>
      <c r="B28" s="10">
        <f>IF(B5="","",(B5/$O$23))</f>
        <v>0.34704397681335913</v>
      </c>
      <c r="C28" s="10">
        <f>IF(C5="","",(C5/$O$23))</f>
        <v>0.28883115842007651</v>
      </c>
      <c r="D28" s="10">
        <f>IF(D5="","",(D5/$O$23))</f>
        <v>0.40886355057894458</v>
      </c>
      <c r="E28" s="10">
        <f>IF(E5="","",(E5/$O$23))</f>
        <v>0.58605640374942169</v>
      </c>
      <c r="F28" s="10">
        <f>IF(F5="","",(F5/$O$23))</f>
        <v>0.39503186334957047</v>
      </c>
      <c r="G28" s="10">
        <f>IF(G5="","",(G5/$O$23))</f>
        <v>0.5181052655708247</v>
      </c>
      <c r="H28" s="10">
        <f>IF(H5="","",(H5/$O$23))</f>
        <v>2.3995201371906574</v>
      </c>
      <c r="I28" s="10">
        <f>IF(I5="","",(I5/$O$23))</f>
        <v>3.5488504854232814E-2</v>
      </c>
      <c r="J28" s="10">
        <f>IF(J5="","",(J5/$O$23))</f>
        <v>8.0559356734508439E-2</v>
      </c>
      <c r="K28" s="10">
        <f>IF(K5="","",(K5/$O$23))</f>
        <v>0.21231952416037037</v>
      </c>
      <c r="L28" s="10">
        <f>IF(L5="","",(L5/$O$23))</f>
        <v>0.23239023644646001</v>
      </c>
      <c r="M28" s="10">
        <f>IF(M5="","",(M5/$O$23))</f>
        <v>0.36685572844471698</v>
      </c>
      <c r="N28" s="10" t="str">
        <f>IF(N5="","",(N5/$O$23))</f>
        <v/>
      </c>
      <c r="O28" s="10">
        <f t="shared" ref="O28:V39" si="7">IF(O5="","",(O5/$O$23))</f>
        <v>1.0014728745631158</v>
      </c>
      <c r="P28" s="10">
        <f t="shared" si="7"/>
        <v>2.4857129776811799</v>
      </c>
      <c r="Q28" s="10">
        <f t="shared" si="7"/>
        <v>0.11614328021794268</v>
      </c>
      <c r="R28" s="10">
        <f t="shared" si="7"/>
        <v>1.614056804089061</v>
      </c>
      <c r="S28" s="10">
        <f t="shared" si="7"/>
        <v>0.8834768443995612</v>
      </c>
      <c r="T28" s="10">
        <f t="shared" si="7"/>
        <v>0.83553437346090242</v>
      </c>
      <c r="U28" s="10">
        <f t="shared" si="7"/>
        <v>0.86288511428599302</v>
      </c>
      <c r="V28" s="10">
        <f t="shared" si="7"/>
        <v>1.2757375534974558</v>
      </c>
    </row>
    <row r="29" spans="1:22">
      <c r="A29" s="149"/>
      <c r="B29" s="10">
        <f>IF(B6="","",(B6/$O$23))</f>
        <v>0.23793174214884488</v>
      </c>
      <c r="C29" s="10">
        <f>IF(C6="","",(C6/$O$23))</f>
        <v>0.13402119900603779</v>
      </c>
      <c r="D29" s="10">
        <f>IF(D6="","",(D6/$O$23))</f>
        <v>2.1668400895951682E-2</v>
      </c>
      <c r="E29" s="10">
        <f>IF(E6="","",(E6/$O$23))</f>
        <v>0.46493931279850176</v>
      </c>
      <c r="F29" s="10">
        <f>IF(F6="","",(F6/$O$23))</f>
        <v>1.4532637984408758</v>
      </c>
      <c r="G29" s="10">
        <f>IF(G6="","",(G6/$O$23))</f>
        <v>0.95332133131552177</v>
      </c>
      <c r="H29" s="10">
        <f>IF(H6="","",(H6/$O$23))</f>
        <v>1.3233909014022001</v>
      </c>
      <c r="I29" s="10">
        <f>IF(I6="","",(I6/$O$23))</f>
        <v>0.33382907009822221</v>
      </c>
      <c r="J29" s="10">
        <f>IF(J6="","",(J6/$O$23))</f>
        <v>6.5968334476357054E-2</v>
      </c>
      <c r="K29" s="10">
        <f>IF(K6="","",(K6/$O$23))</f>
        <v>0.15976037423312528</v>
      </c>
      <c r="L29" s="10">
        <f>IF(L6="","",(L6/$O$23))</f>
        <v>0.22434559732947112</v>
      </c>
      <c r="M29" s="10">
        <f>IF(M6="","",(M6/$O$23))</f>
        <v>4.7081065501240506E-2</v>
      </c>
      <c r="N29" s="10" t="str">
        <f>IF(N6="","",(N6/$O$23))</f>
        <v/>
      </c>
      <c r="O29" s="10">
        <f t="shared" si="7"/>
        <v>1.3118837817152347</v>
      </c>
      <c r="P29" s="10">
        <f t="shared" si="7"/>
        <v>1.5787473238504333</v>
      </c>
      <c r="Q29" s="10">
        <f t="shared" si="7"/>
        <v>3.0712756588359955E-2</v>
      </c>
      <c r="R29" s="10">
        <f t="shared" si="7"/>
        <v>1.678403136554846</v>
      </c>
      <c r="S29" s="10">
        <f t="shared" si="7"/>
        <v>1.4108384051180396</v>
      </c>
      <c r="T29" s="10">
        <f t="shared" si="7"/>
        <v>0.41106941826411336</v>
      </c>
      <c r="U29" s="10">
        <f t="shared" si="7"/>
        <v>1.057238411551916</v>
      </c>
      <c r="V29" s="10">
        <f t="shared" si="7"/>
        <v>0.88252839240016712</v>
      </c>
    </row>
    <row r="30" spans="1:22">
      <c r="A30" s="149"/>
      <c r="B30" s="10">
        <f>IF(B7="","",(B7/$O$23))</f>
        <v>0.22660181210384595</v>
      </c>
      <c r="C30" s="10">
        <f>IF(C7="","",(C7/$O$23))</f>
        <v>0.26686870299855692</v>
      </c>
      <c r="D30" s="10">
        <f>IF(D7="","",(D7/$O$23))</f>
        <v>0.48060723521074145</v>
      </c>
      <c r="E30" s="10">
        <f>IF(E7="","",(E7/$O$23))</f>
        <v>1.0377355089210862</v>
      </c>
      <c r="F30" s="10">
        <f>IF(F7="","",(F7/$O$23))</f>
        <v>1.7117190326211076</v>
      </c>
      <c r="G30" s="10">
        <f>IF(G7="","",(G7/$O$23))</f>
        <v>1.1188255170946753</v>
      </c>
      <c r="H30" s="10">
        <f>IF(H7="","",(H7/$O$23))</f>
        <v>1.8774660083498038</v>
      </c>
      <c r="I30" s="10">
        <f>IF(I7="","",(I7/$O$23))</f>
        <v>0.22795544921978891</v>
      </c>
      <c r="J30" s="10">
        <f>IF(J7="","",(J7/$O$23))</f>
        <v>9.1546834824224321E-2</v>
      </c>
      <c r="K30" s="10">
        <f>IF(K7="","",(K7/$O$23))</f>
        <v>0.11958408516181468</v>
      </c>
      <c r="L30" s="10">
        <f>IF(L7="","",(L7/$O$23))</f>
        <v>0.1936562366550019</v>
      </c>
      <c r="M30" s="10">
        <f>IF(M7="","",(M7/$O$23))</f>
        <v>0.46700388751350685</v>
      </c>
      <c r="N30" s="10" t="str">
        <f>IF(N7="","",(N7/$O$23))</f>
        <v/>
      </c>
      <c r="O30" s="10">
        <f t="shared" si="7"/>
        <v>0.90028015675061601</v>
      </c>
      <c r="P30" s="10">
        <f t="shared" si="7"/>
        <v>1.3209619697341024</v>
      </c>
      <c r="Q30" s="10">
        <f t="shared" si="7"/>
        <v>3.3391244671292106E-2</v>
      </c>
      <c r="R30" s="10">
        <f t="shared" si="7"/>
        <v>0.76132849826381033</v>
      </c>
      <c r="S30" s="10">
        <f t="shared" si="7"/>
        <v>0.37067545544493696</v>
      </c>
      <c r="T30" s="10">
        <f t="shared" si="7"/>
        <v>1.2729775237734633</v>
      </c>
      <c r="U30" s="10">
        <f t="shared" si="7"/>
        <v>1.2629482459805961</v>
      </c>
      <c r="V30" s="10">
        <f t="shared" si="7"/>
        <v>1.7936750336662111</v>
      </c>
    </row>
    <row r="31" spans="1:22">
      <c r="A31" s="149"/>
      <c r="B31" s="10">
        <f>IF(B8="","",(B8/$O$23))</f>
        <v>0.31276838953416763</v>
      </c>
      <c r="C31" s="10">
        <f>IF(C8="","",(C8/$O$23))</f>
        <v>4.8933127331738095E-2</v>
      </c>
      <c r="D31" s="10">
        <f>IF(D8="","",(D8/$O$23))</f>
        <v>0.45486221100518126</v>
      </c>
      <c r="E31" s="10">
        <f>IF(E8="","",(E8/$O$23))</f>
        <v>0.73692105515485629</v>
      </c>
      <c r="F31" s="10">
        <f>IF(F8="","",(F8/$O$23))</f>
        <v>0.95831911139165182</v>
      </c>
      <c r="G31" s="10">
        <f>IF(G8="","",(G8/$O$23))</f>
        <v>1.351732872049632</v>
      </c>
      <c r="H31" s="10">
        <f>IF(H8="","",(H8/$O$23))</f>
        <v>2.5238301969584009</v>
      </c>
      <c r="I31" s="10">
        <f>IF(I8="","",(I8/$O$23))</f>
        <v>5.3116523169936168E-2</v>
      </c>
      <c r="J31" s="10">
        <f>IF(J8="","",(J8/$O$23))</f>
        <v>0.16972955663933209</v>
      </c>
      <c r="K31" s="10">
        <f>IF(K8="","",(K8/$O$23))</f>
        <v>0.14742281428889098</v>
      </c>
      <c r="L31" s="10">
        <f>IF(L8="","",(L8/$O$23))</f>
        <v>2.1474123061976644E-2</v>
      </c>
      <c r="M31" s="10">
        <f>IF(M8="","",(M8/$O$23))</f>
        <v>9.0359836251826652E-3</v>
      </c>
      <c r="N31" s="10" t="str">
        <f>IF(N8="","",(N8/$O$23))</f>
        <v/>
      </c>
      <c r="O31" s="10">
        <f t="shared" si="7"/>
        <v>1.2723884972355082</v>
      </c>
      <c r="P31" s="10">
        <f t="shared" si="7"/>
        <v>0.96877949330371171</v>
      </c>
      <c r="Q31" s="10">
        <f t="shared" si="7"/>
        <v>4.4128707602763849E-2</v>
      </c>
      <c r="R31" s="10">
        <f t="shared" si="7"/>
        <v>0.923011580812515</v>
      </c>
      <c r="S31" s="10">
        <f t="shared" si="7"/>
        <v>0.68546392158337643</v>
      </c>
      <c r="T31" s="10">
        <f t="shared" si="7"/>
        <v>0.70014875686879552</v>
      </c>
      <c r="U31" s="10">
        <f t="shared" si="7"/>
        <v>0.44897630368802249</v>
      </c>
      <c r="V31" s="10">
        <f t="shared" si="7"/>
        <v>1.004490947455021</v>
      </c>
    </row>
    <row r="32" spans="1:22">
      <c r="A32" s="149"/>
      <c r="B32" s="10">
        <f>IF(B9="","",(B9/$O$23))</f>
        <v>7.0492806039609297E-3</v>
      </c>
      <c r="C32" s="10">
        <f>IF(C9="","",(C9/$O$23))</f>
        <v>1.7943863153228306E-2</v>
      </c>
      <c r="D32" s="10">
        <f>IF(D9="","",(D9/$O$23))</f>
        <v>0.35762500824214966</v>
      </c>
      <c r="E32" s="10">
        <f>IF(E9="","",(E9/$O$23))</f>
        <v>1.2027647805854285</v>
      </c>
      <c r="F32" s="10">
        <f>IF(F9="","",(F9/$O$23))</f>
        <v>1.3486592912051627</v>
      </c>
      <c r="G32" s="10">
        <f>IF(G9="","",(G9/$O$23))</f>
        <v>1.3841242854596525</v>
      </c>
      <c r="H32" s="10">
        <f>IF(H9="","",(H9/$O$23))</f>
        <v>1.7607218889511083</v>
      </c>
      <c r="I32" s="10">
        <f>IF(I9="","",(I9/$O$23))</f>
        <v>0.29527260400628791</v>
      </c>
      <c r="J32" s="10">
        <f>IF(J9="","",(J9/$O$23))</f>
        <v>0.22802804536436164</v>
      </c>
      <c r="K32" s="10">
        <f>IF(K9="","",(K9/$O$23))</f>
        <v>8.9302662064352084E-2</v>
      </c>
      <c r="L32" s="10">
        <f>IF(L9="","",(L9/$O$23))</f>
        <v>0.10847286103735318</v>
      </c>
      <c r="M32" s="10">
        <f>IF(M9="","",(M9/$O$23))</f>
        <v>0.15768215190168389</v>
      </c>
      <c r="N32" s="10" t="str">
        <f>IF(N9="","",(N9/$O$23))</f>
        <v/>
      </c>
      <c r="O32" s="10">
        <f t="shared" si="7"/>
        <v>0.73305442164100243</v>
      </c>
      <c r="P32" s="10">
        <f t="shared" si="7"/>
        <v>1.3764243920149946</v>
      </c>
      <c r="Q32" s="10">
        <f t="shared" si="7"/>
        <v>0.19346895465802361</v>
      </c>
      <c r="R32" s="10">
        <f t="shared" si="7"/>
        <v>0.93096286564564579</v>
      </c>
      <c r="S32" s="10">
        <f t="shared" si="7"/>
        <v>2.0013313163819184</v>
      </c>
      <c r="T32" s="10">
        <f t="shared" si="7"/>
        <v>0.78386059831422839</v>
      </c>
      <c r="U32" s="10">
        <f t="shared" si="7"/>
        <v>0.63159804105382222</v>
      </c>
      <c r="V32" s="10">
        <f t="shared" si="7"/>
        <v>0.83094097570035441</v>
      </c>
    </row>
    <row r="33" spans="1:22">
      <c r="A33" s="149"/>
      <c r="B33" s="10">
        <f>IF(B10="","",(B10/$O$23))</f>
        <v>4.6465775903084608E-2</v>
      </c>
      <c r="C33" s="10">
        <f>IF(C10="","",(C10/$O$23))</f>
        <v>0.16612887961720671</v>
      </c>
      <c r="D33" s="10">
        <f>IF(D10="","",(D10/$O$23))</f>
        <v>0.17086769903860499</v>
      </c>
      <c r="E33" s="10">
        <f>IF(E10="","",(E10/$O$23))</f>
        <v>0.51191498200138152</v>
      </c>
      <c r="F33" s="10">
        <f>IF(F10="","",(F10/$O$23))</f>
        <v>1.5354113248594967</v>
      </c>
      <c r="G33" s="10">
        <f>IF(G10="","",(G10/$O$23))</f>
        <v>2.0410994385045176</v>
      </c>
      <c r="H33" s="10">
        <f>IF(H10="","",(H10/$O$23))</f>
        <v>2.9981826951506472</v>
      </c>
      <c r="I33" s="10">
        <f>IF(I10="","",(I10/$O$23))</f>
        <v>0.20133078452627801</v>
      </c>
      <c r="J33" s="10">
        <f>IF(J10="","",(J10/$O$23))</f>
        <v>5.1400134702834367E-2</v>
      </c>
      <c r="K33" s="10">
        <f>IF(K10="","",(K10/$O$23))</f>
        <v>9.7738953367306008E-2</v>
      </c>
      <c r="L33" s="10">
        <f>IF(L10="","",(L10/$O$23))</f>
        <v>8.6824071422162852E-3</v>
      </c>
      <c r="M33" s="10">
        <f>IF(M10="","",(M10/$O$23))</f>
        <v>9.7800654355900199E-3</v>
      </c>
      <c r="N33" s="10" t="str">
        <f>IF(N10="","",(N10/$O$23))</f>
        <v/>
      </c>
      <c r="O33" s="10">
        <f t="shared" si="7"/>
        <v>0.70403247857465789</v>
      </c>
      <c r="P33" s="10">
        <f t="shared" si="7"/>
        <v>1.6980411391198094</v>
      </c>
      <c r="Q33" s="10">
        <f t="shared" si="7"/>
        <v>5.2443546588020274E-3</v>
      </c>
      <c r="R33" s="10">
        <f t="shared" si="7"/>
        <v>1.6427015453868437</v>
      </c>
      <c r="S33" s="10">
        <f t="shared" si="7"/>
        <v>0.2885803404608655</v>
      </c>
      <c r="T33" s="10">
        <f t="shared" si="7"/>
        <v>0.62874511578938119</v>
      </c>
      <c r="U33" s="10">
        <f t="shared" si="7"/>
        <v>1.7712370907006181</v>
      </c>
      <c r="V33" s="10">
        <f t="shared" si="7"/>
        <v>0.68350669282622289</v>
      </c>
    </row>
    <row r="34" spans="1:22">
      <c r="A34" s="149"/>
      <c r="B34" s="10">
        <f>IF(B11="","",(B11/$O$23))</f>
        <v>0.14796195248104957</v>
      </c>
      <c r="C34" s="10">
        <f>IF(C11="","",(C11/$O$23))</f>
        <v>0.38518895006686221</v>
      </c>
      <c r="D34" s="10">
        <f>IF(D11="","",(D11/$O$23))</f>
        <v>0.17228636303286191</v>
      </c>
      <c r="E34" s="10">
        <f>IF(E11="","",(E11/$O$23))</f>
        <v>1.0416274880083218</v>
      </c>
      <c r="F34" s="10">
        <f>IF(F11="","",(F11/$O$23))</f>
        <v>1.1383215385743606</v>
      </c>
      <c r="G34" s="10">
        <f>IF(G11="","",(G11/$O$23))</f>
        <v>1.2869352507546312</v>
      </c>
      <c r="H34" s="10">
        <f>IF(H11="","",(H11/$O$23))</f>
        <v>1.1562460198185325</v>
      </c>
      <c r="I34" s="10">
        <f>IF(I11="","",(I11/$O$23))</f>
        <v>4.5432800430467617E-3</v>
      </c>
      <c r="J34" s="10">
        <f>IF(J11="","",(J11/$O$23))</f>
        <v>0.18036059109977146</v>
      </c>
      <c r="K34" s="10">
        <f>IF(K11="","",(K11/$O$23))</f>
        <v>4.5322587326305855E-2</v>
      </c>
      <c r="L34" s="10">
        <f>IF(L11="","",(L11/$O$23))</f>
        <v>0.16288739868481561</v>
      </c>
      <c r="M34" s="10">
        <f>IF(M11="","",(M11/$O$23))</f>
        <v>6.9170478161373044E-3</v>
      </c>
      <c r="N34" s="10" t="str">
        <f>IF(N11="","",(N11/$O$23))</f>
        <v/>
      </c>
      <c r="O34" s="10">
        <f t="shared" si="7"/>
        <v>0.88146789232297273</v>
      </c>
      <c r="P34" s="10">
        <f t="shared" si="7"/>
        <v>1.0743266035603463</v>
      </c>
      <c r="Q34" s="10">
        <f t="shared" si="7"/>
        <v>8.6093522542339349E-3</v>
      </c>
      <c r="R34" s="10">
        <f t="shared" si="7"/>
        <v>1.5763787169407011</v>
      </c>
      <c r="S34" s="10">
        <f t="shared" si="7"/>
        <v>0.61057945019760052</v>
      </c>
      <c r="T34" s="10">
        <f t="shared" si="7"/>
        <v>0.51580810794714105</v>
      </c>
      <c r="U34" s="10">
        <f t="shared" si="7"/>
        <v>1.0977490098829887</v>
      </c>
      <c r="V34" s="10">
        <f t="shared" si="7"/>
        <v>0.5964038200968621</v>
      </c>
    </row>
    <row r="35" spans="1:22">
      <c r="A35" s="149"/>
      <c r="B35" s="10">
        <f>IF(B12="","",(B12/$O$23))</f>
        <v>0.23759089579549553</v>
      </c>
      <c r="C35" s="10" t="str">
        <f>IF(C12="","",(C12/$O$23))</f>
        <v/>
      </c>
      <c r="D35" s="10">
        <f>IF(D12="","",(D12/$O$23))</f>
        <v>0.51854703547429093</v>
      </c>
      <c r="E35" s="10">
        <f>IF(E12="","",(E12/$O$23))</f>
        <v>1.0361630511987534</v>
      </c>
      <c r="F35" s="10">
        <f>IF(F12="","",(F12/$O$23))</f>
        <v>0.94558405028297976</v>
      </c>
      <c r="G35" s="10">
        <f>IF(G12="","",(G12/$O$23))</f>
        <v>0.42041172780107133</v>
      </c>
      <c r="H35" s="10">
        <f>IF(H12="","",(H12/$O$23))</f>
        <v>1.6019213206167653</v>
      </c>
      <c r="I35" s="10">
        <f>IF(I12="","",(I12/$O$23))</f>
        <v>0.12141366856524077</v>
      </c>
      <c r="J35" s="10">
        <f>IF(J12="","",(J12/$O$23))</f>
        <v>0.1153881885657044</v>
      </c>
      <c r="K35" s="10">
        <f>IF(K12="","",(K12/$O$23))</f>
        <v>0.16392496159152883</v>
      </c>
      <c r="L35" s="10">
        <f>IF(L12="","",(L12/$O$23))</f>
        <v>0.18089066910959001</v>
      </c>
      <c r="M35" s="10">
        <f>IF(M12="","",(M12/$O$23))</f>
        <v>0.16420296009775995</v>
      </c>
      <c r="N35" s="10" t="str">
        <f>IF(N12="","",(N12/$O$23))</f>
        <v/>
      </c>
      <c r="O35" s="10">
        <f t="shared" si="7"/>
        <v>0.84652861801591028</v>
      </c>
      <c r="P35" s="10">
        <f t="shared" si="7"/>
        <v>1.0858598716216603</v>
      </c>
      <c r="Q35" s="10">
        <f t="shared" si="7"/>
        <v>5.6605496171818502E-2</v>
      </c>
      <c r="R35" s="10">
        <f t="shared" si="7"/>
        <v>0.3935439291004606</v>
      </c>
      <c r="S35" s="10">
        <f t="shared" si="7"/>
        <v>0.21799532699592214</v>
      </c>
      <c r="T35" s="10">
        <f t="shared" si="7"/>
        <v>1.0206715156275135</v>
      </c>
      <c r="U35" s="10">
        <f t="shared" si="7"/>
        <v>0.60854824906564542</v>
      </c>
      <c r="V35" s="10">
        <f t="shared" si="7"/>
        <v>0.13998669830476607</v>
      </c>
    </row>
    <row r="36" spans="1:22">
      <c r="A36" s="149"/>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7"/>
        <v>1.3670826559072988</v>
      </c>
      <c r="P36" s="10" t="str">
        <f t="shared" si="7"/>
        <v/>
      </c>
      <c r="Q36" s="10" t="str">
        <f t="shared" si="7"/>
        <v/>
      </c>
      <c r="R36" s="10" t="str">
        <f t="shared" si="7"/>
        <v/>
      </c>
      <c r="S36" s="10" t="str">
        <f t="shared" si="7"/>
        <v/>
      </c>
      <c r="T36" s="10" t="str">
        <f t="shared" si="7"/>
        <v/>
      </c>
      <c r="U36" s="10" t="str">
        <f t="shared" si="7"/>
        <v/>
      </c>
      <c r="V36" s="10" t="str">
        <f t="shared" si="7"/>
        <v/>
      </c>
    </row>
    <row r="37" spans="1:22">
      <c r="A37" s="149"/>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7"/>
        <v>0.73477149822321863</v>
      </c>
      <c r="P37" s="10" t="str">
        <f t="shared" si="7"/>
        <v/>
      </c>
      <c r="Q37" s="10" t="str">
        <f t="shared" si="7"/>
        <v/>
      </c>
      <c r="R37" s="10" t="str">
        <f t="shared" si="7"/>
        <v/>
      </c>
      <c r="S37" s="10" t="str">
        <f t="shared" si="7"/>
        <v/>
      </c>
      <c r="T37" s="10" t="str">
        <f t="shared" si="7"/>
        <v/>
      </c>
      <c r="U37" s="10" t="str">
        <f t="shared" si="7"/>
        <v/>
      </c>
      <c r="V37" s="10" t="str">
        <f t="shared" si="7"/>
        <v/>
      </c>
    </row>
    <row r="38" spans="1:22">
      <c r="A38" s="149"/>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si="7"/>
        <v>1.3278860133872366</v>
      </c>
      <c r="P38" s="10" t="str">
        <f t="shared" si="7"/>
        <v/>
      </c>
      <c r="Q38" s="10" t="str">
        <f t="shared" si="7"/>
        <v/>
      </c>
      <c r="R38" s="10" t="str">
        <f t="shared" si="7"/>
        <v/>
      </c>
      <c r="S38" s="10" t="str">
        <f t="shared" si="7"/>
        <v/>
      </c>
      <c r="T38" s="10" t="str">
        <f t="shared" si="7"/>
        <v/>
      </c>
      <c r="U38" s="10" t="str">
        <f t="shared" si="7"/>
        <v/>
      </c>
      <c r="V38" s="10" t="str">
        <f t="shared" si="7"/>
        <v/>
      </c>
    </row>
    <row r="39" spans="1:22">
      <c r="A39" s="149"/>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si="7"/>
        <v>0.68361541501430334</v>
      </c>
      <c r="P39" s="10" t="str">
        <f t="shared" si="7"/>
        <v/>
      </c>
      <c r="Q39" s="10" t="str">
        <f t="shared" ref="Q39:V39" si="8">IF(Q16="","",(Q16/$O$23))</f>
        <v/>
      </c>
      <c r="R39" s="10" t="str">
        <f t="shared" si="8"/>
        <v/>
      </c>
      <c r="S39" s="10" t="str">
        <f t="shared" si="8"/>
        <v/>
      </c>
      <c r="T39" s="10" t="str">
        <f t="shared" si="8"/>
        <v/>
      </c>
      <c r="U39" s="10" t="str">
        <f t="shared" si="8"/>
        <v/>
      </c>
      <c r="V39" s="10" t="str">
        <f t="shared" si="8"/>
        <v/>
      </c>
    </row>
    <row r="40" spans="1:22">
      <c r="A40" s="149"/>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3" si="9">IF(O17="","",(O17/$O$23))</f>
        <v>0.94665418397177625</v>
      </c>
      <c r="P40" s="10" t="str">
        <f t="shared" si="9"/>
        <v/>
      </c>
      <c r="Q40" s="10" t="str">
        <f t="shared" si="9"/>
        <v/>
      </c>
      <c r="R40" s="10" t="str">
        <f t="shared" si="9"/>
        <v/>
      </c>
      <c r="S40" s="10" t="str">
        <f t="shared" si="9"/>
        <v/>
      </c>
      <c r="T40" s="10" t="str">
        <f t="shared" si="9"/>
        <v/>
      </c>
      <c r="U40" s="10" t="str">
        <f t="shared" si="9"/>
        <v/>
      </c>
      <c r="V40" s="10" t="str">
        <f t="shared" si="9"/>
        <v/>
      </c>
    </row>
    <row r="41" spans="1:22">
      <c r="A41" s="149"/>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si="9"/>
        <v>1.181786444463401</v>
      </c>
      <c r="P41" s="10" t="str">
        <f t="shared" si="9"/>
        <v/>
      </c>
      <c r="Q41" s="10" t="str">
        <f t="shared" si="9"/>
        <v/>
      </c>
      <c r="R41" s="10" t="str">
        <f t="shared" si="9"/>
        <v/>
      </c>
      <c r="S41" s="10" t="str">
        <f t="shared" si="9"/>
        <v/>
      </c>
      <c r="T41" s="10" t="str">
        <f t="shared" si="9"/>
        <v/>
      </c>
      <c r="U41" s="10" t="str">
        <f t="shared" si="9"/>
        <v/>
      </c>
      <c r="V41" s="10" t="str">
        <f t="shared" si="9"/>
        <v/>
      </c>
    </row>
    <row r="42" spans="1:22">
      <c r="A42" s="149"/>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si="9"/>
        <v>1.4178344714864843</v>
      </c>
      <c r="P42" s="10" t="str">
        <f t="shared" si="9"/>
        <v/>
      </c>
      <c r="Q42" s="10" t="str">
        <f t="shared" si="9"/>
        <v/>
      </c>
      <c r="R42" s="10" t="str">
        <f t="shared" si="9"/>
        <v/>
      </c>
      <c r="S42" s="10" t="str">
        <f t="shared" si="9"/>
        <v/>
      </c>
      <c r="T42" s="10" t="str">
        <f t="shared" si="9"/>
        <v/>
      </c>
      <c r="U42" s="10" t="str">
        <f t="shared" si="9"/>
        <v/>
      </c>
      <c r="V42" s="10" t="str">
        <f t="shared" si="9"/>
        <v/>
      </c>
    </row>
    <row r="43" spans="1:22">
      <c r="A43" s="149"/>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si="9"/>
        <v>0.68926059672726292</v>
      </c>
      <c r="P43" s="10" t="str">
        <f t="shared" si="9"/>
        <v/>
      </c>
      <c r="Q43" s="10" t="str">
        <f t="shared" si="9"/>
        <v/>
      </c>
      <c r="R43" s="10" t="str">
        <f t="shared" si="9"/>
        <v/>
      </c>
      <c r="S43" s="10" t="str">
        <f t="shared" si="9"/>
        <v/>
      </c>
      <c r="T43" s="10" t="str">
        <f t="shared" si="9"/>
        <v/>
      </c>
      <c r="U43" s="10" t="str">
        <f t="shared" si="9"/>
        <v/>
      </c>
      <c r="V43" s="10" t="str">
        <f t="shared" si="9"/>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V45" si="10">B4</f>
        <v>Solvent control</v>
      </c>
      <c r="C45" s="6" t="str">
        <f t="shared" si="10"/>
        <v>EE2-33.8ng/L</v>
      </c>
      <c r="D45" s="6" t="str">
        <f t="shared" si="10"/>
        <v>EE2-50.6ng/L</v>
      </c>
      <c r="E45" s="6" t="str">
        <f t="shared" si="10"/>
        <v>EE2-76ng/L</v>
      </c>
      <c r="F45" s="6" t="str">
        <f t="shared" si="10"/>
        <v>EE2-114ng/L</v>
      </c>
      <c r="G45" s="6" t="str">
        <f t="shared" si="10"/>
        <v>EE2-170.9ng/L</v>
      </c>
      <c r="H45" s="6" t="str">
        <f t="shared" si="10"/>
        <v>EE2-488ng/L</v>
      </c>
      <c r="I45" s="6" t="str">
        <f t="shared" si="10"/>
        <v>cromolyn-1000µg/L</v>
      </c>
      <c r="J45" s="6" t="str">
        <f t="shared" si="10"/>
        <v>cromolyn-100µg/L</v>
      </c>
      <c r="K45" s="6" t="str">
        <f t="shared" si="10"/>
        <v>cromolyn-10µg/L</v>
      </c>
      <c r="L45" s="6" t="str">
        <f t="shared" si="10"/>
        <v>cromolyn-1µg/L</v>
      </c>
      <c r="M45" s="6" t="str">
        <f t="shared" si="10"/>
        <v>cromolyn-0.1µg/L</v>
      </c>
      <c r="N45" s="6" t="str">
        <f t="shared" si="10"/>
        <v/>
      </c>
      <c r="O45" s="6" t="str">
        <f t="shared" si="10"/>
        <v>Testo -30µg/L</v>
      </c>
      <c r="P45" s="6" t="str">
        <f t="shared" si="10"/>
        <v>Testo 30µg/L + EE2 -64ng/L</v>
      </c>
      <c r="Q45" s="6" t="str">
        <f t="shared" si="10"/>
        <v>Testo 30µg/L + FAD-10mg/L</v>
      </c>
      <c r="R45" s="6" t="str">
        <f t="shared" si="10"/>
        <v>cromolyn-1000µg/L + Testostérone</v>
      </c>
      <c r="S45" s="6" t="str">
        <f t="shared" si="10"/>
        <v>cromolyn-100µg/L + Testostérone</v>
      </c>
      <c r="T45" s="6" t="str">
        <f t="shared" si="10"/>
        <v>cromolyn-10µg/L + Testostérone</v>
      </c>
      <c r="U45" s="6" t="str">
        <f t="shared" si="10"/>
        <v>cromolyn-1µg/L + Testostérone</v>
      </c>
      <c r="V45" s="6" t="str">
        <f t="shared" si="10"/>
        <v>cromolyn-0.1µg/L + Testostérone</v>
      </c>
    </row>
    <row r="46" spans="1:22">
      <c r="A46" s="7" t="s">
        <v>0</v>
      </c>
      <c r="B46" s="9">
        <f t="shared" ref="B46:H46" si="11">AVERAGE(B28:B43)</f>
        <v>0.19542672817297607</v>
      </c>
      <c r="C46" s="9">
        <f t="shared" si="11"/>
        <v>0.1868451257991009</v>
      </c>
      <c r="D46" s="9">
        <f t="shared" si="11"/>
        <v>0.32316593793484077</v>
      </c>
      <c r="E46" s="9">
        <f t="shared" si="11"/>
        <v>0.82726532280221887</v>
      </c>
      <c r="F46" s="9">
        <f t="shared" si="11"/>
        <v>1.1857887513406506</v>
      </c>
      <c r="G46" s="9">
        <f t="shared" si="11"/>
        <v>1.1343194610688156</v>
      </c>
      <c r="H46" s="9">
        <f t="shared" si="11"/>
        <v>1.9551598960547645</v>
      </c>
      <c r="I46" s="9">
        <f>AVERAGE(I28:I43)</f>
        <v>0.15911873556037917</v>
      </c>
      <c r="J46" s="8">
        <f>AVERAGE(J28:J43)</f>
        <v>0.12287263030088671</v>
      </c>
      <c r="K46" s="8">
        <f t="shared" ref="K46:N46" si="12">AVERAGE(K28:K43)</f>
        <v>0.12942199527421178</v>
      </c>
      <c r="L46" s="8">
        <f t="shared" si="12"/>
        <v>0.14159994118336058</v>
      </c>
      <c r="M46" s="8">
        <f t="shared" si="12"/>
        <v>0.15356986129197725</v>
      </c>
      <c r="N46" s="8" t="e">
        <f t="shared" si="12"/>
        <v>#DIV/0!</v>
      </c>
      <c r="O46" s="9">
        <f t="shared" ref="O46:V46" si="13">AVERAGE(O28:O43)</f>
        <v>1.0000000000000002</v>
      </c>
      <c r="P46" s="9">
        <f t="shared" si="13"/>
        <v>1.4486067213607798</v>
      </c>
      <c r="Q46" s="9">
        <f t="shared" si="13"/>
        <v>6.103801835290458E-2</v>
      </c>
      <c r="R46" s="9">
        <f t="shared" si="13"/>
        <v>1.1900483845992353</v>
      </c>
      <c r="S46" s="9">
        <f t="shared" si="13"/>
        <v>0.80861763257277752</v>
      </c>
      <c r="T46" s="9">
        <f t="shared" si="13"/>
        <v>0.77110192625569229</v>
      </c>
      <c r="U46" s="9">
        <f t="shared" si="13"/>
        <v>0.96764755827620019</v>
      </c>
      <c r="V46" s="9">
        <f t="shared" si="13"/>
        <v>0.90090876424338251</v>
      </c>
    </row>
    <row r="47" spans="1:22">
      <c r="A47" s="7" t="s">
        <v>1</v>
      </c>
      <c r="B47" s="7">
        <f t="shared" ref="B47:N47" si="14">STDEV(B28:B43)</f>
        <v>0.1202625506750154</v>
      </c>
      <c r="C47" s="7">
        <f t="shared" si="14"/>
        <v>0.13348662999533215</v>
      </c>
      <c r="D47" s="7">
        <f t="shared" si="14"/>
        <v>0.17956181449677211</v>
      </c>
      <c r="E47" s="7">
        <f t="shared" si="14"/>
        <v>0.28584629864348216</v>
      </c>
      <c r="F47" s="7">
        <f t="shared" si="14"/>
        <v>0.4198466805123337</v>
      </c>
      <c r="G47" s="7">
        <f t="shared" si="14"/>
        <v>0.51790748207567538</v>
      </c>
      <c r="H47" s="7">
        <f t="shared" si="14"/>
        <v>0.63411962691635115</v>
      </c>
      <c r="I47" s="7">
        <f t="shared" si="14"/>
        <v>0.12387670922220566</v>
      </c>
      <c r="J47" s="7">
        <f t="shared" si="14"/>
        <v>6.2942434539605532E-2</v>
      </c>
      <c r="K47" s="7">
        <f t="shared" si="14"/>
        <v>5.2221742375902165E-2</v>
      </c>
      <c r="L47" s="7">
        <f t="shared" si="14"/>
        <v>8.7006718004171368E-2</v>
      </c>
      <c r="M47" s="7">
        <f t="shared" si="14"/>
        <v>0.1765843311929253</v>
      </c>
      <c r="N47" s="7" t="e">
        <f t="shared" si="14"/>
        <v>#DIV/0!</v>
      </c>
      <c r="O47" s="7">
        <f t="shared" ref="O47:V47" si="15">STDEV(O28:O43)</f>
        <v>0.27050745300936641</v>
      </c>
      <c r="P47" s="7">
        <f t="shared" si="15"/>
        <v>0.48962843284138624</v>
      </c>
      <c r="Q47" s="7">
        <f t="shared" si="15"/>
        <v>6.3724606541611675E-2</v>
      </c>
      <c r="R47" s="7">
        <f t="shared" si="15"/>
        <v>0.49700151803316672</v>
      </c>
      <c r="S47" s="7">
        <f t="shared" si="15"/>
        <v>0.61601165269292935</v>
      </c>
      <c r="T47" s="7">
        <f t="shared" si="15"/>
        <v>0.27737972258209553</v>
      </c>
      <c r="U47" s="7">
        <f t="shared" si="15"/>
        <v>0.42758260244398838</v>
      </c>
      <c r="V47" s="7">
        <f t="shared" si="15"/>
        <v>0.48880030151861992</v>
      </c>
    </row>
    <row r="48" spans="1:22">
      <c r="A48" s="7" t="s">
        <v>2</v>
      </c>
      <c r="B48" s="7">
        <f t="shared" ref="B48:N48" si="16" xml:space="preserve"> B47/SQRT(COUNT(B28:B43))</f>
        <v>4.2519232552547095E-2</v>
      </c>
      <c r="C48" s="7">
        <f t="shared" si="16"/>
        <v>5.0453203759963414E-2</v>
      </c>
      <c r="D48" s="7">
        <f t="shared" si="16"/>
        <v>6.3484688336414227E-2</v>
      </c>
      <c r="E48" s="7">
        <f t="shared" si="16"/>
        <v>0.10106192807394061</v>
      </c>
      <c r="F48" s="7">
        <f t="shared" si="16"/>
        <v>0.14843821742446653</v>
      </c>
      <c r="G48" s="7">
        <f t="shared" si="16"/>
        <v>0.18310794630148017</v>
      </c>
      <c r="H48" s="7">
        <f t="shared" si="16"/>
        <v>0.22419514413801772</v>
      </c>
      <c r="I48" s="7">
        <f t="shared" si="16"/>
        <v>4.3797030561047876E-2</v>
      </c>
      <c r="J48" s="7">
        <f t="shared" si="16"/>
        <v>2.225351114367272E-2</v>
      </c>
      <c r="K48" s="7">
        <f t="shared" si="16"/>
        <v>1.8463174079688654E-2</v>
      </c>
      <c r="L48" s="7">
        <f t="shared" si="16"/>
        <v>3.0761520154767623E-2</v>
      </c>
      <c r="M48" s="7">
        <f t="shared" si="16"/>
        <v>6.243198901890433E-2</v>
      </c>
      <c r="N48" s="7" t="e">
        <f t="shared" si="16"/>
        <v>#DIV/0!</v>
      </c>
      <c r="O48" s="7">
        <f t="shared" ref="O48:V48" si="17" xml:space="preserve"> O47/SQRT(COUNT(O28:O43))</f>
        <v>6.7626863252341601E-2</v>
      </c>
      <c r="P48" s="7">
        <f t="shared" si="17"/>
        <v>0.17310979256194312</v>
      </c>
      <c r="Q48" s="7">
        <f t="shared" si="17"/>
        <v>2.2530050707009121E-2</v>
      </c>
      <c r="R48" s="7">
        <f t="shared" si="17"/>
        <v>0.17571657183063016</v>
      </c>
      <c r="S48" s="7">
        <f t="shared" si="17"/>
        <v>0.21779300845455132</v>
      </c>
      <c r="T48" s="7">
        <f t="shared" si="17"/>
        <v>9.8068541400721534E-2</v>
      </c>
      <c r="U48" s="7">
        <f t="shared" si="17"/>
        <v>0.15117327885276791</v>
      </c>
      <c r="V48" s="7">
        <f t="shared" si="17"/>
        <v>0.17281700392492261</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24</v>
      </c>
      <c r="B50" s="141"/>
      <c r="C50" s="141"/>
      <c r="D50" s="141"/>
      <c r="E50" s="141"/>
      <c r="F50" s="141"/>
      <c r="G50" s="141"/>
      <c r="H50" s="141"/>
      <c r="I50" s="141"/>
      <c r="J50" s="141"/>
      <c r="K50" s="141"/>
      <c r="L50" s="141"/>
      <c r="M50" s="141"/>
      <c r="N50" s="141"/>
      <c r="O50" s="141"/>
      <c r="P50" s="141"/>
      <c r="Q50" s="141"/>
      <c r="R50" s="141"/>
      <c r="S50" s="141"/>
      <c r="T50" s="141"/>
      <c r="U50" s="141"/>
      <c r="V50" s="141"/>
    </row>
    <row r="51" spans="1:22" ht="15.75" thickBot="1"/>
    <row r="52" spans="1:22">
      <c r="A52" s="28" t="str">
        <f t="shared" ref="A52:H52" si="18">A27</f>
        <v>Noms des groupes</v>
      </c>
      <c r="B52" s="29" t="str">
        <f t="shared" si="18"/>
        <v>Solvent control</v>
      </c>
      <c r="C52" s="29" t="str">
        <f t="shared" si="18"/>
        <v>EE2-33.8ng/L</v>
      </c>
      <c r="D52" s="29" t="str">
        <f t="shared" si="18"/>
        <v>EE2-50.6ng/L</v>
      </c>
      <c r="E52" s="29" t="str">
        <f t="shared" si="18"/>
        <v>EE2-76ng/L</v>
      </c>
      <c r="F52" s="29" t="str">
        <f t="shared" si="18"/>
        <v>EE2-114ng/L</v>
      </c>
      <c r="G52" s="29" t="str">
        <f t="shared" si="18"/>
        <v>EE2-170.9ng/L</v>
      </c>
      <c r="H52" s="29" t="str">
        <f t="shared" si="18"/>
        <v>EE2-488ng/L</v>
      </c>
      <c r="I52" s="29" t="str">
        <f>I4</f>
        <v>cromolyn-1000µg/L</v>
      </c>
      <c r="J52" s="29" t="str">
        <f>J4</f>
        <v>cromolyn-100µg/L</v>
      </c>
      <c r="K52" s="29" t="str">
        <f t="shared" ref="K52:N52" si="19">K4</f>
        <v>cromolyn-10µg/L</v>
      </c>
      <c r="L52" s="29" t="str">
        <f t="shared" si="19"/>
        <v>cromolyn-1µg/L</v>
      </c>
      <c r="M52" s="29" t="str">
        <f t="shared" si="19"/>
        <v>cromolyn-0.1µg/L</v>
      </c>
      <c r="N52" s="29" t="str">
        <f t="shared" si="19"/>
        <v/>
      </c>
      <c r="O52" s="29" t="str">
        <f>O27</f>
        <v>Testo -30µg/L</v>
      </c>
      <c r="P52" s="29" t="str">
        <f>P27</f>
        <v>Testo 30µg/L + EE2 -64ng/L</v>
      </c>
      <c r="Q52" s="29" t="str">
        <f>Q27</f>
        <v>Testo 30µg/L + FAD-10mg/L</v>
      </c>
      <c r="R52" s="29" t="str">
        <f>R27</f>
        <v>cromolyn-1000µg/L + Testostérone</v>
      </c>
      <c r="S52" s="29" t="str">
        <f t="shared" ref="S52:V52" si="20">S27</f>
        <v>cromolyn-100µg/L + Testostérone</v>
      </c>
      <c r="T52" s="29" t="str">
        <f t="shared" si="20"/>
        <v>cromolyn-10µg/L + Testostérone</v>
      </c>
      <c r="U52" s="29" t="str">
        <f t="shared" si="20"/>
        <v>cromolyn-1µg/L + Testostérone</v>
      </c>
      <c r="V52" s="29" t="str">
        <f t="shared" si="20"/>
        <v>cromolyn-0.1µg/L + Testostérone</v>
      </c>
    </row>
    <row r="53" spans="1:22" s="3" customFormat="1">
      <c r="A53" s="43" t="s">
        <v>15</v>
      </c>
      <c r="B53" s="75">
        <f t="shared" ref="B53:V53" si="21">B46</f>
        <v>0.19542672817297607</v>
      </c>
      <c r="C53" s="75">
        <f t="shared" si="21"/>
        <v>0.1868451257991009</v>
      </c>
      <c r="D53" s="75">
        <f t="shared" si="21"/>
        <v>0.32316593793484077</v>
      </c>
      <c r="E53" s="75">
        <f t="shared" si="21"/>
        <v>0.82726532280221887</v>
      </c>
      <c r="F53" s="75">
        <f t="shared" si="21"/>
        <v>1.1857887513406506</v>
      </c>
      <c r="G53" s="75">
        <f t="shared" si="21"/>
        <v>1.1343194610688156</v>
      </c>
      <c r="H53" s="75">
        <f t="shared" si="21"/>
        <v>1.9551598960547645</v>
      </c>
      <c r="I53" s="75">
        <f t="shared" si="21"/>
        <v>0.15911873556037917</v>
      </c>
      <c r="J53" s="75">
        <f t="shared" si="21"/>
        <v>0.12287263030088671</v>
      </c>
      <c r="K53" s="75">
        <f t="shared" si="21"/>
        <v>0.12942199527421178</v>
      </c>
      <c r="L53" s="75">
        <f t="shared" si="21"/>
        <v>0.14159994118336058</v>
      </c>
      <c r="M53" s="75">
        <f t="shared" si="21"/>
        <v>0.15356986129197725</v>
      </c>
      <c r="N53" s="75" t="e">
        <f t="shared" si="21"/>
        <v>#DIV/0!</v>
      </c>
      <c r="O53" s="75">
        <f t="shared" si="21"/>
        <v>1.0000000000000002</v>
      </c>
      <c r="P53" s="75">
        <f t="shared" si="21"/>
        <v>1.4486067213607798</v>
      </c>
      <c r="Q53" s="75">
        <f t="shared" si="21"/>
        <v>6.103801835290458E-2</v>
      </c>
      <c r="R53" s="75">
        <f t="shared" si="21"/>
        <v>1.1900483845992353</v>
      </c>
      <c r="S53" s="75">
        <f t="shared" si="21"/>
        <v>0.80861763257277752</v>
      </c>
      <c r="T53" s="75">
        <f t="shared" si="21"/>
        <v>0.77110192625569229</v>
      </c>
      <c r="U53" s="75">
        <f t="shared" si="21"/>
        <v>0.96764755827620019</v>
      </c>
      <c r="V53" s="75">
        <f t="shared" si="21"/>
        <v>0.90090876424338251</v>
      </c>
    </row>
    <row r="54" spans="1:22" s="3" customFormat="1">
      <c r="A54" s="43" t="s">
        <v>2</v>
      </c>
      <c r="B54" s="75">
        <f t="shared" ref="B54:V54" si="22">B48</f>
        <v>4.2519232552547095E-2</v>
      </c>
      <c r="C54" s="75">
        <f t="shared" si="22"/>
        <v>5.0453203759963414E-2</v>
      </c>
      <c r="D54" s="75">
        <f t="shared" si="22"/>
        <v>6.3484688336414227E-2</v>
      </c>
      <c r="E54" s="75">
        <f t="shared" si="22"/>
        <v>0.10106192807394061</v>
      </c>
      <c r="F54" s="75">
        <f t="shared" si="22"/>
        <v>0.14843821742446653</v>
      </c>
      <c r="G54" s="75">
        <f t="shared" si="22"/>
        <v>0.18310794630148017</v>
      </c>
      <c r="H54" s="75">
        <f t="shared" si="22"/>
        <v>0.22419514413801772</v>
      </c>
      <c r="I54" s="75">
        <f t="shared" si="22"/>
        <v>4.3797030561047876E-2</v>
      </c>
      <c r="J54" s="75">
        <f t="shared" si="22"/>
        <v>2.225351114367272E-2</v>
      </c>
      <c r="K54" s="75">
        <f t="shared" si="22"/>
        <v>1.8463174079688654E-2</v>
      </c>
      <c r="L54" s="75">
        <f t="shared" si="22"/>
        <v>3.0761520154767623E-2</v>
      </c>
      <c r="M54" s="75">
        <f t="shared" si="22"/>
        <v>6.243198901890433E-2</v>
      </c>
      <c r="N54" s="75" t="e">
        <f t="shared" si="22"/>
        <v>#DIV/0!</v>
      </c>
      <c r="O54" s="75">
        <f t="shared" si="22"/>
        <v>6.7626863252341601E-2</v>
      </c>
      <c r="P54" s="75">
        <f t="shared" si="22"/>
        <v>0.17310979256194312</v>
      </c>
      <c r="Q54" s="75">
        <f t="shared" si="22"/>
        <v>2.2530050707009121E-2</v>
      </c>
      <c r="R54" s="75">
        <f t="shared" si="22"/>
        <v>0.17571657183063016</v>
      </c>
      <c r="S54" s="75">
        <f t="shared" si="22"/>
        <v>0.21779300845455132</v>
      </c>
      <c r="T54" s="75">
        <f t="shared" si="22"/>
        <v>9.8068541400721534E-2</v>
      </c>
      <c r="U54" s="75">
        <f t="shared" si="22"/>
        <v>0.15117327885276791</v>
      </c>
      <c r="V54" s="75">
        <f t="shared" si="22"/>
        <v>0.17281700392492261</v>
      </c>
    </row>
    <row r="55" spans="1:22" s="3" customFormat="1">
      <c r="A55" s="43" t="s">
        <v>42</v>
      </c>
      <c r="B55" s="75">
        <f>(B53*100/$B53)-100</f>
        <v>0</v>
      </c>
      <c r="C55" s="75">
        <f t="shared" ref="C55:N55" si="23">(C53*100/$B53)-100</f>
        <v>-4.3912122226594335</v>
      </c>
      <c r="D55" s="75">
        <f t="shared" si="23"/>
        <v>65.364247232753229</v>
      </c>
      <c r="E55" s="75">
        <f t="shared" si="23"/>
        <v>323.31227183519644</v>
      </c>
      <c r="F55" s="75">
        <f t="shared" si="23"/>
        <v>506.76897291709531</v>
      </c>
      <c r="G55" s="75">
        <f t="shared" si="23"/>
        <v>480.43209937220411</v>
      </c>
      <c r="H55" s="75">
        <f t="shared" si="23"/>
        <v>900.45675140414448</v>
      </c>
      <c r="I55" s="75">
        <f t="shared" si="23"/>
        <v>-18.578826423609755</v>
      </c>
      <c r="J55" s="75">
        <f t="shared" si="23"/>
        <v>-37.125985043289617</v>
      </c>
      <c r="K55" s="75">
        <f t="shared" si="23"/>
        <v>-33.774670187561142</v>
      </c>
      <c r="L55" s="75">
        <f t="shared" si="23"/>
        <v>-27.543206342774326</v>
      </c>
      <c r="M55" s="75">
        <f t="shared" si="23"/>
        <v>-21.418189452545349</v>
      </c>
      <c r="N55" s="75" t="e">
        <f t="shared" si="23"/>
        <v>#DIV/0!</v>
      </c>
      <c r="O55" s="75">
        <f>(O53*100/$O53)-100</f>
        <v>0</v>
      </c>
      <c r="P55" s="75">
        <f t="shared" ref="P55:V55" si="24">(P53*100/$O53)-100</f>
        <v>44.860672136077966</v>
      </c>
      <c r="Q55" s="75">
        <f t="shared" si="24"/>
        <v>-93.896198164709546</v>
      </c>
      <c r="R55" s="75">
        <f t="shared" si="24"/>
        <v>19.004838459923505</v>
      </c>
      <c r="S55" s="75">
        <f t="shared" si="24"/>
        <v>-19.138236742722256</v>
      </c>
      <c r="T55" s="75">
        <f t="shared" si="24"/>
        <v>-22.889807374430788</v>
      </c>
      <c r="U55" s="75">
        <f t="shared" si="24"/>
        <v>-3.2352441723800069</v>
      </c>
      <c r="V55" s="75">
        <f t="shared" si="24"/>
        <v>-9.9091235756617664</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ca="1">IF(B56&gt;0.05,"Oui","Non")</f>
        <v>#NAME?</v>
      </c>
      <c r="C57" s="75" t="e">
        <f t="shared" ref="C57:V57" ca="1" si="25">IF(C56&gt;0.05,"Oui","Non")</f>
        <v>#NAME?</v>
      </c>
      <c r="D57" s="75" t="e">
        <f t="shared" ca="1" si="25"/>
        <v>#NAME?</v>
      </c>
      <c r="E57" s="75" t="e">
        <f t="shared" ca="1" si="25"/>
        <v>#NAME?</v>
      </c>
      <c r="F57" s="75" t="e">
        <f t="shared" ca="1" si="25"/>
        <v>#NAME?</v>
      </c>
      <c r="G57" s="75" t="e">
        <f t="shared" ca="1" si="25"/>
        <v>#NAME?</v>
      </c>
      <c r="H57" s="75" t="e">
        <f t="shared" ca="1" si="25"/>
        <v>#NAME?</v>
      </c>
      <c r="I57" s="75" t="e">
        <f t="shared" ca="1" si="25"/>
        <v>#NAME?</v>
      </c>
      <c r="J57" s="75" t="e">
        <f t="shared" ca="1" si="25"/>
        <v>#NAME?</v>
      </c>
      <c r="K57" s="75" t="e">
        <f t="shared" ca="1" si="25"/>
        <v>#NAME?</v>
      </c>
      <c r="L57" s="75" t="e">
        <f t="shared" ca="1" si="25"/>
        <v>#NAME?</v>
      </c>
      <c r="M57" s="75" t="e">
        <f t="shared" ca="1" si="25"/>
        <v>#NAME?</v>
      </c>
      <c r="N57" s="75" t="e">
        <f t="shared" ca="1" si="25"/>
        <v>#NAME?</v>
      </c>
      <c r="O57" s="75" t="e">
        <f t="shared" ca="1" si="25"/>
        <v>#NAME?</v>
      </c>
      <c r="P57" s="75" t="e">
        <f t="shared" ca="1" si="25"/>
        <v>#NAME?</v>
      </c>
      <c r="Q57" s="75" t="e">
        <f t="shared" ca="1" si="25"/>
        <v>#NAME?</v>
      </c>
      <c r="R57" s="75" t="e">
        <f t="shared" ca="1" si="25"/>
        <v>#NAME?</v>
      </c>
      <c r="S57" s="75" t="e">
        <f t="shared" ca="1" si="25"/>
        <v>#NAME?</v>
      </c>
      <c r="T57" s="75" t="e">
        <f t="shared" ca="1" si="25"/>
        <v>#NAME?</v>
      </c>
      <c r="U57" s="75" t="e">
        <f t="shared" ca="1" si="25"/>
        <v>#NAME?</v>
      </c>
      <c r="V57" s="75" t="e">
        <f t="shared" ca="1" si="25"/>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O59" ca="1" si="26">IF($B57="Non",IF(C57="Non","MW",IF(C57="Oui","MW","")),IF($B57="Oui",IF(C57="Oui","T-Test Welch",IF(C57="Non","MW",""))))</f>
        <v>#NAME?</v>
      </c>
      <c r="D59" s="78" t="e">
        <f t="shared" ca="1" si="26"/>
        <v>#NAME?</v>
      </c>
      <c r="E59" s="78" t="e">
        <f t="shared" ca="1" si="26"/>
        <v>#NAME?</v>
      </c>
      <c r="F59" s="78" t="e">
        <f t="shared" ca="1" si="26"/>
        <v>#NAME?</v>
      </c>
      <c r="G59" s="78" t="e">
        <f t="shared" ca="1" si="26"/>
        <v>#NAME?</v>
      </c>
      <c r="H59" s="78" t="e">
        <f t="shared" ca="1" si="26"/>
        <v>#NAME?</v>
      </c>
      <c r="I59" s="78" t="e">
        <f t="shared" ca="1" si="26"/>
        <v>#NAME?</v>
      </c>
      <c r="J59" s="78" t="e">
        <f t="shared" ca="1" si="26"/>
        <v>#NAME?</v>
      </c>
      <c r="K59" s="78" t="e">
        <f t="shared" ca="1" si="26"/>
        <v>#NAME?</v>
      </c>
      <c r="L59" s="78" t="e">
        <f t="shared" ca="1" si="26"/>
        <v>#NAME?</v>
      </c>
      <c r="M59" s="78" t="e">
        <f t="shared" ca="1" si="26"/>
        <v>#NAME?</v>
      </c>
      <c r="N59" s="78" t="e">
        <f t="shared" ca="1" si="26"/>
        <v>#NAME?</v>
      </c>
      <c r="O59" s="78" t="e">
        <f t="shared" ca="1" si="26"/>
        <v>#NAME?</v>
      </c>
      <c r="P59" s="78" t="e">
        <f ca="1">IF($O57="Non",IF(P57="Non","MW",IF(P57="Oui","MW","")),IF($O57="Oui",IF(P57="Oui","T-Test Welch",IF(P57="Non","MW",""))))</f>
        <v>#NAME?</v>
      </c>
      <c r="Q59" s="78" t="e">
        <f t="shared" ref="Q59:V59" ca="1" si="27">IF($O57="Non",IF(Q57="Non","MW",IF(Q57="Oui","MW","")),IF($O57="Oui",IF(Q57="Oui","T-Test Welch",IF(Q57="Non","MW",""))))</f>
        <v>#NAME?</v>
      </c>
      <c r="R59" s="78" t="e">
        <f t="shared" ca="1" si="27"/>
        <v>#NAME?</v>
      </c>
      <c r="S59" s="78" t="e">
        <f t="shared" ca="1" si="27"/>
        <v>#NAME?</v>
      </c>
      <c r="T59" s="78" t="e">
        <f t="shared" ca="1" si="27"/>
        <v>#NAME?</v>
      </c>
      <c r="U59" s="78" t="e">
        <f t="shared" ca="1" si="27"/>
        <v>#NAME?</v>
      </c>
      <c r="V59" s="78" t="e">
        <f t="shared" ca="1" si="27"/>
        <v>#NAME?</v>
      </c>
    </row>
    <row r="60" spans="1:22" s="3" customFormat="1">
      <c r="A60" s="43" t="s">
        <v>45</v>
      </c>
      <c r="B60" s="79"/>
      <c r="C60" s="79" t="e">
        <f ca="1">IF(C59="MW",[1]!MTEST($B28:$B43,C28:C43,2), IF(C59="T-Test Welch",_xlfn.T.TEST($B28:$B43,C28:C43,2,3),""))</f>
        <v>#NAME?</v>
      </c>
      <c r="D60" s="79" t="e">
        <f ca="1">IF(D59="MW",[1]!MTEST($B28:$B43,D28:D43,2), IF(D59="T-Test Welch",_xlfn.T.TEST($B28:$B43,D28:D43,2,3),""))</f>
        <v>#NAME?</v>
      </c>
      <c r="E60" s="79" t="e">
        <f ca="1">IF(E59="MW",[1]!MTEST($B28:$B43,E28:E43,2), IF(E59="T-Test Welch",_xlfn.T.TEST($B28:$B43,E28:E43,2,3),""))</f>
        <v>#NAME?</v>
      </c>
      <c r="F60" s="79" t="e">
        <f ca="1">IF(F59="MW",[1]!MTEST($B28:$B43,F28:F43,2), IF(F59="T-Test Welch",_xlfn.T.TEST($B28:$B43,F28:F43,2,3),""))</f>
        <v>#NAME?</v>
      </c>
      <c r="G60" s="79" t="e">
        <f ca="1">IF(G59="MW",[1]!MTEST($B28:$B43,G28:G43,2), IF(G59="T-Test Welch",_xlfn.T.TEST($B28:$B43,G28:G43,2,3),""))</f>
        <v>#NAME?</v>
      </c>
      <c r="H60" s="79" t="e">
        <f ca="1">IF(H59="MW",[1]!MTEST($B28:$B43,H28:H43,2), IF(H59="T-Test Welch",_xlfn.T.TEST($B28:$B43,H28:H43,2,3),""))</f>
        <v>#NAME?</v>
      </c>
      <c r="I60" s="79" t="e">
        <f ca="1">IF(I59="MW",[1]!MTEST($B28:$B43,I28:I43,2), IF(I59="T-Test Welch",_xlfn.T.TEST($B28:$B43,I28:I43,2,3),""))</f>
        <v>#NAME?</v>
      </c>
      <c r="J60" s="79" t="e">
        <f ca="1">IF(J59="MW",[1]!MTEST($B28:$B43,J28:J43,2), IF(J59="T-Test Welch",_xlfn.T.TEST($B28:$B43,J28:J43,2,3),""))</f>
        <v>#NAME?</v>
      </c>
      <c r="K60" s="79" t="e">
        <f ca="1">IF(K59="MW",[1]!MTEST($B28:$B43,K28:K43,2), IF(K59="T-Test Welch",_xlfn.T.TEST($B28:$B43,K28:K43,2,3),""))</f>
        <v>#NAME?</v>
      </c>
      <c r="L60" s="79" t="e">
        <f ca="1">IF(L59="MW",[1]!MTEST($B28:$B43,L28:L43,2), IF(L59="T-Test Welch",_xlfn.T.TEST($B28:$B43,L28:L43,2,3),""))</f>
        <v>#NAME?</v>
      </c>
      <c r="M60" s="79" t="e">
        <f ca="1">IF(M59="MW",[1]!MTEST($B28:$B43,M28:M43,2), IF(M59="T-Test Welch",_xlfn.T.TEST($B28:$B43,M28:M43,2,3),""))</f>
        <v>#NAME?</v>
      </c>
      <c r="N60" s="79" t="e">
        <f ca="1">IF(N59="MW",[1]!MTEST($B28:$B43,N28:N43,2), IF(N59="T-Test Welch",_xlfn.T.TEST($B28:$B43,N28:N43,2,3),""))</f>
        <v>#NAME?</v>
      </c>
      <c r="O60" s="79" t="e">
        <f ca="1">IF(O59="MW",[1]!MTEST($B28:$B43,O28:O43,2), IF(O59="T-Test Welch",_xlfn.T.TEST($B28:$B43,O28:O43,2,3),""))</f>
        <v>#NAME?</v>
      </c>
      <c r="P60" s="79" t="e">
        <f ca="1">IF(P59="MW",[1]!MTEST($O28:$O43,P28:P43,2), IF(P59="T-Test Welch",_xlfn.T.TEST($O28:$O43,P28:P43,2,3),""))</f>
        <v>#NAME?</v>
      </c>
      <c r="Q60" s="79" t="e">
        <f ca="1">IF(Q59="MW",[1]!MTEST($O28:$O43,Q28:Q43,2), IF(Q59="T-Test Welch",_xlfn.T.TEST($O28:$O43,Q28:Q43,2,3),""))</f>
        <v>#NAME?</v>
      </c>
      <c r="R60" s="79" t="e">
        <f ca="1">IF(R59="MW",[1]!MTEST($O28:$O43,R28:R43,2), IF(R59="T-Test Welch",_xlfn.T.TEST($O28:$O43,R28:R43,2,3),""))</f>
        <v>#NAME?</v>
      </c>
      <c r="S60" s="79" t="e">
        <f ca="1">IF(S59="MW",[1]!MTEST($O28:$O43,S28:S43,2), IF(S59="T-Test Welch",_xlfn.T.TEST($O28:$O43,S28:S43,2,3),""))</f>
        <v>#NAME?</v>
      </c>
      <c r="T60" s="79" t="e">
        <f ca="1">IF(T59="MW",[1]!MTEST($O28:$O43,T28:T43,2), IF(T59="T-Test Welch",_xlfn.T.TEST($O28:$O43,T28:T43,2,3),""))</f>
        <v>#NAME?</v>
      </c>
      <c r="U60" s="79" t="e">
        <f ca="1">IF(U59="MW",[1]!MTEST($O28:$O43,U28:U43,2), IF(U59="T-Test Welch",_xlfn.T.TEST($O28:$O43,U28:U43,2,3),""))</f>
        <v>#NAME?</v>
      </c>
      <c r="V60" s="79" t="e">
        <f ca="1">IF(V59="MW",[1]!MTEST($O28:$O43,V28:V43,2), IF(V59="T-Test Welch",_xlfn.T.TEST($O28:$O43,V28:V43,2,3),""))</f>
        <v>#NAME?</v>
      </c>
    </row>
    <row r="61" spans="1:22" s="3" customFormat="1" ht="15.75" thickBot="1">
      <c r="A61" s="44" t="s">
        <v>46</v>
      </c>
      <c r="B61" s="76"/>
      <c r="C61" s="76" t="e">
        <f t="shared" ref="C61:O61" ca="1" si="28">IF(C60&gt;0.05,"NS",IF(C60&gt;0.01,"*",IF(C60&gt;0.001,"**","***")))</f>
        <v>#NAME?</v>
      </c>
      <c r="D61" s="76" t="e">
        <f t="shared" ca="1" si="28"/>
        <v>#NAME?</v>
      </c>
      <c r="E61" s="76" t="e">
        <f t="shared" ca="1" si="28"/>
        <v>#NAME?</v>
      </c>
      <c r="F61" s="76" t="e">
        <f t="shared" ca="1" si="28"/>
        <v>#NAME?</v>
      </c>
      <c r="G61" s="76" t="e">
        <f t="shared" ca="1" si="28"/>
        <v>#NAME?</v>
      </c>
      <c r="H61" s="76" t="e">
        <f t="shared" ca="1" si="28"/>
        <v>#NAME?</v>
      </c>
      <c r="I61" s="76" t="e">
        <f t="shared" ca="1" si="28"/>
        <v>#NAME?</v>
      </c>
      <c r="J61" s="76" t="e">
        <f t="shared" ca="1" si="28"/>
        <v>#NAME?</v>
      </c>
      <c r="K61" s="76" t="e">
        <f t="shared" ca="1" si="28"/>
        <v>#NAME?</v>
      </c>
      <c r="L61" s="76" t="e">
        <f t="shared" ca="1" si="28"/>
        <v>#NAME?</v>
      </c>
      <c r="M61" s="76" t="e">
        <f t="shared" ca="1" si="28"/>
        <v>#NAME?</v>
      </c>
      <c r="N61" s="76" t="e">
        <f t="shared" ca="1" si="28"/>
        <v>#NAME?</v>
      </c>
      <c r="O61" s="76" t="e">
        <f t="shared" ca="1" si="28"/>
        <v>#NAME?</v>
      </c>
      <c r="P61" s="76" t="e">
        <f ca="1">IF(P60&gt;0.05,"NS",IF(P60&gt;0.01,"*",IF(P60&gt;0.001,"**","***")))</f>
        <v>#NAME?</v>
      </c>
      <c r="Q61" s="76" t="e">
        <f t="shared" ref="Q61:V61" ca="1" si="29">IF(Q60&gt;0.05,"NS",IF(Q60&gt;0.01,"*",IF(Q60&gt;0.001,"**","***")))</f>
        <v>#NAME?</v>
      </c>
      <c r="R61" s="76" t="e">
        <f t="shared" ca="1" si="29"/>
        <v>#NAME?</v>
      </c>
      <c r="S61" s="76" t="e">
        <f t="shared" ca="1" si="29"/>
        <v>#NAME?</v>
      </c>
      <c r="T61" s="76" t="e">
        <f t="shared" ca="1" si="29"/>
        <v>#NAME?</v>
      </c>
      <c r="U61" s="76" t="e">
        <f t="shared" ca="1" si="29"/>
        <v>#NAME?</v>
      </c>
      <c r="V61" s="76" t="e">
        <f t="shared" ca="1" si="29"/>
        <v>#NAME?</v>
      </c>
    </row>
    <row r="63" spans="1:22">
      <c r="A63" s="2" t="s">
        <v>20</v>
      </c>
    </row>
    <row r="64" spans="1:22">
      <c r="A64" s="1" t="s">
        <v>13</v>
      </c>
      <c r="B64" s="1">
        <f>B46+(3*B47)</f>
        <v>0.55621438019802227</v>
      </c>
    </row>
    <row r="65" spans="1:22">
      <c r="A65" s="1" t="s">
        <v>14</v>
      </c>
      <c r="B65" s="1">
        <f>B46+(10*B47)</f>
        <v>1.3980522349231301</v>
      </c>
    </row>
    <row r="66" spans="1:22" ht="15.75" thickBot="1"/>
    <row r="67" spans="1:22" ht="27" thickBot="1">
      <c r="A67" s="140" t="s">
        <v>25</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N3"/>
    <mergeCell ref="O3:V3"/>
    <mergeCell ref="A5:A20"/>
    <mergeCell ref="B26:N26"/>
    <mergeCell ref="O26:V26"/>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104"/>
  <sheetViews>
    <sheetView showGridLines="0" topLeftCell="A73" zoomScale="70" zoomScaleNormal="70" workbookViewId="0">
      <selection activeCell="B94" sqref="B94:V94"/>
    </sheetView>
  </sheetViews>
  <sheetFormatPr defaultColWidth="11" defaultRowHeight="15"/>
  <cols>
    <col min="1" max="1" width="42.85546875" customWidth="1"/>
    <col min="2" max="2" width="14" bestFit="1" customWidth="1"/>
    <col min="3" max="14" width="22.7109375" bestFit="1" customWidth="1"/>
    <col min="15" max="15" width="8.42578125" customWidth="1"/>
    <col min="16" max="16" width="22.7109375" customWidth="1"/>
    <col min="19" max="23" width="29.140625" customWidth="1"/>
  </cols>
  <sheetData>
    <row r="1" spans="1:23" s="1" customFormat="1" ht="21.75" thickBot="1">
      <c r="A1" s="21" t="s">
        <v>7</v>
      </c>
      <c r="B1" s="37" t="e">
        <f>'Front page'!#REF!</f>
        <v>#REF!</v>
      </c>
      <c r="C1" s="22"/>
      <c r="D1" s="22"/>
      <c r="E1" s="22"/>
      <c r="F1" s="22"/>
      <c r="G1" s="22"/>
      <c r="H1" s="38"/>
      <c r="I1" s="37"/>
      <c r="J1" s="39"/>
      <c r="K1" s="39"/>
      <c r="L1" s="39"/>
      <c r="M1" s="39"/>
      <c r="N1" s="39"/>
      <c r="O1" s="39"/>
      <c r="P1" s="39"/>
      <c r="Q1" s="39"/>
      <c r="R1" s="39"/>
      <c r="S1" s="39"/>
      <c r="T1" s="39"/>
      <c r="U1" s="39"/>
      <c r="V1" s="39"/>
      <c r="W1" s="39"/>
    </row>
    <row r="2" spans="1:23" ht="15.75" thickBot="1">
      <c r="A2" s="1"/>
      <c r="B2" s="1"/>
      <c r="C2" s="1"/>
      <c r="D2" s="1"/>
      <c r="E2" s="1"/>
      <c r="F2" s="1"/>
      <c r="G2" s="1"/>
      <c r="H2" s="1"/>
      <c r="I2" s="1"/>
      <c r="J2" s="1"/>
      <c r="K2" s="1"/>
      <c r="L2" s="1"/>
      <c r="M2" s="1"/>
      <c r="N2" s="1"/>
    </row>
    <row r="3" spans="1:23" s="17" customFormat="1" ht="15.75" thickBot="1">
      <c r="B3" s="146" t="s">
        <v>6</v>
      </c>
      <c r="C3" s="147"/>
      <c r="D3" s="147"/>
      <c r="E3" s="147"/>
      <c r="F3" s="147"/>
      <c r="G3" s="147"/>
      <c r="H3" s="147"/>
      <c r="I3" s="147"/>
      <c r="J3" s="147"/>
      <c r="K3" s="147"/>
      <c r="L3" s="147"/>
      <c r="M3" s="147"/>
      <c r="N3" s="147"/>
      <c r="O3" s="53"/>
      <c r="P3" s="146" t="s">
        <v>3</v>
      </c>
      <c r="Q3" s="147"/>
      <c r="R3" s="147"/>
      <c r="S3" s="147"/>
      <c r="T3" s="147"/>
      <c r="U3" s="147"/>
      <c r="V3" s="147"/>
      <c r="W3" s="147"/>
    </row>
    <row r="4" spans="1:23">
      <c r="A4" s="18" t="s">
        <v>22</v>
      </c>
      <c r="B4" s="19" t="str">
        <f>'R1'!B4</f>
        <v>Solvent control</v>
      </c>
      <c r="C4" s="19" t="str">
        <f>'R1'!C4</f>
        <v>EE2-33.8ng/L</v>
      </c>
      <c r="D4" s="19" t="str">
        <f>'R1'!D4</f>
        <v>EE2-50.6ng/L</v>
      </c>
      <c r="E4" s="19" t="str">
        <f>'R1'!E4</f>
        <v>EE2-76ng/L</v>
      </c>
      <c r="F4" s="19" t="str">
        <f>'R1'!F4</f>
        <v>EE2-114ng/L</v>
      </c>
      <c r="G4" s="19" t="str">
        <f>'R1'!G4</f>
        <v>EE2-170.9ng/L</v>
      </c>
      <c r="H4" s="19" t="str">
        <f>'R1'!H4</f>
        <v>EE2-488ng/L</v>
      </c>
      <c r="I4" s="19" t="str">
        <f>'R1'!I4</f>
        <v>cromolyn-1000µg/L</v>
      </c>
      <c r="J4" s="19" t="str">
        <f>'R1'!J4</f>
        <v>cromolyn-100µg/L</v>
      </c>
      <c r="K4" s="19" t="str">
        <f>'R1'!K4</f>
        <v>cromolyn-10µg/L</v>
      </c>
      <c r="L4" s="19" t="str">
        <f>'R1'!L4</f>
        <v>cromolyn-1µg/L</v>
      </c>
      <c r="M4" s="19" t="str">
        <f>'R1'!M4</f>
        <v>cromolyn-0.1µg/L</v>
      </c>
      <c r="N4" s="19" t="str">
        <f>'R1'!N4</f>
        <v/>
      </c>
      <c r="P4" s="19" t="str">
        <f>'R1'!O4</f>
        <v>Testo -30µg/L</v>
      </c>
      <c r="Q4" s="19" t="str">
        <f>'R1'!P4</f>
        <v>Testo 30µg/L + EE2 -64ng/L</v>
      </c>
      <c r="R4" s="19" t="str">
        <f>'R1'!Q4</f>
        <v>Testo 30µg/L + FAD-10mg/L</v>
      </c>
      <c r="S4" s="19" t="str">
        <f>'R1'!R4</f>
        <v>cromolyn-1000µg/L + Testostérone</v>
      </c>
      <c r="T4" s="19" t="str">
        <f>'R1'!S4</f>
        <v>cromolyn-100µg/L + Testostérone</v>
      </c>
      <c r="U4" s="19" t="str">
        <f>'R1'!T4</f>
        <v>cromolyn-10µg/L + Testostérone</v>
      </c>
      <c r="V4" s="19" t="str">
        <f>'R1'!U4</f>
        <v>cromolyn-1µg/L + Testostérone</v>
      </c>
      <c r="W4" s="19" t="str">
        <f>'R1'!V4</f>
        <v>cromolyn-0.1µg/L + Testostérone</v>
      </c>
    </row>
    <row r="5" spans="1:23" s="1" customFormat="1">
      <c r="A5" s="18"/>
      <c r="B5" s="19"/>
      <c r="C5" s="111"/>
      <c r="D5" s="19"/>
      <c r="E5" s="19"/>
      <c r="F5" s="19"/>
      <c r="G5" s="19"/>
      <c r="H5" s="19"/>
      <c r="I5" s="19"/>
      <c r="J5" s="19"/>
      <c r="K5" s="19"/>
      <c r="L5" s="19"/>
      <c r="M5" s="19"/>
      <c r="N5" s="19"/>
      <c r="P5" s="19"/>
      <c r="Q5" s="19"/>
      <c r="R5" s="19"/>
      <c r="S5" s="19"/>
      <c r="T5" s="19"/>
      <c r="U5" s="19"/>
      <c r="V5" s="19"/>
      <c r="W5" s="19"/>
    </row>
    <row r="6" spans="1:23" s="1" customFormat="1">
      <c r="A6" s="52" t="s">
        <v>4</v>
      </c>
      <c r="B6" s="35">
        <f>'R1'!B28</f>
        <v>0.18474367956760765</v>
      </c>
      <c r="C6" s="35">
        <f>'R1'!C28</f>
        <v>0.17409152891086663</v>
      </c>
      <c r="D6" s="35">
        <f>'R1'!D28</f>
        <v>0.6094078972695649</v>
      </c>
      <c r="E6" s="35">
        <f>'R1'!E28</f>
        <v>0.55640300932443376</v>
      </c>
      <c r="F6" s="35">
        <f>'R1'!F28</f>
        <v>1.6315521721928576</v>
      </c>
      <c r="G6" s="35">
        <f>'R1'!G28</f>
        <v>1.7167284891622883</v>
      </c>
      <c r="H6" s="35">
        <f>'R1'!H28</f>
        <v>3.2419952031049886</v>
      </c>
      <c r="I6" s="35">
        <f>'R1'!I28</f>
        <v>3.3087025579000569E-2</v>
      </c>
      <c r="J6" s="35">
        <f>'R1'!J28</f>
        <v>0.38426621634576119</v>
      </c>
      <c r="K6" s="35">
        <f>'R1'!K28</f>
        <v>0.21519742437045075</v>
      </c>
      <c r="L6" s="35">
        <f>'R1'!L28</f>
        <v>9.6654887584928531E-2</v>
      </c>
      <c r="M6" s="35">
        <f>'R1'!M28</f>
        <v>0.29147778012956838</v>
      </c>
      <c r="N6" s="35" t="str">
        <f>'R1'!N28</f>
        <v/>
      </c>
      <c r="O6"/>
      <c r="P6" s="35">
        <f>'R1'!O28</f>
        <v>1.2395084020995601</v>
      </c>
      <c r="Q6" s="35">
        <f>'R1'!P28</f>
        <v>0.66608106637022246</v>
      </c>
      <c r="R6" s="35">
        <f>'R1'!Q28</f>
        <v>0.1792795749230113</v>
      </c>
      <c r="S6" s="35">
        <f>'R1'!R28</f>
        <v>1.0521163908535258</v>
      </c>
      <c r="T6" s="35">
        <f>'R1'!S28</f>
        <v>1.2277975458923764</v>
      </c>
      <c r="U6" s="35">
        <f>'R1'!T28</f>
        <v>1.3845565811743801</v>
      </c>
      <c r="V6" s="35">
        <f>'R1'!U28</f>
        <v>1.0161483717318562</v>
      </c>
      <c r="W6" s="35">
        <f>'R1'!V28</f>
        <v>1.0268110580201857</v>
      </c>
    </row>
    <row r="7" spans="1:23" s="1" customFormat="1">
      <c r="A7" s="142" t="s">
        <v>17</v>
      </c>
      <c r="B7" s="35">
        <f>'R1'!B29</f>
        <v>0.10243506117717512</v>
      </c>
      <c r="C7" s="35">
        <f>'R1'!C29</f>
        <v>0.23334517520555437</v>
      </c>
      <c r="D7" s="35">
        <f>'R1'!D29</f>
        <v>1.2805510837696141</v>
      </c>
      <c r="E7" s="35">
        <f>'R1'!E29</f>
        <v>0.75895943172747282</v>
      </c>
      <c r="F7" s="35">
        <f>'R1'!F29</f>
        <v>1.8194777379243299</v>
      </c>
      <c r="G7" s="35">
        <f>'R1'!G29</f>
        <v>1.9309383234955175</v>
      </c>
      <c r="H7" s="35">
        <f>'R1'!H29</f>
        <v>1.8164190183107003</v>
      </c>
      <c r="I7" s="35">
        <f>'R1'!I29</f>
        <v>0.25700870544971144</v>
      </c>
      <c r="J7" s="35">
        <f>'R1'!J29</f>
        <v>0.17636647278883491</v>
      </c>
      <c r="K7" s="35">
        <f>'R1'!K29</f>
        <v>6.003202879036925E-2</v>
      </c>
      <c r="L7" s="35">
        <f>'R1'!L29</f>
        <v>0.27323420521668507</v>
      </c>
      <c r="M7" s="35">
        <f>'R1'!M29</f>
        <v>9.0215108200740433E-3</v>
      </c>
      <c r="N7" s="35" t="str">
        <f>'R1'!N29</f>
        <v/>
      </c>
      <c r="O7"/>
      <c r="P7" s="35">
        <f>'R1'!O29</f>
        <v>1.4758941104118355</v>
      </c>
      <c r="Q7" s="35">
        <f>'R1'!P29</f>
        <v>1.9797956844720381</v>
      </c>
      <c r="R7" s="35">
        <f>'R1'!Q29</f>
        <v>0.16995378502873112</v>
      </c>
      <c r="S7" s="35">
        <f>'R1'!R29</f>
        <v>0.81253474886860133</v>
      </c>
      <c r="T7" s="35">
        <f>'R1'!S29</f>
        <v>1.1106701701927024</v>
      </c>
      <c r="U7" s="35">
        <f>'R1'!T29</f>
        <v>1.0347619479921872</v>
      </c>
      <c r="V7" s="35">
        <f>'R1'!U29</f>
        <v>0.38529494551585136</v>
      </c>
      <c r="W7" s="35">
        <f>'R1'!V29</f>
        <v>0.55039619422885222</v>
      </c>
    </row>
    <row r="8" spans="1:23" s="1" customFormat="1">
      <c r="A8" s="151"/>
      <c r="B8" s="35">
        <f>'R1'!B30</f>
        <v>0.31285884104462258</v>
      </c>
      <c r="C8" s="35">
        <f>'R1'!C30</f>
        <v>0.19258908779954029</v>
      </c>
      <c r="D8" s="35">
        <f>'R1'!D30</f>
        <v>0.32641431074906513</v>
      </c>
      <c r="E8" s="35">
        <f>'R1'!E30</f>
        <v>1.0702662738997843</v>
      </c>
      <c r="F8" s="35">
        <f>'R1'!F30</f>
        <v>1.3223683852097825</v>
      </c>
      <c r="G8" s="35">
        <f>'R1'!G30</f>
        <v>1.5867847684837681</v>
      </c>
      <c r="H8" s="35">
        <f>'R1'!H30</f>
        <v>2.5540745249972479</v>
      </c>
      <c r="I8" s="35">
        <f>'R1'!I30</f>
        <v>0.3729831820355754</v>
      </c>
      <c r="J8" s="35">
        <f>'R1'!J30</f>
        <v>0.24640020240955068</v>
      </c>
      <c r="K8" s="35">
        <f>'R1'!K30</f>
        <v>9.3761477047887495E-2</v>
      </c>
      <c r="L8" s="35">
        <f>'R1'!L30</f>
        <v>1.6234279459963905E-2</v>
      </c>
      <c r="M8" s="35">
        <f>'R1'!M30</f>
        <v>8.1147566704560192E-2</v>
      </c>
      <c r="N8" s="35" t="str">
        <f>'R1'!N30</f>
        <v/>
      </c>
      <c r="O8"/>
      <c r="P8" s="35">
        <f>'R1'!O30</f>
        <v>1.2962598358920168</v>
      </c>
      <c r="Q8" s="35">
        <f>'R1'!P30</f>
        <v>1.6420393900455668</v>
      </c>
      <c r="R8" s="35">
        <f>'R1'!Q30</f>
        <v>0.21997520787157798</v>
      </c>
      <c r="S8" s="35">
        <f>'R1'!R30</f>
        <v>1.01954034340656</v>
      </c>
      <c r="T8" s="35">
        <f>'R1'!S30</f>
        <v>1.4409906917773307</v>
      </c>
      <c r="U8" s="35">
        <f>'R1'!T30</f>
        <v>1.8370523002313535</v>
      </c>
      <c r="V8" s="35">
        <f>'R1'!U30</f>
        <v>1.6737827463244972</v>
      </c>
      <c r="W8" s="35">
        <f>'R1'!V30</f>
        <v>0.53738117734005453</v>
      </c>
    </row>
    <row r="9" spans="1:23" s="1" customFormat="1">
      <c r="A9" s="151"/>
      <c r="B9" s="35">
        <f>'R1'!B31</f>
        <v>7.9691768182585443E-2</v>
      </c>
      <c r="C9" s="35">
        <f>'R1'!C31</f>
        <v>0.22684657187833135</v>
      </c>
      <c r="D9" s="35">
        <f>'R1'!D31</f>
        <v>0.57968650428629709</v>
      </c>
      <c r="E9" s="35">
        <f>'R1'!E31</f>
        <v>1.4709478822294804</v>
      </c>
      <c r="F9" s="35">
        <f>'R1'!F31</f>
        <v>1.6394058584210383</v>
      </c>
      <c r="G9" s="35">
        <f>'R1'!G31</f>
        <v>2.1885392819495162</v>
      </c>
      <c r="H9" s="35">
        <f>'R1'!H31</f>
        <v>1.9409927024838056</v>
      </c>
      <c r="I9" s="35">
        <f>'R1'!I31</f>
        <v>0.1199587012648551</v>
      </c>
      <c r="J9" s="35">
        <f>'R1'!J31</f>
        <v>0.23992179237620534</v>
      </c>
      <c r="K9" s="35">
        <f>'R1'!K31</f>
        <v>0.21323666807734906</v>
      </c>
      <c r="L9" s="35">
        <f>'R1'!L31</f>
        <v>0.16790247247364393</v>
      </c>
      <c r="M9" s="35">
        <f>'R1'!M31</f>
        <v>0.12302682769240279</v>
      </c>
      <c r="N9" s="35" t="str">
        <f>'R1'!N31</f>
        <v/>
      </c>
      <c r="O9"/>
      <c r="P9" s="35">
        <f>'R1'!O31</f>
        <v>1.017658855198742</v>
      </c>
      <c r="Q9" s="35">
        <f>'R1'!P31</f>
        <v>1.7468774531941829</v>
      </c>
      <c r="R9" s="35">
        <f>'R1'!Q31</f>
        <v>0.40746392116469088</v>
      </c>
      <c r="S9" s="35">
        <f>'R1'!R31</f>
        <v>0.47463772850591424</v>
      </c>
      <c r="T9" s="35">
        <f>'R1'!S31</f>
        <v>0.83956742358568726</v>
      </c>
      <c r="U9" s="35">
        <f>'R1'!T31</f>
        <v>0.66851241420760332</v>
      </c>
      <c r="V9" s="35">
        <f>'R1'!U31</f>
        <v>1.1582761740697365</v>
      </c>
      <c r="W9" s="35">
        <f>'R1'!V31</f>
        <v>0.33267247591253996</v>
      </c>
    </row>
    <row r="10" spans="1:23" s="1" customFormat="1">
      <c r="A10" s="151"/>
      <c r="B10" s="35">
        <f>'R1'!B32</f>
        <v>6.5361302435471946E-2</v>
      </c>
      <c r="C10" s="35">
        <f>'R1'!C32</f>
        <v>0.50761952319321701</v>
      </c>
      <c r="D10" s="35">
        <f>'R1'!D32</f>
        <v>0.33422284427043858</v>
      </c>
      <c r="E10" s="35">
        <f>'R1'!E32</f>
        <v>1.4446831798006732</v>
      </c>
      <c r="F10" s="35">
        <f>'R1'!F32</f>
        <v>1.13435778188049</v>
      </c>
      <c r="G10" s="35">
        <f>'R1'!G32</f>
        <v>1.4786609679456308</v>
      </c>
      <c r="H10" s="35">
        <f>'R1'!H32</f>
        <v>2.9596580867717912</v>
      </c>
      <c r="I10" s="35">
        <f>'R1'!I32</f>
        <v>0.34841007559762488</v>
      </c>
      <c r="J10" s="35">
        <f>'R1'!J32</f>
        <v>0.16296213922801084</v>
      </c>
      <c r="K10" s="35">
        <f>'R1'!K32</f>
        <v>0.17693263756252267</v>
      </c>
      <c r="L10" s="35">
        <f>'R1'!L32</f>
        <v>0.15272777653342179</v>
      </c>
      <c r="M10" s="35">
        <f>'R1'!M32</f>
        <v>0.15865043200048212</v>
      </c>
      <c r="N10" s="35" t="str">
        <f>'R1'!N32</f>
        <v/>
      </c>
      <c r="O10"/>
      <c r="P10" s="35">
        <f>'R1'!O32</f>
        <v>1.7049606903748531</v>
      </c>
      <c r="Q10" s="35">
        <f>'R1'!P32</f>
        <v>1.5512256322070745</v>
      </c>
      <c r="R10" s="35">
        <f>'R1'!Q32</f>
        <v>0.23458725091530847</v>
      </c>
      <c r="S10" s="35">
        <f>'R1'!R32</f>
        <v>0.84356481780416381</v>
      </c>
      <c r="T10" s="35">
        <f>'R1'!S32</f>
        <v>1.1955960150635387</v>
      </c>
      <c r="U10" s="35">
        <f>'R1'!T32</f>
        <v>0.75025800342898752</v>
      </c>
      <c r="V10" s="35">
        <f>'R1'!U32</f>
        <v>1.9059288663159497</v>
      </c>
      <c r="W10" s="35">
        <f>'R1'!V32</f>
        <v>0.60126999983687013</v>
      </c>
    </row>
    <row r="11" spans="1:23" s="1" customFormat="1">
      <c r="A11" s="151"/>
      <c r="B11" s="35">
        <f>'R1'!B33</f>
        <v>0.32750249098311812</v>
      </c>
      <c r="C11" s="35">
        <f>'R1'!C33</f>
        <v>0.39166561617378737</v>
      </c>
      <c r="D11" s="35">
        <f>'R1'!D33</f>
        <v>0.42602218535918307</v>
      </c>
      <c r="E11" s="35">
        <f>'R1'!E33</f>
        <v>0.81383163494745192</v>
      </c>
      <c r="F11" s="35">
        <f>'R1'!F33</f>
        <v>2.0620956485936661</v>
      </c>
      <c r="G11" s="35">
        <f>'R1'!G33</f>
        <v>1.7786196806554431</v>
      </c>
      <c r="H11" s="35">
        <f>'R1'!H33</f>
        <v>3.1770578344167619</v>
      </c>
      <c r="I11" s="35">
        <f>'R1'!I33</f>
        <v>0.39532449051539564</v>
      </c>
      <c r="J11" s="35">
        <f>'R1'!J33</f>
        <v>0.24902746282480054</v>
      </c>
      <c r="K11" s="35">
        <f>'R1'!K33</f>
        <v>6.7902271011045845E-2</v>
      </c>
      <c r="L11" s="35">
        <f>'R1'!L33</f>
        <v>9.6077309210353387E-2</v>
      </c>
      <c r="M11" s="35">
        <f>'R1'!M33</f>
        <v>0.12463953187053248</v>
      </c>
      <c r="N11" s="35" t="str">
        <f>'R1'!N33</f>
        <v/>
      </c>
      <c r="O11"/>
      <c r="P11" s="35">
        <f>'R1'!O33</f>
        <v>1.5086561619260099</v>
      </c>
      <c r="Q11" s="35">
        <f>'R1'!P33</f>
        <v>0.66705573771632953</v>
      </c>
      <c r="R11" s="35">
        <f>'R1'!Q33</f>
        <v>0.11243626031077934</v>
      </c>
      <c r="S11" s="35">
        <f>'R1'!R33</f>
        <v>0.42776620865961029</v>
      </c>
      <c r="T11" s="35">
        <f>'R1'!S33</f>
        <v>1.2187493197207748</v>
      </c>
      <c r="U11" s="35">
        <f>'R1'!T33</f>
        <v>1.2751347657397221</v>
      </c>
      <c r="V11" s="35">
        <f>'R1'!U33</f>
        <v>0.64114197215876256</v>
      </c>
      <c r="W11" s="35">
        <f>'R1'!V33</f>
        <v>1.1376539294774139</v>
      </c>
    </row>
    <row r="12" spans="1:23" s="1" customFormat="1">
      <c r="A12" s="151"/>
      <c r="B12" s="35">
        <f>'R1'!B34</f>
        <v>0.16702550656810009</v>
      </c>
      <c r="C12" s="35">
        <f>'R1'!C34</f>
        <v>0.48944279937124541</v>
      </c>
      <c r="D12" s="35">
        <f>'R1'!D34</f>
        <v>0.58335102271625627</v>
      </c>
      <c r="E12" s="35">
        <f>'R1'!E34</f>
        <v>0.69235530103713339</v>
      </c>
      <c r="F12" s="35">
        <f>'R1'!F34</f>
        <v>2.3463452329085186</v>
      </c>
      <c r="G12" s="35">
        <f>'R1'!G34</f>
        <v>2.4209955759518973</v>
      </c>
      <c r="H12" s="35">
        <f>'R1'!H34</f>
        <v>2.1139585493291322</v>
      </c>
      <c r="I12" s="35">
        <f>'R1'!I34</f>
        <v>0.39813712787692607</v>
      </c>
      <c r="J12" s="35">
        <f>'R1'!J34</f>
        <v>0.34247926755850211</v>
      </c>
      <c r="K12" s="35">
        <f>'R1'!K34</f>
        <v>0.24414143825152163</v>
      </c>
      <c r="L12" s="35">
        <f>'R1'!L34</f>
        <v>1.180266671102502E-2</v>
      </c>
      <c r="M12" s="35">
        <f>'R1'!M34</f>
        <v>0.11835991917132428</v>
      </c>
      <c r="N12" s="35" t="str">
        <f>'R1'!N34</f>
        <v/>
      </c>
      <c r="O12"/>
      <c r="P12" s="35">
        <f>'R1'!O34</f>
        <v>1.6255487435502867</v>
      </c>
      <c r="Q12" s="35">
        <f>'R1'!P34</f>
        <v>1.0237163416652959</v>
      </c>
      <c r="R12" s="35">
        <f>'R1'!Q34</f>
        <v>0.25428775316783669</v>
      </c>
      <c r="S12" s="35">
        <f>'R1'!R34</f>
        <v>0.73597921244633113</v>
      </c>
      <c r="T12" s="35">
        <f>'R1'!S34</f>
        <v>1.3125691190149549</v>
      </c>
      <c r="U12" s="35">
        <f>'R1'!T34</f>
        <v>1.0921511637682952</v>
      </c>
      <c r="V12" s="35">
        <f>'R1'!U34</f>
        <v>0.93078881002729996</v>
      </c>
      <c r="W12" s="35">
        <f>'R1'!V34</f>
        <v>0.48041439022096472</v>
      </c>
    </row>
    <row r="13" spans="1:23" s="1" customFormat="1">
      <c r="A13" s="151"/>
      <c r="B13" s="35">
        <f>'R1'!B35</f>
        <v>7.4564552900444878E-2</v>
      </c>
      <c r="C13" s="35">
        <f>'R1'!C35</f>
        <v>9.874558333428643E-2</v>
      </c>
      <c r="D13" s="35">
        <f>'R1'!D35</f>
        <v>0.54672678425565568</v>
      </c>
      <c r="E13" s="35">
        <f>'R1'!E35</f>
        <v>1.4684644833550857</v>
      </c>
      <c r="F13" s="35">
        <f>'R1'!F35</f>
        <v>1.7804145007510284</v>
      </c>
      <c r="G13" s="35">
        <f>'R1'!G35</f>
        <v>1.7044388003386735</v>
      </c>
      <c r="H13" s="35">
        <f>'R1'!H35</f>
        <v>2.7771976290783997</v>
      </c>
      <c r="I13" s="35">
        <f>'R1'!I35</f>
        <v>0.14020517499719343</v>
      </c>
      <c r="J13" s="35">
        <f>'R1'!J35</f>
        <v>0.39784350985849387</v>
      </c>
      <c r="K13" s="35">
        <f>'R1'!K35</f>
        <v>0.12885215399145655</v>
      </c>
      <c r="L13" s="35">
        <f>'R1'!L35</f>
        <v>0.23201279408218592</v>
      </c>
      <c r="M13" s="35">
        <f>'R1'!M35</f>
        <v>0.32877529561833824</v>
      </c>
      <c r="N13" s="35" t="str">
        <f>'R1'!N35</f>
        <v/>
      </c>
      <c r="O13"/>
      <c r="P13" s="35">
        <f>'R1'!O35</f>
        <v>0.72319171503016733</v>
      </c>
      <c r="Q13" s="35">
        <f>'R1'!P35</f>
        <v>2.2049384942135122</v>
      </c>
      <c r="R13" s="35">
        <f>'R1'!Q35</f>
        <v>0.2247919982944192</v>
      </c>
      <c r="S13" s="35">
        <f>'R1'!R35</f>
        <v>0.73905122702363168</v>
      </c>
      <c r="T13" s="35">
        <f>'R1'!S35</f>
        <v>0.56310743374018613</v>
      </c>
      <c r="U13" s="35">
        <f>'R1'!T35</f>
        <v>0.42635618996537061</v>
      </c>
      <c r="V13" s="35">
        <f>'R1'!U35</f>
        <v>0.50379433638153559</v>
      </c>
      <c r="W13" s="35">
        <f>'R1'!V35</f>
        <v>1.0839119235936556</v>
      </c>
    </row>
    <row r="14" spans="1:23" s="1" customFormat="1">
      <c r="A14" s="151"/>
      <c r="B14" s="35" t="str">
        <f>'R1'!B36</f>
        <v/>
      </c>
      <c r="C14" s="35" t="str">
        <f>'R1'!C36</f>
        <v/>
      </c>
      <c r="D14" s="35" t="str">
        <f>'R1'!D36</f>
        <v/>
      </c>
      <c r="E14" s="35" t="str">
        <f>'R1'!E36</f>
        <v/>
      </c>
      <c r="F14" s="35" t="str">
        <f>'R1'!F36</f>
        <v/>
      </c>
      <c r="G14" s="35" t="str">
        <f>'R1'!G36</f>
        <v/>
      </c>
      <c r="H14" s="35" t="str">
        <f>'R1'!H36</f>
        <v/>
      </c>
      <c r="I14" s="35" t="str">
        <f>'R1'!I36</f>
        <v/>
      </c>
      <c r="J14" s="35" t="str">
        <f>'R1'!J36</f>
        <v/>
      </c>
      <c r="K14" s="35" t="str">
        <f>'R1'!K36</f>
        <v/>
      </c>
      <c r="L14" s="35" t="str">
        <f>'R1'!L36</f>
        <v/>
      </c>
      <c r="M14" s="35" t="str">
        <f>'R1'!M36</f>
        <v/>
      </c>
      <c r="N14" s="35" t="str">
        <f>'R1'!N36</f>
        <v/>
      </c>
      <c r="O14"/>
      <c r="P14" s="35">
        <f>'R1'!O36</f>
        <v>0.68527761424510836</v>
      </c>
      <c r="Q14" s="35" t="str">
        <f>'R1'!P36</f>
        <v/>
      </c>
      <c r="R14" s="35" t="str">
        <f>'R1'!Q36</f>
        <v/>
      </c>
      <c r="S14" s="35" t="str">
        <f>'R1'!R36</f>
        <v/>
      </c>
      <c r="T14" s="35" t="str">
        <f>'R1'!S36</f>
        <v/>
      </c>
      <c r="U14" s="35" t="str">
        <f>'R1'!T36</f>
        <v/>
      </c>
      <c r="V14" s="35" t="str">
        <f>'R1'!U36</f>
        <v/>
      </c>
      <c r="W14" s="35" t="str">
        <f>'R1'!V36</f>
        <v/>
      </c>
    </row>
    <row r="15" spans="1:23" s="1" customFormat="1">
      <c r="A15" s="151"/>
      <c r="B15" s="35" t="str">
        <f>'R1'!B37</f>
        <v/>
      </c>
      <c r="C15" s="35" t="str">
        <f>'R1'!C37</f>
        <v/>
      </c>
      <c r="D15" s="35" t="str">
        <f>'R1'!D37</f>
        <v/>
      </c>
      <c r="E15" s="35" t="str">
        <f>'R1'!E37</f>
        <v/>
      </c>
      <c r="F15" s="35" t="str">
        <f>'R1'!F37</f>
        <v/>
      </c>
      <c r="G15" s="35" t="str">
        <f>'R1'!G37</f>
        <v/>
      </c>
      <c r="H15" s="35" t="str">
        <f>'R1'!H37</f>
        <v/>
      </c>
      <c r="I15" s="35" t="str">
        <f>'R1'!I37</f>
        <v/>
      </c>
      <c r="J15" s="35" t="str">
        <f>'R1'!J37</f>
        <v/>
      </c>
      <c r="K15" s="35" t="str">
        <f>'R1'!K37</f>
        <v/>
      </c>
      <c r="L15" s="35" t="str">
        <f>'R1'!L37</f>
        <v/>
      </c>
      <c r="M15" s="35" t="str">
        <f>'R1'!M37</f>
        <v/>
      </c>
      <c r="N15" s="35" t="str">
        <f>'R1'!N37</f>
        <v/>
      </c>
      <c r="O15"/>
      <c r="P15" s="35">
        <f>'R1'!O37</f>
        <v>0.80849759518329734</v>
      </c>
      <c r="Q15" s="35" t="str">
        <f>'R1'!P37</f>
        <v/>
      </c>
      <c r="R15" s="35" t="str">
        <f>'R1'!Q37</f>
        <v/>
      </c>
      <c r="S15" s="35" t="str">
        <f>'R1'!R37</f>
        <v/>
      </c>
      <c r="T15" s="35" t="str">
        <f>'R1'!S37</f>
        <v/>
      </c>
      <c r="U15" s="35" t="str">
        <f>'R1'!T37</f>
        <v/>
      </c>
      <c r="V15" s="35" t="str">
        <f>'R1'!U37</f>
        <v/>
      </c>
      <c r="W15" s="35" t="str">
        <f>'R1'!V37</f>
        <v/>
      </c>
    </row>
    <row r="16" spans="1:23" s="1" customFormat="1">
      <c r="A16" s="151"/>
      <c r="B16" s="35" t="str">
        <f>'R1'!B38</f>
        <v/>
      </c>
      <c r="C16" s="35" t="str">
        <f>'R1'!C38</f>
        <v/>
      </c>
      <c r="D16" s="35" t="str">
        <f>'R1'!D38</f>
        <v/>
      </c>
      <c r="E16" s="35" t="str">
        <f>'R1'!E38</f>
        <v/>
      </c>
      <c r="F16" s="35" t="str">
        <f>'R1'!F38</f>
        <v/>
      </c>
      <c r="G16" s="35" t="str">
        <f>'R1'!G38</f>
        <v/>
      </c>
      <c r="H16" s="35" t="str">
        <f>'R1'!H38</f>
        <v/>
      </c>
      <c r="I16" s="35" t="str">
        <f>'R1'!I38</f>
        <v/>
      </c>
      <c r="J16" s="35" t="str">
        <f>'R1'!J38</f>
        <v/>
      </c>
      <c r="K16" s="35" t="str">
        <f>'R1'!K38</f>
        <v/>
      </c>
      <c r="L16" s="35" t="str">
        <f>'R1'!L38</f>
        <v/>
      </c>
      <c r="M16" s="35" t="str">
        <f>'R1'!M38</f>
        <v/>
      </c>
      <c r="N16" s="35" t="str">
        <f>'R1'!N38</f>
        <v/>
      </c>
      <c r="O16"/>
      <c r="P16" s="35">
        <f>'R1'!O38</f>
        <v>0.45476150696939477</v>
      </c>
      <c r="Q16" s="35" t="str">
        <f>'R1'!P38</f>
        <v/>
      </c>
      <c r="R16" s="35" t="str">
        <f>'R1'!Q38</f>
        <v/>
      </c>
      <c r="S16" s="35" t="str">
        <f>'R1'!R38</f>
        <v/>
      </c>
      <c r="T16" s="35" t="str">
        <f>'R1'!S38</f>
        <v/>
      </c>
      <c r="U16" s="35" t="str">
        <f>'R1'!T38</f>
        <v/>
      </c>
      <c r="V16" s="35" t="str">
        <f>'R1'!U38</f>
        <v/>
      </c>
      <c r="W16" s="35" t="str">
        <f>'R1'!V38</f>
        <v/>
      </c>
    </row>
    <row r="17" spans="1:23" s="1" customFormat="1">
      <c r="A17" s="151"/>
      <c r="B17" s="35" t="str">
        <f>'R1'!B39</f>
        <v/>
      </c>
      <c r="C17" s="35" t="str">
        <f>'R1'!C39</f>
        <v/>
      </c>
      <c r="D17" s="35" t="str">
        <f>'R1'!D39</f>
        <v/>
      </c>
      <c r="E17" s="35" t="str">
        <f>'R1'!E39</f>
        <v/>
      </c>
      <c r="F17" s="35" t="str">
        <f>'R1'!F39</f>
        <v/>
      </c>
      <c r="G17" s="35" t="str">
        <f>'R1'!G39</f>
        <v/>
      </c>
      <c r="H17" s="35" t="str">
        <f>'R1'!H39</f>
        <v/>
      </c>
      <c r="I17" s="35" t="str">
        <f>'R1'!I39</f>
        <v/>
      </c>
      <c r="J17" s="35" t="str">
        <f>'R1'!J39</f>
        <v/>
      </c>
      <c r="K17" s="35" t="str">
        <f>'R1'!K39</f>
        <v/>
      </c>
      <c r="L17" s="35" t="str">
        <f>'R1'!L39</f>
        <v/>
      </c>
      <c r="M17" s="35" t="str">
        <f>'R1'!M39</f>
        <v/>
      </c>
      <c r="N17" s="35" t="str">
        <f>'R1'!N39</f>
        <v/>
      </c>
      <c r="O17"/>
      <c r="P17" s="35">
        <f>'R1'!O39</f>
        <v>1.3565688012841368</v>
      </c>
      <c r="Q17" s="35" t="str">
        <f>'R1'!P39</f>
        <v/>
      </c>
      <c r="R17" s="35" t="str">
        <f>'R1'!Q39</f>
        <v/>
      </c>
      <c r="S17" s="35" t="str">
        <f>'R1'!R39</f>
        <v/>
      </c>
      <c r="T17" s="35" t="str">
        <f>'R1'!S39</f>
        <v/>
      </c>
      <c r="U17" s="35" t="str">
        <f>'R1'!T39</f>
        <v/>
      </c>
      <c r="V17" s="35" t="str">
        <f>'R1'!U39</f>
        <v/>
      </c>
      <c r="W17" s="35" t="str">
        <f>'R1'!V39</f>
        <v/>
      </c>
    </row>
    <row r="18" spans="1:23" s="1" customFormat="1">
      <c r="A18" s="151"/>
      <c r="B18" s="35" t="str">
        <f>'R1'!B40</f>
        <v/>
      </c>
      <c r="C18" s="35" t="str">
        <f>'R1'!C40</f>
        <v/>
      </c>
      <c r="D18" s="35" t="str">
        <f>'R1'!D40</f>
        <v/>
      </c>
      <c r="E18" s="35" t="str">
        <f>'R1'!E40</f>
        <v/>
      </c>
      <c r="F18" s="35" t="str">
        <f>'R1'!F40</f>
        <v/>
      </c>
      <c r="G18" s="35" t="str">
        <f>'R1'!G40</f>
        <v/>
      </c>
      <c r="H18" s="35" t="str">
        <f>'R1'!H40</f>
        <v/>
      </c>
      <c r="I18" s="35" t="str">
        <f>'R1'!I40</f>
        <v/>
      </c>
      <c r="J18" s="35" t="str">
        <f>'R1'!J40</f>
        <v/>
      </c>
      <c r="K18" s="35" t="str">
        <f>'R1'!K40</f>
        <v/>
      </c>
      <c r="L18" s="35" t="str">
        <f>'R1'!L40</f>
        <v/>
      </c>
      <c r="M18" s="35" t="str">
        <f>'R1'!M40</f>
        <v/>
      </c>
      <c r="N18" s="35" t="str">
        <f>'R1'!N40</f>
        <v/>
      </c>
      <c r="O18"/>
      <c r="P18" s="35">
        <f>'R1'!O40</f>
        <v>0.14051647782579182</v>
      </c>
      <c r="Q18" s="35" t="str">
        <f>'R1'!P40</f>
        <v/>
      </c>
      <c r="R18" s="35" t="str">
        <f>'R1'!Q40</f>
        <v/>
      </c>
      <c r="S18" s="35" t="str">
        <f>'R1'!R40</f>
        <v/>
      </c>
      <c r="T18" s="35" t="str">
        <f>'R1'!S40</f>
        <v/>
      </c>
      <c r="U18" s="35" t="str">
        <f>'R1'!T40</f>
        <v/>
      </c>
      <c r="V18" s="35" t="str">
        <f>'R1'!U40</f>
        <v/>
      </c>
      <c r="W18" s="35" t="str">
        <f>'R1'!V40</f>
        <v/>
      </c>
    </row>
    <row r="19" spans="1:23" s="1" customFormat="1">
      <c r="A19" s="151"/>
      <c r="B19" s="35" t="str">
        <f>'R1'!B41</f>
        <v/>
      </c>
      <c r="C19" s="35" t="str">
        <f>'R1'!C41</f>
        <v/>
      </c>
      <c r="D19" s="35" t="str">
        <f>'R1'!D41</f>
        <v/>
      </c>
      <c r="E19" s="35" t="str">
        <f>'R1'!E41</f>
        <v/>
      </c>
      <c r="F19" s="35" t="str">
        <f>'R1'!F41</f>
        <v/>
      </c>
      <c r="G19" s="35" t="str">
        <f>'R1'!G41</f>
        <v/>
      </c>
      <c r="H19" s="35" t="str">
        <f>'R1'!H41</f>
        <v/>
      </c>
      <c r="I19" s="35" t="str">
        <f>'R1'!I41</f>
        <v/>
      </c>
      <c r="J19" s="35" t="str">
        <f>'R1'!J41</f>
        <v/>
      </c>
      <c r="K19" s="35" t="str">
        <f>'R1'!K41</f>
        <v/>
      </c>
      <c r="L19" s="35" t="str">
        <f>'R1'!L41</f>
        <v/>
      </c>
      <c r="M19" s="35" t="str">
        <f>'R1'!M41</f>
        <v/>
      </c>
      <c r="N19" s="35" t="str">
        <f>'R1'!N41</f>
        <v/>
      </c>
      <c r="O19"/>
      <c r="P19" s="35">
        <f>'R1'!O41</f>
        <v>0.61635313612162224</v>
      </c>
      <c r="Q19" s="35" t="str">
        <f>'R1'!P41</f>
        <v/>
      </c>
      <c r="R19" s="35" t="str">
        <f>'R1'!Q41</f>
        <v/>
      </c>
      <c r="S19" s="35" t="str">
        <f>'R1'!R41</f>
        <v/>
      </c>
      <c r="T19" s="35" t="str">
        <f>'R1'!S41</f>
        <v/>
      </c>
      <c r="U19" s="35" t="str">
        <f>'R1'!T41</f>
        <v/>
      </c>
      <c r="V19" s="35" t="str">
        <f>'R1'!U41</f>
        <v/>
      </c>
      <c r="W19" s="35" t="str">
        <f>'R1'!V41</f>
        <v/>
      </c>
    </row>
    <row r="20" spans="1:23" s="1" customFormat="1">
      <c r="A20" s="151"/>
      <c r="B20" s="35" t="str">
        <f>'R1'!B42</f>
        <v/>
      </c>
      <c r="C20" s="35" t="str">
        <f>'R1'!C42</f>
        <v/>
      </c>
      <c r="D20" s="35" t="str">
        <f>'R1'!D42</f>
        <v/>
      </c>
      <c r="E20" s="35" t="str">
        <f>'R1'!E42</f>
        <v/>
      </c>
      <c r="F20" s="35" t="str">
        <f>'R1'!F42</f>
        <v/>
      </c>
      <c r="G20" s="35" t="str">
        <f>'R1'!G42</f>
        <v/>
      </c>
      <c r="H20" s="35" t="str">
        <f>'R1'!H42</f>
        <v/>
      </c>
      <c r="I20" s="35" t="str">
        <f>'R1'!I42</f>
        <v/>
      </c>
      <c r="J20" s="35" t="str">
        <f>'R1'!J42</f>
        <v/>
      </c>
      <c r="K20" s="35" t="str">
        <f>'R1'!K42</f>
        <v/>
      </c>
      <c r="L20" s="35" t="str">
        <f>'R1'!L42</f>
        <v/>
      </c>
      <c r="M20" s="35" t="str">
        <f>'R1'!M42</f>
        <v/>
      </c>
      <c r="N20" s="35" t="str">
        <f>'R1'!N42</f>
        <v/>
      </c>
      <c r="O20"/>
      <c r="P20" s="35">
        <f>'R1'!O42</f>
        <v>0.76003858142016445</v>
      </c>
      <c r="Q20" s="35" t="str">
        <f>'R1'!P42</f>
        <v/>
      </c>
      <c r="R20" s="35" t="str">
        <f>'R1'!Q42</f>
        <v/>
      </c>
      <c r="S20" s="35" t="str">
        <f>'R1'!R42</f>
        <v/>
      </c>
      <c r="T20" s="35" t="str">
        <f>'R1'!S42</f>
        <v/>
      </c>
      <c r="U20" s="35" t="str">
        <f>'R1'!T42</f>
        <v/>
      </c>
      <c r="V20" s="35" t="str">
        <f>'R1'!U42</f>
        <v/>
      </c>
      <c r="W20" s="35" t="str">
        <f>'R1'!V42</f>
        <v/>
      </c>
    </row>
    <row r="21" spans="1:23" s="1" customFormat="1">
      <c r="A21" s="152"/>
      <c r="B21" s="35" t="str">
        <f>'R1'!B43</f>
        <v/>
      </c>
      <c r="C21" s="35" t="str">
        <f>'R1'!C43</f>
        <v/>
      </c>
      <c r="D21" s="35" t="str">
        <f>'R1'!D43</f>
        <v/>
      </c>
      <c r="E21" s="35" t="str">
        <f>'R1'!E43</f>
        <v/>
      </c>
      <c r="F21" s="35" t="str">
        <f>'R1'!F43</f>
        <v/>
      </c>
      <c r="G21" s="35" t="str">
        <f>'R1'!G43</f>
        <v/>
      </c>
      <c r="H21" s="35" t="str">
        <f>'R1'!H43</f>
        <v/>
      </c>
      <c r="I21" s="35" t="str">
        <f>'R1'!I43</f>
        <v/>
      </c>
      <c r="J21" s="35" t="str">
        <f>'R1'!J43</f>
        <v/>
      </c>
      <c r="K21" s="35" t="str">
        <f>'R1'!K43</f>
        <v/>
      </c>
      <c r="L21" s="35" t="str">
        <f>'R1'!L43</f>
        <v/>
      </c>
      <c r="M21" s="35" t="str">
        <f>'R1'!M43</f>
        <v/>
      </c>
      <c r="N21" s="35" t="str">
        <f>'R1'!N43</f>
        <v/>
      </c>
      <c r="O21"/>
      <c r="P21" s="35">
        <f>'R1'!O43</f>
        <v>0.58630777246701293</v>
      </c>
      <c r="Q21" s="35" t="str">
        <f>'R1'!P43</f>
        <v/>
      </c>
      <c r="R21" s="35" t="str">
        <f>'R1'!Q43</f>
        <v/>
      </c>
      <c r="S21" s="35" t="str">
        <f>'R1'!R43</f>
        <v/>
      </c>
      <c r="T21" s="35" t="str">
        <f>'R1'!S43</f>
        <v/>
      </c>
      <c r="U21" s="35" t="str">
        <f>'R1'!T43</f>
        <v/>
      </c>
      <c r="V21" s="35" t="str">
        <f>'R1'!U43</f>
        <v/>
      </c>
      <c r="W21" s="35" t="str">
        <f>'R1'!V43</f>
        <v/>
      </c>
    </row>
    <row r="22" spans="1:23">
      <c r="A22" s="23" t="s">
        <v>5</v>
      </c>
      <c r="B22" s="36">
        <f>'R2'!B28</f>
        <v>8.9109967334413728E-3</v>
      </c>
      <c r="C22" s="36">
        <f>'R2'!C28</f>
        <v>0.39486367493937979</v>
      </c>
      <c r="D22" s="36">
        <f>'R2'!D28</f>
        <v>0.3539100071166783</v>
      </c>
      <c r="E22" s="36">
        <f>'R2'!E28</f>
        <v>1.3179136441641097</v>
      </c>
      <c r="F22" s="36">
        <f>'R2'!F28</f>
        <v>1.1761565590185372</v>
      </c>
      <c r="G22" s="36">
        <f>'R2'!G28</f>
        <v>3.1643684285577383</v>
      </c>
      <c r="H22" s="36">
        <f>'R2'!H28</f>
        <v>2.3253659029767211</v>
      </c>
      <c r="I22" s="36">
        <f>'R2'!I28</f>
        <v>5.4611367123449175E-2</v>
      </c>
      <c r="J22" s="36">
        <f>'R2'!J28</f>
        <v>7.0315481920310993E-2</v>
      </c>
      <c r="K22" s="36">
        <f>'R2'!K28</f>
        <v>0.23600795513561701</v>
      </c>
      <c r="L22" s="36">
        <f>'R2'!L28</f>
        <v>0.22255048445116118</v>
      </c>
      <c r="M22" s="36">
        <f>'R2'!M28</f>
        <v>0.55341312399782783</v>
      </c>
      <c r="N22" s="36" t="str">
        <f>'R2'!N28</f>
        <v/>
      </c>
      <c r="P22" s="36">
        <f>'R2'!O28</f>
        <v>1.2748511540643939</v>
      </c>
      <c r="Q22" s="36">
        <f>'R2'!P28</f>
        <v>3.4168647821245903</v>
      </c>
      <c r="R22" s="36">
        <f>'R2'!Q28</f>
        <v>6.4378110665170657E-2</v>
      </c>
      <c r="S22" s="36">
        <f>'R2'!R28</f>
        <v>0.79985766643427414</v>
      </c>
      <c r="T22" s="36">
        <f>'R2'!S28</f>
        <v>2.7004237403956952</v>
      </c>
      <c r="U22" s="36">
        <f>'R2'!T28</f>
        <v>2.5055415245499053</v>
      </c>
      <c r="V22" s="36">
        <f>'R2'!U28</f>
        <v>0.2338354087841743</v>
      </c>
      <c r="W22" s="36">
        <f>'R2'!V28</f>
        <v>2.6863601500265601</v>
      </c>
    </row>
    <row r="23" spans="1:23">
      <c r="A23" s="142" t="s">
        <v>17</v>
      </c>
      <c r="B23" s="36">
        <f>'R2'!B29</f>
        <v>0.52496172438992017</v>
      </c>
      <c r="C23" s="36">
        <f>'R2'!C29</f>
        <v>0.81610006029911131</v>
      </c>
      <c r="D23" s="36">
        <f>'R2'!D29</f>
        <v>0.24499041504296518</v>
      </c>
      <c r="E23" s="36">
        <f>'R2'!E29</f>
        <v>0.91597215109751962</v>
      </c>
      <c r="F23" s="36">
        <f>'R2'!F29</f>
        <v>0.98323250000246998</v>
      </c>
      <c r="G23" s="36">
        <f>'R2'!G29</f>
        <v>0.88650676479625257</v>
      </c>
      <c r="H23" s="36">
        <f>'R2'!H29</f>
        <v>4.4364074902627308</v>
      </c>
      <c r="I23" s="36">
        <f>'R2'!I29</f>
        <v>0.37863379536306091</v>
      </c>
      <c r="J23" s="36">
        <f>'R2'!J29</f>
        <v>0.2896827265604906</v>
      </c>
      <c r="K23" s="36">
        <f>'R2'!K29</f>
        <v>0.32697942288711879</v>
      </c>
      <c r="L23" s="36">
        <f>'R2'!L29</f>
        <v>0.40586653379565946</v>
      </c>
      <c r="M23" s="36">
        <f>'R2'!M29</f>
        <v>0.15658058921880871</v>
      </c>
      <c r="N23" s="36" t="str">
        <f>'R2'!N29</f>
        <v/>
      </c>
      <c r="P23" s="36">
        <f>'R2'!O29</f>
        <v>0.83813624042451096</v>
      </c>
      <c r="Q23" s="36">
        <f>'R2'!P29</f>
        <v>3.2560262062374505</v>
      </c>
      <c r="R23" s="36">
        <f>'R2'!Q29</f>
        <v>0.36143603436687088</v>
      </c>
      <c r="S23" s="36">
        <f>'R2'!R29</f>
        <v>0.45175988768755376</v>
      </c>
      <c r="T23" s="36">
        <f>'R2'!S29</f>
        <v>1.5951291754499957</v>
      </c>
      <c r="U23" s="36">
        <f>'R2'!T29</f>
        <v>1.2790144602603828</v>
      </c>
      <c r="V23" s="36">
        <f>'R2'!U29</f>
        <v>1.2038151125841381</v>
      </c>
      <c r="W23" s="36">
        <f>'R2'!V29</f>
        <v>1.7223140302628428</v>
      </c>
    </row>
    <row r="24" spans="1:23">
      <c r="A24" s="151"/>
      <c r="B24" s="36">
        <f>'R2'!B30</f>
        <v>0.2219297098759801</v>
      </c>
      <c r="C24" s="36">
        <f>'R2'!C30</f>
        <v>1.5198274082019307E-3</v>
      </c>
      <c r="D24" s="36">
        <f>'R2'!D30</f>
        <v>0.60236325752199305</v>
      </c>
      <c r="E24" s="36">
        <f>'R2'!E30</f>
        <v>1.1067607126426258</v>
      </c>
      <c r="F24" s="36">
        <f>'R2'!F30</f>
        <v>1.6483810956523057</v>
      </c>
      <c r="G24" s="36">
        <f>'R2'!G30</f>
        <v>1.1741060269801473</v>
      </c>
      <c r="H24" s="36">
        <f>'R2'!H30</f>
        <v>1.6173733232911656</v>
      </c>
      <c r="I24" s="36">
        <f>'R2'!I30</f>
        <v>0.19453988419013946</v>
      </c>
      <c r="J24" s="36">
        <f>'R2'!J30</f>
        <v>0.13933211242178159</v>
      </c>
      <c r="K24" s="36">
        <f>'R2'!K30</f>
        <v>0.14319342907642246</v>
      </c>
      <c r="L24" s="36">
        <f>'R2'!L30</f>
        <v>0.14265844324226773</v>
      </c>
      <c r="M24" s="36">
        <f>'R2'!M30</f>
        <v>0.53626344421541838</v>
      </c>
      <c r="N24" s="36" t="str">
        <f>'R2'!N30</f>
        <v/>
      </c>
      <c r="P24" s="36">
        <f>'R2'!O30</f>
        <v>1.8494937805632681</v>
      </c>
      <c r="Q24" s="36">
        <f>'R2'!P30</f>
        <v>1.9506194408154838</v>
      </c>
      <c r="R24" s="36">
        <f>'R2'!Q30</f>
        <v>0.29202553310045781</v>
      </c>
      <c r="S24" s="36">
        <f>'R2'!R30</f>
        <v>2.15677274941224</v>
      </c>
      <c r="T24" s="36">
        <f>'R2'!S30</f>
        <v>1.2040975073842535</v>
      </c>
      <c r="U24" s="36">
        <f>'R2'!T30</f>
        <v>1.5540467421849091</v>
      </c>
      <c r="V24" s="36">
        <f>'R2'!U30</f>
        <v>1.574903779940847</v>
      </c>
      <c r="W24" s="36">
        <f>'R2'!V30</f>
        <v>2.3010707291120882</v>
      </c>
    </row>
    <row r="25" spans="1:23">
      <c r="A25" s="151"/>
      <c r="B25" s="36">
        <f>'R2'!B31</f>
        <v>0.42452435000620775</v>
      </c>
      <c r="C25" s="36">
        <f>'R2'!C31</f>
        <v>3.2232361357326079E-2</v>
      </c>
      <c r="D25" s="36">
        <f>'R2'!D31</f>
        <v>0.27189448874026889</v>
      </c>
      <c r="E25" s="36">
        <f>'R2'!E31</f>
        <v>0.95697785201458641</v>
      </c>
      <c r="F25" s="36">
        <f>'R2'!F31</f>
        <v>1.468215518442274</v>
      </c>
      <c r="G25" s="36">
        <f>'R2'!G31</f>
        <v>2.6408735105115082</v>
      </c>
      <c r="H25" s="36">
        <f>'R2'!H31</f>
        <v>3.4232026106123143</v>
      </c>
      <c r="I25" s="36">
        <f>'R2'!I31</f>
        <v>0.26062323132761123</v>
      </c>
      <c r="J25" s="36">
        <f>'R2'!J31</f>
        <v>0.94767710105847824</v>
      </c>
      <c r="K25" s="36">
        <f>'R2'!K31</f>
        <v>0.23708615988847792</v>
      </c>
      <c r="L25" s="36">
        <f>'R2'!L31</f>
        <v>0.1800834110262079</v>
      </c>
      <c r="M25" s="36">
        <f>'R2'!M31</f>
        <v>0.38950245494115154</v>
      </c>
      <c r="N25" s="36" t="str">
        <f>'R2'!N31</f>
        <v/>
      </c>
      <c r="P25" s="36">
        <f>'R2'!O31</f>
        <v>0.76463768335490956</v>
      </c>
      <c r="Q25" s="36">
        <f>'R2'!P31</f>
        <v>1.2884785556139922</v>
      </c>
      <c r="R25" s="36">
        <f>'R2'!Q31</f>
        <v>0.12486855880513573</v>
      </c>
      <c r="S25" s="36">
        <f>'R2'!R31</f>
        <v>1.336168533216709</v>
      </c>
      <c r="T25" s="36">
        <f>'R2'!S31</f>
        <v>1.901784241151657</v>
      </c>
      <c r="U25" s="36">
        <f>'R2'!T31</f>
        <v>0.84329179797064346</v>
      </c>
      <c r="V25" s="36">
        <f>'R2'!U31</f>
        <v>0.99484888831952534</v>
      </c>
      <c r="W25" s="36">
        <f>'R2'!V31</f>
        <v>2.8123554887834104</v>
      </c>
    </row>
    <row r="26" spans="1:23">
      <c r="A26" s="151"/>
      <c r="B26" s="36">
        <f>'R2'!B32</f>
        <v>0.38431709362894279</v>
      </c>
      <c r="C26" s="36">
        <f>'R2'!C32</f>
        <v>0.33092586963602194</v>
      </c>
      <c r="D26" s="36">
        <f>'R2'!D32</f>
        <v>0.38180764945765377</v>
      </c>
      <c r="E26" s="36">
        <f>'R2'!E32</f>
        <v>0.87161196221080051</v>
      </c>
      <c r="F26" s="36">
        <f>'R2'!F32</f>
        <v>1.5823782680817473</v>
      </c>
      <c r="G26" s="36">
        <f>'R2'!G32</f>
        <v>1.5575914144077003</v>
      </c>
      <c r="H26" s="36">
        <f>'R2'!H32</f>
        <v>4.445688975800989</v>
      </c>
      <c r="I26" s="36">
        <f>'R2'!I32</f>
        <v>0.27487470068621112</v>
      </c>
      <c r="J26" s="36">
        <f>'R2'!J32</f>
        <v>4.0156046591354799E-2</v>
      </c>
      <c r="K26" s="36">
        <f>'R2'!K32</f>
        <v>0.30336644240842092</v>
      </c>
      <c r="L26" s="36">
        <f>'R2'!L32</f>
        <v>0.33707680710442744</v>
      </c>
      <c r="M26" s="36">
        <f>'R2'!M32</f>
        <v>0.37494026897157906</v>
      </c>
      <c r="N26" s="36" t="str">
        <f>'R2'!N32</f>
        <v/>
      </c>
      <c r="P26" s="36">
        <f>'R2'!O32</f>
        <v>1.8503584191028639</v>
      </c>
      <c r="Q26" s="36">
        <f>'R2'!P32</f>
        <v>2.257737370530629</v>
      </c>
      <c r="R26" s="36">
        <f>'R2'!Q32</f>
        <v>0.31320366115390302</v>
      </c>
      <c r="S26" s="36">
        <f>'R2'!R32</f>
        <v>0.92340020464154959</v>
      </c>
      <c r="T26" s="36">
        <f>'R2'!S32</f>
        <v>0.60194452284170508</v>
      </c>
      <c r="U26" s="36">
        <f>'R2'!T32</f>
        <v>1.2685554789695734</v>
      </c>
      <c r="V26" s="36">
        <f>'R2'!U32</f>
        <v>0.83591890609310826</v>
      </c>
      <c r="W26" s="36">
        <f>'R2'!V32</f>
        <v>1.6840749750784532</v>
      </c>
    </row>
    <row r="27" spans="1:23">
      <c r="A27" s="151"/>
      <c r="B27" s="36">
        <f>'R2'!B33</f>
        <v>4.6619676611025285E-2</v>
      </c>
      <c r="C27" s="36">
        <f>'R2'!C33</f>
        <v>7.7788982091065162E-2</v>
      </c>
      <c r="D27" s="36">
        <f>'R2'!D33</f>
        <v>1.4949305605182759E-2</v>
      </c>
      <c r="E27" s="36">
        <f>'R2'!E33</f>
        <v>0.39619348275613375</v>
      </c>
      <c r="F27" s="36">
        <f>'R2'!F33</f>
        <v>1.8681781073060721</v>
      </c>
      <c r="G27" s="36">
        <f>'R2'!G33</f>
        <v>3.2490200159458382</v>
      </c>
      <c r="H27" s="36">
        <f>'R2'!H33</f>
        <v>3.7794587175027803</v>
      </c>
      <c r="I27" s="36">
        <f>'R2'!I33</f>
        <v>1.2969777334581689</v>
      </c>
      <c r="J27" s="36">
        <f>'R2'!J33</f>
        <v>0.49354295644797069</v>
      </c>
      <c r="K27" s="36">
        <f>'R2'!K33</f>
        <v>2.9409072002934931E-2</v>
      </c>
      <c r="L27" s="36">
        <f>'R2'!L33</f>
        <v>0.77576370915607917</v>
      </c>
      <c r="M27" s="36">
        <f>'R2'!M33</f>
        <v>8.0788953439930922E-2</v>
      </c>
      <c r="N27" s="36" t="str">
        <f>'R2'!N33</f>
        <v/>
      </c>
      <c r="P27" s="36">
        <f>'R2'!O33</f>
        <v>0.39673966558527846</v>
      </c>
      <c r="Q27" s="36">
        <f>'R2'!P33</f>
        <v>1.5001658143228667</v>
      </c>
      <c r="R27" s="36">
        <f>'R2'!Q33</f>
        <v>7.3749830810112466E-2</v>
      </c>
      <c r="S27" s="36">
        <f>'R2'!R33</f>
        <v>1.0373465888190101</v>
      </c>
      <c r="T27" s="36">
        <f>'R2'!S33</f>
        <v>2.1876983555895562</v>
      </c>
      <c r="U27" s="36">
        <f>'R2'!T33</f>
        <v>3.3840402973263224</v>
      </c>
      <c r="V27" s="36">
        <f>'R2'!U33</f>
        <v>1.9070308566129288</v>
      </c>
      <c r="W27" s="36">
        <f>'R2'!V33</f>
        <v>2.536475199150082</v>
      </c>
    </row>
    <row r="28" spans="1:23">
      <c r="A28" s="151"/>
      <c r="B28" s="36">
        <f>'R2'!B34</f>
        <v>0.19060183518747886</v>
      </c>
      <c r="C28" s="36">
        <f>'R2'!C34</f>
        <v>0.464666235692134</v>
      </c>
      <c r="D28" s="36">
        <f>'R2'!D34</f>
        <v>0.16172445578487807</v>
      </c>
      <c r="E28" s="36">
        <f>'R2'!E34</f>
        <v>0.94109573792972168</v>
      </c>
      <c r="F28" s="36">
        <f>'R2'!F34</f>
        <v>0.66556156717093762</v>
      </c>
      <c r="G28" s="36">
        <f>'R2'!G34</f>
        <v>2.3846694696477457</v>
      </c>
      <c r="H28" s="36">
        <f>'R2'!H34</f>
        <v>3.2245483247484215</v>
      </c>
      <c r="I28" s="36">
        <f>'R2'!I34</f>
        <v>0.54944889378629347</v>
      </c>
      <c r="J28" s="36">
        <f>'R2'!J34</f>
        <v>2.8055058917599667E-2</v>
      </c>
      <c r="K28" s="36">
        <f>'R2'!K34</f>
        <v>0.37313936405678982</v>
      </c>
      <c r="L28" s="36">
        <f>'R2'!L34</f>
        <v>0.43378920471367144</v>
      </c>
      <c r="M28" s="36">
        <f>'R2'!M34</f>
        <v>0.17465863161524228</v>
      </c>
      <c r="N28" s="36" t="str">
        <f>'R2'!N34</f>
        <v/>
      </c>
      <c r="P28" s="36">
        <f>'R2'!O34</f>
        <v>1.3936110934557187</v>
      </c>
      <c r="Q28" s="36">
        <f>'R2'!P34</f>
        <v>1.5815528190246166</v>
      </c>
      <c r="R28" s="36">
        <f>'R2'!Q34</f>
        <v>2.3342605982027507E-2</v>
      </c>
      <c r="S28" s="36">
        <f>'R2'!R34</f>
        <v>3.4167610452592418</v>
      </c>
      <c r="T28" s="36">
        <f>'R2'!S34</f>
        <v>1.0132590533467654</v>
      </c>
      <c r="U28" s="36">
        <f>'R2'!T34</f>
        <v>2.5137866294048239</v>
      </c>
      <c r="V28" s="36">
        <f>'R2'!U34</f>
        <v>3.64192141751322</v>
      </c>
      <c r="W28" s="36">
        <f>'R2'!V34</f>
        <v>0.93311590305905201</v>
      </c>
    </row>
    <row r="29" spans="1:23">
      <c r="A29" s="151"/>
      <c r="B29" s="36">
        <f>'R2'!B35</f>
        <v>5.5335713902287774E-2</v>
      </c>
      <c r="C29" s="36">
        <f>'R2'!C35</f>
        <v>0.14630602902195236</v>
      </c>
      <c r="D29" s="36">
        <f>'R2'!D35</f>
        <v>0.38724016796809779</v>
      </c>
      <c r="E29" s="36">
        <f>'R2'!E35</f>
        <v>0.61874215592869364</v>
      </c>
      <c r="F29" s="36">
        <f>'R2'!F35</f>
        <v>1.5502774714155538</v>
      </c>
      <c r="G29" s="36">
        <f>'R2'!G35</f>
        <v>1.5099123044765916</v>
      </c>
      <c r="H29" s="36">
        <f>'R2'!H35</f>
        <v>1.9114386854200964</v>
      </c>
      <c r="I29" s="36">
        <f>'R2'!I35</f>
        <v>5.1122021228843857E-2</v>
      </c>
      <c r="J29" s="36">
        <f>'R2'!J35</f>
        <v>0.27628206415943996</v>
      </c>
      <c r="K29" s="36">
        <f>'R2'!K35</f>
        <v>1.0168723894947158</v>
      </c>
      <c r="L29" s="36">
        <f>'R2'!L35</f>
        <v>0.1644672255723558</v>
      </c>
      <c r="M29" s="36">
        <f>'R2'!M35</f>
        <v>0.6330449997348947</v>
      </c>
      <c r="N29" s="36" t="str">
        <f>'R2'!N35</f>
        <v/>
      </c>
      <c r="P29" s="36">
        <f>'R2'!O35</f>
        <v>0.41735465065540295</v>
      </c>
      <c r="Q29" s="36" t="str">
        <f>'R2'!P35</f>
        <v/>
      </c>
      <c r="R29" s="36">
        <f>'R2'!Q35</f>
        <v>0.43705592800200493</v>
      </c>
      <c r="S29" s="36">
        <f>'R2'!R35</f>
        <v>1.6399637546685706</v>
      </c>
      <c r="T29" s="36">
        <f>'R2'!S35</f>
        <v>1.2879056975909007</v>
      </c>
      <c r="U29" s="36">
        <f>'R2'!T35</f>
        <v>1.746660084590004</v>
      </c>
      <c r="V29" s="36">
        <f>'R2'!U35</f>
        <v>2.447156605453134</v>
      </c>
      <c r="W29" s="36" t="str">
        <f>'R2'!V35</f>
        <v/>
      </c>
    </row>
    <row r="30" spans="1:23">
      <c r="A30" s="151"/>
      <c r="B30" s="36" t="str">
        <f>'R2'!B36</f>
        <v/>
      </c>
      <c r="C30" s="36" t="str">
        <f>'R2'!C36</f>
        <v/>
      </c>
      <c r="D30" s="36" t="str">
        <f>'R2'!D36</f>
        <v/>
      </c>
      <c r="E30" s="36" t="str">
        <f>'R2'!E36</f>
        <v/>
      </c>
      <c r="F30" s="36" t="str">
        <f>'R2'!F36</f>
        <v/>
      </c>
      <c r="G30" s="36" t="str">
        <f>'R2'!G36</f>
        <v/>
      </c>
      <c r="H30" s="36" t="str">
        <f>'R2'!H36</f>
        <v/>
      </c>
      <c r="I30" s="36" t="str">
        <f>'R2'!I36</f>
        <v/>
      </c>
      <c r="J30" s="36" t="str">
        <f>'R2'!J36</f>
        <v/>
      </c>
      <c r="K30" s="36" t="str">
        <f>'R2'!K36</f>
        <v/>
      </c>
      <c r="L30" s="36" t="str">
        <f>'R2'!L36</f>
        <v/>
      </c>
      <c r="M30" s="36" t="str">
        <f>'R2'!M36</f>
        <v/>
      </c>
      <c r="N30" s="36" t="str">
        <f>'R2'!N36</f>
        <v/>
      </c>
      <c r="P30" s="36">
        <f>'R2'!O36</f>
        <v>1.3583222817895038</v>
      </c>
      <c r="Q30" s="36" t="str">
        <f>'R2'!P36</f>
        <v/>
      </c>
      <c r="R30" s="36" t="str">
        <f>'R2'!Q36</f>
        <v/>
      </c>
      <c r="S30" s="36" t="str">
        <f>'R2'!R36</f>
        <v/>
      </c>
      <c r="T30" s="36" t="str">
        <f>'R2'!S36</f>
        <v/>
      </c>
      <c r="U30" s="36" t="str">
        <f>'R2'!T36</f>
        <v/>
      </c>
      <c r="V30" s="36" t="str">
        <f>'R2'!U36</f>
        <v/>
      </c>
      <c r="W30" s="36" t="str">
        <f>'R2'!V36</f>
        <v/>
      </c>
    </row>
    <row r="31" spans="1:23" s="1" customFormat="1">
      <c r="A31" s="151"/>
      <c r="B31" s="36" t="str">
        <f>'R2'!B37</f>
        <v/>
      </c>
      <c r="C31" s="36" t="str">
        <f>'R2'!C37</f>
        <v/>
      </c>
      <c r="D31" s="36" t="str">
        <f>'R2'!D37</f>
        <v/>
      </c>
      <c r="E31" s="36" t="str">
        <f>'R2'!E37</f>
        <v/>
      </c>
      <c r="F31" s="36" t="str">
        <f>'R2'!F37</f>
        <v/>
      </c>
      <c r="G31" s="36" t="str">
        <f>'R2'!G37</f>
        <v/>
      </c>
      <c r="H31" s="36" t="str">
        <f>'R2'!H37</f>
        <v/>
      </c>
      <c r="I31" s="36" t="str">
        <f>'R2'!I37</f>
        <v/>
      </c>
      <c r="J31" s="36" t="str">
        <f>'R2'!J37</f>
        <v/>
      </c>
      <c r="K31" s="36" t="str">
        <f>'R2'!K37</f>
        <v/>
      </c>
      <c r="L31" s="36" t="str">
        <f>'R2'!L37</f>
        <v/>
      </c>
      <c r="M31" s="36" t="str">
        <f>'R2'!M37</f>
        <v/>
      </c>
      <c r="N31" s="36" t="str">
        <f>'R2'!N37</f>
        <v/>
      </c>
      <c r="O31"/>
      <c r="P31" s="36">
        <f>'R2'!O37</f>
        <v>0.72168601057325654</v>
      </c>
      <c r="Q31" s="36" t="str">
        <f>'R2'!P37</f>
        <v/>
      </c>
      <c r="R31" s="36" t="str">
        <f>'R2'!Q37</f>
        <v/>
      </c>
      <c r="S31" s="36" t="str">
        <f>'R2'!R37</f>
        <v/>
      </c>
      <c r="T31" s="36" t="str">
        <f>'R2'!S37</f>
        <v/>
      </c>
      <c r="U31" s="36" t="str">
        <f>'R2'!T37</f>
        <v/>
      </c>
      <c r="V31" s="36" t="str">
        <f>'R2'!U37</f>
        <v/>
      </c>
      <c r="W31" s="36" t="str">
        <f>'R2'!V37</f>
        <v/>
      </c>
    </row>
    <row r="32" spans="1:23" s="1" customFormat="1">
      <c r="A32" s="151"/>
      <c r="B32" s="36" t="str">
        <f>'R2'!B38</f>
        <v/>
      </c>
      <c r="C32" s="36" t="str">
        <f>'R2'!C38</f>
        <v/>
      </c>
      <c r="D32" s="36" t="str">
        <f>'R2'!D38</f>
        <v/>
      </c>
      <c r="E32" s="36" t="str">
        <f>'R2'!E38</f>
        <v/>
      </c>
      <c r="F32" s="36" t="str">
        <f>'R2'!F38</f>
        <v/>
      </c>
      <c r="G32" s="36" t="str">
        <f>'R2'!G38</f>
        <v/>
      </c>
      <c r="H32" s="36" t="str">
        <f>'R2'!H38</f>
        <v/>
      </c>
      <c r="I32" s="36" t="str">
        <f>'R2'!I38</f>
        <v/>
      </c>
      <c r="J32" s="36" t="str">
        <f>'R2'!J38</f>
        <v/>
      </c>
      <c r="K32" s="36" t="str">
        <f>'R2'!K38</f>
        <v/>
      </c>
      <c r="L32" s="36" t="str">
        <f>'R2'!L38</f>
        <v/>
      </c>
      <c r="M32" s="36" t="str">
        <f>'R2'!M38</f>
        <v/>
      </c>
      <c r="N32" s="36" t="str">
        <f>'R2'!N38</f>
        <v/>
      </c>
      <c r="O32"/>
      <c r="P32" s="36">
        <f>'R2'!O38</f>
        <v>5.2431246334219105E-2</v>
      </c>
      <c r="Q32" s="36" t="str">
        <f>'R2'!P38</f>
        <v/>
      </c>
      <c r="R32" s="36" t="str">
        <f>'R2'!Q38</f>
        <v/>
      </c>
      <c r="S32" s="36" t="str">
        <f>'R2'!R38</f>
        <v/>
      </c>
      <c r="T32" s="36" t="str">
        <f>'R2'!S38</f>
        <v/>
      </c>
      <c r="U32" s="36" t="str">
        <f>'R2'!T38</f>
        <v/>
      </c>
      <c r="V32" s="36" t="str">
        <f>'R2'!U38</f>
        <v/>
      </c>
      <c r="W32" s="36" t="str">
        <f>'R2'!V38</f>
        <v/>
      </c>
    </row>
    <row r="33" spans="1:23" s="1" customFormat="1">
      <c r="A33" s="151"/>
      <c r="B33" s="36" t="str">
        <f>'R2'!B39</f>
        <v/>
      </c>
      <c r="C33" s="36" t="str">
        <f>'R2'!C39</f>
        <v/>
      </c>
      <c r="D33" s="36" t="str">
        <f>'R2'!D39</f>
        <v/>
      </c>
      <c r="E33" s="36" t="str">
        <f>'R2'!E39</f>
        <v/>
      </c>
      <c r="F33" s="36" t="str">
        <f>'R2'!F39</f>
        <v/>
      </c>
      <c r="G33" s="36" t="str">
        <f>'R2'!G39</f>
        <v/>
      </c>
      <c r="H33" s="36" t="str">
        <f>'R2'!H39</f>
        <v/>
      </c>
      <c r="I33" s="36" t="str">
        <f>'R2'!I39</f>
        <v/>
      </c>
      <c r="J33" s="36" t="str">
        <f>'R2'!J39</f>
        <v/>
      </c>
      <c r="K33" s="36" t="str">
        <f>'R2'!K39</f>
        <v/>
      </c>
      <c r="L33" s="36" t="str">
        <f>'R2'!L39</f>
        <v/>
      </c>
      <c r="M33" s="36" t="str">
        <f>'R2'!M39</f>
        <v/>
      </c>
      <c r="N33" s="36" t="str">
        <f>'R2'!N39</f>
        <v/>
      </c>
      <c r="O33"/>
      <c r="P33" s="36">
        <f>'R2'!O39</f>
        <v>0.54121333930945492</v>
      </c>
      <c r="Q33" s="36" t="str">
        <f>'R2'!P39</f>
        <v/>
      </c>
      <c r="R33" s="36" t="str">
        <f>'R2'!Q39</f>
        <v/>
      </c>
      <c r="S33" s="36" t="str">
        <f>'R2'!R39</f>
        <v/>
      </c>
      <c r="T33" s="36" t="str">
        <f>'R2'!S39</f>
        <v/>
      </c>
      <c r="U33" s="36" t="str">
        <f>'R2'!T39</f>
        <v/>
      </c>
      <c r="V33" s="36" t="str">
        <f>'R2'!U39</f>
        <v/>
      </c>
      <c r="W33" s="36" t="str">
        <f>'R2'!V39</f>
        <v/>
      </c>
    </row>
    <row r="34" spans="1:23" s="1" customFormat="1">
      <c r="A34" s="151"/>
      <c r="B34" s="36" t="str">
        <f>'R2'!B40</f>
        <v/>
      </c>
      <c r="C34" s="36" t="str">
        <f>'R2'!C40</f>
        <v/>
      </c>
      <c r="D34" s="36" t="str">
        <f>'R2'!D40</f>
        <v/>
      </c>
      <c r="E34" s="36" t="str">
        <f>'R2'!E40</f>
        <v/>
      </c>
      <c r="F34" s="36" t="str">
        <f>'R2'!F40</f>
        <v/>
      </c>
      <c r="G34" s="36" t="str">
        <f>'R2'!G40</f>
        <v/>
      </c>
      <c r="H34" s="36" t="str">
        <f>'R2'!H40</f>
        <v/>
      </c>
      <c r="I34" s="36" t="str">
        <f>'R2'!I40</f>
        <v/>
      </c>
      <c r="J34" s="36" t="str">
        <f>'R2'!J40</f>
        <v/>
      </c>
      <c r="K34" s="36" t="str">
        <f>'R2'!K40</f>
        <v/>
      </c>
      <c r="L34" s="36" t="str">
        <f>'R2'!L40</f>
        <v/>
      </c>
      <c r="M34" s="36" t="str">
        <f>'R2'!M40</f>
        <v/>
      </c>
      <c r="N34" s="36" t="str">
        <f>'R2'!N40</f>
        <v/>
      </c>
      <c r="O34"/>
      <c r="P34" s="36">
        <f>'R2'!O40</f>
        <v>1.0015861860696869</v>
      </c>
      <c r="Q34" s="36" t="str">
        <f>'R2'!P40</f>
        <v/>
      </c>
      <c r="R34" s="36" t="str">
        <f>'R2'!Q40</f>
        <v/>
      </c>
      <c r="S34" s="36" t="str">
        <f>'R2'!R40</f>
        <v/>
      </c>
      <c r="T34" s="36" t="str">
        <f>'R2'!S40</f>
        <v/>
      </c>
      <c r="U34" s="36" t="str">
        <f>'R2'!T40</f>
        <v/>
      </c>
      <c r="V34" s="36" t="str">
        <f>'R2'!U40</f>
        <v/>
      </c>
      <c r="W34" s="36" t="str">
        <f>'R2'!V40</f>
        <v/>
      </c>
    </row>
    <row r="35" spans="1:23" s="1" customFormat="1">
      <c r="A35" s="151"/>
      <c r="B35" s="36" t="str">
        <f>'R2'!B41</f>
        <v/>
      </c>
      <c r="C35" s="36" t="str">
        <f>'R2'!C41</f>
        <v/>
      </c>
      <c r="D35" s="36" t="str">
        <f>'R2'!D41</f>
        <v/>
      </c>
      <c r="E35" s="36" t="str">
        <f>'R2'!E41</f>
        <v/>
      </c>
      <c r="F35" s="36" t="str">
        <f>'R2'!F41</f>
        <v/>
      </c>
      <c r="G35" s="36" t="str">
        <f>'R2'!G41</f>
        <v/>
      </c>
      <c r="H35" s="36" t="str">
        <f>'R2'!H41</f>
        <v/>
      </c>
      <c r="I35" s="36" t="str">
        <f>'R2'!I41</f>
        <v/>
      </c>
      <c r="J35" s="36" t="str">
        <f>'R2'!J41</f>
        <v/>
      </c>
      <c r="K35" s="36" t="str">
        <f>'R2'!K41</f>
        <v/>
      </c>
      <c r="L35" s="36" t="str">
        <f>'R2'!L41</f>
        <v/>
      </c>
      <c r="M35" s="36" t="str">
        <f>'R2'!M41</f>
        <v/>
      </c>
      <c r="N35" s="36" t="str">
        <f>'R2'!N41</f>
        <v/>
      </c>
      <c r="O35"/>
      <c r="P35" s="36">
        <f>'R2'!O41</f>
        <v>2.0021056937048849</v>
      </c>
      <c r="Q35" s="36" t="str">
        <f>'R2'!P41</f>
        <v/>
      </c>
      <c r="R35" s="36" t="str">
        <f>'R2'!Q41</f>
        <v/>
      </c>
      <c r="S35" s="36" t="str">
        <f>'R2'!R41</f>
        <v/>
      </c>
      <c r="T35" s="36" t="str">
        <f>'R2'!S41</f>
        <v/>
      </c>
      <c r="U35" s="36" t="str">
        <f>'R2'!T41</f>
        <v/>
      </c>
      <c r="V35" s="36" t="str">
        <f>'R2'!U41</f>
        <v/>
      </c>
      <c r="W35" s="36" t="str">
        <f>'R2'!V41</f>
        <v/>
      </c>
    </row>
    <row r="36" spans="1:23">
      <c r="A36" s="151"/>
      <c r="B36" s="36" t="str">
        <f>'R2'!B42</f>
        <v/>
      </c>
      <c r="C36" s="36" t="str">
        <f>'R2'!C42</f>
        <v/>
      </c>
      <c r="D36" s="36" t="str">
        <f>'R2'!D42</f>
        <v/>
      </c>
      <c r="E36" s="36" t="str">
        <f>'R2'!E42</f>
        <v/>
      </c>
      <c r="F36" s="36" t="str">
        <f>'R2'!F42</f>
        <v/>
      </c>
      <c r="G36" s="36" t="str">
        <f>'R2'!G42</f>
        <v/>
      </c>
      <c r="H36" s="36" t="str">
        <f>'R2'!H42</f>
        <v/>
      </c>
      <c r="I36" s="36" t="str">
        <f>'R2'!I42</f>
        <v/>
      </c>
      <c r="J36" s="36" t="str">
        <f>'R2'!J42</f>
        <v/>
      </c>
      <c r="K36" s="36" t="str">
        <f>'R2'!K42</f>
        <v/>
      </c>
      <c r="L36" s="36" t="str">
        <f>'R2'!L42</f>
        <v/>
      </c>
      <c r="M36" s="36" t="str">
        <f>'R2'!M42</f>
        <v/>
      </c>
      <c r="N36" s="36" t="str">
        <f>'R2'!N42</f>
        <v/>
      </c>
      <c r="P36" s="36">
        <f>'R2'!O42</f>
        <v>0.30254972042091482</v>
      </c>
      <c r="Q36" s="36" t="str">
        <f>'R2'!P42</f>
        <v/>
      </c>
      <c r="R36" s="36" t="str">
        <f>'R2'!Q42</f>
        <v/>
      </c>
      <c r="S36" s="36" t="str">
        <f>'R2'!R42</f>
        <v/>
      </c>
      <c r="T36" s="36" t="str">
        <f>'R2'!S42</f>
        <v/>
      </c>
      <c r="U36" s="36" t="str">
        <f>'R2'!T42</f>
        <v/>
      </c>
      <c r="V36" s="36" t="str">
        <f>'R2'!U42</f>
        <v/>
      </c>
      <c r="W36" s="36" t="str">
        <f>'R2'!V42</f>
        <v/>
      </c>
    </row>
    <row r="37" spans="1:23">
      <c r="A37" s="152"/>
      <c r="B37" s="36" t="str">
        <f>'R2'!B43</f>
        <v/>
      </c>
      <c r="C37" s="36" t="str">
        <f>'R2'!C43</f>
        <v/>
      </c>
      <c r="D37" s="36" t="str">
        <f>'R2'!D43</f>
        <v/>
      </c>
      <c r="E37" s="36" t="str">
        <f>'R2'!E43</f>
        <v/>
      </c>
      <c r="F37" s="36" t="str">
        <f>'R2'!F43</f>
        <v/>
      </c>
      <c r="G37" s="36" t="str">
        <f>'R2'!G43</f>
        <v/>
      </c>
      <c r="H37" s="36" t="str">
        <f>'R2'!H43</f>
        <v/>
      </c>
      <c r="I37" s="36" t="str">
        <f>'R2'!I43</f>
        <v/>
      </c>
      <c r="J37" s="36" t="str">
        <f>'R2'!J43</f>
        <v/>
      </c>
      <c r="K37" s="36" t="str">
        <f>'R2'!K43</f>
        <v/>
      </c>
      <c r="L37" s="36" t="str">
        <f>'R2'!L43</f>
        <v/>
      </c>
      <c r="M37" s="36" t="str">
        <f>'R2'!M43</f>
        <v/>
      </c>
      <c r="N37" s="36" t="str">
        <f>'R2'!N43</f>
        <v/>
      </c>
      <c r="P37" s="36">
        <f>'R2'!O43</f>
        <v>1.2349228345917329</v>
      </c>
      <c r="Q37" s="36" t="str">
        <f>'R2'!P43</f>
        <v/>
      </c>
      <c r="R37" s="36" t="str">
        <f>'R2'!Q43</f>
        <v/>
      </c>
      <c r="S37" s="36" t="str">
        <f>'R2'!R43</f>
        <v/>
      </c>
      <c r="T37" s="36" t="str">
        <f>'R2'!S43</f>
        <v/>
      </c>
      <c r="U37" s="36" t="str">
        <f>'R2'!T43</f>
        <v/>
      </c>
      <c r="V37" s="36" t="str">
        <f>'R2'!U43</f>
        <v/>
      </c>
      <c r="W37" s="36" t="str">
        <f>'R2'!V43</f>
        <v/>
      </c>
    </row>
    <row r="38" spans="1:23" s="1" customFormat="1">
      <c r="A38" s="81" t="s">
        <v>48</v>
      </c>
      <c r="B38" s="82">
        <f>'R3'!B28</f>
        <v>0.34704397681335913</v>
      </c>
      <c r="C38" s="82">
        <f>'R3'!C28</f>
        <v>0.28883115842007651</v>
      </c>
      <c r="D38" s="82">
        <f>'R3'!D28</f>
        <v>0.40886355057894458</v>
      </c>
      <c r="E38" s="82">
        <f>'R3'!E28</f>
        <v>0.58605640374942169</v>
      </c>
      <c r="F38" s="82">
        <f>'R3'!F28</f>
        <v>0.39503186334957047</v>
      </c>
      <c r="G38" s="82">
        <f>'R3'!G28</f>
        <v>0.5181052655708247</v>
      </c>
      <c r="H38" s="82">
        <f>'R3'!H28</f>
        <v>2.3995201371906574</v>
      </c>
      <c r="I38" s="82">
        <f>'R3'!I28</f>
        <v>3.5488504854232814E-2</v>
      </c>
      <c r="J38" s="82">
        <f>'R3'!J28</f>
        <v>8.0559356734508439E-2</v>
      </c>
      <c r="K38" s="82">
        <f>'R3'!K28</f>
        <v>0.21231952416037037</v>
      </c>
      <c r="L38" s="82">
        <f>'R3'!L28</f>
        <v>0.23239023644646001</v>
      </c>
      <c r="M38" s="82">
        <f>'R3'!M28</f>
        <v>0.36685572844471698</v>
      </c>
      <c r="N38" s="82" t="str">
        <f>'R3'!N28</f>
        <v/>
      </c>
      <c r="O38"/>
      <c r="P38" s="82">
        <f>'R3'!O28</f>
        <v>1.0014728745631158</v>
      </c>
      <c r="Q38" s="82">
        <f>'R3'!P28</f>
        <v>2.4857129776811799</v>
      </c>
      <c r="R38" s="82">
        <f>'R3'!Q28</f>
        <v>0.11614328021794268</v>
      </c>
      <c r="S38" s="82">
        <f>'R3'!R28</f>
        <v>1.614056804089061</v>
      </c>
      <c r="T38" s="82">
        <f>'R3'!S28</f>
        <v>0.8834768443995612</v>
      </c>
      <c r="U38" s="82">
        <f>'R3'!T28</f>
        <v>0.83553437346090242</v>
      </c>
      <c r="V38" s="82">
        <f>'R3'!U28</f>
        <v>0.86288511428599302</v>
      </c>
      <c r="W38" s="82">
        <f>'R3'!V28</f>
        <v>1.2757375534974558</v>
      </c>
    </row>
    <row r="39" spans="1:23" s="1" customFormat="1">
      <c r="A39" s="142" t="s">
        <v>17</v>
      </c>
      <c r="B39" s="82">
        <f>'R3'!B29</f>
        <v>0.23793174214884488</v>
      </c>
      <c r="C39" s="82">
        <f>'R3'!C29</f>
        <v>0.13402119900603779</v>
      </c>
      <c r="D39" s="82">
        <f>'R3'!D29</f>
        <v>2.1668400895951682E-2</v>
      </c>
      <c r="E39" s="82">
        <f>'R3'!E29</f>
        <v>0.46493931279850176</v>
      </c>
      <c r="F39" s="82">
        <f>'R3'!F29</f>
        <v>1.4532637984408758</v>
      </c>
      <c r="G39" s="82">
        <f>'R3'!G29</f>
        <v>0.95332133131552177</v>
      </c>
      <c r="H39" s="82">
        <f>'R3'!H29</f>
        <v>1.3233909014022001</v>
      </c>
      <c r="I39" s="82">
        <f>'R3'!I29</f>
        <v>0.33382907009822221</v>
      </c>
      <c r="J39" s="82">
        <f>'R3'!J29</f>
        <v>6.5968334476357054E-2</v>
      </c>
      <c r="K39" s="82">
        <f>'R3'!K29</f>
        <v>0.15976037423312528</v>
      </c>
      <c r="L39" s="82">
        <f>'R3'!L29</f>
        <v>0.22434559732947112</v>
      </c>
      <c r="M39" s="82">
        <f>'R3'!M29</f>
        <v>4.7081065501240506E-2</v>
      </c>
      <c r="N39" s="82" t="str">
        <f>'R3'!N29</f>
        <v/>
      </c>
      <c r="O39"/>
      <c r="P39" s="82">
        <f>'R3'!O29</f>
        <v>1.3118837817152347</v>
      </c>
      <c r="Q39" s="82">
        <f>'R3'!P29</f>
        <v>1.5787473238504333</v>
      </c>
      <c r="R39" s="82">
        <f>'R3'!Q29</f>
        <v>3.0712756588359955E-2</v>
      </c>
      <c r="S39" s="82">
        <f>'R3'!R29</f>
        <v>1.678403136554846</v>
      </c>
      <c r="T39" s="82">
        <f>'R3'!S29</f>
        <v>1.4108384051180396</v>
      </c>
      <c r="U39" s="82">
        <f>'R3'!T29</f>
        <v>0.41106941826411336</v>
      </c>
      <c r="V39" s="82">
        <f>'R3'!U29</f>
        <v>1.057238411551916</v>
      </c>
      <c r="W39" s="82">
        <f>'R3'!V29</f>
        <v>0.88252839240016712</v>
      </c>
    </row>
    <row r="40" spans="1:23" s="1" customFormat="1">
      <c r="A40" s="151"/>
      <c r="B40" s="82">
        <f>'R3'!B30</f>
        <v>0.22660181210384595</v>
      </c>
      <c r="C40" s="82">
        <f>'R3'!C30</f>
        <v>0.26686870299855692</v>
      </c>
      <c r="D40" s="82">
        <f>'R3'!D30</f>
        <v>0.48060723521074145</v>
      </c>
      <c r="E40" s="82">
        <f>'R3'!E30</f>
        <v>1.0377355089210862</v>
      </c>
      <c r="F40" s="82">
        <f>'R3'!F30</f>
        <v>1.7117190326211076</v>
      </c>
      <c r="G40" s="82">
        <f>'R3'!G30</f>
        <v>1.1188255170946753</v>
      </c>
      <c r="H40" s="82">
        <f>'R3'!H30</f>
        <v>1.8774660083498038</v>
      </c>
      <c r="I40" s="82">
        <f>'R3'!I30</f>
        <v>0.22795544921978891</v>
      </c>
      <c r="J40" s="82">
        <f>'R3'!J30</f>
        <v>9.1546834824224321E-2</v>
      </c>
      <c r="K40" s="82">
        <f>'R3'!K30</f>
        <v>0.11958408516181468</v>
      </c>
      <c r="L40" s="82">
        <f>'R3'!L30</f>
        <v>0.1936562366550019</v>
      </c>
      <c r="M40" s="82">
        <f>'R3'!M30</f>
        <v>0.46700388751350685</v>
      </c>
      <c r="N40" s="82" t="str">
        <f>'R3'!N30</f>
        <v/>
      </c>
      <c r="O40"/>
      <c r="P40" s="82">
        <f>'R3'!O30</f>
        <v>0.90028015675061601</v>
      </c>
      <c r="Q40" s="82">
        <f>'R3'!P30</f>
        <v>1.3209619697341024</v>
      </c>
      <c r="R40" s="82">
        <f>'R3'!Q30</f>
        <v>3.3391244671292106E-2</v>
      </c>
      <c r="S40" s="82">
        <f>'R3'!R30</f>
        <v>0.76132849826381033</v>
      </c>
      <c r="T40" s="82">
        <f>'R3'!S30</f>
        <v>0.37067545544493696</v>
      </c>
      <c r="U40" s="82">
        <f>'R3'!T30</f>
        <v>1.2729775237734633</v>
      </c>
      <c r="V40" s="82">
        <f>'R3'!U30</f>
        <v>1.2629482459805961</v>
      </c>
      <c r="W40" s="82">
        <f>'R3'!V30</f>
        <v>1.7936750336662111</v>
      </c>
    </row>
    <row r="41" spans="1:23" s="1" customFormat="1">
      <c r="A41" s="151"/>
      <c r="B41" s="82">
        <f>'R3'!B31</f>
        <v>0.31276838953416763</v>
      </c>
      <c r="C41" s="82">
        <f>'R3'!C31</f>
        <v>4.8933127331738095E-2</v>
      </c>
      <c r="D41" s="82">
        <f>'R3'!D31</f>
        <v>0.45486221100518126</v>
      </c>
      <c r="E41" s="82">
        <f>'R3'!E31</f>
        <v>0.73692105515485629</v>
      </c>
      <c r="F41" s="82">
        <f>'R3'!F31</f>
        <v>0.95831911139165182</v>
      </c>
      <c r="G41" s="82">
        <f>'R3'!G31</f>
        <v>1.351732872049632</v>
      </c>
      <c r="H41" s="82">
        <f>'R3'!H31</f>
        <v>2.5238301969584009</v>
      </c>
      <c r="I41" s="82">
        <f>'R3'!I31</f>
        <v>5.3116523169936168E-2</v>
      </c>
      <c r="J41" s="82">
        <f>'R3'!J31</f>
        <v>0.16972955663933209</v>
      </c>
      <c r="K41" s="82">
        <f>'R3'!K31</f>
        <v>0.14742281428889098</v>
      </c>
      <c r="L41" s="82">
        <f>'R3'!L31</f>
        <v>2.1474123061976644E-2</v>
      </c>
      <c r="M41" s="82">
        <f>'R3'!M31</f>
        <v>9.0359836251826652E-3</v>
      </c>
      <c r="N41" s="82" t="str">
        <f>'R3'!N31</f>
        <v/>
      </c>
      <c r="O41"/>
      <c r="P41" s="82">
        <f>'R3'!O31</f>
        <v>1.2723884972355082</v>
      </c>
      <c r="Q41" s="82">
        <f>'R3'!P31</f>
        <v>0.96877949330371171</v>
      </c>
      <c r="R41" s="82">
        <f>'R3'!Q31</f>
        <v>4.4128707602763849E-2</v>
      </c>
      <c r="S41" s="82">
        <f>'R3'!R31</f>
        <v>0.923011580812515</v>
      </c>
      <c r="T41" s="82">
        <f>'R3'!S31</f>
        <v>0.68546392158337643</v>
      </c>
      <c r="U41" s="82">
        <f>'R3'!T31</f>
        <v>0.70014875686879552</v>
      </c>
      <c r="V41" s="82">
        <f>'R3'!U31</f>
        <v>0.44897630368802249</v>
      </c>
      <c r="W41" s="82">
        <f>'R3'!V31</f>
        <v>1.004490947455021</v>
      </c>
    </row>
    <row r="42" spans="1:23" s="1" customFormat="1">
      <c r="A42" s="151"/>
      <c r="B42" s="82">
        <f>'R3'!B32</f>
        <v>7.0492806039609297E-3</v>
      </c>
      <c r="C42" s="82">
        <f>'R3'!C32</f>
        <v>1.7943863153228306E-2</v>
      </c>
      <c r="D42" s="82">
        <f>'R3'!D32</f>
        <v>0.35762500824214966</v>
      </c>
      <c r="E42" s="82">
        <f>'R3'!E32</f>
        <v>1.2027647805854285</v>
      </c>
      <c r="F42" s="82">
        <f>'R3'!F32</f>
        <v>1.3486592912051627</v>
      </c>
      <c r="G42" s="82">
        <f>'R3'!G32</f>
        <v>1.3841242854596525</v>
      </c>
      <c r="H42" s="82">
        <f>'R3'!H32</f>
        <v>1.7607218889511083</v>
      </c>
      <c r="I42" s="82">
        <f>'R3'!I32</f>
        <v>0.29527260400628791</v>
      </c>
      <c r="J42" s="82">
        <f>'R3'!J32</f>
        <v>0.22802804536436164</v>
      </c>
      <c r="K42" s="82">
        <f>'R3'!K32</f>
        <v>8.9302662064352084E-2</v>
      </c>
      <c r="L42" s="82">
        <f>'R3'!L32</f>
        <v>0.10847286103735318</v>
      </c>
      <c r="M42" s="82">
        <f>'R3'!M32</f>
        <v>0.15768215190168389</v>
      </c>
      <c r="N42" s="82" t="str">
        <f>'R3'!N32</f>
        <v/>
      </c>
      <c r="O42"/>
      <c r="P42" s="82">
        <f>'R3'!O32</f>
        <v>0.73305442164100243</v>
      </c>
      <c r="Q42" s="82">
        <f>'R3'!P32</f>
        <v>1.3764243920149946</v>
      </c>
      <c r="R42" s="82">
        <f>'R3'!Q32</f>
        <v>0.19346895465802361</v>
      </c>
      <c r="S42" s="82">
        <f>'R3'!R32</f>
        <v>0.93096286564564579</v>
      </c>
      <c r="T42" s="82">
        <f>'R3'!S32</f>
        <v>2.0013313163819184</v>
      </c>
      <c r="U42" s="82">
        <f>'R3'!T32</f>
        <v>0.78386059831422839</v>
      </c>
      <c r="V42" s="82">
        <f>'R3'!U32</f>
        <v>0.63159804105382222</v>
      </c>
      <c r="W42" s="82">
        <f>'R3'!V32</f>
        <v>0.83094097570035441</v>
      </c>
    </row>
    <row r="43" spans="1:23" s="1" customFormat="1">
      <c r="A43" s="151"/>
      <c r="B43" s="82">
        <f>'R3'!B33</f>
        <v>4.6465775903084608E-2</v>
      </c>
      <c r="C43" s="82">
        <f>'R3'!C33</f>
        <v>0.16612887961720671</v>
      </c>
      <c r="D43" s="82">
        <f>'R3'!D33</f>
        <v>0.17086769903860499</v>
      </c>
      <c r="E43" s="82">
        <f>'R3'!E33</f>
        <v>0.51191498200138152</v>
      </c>
      <c r="F43" s="82">
        <f>'R3'!F33</f>
        <v>1.5354113248594967</v>
      </c>
      <c r="G43" s="82">
        <f>'R3'!G33</f>
        <v>2.0410994385045176</v>
      </c>
      <c r="H43" s="82">
        <f>'R3'!H33</f>
        <v>2.9981826951506472</v>
      </c>
      <c r="I43" s="82">
        <f>'R3'!I33</f>
        <v>0.20133078452627801</v>
      </c>
      <c r="J43" s="82">
        <f>'R3'!J33</f>
        <v>5.1400134702834367E-2</v>
      </c>
      <c r="K43" s="82">
        <f>'R3'!K33</f>
        <v>9.7738953367306008E-2</v>
      </c>
      <c r="L43" s="82">
        <f>'R3'!L33</f>
        <v>8.6824071422162852E-3</v>
      </c>
      <c r="M43" s="82">
        <f>'R3'!M33</f>
        <v>9.7800654355900199E-3</v>
      </c>
      <c r="N43" s="82" t="str">
        <f>'R3'!N33</f>
        <v/>
      </c>
      <c r="O43"/>
      <c r="P43" s="82">
        <f>'R3'!O33</f>
        <v>0.70403247857465789</v>
      </c>
      <c r="Q43" s="82">
        <f>'R3'!P33</f>
        <v>1.6980411391198094</v>
      </c>
      <c r="R43" s="82">
        <f>'R3'!Q33</f>
        <v>5.2443546588020274E-3</v>
      </c>
      <c r="S43" s="82">
        <f>'R3'!R33</f>
        <v>1.6427015453868437</v>
      </c>
      <c r="T43" s="82">
        <f>'R3'!S33</f>
        <v>0.2885803404608655</v>
      </c>
      <c r="U43" s="82">
        <f>'R3'!T33</f>
        <v>0.62874511578938119</v>
      </c>
      <c r="V43" s="82">
        <f>'R3'!U33</f>
        <v>1.7712370907006181</v>
      </c>
      <c r="W43" s="82">
        <f>'R3'!V33</f>
        <v>0.68350669282622289</v>
      </c>
    </row>
    <row r="44" spans="1:23" s="1" customFormat="1">
      <c r="A44" s="151"/>
      <c r="B44" s="82">
        <f>'R3'!B34</f>
        <v>0.14796195248104957</v>
      </c>
      <c r="C44" s="82">
        <f>'R3'!C34</f>
        <v>0.38518895006686221</v>
      </c>
      <c r="D44" s="82">
        <f>'R3'!D34</f>
        <v>0.17228636303286191</v>
      </c>
      <c r="E44" s="82">
        <f>'R3'!E34</f>
        <v>1.0416274880083218</v>
      </c>
      <c r="F44" s="82">
        <f>'R3'!F34</f>
        <v>1.1383215385743606</v>
      </c>
      <c r="G44" s="82">
        <f>'R3'!G34</f>
        <v>1.2869352507546312</v>
      </c>
      <c r="H44" s="82">
        <f>'R3'!H34</f>
        <v>1.1562460198185325</v>
      </c>
      <c r="I44" s="82">
        <f>'R3'!I34</f>
        <v>4.5432800430467617E-3</v>
      </c>
      <c r="J44" s="82">
        <f>'R3'!J34</f>
        <v>0.18036059109977146</v>
      </c>
      <c r="K44" s="82">
        <f>'R3'!K34</f>
        <v>4.5322587326305855E-2</v>
      </c>
      <c r="L44" s="82">
        <f>'R3'!L34</f>
        <v>0.16288739868481561</v>
      </c>
      <c r="M44" s="82">
        <f>'R3'!M34</f>
        <v>6.9170478161373044E-3</v>
      </c>
      <c r="N44" s="82" t="str">
        <f>'R3'!N34</f>
        <v/>
      </c>
      <c r="O44"/>
      <c r="P44" s="82">
        <f>'R3'!O34</f>
        <v>0.88146789232297273</v>
      </c>
      <c r="Q44" s="82">
        <f>'R3'!P34</f>
        <v>1.0743266035603463</v>
      </c>
      <c r="R44" s="82">
        <f>'R3'!Q34</f>
        <v>8.6093522542339349E-3</v>
      </c>
      <c r="S44" s="82">
        <f>'R3'!R34</f>
        <v>1.5763787169407011</v>
      </c>
      <c r="T44" s="82">
        <f>'R3'!S34</f>
        <v>0.61057945019760052</v>
      </c>
      <c r="U44" s="82">
        <f>'R3'!T34</f>
        <v>0.51580810794714105</v>
      </c>
      <c r="V44" s="82">
        <f>'R3'!U34</f>
        <v>1.0977490098829887</v>
      </c>
      <c r="W44" s="82">
        <f>'R3'!V34</f>
        <v>0.5964038200968621</v>
      </c>
    </row>
    <row r="45" spans="1:23" s="1" customFormat="1">
      <c r="A45" s="151"/>
      <c r="B45" s="82">
        <f>'R3'!B35</f>
        <v>0.23759089579549553</v>
      </c>
      <c r="C45" s="82" t="str">
        <f>'R3'!C35</f>
        <v/>
      </c>
      <c r="D45" s="82">
        <f>'R3'!D35</f>
        <v>0.51854703547429093</v>
      </c>
      <c r="E45" s="82">
        <f>'R3'!E35</f>
        <v>1.0361630511987534</v>
      </c>
      <c r="F45" s="82">
        <f>'R3'!F35</f>
        <v>0.94558405028297976</v>
      </c>
      <c r="G45" s="82">
        <f>'R3'!G35</f>
        <v>0.42041172780107133</v>
      </c>
      <c r="H45" s="82">
        <f>'R3'!H35</f>
        <v>1.6019213206167653</v>
      </c>
      <c r="I45" s="82">
        <f>'R3'!I35</f>
        <v>0.12141366856524077</v>
      </c>
      <c r="J45" s="82">
        <f>'R3'!J35</f>
        <v>0.1153881885657044</v>
      </c>
      <c r="K45" s="82">
        <f>'R3'!K35</f>
        <v>0.16392496159152883</v>
      </c>
      <c r="L45" s="82">
        <f>'R3'!L35</f>
        <v>0.18089066910959001</v>
      </c>
      <c r="M45" s="82">
        <f>'R3'!M35</f>
        <v>0.16420296009775995</v>
      </c>
      <c r="N45" s="82" t="str">
        <f>'R3'!N35</f>
        <v/>
      </c>
      <c r="O45"/>
      <c r="P45" s="82">
        <f>'R3'!O35</f>
        <v>0.84652861801591028</v>
      </c>
      <c r="Q45" s="82">
        <f>'R3'!P35</f>
        <v>1.0858598716216603</v>
      </c>
      <c r="R45" s="82">
        <f>'R3'!Q35</f>
        <v>5.6605496171818502E-2</v>
      </c>
      <c r="S45" s="82">
        <f>'R3'!R35</f>
        <v>0.3935439291004606</v>
      </c>
      <c r="T45" s="82">
        <f>'R3'!S35</f>
        <v>0.21799532699592214</v>
      </c>
      <c r="U45" s="82">
        <f>'R3'!T35</f>
        <v>1.0206715156275135</v>
      </c>
      <c r="V45" s="82">
        <f>'R3'!U35</f>
        <v>0.60854824906564542</v>
      </c>
      <c r="W45" s="82">
        <f>'R3'!V35</f>
        <v>0.13998669830476607</v>
      </c>
    </row>
    <row r="46" spans="1:23" s="1" customFormat="1">
      <c r="A46" s="151"/>
      <c r="B46" s="82" t="str">
        <f>'R3'!B36</f>
        <v/>
      </c>
      <c r="C46" s="82" t="str">
        <f>'R3'!C36</f>
        <v/>
      </c>
      <c r="D46" s="82" t="str">
        <f>'R3'!D36</f>
        <v/>
      </c>
      <c r="E46" s="82" t="str">
        <f>'R3'!E36</f>
        <v/>
      </c>
      <c r="F46" s="82" t="str">
        <f>'R3'!F36</f>
        <v/>
      </c>
      <c r="G46" s="82" t="str">
        <f>'R3'!G36</f>
        <v/>
      </c>
      <c r="H46" s="82" t="str">
        <f>'R3'!H36</f>
        <v/>
      </c>
      <c r="I46" s="82" t="str">
        <f>'R3'!I36</f>
        <v/>
      </c>
      <c r="J46" s="82" t="str">
        <f>'R3'!J36</f>
        <v/>
      </c>
      <c r="K46" s="82" t="str">
        <f>'R3'!K36</f>
        <v/>
      </c>
      <c r="L46" s="82" t="str">
        <f>'R3'!L36</f>
        <v/>
      </c>
      <c r="M46" s="82" t="str">
        <f>'R3'!M36</f>
        <v/>
      </c>
      <c r="N46" s="82" t="str">
        <f>'R3'!N36</f>
        <v/>
      </c>
      <c r="O46"/>
      <c r="P46" s="82">
        <f>'R3'!O36</f>
        <v>1.3670826559072988</v>
      </c>
      <c r="Q46" s="82" t="str">
        <f>'R3'!P36</f>
        <v/>
      </c>
      <c r="R46" s="82" t="str">
        <f>'R3'!Q36</f>
        <v/>
      </c>
      <c r="S46" s="82" t="str">
        <f>'R3'!R36</f>
        <v/>
      </c>
      <c r="T46" s="82" t="str">
        <f>'R3'!S36</f>
        <v/>
      </c>
      <c r="U46" s="82" t="str">
        <f>'R3'!T36</f>
        <v/>
      </c>
      <c r="V46" s="82" t="str">
        <f>'R3'!U36</f>
        <v/>
      </c>
      <c r="W46" s="82" t="str">
        <f>'R3'!V36</f>
        <v/>
      </c>
    </row>
    <row r="47" spans="1:23" s="1" customFormat="1">
      <c r="A47" s="151"/>
      <c r="B47" s="82" t="str">
        <f>'R3'!B37</f>
        <v/>
      </c>
      <c r="C47" s="82" t="str">
        <f>'R3'!C37</f>
        <v/>
      </c>
      <c r="D47" s="82" t="str">
        <f>'R3'!D37</f>
        <v/>
      </c>
      <c r="E47" s="82" t="str">
        <f>'R3'!E37</f>
        <v/>
      </c>
      <c r="F47" s="82" t="str">
        <f>'R3'!F37</f>
        <v/>
      </c>
      <c r="G47" s="82" t="str">
        <f>'R3'!G37</f>
        <v/>
      </c>
      <c r="H47" s="82" t="str">
        <f>'R3'!H37</f>
        <v/>
      </c>
      <c r="I47" s="82" t="str">
        <f>'R3'!I37</f>
        <v/>
      </c>
      <c r="J47" s="82" t="str">
        <f>'R3'!J37</f>
        <v/>
      </c>
      <c r="K47" s="82" t="str">
        <f>'R3'!K37</f>
        <v/>
      </c>
      <c r="L47" s="82" t="str">
        <f>'R3'!L37</f>
        <v/>
      </c>
      <c r="M47" s="82" t="str">
        <f>'R3'!M37</f>
        <v/>
      </c>
      <c r="N47" s="82" t="str">
        <f>'R3'!N37</f>
        <v/>
      </c>
      <c r="O47"/>
      <c r="P47" s="82">
        <f>'R3'!O37</f>
        <v>0.73477149822321863</v>
      </c>
      <c r="Q47" s="82" t="str">
        <f>'R3'!P37</f>
        <v/>
      </c>
      <c r="R47" s="82" t="str">
        <f>'R3'!Q37</f>
        <v/>
      </c>
      <c r="S47" s="82" t="str">
        <f>'R3'!R37</f>
        <v/>
      </c>
      <c r="T47" s="82" t="str">
        <f>'R3'!S37</f>
        <v/>
      </c>
      <c r="U47" s="82" t="str">
        <f>'R3'!T37</f>
        <v/>
      </c>
      <c r="V47" s="82" t="str">
        <f>'R3'!U37</f>
        <v/>
      </c>
      <c r="W47" s="82" t="str">
        <f>'R3'!V37</f>
        <v/>
      </c>
    </row>
    <row r="48" spans="1:23" s="1" customFormat="1">
      <c r="A48" s="151"/>
      <c r="B48" s="82" t="str">
        <f>'R3'!B38</f>
        <v/>
      </c>
      <c r="C48" s="82" t="str">
        <f>'R3'!C38</f>
        <v/>
      </c>
      <c r="D48" s="82" t="str">
        <f>'R3'!D38</f>
        <v/>
      </c>
      <c r="E48" s="82" t="str">
        <f>'R3'!E38</f>
        <v/>
      </c>
      <c r="F48" s="82" t="str">
        <f>'R3'!F38</f>
        <v/>
      </c>
      <c r="G48" s="82" t="str">
        <f>'R3'!G38</f>
        <v/>
      </c>
      <c r="H48" s="82" t="str">
        <f>'R3'!H38</f>
        <v/>
      </c>
      <c r="I48" s="82" t="str">
        <f>'R3'!I38</f>
        <v/>
      </c>
      <c r="J48" s="82" t="str">
        <f>'R3'!J38</f>
        <v/>
      </c>
      <c r="K48" s="82" t="str">
        <f>'R3'!K38</f>
        <v/>
      </c>
      <c r="L48" s="82" t="str">
        <f>'R3'!L38</f>
        <v/>
      </c>
      <c r="M48" s="82" t="str">
        <f>'R3'!M38</f>
        <v/>
      </c>
      <c r="N48" s="82" t="str">
        <f>'R3'!N38</f>
        <v/>
      </c>
      <c r="O48"/>
      <c r="P48" s="82">
        <f>'R3'!O38</f>
        <v>1.3278860133872366</v>
      </c>
      <c r="Q48" s="82" t="str">
        <f>'R3'!P38</f>
        <v/>
      </c>
      <c r="R48" s="82" t="str">
        <f>'R3'!Q38</f>
        <v/>
      </c>
      <c r="S48" s="82" t="str">
        <f>'R3'!R38</f>
        <v/>
      </c>
      <c r="T48" s="82" t="str">
        <f>'R3'!S38</f>
        <v/>
      </c>
      <c r="U48" s="82" t="str">
        <f>'R3'!T38</f>
        <v/>
      </c>
      <c r="V48" s="82" t="str">
        <f>'R3'!U38</f>
        <v/>
      </c>
      <c r="W48" s="82" t="str">
        <f>'R3'!V38</f>
        <v/>
      </c>
    </row>
    <row r="49" spans="1:25" s="1" customFormat="1">
      <c r="A49" s="151"/>
      <c r="B49" s="82" t="str">
        <f>'R3'!B39</f>
        <v/>
      </c>
      <c r="C49" s="82" t="str">
        <f>'R3'!C39</f>
        <v/>
      </c>
      <c r="D49" s="82" t="str">
        <f>'R3'!D39</f>
        <v/>
      </c>
      <c r="E49" s="82" t="str">
        <f>'R3'!E39</f>
        <v/>
      </c>
      <c r="F49" s="82" t="str">
        <f>'R3'!F39</f>
        <v/>
      </c>
      <c r="G49" s="82" t="str">
        <f>'R3'!G39</f>
        <v/>
      </c>
      <c r="H49" s="82" t="str">
        <f>'R3'!H39</f>
        <v/>
      </c>
      <c r="I49" s="82" t="str">
        <f>'R3'!I39</f>
        <v/>
      </c>
      <c r="J49" s="82" t="str">
        <f>'R3'!J39</f>
        <v/>
      </c>
      <c r="K49" s="82" t="str">
        <f>'R3'!K39</f>
        <v/>
      </c>
      <c r="L49" s="82" t="str">
        <f>'R3'!L39</f>
        <v/>
      </c>
      <c r="M49" s="82" t="str">
        <f>'R3'!M39</f>
        <v/>
      </c>
      <c r="N49" s="82" t="str">
        <f>'R3'!N39</f>
        <v/>
      </c>
      <c r="O49"/>
      <c r="P49" s="82">
        <f>'R3'!O39</f>
        <v>0.68361541501430334</v>
      </c>
      <c r="Q49" s="82" t="str">
        <f>'R3'!P39</f>
        <v/>
      </c>
      <c r="R49" s="82" t="str">
        <f>'R3'!Q39</f>
        <v/>
      </c>
      <c r="S49" s="82" t="str">
        <f>'R3'!R39</f>
        <v/>
      </c>
      <c r="T49" s="82" t="str">
        <f>'R3'!S39</f>
        <v/>
      </c>
      <c r="U49" s="82" t="str">
        <f>'R3'!T39</f>
        <v/>
      </c>
      <c r="V49" s="82" t="str">
        <f>'R3'!U39</f>
        <v/>
      </c>
      <c r="W49" s="82" t="str">
        <f>'R3'!V39</f>
        <v/>
      </c>
    </row>
    <row r="50" spans="1:25" s="1" customFormat="1">
      <c r="A50" s="151"/>
      <c r="B50" s="82" t="str">
        <f>'R3'!B40</f>
        <v/>
      </c>
      <c r="C50" s="82" t="str">
        <f>'R3'!C40</f>
        <v/>
      </c>
      <c r="D50" s="82" t="str">
        <f>'R3'!D40</f>
        <v/>
      </c>
      <c r="E50" s="82" t="str">
        <f>'R3'!E40</f>
        <v/>
      </c>
      <c r="F50" s="82" t="str">
        <f>'R3'!F40</f>
        <v/>
      </c>
      <c r="G50" s="82" t="str">
        <f>'R3'!G40</f>
        <v/>
      </c>
      <c r="H50" s="82" t="str">
        <f>'R3'!H40</f>
        <v/>
      </c>
      <c r="I50" s="82" t="str">
        <f>'R3'!I40</f>
        <v/>
      </c>
      <c r="J50" s="82" t="str">
        <f>'R3'!J40</f>
        <v/>
      </c>
      <c r="K50" s="82" t="str">
        <f>'R3'!K40</f>
        <v/>
      </c>
      <c r="L50" s="82" t="str">
        <f>'R3'!L40</f>
        <v/>
      </c>
      <c r="M50" s="82" t="str">
        <f>'R3'!M40</f>
        <v/>
      </c>
      <c r="N50" s="82" t="str">
        <f>'R3'!N40</f>
        <v/>
      </c>
      <c r="O50"/>
      <c r="P50" s="82">
        <f>'R3'!O40</f>
        <v>0.94665418397177625</v>
      </c>
      <c r="Q50" s="82" t="str">
        <f>'R3'!P40</f>
        <v/>
      </c>
      <c r="R50" s="82" t="str">
        <f>'R3'!Q40</f>
        <v/>
      </c>
      <c r="S50" s="82" t="str">
        <f>'R3'!R40</f>
        <v/>
      </c>
      <c r="T50" s="82" t="str">
        <f>'R3'!S40</f>
        <v/>
      </c>
      <c r="U50" s="82" t="str">
        <f>'R3'!T40</f>
        <v/>
      </c>
      <c r="V50" s="82" t="str">
        <f>'R3'!U40</f>
        <v/>
      </c>
      <c r="W50" s="82" t="str">
        <f>'R3'!V40</f>
        <v/>
      </c>
    </row>
    <row r="51" spans="1:25" s="1" customFormat="1">
      <c r="A51" s="151"/>
      <c r="B51" s="82" t="str">
        <f>'R3'!B41</f>
        <v/>
      </c>
      <c r="C51" s="82" t="str">
        <f>'R3'!C41</f>
        <v/>
      </c>
      <c r="D51" s="82" t="str">
        <f>'R3'!D41</f>
        <v/>
      </c>
      <c r="E51" s="82" t="str">
        <f>'R3'!E41</f>
        <v/>
      </c>
      <c r="F51" s="82" t="str">
        <f>'R3'!F41</f>
        <v/>
      </c>
      <c r="G51" s="82" t="str">
        <f>'R3'!G41</f>
        <v/>
      </c>
      <c r="H51" s="82" t="str">
        <f>'R3'!H41</f>
        <v/>
      </c>
      <c r="I51" s="82" t="str">
        <f>'R3'!I41</f>
        <v/>
      </c>
      <c r="J51" s="82" t="str">
        <f>'R3'!J41</f>
        <v/>
      </c>
      <c r="K51" s="82" t="str">
        <f>'R3'!K41</f>
        <v/>
      </c>
      <c r="L51" s="82" t="str">
        <f>'R3'!L41</f>
        <v/>
      </c>
      <c r="M51" s="82" t="str">
        <f>'R3'!M41</f>
        <v/>
      </c>
      <c r="N51" s="82" t="str">
        <f>'R3'!N41</f>
        <v/>
      </c>
      <c r="O51"/>
      <c r="P51" s="82">
        <f>'R3'!O41</f>
        <v>1.181786444463401</v>
      </c>
      <c r="Q51" s="82" t="str">
        <f>'R3'!P41</f>
        <v/>
      </c>
      <c r="R51" s="82" t="str">
        <f>'R3'!Q41</f>
        <v/>
      </c>
      <c r="S51" s="82" t="str">
        <f>'R3'!R41</f>
        <v/>
      </c>
      <c r="T51" s="82" t="str">
        <f>'R3'!S41</f>
        <v/>
      </c>
      <c r="U51" s="82" t="str">
        <f>'R3'!T41</f>
        <v/>
      </c>
      <c r="V51" s="82" t="str">
        <f>'R3'!U41</f>
        <v/>
      </c>
      <c r="W51" s="82" t="str">
        <f>'R3'!V41</f>
        <v/>
      </c>
    </row>
    <row r="52" spans="1:25" s="1" customFormat="1">
      <c r="A52" s="151"/>
      <c r="B52" s="82" t="str">
        <f>'R3'!B42</f>
        <v/>
      </c>
      <c r="C52" s="82" t="str">
        <f>'R3'!C42</f>
        <v/>
      </c>
      <c r="D52" s="82" t="str">
        <f>'R3'!D42</f>
        <v/>
      </c>
      <c r="E52" s="82" t="str">
        <f>'R3'!E42</f>
        <v/>
      </c>
      <c r="F52" s="82" t="str">
        <f>'R3'!F42</f>
        <v/>
      </c>
      <c r="G52" s="82" t="str">
        <f>'R3'!G42</f>
        <v/>
      </c>
      <c r="H52" s="82" t="str">
        <f>'R3'!H42</f>
        <v/>
      </c>
      <c r="I52" s="82" t="str">
        <f>'R3'!I42</f>
        <v/>
      </c>
      <c r="J52" s="82" t="str">
        <f>'R3'!J42</f>
        <v/>
      </c>
      <c r="K52" s="82" t="str">
        <f>'R3'!K42</f>
        <v/>
      </c>
      <c r="L52" s="82" t="str">
        <f>'R3'!L42</f>
        <v/>
      </c>
      <c r="M52" s="82" t="str">
        <f>'R3'!M42</f>
        <v/>
      </c>
      <c r="N52" s="82" t="str">
        <f>'R3'!N42</f>
        <v/>
      </c>
      <c r="O52"/>
      <c r="P52" s="82">
        <f>'R3'!O42</f>
        <v>1.4178344714864843</v>
      </c>
      <c r="Q52" s="82" t="str">
        <f>'R3'!P42</f>
        <v/>
      </c>
      <c r="R52" s="82" t="str">
        <f>'R3'!Q42</f>
        <v/>
      </c>
      <c r="S52" s="82" t="str">
        <f>'R3'!R42</f>
        <v/>
      </c>
      <c r="T52" s="82" t="str">
        <f>'R3'!S42</f>
        <v/>
      </c>
      <c r="U52" s="82" t="str">
        <f>'R3'!T42</f>
        <v/>
      </c>
      <c r="V52" s="82" t="str">
        <f>'R3'!U42</f>
        <v/>
      </c>
      <c r="W52" s="82" t="str">
        <f>'R3'!V42</f>
        <v/>
      </c>
    </row>
    <row r="53" spans="1:25" s="1" customFormat="1">
      <c r="A53" s="152"/>
      <c r="B53" s="82" t="str">
        <f>'R3'!B43</f>
        <v/>
      </c>
      <c r="C53" s="82" t="str">
        <f>'R3'!C43</f>
        <v/>
      </c>
      <c r="D53" s="82" t="str">
        <f>'R3'!D43</f>
        <v/>
      </c>
      <c r="E53" s="82" t="str">
        <f>'R3'!E43</f>
        <v/>
      </c>
      <c r="F53" s="82" t="str">
        <f>'R3'!F43</f>
        <v/>
      </c>
      <c r="G53" s="82" t="str">
        <f>'R3'!G43</f>
        <v/>
      </c>
      <c r="H53" s="82" t="str">
        <f>'R3'!H43</f>
        <v/>
      </c>
      <c r="I53" s="82" t="str">
        <f>'R3'!I43</f>
        <v/>
      </c>
      <c r="J53" s="82" t="str">
        <f>'R3'!J43</f>
        <v/>
      </c>
      <c r="K53" s="82" t="str">
        <f>'R3'!K43</f>
        <v/>
      </c>
      <c r="L53" s="82" t="str">
        <f>'R3'!L43</f>
        <v/>
      </c>
      <c r="M53" s="82" t="str">
        <f>'R3'!M43</f>
        <v/>
      </c>
      <c r="N53" s="82" t="str">
        <f>'R3'!N43</f>
        <v/>
      </c>
      <c r="O53"/>
      <c r="P53" s="82">
        <f>'R3'!O43</f>
        <v>0.68926059672726292</v>
      </c>
      <c r="Q53" s="82" t="str">
        <f>'R3'!P43</f>
        <v/>
      </c>
      <c r="R53" s="82" t="str">
        <f>'R3'!Q43</f>
        <v/>
      </c>
      <c r="S53" s="82" t="str">
        <f>'R3'!R43</f>
        <v/>
      </c>
      <c r="T53" s="82" t="str">
        <f>'R3'!S43</f>
        <v/>
      </c>
      <c r="U53" s="82" t="str">
        <f>'R3'!T43</f>
        <v/>
      </c>
      <c r="V53" s="82" t="str">
        <f>'R3'!U43</f>
        <v/>
      </c>
      <c r="W53" s="82" t="str">
        <f>'R3'!V43</f>
        <v/>
      </c>
    </row>
    <row r="54" spans="1:25" s="42" customFormat="1">
      <c r="A54" s="40"/>
      <c r="B54" s="41"/>
      <c r="C54" s="41"/>
      <c r="D54" s="41"/>
      <c r="E54" s="41"/>
      <c r="F54" s="41"/>
      <c r="G54" s="41"/>
      <c r="H54" s="41"/>
      <c r="I54" s="41"/>
      <c r="J54" s="41"/>
      <c r="K54" s="41"/>
      <c r="L54" s="41"/>
      <c r="M54" s="41"/>
      <c r="N54" s="41"/>
      <c r="O54"/>
      <c r="P54" s="41"/>
      <c r="Q54" s="41"/>
      <c r="R54" s="41"/>
      <c r="S54" s="41"/>
      <c r="T54" s="41"/>
      <c r="U54" s="41"/>
      <c r="V54" s="41"/>
      <c r="W54" s="41"/>
    </row>
    <row r="55" spans="1:25" s="25" customFormat="1">
      <c r="A55" s="25" t="s">
        <v>27</v>
      </c>
      <c r="B55" s="14" t="str">
        <f t="shared" ref="B55:N55" si="0">B4</f>
        <v>Solvent control</v>
      </c>
      <c r="C55" s="14" t="str">
        <f t="shared" si="0"/>
        <v>EE2-33.8ng/L</v>
      </c>
      <c r="D55" s="14" t="str">
        <f t="shared" si="0"/>
        <v>EE2-50.6ng/L</v>
      </c>
      <c r="E55" s="14" t="str">
        <f t="shared" si="0"/>
        <v>EE2-76ng/L</v>
      </c>
      <c r="F55" s="14" t="str">
        <f t="shared" si="0"/>
        <v>EE2-114ng/L</v>
      </c>
      <c r="G55" s="14" t="str">
        <f t="shared" si="0"/>
        <v>EE2-170.9ng/L</v>
      </c>
      <c r="H55" s="14" t="str">
        <f t="shared" si="0"/>
        <v>EE2-488ng/L</v>
      </c>
      <c r="I55" s="14" t="str">
        <f t="shared" si="0"/>
        <v>cromolyn-1000µg/L</v>
      </c>
      <c r="J55" s="14" t="str">
        <f t="shared" si="0"/>
        <v>cromolyn-100µg/L</v>
      </c>
      <c r="K55" s="14" t="str">
        <f t="shared" si="0"/>
        <v>cromolyn-10µg/L</v>
      </c>
      <c r="L55" s="14" t="str">
        <f t="shared" si="0"/>
        <v>cromolyn-1µg/L</v>
      </c>
      <c r="M55" s="14" t="str">
        <f t="shared" si="0"/>
        <v>cromolyn-0.1µg/L</v>
      </c>
      <c r="N55" s="14" t="str">
        <f t="shared" si="0"/>
        <v/>
      </c>
      <c r="P55" s="14" t="str">
        <f t="shared" ref="P55:W55" si="1">P4</f>
        <v>Testo -30µg/L</v>
      </c>
      <c r="Q55" s="14" t="str">
        <f t="shared" si="1"/>
        <v>Testo 30µg/L + EE2 -64ng/L</v>
      </c>
      <c r="R55" s="14" t="str">
        <f t="shared" si="1"/>
        <v>Testo 30µg/L + FAD-10mg/L</v>
      </c>
      <c r="S55" s="14" t="str">
        <f t="shared" si="1"/>
        <v>cromolyn-1000µg/L + Testostérone</v>
      </c>
      <c r="T55" s="14" t="str">
        <f t="shared" si="1"/>
        <v>cromolyn-100µg/L + Testostérone</v>
      </c>
      <c r="U55" s="14" t="str">
        <f t="shared" si="1"/>
        <v>cromolyn-10µg/L + Testostérone</v>
      </c>
      <c r="V55" s="14" t="str">
        <f t="shared" si="1"/>
        <v>cromolyn-1µg/L + Testostérone</v>
      </c>
      <c r="W55" s="14" t="str">
        <f t="shared" si="1"/>
        <v>cromolyn-0.1µg/L + Testostérone</v>
      </c>
    </row>
    <row r="56" spans="1:25">
      <c r="A56" t="s">
        <v>28</v>
      </c>
      <c r="B56" s="8">
        <f t="shared" ref="B56:W56" si="2">AVERAGE(B6:B53)</f>
        <v>0.19728325535742572</v>
      </c>
      <c r="C56" s="8">
        <f t="shared" si="2"/>
        <v>0.25594194812633597</v>
      </c>
      <c r="D56" s="8">
        <f t="shared" si="2"/>
        <v>0.40377457847468828</v>
      </c>
      <c r="E56" s="8">
        <f t="shared" si="2"/>
        <v>0.917470894895144</v>
      </c>
      <c r="F56" s="8">
        <f t="shared" si="2"/>
        <v>1.4235295173207005</v>
      </c>
      <c r="G56" s="8">
        <f t="shared" si="2"/>
        <v>1.6853045629940331</v>
      </c>
      <c r="H56" s="8">
        <f t="shared" si="2"/>
        <v>2.5577548644810899</v>
      </c>
      <c r="I56" s="8">
        <f t="shared" si="2"/>
        <v>0.26662066645679566</v>
      </c>
      <c r="J56" s="8">
        <f t="shared" si="2"/>
        <v>0.22780381891144497</v>
      </c>
      <c r="K56" s="8">
        <f t="shared" si="2"/>
        <v>0.20422859567694976</v>
      </c>
      <c r="L56" s="8">
        <f t="shared" si="2"/>
        <v>0.2017375724917051</v>
      </c>
      <c r="M56" s="8">
        <f t="shared" si="2"/>
        <v>0.2234520925199148</v>
      </c>
      <c r="N56" s="8" t="e">
        <f t="shared" si="2"/>
        <v>#DIV/0!</v>
      </c>
      <c r="O56" s="8"/>
      <c r="P56" s="8">
        <f t="shared" si="2"/>
        <v>0.99999999999999989</v>
      </c>
      <c r="Q56" s="8">
        <f t="shared" si="2"/>
        <v>1.6661751547582646</v>
      </c>
      <c r="R56" s="8">
        <f t="shared" si="2"/>
        <v>0.16588084005771978</v>
      </c>
      <c r="S56" s="8">
        <f t="shared" si="2"/>
        <v>1.1411503410208905</v>
      </c>
      <c r="T56" s="8">
        <f t="shared" si="2"/>
        <v>1.1612596280550125</v>
      </c>
      <c r="U56" s="8">
        <f t="shared" si="2"/>
        <v>1.2388556579920833</v>
      </c>
      <c r="V56" s="8">
        <f t="shared" si="2"/>
        <v>1.1998236526681738</v>
      </c>
      <c r="W56" s="8">
        <f t="shared" si="2"/>
        <v>1.2014585973065257</v>
      </c>
    </row>
    <row r="57" spans="1:25">
      <c r="A57" t="s">
        <v>1</v>
      </c>
      <c r="B57" s="3">
        <f>STDEV(B6:B53)</f>
        <v>0.14156302398592063</v>
      </c>
      <c r="C57" s="3">
        <f t="shared" ref="C57:W57" si="3">STDEV(C6:C53)</f>
        <v>0.19704621657001234</v>
      </c>
      <c r="D57" s="3">
        <f t="shared" si="3"/>
        <v>0.25355766738710417</v>
      </c>
      <c r="E57" s="3">
        <f t="shared" si="3"/>
        <v>0.3180494436715402</v>
      </c>
      <c r="F57" s="3">
        <f t="shared" si="3"/>
        <v>0.44401463976236544</v>
      </c>
      <c r="G57" s="3">
        <f t="shared" si="3"/>
        <v>0.72846173164272043</v>
      </c>
      <c r="H57" s="3">
        <f t="shared" si="3"/>
        <v>0.90994304947958515</v>
      </c>
      <c r="I57" s="3">
        <f t="shared" si="3"/>
        <v>0.26331646359119498</v>
      </c>
      <c r="J57" s="3">
        <f t="shared" si="3"/>
        <v>0.19703338092968542</v>
      </c>
      <c r="K57" s="3">
        <f t="shared" si="3"/>
        <v>0.19491951877441829</v>
      </c>
      <c r="L57" s="3">
        <f t="shared" si="3"/>
        <v>0.16593773102328566</v>
      </c>
      <c r="M57" s="3">
        <f t="shared" si="3"/>
        <v>0.18957676282315225</v>
      </c>
      <c r="N57" s="3" t="e">
        <f t="shared" si="3"/>
        <v>#DIV/0!</v>
      </c>
      <c r="O57" s="3"/>
      <c r="P57" s="3">
        <f t="shared" si="3"/>
        <v>0.45401810274232729</v>
      </c>
      <c r="Q57" s="3">
        <f t="shared" si="3"/>
        <v>0.70960051471358909</v>
      </c>
      <c r="R57" s="3">
        <f t="shared" si="3"/>
        <v>0.12969766848742476</v>
      </c>
      <c r="S57" s="3">
        <f t="shared" si="3"/>
        <v>0.67221685556523669</v>
      </c>
      <c r="T57" s="3">
        <f t="shared" si="3"/>
        <v>0.61633080058506817</v>
      </c>
      <c r="U57" s="3">
        <f t="shared" si="3"/>
        <v>0.73142492296172867</v>
      </c>
      <c r="V57" s="3">
        <f t="shared" si="3"/>
        <v>0.75958329904921562</v>
      </c>
      <c r="W57" s="3">
        <f t="shared" si="3"/>
        <v>0.77784280994085908</v>
      </c>
      <c r="X57" s="3"/>
      <c r="Y57" s="3"/>
    </row>
    <row r="58" spans="1:25">
      <c r="A58" t="s">
        <v>2</v>
      </c>
      <c r="B58" s="3">
        <f xml:space="preserve"> B57/SQRT(COUNT(B6:B53))</f>
        <v>2.8896431267573471E-2</v>
      </c>
      <c r="C58" s="3">
        <f t="shared" ref="C58:W58" si="4" xml:space="preserve"> C57/SQRT(COUNT(C6:C53))</f>
        <v>4.1086976390259586E-2</v>
      </c>
      <c r="D58" s="3">
        <f t="shared" si="4"/>
        <v>5.175724212239504E-2</v>
      </c>
      <c r="E58" s="3">
        <f t="shared" si="4"/>
        <v>6.4921570830944492E-2</v>
      </c>
      <c r="F58" s="3">
        <f t="shared" si="4"/>
        <v>9.063410881195684E-2</v>
      </c>
      <c r="G58" s="3">
        <f t="shared" si="4"/>
        <v>0.14869662830574298</v>
      </c>
      <c r="H58" s="3">
        <f t="shared" si="4"/>
        <v>0.18574134718475749</v>
      </c>
      <c r="I58" s="3">
        <f t="shared" si="4"/>
        <v>5.3749248056047694E-2</v>
      </c>
      <c r="J58" s="3">
        <f t="shared" si="4"/>
        <v>4.0219270464429593E-2</v>
      </c>
      <c r="K58" s="3">
        <f t="shared" si="4"/>
        <v>3.9787780158847562E-2</v>
      </c>
      <c r="L58" s="3">
        <f t="shared" si="4"/>
        <v>3.3871897506854348E-2</v>
      </c>
      <c r="M58" s="3">
        <f t="shared" si="4"/>
        <v>3.8697194667112564E-2</v>
      </c>
      <c r="N58" s="3" t="e">
        <f t="shared" si="4"/>
        <v>#DIV/0!</v>
      </c>
      <c r="O58" s="3"/>
      <c r="P58" s="3">
        <f t="shared" si="4"/>
        <v>6.5531868458811454E-2</v>
      </c>
      <c r="Q58" s="3">
        <f t="shared" si="4"/>
        <v>0.1479619355401027</v>
      </c>
      <c r="R58" s="3">
        <f t="shared" si="4"/>
        <v>2.6474425718569998E-2</v>
      </c>
      <c r="S58" s="3">
        <f t="shared" si="4"/>
        <v>0.13721569105275072</v>
      </c>
      <c r="T58" s="3">
        <f t="shared" si="4"/>
        <v>0.12580799784953908</v>
      </c>
      <c r="U58" s="3">
        <f t="shared" si="4"/>
        <v>0.14930148720089423</v>
      </c>
      <c r="V58" s="3">
        <f t="shared" si="4"/>
        <v>0.15504929165087178</v>
      </c>
      <c r="W58" s="3">
        <f t="shared" si="4"/>
        <v>0.16219143774332681</v>
      </c>
      <c r="X58" s="3"/>
      <c r="Y58" s="3"/>
    </row>
    <row r="59" spans="1:25" s="1" customFormat="1" ht="15.75" thickBot="1">
      <c r="B59" s="3"/>
      <c r="C59" s="3"/>
      <c r="D59" s="3"/>
      <c r="E59" s="3"/>
      <c r="F59" s="3"/>
      <c r="G59" s="3"/>
      <c r="H59" s="3"/>
      <c r="I59" s="3"/>
      <c r="J59" s="3"/>
      <c r="K59" s="3"/>
      <c r="L59" s="3"/>
      <c r="M59" s="3"/>
      <c r="N59" s="3"/>
      <c r="O59" s="3"/>
      <c r="P59" s="3"/>
      <c r="Q59" s="3"/>
      <c r="R59" s="3"/>
      <c r="S59" s="3"/>
      <c r="T59" s="3"/>
      <c r="U59" s="3"/>
      <c r="V59" s="3"/>
      <c r="W59" s="3"/>
    </row>
    <row r="60" spans="1:25" s="30" customFormat="1" ht="27" thickBot="1">
      <c r="A60" s="153" t="s">
        <v>26</v>
      </c>
      <c r="B60" s="154"/>
      <c r="C60" s="154"/>
      <c r="D60" s="154"/>
      <c r="E60" s="154"/>
      <c r="F60" s="154"/>
      <c r="G60" s="154"/>
      <c r="H60" s="154"/>
      <c r="I60" s="154"/>
      <c r="J60" s="154"/>
      <c r="K60" s="154"/>
      <c r="L60" s="154"/>
      <c r="M60" s="154"/>
      <c r="N60" s="154"/>
      <c r="O60" s="154"/>
      <c r="P60" s="154"/>
      <c r="Q60" s="154"/>
      <c r="R60" s="154"/>
      <c r="S60" s="154"/>
      <c r="T60" s="154"/>
      <c r="U60" s="154"/>
      <c r="V60" s="154"/>
      <c r="W60" s="154"/>
    </row>
    <row r="61" spans="1:25" s="1" customFormat="1">
      <c r="B61" s="3"/>
      <c r="C61" s="3"/>
      <c r="D61" s="3"/>
      <c r="E61" s="3"/>
      <c r="F61" s="3"/>
      <c r="G61" s="3"/>
      <c r="H61" s="3"/>
      <c r="I61" s="3"/>
      <c r="J61" s="3"/>
      <c r="K61" s="3"/>
      <c r="L61" s="3"/>
      <c r="M61" s="3"/>
      <c r="N61" s="3"/>
      <c r="O61" s="3"/>
      <c r="P61" s="3"/>
      <c r="Q61" s="3"/>
      <c r="R61" s="3"/>
      <c r="S61" s="3"/>
      <c r="T61" s="3"/>
      <c r="U61" s="3"/>
      <c r="V61" s="3"/>
      <c r="W61" s="3"/>
    </row>
    <row r="62" spans="1:25" s="1" customFormat="1">
      <c r="A62" s="1" t="s">
        <v>27</v>
      </c>
      <c r="B62" s="3" t="str">
        <f t="shared" ref="B62" si="5">B4</f>
        <v>Solvent control</v>
      </c>
      <c r="C62" s="3" t="str">
        <f t="shared" ref="C62:W62" si="6">C4</f>
        <v>EE2-33.8ng/L</v>
      </c>
      <c r="D62" s="3" t="str">
        <f t="shared" si="6"/>
        <v>EE2-50.6ng/L</v>
      </c>
      <c r="E62" s="3" t="str">
        <f t="shared" si="6"/>
        <v>EE2-76ng/L</v>
      </c>
      <c r="F62" s="3" t="str">
        <f t="shared" si="6"/>
        <v>EE2-114ng/L</v>
      </c>
      <c r="G62" s="3" t="str">
        <f t="shared" si="6"/>
        <v>EE2-170.9ng/L</v>
      </c>
      <c r="H62" s="3" t="str">
        <f t="shared" si="6"/>
        <v>EE2-488ng/L</v>
      </c>
      <c r="I62" s="3" t="str">
        <f t="shared" si="6"/>
        <v>cromolyn-1000µg/L</v>
      </c>
      <c r="J62" s="3" t="str">
        <f t="shared" si="6"/>
        <v>cromolyn-100µg/L</v>
      </c>
      <c r="K62" s="3" t="str">
        <f t="shared" si="6"/>
        <v>cromolyn-10µg/L</v>
      </c>
      <c r="L62" s="3" t="str">
        <f t="shared" si="6"/>
        <v>cromolyn-1µg/L</v>
      </c>
      <c r="M62" s="3" t="str">
        <f t="shared" si="6"/>
        <v>cromolyn-0.1µg/L</v>
      </c>
      <c r="N62" s="3" t="str">
        <f t="shared" si="6"/>
        <v/>
      </c>
      <c r="O62" s="3"/>
      <c r="P62" s="3" t="str">
        <f t="shared" si="6"/>
        <v>Testo -30µg/L</v>
      </c>
      <c r="Q62" s="3" t="str">
        <f t="shared" si="6"/>
        <v>Testo 30µg/L + EE2 -64ng/L</v>
      </c>
      <c r="R62" s="3" t="str">
        <f t="shared" si="6"/>
        <v>Testo 30µg/L + FAD-10mg/L</v>
      </c>
      <c r="S62" s="3" t="str">
        <f t="shared" si="6"/>
        <v>cromolyn-1000µg/L + Testostérone</v>
      </c>
      <c r="T62" s="3" t="str">
        <f t="shared" si="6"/>
        <v>cromolyn-100µg/L + Testostérone</v>
      </c>
      <c r="U62" s="3" t="str">
        <f t="shared" si="6"/>
        <v>cromolyn-10µg/L + Testostérone</v>
      </c>
      <c r="V62" s="3" t="str">
        <f t="shared" si="6"/>
        <v>cromolyn-1µg/L + Testostérone</v>
      </c>
      <c r="W62" s="3" t="str">
        <f t="shared" si="6"/>
        <v>cromolyn-0.1µg/L + Testostérone</v>
      </c>
    </row>
    <row r="63" spans="1:25" s="1" customFormat="1">
      <c r="A63" s="1" t="s">
        <v>29</v>
      </c>
      <c r="B63" s="3">
        <f>COUNT(B6:B53)</f>
        <v>24</v>
      </c>
      <c r="C63" s="3">
        <f t="shared" ref="C63:W63" si="7">COUNT(C6:C53)</f>
        <v>23</v>
      </c>
      <c r="D63" s="3">
        <f t="shared" si="7"/>
        <v>24</v>
      </c>
      <c r="E63" s="3">
        <f t="shared" si="7"/>
        <v>24</v>
      </c>
      <c r="F63" s="3">
        <f t="shared" si="7"/>
        <v>24</v>
      </c>
      <c r="G63" s="3">
        <f t="shared" si="7"/>
        <v>24</v>
      </c>
      <c r="H63" s="3">
        <f t="shared" si="7"/>
        <v>24</v>
      </c>
      <c r="I63" s="3">
        <f t="shared" si="7"/>
        <v>24</v>
      </c>
      <c r="J63" s="3">
        <f t="shared" si="7"/>
        <v>24</v>
      </c>
      <c r="K63" s="3">
        <f t="shared" si="7"/>
        <v>24</v>
      </c>
      <c r="L63" s="3">
        <f t="shared" si="7"/>
        <v>24</v>
      </c>
      <c r="M63" s="3">
        <f t="shared" si="7"/>
        <v>24</v>
      </c>
      <c r="N63" s="3">
        <f t="shared" si="7"/>
        <v>0</v>
      </c>
      <c r="O63" s="3"/>
      <c r="P63" s="3">
        <f t="shared" si="7"/>
        <v>48</v>
      </c>
      <c r="Q63" s="3">
        <f t="shared" si="7"/>
        <v>23</v>
      </c>
      <c r="R63" s="3">
        <f t="shared" si="7"/>
        <v>24</v>
      </c>
      <c r="S63" s="3">
        <f t="shared" si="7"/>
        <v>24</v>
      </c>
      <c r="T63" s="3">
        <f t="shared" si="7"/>
        <v>24</v>
      </c>
      <c r="U63" s="3">
        <f t="shared" si="7"/>
        <v>24</v>
      </c>
      <c r="V63" s="3">
        <f t="shared" si="7"/>
        <v>24</v>
      </c>
      <c r="W63" s="3">
        <f t="shared" si="7"/>
        <v>23</v>
      </c>
    </row>
    <row r="64" spans="1:25" s="1" customFormat="1" ht="15.75" thickBot="1">
      <c r="B64" s="3" t="str">
        <f>IF(B63&gt;=21,"OK","ATTENTION")</f>
        <v>OK</v>
      </c>
      <c r="C64" s="3" t="str">
        <f t="shared" ref="C64:W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t="str">
        <f t="shared" si="8"/>
        <v>ATTENTION</v>
      </c>
      <c r="O64" s="3"/>
      <c r="P64" s="3" t="str">
        <f>IF(P63&gt;=41,"OK","ATTENTION")</f>
        <v>OK</v>
      </c>
      <c r="Q64" s="3" t="str">
        <f t="shared" si="8"/>
        <v>OK</v>
      </c>
      <c r="R64" s="3" t="str">
        <f t="shared" si="8"/>
        <v>OK</v>
      </c>
      <c r="S64" s="3" t="str">
        <f t="shared" si="8"/>
        <v>OK</v>
      </c>
      <c r="T64" s="3" t="str">
        <f t="shared" si="8"/>
        <v>OK</v>
      </c>
      <c r="U64" s="3" t="str">
        <f t="shared" si="8"/>
        <v>OK</v>
      </c>
      <c r="V64" s="3" t="str">
        <f t="shared" si="8"/>
        <v>OK</v>
      </c>
      <c r="W64" s="3" t="str">
        <f t="shared" si="8"/>
        <v>OK</v>
      </c>
    </row>
    <row r="65" spans="1:23" s="30" customFormat="1" ht="27" thickBot="1">
      <c r="A65" s="153" t="s">
        <v>37</v>
      </c>
      <c r="B65" s="154"/>
      <c r="C65" s="154"/>
      <c r="D65" s="154"/>
      <c r="E65" s="154"/>
      <c r="F65" s="154"/>
      <c r="G65" s="154"/>
      <c r="H65" s="154"/>
      <c r="I65" s="154"/>
      <c r="J65" s="154"/>
      <c r="K65" s="154"/>
      <c r="L65" s="154"/>
      <c r="M65" s="154"/>
      <c r="N65" s="154"/>
      <c r="O65" s="154"/>
      <c r="P65" s="154"/>
      <c r="Q65" s="154"/>
      <c r="R65" s="154"/>
      <c r="S65" s="154"/>
      <c r="T65" s="154"/>
      <c r="U65" s="154"/>
      <c r="V65" s="154"/>
      <c r="W65" s="154"/>
    </row>
    <row r="66" spans="1:23" s="1" customFormat="1">
      <c r="B66" s="1" t="s">
        <v>39</v>
      </c>
      <c r="C66" s="3"/>
      <c r="D66" s="3"/>
      <c r="E66" s="3"/>
      <c r="F66" s="3"/>
      <c r="G66" s="3"/>
      <c r="H66" s="3"/>
      <c r="I66" s="3"/>
      <c r="J66" s="3"/>
      <c r="K66" s="3"/>
      <c r="L66" s="3"/>
      <c r="M66" s="3"/>
      <c r="N66" s="3"/>
      <c r="O66" s="3"/>
      <c r="P66" s="3"/>
      <c r="Q66" s="3"/>
      <c r="R66" s="3"/>
      <c r="S66" s="3"/>
      <c r="T66" s="3"/>
      <c r="U66" s="3"/>
      <c r="V66" s="3"/>
      <c r="W66" s="3"/>
    </row>
    <row r="67" spans="1:23" s="1" customFormat="1">
      <c r="A67" s="1" t="s">
        <v>38</v>
      </c>
      <c r="B67" s="3">
        <v>3.5</v>
      </c>
      <c r="C67" s="3"/>
      <c r="D67" s="3"/>
      <c r="E67" s="3"/>
      <c r="F67" s="3"/>
      <c r="G67" s="3"/>
      <c r="H67" s="3"/>
      <c r="I67" s="3"/>
      <c r="J67" s="3"/>
      <c r="K67" s="3"/>
      <c r="L67" s="3"/>
      <c r="M67" s="3"/>
      <c r="N67" s="3"/>
      <c r="O67" s="3"/>
      <c r="P67" s="3"/>
      <c r="Q67" s="3"/>
      <c r="R67" s="3"/>
      <c r="S67" s="3"/>
      <c r="T67" s="3"/>
      <c r="U67" s="3"/>
      <c r="V67" s="3"/>
      <c r="W67" s="3"/>
    </row>
    <row r="68" spans="1:23" s="1" customFormat="1">
      <c r="A68" s="1" t="s">
        <v>40</v>
      </c>
      <c r="B68" s="3">
        <v>2</v>
      </c>
      <c r="C68" s="3"/>
      <c r="D68" s="3"/>
      <c r="E68" s="3"/>
      <c r="F68" s="3"/>
      <c r="G68" s="3"/>
      <c r="H68" s="3"/>
      <c r="I68" s="3"/>
      <c r="J68" s="3"/>
      <c r="K68" s="3"/>
      <c r="L68" s="3"/>
      <c r="M68" s="3"/>
      <c r="N68" s="3"/>
      <c r="O68" s="3"/>
      <c r="P68" s="3"/>
      <c r="Q68" s="3"/>
      <c r="R68" s="3"/>
      <c r="S68" s="3"/>
      <c r="T68" s="3"/>
      <c r="U68" s="3"/>
      <c r="V68" s="3"/>
      <c r="W68" s="3"/>
    </row>
    <row r="69" spans="1:23" s="1" customFormat="1" ht="15.75" thickBot="1">
      <c r="A69" s="1" t="s">
        <v>41</v>
      </c>
      <c r="B69" s="3">
        <v>0.5</v>
      </c>
      <c r="C69" s="3"/>
      <c r="D69" s="3"/>
      <c r="E69" s="3"/>
      <c r="F69" s="3"/>
      <c r="G69" s="3"/>
      <c r="H69" s="3"/>
      <c r="I69" s="3"/>
      <c r="J69" s="3"/>
      <c r="K69" s="3"/>
      <c r="L69" s="3"/>
      <c r="M69" s="3"/>
      <c r="N69" s="3"/>
      <c r="O69" s="3"/>
      <c r="P69" s="3"/>
      <c r="Q69" s="3"/>
      <c r="R69" s="3"/>
      <c r="S69" s="3"/>
      <c r="T69" s="3"/>
      <c r="U69" s="3"/>
      <c r="V69" s="3"/>
      <c r="W69" s="3"/>
    </row>
    <row r="70" spans="1:23" s="30" customFormat="1" ht="27" thickBot="1">
      <c r="A70" s="153" t="s">
        <v>32</v>
      </c>
      <c r="B70" s="154"/>
      <c r="C70" s="154"/>
      <c r="D70" s="154"/>
      <c r="E70" s="154"/>
      <c r="F70" s="154"/>
      <c r="G70" s="154"/>
      <c r="H70" s="154"/>
      <c r="I70" s="154"/>
      <c r="J70" s="154"/>
      <c r="K70" s="154"/>
      <c r="L70" s="154"/>
      <c r="M70" s="154"/>
      <c r="N70" s="154"/>
      <c r="O70" s="154"/>
      <c r="P70" s="154"/>
      <c r="Q70" s="154"/>
      <c r="R70" s="154"/>
      <c r="S70" s="154"/>
      <c r="T70" s="154"/>
      <c r="U70" s="154"/>
      <c r="V70" s="154"/>
      <c r="W70" s="154"/>
    </row>
    <row r="71" spans="1:23" ht="15.75" thickBot="1"/>
    <row r="72" spans="1:23" s="30" customFormat="1" ht="27" thickBot="1">
      <c r="A72" s="153" t="s">
        <v>33</v>
      </c>
      <c r="B72" s="154"/>
      <c r="C72" s="154"/>
      <c r="D72" s="154"/>
      <c r="E72" s="154"/>
      <c r="F72" s="154"/>
      <c r="G72" s="154"/>
      <c r="H72" s="154"/>
      <c r="I72" s="154"/>
      <c r="J72" s="154"/>
      <c r="K72" s="154"/>
      <c r="L72" s="154"/>
      <c r="M72" s="154"/>
      <c r="N72" s="154"/>
      <c r="O72" s="154"/>
      <c r="P72" s="154"/>
      <c r="Q72" s="154"/>
      <c r="R72" s="154"/>
      <c r="S72" s="154"/>
      <c r="T72" s="154"/>
      <c r="U72" s="154"/>
      <c r="V72" s="154"/>
      <c r="W72" s="154"/>
    </row>
    <row r="73" spans="1:23" ht="15.75" thickBot="1">
      <c r="J73" s="3">
        <v>1</v>
      </c>
      <c r="K73" s="3">
        <v>2</v>
      </c>
      <c r="L73" s="3">
        <v>3</v>
      </c>
      <c r="M73" s="3">
        <v>4</v>
      </c>
      <c r="N73" s="3">
        <v>5</v>
      </c>
      <c r="S73" s="3">
        <v>1</v>
      </c>
      <c r="T73" s="3">
        <v>2</v>
      </c>
      <c r="U73" s="3">
        <v>3</v>
      </c>
      <c r="V73" s="3">
        <v>4</v>
      </c>
      <c r="W73" s="3">
        <v>5</v>
      </c>
    </row>
    <row r="74" spans="1:23" s="1" customFormat="1">
      <c r="A74" s="28" t="s">
        <v>22</v>
      </c>
      <c r="B74" s="29" t="str">
        <f t="shared" ref="B74:N74" si="9">B4</f>
        <v>Solvent control</v>
      </c>
      <c r="C74" s="29" t="str">
        <f t="shared" si="9"/>
        <v>EE2-33.8ng/L</v>
      </c>
      <c r="D74" s="29" t="str">
        <f t="shared" si="9"/>
        <v>EE2-50.6ng/L</v>
      </c>
      <c r="E74" s="29" t="str">
        <f t="shared" si="9"/>
        <v>EE2-76ng/L</v>
      </c>
      <c r="F74" s="29" t="str">
        <f t="shared" si="9"/>
        <v>EE2-114ng/L</v>
      </c>
      <c r="G74" s="29" t="str">
        <f t="shared" si="9"/>
        <v>EE2-170.9ng/L</v>
      </c>
      <c r="H74" s="29" t="str">
        <f t="shared" si="9"/>
        <v>EE2-488ng/L</v>
      </c>
      <c r="I74" s="29" t="str">
        <f t="shared" si="9"/>
        <v>cromolyn-1000µg/L</v>
      </c>
      <c r="J74" s="29" t="str">
        <f t="shared" si="9"/>
        <v>cromolyn-100µg/L</v>
      </c>
      <c r="K74" s="29" t="str">
        <f t="shared" si="9"/>
        <v>cromolyn-10µg/L</v>
      </c>
      <c r="L74" s="29" t="str">
        <f t="shared" si="9"/>
        <v>cromolyn-1µg/L</v>
      </c>
      <c r="M74" s="29" t="str">
        <f t="shared" si="9"/>
        <v>cromolyn-0.1µg/L</v>
      </c>
      <c r="N74" s="29" t="str">
        <f t="shared" si="9"/>
        <v/>
      </c>
      <c r="O74" s="29"/>
      <c r="P74" s="29" t="str">
        <f t="shared" ref="P74:W74" si="10">P4</f>
        <v>Testo -30µg/L</v>
      </c>
      <c r="Q74" s="29" t="str">
        <f t="shared" si="10"/>
        <v>Testo 30µg/L + EE2 -64ng/L</v>
      </c>
      <c r="R74" s="29" t="str">
        <f t="shared" si="10"/>
        <v>Testo 30µg/L + FAD-10mg/L</v>
      </c>
      <c r="S74" s="29" t="str">
        <f t="shared" si="10"/>
        <v>cromolyn-1000µg/L + Testostérone</v>
      </c>
      <c r="T74" s="29" t="str">
        <f t="shared" si="10"/>
        <v>cromolyn-100µg/L + Testostérone</v>
      </c>
      <c r="U74" s="29" t="str">
        <f t="shared" si="10"/>
        <v>cromolyn-10µg/L + Testostérone</v>
      </c>
      <c r="V74" s="29" t="str">
        <f t="shared" si="10"/>
        <v>cromolyn-1µg/L + Testostérone</v>
      </c>
      <c r="W74" s="29" t="str">
        <f t="shared" si="10"/>
        <v>cromolyn-0.1µg/L + Testostérone</v>
      </c>
    </row>
    <row r="75" spans="1:23" s="3" customFormat="1">
      <c r="A75" s="43" t="s">
        <v>15</v>
      </c>
      <c r="B75" s="75">
        <f>B56</f>
        <v>0.19728325535742572</v>
      </c>
      <c r="C75" s="75">
        <f t="shared" ref="C75:W75" si="11">C56</f>
        <v>0.25594194812633597</v>
      </c>
      <c r="D75" s="75">
        <f t="shared" si="11"/>
        <v>0.40377457847468828</v>
      </c>
      <c r="E75" s="75">
        <f t="shared" si="11"/>
        <v>0.917470894895144</v>
      </c>
      <c r="F75" s="75">
        <f t="shared" si="11"/>
        <v>1.4235295173207005</v>
      </c>
      <c r="G75" s="75">
        <f t="shared" si="11"/>
        <v>1.6853045629940331</v>
      </c>
      <c r="H75" s="75">
        <f t="shared" si="11"/>
        <v>2.5577548644810899</v>
      </c>
      <c r="I75" s="75">
        <f t="shared" si="11"/>
        <v>0.26662066645679566</v>
      </c>
      <c r="J75" s="75">
        <f t="shared" si="11"/>
        <v>0.22780381891144497</v>
      </c>
      <c r="K75" s="75">
        <f t="shared" si="11"/>
        <v>0.20422859567694976</v>
      </c>
      <c r="L75" s="75">
        <f t="shared" si="11"/>
        <v>0.2017375724917051</v>
      </c>
      <c r="M75" s="75">
        <f t="shared" si="11"/>
        <v>0.2234520925199148</v>
      </c>
      <c r="N75" s="75" t="e">
        <f t="shared" si="11"/>
        <v>#DIV/0!</v>
      </c>
      <c r="O75" s="75"/>
      <c r="P75" s="75">
        <f t="shared" si="11"/>
        <v>0.99999999999999989</v>
      </c>
      <c r="Q75" s="75">
        <f t="shared" si="11"/>
        <v>1.6661751547582646</v>
      </c>
      <c r="R75" s="75">
        <f t="shared" si="11"/>
        <v>0.16588084005771978</v>
      </c>
      <c r="S75" s="75">
        <f t="shared" si="11"/>
        <v>1.1411503410208905</v>
      </c>
      <c r="T75" s="75">
        <f t="shared" si="11"/>
        <v>1.1612596280550125</v>
      </c>
      <c r="U75" s="75">
        <f t="shared" si="11"/>
        <v>1.2388556579920833</v>
      </c>
      <c r="V75" s="75">
        <f t="shared" si="11"/>
        <v>1.1998236526681738</v>
      </c>
      <c r="W75" s="75">
        <f t="shared" si="11"/>
        <v>1.2014585973065257</v>
      </c>
    </row>
    <row r="76" spans="1:23" s="3" customFormat="1">
      <c r="A76" s="43" t="s">
        <v>2</v>
      </c>
      <c r="B76" s="75">
        <f>B58</f>
        <v>2.8896431267573471E-2</v>
      </c>
      <c r="C76" s="75">
        <f t="shared" ref="C76:W76" si="12">C58</f>
        <v>4.1086976390259586E-2</v>
      </c>
      <c r="D76" s="75">
        <f t="shared" si="12"/>
        <v>5.175724212239504E-2</v>
      </c>
      <c r="E76" s="75">
        <f t="shared" si="12"/>
        <v>6.4921570830944492E-2</v>
      </c>
      <c r="F76" s="75">
        <f t="shared" si="12"/>
        <v>9.063410881195684E-2</v>
      </c>
      <c r="G76" s="75">
        <f t="shared" si="12"/>
        <v>0.14869662830574298</v>
      </c>
      <c r="H76" s="75">
        <f t="shared" si="12"/>
        <v>0.18574134718475749</v>
      </c>
      <c r="I76" s="75">
        <f t="shared" si="12"/>
        <v>5.3749248056047694E-2</v>
      </c>
      <c r="J76" s="75">
        <f t="shared" si="12"/>
        <v>4.0219270464429593E-2</v>
      </c>
      <c r="K76" s="75">
        <f t="shared" si="12"/>
        <v>3.9787780158847562E-2</v>
      </c>
      <c r="L76" s="75">
        <f t="shared" si="12"/>
        <v>3.3871897506854348E-2</v>
      </c>
      <c r="M76" s="75">
        <f t="shared" si="12"/>
        <v>3.8697194667112564E-2</v>
      </c>
      <c r="N76" s="75" t="e">
        <f t="shared" si="12"/>
        <v>#DIV/0!</v>
      </c>
      <c r="O76" s="75"/>
      <c r="P76" s="75">
        <f t="shared" si="12"/>
        <v>6.5531868458811454E-2</v>
      </c>
      <c r="Q76" s="75">
        <f t="shared" si="12"/>
        <v>0.1479619355401027</v>
      </c>
      <c r="R76" s="75">
        <f t="shared" si="12"/>
        <v>2.6474425718569998E-2</v>
      </c>
      <c r="S76" s="75">
        <f t="shared" si="12"/>
        <v>0.13721569105275072</v>
      </c>
      <c r="T76" s="75">
        <f t="shared" si="12"/>
        <v>0.12580799784953908</v>
      </c>
      <c r="U76" s="75">
        <f t="shared" si="12"/>
        <v>0.14930148720089423</v>
      </c>
      <c r="V76" s="75">
        <f t="shared" si="12"/>
        <v>0.15504929165087178</v>
      </c>
      <c r="W76" s="75">
        <f t="shared" si="12"/>
        <v>0.16219143774332681</v>
      </c>
    </row>
    <row r="77" spans="1:23" s="3" customFormat="1">
      <c r="A77" s="43" t="s">
        <v>42</v>
      </c>
      <c r="B77" s="75">
        <f>(B75*100/$B$75)-100</f>
        <v>0</v>
      </c>
      <c r="C77" s="75">
        <f t="shared" ref="C77:N77" si="13">(C75*100/$B$75)-100</f>
        <v>29.733234410916424</v>
      </c>
      <c r="D77" s="75">
        <f t="shared" si="13"/>
        <v>104.66743502541775</v>
      </c>
      <c r="E77" s="75">
        <f t="shared" si="13"/>
        <v>365.05259315238203</v>
      </c>
      <c r="F77" s="75">
        <f t="shared" si="13"/>
        <v>621.5663157735496</v>
      </c>
      <c r="G77" s="75">
        <f t="shared" si="13"/>
        <v>754.25626211444126</v>
      </c>
      <c r="H77" s="75">
        <f t="shared" si="13"/>
        <v>1196.488574180868</v>
      </c>
      <c r="I77" s="75">
        <f t="shared" si="13"/>
        <v>35.146120725628066</v>
      </c>
      <c r="J77" s="75">
        <f t="shared" si="13"/>
        <v>15.470427786039906</v>
      </c>
      <c r="K77" s="75">
        <f t="shared" si="13"/>
        <v>3.5204915424478855</v>
      </c>
      <c r="L77" s="75">
        <f t="shared" si="13"/>
        <v>2.2578282815788526</v>
      </c>
      <c r="M77" s="75">
        <f t="shared" si="13"/>
        <v>13.264601253197085</v>
      </c>
      <c r="N77" s="75" t="e">
        <f t="shared" si="13"/>
        <v>#DIV/0!</v>
      </c>
      <c r="O77" s="75"/>
      <c r="P77" s="75">
        <f>(P75*100/$P$75)-100</f>
        <v>0</v>
      </c>
      <c r="Q77" s="75">
        <f t="shared" ref="Q77:W77" si="14">(Q75*100/$P$75)-100</f>
        <v>66.61751547582648</v>
      </c>
      <c r="R77" s="75">
        <f t="shared" si="14"/>
        <v>-83.411915994228025</v>
      </c>
      <c r="S77" s="75">
        <f t="shared" si="14"/>
        <v>14.115034102089069</v>
      </c>
      <c r="T77" s="75">
        <f t="shared" si="14"/>
        <v>16.12596280550126</v>
      </c>
      <c r="U77" s="75">
        <f t="shared" si="14"/>
        <v>23.885565799208351</v>
      </c>
      <c r="V77" s="75">
        <f t="shared" si="14"/>
        <v>19.982365266817396</v>
      </c>
      <c r="W77" s="75">
        <f t="shared" si="14"/>
        <v>20.145859730652589</v>
      </c>
    </row>
    <row r="78" spans="1:23" s="3" customFormat="1">
      <c r="A78" s="43" t="s">
        <v>43</v>
      </c>
      <c r="B78" s="75" t="e">
        <f ca="1">[1]!DPTEST(B6:B53)</f>
        <v>#NAME?</v>
      </c>
      <c r="C78" s="75" t="e">
        <f ca="1">[1]!DPTEST(C6:C53)</f>
        <v>#NAME?</v>
      </c>
      <c r="D78" s="75" t="e">
        <f ca="1">[1]!DPTEST(D6:D53)</f>
        <v>#NAME?</v>
      </c>
      <c r="E78" s="75" t="e">
        <f ca="1">[1]!DPTEST(E6:E53)</f>
        <v>#NAME?</v>
      </c>
      <c r="F78" s="75" t="e">
        <f ca="1">[1]!DPTEST(F6:F53)</f>
        <v>#NAME?</v>
      </c>
      <c r="G78" s="75" t="e">
        <f ca="1">[1]!DPTEST(G6:G53)</f>
        <v>#NAME?</v>
      </c>
      <c r="H78" s="75" t="e">
        <f ca="1">[1]!DPTEST(H6:H53)</f>
        <v>#NAME?</v>
      </c>
      <c r="I78" s="75" t="e">
        <f ca="1">[1]!DPTEST(I6:I53)</f>
        <v>#NAME?</v>
      </c>
      <c r="J78" s="75" t="e">
        <f ca="1">[1]!DPTEST(J6:J53)</f>
        <v>#NAME?</v>
      </c>
      <c r="K78" s="75" t="e">
        <f ca="1">[1]!DPTEST(K6:K53)</f>
        <v>#NAME?</v>
      </c>
      <c r="L78" s="75" t="e">
        <f ca="1">[1]!DPTEST(L6:L53)</f>
        <v>#NAME?</v>
      </c>
      <c r="M78" s="75" t="e">
        <f ca="1">[1]!DPTEST(M6:M53)</f>
        <v>#NAME?</v>
      </c>
      <c r="N78" s="75" t="e">
        <f ca="1">[1]!DPTEST(N6:N53)</f>
        <v>#NAME?</v>
      </c>
      <c r="O78" s="75"/>
      <c r="P78" s="75" t="e">
        <f ca="1">[1]!DPTEST(P6:P53)</f>
        <v>#NAME?</v>
      </c>
      <c r="Q78" s="75" t="e">
        <f ca="1">[1]!DPTEST(Q6:Q53)</f>
        <v>#NAME?</v>
      </c>
      <c r="R78" s="75" t="e">
        <f ca="1">[1]!DPTEST(R6:R53)</f>
        <v>#NAME?</v>
      </c>
      <c r="S78" s="75" t="e">
        <f ca="1">[1]!DPTEST(S6:S53)</f>
        <v>#NAME?</v>
      </c>
      <c r="T78" s="75" t="e">
        <f ca="1">[1]!DPTEST(T6:T53)</f>
        <v>#NAME?</v>
      </c>
      <c r="U78" s="75" t="e">
        <f ca="1">[1]!DPTEST(U6:U53)</f>
        <v>#NAME?</v>
      </c>
      <c r="V78" s="75" t="e">
        <f ca="1">[1]!DPTEST(V6:V53)</f>
        <v>#NAME?</v>
      </c>
      <c r="W78" s="75" t="e">
        <f ca="1">[1]!DPTEST(W6:W53)</f>
        <v>#NAME?</v>
      </c>
    </row>
    <row r="79" spans="1:23" s="3" customFormat="1">
      <c r="A79" s="43" t="s">
        <v>47</v>
      </c>
      <c r="B79" s="75" t="e">
        <f ca="1">IF(B78&gt;0.05,"Oui","Non")</f>
        <v>#NAME?</v>
      </c>
      <c r="C79" s="75" t="e">
        <f t="shared" ref="C79:W79" ca="1" si="15">IF(C78&gt;0.05,"Oui","Non")</f>
        <v>#NAME?</v>
      </c>
      <c r="D79" s="75" t="e">
        <f t="shared" ca="1" si="15"/>
        <v>#NAME?</v>
      </c>
      <c r="E79" s="75" t="e">
        <f t="shared" ca="1" si="15"/>
        <v>#NAME?</v>
      </c>
      <c r="F79" s="75" t="e">
        <f t="shared" ca="1" si="15"/>
        <v>#NAME?</v>
      </c>
      <c r="G79" s="75" t="e">
        <f t="shared" ca="1" si="15"/>
        <v>#NAME?</v>
      </c>
      <c r="H79" s="75" t="e">
        <f t="shared" ca="1" si="15"/>
        <v>#NAME?</v>
      </c>
      <c r="I79" s="75" t="e">
        <f t="shared" ca="1" si="15"/>
        <v>#NAME?</v>
      </c>
      <c r="J79" s="75" t="e">
        <f t="shared" ca="1" si="15"/>
        <v>#NAME?</v>
      </c>
      <c r="K79" s="75" t="e">
        <f t="shared" ca="1" si="15"/>
        <v>#NAME?</v>
      </c>
      <c r="L79" s="75" t="e">
        <f t="shared" ca="1" si="15"/>
        <v>#NAME?</v>
      </c>
      <c r="M79" s="75" t="e">
        <f t="shared" ca="1" si="15"/>
        <v>#NAME?</v>
      </c>
      <c r="N79" s="75" t="e">
        <f t="shared" ca="1" si="15"/>
        <v>#NAME?</v>
      </c>
      <c r="O79" s="75"/>
      <c r="P79" s="75" t="e">
        <f t="shared" ca="1" si="15"/>
        <v>#NAME?</v>
      </c>
      <c r="Q79" s="75" t="e">
        <f t="shared" ca="1" si="15"/>
        <v>#NAME?</v>
      </c>
      <c r="R79" s="75" t="e">
        <f t="shared" ca="1" si="15"/>
        <v>#NAME?</v>
      </c>
      <c r="S79" s="75" t="e">
        <f t="shared" ca="1" si="15"/>
        <v>#NAME?</v>
      </c>
      <c r="T79" s="75" t="e">
        <f t="shared" ca="1" si="15"/>
        <v>#NAME?</v>
      </c>
      <c r="U79" s="75" t="e">
        <f t="shared" ca="1" si="15"/>
        <v>#NAME?</v>
      </c>
      <c r="V79" s="75" t="e">
        <f t="shared" ca="1" si="15"/>
        <v>#NAME?</v>
      </c>
      <c r="W79" s="75" t="e">
        <f t="shared" ca="1" si="15"/>
        <v>#NAME?</v>
      </c>
    </row>
    <row r="80" spans="1:23" s="3" customFormat="1">
      <c r="A80" s="43" t="s">
        <v>49</v>
      </c>
      <c r="B80" s="75" t="str">
        <f ca="1">IF(COUNTIF(B79:I79, "Non")=0, "Oui","Non")</f>
        <v>Oui</v>
      </c>
      <c r="C80" s="75"/>
      <c r="D80" s="75"/>
      <c r="E80" s="75"/>
      <c r="F80" s="75"/>
      <c r="G80" s="75"/>
      <c r="H80" s="75"/>
      <c r="I80" s="75"/>
      <c r="J80" s="75" t="str">
        <f ca="1">IF(COUNTIF(J79:N79, "Non")&gt;0, "Oui","Non")</f>
        <v>Non</v>
      </c>
      <c r="K80" s="75"/>
      <c r="L80" s="75"/>
      <c r="M80" s="75"/>
      <c r="N80" s="75"/>
      <c r="O80" s="75"/>
      <c r="P80" s="75"/>
      <c r="Q80" s="75"/>
      <c r="R80" s="75"/>
      <c r="S80" s="75" t="str">
        <f ca="1">IF(COUNTIF(S79:W79, "Non")&gt;0, "Oui","Non")</f>
        <v>Non</v>
      </c>
      <c r="T80" s="75"/>
      <c r="U80" s="75"/>
      <c r="V80" s="75"/>
      <c r="W80" s="75"/>
    </row>
    <row r="81" spans="1:23" s="3" customFormat="1">
      <c r="A81" s="43" t="s">
        <v>44</v>
      </c>
      <c r="B81" s="75"/>
      <c r="C81" s="75" t="s">
        <v>77</v>
      </c>
      <c r="D81" s="75" t="s">
        <v>77</v>
      </c>
      <c r="E81" s="75" t="s">
        <v>77</v>
      </c>
      <c r="F81" s="75" t="s">
        <v>77</v>
      </c>
      <c r="G81" s="75" t="s">
        <v>77</v>
      </c>
      <c r="H81" s="75" t="s">
        <v>77</v>
      </c>
      <c r="I81" s="75" t="s">
        <v>77</v>
      </c>
      <c r="J81" s="75" t="s">
        <v>77</v>
      </c>
      <c r="K81" s="75" t="s">
        <v>77</v>
      </c>
      <c r="L81" s="75" t="s">
        <v>77</v>
      </c>
      <c r="M81" s="75" t="s">
        <v>77</v>
      </c>
      <c r="N81" s="75" t="e">
        <f t="shared" ref="N81" ca="1" si="16">IF($B79="Non",IF(N79="Non","Mann Withney",IF(N79="Oui","Mann Withney","")),IF($B79="Oui",IF(N79="Oui","T-Test Welch",IF(N79="Non","Mann Withney",""))))</f>
        <v>#NAME?</v>
      </c>
      <c r="O81" s="75"/>
      <c r="P81" s="75" t="s">
        <v>82</v>
      </c>
      <c r="Q81" s="75" t="s">
        <v>82</v>
      </c>
      <c r="R81" s="75" t="s">
        <v>82</v>
      </c>
      <c r="S81" s="75" t="s">
        <v>77</v>
      </c>
      <c r="T81" s="75" t="s">
        <v>77</v>
      </c>
      <c r="U81" s="75" t="s">
        <v>77</v>
      </c>
      <c r="V81" s="75" t="s">
        <v>77</v>
      </c>
      <c r="W81" s="75" t="s">
        <v>77</v>
      </c>
    </row>
    <row r="82" spans="1:23" s="3" customFormat="1">
      <c r="A82" s="43" t="s">
        <v>45</v>
      </c>
      <c r="B82" s="75"/>
      <c r="C82" s="75" t="s">
        <v>79</v>
      </c>
      <c r="D82" s="75">
        <v>0.57469999999999999</v>
      </c>
      <c r="E82" s="75" t="s">
        <v>81</v>
      </c>
      <c r="F82" s="75" t="s">
        <v>81</v>
      </c>
      <c r="G82" s="75" t="s">
        <v>81</v>
      </c>
      <c r="H82" s="75" t="s">
        <v>81</v>
      </c>
      <c r="I82" s="75" t="s">
        <v>79</v>
      </c>
      <c r="J82" s="75" t="s">
        <v>79</v>
      </c>
      <c r="K82" s="75" t="s">
        <v>79</v>
      </c>
      <c r="L82" s="75" t="s">
        <v>79</v>
      </c>
      <c r="M82" s="75" t="s">
        <v>79</v>
      </c>
      <c r="N82" s="75" t="e">
        <f ca="1">IF(N81="Mann Withney",[1]!MTEST($B6:$B53,N6:N53,2), IF(N81="T-Test Welch",_xlfn.T.TEST($B6:$B53,N6:N53,2,3),""))</f>
        <v>#NAME?</v>
      </c>
      <c r="O82" s="75"/>
      <c r="P82" s="75" t="s">
        <v>81</v>
      </c>
      <c r="Q82" s="75">
        <v>2.9999999999999997E-4</v>
      </c>
      <c r="R82" s="75" t="s">
        <v>81</v>
      </c>
      <c r="S82" s="75" t="s">
        <v>79</v>
      </c>
      <c r="T82" s="75" t="s">
        <v>79</v>
      </c>
      <c r="U82" s="75" t="s">
        <v>79</v>
      </c>
      <c r="V82" s="75" t="s">
        <v>79</v>
      </c>
      <c r="W82" s="75" t="s">
        <v>79</v>
      </c>
    </row>
    <row r="83" spans="1:23" s="3" customFormat="1" ht="15.75" thickBot="1">
      <c r="A83" s="44" t="s">
        <v>46</v>
      </c>
      <c r="B83" s="76"/>
      <c r="C83" s="76" t="s">
        <v>78</v>
      </c>
      <c r="D83" s="76" t="s">
        <v>78</v>
      </c>
      <c r="E83" s="76" t="s">
        <v>80</v>
      </c>
      <c r="F83" s="76" t="s">
        <v>80</v>
      </c>
      <c r="G83" s="76" t="s">
        <v>80</v>
      </c>
      <c r="H83" s="76" t="s">
        <v>80</v>
      </c>
      <c r="I83" s="76" t="s">
        <v>78</v>
      </c>
      <c r="J83" s="76" t="s">
        <v>78</v>
      </c>
      <c r="K83" s="76" t="s">
        <v>78</v>
      </c>
      <c r="L83" s="76" t="s">
        <v>78</v>
      </c>
      <c r="M83" s="76" t="s">
        <v>78</v>
      </c>
      <c r="N83" s="76" t="e">
        <f t="shared" ref="N83" ca="1" si="17">IF(N82&gt;0.05,"NS",IF(N82&gt;0.01,"*",IF(N82&gt;0.001,"**","***")))</f>
        <v>#NAME?</v>
      </c>
      <c r="O83" s="76"/>
      <c r="P83" s="76" t="s">
        <v>80</v>
      </c>
      <c r="Q83" s="76" t="s">
        <v>83</v>
      </c>
      <c r="R83" s="76" t="s">
        <v>80</v>
      </c>
      <c r="S83" s="76" t="s">
        <v>78</v>
      </c>
      <c r="T83" s="76" t="s">
        <v>78</v>
      </c>
      <c r="U83" s="76" t="s">
        <v>78</v>
      </c>
      <c r="V83" s="76" t="s">
        <v>78</v>
      </c>
      <c r="W83" s="76" t="s">
        <v>78</v>
      </c>
    </row>
    <row r="84" spans="1:23" s="1" customFormat="1"/>
    <row r="85" spans="1:23" s="1" customFormat="1">
      <c r="A85" s="2" t="s">
        <v>20</v>
      </c>
    </row>
    <row r="86" spans="1:23">
      <c r="A86" s="1" t="s">
        <v>13</v>
      </c>
      <c r="B86" s="1">
        <f>B56+(3*B57)</f>
        <v>0.62197232731518759</v>
      </c>
    </row>
    <row r="87" spans="1:23">
      <c r="A87" s="1" t="s">
        <v>14</v>
      </c>
      <c r="B87" s="1">
        <f>B56+(10*B57)</f>
        <v>1.6129134952166322</v>
      </c>
    </row>
    <row r="88" spans="1:23" ht="15.75" thickBot="1"/>
    <row r="89" spans="1:23" s="30" customFormat="1" ht="27" thickBot="1">
      <c r="A89" s="31" t="s">
        <v>34</v>
      </c>
      <c r="B89" s="32"/>
      <c r="C89" s="32"/>
      <c r="D89" s="32"/>
      <c r="E89" s="32"/>
      <c r="F89" s="32"/>
      <c r="G89" s="32"/>
      <c r="H89" s="32"/>
      <c r="I89" s="32"/>
      <c r="J89" s="32"/>
      <c r="K89" s="32"/>
      <c r="L89" s="32"/>
      <c r="M89" s="32"/>
      <c r="N89" s="32"/>
      <c r="O89" s="32"/>
      <c r="P89" s="32"/>
      <c r="Q89" s="32"/>
      <c r="R89" s="32"/>
      <c r="S89" s="32"/>
      <c r="T89" s="32"/>
      <c r="U89" s="32"/>
      <c r="V89" s="32"/>
      <c r="W89" s="32"/>
    </row>
    <row r="90" spans="1:23" ht="15.75" thickBot="1"/>
    <row r="91" spans="1:23" s="30" customFormat="1" ht="27" thickBot="1">
      <c r="A91" s="31" t="s">
        <v>35</v>
      </c>
      <c r="B91" s="32"/>
      <c r="C91" s="32"/>
      <c r="D91" s="32"/>
      <c r="E91" s="32"/>
      <c r="F91" s="32"/>
      <c r="G91" s="32"/>
      <c r="H91" s="32"/>
      <c r="I91" s="32"/>
      <c r="J91" s="32"/>
      <c r="K91" s="32"/>
      <c r="L91" s="32"/>
      <c r="M91" s="32"/>
      <c r="N91" s="32"/>
      <c r="O91" s="32"/>
      <c r="P91" s="32"/>
      <c r="Q91" s="32"/>
      <c r="R91" s="32"/>
      <c r="S91" s="32"/>
      <c r="T91" s="32"/>
      <c r="U91" s="32"/>
      <c r="V91" s="32"/>
      <c r="W91" s="32"/>
    </row>
    <row r="92" spans="1:23" ht="15.75" thickBot="1"/>
    <row r="93" spans="1:23" s="30" customFormat="1" ht="27" thickBot="1">
      <c r="A93" s="153" t="s">
        <v>36</v>
      </c>
      <c r="B93" s="154"/>
      <c r="C93" s="154"/>
      <c r="D93" s="154"/>
      <c r="E93" s="154"/>
      <c r="F93" s="154"/>
      <c r="G93" s="154"/>
      <c r="H93" s="154"/>
      <c r="I93" s="154"/>
      <c r="J93" s="154"/>
      <c r="K93" s="154"/>
      <c r="L93" s="154"/>
      <c r="M93" s="154"/>
      <c r="N93" s="154"/>
      <c r="O93" s="154"/>
      <c r="P93" s="154"/>
      <c r="Q93" s="154"/>
      <c r="R93" s="154"/>
      <c r="S93" s="154"/>
      <c r="T93" s="154"/>
      <c r="U93" s="154"/>
      <c r="V93" s="154"/>
      <c r="W93" s="154"/>
    </row>
    <row r="94" spans="1:23">
      <c r="B94" s="1">
        <f t="shared" ref="B94:V94" si="18">B75/$B$75</f>
        <v>1</v>
      </c>
      <c r="C94" s="1">
        <f t="shared" si="18"/>
        <v>1.2973323441091644</v>
      </c>
      <c r="D94" s="1">
        <f t="shared" si="18"/>
        <v>2.0466743502541775</v>
      </c>
      <c r="E94" s="1">
        <f t="shared" si="18"/>
        <v>4.6505259315238208</v>
      </c>
      <c r="F94" s="1">
        <f t="shared" si="18"/>
        <v>7.215663157735495</v>
      </c>
      <c r="G94" s="1">
        <f t="shared" si="18"/>
        <v>8.5425626211444126</v>
      </c>
      <c r="H94" s="1">
        <f>H75/$B$75</f>
        <v>12.964885741808681</v>
      </c>
      <c r="I94" s="1">
        <f t="shared" si="18"/>
        <v>1.3514612072562806</v>
      </c>
      <c r="J94" s="1">
        <f t="shared" si="18"/>
        <v>1.1547042778603991</v>
      </c>
      <c r="K94" s="1">
        <f t="shared" si="18"/>
        <v>1.0352049154244789</v>
      </c>
      <c r="L94" s="1">
        <f t="shared" si="18"/>
        <v>1.0225782828157886</v>
      </c>
      <c r="M94" s="1">
        <f t="shared" si="18"/>
        <v>1.1326460125319708</v>
      </c>
      <c r="N94" s="1" t="e">
        <f t="shared" si="18"/>
        <v>#DIV/0!</v>
      </c>
      <c r="O94" s="1">
        <f t="shared" si="18"/>
        <v>0</v>
      </c>
      <c r="P94" s="1">
        <f t="shared" si="18"/>
        <v>5.0688539084995385</v>
      </c>
      <c r="Q94" s="1">
        <f t="shared" si="18"/>
        <v>8.445598445441254</v>
      </c>
      <c r="R94" s="1">
        <f t="shared" si="18"/>
        <v>0.84082574447175984</v>
      </c>
      <c r="S94" s="1">
        <f t="shared" si="18"/>
        <v>5.7843243662693231</v>
      </c>
      <c r="T94" s="1">
        <f t="shared" si="18"/>
        <v>5.8862554044493711</v>
      </c>
      <c r="U94" s="1">
        <f t="shared" si="18"/>
        <v>6.2795783440799395</v>
      </c>
      <c r="V94" s="1">
        <f t="shared" si="18"/>
        <v>6.0817308113372661</v>
      </c>
    </row>
    <row r="97" spans="5:28">
      <c r="X97" s="119"/>
      <c r="Y97" s="119"/>
      <c r="Z97" s="119"/>
      <c r="AA97" s="119"/>
      <c r="AB97" s="119"/>
    </row>
    <row r="98" spans="5:28">
      <c r="J98" s="119"/>
      <c r="K98" s="119"/>
      <c r="U98" s="119"/>
      <c r="V98" s="119"/>
      <c r="X98" s="119"/>
      <c r="Y98" s="119"/>
      <c r="Z98" s="119"/>
      <c r="AA98" s="119"/>
      <c r="AB98" s="119"/>
    </row>
    <row r="99" spans="5:28">
      <c r="E99" s="119"/>
      <c r="F99" s="119"/>
      <c r="G99" s="119"/>
      <c r="H99" s="119"/>
      <c r="J99" s="119"/>
      <c r="K99" s="119"/>
      <c r="L99" s="119"/>
      <c r="M99" s="119"/>
      <c r="N99" s="119"/>
      <c r="O99" s="119"/>
      <c r="P99" s="119"/>
      <c r="Q99" s="119"/>
      <c r="U99" s="119"/>
      <c r="V99" s="119"/>
    </row>
    <row r="100" spans="5:28">
      <c r="E100" s="119"/>
      <c r="F100" s="119"/>
      <c r="G100" s="119"/>
      <c r="H100" s="119"/>
      <c r="J100" s="119"/>
      <c r="K100" s="119"/>
      <c r="L100" s="119"/>
      <c r="M100" s="119"/>
      <c r="N100" s="119"/>
      <c r="O100" s="119"/>
      <c r="P100" s="119"/>
      <c r="Q100" s="119"/>
      <c r="U100" s="119"/>
      <c r="V100" s="119"/>
    </row>
    <row r="101" spans="5:28">
      <c r="E101" s="119"/>
      <c r="F101" s="119"/>
      <c r="J101" s="119"/>
      <c r="K101" s="119"/>
      <c r="U101" s="119"/>
      <c r="V101" s="119"/>
    </row>
    <row r="102" spans="5:28">
      <c r="E102" s="119"/>
      <c r="F102" s="119"/>
      <c r="J102" s="119"/>
      <c r="K102" s="119"/>
      <c r="U102" s="119"/>
      <c r="V102" s="119"/>
    </row>
    <row r="103" spans="5:28">
      <c r="E103" s="119"/>
      <c r="F103" s="119"/>
    </row>
    <row r="104" spans="5:28">
      <c r="E104" s="119"/>
      <c r="F104" s="119"/>
    </row>
  </sheetData>
  <mergeCells count="10">
    <mergeCell ref="A7:A21"/>
    <mergeCell ref="A23:A37"/>
    <mergeCell ref="A93:W93"/>
    <mergeCell ref="P3:W3"/>
    <mergeCell ref="B3:N3"/>
    <mergeCell ref="A60:W60"/>
    <mergeCell ref="A72:W72"/>
    <mergeCell ref="A70:W70"/>
    <mergeCell ref="A65:W65"/>
    <mergeCell ref="A39:A53"/>
  </mergeCells>
  <phoneticPr fontId="12"/>
  <pageMargins left="0.7" right="0.7" top="0.75" bottom="0.75" header="0.3" footer="0.3"/>
  <pageSetup paperSize="9" orientation="portrait" r:id="rId1"/>
  <headerFooter>
    <oddHeader>&amp;C&amp;"-,Gras"&amp;14Données poolées normalisées&amp;R&amp;"-,Gras"&amp;14Page : &amp;P/&amp;P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AD097C-37BD-4146-9338-ED4CCA746B80}">
  <ds:schemaRefs>
    <ds:schemaRef ds:uri="http://schemas.microsoft.com/sharepoint/v3/contenttype/forms"/>
  </ds:schemaRefs>
</ds:datastoreItem>
</file>

<file path=customXml/itemProps2.xml><?xml version="1.0" encoding="utf-8"?>
<ds:datastoreItem xmlns:ds="http://schemas.openxmlformats.org/officeDocument/2006/customXml" ds:itemID="{6C18F714-E419-4697-A5D5-6E9D0E2D85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2023-04-03T08:27:47Z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2023-04-03T08:27:47Z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b48d68e5-0f8d-4c0a-8548-0afec5d60074</vt:lpwstr>
  </property>
  <property fmtid="{D5CDD505-2E9C-101B-9397-08002B2CF9AE}" pid="8" name="MSIP_Label_06530cf4-8573-4c29-a912-bbcdac835909_ContentBits">
    <vt:lpwstr>2</vt:lpwstr>
  </property>
</Properties>
</file>