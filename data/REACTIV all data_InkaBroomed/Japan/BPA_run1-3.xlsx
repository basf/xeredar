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5" documentId="13_ncr:1_{6F5E9CA0-DCF5-4721-9D87-8E53867FF813}" xr6:coauthVersionLast="47" xr6:coauthVersionMax="47" xr10:uidLastSave="{EE230ED7-6DE8-4440-B5CC-8D67377B1B15}"/>
  <bookViews>
    <workbookView xWindow="-120" yWindow="-120" windowWidth="29040" windowHeight="15840" firstSheet="1"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 r:id="rId11"/>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0" l="1"/>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M78" i="4"/>
  <c r="J78" i="4"/>
  <c r="L78" i="4"/>
  <c r="G78" i="4"/>
  <c r="I78" i="4"/>
  <c r="T78" i="4"/>
  <c r="Q78" i="4"/>
  <c r="E78" i="4"/>
  <c r="K78" i="4"/>
  <c r="O78" i="4"/>
  <c r="C78" i="4"/>
  <c r="D78" i="4"/>
  <c r="N78" i="4"/>
  <c r="W78" i="4"/>
  <c r="R78" i="4"/>
  <c r="B78" i="4"/>
  <c r="F78" i="4"/>
  <c r="S78" i="4"/>
  <c r="P78" i="4"/>
  <c r="H78" i="4"/>
  <c r="V78" i="4"/>
  <c r="U78" i="4"/>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V43" i="33"/>
  <c r="W53" i="4" s="1"/>
  <c r="U43" i="33"/>
  <c r="V53" i="4" s="1"/>
  <c r="T43" i="33"/>
  <c r="U53" i="4" s="1"/>
  <c r="S43" i="33"/>
  <c r="T53" i="4" s="1"/>
  <c r="R43" i="33"/>
  <c r="S53" i="4" s="1"/>
  <c r="Q43" i="33"/>
  <c r="R53" i="4" s="1"/>
  <c r="P43" i="33"/>
  <c r="Q53" i="4" s="1"/>
  <c r="N43" i="33"/>
  <c r="N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W52" i="4" s="1"/>
  <c r="U42" i="33"/>
  <c r="V52" i="4" s="1"/>
  <c r="T42" i="33"/>
  <c r="U52" i="4" s="1"/>
  <c r="S42" i="33"/>
  <c r="T52" i="4" s="1"/>
  <c r="R42" i="33"/>
  <c r="S52" i="4" s="1"/>
  <c r="Q42" i="33"/>
  <c r="R52" i="4" s="1"/>
  <c r="P42" i="33"/>
  <c r="Q52" i="4" s="1"/>
  <c r="O42" i="33"/>
  <c r="P52" i="4" s="1"/>
  <c r="N42" i="33"/>
  <c r="N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W51" i="4" s="1"/>
  <c r="U41" i="33"/>
  <c r="V51" i="4" s="1"/>
  <c r="T41" i="33"/>
  <c r="U51" i="4" s="1"/>
  <c r="S41" i="33"/>
  <c r="T51" i="4" s="1"/>
  <c r="R41" i="33"/>
  <c r="S51" i="4" s="1"/>
  <c r="Q41" i="33"/>
  <c r="R51" i="4" s="1"/>
  <c r="P41" i="33"/>
  <c r="Q51" i="4" s="1"/>
  <c r="N41" i="33"/>
  <c r="N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W50" i="4" s="1"/>
  <c r="U40" i="33"/>
  <c r="V50" i="4" s="1"/>
  <c r="T40" i="33"/>
  <c r="U50" i="4" s="1"/>
  <c r="S40" i="33"/>
  <c r="T50" i="4" s="1"/>
  <c r="R40" i="33"/>
  <c r="S50" i="4" s="1"/>
  <c r="Q40" i="33"/>
  <c r="R50" i="4" s="1"/>
  <c r="P40" i="33"/>
  <c r="Q50" i="4" s="1"/>
  <c r="N40" i="33"/>
  <c r="N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W49" i="4" s="1"/>
  <c r="U39" i="33"/>
  <c r="V49" i="4" s="1"/>
  <c r="T39" i="33"/>
  <c r="U49" i="4" s="1"/>
  <c r="S39" i="33"/>
  <c r="T49" i="4" s="1"/>
  <c r="R39" i="33"/>
  <c r="S49" i="4" s="1"/>
  <c r="Q39" i="33"/>
  <c r="R49" i="4" s="1"/>
  <c r="P39" i="33"/>
  <c r="Q49" i="4" s="1"/>
  <c r="N39" i="33"/>
  <c r="N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W48" i="4" s="1"/>
  <c r="U38" i="33"/>
  <c r="V48" i="4" s="1"/>
  <c r="T38" i="33"/>
  <c r="U48" i="4" s="1"/>
  <c r="S38" i="33"/>
  <c r="T48" i="4" s="1"/>
  <c r="R38" i="33"/>
  <c r="S48" i="4" s="1"/>
  <c r="Q38" i="33"/>
  <c r="R48" i="4" s="1"/>
  <c r="P38" i="33"/>
  <c r="Q48" i="4" s="1"/>
  <c r="O38" i="33"/>
  <c r="P48" i="4" s="1"/>
  <c r="N38" i="33"/>
  <c r="N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W47" i="4" s="1"/>
  <c r="U37" i="33"/>
  <c r="V47" i="4" s="1"/>
  <c r="T37" i="33"/>
  <c r="U47" i="4" s="1"/>
  <c r="S37" i="33"/>
  <c r="T47" i="4" s="1"/>
  <c r="R37" i="33"/>
  <c r="S47" i="4" s="1"/>
  <c r="Q37" i="33"/>
  <c r="R47" i="4" s="1"/>
  <c r="P37" i="33"/>
  <c r="Q47" i="4" s="1"/>
  <c r="N37" i="33"/>
  <c r="N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W46" i="4" s="1"/>
  <c r="U36" i="33"/>
  <c r="V46" i="4" s="1"/>
  <c r="T36" i="33"/>
  <c r="U46" i="4" s="1"/>
  <c r="S36" i="33"/>
  <c r="T46" i="4" s="1"/>
  <c r="R36" i="33"/>
  <c r="S46" i="4" s="1"/>
  <c r="Q36" i="33"/>
  <c r="R46" i="4" s="1"/>
  <c r="P36" i="33"/>
  <c r="Q46" i="4" s="1"/>
  <c r="N36" i="33"/>
  <c r="N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P35" i="33"/>
  <c r="Q45" i="4" s="1"/>
  <c r="N35" i="33"/>
  <c r="N45" i="4" s="1"/>
  <c r="N34" i="33"/>
  <c r="N44" i="4" s="1"/>
  <c r="N33" i="33"/>
  <c r="N43" i="4" s="1"/>
  <c r="P32" i="33"/>
  <c r="Q42" i="4" s="1"/>
  <c r="N32" i="33"/>
  <c r="N42" i="4" s="1"/>
  <c r="N31" i="33"/>
  <c r="N41" i="4" s="1"/>
  <c r="N30" i="33"/>
  <c r="N40" i="4" s="1"/>
  <c r="N29" i="33"/>
  <c r="N39" i="4" s="1"/>
  <c r="N28" i="33"/>
  <c r="J28" i="33"/>
  <c r="V24" i="33"/>
  <c r="U24" i="33"/>
  <c r="T24" i="33"/>
  <c r="S24" i="33"/>
  <c r="R24" i="33"/>
  <c r="Q24" i="33"/>
  <c r="P24" i="33"/>
  <c r="O24" i="33"/>
  <c r="N24" i="33"/>
  <c r="L24" i="33"/>
  <c r="J24" i="33"/>
  <c r="I24" i="33"/>
  <c r="H24" i="33"/>
  <c r="G24" i="33"/>
  <c r="F24" i="33"/>
  <c r="E24" i="33"/>
  <c r="D24" i="33"/>
  <c r="C24" i="33"/>
  <c r="B24" i="33"/>
  <c r="V23" i="33"/>
  <c r="U23" i="33"/>
  <c r="T23" i="33"/>
  <c r="S23" i="33"/>
  <c r="R23" i="33"/>
  <c r="Q23" i="33"/>
  <c r="P23" i="33"/>
  <c r="O23" i="33"/>
  <c r="O43" i="33" s="1"/>
  <c r="P53" i="4" s="1"/>
  <c r="N23" i="33"/>
  <c r="L23" i="33"/>
  <c r="J23" i="33"/>
  <c r="I23" i="33"/>
  <c r="H23" i="33"/>
  <c r="G23" i="33"/>
  <c r="F23" i="33"/>
  <c r="E23" i="33"/>
  <c r="D23" i="33"/>
  <c r="C23" i="33"/>
  <c r="B23" i="33"/>
  <c r="A22" i="33"/>
  <c r="H22" i="33"/>
  <c r="G45" i="33"/>
  <c r="F27" i="33"/>
  <c r="F52" i="33" s="1"/>
  <c r="E45" i="33"/>
  <c r="D22" i="33"/>
  <c r="C45" i="33"/>
  <c r="B45" i="33"/>
  <c r="O56" i="33"/>
  <c r="N56" i="33"/>
  <c r="V56" i="33"/>
  <c r="Q56" i="33"/>
  <c r="K56" i="33"/>
  <c r="J56" i="33"/>
  <c r="M56" i="33"/>
  <c r="L56" i="33"/>
  <c r="T56" i="33"/>
  <c r="C56" i="33"/>
  <c r="F56" i="33"/>
  <c r="R56" i="33"/>
  <c r="E56" i="33"/>
  <c r="G56" i="33"/>
  <c r="H56" i="33"/>
  <c r="S56" i="33"/>
  <c r="B56" i="33"/>
  <c r="I56" i="33"/>
  <c r="P56" i="33"/>
  <c r="U56" i="33"/>
  <c r="D56" i="33"/>
  <c r="P34" i="33" l="1"/>
  <c r="Q44" i="4" s="1"/>
  <c r="M29" i="33"/>
  <c r="M39" i="4" s="1"/>
  <c r="Q35" i="33"/>
  <c r="R45" i="4" s="1"/>
  <c r="P33" i="33"/>
  <c r="Q43" i="4" s="1"/>
  <c r="J30" i="33"/>
  <c r="J40" i="4" s="1"/>
  <c r="Q33" i="33"/>
  <c r="R43" i="4" s="1"/>
  <c r="K31" i="33"/>
  <c r="K41" i="4" s="1"/>
  <c r="O34" i="33"/>
  <c r="P44" i="4" s="1"/>
  <c r="F28" i="33"/>
  <c r="I29" i="33"/>
  <c r="I39" i="4" s="1"/>
  <c r="F30" i="33"/>
  <c r="F40" i="4" s="1"/>
  <c r="G31" i="33"/>
  <c r="G41" i="4" s="1"/>
  <c r="L32" i="33"/>
  <c r="L42" i="4" s="1"/>
  <c r="P28" i="33"/>
  <c r="P29" i="33"/>
  <c r="Q39" i="4" s="1"/>
  <c r="O30" i="33"/>
  <c r="P40" i="4" s="1"/>
  <c r="P31" i="33"/>
  <c r="Q41" i="4" s="1"/>
  <c r="Q32" i="33"/>
  <c r="R42" i="4" s="1"/>
  <c r="R33" i="33"/>
  <c r="S43" i="4" s="1"/>
  <c r="Q34" i="33"/>
  <c r="R44" i="4" s="1"/>
  <c r="T35" i="33"/>
  <c r="U45" i="4" s="1"/>
  <c r="Q28" i="33"/>
  <c r="Q46" i="33" s="1"/>
  <c r="Q53" i="33" s="1"/>
  <c r="Q29" i="33"/>
  <c r="R39" i="4" s="1"/>
  <c r="P30" i="33"/>
  <c r="Q40" i="4" s="1"/>
  <c r="Q31" i="33"/>
  <c r="R41" i="4" s="1"/>
  <c r="U32" i="33"/>
  <c r="V42" i="4" s="1"/>
  <c r="V33" i="33"/>
  <c r="W43" i="4" s="1"/>
  <c r="S34" i="33"/>
  <c r="T44" i="4" s="1"/>
  <c r="R28" i="33"/>
  <c r="R29" i="33"/>
  <c r="S39" i="4" s="1"/>
  <c r="Q30" i="33"/>
  <c r="R40" i="4" s="1"/>
  <c r="T31" i="33"/>
  <c r="U41" i="4" s="1"/>
  <c r="E33" i="33"/>
  <c r="E43" i="4" s="1"/>
  <c r="B34" i="33"/>
  <c r="B44" i="4" s="1"/>
  <c r="C35" i="33"/>
  <c r="C45" i="4" s="1"/>
  <c r="V28" i="33"/>
  <c r="V29" i="33"/>
  <c r="W39" i="4" s="1"/>
  <c r="S30" i="33"/>
  <c r="T40" i="4" s="1"/>
  <c r="D32" i="33"/>
  <c r="D42" i="4" s="1"/>
  <c r="I33" i="33"/>
  <c r="I43" i="4" s="1"/>
  <c r="F34" i="33"/>
  <c r="F44" i="4" s="1"/>
  <c r="G35" i="33"/>
  <c r="G45" i="4" s="1"/>
  <c r="B28" i="33"/>
  <c r="E29" i="33"/>
  <c r="E39" i="4" s="1"/>
  <c r="B30" i="33"/>
  <c r="B40" i="4" s="1"/>
  <c r="C31" i="33"/>
  <c r="C41" i="4" s="1"/>
  <c r="H32" i="33"/>
  <c r="H42" i="4" s="1"/>
  <c r="M33" i="33"/>
  <c r="M43" i="4" s="1"/>
  <c r="J34" i="33"/>
  <c r="J44" i="4" s="1"/>
  <c r="K35" i="33"/>
  <c r="K45" i="4" s="1"/>
  <c r="C28" i="33"/>
  <c r="K28" i="33"/>
  <c r="S28" i="33"/>
  <c r="B29" i="33"/>
  <c r="B39" i="4" s="1"/>
  <c r="F29" i="33"/>
  <c r="F39" i="4" s="1"/>
  <c r="J29" i="33"/>
  <c r="J39" i="4" s="1"/>
  <c r="O29" i="33"/>
  <c r="P39" i="4" s="1"/>
  <c r="E32" i="33"/>
  <c r="E42" i="4" s="1"/>
  <c r="I32" i="33"/>
  <c r="I42" i="4" s="1"/>
  <c r="R32" i="33"/>
  <c r="S42" i="4" s="1"/>
  <c r="B33" i="33"/>
  <c r="B43" i="4" s="1"/>
  <c r="F33" i="33"/>
  <c r="F43" i="4" s="1"/>
  <c r="J33" i="33"/>
  <c r="J43" i="4" s="1"/>
  <c r="O33" i="33"/>
  <c r="P43" i="4" s="1"/>
  <c r="C34" i="33"/>
  <c r="C44" i="4" s="1"/>
  <c r="G34" i="33"/>
  <c r="G44" i="4" s="1"/>
  <c r="K34" i="33"/>
  <c r="K44" i="4" s="1"/>
  <c r="T34" i="33"/>
  <c r="U44" i="4" s="1"/>
  <c r="H35" i="33"/>
  <c r="H45" i="4" s="1"/>
  <c r="L35" i="33"/>
  <c r="L45" i="4" s="1"/>
  <c r="U35" i="33"/>
  <c r="V45" i="4" s="1"/>
  <c r="O37" i="33"/>
  <c r="P47" i="4" s="1"/>
  <c r="O41" i="33"/>
  <c r="P51" i="4" s="1"/>
  <c r="D28" i="33"/>
  <c r="D38" i="4" s="1"/>
  <c r="H28" i="33"/>
  <c r="L28" i="33"/>
  <c r="T28" i="33"/>
  <c r="C29" i="33"/>
  <c r="C39" i="4" s="1"/>
  <c r="G29" i="33"/>
  <c r="G39" i="4" s="1"/>
  <c r="K29" i="33"/>
  <c r="K39" i="4" s="1"/>
  <c r="T29" i="33"/>
  <c r="U39" i="4" s="1"/>
  <c r="D30" i="33"/>
  <c r="D40" i="4" s="1"/>
  <c r="H30" i="33"/>
  <c r="H40" i="4" s="1"/>
  <c r="L30" i="33"/>
  <c r="L40" i="4" s="1"/>
  <c r="U30" i="33"/>
  <c r="V40" i="4" s="1"/>
  <c r="E31" i="33"/>
  <c r="E41" i="4" s="1"/>
  <c r="I31" i="33"/>
  <c r="I41" i="4" s="1"/>
  <c r="M31" i="33"/>
  <c r="M41" i="4" s="1"/>
  <c r="R31" i="33"/>
  <c r="S41" i="4" s="1"/>
  <c r="V31" i="33"/>
  <c r="W41" i="4" s="1"/>
  <c r="B32" i="33"/>
  <c r="B42" i="4" s="1"/>
  <c r="F32" i="33"/>
  <c r="F42" i="4" s="1"/>
  <c r="J32" i="33"/>
  <c r="J42" i="4" s="1"/>
  <c r="O32" i="33"/>
  <c r="P42" i="4" s="1"/>
  <c r="S32" i="33"/>
  <c r="T42" i="4" s="1"/>
  <c r="C33" i="33"/>
  <c r="C43" i="4" s="1"/>
  <c r="G33" i="33"/>
  <c r="G43" i="4" s="1"/>
  <c r="K33" i="33"/>
  <c r="K43" i="4" s="1"/>
  <c r="T33" i="33"/>
  <c r="U43" i="4" s="1"/>
  <c r="D34" i="33"/>
  <c r="D44" i="4" s="1"/>
  <c r="H34" i="33"/>
  <c r="H44" i="4" s="1"/>
  <c r="L34" i="33"/>
  <c r="L44" i="4" s="1"/>
  <c r="U34" i="33"/>
  <c r="V44" i="4" s="1"/>
  <c r="E35" i="33"/>
  <c r="E45" i="4" s="1"/>
  <c r="I35" i="33"/>
  <c r="I45" i="4" s="1"/>
  <c r="M35" i="33"/>
  <c r="M45" i="4" s="1"/>
  <c r="R35" i="33"/>
  <c r="S45" i="4" s="1"/>
  <c r="V35" i="33"/>
  <c r="W45" i="4" s="1"/>
  <c r="O36" i="33"/>
  <c r="P46" i="4" s="1"/>
  <c r="O40" i="33"/>
  <c r="P50" i="4" s="1"/>
  <c r="G28" i="33"/>
  <c r="G47" i="33" s="1"/>
  <c r="G48" i="33" s="1"/>
  <c r="G54" i="33" s="1"/>
  <c r="O28" i="33"/>
  <c r="P38" i="4" s="1"/>
  <c r="S29" i="33"/>
  <c r="T39" i="4" s="1"/>
  <c r="C30" i="33"/>
  <c r="C40" i="4" s="1"/>
  <c r="G30" i="33"/>
  <c r="G40" i="4" s="1"/>
  <c r="K30" i="33"/>
  <c r="K40" i="4" s="1"/>
  <c r="T30" i="33"/>
  <c r="U40" i="4" s="1"/>
  <c r="D31" i="33"/>
  <c r="D41" i="4" s="1"/>
  <c r="H31" i="33"/>
  <c r="H41" i="4" s="1"/>
  <c r="L31" i="33"/>
  <c r="L41" i="4" s="1"/>
  <c r="U31" i="33"/>
  <c r="V41" i="4" s="1"/>
  <c r="M32" i="33"/>
  <c r="M42" i="4" s="1"/>
  <c r="V32" i="33"/>
  <c r="W42" i="4" s="1"/>
  <c r="S33" i="33"/>
  <c r="T43" i="4" s="1"/>
  <c r="D35" i="33"/>
  <c r="D45" i="4" s="1"/>
  <c r="E28" i="33"/>
  <c r="E38" i="4" s="1"/>
  <c r="I28" i="33"/>
  <c r="I46" i="33" s="1"/>
  <c r="I53" i="33" s="1"/>
  <c r="M28" i="33"/>
  <c r="U28" i="33"/>
  <c r="V38" i="4" s="1"/>
  <c r="D29" i="33"/>
  <c r="D39" i="4" s="1"/>
  <c r="H29" i="33"/>
  <c r="H39" i="4" s="1"/>
  <c r="L29" i="33"/>
  <c r="L39" i="4" s="1"/>
  <c r="U29" i="33"/>
  <c r="V39" i="4" s="1"/>
  <c r="E30" i="33"/>
  <c r="E40" i="4" s="1"/>
  <c r="I30" i="33"/>
  <c r="I40" i="4" s="1"/>
  <c r="M30" i="33"/>
  <c r="M40" i="4" s="1"/>
  <c r="R30" i="33"/>
  <c r="S40" i="4" s="1"/>
  <c r="V30" i="33"/>
  <c r="W40" i="4" s="1"/>
  <c r="B31" i="33"/>
  <c r="B41" i="4" s="1"/>
  <c r="F31" i="33"/>
  <c r="F41" i="4" s="1"/>
  <c r="J31" i="33"/>
  <c r="J41" i="4" s="1"/>
  <c r="O31" i="33"/>
  <c r="P41" i="4" s="1"/>
  <c r="S31" i="33"/>
  <c r="T41" i="4" s="1"/>
  <c r="C32" i="33"/>
  <c r="C42" i="4" s="1"/>
  <c r="G32" i="33"/>
  <c r="G42" i="4" s="1"/>
  <c r="K32" i="33"/>
  <c r="K42" i="4" s="1"/>
  <c r="T32" i="33"/>
  <c r="U42" i="4" s="1"/>
  <c r="D33" i="33"/>
  <c r="D43" i="4" s="1"/>
  <c r="H33" i="33"/>
  <c r="H43" i="4" s="1"/>
  <c r="L33" i="33"/>
  <c r="L43" i="4" s="1"/>
  <c r="U33" i="33"/>
  <c r="V43" i="4" s="1"/>
  <c r="E34" i="33"/>
  <c r="E44" i="4" s="1"/>
  <c r="I34" i="33"/>
  <c r="I44" i="4" s="1"/>
  <c r="M34" i="33"/>
  <c r="M44" i="4" s="1"/>
  <c r="R34" i="33"/>
  <c r="S44" i="4" s="1"/>
  <c r="V34" i="33"/>
  <c r="W44" i="4" s="1"/>
  <c r="B35" i="33"/>
  <c r="B45" i="4" s="1"/>
  <c r="F35" i="33"/>
  <c r="F45" i="4" s="1"/>
  <c r="J35" i="33"/>
  <c r="J45" i="4" s="1"/>
  <c r="O35" i="33"/>
  <c r="P45" i="4" s="1"/>
  <c r="S35" i="33"/>
  <c r="T45" i="4" s="1"/>
  <c r="O39" i="33"/>
  <c r="P49" i="4" s="1"/>
  <c r="H38" i="4"/>
  <c r="W38" i="4"/>
  <c r="S38" i="4"/>
  <c r="B38" i="4"/>
  <c r="N46" i="33"/>
  <c r="N53" i="33" s="1"/>
  <c r="B22" i="33"/>
  <c r="E22" i="33"/>
  <c r="I45" i="33"/>
  <c r="I52" i="33"/>
  <c r="I27" i="33"/>
  <c r="C38" i="4"/>
  <c r="K38" i="4"/>
  <c r="U38" i="4"/>
  <c r="B27" i="33"/>
  <c r="B52" i="33" s="1"/>
  <c r="L38" i="4"/>
  <c r="D27" i="33"/>
  <c r="D52" i="33" s="1"/>
  <c r="I22" i="33"/>
  <c r="E27" i="33"/>
  <c r="E52" i="33" s="1"/>
  <c r="F38" i="4"/>
  <c r="F47" i="33"/>
  <c r="F48" i="33" s="1"/>
  <c r="F54" i="33" s="1"/>
  <c r="J38" i="4"/>
  <c r="N38" i="4"/>
  <c r="N47" i="33"/>
  <c r="N48" i="33" s="1"/>
  <c r="N54" i="33" s="1"/>
  <c r="T38" i="4"/>
  <c r="D45" i="33"/>
  <c r="G57" i="33"/>
  <c r="N57" i="33"/>
  <c r="T57" i="33"/>
  <c r="H57" i="33"/>
  <c r="O57" i="33"/>
  <c r="U57" i="33"/>
  <c r="C57" i="33"/>
  <c r="J57" i="33"/>
  <c r="P57" i="33"/>
  <c r="D57" i="33"/>
  <c r="L57" i="33"/>
  <c r="S57" i="33"/>
  <c r="F57" i="33"/>
  <c r="K57" i="33"/>
  <c r="Q57" i="33"/>
  <c r="B57" i="33"/>
  <c r="E57" i="33"/>
  <c r="I57" i="33"/>
  <c r="M57" i="33"/>
  <c r="R57" i="33"/>
  <c r="V57" i="33"/>
  <c r="F22" i="33"/>
  <c r="V47" i="33"/>
  <c r="V48" i="33" s="1"/>
  <c r="V54" i="33" s="1"/>
  <c r="F45" i="33"/>
  <c r="G22" i="33"/>
  <c r="G27" i="33"/>
  <c r="G52" i="33" s="1"/>
  <c r="C22" i="33"/>
  <c r="C27" i="33"/>
  <c r="C52" i="33" s="1"/>
  <c r="H27" i="33"/>
  <c r="H52" i="33" s="1"/>
  <c r="H45" i="33"/>
  <c r="G38" i="4" l="1"/>
  <c r="M47" i="33"/>
  <c r="M48" i="33" s="1"/>
  <c r="M54" i="33" s="1"/>
  <c r="P46" i="33"/>
  <c r="P53" i="33" s="1"/>
  <c r="L47" i="33"/>
  <c r="L48" i="33" s="1"/>
  <c r="L54" i="33" s="1"/>
  <c r="Q47" i="33"/>
  <c r="Q48" i="33" s="1"/>
  <c r="Q54" i="33" s="1"/>
  <c r="H47" i="33"/>
  <c r="H48" i="33" s="1"/>
  <c r="H54" i="33" s="1"/>
  <c r="R46" i="33"/>
  <c r="R53" i="33" s="1"/>
  <c r="P47" i="33"/>
  <c r="P48" i="33" s="1"/>
  <c r="P54" i="33" s="1"/>
  <c r="T47" i="33"/>
  <c r="T48" i="33" s="1"/>
  <c r="T54" i="33" s="1"/>
  <c r="S47" i="33"/>
  <c r="S48" i="33" s="1"/>
  <c r="S54" i="33" s="1"/>
  <c r="M38" i="4"/>
  <c r="Q38" i="4"/>
  <c r="I38" i="4"/>
  <c r="T46" i="33"/>
  <c r="T53" i="33" s="1"/>
  <c r="T55" i="33" s="1"/>
  <c r="R38" i="4"/>
  <c r="E47" i="33"/>
  <c r="E48" i="33" s="1"/>
  <c r="E54" i="33" s="1"/>
  <c r="J47" i="33"/>
  <c r="J48" i="33" s="1"/>
  <c r="J54" i="33" s="1"/>
  <c r="H46" i="33"/>
  <c r="H53" i="33" s="1"/>
  <c r="B46" i="33"/>
  <c r="G46" i="33"/>
  <c r="G53" i="33" s="1"/>
  <c r="L46" i="33"/>
  <c r="L53" i="33" s="1"/>
  <c r="R47" i="33"/>
  <c r="R48" i="33" s="1"/>
  <c r="R54" i="33" s="1"/>
  <c r="I47" i="33"/>
  <c r="I48" i="33" s="1"/>
  <c r="I54" i="33" s="1"/>
  <c r="B47" i="33"/>
  <c r="B48" i="33" s="1"/>
  <c r="B54" i="33" s="1"/>
  <c r="U47" i="33"/>
  <c r="U48" i="33" s="1"/>
  <c r="U54" i="33" s="1"/>
  <c r="D47" i="33"/>
  <c r="D48" i="33" s="1"/>
  <c r="D54" i="33" s="1"/>
  <c r="O47" i="33"/>
  <c r="O48" i="33" s="1"/>
  <c r="O54" i="33" s="1"/>
  <c r="J46" i="33"/>
  <c r="J53" i="33" s="1"/>
  <c r="C46" i="33"/>
  <c r="C53" i="33" s="1"/>
  <c r="O46" i="33"/>
  <c r="O53" i="33" s="1"/>
  <c r="O55" i="33" s="1"/>
  <c r="K46" i="33"/>
  <c r="K53" i="33" s="1"/>
  <c r="V46" i="33"/>
  <c r="V53" i="33" s="1"/>
  <c r="M46" i="33"/>
  <c r="M53" i="33" s="1"/>
  <c r="E46" i="33"/>
  <c r="E53" i="33" s="1"/>
  <c r="U46" i="33"/>
  <c r="U53" i="33" s="1"/>
  <c r="D46" i="33"/>
  <c r="D53" i="33" s="1"/>
  <c r="S46" i="33"/>
  <c r="S53" i="33" s="1"/>
  <c r="K47" i="33"/>
  <c r="K48" i="33" s="1"/>
  <c r="K54" i="33" s="1"/>
  <c r="C47" i="33"/>
  <c r="C48" i="33" s="1"/>
  <c r="C54" i="33" s="1"/>
  <c r="F46" i="33"/>
  <c r="F53" i="33" s="1"/>
  <c r="V55" i="33"/>
  <c r="U55" i="33"/>
  <c r="O59" i="33"/>
  <c r="O60" i="33" s="1"/>
  <c r="O61" i="33" s="1"/>
  <c r="N59" i="33"/>
  <c r="N60" i="33" s="1"/>
  <c r="N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S59" i="33"/>
  <c r="S60" i="33" s="1"/>
  <c r="S61" i="33" s="1"/>
  <c r="U59" i="33"/>
  <c r="U60" i="33" s="1"/>
  <c r="U61" i="33" s="1"/>
  <c r="P59" i="33"/>
  <c r="P60" i="33" s="1"/>
  <c r="P61" i="33" s="1"/>
  <c r="V59" i="33"/>
  <c r="V60" i="33" s="1"/>
  <c r="V61" i="33" s="1"/>
  <c r="T59" i="33"/>
  <c r="T60" i="33" s="1"/>
  <c r="T61" i="33" s="1"/>
  <c r="R59" i="33"/>
  <c r="R60" i="33" s="1"/>
  <c r="R61" i="33" s="1"/>
  <c r="Q59" i="33"/>
  <c r="Q60" i="33" s="1"/>
  <c r="Q61" i="33" s="1"/>
  <c r="B53" i="33"/>
  <c r="B65" i="33"/>
  <c r="B64" i="33"/>
  <c r="P55" i="33" l="1"/>
  <c r="S55" i="33"/>
  <c r="Q55" i="33"/>
  <c r="M55" i="33"/>
  <c r="R55" i="33"/>
  <c r="D55" i="33"/>
  <c r="B55" i="33"/>
  <c r="K55" i="33"/>
  <c r="L55" i="33"/>
  <c r="N55" i="33"/>
  <c r="G55" i="33"/>
  <c r="F55" i="33"/>
  <c r="C55" i="33"/>
  <c r="J55" i="33"/>
  <c r="H55" i="33"/>
  <c r="I55" i="33"/>
  <c r="E55" i="33"/>
  <c r="M4" i="33" l="1"/>
  <c r="N4" i="33"/>
  <c r="L4" i="33" l="1"/>
  <c r="L22" i="33" s="1"/>
  <c r="K4" i="33"/>
  <c r="K22" i="33" s="1"/>
  <c r="J4" i="33"/>
  <c r="J52" i="33" s="1"/>
  <c r="M45" i="33"/>
  <c r="M52" i="33"/>
  <c r="M27" i="33"/>
  <c r="M22" i="33"/>
  <c r="N27" i="33"/>
  <c r="N52" i="33"/>
  <c r="N22" i="33"/>
  <c r="N45"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N4" i="1" l="1"/>
  <c r="N45" i="1" s="1"/>
  <c r="P22" i="1"/>
  <c r="Q45" i="1"/>
  <c r="P36" i="23"/>
  <c r="Q30" i="4" s="1"/>
  <c r="Q36" i="23"/>
  <c r="R30" i="4" s="1"/>
  <c r="R36" i="23"/>
  <c r="S30" i="4" s="1"/>
  <c r="S36" i="23"/>
  <c r="T30" i="4" s="1"/>
  <c r="T36" i="23"/>
  <c r="U30" i="4" s="1"/>
  <c r="U36" i="23"/>
  <c r="V30" i="4" s="1"/>
  <c r="V36" i="23"/>
  <c r="W30" i="4" s="1"/>
  <c r="P37" i="23"/>
  <c r="Q31" i="4" s="1"/>
  <c r="Q37" i="23"/>
  <c r="R31" i="4" s="1"/>
  <c r="R37" i="23"/>
  <c r="S31" i="4" s="1"/>
  <c r="S37" i="23"/>
  <c r="T31" i="4" s="1"/>
  <c r="T37" i="23"/>
  <c r="U31" i="4" s="1"/>
  <c r="U37" i="23"/>
  <c r="V31" i="4" s="1"/>
  <c r="V37" i="23"/>
  <c r="W31" i="4" s="1"/>
  <c r="P38" i="23"/>
  <c r="Q32" i="4" s="1"/>
  <c r="Q38" i="23"/>
  <c r="R32" i="4" s="1"/>
  <c r="R38" i="23"/>
  <c r="S32" i="4" s="1"/>
  <c r="S38" i="23"/>
  <c r="T32" i="4" s="1"/>
  <c r="T38" i="23"/>
  <c r="U32" i="4" s="1"/>
  <c r="U38" i="23"/>
  <c r="V32" i="4" s="1"/>
  <c r="V38" i="23"/>
  <c r="W32" i="4" s="1"/>
  <c r="P39" i="23"/>
  <c r="Q33" i="4" s="1"/>
  <c r="Q39" i="23"/>
  <c r="R33" i="4" s="1"/>
  <c r="R39" i="23"/>
  <c r="S33" i="4" s="1"/>
  <c r="S39" i="23"/>
  <c r="T33" i="4" s="1"/>
  <c r="T39" i="23"/>
  <c r="U33" i="4" s="1"/>
  <c r="U39" i="23"/>
  <c r="V33" i="4" s="1"/>
  <c r="V39" i="23"/>
  <c r="W33" i="4" s="1"/>
  <c r="P40" i="23"/>
  <c r="Q34" i="4" s="1"/>
  <c r="Q40" i="23"/>
  <c r="R34" i="4" s="1"/>
  <c r="R40" i="23"/>
  <c r="S34" i="4" s="1"/>
  <c r="S40" i="23"/>
  <c r="T34" i="4" s="1"/>
  <c r="T40" i="23"/>
  <c r="U34" i="4" s="1"/>
  <c r="U40" i="23"/>
  <c r="V34" i="4" s="1"/>
  <c r="V40" i="23"/>
  <c r="W34" i="4" s="1"/>
  <c r="P41" i="23"/>
  <c r="Q35" i="4" s="1"/>
  <c r="Q41" i="23"/>
  <c r="R35" i="4" s="1"/>
  <c r="R41" i="23"/>
  <c r="S35" i="4" s="1"/>
  <c r="S41" i="23"/>
  <c r="T35" i="4" s="1"/>
  <c r="T41" i="23"/>
  <c r="U35" i="4" s="1"/>
  <c r="U41" i="23"/>
  <c r="V35" i="4" s="1"/>
  <c r="V41" i="23"/>
  <c r="W35" i="4" s="1"/>
  <c r="P42" i="23"/>
  <c r="Q36" i="4" s="1"/>
  <c r="Q42" i="23"/>
  <c r="R36" i="4" s="1"/>
  <c r="R42" i="23"/>
  <c r="S36" i="4" s="1"/>
  <c r="S42" i="23"/>
  <c r="T36" i="4" s="1"/>
  <c r="T42" i="23"/>
  <c r="U36" i="4" s="1"/>
  <c r="U42" i="23"/>
  <c r="V36" i="4" s="1"/>
  <c r="V42" i="23"/>
  <c r="W36" i="4" s="1"/>
  <c r="P43" i="23"/>
  <c r="Q43" i="23"/>
  <c r="R37" i="4" s="1"/>
  <c r="R43" i="23"/>
  <c r="S43" i="23"/>
  <c r="T43" i="23"/>
  <c r="U43" i="23"/>
  <c r="V37" i="4" s="1"/>
  <c r="V43" i="23"/>
  <c r="O36" i="23"/>
  <c r="P30" i="4" s="1"/>
  <c r="N28" i="23"/>
  <c r="N29" i="23"/>
  <c r="N23" i="4" s="1"/>
  <c r="N30" i="23"/>
  <c r="N24" i="4" s="1"/>
  <c r="N31" i="23"/>
  <c r="N25" i="4" s="1"/>
  <c r="N32" i="23"/>
  <c r="N26" i="4" s="1"/>
  <c r="N33" i="23"/>
  <c r="N27" i="4" s="1"/>
  <c r="N34" i="23"/>
  <c r="N28" i="4" s="1"/>
  <c r="N35" i="23"/>
  <c r="N29" i="4" s="1"/>
  <c r="K36" i="23"/>
  <c r="K30" i="4" s="1"/>
  <c r="L36" i="23"/>
  <c r="L30" i="4" s="1"/>
  <c r="M36" i="23"/>
  <c r="M30" i="4" s="1"/>
  <c r="N36" i="23"/>
  <c r="N30" i="4" s="1"/>
  <c r="K37" i="23"/>
  <c r="K31" i="4" s="1"/>
  <c r="L37" i="23"/>
  <c r="L31" i="4" s="1"/>
  <c r="M37" i="23"/>
  <c r="M31" i="4" s="1"/>
  <c r="N37" i="23"/>
  <c r="N31" i="4" s="1"/>
  <c r="K38" i="23"/>
  <c r="K32" i="4" s="1"/>
  <c r="L38" i="23"/>
  <c r="L32" i="4" s="1"/>
  <c r="M38" i="23"/>
  <c r="M32" i="4" s="1"/>
  <c r="N38" i="23"/>
  <c r="N32" i="4" s="1"/>
  <c r="K39" i="23"/>
  <c r="K33" i="4" s="1"/>
  <c r="L39" i="23"/>
  <c r="L33" i="4" s="1"/>
  <c r="M39" i="23"/>
  <c r="M33" i="4" s="1"/>
  <c r="N39" i="23"/>
  <c r="N33" i="4" s="1"/>
  <c r="K40" i="23"/>
  <c r="K34" i="4" s="1"/>
  <c r="L40" i="23"/>
  <c r="L34" i="4" s="1"/>
  <c r="M40" i="23"/>
  <c r="M34" i="4" s="1"/>
  <c r="N40" i="23"/>
  <c r="N34" i="4" s="1"/>
  <c r="K41" i="23"/>
  <c r="K35" i="4" s="1"/>
  <c r="L41" i="23"/>
  <c r="L35" i="4" s="1"/>
  <c r="M41" i="23"/>
  <c r="M35" i="4" s="1"/>
  <c r="N41" i="23"/>
  <c r="N35" i="4" s="1"/>
  <c r="K42" i="23"/>
  <c r="K36" i="4" s="1"/>
  <c r="L42" i="23"/>
  <c r="L36" i="4" s="1"/>
  <c r="M42" i="23"/>
  <c r="M36" i="4" s="1"/>
  <c r="N42" i="23"/>
  <c r="N36" i="4" s="1"/>
  <c r="K43" i="23"/>
  <c r="L43" i="23"/>
  <c r="M43" i="23"/>
  <c r="N43" i="23"/>
  <c r="S36" i="1"/>
  <c r="T14" i="4" s="1"/>
  <c r="T36" i="1"/>
  <c r="U14" i="4" s="1"/>
  <c r="U36" i="1"/>
  <c r="V14" i="4" s="1"/>
  <c r="V36" i="1"/>
  <c r="W14" i="4" s="1"/>
  <c r="S37" i="1"/>
  <c r="T15" i="4" s="1"/>
  <c r="T37" i="1"/>
  <c r="U15" i="4" s="1"/>
  <c r="U37" i="1"/>
  <c r="V15" i="4" s="1"/>
  <c r="V37" i="1"/>
  <c r="W15" i="4" s="1"/>
  <c r="S38" i="1"/>
  <c r="T16" i="4" s="1"/>
  <c r="T38" i="1"/>
  <c r="U16" i="4" s="1"/>
  <c r="U38" i="1"/>
  <c r="V16" i="4" s="1"/>
  <c r="V38" i="1"/>
  <c r="W16" i="4" s="1"/>
  <c r="S39" i="1"/>
  <c r="T17" i="4" s="1"/>
  <c r="T39" i="1"/>
  <c r="U17" i="4" s="1"/>
  <c r="U39" i="1"/>
  <c r="V17" i="4" s="1"/>
  <c r="V39" i="1"/>
  <c r="W17" i="4" s="1"/>
  <c r="S40" i="1"/>
  <c r="T18" i="4" s="1"/>
  <c r="T40" i="1"/>
  <c r="U18" i="4" s="1"/>
  <c r="U40" i="1"/>
  <c r="V18" i="4" s="1"/>
  <c r="V40" i="1"/>
  <c r="W18" i="4" s="1"/>
  <c r="S41" i="1"/>
  <c r="T19" i="4" s="1"/>
  <c r="T41" i="1"/>
  <c r="U19" i="4" s="1"/>
  <c r="U41" i="1"/>
  <c r="V19" i="4" s="1"/>
  <c r="V41" i="1"/>
  <c r="W19" i="4" s="1"/>
  <c r="S42" i="1"/>
  <c r="T20" i="4" s="1"/>
  <c r="T42" i="1"/>
  <c r="U20" i="4" s="1"/>
  <c r="U42" i="1"/>
  <c r="V20" i="4" s="1"/>
  <c r="V42" i="1"/>
  <c r="W20" i="4" s="1"/>
  <c r="S43" i="1"/>
  <c r="T21" i="4" s="1"/>
  <c r="T43" i="1"/>
  <c r="U43" i="1"/>
  <c r="V43" i="1"/>
  <c r="N28" i="1"/>
  <c r="N29" i="1"/>
  <c r="N7" i="4" s="1"/>
  <c r="N30" i="1"/>
  <c r="N8" i="4" s="1"/>
  <c r="N31" i="1"/>
  <c r="N9" i="4" s="1"/>
  <c r="N32" i="1"/>
  <c r="N10" i="4" s="1"/>
  <c r="N33" i="1"/>
  <c r="N11" i="4" s="1"/>
  <c r="N34" i="1"/>
  <c r="N12" i="4" s="1"/>
  <c r="N35" i="1"/>
  <c r="N13" i="4" s="1"/>
  <c r="K36" i="1"/>
  <c r="K14" i="4" s="1"/>
  <c r="L36" i="1"/>
  <c r="L14" i="4" s="1"/>
  <c r="M36" i="1"/>
  <c r="M14" i="4" s="1"/>
  <c r="N36" i="1"/>
  <c r="N14" i="4" s="1"/>
  <c r="K37" i="1"/>
  <c r="K15" i="4" s="1"/>
  <c r="L37" i="1"/>
  <c r="L15" i="4" s="1"/>
  <c r="M37" i="1"/>
  <c r="M15" i="4" s="1"/>
  <c r="N37" i="1"/>
  <c r="N15" i="4" s="1"/>
  <c r="K38" i="1"/>
  <c r="K16" i="4" s="1"/>
  <c r="L38" i="1"/>
  <c r="L16" i="4" s="1"/>
  <c r="M38" i="1"/>
  <c r="M16" i="4" s="1"/>
  <c r="N38" i="1"/>
  <c r="N16" i="4" s="1"/>
  <c r="K39" i="1"/>
  <c r="K17" i="4" s="1"/>
  <c r="L39" i="1"/>
  <c r="L17" i="4" s="1"/>
  <c r="M39" i="1"/>
  <c r="M17" i="4" s="1"/>
  <c r="N39" i="1"/>
  <c r="N17" i="4" s="1"/>
  <c r="K40" i="1"/>
  <c r="K18" i="4" s="1"/>
  <c r="L40" i="1"/>
  <c r="L18" i="4" s="1"/>
  <c r="M40" i="1"/>
  <c r="M18" i="4" s="1"/>
  <c r="N40" i="1"/>
  <c r="N18" i="4" s="1"/>
  <c r="K41" i="1"/>
  <c r="K19" i="4" s="1"/>
  <c r="L41" i="1"/>
  <c r="L19" i="4" s="1"/>
  <c r="M41" i="1"/>
  <c r="M19" i="4" s="1"/>
  <c r="N41" i="1"/>
  <c r="N19" i="4" s="1"/>
  <c r="K42" i="1"/>
  <c r="K20" i="4" s="1"/>
  <c r="L42" i="1"/>
  <c r="L20" i="4" s="1"/>
  <c r="M42" i="1"/>
  <c r="M20" i="4" s="1"/>
  <c r="N42" i="1"/>
  <c r="N20" i="4" s="1"/>
  <c r="K43" i="1"/>
  <c r="L43" i="1"/>
  <c r="M43" i="1"/>
  <c r="N43"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N24" i="23"/>
  <c r="L24" i="23"/>
  <c r="J24" i="23"/>
  <c r="I24" i="23"/>
  <c r="H24" i="23"/>
  <c r="G24" i="23"/>
  <c r="F24" i="23"/>
  <c r="E24" i="23"/>
  <c r="D24" i="23"/>
  <c r="C24" i="23"/>
  <c r="B24" i="23"/>
  <c r="V23" i="23"/>
  <c r="U23" i="23"/>
  <c r="T23" i="23"/>
  <c r="S23" i="23"/>
  <c r="R23" i="23"/>
  <c r="Q23" i="23"/>
  <c r="P23" i="23"/>
  <c r="O23" i="23"/>
  <c r="B32" i="23" s="1"/>
  <c r="B26" i="4" s="1"/>
  <c r="N23" i="23"/>
  <c r="L23" i="23"/>
  <c r="J23" i="23"/>
  <c r="I23" i="23"/>
  <c r="H23" i="23"/>
  <c r="G23" i="23"/>
  <c r="F23" i="23"/>
  <c r="E23" i="23"/>
  <c r="D23" i="23"/>
  <c r="C23" i="23"/>
  <c r="B23" i="23"/>
  <c r="Q45" i="23"/>
  <c r="P45" i="23"/>
  <c r="O45" i="23"/>
  <c r="I22" i="23"/>
  <c r="H27" i="23"/>
  <c r="H52" i="23" s="1"/>
  <c r="G45" i="23"/>
  <c r="F27" i="23"/>
  <c r="F52" i="23" s="1"/>
  <c r="E45" i="23"/>
  <c r="C45" i="23"/>
  <c r="B45" i="23"/>
  <c r="E30" i="23"/>
  <c r="E24" i="4" s="1"/>
  <c r="D31" i="23"/>
  <c r="D25" i="4" s="1"/>
  <c r="J29" i="23"/>
  <c r="J23" i="4" s="1"/>
  <c r="J40" i="23"/>
  <c r="J34" i="4" s="1"/>
  <c r="J36" i="23"/>
  <c r="J30" i="4" s="1"/>
  <c r="C35" i="23"/>
  <c r="C29" i="4" s="1"/>
  <c r="D34" i="23"/>
  <c r="D28" i="4" s="1"/>
  <c r="E33" i="23"/>
  <c r="E27" i="4" s="1"/>
  <c r="H30" i="23"/>
  <c r="H24" i="4" s="1"/>
  <c r="I29" i="23"/>
  <c r="I23" i="4" s="1"/>
  <c r="J28" i="23"/>
  <c r="J42" i="23"/>
  <c r="J36" i="4" s="1"/>
  <c r="J38" i="23"/>
  <c r="J32" i="4" s="1"/>
  <c r="F34" i="23"/>
  <c r="F28" i="4" s="1"/>
  <c r="H32" i="23"/>
  <c r="H26" i="4" s="1"/>
  <c r="J30" i="23"/>
  <c r="J24" i="4" s="1"/>
  <c r="J41" i="23"/>
  <c r="J35" i="4" s="1"/>
  <c r="J37" i="23"/>
  <c r="J31" i="4" s="1"/>
  <c r="H35" i="23"/>
  <c r="H29" i="4" s="1"/>
  <c r="C32" i="23"/>
  <c r="C26" i="4" s="1"/>
  <c r="J43" i="23"/>
  <c r="J39" i="23"/>
  <c r="J33" i="4" s="1"/>
  <c r="F35" i="23"/>
  <c r="F29" i="4" s="1"/>
  <c r="H33" i="23"/>
  <c r="H27" i="4" s="1"/>
  <c r="I32" i="23"/>
  <c r="I26" i="4" s="1"/>
  <c r="G30" i="23"/>
  <c r="G24" i="4" s="1"/>
  <c r="D29" i="23"/>
  <c r="D23" i="4" s="1"/>
  <c r="E28" i="23"/>
  <c r="G29" i="23"/>
  <c r="G23" i="4" s="1"/>
  <c r="D35" i="23"/>
  <c r="D29" i="4" s="1"/>
  <c r="F33" i="23"/>
  <c r="F27" i="4" s="1"/>
  <c r="P22" i="23"/>
  <c r="S23" i="1"/>
  <c r="T23" i="1"/>
  <c r="U23" i="1"/>
  <c r="V23" i="1"/>
  <c r="S24" i="1"/>
  <c r="T24" i="1"/>
  <c r="U24" i="1"/>
  <c r="V24" i="1"/>
  <c r="L23" i="1"/>
  <c r="M23" i="1"/>
  <c r="N23" i="1"/>
  <c r="L24" i="1"/>
  <c r="M24" i="1"/>
  <c r="N24" i="1"/>
  <c r="I23" i="1"/>
  <c r="I24" i="1"/>
  <c r="C36" i="1"/>
  <c r="C14" i="4" s="1"/>
  <c r="D36" i="1"/>
  <c r="D14" i="4" s="1"/>
  <c r="E36" i="1"/>
  <c r="E14" i="4" s="1"/>
  <c r="F36" i="1"/>
  <c r="F14" i="4" s="1"/>
  <c r="G36" i="1"/>
  <c r="G14" i="4" s="1"/>
  <c r="I36" i="1"/>
  <c r="I14" i="4" s="1"/>
  <c r="J36" i="1"/>
  <c r="J14" i="4" s="1"/>
  <c r="C37" i="1"/>
  <c r="C15" i="4" s="1"/>
  <c r="D37" i="1"/>
  <c r="D15" i="4" s="1"/>
  <c r="E37" i="1"/>
  <c r="E15" i="4" s="1"/>
  <c r="F37" i="1"/>
  <c r="F15" i="4" s="1"/>
  <c r="G37" i="1"/>
  <c r="G15" i="4" s="1"/>
  <c r="I37" i="1"/>
  <c r="I15" i="4" s="1"/>
  <c r="J37" i="1"/>
  <c r="J15" i="4" s="1"/>
  <c r="C38" i="1"/>
  <c r="C16" i="4" s="1"/>
  <c r="D38" i="1"/>
  <c r="D16" i="4" s="1"/>
  <c r="E38" i="1"/>
  <c r="E16" i="4" s="1"/>
  <c r="F38" i="1"/>
  <c r="F16" i="4" s="1"/>
  <c r="G38" i="1"/>
  <c r="G16" i="4" s="1"/>
  <c r="I38" i="1"/>
  <c r="I16" i="4" s="1"/>
  <c r="J38" i="1"/>
  <c r="J16" i="4" s="1"/>
  <c r="C39" i="1"/>
  <c r="C17" i="4" s="1"/>
  <c r="D39" i="1"/>
  <c r="E39" i="1"/>
  <c r="E17" i="4" s="1"/>
  <c r="F39" i="1"/>
  <c r="F17" i="4" s="1"/>
  <c r="G39" i="1"/>
  <c r="G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R14" i="4" s="1"/>
  <c r="R36" i="1"/>
  <c r="S14" i="4" s="1"/>
  <c r="Q37" i="1"/>
  <c r="R15" i="4" s="1"/>
  <c r="P38" i="1"/>
  <c r="Q16" i="4" s="1"/>
  <c r="Q38" i="1"/>
  <c r="R16" i="4" s="1"/>
  <c r="P39" i="1"/>
  <c r="Q17" i="4" s="1"/>
  <c r="Q39" i="1"/>
  <c r="R17" i="4" s="1"/>
  <c r="R39" i="1"/>
  <c r="S17" i="4" s="1"/>
  <c r="P40" i="1"/>
  <c r="Q18" i="4" s="1"/>
  <c r="Q40" i="1"/>
  <c r="R18" i="4" s="1"/>
  <c r="R40" i="1"/>
  <c r="S18" i="4" s="1"/>
  <c r="P41" i="1"/>
  <c r="Q19" i="4" s="1"/>
  <c r="Q41" i="1"/>
  <c r="R19" i="4" s="1"/>
  <c r="P42" i="1"/>
  <c r="Q20" i="4" s="1"/>
  <c r="Q42" i="1"/>
  <c r="R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Q34" i="1"/>
  <c r="R12" i="4" s="1"/>
  <c r="P28" i="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P56" i="23"/>
  <c r="G56" i="23"/>
  <c r="V56" i="1"/>
  <c r="T56" i="23"/>
  <c r="S56" i="23"/>
  <c r="N56" i="23"/>
  <c r="J56" i="23"/>
  <c r="Q56" i="23"/>
  <c r="C56" i="23"/>
  <c r="R56" i="23"/>
  <c r="M56" i="1"/>
  <c r="S56" i="1"/>
  <c r="J56" i="1"/>
  <c r="F56" i="23"/>
  <c r="E56" i="23"/>
  <c r="L56" i="1"/>
  <c r="U56" i="23"/>
  <c r="I56" i="23"/>
  <c r="M56" i="23"/>
  <c r="V56" i="23"/>
  <c r="L56" i="23"/>
  <c r="K56" i="1"/>
  <c r="K56" i="23"/>
  <c r="H56" i="23"/>
  <c r="D56" i="23"/>
  <c r="U56" i="1"/>
  <c r="N56" i="1"/>
  <c r="T56" i="1"/>
  <c r="I30" i="23" l="1"/>
  <c r="I24" i="4" s="1"/>
  <c r="G33" i="23"/>
  <c r="G27" i="4" s="1"/>
  <c r="F31" i="23"/>
  <c r="F25" i="4" s="1"/>
  <c r="J35" i="23"/>
  <c r="J29" i="4" s="1"/>
  <c r="D28" i="23"/>
  <c r="J34" i="23"/>
  <c r="J28" i="4" s="1"/>
  <c r="C31" i="23"/>
  <c r="C25" i="4" s="1"/>
  <c r="G35" i="23"/>
  <c r="G29" i="4" s="1"/>
  <c r="K34" i="23"/>
  <c r="K28" i="4" s="1"/>
  <c r="S34" i="23"/>
  <c r="T28" i="4" s="1"/>
  <c r="H31" i="23"/>
  <c r="H25" i="4" s="1"/>
  <c r="E35" i="23"/>
  <c r="E29" i="4" s="1"/>
  <c r="J31" i="23"/>
  <c r="J25" i="4" s="1"/>
  <c r="C29" i="23"/>
  <c r="C23" i="4" s="1"/>
  <c r="G31" i="23"/>
  <c r="G25" i="4" s="1"/>
  <c r="U32" i="23"/>
  <c r="V26" i="4" s="1"/>
  <c r="G32" i="23"/>
  <c r="G26" i="4" s="1"/>
  <c r="I35" i="23"/>
  <c r="I29" i="4" s="1"/>
  <c r="E32" i="23"/>
  <c r="E26" i="4" s="1"/>
  <c r="F30" i="23"/>
  <c r="F24" i="4" s="1"/>
  <c r="J32" i="23"/>
  <c r="J26" i="4" s="1"/>
  <c r="P31" i="23"/>
  <c r="Q25" i="4" s="1"/>
  <c r="P29" i="23"/>
  <c r="J33" i="23"/>
  <c r="J27" i="4" s="1"/>
  <c r="I28" i="23"/>
  <c r="D33" i="23"/>
  <c r="D27" i="4" s="1"/>
  <c r="E34" i="23"/>
  <c r="E28" i="4" s="1"/>
  <c r="I31" i="23"/>
  <c r="I25" i="4" s="1"/>
  <c r="E29" i="23"/>
  <c r="E23" i="4" s="1"/>
  <c r="I33" i="23"/>
  <c r="I27" i="4" s="1"/>
  <c r="C28" i="23"/>
  <c r="H28" i="23"/>
  <c r="H22" i="4" s="1"/>
  <c r="H29" i="23"/>
  <c r="H23" i="4" s="1"/>
  <c r="G34" i="23"/>
  <c r="G28" i="4" s="1"/>
  <c r="C33" i="23"/>
  <c r="C27" i="4" s="1"/>
  <c r="D30" i="23"/>
  <c r="D24" i="4" s="1"/>
  <c r="H34" i="23"/>
  <c r="H28" i="4" s="1"/>
  <c r="F29" i="23"/>
  <c r="F23" i="4" s="1"/>
  <c r="P33" i="1"/>
  <c r="Q11" i="4" s="1"/>
  <c r="P30" i="1"/>
  <c r="Q8" i="4" s="1"/>
  <c r="L30" i="23"/>
  <c r="L24" i="4" s="1"/>
  <c r="O29" i="23"/>
  <c r="P23" i="4" s="1"/>
  <c r="Q34" i="23"/>
  <c r="R28" i="4" s="1"/>
  <c r="R32" i="23"/>
  <c r="S26" i="4" s="1"/>
  <c r="T30" i="23"/>
  <c r="U24" i="4" s="1"/>
  <c r="T28" i="23"/>
  <c r="U22" i="4" s="1"/>
  <c r="V35" i="23"/>
  <c r="W29" i="4" s="1"/>
  <c r="P34" i="23"/>
  <c r="Q28" i="4" s="1"/>
  <c r="Q32" i="23"/>
  <c r="R26" i="4" s="1"/>
  <c r="S30" i="23"/>
  <c r="T24" i="4" s="1"/>
  <c r="S28" i="23"/>
  <c r="T22" i="4" s="1"/>
  <c r="L32" i="23"/>
  <c r="L26" i="4" s="1"/>
  <c r="K29" i="23"/>
  <c r="K23" i="4" s="1"/>
  <c r="U35" i="23"/>
  <c r="T33" i="23"/>
  <c r="U27" i="4" s="1"/>
  <c r="P32" i="23"/>
  <c r="Q26" i="4" s="1"/>
  <c r="Q30" i="23"/>
  <c r="R24" i="4" s="1"/>
  <c r="Q28" i="23"/>
  <c r="R22" i="4" s="1"/>
  <c r="Q35" i="1"/>
  <c r="R13" i="4" s="1"/>
  <c r="Q31" i="1"/>
  <c r="R9" i="4" s="1"/>
  <c r="K32" i="23"/>
  <c r="K26" i="4" s="1"/>
  <c r="R35" i="23"/>
  <c r="S29" i="4" s="1"/>
  <c r="S33" i="23"/>
  <c r="T27" i="4" s="1"/>
  <c r="V31" i="23"/>
  <c r="W25" i="4" s="1"/>
  <c r="P30" i="23"/>
  <c r="Q24" i="4" s="1"/>
  <c r="P28" i="23"/>
  <c r="Q33" i="1"/>
  <c r="R11" i="4" s="1"/>
  <c r="O43" i="23"/>
  <c r="P37" i="4" s="1"/>
  <c r="Q35" i="23"/>
  <c r="R29" i="4" s="1"/>
  <c r="Q33" i="23"/>
  <c r="R27" i="4" s="1"/>
  <c r="S31" i="23"/>
  <c r="T25" i="4" s="1"/>
  <c r="T29" i="23"/>
  <c r="U23" i="4" s="1"/>
  <c r="Q28" i="1"/>
  <c r="G28" i="23"/>
  <c r="G22" i="4" s="1"/>
  <c r="D32" i="23"/>
  <c r="D26" i="4" s="1"/>
  <c r="C30" i="23"/>
  <c r="C24" i="4" s="1"/>
  <c r="C34" i="23"/>
  <c r="C28" i="4" s="1"/>
  <c r="I34" i="23"/>
  <c r="I28" i="4" s="1"/>
  <c r="E31" i="23"/>
  <c r="E25" i="4" s="1"/>
  <c r="F28" i="23"/>
  <c r="F32" i="23"/>
  <c r="F26" i="4" s="1"/>
  <c r="L31" i="23"/>
  <c r="L25" i="4" s="1"/>
  <c r="O42" i="23"/>
  <c r="P36" i="4" s="1"/>
  <c r="P35" i="23"/>
  <c r="Q29" i="4" s="1"/>
  <c r="P33" i="23"/>
  <c r="Q27" i="4" s="1"/>
  <c r="R31" i="23"/>
  <c r="S25" i="4" s="1"/>
  <c r="S29" i="23"/>
  <c r="T23" i="4" s="1"/>
  <c r="P34" i="1"/>
  <c r="Q12" i="4" s="1"/>
  <c r="L34" i="23"/>
  <c r="L28" i="4" s="1"/>
  <c r="K31" i="23"/>
  <c r="K25" i="4" s="1"/>
  <c r="O39" i="23"/>
  <c r="P33" i="4" s="1"/>
  <c r="T34" i="23"/>
  <c r="U28" i="4" s="1"/>
  <c r="V32" i="23"/>
  <c r="W26" i="4" s="1"/>
  <c r="Q31" i="23"/>
  <c r="R25" i="4" s="1"/>
  <c r="Q29" i="23"/>
  <c r="R23" i="4" s="1"/>
  <c r="L35" i="23"/>
  <c r="L29" i="4" s="1"/>
  <c r="L33" i="23"/>
  <c r="L27" i="4" s="1"/>
  <c r="K30" i="23"/>
  <c r="K24" i="4" s="1"/>
  <c r="L28" i="23"/>
  <c r="L22" i="4" s="1"/>
  <c r="O41" i="23"/>
  <c r="P35" i="4" s="1"/>
  <c r="O35" i="23"/>
  <c r="P29" i="4" s="1"/>
  <c r="T35" i="23"/>
  <c r="U29" i="4" s="1"/>
  <c r="V34" i="23"/>
  <c r="W28" i="4" s="1"/>
  <c r="R34" i="23"/>
  <c r="S28" i="4" s="1"/>
  <c r="V33" i="23"/>
  <c r="W27" i="4" s="1"/>
  <c r="R33" i="23"/>
  <c r="S27" i="4" s="1"/>
  <c r="T32" i="23"/>
  <c r="U26" i="4" s="1"/>
  <c r="U31" i="23"/>
  <c r="V25" i="4" s="1"/>
  <c r="V30" i="23"/>
  <c r="W24" i="4" s="1"/>
  <c r="R30" i="23"/>
  <c r="S24" i="4" s="1"/>
  <c r="V29" i="23"/>
  <c r="W23" i="4" s="1"/>
  <c r="R29" i="23"/>
  <c r="S23" i="4" s="1"/>
  <c r="V28" i="23"/>
  <c r="R28" i="23"/>
  <c r="S22" i="4" s="1"/>
  <c r="K35" i="23"/>
  <c r="K29" i="4" s="1"/>
  <c r="K33" i="23"/>
  <c r="K27" i="4" s="1"/>
  <c r="L29" i="23"/>
  <c r="L23" i="4" s="1"/>
  <c r="K28" i="23"/>
  <c r="K22" i="4" s="1"/>
  <c r="O40" i="23"/>
  <c r="P34" i="4" s="1"/>
  <c r="O33" i="23"/>
  <c r="P27" i="4" s="1"/>
  <c r="S35" i="23"/>
  <c r="T29" i="4" s="1"/>
  <c r="U34" i="23"/>
  <c r="V28" i="4" s="1"/>
  <c r="U33" i="23"/>
  <c r="V27" i="4" s="1"/>
  <c r="S32" i="23"/>
  <c r="T26" i="4" s="1"/>
  <c r="T31" i="23"/>
  <c r="U25" i="4" s="1"/>
  <c r="U30" i="23"/>
  <c r="V24" i="4" s="1"/>
  <c r="U29" i="23"/>
  <c r="V23" i="4" s="1"/>
  <c r="U28" i="23"/>
  <c r="V22" i="4" s="1"/>
  <c r="M31" i="23"/>
  <c r="M25" i="4" s="1"/>
  <c r="M33" i="23"/>
  <c r="M27" i="4" s="1"/>
  <c r="M34" i="23"/>
  <c r="M28" i="4" s="1"/>
  <c r="M29" i="23"/>
  <c r="M23" i="4" s="1"/>
  <c r="M28" i="23"/>
  <c r="M35" i="23"/>
  <c r="M29" i="4" s="1"/>
  <c r="M30" i="23"/>
  <c r="M24" i="4" s="1"/>
  <c r="M32" i="23"/>
  <c r="M26" i="4" s="1"/>
  <c r="F34" i="1"/>
  <c r="F12" i="4" s="1"/>
  <c r="T35" i="1"/>
  <c r="U13" i="4" s="1"/>
  <c r="O38" i="1"/>
  <c r="P16" i="4" s="1"/>
  <c r="O32" i="1"/>
  <c r="P10" i="4" s="1"/>
  <c r="O43" i="1"/>
  <c r="P21" i="4" s="1"/>
  <c r="B33" i="1"/>
  <c r="B11" i="4" s="1"/>
  <c r="H31" i="1"/>
  <c r="H9" i="4" s="1"/>
  <c r="O42" i="1"/>
  <c r="P20" i="4" s="1"/>
  <c r="O39" i="1"/>
  <c r="P17" i="4" s="1"/>
  <c r="F30" i="1"/>
  <c r="F32" i="1"/>
  <c r="F10" i="4" s="1"/>
  <c r="I34" i="1"/>
  <c r="I12" i="4" s="1"/>
  <c r="G30" i="1"/>
  <c r="G8" i="4" s="1"/>
  <c r="E30" i="1"/>
  <c r="E8" i="4" s="1"/>
  <c r="F29" i="1"/>
  <c r="F7" i="4" s="1"/>
  <c r="I33" i="1"/>
  <c r="I11" i="4" s="1"/>
  <c r="I29" i="1"/>
  <c r="I7" i="4" s="1"/>
  <c r="H33" i="1"/>
  <c r="H11" i="4" s="1"/>
  <c r="H35" i="1"/>
  <c r="H13" i="4" s="1"/>
  <c r="E35" i="1"/>
  <c r="E13" i="4" s="1"/>
  <c r="H30" i="1"/>
  <c r="H8" i="4" s="1"/>
  <c r="U28" i="1"/>
  <c r="V6" i="4" s="1"/>
  <c r="O41" i="1"/>
  <c r="P19" i="4" s="1"/>
  <c r="G34" i="1"/>
  <c r="G12" i="4" s="1"/>
  <c r="E33" i="1"/>
  <c r="E11" i="4" s="1"/>
  <c r="D35" i="1"/>
  <c r="D13" i="4" s="1"/>
  <c r="G29" i="1"/>
  <c r="G7" i="4" s="1"/>
  <c r="J35" i="1"/>
  <c r="J13" i="4" s="1"/>
  <c r="M34" i="1"/>
  <c r="M12" i="4" s="1"/>
  <c r="U30" i="1"/>
  <c r="V8" i="4" s="1"/>
  <c r="L28" i="1"/>
  <c r="L6" i="4" s="1"/>
  <c r="T33" i="1"/>
  <c r="U11" i="4" s="1"/>
  <c r="G35" i="1"/>
  <c r="G13" i="4" s="1"/>
  <c r="E29" i="1"/>
  <c r="E7" i="4" s="1"/>
  <c r="D33" i="1"/>
  <c r="D11" i="4" s="1"/>
  <c r="H34" i="1"/>
  <c r="H12" i="4" s="1"/>
  <c r="O40" i="1"/>
  <c r="P18" i="4" s="1"/>
  <c r="F33" i="1"/>
  <c r="F11" i="4" s="1"/>
  <c r="C35" i="1"/>
  <c r="C13" i="4" s="1"/>
  <c r="H32" i="1"/>
  <c r="H10" i="4" s="1"/>
  <c r="F35" i="1"/>
  <c r="F13" i="4" s="1"/>
  <c r="I30" i="1"/>
  <c r="I8" i="4" s="1"/>
  <c r="E32" i="1"/>
  <c r="E10" i="4" s="1"/>
  <c r="C33" i="1"/>
  <c r="C11" i="4" s="1"/>
  <c r="T34" i="1"/>
  <c r="U12" i="4" s="1"/>
  <c r="L34" i="1"/>
  <c r="L12" i="4" s="1"/>
  <c r="L32" i="1"/>
  <c r="L10" i="4" s="1"/>
  <c r="M29" i="1"/>
  <c r="M7" i="4" s="1"/>
  <c r="U33" i="1"/>
  <c r="V11" i="4" s="1"/>
  <c r="T28" i="1"/>
  <c r="U6" i="4" s="1"/>
  <c r="K33" i="1"/>
  <c r="K11" i="4" s="1"/>
  <c r="L29" i="1"/>
  <c r="L7" i="4" s="1"/>
  <c r="U32" i="1"/>
  <c r="V10" i="4" s="1"/>
  <c r="U35" i="1"/>
  <c r="V13" i="4" s="1"/>
  <c r="U29" i="1"/>
  <c r="V7" i="4" s="1"/>
  <c r="J31" i="1"/>
  <c r="J9" i="4" s="1"/>
  <c r="M35" i="1"/>
  <c r="M13" i="4" s="1"/>
  <c r="M33" i="1"/>
  <c r="M11" i="4" s="1"/>
  <c r="M31" i="1"/>
  <c r="M9" i="4" s="1"/>
  <c r="M30" i="1"/>
  <c r="M8" i="4" s="1"/>
  <c r="S35" i="1"/>
  <c r="T13" i="4" s="1"/>
  <c r="V34" i="1"/>
  <c r="W12" i="4" s="1"/>
  <c r="T32" i="1"/>
  <c r="U10" i="4" s="1"/>
  <c r="U31" i="1"/>
  <c r="V9" i="4" s="1"/>
  <c r="R33" i="1"/>
  <c r="S11" i="4" s="1"/>
  <c r="H39" i="1"/>
  <c r="H17" i="4" s="1"/>
  <c r="H38" i="1"/>
  <c r="H16" i="4" s="1"/>
  <c r="H37" i="1"/>
  <c r="H15" i="4" s="1"/>
  <c r="H36" i="1"/>
  <c r="H14" i="4" s="1"/>
  <c r="L35" i="1"/>
  <c r="L13" i="4" s="1"/>
  <c r="L33" i="1"/>
  <c r="L11" i="4" s="1"/>
  <c r="M32" i="1"/>
  <c r="M10" i="4" s="1"/>
  <c r="L31" i="1"/>
  <c r="L9" i="4" s="1"/>
  <c r="L30" i="1"/>
  <c r="L8" i="4" s="1"/>
  <c r="M28" i="1"/>
  <c r="M6" i="4" s="1"/>
  <c r="U34" i="1"/>
  <c r="V12" i="4" s="1"/>
  <c r="S31" i="1"/>
  <c r="T9" i="4" s="1"/>
  <c r="V30" i="1"/>
  <c r="W8" i="4" s="1"/>
  <c r="J34" i="1"/>
  <c r="J12" i="4" s="1"/>
  <c r="J30" i="1"/>
  <c r="J8" i="4" s="1"/>
  <c r="K34" i="1"/>
  <c r="K12" i="4" s="1"/>
  <c r="K32" i="1"/>
  <c r="K10" i="4" s="1"/>
  <c r="K31" i="1"/>
  <c r="K9" i="4" s="1"/>
  <c r="K29" i="1"/>
  <c r="K7" i="4" s="1"/>
  <c r="K28" i="1"/>
  <c r="K6" i="4" s="1"/>
  <c r="V35" i="1"/>
  <c r="W13" i="4" s="1"/>
  <c r="S32" i="1"/>
  <c r="T10" i="4" s="1"/>
  <c r="V31" i="1"/>
  <c r="W9" i="4" s="1"/>
  <c r="T29" i="1"/>
  <c r="U7" i="4" s="1"/>
  <c r="S28" i="1"/>
  <c r="T6" i="4" s="1"/>
  <c r="J33" i="1"/>
  <c r="J11" i="4" s="1"/>
  <c r="J29" i="1"/>
  <c r="J7" i="4" s="1"/>
  <c r="J28" i="1"/>
  <c r="J6" i="4" s="1"/>
  <c r="K35" i="1"/>
  <c r="K13" i="4" s="1"/>
  <c r="K30" i="1"/>
  <c r="K8" i="4" s="1"/>
  <c r="S33" i="1"/>
  <c r="T11" i="4" s="1"/>
  <c r="V32" i="1"/>
  <c r="W10" i="4" s="1"/>
  <c r="T30" i="1"/>
  <c r="U8" i="4" s="1"/>
  <c r="S29" i="1"/>
  <c r="T7" i="4" s="1"/>
  <c r="V28" i="1"/>
  <c r="W6" i="4" s="1"/>
  <c r="J32" i="1"/>
  <c r="J10" i="4" s="1"/>
  <c r="S34" i="1"/>
  <c r="T12" i="4" s="1"/>
  <c r="V33" i="1"/>
  <c r="W11" i="4" s="1"/>
  <c r="T31" i="1"/>
  <c r="U9" i="4" s="1"/>
  <c r="S30" i="1"/>
  <c r="T8" i="4" s="1"/>
  <c r="V29" i="1"/>
  <c r="W7" i="4" s="1"/>
  <c r="D22" i="4"/>
  <c r="E22" i="4"/>
  <c r="I22" i="4"/>
  <c r="C22" i="4"/>
  <c r="J22" i="4"/>
  <c r="N22" i="4"/>
  <c r="Q22" i="4"/>
  <c r="R6" i="4"/>
  <c r="N6" i="4"/>
  <c r="Q6" i="4"/>
  <c r="T4" i="33"/>
  <c r="T22" i="33" s="1"/>
  <c r="Q22" i="1"/>
  <c r="R35" i="1"/>
  <c r="S13" i="4" s="1"/>
  <c r="G32" i="1"/>
  <c r="G10" i="4" s="1"/>
  <c r="H29" i="1"/>
  <c r="E28" i="1"/>
  <c r="D34" i="1"/>
  <c r="D12" i="4" s="1"/>
  <c r="I31" i="1"/>
  <c r="I9" i="4" s="1"/>
  <c r="F28" i="1"/>
  <c r="R41" i="1"/>
  <c r="S19" i="4" s="1"/>
  <c r="R37" i="1"/>
  <c r="S15" i="4" s="1"/>
  <c r="Q29" i="1"/>
  <c r="O37" i="1"/>
  <c r="P15" i="4" s="1"/>
  <c r="P29" i="1"/>
  <c r="B34" i="1"/>
  <c r="B12" i="4" s="1"/>
  <c r="B35" i="1"/>
  <c r="B13" i="4" s="1"/>
  <c r="C34" i="1"/>
  <c r="C12" i="4" s="1"/>
  <c r="I28" i="1"/>
  <c r="G31" i="1"/>
  <c r="G9" i="4" s="1"/>
  <c r="H28" i="1"/>
  <c r="E34" i="1"/>
  <c r="F31" i="1"/>
  <c r="G28" i="1"/>
  <c r="I32" i="1"/>
  <c r="I10" i="4" s="1"/>
  <c r="I35" i="1"/>
  <c r="G33" i="1"/>
  <c r="E31" i="1"/>
  <c r="E9" i="4" s="1"/>
  <c r="R42" i="1"/>
  <c r="S20" i="4" s="1"/>
  <c r="R38" i="1"/>
  <c r="S16" i="4" s="1"/>
  <c r="R34" i="1"/>
  <c r="S12" i="4" s="1"/>
  <c r="L74" i="4"/>
  <c r="L62" i="4"/>
  <c r="E55" i="4"/>
  <c r="E62" i="4"/>
  <c r="Q21" i="4"/>
  <c r="I52" i="23"/>
  <c r="R4" i="33"/>
  <c r="W37" i="4"/>
  <c r="S37" i="4"/>
  <c r="K37" i="4"/>
  <c r="I45" i="23"/>
  <c r="U4" i="33"/>
  <c r="S21" i="4"/>
  <c r="R21" i="4"/>
  <c r="S4" i="33"/>
  <c r="C27" i="23"/>
  <c r="C52" i="23" s="1"/>
  <c r="I27" i="23"/>
  <c r="W21" i="4"/>
  <c r="U21" i="4"/>
  <c r="B21" i="4"/>
  <c r="O37" i="23"/>
  <c r="P31" i="4" s="1"/>
  <c r="O34" i="23"/>
  <c r="P28" i="4" s="1"/>
  <c r="O38" i="23"/>
  <c r="U37" i="4"/>
  <c r="B38" i="23"/>
  <c r="F37" i="4"/>
  <c r="N37" i="4"/>
  <c r="L37" i="4"/>
  <c r="Q37" i="4"/>
  <c r="T37" i="4"/>
  <c r="J37" i="4"/>
  <c r="H37" i="4"/>
  <c r="M37" i="4"/>
  <c r="R4" i="4"/>
  <c r="R62" i="4" s="1"/>
  <c r="N4" i="23"/>
  <c r="N22" i="23" s="1"/>
  <c r="P27" i="23"/>
  <c r="P52" i="23" s="1"/>
  <c r="J4" i="1"/>
  <c r="J4" i="4" s="1"/>
  <c r="J4" i="23"/>
  <c r="J45" i="23" s="1"/>
  <c r="M4" i="23"/>
  <c r="M27" i="23" s="1"/>
  <c r="M4" i="1"/>
  <c r="M4" i="4" s="1"/>
  <c r="L45" i="1"/>
  <c r="L27" i="1"/>
  <c r="L52" i="1" s="1"/>
  <c r="O32" i="23"/>
  <c r="O31" i="23"/>
  <c r="P25" i="4" s="1"/>
  <c r="O30" i="23"/>
  <c r="P24" i="4" s="1"/>
  <c r="B33" i="23"/>
  <c r="B27" i="4" s="1"/>
  <c r="B28" i="23"/>
  <c r="B30" i="23"/>
  <c r="B24" i="4" s="1"/>
  <c r="B34" i="23"/>
  <c r="B28" i="4" s="1"/>
  <c r="B35" i="23"/>
  <c r="O28" i="23"/>
  <c r="B31" i="23"/>
  <c r="B25" i="4" s="1"/>
  <c r="G47" i="23"/>
  <c r="G48" i="23" s="1"/>
  <c r="G54" i="23" s="1"/>
  <c r="B29" i="23"/>
  <c r="B23" i="4" s="1"/>
  <c r="Q32" i="1"/>
  <c r="P32" i="1"/>
  <c r="Q10" i="4" s="1"/>
  <c r="D4" i="4"/>
  <c r="Q23" i="4"/>
  <c r="O29" i="1"/>
  <c r="P7" i="4" s="1"/>
  <c r="B27" i="23"/>
  <c r="B52" i="23" s="1"/>
  <c r="K45" i="23"/>
  <c r="E27" i="23"/>
  <c r="E52" i="23" s="1"/>
  <c r="Q30" i="1"/>
  <c r="R8" i="4" s="1"/>
  <c r="B29" i="1"/>
  <c r="B7" i="4" s="1"/>
  <c r="P35" i="1"/>
  <c r="Q13" i="4" s="1"/>
  <c r="P31" i="1"/>
  <c r="Q9" i="4" s="1"/>
  <c r="H22" i="23"/>
  <c r="N47" i="23"/>
  <c r="N48" i="23" s="1"/>
  <c r="N54" i="23" s="1"/>
  <c r="R47" i="23"/>
  <c r="R48" i="23" s="1"/>
  <c r="R54" i="23" s="1"/>
  <c r="P37" i="1"/>
  <c r="F22" i="23"/>
  <c r="O36" i="1"/>
  <c r="Q46" i="23"/>
  <c r="Q53" i="23" s="1"/>
  <c r="H45" i="23"/>
  <c r="H47" i="23"/>
  <c r="H48" i="23" s="1"/>
  <c r="H54" i="23" s="1"/>
  <c r="R31" i="1"/>
  <c r="S9" i="4" s="1"/>
  <c r="W22" i="4"/>
  <c r="V29" i="4"/>
  <c r="N46" i="23"/>
  <c r="N53" i="23" s="1"/>
  <c r="H46" i="23"/>
  <c r="H53" i="23" s="1"/>
  <c r="J57" i="1"/>
  <c r="E57" i="23"/>
  <c r="M57" i="1"/>
  <c r="V57" i="1"/>
  <c r="N57" i="23"/>
  <c r="U57" i="23"/>
  <c r="Q57" i="23"/>
  <c r="J57" i="23"/>
  <c r="H57" i="23"/>
  <c r="L57" i="1"/>
  <c r="U57" i="1"/>
  <c r="M57" i="23"/>
  <c r="T57" i="23"/>
  <c r="P57" i="23"/>
  <c r="C57" i="23"/>
  <c r="F57" i="23"/>
  <c r="I57" i="23"/>
  <c r="K57" i="1"/>
  <c r="T57" i="1"/>
  <c r="L57" i="23"/>
  <c r="S57" i="23"/>
  <c r="D57" i="23"/>
  <c r="G57" i="23"/>
  <c r="N57" i="1"/>
  <c r="S57" i="1"/>
  <c r="K57" i="23"/>
  <c r="V57" i="23"/>
  <c r="R57" i="23"/>
  <c r="J21" i="4"/>
  <c r="E37" i="4"/>
  <c r="M21" i="4"/>
  <c r="R28" i="1"/>
  <c r="R30" i="1"/>
  <c r="S8" i="4" s="1"/>
  <c r="L21" i="4"/>
  <c r="V21" i="4"/>
  <c r="R29" i="1"/>
  <c r="S7" i="4" s="1"/>
  <c r="D21" i="4"/>
  <c r="C37" i="4"/>
  <c r="I37" i="4"/>
  <c r="K21" i="4"/>
  <c r="P36" i="1"/>
  <c r="Q14" i="4" s="1"/>
  <c r="R32" i="1"/>
  <c r="C21" i="4"/>
  <c r="B37" i="4"/>
  <c r="D37" i="4"/>
  <c r="G37" i="4"/>
  <c r="N21" i="4"/>
  <c r="O34" i="1"/>
  <c r="P12" i="4" s="1"/>
  <c r="O35" i="1"/>
  <c r="P13" i="4" s="1"/>
  <c r="O33" i="1"/>
  <c r="P11" i="4" s="1"/>
  <c r="O30" i="1"/>
  <c r="P8" i="4" s="1"/>
  <c r="B31" i="1"/>
  <c r="B9" i="4" s="1"/>
  <c r="O31" i="1"/>
  <c r="P9" i="4" s="1"/>
  <c r="B32" i="1"/>
  <c r="D28" i="1"/>
  <c r="C32" i="1"/>
  <c r="B28" i="1"/>
  <c r="N47" i="1"/>
  <c r="N48" i="1" s="1"/>
  <c r="N54" i="1" s="1"/>
  <c r="D32" i="1"/>
  <c r="B30" i="1"/>
  <c r="B8" i="4" s="1"/>
  <c r="C28" i="1"/>
  <c r="D31" i="1"/>
  <c r="D9" i="4" s="1"/>
  <c r="N46" i="1"/>
  <c r="N53" i="1" s="1"/>
  <c r="O28" i="1"/>
  <c r="C30" i="1"/>
  <c r="C8" i="4" s="1"/>
  <c r="C31" i="1"/>
  <c r="C9" i="4" s="1"/>
  <c r="D29" i="1"/>
  <c r="D7" i="4" s="1"/>
  <c r="D30" i="1"/>
  <c r="G21" i="4"/>
  <c r="I21" i="4"/>
  <c r="F21" i="4"/>
  <c r="H21" i="4"/>
  <c r="E21" i="4"/>
  <c r="L52" i="23"/>
  <c r="D17" i="4"/>
  <c r="F8" i="4"/>
  <c r="C4" i="4"/>
  <c r="I46" i="23"/>
  <c r="I53" i="23" s="1"/>
  <c r="I47" i="23"/>
  <c r="I48" i="23" s="1"/>
  <c r="I54" i="23" s="1"/>
  <c r="G27" i="23"/>
  <c r="G52" i="23" s="1"/>
  <c r="K27" i="23"/>
  <c r="L22" i="1"/>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N4" i="4"/>
  <c r="G22" i="1"/>
  <c r="N27" i="1"/>
  <c r="N52" i="1" s="1"/>
  <c r="F45" i="1"/>
  <c r="C22" i="1"/>
  <c r="B22" i="1"/>
  <c r="G45" i="1"/>
  <c r="E27" i="1"/>
  <c r="E52" i="1" s="1"/>
  <c r="E22" i="1"/>
  <c r="I22" i="1"/>
  <c r="I27" i="1"/>
  <c r="P27" i="1"/>
  <c r="P52" i="1" s="1"/>
  <c r="H4" i="4"/>
  <c r="F22" i="1"/>
  <c r="I4" i="4"/>
  <c r="N22" i="1"/>
  <c r="G4" i="4"/>
  <c r="C27" i="1"/>
  <c r="C52" i="1" s="1"/>
  <c r="B45" i="1"/>
  <c r="K74" i="4"/>
  <c r="K22" i="1"/>
  <c r="H22" i="1"/>
  <c r="P4" i="4"/>
  <c r="H45" i="1"/>
  <c r="O45" i="1"/>
  <c r="Q4" i="4"/>
  <c r="K45" i="1"/>
  <c r="P45" i="1"/>
  <c r="O27" i="1"/>
  <c r="O52" i="1" s="1"/>
  <c r="I52" i="1"/>
  <c r="K55" i="4"/>
  <c r="B55" i="4"/>
  <c r="L55" i="4"/>
  <c r="E74" i="4"/>
  <c r="B74" i="4"/>
  <c r="Q56" i="1"/>
  <c r="C56" i="1"/>
  <c r="P56" i="1"/>
  <c r="E56" i="1"/>
  <c r="D56" i="1"/>
  <c r="G56" i="1"/>
  <c r="B56" i="1"/>
  <c r="I56" i="1"/>
  <c r="H56" i="1"/>
  <c r="B56" i="23"/>
  <c r="F56" i="1"/>
  <c r="O56" i="1"/>
  <c r="R56" i="1"/>
  <c r="O56" i="23"/>
  <c r="C47" i="23" l="1"/>
  <c r="C48" i="23" s="1"/>
  <c r="C54" i="23" s="1"/>
  <c r="G46" i="23"/>
  <c r="G53" i="23" s="1"/>
  <c r="F46" i="23"/>
  <c r="F53" i="23" s="1"/>
  <c r="D46" i="23"/>
  <c r="D53" i="23" s="1"/>
  <c r="D47" i="23"/>
  <c r="D48" i="23" s="1"/>
  <c r="D54" i="23" s="1"/>
  <c r="R46" i="23"/>
  <c r="R53" i="23" s="1"/>
  <c r="J46" i="23"/>
  <c r="J53" i="23" s="1"/>
  <c r="J47" i="23"/>
  <c r="J48" i="23" s="1"/>
  <c r="J54" i="23" s="1"/>
  <c r="E46" i="23"/>
  <c r="E53" i="23" s="1"/>
  <c r="S47" i="23"/>
  <c r="S48" i="23" s="1"/>
  <c r="S54" i="23" s="1"/>
  <c r="E47" i="23"/>
  <c r="E48" i="23" s="1"/>
  <c r="E54" i="23" s="1"/>
  <c r="T46" i="23"/>
  <c r="T53" i="23" s="1"/>
  <c r="S46" i="23"/>
  <c r="S53" i="23" s="1"/>
  <c r="P47" i="23"/>
  <c r="P48" i="23" s="1"/>
  <c r="P54" i="23" s="1"/>
  <c r="Q47" i="23"/>
  <c r="Q48" i="23" s="1"/>
  <c r="Q54" i="23" s="1"/>
  <c r="F47" i="23"/>
  <c r="F48" i="23" s="1"/>
  <c r="F54" i="23" s="1"/>
  <c r="C46" i="23"/>
  <c r="C53" i="23" s="1"/>
  <c r="F22" i="4"/>
  <c r="T47" i="23"/>
  <c r="T48" i="23" s="1"/>
  <c r="T54" i="23" s="1"/>
  <c r="P46" i="23"/>
  <c r="P53" i="23" s="1"/>
  <c r="U47" i="23"/>
  <c r="U48" i="23" s="1"/>
  <c r="U54" i="23" s="1"/>
  <c r="U46" i="23"/>
  <c r="U53" i="23" s="1"/>
  <c r="L46" i="23"/>
  <c r="L53" i="23" s="1"/>
  <c r="V47" i="23"/>
  <c r="V48" i="23" s="1"/>
  <c r="V54" i="23" s="1"/>
  <c r="V46" i="23"/>
  <c r="V53" i="23" s="1"/>
  <c r="L47" i="23"/>
  <c r="L48" i="23" s="1"/>
  <c r="L54" i="23" s="1"/>
  <c r="M47" i="23"/>
  <c r="K46" i="23"/>
  <c r="K53" i="23" s="1"/>
  <c r="K47" i="23"/>
  <c r="K48" i="23" s="1"/>
  <c r="K54" i="23" s="1"/>
  <c r="M46" i="23"/>
  <c r="M53" i="23" s="1"/>
  <c r="M22" i="4"/>
  <c r="M57" i="4" s="1"/>
  <c r="M58" i="4" s="1"/>
  <c r="M76" i="4" s="1"/>
  <c r="M48" i="23"/>
  <c r="M54" i="23" s="1"/>
  <c r="U46" i="1"/>
  <c r="U53" i="1" s="1"/>
  <c r="K46" i="1"/>
  <c r="K53" i="1" s="1"/>
  <c r="K47" i="1"/>
  <c r="K48" i="1" s="1"/>
  <c r="K54" i="1" s="1"/>
  <c r="V47" i="1"/>
  <c r="V48" i="1" s="1"/>
  <c r="V54" i="1" s="1"/>
  <c r="U47" i="1"/>
  <c r="U48" i="1" s="1"/>
  <c r="U54" i="1" s="1"/>
  <c r="L47" i="1"/>
  <c r="L48" i="1" s="1"/>
  <c r="L54" i="1" s="1"/>
  <c r="L46" i="1"/>
  <c r="L53" i="1" s="1"/>
  <c r="V46" i="1"/>
  <c r="V53" i="1" s="1"/>
  <c r="T47" i="1"/>
  <c r="T48" i="1" s="1"/>
  <c r="T54" i="1" s="1"/>
  <c r="T46" i="1"/>
  <c r="T53" i="1" s="1"/>
  <c r="M46" i="1"/>
  <c r="M53" i="1" s="1"/>
  <c r="M47" i="1"/>
  <c r="M48" i="1" s="1"/>
  <c r="M54" i="1" s="1"/>
  <c r="J46" i="1"/>
  <c r="J53" i="1" s="1"/>
  <c r="S47" i="1"/>
  <c r="S48" i="1" s="1"/>
  <c r="S54" i="1" s="1"/>
  <c r="J47" i="1"/>
  <c r="J48" i="1" s="1"/>
  <c r="J54" i="1" s="1"/>
  <c r="S46" i="1"/>
  <c r="S53" i="1" s="1"/>
  <c r="T63" i="4"/>
  <c r="T64" i="4" s="1"/>
  <c r="F46" i="1"/>
  <c r="F53" i="1" s="1"/>
  <c r="B22" i="4"/>
  <c r="D6" i="4"/>
  <c r="S6" i="4"/>
  <c r="I6" i="4"/>
  <c r="Q7" i="4"/>
  <c r="E6" i="4"/>
  <c r="P6" i="4"/>
  <c r="B6" i="4"/>
  <c r="C6" i="4"/>
  <c r="H6" i="4"/>
  <c r="F6" i="4"/>
  <c r="P47" i="1"/>
  <c r="P48" i="1" s="1"/>
  <c r="P54" i="1" s="1"/>
  <c r="L63" i="4"/>
  <c r="L64" i="4" s="1"/>
  <c r="G6" i="4"/>
  <c r="R7" i="4"/>
  <c r="K63" i="4"/>
  <c r="K64" i="4" s="1"/>
  <c r="V63" i="4"/>
  <c r="V64" i="4" s="1"/>
  <c r="J63" i="4"/>
  <c r="J64" i="4" s="1"/>
  <c r="W63" i="4"/>
  <c r="W64" i="4" s="1"/>
  <c r="U63" i="4"/>
  <c r="U64" i="4" s="1"/>
  <c r="N63" i="4"/>
  <c r="N64" i="4" s="1"/>
  <c r="T27" i="33"/>
  <c r="T52" i="33" s="1"/>
  <c r="T45" i="33"/>
  <c r="I47" i="1"/>
  <c r="I48" i="1" s="1"/>
  <c r="I54" i="1" s="1"/>
  <c r="F47" i="1"/>
  <c r="F48" i="1" s="1"/>
  <c r="F54" i="1" s="1"/>
  <c r="G47" i="1"/>
  <c r="G48" i="1" s="1"/>
  <c r="G54" i="1" s="1"/>
  <c r="E47" i="1"/>
  <c r="E48" i="1" s="1"/>
  <c r="E54" i="1" s="1"/>
  <c r="Q46" i="1"/>
  <c r="Q53" i="1" s="1"/>
  <c r="E46" i="1"/>
  <c r="E53" i="1" s="1"/>
  <c r="Q47" i="1"/>
  <c r="Q48" i="1" s="1"/>
  <c r="Q54" i="1" s="1"/>
  <c r="I46" i="1"/>
  <c r="I53" i="1" s="1"/>
  <c r="R74" i="4"/>
  <c r="U57" i="4"/>
  <c r="U58" i="4" s="1"/>
  <c r="U76" i="4" s="1"/>
  <c r="H57" i="1"/>
  <c r="G57" i="1"/>
  <c r="F57" i="1"/>
  <c r="I57" i="1"/>
  <c r="E57" i="1"/>
  <c r="H7" i="4"/>
  <c r="G46" i="1"/>
  <c r="G53" i="1" s="1"/>
  <c r="H46" i="1"/>
  <c r="H53" i="1" s="1"/>
  <c r="H47" i="1"/>
  <c r="H48" i="1" s="1"/>
  <c r="H54" i="1" s="1"/>
  <c r="G11" i="4"/>
  <c r="F9" i="4"/>
  <c r="I13" i="4"/>
  <c r="E12" i="4"/>
  <c r="I55" i="4"/>
  <c r="I62" i="4"/>
  <c r="N55" i="4"/>
  <c r="N62" i="4"/>
  <c r="W57" i="4"/>
  <c r="W58" i="4" s="1"/>
  <c r="W76" i="4" s="1"/>
  <c r="W56" i="4"/>
  <c r="W75" i="4" s="1"/>
  <c r="V57" i="4"/>
  <c r="V58" i="4" s="1"/>
  <c r="V76" i="4" s="1"/>
  <c r="L56" i="4"/>
  <c r="L75" i="4" s="1"/>
  <c r="T56" i="4"/>
  <c r="T75" i="4" s="1"/>
  <c r="K57" i="4"/>
  <c r="K58" i="4" s="1"/>
  <c r="K76" i="4" s="1"/>
  <c r="J56" i="4"/>
  <c r="J75" i="4" s="1"/>
  <c r="P55" i="4"/>
  <c r="P62" i="4"/>
  <c r="F55" i="4"/>
  <c r="F62" i="4"/>
  <c r="M55" i="4"/>
  <c r="M62" i="4"/>
  <c r="J55" i="4"/>
  <c r="J62" i="4"/>
  <c r="L57" i="4"/>
  <c r="L58" i="4" s="1"/>
  <c r="L76" i="4" s="1"/>
  <c r="N57" i="4"/>
  <c r="N58" i="4" s="1"/>
  <c r="N76" i="4" s="1"/>
  <c r="K56" i="4"/>
  <c r="K75" i="4" s="1"/>
  <c r="J57" i="4"/>
  <c r="J58" i="4" s="1"/>
  <c r="J76" i="4" s="1"/>
  <c r="Q55" i="4"/>
  <c r="Q62" i="4"/>
  <c r="G55" i="4"/>
  <c r="G62" i="4"/>
  <c r="H74" i="4"/>
  <c r="H62" i="4"/>
  <c r="U22" i="33"/>
  <c r="U45" i="33"/>
  <c r="U27" i="33"/>
  <c r="U52" i="33" s="1"/>
  <c r="R45" i="33"/>
  <c r="R27" i="33"/>
  <c r="R52" i="33" s="1"/>
  <c r="R22" i="33"/>
  <c r="V56" i="4"/>
  <c r="V75" i="4" s="1"/>
  <c r="M56" i="4"/>
  <c r="M75" i="4" s="1"/>
  <c r="N56" i="4"/>
  <c r="N75" i="4" s="1"/>
  <c r="U56" i="4"/>
  <c r="U75" i="4" s="1"/>
  <c r="C74" i="4"/>
  <c r="C62" i="4"/>
  <c r="D55" i="4"/>
  <c r="D62" i="4"/>
  <c r="S27" i="33"/>
  <c r="S52" i="33" s="1"/>
  <c r="S22" i="33"/>
  <c r="S45" i="33"/>
  <c r="V4" i="33"/>
  <c r="T57" i="4"/>
  <c r="T58" i="4" s="1"/>
  <c r="T76" i="4" s="1"/>
  <c r="R55" i="4"/>
  <c r="V4" i="1"/>
  <c r="V45" i="1" s="1"/>
  <c r="P32" i="4"/>
  <c r="R10" i="4"/>
  <c r="B32" i="4"/>
  <c r="H55" i="4"/>
  <c r="S10" i="4"/>
  <c r="P14" i="4"/>
  <c r="Q15" i="4"/>
  <c r="V4" i="23"/>
  <c r="V45" i="23" s="1"/>
  <c r="N52" i="23"/>
  <c r="K79" i="4"/>
  <c r="B10" i="4"/>
  <c r="L79" i="4"/>
  <c r="N79" i="4"/>
  <c r="W79" i="4"/>
  <c r="M79" i="4"/>
  <c r="J79" i="4"/>
  <c r="V79" i="4"/>
  <c r="U79" i="4"/>
  <c r="T79" i="4"/>
  <c r="P26" i="4"/>
  <c r="P46" i="1"/>
  <c r="P53" i="1" s="1"/>
  <c r="U4" i="1"/>
  <c r="U22" i="1" s="1"/>
  <c r="M74" i="4"/>
  <c r="M27" i="1"/>
  <c r="M52" i="1" s="1"/>
  <c r="M22" i="1"/>
  <c r="J52" i="1"/>
  <c r="J74" i="4"/>
  <c r="J27" i="1"/>
  <c r="J45" i="1"/>
  <c r="S4" i="1"/>
  <c r="S4" i="23"/>
  <c r="C55" i="4"/>
  <c r="U4" i="23"/>
  <c r="U22" i="23" s="1"/>
  <c r="N27" i="23"/>
  <c r="N45" i="23"/>
  <c r="J22" i="23"/>
  <c r="J52" i="23"/>
  <c r="J22" i="1"/>
  <c r="J27" i="23"/>
  <c r="R4" i="1"/>
  <c r="R22" i="1" s="1"/>
  <c r="R4" i="23"/>
  <c r="R22" i="23" s="1"/>
  <c r="M52" i="23"/>
  <c r="M22" i="23"/>
  <c r="M45" i="23"/>
  <c r="M45" i="1"/>
  <c r="B46" i="23"/>
  <c r="B53" i="23" s="1"/>
  <c r="B55" i="23" s="1"/>
  <c r="O46" i="23"/>
  <c r="O53" i="23" s="1"/>
  <c r="O55" i="23" s="1"/>
  <c r="O47" i="23"/>
  <c r="O48" i="23" s="1"/>
  <c r="O54" i="23" s="1"/>
  <c r="B47" i="23"/>
  <c r="B48" i="23" s="1"/>
  <c r="B54" i="23" s="1"/>
  <c r="B57" i="23"/>
  <c r="O57" i="23"/>
  <c r="B29" i="4"/>
  <c r="P22" i="4"/>
  <c r="R47" i="1"/>
  <c r="R48" i="1" s="1"/>
  <c r="R54" i="1" s="1"/>
  <c r="Q57" i="1"/>
  <c r="D74" i="4"/>
  <c r="R46" i="1"/>
  <c r="R53" i="1" s="1"/>
  <c r="N74" i="4"/>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P74" i="4"/>
  <c r="Q74" i="4"/>
  <c r="M63" i="4" l="1"/>
  <c r="M64" i="4" s="1"/>
  <c r="I63" i="4"/>
  <c r="I64" i="4" s="1"/>
  <c r="G55" i="1"/>
  <c r="F55" i="23"/>
  <c r="H56" i="4"/>
  <c r="H75" i="4" s="1"/>
  <c r="C63" i="4"/>
  <c r="C64" i="4" s="1"/>
  <c r="I57" i="4"/>
  <c r="I58" i="4" s="1"/>
  <c r="I76" i="4" s="1"/>
  <c r="W4" i="4"/>
  <c r="W55" i="4" s="1"/>
  <c r="F63" i="4"/>
  <c r="F64" i="4" s="1"/>
  <c r="S63" i="4"/>
  <c r="S64" i="4" s="1"/>
  <c r="C55" i="23"/>
  <c r="N55" i="23"/>
  <c r="Q55" i="23"/>
  <c r="U55" i="23"/>
  <c r="T55" i="23"/>
  <c r="R55" i="23"/>
  <c r="S55" i="23"/>
  <c r="V55" i="23"/>
  <c r="P55" i="23"/>
  <c r="S55" i="1"/>
  <c r="U55" i="1"/>
  <c r="R55" i="1"/>
  <c r="T55" i="1"/>
  <c r="P55" i="1"/>
  <c r="Q55" i="1"/>
  <c r="V55" i="1"/>
  <c r="D63" i="4"/>
  <c r="D64" i="4" s="1"/>
  <c r="B63" i="4"/>
  <c r="B64" i="4" s="1"/>
  <c r="P63" i="4"/>
  <c r="P64" i="4" s="1"/>
  <c r="G56" i="4"/>
  <c r="G75" i="4" s="1"/>
  <c r="H57" i="4"/>
  <c r="H58" i="4" s="1"/>
  <c r="H76" i="4" s="1"/>
  <c r="H63" i="4"/>
  <c r="H64" i="4" s="1"/>
  <c r="Q63" i="4"/>
  <c r="Q64" i="4" s="1"/>
  <c r="G63" i="4"/>
  <c r="G64" i="4" s="1"/>
  <c r="E63" i="4"/>
  <c r="E64" i="4" s="1"/>
  <c r="R63" i="4"/>
  <c r="R64" i="4" s="1"/>
  <c r="V27" i="23"/>
  <c r="V52" i="23" s="1"/>
  <c r="I56" i="4"/>
  <c r="I75" i="4" s="1"/>
  <c r="U45" i="1"/>
  <c r="V22" i="1"/>
  <c r="V22" i="23"/>
  <c r="V27" i="1"/>
  <c r="V52" i="1" s="1"/>
  <c r="G57" i="4"/>
  <c r="G58" i="4" s="1"/>
  <c r="G76" i="4" s="1"/>
  <c r="F57" i="4"/>
  <c r="F58" i="4" s="1"/>
  <c r="F76" i="4" s="1"/>
  <c r="B56" i="4"/>
  <c r="E79" i="4"/>
  <c r="G79" i="4"/>
  <c r="I79" i="4"/>
  <c r="H79" i="4"/>
  <c r="F79" i="4"/>
  <c r="J80" i="4"/>
  <c r="E57" i="4"/>
  <c r="E58" i="4" s="1"/>
  <c r="E76" i="4" s="1"/>
  <c r="E56" i="4"/>
  <c r="E75" i="4" s="1"/>
  <c r="F56" i="4"/>
  <c r="F75" i="4" s="1"/>
  <c r="Q57" i="4"/>
  <c r="Q58" i="4" s="1"/>
  <c r="Q76" i="4" s="1"/>
  <c r="S56" i="4"/>
  <c r="S75" i="4" s="1"/>
  <c r="D56" i="4"/>
  <c r="D75" i="4" s="1"/>
  <c r="B57" i="4"/>
  <c r="B58" i="4" s="1"/>
  <c r="B76" i="4" s="1"/>
  <c r="V45" i="33"/>
  <c r="V27" i="33"/>
  <c r="V52" i="33" s="1"/>
  <c r="V22" i="33"/>
  <c r="D57" i="4"/>
  <c r="D58" i="4" s="1"/>
  <c r="D76" i="4" s="1"/>
  <c r="P57" i="4"/>
  <c r="P58" i="4" s="1"/>
  <c r="P76" i="4" s="1"/>
  <c r="C57" i="4"/>
  <c r="C58" i="4" s="1"/>
  <c r="C76" i="4" s="1"/>
  <c r="R56" i="4"/>
  <c r="R75" i="4" s="1"/>
  <c r="P56" i="4"/>
  <c r="P75" i="4" s="1"/>
  <c r="C56" i="4"/>
  <c r="C75" i="4" s="1"/>
  <c r="W74" i="4"/>
  <c r="Q56" i="4"/>
  <c r="S57" i="4"/>
  <c r="S58" i="4" s="1"/>
  <c r="S76" i="4" s="1"/>
  <c r="R57" i="4"/>
  <c r="R58" i="4" s="1"/>
  <c r="R76" i="4" s="1"/>
  <c r="R79" i="4"/>
  <c r="Q79" i="4"/>
  <c r="S79" i="4"/>
  <c r="S80" i="4" s="1"/>
  <c r="V4" i="4"/>
  <c r="U27" i="1"/>
  <c r="U52" i="1" s="1"/>
  <c r="C79" i="4"/>
  <c r="D79" i="4"/>
  <c r="L55" i="23"/>
  <c r="D55" i="23"/>
  <c r="H55" i="23"/>
  <c r="K55" i="23"/>
  <c r="J55" i="23"/>
  <c r="M55" i="23"/>
  <c r="G55" i="23"/>
  <c r="E55" i="23"/>
  <c r="I55" i="23"/>
  <c r="R59" i="23"/>
  <c r="R60" i="23" s="1"/>
  <c r="P79" i="4"/>
  <c r="B79" i="4"/>
  <c r="B64" i="23"/>
  <c r="L59" i="23"/>
  <c r="L60" i="23" s="1"/>
  <c r="F59" i="23"/>
  <c r="F60" i="23" s="1"/>
  <c r="Q59" i="23"/>
  <c r="Q60" i="23" s="1"/>
  <c r="V59" i="23"/>
  <c r="V60" i="23" s="1"/>
  <c r="P59" i="23"/>
  <c r="P60" i="23" s="1"/>
  <c r="T59" i="23"/>
  <c r="T60" i="23" s="1"/>
  <c r="U59" i="23"/>
  <c r="U60" i="23" s="1"/>
  <c r="S59" i="23"/>
  <c r="S60" i="23" s="1"/>
  <c r="B65" i="23"/>
  <c r="R45" i="23"/>
  <c r="T4" i="4"/>
  <c r="T62" i="4" s="1"/>
  <c r="S45" i="1"/>
  <c r="S27" i="1"/>
  <c r="S52" i="1" s="1"/>
  <c r="S22" i="1"/>
  <c r="U27" i="23"/>
  <c r="U52" i="23" s="1"/>
  <c r="U45" i="23"/>
  <c r="S45" i="23"/>
  <c r="S27" i="23"/>
  <c r="S52" i="23" s="1"/>
  <c r="S22" i="23"/>
  <c r="R45" i="1"/>
  <c r="S4" i="4"/>
  <c r="S62" i="4" s="1"/>
  <c r="R27" i="1"/>
  <c r="R52" i="1" s="1"/>
  <c r="R27" i="23"/>
  <c r="R52" i="23" s="1"/>
  <c r="C59" i="23"/>
  <c r="C60" i="23" s="1"/>
  <c r="N59" i="23"/>
  <c r="N60" i="23" s="1"/>
  <c r="E59" i="23"/>
  <c r="E60" i="23" s="1"/>
  <c r="J59" i="23"/>
  <c r="J60" i="23" s="1"/>
  <c r="K59" i="23"/>
  <c r="K60" i="23" s="1"/>
  <c r="D59" i="23"/>
  <c r="D60" i="23" s="1"/>
  <c r="I59" i="23"/>
  <c r="I60" i="23" s="1"/>
  <c r="O59" i="23"/>
  <c r="O60" i="23" s="1"/>
  <c r="G59" i="23"/>
  <c r="G60" i="23" s="1"/>
  <c r="H59" i="23"/>
  <c r="H60" i="23" s="1"/>
  <c r="M59" i="23"/>
  <c r="M60" i="23" s="1"/>
  <c r="C55" i="1"/>
  <c r="H55" i="1"/>
  <c r="F55" i="1"/>
  <c r="N55" i="1"/>
  <c r="I55" i="1"/>
  <c r="L55" i="1"/>
  <c r="J55" i="1"/>
  <c r="D55" i="1"/>
  <c r="K55" i="1"/>
  <c r="E55" i="1"/>
  <c r="O59" i="1"/>
  <c r="O60" i="1" s="1"/>
  <c r="N59" i="1"/>
  <c r="N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T27" i="1"/>
  <c r="T52" i="1" s="1"/>
  <c r="T45" i="1"/>
  <c r="U4" i="4"/>
  <c r="U62" i="4" s="1"/>
  <c r="T22" i="1"/>
  <c r="U77" i="4" l="1"/>
  <c r="W62" i="4"/>
  <c r="B80" i="4"/>
  <c r="Q75" i="4"/>
  <c r="P81" i="4"/>
  <c r="V74" i="4"/>
  <c r="V62" i="4"/>
  <c r="R61" i="23"/>
  <c r="V55" i="4"/>
  <c r="W77" i="4"/>
  <c r="V77" i="4"/>
  <c r="P77" i="4"/>
  <c r="T77" i="4"/>
  <c r="R77" i="4"/>
  <c r="S77" i="4"/>
  <c r="Q81" i="4"/>
  <c r="R81" i="4"/>
  <c r="B86" i="4"/>
  <c r="B87" i="4"/>
  <c r="B75" i="4"/>
  <c r="F94" i="4" s="1"/>
  <c r="N81" i="4"/>
  <c r="N82" i="4" s="1"/>
  <c r="M61" i="23"/>
  <c r="I61" i="23"/>
  <c r="E61" i="23"/>
  <c r="D61" i="23"/>
  <c r="C61" i="23"/>
  <c r="Q61" i="23"/>
  <c r="U61" i="23"/>
  <c r="P61" i="23"/>
  <c r="F61" i="23"/>
  <c r="H61" i="23"/>
  <c r="K61" i="23"/>
  <c r="N61" i="23"/>
  <c r="G61" i="23"/>
  <c r="J61" i="23"/>
  <c r="S61" i="23"/>
  <c r="T61" i="23"/>
  <c r="V61" i="23"/>
  <c r="L61" i="23"/>
  <c r="D61" i="1"/>
  <c r="U61" i="1"/>
  <c r="S61" i="1"/>
  <c r="G61" i="1"/>
  <c r="M61" i="1"/>
  <c r="L61" i="1"/>
  <c r="T61" i="1"/>
  <c r="E61" i="1"/>
  <c r="F61" i="1"/>
  <c r="K61" i="1"/>
  <c r="I61" i="1"/>
  <c r="J61" i="1"/>
  <c r="V61" i="1"/>
  <c r="H61" i="1"/>
  <c r="N61" i="1"/>
  <c r="T55" i="4"/>
  <c r="T74" i="4"/>
  <c r="S55" i="4"/>
  <c r="S74" i="4"/>
  <c r="O61" i="1"/>
  <c r="Q61" i="1"/>
  <c r="P61" i="1"/>
  <c r="C61" i="1"/>
  <c r="R61" i="1"/>
  <c r="U55" i="4"/>
  <c r="U74" i="4"/>
  <c r="I94" i="4" l="1"/>
  <c r="O94" i="4"/>
  <c r="B94" i="4"/>
  <c r="N94" i="4"/>
  <c r="U94" i="4"/>
  <c r="K94" i="4"/>
  <c r="M94" i="4"/>
  <c r="V94" i="4"/>
  <c r="T94" i="4"/>
  <c r="J94" i="4"/>
  <c r="L94" i="4"/>
  <c r="Q77" i="4"/>
  <c r="Q94" i="4"/>
  <c r="D94" i="4"/>
  <c r="P94" i="4"/>
  <c r="H94" i="4"/>
  <c r="R94" i="4"/>
  <c r="E94" i="4"/>
  <c r="S94" i="4"/>
  <c r="G94" i="4"/>
  <c r="C94" i="4"/>
  <c r="J81" i="4"/>
  <c r="K81" i="4"/>
  <c r="L81" i="4"/>
  <c r="M81" i="4"/>
  <c r="I81" i="4"/>
  <c r="F81" i="4"/>
  <c r="F83" i="4" s="1"/>
  <c r="G81" i="4"/>
  <c r="H81" i="4"/>
  <c r="D81" i="4"/>
  <c r="D83" i="4" s="1"/>
  <c r="E81" i="4"/>
  <c r="C81" i="4"/>
  <c r="K77" i="4"/>
  <c r="J77" i="4"/>
  <c r="G77" i="4"/>
  <c r="N77" i="4"/>
  <c r="F77" i="4"/>
  <c r="L77" i="4"/>
  <c r="B77" i="4"/>
  <c r="M77" i="4"/>
  <c r="I77" i="4"/>
  <c r="H77" i="4"/>
  <c r="D77" i="4"/>
  <c r="C77" i="4"/>
  <c r="E77" i="4"/>
  <c r="L83" i="4"/>
  <c r="W83" i="4"/>
  <c r="U83" i="4"/>
  <c r="M83" i="4"/>
  <c r="Q83" i="4"/>
  <c r="V83" i="4"/>
  <c r="N83" i="4"/>
  <c r="R83" i="4"/>
  <c r="K83" i="4"/>
  <c r="J83" i="4"/>
  <c r="S83" i="4"/>
  <c r="T83" i="4"/>
  <c r="P83" i="4"/>
  <c r="O61" i="23"/>
  <c r="G83" i="4" l="1"/>
  <c r="I83" i="4"/>
  <c r="E83" i="4"/>
  <c r="C83" i="4"/>
  <c r="H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<sst xmlns="http://schemas.openxmlformats.org/spreadsheetml/2006/main" count="228" uniqueCount="77">
  <si>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</si>
  <si>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</si>
  <si>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</si>
  <si>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</si>
  <si>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</si>
  <si>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</si>
  <si>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</si>
  <si>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</si>
  <si>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</si>
  <si>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</si>
  <si>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</si>
  <si>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</si>
  <si>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</si>
  <si>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</si>
  <si>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</si>
  <si>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</si>
  <si>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</si>
  <si>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</si>
  <si>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</si>
  <si>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</si>
  <si>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</si>
  <si>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</si>
  <si>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</si>
  <si>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</si>
  <si>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</si>
  <si>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</si>
  <si>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</si>
  <si>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</si>
  <si>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</si>
  <si>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</si>
  <si>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</si>
  <si>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</si>
  <si>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</si>
  <si>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</si>
  <si>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</si>
  <si>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</si>
  <si>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</si>
  <si>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</si>
  <si>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</si>
  <si>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</si>
  <si>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</si>
  <si>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</si>
  <si>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</si>
  <si>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</si>
  <si>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</si>
  <si>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</si>
  <si>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</si>
  <si>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</si>
  <si>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</si>
  <si>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</si>
  <si>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</si>
  <si>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</si>
  <si>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</si>
  <si>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</si>
  <si>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</si>
  <si>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</si>
  <si>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</si>
  <si>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</si>
  <si>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</si>
  <si>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</si>
  <si>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</si>
  <si>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</si>
  <si>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</si>
  <si>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</si>
  <si>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</si>
  <si>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</si>
  <si>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</si>
  <si>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</si>
  <si>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Date performed :20210602</t>
    <phoneticPr fontId="12"/>
  </si>
  <si>
    <t>Date performed :20210603</t>
    <phoneticPr fontId="12"/>
  </si>
  <si>
    <t>6. Expérimentateur 2 : copier et coller les valeurs des intensités totales de fluorescences obtenues dans le fichier raw data lors du traitement des images. Ne pas supprimer les colonnes correspondant aux concentrations non lues.
画像処理時に取得した蛍光強度全体の値をコピーして、生データファイルに貼り付けます。未読濃度に対応する列は削除しないでください。</t>
    <phoneticPr fontId="12"/>
  </si>
  <si>
    <t>Données brutes
ローデータ</t>
    <phoneticPr fontId="12"/>
  </si>
  <si>
    <t>Données normalisées sur la moyenne du groupe "Testo"
「Testo」群の平均に関する標準化データ</t>
    <phoneticPr fontId="12"/>
  </si>
  <si>
    <t>Date performed :20210609</t>
    <phoneticPr fontId="12"/>
  </si>
  <si>
    <t>mg/L</t>
    <phoneticPr fontId="12"/>
  </si>
  <si>
    <t>BPA</t>
    <phoneticPr fontId="12"/>
  </si>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</sst>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6"/>
      <name val="Calibri"/>
      <family val="3"/>
      <charset val="128"/>
      <scheme val="minor"/>
    </font>
    <font>
      <sz val="9"/>
      <name val="Arial"/>
      <family val="2"/>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5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0" borderId="4" xfId="0" applyFont="1" applyBorder="1" applyAlignment="1">
      <alignment vertical="center"/>
    </xf>
    <xf numFmtId="0" fontId="3" fillId="13" borderId="3" xfId="0" applyFont="1" applyFill="1" applyBorder="1" applyAlignment="1">
      <alignmen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15"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9"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2" fillId="6" borderId="1" xfId="0" applyFont="1" applyFill="1" applyBorder="1"/>
    <xf numFmtId="0" fontId="0" fillId="6" borderId="1" xfId="0" applyFill="1" applyBorder="1"/>
    <xf numFmtId="0" fontId="6" fillId="6" borderId="1" xfId="0" applyFont="1" applyFill="1" applyBorder="1" applyAlignment="1">
      <alignment horizontal="center"/>
    </xf>
    <xf numFmtId="0" fontId="0" fillId="0" borderId="1" xfId="0" applyFill="1" applyBorder="1"/>
    <xf numFmtId="0" fontId="0" fillId="0" borderId="1" xfId="0" applyFill="1" applyBorder="1" applyAlignment="1">
      <alignment horizontal="center"/>
    </xf>
    <xf numFmtId="0" fontId="2" fillId="6" borderId="1" xfId="0" applyFont="1" applyFill="1" applyBorder="1" applyAlignment="1">
      <alignment horizontal="right"/>
    </xf>
    <xf numFmtId="0" fontId="3" fillId="13" borderId="39" xfId="0" applyNumberFormat="1" applyFont="1" applyFill="1" applyBorder="1" applyAlignment="1">
      <alignment horizontal="center" vertical="center"/>
    </xf>
    <xf numFmtId="0" fontId="13" fillId="0" borderId="0" xfId="0" applyFont="1"/>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6" xfId="0" applyFont="1" applyBorder="1" applyAlignment="1">
      <alignment horizontal="center" vertical="center"/>
    </xf>
    <xf numFmtId="0" fontId="3" fillId="0" borderId="35"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0" fontId="1" fillId="0" borderId="19"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11" borderId="7" xfId="0" applyFont="1" applyFill="1" applyBorder="1" applyAlignment="1">
      <alignment horizontal="left"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externalLink" Target="externalLinks/externalLink2.xml"/><Relationship Id="rId5" Type="http://schemas.openxmlformats.org/officeDocument/2006/relationships/chartsheet" Target="chartsheets/sheet2.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932821640450779E-2"/>
          <c:y val="0.14661961377408195"/>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'R1'!$O$48:$V$48</c:f>
                <c:numCache>
                  <c:formatCode>General</c:formatCode>
                  <c:ptCount val="8"/>
                  <c:pt idx="0">
                    <c:v>9.20226454333887E-2</c:v>
                  </c:pt>
                  <c:pt idx="1">
                    <c:v>0.1080390472912426</c:v>
                  </c:pt>
                  <c:pt idx="2">
                    <c:v>3.6202813220445294E-2</c:v>
                  </c:pt>
                  <c:pt idx="3">
                    <c:v>0.12380975196394847</c:v>
                  </c:pt>
                  <c:pt idx="4">
                    <c:v>8.9562826652415689E-2</c:v>
                  </c:pt>
                  <c:pt idx="5">
                    <c:v>0.12735626299711225</c:v>
                  </c:pt>
                  <c:pt idx="6">
                    <c:v>0.15750381917748363</c:v>
                  </c:pt>
                  <c:pt idx="7">
                    <c:v>0.1746016394111238</c:v>
                  </c:pt>
                </c:numCache>
              </c:numRef>
            </c:plus>
            <c:minus>
              <c:numRef>
                <c:f>'R1'!$O$48:$V$48</c:f>
                <c:numCache>
                  <c:formatCode>General</c:formatCode>
                  <c:ptCount val="8"/>
                  <c:pt idx="0">
                    <c:v>9.20226454333887E-2</c:v>
                  </c:pt>
                  <c:pt idx="1">
                    <c:v>0.1080390472912426</c:v>
                  </c:pt>
                  <c:pt idx="2">
                    <c:v>3.6202813220445294E-2</c:v>
                  </c:pt>
                  <c:pt idx="3">
                    <c:v>0.12380975196394847</c:v>
                  </c:pt>
                  <c:pt idx="4">
                    <c:v>8.9562826652415689E-2</c:v>
                  </c:pt>
                  <c:pt idx="5">
                    <c:v>0.12735626299711225</c:v>
                  </c:pt>
                  <c:pt idx="6">
                    <c:v>0.15750381917748363</c:v>
                  </c:pt>
                  <c:pt idx="7">
                    <c:v>0.1746016394111238</c:v>
                  </c:pt>
                </c:numCache>
              </c:numRef>
            </c:minus>
          </c:errBars>
          <c:cat>
            <c:strRef>
              <c:f>'R1'!$B$52:$V$52</c:f>
              <c:strCache>
                <c:ptCount val="21"/>
                <c:pt idx="0">
                  <c:v>Solvent control</c:v>
                </c:pt>
                <c:pt idx="1">
                  <c:v>EE2-33.8ng/L</c:v>
                </c:pt>
                <c:pt idx="2">
                  <c:v>EE2-50.6ng/L</c:v>
                </c:pt>
                <c:pt idx="3">
                  <c:v>EE2-76ng/L</c:v>
                </c:pt>
                <c:pt idx="4">
                  <c:v>EE2-114ng/L</c:v>
                </c:pt>
                <c:pt idx="5">
                  <c:v>EE2-170.9ng/L</c:v>
                </c:pt>
                <c:pt idx="6">
                  <c:v>EE2-488ng/L</c:v>
                </c:pt>
                <c:pt idx="7">
                  <c:v>BPA-5mg/L</c:v>
                </c:pt>
                <c:pt idx="8">
                  <c:v>BPA-4mg/L</c:v>
                </c:pt>
                <c:pt idx="9">
                  <c:v>BPA-3mg/L</c:v>
                </c:pt>
                <c:pt idx="10">
                  <c:v>BPA-2mg/L</c:v>
                </c:pt>
                <c:pt idx="11">
                  <c:v>BPA-1mg/L</c:v>
                </c:pt>
                <c:pt idx="13">
                  <c:v>Testo -30µg/L</c:v>
                </c:pt>
                <c:pt idx="14">
                  <c:v>Testo 30µg/L + EE2 -64ng/L</c:v>
                </c:pt>
                <c:pt idx="15">
                  <c:v>Testo 30µg/L + FAD-10mg/L</c:v>
                </c:pt>
                <c:pt idx="16">
                  <c:v>BPA-5mg/L + Testostérone</c:v>
                </c:pt>
                <c:pt idx="17">
                  <c:v>BPA-4mg/L + Testostérone</c:v>
                </c:pt>
                <c:pt idx="18">
                  <c:v>BPA-3mg/L + Testostérone</c:v>
                </c:pt>
                <c:pt idx="19">
                  <c:v>BPA-2mg/L + Testostérone</c:v>
                </c:pt>
                <c:pt idx="20">
                  <c:v>BPA-1mg/L + Testostérone</c:v>
                </c:pt>
              </c:strCache>
            </c:strRef>
          </c:cat>
          <c:val>
            <c:numRef>
              <c:f>'R1'!$B$53:$V$53</c:f>
              <c:numCache>
                <c:formatCode>0.0000</c:formatCode>
                <c:ptCount val="21"/>
                <c:pt idx="0">
                  <c:v>0.19738807459260485</c:v>
                </c:pt>
                <c:pt idx="1">
                  <c:v>0.16875379862664866</c:v>
                </c:pt>
                <c:pt idx="2">
                  <c:v>0.47180964401226133</c:v>
                </c:pt>
                <c:pt idx="3">
                  <c:v>1.0301660841130214</c:v>
                </c:pt>
                <c:pt idx="4">
                  <c:v>1.2045828119991153</c:v>
                </c:pt>
                <c:pt idx="5">
                  <c:v>1.3969706828882928</c:v>
                </c:pt>
                <c:pt idx="6">
                  <c:v>1.8475594508322104</c:v>
                </c:pt>
                <c:pt idx="7">
                  <c:v>0.90200353637474606</c:v>
                </c:pt>
                <c:pt idx="8">
                  <c:v>0.78138414215387741</c:v>
                </c:pt>
                <c:pt idx="9">
                  <c:v>0.22847395902735801</c:v>
                </c:pt>
                <c:pt idx="10">
                  <c:v>0.13996656297997456</c:v>
                </c:pt>
                <c:pt idx="11">
                  <c:v>0.17098250403491483</c:v>
                </c:pt>
                <c:pt idx="12">
                  <c:v>0</c:v>
                </c:pt>
                <c:pt idx="13">
                  <c:v>0.99999999999999989</c:v>
                </c:pt>
                <c:pt idx="14">
                  <c:v>1.450170915760594</c:v>
                </c:pt>
                <c:pt idx="15">
                  <c:v>0.10237343370145466</c:v>
                </c:pt>
                <c:pt idx="16">
                  <c:v>1.1859972417047049</c:v>
                </c:pt>
                <c:pt idx="17">
                  <c:v>1.3419033246948859</c:v>
                </c:pt>
                <c:pt idx="18">
                  <c:v>1.6269051538632082</c:v>
                </c:pt>
                <c:pt idx="19">
                  <c:v>1.5010024263861861</c:v>
                </c:pt>
                <c:pt idx="20">
                  <c:v>1.1185893581895567</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rgbClr val="C00000"/>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4.721654478407928E-2</c:v>
                  </c:pt>
                  <c:pt idx="1">
                    <c:v>5.4495212553440434E-2</c:v>
                  </c:pt>
                  <c:pt idx="2">
                    <c:v>3.1720758418796333E-2</c:v>
                  </c:pt>
                  <c:pt idx="3">
                    <c:v>9.2799282546726689E-2</c:v>
                  </c:pt>
                  <c:pt idx="4">
                    <c:v>9.8092663648059603E-2</c:v>
                  </c:pt>
                  <c:pt idx="5">
                    <c:v>0.14601361834436483</c:v>
                  </c:pt>
                  <c:pt idx="6">
                    <c:v>0.16819806072754598</c:v>
                  </c:pt>
                  <c:pt idx="7">
                    <c:v>0.10838079754806126</c:v>
                  </c:pt>
                  <c:pt idx="8">
                    <c:v>0.1101915818884249</c:v>
                  </c:pt>
                  <c:pt idx="9">
                    <c:v>2.5035005510625489E-2</c:v>
                  </c:pt>
                  <c:pt idx="10">
                    <c:v>2.267189996713026E-2</c:v>
                  </c:pt>
                  <c:pt idx="11">
                    <c:v>2.3600482059724915E-2</c:v>
                  </c:pt>
                  <c:pt idx="12">
                    <c:v>0</c:v>
                  </c:pt>
                  <c:pt idx="13">
                    <c:v>9.8371869129617831E-2</c:v>
                  </c:pt>
                  <c:pt idx="14">
                    <c:v>0.17012613169799548</c:v>
                  </c:pt>
                  <c:pt idx="15">
                    <c:v>4.6288961020145028E-2</c:v>
                  </c:pt>
                  <c:pt idx="16">
                    <c:v>7.3706683281009114E-2</c:v>
                  </c:pt>
                  <c:pt idx="17">
                    <c:v>0.13362832443718237</c:v>
                  </c:pt>
                  <c:pt idx="18">
                    <c:v>0.13731399106868283</c:v>
                  </c:pt>
                  <c:pt idx="19">
                    <c:v>0.17404348033916361</c:v>
                  </c:pt>
                  <c:pt idx="20">
                    <c:v>7.3310921689838646E-2</c:v>
                  </c:pt>
                </c:numCache>
              </c:numRef>
            </c:plus>
            <c:minus>
              <c:numRef>
                <c:f>'R1'!$O$48:$V$48</c:f>
                <c:numCache>
                  <c:formatCode>General</c:formatCode>
                  <c:ptCount val="8"/>
                  <c:pt idx="0">
                    <c:v>9.20226454333887E-2</c:v>
                  </c:pt>
                  <c:pt idx="1">
                    <c:v>0.1080390472912426</c:v>
                  </c:pt>
                  <c:pt idx="2">
                    <c:v>3.6202813220445294E-2</c:v>
                  </c:pt>
                  <c:pt idx="3">
                    <c:v>0.12380975196394847</c:v>
                  </c:pt>
                  <c:pt idx="4">
                    <c:v>8.9562826652415689E-2</c:v>
                  </c:pt>
                  <c:pt idx="5">
                    <c:v>0.12735626299711225</c:v>
                  </c:pt>
                  <c:pt idx="6">
                    <c:v>0.15750381917748363</c:v>
                  </c:pt>
                  <c:pt idx="7">
                    <c:v>0.1746016394111238</c:v>
                  </c:pt>
                </c:numCache>
              </c:numRef>
            </c:minus>
          </c:errBars>
          <c:cat>
            <c:strRef>
              <c:f>'R2'!$B$52:$V$52</c:f>
              <c:strCache>
                <c:ptCount val="21"/>
                <c:pt idx="0">
                  <c:v>Solvent control</c:v>
                </c:pt>
                <c:pt idx="1">
                  <c:v>EE2-33.8ng/L</c:v>
                </c:pt>
                <c:pt idx="2">
                  <c:v>EE2-50.6ng/L</c:v>
                </c:pt>
                <c:pt idx="3">
                  <c:v>EE2-76ng/L</c:v>
                </c:pt>
                <c:pt idx="4">
                  <c:v>EE2-114ng/L</c:v>
                </c:pt>
                <c:pt idx="5">
                  <c:v>EE2-170.9ng/L</c:v>
                </c:pt>
                <c:pt idx="6">
                  <c:v>EE2-488ng/L</c:v>
                </c:pt>
                <c:pt idx="7">
                  <c:v>BPA-5mg/L</c:v>
                </c:pt>
                <c:pt idx="8">
                  <c:v>BPA-4mg/L</c:v>
                </c:pt>
                <c:pt idx="9">
                  <c:v>BPA-3mg/L</c:v>
                </c:pt>
                <c:pt idx="10">
                  <c:v>BPA-2mg/L</c:v>
                </c:pt>
                <c:pt idx="11">
                  <c:v>BPA-1mg/L</c:v>
                </c:pt>
                <c:pt idx="13">
                  <c:v>Testo -30µg/L</c:v>
                </c:pt>
                <c:pt idx="14">
                  <c:v>Testo 30µg/L + EE2 -64ng/L</c:v>
                </c:pt>
                <c:pt idx="15">
                  <c:v>Testo 30µg/L + FAD-10mg/L</c:v>
                </c:pt>
                <c:pt idx="16">
                  <c:v>BPA-5mg/L + Testostérone</c:v>
                </c:pt>
                <c:pt idx="17">
                  <c:v>BPA-4mg/L + Testostérone</c:v>
                </c:pt>
                <c:pt idx="18">
                  <c:v>BPA-3mg/L + Testostérone</c:v>
                </c:pt>
                <c:pt idx="19">
                  <c:v>BPA-2mg/L + Testostérone</c:v>
                </c:pt>
                <c:pt idx="20">
                  <c:v>BPA-1mg/L + Testostérone</c:v>
                </c:pt>
              </c:strCache>
            </c:strRef>
          </c:cat>
          <c:val>
            <c:numRef>
              <c:f>'R2'!$B$53:$V$53</c:f>
              <c:numCache>
                <c:formatCode>0.0000</c:formatCode>
                <c:ptCount val="21"/>
                <c:pt idx="0">
                  <c:v>0.11063705138556235</c:v>
                </c:pt>
                <c:pt idx="1">
                  <c:v>0.1604548227519263</c:v>
                </c:pt>
                <c:pt idx="2">
                  <c:v>0.14663796642849783</c:v>
                </c:pt>
                <c:pt idx="3">
                  <c:v>0.56713614229793663</c:v>
                </c:pt>
                <c:pt idx="4">
                  <c:v>0.99846122482508104</c:v>
                </c:pt>
                <c:pt idx="5">
                  <c:v>1.2670348098223727</c:v>
                </c:pt>
                <c:pt idx="6">
                  <c:v>2.3775270588139463</c:v>
                </c:pt>
                <c:pt idx="7">
                  <c:v>0.97264531858486158</c:v>
                </c:pt>
                <c:pt idx="8">
                  <c:v>0.67840465629910007</c:v>
                </c:pt>
                <c:pt idx="9">
                  <c:v>0.15469115879337586</c:v>
                </c:pt>
                <c:pt idx="10">
                  <c:v>5.735438096016035E-2</c:v>
                </c:pt>
                <c:pt idx="11">
                  <c:v>9.2183752117112591E-2</c:v>
                </c:pt>
                <c:pt idx="12">
                  <c:v>0</c:v>
                </c:pt>
                <c:pt idx="13">
                  <c:v>1</c:v>
                </c:pt>
                <c:pt idx="14">
                  <c:v>1.6763771307809825</c:v>
                </c:pt>
                <c:pt idx="15">
                  <c:v>0.18285640780177842</c:v>
                </c:pt>
                <c:pt idx="16">
                  <c:v>1.6190250243649007</c:v>
                </c:pt>
                <c:pt idx="17">
                  <c:v>1.43196548963365</c:v>
                </c:pt>
                <c:pt idx="18">
                  <c:v>1.6047451600045708</c:v>
                </c:pt>
                <c:pt idx="19">
                  <c:v>0.82070760297863843</c:v>
                </c:pt>
                <c:pt idx="20">
                  <c:v>0.51528890897727975</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rgbClr val="002060"/>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1.4972695369796179E-2</c:v>
                  </c:pt>
                  <c:pt idx="1">
                    <c:v>5.7905747061947198E-2</c:v>
                  </c:pt>
                  <c:pt idx="2">
                    <c:v>0.45880040265512689</c:v>
                  </c:pt>
                  <c:pt idx="3">
                    <c:v>0.13097312318441548</c:v>
                  </c:pt>
                  <c:pt idx="4">
                    <c:v>0.24738851764718001</c:v>
                  </c:pt>
                  <c:pt idx="5">
                    <c:v>0.15914931596659512</c:v>
                  </c:pt>
                  <c:pt idx="6">
                    <c:v>0.56337526409377958</c:v>
                  </c:pt>
                  <c:pt idx="7">
                    <c:v>0.33629839133304984</c:v>
                  </c:pt>
                  <c:pt idx="8">
                    <c:v>0.31162510416508044</c:v>
                  </c:pt>
                  <c:pt idx="9">
                    <c:v>0.2601411443252214</c:v>
                  </c:pt>
                  <c:pt idx="10">
                    <c:v>5.0049148693605064E-2</c:v>
                  </c:pt>
                  <c:pt idx="11">
                    <c:v>4.0447124947599063E-2</c:v>
                  </c:pt>
                  <c:pt idx="12">
                    <c:v>0</c:v>
                  </c:pt>
                  <c:pt idx="13">
                    <c:v>0.16740831321326183</c:v>
                  </c:pt>
                  <c:pt idx="14">
                    <c:v>0.16534670110913385</c:v>
                  </c:pt>
                  <c:pt idx="15">
                    <c:v>5.1162466596248748E-2</c:v>
                  </c:pt>
                  <c:pt idx="16">
                    <c:v>0.40615919381401794</c:v>
                  </c:pt>
                  <c:pt idx="17">
                    <c:v>0.2861345732408192</c:v>
                  </c:pt>
                  <c:pt idx="18">
                    <c:v>0.29173629326372258</c:v>
                  </c:pt>
                  <c:pt idx="19">
                    <c:v>0.33070052417657392</c:v>
                  </c:pt>
                  <c:pt idx="20">
                    <c:v>9.5452334871844749E-2</c:v>
                  </c:pt>
                </c:numCache>
              </c:numRef>
            </c:plus>
            <c:minus>
              <c:numRef>
                <c:f>'R1'!$O$48:$V$48</c:f>
                <c:numCache>
                  <c:formatCode>General</c:formatCode>
                  <c:ptCount val="8"/>
                  <c:pt idx="0">
                    <c:v>9.20226454333887E-2</c:v>
                  </c:pt>
                  <c:pt idx="1">
                    <c:v>0.1080390472912426</c:v>
                  </c:pt>
                  <c:pt idx="2">
                    <c:v>3.6202813220445294E-2</c:v>
                  </c:pt>
                  <c:pt idx="3">
                    <c:v>0.12380975196394847</c:v>
                  </c:pt>
                  <c:pt idx="4">
                    <c:v>8.9562826652415689E-2</c:v>
                  </c:pt>
                  <c:pt idx="5">
                    <c:v>0.12735626299711225</c:v>
                  </c:pt>
                  <c:pt idx="6">
                    <c:v>0.15750381917748363</c:v>
                  </c:pt>
                  <c:pt idx="7">
                    <c:v>0.1746016394111238</c:v>
                  </c:pt>
                </c:numCache>
              </c:numRef>
            </c:minus>
          </c:errBars>
          <c:cat>
            <c:strRef>
              <c:f>'R3'!$B$52:$V$52</c:f>
              <c:strCache>
                <c:ptCount val="21"/>
                <c:pt idx="0">
                  <c:v>Solvent control</c:v>
                </c:pt>
                <c:pt idx="1">
                  <c:v>EE2-33.8ng/L</c:v>
                </c:pt>
                <c:pt idx="2">
                  <c:v>EE2-50.6ng/L</c:v>
                </c:pt>
                <c:pt idx="3">
                  <c:v>EE2-76ng/L</c:v>
                </c:pt>
                <c:pt idx="4">
                  <c:v>EE2-114ng/L</c:v>
                </c:pt>
                <c:pt idx="5">
                  <c:v>EE2-170.9ng/L</c:v>
                </c:pt>
                <c:pt idx="6">
                  <c:v>EE2-488ng/L</c:v>
                </c:pt>
                <c:pt idx="7">
                  <c:v>BPA-5mg/L</c:v>
                </c:pt>
                <c:pt idx="8">
                  <c:v>BPA-4mg/L</c:v>
                </c:pt>
                <c:pt idx="9">
                  <c:v>BPA-3mg/L</c:v>
                </c:pt>
                <c:pt idx="10">
                  <c:v>BPA-2mg/L</c:v>
                </c:pt>
                <c:pt idx="11">
                  <c:v>BPA-1mg/L</c:v>
                </c:pt>
                <c:pt idx="13">
                  <c:v>Testo -30µg/L</c:v>
                </c:pt>
                <c:pt idx="14">
                  <c:v>Testo 30µg/L + EE2 -64ng/L</c:v>
                </c:pt>
                <c:pt idx="15">
                  <c:v>Testo 30µg/L + FAD-10mg/L</c:v>
                </c:pt>
                <c:pt idx="16">
                  <c:v>BPA-5mg/L + Testostérone</c:v>
                </c:pt>
                <c:pt idx="17">
                  <c:v>BPA-4mg/L + Testostérone</c:v>
                </c:pt>
                <c:pt idx="18">
                  <c:v>BPA-3mg/L + Testostérone</c:v>
                </c:pt>
                <c:pt idx="19">
                  <c:v>BPA-2mg/L + Testostérone</c:v>
                </c:pt>
                <c:pt idx="20">
                  <c:v>BPA-1mg/L + Testostérone</c:v>
                </c:pt>
              </c:strCache>
            </c:strRef>
          </c:cat>
          <c:val>
            <c:numRef>
              <c:f>'R3'!$B$53:$V$53</c:f>
              <c:numCache>
                <c:formatCode>0.0000</c:formatCode>
                <c:ptCount val="21"/>
                <c:pt idx="0">
                  <c:v>3.3717663408232124E-2</c:v>
                </c:pt>
                <c:pt idx="1">
                  <c:v>0.27273309496427173</c:v>
                </c:pt>
                <c:pt idx="2">
                  <c:v>1.4299552873977417</c:v>
                </c:pt>
                <c:pt idx="3">
                  <c:v>1.6821448877180143</c:v>
                </c:pt>
                <c:pt idx="4">
                  <c:v>2.7759424470275524</c:v>
                </c:pt>
                <c:pt idx="5">
                  <c:v>2.6925507642804045</c:v>
                </c:pt>
                <c:pt idx="6">
                  <c:v>4.3725600961212123</c:v>
                </c:pt>
                <c:pt idx="7">
                  <c:v>1.9100884862417564</c:v>
                </c:pt>
                <c:pt idx="8">
                  <c:v>1.1370500722980996</c:v>
                </c:pt>
                <c:pt idx="9">
                  <c:v>0.91346237820725951</c:v>
                </c:pt>
                <c:pt idx="10">
                  <c:v>0.12044068206940191</c:v>
                </c:pt>
                <c:pt idx="11">
                  <c:v>0.10961936494029789</c:v>
                </c:pt>
                <c:pt idx="12">
                  <c:v>0</c:v>
                </c:pt>
                <c:pt idx="13">
                  <c:v>1</c:v>
                </c:pt>
                <c:pt idx="14">
                  <c:v>2.5776404813953318</c:v>
                </c:pt>
                <c:pt idx="15">
                  <c:v>0.12304181363640791</c:v>
                </c:pt>
                <c:pt idx="16">
                  <c:v>2.3059768486077976</c:v>
                </c:pt>
                <c:pt idx="17">
                  <c:v>2.7553090198748955</c:v>
                </c:pt>
                <c:pt idx="18">
                  <c:v>1.822854882078575</c:v>
                </c:pt>
                <c:pt idx="19">
                  <c:v>1.8775183697748017</c:v>
                </c:pt>
                <c:pt idx="20">
                  <c:v>1.4349316303130399</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chemeClr val="bg1">
                <a:lumMod val="50000"/>
              </a:schemeClr>
            </a:solidFill>
          </c:spPr>
          <c:invertIfNegative val="0"/>
          <c:dPt>
            <c:idx val="1"/>
            <c:invertIfNegative val="0"/>
            <c:bubble3D val="0"/>
            <c:extLst>
              <c:ext xmlns:c16="http://schemas.microsoft.com/office/drawing/2014/chart" uri="{C3380CC4-5D6E-409C-BE32-E72D297353CC}">
                <c16:uniqueId val="{00000001-033C-4530-84A9-991A3866ABD4}"/>
              </c:ext>
            </c:extLst>
          </c:dPt>
          <c:dPt>
            <c:idx val="2"/>
            <c:invertIfNegative val="0"/>
            <c:bubble3D val="0"/>
            <c:extLst>
              <c:ext xmlns:c16="http://schemas.microsoft.com/office/drawing/2014/chart" uri="{C3380CC4-5D6E-409C-BE32-E72D297353CC}">
                <c16:uniqueId val="{00000003-033C-4530-84A9-991A3866ABD4}"/>
              </c:ext>
            </c:extLst>
          </c:dPt>
          <c:dPt>
            <c:idx val="3"/>
            <c:invertIfNegative val="0"/>
            <c:bubble3D val="0"/>
            <c:extLst>
              <c:ext xmlns:c16="http://schemas.microsoft.com/office/drawing/2014/chart" uri="{C3380CC4-5D6E-409C-BE32-E72D297353CC}">
                <c16:uniqueId val="{00000005-033C-4530-84A9-991A3866ABD4}"/>
              </c:ext>
            </c:extLst>
          </c:dPt>
          <c:dPt>
            <c:idx val="4"/>
            <c:invertIfNegative val="0"/>
            <c:bubble3D val="0"/>
            <c:extLst>
              <c:ext xmlns:c16="http://schemas.microsoft.com/office/drawing/2014/chart" uri="{C3380CC4-5D6E-409C-BE32-E72D297353CC}">
                <c16:uniqueId val="{00000007-033C-4530-84A9-991A3866ABD4}"/>
              </c:ext>
            </c:extLst>
          </c:dPt>
          <c:dPt>
            <c:idx val="5"/>
            <c:invertIfNegative val="0"/>
            <c:bubble3D val="0"/>
            <c:extLst>
              <c:ext xmlns:c16="http://schemas.microsoft.com/office/drawing/2014/chart" uri="{C3380CC4-5D6E-409C-BE32-E72D297353CC}">
                <c16:uniqueId val="{00000009-033C-4530-84A9-991A3866ABD4}"/>
              </c:ext>
            </c:extLst>
          </c:dPt>
          <c:dPt>
            <c:idx val="6"/>
            <c:invertIfNegative val="0"/>
            <c:bubble3D val="0"/>
            <c:extLst>
              <c:ext xmlns:c16="http://schemas.microsoft.com/office/drawing/2014/chart" uri="{C3380CC4-5D6E-409C-BE32-E72D297353CC}">
                <c16:uniqueId val="{0000000B-033C-4530-84A9-991A3866ABD4}"/>
              </c:ext>
            </c:extLst>
          </c:dPt>
          <c:dPt>
            <c:idx val="7"/>
            <c:invertIfNegative val="0"/>
            <c:bubble3D val="0"/>
            <c:extLst>
              <c:ext xmlns:c16="http://schemas.microsoft.com/office/drawing/2014/chart" uri="{C3380CC4-5D6E-409C-BE32-E72D297353CC}">
                <c16:uniqueId val="{0000000D-033C-4530-84A9-991A3866ABD4}"/>
              </c:ext>
            </c:extLst>
          </c:dPt>
          <c:dPt>
            <c:idx val="8"/>
            <c:invertIfNegative val="0"/>
            <c:bubble3D val="0"/>
            <c:extLst>
              <c:ext xmlns:c16="http://schemas.microsoft.com/office/drawing/2014/chart" uri="{C3380CC4-5D6E-409C-BE32-E72D297353CC}">
                <c16:uniqueId val="{0000000F-033C-4530-84A9-991A3866ABD4}"/>
              </c:ext>
            </c:extLst>
          </c:dPt>
          <c:dPt>
            <c:idx val="9"/>
            <c:invertIfNegative val="0"/>
            <c:bubble3D val="0"/>
            <c:extLst>
              <c:ext xmlns:c16="http://schemas.microsoft.com/office/drawing/2014/chart" uri="{C3380CC4-5D6E-409C-BE32-E72D297353CC}">
                <c16:uniqueId val="{00000011-033C-4530-84A9-991A3866ABD4}"/>
              </c:ext>
            </c:extLst>
          </c:dPt>
          <c:dPt>
            <c:idx val="10"/>
            <c:invertIfNegative val="0"/>
            <c:bubble3D val="0"/>
            <c:extLst>
              <c:ext xmlns:c16="http://schemas.microsoft.com/office/drawing/2014/chart" uri="{C3380CC4-5D6E-409C-BE32-E72D297353CC}">
                <c16:uniqueId val="{00000013-033C-4530-84A9-991A3866ABD4}"/>
              </c:ext>
            </c:extLst>
          </c:dPt>
          <c:dPt>
            <c:idx val="11"/>
            <c:invertIfNegative val="0"/>
            <c:bubble3D val="0"/>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extLst>
              <c:ext xmlns:c16="http://schemas.microsoft.com/office/drawing/2014/chart" uri="{C3380CC4-5D6E-409C-BE32-E72D297353CC}">
                <c16:uniqueId val="{0000001B-033C-4530-84A9-991A3866ABD4}"/>
              </c:ext>
            </c:extLst>
          </c:dPt>
          <c:dPt>
            <c:idx val="15"/>
            <c:invertIfNegative val="0"/>
            <c:bubble3D val="0"/>
            <c:extLst>
              <c:ext xmlns:c16="http://schemas.microsoft.com/office/drawing/2014/chart" uri="{C3380CC4-5D6E-409C-BE32-E72D297353CC}">
                <c16:uniqueId val="{0000001D-033C-4530-84A9-991A3866ABD4}"/>
              </c:ext>
            </c:extLst>
          </c:dPt>
          <c:dPt>
            <c:idx val="16"/>
            <c:invertIfNegative val="0"/>
            <c:bubble3D val="0"/>
            <c:extLst>
              <c:ext xmlns:c16="http://schemas.microsoft.com/office/drawing/2014/chart" uri="{C3380CC4-5D6E-409C-BE32-E72D297353CC}">
                <c16:uniqueId val="{0000001F-033C-4530-84A9-991A3866ABD4}"/>
              </c:ext>
            </c:extLst>
          </c:dPt>
          <c:dPt>
            <c:idx val="17"/>
            <c:invertIfNegative val="0"/>
            <c:bubble3D val="0"/>
            <c:extLst>
              <c:ext xmlns:c16="http://schemas.microsoft.com/office/drawing/2014/chart" uri="{C3380CC4-5D6E-409C-BE32-E72D297353CC}">
                <c16:uniqueId val="{00000021-033C-4530-84A9-991A3866ABD4}"/>
              </c:ext>
            </c:extLst>
          </c:dPt>
          <c:dPt>
            <c:idx val="18"/>
            <c:invertIfNegative val="0"/>
            <c:bubble3D val="0"/>
            <c:extLst>
              <c:ext xmlns:c16="http://schemas.microsoft.com/office/drawing/2014/chart" uri="{C3380CC4-5D6E-409C-BE32-E72D297353CC}">
                <c16:uniqueId val="{00000023-033C-4530-84A9-991A3866ABD4}"/>
              </c:ext>
            </c:extLst>
          </c:dPt>
          <c:dPt>
            <c:idx val="19"/>
            <c:invertIfNegative val="0"/>
            <c:bubble3D val="0"/>
            <c:extLst>
              <c:ext xmlns:c16="http://schemas.microsoft.com/office/drawing/2014/chart" uri="{C3380CC4-5D6E-409C-BE32-E72D297353CC}">
                <c16:uniqueId val="{00000025-033C-4530-84A9-991A3866ABD4}"/>
              </c:ext>
            </c:extLst>
          </c:dPt>
          <c:dPt>
            <c:idx val="20"/>
            <c:invertIfNegative val="0"/>
            <c:bubble3D val="0"/>
            <c:extLst>
              <c:ext xmlns:c16="http://schemas.microsoft.com/office/drawing/2014/chart" uri="{C3380CC4-5D6E-409C-BE32-E72D297353CC}">
                <c16:uniqueId val="{00000027-033C-4530-84A9-991A3866ABD4}"/>
              </c:ext>
            </c:extLst>
          </c:dPt>
          <c:dPt>
            <c:idx val="21"/>
            <c:invertIfNegative val="0"/>
            <c:bubble3D val="0"/>
            <c:extLst>
              <c:ext xmlns:c16="http://schemas.microsoft.com/office/drawing/2014/chart" uri="{C3380CC4-5D6E-409C-BE32-E72D297353CC}">
                <c16:uniqueId val="{00000029-033C-4530-84A9-991A3866ABD4}"/>
              </c:ext>
            </c:extLst>
          </c:dPt>
          <c:dPt>
            <c:idx val="22"/>
            <c:invertIfNegative val="0"/>
            <c:bubble3D val="0"/>
            <c:extLst>
              <c:ext xmlns:c16="http://schemas.microsoft.com/office/drawing/2014/chart" uri="{C3380CC4-5D6E-409C-BE32-E72D297353CC}">
                <c16:uniqueId val="{0000002B-033C-4530-84A9-991A3866ABD4}"/>
              </c:ext>
            </c:extLst>
          </c:dPt>
          <c:dLbls>
            <c:dLbl>
              <c:idx val="0"/>
              <c:tx>
                <c:rich>
                  <a:bodyPr/>
                  <a:lstStyle/>
                  <a:p>
                    <a:fld id="{8FF610D1-2F42-48C0-BB5A-EFB2A73362E6}"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6F58EBA7-D441-4D2D-900A-8E793E7D40F1}"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3BAD95C0-DB00-4CD3-AF89-8450770B9F15}"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3"/>
              <c:tx>
                <c:rich>
                  <a:bodyPr/>
                  <a:lstStyle/>
                  <a:p>
                    <a:fld id="{E4B1E6EA-8B48-45B8-8385-922BC2AAF29D}"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4"/>
              <c:tx>
                <c:rich>
                  <a:bodyPr/>
                  <a:lstStyle/>
                  <a:p>
                    <a:fld id="{B101D957-0F15-4FBE-BAD2-3D8535C20F63}"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5"/>
              <c:tx>
                <c:rich>
                  <a:bodyPr/>
                  <a:lstStyle/>
                  <a:p>
                    <a:fld id="{038F9778-1D4F-4572-8B77-EB2DB3023180}"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6"/>
              <c:tx>
                <c:rich>
                  <a:bodyPr/>
                  <a:lstStyle/>
                  <a:p>
                    <a:fld id="{C4C24631-B612-4A0E-9A92-F75AFEB431FA}"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7"/>
              <c:tx>
                <c:rich>
                  <a:bodyPr/>
                  <a:lstStyle/>
                  <a:p>
                    <a:fld id="{5387B71B-B7EA-48B0-91F6-6B2F85FD734A}"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33C-4530-84A9-991A3866ABD4}"/>
                </c:ext>
              </c:extLst>
            </c:dLbl>
            <c:dLbl>
              <c:idx val="8"/>
              <c:tx>
                <c:rich>
                  <a:bodyPr/>
                  <a:lstStyle/>
                  <a:p>
                    <a:fld id="{2BE56C7F-DE0C-43B9-916C-EA22151682EB}"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9"/>
              <c:tx>
                <c:rich>
                  <a:bodyPr/>
                  <a:lstStyle/>
                  <a:p>
                    <a:fld id="{C41B26BE-94DF-4B8E-9D22-80A5CC308E5E}"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10"/>
              <c:tx>
                <c:rich>
                  <a:bodyPr/>
                  <a:lstStyle/>
                  <a:p>
                    <a:fld id="{BED43B96-F8CB-4A83-BFE2-583B444CF9D9}"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33C-4530-84A9-991A3866ABD4}"/>
                </c:ext>
              </c:extLst>
            </c:dLbl>
            <c:dLbl>
              <c:idx val="11"/>
              <c:tx>
                <c:rich>
                  <a:bodyPr/>
                  <a:lstStyle/>
                  <a:p>
                    <a:fld id="{F709E5D8-CFFF-478C-9F03-6669B906B07E}"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33C-4530-84A9-991A3866ABD4}"/>
                </c:ext>
              </c:extLst>
            </c:dLbl>
            <c:dLbl>
              <c:idx val="12"/>
              <c:tx>
                <c:rich>
                  <a:bodyPr/>
                  <a:lstStyle/>
                  <a:p>
                    <a:fld id="{2C9FB276-F9B1-449E-8474-9F4B4AB8492D}"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33C-4530-84A9-991A3866ABD4}"/>
                </c:ext>
              </c:extLst>
            </c:dLbl>
            <c:dLbl>
              <c:idx val="13"/>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33C-4530-84A9-991A3866ABD4}"/>
                </c:ext>
              </c:extLst>
            </c:dLbl>
            <c:dLbl>
              <c:idx val="14"/>
              <c:tx>
                <c:rich>
                  <a:bodyPr/>
                  <a:lstStyle/>
                  <a:p>
                    <a:fld id="{C131074E-976F-4F75-BF32-2AFB77138CC8}"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033C-4530-84A9-991A3866ABD4}"/>
                </c:ext>
              </c:extLst>
            </c:dLbl>
            <c:dLbl>
              <c:idx val="15"/>
              <c:tx>
                <c:rich>
                  <a:bodyPr/>
                  <a:lstStyle/>
                  <a:p>
                    <a:fld id="{243E5758-83EF-4C98-A0B4-C2567A2BF86B}"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33C-4530-84A9-991A3866ABD4}"/>
                </c:ext>
              </c:extLst>
            </c:dLbl>
            <c:dLbl>
              <c:idx val="16"/>
              <c:tx>
                <c:rich>
                  <a:bodyPr/>
                  <a:lstStyle/>
                  <a:p>
                    <a:fld id="{5B66E2B8-E23C-403F-8C3A-E32410CF3089}"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33C-4530-84A9-991A3866ABD4}"/>
                </c:ext>
              </c:extLst>
            </c:dLbl>
            <c:dLbl>
              <c:idx val="17"/>
              <c:tx>
                <c:rich>
                  <a:bodyPr/>
                  <a:lstStyle/>
                  <a:p>
                    <a:fld id="{AE6A7A13-7A92-40CC-A700-B205D168C79A}"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33C-4530-84A9-991A3866ABD4}"/>
                </c:ext>
              </c:extLst>
            </c:dLbl>
            <c:dLbl>
              <c:idx val="18"/>
              <c:tx>
                <c:rich>
                  <a:bodyPr/>
                  <a:lstStyle/>
                  <a:p>
                    <a:fld id="{96D759F0-361E-437F-8734-E5B7D2A4EA6C}"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33C-4530-84A9-991A3866ABD4}"/>
                </c:ext>
              </c:extLst>
            </c:dLbl>
            <c:dLbl>
              <c:idx val="19"/>
              <c:tx>
                <c:rich>
                  <a:bodyPr/>
                  <a:lstStyle/>
                  <a:p>
                    <a:fld id="{44D2797F-A9DE-47B3-936E-E7AEDFF8C786}"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33C-4530-84A9-991A3866ABD4}"/>
                </c:ext>
              </c:extLst>
            </c:dLbl>
            <c:dLbl>
              <c:idx val="20"/>
              <c:tx>
                <c:rich>
                  <a:bodyPr/>
                  <a:lstStyle/>
                  <a:p>
                    <a:fld id="{BAA42C14-0EF6-4989-ADA9-57D57DCE3450}"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033C-4530-84A9-991A3866ABD4}"/>
                </c:ext>
              </c:extLst>
            </c:dLbl>
            <c:dLbl>
              <c:idx val="21"/>
              <c:tx>
                <c:rich>
                  <a:bodyPr/>
                  <a:lstStyle/>
                  <a:p>
                    <a:fld id="{2ACDE5FB-B82E-460C-A367-57F92F03C4E1}"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txPr>
              <a:bodyPr wrap="square" lIns="38100" tIns="19050" rIns="38100" bIns="19050" anchor="ctr">
                <a:spAutoFit/>
              </a:bodyPr>
              <a:lstStyle/>
              <a:p>
                <a:pPr>
                  <a:defRPr lang="ja-JP"/>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values'!$B$76:$W$76</c:f>
                <c:numCache>
                  <c:formatCode>General</c:formatCode>
                  <c:ptCount val="22"/>
                  <c:pt idx="0">
                    <c:v>2.4281645895923389E-2</c:v>
                  </c:pt>
                  <c:pt idx="1">
                    <c:v>3.5498191618235267E-2</c:v>
                  </c:pt>
                  <c:pt idx="2">
                    <c:v>0.18651387390318716</c:v>
                  </c:pt>
                  <c:pt idx="3">
                    <c:v>0.11373640237784483</c:v>
                  </c:pt>
                  <c:pt idx="4">
                    <c:v>0.1905519865262105</c:v>
                  </c:pt>
                  <c:pt idx="5">
                    <c:v>0.15972164045949586</c:v>
                  </c:pt>
                  <c:pt idx="6">
                    <c:v>0.29804519470969404</c:v>
                  </c:pt>
                  <c:pt idx="7">
                    <c:v>0.15091168005260522</c:v>
                  </c:pt>
                  <c:pt idx="8">
                    <c:v>0.1177012934800697</c:v>
                  </c:pt>
                  <c:pt idx="9">
                    <c:v>0.11028275255295336</c:v>
                  </c:pt>
                  <c:pt idx="10">
                    <c:v>2.3790406005651528E-2</c:v>
                  </c:pt>
                  <c:pt idx="11">
                    <c:v>2.0616188446935635E-2</c:v>
                  </c:pt>
                  <c:pt idx="12">
                    <c:v>0</c:v>
                  </c:pt>
                  <c:pt idx="14">
                    <c:v>7.0084094806474595E-2</c:v>
                  </c:pt>
                  <c:pt idx="15">
                    <c:v>0.1311724300922755</c:v>
                  </c:pt>
                  <c:pt idx="16">
                    <c:v>2.5817229952610231E-2</c:v>
                  </c:pt>
                  <c:pt idx="17">
                    <c:v>0.16759211788177786</c:v>
                  </c:pt>
                  <c:pt idx="18">
                    <c:v>0.17053250550836702</c:v>
                  </c:pt>
                  <c:pt idx="19">
                    <c:v>0.11229576889562348</c:v>
                  </c:pt>
                  <c:pt idx="20">
                    <c:v>0.15811547449510924</c:v>
                  </c:pt>
                  <c:pt idx="21">
                    <c:v>0.10435413070360695</c:v>
                  </c:pt>
                </c:numCache>
              </c:numRef>
            </c:plus>
            <c:minus>
              <c:numRef>
                <c:f>'pooled normalised values'!$B$76:$W$76</c:f>
                <c:numCache>
                  <c:formatCode>General</c:formatCode>
                  <c:ptCount val="22"/>
                  <c:pt idx="0">
                    <c:v>2.4281645895923389E-2</c:v>
                  </c:pt>
                  <c:pt idx="1">
                    <c:v>3.5498191618235267E-2</c:v>
                  </c:pt>
                  <c:pt idx="2">
                    <c:v>0.18651387390318716</c:v>
                  </c:pt>
                  <c:pt idx="3">
                    <c:v>0.11373640237784483</c:v>
                  </c:pt>
                  <c:pt idx="4">
                    <c:v>0.1905519865262105</c:v>
                  </c:pt>
                  <c:pt idx="5">
                    <c:v>0.15972164045949586</c:v>
                  </c:pt>
                  <c:pt idx="6">
                    <c:v>0.29804519470969404</c:v>
                  </c:pt>
                  <c:pt idx="7">
                    <c:v>0.15091168005260522</c:v>
                  </c:pt>
                  <c:pt idx="8">
                    <c:v>0.1177012934800697</c:v>
                  </c:pt>
                  <c:pt idx="9">
                    <c:v>0.11028275255295336</c:v>
                  </c:pt>
                  <c:pt idx="10">
                    <c:v>2.3790406005651528E-2</c:v>
                  </c:pt>
                  <c:pt idx="11">
                    <c:v>2.0616188446935635E-2</c:v>
                  </c:pt>
                  <c:pt idx="12">
                    <c:v>0</c:v>
                  </c:pt>
                  <c:pt idx="14">
                    <c:v>7.0084094806474595E-2</c:v>
                  </c:pt>
                  <c:pt idx="15">
                    <c:v>0.1311724300922755</c:v>
                  </c:pt>
                  <c:pt idx="16">
                    <c:v>2.5817229952610231E-2</c:v>
                  </c:pt>
                  <c:pt idx="17">
                    <c:v>0.16759211788177786</c:v>
                  </c:pt>
                  <c:pt idx="18">
                    <c:v>0.17053250550836702</c:v>
                  </c:pt>
                  <c:pt idx="19">
                    <c:v>0.11229576889562348</c:v>
                  </c:pt>
                  <c:pt idx="20">
                    <c:v>0.15811547449510924</c:v>
                  </c:pt>
                  <c:pt idx="21">
                    <c:v>0.10435413070360695</c:v>
                  </c:pt>
                </c:numCache>
              </c:numRef>
            </c:minus>
          </c:errBars>
          <c:cat>
            <c:strRef>
              <c:f>'pooled normalised values'!$B$74:$W$74</c:f>
              <c:strCache>
                <c:ptCount val="22"/>
                <c:pt idx="0">
                  <c:v>Solvent control</c:v>
                </c:pt>
                <c:pt idx="1">
                  <c:v>EE2-33.8ng/L</c:v>
                </c:pt>
                <c:pt idx="2">
                  <c:v>EE2-50.6ng/L</c:v>
                </c:pt>
                <c:pt idx="3">
                  <c:v>EE2-76ng/L</c:v>
                </c:pt>
                <c:pt idx="4">
                  <c:v>EE2-114ng/L</c:v>
                </c:pt>
                <c:pt idx="5">
                  <c:v>EE2-170.9ng/L</c:v>
                </c:pt>
                <c:pt idx="6">
                  <c:v>EE2-488ng/L</c:v>
                </c:pt>
                <c:pt idx="7">
                  <c:v>BPA-5mg/L</c:v>
                </c:pt>
                <c:pt idx="8">
                  <c:v>BPA-4mg/L</c:v>
                </c:pt>
                <c:pt idx="9">
                  <c:v>BPA-3mg/L</c:v>
                </c:pt>
                <c:pt idx="10">
                  <c:v>BPA-2mg/L</c:v>
                </c:pt>
                <c:pt idx="11">
                  <c:v>BPA-1mg/L</c:v>
                </c:pt>
                <c:pt idx="14">
                  <c:v>Testo -30µg/L</c:v>
                </c:pt>
                <c:pt idx="15">
                  <c:v>Testo 30µg/L + EE2 -64ng/L</c:v>
                </c:pt>
                <c:pt idx="16">
                  <c:v>Testo 30µg/L + FAD-10mg/L</c:v>
                </c:pt>
                <c:pt idx="17">
                  <c:v>BPA-5mg/L + Testostérone</c:v>
                </c:pt>
                <c:pt idx="18">
                  <c:v>BPA-4mg/L + Testostérone</c:v>
                </c:pt>
                <c:pt idx="19">
                  <c:v>BPA-3mg/L + Testostérone</c:v>
                </c:pt>
                <c:pt idx="20">
                  <c:v>BPA-2mg/L + Testostérone</c:v>
                </c:pt>
                <c:pt idx="21">
                  <c:v>BPA-1mg/L + Testostérone</c:v>
                </c:pt>
              </c:strCache>
            </c:strRef>
          </c:cat>
          <c:val>
            <c:numRef>
              <c:f>'pooled normalised values'!$B$75:$W$75</c:f>
              <c:numCache>
                <c:formatCode>0.0000</c:formatCode>
                <c:ptCount val="22"/>
                <c:pt idx="0">
                  <c:v>0.11391426312879976</c:v>
                </c:pt>
                <c:pt idx="1">
                  <c:v>0.20064723878094892</c:v>
                </c:pt>
                <c:pt idx="2">
                  <c:v>0.68280096594616702</c:v>
                </c:pt>
                <c:pt idx="3">
                  <c:v>1.0931490380429909</c:v>
                </c:pt>
                <c:pt idx="4">
                  <c:v>1.6596621612839162</c:v>
                </c:pt>
                <c:pt idx="5">
                  <c:v>1.7855187523303571</c:v>
                </c:pt>
                <c:pt idx="6">
                  <c:v>2.8658822019224566</c:v>
                </c:pt>
                <c:pt idx="7">
                  <c:v>1.2615791137337879</c:v>
                </c:pt>
                <c:pt idx="8">
                  <c:v>0.86561295691702578</c:v>
                </c:pt>
                <c:pt idx="9">
                  <c:v>0.43220916534266446</c:v>
                </c:pt>
                <c:pt idx="10">
                  <c:v>0.10592054200317892</c:v>
                </c:pt>
                <c:pt idx="11">
                  <c:v>0.12426187369744175</c:v>
                </c:pt>
                <c:pt idx="12">
                  <c:v>0</c:v>
                </c:pt>
                <c:pt idx="14">
                  <c:v>0.99999999999999989</c:v>
                </c:pt>
                <c:pt idx="15">
                  <c:v>1.901396175978969</c:v>
                </c:pt>
                <c:pt idx="16">
                  <c:v>0.13609055171321366</c:v>
                </c:pt>
                <c:pt idx="17">
                  <c:v>1.7036663715591347</c:v>
                </c:pt>
                <c:pt idx="18">
                  <c:v>1.8430592780678108</c:v>
                </c:pt>
                <c:pt idx="19">
                  <c:v>1.684835065315452</c:v>
                </c:pt>
                <c:pt idx="20">
                  <c:v>1.399742799713209</c:v>
                </c:pt>
                <c:pt idx="21">
                  <c:v>1.0229366324932918</c:v>
                </c:pt>
              </c:numCache>
            </c:numRef>
          </c:val>
          <c:extLst>
            <c:ext xmlns:c15="http://schemas.microsoft.com/office/drawing/2012/chart" uri="{02D57815-91ED-43cb-92C2-25804820EDAC}">
              <c15:datalabelsRange>
                <c15:f>'pooled normalised values'!$B$83:$W$83</c15:f>
                <c15:dlblRangeCache>
                  <c:ptCount val="22"/>
                  <c:pt idx="1">
                    <c:v>NS</c:v>
                  </c:pt>
                  <c:pt idx="2">
                    <c:v>*</c:v>
                  </c:pt>
                  <c:pt idx="3">
                    <c:v>***</c:v>
                  </c:pt>
                  <c:pt idx="4">
                    <c:v>***</c:v>
                  </c:pt>
                  <c:pt idx="5">
                    <c:v>***</c:v>
                  </c:pt>
                  <c:pt idx="6">
                    <c:v>***</c:v>
                  </c:pt>
                  <c:pt idx="7">
                    <c:v>***</c:v>
                  </c:pt>
                  <c:pt idx="8">
                    <c:v>***</c:v>
                  </c:pt>
                  <c:pt idx="9">
                    <c:v>*</c:v>
                  </c:pt>
                  <c:pt idx="10">
                    <c:v>NS</c:v>
                  </c:pt>
                  <c:pt idx="11">
                    <c:v>NS</c:v>
                  </c:pt>
                  <c:pt idx="12">
                    <c:v>#NAME?</c:v>
                  </c:pt>
                  <c:pt idx="14">
                    <c:v>***</c:v>
                  </c:pt>
                  <c:pt idx="15">
                    <c:v>***</c:v>
                  </c:pt>
                  <c:pt idx="16">
                    <c:v>***</c:v>
                  </c:pt>
                  <c:pt idx="17">
                    <c:v>***</c:v>
                  </c:pt>
                  <c:pt idx="18">
                    <c:v>***</c:v>
                  </c:pt>
                  <c:pt idx="19">
                    <c:v>***</c:v>
                  </c:pt>
                  <c:pt idx="20">
                    <c:v>NS</c:v>
                  </c:pt>
                  <c:pt idx="21">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0"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0"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1"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134" workbookViewId="0"/>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289143" cy="6059714"/>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0.10431</cdr:y>
    </cdr:to>
    <cdr:sp macro="" textlink="">
      <cdr:nvSpPr>
        <cdr:cNvPr id="2" name="ZoneTexte 1"/>
        <cdr:cNvSpPr txBox="1"/>
      </cdr:nvSpPr>
      <cdr:spPr>
        <a:xfrm xmlns:a="http://schemas.openxmlformats.org/drawingml/2006/main">
          <a:off x="3954923" y="103035"/>
          <a:ext cx="1558925"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BPA run1</a:t>
          </a:r>
        </a:p>
        <a:p xmlns:a="http://schemas.openxmlformats.org/drawingml/2006/main">
          <a:pPr algn="ctr"/>
          <a:r>
            <a:rPr lang="fr-FR" sz="1400" b="1"/>
            <a:t>20210805</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9143" cy="6059714"/>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3321" cy="6049086"/>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topLeftCell="A7" zoomScale="55" zoomScaleNormal="55" workbookViewId="0">
      <selection activeCell="C20" sqref="C20"/>
    </sheetView>
  </sheetViews>
  <sheetFormatPr defaultColWidth="11" defaultRowHeight="39" customHeight="1"/>
  <cols>
    <col min="1" max="1" width="42" bestFit="1" customWidth="1"/>
    <col min="2" max="2" width="33.85546875" style="27" bestFit="1" customWidth="1"/>
    <col min="3" max="3" width="21.28515625" customWidth="1"/>
    <col min="4" max="4" width="30.42578125" customWidth="1"/>
    <col min="5" max="5" width="62.28515625" style="86" bestFit="1" customWidth="1"/>
    <col min="6" max="6" width="56.7109375" bestFit="1" customWidth="1"/>
    <col min="7" max="7" width="19.42578125" customWidth="1"/>
    <col min="8" max="8" width="15.28515625" customWidth="1"/>
    <col min="9" max="9" width="18" customWidth="1"/>
    <col min="10" max="10" width="19.42578125" bestFit="1" customWidth="1"/>
  </cols>
  <sheetData>
    <row r="1" spans="1:9" ht="39" customHeight="1" thickBot="1">
      <c r="A1" s="120"/>
      <c r="B1" s="121"/>
      <c r="C1" s="121"/>
      <c r="D1" s="121"/>
      <c r="E1" s="121"/>
      <c r="F1" s="121"/>
      <c r="G1" s="121"/>
      <c r="H1" s="121"/>
      <c r="I1" s="122"/>
    </row>
    <row r="2" spans="1:9" ht="21.75" thickBot="1">
      <c r="A2" s="105" t="s">
        <v>8</v>
      </c>
      <c r="B2" s="26" t="s">
        <v>57</v>
      </c>
      <c r="C2" s="123"/>
      <c r="D2" s="124"/>
      <c r="E2" s="26" t="s">
        <v>68</v>
      </c>
      <c r="F2" s="135"/>
      <c r="G2" s="136"/>
      <c r="H2" s="136"/>
      <c r="I2" s="137"/>
    </row>
    <row r="3" spans="1:9" ht="21.75" thickBot="1">
      <c r="A3" s="106" t="s">
        <v>9</v>
      </c>
      <c r="B3" s="26" t="s">
        <v>57</v>
      </c>
      <c r="C3" s="125"/>
      <c r="D3" s="126"/>
      <c r="E3" s="26" t="s">
        <v>69</v>
      </c>
      <c r="F3" s="132"/>
      <c r="G3" s="133"/>
      <c r="H3" s="133"/>
      <c r="I3" s="134"/>
    </row>
    <row r="4" spans="1:9" ht="21.75" thickBot="1">
      <c r="A4" s="107" t="s">
        <v>12</v>
      </c>
      <c r="B4" s="26" t="s">
        <v>57</v>
      </c>
      <c r="C4" s="127"/>
      <c r="D4" s="128"/>
      <c r="E4" s="26" t="s">
        <v>73</v>
      </c>
      <c r="F4" s="129"/>
      <c r="G4" s="130"/>
      <c r="H4" s="130"/>
      <c r="I4" s="131"/>
    </row>
    <row r="5" spans="1:9" s="1" customFormat="1" ht="65.25" customHeight="1" thickBot="1">
      <c r="A5" s="120" t="s">
        <v>18</v>
      </c>
      <c r="B5" s="121"/>
      <c r="C5" s="121"/>
      <c r="D5" s="121"/>
      <c r="E5" s="121"/>
      <c r="F5" s="121"/>
      <c r="G5" s="121"/>
      <c r="H5" s="121"/>
      <c r="I5" s="122"/>
    </row>
    <row r="6" spans="1:9" s="66" customFormat="1" ht="39" customHeight="1">
      <c r="A6" s="56" t="s">
        <v>58</v>
      </c>
      <c r="B6" s="57" t="s">
        <v>59</v>
      </c>
      <c r="C6" s="45" t="s">
        <v>10</v>
      </c>
      <c r="D6" s="45" t="s">
        <v>60</v>
      </c>
      <c r="E6" s="83" t="s">
        <v>61</v>
      </c>
      <c r="F6" s="65" t="s">
        <v>62</v>
      </c>
    </row>
    <row r="7" spans="1:9" s="92" customFormat="1" ht="39" customHeight="1">
      <c r="A7"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88" t="s">
        <v>50</v>
      </c>
      <c r="C7" s="89">
        <v>0</v>
      </c>
      <c r="D7" s="90"/>
      <c r="E7" s="91" t="s">
        <v>64</v>
      </c>
      <c r="F7" s="67"/>
    </row>
    <row r="8" spans="1:9" s="92" customFormat="1" ht="39" customHeight="1">
      <c r="A8"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88" t="s">
        <v>50</v>
      </c>
      <c r="C8" s="89" t="s">
        <v>65</v>
      </c>
      <c r="D8" s="90" t="s">
        <v>51</v>
      </c>
      <c r="E8" s="91" t="s">
        <v>52</v>
      </c>
      <c r="F8" s="67"/>
    </row>
    <row r="9" spans="1:9" s="92" customFormat="1" ht="39" customHeight="1">
      <c r="A9"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88" t="s">
        <v>50</v>
      </c>
      <c r="C9" s="89" t="s">
        <v>66</v>
      </c>
      <c r="D9" s="90" t="s">
        <v>51</v>
      </c>
      <c r="E9" s="91" t="s">
        <v>52</v>
      </c>
      <c r="F9" s="67"/>
    </row>
    <row r="10" spans="1:9" s="92" customFormat="1" ht="39" customHeight="1">
      <c r="A10"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88" t="s">
        <v>50</v>
      </c>
      <c r="C10" s="89">
        <v>76</v>
      </c>
      <c r="D10" s="90" t="s">
        <v>51</v>
      </c>
      <c r="E10" s="91" t="s">
        <v>52</v>
      </c>
      <c r="F10" s="67"/>
    </row>
    <row r="11" spans="1:9" s="92" customFormat="1" ht="39" customHeight="1">
      <c r="A11"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88" t="s">
        <v>50</v>
      </c>
      <c r="C11" s="89">
        <v>114</v>
      </c>
      <c r="D11" s="90" t="s">
        <v>51</v>
      </c>
      <c r="E11" s="91" t="s">
        <v>52</v>
      </c>
      <c r="F11" s="67"/>
    </row>
    <row r="12" spans="1:9" s="92" customFormat="1" ht="39" customHeight="1">
      <c r="A12"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88" t="s">
        <v>50</v>
      </c>
      <c r="C12" s="89" t="s">
        <v>67</v>
      </c>
      <c r="D12" s="90" t="s">
        <v>51</v>
      </c>
      <c r="E12" s="91" t="s">
        <v>52</v>
      </c>
      <c r="F12" s="67"/>
    </row>
    <row r="13" spans="1:9" s="92" customFormat="1" ht="39" customHeight="1">
      <c r="A13"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88" t="s">
        <v>50</v>
      </c>
      <c r="C13" s="89">
        <v>488</v>
      </c>
      <c r="D13" s="90" t="s">
        <v>51</v>
      </c>
      <c r="E13" s="91" t="s">
        <v>52</v>
      </c>
      <c r="F13" s="67"/>
    </row>
    <row r="14" spans="1:9" s="92" customFormat="1" ht="39" customHeight="1">
      <c r="A14"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BPA-5mg/L</v>
      </c>
      <c r="B14" s="88" t="s">
        <v>63</v>
      </c>
      <c r="C14" s="89">
        <v>5</v>
      </c>
      <c r="D14" s="90" t="s">
        <v>74</v>
      </c>
      <c r="E14" s="91" t="s">
        <v>75</v>
      </c>
      <c r="F14" s="67"/>
    </row>
    <row r="15" spans="1:9" s="68" customFormat="1" ht="39" customHeight="1">
      <c r="A1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BPA-4mg/L</v>
      </c>
      <c r="B15" s="88" t="s">
        <v>63</v>
      </c>
      <c r="C15" s="62">
        <v>4</v>
      </c>
      <c r="D15" s="90" t="s">
        <v>74</v>
      </c>
      <c r="E15" s="91" t="s">
        <v>75</v>
      </c>
      <c r="F15" s="67"/>
    </row>
    <row r="16" spans="1:9" s="68" customFormat="1" ht="39" customHeight="1">
      <c r="A1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BPA-3mg/L</v>
      </c>
      <c r="B16" s="88" t="s">
        <v>63</v>
      </c>
      <c r="C16" s="62">
        <v>3</v>
      </c>
      <c r="D16" s="90" t="s">
        <v>74</v>
      </c>
      <c r="E16" s="91" t="s">
        <v>75</v>
      </c>
      <c r="F16" s="67"/>
    </row>
    <row r="17" spans="1:6" s="68" customFormat="1" ht="39" customHeight="1">
      <c r="A1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BPA-2mg/L</v>
      </c>
      <c r="B17" s="88" t="s">
        <v>63</v>
      </c>
      <c r="C17" s="62">
        <v>2</v>
      </c>
      <c r="D17" s="90" t="s">
        <v>74</v>
      </c>
      <c r="E17" s="91" t="s">
        <v>75</v>
      </c>
      <c r="F17" s="67"/>
    </row>
    <row r="18" spans="1:6" s="68" customFormat="1" ht="39" customHeight="1">
      <c r="A1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BPA-1mg/L</v>
      </c>
      <c r="B18" s="88" t="s">
        <v>63</v>
      </c>
      <c r="C18" s="62">
        <v>1</v>
      </c>
      <c r="D18" s="90" t="s">
        <v>74</v>
      </c>
      <c r="E18" s="91" t="s">
        <v>75</v>
      </c>
      <c r="F18" s="67"/>
    </row>
    <row r="19" spans="1:6" s="68" customFormat="1" ht="39" customHeight="1">
      <c r="A1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88" t="s">
        <v>63</v>
      </c>
      <c r="C19" s="62"/>
      <c r="D19" s="62"/>
      <c r="E19" s="24"/>
      <c r="F19" s="67"/>
    </row>
    <row r="20" spans="1:6" s="68" customFormat="1" ht="39" customHeight="1">
      <c r="A2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88" t="s">
        <v>63</v>
      </c>
      <c r="C20" s="62"/>
      <c r="D20" s="62"/>
      <c r="E20" s="58"/>
      <c r="F20" s="67"/>
    </row>
    <row r="21" spans="1:6" s="68" customFormat="1" ht="39" customHeight="1">
      <c r="A2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88" t="s">
        <v>63</v>
      </c>
      <c r="C21" s="62"/>
      <c r="D21" s="62"/>
      <c r="E21" s="24"/>
      <c r="F21" s="67"/>
    </row>
    <row r="22" spans="1:6" s="68" customFormat="1" ht="39" customHeight="1">
      <c r="A2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88" t="s">
        <v>63</v>
      </c>
      <c r="C22" s="62"/>
      <c r="D22" s="62"/>
      <c r="E22" s="58"/>
      <c r="F22" s="67"/>
    </row>
    <row r="23" spans="1:6" s="68" customFormat="1" ht="39" customHeight="1">
      <c r="A2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88" t="s">
        <v>63</v>
      </c>
      <c r="C23" s="62"/>
      <c r="D23" s="62"/>
      <c r="E23" s="24"/>
      <c r="F23" s="67"/>
    </row>
    <row r="24" spans="1:6" s="68" customFormat="1" ht="39" customHeight="1">
      <c r="A24"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88" t="s">
        <v>63</v>
      </c>
      <c r="C24" s="62"/>
      <c r="D24" s="62"/>
      <c r="E24" s="58"/>
      <c r="F24" s="67"/>
    </row>
    <row r="25" spans="1:6" s="68" customFormat="1" ht="39" customHeight="1">
      <c r="A2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88" t="s">
        <v>63</v>
      </c>
      <c r="C25" s="62"/>
      <c r="D25" s="62"/>
      <c r="E25" s="24"/>
      <c r="F25" s="67"/>
    </row>
    <row r="26" spans="1:6" s="68" customFormat="1" ht="39" customHeight="1">
      <c r="A2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88" t="s">
        <v>63</v>
      </c>
      <c r="C26" s="62"/>
      <c r="D26" s="62"/>
      <c r="E26" s="58"/>
      <c r="F26" s="67"/>
    </row>
    <row r="27" spans="1:6" s="68" customFormat="1" ht="39" customHeight="1">
      <c r="A2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88" t="s">
        <v>63</v>
      </c>
      <c r="C27" s="62"/>
      <c r="D27" s="62"/>
      <c r="E27" s="24"/>
      <c r="F27" s="67"/>
    </row>
    <row r="28" spans="1:6" s="68" customFormat="1" ht="39" customHeight="1">
      <c r="A2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88" t="s">
        <v>63</v>
      </c>
      <c r="C28" s="62"/>
      <c r="D28" s="62"/>
      <c r="E28" s="58"/>
      <c r="F28" s="67"/>
    </row>
    <row r="29" spans="1:6" s="68" customFormat="1" ht="39" customHeight="1">
      <c r="A2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88" t="s">
        <v>63</v>
      </c>
      <c r="C29" s="62"/>
      <c r="D29" s="71"/>
      <c r="E29" s="24"/>
      <c r="F29" s="67"/>
    </row>
    <row r="30" spans="1:6" s="68" customFormat="1" ht="39" customHeight="1">
      <c r="A3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88" t="s">
        <v>63</v>
      </c>
      <c r="C30" s="62"/>
      <c r="D30" s="71"/>
      <c r="E30" s="58"/>
      <c r="F30" s="67"/>
    </row>
    <row r="31" spans="1:6" s="68" customFormat="1" ht="39" customHeight="1">
      <c r="A3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88" t="s">
        <v>63</v>
      </c>
      <c r="C31" s="62"/>
      <c r="D31" s="71"/>
      <c r="E31" s="24"/>
      <c r="F31" s="67"/>
    </row>
    <row r="32" spans="1:6" s="68" customFormat="1" ht="39" customHeight="1">
      <c r="A3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88" t="s">
        <v>63</v>
      </c>
      <c r="C32" s="62"/>
      <c r="D32" s="71"/>
      <c r="E32" s="58"/>
      <c r="F32" s="67"/>
    </row>
    <row r="33" spans="1:6" s="68" customFormat="1" ht="39" customHeight="1">
      <c r="A3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88" t="s">
        <v>63</v>
      </c>
      <c r="C33" s="62"/>
      <c r="D33" s="71"/>
      <c r="E33" s="24"/>
      <c r="F33" s="67"/>
    </row>
    <row r="34" spans="1:6" s="68" customFormat="1" ht="39" customHeight="1" thickBot="1">
      <c r="A34" s="5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88" t="s">
        <v>63</v>
      </c>
      <c r="C34" s="94"/>
      <c r="D34" s="72"/>
      <c r="E34" s="93"/>
      <c r="F34" s="67"/>
    </row>
    <row r="35" spans="1:6" s="68" customFormat="1" ht="39" customHeight="1">
      <c r="A35" s="9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59" t="s">
        <v>50</v>
      </c>
      <c r="C35" s="63">
        <v>30</v>
      </c>
      <c r="D35" s="73" t="s">
        <v>53</v>
      </c>
      <c r="E35" s="84" t="s">
        <v>11</v>
      </c>
      <c r="F35" s="96"/>
    </row>
    <row r="36" spans="1:6" s="68" customFormat="1" ht="39" customHeight="1">
      <c r="A36" s="9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0" t="s">
        <v>50</v>
      </c>
      <c r="C36" s="64">
        <v>64</v>
      </c>
      <c r="D36" s="74" t="s">
        <v>51</v>
      </c>
      <c r="E36" s="85" t="s">
        <v>54</v>
      </c>
      <c r="F36" s="98"/>
    </row>
    <row r="37" spans="1:6" s="68" customFormat="1" ht="39" customHeight="1" thickBot="1">
      <c r="A37"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00" t="s">
        <v>50</v>
      </c>
      <c r="C37" s="101">
        <v>10</v>
      </c>
      <c r="D37" s="102" t="s">
        <v>55</v>
      </c>
      <c r="E37" s="103" t="s">
        <v>56</v>
      </c>
      <c r="F37" s="104"/>
    </row>
    <row r="38" spans="1:6" s="68" customFormat="1" ht="39" customHeight="1">
      <c r="A38" s="3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BPA-5mg/L + Testostérone</v>
      </c>
      <c r="B38" s="108" t="str">
        <f>B14</f>
        <v>test chemical</v>
      </c>
      <c r="C38" s="108">
        <f t="shared" ref="C38:E38" si="0">C14</f>
        <v>5</v>
      </c>
      <c r="D38" s="108" t="str">
        <f t="shared" si="0"/>
        <v>mg/L</v>
      </c>
      <c r="E38" s="118" t="str">
        <f t="shared" si="0"/>
        <v>BPA</v>
      </c>
      <c r="F38" s="69" t="s">
        <v>30</v>
      </c>
    </row>
    <row r="39" spans="1:6" s="68" customFormat="1" ht="39" customHeight="1">
      <c r="A3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BPA-4mg/L + Testostérone</v>
      </c>
      <c r="B39" s="110" t="str">
        <f t="shared" ref="B39:E39" si="1">B15</f>
        <v>test chemical</v>
      </c>
      <c r="C39" s="110">
        <f t="shared" si="1"/>
        <v>4</v>
      </c>
      <c r="D39" s="110" t="str">
        <f t="shared" si="1"/>
        <v>mg/L</v>
      </c>
      <c r="E39" s="64" t="str">
        <f t="shared" si="1"/>
        <v>BPA</v>
      </c>
      <c r="F39" s="70" t="s">
        <v>30</v>
      </c>
    </row>
    <row r="40" spans="1:6" s="68" customFormat="1" ht="39" customHeight="1">
      <c r="A4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BPA-3mg/L + Testostérone</v>
      </c>
      <c r="B40" s="110" t="str">
        <f t="shared" ref="B40:E40" si="2">B16</f>
        <v>test chemical</v>
      </c>
      <c r="C40" s="110">
        <f t="shared" si="2"/>
        <v>3</v>
      </c>
      <c r="D40" s="110" t="str">
        <f t="shared" si="2"/>
        <v>mg/L</v>
      </c>
      <c r="E40" s="64" t="str">
        <f t="shared" si="2"/>
        <v>BPA</v>
      </c>
      <c r="F40" s="70" t="s">
        <v>30</v>
      </c>
    </row>
    <row r="41" spans="1:6" s="68" customFormat="1" ht="39" customHeight="1">
      <c r="A4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BPA-2mg/L + Testostérone</v>
      </c>
      <c r="B41" s="110" t="str">
        <f t="shared" ref="B41:E41" si="3">B17</f>
        <v>test chemical</v>
      </c>
      <c r="C41" s="110">
        <f t="shared" si="3"/>
        <v>2</v>
      </c>
      <c r="D41" s="110" t="str">
        <f t="shared" si="3"/>
        <v>mg/L</v>
      </c>
      <c r="E41" s="64" t="str">
        <f t="shared" si="3"/>
        <v>BPA</v>
      </c>
      <c r="F41" s="70" t="s">
        <v>30</v>
      </c>
    </row>
    <row r="42" spans="1:6" s="68" customFormat="1" ht="39" customHeight="1">
      <c r="A4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BPA-1mg/L + Testostérone</v>
      </c>
      <c r="B42" s="110" t="str">
        <f t="shared" ref="B42:E42" si="4">B18</f>
        <v>test chemical</v>
      </c>
      <c r="C42" s="110">
        <f t="shared" si="4"/>
        <v>1</v>
      </c>
      <c r="D42" s="110" t="str">
        <f t="shared" si="4"/>
        <v>mg/L</v>
      </c>
      <c r="E42" s="64" t="str">
        <f t="shared" si="4"/>
        <v>BPA</v>
      </c>
      <c r="F42" s="70" t="s">
        <v>30</v>
      </c>
    </row>
    <row r="43" spans="1:6" s="68" customFormat="1" ht="39" customHeight="1">
      <c r="A4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10" t="str">
        <f t="shared" ref="B43:E43" si="5">B19</f>
        <v>test chemical</v>
      </c>
      <c r="C43" s="110">
        <f t="shared" si="5"/>
        <v>0</v>
      </c>
      <c r="D43" s="110">
        <f t="shared" si="5"/>
        <v>0</v>
      </c>
      <c r="E43" s="110">
        <f t="shared" si="5"/>
        <v>0</v>
      </c>
      <c r="F43" s="70" t="s">
        <v>30</v>
      </c>
    </row>
    <row r="44" spans="1:6" s="68" customFormat="1" ht="39" customHeight="1">
      <c r="A4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10" t="str">
        <f t="shared" ref="B44:E44" si="6">B20</f>
        <v>test chemical</v>
      </c>
      <c r="C44" s="110">
        <f t="shared" si="6"/>
        <v>0</v>
      </c>
      <c r="D44" s="110">
        <f t="shared" si="6"/>
        <v>0</v>
      </c>
      <c r="E44" s="110">
        <f t="shared" si="6"/>
        <v>0</v>
      </c>
      <c r="F44" s="70" t="s">
        <v>30</v>
      </c>
    </row>
    <row r="45" spans="1:6" s="68" customFormat="1" ht="39" customHeight="1">
      <c r="A4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10" t="str">
        <f t="shared" ref="B45:E45" si="7">B21</f>
        <v>test chemical</v>
      </c>
      <c r="C45" s="110">
        <f t="shared" si="7"/>
        <v>0</v>
      </c>
      <c r="D45" s="110">
        <f t="shared" si="7"/>
        <v>0</v>
      </c>
      <c r="E45" s="110">
        <f t="shared" si="7"/>
        <v>0</v>
      </c>
      <c r="F45" s="70" t="s">
        <v>30</v>
      </c>
    </row>
    <row r="46" spans="1:6" s="68" customFormat="1" ht="39" customHeight="1">
      <c r="A4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10" t="str">
        <f t="shared" ref="B46:E46" si="8">B22</f>
        <v>test chemical</v>
      </c>
      <c r="C46" s="110">
        <f t="shared" si="8"/>
        <v>0</v>
      </c>
      <c r="D46" s="110">
        <f t="shared" si="8"/>
        <v>0</v>
      </c>
      <c r="E46" s="110">
        <f t="shared" si="8"/>
        <v>0</v>
      </c>
      <c r="F46" s="70" t="s">
        <v>30</v>
      </c>
    </row>
    <row r="47" spans="1:6" s="68" customFormat="1" ht="39" customHeight="1">
      <c r="A47"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10" t="str">
        <f t="shared" ref="B47:E47" si="9">B23</f>
        <v>test chemical</v>
      </c>
      <c r="C47" s="110">
        <f t="shared" si="9"/>
        <v>0</v>
      </c>
      <c r="D47" s="110">
        <f t="shared" si="9"/>
        <v>0</v>
      </c>
      <c r="E47" s="110">
        <f t="shared" si="9"/>
        <v>0</v>
      </c>
      <c r="F47" s="70" t="s">
        <v>30</v>
      </c>
    </row>
    <row r="48" spans="1:6" s="68" customFormat="1" ht="39" customHeight="1">
      <c r="A48"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10" t="str">
        <f t="shared" ref="B48:E48" si="10">B24</f>
        <v>test chemical</v>
      </c>
      <c r="C48" s="110">
        <f t="shared" si="10"/>
        <v>0</v>
      </c>
      <c r="D48" s="110">
        <f t="shared" si="10"/>
        <v>0</v>
      </c>
      <c r="E48" s="110">
        <f t="shared" si="10"/>
        <v>0</v>
      </c>
      <c r="F48" s="70" t="s">
        <v>30</v>
      </c>
    </row>
    <row r="49" spans="1:6" s="68" customFormat="1" ht="39" customHeight="1">
      <c r="A4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10" t="str">
        <f t="shared" ref="B49:E49" si="11">B25</f>
        <v>test chemical</v>
      </c>
      <c r="C49" s="110">
        <f t="shared" si="11"/>
        <v>0</v>
      </c>
      <c r="D49" s="110">
        <f t="shared" si="11"/>
        <v>0</v>
      </c>
      <c r="E49" s="110">
        <f t="shared" si="11"/>
        <v>0</v>
      </c>
      <c r="F49" s="70" t="s">
        <v>30</v>
      </c>
    </row>
    <row r="50" spans="1:6" s="68" customFormat="1" ht="39" customHeight="1">
      <c r="A5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10" t="str">
        <f t="shared" ref="B50:E50" si="12">B26</f>
        <v>test chemical</v>
      </c>
      <c r="C50" s="110">
        <f t="shared" si="12"/>
        <v>0</v>
      </c>
      <c r="D50" s="110">
        <f t="shared" si="12"/>
        <v>0</v>
      </c>
      <c r="E50" s="110">
        <f t="shared" si="12"/>
        <v>0</v>
      </c>
      <c r="F50" s="70" t="s">
        <v>30</v>
      </c>
    </row>
    <row r="51" spans="1:6" s="68" customFormat="1" ht="39" customHeight="1">
      <c r="A5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10" t="str">
        <f t="shared" ref="B51:E51" si="13">B27</f>
        <v>test chemical</v>
      </c>
      <c r="C51" s="110">
        <f t="shared" si="13"/>
        <v>0</v>
      </c>
      <c r="D51" s="110">
        <f t="shared" si="13"/>
        <v>0</v>
      </c>
      <c r="E51" s="110">
        <f t="shared" si="13"/>
        <v>0</v>
      </c>
      <c r="F51" s="70" t="s">
        <v>30</v>
      </c>
    </row>
    <row r="52" spans="1:6" s="68" customFormat="1" ht="39" customHeight="1">
      <c r="A5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10" t="str">
        <f t="shared" ref="B52:E52" si="14">B28</f>
        <v>test chemical</v>
      </c>
      <c r="C52" s="110">
        <f t="shared" si="14"/>
        <v>0</v>
      </c>
      <c r="D52" s="110">
        <f t="shared" si="14"/>
        <v>0</v>
      </c>
      <c r="E52" s="110">
        <f t="shared" si="14"/>
        <v>0</v>
      </c>
      <c r="F52" s="70" t="s">
        <v>30</v>
      </c>
    </row>
    <row r="53" spans="1:6" s="68" customFormat="1" ht="39" customHeight="1">
      <c r="A5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10" t="str">
        <f t="shared" ref="B53:E53" si="15">B29</f>
        <v>test chemical</v>
      </c>
      <c r="C53" s="110">
        <f t="shared" si="15"/>
        <v>0</v>
      </c>
      <c r="D53" s="110">
        <f t="shared" si="15"/>
        <v>0</v>
      </c>
      <c r="E53" s="110">
        <f t="shared" si="15"/>
        <v>0</v>
      </c>
      <c r="F53" s="70" t="s">
        <v>30</v>
      </c>
    </row>
    <row r="54" spans="1:6" s="68" customFormat="1" ht="39" customHeight="1">
      <c r="A5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10" t="str">
        <f t="shared" ref="B54:E54" si="16">B30</f>
        <v>test chemical</v>
      </c>
      <c r="C54" s="110">
        <f t="shared" si="16"/>
        <v>0</v>
      </c>
      <c r="D54" s="110">
        <f t="shared" si="16"/>
        <v>0</v>
      </c>
      <c r="E54" s="110">
        <f t="shared" si="16"/>
        <v>0</v>
      </c>
      <c r="F54" s="70" t="s">
        <v>30</v>
      </c>
    </row>
    <row r="55" spans="1:6" s="68" customFormat="1" ht="39" customHeight="1">
      <c r="A5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10" t="str">
        <f t="shared" ref="B55:E55" si="17">B31</f>
        <v>test chemical</v>
      </c>
      <c r="C55" s="110">
        <f t="shared" si="17"/>
        <v>0</v>
      </c>
      <c r="D55" s="110">
        <f t="shared" si="17"/>
        <v>0</v>
      </c>
      <c r="E55" s="110">
        <f t="shared" si="17"/>
        <v>0</v>
      </c>
      <c r="F55" s="70" t="s">
        <v>30</v>
      </c>
    </row>
    <row r="56" spans="1:6" s="68" customFormat="1" ht="39" customHeight="1">
      <c r="A5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10" t="str">
        <f t="shared" ref="B56:E56" si="18">B32</f>
        <v>test chemical</v>
      </c>
      <c r="C56" s="110">
        <f t="shared" si="18"/>
        <v>0</v>
      </c>
      <c r="D56" s="110">
        <f t="shared" si="18"/>
        <v>0</v>
      </c>
      <c r="E56" s="110">
        <f t="shared" si="18"/>
        <v>0</v>
      </c>
      <c r="F56" s="70" t="s">
        <v>30</v>
      </c>
    </row>
    <row r="57" spans="1:6" s="68" customFormat="1" ht="39" customHeight="1">
      <c r="A57"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09" t="str">
        <f t="shared" ref="B57:E57" si="19">B33</f>
        <v>test chemical</v>
      </c>
      <c r="C57" s="109">
        <f t="shared" si="19"/>
        <v>0</v>
      </c>
      <c r="D57" s="109">
        <f t="shared" si="19"/>
        <v>0</v>
      </c>
      <c r="E57" s="109">
        <f t="shared" si="19"/>
        <v>0</v>
      </c>
      <c r="F57" s="70" t="s">
        <v>30</v>
      </c>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2"/>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H1" activePane="topRight" state="frozen"/>
      <selection pane="topRight" activeCell="O2" sqref="O1:O1048576"/>
    </sheetView>
  </sheetViews>
  <sheetFormatPr defaultColWidth="9.140625" defaultRowHeight="15"/>
  <cols>
    <col min="1" max="1" width="29.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customWidth="1"/>
    <col min="16" max="16" width="26.42578125" customWidth="1"/>
    <col min="17" max="18" width="25.85546875" bestFit="1" customWidth="1"/>
    <col min="19" max="22" width="25.85546875" style="1" customWidth="1"/>
  </cols>
  <sheetData>
    <row r="1" spans="1:22" s="1" customFormat="1" ht="27" thickBot="1">
      <c r="A1" s="138" t="s">
        <v>21</v>
      </c>
      <c r="B1" s="139"/>
      <c r="C1" s="139"/>
      <c r="D1" s="139"/>
      <c r="E1" s="139"/>
      <c r="F1" s="139"/>
      <c r="G1" s="139"/>
      <c r="H1" s="139"/>
      <c r="I1" s="139"/>
      <c r="J1" s="139"/>
      <c r="K1" s="139"/>
      <c r="L1" s="139"/>
      <c r="M1" s="139"/>
      <c r="N1" s="139"/>
      <c r="O1" s="139"/>
      <c r="P1" s="139"/>
      <c r="Q1" s="139"/>
      <c r="R1" s="139"/>
      <c r="S1" s="139"/>
      <c r="T1" s="139"/>
      <c r="U1" s="139"/>
      <c r="V1" s="139"/>
    </row>
    <row r="2" spans="1:22" ht="15.75" thickBot="1">
      <c r="A2"/>
      <c r="B2"/>
      <c r="C2"/>
      <c r="D2"/>
      <c r="E2"/>
      <c r="F2"/>
      <c r="G2"/>
      <c r="H2"/>
      <c r="I2"/>
      <c r="J2"/>
      <c r="K2"/>
      <c r="L2"/>
      <c r="M2"/>
      <c r="N2"/>
      <c r="S2"/>
      <c r="T2"/>
      <c r="U2"/>
      <c r="V2"/>
    </row>
    <row r="3" spans="1:22" ht="15.75" thickBot="1">
      <c r="A3" s="33" t="s">
        <v>8</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BPA-5mg/L</v>
      </c>
      <c r="J4" s="19" t="str">
        <f>'Front page'!A15</f>
        <v>BPA-4mg/L</v>
      </c>
      <c r="K4" s="19" t="str">
        <f>'Front page'!A16</f>
        <v>BPA-3mg/L</v>
      </c>
      <c r="L4" s="19" t="str">
        <f>'Front page'!A17</f>
        <v>BPA-2mg/L</v>
      </c>
      <c r="M4" s="19" t="str">
        <f>'Front page'!A18</f>
        <v>BPA-1mg/L</v>
      </c>
      <c r="N4" s="19" t="str">
        <f>'Front page'!A19</f>
        <v/>
      </c>
      <c r="O4" s="20" t="str">
        <f>'Front page'!A35</f>
        <v>Testo -30µg/L</v>
      </c>
      <c r="P4" s="20" t="str">
        <f>'Front page'!A36</f>
        <v>Testo 30µg/L + EE2 -64ng/L</v>
      </c>
      <c r="Q4" s="20" t="str">
        <f>'Front page'!A37</f>
        <v>Testo 30µg/L + FAD-10mg/L</v>
      </c>
      <c r="R4" s="20" t="str">
        <f>'Front page'!A38</f>
        <v>BPA-5mg/L + Testostérone</v>
      </c>
      <c r="S4" s="20" t="str">
        <f>'Front page'!A39</f>
        <v>BPA-4mg/L + Testostérone</v>
      </c>
      <c r="T4" s="20" t="str">
        <f>'Front page'!A40</f>
        <v>BPA-3mg/L + Testostérone</v>
      </c>
      <c r="U4" s="20" t="str">
        <f>'Front page'!A41</f>
        <v>BPA-2mg/L + Testostérone</v>
      </c>
      <c r="V4" s="20" t="str">
        <f>'Front page'!A42</f>
        <v>BPA-1mg/L + Testostérone</v>
      </c>
    </row>
    <row r="5" spans="1:22" ht="16.5">
      <c r="A5" s="142" t="s">
        <v>71</v>
      </c>
      <c r="B5" s="117">
        <v>1948368</v>
      </c>
      <c r="C5" s="113">
        <v>1059077</v>
      </c>
      <c r="D5" s="78">
        <v>4426496</v>
      </c>
      <c r="E5" s="78">
        <v>11885738</v>
      </c>
      <c r="F5" s="78">
        <v>10182636</v>
      </c>
      <c r="G5" s="78">
        <v>19592908</v>
      </c>
      <c r="H5" s="78">
        <v>24391301</v>
      </c>
      <c r="I5" s="78">
        <v>10180858</v>
      </c>
      <c r="J5" s="78">
        <v>10875082</v>
      </c>
      <c r="K5" s="113">
        <v>3647447</v>
      </c>
      <c r="L5" s="113">
        <v>2164830</v>
      </c>
      <c r="M5" s="113">
        <v>315256</v>
      </c>
      <c r="N5" s="12"/>
      <c r="O5" s="78">
        <v>6936569</v>
      </c>
      <c r="P5" s="113">
        <v>9544152</v>
      </c>
      <c r="Q5" s="113">
        <v>1971526</v>
      </c>
      <c r="R5" s="78">
        <v>12584681</v>
      </c>
      <c r="S5" s="78">
        <v>12371055</v>
      </c>
      <c r="T5" s="78">
        <v>13292109</v>
      </c>
      <c r="U5" s="78">
        <v>19426534</v>
      </c>
      <c r="V5" s="78">
        <v>9696839</v>
      </c>
    </row>
    <row r="6" spans="1:22" ht="16.5">
      <c r="A6" s="143"/>
      <c r="B6" s="117">
        <v>845149</v>
      </c>
      <c r="C6" s="113">
        <v>4166766</v>
      </c>
      <c r="D6" s="78">
        <v>4011519</v>
      </c>
      <c r="E6" s="78">
        <v>11518476</v>
      </c>
      <c r="F6" s="78">
        <v>16183688</v>
      </c>
      <c r="G6" s="78">
        <v>12908772</v>
      </c>
      <c r="H6" s="78">
        <v>12949085</v>
      </c>
      <c r="I6" s="78">
        <v>8440946</v>
      </c>
      <c r="J6" s="78">
        <v>4790086</v>
      </c>
      <c r="K6" s="113">
        <v>1254172</v>
      </c>
      <c r="L6" s="113">
        <v>1100781</v>
      </c>
      <c r="M6" s="113">
        <v>638234</v>
      </c>
      <c r="N6" s="12"/>
      <c r="O6" s="78">
        <v>14471059</v>
      </c>
      <c r="P6" s="113">
        <v>18084626</v>
      </c>
      <c r="Q6" s="113">
        <v>1879739</v>
      </c>
      <c r="R6" s="78">
        <v>12556717</v>
      </c>
      <c r="S6" s="78">
        <v>11657989</v>
      </c>
      <c r="T6" s="78">
        <v>14243875</v>
      </c>
      <c r="U6" s="78">
        <v>8480043</v>
      </c>
      <c r="V6" s="78">
        <v>6679715</v>
      </c>
    </row>
    <row r="7" spans="1:22" ht="16.5">
      <c r="A7" s="143"/>
      <c r="B7" s="117">
        <v>2815162</v>
      </c>
      <c r="C7" s="113">
        <v>0</v>
      </c>
      <c r="D7" s="78">
        <v>6150552</v>
      </c>
      <c r="E7" s="78">
        <v>4970716</v>
      </c>
      <c r="F7" s="78">
        <v>14720642</v>
      </c>
      <c r="G7" s="78">
        <v>8181277</v>
      </c>
      <c r="H7" s="78">
        <v>16665052</v>
      </c>
      <c r="I7" s="78">
        <v>13537430</v>
      </c>
      <c r="J7" s="78">
        <v>11417421</v>
      </c>
      <c r="K7" s="113">
        <v>1574592</v>
      </c>
      <c r="L7" s="113">
        <v>380792</v>
      </c>
      <c r="M7" s="113">
        <v>3062496</v>
      </c>
      <c r="N7" s="12"/>
      <c r="O7" s="78">
        <v>13227611</v>
      </c>
      <c r="P7" s="113">
        <v>16899356</v>
      </c>
      <c r="Q7" s="113">
        <v>258170</v>
      </c>
      <c r="R7" s="78">
        <v>10558882</v>
      </c>
      <c r="S7" s="78">
        <v>13021359</v>
      </c>
      <c r="T7" s="78">
        <v>13498927</v>
      </c>
      <c r="U7" s="78">
        <v>14601948</v>
      </c>
      <c r="V7" s="78">
        <v>8890558</v>
      </c>
    </row>
    <row r="8" spans="1:22" ht="16.5">
      <c r="A8" s="143"/>
      <c r="B8" s="117">
        <v>1954490</v>
      </c>
      <c r="C8" s="113">
        <v>560075</v>
      </c>
      <c r="D8" s="78">
        <v>6126690</v>
      </c>
      <c r="E8" s="78">
        <v>9537535</v>
      </c>
      <c r="F8" s="78">
        <v>9550705</v>
      </c>
      <c r="G8" s="78">
        <v>7328245</v>
      </c>
      <c r="H8" s="78">
        <v>14408744</v>
      </c>
      <c r="I8" s="78">
        <v>7980705</v>
      </c>
      <c r="J8" s="78">
        <v>4069338</v>
      </c>
      <c r="K8" s="113">
        <v>571634</v>
      </c>
      <c r="L8" s="113">
        <v>84129</v>
      </c>
      <c r="M8" s="113">
        <v>602897</v>
      </c>
      <c r="N8" s="12"/>
      <c r="O8" s="78">
        <v>8687529</v>
      </c>
      <c r="P8" s="113">
        <v>13066384</v>
      </c>
      <c r="Q8" s="113">
        <v>410937</v>
      </c>
      <c r="R8" s="78">
        <v>13071354</v>
      </c>
      <c r="S8" s="78">
        <v>8456600</v>
      </c>
      <c r="T8" s="78">
        <v>21456458</v>
      </c>
      <c r="U8" s="78">
        <v>11132743</v>
      </c>
      <c r="V8" s="78">
        <v>14002355</v>
      </c>
    </row>
    <row r="9" spans="1:22" ht="16.5">
      <c r="A9" s="143"/>
      <c r="B9" s="117">
        <v>2386036</v>
      </c>
      <c r="C9" s="113">
        <v>5122724</v>
      </c>
      <c r="D9" s="78">
        <v>4005383</v>
      </c>
      <c r="E9" s="78">
        <v>6347047</v>
      </c>
      <c r="F9" s="78">
        <v>14129785</v>
      </c>
      <c r="G9" s="78">
        <v>10449436</v>
      </c>
      <c r="H9" s="78">
        <v>23473727</v>
      </c>
      <c r="I9" s="78">
        <v>9985167</v>
      </c>
      <c r="J9" s="78">
        <v>8356469</v>
      </c>
      <c r="K9" s="113">
        <v>3042660</v>
      </c>
      <c r="L9" s="113">
        <v>3509321</v>
      </c>
      <c r="M9" s="113">
        <v>2070322</v>
      </c>
      <c r="N9" s="12"/>
      <c r="O9" s="78">
        <v>10011355</v>
      </c>
      <c r="P9" s="113">
        <v>16429283</v>
      </c>
      <c r="Q9" s="113">
        <v>260950</v>
      </c>
      <c r="R9" s="78">
        <v>14240742</v>
      </c>
      <c r="S9" s="78">
        <v>12909563</v>
      </c>
      <c r="T9" s="78">
        <v>13455904</v>
      </c>
      <c r="U9" s="78">
        <v>18873608</v>
      </c>
      <c r="V9" s="78">
        <v>12056499</v>
      </c>
    </row>
    <row r="10" spans="1:22" ht="16.5">
      <c r="A10" s="143"/>
      <c r="B10" s="117">
        <v>757544</v>
      </c>
      <c r="C10" s="113">
        <v>505164</v>
      </c>
      <c r="D10" s="78">
        <v>1443491</v>
      </c>
      <c r="E10" s="78">
        <v>13926730</v>
      </c>
      <c r="F10" s="78">
        <v>5201585</v>
      </c>
      <c r="G10" s="78">
        <v>17477238</v>
      </c>
      <c r="H10" s="78">
        <v>18569624</v>
      </c>
      <c r="I10" s="78">
        <v>6537777</v>
      </c>
      <c r="J10" s="78">
        <v>8678403</v>
      </c>
      <c r="K10" s="113">
        <v>3349663</v>
      </c>
      <c r="L10" s="113">
        <v>1314406</v>
      </c>
      <c r="M10" s="113">
        <v>2933140</v>
      </c>
      <c r="N10" s="12"/>
      <c r="O10" s="78">
        <v>11310223</v>
      </c>
      <c r="P10" s="113">
        <v>13574640</v>
      </c>
      <c r="Q10" s="113">
        <v>46418</v>
      </c>
      <c r="R10" s="78">
        <v>14334140</v>
      </c>
      <c r="S10" s="78">
        <v>15927039</v>
      </c>
      <c r="T10" s="78">
        <v>20579439</v>
      </c>
      <c r="U10" s="78">
        <v>19259057</v>
      </c>
      <c r="V10" s="78">
        <v>14154415</v>
      </c>
    </row>
    <row r="11" spans="1:22" ht="16.5">
      <c r="A11" s="143"/>
      <c r="B11" s="117">
        <v>3601239</v>
      </c>
      <c r="C11" s="113">
        <v>1153853</v>
      </c>
      <c r="D11" s="78">
        <v>6791973</v>
      </c>
      <c r="E11" s="78">
        <v>9511214</v>
      </c>
      <c r="F11" s="78">
        <v>9965476</v>
      </c>
      <c r="G11" s="78">
        <v>14632357</v>
      </c>
      <c r="H11" s="78">
        <v>16304884</v>
      </c>
      <c r="I11" s="78">
        <v>7715020</v>
      </c>
      <c r="J11" s="78">
        <v>7126408</v>
      </c>
      <c r="K11" s="113">
        <v>2072017</v>
      </c>
      <c r="L11" s="113">
        <v>570</v>
      </c>
      <c r="M11" s="113">
        <v>1603629</v>
      </c>
      <c r="N11" s="12"/>
      <c r="O11" s="78">
        <v>8530418</v>
      </c>
      <c r="P11" s="113">
        <v>12067356</v>
      </c>
      <c r="Q11" s="113">
        <v>480541</v>
      </c>
      <c r="R11" s="78">
        <v>9752197</v>
      </c>
      <c r="S11" s="78">
        <v>16167235</v>
      </c>
      <c r="T11" s="78">
        <v>12677077</v>
      </c>
      <c r="U11" s="78">
        <v>11483933</v>
      </c>
      <c r="V11" s="78">
        <v>2767979</v>
      </c>
    </row>
    <row r="12" spans="1:22" ht="16.5">
      <c r="A12" s="143"/>
      <c r="B12" s="117">
        <v>866510</v>
      </c>
      <c r="C12" s="113">
        <v>405537</v>
      </c>
      <c r="D12" s="78">
        <v>3314955</v>
      </c>
      <c r="E12" s="78">
        <v>11498074</v>
      </c>
      <c r="F12" s="78">
        <v>12669555</v>
      </c>
      <c r="G12" s="78">
        <v>16823939</v>
      </c>
      <c r="H12" s="78">
        <v>15271428</v>
      </c>
      <c r="I12" s="78">
        <v>4964943</v>
      </c>
      <c r="J12" s="78">
        <v>4756846</v>
      </c>
      <c r="K12" s="113">
        <v>2052086</v>
      </c>
      <c r="L12" s="113">
        <v>2205306</v>
      </c>
      <c r="M12" s="113">
        <v>1918557</v>
      </c>
      <c r="N12" s="12"/>
      <c r="O12" s="78">
        <v>11258113</v>
      </c>
      <c r="P12" s="113">
        <v>11818221</v>
      </c>
      <c r="Q12" s="113">
        <v>2561827</v>
      </c>
      <c r="R12" s="78">
        <v>4076566</v>
      </c>
      <c r="S12" s="78">
        <v>12649948</v>
      </c>
      <c r="T12" s="78">
        <v>15866933</v>
      </c>
      <c r="U12" s="78">
        <v>12133899</v>
      </c>
      <c r="V12" s="78">
        <v>17744839</v>
      </c>
    </row>
    <row r="13" spans="1:22" ht="16.5">
      <c r="A13" s="143"/>
      <c r="B13" s="13"/>
      <c r="C13" s="12"/>
      <c r="D13" s="15"/>
      <c r="E13" s="15"/>
      <c r="F13" s="15"/>
      <c r="G13" s="15"/>
      <c r="H13" s="15"/>
      <c r="I13" s="16"/>
      <c r="J13" s="15"/>
      <c r="K13" s="12"/>
      <c r="L13" s="12"/>
      <c r="M13" s="12"/>
      <c r="N13" s="12"/>
      <c r="O13" s="16">
        <v>4312182</v>
      </c>
      <c r="P13" s="12"/>
      <c r="Q13" s="12"/>
      <c r="R13" s="4"/>
      <c r="S13" s="16"/>
      <c r="T13" s="16"/>
      <c r="U13" s="16"/>
      <c r="V13" s="16"/>
    </row>
    <row r="14" spans="1:22" ht="16.5">
      <c r="A14" s="143"/>
      <c r="B14" s="13"/>
      <c r="C14" s="15"/>
      <c r="D14" s="15"/>
      <c r="E14" s="15"/>
      <c r="F14" s="15"/>
      <c r="G14" s="15"/>
      <c r="H14" s="15"/>
      <c r="I14" s="16"/>
      <c r="J14" s="15"/>
      <c r="K14" s="12"/>
      <c r="L14" s="12"/>
      <c r="M14" s="12"/>
      <c r="N14" s="12"/>
      <c r="O14" s="16">
        <v>10866962</v>
      </c>
      <c r="P14" s="12"/>
      <c r="Q14" s="12"/>
      <c r="R14" s="4"/>
      <c r="S14" s="16"/>
      <c r="T14" s="16"/>
      <c r="U14" s="16"/>
      <c r="V14" s="16"/>
    </row>
    <row r="15" spans="1:22" ht="16.5">
      <c r="A15" s="143"/>
      <c r="B15" s="13"/>
      <c r="C15" s="15"/>
      <c r="D15" s="15"/>
      <c r="E15" s="15"/>
      <c r="F15" s="15"/>
      <c r="G15" s="15"/>
      <c r="H15" s="15"/>
      <c r="I15" s="16"/>
      <c r="J15" s="15"/>
      <c r="K15" s="12"/>
      <c r="L15" s="12"/>
      <c r="M15" s="12"/>
      <c r="N15" s="12"/>
      <c r="O15" s="16">
        <v>17045443</v>
      </c>
      <c r="P15" s="12"/>
      <c r="Q15" s="12"/>
      <c r="R15" s="4"/>
      <c r="S15" s="16"/>
      <c r="T15" s="16"/>
      <c r="U15" s="16"/>
      <c r="V15" s="16"/>
    </row>
    <row r="16" spans="1:22" ht="16.5">
      <c r="A16" s="143"/>
      <c r="B16" s="13"/>
      <c r="C16" s="15"/>
      <c r="D16" s="15"/>
      <c r="E16" s="15"/>
      <c r="F16" s="15"/>
      <c r="G16" s="15"/>
      <c r="H16" s="15"/>
      <c r="I16" s="16"/>
      <c r="J16" s="15"/>
      <c r="K16" s="12"/>
      <c r="L16" s="12"/>
      <c r="M16" s="12"/>
      <c r="N16" s="12"/>
      <c r="O16" s="16">
        <v>11306643</v>
      </c>
      <c r="P16" s="12"/>
      <c r="Q16" s="12"/>
      <c r="R16" s="4"/>
      <c r="S16" s="16"/>
      <c r="T16" s="16"/>
      <c r="U16" s="16"/>
      <c r="V16" s="16"/>
    </row>
    <row r="17" spans="1:22" s="1" customFormat="1" ht="16.5">
      <c r="A17" s="143"/>
      <c r="B17" s="13"/>
      <c r="C17" s="16"/>
      <c r="D17" s="16"/>
      <c r="E17" s="16"/>
      <c r="F17" s="16"/>
      <c r="G17" s="16"/>
      <c r="H17" s="16"/>
      <c r="I17" s="16"/>
      <c r="J17" s="16"/>
      <c r="K17" s="12"/>
      <c r="L17" s="12"/>
      <c r="M17" s="12"/>
      <c r="N17" s="12"/>
      <c r="O17" s="16">
        <v>7748931</v>
      </c>
      <c r="P17" s="12"/>
      <c r="Q17" s="12"/>
      <c r="R17" s="16"/>
      <c r="S17" s="16"/>
      <c r="T17" s="16"/>
      <c r="U17" s="16"/>
      <c r="V17" s="16"/>
    </row>
    <row r="18" spans="1:22" s="1" customFormat="1" ht="16.5">
      <c r="A18" s="143"/>
      <c r="B18" s="13"/>
      <c r="C18" s="16"/>
      <c r="D18" s="16"/>
      <c r="E18" s="16"/>
      <c r="F18" s="16"/>
      <c r="G18" s="16"/>
      <c r="H18" s="16"/>
      <c r="I18" s="16"/>
      <c r="J18" s="16"/>
      <c r="K18" s="12"/>
      <c r="L18" s="12"/>
      <c r="M18" s="12"/>
      <c r="N18" s="12"/>
      <c r="O18" s="16">
        <v>7844534</v>
      </c>
      <c r="P18" s="12"/>
      <c r="Q18" s="12"/>
      <c r="R18" s="16"/>
      <c r="S18" s="16"/>
      <c r="T18" s="16"/>
      <c r="U18" s="16"/>
      <c r="V18" s="16"/>
    </row>
    <row r="19" spans="1:22" s="1" customFormat="1" ht="16.5">
      <c r="A19" s="143"/>
      <c r="B19" s="13"/>
      <c r="C19" s="16"/>
      <c r="D19" s="16"/>
      <c r="E19" s="16"/>
      <c r="F19" s="16"/>
      <c r="G19" s="16"/>
      <c r="H19" s="16"/>
      <c r="I19" s="16"/>
      <c r="J19" s="16"/>
      <c r="K19" s="12"/>
      <c r="L19" s="12"/>
      <c r="M19" s="12"/>
      <c r="N19" s="12"/>
      <c r="O19" s="16">
        <v>4422048</v>
      </c>
      <c r="P19" s="12"/>
      <c r="Q19" s="12"/>
      <c r="R19" s="16"/>
      <c r="S19" s="16"/>
      <c r="T19" s="16"/>
      <c r="U19" s="16"/>
      <c r="V19" s="16"/>
    </row>
    <row r="20" spans="1:22" ht="16.5">
      <c r="A20" s="143"/>
      <c r="B20" s="13"/>
      <c r="C20" s="15"/>
      <c r="D20" s="15"/>
      <c r="E20" s="15"/>
      <c r="F20" s="15"/>
      <c r="G20" s="15"/>
      <c r="H20" s="15"/>
      <c r="I20" s="16"/>
      <c r="J20" s="15"/>
      <c r="K20" s="12"/>
      <c r="L20" s="12"/>
      <c r="M20" s="12"/>
      <c r="N20" s="12"/>
      <c r="O20" s="16">
        <v>5773316</v>
      </c>
      <c r="P20" s="12"/>
      <c r="Q20" s="12"/>
      <c r="R20" s="4"/>
      <c r="S20" s="16"/>
      <c r="T20" s="16"/>
      <c r="U20" s="16"/>
      <c r="V20" s="16"/>
    </row>
    <row r="21" spans="1:22" s="1" customFormat="1" ht="16.5">
      <c r="A21" s="47"/>
      <c r="B21" s="48"/>
      <c r="C21" s="6"/>
      <c r="D21" s="6"/>
      <c r="E21" s="6"/>
      <c r="F21" s="6"/>
      <c r="G21" s="6"/>
      <c r="H21" s="6"/>
      <c r="I21" s="6"/>
      <c r="J21" s="6"/>
      <c r="K21" s="17"/>
      <c r="L21" s="17"/>
      <c r="M21" s="17"/>
      <c r="N21" s="17"/>
      <c r="O21" s="6"/>
      <c r="P21" s="17"/>
      <c r="Q21" s="17"/>
      <c r="R21" s="6"/>
      <c r="S21" s="6"/>
      <c r="T21" s="6"/>
      <c r="U21" s="6"/>
      <c r="V21" s="6"/>
    </row>
    <row r="22" spans="1:22" s="50" customFormat="1">
      <c r="A22" s="49" t="str">
        <f t="shared" ref="A22:N22" si="0">A4</f>
        <v>Noms des groupes</v>
      </c>
      <c r="B22" s="49" t="str">
        <f t="shared" si="0"/>
        <v>Solvent control</v>
      </c>
      <c r="C22" s="49" t="str">
        <f t="shared" si="0"/>
        <v>EE2-33.8ng/L</v>
      </c>
      <c r="D22" s="49" t="str">
        <f t="shared" si="0"/>
        <v>EE2-50.6ng/L</v>
      </c>
      <c r="E22" s="49" t="str">
        <f t="shared" si="0"/>
        <v>EE2-76ng/L</v>
      </c>
      <c r="F22" s="49" t="str">
        <f t="shared" si="0"/>
        <v>EE2-114ng/L</v>
      </c>
      <c r="G22" s="49" t="str">
        <f t="shared" si="0"/>
        <v>EE2-170.9ng/L</v>
      </c>
      <c r="H22" s="49" t="str">
        <f t="shared" si="0"/>
        <v>EE2-488ng/L</v>
      </c>
      <c r="I22" s="49" t="str">
        <f t="shared" si="0"/>
        <v>BPA-5mg/L</v>
      </c>
      <c r="J22" s="49" t="str">
        <f t="shared" si="0"/>
        <v>BPA-4mg/L</v>
      </c>
      <c r="K22" s="49" t="str">
        <f t="shared" si="0"/>
        <v>BPA-3mg/L</v>
      </c>
      <c r="L22" s="49" t="str">
        <f t="shared" si="0"/>
        <v>BPA-2mg/L</v>
      </c>
      <c r="M22" s="49" t="str">
        <f t="shared" si="0"/>
        <v>BPA-1mg/L</v>
      </c>
      <c r="N22" s="49" t="str">
        <f t="shared" si="0"/>
        <v/>
      </c>
      <c r="O22" s="49" t="str">
        <f t="shared" ref="O22:V22" si="1">O4</f>
        <v>Testo -30µg/L</v>
      </c>
      <c r="P22" s="49" t="str">
        <f t="shared" si="1"/>
        <v>Testo 30µg/L + EE2 -64ng/L</v>
      </c>
      <c r="Q22" s="49" t="str">
        <f t="shared" si="1"/>
        <v>Testo 30µg/L + FAD-10mg/L</v>
      </c>
      <c r="R22" s="49" t="str">
        <f t="shared" si="1"/>
        <v>BPA-5mg/L + Testostérone</v>
      </c>
      <c r="S22" s="49" t="str">
        <f t="shared" si="1"/>
        <v>BPA-4mg/L + Testostérone</v>
      </c>
      <c r="T22" s="49" t="str">
        <f t="shared" si="1"/>
        <v>BPA-3mg/L + Testostérone</v>
      </c>
      <c r="U22" s="49" t="str">
        <f t="shared" si="1"/>
        <v>BPA-2mg/L + Testostérone</v>
      </c>
      <c r="V22" s="49" t="str">
        <f t="shared" si="1"/>
        <v>BPA-1mg/L + Testostérone</v>
      </c>
    </row>
    <row r="23" spans="1:22">
      <c r="A23" s="5" t="s">
        <v>0</v>
      </c>
      <c r="B23" s="5">
        <f t="shared" ref="B23:N23" si="2">AVERAGE(B5:B20)</f>
        <v>1896812.25</v>
      </c>
      <c r="C23" s="5">
        <f t="shared" si="2"/>
        <v>1621649.5</v>
      </c>
      <c r="D23" s="5">
        <f t="shared" si="2"/>
        <v>4533882.375</v>
      </c>
      <c r="E23" s="5">
        <f t="shared" si="2"/>
        <v>9899441.25</v>
      </c>
      <c r="F23" s="5">
        <f t="shared" si="2"/>
        <v>11575509</v>
      </c>
      <c r="G23" s="5">
        <f t="shared" si="2"/>
        <v>13424271.5</v>
      </c>
      <c r="H23" s="5">
        <f t="shared" si="2"/>
        <v>17754230.625</v>
      </c>
      <c r="I23" s="5">
        <f>AVERAGE(I5:I20)</f>
        <v>8667855.75</v>
      </c>
      <c r="J23" s="5">
        <f t="shared" si="2"/>
        <v>7508756.625</v>
      </c>
      <c r="K23" s="5">
        <f t="shared" si="2"/>
        <v>2195533.875</v>
      </c>
      <c r="L23" s="5">
        <f t="shared" si="2"/>
        <v>1345016.875</v>
      </c>
      <c r="M23" s="5">
        <f t="shared" si="2"/>
        <v>1643066.375</v>
      </c>
      <c r="N23" s="5" t="e">
        <f t="shared" si="2"/>
        <v>#DIV/0!</v>
      </c>
      <c r="O23" s="5">
        <f t="shared" ref="O23:V23" si="3">AVERAGE(O5:O20)</f>
        <v>9609558.5</v>
      </c>
      <c r="P23" s="5">
        <f t="shared" si="3"/>
        <v>13935502.25</v>
      </c>
      <c r="Q23" s="5">
        <f t="shared" si="3"/>
        <v>983763.5</v>
      </c>
      <c r="R23" s="5">
        <f t="shared" si="3"/>
        <v>11396909.875</v>
      </c>
      <c r="S23" s="5">
        <f t="shared" si="3"/>
        <v>12895098.5</v>
      </c>
      <c r="T23" s="5">
        <f t="shared" si="3"/>
        <v>15633840.25</v>
      </c>
      <c r="U23" s="5">
        <f t="shared" si="3"/>
        <v>14423970.625</v>
      </c>
      <c r="V23" s="5">
        <f t="shared" si="3"/>
        <v>10749149.875</v>
      </c>
    </row>
    <row r="24" spans="1:22">
      <c r="A24" s="3" t="s">
        <v>1</v>
      </c>
      <c r="B24" s="3">
        <f t="shared" ref="B24:N24" si="4">STDEV(B5:B20)</f>
        <v>1032279.8532804879</v>
      </c>
      <c r="C24" s="3">
        <f t="shared" si="4"/>
        <v>1918057.7617012924</v>
      </c>
      <c r="D24" s="3">
        <f t="shared" si="4"/>
        <v>1766741.9486573855</v>
      </c>
      <c r="E24" s="3">
        <f t="shared" si="4"/>
        <v>2988904.8083792808</v>
      </c>
      <c r="F24" s="3">
        <f t="shared" si="4"/>
        <v>3547785.580359187</v>
      </c>
      <c r="G24" s="3">
        <f t="shared" si="4"/>
        <v>4492243.1528042071</v>
      </c>
      <c r="H24" s="3">
        <f t="shared" si="4"/>
        <v>4160376.6678564092</v>
      </c>
      <c r="I24" s="3">
        <f>STDEV(I5:I20)</f>
        <v>2602679.8437601496</v>
      </c>
      <c r="J24" s="3">
        <f t="shared" si="4"/>
        <v>2819231.5478893956</v>
      </c>
      <c r="K24" s="3">
        <f t="shared" si="4"/>
        <v>1075858.7227012711</v>
      </c>
      <c r="L24" s="3">
        <f t="shared" si="4"/>
        <v>1223817.0215063593</v>
      </c>
      <c r="M24" s="3">
        <f t="shared" si="4"/>
        <v>1055176.9655807824</v>
      </c>
      <c r="N24" s="3" t="e">
        <f t="shared" si="4"/>
        <v>#DIV/0!</v>
      </c>
      <c r="O24" s="3">
        <f t="shared" ref="O24:V24" si="5">STDEV(O5:O20)</f>
        <v>3537187.9784676228</v>
      </c>
      <c r="P24" s="3">
        <f t="shared" si="5"/>
        <v>2936494.3820431652</v>
      </c>
      <c r="Q24" s="3">
        <f t="shared" si="5"/>
        <v>983990.14339154551</v>
      </c>
      <c r="R24" s="3">
        <f t="shared" si="5"/>
        <v>3365141.1244327347</v>
      </c>
      <c r="S24" s="3">
        <f t="shared" si="5"/>
        <v>2434311.8890686836</v>
      </c>
      <c r="T24" s="3">
        <f t="shared" si="5"/>
        <v>3461535.0670474325</v>
      </c>
      <c r="U24" s="3">
        <f t="shared" si="5"/>
        <v>4280943.7121213293</v>
      </c>
      <c r="V24" s="3">
        <f t="shared" si="5"/>
        <v>4745661.3704131739</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s="1" customFormat="1">
      <c r="A27" s="18" t="s">
        <v>22</v>
      </c>
      <c r="B27" s="19" t="str">
        <f t="shared" ref="B27:N27" si="6">B4</f>
        <v>Solvent control</v>
      </c>
      <c r="C27" s="19" t="str">
        <f t="shared" si="6"/>
        <v>EE2-33.8ng/L</v>
      </c>
      <c r="D27" s="19" t="str">
        <f t="shared" si="6"/>
        <v>EE2-50.6ng/L</v>
      </c>
      <c r="E27" s="19" t="str">
        <f t="shared" si="6"/>
        <v>EE2-76ng/L</v>
      </c>
      <c r="F27" s="19" t="str">
        <f t="shared" si="6"/>
        <v>EE2-114ng/L</v>
      </c>
      <c r="G27" s="19" t="str">
        <f t="shared" si="6"/>
        <v>EE2-170.9ng/L</v>
      </c>
      <c r="H27" s="19" t="str">
        <f t="shared" si="6"/>
        <v>EE2-488ng/L</v>
      </c>
      <c r="I27" s="19" t="str">
        <f t="shared" si="6"/>
        <v>BPA-5mg/L</v>
      </c>
      <c r="J27" s="19" t="str">
        <f t="shared" si="6"/>
        <v>BPA-4mg/L</v>
      </c>
      <c r="K27" s="19" t="str">
        <f t="shared" si="6"/>
        <v>BPA-3mg/L</v>
      </c>
      <c r="L27" s="19" t="str">
        <f t="shared" si="6"/>
        <v>BPA-2mg/L</v>
      </c>
      <c r="M27" s="19" t="str">
        <f t="shared" si="6"/>
        <v>BPA-1mg/L</v>
      </c>
      <c r="N27" s="19" t="str">
        <f t="shared" si="6"/>
        <v/>
      </c>
      <c r="O27" s="20" t="str">
        <f t="shared" ref="O27:V27" si="7">O4</f>
        <v>Testo -30µg/L</v>
      </c>
      <c r="P27" s="20" t="str">
        <f t="shared" si="7"/>
        <v>Testo 30µg/L + EE2 -64ng/L</v>
      </c>
      <c r="Q27" s="20" t="str">
        <f t="shared" si="7"/>
        <v>Testo 30µg/L + FAD-10mg/L</v>
      </c>
      <c r="R27" s="20" t="str">
        <f t="shared" si="7"/>
        <v>BPA-5mg/L + Testostérone</v>
      </c>
      <c r="S27" s="20" t="str">
        <f t="shared" si="7"/>
        <v>BPA-4mg/L + Testostérone</v>
      </c>
      <c r="T27" s="20" t="str">
        <f t="shared" si="7"/>
        <v>BPA-3mg/L + Testostérone</v>
      </c>
      <c r="U27" s="20" t="str">
        <f t="shared" si="7"/>
        <v>BPA-2mg/L + Testostérone</v>
      </c>
      <c r="V27" s="20" t="str">
        <f t="shared" si="7"/>
        <v>BPA-1mg/L + Testostérone</v>
      </c>
    </row>
    <row r="28" spans="1:22">
      <c r="A28" s="144" t="s">
        <v>72</v>
      </c>
      <c r="B28" s="75">
        <f>IF(B5="","",(B5/$O$23))</f>
        <v>0.2027531233614947</v>
      </c>
      <c r="C28" s="75">
        <f>IF(C5="","",(C5/$O$23))</f>
        <v>0.11021078647890015</v>
      </c>
      <c r="D28" s="75">
        <f>IF(D5="","",(D5/$O$23))</f>
        <v>0.46063468992878287</v>
      </c>
      <c r="E28" s="75">
        <f>IF(E5="","",(E5/$O$23))</f>
        <v>1.2368661890137824</v>
      </c>
      <c r="F28" s="75">
        <f>IF(F5="","",(F5/$O$23))</f>
        <v>1.0596361945244415</v>
      </c>
      <c r="G28" s="75">
        <f>IF(G5="","",(G5/$O$23))</f>
        <v>2.0388978328192704</v>
      </c>
      <c r="H28" s="75">
        <f>IF(H5="","",(H5/$O$23))</f>
        <v>2.5382332601440534</v>
      </c>
      <c r="I28" s="10">
        <f>IF(I5="","",(I5/$O$23))</f>
        <v>1.0594511704153735</v>
      </c>
      <c r="J28" s="10">
        <f>IF(J5="","",(J5/$O$23))</f>
        <v>1.1316942396469098</v>
      </c>
      <c r="K28" s="10">
        <f>IF(K5="","",(K5/$O$23))</f>
        <v>0.37956447218672951</v>
      </c>
      <c r="L28" s="10">
        <f>IF(L5="","",(L5/$O$23))</f>
        <v>0.22527882004152427</v>
      </c>
      <c r="M28" s="10">
        <f>IF(M5="","",(M5/$O$23))</f>
        <v>3.2806501984456414E-2</v>
      </c>
      <c r="N28" s="10" t="str">
        <f>IF(N5="","",(N5/$O$23))</f>
        <v/>
      </c>
      <c r="O28" s="75">
        <f t="shared" ref="O28:V28" si="8">IF(O5="","",(O5/$O$23))</f>
        <v>0.72184055073914166</v>
      </c>
      <c r="P28" s="75">
        <f t="shared" si="8"/>
        <v>0.99319359989327294</v>
      </c>
      <c r="Q28" s="75">
        <f t="shared" si="8"/>
        <v>0.20516301555373226</v>
      </c>
      <c r="R28" s="75">
        <f t="shared" si="8"/>
        <v>1.3096003317946396</v>
      </c>
      <c r="S28" s="75">
        <f t="shared" si="8"/>
        <v>1.2873697579342485</v>
      </c>
      <c r="T28" s="75">
        <f t="shared" si="8"/>
        <v>1.3832174495841822</v>
      </c>
      <c r="U28" s="75">
        <f t="shared" si="8"/>
        <v>2.0215844463614014</v>
      </c>
      <c r="V28" s="75">
        <f t="shared" si="8"/>
        <v>1.0090826753383102</v>
      </c>
    </row>
    <row r="29" spans="1:22">
      <c r="A29" s="145"/>
      <c r="B29" s="75">
        <f>IF(B6="","",(B6/$O$23))</f>
        <v>8.794878557636128E-2</v>
      </c>
      <c r="C29" s="75">
        <f>IF(C6="","",(C6/$O$23))</f>
        <v>0.43360639305125204</v>
      </c>
      <c r="D29" s="75">
        <f>IF(D6="","",(D6/$O$23))</f>
        <v>0.41745091618933378</v>
      </c>
      <c r="E29" s="75">
        <f>IF(E6="","",(E6/$O$23))</f>
        <v>1.1986477838706118</v>
      </c>
      <c r="F29" s="75">
        <f>IF(F6="","",(F6/$O$23))</f>
        <v>1.6841239896713256</v>
      </c>
      <c r="G29" s="75">
        <f>IF(G6="","",(G6/$O$23))</f>
        <v>1.3433262308564957</v>
      </c>
      <c r="H29" s="75">
        <f>IF(H6="","",(H6/$O$23))</f>
        <v>1.3475213247309956</v>
      </c>
      <c r="I29" s="10">
        <f>IF(I6="","",(I6/$O$23))</f>
        <v>0.87839061492783466</v>
      </c>
      <c r="J29" s="10">
        <f>IF(J6="","",(J6/$O$23))</f>
        <v>0.49847097553961506</v>
      </c>
      <c r="K29" s="10">
        <f>IF(K6="","",(K6/$O$23))</f>
        <v>0.13051296789545536</v>
      </c>
      <c r="L29" s="10">
        <f>IF(L6="","",(L6/$O$23))</f>
        <v>0.11455063206077573</v>
      </c>
      <c r="M29" s="10">
        <f>IF(M6="","",(M6/$O$23))</f>
        <v>6.6416578867801265E-2</v>
      </c>
      <c r="N29" s="10" t="str">
        <f>IF(N6="","",(N6/$O$23))</f>
        <v/>
      </c>
      <c r="O29" s="75">
        <f t="shared" ref="O29:V29" si="9">IF(O6="","",(O6/$O$23))</f>
        <v>1.5059025864715845</v>
      </c>
      <c r="P29" s="75">
        <f t="shared" si="9"/>
        <v>1.8819414024067807</v>
      </c>
      <c r="Q29" s="75">
        <f t="shared" si="9"/>
        <v>0.19561138006496345</v>
      </c>
      <c r="R29" s="75">
        <f t="shared" si="9"/>
        <v>1.3066903125674296</v>
      </c>
      <c r="S29" s="75">
        <f t="shared" si="9"/>
        <v>1.213165932649247</v>
      </c>
      <c r="T29" s="75">
        <f t="shared" si="9"/>
        <v>1.4822611257322591</v>
      </c>
      <c r="U29" s="75">
        <f t="shared" si="9"/>
        <v>0.88245916812931624</v>
      </c>
      <c r="V29" s="75">
        <f t="shared" si="9"/>
        <v>0.69511153920338797</v>
      </c>
    </row>
    <row r="30" spans="1:22">
      <c r="A30" s="145"/>
      <c r="B30" s="75">
        <f>IF(B7="","",(B7/$O$23))</f>
        <v>0.29295435373019479</v>
      </c>
      <c r="C30" s="75">
        <f>IF(C7="","",(C7/$O$23))</f>
        <v>0</v>
      </c>
      <c r="D30" s="75">
        <f>IF(D7="","",(D7/$O$23))</f>
        <v>0.64004522164051558</v>
      </c>
      <c r="E30" s="75">
        <f>IF(E7="","",(E7/$O$23))</f>
        <v>0.51726788488773967</v>
      </c>
      <c r="F30" s="75">
        <f>IF(F7="","",(F7/$O$23))</f>
        <v>1.5318749555455644</v>
      </c>
      <c r="G30" s="75">
        <f>IF(G7="","",(G7/$O$23))</f>
        <v>0.85136866589656535</v>
      </c>
      <c r="H30" s="75">
        <f>IF(H7="","",(H7/$O$23))</f>
        <v>1.7342161973414283</v>
      </c>
      <c r="I30" s="10">
        <f>IF(I7="","",(I7/$O$23))</f>
        <v>1.4087463019242767</v>
      </c>
      <c r="J30" s="10">
        <f>IF(J7="","",(J7/$O$23))</f>
        <v>1.1881316920022913</v>
      </c>
      <c r="K30" s="10">
        <f>IF(K7="","",(K7/$O$23))</f>
        <v>0.16385685148802623</v>
      </c>
      <c r="L30" s="10">
        <f>IF(L7="","",(L7/$O$23))</f>
        <v>3.9626378256607732E-2</v>
      </c>
      <c r="M30" s="10">
        <f>IF(M7="","",(M7/$O$23))</f>
        <v>0.3186926849969226</v>
      </c>
      <c r="N30" s="10" t="str">
        <f>IF(N7="","",(N7/$O$23))</f>
        <v/>
      </c>
      <c r="O30" s="75">
        <f t="shared" ref="O30:V30" si="10">IF(O7="","",(O7/$O$23))</f>
        <v>1.3765055907615318</v>
      </c>
      <c r="P30" s="75">
        <f t="shared" si="10"/>
        <v>1.7585985870214538</v>
      </c>
      <c r="Q30" s="75">
        <f t="shared" si="10"/>
        <v>2.6865958514119041E-2</v>
      </c>
      <c r="R30" s="75">
        <f t="shared" si="10"/>
        <v>1.0987895021399787</v>
      </c>
      <c r="S30" s="75">
        <f t="shared" si="10"/>
        <v>1.3550423778574219</v>
      </c>
      <c r="T30" s="75">
        <f t="shared" si="10"/>
        <v>1.4047395621765557</v>
      </c>
      <c r="U30" s="75">
        <f t="shared" si="10"/>
        <v>1.5195232954771023</v>
      </c>
      <c r="V30" s="75">
        <f t="shared" si="10"/>
        <v>0.92517861252418621</v>
      </c>
    </row>
    <row r="31" spans="1:22">
      <c r="A31" s="145"/>
      <c r="B31" s="75">
        <f>IF(B8="","",(B8/$O$23))</f>
        <v>0.20339019737483258</v>
      </c>
      <c r="C31" s="75">
        <f>IF(C8="","",(C8/$O$23))</f>
        <v>5.8283114671709421E-2</v>
      </c>
      <c r="D31" s="75">
        <f>IF(D8="","",(D8/$O$23))</f>
        <v>0.63756206905863577</v>
      </c>
      <c r="E31" s="75">
        <f>IF(E8="","",(E8/$O$23))</f>
        <v>0.99250501466846786</v>
      </c>
      <c r="F31" s="75">
        <f>IF(F8="","",(F8/$O$23))</f>
        <v>0.99387552508265598</v>
      </c>
      <c r="G31" s="75">
        <f>IF(G8="","",(G8/$O$23))</f>
        <v>0.76259955126970713</v>
      </c>
      <c r="H31" s="75">
        <f>IF(H8="","",(H8/$O$23))</f>
        <v>1.4994178972946572</v>
      </c>
      <c r="I31" s="10">
        <f>IF(I8="","",(I8/$O$23))</f>
        <v>0.83049653113615984</v>
      </c>
      <c r="J31" s="10">
        <f>IF(J8="","",(J8/$O$23))</f>
        <v>0.42346773787786401</v>
      </c>
      <c r="K31" s="10">
        <f>IF(K8="","",(K8/$O$23))</f>
        <v>5.9485979506758817E-2</v>
      </c>
      <c r="L31" s="10">
        <f>IF(L8="","",(L8/$O$23))</f>
        <v>8.7547206253024007E-3</v>
      </c>
      <c r="M31" s="10">
        <f>IF(M8="","",(M8/$O$23))</f>
        <v>6.2739302747363473E-2</v>
      </c>
      <c r="N31" s="10" t="str">
        <f>IF(N8="","",(N8/$O$23))</f>
        <v/>
      </c>
      <c r="O31" s="75">
        <f t="shared" ref="O31:V31" si="11">IF(O8="","",(O8/$O$23))</f>
        <v>0.90405079484140716</v>
      </c>
      <c r="P31" s="75">
        <f t="shared" si="11"/>
        <v>1.3597278168398683</v>
      </c>
      <c r="Q31" s="75">
        <f t="shared" si="11"/>
        <v>4.2763359003433928E-2</v>
      </c>
      <c r="R31" s="75">
        <f t="shared" si="11"/>
        <v>1.3602450102156098</v>
      </c>
      <c r="S31" s="75">
        <f t="shared" si="11"/>
        <v>0.88001961796684003</v>
      </c>
      <c r="T31" s="75">
        <f t="shared" si="11"/>
        <v>2.2328245361116226</v>
      </c>
      <c r="U31" s="75">
        <f t="shared" si="11"/>
        <v>1.1585072300668131</v>
      </c>
      <c r="V31" s="75">
        <f t="shared" si="11"/>
        <v>1.4571278170584008</v>
      </c>
    </row>
    <row r="32" spans="1:22">
      <c r="A32" s="145"/>
      <c r="B32" s="75">
        <f>IF(B9="","",(B9/$O$23))</f>
        <v>0.2482981918472113</v>
      </c>
      <c r="C32" s="75">
        <f>IF(C9="","",(C9/$O$23))</f>
        <v>0.53308630151947145</v>
      </c>
      <c r="D32" s="75">
        <f>IF(D9="","",(D9/$O$23))</f>
        <v>0.41681238529324732</v>
      </c>
      <c r="E32" s="75">
        <f>IF(E9="","",(E9/$O$23))</f>
        <v>0.66049309133192746</v>
      </c>
      <c r="F32" s="75">
        <f>IF(F9="","",(F9/$O$23))</f>
        <v>1.4703885719619689</v>
      </c>
      <c r="G32" s="75">
        <f>IF(G9="","",(G9/$O$23))</f>
        <v>1.0874002171899988</v>
      </c>
      <c r="H32" s="75">
        <f>IF(H9="","",(H9/$O$23))</f>
        <v>2.442747707920192</v>
      </c>
      <c r="I32" s="10">
        <f>IF(I9="","",(I9/$O$23))</f>
        <v>1.0390869674189507</v>
      </c>
      <c r="J32" s="10">
        <f>IF(J9="","",(J9/$O$23))</f>
        <v>0.86959968035992496</v>
      </c>
      <c r="K32" s="10">
        <f>IF(K9="","",(K9/$O$23))</f>
        <v>0.31662849026830941</v>
      </c>
      <c r="L32" s="10">
        <f>IF(L9="","",(L9/$O$23))</f>
        <v>0.3651906588632558</v>
      </c>
      <c r="M32" s="10">
        <f>IF(M9="","",(M9/$O$23))</f>
        <v>0.21544402898426604</v>
      </c>
      <c r="N32" s="10" t="str">
        <f>IF(N9="","",(N9/$O$23))</f>
        <v/>
      </c>
      <c r="O32" s="75">
        <f t="shared" ref="O32:V32" si="12">IF(O9="","",(O9/$O$23))</f>
        <v>1.0418121706631995</v>
      </c>
      <c r="P32" s="75">
        <f t="shared" si="12"/>
        <v>1.7096813552880707</v>
      </c>
      <c r="Q32" s="75">
        <f t="shared" si="12"/>
        <v>2.7155253802763155E-2</v>
      </c>
      <c r="R32" s="75">
        <f t="shared" si="12"/>
        <v>1.4819350961857405</v>
      </c>
      <c r="S32" s="75">
        <f t="shared" si="12"/>
        <v>1.3434085447317896</v>
      </c>
      <c r="T32" s="75">
        <f t="shared" si="12"/>
        <v>1.4002624574271545</v>
      </c>
      <c r="U32" s="75">
        <f t="shared" si="12"/>
        <v>1.9640452784589428</v>
      </c>
      <c r="V32" s="75">
        <f t="shared" si="12"/>
        <v>1.2546361000872204</v>
      </c>
    </row>
    <row r="33" spans="1:22">
      <c r="A33" s="145"/>
      <c r="B33" s="75">
        <f>IF(B10="","",(B10/$O$23))</f>
        <v>7.8832341777200277E-2</v>
      </c>
      <c r="C33" s="75">
        <f>IF(C10="","",(C10/$O$23))</f>
        <v>5.2568908342667357E-2</v>
      </c>
      <c r="D33" s="75">
        <f>IF(D10="","",(D10/$O$23))</f>
        <v>0.15021408111517298</v>
      </c>
      <c r="E33" s="75">
        <f>IF(E10="","",(E10/$O$23))</f>
        <v>1.4492580486397997</v>
      </c>
      <c r="F33" s="75">
        <f>IF(F10="","",(F10/$O$23))</f>
        <v>0.54129281797909867</v>
      </c>
      <c r="G33" s="75">
        <f>IF(G10="","",(G10/$O$23))</f>
        <v>1.8187347524862876</v>
      </c>
      <c r="H33" s="75">
        <f>IF(H10="","",(H10/$O$23))</f>
        <v>1.9324117752131902</v>
      </c>
      <c r="I33" s="10">
        <f>IF(I10="","",(I10/$O$23))</f>
        <v>0.68034103752009001</v>
      </c>
      <c r="J33" s="10">
        <f>IF(J10="","",(J10/$O$23))</f>
        <v>0.90310111541544802</v>
      </c>
      <c r="K33" s="10">
        <f>IF(K10="","",(K10/$O$23))</f>
        <v>0.3485761598724853</v>
      </c>
      <c r="L33" s="10">
        <f>IF(L10="","",(L10/$O$23))</f>
        <v>0.13678110185811346</v>
      </c>
      <c r="M33" s="10">
        <f>IF(M10="","",(M10/$O$23))</f>
        <v>0.30523150465237292</v>
      </c>
      <c r="N33" s="10" t="str">
        <f>IF(N10="","",(N10/$O$23))</f>
        <v/>
      </c>
      <c r="O33" s="75">
        <f t="shared" ref="O33:V33" si="13">IF(O10="","",(O10/$O$23))</f>
        <v>1.1769763407965101</v>
      </c>
      <c r="P33" s="75">
        <f t="shared" si="13"/>
        <v>1.4126184881438621</v>
      </c>
      <c r="Q33" s="75">
        <f t="shared" si="13"/>
        <v>4.8303988159289525E-3</v>
      </c>
      <c r="R33" s="75">
        <f t="shared" si="13"/>
        <v>1.4916543772536479</v>
      </c>
      <c r="S33" s="75">
        <f t="shared" si="13"/>
        <v>1.6574163110615332</v>
      </c>
      <c r="T33" s="75">
        <f t="shared" si="13"/>
        <v>2.1415592610212011</v>
      </c>
      <c r="U33" s="75">
        <f t="shared" si="13"/>
        <v>2.004156278355556</v>
      </c>
      <c r="V33" s="75">
        <f t="shared" si="13"/>
        <v>1.4729516449689131</v>
      </c>
    </row>
    <row r="34" spans="1:22">
      <c r="A34" s="145"/>
      <c r="B34" s="75">
        <f>IF(B11="","",(B11/$O$23))</f>
        <v>0.37475592661202906</v>
      </c>
      <c r="C34" s="75">
        <f>IF(C11="","",(C11/$O$23))</f>
        <v>0.12007346643448812</v>
      </c>
      <c r="D34" s="75">
        <f>IF(D11="","",(D11/$O$23))</f>
        <v>0.70679344945972289</v>
      </c>
      <c r="E34" s="75">
        <f>IF(E11="","",(E11/$O$23))</f>
        <v>0.98976597103810748</v>
      </c>
      <c r="F34" s="75">
        <f>IF(F11="","",(F11/$O$23))</f>
        <v>1.0370378618330904</v>
      </c>
      <c r="G34" s="75">
        <f>IF(G11="","",(G11/$O$23))</f>
        <v>1.5226877488700443</v>
      </c>
      <c r="H34" s="75">
        <f>IF(H11="","",(H11/$O$23))</f>
        <v>1.6967360154995674</v>
      </c>
      <c r="I34" s="10">
        <f>IF(I11="","",(I11/$O$23))</f>
        <v>0.80284853877522055</v>
      </c>
      <c r="J34" s="10">
        <f>IF(J11="","",(J11/$O$23))</f>
        <v>0.74159577674666322</v>
      </c>
      <c r="K34" s="10">
        <f>IF(K11="","",(K11/$O$23))</f>
        <v>0.21562041585989616</v>
      </c>
      <c r="L34" s="10">
        <f>IF(L11="","",(L11/$O$23))</f>
        <v>5.9315940477390298E-5</v>
      </c>
      <c r="M34" s="10">
        <f>IF(M11="","",(M11/$O$23))</f>
        <v>0.16687853037160863</v>
      </c>
      <c r="N34" s="10" t="str">
        <f>IF(N11="","",(N11/$O$23))</f>
        <v/>
      </c>
      <c r="O34" s="75">
        <f t="shared" ref="O34:V34" si="14">IF(O11="","",(O11/$O$23))</f>
        <v>0.88770134444782245</v>
      </c>
      <c r="P34" s="75">
        <f t="shared" si="14"/>
        <v>1.2557659126587346</v>
      </c>
      <c r="Q34" s="75">
        <f t="shared" si="14"/>
        <v>5.0006563777097564E-2</v>
      </c>
      <c r="R34" s="75">
        <f t="shared" si="14"/>
        <v>1.0148433978522531</v>
      </c>
      <c r="S34" s="75">
        <f t="shared" si="14"/>
        <v>1.6824118402525985</v>
      </c>
      <c r="T34" s="75">
        <f t="shared" si="14"/>
        <v>1.3192153416829713</v>
      </c>
      <c r="U34" s="75">
        <f t="shared" si="14"/>
        <v>1.1950531338146284</v>
      </c>
      <c r="V34" s="75">
        <f t="shared" si="14"/>
        <v>0.28804434667836198</v>
      </c>
    </row>
    <row r="35" spans="1:22">
      <c r="A35" s="145"/>
      <c r="B35" s="75">
        <f>IF(B12="","",(B12/$O$23))</f>
        <v>9.017167646151486E-2</v>
      </c>
      <c r="C35" s="75">
        <f>IF(C12="","",(C12/$O$23))</f>
        <v>4.2201418514700752E-2</v>
      </c>
      <c r="D35" s="75">
        <f>IF(D12="","",(D12/$O$23))</f>
        <v>0.34496433941267957</v>
      </c>
      <c r="E35" s="75">
        <f>IF(E12="","",(E12/$O$23))</f>
        <v>1.1965246894537351</v>
      </c>
      <c r="F35" s="75">
        <f>IF(F12="","",(F12/$O$23))</f>
        <v>1.3184325793947766</v>
      </c>
      <c r="G35" s="75">
        <f>IF(G12="","",(G12/$O$23))</f>
        <v>1.750750463717974</v>
      </c>
      <c r="H35" s="75">
        <f>IF(H12="","",(H12/$O$23))</f>
        <v>1.5891914285135993</v>
      </c>
      <c r="I35" s="10">
        <f>IF(I12="","",(I12/$O$23))</f>
        <v>0.5166671288800625</v>
      </c>
      <c r="J35" s="10">
        <f>IF(J12="","",(J12/$O$23))</f>
        <v>0.49501191964230201</v>
      </c>
      <c r="K35" s="10">
        <f>IF(K12="","",(K12/$O$23))</f>
        <v>0.21354633514120341</v>
      </c>
      <c r="L35" s="10">
        <f>IF(L12="","",(L12/$O$23))</f>
        <v>0.22949087619373981</v>
      </c>
      <c r="M35" s="10">
        <f>IF(M12="","",(M12/$O$23))</f>
        <v>0.1996508996745272</v>
      </c>
      <c r="N35" s="10" t="str">
        <f>IF(N12="","",(N12/$O$23))</f>
        <v/>
      </c>
      <c r="O35" s="75">
        <f t="shared" ref="O35:V35" si="15">IF(O12="","",(O12/$O$23))</f>
        <v>1.171553615080235</v>
      </c>
      <c r="P35" s="75">
        <f t="shared" si="15"/>
        <v>1.2298401638327088</v>
      </c>
      <c r="Q35" s="75">
        <f t="shared" si="15"/>
        <v>0.26659154007959884</v>
      </c>
      <c r="R35" s="75">
        <f t="shared" si="15"/>
        <v>0.42421990562833872</v>
      </c>
      <c r="S35" s="75">
        <f t="shared" si="15"/>
        <v>1.3163922151054077</v>
      </c>
      <c r="T35" s="75">
        <f t="shared" si="15"/>
        <v>1.6511614971697191</v>
      </c>
      <c r="U35" s="75">
        <f t="shared" si="15"/>
        <v>1.2626905804257291</v>
      </c>
      <c r="V35" s="75">
        <f t="shared" si="15"/>
        <v>1.8465821296576737</v>
      </c>
    </row>
    <row r="36" spans="1:22" s="1" customFormat="1">
      <c r="A36" s="145"/>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ref="O36:V36" si="16">IF(O13="","",(O13/$O$23))</f>
        <v>0.44873882603451554</v>
      </c>
      <c r="P36" s="10" t="str">
        <f t="shared" si="16"/>
        <v/>
      </c>
      <c r="Q36" s="10" t="str">
        <f t="shared" si="16"/>
        <v/>
      </c>
      <c r="R36" s="10" t="str">
        <f t="shared" si="16"/>
        <v/>
      </c>
      <c r="S36" s="10" t="str">
        <f t="shared" si="16"/>
        <v/>
      </c>
      <c r="T36" s="10" t="str">
        <f t="shared" si="16"/>
        <v/>
      </c>
      <c r="U36" s="10" t="str">
        <f t="shared" si="16"/>
        <v/>
      </c>
      <c r="V36" s="10" t="str">
        <f t="shared" si="16"/>
        <v/>
      </c>
    </row>
    <row r="37" spans="1:22" s="1" customFormat="1">
      <c r="A37" s="145"/>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ref="O37:V37" si="17">IF(O14="","",(O14/$O$23))</f>
        <v>1.1308492476527408</v>
      </c>
      <c r="P37" s="10" t="str">
        <f t="shared" si="17"/>
        <v/>
      </c>
      <c r="Q37" s="10" t="str">
        <f t="shared" si="17"/>
        <v/>
      </c>
      <c r="R37" s="10" t="str">
        <f t="shared" si="17"/>
        <v/>
      </c>
      <c r="S37" s="10" t="str">
        <f t="shared" si="17"/>
        <v/>
      </c>
      <c r="T37" s="10" t="str">
        <f t="shared" si="17"/>
        <v/>
      </c>
      <c r="U37" s="10" t="str">
        <f t="shared" si="17"/>
        <v/>
      </c>
      <c r="V37" s="10" t="str">
        <f t="shared" si="17"/>
        <v/>
      </c>
    </row>
    <row r="38" spans="1:22" s="1" customFormat="1">
      <c r="A38" s="145"/>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R38" si="18">IF(O15="","",(O15/$O$23))</f>
        <v>1.773800846313595</v>
      </c>
      <c r="P38" s="10" t="str">
        <f t="shared" si="18"/>
        <v/>
      </c>
      <c r="Q38" s="10" t="str">
        <f t="shared" si="18"/>
        <v/>
      </c>
      <c r="R38" s="10" t="str">
        <f t="shared" si="18"/>
        <v/>
      </c>
      <c r="S38" s="10" t="str">
        <f t="shared" ref="S38:V38" si="19">IF(S15="","",(S15/$O$23))</f>
        <v/>
      </c>
      <c r="T38" s="10" t="str">
        <f t="shared" si="19"/>
        <v/>
      </c>
      <c r="U38" s="10" t="str">
        <f t="shared" si="19"/>
        <v/>
      </c>
      <c r="V38" s="10" t="str">
        <f t="shared" si="19"/>
        <v/>
      </c>
    </row>
    <row r="39" spans="1:22" s="1" customFormat="1">
      <c r="A39" s="145"/>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R39" si="20">IF(O16="","",(O16/$O$23))</f>
        <v>1.1766037950650907</v>
      </c>
      <c r="P39" s="10" t="str">
        <f t="shared" si="20"/>
        <v/>
      </c>
      <c r="Q39" s="10" t="str">
        <f t="shared" si="20"/>
        <v/>
      </c>
      <c r="R39" s="10" t="str">
        <f t="shared" si="20"/>
        <v/>
      </c>
      <c r="S39" s="10" t="str">
        <f t="shared" ref="S39:V39" si="21">IF(S16="","",(S16/$O$23))</f>
        <v/>
      </c>
      <c r="T39" s="10" t="str">
        <f t="shared" si="21"/>
        <v/>
      </c>
      <c r="U39" s="10" t="str">
        <f t="shared" si="21"/>
        <v/>
      </c>
      <c r="V39" s="10" t="str">
        <f t="shared" si="21"/>
        <v/>
      </c>
    </row>
    <row r="40" spans="1:22" s="1" customFormat="1">
      <c r="A40" s="145"/>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R40" si="22">IF(O17="","",(O17/$O$23))</f>
        <v>0.80637742098141141</v>
      </c>
      <c r="P40" s="10" t="str">
        <f t="shared" si="22"/>
        <v/>
      </c>
      <c r="Q40" s="10" t="str">
        <f t="shared" si="22"/>
        <v/>
      </c>
      <c r="R40" s="10" t="str">
        <f t="shared" si="22"/>
        <v/>
      </c>
      <c r="S40" s="10" t="str">
        <f t="shared" ref="S40:V40" si="23">IF(S17="","",(S17/$O$23))</f>
        <v/>
      </c>
      <c r="T40" s="10" t="str">
        <f t="shared" si="23"/>
        <v/>
      </c>
      <c r="U40" s="10" t="str">
        <f t="shared" si="23"/>
        <v/>
      </c>
      <c r="V40" s="10" t="str">
        <f t="shared" si="23"/>
        <v/>
      </c>
    </row>
    <row r="41" spans="1:22" s="1" customFormat="1">
      <c r="A41" s="145"/>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R41" si="24">IF(O18="","",(O18/$O$23))</f>
        <v>0.81632616108221834</v>
      </c>
      <c r="P41" s="10" t="str">
        <f t="shared" si="24"/>
        <v/>
      </c>
      <c r="Q41" s="10" t="str">
        <f t="shared" si="24"/>
        <v/>
      </c>
      <c r="R41" s="10" t="str">
        <f t="shared" si="24"/>
        <v/>
      </c>
      <c r="S41" s="10" t="str">
        <f t="shared" ref="S41:V41" si="25">IF(S18="","",(S18/$O$23))</f>
        <v/>
      </c>
      <c r="T41" s="10" t="str">
        <f t="shared" si="25"/>
        <v/>
      </c>
      <c r="U41" s="10" t="str">
        <f t="shared" si="25"/>
        <v/>
      </c>
      <c r="V41" s="10" t="str">
        <f t="shared" si="25"/>
        <v/>
      </c>
    </row>
    <row r="42" spans="1:22" s="1" customFormat="1">
      <c r="A42" s="145"/>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R42" si="26">IF(O19="","",(O19/$O$23))</f>
        <v>0.46017181746695229</v>
      </c>
      <c r="P42" s="10" t="str">
        <f t="shared" si="26"/>
        <v/>
      </c>
      <c r="Q42" s="10" t="str">
        <f t="shared" si="26"/>
        <v/>
      </c>
      <c r="R42" s="10" t="str">
        <f t="shared" si="26"/>
        <v/>
      </c>
      <c r="S42" s="10" t="str">
        <f t="shared" ref="S42:V42" si="27">IF(S19="","",(S19/$O$23))</f>
        <v/>
      </c>
      <c r="T42" s="10" t="str">
        <f t="shared" si="27"/>
        <v/>
      </c>
      <c r="U42" s="10" t="str">
        <f t="shared" si="27"/>
        <v/>
      </c>
      <c r="V42" s="10" t="str">
        <f t="shared" si="27"/>
        <v/>
      </c>
    </row>
    <row r="43" spans="1:22" s="1" customFormat="1">
      <c r="A43" s="145"/>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R43" si="28">IF(O20="","",(O20/$O$23))</f>
        <v>0.60078889160204396</v>
      </c>
      <c r="P43" s="10" t="str">
        <f t="shared" si="28"/>
        <v/>
      </c>
      <c r="Q43" s="10" t="str">
        <f t="shared" si="28"/>
        <v/>
      </c>
      <c r="R43" s="10" t="str">
        <f t="shared" si="28"/>
        <v/>
      </c>
      <c r="S43" s="10" t="str">
        <f t="shared" ref="S43:V43" si="29">IF(S20="","",(S20/$O$23))</f>
        <v/>
      </c>
      <c r="T43" s="10" t="str">
        <f t="shared" si="29"/>
        <v/>
      </c>
      <c r="U43" s="10" t="str">
        <f t="shared" si="29"/>
        <v/>
      </c>
      <c r="V43" s="10" t="str">
        <f t="shared" si="29"/>
        <v/>
      </c>
    </row>
    <row r="44" spans="1:22">
      <c r="A44" s="6"/>
      <c r="B44" s="3"/>
      <c r="C44" s="3"/>
      <c r="D44" s="3"/>
      <c r="E44" s="3"/>
      <c r="F44" s="3"/>
      <c r="G44" s="3"/>
      <c r="H44" s="3"/>
      <c r="I44" s="3"/>
      <c r="J44" s="3"/>
      <c r="O44" s="3"/>
      <c r="P44" s="3"/>
      <c r="Q44" s="3"/>
      <c r="R44" s="3"/>
      <c r="S44" s="3"/>
      <c r="T44" s="3"/>
      <c r="U44" s="3"/>
      <c r="V44" s="3"/>
    </row>
    <row r="45" spans="1:22" s="50" customFormat="1">
      <c r="A45" s="51" t="str">
        <f t="shared" ref="A45:N45" si="30">A4</f>
        <v>Noms des groupes</v>
      </c>
      <c r="B45" s="51" t="str">
        <f t="shared" si="30"/>
        <v>Solvent control</v>
      </c>
      <c r="C45" s="51" t="str">
        <f t="shared" si="30"/>
        <v>EE2-33.8ng/L</v>
      </c>
      <c r="D45" s="51" t="str">
        <f t="shared" si="30"/>
        <v>EE2-50.6ng/L</v>
      </c>
      <c r="E45" s="51" t="str">
        <f t="shared" si="30"/>
        <v>EE2-76ng/L</v>
      </c>
      <c r="F45" s="51" t="str">
        <f t="shared" si="30"/>
        <v>EE2-114ng/L</v>
      </c>
      <c r="G45" s="51" t="str">
        <f t="shared" si="30"/>
        <v>EE2-170.9ng/L</v>
      </c>
      <c r="H45" s="51" t="str">
        <f t="shared" si="30"/>
        <v>EE2-488ng/L</v>
      </c>
      <c r="I45" s="51" t="str">
        <f t="shared" si="30"/>
        <v>BPA-5mg/L</v>
      </c>
      <c r="J45" s="51" t="str">
        <f t="shared" si="30"/>
        <v>BPA-4mg/L</v>
      </c>
      <c r="K45" s="51" t="str">
        <f t="shared" si="30"/>
        <v>BPA-3mg/L</v>
      </c>
      <c r="L45" s="51" t="str">
        <f t="shared" si="30"/>
        <v>BPA-2mg/L</v>
      </c>
      <c r="M45" s="51" t="str">
        <f t="shared" si="30"/>
        <v>BPA-1mg/L</v>
      </c>
      <c r="N45" s="51" t="str">
        <f t="shared" si="30"/>
        <v/>
      </c>
      <c r="O45" s="51" t="str">
        <f t="shared" ref="O45:V45" si="31">O4</f>
        <v>Testo -30µg/L</v>
      </c>
      <c r="P45" s="51" t="str">
        <f t="shared" si="31"/>
        <v>Testo 30µg/L + EE2 -64ng/L</v>
      </c>
      <c r="Q45" s="51" t="str">
        <f t="shared" si="31"/>
        <v>Testo 30µg/L + FAD-10mg/L</v>
      </c>
      <c r="R45" s="51" t="str">
        <f t="shared" si="31"/>
        <v>BPA-5mg/L + Testostérone</v>
      </c>
      <c r="S45" s="51" t="str">
        <f t="shared" si="31"/>
        <v>BPA-4mg/L + Testostérone</v>
      </c>
      <c r="T45" s="51" t="str">
        <f t="shared" si="31"/>
        <v>BPA-3mg/L + Testostérone</v>
      </c>
      <c r="U45" s="51" t="str">
        <f t="shared" si="31"/>
        <v>BPA-2mg/L + Testostérone</v>
      </c>
      <c r="V45" s="51" t="str">
        <f t="shared" si="31"/>
        <v>BPA-1mg/L + Testostérone</v>
      </c>
    </row>
    <row r="46" spans="1:22">
      <c r="A46" s="7" t="s">
        <v>0</v>
      </c>
      <c r="B46" s="9">
        <f t="shared" ref="B46:H46" si="32">AVERAGE(B28:B43)</f>
        <v>0.19738807459260485</v>
      </c>
      <c r="C46" s="9">
        <f t="shared" si="32"/>
        <v>0.16875379862664866</v>
      </c>
      <c r="D46" s="9">
        <f t="shared" si="32"/>
        <v>0.47180964401226133</v>
      </c>
      <c r="E46" s="9">
        <f t="shared" si="32"/>
        <v>1.0301660841130214</v>
      </c>
      <c r="F46" s="9">
        <f t="shared" si="32"/>
        <v>1.2045828119991153</v>
      </c>
      <c r="G46" s="9">
        <f t="shared" si="32"/>
        <v>1.3969706828882928</v>
      </c>
      <c r="H46" s="9">
        <f t="shared" si="32"/>
        <v>1.8475594508322104</v>
      </c>
      <c r="I46" s="9">
        <f>AVERAGE(I28:I43)</f>
        <v>0.90200353637474606</v>
      </c>
      <c r="J46" s="8">
        <f>AVERAGE(J28:J43)</f>
        <v>0.78138414215387741</v>
      </c>
      <c r="K46" s="8">
        <f>AVERAGE(K28:K43)</f>
        <v>0.22847395902735801</v>
      </c>
      <c r="L46" s="8">
        <f t="shared" ref="L46:N46" si="33">AVERAGE(L28:L43)</f>
        <v>0.13996656297997456</v>
      </c>
      <c r="M46" s="8">
        <f t="shared" si="33"/>
        <v>0.17098250403491483</v>
      </c>
      <c r="N46" s="8" t="e">
        <f t="shared" si="33"/>
        <v>#DIV/0!</v>
      </c>
      <c r="O46" s="9">
        <f>AVERAGE(O28:O43)</f>
        <v>0.99999999999999989</v>
      </c>
      <c r="P46" s="9">
        <f>AVERAGE(P28:P43)</f>
        <v>1.450170915760594</v>
      </c>
      <c r="Q46" s="9">
        <f>AVERAGE(Q28:Q43)</f>
        <v>0.10237343370145466</v>
      </c>
      <c r="R46" s="9">
        <f>AVERAGE(R28:R43)</f>
        <v>1.1859972417047049</v>
      </c>
      <c r="S46" s="9">
        <f t="shared" ref="S46:V46" si="34">AVERAGE(S28:S43)</f>
        <v>1.3419033246948859</v>
      </c>
      <c r="T46" s="9">
        <f t="shared" si="34"/>
        <v>1.6269051538632082</v>
      </c>
      <c r="U46" s="9">
        <f t="shared" si="34"/>
        <v>1.5010024263861861</v>
      </c>
      <c r="V46" s="9">
        <f t="shared" si="34"/>
        <v>1.1185893581895567</v>
      </c>
    </row>
    <row r="47" spans="1:22">
      <c r="A47" s="7" t="s">
        <v>1</v>
      </c>
      <c r="B47" s="7">
        <f t="shared" ref="B47:K47" si="35">STDEV(B28:B43)</f>
        <v>0.10742219356700812</v>
      </c>
      <c r="C47" s="7">
        <f t="shared" si="35"/>
        <v>0.19959894741275491</v>
      </c>
      <c r="D47" s="7">
        <f t="shared" si="35"/>
        <v>0.18385256186924578</v>
      </c>
      <c r="E47" s="7">
        <f t="shared" si="35"/>
        <v>0.31103456088844078</v>
      </c>
      <c r="F47" s="7">
        <f t="shared" si="35"/>
        <v>0.36919340054584038</v>
      </c>
      <c r="G47" s="7">
        <f t="shared" si="35"/>
        <v>0.46747653940648898</v>
      </c>
      <c r="H47" s="7">
        <f t="shared" si="35"/>
        <v>0.4329414996387615</v>
      </c>
      <c r="I47" s="7">
        <f>STDEV(I28:I43)</f>
        <v>0.27084281174417618</v>
      </c>
      <c r="J47" s="7">
        <f t="shared" si="35"/>
        <v>0.29337784330980388</v>
      </c>
      <c r="K47" s="7">
        <f t="shared" si="35"/>
        <v>0.11195714378566624</v>
      </c>
      <c r="L47" s="7">
        <f t="shared" ref="L47:N47" si="36">STDEV(L28:L43)</f>
        <v>0.12735413614541805</v>
      </c>
      <c r="M47" s="7">
        <f t="shared" si="36"/>
        <v>0.10980493698860176</v>
      </c>
      <c r="N47" s="7" t="e">
        <f t="shared" si="36"/>
        <v>#DIV/0!</v>
      </c>
      <c r="O47" s="7">
        <f>STDEV(O28:O43)</f>
        <v>0.3680905817335548</v>
      </c>
      <c r="P47" s="7">
        <f>STDEV(P28:P43)</f>
        <v>0.30558057189028698</v>
      </c>
      <c r="Q47" s="7">
        <f>STDEV(Q28:Q43)</f>
        <v>0.10239701890482746</v>
      </c>
      <c r="R47" s="7">
        <f>STDEV(R28:R43)</f>
        <v>0.35018686076292976</v>
      </c>
      <c r="S47" s="7">
        <f t="shared" ref="S47:V47" si="37">STDEV(S28:S43)</f>
        <v>0.25332192827263356</v>
      </c>
      <c r="T47" s="7">
        <f t="shared" si="37"/>
        <v>0.36021790876734183</v>
      </c>
      <c r="U47" s="7">
        <f t="shared" si="37"/>
        <v>0.44548807441271387</v>
      </c>
      <c r="V47" s="7">
        <f t="shared" si="37"/>
        <v>0.49384801293557601</v>
      </c>
    </row>
    <row r="48" spans="1:22">
      <c r="A48" s="7" t="s">
        <v>2</v>
      </c>
      <c r="B48" s="7">
        <f t="shared" ref="B48:K48" si="38" xml:space="preserve"> B47/SQRT(COUNT(B28:B43))</f>
        <v>3.7979480760582676E-2</v>
      </c>
      <c r="C48" s="7">
        <f t="shared" si="38"/>
        <v>7.0568884616628039E-2</v>
      </c>
      <c r="D48" s="7">
        <f t="shared" si="38"/>
        <v>6.5001696618131474E-2</v>
      </c>
      <c r="E48" s="7">
        <f t="shared" si="38"/>
        <v>0.10996732359379828</v>
      </c>
      <c r="F48" s="7">
        <f t="shared" si="38"/>
        <v>0.13052957854764247</v>
      </c>
      <c r="G48" s="7">
        <f t="shared" si="38"/>
        <v>0.16527791552997431</v>
      </c>
      <c r="H48" s="7">
        <f t="shared" si="38"/>
        <v>0.15306793512582073</v>
      </c>
      <c r="I48" s="7">
        <f xml:space="preserve"> I47/SQRT(COUNT(I28:I43))</f>
        <v>9.5757394409969235E-2</v>
      </c>
      <c r="J48" s="7">
        <f t="shared" si="38"/>
        <v>0.10372473122712335</v>
      </c>
      <c r="K48" s="7">
        <f t="shared" si="38"/>
        <v>3.9582827786560963E-2</v>
      </c>
      <c r="L48" s="7">
        <f t="shared" ref="L48:N48" si="39" xml:space="preserve"> L47/SQRT(COUNT(L28:L43))</f>
        <v>4.5026486640289951E-2</v>
      </c>
      <c r="M48" s="7">
        <f t="shared" si="39"/>
        <v>3.8821907776200933E-2</v>
      </c>
      <c r="N48" s="7" t="e">
        <f t="shared" si="39"/>
        <v>#DIV/0!</v>
      </c>
      <c r="O48" s="7">
        <f xml:space="preserve"> O47/SQRT(COUNT(O28:O43))</f>
        <v>9.20226454333887E-2</v>
      </c>
      <c r="P48" s="7">
        <f xml:space="preserve"> P47/SQRT(COUNT(P28:P43))</f>
        <v>0.1080390472912426</v>
      </c>
      <c r="Q48" s="7">
        <f xml:space="preserve"> Q47/SQRT(COUNT(Q28:Q43))</f>
        <v>3.6202813220445294E-2</v>
      </c>
      <c r="R48" s="7">
        <f xml:space="preserve"> R47/SQRT(COUNT(R28:R43))</f>
        <v>0.12380975196394847</v>
      </c>
      <c r="S48" s="7">
        <f t="shared" ref="S48:V48" si="40" xml:space="preserve"> S47/SQRT(COUNT(S28:S43))</f>
        <v>8.9562826652415689E-2</v>
      </c>
      <c r="T48" s="7">
        <f t="shared" si="40"/>
        <v>0.12735626299711225</v>
      </c>
      <c r="U48" s="7">
        <f t="shared" si="40"/>
        <v>0.15750381917748363</v>
      </c>
      <c r="V48" s="7">
        <f t="shared" si="40"/>
        <v>0.1746016394111238</v>
      </c>
    </row>
    <row r="49" spans="1:22" s="1" customFormat="1"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19</v>
      </c>
      <c r="B50" s="141"/>
      <c r="C50" s="141"/>
      <c r="D50" s="141"/>
      <c r="E50" s="141"/>
      <c r="F50" s="141"/>
      <c r="G50" s="141"/>
      <c r="H50" s="141"/>
      <c r="I50" s="141"/>
      <c r="J50" s="141"/>
      <c r="K50" s="141"/>
      <c r="L50" s="141"/>
      <c r="M50" s="141"/>
      <c r="N50" s="141"/>
      <c r="O50" s="141"/>
      <c r="P50" s="141"/>
      <c r="Q50" s="141"/>
      <c r="R50" s="141"/>
      <c r="S50" s="141"/>
      <c r="T50" s="141"/>
      <c r="U50" s="141"/>
      <c r="V50" s="141"/>
    </row>
    <row r="51" spans="1:22" ht="15.75" thickBot="1">
      <c r="A51"/>
      <c r="B51"/>
      <c r="C51"/>
      <c r="D51"/>
      <c r="E51"/>
      <c r="F51"/>
      <c r="G51"/>
      <c r="H51"/>
      <c r="I51"/>
      <c r="J51"/>
      <c r="K51"/>
      <c r="L51"/>
      <c r="M51"/>
      <c r="N51"/>
      <c r="S51"/>
      <c r="T51"/>
      <c r="U51"/>
      <c r="V51"/>
    </row>
    <row r="52" spans="1:22">
      <c r="A52" s="28" t="str">
        <f t="shared" ref="A52:H52" si="41">A27</f>
        <v>Noms des groupes</v>
      </c>
      <c r="B52" s="29" t="str">
        <f t="shared" si="41"/>
        <v>Solvent control</v>
      </c>
      <c r="C52" s="29" t="str">
        <f t="shared" si="41"/>
        <v>EE2-33.8ng/L</v>
      </c>
      <c r="D52" s="29" t="str">
        <f t="shared" si="41"/>
        <v>EE2-50.6ng/L</v>
      </c>
      <c r="E52" s="29" t="str">
        <f t="shared" si="41"/>
        <v>EE2-76ng/L</v>
      </c>
      <c r="F52" s="29" t="str">
        <f t="shared" si="41"/>
        <v>EE2-114ng/L</v>
      </c>
      <c r="G52" s="29" t="str">
        <f t="shared" si="41"/>
        <v>EE2-170.9ng/L</v>
      </c>
      <c r="H52" s="29" t="str">
        <f t="shared" si="41"/>
        <v>EE2-488ng/L</v>
      </c>
      <c r="I52" s="29" t="str">
        <f>I4</f>
        <v>BPA-5mg/L</v>
      </c>
      <c r="J52" s="29" t="str">
        <f>J4</f>
        <v>BPA-4mg/L</v>
      </c>
      <c r="K52" s="29" t="str">
        <f>K27</f>
        <v>BPA-3mg/L</v>
      </c>
      <c r="L52" s="29" t="str">
        <f t="shared" ref="L52:N52" si="42">L27</f>
        <v>BPA-2mg/L</v>
      </c>
      <c r="M52" s="29" t="str">
        <f t="shared" si="42"/>
        <v>BPA-1mg/L</v>
      </c>
      <c r="N52" s="29" t="str">
        <f t="shared" si="42"/>
        <v/>
      </c>
      <c r="O52" s="29" t="str">
        <f>O27</f>
        <v>Testo -30µg/L</v>
      </c>
      <c r="P52" s="29" t="str">
        <f>P27</f>
        <v>Testo 30µg/L + EE2 -64ng/L</v>
      </c>
      <c r="Q52" s="29" t="str">
        <f>Q27</f>
        <v>Testo 30µg/L + FAD-10mg/L</v>
      </c>
      <c r="R52" s="29" t="str">
        <f>R27</f>
        <v>BPA-5mg/L + Testostérone</v>
      </c>
      <c r="S52" s="29" t="str">
        <f t="shared" ref="S52:V52" si="43">S27</f>
        <v>BPA-4mg/L + Testostérone</v>
      </c>
      <c r="T52" s="29" t="str">
        <f t="shared" si="43"/>
        <v>BPA-3mg/L + Testostérone</v>
      </c>
      <c r="U52" s="29" t="str">
        <f t="shared" si="43"/>
        <v>BPA-2mg/L + Testostérone</v>
      </c>
      <c r="V52" s="29" t="str">
        <f t="shared" si="43"/>
        <v>BPA-1mg/L + Testostérone</v>
      </c>
    </row>
    <row r="53" spans="1:22" s="3" customFormat="1">
      <c r="A53" s="43" t="s">
        <v>15</v>
      </c>
      <c r="B53" s="75">
        <f t="shared" ref="B53:N53" si="44">B46</f>
        <v>0.19738807459260485</v>
      </c>
      <c r="C53" s="75">
        <f t="shared" si="44"/>
        <v>0.16875379862664866</v>
      </c>
      <c r="D53" s="75">
        <f t="shared" si="44"/>
        <v>0.47180964401226133</v>
      </c>
      <c r="E53" s="75">
        <f t="shared" si="44"/>
        <v>1.0301660841130214</v>
      </c>
      <c r="F53" s="75">
        <f t="shared" si="44"/>
        <v>1.2045828119991153</v>
      </c>
      <c r="G53" s="75">
        <f t="shared" si="44"/>
        <v>1.3969706828882928</v>
      </c>
      <c r="H53" s="75">
        <f t="shared" si="44"/>
        <v>1.8475594508322104</v>
      </c>
      <c r="I53" s="75">
        <f t="shared" si="44"/>
        <v>0.90200353637474606</v>
      </c>
      <c r="J53" s="75">
        <f t="shared" si="44"/>
        <v>0.78138414215387741</v>
      </c>
      <c r="K53" s="75">
        <f t="shared" si="44"/>
        <v>0.22847395902735801</v>
      </c>
      <c r="L53" s="75">
        <f t="shared" si="44"/>
        <v>0.13996656297997456</v>
      </c>
      <c r="M53" s="75">
        <f t="shared" si="44"/>
        <v>0.17098250403491483</v>
      </c>
      <c r="N53" s="75" t="e">
        <f t="shared" si="44"/>
        <v>#DIV/0!</v>
      </c>
      <c r="O53" s="75">
        <f t="shared" ref="O53:V53" si="45">O46</f>
        <v>0.99999999999999989</v>
      </c>
      <c r="P53" s="75">
        <f t="shared" si="45"/>
        <v>1.450170915760594</v>
      </c>
      <c r="Q53" s="75">
        <f t="shared" si="45"/>
        <v>0.10237343370145466</v>
      </c>
      <c r="R53" s="75">
        <f t="shared" si="45"/>
        <v>1.1859972417047049</v>
      </c>
      <c r="S53" s="75">
        <f t="shared" si="45"/>
        <v>1.3419033246948859</v>
      </c>
      <c r="T53" s="75">
        <f t="shared" si="45"/>
        <v>1.6269051538632082</v>
      </c>
      <c r="U53" s="75">
        <f t="shared" si="45"/>
        <v>1.5010024263861861</v>
      </c>
      <c r="V53" s="75">
        <f t="shared" si="45"/>
        <v>1.1185893581895567</v>
      </c>
    </row>
    <row r="54" spans="1:22" s="3" customFormat="1">
      <c r="A54" s="43" t="s">
        <v>2</v>
      </c>
      <c r="B54" s="75">
        <f t="shared" ref="B54:N54" si="46">B48</f>
        <v>3.7979480760582676E-2</v>
      </c>
      <c r="C54" s="75">
        <f t="shared" si="46"/>
        <v>7.0568884616628039E-2</v>
      </c>
      <c r="D54" s="75">
        <f t="shared" si="46"/>
        <v>6.5001696618131474E-2</v>
      </c>
      <c r="E54" s="75">
        <f t="shared" si="46"/>
        <v>0.10996732359379828</v>
      </c>
      <c r="F54" s="75">
        <f t="shared" si="46"/>
        <v>0.13052957854764247</v>
      </c>
      <c r="G54" s="75">
        <f t="shared" si="46"/>
        <v>0.16527791552997431</v>
      </c>
      <c r="H54" s="75">
        <f t="shared" si="46"/>
        <v>0.15306793512582073</v>
      </c>
      <c r="I54" s="75">
        <f t="shared" si="46"/>
        <v>9.5757394409969235E-2</v>
      </c>
      <c r="J54" s="75">
        <f t="shared" si="46"/>
        <v>0.10372473122712335</v>
      </c>
      <c r="K54" s="75">
        <f t="shared" si="46"/>
        <v>3.9582827786560963E-2</v>
      </c>
      <c r="L54" s="75">
        <f t="shared" si="46"/>
        <v>4.5026486640289951E-2</v>
      </c>
      <c r="M54" s="75">
        <f t="shared" si="46"/>
        <v>3.8821907776200933E-2</v>
      </c>
      <c r="N54" s="75" t="e">
        <f t="shared" si="46"/>
        <v>#DIV/0!</v>
      </c>
      <c r="O54" s="75">
        <f t="shared" ref="O54:V54" si="47">O48</f>
        <v>9.20226454333887E-2</v>
      </c>
      <c r="P54" s="75">
        <f t="shared" si="47"/>
        <v>0.1080390472912426</v>
      </c>
      <c r="Q54" s="75">
        <f t="shared" si="47"/>
        <v>3.6202813220445294E-2</v>
      </c>
      <c r="R54" s="75">
        <f t="shared" si="47"/>
        <v>0.12380975196394847</v>
      </c>
      <c r="S54" s="75">
        <f t="shared" si="47"/>
        <v>8.9562826652415689E-2</v>
      </c>
      <c r="T54" s="75">
        <f t="shared" si="47"/>
        <v>0.12735626299711225</v>
      </c>
      <c r="U54" s="75">
        <f t="shared" si="47"/>
        <v>0.15750381917748363</v>
      </c>
      <c r="V54" s="75">
        <f t="shared" si="47"/>
        <v>0.1746016394111238</v>
      </c>
    </row>
    <row r="55" spans="1:22" s="3" customFormat="1">
      <c r="A55" s="43" t="s">
        <v>42</v>
      </c>
      <c r="B55" s="75">
        <f t="shared" ref="B55:N55" si="48">(B53*100/$B$53)-100</f>
        <v>0</v>
      </c>
      <c r="C55" s="75">
        <f t="shared" si="48"/>
        <v>-14.506588619933268</v>
      </c>
      <c r="D55" s="75">
        <f t="shared" si="48"/>
        <v>139.02641787556993</v>
      </c>
      <c r="E55" s="75">
        <f t="shared" si="48"/>
        <v>421.89884634074872</v>
      </c>
      <c r="F55" s="75">
        <f t="shared" si="48"/>
        <v>510.26118952996012</v>
      </c>
      <c r="G55" s="75">
        <f t="shared" si="48"/>
        <v>607.72800523615342</v>
      </c>
      <c r="H55" s="75">
        <f t="shared" si="48"/>
        <v>836.00358311688467</v>
      </c>
      <c r="I55" s="75">
        <f t="shared" si="48"/>
        <v>356.9696210049255</v>
      </c>
      <c r="J55" s="75">
        <f t="shared" si="48"/>
        <v>295.86187958244159</v>
      </c>
      <c r="K55" s="75">
        <f t="shared" si="48"/>
        <v>15.748613232543178</v>
      </c>
      <c r="L55" s="75">
        <f t="shared" si="48"/>
        <v>-29.090669094951281</v>
      </c>
      <c r="M55" s="75">
        <f t="shared" si="48"/>
        <v>-13.377490313023856</v>
      </c>
      <c r="N55" s="75" t="e">
        <f t="shared" si="48"/>
        <v>#DIV/0!</v>
      </c>
      <c r="O55" s="75">
        <f>(O53*100/$O$53)-100</f>
        <v>0</v>
      </c>
      <c r="P55" s="75">
        <f t="shared" ref="P55:V55" si="49">(P53*100/$O$53)-100</f>
        <v>45.017091576059414</v>
      </c>
      <c r="Q55" s="75">
        <f t="shared" si="49"/>
        <v>-89.762656629854533</v>
      </c>
      <c r="R55" s="75">
        <f t="shared" si="49"/>
        <v>18.599724170470509</v>
      </c>
      <c r="S55" s="75">
        <f t="shared" si="49"/>
        <v>34.190332469488624</v>
      </c>
      <c r="T55" s="75">
        <f t="shared" si="49"/>
        <v>62.69051538632084</v>
      </c>
      <c r="U55" s="75">
        <f t="shared" si="49"/>
        <v>50.100242638618624</v>
      </c>
      <c r="V55" s="75">
        <f t="shared" si="49"/>
        <v>11.858935818955686</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t="shared" ref="B57:N57" ca="1" si="50">IF(B56&gt;0.05,"Oui","Non")</f>
        <v>#NAME?</v>
      </c>
      <c r="C57" s="75" t="e">
        <f t="shared" ca="1" si="50"/>
        <v>#NAME?</v>
      </c>
      <c r="D57" s="75" t="e">
        <f t="shared" ca="1" si="50"/>
        <v>#NAME?</v>
      </c>
      <c r="E57" s="75" t="e">
        <f t="shared" ca="1" si="50"/>
        <v>#NAME?</v>
      </c>
      <c r="F57" s="75" t="e">
        <f t="shared" ca="1" si="50"/>
        <v>#NAME?</v>
      </c>
      <c r="G57" s="75" t="e">
        <f t="shared" ca="1" si="50"/>
        <v>#NAME?</v>
      </c>
      <c r="H57" s="75" t="e">
        <f t="shared" ca="1" si="50"/>
        <v>#NAME?</v>
      </c>
      <c r="I57" s="75" t="e">
        <f t="shared" ca="1" si="50"/>
        <v>#NAME?</v>
      </c>
      <c r="J57" s="75" t="e">
        <f t="shared" ca="1" si="50"/>
        <v>#NAME?</v>
      </c>
      <c r="K57" s="75" t="e">
        <f t="shared" ca="1" si="50"/>
        <v>#NAME?</v>
      </c>
      <c r="L57" s="75" t="e">
        <f t="shared" ca="1" si="50"/>
        <v>#NAME?</v>
      </c>
      <c r="M57" s="75" t="e">
        <f t="shared" ca="1" si="50"/>
        <v>#NAME?</v>
      </c>
      <c r="N57" s="75" t="e">
        <f t="shared" ca="1" si="50"/>
        <v>#NAME?</v>
      </c>
      <c r="O57" s="75" t="e">
        <f t="shared" ref="O57:V57" ca="1" si="51">IF(O56&gt;0.05,"Oui","Non")</f>
        <v>#NAME?</v>
      </c>
      <c r="P57" s="75" t="e">
        <f t="shared" ca="1" si="51"/>
        <v>#NAME?</v>
      </c>
      <c r="Q57" s="75" t="e">
        <f t="shared" ca="1" si="51"/>
        <v>#NAME?</v>
      </c>
      <c r="R57" s="75" t="e">
        <f t="shared" ca="1" si="51"/>
        <v>#NAME?</v>
      </c>
      <c r="S57" s="75" t="e">
        <f t="shared" ca="1" si="51"/>
        <v>#NAME?</v>
      </c>
      <c r="T57" s="75" t="e">
        <f t="shared" ca="1" si="51"/>
        <v>#NAME?</v>
      </c>
      <c r="U57" s="75" t="e">
        <f t="shared" ca="1" si="51"/>
        <v>#NAME?</v>
      </c>
      <c r="V57" s="75" t="e">
        <f t="shared" ca="1" si="51"/>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N59" ca="1" si="52">IF($B57="Non",IF(C$57="Non","Mann Withney",IF(C$57="Oui","Mann Withney","")),IF($B$57="Oui",IF(C$57="Oui","T-Test Welch",IF(C$57="Non","Mann Withney",""))))</f>
        <v>#NAME?</v>
      </c>
      <c r="D59" s="78" t="e">
        <f t="shared" ca="1" si="52"/>
        <v>#NAME?</v>
      </c>
      <c r="E59" s="78" t="e">
        <f t="shared" ca="1" si="52"/>
        <v>#NAME?</v>
      </c>
      <c r="F59" s="78" t="e">
        <f t="shared" ca="1" si="52"/>
        <v>#NAME?</v>
      </c>
      <c r="G59" s="78" t="e">
        <f t="shared" ca="1" si="52"/>
        <v>#NAME?</v>
      </c>
      <c r="H59" s="78" t="e">
        <f t="shared" ca="1" si="52"/>
        <v>#NAME?</v>
      </c>
      <c r="I59" s="78" t="e">
        <f t="shared" ca="1" si="52"/>
        <v>#NAME?</v>
      </c>
      <c r="J59" s="78" t="e">
        <f t="shared" ca="1" si="52"/>
        <v>#NAME?</v>
      </c>
      <c r="K59" s="78" t="e">
        <f t="shared" ca="1" si="52"/>
        <v>#NAME?</v>
      </c>
      <c r="L59" s="78" t="e">
        <f t="shared" ca="1" si="52"/>
        <v>#NAME?</v>
      </c>
      <c r="M59" s="78" t="e">
        <f t="shared" ca="1" si="52"/>
        <v>#NAME?</v>
      </c>
      <c r="N59" s="78" t="e">
        <f t="shared" ca="1" si="52"/>
        <v>#NAME?</v>
      </c>
      <c r="O59" s="78" t="e">
        <f ca="1">IF($B57="Non",IF(O$57="Non","Mann Withney",IF(O$57="Oui","Mann Withney","")),IF($B$57="Oui",IF(O$57="Oui","T-Test Welch",IF(O$57="Non","Mann Withney",""))))</f>
        <v>#NAME?</v>
      </c>
      <c r="P59" s="78" t="e">
        <f ca="1">IF($O57="Non",IF(P$57="Non","Mann Withney",IF(P$57="Oui","Mann Withney","")),IF($O$57="Oui",IF(P$57="Oui","T-Test Welch",IF(P$57="Non","Mann Withney",""))))</f>
        <v>#NAME?</v>
      </c>
      <c r="Q59" s="78" t="e">
        <f t="shared" ref="Q59:V59" ca="1" si="53">IF($O57="Non",IF(Q$57="Non","Mann Withney",IF(Q$57="Oui","Mann Withney","")),IF($O$57="Oui",IF(Q$57="Oui","T-Test Welch",IF(Q$57="Non","Mann Withney",""))))</f>
        <v>#NAME?</v>
      </c>
      <c r="R59" s="78" t="e">
        <f t="shared" ca="1" si="53"/>
        <v>#NAME?</v>
      </c>
      <c r="S59" s="78" t="e">
        <f t="shared" ca="1" si="53"/>
        <v>#NAME?</v>
      </c>
      <c r="T59" s="78" t="e">
        <f t="shared" ca="1" si="53"/>
        <v>#NAME?</v>
      </c>
      <c r="U59" s="78" t="e">
        <f t="shared" ca="1" si="53"/>
        <v>#NAME?</v>
      </c>
      <c r="V59" s="78" t="e">
        <f t="shared" ca="1" si="53"/>
        <v>#NAME?</v>
      </c>
    </row>
    <row r="60" spans="1:22" s="3" customFormat="1">
      <c r="A60" s="43" t="s">
        <v>45</v>
      </c>
      <c r="B60" s="79"/>
      <c r="C60" s="79" t="e">
        <f ca="1">IF(C59="Mann Withney",[1]!MTEST($B28:$B43,C28:C43,2), IF(C59="T-Test Welch",_xlfn.T.TEST($B28:$B43,C28:C43,2,3),""))</f>
        <v>#NAME?</v>
      </c>
      <c r="D60" s="79" t="e">
        <f ca="1">IF(D59="Mann Withney",[1]!MTEST($B28:$B43,D28:D43,2), IF(D59="T-Test Welch",_xlfn.T.TEST($B28:$B43,D28:D43,2,3),""))</f>
        <v>#NAME?</v>
      </c>
      <c r="E60" s="79" t="e">
        <f ca="1">IF(E59="Mann Withney",[1]!MTEST($B28:$B43,E28:E43,2), IF(E59="T-Test Welch",_xlfn.T.TEST($B28:$B43,E28:E43,2,3),""))</f>
        <v>#NAME?</v>
      </c>
      <c r="F60" s="79" t="e">
        <f ca="1">IF(F59="Mann Withney",[1]!MTEST($B28:$B43,F28:F43,2), IF(F59="T-Test Welch",_xlfn.T.TEST($B28:$B43,F28:F43,2,3),""))</f>
        <v>#NAME?</v>
      </c>
      <c r="G60" s="79" t="e">
        <f ca="1">IF(G59="Mann Withney",[1]!MTEST($B28:$B43,G28:G43,2), IF(G59="T-Test Welch",_xlfn.T.TEST($B28:$B43,G28:G43,2,3),""))</f>
        <v>#NAME?</v>
      </c>
      <c r="H60" s="79" t="e">
        <f ca="1">IF(H59="Mann Withney",[1]!MTEST($B28:$B43,H28:H43,2), IF(H59="T-Test Welch",_xlfn.T.TEST($B28:$B43,H28:H43,2,3),""))</f>
        <v>#NAME?</v>
      </c>
      <c r="I60" s="79" t="e">
        <f ca="1">IF(I59="Mann Withney",[1]!MTEST($B28:$B43,I28:I43,2), IF(I59="T-Test Welch",_xlfn.T.TEST($B28:$B43,I28:I43,2,3),""))</f>
        <v>#NAME?</v>
      </c>
      <c r="J60" s="79" t="e">
        <f ca="1">IF(J59="Mann Withney",[1]!MTEST($B28:$B43,J28:J43,2), IF(J59="T-Test Welch",_xlfn.T.TEST($B28:$B43,J28:J43,2,3),""))</f>
        <v>#NAME?</v>
      </c>
      <c r="K60" s="79" t="e">
        <f ca="1">IF(K59="Mann Withney",[1]!MTEST($B28:$B43,K28:K43,2), IF(K59="T-Test Welch",_xlfn.T.TEST($B28:$B43,K28:K43,2,3),""))</f>
        <v>#NAME?</v>
      </c>
      <c r="L60" s="79" t="e">
        <f ca="1">IF(L59="Mann Withney",[1]!MTEST($B28:$B43,L28:L43,2), IF(L59="T-Test Welch",_xlfn.T.TEST($B28:$B43,L28:L43,2,3),""))</f>
        <v>#NAME?</v>
      </c>
      <c r="M60" s="79" t="e">
        <f ca="1">IF(M59="Mann Withney",[1]!MTEST($B28:$B43,M28:M43,2), IF(M59="T-Test Welch",_xlfn.T.TEST($B28:$B43,M28:M43,2,3),""))</f>
        <v>#NAME?</v>
      </c>
      <c r="N60" s="79" t="e">
        <f ca="1">IF(N59="Mann Withney",[1]!MTEST($B28:$B43,N28:N43,2), IF(N59="T-Test Welch",_xlfn.T.TEST($B28:$B43,N28:N43,2,3),""))</f>
        <v>#NAME?</v>
      </c>
      <c r="O60" s="79" t="e">
        <f ca="1">IF(O59="Mann Withney",[1]!MTEST($B28:$B43,O28:O43,2), IF(O59="T-Test Welch",_xlfn.T.TEST($B28:$B43,O28:O43,2,3),""))</f>
        <v>#NAME?</v>
      </c>
      <c r="P60" s="79" t="e">
        <f ca="1">IF(P59="Mann Withney",[1]!MTEST($O28:$O43,P28:P43,2), IF(P59="T-Test Welch",_xlfn.T.TEST($O28:$O43,P28:P43,2,3),""))</f>
        <v>#NAME?</v>
      </c>
      <c r="Q60" s="79" t="e">
        <f ca="1">IF(Q59="Mann Withney",[1]!MTEST($O28:$O43,Q28:Q43,2), IF(Q59="T-Test Welch",_xlfn.T.TEST($O28:$O43,Q28:Q43,2,3),""))</f>
        <v>#NAME?</v>
      </c>
      <c r="R60" s="79" t="e">
        <f ca="1">IF(R59="Mann Withney",[1]!MTEST($O28:$O43,R28:R43,2), IF(R59="T-Test Welch",_xlfn.T.TEST($O28:$O43,R28:R43,2,3),""))</f>
        <v>#NAME?</v>
      </c>
      <c r="S60" s="79" t="e">
        <f ca="1">IF(S59="Mann Withney",[1]!MTEST($O28:$O43,S28:S43,2), IF(S59="T-Test Welch",_xlfn.T.TEST($O28:$O43,S28:S43,2,3),""))</f>
        <v>#NAME?</v>
      </c>
      <c r="T60" s="79" t="e">
        <f ca="1">IF(T59="Mann Withney",[1]!MTEST($O28:$O43,T28:T43,2), IF(T59="T-Test Welch",_xlfn.T.TEST($O28:$O43,T28:T43,2,3),""))</f>
        <v>#NAME?</v>
      </c>
      <c r="U60" s="79" t="e">
        <f ca="1">IF(U59="Mann Withney",[1]!MTEST($O28:$O43,U28:U43,2), IF(U59="T-Test Welch",_xlfn.T.TEST($O28:$O43,U28:U43,2,3),""))</f>
        <v>#NAME?</v>
      </c>
      <c r="V60" s="79" t="e">
        <f ca="1">IF(V59="Mann Withney",[1]!MTEST($O28:$O43,V28:V43,2), IF(V59="T-Test Welch",_xlfn.T.TEST($O28:$O43,V28:V43,2,3),""))</f>
        <v>#NAME?</v>
      </c>
    </row>
    <row r="61" spans="1:22" s="3" customFormat="1" ht="15.75" thickBot="1">
      <c r="A61" s="44" t="s">
        <v>46</v>
      </c>
      <c r="B61" s="76"/>
      <c r="C61" s="76" t="e">
        <f t="shared" ref="C61:N61" ca="1" si="54">IF(C60&gt;0.05,"NS",IF(C60&gt;0.01,"*",IF(C60&gt;0.001,"**","***")))</f>
        <v>#NAME?</v>
      </c>
      <c r="D61" s="76" t="e">
        <f t="shared" ca="1" si="54"/>
        <v>#NAME?</v>
      </c>
      <c r="E61" s="76" t="e">
        <f t="shared" ca="1" si="54"/>
        <v>#NAME?</v>
      </c>
      <c r="F61" s="76" t="e">
        <f t="shared" ca="1" si="54"/>
        <v>#NAME?</v>
      </c>
      <c r="G61" s="76" t="e">
        <f t="shared" ca="1" si="54"/>
        <v>#NAME?</v>
      </c>
      <c r="H61" s="76" t="e">
        <f t="shared" ca="1" si="54"/>
        <v>#NAME?</v>
      </c>
      <c r="I61" s="76" t="e">
        <f t="shared" ca="1" si="54"/>
        <v>#NAME?</v>
      </c>
      <c r="J61" s="76" t="e">
        <f t="shared" ca="1" si="54"/>
        <v>#NAME?</v>
      </c>
      <c r="K61" s="76" t="e">
        <f t="shared" ca="1" si="54"/>
        <v>#NAME?</v>
      </c>
      <c r="L61" s="76" t="e">
        <f t="shared" ca="1" si="54"/>
        <v>#NAME?</v>
      </c>
      <c r="M61" s="76" t="e">
        <f t="shared" ca="1" si="54"/>
        <v>#NAME?</v>
      </c>
      <c r="N61" s="76" t="e">
        <f t="shared" ca="1" si="54"/>
        <v>#NAME?</v>
      </c>
      <c r="O61" s="76" t="e">
        <f ca="1">IF(O60&gt;0.05,"NS",IF(O60&gt;0.01,"*",IF(O60&gt;0.001,"**","***")))</f>
        <v>#NAME?</v>
      </c>
      <c r="P61" s="76" t="e">
        <f ca="1">IF(P60&gt;0.05,"NS",IF(P60&gt;0.01,"*",IF(P60&gt;0.001,"**","***")))</f>
        <v>#NAME?</v>
      </c>
      <c r="Q61" s="76" t="e">
        <f t="shared" ref="Q61" ca="1" si="55">IF(Q60&gt;0.05,"NS",IF(Q60&gt;0.01,"*",IF(Q60&gt;0.001,"**","***")))</f>
        <v>#NAME?</v>
      </c>
      <c r="R61" s="76" t="e">
        <f t="shared" ref="R61" ca="1" si="56">IF(R60&gt;0.05,"NS",IF(R60&gt;0.01,"*",IF(R60&gt;0.001,"**","***")))</f>
        <v>#NAME?</v>
      </c>
      <c r="S61" s="76" t="e">
        <f t="shared" ref="S61" ca="1" si="57">IF(S60&gt;0.05,"NS",IF(S60&gt;0.01,"*",IF(S60&gt;0.001,"**","***")))</f>
        <v>#NAME?</v>
      </c>
      <c r="T61" s="76" t="e">
        <f t="shared" ref="T61" ca="1" si="58">IF(T60&gt;0.05,"NS",IF(T60&gt;0.01,"*",IF(T60&gt;0.001,"**","***")))</f>
        <v>#NAME?</v>
      </c>
      <c r="U61" s="76" t="e">
        <f t="shared" ref="U61" ca="1" si="59">IF(U60&gt;0.05,"NS",IF(U60&gt;0.01,"*",IF(U60&gt;0.001,"**","***")))</f>
        <v>#NAME?</v>
      </c>
      <c r="V61" s="76" t="e">
        <f t="shared" ref="V61" ca="1" si="60">IF(V60&gt;0.05,"NS",IF(V60&gt;0.01,"*",IF(V60&gt;0.001,"**","***")))</f>
        <v>#NAME?</v>
      </c>
    </row>
    <row r="63" spans="1:22">
      <c r="A63" s="2" t="s">
        <v>20</v>
      </c>
    </row>
    <row r="64" spans="1:22">
      <c r="A64" s="1" t="s">
        <v>13</v>
      </c>
      <c r="B64" s="1">
        <f>B46+(3*B47)</f>
        <v>0.5196546552936292</v>
      </c>
    </row>
    <row r="65" spans="1:22">
      <c r="A65" s="1" t="s">
        <v>14</v>
      </c>
      <c r="B65" s="1">
        <f>B46+(10*B47)</f>
        <v>1.2716100102626862</v>
      </c>
    </row>
    <row r="66" spans="1:22" ht="15.75" thickBot="1"/>
    <row r="67" spans="1:22" s="1" customFormat="1" ht="27" thickBot="1">
      <c r="A67" s="140" t="s">
        <v>31</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N3"/>
    <mergeCell ref="B26:N26"/>
    <mergeCell ref="O26:V26"/>
    <mergeCell ref="O3:V3"/>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D1" zoomScale="70" zoomScaleNormal="70" zoomScaleSheetLayoutView="40" zoomScalePageLayoutView="30" workbookViewId="0">
      <selection activeCell="O2"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c r="A1" s="138" t="s">
        <v>23</v>
      </c>
      <c r="B1" s="139"/>
      <c r="C1" s="139"/>
      <c r="D1" s="139"/>
      <c r="E1" s="139"/>
      <c r="F1" s="139"/>
      <c r="G1" s="139"/>
      <c r="H1" s="139"/>
      <c r="I1" s="139"/>
      <c r="J1" s="139"/>
      <c r="K1" s="139"/>
      <c r="L1" s="139"/>
      <c r="M1" s="139"/>
      <c r="N1" s="139"/>
      <c r="O1" s="139"/>
      <c r="P1" s="139"/>
      <c r="Q1" s="139"/>
      <c r="R1" s="139"/>
      <c r="S1" s="139"/>
      <c r="T1" s="139"/>
      <c r="U1" s="139"/>
      <c r="V1" s="139"/>
    </row>
    <row r="2" spans="1:22" customFormat="1" ht="15.75" thickBot="1"/>
    <row r="3" spans="1:22" ht="15.75" thickBot="1">
      <c r="A3" s="33" t="s">
        <v>9</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BPA-5mg/L</v>
      </c>
      <c r="J4" s="19" t="str">
        <f>'Front page'!A15</f>
        <v>BPA-4mg/L</v>
      </c>
      <c r="K4" s="19" t="str">
        <f>'Front page'!A16</f>
        <v>BPA-3mg/L</v>
      </c>
      <c r="L4" s="19" t="str">
        <f>'Front page'!A17</f>
        <v>BPA-2mg/L</v>
      </c>
      <c r="M4" s="19" t="str">
        <f>'Front page'!A18</f>
        <v>BPA-1mg/L</v>
      </c>
      <c r="N4" s="19" t="str">
        <f>'Front page'!A19</f>
        <v/>
      </c>
      <c r="O4" s="20" t="str">
        <f>'Front page'!A35</f>
        <v>Testo -30µg/L</v>
      </c>
      <c r="P4" s="20" t="str">
        <f>'Front page'!A36</f>
        <v>Testo 30µg/L + EE2 -64ng/L</v>
      </c>
      <c r="Q4" s="20" t="str">
        <f>'Front page'!A37</f>
        <v>Testo 30µg/L + FAD-10mg/L</v>
      </c>
      <c r="R4" s="20" t="str">
        <f>'Front page'!A38</f>
        <v>BPA-5mg/L + Testostérone</v>
      </c>
      <c r="S4" s="20" t="str">
        <f>'Front page'!A39</f>
        <v>BPA-4mg/L + Testostérone</v>
      </c>
      <c r="T4" s="20" t="str">
        <f>'Front page'!A40</f>
        <v>BPA-3mg/L + Testostérone</v>
      </c>
      <c r="U4" s="20" t="str">
        <f>'Front page'!A41</f>
        <v>BPA-2mg/L + Testostérone</v>
      </c>
      <c r="V4" s="20" t="str">
        <f>'Front page'!A42</f>
        <v>BPA-1mg/L + Testostérone</v>
      </c>
    </row>
    <row r="5" spans="1:22">
      <c r="A5" s="148" t="s">
        <v>16</v>
      </c>
      <c r="B5" s="16">
        <v>286263</v>
      </c>
      <c r="C5" s="16">
        <v>4092691</v>
      </c>
      <c r="D5" s="16">
        <v>218646</v>
      </c>
      <c r="E5" s="16">
        <v>4888133</v>
      </c>
      <c r="F5" s="16">
        <v>6701682</v>
      </c>
      <c r="G5" s="16">
        <v>11625715</v>
      </c>
      <c r="H5" s="16">
        <v>14898014</v>
      </c>
      <c r="I5" s="16">
        <v>6455716</v>
      </c>
      <c r="J5" s="16">
        <v>3404027</v>
      </c>
      <c r="K5" s="12">
        <v>1162940</v>
      </c>
      <c r="L5" s="12">
        <v>1399919</v>
      </c>
      <c r="M5" s="12">
        <v>1103345</v>
      </c>
      <c r="N5" s="12"/>
      <c r="O5" s="16">
        <v>10242945</v>
      </c>
      <c r="P5" s="12">
        <v>15564266</v>
      </c>
      <c r="Q5" s="12">
        <v>595804</v>
      </c>
      <c r="R5" s="16">
        <v>15731594</v>
      </c>
      <c r="S5" s="16">
        <v>8671625</v>
      </c>
      <c r="T5" s="16">
        <v>10156959</v>
      </c>
      <c r="U5" s="16">
        <v>3110879</v>
      </c>
      <c r="V5" s="16">
        <v>1936419</v>
      </c>
    </row>
    <row r="6" spans="1:22" ht="16.5">
      <c r="A6" s="148"/>
      <c r="B6" s="13">
        <v>316786</v>
      </c>
      <c r="C6" s="12">
        <v>1450599</v>
      </c>
      <c r="D6" s="16">
        <v>2174423</v>
      </c>
      <c r="E6" s="16">
        <v>8505429</v>
      </c>
      <c r="F6" s="16">
        <v>10048984</v>
      </c>
      <c r="G6" s="16">
        <v>12681172</v>
      </c>
      <c r="H6" s="16">
        <v>14705524</v>
      </c>
      <c r="I6" s="16">
        <v>7675886</v>
      </c>
      <c r="J6" s="16">
        <v>6246779</v>
      </c>
      <c r="K6" s="12">
        <v>1538428</v>
      </c>
      <c r="L6" s="12">
        <v>961214</v>
      </c>
      <c r="M6" s="12">
        <v>45464</v>
      </c>
      <c r="N6" s="12"/>
      <c r="O6" s="16">
        <v>9972332</v>
      </c>
      <c r="P6" s="12">
        <v>16534304</v>
      </c>
      <c r="Q6" s="12">
        <v>60489</v>
      </c>
      <c r="R6" s="16">
        <v>13952266</v>
      </c>
      <c r="S6" s="16">
        <v>14792254</v>
      </c>
      <c r="T6" s="16">
        <v>14666064</v>
      </c>
      <c r="U6" s="16">
        <v>6043784</v>
      </c>
      <c r="V6" s="16">
        <v>4131224</v>
      </c>
    </row>
    <row r="7" spans="1:22" ht="16.5">
      <c r="A7" s="148"/>
      <c r="B7" s="13">
        <v>820597</v>
      </c>
      <c r="C7" s="12">
        <v>78418</v>
      </c>
      <c r="D7" s="16">
        <v>581033</v>
      </c>
      <c r="E7" s="16">
        <v>2860934</v>
      </c>
      <c r="F7" s="16">
        <v>11161955</v>
      </c>
      <c r="G7" s="16">
        <v>5259556</v>
      </c>
      <c r="H7" s="16">
        <v>21660651</v>
      </c>
      <c r="I7" s="16">
        <v>11855795</v>
      </c>
      <c r="J7" s="16">
        <v>4299266</v>
      </c>
      <c r="K7" s="12">
        <v>981007</v>
      </c>
      <c r="L7" s="12">
        <v>176260</v>
      </c>
      <c r="M7" s="12">
        <v>64569</v>
      </c>
      <c r="N7" s="12"/>
      <c r="O7" s="16">
        <v>4954666</v>
      </c>
      <c r="P7" s="12">
        <v>10125995</v>
      </c>
      <c r="Q7" s="12">
        <v>447782</v>
      </c>
      <c r="R7" s="16">
        <v>9771633</v>
      </c>
      <c r="S7" s="16">
        <v>14140645</v>
      </c>
      <c r="T7" s="16">
        <v>12855040</v>
      </c>
      <c r="U7" s="16">
        <v>5776597</v>
      </c>
      <c r="V7" s="16">
        <v>3500342</v>
      </c>
    </row>
    <row r="8" spans="1:22" ht="16.5">
      <c r="A8" s="148"/>
      <c r="B8" s="13">
        <v>3362116</v>
      </c>
      <c r="C8" s="12">
        <v>632190</v>
      </c>
      <c r="D8" s="16">
        <v>1582523</v>
      </c>
      <c r="E8" s="16">
        <v>2515277</v>
      </c>
      <c r="F8" s="16">
        <v>6804602</v>
      </c>
      <c r="G8" s="16">
        <v>12126416</v>
      </c>
      <c r="H8" s="16">
        <v>20248204</v>
      </c>
      <c r="I8" s="16">
        <v>7327486</v>
      </c>
      <c r="J8" s="16">
        <v>5125196</v>
      </c>
      <c r="K8" s="12">
        <v>1225611</v>
      </c>
      <c r="L8" s="12">
        <v>19330</v>
      </c>
      <c r="M8" s="12">
        <v>373116</v>
      </c>
      <c r="N8" s="12"/>
      <c r="O8" s="16">
        <v>7949460</v>
      </c>
      <c r="P8" s="12">
        <v>6419850</v>
      </c>
      <c r="Q8" s="12">
        <v>2873367</v>
      </c>
      <c r="R8" s="16">
        <v>12683207</v>
      </c>
      <c r="S8" s="16">
        <v>14068208</v>
      </c>
      <c r="T8" s="16">
        <v>12269423</v>
      </c>
      <c r="U8" s="16">
        <v>6262039</v>
      </c>
      <c r="V8" s="16">
        <v>7648234</v>
      </c>
    </row>
    <row r="9" spans="1:22" ht="16.5">
      <c r="A9" s="148"/>
      <c r="B9" s="13">
        <v>48514</v>
      </c>
      <c r="C9" s="12">
        <v>384217</v>
      </c>
      <c r="D9" s="16">
        <v>751809</v>
      </c>
      <c r="E9" s="16">
        <v>4643619</v>
      </c>
      <c r="F9" s="16">
        <v>9976342</v>
      </c>
      <c r="G9" s="16">
        <v>10491145</v>
      </c>
      <c r="H9" s="16">
        <v>25028788</v>
      </c>
      <c r="I9" s="16">
        <v>4334122</v>
      </c>
      <c r="J9" s="16">
        <v>2483837</v>
      </c>
      <c r="K9" s="12">
        <v>145276</v>
      </c>
      <c r="L9" s="12">
        <v>10595</v>
      </c>
      <c r="M9" s="12">
        <v>1156418</v>
      </c>
      <c r="N9" s="12"/>
      <c r="O9" s="16">
        <v>9222277</v>
      </c>
      <c r="P9" s="12">
        <v>13550761</v>
      </c>
      <c r="Q9" s="12">
        <v>1513456</v>
      </c>
      <c r="R9" s="16">
        <v>13234767</v>
      </c>
      <c r="S9" s="16">
        <v>8223379</v>
      </c>
      <c r="T9" s="16">
        <v>8024381</v>
      </c>
      <c r="U9" s="16">
        <v>8239118</v>
      </c>
      <c r="V9" s="16">
        <v>3190359</v>
      </c>
    </row>
    <row r="10" spans="1:22" ht="16.5">
      <c r="A10" s="148"/>
      <c r="B10" s="13">
        <v>177153</v>
      </c>
      <c r="C10" s="12">
        <v>1609566</v>
      </c>
      <c r="D10" s="16">
        <v>1882261</v>
      </c>
      <c r="E10" s="16">
        <v>4469610</v>
      </c>
      <c r="F10" s="16">
        <v>9290778</v>
      </c>
      <c r="G10" s="16">
        <v>9250691</v>
      </c>
      <c r="H10" s="16">
        <v>17029797</v>
      </c>
      <c r="I10" s="16">
        <v>7915396</v>
      </c>
      <c r="J10" s="16">
        <v>9578021</v>
      </c>
      <c r="K10" s="12">
        <v>1363157</v>
      </c>
      <c r="L10" s="12">
        <v>83193</v>
      </c>
      <c r="M10" s="12">
        <v>1049967</v>
      </c>
      <c r="N10" s="12"/>
      <c r="O10" s="16">
        <v>5373330</v>
      </c>
      <c r="P10" s="12">
        <v>12191934</v>
      </c>
      <c r="Q10" s="12">
        <v>1442704</v>
      </c>
      <c r="R10" s="16">
        <v>13540004</v>
      </c>
      <c r="S10" s="16">
        <v>8447292</v>
      </c>
      <c r="T10" s="16">
        <v>13572177</v>
      </c>
      <c r="U10" s="16">
        <v>6327755</v>
      </c>
      <c r="V10" s="16">
        <v>4624951</v>
      </c>
    </row>
    <row r="11" spans="1:22" ht="16.5">
      <c r="A11" s="148"/>
      <c r="B11" s="13">
        <v>1368818</v>
      </c>
      <c r="C11" s="12">
        <v>1431404</v>
      </c>
      <c r="D11" s="16">
        <v>1731458</v>
      </c>
      <c r="E11" s="16">
        <v>6650183</v>
      </c>
      <c r="F11" s="16">
        <v>5105741</v>
      </c>
      <c r="G11" s="16">
        <v>5944090</v>
      </c>
      <c r="H11" s="16">
        <v>17676581</v>
      </c>
      <c r="I11" s="16">
        <v>6533899</v>
      </c>
      <c r="J11" s="16">
        <v>8817114</v>
      </c>
      <c r="K11" s="12">
        <v>2188749</v>
      </c>
      <c r="L11" s="12">
        <v>277819</v>
      </c>
      <c r="M11" s="12">
        <v>698672</v>
      </c>
      <c r="N11" s="12"/>
      <c r="O11" s="16">
        <v>8762172</v>
      </c>
      <c r="P11" s="12">
        <v>16605830</v>
      </c>
      <c r="Q11" s="12">
        <v>2234353</v>
      </c>
      <c r="R11" s="16">
        <v>12502132</v>
      </c>
      <c r="S11" s="16">
        <v>9947661</v>
      </c>
      <c r="T11" s="16">
        <v>14228495</v>
      </c>
      <c r="U11" s="16">
        <v>2249591</v>
      </c>
      <c r="V11" s="16">
        <v>5022586</v>
      </c>
    </row>
    <row r="12" spans="1:22" ht="16.5">
      <c r="A12" s="148"/>
      <c r="B12" s="13">
        <v>818683</v>
      </c>
      <c r="C12" s="12">
        <v>761387</v>
      </c>
      <c r="D12" s="16">
        <v>619284</v>
      </c>
      <c r="E12" s="16">
        <v>2369221</v>
      </c>
      <c r="F12" s="16">
        <v>5877776</v>
      </c>
      <c r="G12" s="16">
        <v>15064617</v>
      </c>
      <c r="H12" s="16">
        <v>23453336</v>
      </c>
      <c r="I12" s="16">
        <v>11189771</v>
      </c>
      <c r="J12" s="16">
        <v>4188184</v>
      </c>
      <c r="K12" s="12">
        <v>1460274</v>
      </c>
      <c r="L12" s="12">
        <v>803604</v>
      </c>
      <c r="M12" s="12">
        <v>1506660</v>
      </c>
      <c r="N12" s="12"/>
      <c r="O12" s="16">
        <v>10439334</v>
      </c>
      <c r="P12" s="12">
        <v>18085542</v>
      </c>
      <c r="Q12" s="12">
        <v>2730143</v>
      </c>
      <c r="R12" s="16">
        <v>13931093</v>
      </c>
      <c r="S12" s="16">
        <v>14884045</v>
      </c>
      <c r="T12" s="16">
        <v>18644995</v>
      </c>
      <c r="U12" s="16">
        <v>15392027</v>
      </c>
      <c r="V12" s="16">
        <v>3474696</v>
      </c>
    </row>
    <row r="13" spans="1:22" ht="16.5">
      <c r="A13" s="148"/>
      <c r="B13" s="13"/>
      <c r="C13" s="12"/>
      <c r="D13" s="16"/>
      <c r="E13" s="16"/>
      <c r="F13" s="16"/>
      <c r="G13" s="16"/>
      <c r="H13" s="16"/>
      <c r="I13" s="16"/>
      <c r="J13" s="16"/>
      <c r="K13" s="12"/>
      <c r="L13" s="12"/>
      <c r="M13" s="12"/>
      <c r="N13" s="12"/>
      <c r="O13" s="16">
        <v>12757473</v>
      </c>
      <c r="P13" s="12"/>
      <c r="Q13" s="12"/>
      <c r="R13" s="16"/>
      <c r="S13" s="16"/>
      <c r="T13" s="16"/>
      <c r="U13" s="16"/>
      <c r="V13" s="16"/>
    </row>
    <row r="14" spans="1:22" ht="16.5">
      <c r="A14" s="148"/>
      <c r="B14" s="13"/>
      <c r="C14" s="16"/>
      <c r="D14" s="16"/>
      <c r="E14" s="16"/>
      <c r="F14" s="16"/>
      <c r="G14" s="16"/>
      <c r="H14" s="16"/>
      <c r="I14" s="16"/>
      <c r="J14" s="16"/>
      <c r="K14" s="12"/>
      <c r="L14" s="12"/>
      <c r="M14" s="12"/>
      <c r="N14" s="12"/>
      <c r="O14" s="16">
        <v>11249172</v>
      </c>
      <c r="P14" s="12"/>
      <c r="Q14" s="12"/>
      <c r="R14" s="16"/>
      <c r="S14" s="16"/>
      <c r="T14" s="16"/>
      <c r="U14" s="16"/>
      <c r="V14" s="16"/>
    </row>
    <row r="15" spans="1:22" ht="16.5">
      <c r="A15" s="148"/>
      <c r="B15" s="13"/>
      <c r="C15" s="16"/>
      <c r="D15" s="16"/>
      <c r="E15" s="16"/>
      <c r="F15" s="16"/>
      <c r="G15" s="16"/>
      <c r="H15" s="16"/>
      <c r="I15" s="16"/>
      <c r="J15" s="16"/>
      <c r="K15" s="12"/>
      <c r="L15" s="12"/>
      <c r="M15" s="12"/>
      <c r="N15" s="12"/>
      <c r="O15" s="16">
        <v>5719761</v>
      </c>
      <c r="P15" s="12"/>
      <c r="Q15" s="12"/>
      <c r="R15" s="16"/>
      <c r="S15" s="16"/>
      <c r="T15" s="16"/>
      <c r="U15" s="16"/>
      <c r="V15" s="16"/>
    </row>
    <row r="16" spans="1:22" ht="16.5">
      <c r="A16" s="148"/>
      <c r="B16" s="13"/>
      <c r="C16" s="16"/>
      <c r="D16" s="16"/>
      <c r="E16" s="16"/>
      <c r="F16" s="16"/>
      <c r="G16" s="16"/>
      <c r="H16" s="16"/>
      <c r="I16" s="16"/>
      <c r="J16" s="16"/>
      <c r="K16" s="12"/>
      <c r="L16" s="12"/>
      <c r="M16" s="12"/>
      <c r="N16" s="12"/>
      <c r="O16" s="16">
        <v>3430989</v>
      </c>
      <c r="P16" s="12"/>
      <c r="Q16" s="12"/>
      <c r="R16" s="16"/>
      <c r="S16" s="16"/>
      <c r="T16" s="16"/>
      <c r="U16" s="16"/>
      <c r="V16" s="16"/>
    </row>
    <row r="17" spans="1:22" ht="16.5">
      <c r="A17" s="148"/>
      <c r="B17" s="13"/>
      <c r="C17" s="16"/>
      <c r="D17" s="16"/>
      <c r="E17" s="16"/>
      <c r="F17" s="16"/>
      <c r="G17" s="16"/>
      <c r="H17" s="16"/>
      <c r="I17" s="16"/>
      <c r="J17" s="16"/>
      <c r="K17" s="12"/>
      <c r="L17" s="12"/>
      <c r="M17" s="12"/>
      <c r="N17" s="12"/>
      <c r="O17" s="16">
        <v>8611089</v>
      </c>
      <c r="P17" s="12"/>
      <c r="Q17" s="12"/>
      <c r="R17" s="16"/>
      <c r="S17" s="16"/>
      <c r="T17" s="16"/>
      <c r="U17" s="16"/>
      <c r="V17" s="16"/>
    </row>
    <row r="18" spans="1:22" ht="16.5">
      <c r="A18" s="148"/>
      <c r="B18" s="13"/>
      <c r="C18" s="16"/>
      <c r="D18" s="16"/>
      <c r="E18" s="16"/>
      <c r="F18" s="16"/>
      <c r="G18" s="16"/>
      <c r="H18" s="16"/>
      <c r="I18" s="16"/>
      <c r="J18" s="16"/>
      <c r="K18" s="12"/>
      <c r="L18" s="12"/>
      <c r="M18" s="12"/>
      <c r="N18" s="12"/>
      <c r="O18" s="16">
        <v>13323087</v>
      </c>
      <c r="P18" s="12"/>
      <c r="Q18" s="12"/>
      <c r="R18" s="16"/>
      <c r="S18" s="16"/>
      <c r="T18" s="16"/>
      <c r="U18" s="16"/>
      <c r="V18" s="16"/>
    </row>
    <row r="19" spans="1:22" ht="16.5">
      <c r="A19" s="148"/>
      <c r="B19" s="13"/>
      <c r="C19" s="16"/>
      <c r="D19" s="16"/>
      <c r="E19" s="16"/>
      <c r="F19" s="16"/>
      <c r="G19" s="16"/>
      <c r="H19" s="16"/>
      <c r="I19" s="16"/>
      <c r="J19" s="16"/>
      <c r="K19" s="12"/>
      <c r="L19" s="12"/>
      <c r="M19" s="12"/>
      <c r="N19" s="12"/>
      <c r="O19" s="16">
        <v>5024269</v>
      </c>
      <c r="P19" s="12"/>
      <c r="Q19" s="12"/>
      <c r="R19" s="16"/>
      <c r="S19" s="16"/>
      <c r="T19" s="16"/>
      <c r="U19" s="16"/>
      <c r="V19" s="16"/>
    </row>
    <row r="20" spans="1:22" ht="16.5">
      <c r="A20" s="148"/>
      <c r="B20" s="13"/>
      <c r="C20" s="16"/>
      <c r="D20" s="16"/>
      <c r="E20" s="16"/>
      <c r="F20" s="16"/>
      <c r="G20" s="16"/>
      <c r="H20" s="16"/>
      <c r="I20" s="16"/>
      <c r="J20" s="16"/>
      <c r="K20" s="12"/>
      <c r="L20" s="12"/>
      <c r="M20" s="12"/>
      <c r="N20" s="12"/>
      <c r="O20" s="16">
        <v>3103614</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BPA-5mg/L</v>
      </c>
      <c r="J22" s="3" t="str">
        <f t="shared" si="0"/>
        <v>BPA-4mg/L</v>
      </c>
      <c r="K22" s="3" t="str">
        <f t="shared" si="0"/>
        <v>BPA-3mg/L</v>
      </c>
      <c r="L22" s="3" t="str">
        <f t="shared" si="0"/>
        <v>BPA-2mg/L</v>
      </c>
      <c r="M22" s="3" t="str">
        <f t="shared" si="0"/>
        <v>BPA-1mg/L</v>
      </c>
      <c r="N22" s="3" t="str">
        <f t="shared" si="0"/>
        <v/>
      </c>
      <c r="O22" s="3" t="str">
        <f t="shared" si="0"/>
        <v>Testo -30µg/L</v>
      </c>
      <c r="P22" s="3" t="str">
        <f t="shared" si="0"/>
        <v>Testo 30µg/L + EE2 -64ng/L</v>
      </c>
      <c r="Q22" s="3" t="str">
        <f t="shared" si="0"/>
        <v>Testo 30µg/L + FAD-10mg/L</v>
      </c>
      <c r="R22" s="3" t="str">
        <f t="shared" si="0"/>
        <v>BPA-5mg/L + Testostérone</v>
      </c>
      <c r="S22" s="3" t="str">
        <f t="shared" si="0"/>
        <v>BPA-4mg/L + Testostérone</v>
      </c>
      <c r="T22" s="3" t="str">
        <f t="shared" si="0"/>
        <v>BPA-3mg/L + Testostérone</v>
      </c>
      <c r="U22" s="3" t="str">
        <f t="shared" si="0"/>
        <v>BPA-2mg/L + Testostérone</v>
      </c>
      <c r="V22" s="3" t="str">
        <f t="shared" si="0"/>
        <v>BPA-1mg/L + Testostérone</v>
      </c>
    </row>
    <row r="23" spans="1:22">
      <c r="A23" s="5" t="s">
        <v>0</v>
      </c>
      <c r="B23" s="5">
        <f t="shared" ref="B23:J23" si="1">AVERAGE(B5:B20)</f>
        <v>899866.25</v>
      </c>
      <c r="C23" s="5">
        <f t="shared" si="1"/>
        <v>1305059</v>
      </c>
      <c r="D23" s="5">
        <f t="shared" si="1"/>
        <v>1192679.625</v>
      </c>
      <c r="E23" s="5">
        <f t="shared" si="1"/>
        <v>4612800.75</v>
      </c>
      <c r="F23" s="5">
        <f t="shared" si="1"/>
        <v>8120982.5</v>
      </c>
      <c r="G23" s="5">
        <f t="shared" si="1"/>
        <v>10305425.25</v>
      </c>
      <c r="H23" s="5">
        <f t="shared" si="1"/>
        <v>19337611.875</v>
      </c>
      <c r="I23" s="5">
        <f t="shared" si="1"/>
        <v>7911008.875</v>
      </c>
      <c r="J23" s="5">
        <f t="shared" si="1"/>
        <v>5517803</v>
      </c>
      <c r="K23" s="5"/>
      <c r="L23" s="5">
        <f>AVERAGE(L5:L20)</f>
        <v>466491.75</v>
      </c>
      <c r="M23" s="5"/>
      <c r="N23" s="5" t="e">
        <f>AVERAGE(N5:N20)</f>
        <v>#DIV/0!</v>
      </c>
      <c r="O23" s="5">
        <f>AVERAGE(O5:O20)</f>
        <v>8133498.125</v>
      </c>
      <c r="P23" s="5">
        <f>AVERAGE(P5:P20)</f>
        <v>13634810.25</v>
      </c>
      <c r="Q23" s="5">
        <f>AVERAGE(Q5:Q20)</f>
        <v>1487262.25</v>
      </c>
      <c r="R23" s="5">
        <f>AVERAGE(R5:R20)</f>
        <v>13168337</v>
      </c>
      <c r="S23" s="5">
        <f>AVERAGE(S5:S20)</f>
        <v>11646888.625</v>
      </c>
      <c r="T23" s="5">
        <f t="shared" ref="T23:V23" si="2">AVERAGE(T5:T20)</f>
        <v>13052191.75</v>
      </c>
      <c r="U23" s="5">
        <f t="shared" si="2"/>
        <v>6675223.75</v>
      </c>
      <c r="V23" s="5">
        <f t="shared" si="2"/>
        <v>4191101.375</v>
      </c>
    </row>
    <row r="24" spans="1:22">
      <c r="A24" s="3" t="s">
        <v>1</v>
      </c>
      <c r="B24" s="3">
        <f t="shared" ref="B24:J24" si="3">STDEV(B5:B20)</f>
        <v>1086216.9298556673</v>
      </c>
      <c r="C24" s="3">
        <f t="shared" si="3"/>
        <v>1253662.7307720594</v>
      </c>
      <c r="D24" s="3">
        <f t="shared" si="3"/>
        <v>729736.26045538578</v>
      </c>
      <c r="E24" s="3">
        <f t="shared" si="3"/>
        <v>2134848.1182109388</v>
      </c>
      <c r="F24" s="3">
        <f t="shared" si="3"/>
        <v>2256622.3859965075</v>
      </c>
      <c r="G24" s="3">
        <f t="shared" si="3"/>
        <v>3359044.2706136242</v>
      </c>
      <c r="H24" s="3">
        <f t="shared" si="3"/>
        <v>3869397.5166254612</v>
      </c>
      <c r="I24" s="3">
        <f t="shared" si="3"/>
        <v>2493300.9754593228</v>
      </c>
      <c r="J24" s="3">
        <f t="shared" si="3"/>
        <v>2534958.081370296</v>
      </c>
      <c r="K24" s="3"/>
      <c r="L24" s="3">
        <f>STDEV(L5:L20)</f>
        <v>521567.21100428246</v>
      </c>
      <c r="M24" s="3"/>
      <c r="N24" s="3" t="e">
        <f>STDEV(N5:N20)</f>
        <v>#DIV/0!</v>
      </c>
      <c r="O24" s="3">
        <f>STDEV(O5:O20)</f>
        <v>3200429.6524739689</v>
      </c>
      <c r="P24" s="3">
        <f>STDEV(P5:P20)</f>
        <v>3913752.8022492588</v>
      </c>
      <c r="Q24" s="3">
        <f>STDEV(Q5:Q20)</f>
        <v>1064877.8591368722</v>
      </c>
      <c r="R24" s="3">
        <f>STDEV(R5:R20)</f>
        <v>1695622.7438805907</v>
      </c>
      <c r="S24" s="3">
        <f>STDEV(S5:S20)</f>
        <v>3074120.5011014561</v>
      </c>
      <c r="T24" s="3">
        <f t="shared" ref="T24:V24" si="4">STDEV(T5:T20)</f>
        <v>3158909.2867114185</v>
      </c>
      <c r="U24" s="3">
        <f t="shared" si="4"/>
        <v>4003871.434047543</v>
      </c>
      <c r="V24" s="3">
        <f t="shared" si="4"/>
        <v>1686518.2458178606</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BPA-5mg/L</v>
      </c>
      <c r="J27" s="19" t="str">
        <f t="shared" si="5"/>
        <v>BPA-4mg/L</v>
      </c>
      <c r="K27" s="19" t="str">
        <f t="shared" si="5"/>
        <v>BPA-3mg/L</v>
      </c>
      <c r="L27" s="19" t="str">
        <f t="shared" si="5"/>
        <v>BPA-2mg/L</v>
      </c>
      <c r="M27" s="19" t="str">
        <f t="shared" si="5"/>
        <v>BPA-1mg/L</v>
      </c>
      <c r="N27" s="19" t="str">
        <f t="shared" si="5"/>
        <v/>
      </c>
      <c r="O27" s="20" t="str">
        <f>O4</f>
        <v>Testo -30µg/L</v>
      </c>
      <c r="P27" s="20" t="str">
        <f t="shared" ref="P27:R27" si="6">P4</f>
        <v>Testo 30µg/L + EE2 -64ng/L</v>
      </c>
      <c r="Q27" s="20" t="str">
        <f t="shared" si="6"/>
        <v>Testo 30µg/L + FAD-10mg/L</v>
      </c>
      <c r="R27" s="20" t="str">
        <f t="shared" si="6"/>
        <v>BPA-5mg/L + Testostérone</v>
      </c>
      <c r="S27" s="20" t="str">
        <f t="shared" ref="S27:V27" si="7">S4</f>
        <v>BPA-4mg/L + Testostérone</v>
      </c>
      <c r="T27" s="20" t="str">
        <f t="shared" si="7"/>
        <v>BPA-3mg/L + Testostérone</v>
      </c>
      <c r="U27" s="20" t="str">
        <f t="shared" si="7"/>
        <v>BPA-2mg/L + Testostérone</v>
      </c>
      <c r="V27" s="20" t="str">
        <f t="shared" si="7"/>
        <v>BPA-1mg/L + Testostérone</v>
      </c>
    </row>
    <row r="28" spans="1:22">
      <c r="A28" s="149" t="s">
        <v>17</v>
      </c>
      <c r="B28" s="10">
        <f>IF(B5="","",(B5/$O$23))</f>
        <v>3.5195557385094993E-2</v>
      </c>
      <c r="C28" s="10">
        <f>IF(C5="","",(C5/$O$23))</f>
        <v>0.50318951785582422</v>
      </c>
      <c r="D28" s="10">
        <f>IF(D5="","",(D5/$O$23))</f>
        <v>2.6882160251312532E-2</v>
      </c>
      <c r="E28" s="10">
        <f>IF(E5="","",(E5/$O$23))</f>
        <v>0.60098778224037519</v>
      </c>
      <c r="F28" s="10">
        <f>IF(F5="","",(F5/$O$23))</f>
        <v>0.82396060059336396</v>
      </c>
      <c r="G28" s="10">
        <f>IF(G5="","",(G5/$O$23))</f>
        <v>1.4293622278298614</v>
      </c>
      <c r="H28" s="10">
        <f>IF(H5="","",(H5/$O$23))</f>
        <v>1.8316859205029938</v>
      </c>
      <c r="I28" s="10">
        <f>IF(I5="","",(I5/$O$23))</f>
        <v>0.79371949200516967</v>
      </c>
      <c r="J28" s="10">
        <f>IF(J5="","",(J5/$O$23))</f>
        <v>0.41851943010068621</v>
      </c>
      <c r="K28" s="10">
        <f>IF(K5="","",(K5/$O$23))</f>
        <v>0.14298152924206889</v>
      </c>
      <c r="L28" s="10">
        <f>IF(L5="","",(L5/$O$23))</f>
        <v>0.17211770120128969</v>
      </c>
      <c r="M28" s="10">
        <f>IF(M5="","",(M5/$O$23))</f>
        <v>0.13565442360017757</v>
      </c>
      <c r="N28" s="10" t="str">
        <f>IF(N5="","",(N5/$O$23))</f>
        <v/>
      </c>
      <c r="O28" s="10">
        <f t="shared" ref="O28:S37" si="8">IF(O5="","",(O5/$O$23))</f>
        <v>1.2593529675154378</v>
      </c>
      <c r="P28" s="10">
        <f t="shared" si="8"/>
        <v>1.9136004903179344</v>
      </c>
      <c r="Q28" s="10">
        <f t="shared" si="8"/>
        <v>7.3253105962940143E-2</v>
      </c>
      <c r="R28" s="10">
        <f t="shared" si="8"/>
        <v>1.9341731882430353</v>
      </c>
      <c r="S28" s="10">
        <f t="shared" si="8"/>
        <v>1.0661617998467294</v>
      </c>
      <c r="T28" s="10">
        <f t="shared" ref="T28:V28" si="9">IF(T5="","",(T5/$O$23))</f>
        <v>1.2487811325339182</v>
      </c>
      <c r="U28" s="10">
        <f t="shared" si="9"/>
        <v>0.38247737347329874</v>
      </c>
      <c r="V28" s="10">
        <f t="shared" si="9"/>
        <v>0.23807947948595612</v>
      </c>
    </row>
    <row r="29" spans="1:22">
      <c r="A29" s="149"/>
      <c r="B29" s="10">
        <f>IF(B6="","",(B6/$O$23))</f>
        <v>3.8948309218427464E-2</v>
      </c>
      <c r="C29" s="10">
        <f>IF(C6="","",(C6/$O$23))</f>
        <v>0.17834872249386546</v>
      </c>
      <c r="D29" s="10">
        <f>IF(D6="","",(D6/$O$23))</f>
        <v>0.2673416734819743</v>
      </c>
      <c r="E29" s="10">
        <f>IF(E6="","",(E6/$O$23))</f>
        <v>1.0457282794295844</v>
      </c>
      <c r="F29" s="10">
        <f>IF(F6="","",(F6/$O$23))</f>
        <v>1.2355057867551915</v>
      </c>
      <c r="G29" s="10">
        <f>IF(G6="","",(G6/$O$23))</f>
        <v>1.5591289018708663</v>
      </c>
      <c r="H29" s="10">
        <f>IF(H6="","",(H6/$O$23))</f>
        <v>1.8080195967340928</v>
      </c>
      <c r="I29" s="10">
        <f>IF(I6="","",(I6/$O$23))</f>
        <v>0.94373735409203163</v>
      </c>
      <c r="J29" s="10">
        <f>IF(J6="","",(J6/$O$23))</f>
        <v>0.76803103707606746</v>
      </c>
      <c r="K29" s="10">
        <f>IF(K6="","",(K6/$O$23))</f>
        <v>0.18914715124496326</v>
      </c>
      <c r="L29" s="10">
        <f>IF(L6="","",(L6/$O$23))</f>
        <v>0.11817965471037715</v>
      </c>
      <c r="M29" s="10">
        <f>IF(M6="","",(M6/$O$23))</f>
        <v>5.5897228106879292E-3</v>
      </c>
      <c r="N29" s="10" t="str">
        <f>IF(N6="","",(N6/$O$23))</f>
        <v/>
      </c>
      <c r="O29" s="10">
        <f t="shared" si="8"/>
        <v>1.2260815514726635</v>
      </c>
      <c r="P29" s="10">
        <f t="shared" si="8"/>
        <v>2.032865041079726</v>
      </c>
      <c r="Q29" s="10">
        <f t="shared" si="8"/>
        <v>7.4370214476443368E-3</v>
      </c>
      <c r="R29" s="10">
        <f t="shared" si="8"/>
        <v>1.7154077846424782</v>
      </c>
      <c r="S29" s="10">
        <f t="shared" si="8"/>
        <v>1.8186829052720781</v>
      </c>
      <c r="T29" s="10">
        <f t="shared" ref="T29:V29" si="10">IF(T6="","",(T6/$O$23))</f>
        <v>1.8031680556882159</v>
      </c>
      <c r="U29" s="10">
        <f t="shared" si="10"/>
        <v>0.74307314111540412</v>
      </c>
      <c r="V29" s="10">
        <f t="shared" si="10"/>
        <v>0.50792708580110479</v>
      </c>
    </row>
    <row r="30" spans="1:22">
      <c r="A30" s="149"/>
      <c r="B30" s="10">
        <f>IF(B7="","",(B7/$O$23))</f>
        <v>0.10089102959005108</v>
      </c>
      <c r="C30" s="10">
        <f>IF(C7="","",(C7/$O$23))</f>
        <v>9.6413620308051645E-3</v>
      </c>
      <c r="D30" s="10">
        <f>IF(D7="","",(D7/$O$23))</f>
        <v>7.1437036201443774E-2</v>
      </c>
      <c r="E30" s="10">
        <f>IF(E7="","",(E7/$O$23))</f>
        <v>0.35174705348567348</v>
      </c>
      <c r="F30" s="10">
        <f>IF(F7="","",(F7/$O$23))</f>
        <v>1.372343710966307</v>
      </c>
      <c r="G30" s="10">
        <f>IF(G7="","",(G7/$O$23))</f>
        <v>0.64665361928758047</v>
      </c>
      <c r="H30" s="10">
        <f>IF(H7="","",(H7/$O$23))</f>
        <v>2.6631408364651219</v>
      </c>
      <c r="I30" s="10">
        <f>IF(I7="","",(I7/$O$23))</f>
        <v>1.4576501792701895</v>
      </c>
      <c r="J30" s="10">
        <f>IF(J7="","",(J7/$O$23))</f>
        <v>0.52858756883281388</v>
      </c>
      <c r="K30" s="10">
        <f>IF(K7="","",(K7/$O$23))</f>
        <v>0.1206131709780163</v>
      </c>
      <c r="L30" s="10">
        <f>IF(L7="","",(L7/$O$23))</f>
        <v>2.1670872396002426E-2</v>
      </c>
      <c r="M30" s="10">
        <f>IF(M7="","",(M7/$O$23))</f>
        <v>7.9386506282621162E-3</v>
      </c>
      <c r="N30" s="10" t="str">
        <f>IF(N7="","",(N7/$O$23))</f>
        <v/>
      </c>
      <c r="O30" s="10">
        <f t="shared" si="8"/>
        <v>0.60916790338597393</v>
      </c>
      <c r="P30" s="10">
        <f t="shared" si="8"/>
        <v>1.2449741604876807</v>
      </c>
      <c r="Q30" s="10">
        <f t="shared" si="8"/>
        <v>5.5054048469458522E-2</v>
      </c>
      <c r="R30" s="10">
        <f t="shared" si="8"/>
        <v>1.2014059448744263</v>
      </c>
      <c r="S30" s="10">
        <f t="shared" si="8"/>
        <v>1.7385686678325754</v>
      </c>
      <c r="T30" s="10">
        <f t="shared" ref="T30:V30" si="11">IF(T7="","",(T7/$O$23))</f>
        <v>1.5805056818648986</v>
      </c>
      <c r="U30" s="10">
        <f t="shared" si="11"/>
        <v>0.71022294604635439</v>
      </c>
      <c r="V30" s="10">
        <f t="shared" si="11"/>
        <v>0.43036119836813758</v>
      </c>
    </row>
    <row r="31" spans="1:22">
      <c r="A31" s="149"/>
      <c r="B31" s="10">
        <f>IF(B8="","",(B8/$O$23))</f>
        <v>0.41336654270145295</v>
      </c>
      <c r="C31" s="10">
        <f>IF(C8="","",(C8/$O$23))</f>
        <v>7.7726703846753509E-2</v>
      </c>
      <c r="D31" s="10">
        <f>IF(D8="","",(D8/$O$23))</f>
        <v>0.19456855779382135</v>
      </c>
      <c r="E31" s="10">
        <f>IF(E8="","",(E8/$O$23))</f>
        <v>0.30924910307273229</v>
      </c>
      <c r="F31" s="10">
        <f>IF(F8="","",(F8/$O$23))</f>
        <v>0.83661444257110462</v>
      </c>
      <c r="G31" s="10">
        <f>IF(G8="","",(G8/$O$23))</f>
        <v>1.4909225788995926</v>
      </c>
      <c r="H31" s="10">
        <f>IF(H8="","",(H8/$O$23))</f>
        <v>2.489482838603347</v>
      </c>
      <c r="I31" s="10">
        <f>IF(I8="","",(I8/$O$23))</f>
        <v>0.90090215641378779</v>
      </c>
      <c r="J31" s="10">
        <f>IF(J8="","",(J8/$O$23))</f>
        <v>0.63013428185919695</v>
      </c>
      <c r="K31" s="10">
        <f>IF(K8="","",(K8/$O$23))</f>
        <v>0.15068682394268088</v>
      </c>
      <c r="L31" s="10">
        <f>IF(L8="","",(L8/$O$23))</f>
        <v>2.3765911915053155E-3</v>
      </c>
      <c r="M31" s="10">
        <f>IF(M8="","",(M8/$O$23))</f>
        <v>4.5873988567495978E-2</v>
      </c>
      <c r="N31" s="10" t="str">
        <f>IF(N8="","",(N8/$O$23))</f>
        <v/>
      </c>
      <c r="O31" s="10">
        <f t="shared" si="8"/>
        <v>0.97737282013573956</v>
      </c>
      <c r="P31" s="10">
        <f t="shared" si="8"/>
        <v>0.78930982725221932</v>
      </c>
      <c r="Q31" s="10">
        <f t="shared" si="8"/>
        <v>0.35327567005494331</v>
      </c>
      <c r="R31" s="10">
        <f t="shared" si="8"/>
        <v>1.5593791017195322</v>
      </c>
      <c r="S31" s="10">
        <f t="shared" si="8"/>
        <v>1.729662659755024</v>
      </c>
      <c r="T31" s="10">
        <f t="shared" ref="T31:V31" si="12">IF(T8="","",(T8/$O$23))</f>
        <v>1.5085050505252313</v>
      </c>
      <c r="U31" s="10">
        <f t="shared" si="12"/>
        <v>0.76990722857024085</v>
      </c>
      <c r="V31" s="10">
        <f t="shared" si="12"/>
        <v>0.94033758691006031</v>
      </c>
    </row>
    <row r="32" spans="1:22">
      <c r="A32" s="149"/>
      <c r="B32" s="10">
        <f>IF(B9="","",(B9/$O$23))</f>
        <v>5.964715212865436E-3</v>
      </c>
      <c r="C32" s="10">
        <f>IF(C9="","",(C9/$O$23))</f>
        <v>4.7238837963093527E-2</v>
      </c>
      <c r="D32" s="10">
        <f>IF(D9="","",(D9/$O$23))</f>
        <v>9.2433659963498171E-2</v>
      </c>
      <c r="E32" s="10">
        <f>IF(E9="","",(E9/$O$23))</f>
        <v>0.57092519462528313</v>
      </c>
      <c r="F32" s="10">
        <f>IF(F9="","",(F9/$O$23))</f>
        <v>1.2265745742702805</v>
      </c>
      <c r="G32" s="10">
        <f>IF(G9="","",(G9/$O$23))</f>
        <v>1.2898687426696862</v>
      </c>
      <c r="H32" s="10">
        <f>IF(H9="","",(H9/$O$23))</f>
        <v>3.0772476510529718</v>
      </c>
      <c r="I32" s="10">
        <f>IF(I9="","",(I9/$O$23))</f>
        <v>0.53287305577389554</v>
      </c>
      <c r="J32" s="10">
        <f>IF(J9="","",(J9/$O$23))</f>
        <v>0.30538360762208944</v>
      </c>
      <c r="K32" s="10">
        <f>IF(K9="","",(K9/$O$23))</f>
        <v>1.7861441383193285E-2</v>
      </c>
      <c r="L32" s="10">
        <f>IF(L9="","",(L9/$O$23))</f>
        <v>1.3026375413346517E-3</v>
      </c>
      <c r="M32" s="10">
        <f>IF(M9="","",(M9/$O$23))</f>
        <v>0.14217966024305195</v>
      </c>
      <c r="N32" s="10" t="str">
        <f>IF(N9="","",(N9/$O$23))</f>
        <v/>
      </c>
      <c r="O32" s="10">
        <f t="shared" si="8"/>
        <v>1.1338635428774997</v>
      </c>
      <c r="P32" s="10">
        <f t="shared" si="8"/>
        <v>1.6660434159748454</v>
      </c>
      <c r="Q32" s="10">
        <f t="shared" si="8"/>
        <v>0.18607688558359384</v>
      </c>
      <c r="R32" s="10">
        <f t="shared" si="8"/>
        <v>1.6271924818326555</v>
      </c>
      <c r="S32" s="10">
        <f t="shared" si="8"/>
        <v>1.0110507033528087</v>
      </c>
      <c r="T32" s="10">
        <f t="shared" ref="T32:V32" si="13">IF(T9="","",(T9/$O$23))</f>
        <v>0.98658423186149069</v>
      </c>
      <c r="U32" s="10">
        <f t="shared" si="13"/>
        <v>1.0129857870963732</v>
      </c>
      <c r="V32" s="10">
        <f t="shared" si="13"/>
        <v>0.39224930662905882</v>
      </c>
    </row>
    <row r="33" spans="1:22">
      <c r="A33" s="149"/>
      <c r="B33" s="10">
        <f>IF(B10="","",(B10/$O$23))</f>
        <v>2.1780665253426857E-2</v>
      </c>
      <c r="C33" s="10">
        <f>IF(C10="","",(C10/$O$23))</f>
        <v>0.1978934494436857</v>
      </c>
      <c r="D33" s="10">
        <f>IF(D10="","",(D10/$O$23))</f>
        <v>0.23142084390656942</v>
      </c>
      <c r="E33" s="10">
        <f>IF(E10="","",(E10/$O$23))</f>
        <v>0.54953107891692055</v>
      </c>
      <c r="F33" s="10">
        <f>IF(F10="","",(F10/$O$23))</f>
        <v>1.1422856263337493</v>
      </c>
      <c r="G33" s="10">
        <f>IF(G10="","",(G10/$O$23))</f>
        <v>1.137356996685851</v>
      </c>
      <c r="H33" s="10">
        <f>IF(H10="","",(H10/$O$23))</f>
        <v>2.0937850772541982</v>
      </c>
      <c r="I33" s="10">
        <f>IF(I10="","",(I10/$O$23))</f>
        <v>0.97318470827089543</v>
      </c>
      <c r="J33" s="10">
        <f>IF(J10="","",(J10/$O$23))</f>
        <v>1.1776016730808554</v>
      </c>
      <c r="K33" s="10">
        <f>IF(K10="","",(K10/$O$23))</f>
        <v>0.16759787474592919</v>
      </c>
      <c r="L33" s="10">
        <f>IF(L10="","",(L10/$O$23))</f>
        <v>1.0228440299787983E-2</v>
      </c>
      <c r="M33" s="10">
        <f>IF(M10="","",(M10/$O$23))</f>
        <v>0.12909168771708546</v>
      </c>
      <c r="N33" s="10" t="str">
        <f>IF(N10="","",(N10/$O$23))</f>
        <v/>
      </c>
      <c r="O33" s="10">
        <f t="shared" si="8"/>
        <v>0.66064194242375873</v>
      </c>
      <c r="P33" s="10">
        <f t="shared" si="8"/>
        <v>1.4989779074916796</v>
      </c>
      <c r="Q33" s="10">
        <f t="shared" si="8"/>
        <v>0.17737804543970434</v>
      </c>
      <c r="R33" s="10">
        <f t="shared" si="8"/>
        <v>1.6647208608042803</v>
      </c>
      <c r="S33" s="10">
        <f t="shared" si="8"/>
        <v>1.0385804324507666</v>
      </c>
      <c r="T33" s="10">
        <f t="shared" ref="T33:V33" si="14">IF(T10="","",(T10/$O$23))</f>
        <v>1.6686764773797744</v>
      </c>
      <c r="U33" s="10">
        <f t="shared" si="14"/>
        <v>0.77798690093138734</v>
      </c>
      <c r="V33" s="10">
        <f t="shared" si="14"/>
        <v>0.56862999522729962</v>
      </c>
    </row>
    <row r="34" spans="1:22">
      <c r="A34" s="149"/>
      <c r="B34" s="10">
        <f>IF(B11="","",(B11/$O$23))</f>
        <v>0.16829388523403638</v>
      </c>
      <c r="C34" s="10">
        <f>IF(C11="","",(C11/$O$23))</f>
        <v>0.17598872932671883</v>
      </c>
      <c r="D34" s="10">
        <f>IF(D11="","",(D11/$O$23))</f>
        <v>0.21287986711129905</v>
      </c>
      <c r="E34" s="10">
        <f>IF(E11="","",(E11/$O$23))</f>
        <v>0.81762888461967898</v>
      </c>
      <c r="F34" s="10">
        <f>IF(F11="","",(F11/$O$23))</f>
        <v>0.62774232212661885</v>
      </c>
      <c r="G34" s="10">
        <f>IF(G11="","",(G11/$O$23))</f>
        <v>0.7308159304456715</v>
      </c>
      <c r="H34" s="10">
        <f>IF(H11="","",(H11/$O$23))</f>
        <v>2.1733060890082889</v>
      </c>
      <c r="I34" s="10">
        <f>IF(I11="","",(I11/$O$23))</f>
        <v>0.80333196117875783</v>
      </c>
      <c r="J34" s="10">
        <f>IF(J11="","",(J11/$O$23))</f>
        <v>1.0840494292239109</v>
      </c>
      <c r="K34" s="10">
        <f>IF(K11="","",(K11/$O$23))</f>
        <v>0.26910303123725132</v>
      </c>
      <c r="L34" s="10">
        <f>IF(L11="","",(L11/$O$23))</f>
        <v>3.4157381698541919E-2</v>
      </c>
      <c r="M34" s="10">
        <f>IF(M11="","",(M11/$O$23))</f>
        <v>8.5900554627594508E-2</v>
      </c>
      <c r="N34" s="10" t="str">
        <f>IF(N11="","",(N11/$O$23))</f>
        <v/>
      </c>
      <c r="O34" s="10">
        <f t="shared" si="8"/>
        <v>1.0772944021549153</v>
      </c>
      <c r="P34" s="10">
        <f t="shared" si="8"/>
        <v>2.0416590432299389</v>
      </c>
      <c r="Q34" s="10">
        <f t="shared" si="8"/>
        <v>0.27470996681394083</v>
      </c>
      <c r="R34" s="10">
        <f t="shared" si="8"/>
        <v>1.5371162331214037</v>
      </c>
      <c r="S34" s="10">
        <f t="shared" si="8"/>
        <v>1.2230482932581976</v>
      </c>
      <c r="T34" s="10">
        <f t="shared" ref="T34:V34" si="15">IF(T11="","",(T11/$O$23))</f>
        <v>1.7493696784985735</v>
      </c>
      <c r="U34" s="10">
        <f t="shared" si="15"/>
        <v>0.27658345344488539</v>
      </c>
      <c r="V34" s="10">
        <f t="shared" si="15"/>
        <v>0.617518553863317</v>
      </c>
    </row>
    <row r="35" spans="1:22">
      <c r="A35" s="149"/>
      <c r="B35" s="10">
        <f>IF(B12="","",(B12/$O$23))</f>
        <v>0.10065570648914363</v>
      </c>
      <c r="C35" s="10">
        <f>IF(C12="","",(C12/$O$23))</f>
        <v>9.3611259054664137E-2</v>
      </c>
      <c r="D35" s="10">
        <f>IF(D12="","",(D12/$O$23))</f>
        <v>7.6139932718064032E-2</v>
      </c>
      <c r="E35" s="10">
        <f>IF(E12="","",(E12/$O$23))</f>
        <v>0.29129176199324447</v>
      </c>
      <c r="F35" s="10">
        <f>IF(F12="","",(F12/$O$23))</f>
        <v>0.72266273498403244</v>
      </c>
      <c r="G35" s="10">
        <f>IF(G12="","",(G12/$O$23))</f>
        <v>1.8521694808898723</v>
      </c>
      <c r="H35" s="10">
        <f>IF(H12="","",(H12/$O$23))</f>
        <v>2.8835484608905593</v>
      </c>
      <c r="I35" s="10">
        <f>IF(I12="","",(I12/$O$23))</f>
        <v>1.3757636416741659</v>
      </c>
      <c r="J35" s="10">
        <f>IF(J12="","",(J12/$O$23))</f>
        <v>0.51493022259718046</v>
      </c>
      <c r="K35" s="10">
        <f>IF(K12="","",(K12/$O$23))</f>
        <v>0.17953824757290393</v>
      </c>
      <c r="L35" s="10">
        <f>IF(L12="","",(L12/$O$23))</f>
        <v>9.8801768642443749E-2</v>
      </c>
      <c r="M35" s="10">
        <f>IF(M12="","",(M12/$O$23))</f>
        <v>0.1852413287425452</v>
      </c>
      <c r="N35" s="10" t="str">
        <f>IF(N12="","",(N12/$O$23))</f>
        <v/>
      </c>
      <c r="O35" s="10">
        <f t="shared" si="8"/>
        <v>1.2834986668174833</v>
      </c>
      <c r="P35" s="10">
        <f t="shared" si="8"/>
        <v>2.2235871604138349</v>
      </c>
      <c r="Q35" s="10">
        <f t="shared" si="8"/>
        <v>0.33566651864200192</v>
      </c>
      <c r="R35" s="10">
        <f t="shared" si="8"/>
        <v>1.7128045996813948</v>
      </c>
      <c r="S35" s="10">
        <f t="shared" si="8"/>
        <v>1.8299684553010209</v>
      </c>
      <c r="T35" s="10">
        <f t="shared" ref="T35:V35" si="16">IF(T12="","",(T12/$O$23))</f>
        <v>2.2923709716844622</v>
      </c>
      <c r="U35" s="10">
        <f t="shared" si="16"/>
        <v>1.8924239931511633</v>
      </c>
      <c r="V35" s="10">
        <f t="shared" si="16"/>
        <v>0.42720806553330337</v>
      </c>
    </row>
    <row r="36" spans="1:22">
      <c r="A36" s="149"/>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8"/>
        <v>1.5685099822900617</v>
      </c>
      <c r="P36" s="10" t="str">
        <f t="shared" si="8"/>
        <v/>
      </c>
      <c r="Q36" s="10" t="str">
        <f t="shared" si="8"/>
        <v/>
      </c>
      <c r="R36" s="10" t="str">
        <f t="shared" si="8"/>
        <v/>
      </c>
      <c r="S36" s="10" t="str">
        <f t="shared" si="8"/>
        <v/>
      </c>
      <c r="T36" s="10" t="str">
        <f t="shared" ref="T36:V36" si="17">IF(T13="","",(T13/$O$23))</f>
        <v/>
      </c>
      <c r="U36" s="10" t="str">
        <f t="shared" si="17"/>
        <v/>
      </c>
      <c r="V36" s="10" t="str">
        <f t="shared" si="17"/>
        <v/>
      </c>
    </row>
    <row r="37" spans="1:22">
      <c r="A37" s="149"/>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8"/>
        <v>1.3830668953403122</v>
      </c>
      <c r="P37" s="10" t="str">
        <f t="shared" si="8"/>
        <v/>
      </c>
      <c r="Q37" s="10" t="str">
        <f t="shared" si="8"/>
        <v/>
      </c>
      <c r="R37" s="10" t="str">
        <f t="shared" si="8"/>
        <v/>
      </c>
      <c r="S37" s="10" t="str">
        <f t="shared" si="8"/>
        <v/>
      </c>
      <c r="T37" s="10" t="str">
        <f t="shared" ref="T37:V37" si="18">IF(T14="","",(T14/$O$23))</f>
        <v/>
      </c>
      <c r="U37" s="10" t="str">
        <f t="shared" si="18"/>
        <v/>
      </c>
      <c r="V37" s="10" t="str">
        <f t="shared" si="18"/>
        <v/>
      </c>
    </row>
    <row r="38" spans="1:22">
      <c r="A38" s="149"/>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V38" si="19">IF(O15="","",(O15/$O$23))</f>
        <v>0.70323505484302307</v>
      </c>
      <c r="P38" s="10" t="str">
        <f t="shared" si="19"/>
        <v/>
      </c>
      <c r="Q38" s="10" t="str">
        <f t="shared" si="19"/>
        <v/>
      </c>
      <c r="R38" s="10" t="str">
        <f t="shared" si="19"/>
        <v/>
      </c>
      <c r="S38" s="10" t="str">
        <f t="shared" si="19"/>
        <v/>
      </c>
      <c r="T38" s="10" t="str">
        <f t="shared" si="19"/>
        <v/>
      </c>
      <c r="U38" s="10" t="str">
        <f t="shared" si="19"/>
        <v/>
      </c>
      <c r="V38" s="10" t="str">
        <f t="shared" si="19"/>
        <v/>
      </c>
    </row>
    <row r="39" spans="1:22">
      <c r="A39" s="149"/>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V39" si="20">IF(O16="","",(O16/$O$23))</f>
        <v>0.4218343629359354</v>
      </c>
      <c r="P39" s="10" t="str">
        <f t="shared" si="20"/>
        <v/>
      </c>
      <c r="Q39" s="10" t="str">
        <f t="shared" si="20"/>
        <v/>
      </c>
      <c r="R39" s="10" t="str">
        <f t="shared" si="20"/>
        <v/>
      </c>
      <c r="S39" s="10" t="str">
        <f t="shared" si="20"/>
        <v/>
      </c>
      <c r="T39" s="10" t="str">
        <f t="shared" si="20"/>
        <v/>
      </c>
      <c r="U39" s="10" t="str">
        <f t="shared" si="20"/>
        <v/>
      </c>
      <c r="V39" s="10" t="str">
        <f t="shared" si="20"/>
        <v/>
      </c>
    </row>
    <row r="40" spans="1:22">
      <c r="A40" s="149"/>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0" si="21">IF(O17="","",(O17/$O$23))</f>
        <v>1.0587189998276418</v>
      </c>
      <c r="P40" s="10" t="str">
        <f t="shared" si="21"/>
        <v/>
      </c>
      <c r="Q40" s="10" t="str">
        <f t="shared" si="21"/>
        <v/>
      </c>
      <c r="R40" s="10" t="str">
        <f t="shared" si="21"/>
        <v/>
      </c>
      <c r="S40" s="10" t="str">
        <f t="shared" si="21"/>
        <v/>
      </c>
      <c r="T40" s="10" t="str">
        <f t="shared" si="21"/>
        <v/>
      </c>
      <c r="U40" s="10" t="str">
        <f t="shared" si="21"/>
        <v/>
      </c>
      <c r="V40" s="10" t="str">
        <f t="shared" si="21"/>
        <v/>
      </c>
    </row>
    <row r="41" spans="1:22">
      <c r="A41" s="149"/>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V41" si="22">IF(O18="","",(O18/$O$23))</f>
        <v>1.6380512782130874</v>
      </c>
      <c r="P41" s="10" t="str">
        <f t="shared" si="22"/>
        <v/>
      </c>
      <c r="Q41" s="10" t="str">
        <f t="shared" si="22"/>
        <v/>
      </c>
      <c r="R41" s="10" t="str">
        <f t="shared" si="22"/>
        <v/>
      </c>
      <c r="S41" s="10" t="str">
        <f t="shared" si="22"/>
        <v/>
      </c>
      <c r="T41" s="10" t="str">
        <f t="shared" si="22"/>
        <v/>
      </c>
      <c r="U41" s="10" t="str">
        <f t="shared" si="22"/>
        <v/>
      </c>
      <c r="V41" s="10" t="str">
        <f t="shared" si="22"/>
        <v/>
      </c>
    </row>
    <row r="42" spans="1:22">
      <c r="A42" s="149"/>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V42" si="23">IF(O19="","",(O19/$O$23))</f>
        <v>0.61772547590032179</v>
      </c>
      <c r="P42" s="10" t="str">
        <f t="shared" si="23"/>
        <v/>
      </c>
      <c r="Q42" s="10" t="str">
        <f t="shared" si="23"/>
        <v/>
      </c>
      <c r="R42" s="10" t="str">
        <f t="shared" si="23"/>
        <v/>
      </c>
      <c r="S42" s="10" t="str">
        <f t="shared" si="23"/>
        <v/>
      </c>
      <c r="T42" s="10" t="str">
        <f t="shared" si="23"/>
        <v/>
      </c>
      <c r="U42" s="10" t="str">
        <f t="shared" si="23"/>
        <v/>
      </c>
      <c r="V42" s="10" t="str">
        <f t="shared" si="23"/>
        <v/>
      </c>
    </row>
    <row r="43" spans="1:22">
      <c r="A43" s="149"/>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V43" si="24">IF(O20="","",(O20/$O$23))</f>
        <v>0.38158415386614475</v>
      </c>
      <c r="P43" s="10" t="str">
        <f t="shared" si="24"/>
        <v/>
      </c>
      <c r="Q43" s="10" t="str">
        <f t="shared" si="24"/>
        <v/>
      </c>
      <c r="R43" s="10" t="str">
        <f t="shared" si="24"/>
        <v/>
      </c>
      <c r="S43" s="10" t="str">
        <f t="shared" si="24"/>
        <v/>
      </c>
      <c r="T43" s="10" t="str">
        <f t="shared" si="24"/>
        <v/>
      </c>
      <c r="U43" s="10" t="str">
        <f t="shared" si="24"/>
        <v/>
      </c>
      <c r="V43" s="10" t="str">
        <f t="shared" si="24"/>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R45" si="25">B4</f>
        <v>Solvent control</v>
      </c>
      <c r="C45" s="6" t="str">
        <f t="shared" si="25"/>
        <v>EE2-33.8ng/L</v>
      </c>
      <c r="D45" s="6" t="str">
        <f t="shared" si="25"/>
        <v>EE2-50.6ng/L</v>
      </c>
      <c r="E45" s="6" t="str">
        <f t="shared" si="25"/>
        <v>EE2-76ng/L</v>
      </c>
      <c r="F45" s="6" t="str">
        <f t="shared" si="25"/>
        <v>EE2-114ng/L</v>
      </c>
      <c r="G45" s="6" t="str">
        <f t="shared" si="25"/>
        <v>EE2-170.9ng/L</v>
      </c>
      <c r="H45" s="6" t="str">
        <f t="shared" si="25"/>
        <v>EE2-488ng/L</v>
      </c>
      <c r="I45" s="6" t="str">
        <f t="shared" si="25"/>
        <v>BPA-5mg/L</v>
      </c>
      <c r="J45" s="6" t="str">
        <f t="shared" si="25"/>
        <v>BPA-4mg/L</v>
      </c>
      <c r="K45" s="6" t="str">
        <f t="shared" ref="K45:N45" si="26">K4</f>
        <v>BPA-3mg/L</v>
      </c>
      <c r="L45" s="6" t="str">
        <f t="shared" si="26"/>
        <v>BPA-2mg/L</v>
      </c>
      <c r="M45" s="6" t="str">
        <f t="shared" si="26"/>
        <v>BPA-1mg/L</v>
      </c>
      <c r="N45" s="6" t="str">
        <f t="shared" si="26"/>
        <v/>
      </c>
      <c r="O45" s="6" t="str">
        <f t="shared" si="25"/>
        <v>Testo -30µg/L</v>
      </c>
      <c r="P45" s="6" t="str">
        <f t="shared" si="25"/>
        <v>Testo 30µg/L + EE2 -64ng/L</v>
      </c>
      <c r="Q45" s="6" t="str">
        <f t="shared" si="25"/>
        <v>Testo 30µg/L + FAD-10mg/L</v>
      </c>
      <c r="R45" s="6" t="str">
        <f t="shared" si="25"/>
        <v>BPA-5mg/L + Testostérone</v>
      </c>
      <c r="S45" s="6" t="str">
        <f t="shared" ref="S45:V45" si="27">S4</f>
        <v>BPA-4mg/L + Testostérone</v>
      </c>
      <c r="T45" s="6" t="str">
        <f t="shared" si="27"/>
        <v>BPA-3mg/L + Testostérone</v>
      </c>
      <c r="U45" s="6" t="str">
        <f t="shared" si="27"/>
        <v>BPA-2mg/L + Testostérone</v>
      </c>
      <c r="V45" s="6" t="str">
        <f t="shared" si="27"/>
        <v>BPA-1mg/L + Testostérone</v>
      </c>
    </row>
    <row r="46" spans="1:22">
      <c r="A46" s="7" t="s">
        <v>0</v>
      </c>
      <c r="B46" s="9">
        <f t="shared" ref="B46:H46" si="28">AVERAGE(B28:B43)</f>
        <v>0.11063705138556235</v>
      </c>
      <c r="C46" s="9">
        <f t="shared" si="28"/>
        <v>0.1604548227519263</v>
      </c>
      <c r="D46" s="9">
        <f t="shared" si="28"/>
        <v>0.14663796642849783</v>
      </c>
      <c r="E46" s="9">
        <f t="shared" si="28"/>
        <v>0.56713614229793663</v>
      </c>
      <c r="F46" s="9">
        <f t="shared" si="28"/>
        <v>0.99846122482508104</v>
      </c>
      <c r="G46" s="9">
        <f t="shared" si="28"/>
        <v>1.2670348098223727</v>
      </c>
      <c r="H46" s="9">
        <f t="shared" si="28"/>
        <v>2.3775270588139463</v>
      </c>
      <c r="I46" s="9">
        <f>AVERAGE(I28:I43)</f>
        <v>0.97264531858486158</v>
      </c>
      <c r="J46" s="8">
        <f>AVERAGE(J28:J43)</f>
        <v>0.67840465629910007</v>
      </c>
      <c r="K46" s="8">
        <f t="shared" ref="K46:N46" si="29">AVERAGE(K28:K43)</f>
        <v>0.15469115879337586</v>
      </c>
      <c r="L46" s="8">
        <f t="shared" si="29"/>
        <v>5.735438096016035E-2</v>
      </c>
      <c r="M46" s="8">
        <f t="shared" si="29"/>
        <v>9.2183752117112591E-2</v>
      </c>
      <c r="N46" s="8" t="e">
        <f t="shared" si="29"/>
        <v>#DIV/0!</v>
      </c>
      <c r="O46" s="9">
        <f t="shared" ref="O46:R46" si="30">AVERAGE(O28:O43)</f>
        <v>1</v>
      </c>
      <c r="P46" s="9">
        <f t="shared" si="30"/>
        <v>1.6763771307809825</v>
      </c>
      <c r="Q46" s="9">
        <f t="shared" si="30"/>
        <v>0.18285640780177842</v>
      </c>
      <c r="R46" s="9">
        <f t="shared" si="30"/>
        <v>1.6190250243649007</v>
      </c>
      <c r="S46" s="9">
        <f t="shared" ref="S46:V46" si="31">AVERAGE(S28:S43)</f>
        <v>1.43196548963365</v>
      </c>
      <c r="T46" s="9">
        <f t="shared" si="31"/>
        <v>1.6047451600045708</v>
      </c>
      <c r="U46" s="9">
        <f t="shared" si="31"/>
        <v>0.82070760297863843</v>
      </c>
      <c r="V46" s="9">
        <f t="shared" si="31"/>
        <v>0.51528890897727975</v>
      </c>
    </row>
    <row r="47" spans="1:22">
      <c r="A47" s="7" t="s">
        <v>1</v>
      </c>
      <c r="B47" s="7">
        <f t="shared" ref="B47:J47" si="32">STDEV(B28:B43)</f>
        <v>0.13354855600408308</v>
      </c>
      <c r="C47" s="7">
        <f t="shared" si="32"/>
        <v>0.15413573735496003</v>
      </c>
      <c r="D47" s="7">
        <f t="shared" si="32"/>
        <v>8.9719853529244623E-2</v>
      </c>
      <c r="E47" s="7">
        <f t="shared" si="32"/>
        <v>0.26247600791214748</v>
      </c>
      <c r="F47" s="7">
        <f t="shared" si="32"/>
        <v>0.27744795060077637</v>
      </c>
      <c r="G47" s="7">
        <f t="shared" si="32"/>
        <v>0.41298887870753936</v>
      </c>
      <c r="H47" s="7">
        <f t="shared" si="32"/>
        <v>0.47573595729149798</v>
      </c>
      <c r="I47" s="7">
        <f t="shared" si="32"/>
        <v>0.30654718758656185</v>
      </c>
      <c r="J47" s="7">
        <f t="shared" si="32"/>
        <v>0.311668859131912</v>
      </c>
      <c r="K47" s="7">
        <f t="shared" ref="K47:N47" si="33">STDEV(K28:K43)</f>
        <v>7.0809688654423483E-2</v>
      </c>
      <c r="L47" s="7">
        <f t="shared" si="33"/>
        <v>6.4125816836563487E-2</v>
      </c>
      <c r="M47" s="7">
        <f t="shared" si="33"/>
        <v>6.6752243614811788E-2</v>
      </c>
      <c r="N47" s="7" t="e">
        <f t="shared" si="33"/>
        <v>#DIV/0!</v>
      </c>
      <c r="O47" s="7">
        <f t="shared" ref="O47:R47" si="34">STDEV(O28:O43)</f>
        <v>0.39348747651847132</v>
      </c>
      <c r="P47" s="7">
        <f t="shared" si="34"/>
        <v>0.48118936552275304</v>
      </c>
      <c r="Q47" s="7">
        <f t="shared" si="34"/>
        <v>0.13092495292569728</v>
      </c>
      <c r="R47" s="7">
        <f t="shared" si="34"/>
        <v>0.20847398226708269</v>
      </c>
      <c r="S47" s="7">
        <f t="shared" ref="S47:V47" si="35">STDEV(S28:S43)</f>
        <v>0.37795797747251081</v>
      </c>
      <c r="T47" s="7">
        <f t="shared" si="35"/>
        <v>0.38838261694581866</v>
      </c>
      <c r="U47" s="7">
        <f t="shared" si="35"/>
        <v>0.49226930067652064</v>
      </c>
      <c r="V47" s="7">
        <f t="shared" si="35"/>
        <v>0.20735459944768345</v>
      </c>
    </row>
    <row r="48" spans="1:22">
      <c r="A48" s="7" t="s">
        <v>2</v>
      </c>
      <c r="B48" s="7">
        <f t="shared" ref="B48:J48" si="36" xml:space="preserve"> B47/SQRT(COUNT(B28:B43))</f>
        <v>4.721654478407928E-2</v>
      </c>
      <c r="C48" s="7">
        <f t="shared" si="36"/>
        <v>5.4495212553440434E-2</v>
      </c>
      <c r="D48" s="7">
        <f t="shared" si="36"/>
        <v>3.1720758418796333E-2</v>
      </c>
      <c r="E48" s="7">
        <f t="shared" si="36"/>
        <v>9.2799282546726689E-2</v>
      </c>
      <c r="F48" s="7">
        <f t="shared" si="36"/>
        <v>9.8092663648059603E-2</v>
      </c>
      <c r="G48" s="7">
        <f t="shared" si="36"/>
        <v>0.14601361834436483</v>
      </c>
      <c r="H48" s="7">
        <f t="shared" si="36"/>
        <v>0.16819806072754598</v>
      </c>
      <c r="I48" s="7">
        <f t="shared" si="36"/>
        <v>0.10838079754806126</v>
      </c>
      <c r="J48" s="7">
        <f t="shared" si="36"/>
        <v>0.1101915818884249</v>
      </c>
      <c r="K48" s="7">
        <f t="shared" ref="K48:N48" si="37" xml:space="preserve"> K47/SQRT(COUNT(K28:K43))</f>
        <v>2.5035005510625489E-2</v>
      </c>
      <c r="L48" s="7">
        <f t="shared" si="37"/>
        <v>2.267189996713026E-2</v>
      </c>
      <c r="M48" s="7">
        <f t="shared" si="37"/>
        <v>2.3600482059724915E-2</v>
      </c>
      <c r="N48" s="7" t="e">
        <f t="shared" si="37"/>
        <v>#DIV/0!</v>
      </c>
      <c r="O48" s="7">
        <f t="shared" ref="O48:R48" si="38" xml:space="preserve"> O47/SQRT(COUNT(O28:O43))</f>
        <v>9.8371869129617831E-2</v>
      </c>
      <c r="P48" s="7">
        <f t="shared" si="38"/>
        <v>0.17012613169799548</v>
      </c>
      <c r="Q48" s="7">
        <f t="shared" si="38"/>
        <v>4.6288961020145028E-2</v>
      </c>
      <c r="R48" s="7">
        <f t="shared" si="38"/>
        <v>7.3706683281009114E-2</v>
      </c>
      <c r="S48" s="7">
        <f t="shared" ref="S48:V48" si="39" xml:space="preserve"> S47/SQRT(COUNT(S28:S43))</f>
        <v>0.13362832443718237</v>
      </c>
      <c r="T48" s="7">
        <f t="shared" si="39"/>
        <v>0.13731399106868283</v>
      </c>
      <c r="U48" s="7">
        <f t="shared" si="39"/>
        <v>0.17404348033916361</v>
      </c>
      <c r="V48" s="7">
        <f t="shared" si="39"/>
        <v>7.3310921689838646E-2</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24</v>
      </c>
      <c r="B50" s="141"/>
      <c r="C50" s="141"/>
      <c r="D50" s="141"/>
      <c r="E50" s="141"/>
      <c r="F50" s="141"/>
      <c r="G50" s="141"/>
      <c r="H50" s="141"/>
      <c r="I50" s="141"/>
      <c r="J50" s="141"/>
      <c r="K50" s="141"/>
      <c r="L50" s="141"/>
      <c r="M50" s="141"/>
      <c r="N50" s="141"/>
      <c r="O50" s="141"/>
      <c r="P50" s="141"/>
      <c r="Q50" s="141"/>
      <c r="R50" s="141"/>
      <c r="S50" s="141"/>
      <c r="T50" s="141"/>
      <c r="U50" s="141"/>
      <c r="V50" s="141"/>
    </row>
    <row r="51" spans="1:22" customFormat="1" ht="15.75" thickBot="1"/>
    <row r="52" spans="1:22">
      <c r="A52" s="28" t="str">
        <f t="shared" ref="A52:H52" si="40">A27</f>
        <v>Noms des groupes</v>
      </c>
      <c r="B52" s="29" t="str">
        <f t="shared" si="40"/>
        <v>Solvent control</v>
      </c>
      <c r="C52" s="29" t="str">
        <f t="shared" si="40"/>
        <v>EE2-33.8ng/L</v>
      </c>
      <c r="D52" s="29" t="str">
        <f t="shared" si="40"/>
        <v>EE2-50.6ng/L</v>
      </c>
      <c r="E52" s="29" t="str">
        <f t="shared" si="40"/>
        <v>EE2-76ng/L</v>
      </c>
      <c r="F52" s="29" t="str">
        <f t="shared" si="40"/>
        <v>EE2-114ng/L</v>
      </c>
      <c r="G52" s="29" t="str">
        <f t="shared" si="40"/>
        <v>EE2-170.9ng/L</v>
      </c>
      <c r="H52" s="29" t="str">
        <f t="shared" si="40"/>
        <v>EE2-488ng/L</v>
      </c>
      <c r="I52" s="29" t="str">
        <f>I4</f>
        <v>BPA-5mg/L</v>
      </c>
      <c r="J52" s="29" t="str">
        <f>J4</f>
        <v>BPA-4mg/L</v>
      </c>
      <c r="K52" s="29" t="str">
        <f t="shared" ref="K52:N52" si="41">K4</f>
        <v>BPA-3mg/L</v>
      </c>
      <c r="L52" s="29" t="str">
        <f t="shared" si="41"/>
        <v>BPA-2mg/L</v>
      </c>
      <c r="M52" s="29" t="str">
        <f t="shared" si="41"/>
        <v>BPA-1mg/L</v>
      </c>
      <c r="N52" s="29" t="str">
        <f t="shared" si="41"/>
        <v/>
      </c>
      <c r="O52" s="29" t="str">
        <f>O27</f>
        <v>Testo -30µg/L</v>
      </c>
      <c r="P52" s="29" t="str">
        <f>P27</f>
        <v>Testo 30µg/L + EE2 -64ng/L</v>
      </c>
      <c r="Q52" s="29" t="str">
        <f>Q27</f>
        <v>Testo 30µg/L + FAD-10mg/L</v>
      </c>
      <c r="R52" s="29" t="str">
        <f>R27</f>
        <v>BPA-5mg/L + Testostérone</v>
      </c>
      <c r="S52" s="29" t="str">
        <f t="shared" ref="S52:V52" si="42">S27</f>
        <v>BPA-4mg/L + Testostérone</v>
      </c>
      <c r="T52" s="29" t="str">
        <f t="shared" si="42"/>
        <v>BPA-3mg/L + Testostérone</v>
      </c>
      <c r="U52" s="29" t="str">
        <f t="shared" si="42"/>
        <v>BPA-2mg/L + Testostérone</v>
      </c>
      <c r="V52" s="29" t="str">
        <f t="shared" si="42"/>
        <v>BPA-1mg/L + Testostérone</v>
      </c>
    </row>
    <row r="53" spans="1:22" s="3" customFormat="1">
      <c r="A53" s="43" t="s">
        <v>15</v>
      </c>
      <c r="B53" s="75">
        <f t="shared" ref="B53" si="43">B46</f>
        <v>0.11063705138556235</v>
      </c>
      <c r="C53" s="75">
        <f t="shared" ref="C53:V53" si="44">C46</f>
        <v>0.1604548227519263</v>
      </c>
      <c r="D53" s="75">
        <f t="shared" si="44"/>
        <v>0.14663796642849783</v>
      </c>
      <c r="E53" s="75">
        <f t="shared" si="44"/>
        <v>0.56713614229793663</v>
      </c>
      <c r="F53" s="75">
        <f t="shared" si="44"/>
        <v>0.99846122482508104</v>
      </c>
      <c r="G53" s="75">
        <f t="shared" si="44"/>
        <v>1.2670348098223727</v>
      </c>
      <c r="H53" s="75">
        <f t="shared" si="44"/>
        <v>2.3775270588139463</v>
      </c>
      <c r="I53" s="75">
        <f t="shared" si="44"/>
        <v>0.97264531858486158</v>
      </c>
      <c r="J53" s="75">
        <f t="shared" si="44"/>
        <v>0.67840465629910007</v>
      </c>
      <c r="K53" s="75">
        <f t="shared" si="44"/>
        <v>0.15469115879337586</v>
      </c>
      <c r="L53" s="75">
        <f t="shared" si="44"/>
        <v>5.735438096016035E-2</v>
      </c>
      <c r="M53" s="75">
        <f t="shared" si="44"/>
        <v>9.2183752117112591E-2</v>
      </c>
      <c r="N53" s="75" t="e">
        <f t="shared" si="44"/>
        <v>#DIV/0!</v>
      </c>
      <c r="O53" s="75">
        <f t="shared" si="44"/>
        <v>1</v>
      </c>
      <c r="P53" s="75">
        <f t="shared" si="44"/>
        <v>1.6763771307809825</v>
      </c>
      <c r="Q53" s="75">
        <f t="shared" si="44"/>
        <v>0.18285640780177842</v>
      </c>
      <c r="R53" s="75">
        <f t="shared" si="44"/>
        <v>1.6190250243649007</v>
      </c>
      <c r="S53" s="75">
        <f t="shared" si="44"/>
        <v>1.43196548963365</v>
      </c>
      <c r="T53" s="75">
        <f t="shared" si="44"/>
        <v>1.6047451600045708</v>
      </c>
      <c r="U53" s="75">
        <f t="shared" si="44"/>
        <v>0.82070760297863843</v>
      </c>
      <c r="V53" s="75">
        <f t="shared" si="44"/>
        <v>0.51528890897727975</v>
      </c>
    </row>
    <row r="54" spans="1:22" s="3" customFormat="1">
      <c r="A54" s="43" t="s">
        <v>2</v>
      </c>
      <c r="B54" s="75">
        <f t="shared" ref="B54" si="45">B48</f>
        <v>4.721654478407928E-2</v>
      </c>
      <c r="C54" s="75">
        <f t="shared" ref="C54:V54" si="46">C48</f>
        <v>5.4495212553440434E-2</v>
      </c>
      <c r="D54" s="75">
        <f t="shared" si="46"/>
        <v>3.1720758418796333E-2</v>
      </c>
      <c r="E54" s="75">
        <f t="shared" si="46"/>
        <v>9.2799282546726689E-2</v>
      </c>
      <c r="F54" s="75">
        <f t="shared" si="46"/>
        <v>9.8092663648059603E-2</v>
      </c>
      <c r="G54" s="75">
        <f t="shared" si="46"/>
        <v>0.14601361834436483</v>
      </c>
      <c r="H54" s="75">
        <f t="shared" si="46"/>
        <v>0.16819806072754598</v>
      </c>
      <c r="I54" s="75">
        <f t="shared" si="46"/>
        <v>0.10838079754806126</v>
      </c>
      <c r="J54" s="75">
        <f t="shared" si="46"/>
        <v>0.1101915818884249</v>
      </c>
      <c r="K54" s="75">
        <f t="shared" si="46"/>
        <v>2.5035005510625489E-2</v>
      </c>
      <c r="L54" s="75">
        <f t="shared" si="46"/>
        <v>2.267189996713026E-2</v>
      </c>
      <c r="M54" s="75">
        <f t="shared" si="46"/>
        <v>2.3600482059724915E-2</v>
      </c>
      <c r="N54" s="75" t="e">
        <f t="shared" si="46"/>
        <v>#DIV/0!</v>
      </c>
      <c r="O54" s="75">
        <f t="shared" si="46"/>
        <v>9.8371869129617831E-2</v>
      </c>
      <c r="P54" s="75">
        <f t="shared" si="46"/>
        <v>0.17012613169799548</v>
      </c>
      <c r="Q54" s="75">
        <f t="shared" si="46"/>
        <v>4.6288961020145028E-2</v>
      </c>
      <c r="R54" s="75">
        <f t="shared" si="46"/>
        <v>7.3706683281009114E-2</v>
      </c>
      <c r="S54" s="75">
        <f t="shared" si="46"/>
        <v>0.13362832443718237</v>
      </c>
      <c r="T54" s="75">
        <f t="shared" si="46"/>
        <v>0.13731399106868283</v>
      </c>
      <c r="U54" s="75">
        <f t="shared" si="46"/>
        <v>0.17404348033916361</v>
      </c>
      <c r="V54" s="75">
        <f t="shared" si="46"/>
        <v>7.3310921689838646E-2</v>
      </c>
    </row>
    <row r="55" spans="1:22" s="3" customFormat="1">
      <c r="A55" s="43" t="s">
        <v>42</v>
      </c>
      <c r="B55" s="75">
        <f>(B53*100/$B53)-100</f>
        <v>0</v>
      </c>
      <c r="C55" s="75">
        <f t="shared" ref="C55:N55" si="47">(C53*100/$B53)-100</f>
        <v>45.02810834387887</v>
      </c>
      <c r="D55" s="75">
        <f t="shared" si="47"/>
        <v>32.539655198758709</v>
      </c>
      <c r="E55" s="75">
        <f t="shared" si="47"/>
        <v>412.60959614831654</v>
      </c>
      <c r="F55" s="75">
        <f t="shared" si="47"/>
        <v>802.46550529036961</v>
      </c>
      <c r="G55" s="75">
        <f t="shared" si="47"/>
        <v>1045.2174420365247</v>
      </c>
      <c r="H55" s="75">
        <f t="shared" si="47"/>
        <v>2048.9428984585206</v>
      </c>
      <c r="I55" s="75">
        <f t="shared" si="47"/>
        <v>779.13163484017753</v>
      </c>
      <c r="J55" s="75">
        <f t="shared" si="47"/>
        <v>513.18034763499577</v>
      </c>
      <c r="K55" s="75">
        <f t="shared" si="47"/>
        <v>39.818584150700161</v>
      </c>
      <c r="L55" s="75">
        <f t="shared" si="47"/>
        <v>-48.159879315398264</v>
      </c>
      <c r="M55" s="75">
        <f t="shared" si="47"/>
        <v>-16.679131482039693</v>
      </c>
      <c r="N55" s="75" t="e">
        <f t="shared" si="47"/>
        <v>#DIV/0!</v>
      </c>
      <c r="O55" s="75">
        <f>(O53*100/$O53)-100</f>
        <v>0</v>
      </c>
      <c r="P55" s="75">
        <f t="shared" ref="P55:V55" si="48">(P53*100/$O53)-100</f>
        <v>67.637713078098244</v>
      </c>
      <c r="Q55" s="75">
        <f t="shared" si="48"/>
        <v>-81.714359219822157</v>
      </c>
      <c r="R55" s="75">
        <f t="shared" si="48"/>
        <v>61.902502436490067</v>
      </c>
      <c r="S55" s="75">
        <f t="shared" si="48"/>
        <v>43.19654896336499</v>
      </c>
      <c r="T55" s="75">
        <f t="shared" si="48"/>
        <v>60.474516000457072</v>
      </c>
      <c r="U55" s="75">
        <f t="shared" si="48"/>
        <v>-17.929239702136158</v>
      </c>
      <c r="V55" s="75">
        <f t="shared" si="48"/>
        <v>-48.471109102272024</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49">IF(C56&gt;0.05,"Oui","Non")</f>
        <v>#NAME?</v>
      </c>
      <c r="D57" s="75" t="e">
        <f t="shared" ca="1" si="49"/>
        <v>#NAME?</v>
      </c>
      <c r="E57" s="75" t="e">
        <f t="shared" ca="1" si="49"/>
        <v>#NAME?</v>
      </c>
      <c r="F57" s="75" t="e">
        <f t="shared" ca="1" si="49"/>
        <v>#NAME?</v>
      </c>
      <c r="G57" s="75" t="e">
        <f t="shared" ca="1" si="49"/>
        <v>#NAME?</v>
      </c>
      <c r="H57" s="75" t="e">
        <f t="shared" ca="1" si="49"/>
        <v>#NAME?</v>
      </c>
      <c r="I57" s="75" t="e">
        <f t="shared" ca="1" si="49"/>
        <v>#NAME?</v>
      </c>
      <c r="J57" s="75" t="e">
        <f t="shared" ca="1" si="49"/>
        <v>#NAME?</v>
      </c>
      <c r="K57" s="75" t="e">
        <f t="shared" ca="1" si="49"/>
        <v>#NAME?</v>
      </c>
      <c r="L57" s="75" t="e">
        <f t="shared" ca="1" si="49"/>
        <v>#NAME?</v>
      </c>
      <c r="M57" s="75" t="e">
        <f t="shared" ca="1" si="49"/>
        <v>#NAME?</v>
      </c>
      <c r="N57" s="75" t="e">
        <f t="shared" ca="1" si="49"/>
        <v>#NAME?</v>
      </c>
      <c r="O57" s="75" t="e">
        <f t="shared" ca="1" si="49"/>
        <v>#NAME?</v>
      </c>
      <c r="P57" s="75" t="e">
        <f t="shared" ca="1" si="49"/>
        <v>#NAME?</v>
      </c>
      <c r="Q57" s="75" t="e">
        <f t="shared" ca="1" si="49"/>
        <v>#NAME?</v>
      </c>
      <c r="R57" s="75" t="e">
        <f t="shared" ca="1" si="49"/>
        <v>#NAME?</v>
      </c>
      <c r="S57" s="75" t="e">
        <f t="shared" ca="1" si="49"/>
        <v>#NAME?</v>
      </c>
      <c r="T57" s="75" t="e">
        <f t="shared" ca="1" si="49"/>
        <v>#NAME?</v>
      </c>
      <c r="U57" s="75" t="e">
        <f t="shared" ca="1" si="49"/>
        <v>#NAME?</v>
      </c>
      <c r="V57" s="75" t="e">
        <f t="shared" ca="1" si="49"/>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50">IF($B57="Non",IF(C57="Non","MW",IF(C57="Oui","MW","")),IF($B57="Oui",IF(C57="Oui","T-Test Welch",IF(C57="Non","MW",""))))</f>
        <v>#NAME?</v>
      </c>
      <c r="D59" s="78" t="e">
        <f t="shared" ca="1" si="50"/>
        <v>#NAME?</v>
      </c>
      <c r="E59" s="78" t="e">
        <f t="shared" ca="1" si="50"/>
        <v>#NAME?</v>
      </c>
      <c r="F59" s="78" t="e">
        <f t="shared" ca="1" si="50"/>
        <v>#NAME?</v>
      </c>
      <c r="G59" s="78" t="e">
        <f t="shared" ca="1" si="50"/>
        <v>#NAME?</v>
      </c>
      <c r="H59" s="78" t="e">
        <f t="shared" ca="1" si="50"/>
        <v>#NAME?</v>
      </c>
      <c r="I59" s="78" t="e">
        <f t="shared" ca="1" si="50"/>
        <v>#NAME?</v>
      </c>
      <c r="J59" s="78" t="e">
        <f t="shared" ca="1" si="50"/>
        <v>#NAME?</v>
      </c>
      <c r="K59" s="78" t="e">
        <f t="shared" ca="1" si="50"/>
        <v>#NAME?</v>
      </c>
      <c r="L59" s="78" t="e">
        <f t="shared" ca="1" si="50"/>
        <v>#NAME?</v>
      </c>
      <c r="M59" s="78" t="e">
        <f t="shared" ca="1" si="50"/>
        <v>#NAME?</v>
      </c>
      <c r="N59" s="78" t="e">
        <f t="shared" ca="1" si="50"/>
        <v>#NAME?</v>
      </c>
      <c r="O59" s="78" t="e">
        <f t="shared" ca="1" si="50"/>
        <v>#NAME?</v>
      </c>
      <c r="P59" s="78" t="e">
        <f ca="1">IF($O57="Non",IF(P57="Non","MW",IF(P57="Oui","MW","")),IF($O57="Oui",IF(P57="Oui","T-Test Welch",IF(P57="Non","MW",""))))</f>
        <v>#NAME?</v>
      </c>
      <c r="Q59" s="78" t="e">
        <f t="shared" ref="Q59:V59" ca="1" si="51">IF($O57="Non",IF(Q57="Non","MW",IF(Q57="Oui","MW","")),IF($O57="Oui",IF(Q57="Oui","T-Test Welch",IF(Q57="Non","MW",""))))</f>
        <v>#NAME?</v>
      </c>
      <c r="R59" s="78" t="e">
        <f t="shared" ca="1" si="51"/>
        <v>#NAME?</v>
      </c>
      <c r="S59" s="78" t="e">
        <f t="shared" ca="1" si="51"/>
        <v>#NAME?</v>
      </c>
      <c r="T59" s="78" t="e">
        <f t="shared" ca="1" si="51"/>
        <v>#NAME?</v>
      </c>
      <c r="U59" s="78" t="e">
        <f t="shared" ca="1" si="51"/>
        <v>#NAME?</v>
      </c>
      <c r="V59" s="78" t="e">
        <f t="shared" ca="1" si="51"/>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52">IF(C60&gt;0.05,"NS",IF(C60&gt;0.01,"*",IF(C60&gt;0.001,"**","***")))</f>
        <v>#NAME?</v>
      </c>
      <c r="D61" s="76" t="e">
        <f t="shared" ca="1" si="52"/>
        <v>#NAME?</v>
      </c>
      <c r="E61" s="76" t="e">
        <f t="shared" ca="1" si="52"/>
        <v>#NAME?</v>
      </c>
      <c r="F61" s="76" t="e">
        <f t="shared" ca="1" si="52"/>
        <v>#NAME?</v>
      </c>
      <c r="G61" s="76" t="e">
        <f t="shared" ca="1" si="52"/>
        <v>#NAME?</v>
      </c>
      <c r="H61" s="76" t="e">
        <f t="shared" ca="1" si="52"/>
        <v>#NAME?</v>
      </c>
      <c r="I61" s="76" t="e">
        <f t="shared" ca="1" si="52"/>
        <v>#NAME?</v>
      </c>
      <c r="J61" s="76" t="e">
        <f t="shared" ca="1" si="52"/>
        <v>#NAME?</v>
      </c>
      <c r="K61" s="76" t="e">
        <f t="shared" ca="1" si="52"/>
        <v>#NAME?</v>
      </c>
      <c r="L61" s="76" t="e">
        <f t="shared" ca="1" si="52"/>
        <v>#NAME?</v>
      </c>
      <c r="M61" s="76" t="e">
        <f t="shared" ca="1" si="52"/>
        <v>#NAME?</v>
      </c>
      <c r="N61" s="76" t="e">
        <f t="shared" ca="1" si="52"/>
        <v>#NAME?</v>
      </c>
      <c r="O61" s="76" t="e">
        <f t="shared" ca="1" si="52"/>
        <v>#NAME?</v>
      </c>
      <c r="P61" s="76" t="e">
        <f ca="1">IF(P60&gt;0.05,"NS",IF(P60&gt;0.01,"*",IF(P60&gt;0.001,"**","***")))</f>
        <v>#NAME?</v>
      </c>
      <c r="Q61" s="76" t="e">
        <f t="shared" ref="Q61:V61" ca="1" si="53">IF(Q60&gt;0.05,"NS",IF(Q60&gt;0.01,"*",IF(Q60&gt;0.001,"**","***")))</f>
        <v>#NAME?</v>
      </c>
      <c r="R61" s="76" t="e">
        <f t="shared" ca="1" si="53"/>
        <v>#NAME?</v>
      </c>
      <c r="S61" s="76" t="e">
        <f t="shared" ca="1" si="53"/>
        <v>#NAME?</v>
      </c>
      <c r="T61" s="76" t="e">
        <f t="shared" ca="1" si="53"/>
        <v>#NAME?</v>
      </c>
      <c r="U61" s="76" t="e">
        <f t="shared" ca="1" si="53"/>
        <v>#NAME?</v>
      </c>
      <c r="V61" s="76" t="e">
        <f t="shared" ca="1" si="53"/>
        <v>#NAME?</v>
      </c>
    </row>
    <row r="63" spans="1:22">
      <c r="A63" s="2" t="s">
        <v>20</v>
      </c>
    </row>
    <row r="64" spans="1:22">
      <c r="A64" s="1" t="s">
        <v>13</v>
      </c>
      <c r="B64" s="1">
        <f>B46+(3*B47)</f>
        <v>0.51128271939781156</v>
      </c>
    </row>
    <row r="65" spans="1:22">
      <c r="A65" s="1" t="s">
        <v>14</v>
      </c>
      <c r="B65" s="1">
        <f>B46+(10*B47)</f>
        <v>1.4461226114263932</v>
      </c>
    </row>
    <row r="66" spans="1:22" ht="15.75" thickBot="1"/>
    <row r="67" spans="1:22" ht="27" thickBot="1">
      <c r="A67" s="140" t="s">
        <v>25</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N3"/>
    <mergeCell ref="O3:V3"/>
    <mergeCell ref="B26:N26"/>
    <mergeCell ref="O26:V26"/>
    <mergeCell ref="A28:A43"/>
    <mergeCell ref="A50:V50"/>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zoomScale="43" zoomScaleNormal="43" zoomScaleSheetLayoutView="40" zoomScalePageLayoutView="30" workbookViewId="0">
      <selection activeCell="O2"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22" width="25.85546875" style="1" customWidth="1"/>
    <col min="23" max="16384" width="9.140625" style="1"/>
  </cols>
  <sheetData>
    <row r="1" spans="1:22" ht="60" customHeight="1" thickBot="1">
      <c r="A1" s="150" t="s">
        <v>70</v>
      </c>
      <c r="B1" s="139"/>
      <c r="C1" s="139"/>
      <c r="D1" s="139"/>
      <c r="E1" s="139"/>
      <c r="F1" s="139"/>
      <c r="G1" s="139"/>
      <c r="H1" s="139"/>
      <c r="I1" s="139"/>
      <c r="J1" s="139"/>
      <c r="K1" s="139"/>
      <c r="L1" s="139"/>
      <c r="M1" s="139"/>
      <c r="N1" s="139"/>
      <c r="O1" s="139"/>
      <c r="P1" s="139"/>
      <c r="Q1" s="139"/>
      <c r="R1" s="139"/>
      <c r="S1" s="139"/>
      <c r="T1" s="139"/>
      <c r="U1" s="139"/>
      <c r="V1" s="139"/>
    </row>
    <row r="2" spans="1:22" ht="15.75" thickBot="1"/>
    <row r="3" spans="1:22" ht="15.75" thickBot="1">
      <c r="A3" s="80" t="s">
        <v>12</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BPA-5mg/L</v>
      </c>
      <c r="J4" s="19" t="str">
        <f>'Front page'!A15</f>
        <v>BPA-4mg/L</v>
      </c>
      <c r="K4" s="19" t="str">
        <f>'Front page'!A16</f>
        <v>BPA-3mg/L</v>
      </c>
      <c r="L4" s="19" t="str">
        <f>'Front page'!A17</f>
        <v>BPA-2mg/L</v>
      </c>
      <c r="M4" s="19" t="str">
        <f>'Front page'!A18</f>
        <v>BPA-1mg/L</v>
      </c>
      <c r="N4" s="19" t="str">
        <f>'Front page'!A19</f>
        <v/>
      </c>
      <c r="O4" s="20" t="str">
        <f>'Front page'!A35</f>
        <v>Testo -30µg/L</v>
      </c>
      <c r="P4" s="20" t="str">
        <f>'Front page'!A36</f>
        <v>Testo 30µg/L + EE2 -64ng/L</v>
      </c>
      <c r="Q4" s="20" t="str">
        <f>'Front page'!A37</f>
        <v>Testo 30µg/L + FAD-10mg/L</v>
      </c>
      <c r="R4" s="20" t="str">
        <f>'Front page'!A38</f>
        <v>BPA-5mg/L + Testostérone</v>
      </c>
      <c r="S4" s="20" t="str">
        <f>'Front page'!A39</f>
        <v>BPA-4mg/L + Testostérone</v>
      </c>
      <c r="T4" s="20" t="str">
        <f>'Front page'!A40</f>
        <v>BPA-3mg/L + Testostérone</v>
      </c>
      <c r="U4" s="20" t="str">
        <f>'Front page'!A41</f>
        <v>BPA-2mg/L + Testostérone</v>
      </c>
      <c r="V4" s="20" t="str">
        <f>'Front page'!A42</f>
        <v>BPA-1mg/L + Testostérone</v>
      </c>
    </row>
    <row r="5" spans="1:22">
      <c r="A5" s="149" t="s">
        <v>71</v>
      </c>
      <c r="B5" s="78">
        <v>205483</v>
      </c>
      <c r="C5" s="78">
        <v>1681864</v>
      </c>
      <c r="D5" s="78">
        <v>3545345</v>
      </c>
      <c r="E5" s="78">
        <v>6852322</v>
      </c>
      <c r="F5" s="78">
        <v>8216539</v>
      </c>
      <c r="G5" s="78">
        <v>14569430</v>
      </c>
      <c r="H5" s="78">
        <v>11868337</v>
      </c>
      <c r="I5" s="16">
        <v>16293978</v>
      </c>
      <c r="J5" s="16">
        <v>9493069</v>
      </c>
      <c r="K5" s="12">
        <v>4375689</v>
      </c>
      <c r="L5" s="12">
        <v>230609</v>
      </c>
      <c r="M5" s="12">
        <v>556556</v>
      </c>
      <c r="N5" s="12"/>
      <c r="O5" s="114">
        <v>6022321</v>
      </c>
      <c r="P5" s="113">
        <v>7726461</v>
      </c>
      <c r="Q5" s="113">
        <v>560465</v>
      </c>
      <c r="R5" s="78">
        <v>17020458</v>
      </c>
      <c r="S5" s="78">
        <v>11097030</v>
      </c>
      <c r="T5" s="78">
        <v>6379640</v>
      </c>
      <c r="U5" s="78">
        <v>4043125</v>
      </c>
      <c r="V5" s="78">
        <v>5955803</v>
      </c>
    </row>
    <row r="6" spans="1:22" ht="16.5">
      <c r="A6" s="148"/>
      <c r="B6" s="112">
        <v>253140</v>
      </c>
      <c r="C6" s="113">
        <v>788999</v>
      </c>
      <c r="D6" s="78">
        <v>5743184</v>
      </c>
      <c r="E6" s="78">
        <v>9730807</v>
      </c>
      <c r="F6" s="78">
        <v>9501826</v>
      </c>
      <c r="G6" s="78">
        <v>10319486</v>
      </c>
      <c r="H6" s="78">
        <v>23450663</v>
      </c>
      <c r="I6" s="16">
        <v>7567224</v>
      </c>
      <c r="J6" s="16">
        <v>8409968</v>
      </c>
      <c r="K6" s="12">
        <v>3573101</v>
      </c>
      <c r="L6" s="12">
        <v>340523</v>
      </c>
      <c r="M6" s="12">
        <v>560</v>
      </c>
      <c r="N6" s="12"/>
      <c r="O6" s="114">
        <v>4988136</v>
      </c>
      <c r="P6" s="113">
        <v>11377405</v>
      </c>
      <c r="Q6" s="113">
        <v>1605188</v>
      </c>
      <c r="R6" s="78">
        <v>14573813</v>
      </c>
      <c r="S6" s="78">
        <v>11004523</v>
      </c>
      <c r="T6" s="78">
        <v>4316411</v>
      </c>
      <c r="U6" s="78">
        <v>5237419</v>
      </c>
      <c r="V6" s="78">
        <v>7674861</v>
      </c>
    </row>
    <row r="7" spans="1:22" ht="16.5">
      <c r="A7" s="148"/>
      <c r="B7" s="112">
        <v>533087</v>
      </c>
      <c r="C7" s="113">
        <v>2202364</v>
      </c>
      <c r="D7" s="78">
        <v>13806201</v>
      </c>
      <c r="E7" s="78">
        <v>7692054</v>
      </c>
      <c r="F7" s="78">
        <v>13799021</v>
      </c>
      <c r="G7" s="78">
        <v>13115390</v>
      </c>
      <c r="H7" s="78">
        <v>23540251</v>
      </c>
      <c r="I7" s="16">
        <v>9897101</v>
      </c>
      <c r="J7" s="16">
        <v>2566718</v>
      </c>
      <c r="K7" s="12">
        <v>9439198</v>
      </c>
      <c r="L7" s="12">
        <v>1150648</v>
      </c>
      <c r="M7" s="12">
        <v>0</v>
      </c>
      <c r="N7" s="12"/>
      <c r="O7" s="114">
        <v>6832300</v>
      </c>
      <c r="P7" s="113">
        <v>12296380</v>
      </c>
      <c r="Q7" s="113">
        <v>101228</v>
      </c>
      <c r="R7" s="78">
        <v>7471438</v>
      </c>
      <c r="S7" s="78">
        <v>6206555</v>
      </c>
      <c r="T7" s="78">
        <v>11085671</v>
      </c>
      <c r="U7" s="78">
        <v>9057205</v>
      </c>
      <c r="V7" s="78">
        <v>4172344</v>
      </c>
    </row>
    <row r="8" spans="1:22" ht="16.5">
      <c r="A8" s="148"/>
      <c r="B8" s="112">
        <v>30793</v>
      </c>
      <c r="C8" s="113">
        <v>806356</v>
      </c>
      <c r="D8" s="78">
        <v>4785211</v>
      </c>
      <c r="E8" s="78">
        <v>6044242</v>
      </c>
      <c r="F8" s="78">
        <v>13198498</v>
      </c>
      <c r="G8" s="78">
        <v>8322900</v>
      </c>
      <c r="H8" s="78">
        <v>27047029</v>
      </c>
      <c r="I8" s="16">
        <v>6687632</v>
      </c>
      <c r="J8" s="16">
        <v>1640484</v>
      </c>
      <c r="K8" s="12">
        <v>7603849</v>
      </c>
      <c r="L8" s="12">
        <v>289390</v>
      </c>
      <c r="M8" s="12">
        <v>160768</v>
      </c>
      <c r="N8" s="12"/>
      <c r="O8" s="114">
        <v>3077857</v>
      </c>
      <c r="P8" s="113">
        <v>11121351</v>
      </c>
      <c r="Q8" s="113">
        <v>68393</v>
      </c>
      <c r="R8" s="78">
        <v>5675846</v>
      </c>
      <c r="S8" s="78">
        <v>12945220</v>
      </c>
      <c r="T8" s="78">
        <v>11951739</v>
      </c>
      <c r="U8" s="78">
        <v>4825890</v>
      </c>
      <c r="V8" s="78">
        <v>6962671</v>
      </c>
    </row>
    <row r="9" spans="1:22" ht="16.5">
      <c r="A9" s="148"/>
      <c r="B9" s="112">
        <v>70</v>
      </c>
      <c r="C9" s="113">
        <v>1874110</v>
      </c>
      <c r="D9" s="78">
        <v>2080723</v>
      </c>
      <c r="E9" s="78">
        <v>6018066</v>
      </c>
      <c r="F9" s="78">
        <v>8802861</v>
      </c>
      <c r="G9" s="78">
        <v>12939403</v>
      </c>
      <c r="H9" s="78">
        <v>17259577</v>
      </c>
      <c r="I9" s="16">
        <v>10736093</v>
      </c>
      <c r="J9" s="16">
        <v>292429</v>
      </c>
      <c r="K9" s="12">
        <v>1197154</v>
      </c>
      <c r="L9" s="12">
        <v>154760</v>
      </c>
      <c r="M9" s="12">
        <v>1196826</v>
      </c>
      <c r="N9" s="12"/>
      <c r="O9" s="114">
        <v>1705757</v>
      </c>
      <c r="P9" s="113">
        <v>9889739</v>
      </c>
      <c r="Q9" s="113">
        <v>1378402</v>
      </c>
      <c r="R9" s="78">
        <v>8979951</v>
      </c>
      <c r="S9" s="78">
        <v>11354070</v>
      </c>
      <c r="T9" s="78">
        <v>12709472</v>
      </c>
      <c r="U9" s="78">
        <v>4513930</v>
      </c>
      <c r="V9" s="78">
        <v>6810070</v>
      </c>
    </row>
    <row r="10" spans="1:22" ht="16.5">
      <c r="A10" s="148"/>
      <c r="B10" s="112">
        <v>60816</v>
      </c>
      <c r="C10" s="113">
        <v>575963</v>
      </c>
      <c r="D10" s="78">
        <v>166071</v>
      </c>
      <c r="E10" s="78">
        <v>5388141</v>
      </c>
      <c r="F10" s="78">
        <v>11046287</v>
      </c>
      <c r="G10" s="78">
        <v>11425859</v>
      </c>
      <c r="H10" s="78">
        <v>7833446</v>
      </c>
      <c r="I10" s="16">
        <v>6258757</v>
      </c>
      <c r="J10" s="16">
        <v>9520277</v>
      </c>
      <c r="K10" s="12">
        <v>822402</v>
      </c>
      <c r="L10" s="12">
        <v>164665</v>
      </c>
      <c r="M10" s="12">
        <v>988042</v>
      </c>
      <c r="N10" s="12"/>
      <c r="O10" s="114">
        <v>3270194</v>
      </c>
      <c r="P10" s="113">
        <v>12162021</v>
      </c>
      <c r="Q10" s="113">
        <v>355849</v>
      </c>
      <c r="R10" s="78">
        <v>5760938</v>
      </c>
      <c r="S10" s="78">
        <v>9393552</v>
      </c>
      <c r="T10" s="78">
        <v>6463712</v>
      </c>
      <c r="U10" s="78">
        <v>12852033</v>
      </c>
      <c r="V10" s="78">
        <v>7008852</v>
      </c>
    </row>
    <row r="11" spans="1:22" ht="16.5">
      <c r="A11" s="148"/>
      <c r="B11" s="112">
        <v>77604</v>
      </c>
      <c r="C11" s="113">
        <v>165264</v>
      </c>
      <c r="D11" s="78">
        <v>3418339</v>
      </c>
      <c r="E11" s="78">
        <v>9406099</v>
      </c>
      <c r="F11" s="78">
        <v>14406529</v>
      </c>
      <c r="G11" s="78">
        <v>10639673</v>
      </c>
      <c r="H11" s="78">
        <v>24511158</v>
      </c>
      <c r="I11" s="16">
        <v>2831937</v>
      </c>
      <c r="J11" s="16">
        <v>5261981</v>
      </c>
      <c r="K11" s="12">
        <v>979198</v>
      </c>
      <c r="L11" s="12">
        <v>1766087</v>
      </c>
      <c r="M11" s="12">
        <v>856984</v>
      </c>
      <c r="N11" s="12"/>
      <c r="O11" s="114">
        <v>855632</v>
      </c>
      <c r="P11" s="113">
        <v>9761614</v>
      </c>
      <c r="Q11" s="113">
        <v>167658</v>
      </c>
      <c r="R11" s="78">
        <v>15298527</v>
      </c>
      <c r="S11" s="78">
        <v>17485727</v>
      </c>
      <c r="T11" s="78">
        <v>6316362</v>
      </c>
      <c r="U11" s="78">
        <v>14337003</v>
      </c>
      <c r="V11" s="78">
        <v>5783741</v>
      </c>
    </row>
    <row r="12" spans="1:22" ht="16.5">
      <c r="A12" s="148"/>
      <c r="B12" s="112">
        <v>140</v>
      </c>
      <c r="C12" s="113">
        <v>1297172</v>
      </c>
      <c r="D12" s="78">
        <v>15698204</v>
      </c>
      <c r="E12" s="78">
        <v>6796184</v>
      </c>
      <c r="F12" s="78">
        <v>16623390</v>
      </c>
      <c r="G12" s="78">
        <v>11391056</v>
      </c>
      <c r="H12" s="78">
        <v>15067109</v>
      </c>
      <c r="I12" s="16">
        <v>5504872</v>
      </c>
      <c r="J12" s="16">
        <v>1971594</v>
      </c>
      <c r="K12" s="12">
        <v>3466254</v>
      </c>
      <c r="L12" s="12">
        <v>50926</v>
      </c>
      <c r="M12" s="12">
        <v>15219</v>
      </c>
      <c r="N12" s="12"/>
      <c r="O12" s="114">
        <v>7531191</v>
      </c>
      <c r="P12" s="113">
        <v>14431068</v>
      </c>
      <c r="Q12" s="113">
        <v>0</v>
      </c>
      <c r="R12" s="78">
        <v>4629805</v>
      </c>
      <c r="S12" s="78">
        <v>15397722</v>
      </c>
      <c r="T12" s="78">
        <v>3550529</v>
      </c>
      <c r="U12" s="78">
        <v>9789374</v>
      </c>
      <c r="V12" s="78">
        <v>5046306</v>
      </c>
    </row>
    <row r="13" spans="1:22" ht="16.5">
      <c r="A13" s="148"/>
      <c r="B13" s="13"/>
      <c r="C13" s="12"/>
      <c r="D13" s="16"/>
      <c r="E13" s="16"/>
      <c r="F13" s="16"/>
      <c r="G13" s="16"/>
      <c r="H13" s="16"/>
      <c r="I13" s="16"/>
      <c r="J13" s="16"/>
      <c r="K13" s="12"/>
      <c r="L13" s="12"/>
      <c r="M13" s="12"/>
      <c r="N13" s="12"/>
      <c r="O13" s="114">
        <v>11415804</v>
      </c>
      <c r="P13" s="115"/>
      <c r="Q13" s="115"/>
      <c r="R13" s="116"/>
      <c r="S13" s="116"/>
      <c r="T13" s="116"/>
      <c r="U13" s="116"/>
      <c r="V13" s="116"/>
    </row>
    <row r="14" spans="1:22" ht="16.5">
      <c r="A14" s="148"/>
      <c r="B14" s="13"/>
      <c r="C14" s="16"/>
      <c r="D14" s="16"/>
      <c r="E14" s="16"/>
      <c r="F14" s="16"/>
      <c r="G14" s="16"/>
      <c r="H14" s="16"/>
      <c r="I14" s="16"/>
      <c r="J14" s="16"/>
      <c r="K14" s="12"/>
      <c r="L14" s="12"/>
      <c r="M14" s="12"/>
      <c r="N14" s="12"/>
      <c r="O14" s="114">
        <v>2762567</v>
      </c>
      <c r="P14" s="12"/>
      <c r="Q14" s="12"/>
      <c r="R14" s="16"/>
      <c r="S14" s="16"/>
      <c r="T14" s="16"/>
      <c r="U14" s="16"/>
      <c r="V14" s="16"/>
    </row>
    <row r="15" spans="1:22" ht="16.5">
      <c r="A15" s="148"/>
      <c r="B15" s="13"/>
      <c r="C15" s="16"/>
      <c r="D15" s="16"/>
      <c r="E15" s="16"/>
      <c r="F15" s="16"/>
      <c r="G15" s="16"/>
      <c r="H15" s="16"/>
      <c r="I15" s="16"/>
      <c r="J15" s="16"/>
      <c r="K15" s="12"/>
      <c r="L15" s="12"/>
      <c r="M15" s="12"/>
      <c r="N15" s="12"/>
      <c r="O15" s="114">
        <v>3132117</v>
      </c>
      <c r="P15" s="12"/>
      <c r="Q15" s="12"/>
      <c r="R15" s="16"/>
      <c r="S15" s="16"/>
      <c r="T15" s="16"/>
      <c r="U15" s="16"/>
      <c r="V15" s="16"/>
    </row>
    <row r="16" spans="1:22" ht="16.5">
      <c r="A16" s="148"/>
      <c r="B16" s="13"/>
      <c r="C16" s="16"/>
      <c r="D16" s="16"/>
      <c r="E16" s="16"/>
      <c r="F16" s="16"/>
      <c r="G16" s="16"/>
      <c r="H16" s="16"/>
      <c r="I16" s="16"/>
      <c r="J16" s="16"/>
      <c r="K16" s="12"/>
      <c r="L16" s="12"/>
      <c r="M16" s="12"/>
      <c r="N16" s="12"/>
      <c r="O16" s="114">
        <v>6313234</v>
      </c>
      <c r="P16" s="12"/>
      <c r="Q16" s="12"/>
      <c r="R16" s="16"/>
      <c r="S16" s="16"/>
      <c r="T16" s="16"/>
      <c r="U16" s="16"/>
      <c r="V16" s="16"/>
    </row>
    <row r="17" spans="1:22" ht="16.5">
      <c r="A17" s="148"/>
      <c r="B17" s="13"/>
      <c r="C17" s="16"/>
      <c r="D17" s="16"/>
      <c r="E17" s="16"/>
      <c r="F17" s="16"/>
      <c r="G17" s="16"/>
      <c r="H17" s="16"/>
      <c r="I17" s="16"/>
      <c r="J17" s="16"/>
      <c r="K17" s="12"/>
      <c r="L17" s="12"/>
      <c r="M17" s="12"/>
      <c r="N17" s="12"/>
      <c r="O17" s="114">
        <v>2222378</v>
      </c>
      <c r="P17" s="12"/>
      <c r="Q17" s="12"/>
      <c r="R17" s="16"/>
      <c r="S17" s="16"/>
      <c r="T17" s="16"/>
      <c r="U17" s="16"/>
      <c r="V17" s="16"/>
    </row>
    <row r="18" spans="1:22" ht="16.5">
      <c r="A18" s="148"/>
      <c r="B18" s="13"/>
      <c r="C18" s="16"/>
      <c r="D18" s="16"/>
      <c r="E18" s="16"/>
      <c r="F18" s="16"/>
      <c r="G18" s="16"/>
      <c r="H18" s="16"/>
      <c r="I18" s="16"/>
      <c r="J18" s="16"/>
      <c r="K18" s="12"/>
      <c r="L18" s="12"/>
      <c r="M18" s="12"/>
      <c r="N18" s="12"/>
      <c r="O18" s="114">
        <v>5428429</v>
      </c>
      <c r="P18" s="12"/>
      <c r="Q18" s="12"/>
      <c r="R18" s="16"/>
      <c r="S18" s="16"/>
      <c r="T18" s="16"/>
      <c r="U18" s="16"/>
      <c r="V18" s="16"/>
    </row>
    <row r="19" spans="1:22" ht="16.5">
      <c r="A19" s="148"/>
      <c r="B19" s="13"/>
      <c r="C19" s="16"/>
      <c r="D19" s="16"/>
      <c r="E19" s="16"/>
      <c r="F19" s="16"/>
      <c r="G19" s="16"/>
      <c r="H19" s="16"/>
      <c r="I19" s="16"/>
      <c r="J19" s="16"/>
      <c r="K19" s="12"/>
      <c r="L19" s="12"/>
      <c r="M19" s="12"/>
      <c r="N19" s="12"/>
      <c r="O19" s="114">
        <v>41364</v>
      </c>
      <c r="P19" s="12"/>
      <c r="Q19" s="12"/>
      <c r="R19" s="16"/>
      <c r="S19" s="16"/>
      <c r="T19" s="16"/>
      <c r="U19" s="16"/>
      <c r="V19" s="16"/>
    </row>
    <row r="20" spans="1:22" ht="16.5">
      <c r="A20" s="148"/>
      <c r="B20" s="13"/>
      <c r="C20" s="16"/>
      <c r="D20" s="16"/>
      <c r="E20" s="16"/>
      <c r="F20" s="16"/>
      <c r="G20" s="16"/>
      <c r="H20" s="16"/>
      <c r="I20" s="16"/>
      <c r="J20" s="16"/>
      <c r="K20" s="12"/>
      <c r="L20" s="12"/>
      <c r="M20" s="12"/>
      <c r="N20" s="12"/>
      <c r="O20" s="114">
        <v>3274590</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BPA-5mg/L</v>
      </c>
      <c r="J22" s="3" t="str">
        <f t="shared" si="0"/>
        <v>BPA-4mg/L</v>
      </c>
      <c r="K22" s="3" t="str">
        <f t="shared" si="0"/>
        <v>BPA-3mg/L</v>
      </c>
      <c r="L22" s="3" t="str">
        <f t="shared" si="0"/>
        <v>BPA-2mg/L</v>
      </c>
      <c r="M22" s="3" t="str">
        <f t="shared" si="0"/>
        <v>BPA-1mg/L</v>
      </c>
      <c r="N22" s="3" t="str">
        <f t="shared" si="0"/>
        <v/>
      </c>
      <c r="O22" s="3" t="str">
        <f t="shared" si="0"/>
        <v>Testo -30µg/L</v>
      </c>
      <c r="P22" s="3" t="str">
        <f t="shared" si="0"/>
        <v>Testo 30µg/L + EE2 -64ng/L</v>
      </c>
      <c r="Q22" s="3" t="str">
        <f t="shared" si="0"/>
        <v>Testo 30µg/L + FAD-10mg/L</v>
      </c>
      <c r="R22" s="3" t="str">
        <f t="shared" si="0"/>
        <v>BPA-5mg/L + Testostérone</v>
      </c>
      <c r="S22" s="3" t="str">
        <f t="shared" si="0"/>
        <v>BPA-4mg/L + Testostérone</v>
      </c>
      <c r="T22" s="3" t="str">
        <f t="shared" si="0"/>
        <v>BPA-3mg/L + Testostérone</v>
      </c>
      <c r="U22" s="3" t="str">
        <f t="shared" si="0"/>
        <v>BPA-2mg/L + Testostérone</v>
      </c>
      <c r="V22" s="3" t="str">
        <f t="shared" si="0"/>
        <v>BPA-1mg/L + Testostérone</v>
      </c>
    </row>
    <row r="23" spans="1:22">
      <c r="A23" s="5" t="s">
        <v>0</v>
      </c>
      <c r="B23" s="5">
        <f t="shared" ref="B23:J23" si="1">AVERAGE(B5:B20)</f>
        <v>145141.625</v>
      </c>
      <c r="C23" s="5">
        <f t="shared" si="1"/>
        <v>1174011.5</v>
      </c>
      <c r="D23" s="5">
        <f t="shared" si="1"/>
        <v>6155409.75</v>
      </c>
      <c r="E23" s="5">
        <f t="shared" si="1"/>
        <v>7240989.375</v>
      </c>
      <c r="F23" s="5">
        <f t="shared" si="1"/>
        <v>11949368.875</v>
      </c>
      <c r="G23" s="5">
        <f t="shared" si="1"/>
        <v>11590399.625</v>
      </c>
      <c r="H23" s="5">
        <f t="shared" si="1"/>
        <v>18822196.25</v>
      </c>
      <c r="I23" s="5">
        <f t="shared" si="1"/>
        <v>8222199.25</v>
      </c>
      <c r="J23" s="5">
        <f t="shared" si="1"/>
        <v>4894565</v>
      </c>
      <c r="K23" s="5"/>
      <c r="L23" s="5">
        <f>AVERAGE(L5:L20)</f>
        <v>518451</v>
      </c>
      <c r="M23" s="5"/>
      <c r="N23" s="5" t="e">
        <f>AVERAGE(N5:N20)</f>
        <v>#DIV/0!</v>
      </c>
      <c r="O23" s="5">
        <f>AVERAGE(O5:O20)</f>
        <v>4304616.9375</v>
      </c>
      <c r="P23" s="5">
        <f>AVERAGE(P5:P20)</f>
        <v>11095754.875</v>
      </c>
      <c r="Q23" s="5">
        <f>AVERAGE(Q5:Q20)</f>
        <v>529647.875</v>
      </c>
      <c r="R23" s="5">
        <f>AVERAGE(R5:R20)</f>
        <v>9926347</v>
      </c>
      <c r="S23" s="5">
        <f>AVERAGE(S5:S20)</f>
        <v>11860549.875</v>
      </c>
      <c r="T23" s="5">
        <f t="shared" ref="T23:V23" si="2">AVERAGE(T5:T20)</f>
        <v>7846692</v>
      </c>
      <c r="U23" s="5">
        <f t="shared" si="2"/>
        <v>8081997.375</v>
      </c>
      <c r="V23" s="5">
        <f t="shared" si="2"/>
        <v>6176831</v>
      </c>
    </row>
    <row r="24" spans="1:22">
      <c r="A24" s="3" t="s">
        <v>1</v>
      </c>
      <c r="B24" s="3">
        <f t="shared" ref="B24:J24" si="3">STDEV(B5:B20)</f>
        <v>182296.98767900496</v>
      </c>
      <c r="C24" s="3">
        <f t="shared" si="3"/>
        <v>705019.57049027062</v>
      </c>
      <c r="D24" s="3">
        <f t="shared" si="3"/>
        <v>5586030.3896026397</v>
      </c>
      <c r="E24" s="3">
        <f t="shared" si="3"/>
        <v>1594636.4521376865</v>
      </c>
      <c r="F24" s="3">
        <f t="shared" si="3"/>
        <v>3012028.2580803777</v>
      </c>
      <c r="G24" s="3">
        <f t="shared" si="3"/>
        <v>1937689.9199064656</v>
      </c>
      <c r="H24" s="3">
        <f t="shared" si="3"/>
        <v>6859260.2093765764</v>
      </c>
      <c r="I24" s="3">
        <f t="shared" si="3"/>
        <v>4094532.2259732028</v>
      </c>
      <c r="J24" s="3">
        <f t="shared" si="3"/>
        <v>3794127.6684923056</v>
      </c>
      <c r="K24" s="3"/>
      <c r="L24" s="3">
        <f>STDEV(L5:L20)</f>
        <v>609363.1652419715</v>
      </c>
      <c r="M24" s="3"/>
      <c r="N24" s="3" t="e">
        <f>STDEV(N5:N20)</f>
        <v>#DIV/0!</v>
      </c>
      <c r="O24" s="3">
        <f>STDEV(O5:O20)</f>
        <v>2882514.6421444467</v>
      </c>
      <c r="P24" s="3">
        <f>STDEV(P5:P20)</f>
        <v>2013144.914152228</v>
      </c>
      <c r="Q24" s="3">
        <f>STDEV(Q5:Q20)</f>
        <v>622918.13947797054</v>
      </c>
      <c r="R24" s="3">
        <f>STDEV(R5:R20)</f>
        <v>4945108.1266095685</v>
      </c>
      <c r="S24" s="3">
        <f>STDEV(S5:S20)</f>
        <v>3483772.9269402092</v>
      </c>
      <c r="T24" s="3">
        <f t="shared" ref="T24:V24" si="4">STDEV(T5:T20)</f>
        <v>3551975.5224499265</v>
      </c>
      <c r="U24" s="3">
        <f t="shared" si="4"/>
        <v>4026376.5402500168</v>
      </c>
      <c r="V24" s="3">
        <f t="shared" si="4"/>
        <v>1162160.3648710202</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BPA-5mg/L</v>
      </c>
      <c r="J27" s="19" t="str">
        <f t="shared" si="5"/>
        <v>BPA-4mg/L</v>
      </c>
      <c r="K27" s="19" t="str">
        <f t="shared" si="5"/>
        <v>BPA-3mg/L</v>
      </c>
      <c r="L27" s="19" t="str">
        <f t="shared" si="5"/>
        <v>BPA-2mg/L</v>
      </c>
      <c r="M27" s="19" t="str">
        <f t="shared" si="5"/>
        <v>BPA-1mg/L</v>
      </c>
      <c r="N27" s="19" t="str">
        <f t="shared" si="5"/>
        <v/>
      </c>
      <c r="O27" s="20" t="str">
        <f>O4</f>
        <v>Testo -30µg/L</v>
      </c>
      <c r="P27" s="20" t="str">
        <f t="shared" ref="P27:V27" si="6">P4</f>
        <v>Testo 30µg/L + EE2 -64ng/L</v>
      </c>
      <c r="Q27" s="20" t="str">
        <f t="shared" si="6"/>
        <v>Testo 30µg/L + FAD-10mg/L</v>
      </c>
      <c r="R27" s="20" t="str">
        <f t="shared" si="6"/>
        <v>BPA-5mg/L + Testostérone</v>
      </c>
      <c r="S27" s="20" t="str">
        <f t="shared" si="6"/>
        <v>BPA-4mg/L + Testostérone</v>
      </c>
      <c r="T27" s="20" t="str">
        <f t="shared" si="6"/>
        <v>BPA-3mg/L + Testostérone</v>
      </c>
      <c r="U27" s="20" t="str">
        <f t="shared" si="6"/>
        <v>BPA-2mg/L + Testostérone</v>
      </c>
      <c r="V27" s="20" t="str">
        <f t="shared" si="6"/>
        <v>BPA-1mg/L + Testostérone</v>
      </c>
    </row>
    <row r="28" spans="1:22">
      <c r="A28" s="149" t="s">
        <v>72</v>
      </c>
      <c r="B28" s="10">
        <f>IF(B5="","",(B5/$O$23))</f>
        <v>4.7735490284842565E-2</v>
      </c>
      <c r="C28" s="10">
        <f>IF(C5="","",(C5/$O$23))</f>
        <v>0.39071165318993034</v>
      </c>
      <c r="D28" s="10">
        <f>IF(D5="","",(D5/$O$23))</f>
        <v>0.82361451703505961</v>
      </c>
      <c r="E28" s="10">
        <f>IF(E5="","",(E5/$O$23))</f>
        <v>1.5918540719164747</v>
      </c>
      <c r="F28" s="10">
        <f>IF(F5="","",(F5/$O$23))</f>
        <v>1.9087735608762284</v>
      </c>
      <c r="G28" s="10">
        <f>IF(G5="","",(G5/$O$23))</f>
        <v>3.3846054623530599</v>
      </c>
      <c r="H28" s="10">
        <f>IF(H5="","",(H5/$O$23))</f>
        <v>2.7571180368241537</v>
      </c>
      <c r="I28" s="10">
        <f>IF(I5="","",(I5/$O$23))</f>
        <v>3.7852329804433382</v>
      </c>
      <c r="J28" s="10">
        <f>IF(J5="","",(J5/$O$23))</f>
        <v>2.205322596140995</v>
      </c>
      <c r="K28" s="10">
        <f>IF(K5="","",(K5/$O$23))</f>
        <v>1.0165106590277175</v>
      </c>
      <c r="L28" s="10">
        <f>IF(L5="","",(L5/$O$23))</f>
        <v>5.3572478886804546E-2</v>
      </c>
      <c r="M28" s="10">
        <f>IF(M5="","",(M5/$O$23))</f>
        <v>0.12929280539495158</v>
      </c>
      <c r="N28" s="10" t="str">
        <f>IF(N5="","",(N5/$O$23))</f>
        <v/>
      </c>
      <c r="O28" s="10">
        <f t="shared" ref="O28:V39" si="7">IF(O5="","",(O5/$O$23))</f>
        <v>1.3990376118107257</v>
      </c>
      <c r="P28" s="10">
        <f t="shared" si="7"/>
        <v>1.7949241737842787</v>
      </c>
      <c r="Q28" s="10">
        <f t="shared" si="7"/>
        <v>0.1302009001352632</v>
      </c>
      <c r="R28" s="10">
        <f t="shared" si="7"/>
        <v>3.9540006107686323</v>
      </c>
      <c r="S28" s="10">
        <f t="shared" si="7"/>
        <v>2.5779367040368619</v>
      </c>
      <c r="T28" s="10">
        <f t="shared" si="7"/>
        <v>1.4820459271121846</v>
      </c>
      <c r="U28" s="10">
        <f t="shared" si="7"/>
        <v>0.93925314579748242</v>
      </c>
      <c r="V28" s="10">
        <f t="shared" si="7"/>
        <v>1.3835849011593961</v>
      </c>
    </row>
    <row r="29" spans="1:22">
      <c r="A29" s="149"/>
      <c r="B29" s="10">
        <f>IF(B6="","",(B6/$O$23))</f>
        <v>5.880662639101554E-2</v>
      </c>
      <c r="C29" s="10">
        <f>IF(C6="","",(C6/$O$23))</f>
        <v>0.18329133845257514</v>
      </c>
      <c r="D29" s="10">
        <f>IF(D6="","",(D6/$O$23))</f>
        <v>1.3341916559329154</v>
      </c>
      <c r="E29" s="10">
        <f>IF(E6="","",(E6/$O$23))</f>
        <v>2.2605512038084807</v>
      </c>
      <c r="F29" s="10">
        <f>IF(F6="","",(F6/$O$23))</f>
        <v>2.2073569234986081</v>
      </c>
      <c r="G29" s="10">
        <f>IF(G6="","",(G6/$O$23))</f>
        <v>2.3973064618365942</v>
      </c>
      <c r="H29" s="10">
        <f>IF(H6="","",(H6/$O$23))</f>
        <v>5.4477932277104042</v>
      </c>
      <c r="I29" s="10">
        <f>IF(I6="","",(I6/$O$23))</f>
        <v>1.7579320320183542</v>
      </c>
      <c r="J29" s="10">
        <f>IF(J6="","",(J6/$O$23))</f>
        <v>1.9537088019925581</v>
      </c>
      <c r="K29" s="10">
        <f>IF(K6="","",(K6/$O$23))</f>
        <v>0.8300624775395592</v>
      </c>
      <c r="L29" s="10">
        <f>IF(L6="","",(L6/$O$23))</f>
        <v>7.9106458238712901E-2</v>
      </c>
      <c r="M29" s="10">
        <f>IF(M6="","",(M6/$O$23))</f>
        <v>1.3009287658595522E-4</v>
      </c>
      <c r="N29" s="10" t="str">
        <f>IF(N6="","",(N6/$O$23))</f>
        <v/>
      </c>
      <c r="O29" s="10">
        <f t="shared" si="7"/>
        <v>1.158787430432072</v>
      </c>
      <c r="P29" s="10">
        <f t="shared" si="7"/>
        <v>2.6430702580954102</v>
      </c>
      <c r="Q29" s="10">
        <f t="shared" si="7"/>
        <v>0.37289915068081481</v>
      </c>
      <c r="R29" s="10">
        <f t="shared" si="7"/>
        <v>3.3856236714210532</v>
      </c>
      <c r="S29" s="10">
        <f t="shared" si="7"/>
        <v>2.556446522368403</v>
      </c>
      <c r="T29" s="10">
        <f t="shared" si="7"/>
        <v>1.0027398634236777</v>
      </c>
      <c r="U29" s="10">
        <f t="shared" si="7"/>
        <v>1.2166980421356017</v>
      </c>
      <c r="V29" s="10">
        <f t="shared" si="7"/>
        <v>1.7829370444417159</v>
      </c>
    </row>
    <row r="30" spans="1:22">
      <c r="A30" s="149"/>
      <c r="B30" s="10">
        <f>IF(B7="","",(B7/$O$23))</f>
        <v>0.12384075232245913</v>
      </c>
      <c r="C30" s="10">
        <f>IF(C7="","",(C7/$O$23))</f>
        <v>0.51162833580241196</v>
      </c>
      <c r="D30" s="10">
        <f>IF(D7="","",(D7/$O$23))</f>
        <v>3.2073007193105205</v>
      </c>
      <c r="E30" s="10">
        <f>IF(E7="","",(E7/$O$23))</f>
        <v>1.7869311280616127</v>
      </c>
      <c r="F30" s="10">
        <f>IF(F7="","",(F7/$O$23))</f>
        <v>3.2056327427857219</v>
      </c>
      <c r="G30" s="10">
        <f>IF(G7="","",(G7/$O$23))</f>
        <v>3.0468193082976271</v>
      </c>
      <c r="H30" s="10">
        <f>IF(H7="","",(H7/$O$23))</f>
        <v>5.4686053002596591</v>
      </c>
      <c r="I30" s="10">
        <f>IF(I7="","",(I7/$O$23))</f>
        <v>2.2991827481280964</v>
      </c>
      <c r="J30" s="10">
        <f>IF(J7="","",(J7/$O$23))</f>
        <v>0.59627094286598181</v>
      </c>
      <c r="K30" s="10">
        <f>IF(K7="","",(K7/$O$23))</f>
        <v>2.1928078937221347</v>
      </c>
      <c r="L30" s="10">
        <f>IF(L7="","",(L7/$O$23))</f>
        <v>0.2673055504604932</v>
      </c>
      <c r="M30" s="10">
        <f>IF(M7="","",(M7/$O$23))</f>
        <v>0</v>
      </c>
      <c r="N30" s="10" t="str">
        <f>IF(N7="","",(N7/$O$23))</f>
        <v/>
      </c>
      <c r="O30" s="10">
        <f t="shared" si="7"/>
        <v>1.5872027869611105</v>
      </c>
      <c r="P30" s="10">
        <f t="shared" si="7"/>
        <v>2.8565561532035857</v>
      </c>
      <c r="Q30" s="10">
        <f t="shared" si="7"/>
        <v>2.3516145912576919E-2</v>
      </c>
      <c r="R30" s="10">
        <f t="shared" si="7"/>
        <v>1.7356801100957431</v>
      </c>
      <c r="S30" s="10">
        <f t="shared" si="7"/>
        <v>1.4418367743552558</v>
      </c>
      <c r="T30" s="10">
        <f t="shared" si="7"/>
        <v>2.5752979094205406</v>
      </c>
      <c r="U30" s="10">
        <f t="shared" si="7"/>
        <v>2.1040675933548152</v>
      </c>
      <c r="V30" s="10">
        <f t="shared" si="7"/>
        <v>0.96927184476098349</v>
      </c>
    </row>
    <row r="31" spans="1:22">
      <c r="A31" s="149"/>
      <c r="B31" s="10">
        <f>IF(B8="","",(B8/$O$23))</f>
        <v>7.1534820512702121E-3</v>
      </c>
      <c r="C31" s="10">
        <f>IF(C8="","",(C8/$O$23))</f>
        <v>0.1873235207006152</v>
      </c>
      <c r="D31" s="10">
        <f>IF(D8="","",(D8/$O$23))</f>
        <v>1.1116461858227773</v>
      </c>
      <c r="E31" s="10">
        <f>IF(E8="","",(E8/$O$23))</f>
        <v>1.4041300510029413</v>
      </c>
      <c r="F31" s="10">
        <f>IF(F8="","",(F8/$O$23))</f>
        <v>3.0661260204178156</v>
      </c>
      <c r="G31" s="10">
        <f>IF(G8="","",(G8/$O$23))</f>
        <v>1.9334821473879404</v>
      </c>
      <c r="H31" s="10">
        <f>IF(H8="","",(H8/$O$23))</f>
        <v>6.283260367345985</v>
      </c>
      <c r="I31" s="10">
        <f>IF(I8="","",(I8/$O$23))</f>
        <v>1.5535951507647945</v>
      </c>
      <c r="J31" s="10">
        <f>IF(J8="","",(J8/$O$23))</f>
        <v>0.38109871884506097</v>
      </c>
      <c r="K31" s="10">
        <f>IF(K8="","",(K8/$O$23))</f>
        <v>1.7664403384557839</v>
      </c>
      <c r="L31" s="10">
        <f>IF(L8="","",(L8/$O$23))</f>
        <v>6.7227817062874257E-2</v>
      </c>
      <c r="M31" s="10">
        <f>IF(M8="","",(M8/$O$23))</f>
        <v>3.734780639816223E-2</v>
      </c>
      <c r="N31" s="10" t="str">
        <f>IF(N8="","",(N8/$O$23))</f>
        <v/>
      </c>
      <c r="O31" s="10">
        <f t="shared" si="7"/>
        <v>0.71501298366110422</v>
      </c>
      <c r="P31" s="10">
        <f t="shared" si="7"/>
        <v>2.5835866841287314</v>
      </c>
      <c r="Q31" s="10">
        <f t="shared" si="7"/>
        <v>1.5888289479184348E-2</v>
      </c>
      <c r="R31" s="10">
        <f t="shared" si="7"/>
        <v>1.3185484521408706</v>
      </c>
      <c r="S31" s="10">
        <f t="shared" si="7"/>
        <v>3.0072873354250698</v>
      </c>
      <c r="T31" s="10">
        <f t="shared" si="7"/>
        <v>2.7764930477045495</v>
      </c>
      <c r="U31" s="10">
        <f t="shared" si="7"/>
        <v>1.121096271763206</v>
      </c>
      <c r="V31" s="10">
        <f t="shared" si="7"/>
        <v>1.6174891055564453</v>
      </c>
    </row>
    <row r="32" spans="1:22">
      <c r="A32" s="149"/>
      <c r="B32" s="10">
        <f>IF(B9="","",(B9/$O$23))</f>
        <v>1.6261609573244402E-5</v>
      </c>
      <c r="C32" s="10">
        <f>IF(C9="","",(C9/$O$23))</f>
        <v>0.4353720731044724</v>
      </c>
      <c r="D32" s="10">
        <f>IF(D9="","",(D9/$O$23))</f>
        <v>0.48337007222956874</v>
      </c>
      <c r="E32" s="10">
        <f>IF(E9="","",(E9/$O$23))</f>
        <v>1.3980491382573808</v>
      </c>
      <c r="F32" s="10">
        <f>IF(F9="","",(F9/$O$23))</f>
        <v>2.0449812672791396</v>
      </c>
      <c r="G32" s="10">
        <f>IF(G9="","",(G9/$O$23))</f>
        <v>3.0059359956695335</v>
      </c>
      <c r="H32" s="10">
        <f>IF(H9="","",(H9/$O$23))</f>
        <v>4.0095500367621275</v>
      </c>
      <c r="I32" s="10">
        <f>IF(I9="","",(I9/$O$23))</f>
        <v>2.4940878958291743</v>
      </c>
      <c r="J32" s="10">
        <f>IF(J9="","",(J9/$O$23))</f>
        <v>6.7933803227061246E-2</v>
      </c>
      <c r="K32" s="10">
        <f>IF(K9="","",(K9/$O$23))</f>
        <v>0.27810929924354039</v>
      </c>
      <c r="L32" s="10">
        <f>IF(L9="","",(L9/$O$23))</f>
        <v>3.595209567936148E-2</v>
      </c>
      <c r="M32" s="10">
        <f>IF(M9="","",(M9/$O$23))</f>
        <v>0.27803310198725434</v>
      </c>
      <c r="N32" s="10" t="str">
        <f>IF(N9="","",(N9/$O$23))</f>
        <v/>
      </c>
      <c r="O32" s="10">
        <f t="shared" si="7"/>
        <v>0.39626220515469501</v>
      </c>
      <c r="P32" s="10">
        <f t="shared" si="7"/>
        <v>2.2974724914184073</v>
      </c>
      <c r="Q32" s="10">
        <f t="shared" si="7"/>
        <v>0.32021478798541758</v>
      </c>
      <c r="R32" s="10">
        <f t="shared" si="7"/>
        <v>2.0861208164123664</v>
      </c>
      <c r="S32" s="10">
        <f t="shared" si="7"/>
        <v>2.6376493343898151</v>
      </c>
      <c r="T32" s="10">
        <f t="shared" si="7"/>
        <v>2.9525210220868812</v>
      </c>
      <c r="U32" s="10">
        <f t="shared" si="7"/>
        <v>1.0486252471565014</v>
      </c>
      <c r="V32" s="10">
        <f t="shared" si="7"/>
        <v>1.5820385643780643</v>
      </c>
    </row>
    <row r="33" spans="1:22">
      <c r="A33" s="149"/>
      <c r="B33" s="10">
        <f>IF(B10="","",(B10/$O$23))</f>
        <v>1.4128086397234736E-2</v>
      </c>
      <c r="C33" s="10">
        <f>IF(C10="","",(C10/$O$23))</f>
        <v>0.13380122049477952</v>
      </c>
      <c r="D33" s="10">
        <f>IF(D10="","",(D10/$O$23))</f>
        <v>3.8579739477689584E-2</v>
      </c>
      <c r="E33" s="10">
        <f>IF(E10="","",(E10/$O$23))</f>
        <v>1.2517120752512951</v>
      </c>
      <c r="F33" s="10">
        <f>IF(F10="","",(F10/$O$23))</f>
        <v>2.5661486632572168</v>
      </c>
      <c r="G33" s="10">
        <f>IF(G10="","",(G10/$O$23))</f>
        <v>2.6543265442420103</v>
      </c>
      <c r="H33" s="10">
        <f>IF(H10="","",(H10/$O$23))</f>
        <v>1.8197777209299011</v>
      </c>
      <c r="I33" s="10">
        <f>IF(I10="","",(I10/$O$23))</f>
        <v>1.4539637535401488</v>
      </c>
      <c r="J33" s="10">
        <f>IF(J10="","",(J10/$O$23))</f>
        <v>2.211643251473407</v>
      </c>
      <c r="K33" s="10">
        <f>IF(K10="","",(K10/$O$23))</f>
        <v>0.19105114623221919</v>
      </c>
      <c r="L33" s="10">
        <f>IF(L10="","",(L10/$O$23))</f>
        <v>3.8253113433975562E-2</v>
      </c>
      <c r="M33" s="10">
        <f>IF(M10="","",(M10/$O$23))</f>
        <v>0.22953076065667921</v>
      </c>
      <c r="N33" s="10" t="str">
        <f>IF(N10="","",(N10/$O$23))</f>
        <v/>
      </c>
      <c r="O33" s="10">
        <f t="shared" si="7"/>
        <v>0.75969454366809153</v>
      </c>
      <c r="P33" s="10">
        <f t="shared" si="7"/>
        <v>2.8253433874799923</v>
      </c>
      <c r="Q33" s="10">
        <f t="shared" si="7"/>
        <v>8.2666821500420679E-2</v>
      </c>
      <c r="R33" s="10">
        <f t="shared" si="7"/>
        <v>1.3383160647381065</v>
      </c>
      <c r="S33" s="10">
        <f t="shared" si="7"/>
        <v>2.18220393042813</v>
      </c>
      <c r="T33" s="10">
        <f t="shared" si="7"/>
        <v>1.5015765848270675</v>
      </c>
      <c r="U33" s="10">
        <f t="shared" si="7"/>
        <v>2.9856391838350427</v>
      </c>
      <c r="V33" s="10">
        <f t="shared" si="7"/>
        <v>1.628217354009331</v>
      </c>
    </row>
    <row r="34" spans="1:22">
      <c r="A34" s="149"/>
      <c r="B34" s="10">
        <f>IF(B11="","",(B11/$O$23))</f>
        <v>1.8028084990315121E-2</v>
      </c>
      <c r="C34" s="10">
        <f>IF(C11="","",(C11/$O$23))</f>
        <v>3.8392266350180899E-2</v>
      </c>
      <c r="D34" s="10">
        <f>IF(D11="","",(D11/$O$23))</f>
        <v>0.79410991724278135</v>
      </c>
      <c r="E34" s="10">
        <f>IF(E11="","",(E11/$O$23))</f>
        <v>2.1851187077897798</v>
      </c>
      <c r="F34" s="10">
        <f>IF(F11="","",(F11/$O$23))</f>
        <v>3.3467621414803301</v>
      </c>
      <c r="G34" s="10">
        <f>IF(G11="","",(G11/$O$23))</f>
        <v>2.4716886901855712</v>
      </c>
      <c r="H34" s="10">
        <f>IF(H11="","",(H11/$O$23))</f>
        <v>5.6941554512015156</v>
      </c>
      <c r="I34" s="10">
        <f>IF(I11="","",(I11/$O$23))</f>
        <v>0.65788362614321472</v>
      </c>
      <c r="J34" s="10">
        <f>IF(J11="","",(J11/$O$23))</f>
        <v>1.222404008626145</v>
      </c>
      <c r="K34" s="10">
        <f>IF(K11="","",(K11/$O$23))</f>
        <v>0.22747622244145388</v>
      </c>
      <c r="L34" s="10">
        <f>IF(L11="","",(L11/$O$23))</f>
        <v>0.41027738951974979</v>
      </c>
      <c r="M34" s="10">
        <f>IF(M11="","",(M11/$O$23))</f>
        <v>0.19908484597881829</v>
      </c>
      <c r="N34" s="10" t="str">
        <f>IF(N11="","",(N11/$O$23))</f>
        <v/>
      </c>
      <c r="O34" s="10">
        <f t="shared" si="7"/>
        <v>0.19877076460534648</v>
      </c>
      <c r="P34" s="10">
        <f t="shared" si="7"/>
        <v>2.2677079381816654</v>
      </c>
      <c r="Q34" s="10">
        <f t="shared" si="7"/>
        <v>3.8948413397585854E-2</v>
      </c>
      <c r="R34" s="10">
        <f t="shared" si="7"/>
        <v>3.5539810445676854</v>
      </c>
      <c r="S34" s="10">
        <f t="shared" si="7"/>
        <v>4.0620866511191158</v>
      </c>
      <c r="T34" s="10">
        <f t="shared" si="7"/>
        <v>1.4673458966753881</v>
      </c>
      <c r="U34" s="10">
        <f t="shared" si="7"/>
        <v>3.3306106462347671</v>
      </c>
      <c r="V34" s="10">
        <f t="shared" si="7"/>
        <v>1.343613400210945</v>
      </c>
    </row>
    <row r="35" spans="1:22">
      <c r="A35" s="149"/>
      <c r="B35" s="10">
        <f>IF(B12="","",(B12/$O$23))</f>
        <v>3.2523219146488804E-5</v>
      </c>
      <c r="C35" s="10">
        <f>IF(C12="","",(C12/$O$23))</f>
        <v>0.30134435161920842</v>
      </c>
      <c r="D35" s="10">
        <f>IF(D12="","",(D12/$O$23))</f>
        <v>3.6468294921306224</v>
      </c>
      <c r="E35" s="10">
        <f>IF(E12="","",(E12/$O$23))</f>
        <v>1.5788127256561491</v>
      </c>
      <c r="F35" s="10">
        <f>IF(F12="","",(F12/$O$23))</f>
        <v>3.861758256625361</v>
      </c>
      <c r="G35" s="10">
        <f>IF(G12="","",(G12/$O$23))</f>
        <v>2.6462415042709013</v>
      </c>
      <c r="H35" s="10">
        <f>IF(H12="","",(H12/$O$23))</f>
        <v>3.5002206279359558</v>
      </c>
      <c r="I35" s="10">
        <f>IF(I12="","",(I12/$O$23))</f>
        <v>1.2788297030669293</v>
      </c>
      <c r="J35" s="10">
        <f>IF(J12="","",(J12/$O$23))</f>
        <v>0.45801845521358892</v>
      </c>
      <c r="K35" s="10">
        <f>IF(K12="","",(K12/$O$23))</f>
        <v>0.80524098899566721</v>
      </c>
      <c r="L35" s="10">
        <f>IF(L12="","",(L12/$O$23))</f>
        <v>1.1830553273243491E-2</v>
      </c>
      <c r="M35" s="10">
        <f>IF(M12="","",(M12/$O$23))</f>
        <v>3.5355062299315221E-3</v>
      </c>
      <c r="N35" s="10" t="str">
        <f>IF(N12="","",(N12/$O$23))</f>
        <v/>
      </c>
      <c r="O35" s="10">
        <f t="shared" si="7"/>
        <v>1.7495612523361725</v>
      </c>
      <c r="P35" s="10">
        <f t="shared" si="7"/>
        <v>3.3524627648705851</v>
      </c>
      <c r="Q35" s="10">
        <f t="shared" si="7"/>
        <v>0</v>
      </c>
      <c r="R35" s="10">
        <f t="shared" si="7"/>
        <v>1.0755440187179257</v>
      </c>
      <c r="S35" s="10">
        <f t="shared" si="7"/>
        <v>3.5770249068765136</v>
      </c>
      <c r="T35" s="10">
        <f t="shared" si="7"/>
        <v>0.82481880537831254</v>
      </c>
      <c r="U35" s="10">
        <f t="shared" si="7"/>
        <v>2.2741568279209976</v>
      </c>
      <c r="V35" s="10">
        <f t="shared" si="7"/>
        <v>1.1723008279874381</v>
      </c>
    </row>
    <row r="36" spans="1:22">
      <c r="A36" s="149"/>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7"/>
        <v>2.6519906801811679</v>
      </c>
      <c r="P36" s="10" t="str">
        <f t="shared" si="7"/>
        <v/>
      </c>
      <c r="Q36" s="10" t="str">
        <f t="shared" si="7"/>
        <v/>
      </c>
      <c r="R36" s="10" t="str">
        <f t="shared" si="7"/>
        <v/>
      </c>
      <c r="S36" s="10" t="str">
        <f t="shared" si="7"/>
        <v/>
      </c>
      <c r="T36" s="10" t="str">
        <f t="shared" si="7"/>
        <v/>
      </c>
      <c r="U36" s="10" t="str">
        <f t="shared" si="7"/>
        <v/>
      </c>
      <c r="V36" s="10" t="str">
        <f t="shared" si="7"/>
        <v/>
      </c>
    </row>
    <row r="37" spans="1:22">
      <c r="A37" s="149"/>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7"/>
        <v>0.64176837105612949</v>
      </c>
      <c r="P37" s="10" t="str">
        <f t="shared" si="7"/>
        <v/>
      </c>
      <c r="Q37" s="10" t="str">
        <f t="shared" si="7"/>
        <v/>
      </c>
      <c r="R37" s="10" t="str">
        <f t="shared" si="7"/>
        <v/>
      </c>
      <c r="S37" s="10" t="str">
        <f t="shared" si="7"/>
        <v/>
      </c>
      <c r="T37" s="10" t="str">
        <f t="shared" si="7"/>
        <v/>
      </c>
      <c r="U37" s="10" t="str">
        <f t="shared" si="7"/>
        <v/>
      </c>
      <c r="V37" s="10" t="str">
        <f t="shared" si="7"/>
        <v/>
      </c>
    </row>
    <row r="38" spans="1:22">
      <c r="A38" s="149"/>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si="7"/>
        <v>0.72761805416745051</v>
      </c>
      <c r="P38" s="10" t="str">
        <f t="shared" si="7"/>
        <v/>
      </c>
      <c r="Q38" s="10" t="str">
        <f t="shared" si="7"/>
        <v/>
      </c>
      <c r="R38" s="10" t="str">
        <f t="shared" si="7"/>
        <v/>
      </c>
      <c r="S38" s="10" t="str">
        <f t="shared" si="7"/>
        <v/>
      </c>
      <c r="T38" s="10" t="str">
        <f t="shared" si="7"/>
        <v/>
      </c>
      <c r="U38" s="10" t="str">
        <f t="shared" si="7"/>
        <v/>
      </c>
      <c r="V38" s="10" t="str">
        <f t="shared" si="7"/>
        <v/>
      </c>
    </row>
    <row r="39" spans="1:22">
      <c r="A39" s="149"/>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si="7"/>
        <v>1.4666192350361722</v>
      </c>
      <c r="P39" s="10" t="str">
        <f t="shared" si="7"/>
        <v/>
      </c>
      <c r="Q39" s="10" t="str">
        <f t="shared" ref="Q39:V39" si="8">IF(Q16="","",(Q16/$O$23))</f>
        <v/>
      </c>
      <c r="R39" s="10" t="str">
        <f t="shared" si="8"/>
        <v/>
      </c>
      <c r="S39" s="10" t="str">
        <f t="shared" si="8"/>
        <v/>
      </c>
      <c r="T39" s="10" t="str">
        <f t="shared" si="8"/>
        <v/>
      </c>
      <c r="U39" s="10" t="str">
        <f t="shared" si="8"/>
        <v/>
      </c>
      <c r="V39" s="10" t="str">
        <f t="shared" si="8"/>
        <v/>
      </c>
    </row>
    <row r="40" spans="1:22">
      <c r="A40" s="149"/>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3" si="9">IF(O17="","",(O17/$O$23))</f>
        <v>0.51627776228811073</v>
      </c>
      <c r="P40" s="10" t="str">
        <f t="shared" si="9"/>
        <v/>
      </c>
      <c r="Q40" s="10" t="str">
        <f t="shared" si="9"/>
        <v/>
      </c>
      <c r="R40" s="10" t="str">
        <f t="shared" si="9"/>
        <v/>
      </c>
      <c r="S40" s="10" t="str">
        <f t="shared" si="9"/>
        <v/>
      </c>
      <c r="T40" s="10" t="str">
        <f t="shared" si="9"/>
        <v/>
      </c>
      <c r="U40" s="10" t="str">
        <f t="shared" si="9"/>
        <v/>
      </c>
      <c r="V40" s="10" t="str">
        <f t="shared" si="9"/>
        <v/>
      </c>
    </row>
    <row r="41" spans="1:22">
      <c r="A41" s="149"/>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si="9"/>
        <v>1.261071328486822</v>
      </c>
      <c r="P41" s="10" t="str">
        <f t="shared" si="9"/>
        <v/>
      </c>
      <c r="Q41" s="10" t="str">
        <f t="shared" si="9"/>
        <v/>
      </c>
      <c r="R41" s="10" t="str">
        <f t="shared" si="9"/>
        <v/>
      </c>
      <c r="S41" s="10" t="str">
        <f t="shared" si="9"/>
        <v/>
      </c>
      <c r="T41" s="10" t="str">
        <f t="shared" si="9"/>
        <v/>
      </c>
      <c r="U41" s="10" t="str">
        <f t="shared" si="9"/>
        <v/>
      </c>
      <c r="V41" s="10" t="str">
        <f t="shared" si="9"/>
        <v/>
      </c>
    </row>
    <row r="42" spans="1:22">
      <c r="A42" s="149"/>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si="9"/>
        <v>9.6092174055383058E-3</v>
      </c>
      <c r="P42" s="10" t="str">
        <f t="shared" si="9"/>
        <v/>
      </c>
      <c r="Q42" s="10" t="str">
        <f t="shared" si="9"/>
        <v/>
      </c>
      <c r="R42" s="10" t="str">
        <f t="shared" si="9"/>
        <v/>
      </c>
      <c r="S42" s="10" t="str">
        <f t="shared" si="9"/>
        <v/>
      </c>
      <c r="T42" s="10" t="str">
        <f t="shared" si="9"/>
        <v/>
      </c>
      <c r="U42" s="10" t="str">
        <f t="shared" si="9"/>
        <v/>
      </c>
      <c r="V42" s="10" t="str">
        <f t="shared" si="9"/>
        <v/>
      </c>
    </row>
    <row r="43" spans="1:22">
      <c r="A43" s="149"/>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si="9"/>
        <v>0.76071577274929125</v>
      </c>
      <c r="P43" s="10" t="str">
        <f t="shared" si="9"/>
        <v/>
      </c>
      <c r="Q43" s="10" t="str">
        <f t="shared" si="9"/>
        <v/>
      </c>
      <c r="R43" s="10" t="str">
        <f t="shared" si="9"/>
        <v/>
      </c>
      <c r="S43" s="10" t="str">
        <f t="shared" si="9"/>
        <v/>
      </c>
      <c r="T43" s="10" t="str">
        <f t="shared" si="9"/>
        <v/>
      </c>
      <c r="U43" s="10" t="str">
        <f t="shared" si="9"/>
        <v/>
      </c>
      <c r="V43" s="10" t="str">
        <f t="shared" si="9"/>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V45" si="10">B4</f>
        <v>Solvent control</v>
      </c>
      <c r="C45" s="6" t="str">
        <f t="shared" si="10"/>
        <v>EE2-33.8ng/L</v>
      </c>
      <c r="D45" s="6" t="str">
        <f t="shared" si="10"/>
        <v>EE2-50.6ng/L</v>
      </c>
      <c r="E45" s="6" t="str">
        <f t="shared" si="10"/>
        <v>EE2-76ng/L</v>
      </c>
      <c r="F45" s="6" t="str">
        <f t="shared" si="10"/>
        <v>EE2-114ng/L</v>
      </c>
      <c r="G45" s="6" t="str">
        <f t="shared" si="10"/>
        <v>EE2-170.9ng/L</v>
      </c>
      <c r="H45" s="6" t="str">
        <f t="shared" si="10"/>
        <v>EE2-488ng/L</v>
      </c>
      <c r="I45" s="6" t="str">
        <f t="shared" si="10"/>
        <v>BPA-5mg/L</v>
      </c>
      <c r="J45" s="6" t="str">
        <f t="shared" si="10"/>
        <v>BPA-4mg/L</v>
      </c>
      <c r="K45" s="6" t="str">
        <f t="shared" si="10"/>
        <v>BPA-3mg/L</v>
      </c>
      <c r="L45" s="6" t="str">
        <f t="shared" si="10"/>
        <v>BPA-2mg/L</v>
      </c>
      <c r="M45" s="6" t="str">
        <f t="shared" si="10"/>
        <v>BPA-1mg/L</v>
      </c>
      <c r="N45" s="6" t="str">
        <f t="shared" si="10"/>
        <v/>
      </c>
      <c r="O45" s="6" t="str">
        <f t="shared" si="10"/>
        <v>Testo -30µg/L</v>
      </c>
      <c r="P45" s="6" t="str">
        <f t="shared" si="10"/>
        <v>Testo 30µg/L + EE2 -64ng/L</v>
      </c>
      <c r="Q45" s="6" t="str">
        <f t="shared" si="10"/>
        <v>Testo 30µg/L + FAD-10mg/L</v>
      </c>
      <c r="R45" s="6" t="str">
        <f t="shared" si="10"/>
        <v>BPA-5mg/L + Testostérone</v>
      </c>
      <c r="S45" s="6" t="str">
        <f t="shared" si="10"/>
        <v>BPA-4mg/L + Testostérone</v>
      </c>
      <c r="T45" s="6" t="str">
        <f t="shared" si="10"/>
        <v>BPA-3mg/L + Testostérone</v>
      </c>
      <c r="U45" s="6" t="str">
        <f t="shared" si="10"/>
        <v>BPA-2mg/L + Testostérone</v>
      </c>
      <c r="V45" s="6" t="str">
        <f t="shared" si="10"/>
        <v>BPA-1mg/L + Testostérone</v>
      </c>
    </row>
    <row r="46" spans="1:22">
      <c r="A46" s="7" t="s">
        <v>0</v>
      </c>
      <c r="B46" s="9">
        <f t="shared" ref="B46:H46" si="11">AVERAGE(B28:B43)</f>
        <v>3.3717663408232124E-2</v>
      </c>
      <c r="C46" s="9">
        <f t="shared" si="11"/>
        <v>0.27273309496427173</v>
      </c>
      <c r="D46" s="9">
        <f t="shared" si="11"/>
        <v>1.4299552873977417</v>
      </c>
      <c r="E46" s="9">
        <f t="shared" si="11"/>
        <v>1.6821448877180143</v>
      </c>
      <c r="F46" s="9">
        <f t="shared" si="11"/>
        <v>2.7759424470275524</v>
      </c>
      <c r="G46" s="9">
        <f t="shared" si="11"/>
        <v>2.6925507642804045</v>
      </c>
      <c r="H46" s="9">
        <f t="shared" si="11"/>
        <v>4.3725600961212123</v>
      </c>
      <c r="I46" s="9">
        <f>AVERAGE(I28:I43)</f>
        <v>1.9100884862417564</v>
      </c>
      <c r="J46" s="8">
        <f>AVERAGE(J28:J43)</f>
        <v>1.1370500722980996</v>
      </c>
      <c r="K46" s="8">
        <f t="shared" ref="K46:N46" si="12">AVERAGE(K28:K43)</f>
        <v>0.91346237820725951</v>
      </c>
      <c r="L46" s="8">
        <f t="shared" si="12"/>
        <v>0.12044068206940191</v>
      </c>
      <c r="M46" s="8">
        <f t="shared" si="12"/>
        <v>0.10961936494029789</v>
      </c>
      <c r="N46" s="8" t="e">
        <f t="shared" si="12"/>
        <v>#DIV/0!</v>
      </c>
      <c r="O46" s="9">
        <f t="shared" ref="O46:V46" si="13">AVERAGE(O28:O43)</f>
        <v>1</v>
      </c>
      <c r="P46" s="9">
        <f t="shared" si="13"/>
        <v>2.5776404813953318</v>
      </c>
      <c r="Q46" s="9">
        <f t="shared" si="13"/>
        <v>0.12304181363640791</v>
      </c>
      <c r="R46" s="9">
        <f t="shared" si="13"/>
        <v>2.3059768486077976</v>
      </c>
      <c r="S46" s="9">
        <f t="shared" si="13"/>
        <v>2.7553090198748955</v>
      </c>
      <c r="T46" s="9">
        <f t="shared" si="13"/>
        <v>1.822854882078575</v>
      </c>
      <c r="U46" s="9">
        <f t="shared" si="13"/>
        <v>1.8775183697748017</v>
      </c>
      <c r="V46" s="9">
        <f t="shared" si="13"/>
        <v>1.4349316303130399</v>
      </c>
    </row>
    <row r="47" spans="1:22">
      <c r="A47" s="7" t="s">
        <v>1</v>
      </c>
      <c r="B47" s="7">
        <f t="shared" ref="B47:N47" si="14">STDEV(B28:B43)</f>
        <v>4.2349177714493202E-2</v>
      </c>
      <c r="C47" s="7">
        <f t="shared" si="14"/>
        <v>0.16378218566870348</v>
      </c>
      <c r="D47" s="7">
        <f t="shared" si="14"/>
        <v>1.2976835037142349</v>
      </c>
      <c r="E47" s="7">
        <f t="shared" si="14"/>
        <v>0.37044793422752487</v>
      </c>
      <c r="F47" s="7">
        <f t="shared" si="14"/>
        <v>0.69972039366403549</v>
      </c>
      <c r="G47" s="7">
        <f t="shared" si="14"/>
        <v>0.4501422421647196</v>
      </c>
      <c r="H47" s="7">
        <f t="shared" si="14"/>
        <v>1.5934658783738946</v>
      </c>
      <c r="I47" s="7">
        <f t="shared" si="14"/>
        <v>0.95119549205490728</v>
      </c>
      <c r="J47" s="7">
        <f t="shared" si="14"/>
        <v>0.88140889737237049</v>
      </c>
      <c r="K47" s="7">
        <f t="shared" si="14"/>
        <v>0.73579026887196963</v>
      </c>
      <c r="L47" s="7">
        <f t="shared" si="14"/>
        <v>0.14156036973544792</v>
      </c>
      <c r="M47" s="7">
        <f t="shared" si="14"/>
        <v>0.11440174531978753</v>
      </c>
      <c r="N47" s="7" t="e">
        <f t="shared" si="14"/>
        <v>#DIV/0!</v>
      </c>
      <c r="O47" s="7">
        <f t="shared" ref="O47:V47" si="15">STDEV(O28:O43)</f>
        <v>0.66963325285304731</v>
      </c>
      <c r="P47" s="7">
        <f t="shared" si="15"/>
        <v>0.46767109440437515</v>
      </c>
      <c r="Q47" s="7">
        <f t="shared" si="15"/>
        <v>0.14470930828975084</v>
      </c>
      <c r="R47" s="7">
        <f t="shared" si="15"/>
        <v>1.1487916807486134</v>
      </c>
      <c r="S47" s="7">
        <f t="shared" si="15"/>
        <v>0.80931078828200842</v>
      </c>
      <c r="T47" s="7">
        <f t="shared" si="15"/>
        <v>0.82515484514002224</v>
      </c>
      <c r="U47" s="7">
        <f t="shared" si="15"/>
        <v>0.93536233274880498</v>
      </c>
      <c r="V47" s="7">
        <f t="shared" si="15"/>
        <v>0.26997997307188237</v>
      </c>
    </row>
    <row r="48" spans="1:22">
      <c r="A48" s="7" t="s">
        <v>2</v>
      </c>
      <c r="B48" s="7">
        <f t="shared" ref="B48:N48" si="16" xml:space="preserve"> B47/SQRT(COUNT(B28:B43))</f>
        <v>1.4972695369796179E-2</v>
      </c>
      <c r="C48" s="7">
        <f t="shared" si="16"/>
        <v>5.7905747061947198E-2</v>
      </c>
      <c r="D48" s="7">
        <f t="shared" si="16"/>
        <v>0.45880040265512689</v>
      </c>
      <c r="E48" s="7">
        <f t="shared" si="16"/>
        <v>0.13097312318441548</v>
      </c>
      <c r="F48" s="7">
        <f t="shared" si="16"/>
        <v>0.24738851764718001</v>
      </c>
      <c r="G48" s="7">
        <f t="shared" si="16"/>
        <v>0.15914931596659512</v>
      </c>
      <c r="H48" s="7">
        <f t="shared" si="16"/>
        <v>0.56337526409377958</v>
      </c>
      <c r="I48" s="7">
        <f t="shared" si="16"/>
        <v>0.33629839133304984</v>
      </c>
      <c r="J48" s="7">
        <f t="shared" si="16"/>
        <v>0.31162510416508044</v>
      </c>
      <c r="K48" s="7">
        <f t="shared" si="16"/>
        <v>0.2601411443252214</v>
      </c>
      <c r="L48" s="7">
        <f t="shared" si="16"/>
        <v>5.0049148693605064E-2</v>
      </c>
      <c r="M48" s="7">
        <f t="shared" si="16"/>
        <v>4.0447124947599063E-2</v>
      </c>
      <c r="N48" s="7" t="e">
        <f t="shared" si="16"/>
        <v>#DIV/0!</v>
      </c>
      <c r="O48" s="7">
        <f t="shared" ref="O48:V48" si="17" xml:space="preserve"> O47/SQRT(COUNT(O28:O43))</f>
        <v>0.16740831321326183</v>
      </c>
      <c r="P48" s="7">
        <f t="shared" si="17"/>
        <v>0.16534670110913385</v>
      </c>
      <c r="Q48" s="7">
        <f t="shared" si="17"/>
        <v>5.1162466596248748E-2</v>
      </c>
      <c r="R48" s="7">
        <f t="shared" si="17"/>
        <v>0.40615919381401794</v>
      </c>
      <c r="S48" s="7">
        <f t="shared" si="17"/>
        <v>0.2861345732408192</v>
      </c>
      <c r="T48" s="7">
        <f t="shared" si="17"/>
        <v>0.29173629326372258</v>
      </c>
      <c r="U48" s="7">
        <f t="shared" si="17"/>
        <v>0.33070052417657392</v>
      </c>
      <c r="V48" s="7">
        <f t="shared" si="17"/>
        <v>9.5452334871844749E-2</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24</v>
      </c>
      <c r="B50" s="141"/>
      <c r="C50" s="141"/>
      <c r="D50" s="141"/>
      <c r="E50" s="141"/>
      <c r="F50" s="141"/>
      <c r="G50" s="141"/>
      <c r="H50" s="141"/>
      <c r="I50" s="141"/>
      <c r="J50" s="141"/>
      <c r="K50" s="141"/>
      <c r="L50" s="141"/>
      <c r="M50" s="141"/>
      <c r="N50" s="141"/>
      <c r="O50" s="141"/>
      <c r="P50" s="141"/>
      <c r="Q50" s="141"/>
      <c r="R50" s="141"/>
      <c r="S50" s="141"/>
      <c r="T50" s="141"/>
      <c r="U50" s="141"/>
      <c r="V50" s="141"/>
    </row>
    <row r="51" spans="1:22" ht="15.75" thickBot="1"/>
    <row r="52" spans="1:22">
      <c r="A52" s="28" t="str">
        <f t="shared" ref="A52:H52" si="18">A27</f>
        <v>Noms des groupes</v>
      </c>
      <c r="B52" s="29" t="str">
        <f t="shared" si="18"/>
        <v>Solvent control</v>
      </c>
      <c r="C52" s="29" t="str">
        <f t="shared" si="18"/>
        <v>EE2-33.8ng/L</v>
      </c>
      <c r="D52" s="29" t="str">
        <f t="shared" si="18"/>
        <v>EE2-50.6ng/L</v>
      </c>
      <c r="E52" s="29" t="str">
        <f t="shared" si="18"/>
        <v>EE2-76ng/L</v>
      </c>
      <c r="F52" s="29" t="str">
        <f t="shared" si="18"/>
        <v>EE2-114ng/L</v>
      </c>
      <c r="G52" s="29" t="str">
        <f t="shared" si="18"/>
        <v>EE2-170.9ng/L</v>
      </c>
      <c r="H52" s="29" t="str">
        <f t="shared" si="18"/>
        <v>EE2-488ng/L</v>
      </c>
      <c r="I52" s="29" t="str">
        <f>I4</f>
        <v>BPA-5mg/L</v>
      </c>
      <c r="J52" s="29" t="str">
        <f>J4</f>
        <v>BPA-4mg/L</v>
      </c>
      <c r="K52" s="29" t="str">
        <f t="shared" ref="K52:N52" si="19">K4</f>
        <v>BPA-3mg/L</v>
      </c>
      <c r="L52" s="29" t="str">
        <f t="shared" si="19"/>
        <v>BPA-2mg/L</v>
      </c>
      <c r="M52" s="29" t="str">
        <f t="shared" si="19"/>
        <v>BPA-1mg/L</v>
      </c>
      <c r="N52" s="29" t="str">
        <f t="shared" si="19"/>
        <v/>
      </c>
      <c r="O52" s="29" t="str">
        <f>O27</f>
        <v>Testo -30µg/L</v>
      </c>
      <c r="P52" s="29" t="str">
        <f>P27</f>
        <v>Testo 30µg/L + EE2 -64ng/L</v>
      </c>
      <c r="Q52" s="29" t="str">
        <f>Q27</f>
        <v>Testo 30µg/L + FAD-10mg/L</v>
      </c>
      <c r="R52" s="29" t="str">
        <f>R27</f>
        <v>BPA-5mg/L + Testostérone</v>
      </c>
      <c r="S52" s="29" t="str">
        <f t="shared" ref="S52:V52" si="20">S27</f>
        <v>BPA-4mg/L + Testostérone</v>
      </c>
      <c r="T52" s="29" t="str">
        <f t="shared" si="20"/>
        <v>BPA-3mg/L + Testostérone</v>
      </c>
      <c r="U52" s="29" t="str">
        <f t="shared" si="20"/>
        <v>BPA-2mg/L + Testostérone</v>
      </c>
      <c r="V52" s="29" t="str">
        <f t="shared" si="20"/>
        <v>BPA-1mg/L + Testostérone</v>
      </c>
    </row>
    <row r="53" spans="1:22" s="3" customFormat="1">
      <c r="A53" s="43" t="s">
        <v>15</v>
      </c>
      <c r="B53" s="75">
        <f t="shared" ref="B53:V53" si="21">B46</f>
        <v>3.3717663408232124E-2</v>
      </c>
      <c r="C53" s="75">
        <f t="shared" si="21"/>
        <v>0.27273309496427173</v>
      </c>
      <c r="D53" s="75">
        <f t="shared" si="21"/>
        <v>1.4299552873977417</v>
      </c>
      <c r="E53" s="75">
        <f t="shared" si="21"/>
        <v>1.6821448877180143</v>
      </c>
      <c r="F53" s="75">
        <f t="shared" si="21"/>
        <v>2.7759424470275524</v>
      </c>
      <c r="G53" s="75">
        <f t="shared" si="21"/>
        <v>2.6925507642804045</v>
      </c>
      <c r="H53" s="75">
        <f t="shared" si="21"/>
        <v>4.3725600961212123</v>
      </c>
      <c r="I53" s="75">
        <f t="shared" si="21"/>
        <v>1.9100884862417564</v>
      </c>
      <c r="J53" s="75">
        <f t="shared" si="21"/>
        <v>1.1370500722980996</v>
      </c>
      <c r="K53" s="75">
        <f t="shared" si="21"/>
        <v>0.91346237820725951</v>
      </c>
      <c r="L53" s="75">
        <f t="shared" si="21"/>
        <v>0.12044068206940191</v>
      </c>
      <c r="M53" s="75">
        <f t="shared" si="21"/>
        <v>0.10961936494029789</v>
      </c>
      <c r="N53" s="75" t="e">
        <f t="shared" si="21"/>
        <v>#DIV/0!</v>
      </c>
      <c r="O53" s="75">
        <f t="shared" si="21"/>
        <v>1</v>
      </c>
      <c r="P53" s="75">
        <f t="shared" si="21"/>
        <v>2.5776404813953318</v>
      </c>
      <c r="Q53" s="75">
        <f t="shared" si="21"/>
        <v>0.12304181363640791</v>
      </c>
      <c r="R53" s="75">
        <f t="shared" si="21"/>
        <v>2.3059768486077976</v>
      </c>
      <c r="S53" s="75">
        <f t="shared" si="21"/>
        <v>2.7553090198748955</v>
      </c>
      <c r="T53" s="75">
        <f t="shared" si="21"/>
        <v>1.822854882078575</v>
      </c>
      <c r="U53" s="75">
        <f t="shared" si="21"/>
        <v>1.8775183697748017</v>
      </c>
      <c r="V53" s="75">
        <f t="shared" si="21"/>
        <v>1.4349316303130399</v>
      </c>
    </row>
    <row r="54" spans="1:22" s="3" customFormat="1">
      <c r="A54" s="43" t="s">
        <v>2</v>
      </c>
      <c r="B54" s="75">
        <f t="shared" ref="B54:V54" si="22">B48</f>
        <v>1.4972695369796179E-2</v>
      </c>
      <c r="C54" s="75">
        <f t="shared" si="22"/>
        <v>5.7905747061947198E-2</v>
      </c>
      <c r="D54" s="75">
        <f t="shared" si="22"/>
        <v>0.45880040265512689</v>
      </c>
      <c r="E54" s="75">
        <f t="shared" si="22"/>
        <v>0.13097312318441548</v>
      </c>
      <c r="F54" s="75">
        <f t="shared" si="22"/>
        <v>0.24738851764718001</v>
      </c>
      <c r="G54" s="75">
        <f t="shared" si="22"/>
        <v>0.15914931596659512</v>
      </c>
      <c r="H54" s="75">
        <f t="shared" si="22"/>
        <v>0.56337526409377958</v>
      </c>
      <c r="I54" s="75">
        <f t="shared" si="22"/>
        <v>0.33629839133304984</v>
      </c>
      <c r="J54" s="75">
        <f t="shared" si="22"/>
        <v>0.31162510416508044</v>
      </c>
      <c r="K54" s="75">
        <f t="shared" si="22"/>
        <v>0.2601411443252214</v>
      </c>
      <c r="L54" s="75">
        <f t="shared" si="22"/>
        <v>5.0049148693605064E-2</v>
      </c>
      <c r="M54" s="75">
        <f t="shared" si="22"/>
        <v>4.0447124947599063E-2</v>
      </c>
      <c r="N54" s="75" t="e">
        <f t="shared" si="22"/>
        <v>#DIV/0!</v>
      </c>
      <c r="O54" s="75">
        <f t="shared" si="22"/>
        <v>0.16740831321326183</v>
      </c>
      <c r="P54" s="75">
        <f t="shared" si="22"/>
        <v>0.16534670110913385</v>
      </c>
      <c r="Q54" s="75">
        <f t="shared" si="22"/>
        <v>5.1162466596248748E-2</v>
      </c>
      <c r="R54" s="75">
        <f t="shared" si="22"/>
        <v>0.40615919381401794</v>
      </c>
      <c r="S54" s="75">
        <f t="shared" si="22"/>
        <v>0.2861345732408192</v>
      </c>
      <c r="T54" s="75">
        <f t="shared" si="22"/>
        <v>0.29173629326372258</v>
      </c>
      <c r="U54" s="75">
        <f t="shared" si="22"/>
        <v>0.33070052417657392</v>
      </c>
      <c r="V54" s="75">
        <f t="shared" si="22"/>
        <v>9.5452334871844749E-2</v>
      </c>
    </row>
    <row r="55" spans="1:22" s="3" customFormat="1">
      <c r="A55" s="43" t="s">
        <v>42</v>
      </c>
      <c r="B55" s="75">
        <f>(B53*100/$B53)-100</f>
        <v>0</v>
      </c>
      <c r="C55" s="75">
        <f t="shared" ref="C55:N55" si="23">(C53*100/$B53)-100</f>
        <v>708.87305760838785</v>
      </c>
      <c r="D55" s="75">
        <f t="shared" si="23"/>
        <v>4140.9679166813794</v>
      </c>
      <c r="E55" s="75">
        <f t="shared" si="23"/>
        <v>4888.9129841284339</v>
      </c>
      <c r="F55" s="75">
        <f t="shared" si="23"/>
        <v>8132.902776856743</v>
      </c>
      <c r="G55" s="75">
        <f t="shared" si="23"/>
        <v>7885.5793436238582</v>
      </c>
      <c r="H55" s="75">
        <f t="shared" si="23"/>
        <v>12868.158686386489</v>
      </c>
      <c r="I55" s="75">
        <f t="shared" si="23"/>
        <v>5564.949148805521</v>
      </c>
      <c r="J55" s="75">
        <f t="shared" si="23"/>
        <v>3272.2682931240438</v>
      </c>
      <c r="K55" s="75">
        <f t="shared" si="23"/>
        <v>2609.1508896913624</v>
      </c>
      <c r="L55" s="75">
        <f t="shared" si="23"/>
        <v>257.20352448858148</v>
      </c>
      <c r="M55" s="75">
        <f t="shared" si="23"/>
        <v>225.10961276615171</v>
      </c>
      <c r="N55" s="75" t="e">
        <f t="shared" si="23"/>
        <v>#DIV/0!</v>
      </c>
      <c r="O55" s="75">
        <f>(O53*100/$O53)-100</f>
        <v>0</v>
      </c>
      <c r="P55" s="75">
        <f t="shared" ref="P55:V55" si="24">(P53*100/$O53)-100</f>
        <v>157.7640481395332</v>
      </c>
      <c r="Q55" s="75">
        <f t="shared" si="24"/>
        <v>-87.695818636359206</v>
      </c>
      <c r="R55" s="75">
        <f t="shared" si="24"/>
        <v>130.59768486077976</v>
      </c>
      <c r="S55" s="75">
        <f t="shared" si="24"/>
        <v>175.53090198748953</v>
      </c>
      <c r="T55" s="75">
        <f t="shared" si="24"/>
        <v>82.285488207857497</v>
      </c>
      <c r="U55" s="75">
        <f t="shared" si="24"/>
        <v>87.751836977480167</v>
      </c>
      <c r="V55" s="75">
        <f t="shared" si="24"/>
        <v>43.493163031303993</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25">IF(C56&gt;0.05,"Oui","Non")</f>
        <v>#NAME?</v>
      </c>
      <c r="D57" s="75" t="e">
        <f t="shared" ca="1" si="25"/>
        <v>#NAME?</v>
      </c>
      <c r="E57" s="75" t="e">
        <f t="shared" ca="1" si="25"/>
        <v>#NAME?</v>
      </c>
      <c r="F57" s="75" t="e">
        <f t="shared" ca="1" si="25"/>
        <v>#NAME?</v>
      </c>
      <c r="G57" s="75" t="e">
        <f t="shared" ca="1" si="25"/>
        <v>#NAME?</v>
      </c>
      <c r="H57" s="75" t="e">
        <f t="shared" ca="1" si="25"/>
        <v>#NAME?</v>
      </c>
      <c r="I57" s="75" t="e">
        <f t="shared" ca="1" si="25"/>
        <v>#NAME?</v>
      </c>
      <c r="J57" s="75" t="e">
        <f t="shared" ca="1" si="25"/>
        <v>#NAME?</v>
      </c>
      <c r="K57" s="75" t="e">
        <f t="shared" ca="1" si="25"/>
        <v>#NAME?</v>
      </c>
      <c r="L57" s="75" t="e">
        <f t="shared" ca="1" si="25"/>
        <v>#NAME?</v>
      </c>
      <c r="M57" s="75" t="e">
        <f t="shared" ca="1" si="25"/>
        <v>#NAME?</v>
      </c>
      <c r="N57" s="75" t="e">
        <f t="shared" ca="1" si="25"/>
        <v>#NAME?</v>
      </c>
      <c r="O57" s="75" t="e">
        <f t="shared" ca="1" si="25"/>
        <v>#NAME?</v>
      </c>
      <c r="P57" s="75" t="e">
        <f t="shared" ca="1" si="25"/>
        <v>#NAME?</v>
      </c>
      <c r="Q57" s="75" t="e">
        <f t="shared" ca="1" si="25"/>
        <v>#NAME?</v>
      </c>
      <c r="R57" s="75" t="e">
        <f t="shared" ca="1" si="25"/>
        <v>#NAME?</v>
      </c>
      <c r="S57" s="75" t="e">
        <f t="shared" ca="1" si="25"/>
        <v>#NAME?</v>
      </c>
      <c r="T57" s="75" t="e">
        <f t="shared" ca="1" si="25"/>
        <v>#NAME?</v>
      </c>
      <c r="U57" s="75" t="e">
        <f t="shared" ca="1" si="25"/>
        <v>#NAME?</v>
      </c>
      <c r="V57" s="75" t="e">
        <f t="shared" ca="1" si="25"/>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26">IF($B57="Non",IF(C57="Non","MW",IF(C57="Oui","MW","")),IF($B57="Oui",IF(C57="Oui","T-Test Welch",IF(C57="Non","MW",""))))</f>
        <v>#NAME?</v>
      </c>
      <c r="D59" s="78" t="e">
        <f t="shared" ca="1" si="26"/>
        <v>#NAME?</v>
      </c>
      <c r="E59" s="78" t="e">
        <f t="shared" ca="1" si="26"/>
        <v>#NAME?</v>
      </c>
      <c r="F59" s="78" t="e">
        <f t="shared" ca="1" si="26"/>
        <v>#NAME?</v>
      </c>
      <c r="G59" s="78" t="e">
        <f t="shared" ca="1" si="26"/>
        <v>#NAME?</v>
      </c>
      <c r="H59" s="78" t="e">
        <f t="shared" ca="1" si="26"/>
        <v>#NAME?</v>
      </c>
      <c r="I59" s="78" t="e">
        <f t="shared" ca="1" si="26"/>
        <v>#NAME?</v>
      </c>
      <c r="J59" s="78" t="e">
        <f t="shared" ca="1" si="26"/>
        <v>#NAME?</v>
      </c>
      <c r="K59" s="78" t="e">
        <f t="shared" ca="1" si="26"/>
        <v>#NAME?</v>
      </c>
      <c r="L59" s="78" t="e">
        <f t="shared" ca="1" si="26"/>
        <v>#NAME?</v>
      </c>
      <c r="M59" s="78" t="e">
        <f t="shared" ca="1" si="26"/>
        <v>#NAME?</v>
      </c>
      <c r="N59" s="78" t="e">
        <f t="shared" ca="1" si="26"/>
        <v>#NAME?</v>
      </c>
      <c r="O59" s="78" t="e">
        <f t="shared" ca="1" si="26"/>
        <v>#NAME?</v>
      </c>
      <c r="P59" s="78" t="e">
        <f ca="1">IF($O57="Non",IF(P57="Non","MW",IF(P57="Oui","MW","")),IF($O57="Oui",IF(P57="Oui","T-Test Welch",IF(P57="Non","MW",""))))</f>
        <v>#NAME?</v>
      </c>
      <c r="Q59" s="78" t="e">
        <f t="shared" ref="Q59:V59" ca="1" si="27">IF($O57="Non",IF(Q57="Non","MW",IF(Q57="Oui","MW","")),IF($O57="Oui",IF(Q57="Oui","T-Test Welch",IF(Q57="Non","MW",""))))</f>
        <v>#NAME?</v>
      </c>
      <c r="R59" s="78" t="e">
        <f t="shared" ca="1" si="27"/>
        <v>#NAME?</v>
      </c>
      <c r="S59" s="78" t="e">
        <f t="shared" ca="1" si="27"/>
        <v>#NAME?</v>
      </c>
      <c r="T59" s="78" t="e">
        <f t="shared" ca="1" si="27"/>
        <v>#NAME?</v>
      </c>
      <c r="U59" s="78" t="e">
        <f t="shared" ca="1" si="27"/>
        <v>#NAME?</v>
      </c>
      <c r="V59" s="78" t="e">
        <f t="shared" ca="1" si="27"/>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28">IF(C60&gt;0.05,"NS",IF(C60&gt;0.01,"*",IF(C60&gt;0.001,"**","***")))</f>
        <v>#NAME?</v>
      </c>
      <c r="D61" s="76" t="e">
        <f t="shared" ca="1" si="28"/>
        <v>#NAME?</v>
      </c>
      <c r="E61" s="76" t="e">
        <f t="shared" ca="1" si="28"/>
        <v>#NAME?</v>
      </c>
      <c r="F61" s="76" t="e">
        <f t="shared" ca="1" si="28"/>
        <v>#NAME?</v>
      </c>
      <c r="G61" s="76" t="e">
        <f t="shared" ca="1" si="28"/>
        <v>#NAME?</v>
      </c>
      <c r="H61" s="76" t="e">
        <f t="shared" ca="1" si="28"/>
        <v>#NAME?</v>
      </c>
      <c r="I61" s="76" t="e">
        <f t="shared" ca="1" si="28"/>
        <v>#NAME?</v>
      </c>
      <c r="J61" s="76" t="e">
        <f t="shared" ca="1" si="28"/>
        <v>#NAME?</v>
      </c>
      <c r="K61" s="76" t="e">
        <f t="shared" ca="1" si="28"/>
        <v>#NAME?</v>
      </c>
      <c r="L61" s="76" t="e">
        <f t="shared" ca="1" si="28"/>
        <v>#NAME?</v>
      </c>
      <c r="M61" s="76" t="e">
        <f t="shared" ca="1" si="28"/>
        <v>#NAME?</v>
      </c>
      <c r="N61" s="76" t="e">
        <f t="shared" ca="1" si="28"/>
        <v>#NAME?</v>
      </c>
      <c r="O61" s="76" t="e">
        <f t="shared" ca="1" si="28"/>
        <v>#NAME?</v>
      </c>
      <c r="P61" s="76" t="e">
        <f ca="1">IF(P60&gt;0.05,"NS",IF(P60&gt;0.01,"*",IF(P60&gt;0.001,"**","***")))</f>
        <v>#NAME?</v>
      </c>
      <c r="Q61" s="76" t="e">
        <f t="shared" ref="Q61:V61" ca="1" si="29">IF(Q60&gt;0.05,"NS",IF(Q60&gt;0.01,"*",IF(Q60&gt;0.001,"**","***")))</f>
        <v>#NAME?</v>
      </c>
      <c r="R61" s="76" t="e">
        <f t="shared" ca="1" si="29"/>
        <v>#NAME?</v>
      </c>
      <c r="S61" s="76" t="e">
        <f t="shared" ca="1" si="29"/>
        <v>#NAME?</v>
      </c>
      <c r="T61" s="76" t="e">
        <f t="shared" ca="1" si="29"/>
        <v>#NAME?</v>
      </c>
      <c r="U61" s="76" t="e">
        <f t="shared" ca="1" si="29"/>
        <v>#NAME?</v>
      </c>
      <c r="V61" s="76" t="e">
        <f t="shared" ca="1" si="29"/>
        <v>#NAME?</v>
      </c>
    </row>
    <row r="63" spans="1:22">
      <c r="A63" s="2" t="s">
        <v>20</v>
      </c>
    </row>
    <row r="64" spans="1:22">
      <c r="A64" s="1" t="s">
        <v>13</v>
      </c>
      <c r="B64" s="1">
        <f>B46+(3*B47)</f>
        <v>0.16076519655171173</v>
      </c>
    </row>
    <row r="65" spans="1:22">
      <c r="A65" s="1" t="s">
        <v>14</v>
      </c>
      <c r="B65" s="1">
        <f>B46+(10*B47)</f>
        <v>0.45720944055316415</v>
      </c>
    </row>
    <row r="66" spans="1:22" ht="15.75" thickBot="1"/>
    <row r="67" spans="1:22" ht="27" thickBot="1">
      <c r="A67" s="140" t="s">
        <v>25</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N3"/>
    <mergeCell ref="O3:V3"/>
    <mergeCell ref="A5:A20"/>
    <mergeCell ref="B26:N26"/>
    <mergeCell ref="O26:V26"/>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94"/>
  <sheetViews>
    <sheetView showGridLines="0" topLeftCell="A79" zoomScale="91" zoomScaleNormal="91" workbookViewId="0">
      <selection activeCell="B94" sqref="B94:V94"/>
    </sheetView>
  </sheetViews>
  <sheetFormatPr defaultColWidth="11" defaultRowHeight="15"/>
  <cols>
    <col min="1" max="1" width="42.85546875" customWidth="1"/>
    <col min="2" max="2" width="14" bestFit="1" customWidth="1"/>
    <col min="3" max="14" width="22.7109375" bestFit="1" customWidth="1"/>
    <col min="15" max="15" width="8.42578125" customWidth="1"/>
    <col min="16" max="16" width="22.7109375" customWidth="1"/>
    <col min="19" max="23" width="29.140625" customWidth="1"/>
  </cols>
  <sheetData>
    <row r="1" spans="1:23" s="1" customFormat="1" ht="21.75" thickBot="1">
      <c r="A1" s="21" t="s">
        <v>7</v>
      </c>
      <c r="B1" s="37" t="e">
        <f>'Front page'!#REF!</f>
        <v>#REF!</v>
      </c>
      <c r="C1" s="22"/>
      <c r="D1" s="22"/>
      <c r="E1" s="22"/>
      <c r="F1" s="22"/>
      <c r="G1" s="22"/>
      <c r="H1" s="38"/>
      <c r="I1" s="37"/>
      <c r="J1" s="39"/>
      <c r="K1" s="39"/>
      <c r="L1" s="39"/>
      <c r="M1" s="39"/>
      <c r="N1" s="39"/>
      <c r="O1" s="39"/>
      <c r="P1" s="39"/>
      <c r="Q1" s="39"/>
      <c r="R1" s="39"/>
      <c r="S1" s="39"/>
      <c r="T1" s="39"/>
      <c r="U1" s="39"/>
      <c r="V1" s="39"/>
      <c r="W1" s="39"/>
    </row>
    <row r="2" spans="1:23" ht="15.75" thickBot="1">
      <c r="A2" s="1"/>
      <c r="B2" s="1"/>
      <c r="C2" s="1"/>
      <c r="D2" s="1"/>
      <c r="E2" s="1"/>
      <c r="F2" s="1"/>
      <c r="G2" s="1"/>
      <c r="H2" s="1"/>
      <c r="I2" s="1"/>
      <c r="J2" s="1"/>
      <c r="K2" s="1"/>
      <c r="L2" s="1"/>
      <c r="M2" s="1"/>
      <c r="N2" s="1"/>
    </row>
    <row r="3" spans="1:23" s="17" customFormat="1" ht="15.75" thickBot="1">
      <c r="B3" s="146" t="s">
        <v>6</v>
      </c>
      <c r="C3" s="147"/>
      <c r="D3" s="147"/>
      <c r="E3" s="147"/>
      <c r="F3" s="147"/>
      <c r="G3" s="147"/>
      <c r="H3" s="147"/>
      <c r="I3" s="147"/>
      <c r="J3" s="147"/>
      <c r="K3" s="147"/>
      <c r="L3" s="147"/>
      <c r="M3" s="147"/>
      <c r="N3" s="147"/>
      <c r="O3" s="53"/>
      <c r="P3" s="146" t="s">
        <v>3</v>
      </c>
      <c r="Q3" s="147"/>
      <c r="R3" s="147"/>
      <c r="S3" s="147"/>
      <c r="T3" s="147"/>
      <c r="U3" s="147"/>
      <c r="V3" s="147"/>
      <c r="W3" s="147"/>
    </row>
    <row r="4" spans="1:23">
      <c r="A4" s="18" t="s">
        <v>22</v>
      </c>
      <c r="B4" s="19" t="str">
        <f>'R1'!B4</f>
        <v>Solvent control</v>
      </c>
      <c r="C4" s="19" t="str">
        <f>'R1'!C4</f>
        <v>EE2-33.8ng/L</v>
      </c>
      <c r="D4" s="19" t="str">
        <f>'R1'!D4</f>
        <v>EE2-50.6ng/L</v>
      </c>
      <c r="E4" s="19" t="str">
        <f>'R1'!E4</f>
        <v>EE2-76ng/L</v>
      </c>
      <c r="F4" s="19" t="str">
        <f>'R1'!F4</f>
        <v>EE2-114ng/L</v>
      </c>
      <c r="G4" s="19" t="str">
        <f>'R1'!G4</f>
        <v>EE2-170.9ng/L</v>
      </c>
      <c r="H4" s="19" t="str">
        <f>'R1'!H4</f>
        <v>EE2-488ng/L</v>
      </c>
      <c r="I4" s="19" t="str">
        <f>'R1'!I4</f>
        <v>BPA-5mg/L</v>
      </c>
      <c r="J4" s="19" t="str">
        <f>'R1'!J4</f>
        <v>BPA-4mg/L</v>
      </c>
      <c r="K4" s="19" t="str">
        <f>'R1'!K4</f>
        <v>BPA-3mg/L</v>
      </c>
      <c r="L4" s="19" t="str">
        <f>'R1'!L4</f>
        <v>BPA-2mg/L</v>
      </c>
      <c r="M4" s="19" t="str">
        <f>'R1'!M4</f>
        <v>BPA-1mg/L</v>
      </c>
      <c r="N4" s="19" t="str">
        <f>'R1'!N4</f>
        <v/>
      </c>
      <c r="P4" s="19" t="str">
        <f>'R1'!O4</f>
        <v>Testo -30µg/L</v>
      </c>
      <c r="Q4" s="19" t="str">
        <f>'R1'!P4</f>
        <v>Testo 30µg/L + EE2 -64ng/L</v>
      </c>
      <c r="R4" s="19" t="str">
        <f>'R1'!Q4</f>
        <v>Testo 30µg/L + FAD-10mg/L</v>
      </c>
      <c r="S4" s="19" t="str">
        <f>'R1'!R4</f>
        <v>BPA-5mg/L + Testostérone</v>
      </c>
      <c r="T4" s="19" t="str">
        <f>'R1'!S4</f>
        <v>BPA-4mg/L + Testostérone</v>
      </c>
      <c r="U4" s="19" t="str">
        <f>'R1'!T4</f>
        <v>BPA-3mg/L + Testostérone</v>
      </c>
      <c r="V4" s="19" t="str">
        <f>'R1'!U4</f>
        <v>BPA-2mg/L + Testostérone</v>
      </c>
      <c r="W4" s="19" t="str">
        <f>'R1'!V4</f>
        <v>BPA-1mg/L + Testostérone</v>
      </c>
    </row>
    <row r="5" spans="1:23" s="1" customFormat="1">
      <c r="A5" s="18"/>
      <c r="B5" s="19"/>
      <c r="C5" s="111"/>
      <c r="D5" s="19"/>
      <c r="E5" s="19"/>
      <c r="F5" s="19"/>
      <c r="G5" s="19"/>
      <c r="H5" s="19"/>
      <c r="I5" s="19"/>
      <c r="J5" s="19"/>
      <c r="K5" s="19"/>
      <c r="L5" s="19"/>
      <c r="M5" s="19"/>
      <c r="N5" s="19"/>
      <c r="P5" s="19"/>
      <c r="Q5" s="19"/>
      <c r="R5" s="19"/>
      <c r="S5" s="19"/>
      <c r="T5" s="19"/>
      <c r="U5" s="19"/>
      <c r="V5" s="19"/>
      <c r="W5" s="19"/>
    </row>
    <row r="6" spans="1:23" s="1" customFormat="1">
      <c r="A6" s="52" t="s">
        <v>4</v>
      </c>
      <c r="B6" s="35">
        <f>'R1'!B28</f>
        <v>0.2027531233614947</v>
      </c>
      <c r="C6" s="35">
        <f>'R1'!C28</f>
        <v>0.11021078647890015</v>
      </c>
      <c r="D6" s="35">
        <f>'R1'!D28</f>
        <v>0.46063468992878287</v>
      </c>
      <c r="E6" s="35">
        <f>'R1'!E28</f>
        <v>1.2368661890137824</v>
      </c>
      <c r="F6" s="35">
        <f>'R1'!F28</f>
        <v>1.0596361945244415</v>
      </c>
      <c r="G6" s="35">
        <f>'R1'!G28</f>
        <v>2.0388978328192704</v>
      </c>
      <c r="H6" s="35">
        <f>'R1'!H28</f>
        <v>2.5382332601440534</v>
      </c>
      <c r="I6" s="35">
        <f>'R1'!I28</f>
        <v>1.0594511704153735</v>
      </c>
      <c r="J6" s="35">
        <f>'R1'!J28</f>
        <v>1.1316942396469098</v>
      </c>
      <c r="K6" s="35">
        <f>'R1'!K28</f>
        <v>0.37956447218672951</v>
      </c>
      <c r="L6" s="35">
        <f>'R1'!L28</f>
        <v>0.22527882004152427</v>
      </c>
      <c r="M6" s="35">
        <f>'R1'!M28</f>
        <v>3.2806501984456414E-2</v>
      </c>
      <c r="N6" s="35" t="str">
        <f>'R1'!N28</f>
        <v/>
      </c>
      <c r="O6"/>
      <c r="P6" s="35">
        <f>'R1'!O28</f>
        <v>0.72184055073914166</v>
      </c>
      <c r="Q6" s="35">
        <f>'R1'!P28</f>
        <v>0.99319359989327294</v>
      </c>
      <c r="R6" s="35">
        <f>'R1'!Q28</f>
        <v>0.20516301555373226</v>
      </c>
      <c r="S6" s="35">
        <f>'R1'!R28</f>
        <v>1.3096003317946396</v>
      </c>
      <c r="T6" s="35">
        <f>'R1'!S28</f>
        <v>1.2873697579342485</v>
      </c>
      <c r="U6" s="35">
        <f>'R1'!T28</f>
        <v>1.3832174495841822</v>
      </c>
      <c r="V6" s="35">
        <f>'R1'!U28</f>
        <v>2.0215844463614014</v>
      </c>
      <c r="W6" s="35">
        <f>'R1'!V28</f>
        <v>1.0090826753383102</v>
      </c>
    </row>
    <row r="7" spans="1:23" s="1" customFormat="1">
      <c r="A7" s="142" t="s">
        <v>17</v>
      </c>
      <c r="B7" s="35">
        <f>'R1'!B29</f>
        <v>8.794878557636128E-2</v>
      </c>
      <c r="C7" s="35">
        <f>'R1'!C29</f>
        <v>0.43360639305125204</v>
      </c>
      <c r="D7" s="35">
        <f>'R1'!D29</f>
        <v>0.41745091618933378</v>
      </c>
      <c r="E7" s="35">
        <f>'R1'!E29</f>
        <v>1.1986477838706118</v>
      </c>
      <c r="F7" s="35">
        <f>'R1'!F29</f>
        <v>1.6841239896713256</v>
      </c>
      <c r="G7" s="35">
        <f>'R1'!G29</f>
        <v>1.3433262308564957</v>
      </c>
      <c r="H7" s="35">
        <f>'R1'!H29</f>
        <v>1.3475213247309956</v>
      </c>
      <c r="I7" s="35">
        <f>'R1'!I29</f>
        <v>0.87839061492783466</v>
      </c>
      <c r="J7" s="35">
        <f>'R1'!J29</f>
        <v>0.49847097553961506</v>
      </c>
      <c r="K7" s="35">
        <f>'R1'!K29</f>
        <v>0.13051296789545536</v>
      </c>
      <c r="L7" s="35">
        <f>'R1'!L29</f>
        <v>0.11455063206077573</v>
      </c>
      <c r="M7" s="35">
        <f>'R1'!M29</f>
        <v>6.6416578867801265E-2</v>
      </c>
      <c r="N7" s="35" t="str">
        <f>'R1'!N29</f>
        <v/>
      </c>
      <c r="O7"/>
      <c r="P7" s="35">
        <f>'R1'!O29</f>
        <v>1.5059025864715845</v>
      </c>
      <c r="Q7" s="35">
        <f>'R1'!P29</f>
        <v>1.8819414024067807</v>
      </c>
      <c r="R7" s="35">
        <f>'R1'!Q29</f>
        <v>0.19561138006496345</v>
      </c>
      <c r="S7" s="35">
        <f>'R1'!R29</f>
        <v>1.3066903125674296</v>
      </c>
      <c r="T7" s="35">
        <f>'R1'!S29</f>
        <v>1.213165932649247</v>
      </c>
      <c r="U7" s="35">
        <f>'R1'!T29</f>
        <v>1.4822611257322591</v>
      </c>
      <c r="V7" s="35">
        <f>'R1'!U29</f>
        <v>0.88245916812931624</v>
      </c>
      <c r="W7" s="35">
        <f>'R1'!V29</f>
        <v>0.69511153920338797</v>
      </c>
    </row>
    <row r="8" spans="1:23" s="1" customFormat="1">
      <c r="A8" s="151"/>
      <c r="B8" s="35">
        <f>'R1'!B30</f>
        <v>0.29295435373019479</v>
      </c>
      <c r="C8" s="35">
        <f>'R1'!C30</f>
        <v>0</v>
      </c>
      <c r="D8" s="35">
        <f>'R1'!D30</f>
        <v>0.64004522164051558</v>
      </c>
      <c r="E8" s="35">
        <f>'R1'!E30</f>
        <v>0.51726788488773967</v>
      </c>
      <c r="F8" s="35">
        <f>'R1'!F30</f>
        <v>1.5318749555455644</v>
      </c>
      <c r="G8" s="35">
        <f>'R1'!G30</f>
        <v>0.85136866589656535</v>
      </c>
      <c r="H8" s="35">
        <f>'R1'!H30</f>
        <v>1.7342161973414283</v>
      </c>
      <c r="I8" s="35">
        <f>'R1'!I30</f>
        <v>1.4087463019242767</v>
      </c>
      <c r="J8" s="35">
        <f>'R1'!J30</f>
        <v>1.1881316920022913</v>
      </c>
      <c r="K8" s="35">
        <f>'R1'!K30</f>
        <v>0.16385685148802623</v>
      </c>
      <c r="L8" s="35">
        <f>'R1'!L30</f>
        <v>3.9626378256607732E-2</v>
      </c>
      <c r="M8" s="35">
        <f>'R1'!M30</f>
        <v>0.3186926849969226</v>
      </c>
      <c r="N8" s="35" t="str">
        <f>'R1'!N30</f>
        <v/>
      </c>
      <c r="O8"/>
      <c r="P8" s="35">
        <f>'R1'!O30</f>
        <v>1.3765055907615318</v>
      </c>
      <c r="Q8" s="35">
        <f>'R1'!P30</f>
        <v>1.7585985870214538</v>
      </c>
      <c r="R8" s="35">
        <f>'R1'!Q30</f>
        <v>2.6865958514119041E-2</v>
      </c>
      <c r="S8" s="35">
        <f>'R1'!R30</f>
        <v>1.0987895021399787</v>
      </c>
      <c r="T8" s="35">
        <f>'R1'!S30</f>
        <v>1.3550423778574219</v>
      </c>
      <c r="U8" s="35">
        <f>'R1'!T30</f>
        <v>1.4047395621765557</v>
      </c>
      <c r="V8" s="35">
        <f>'R1'!U30</f>
        <v>1.5195232954771023</v>
      </c>
      <c r="W8" s="35">
        <f>'R1'!V30</f>
        <v>0.92517861252418621</v>
      </c>
    </row>
    <row r="9" spans="1:23" s="1" customFormat="1">
      <c r="A9" s="151"/>
      <c r="B9" s="35">
        <f>'R1'!B31</f>
        <v>0.20339019737483258</v>
      </c>
      <c r="C9" s="35">
        <f>'R1'!C31</f>
        <v>5.8283114671709421E-2</v>
      </c>
      <c r="D9" s="35">
        <f>'R1'!D31</f>
        <v>0.63756206905863577</v>
      </c>
      <c r="E9" s="35">
        <f>'R1'!E31</f>
        <v>0.99250501466846786</v>
      </c>
      <c r="F9" s="35">
        <f>'R1'!F31</f>
        <v>0.99387552508265598</v>
      </c>
      <c r="G9" s="35">
        <f>'R1'!G31</f>
        <v>0.76259955126970713</v>
      </c>
      <c r="H9" s="35">
        <f>'R1'!H31</f>
        <v>1.4994178972946572</v>
      </c>
      <c r="I9" s="35">
        <f>'R1'!I31</f>
        <v>0.83049653113615984</v>
      </c>
      <c r="J9" s="35">
        <f>'R1'!J31</f>
        <v>0.42346773787786401</v>
      </c>
      <c r="K9" s="35">
        <f>'R1'!K31</f>
        <v>5.9485979506758817E-2</v>
      </c>
      <c r="L9" s="35">
        <f>'R1'!L31</f>
        <v>8.7547206253024007E-3</v>
      </c>
      <c r="M9" s="35">
        <f>'R1'!M31</f>
        <v>6.2739302747363473E-2</v>
      </c>
      <c r="N9" s="35" t="str">
        <f>'R1'!N31</f>
        <v/>
      </c>
      <c r="O9"/>
      <c r="P9" s="35">
        <f>'R1'!O31</f>
        <v>0.90405079484140716</v>
      </c>
      <c r="Q9" s="35">
        <f>'R1'!P31</f>
        <v>1.3597278168398683</v>
      </c>
      <c r="R9" s="35">
        <f>'R1'!Q31</f>
        <v>4.2763359003433928E-2</v>
      </c>
      <c r="S9" s="35">
        <f>'R1'!R31</f>
        <v>1.3602450102156098</v>
      </c>
      <c r="T9" s="35">
        <f>'R1'!S31</f>
        <v>0.88001961796684003</v>
      </c>
      <c r="U9" s="35">
        <f>'R1'!T31</f>
        <v>2.2328245361116226</v>
      </c>
      <c r="V9" s="35">
        <f>'R1'!U31</f>
        <v>1.1585072300668131</v>
      </c>
      <c r="W9" s="35">
        <f>'R1'!V31</f>
        <v>1.4571278170584008</v>
      </c>
    </row>
    <row r="10" spans="1:23" s="1" customFormat="1">
      <c r="A10" s="151"/>
      <c r="B10" s="35">
        <f>'R1'!B32</f>
        <v>0.2482981918472113</v>
      </c>
      <c r="C10" s="35">
        <f>'R1'!C32</f>
        <v>0.53308630151947145</v>
      </c>
      <c r="D10" s="35">
        <f>'R1'!D32</f>
        <v>0.41681238529324732</v>
      </c>
      <c r="E10" s="35">
        <f>'R1'!E32</f>
        <v>0.66049309133192746</v>
      </c>
      <c r="F10" s="35">
        <f>'R1'!F32</f>
        <v>1.4703885719619689</v>
      </c>
      <c r="G10" s="35">
        <f>'R1'!G32</f>
        <v>1.0874002171899988</v>
      </c>
      <c r="H10" s="35">
        <f>'R1'!H32</f>
        <v>2.442747707920192</v>
      </c>
      <c r="I10" s="35">
        <f>'R1'!I32</f>
        <v>1.0390869674189507</v>
      </c>
      <c r="J10" s="35">
        <f>'R1'!J32</f>
        <v>0.86959968035992496</v>
      </c>
      <c r="K10" s="35">
        <f>'R1'!K32</f>
        <v>0.31662849026830941</v>
      </c>
      <c r="L10" s="35">
        <f>'R1'!L32</f>
        <v>0.3651906588632558</v>
      </c>
      <c r="M10" s="35">
        <f>'R1'!M32</f>
        <v>0.21544402898426604</v>
      </c>
      <c r="N10" s="35" t="str">
        <f>'R1'!N32</f>
        <v/>
      </c>
      <c r="O10"/>
      <c r="P10" s="35">
        <f>'R1'!O32</f>
        <v>1.0418121706631995</v>
      </c>
      <c r="Q10" s="35">
        <f>'R1'!P32</f>
        <v>1.7096813552880707</v>
      </c>
      <c r="R10" s="35">
        <f>'R1'!Q32</f>
        <v>2.7155253802763155E-2</v>
      </c>
      <c r="S10" s="35">
        <f>'R1'!R32</f>
        <v>1.4819350961857405</v>
      </c>
      <c r="T10" s="35">
        <f>'R1'!S32</f>
        <v>1.3434085447317896</v>
      </c>
      <c r="U10" s="35">
        <f>'R1'!T32</f>
        <v>1.4002624574271545</v>
      </c>
      <c r="V10" s="35">
        <f>'R1'!U32</f>
        <v>1.9640452784589428</v>
      </c>
      <c r="W10" s="35">
        <f>'R1'!V32</f>
        <v>1.2546361000872204</v>
      </c>
    </row>
    <row r="11" spans="1:23" s="1" customFormat="1">
      <c r="A11" s="151"/>
      <c r="B11" s="35">
        <f>'R1'!B33</f>
        <v>7.8832341777200277E-2</v>
      </c>
      <c r="C11" s="35">
        <f>'R1'!C33</f>
        <v>5.2568908342667357E-2</v>
      </c>
      <c r="D11" s="35">
        <f>'R1'!D33</f>
        <v>0.15021408111517298</v>
      </c>
      <c r="E11" s="35">
        <f>'R1'!E33</f>
        <v>1.4492580486397997</v>
      </c>
      <c r="F11" s="35">
        <f>'R1'!F33</f>
        <v>0.54129281797909867</v>
      </c>
      <c r="G11" s="35">
        <f>'R1'!G33</f>
        <v>1.8187347524862876</v>
      </c>
      <c r="H11" s="35">
        <f>'R1'!H33</f>
        <v>1.9324117752131902</v>
      </c>
      <c r="I11" s="35">
        <f>'R1'!I33</f>
        <v>0.68034103752009001</v>
      </c>
      <c r="J11" s="35">
        <f>'R1'!J33</f>
        <v>0.90310111541544802</v>
      </c>
      <c r="K11" s="35">
        <f>'R1'!K33</f>
        <v>0.3485761598724853</v>
      </c>
      <c r="L11" s="35">
        <f>'R1'!L33</f>
        <v>0.13678110185811346</v>
      </c>
      <c r="M11" s="35">
        <f>'R1'!M33</f>
        <v>0.30523150465237292</v>
      </c>
      <c r="N11" s="35" t="str">
        <f>'R1'!N33</f>
        <v/>
      </c>
      <c r="O11"/>
      <c r="P11" s="35">
        <f>'R1'!O33</f>
        <v>1.1769763407965101</v>
      </c>
      <c r="Q11" s="35">
        <f>'R1'!P33</f>
        <v>1.4126184881438621</v>
      </c>
      <c r="R11" s="35">
        <f>'R1'!Q33</f>
        <v>4.8303988159289525E-3</v>
      </c>
      <c r="S11" s="35">
        <f>'R1'!R33</f>
        <v>1.4916543772536479</v>
      </c>
      <c r="T11" s="35">
        <f>'R1'!S33</f>
        <v>1.6574163110615332</v>
      </c>
      <c r="U11" s="35">
        <f>'R1'!T33</f>
        <v>2.1415592610212011</v>
      </c>
      <c r="V11" s="35">
        <f>'R1'!U33</f>
        <v>2.004156278355556</v>
      </c>
      <c r="W11" s="35">
        <f>'R1'!V33</f>
        <v>1.4729516449689131</v>
      </c>
    </row>
    <row r="12" spans="1:23" s="1" customFormat="1">
      <c r="A12" s="151"/>
      <c r="B12" s="35">
        <f>'R1'!B34</f>
        <v>0.37475592661202906</v>
      </c>
      <c r="C12" s="35">
        <f>'R1'!C34</f>
        <v>0.12007346643448812</v>
      </c>
      <c r="D12" s="35">
        <f>'R1'!D34</f>
        <v>0.70679344945972289</v>
      </c>
      <c r="E12" s="35">
        <f>'R1'!E34</f>
        <v>0.98976597103810748</v>
      </c>
      <c r="F12" s="35">
        <f>'R1'!F34</f>
        <v>1.0370378618330904</v>
      </c>
      <c r="G12" s="35">
        <f>'R1'!G34</f>
        <v>1.5226877488700443</v>
      </c>
      <c r="H12" s="35">
        <f>'R1'!H34</f>
        <v>1.6967360154995674</v>
      </c>
      <c r="I12" s="35">
        <f>'R1'!I34</f>
        <v>0.80284853877522055</v>
      </c>
      <c r="J12" s="35">
        <f>'R1'!J34</f>
        <v>0.74159577674666322</v>
      </c>
      <c r="K12" s="35">
        <f>'R1'!K34</f>
        <v>0.21562041585989616</v>
      </c>
      <c r="L12" s="35">
        <f>'R1'!L34</f>
        <v>5.9315940477390298E-5</v>
      </c>
      <c r="M12" s="35">
        <f>'R1'!M34</f>
        <v>0.16687853037160863</v>
      </c>
      <c r="N12" s="35" t="str">
        <f>'R1'!N34</f>
        <v/>
      </c>
      <c r="O12"/>
      <c r="P12" s="35">
        <f>'R1'!O34</f>
        <v>0.88770134444782245</v>
      </c>
      <c r="Q12" s="35">
        <f>'R1'!P34</f>
        <v>1.2557659126587346</v>
      </c>
      <c r="R12" s="35">
        <f>'R1'!Q34</f>
        <v>5.0006563777097564E-2</v>
      </c>
      <c r="S12" s="35">
        <f>'R1'!R34</f>
        <v>1.0148433978522531</v>
      </c>
      <c r="T12" s="35">
        <f>'R1'!S34</f>
        <v>1.6824118402525985</v>
      </c>
      <c r="U12" s="35">
        <f>'R1'!T34</f>
        <v>1.3192153416829713</v>
      </c>
      <c r="V12" s="35">
        <f>'R1'!U34</f>
        <v>1.1950531338146284</v>
      </c>
      <c r="W12" s="35">
        <f>'R1'!V34</f>
        <v>0.28804434667836198</v>
      </c>
    </row>
    <row r="13" spans="1:23" s="1" customFormat="1">
      <c r="A13" s="151"/>
      <c r="B13" s="35">
        <f>'R1'!B35</f>
        <v>9.017167646151486E-2</v>
      </c>
      <c r="C13" s="35">
        <f>'R1'!C35</f>
        <v>4.2201418514700752E-2</v>
      </c>
      <c r="D13" s="35">
        <f>'R1'!D35</f>
        <v>0.34496433941267957</v>
      </c>
      <c r="E13" s="35">
        <f>'R1'!E35</f>
        <v>1.1965246894537351</v>
      </c>
      <c r="F13" s="35">
        <f>'R1'!F35</f>
        <v>1.3184325793947766</v>
      </c>
      <c r="G13" s="35">
        <f>'R1'!G35</f>
        <v>1.750750463717974</v>
      </c>
      <c r="H13" s="35">
        <f>'R1'!H35</f>
        <v>1.5891914285135993</v>
      </c>
      <c r="I13" s="35">
        <f>'R1'!I35</f>
        <v>0.5166671288800625</v>
      </c>
      <c r="J13" s="35">
        <f>'R1'!J35</f>
        <v>0.49501191964230201</v>
      </c>
      <c r="K13" s="35">
        <f>'R1'!K35</f>
        <v>0.21354633514120341</v>
      </c>
      <c r="L13" s="35">
        <f>'R1'!L35</f>
        <v>0.22949087619373981</v>
      </c>
      <c r="M13" s="35">
        <f>'R1'!M35</f>
        <v>0.1996508996745272</v>
      </c>
      <c r="N13" s="35" t="str">
        <f>'R1'!N35</f>
        <v/>
      </c>
      <c r="O13"/>
      <c r="P13" s="35">
        <f>'R1'!O35</f>
        <v>1.171553615080235</v>
      </c>
      <c r="Q13" s="35">
        <f>'R1'!P35</f>
        <v>1.2298401638327088</v>
      </c>
      <c r="R13" s="35">
        <f>'R1'!Q35</f>
        <v>0.26659154007959884</v>
      </c>
      <c r="S13" s="35">
        <f>'R1'!R35</f>
        <v>0.42421990562833872</v>
      </c>
      <c r="T13" s="35">
        <f>'R1'!S35</f>
        <v>1.3163922151054077</v>
      </c>
      <c r="U13" s="35">
        <f>'R1'!T35</f>
        <v>1.6511614971697191</v>
      </c>
      <c r="V13" s="35">
        <f>'R1'!U35</f>
        <v>1.2626905804257291</v>
      </c>
      <c r="W13" s="35">
        <f>'R1'!V35</f>
        <v>1.8465821296576737</v>
      </c>
    </row>
    <row r="14" spans="1:23" s="1" customFormat="1">
      <c r="A14" s="151"/>
      <c r="B14" s="35" t="str">
        <f>'R1'!B36</f>
        <v/>
      </c>
      <c r="C14" s="35" t="str">
        <f>'R1'!C36</f>
        <v/>
      </c>
      <c r="D14" s="35" t="str">
        <f>'R1'!D36</f>
        <v/>
      </c>
      <c r="E14" s="35" t="str">
        <f>'R1'!E36</f>
        <v/>
      </c>
      <c r="F14" s="35" t="str">
        <f>'R1'!F36</f>
        <v/>
      </c>
      <c r="G14" s="35" t="str">
        <f>'R1'!G36</f>
        <v/>
      </c>
      <c r="H14" s="35" t="str">
        <f>'R1'!H36</f>
        <v/>
      </c>
      <c r="I14" s="35" t="str">
        <f>'R1'!I36</f>
        <v/>
      </c>
      <c r="J14" s="35" t="str">
        <f>'R1'!J36</f>
        <v/>
      </c>
      <c r="K14" s="35" t="str">
        <f>'R1'!K36</f>
        <v/>
      </c>
      <c r="L14" s="35" t="str">
        <f>'R1'!L36</f>
        <v/>
      </c>
      <c r="M14" s="35" t="str">
        <f>'R1'!M36</f>
        <v/>
      </c>
      <c r="N14" s="35" t="str">
        <f>'R1'!N36</f>
        <v/>
      </c>
      <c r="O14"/>
      <c r="P14" s="35">
        <f>'R1'!O36</f>
        <v>0.44873882603451554</v>
      </c>
      <c r="Q14" s="35" t="str">
        <f>'R1'!P36</f>
        <v/>
      </c>
      <c r="R14" s="35" t="str">
        <f>'R1'!Q36</f>
        <v/>
      </c>
      <c r="S14" s="35" t="str">
        <f>'R1'!R36</f>
        <v/>
      </c>
      <c r="T14" s="35" t="str">
        <f>'R1'!S36</f>
        <v/>
      </c>
      <c r="U14" s="35" t="str">
        <f>'R1'!T36</f>
        <v/>
      </c>
      <c r="V14" s="35" t="str">
        <f>'R1'!U36</f>
        <v/>
      </c>
      <c r="W14" s="35" t="str">
        <f>'R1'!V36</f>
        <v/>
      </c>
    </row>
    <row r="15" spans="1:23" s="1" customFormat="1">
      <c r="A15" s="151"/>
      <c r="B15" s="35" t="str">
        <f>'R1'!B37</f>
        <v/>
      </c>
      <c r="C15" s="35" t="str">
        <f>'R1'!C37</f>
        <v/>
      </c>
      <c r="D15" s="35" t="str">
        <f>'R1'!D37</f>
        <v/>
      </c>
      <c r="E15" s="35" t="str">
        <f>'R1'!E37</f>
        <v/>
      </c>
      <c r="F15" s="35" t="str">
        <f>'R1'!F37</f>
        <v/>
      </c>
      <c r="G15" s="35" t="str">
        <f>'R1'!G37</f>
        <v/>
      </c>
      <c r="H15" s="35" t="str">
        <f>'R1'!H37</f>
        <v/>
      </c>
      <c r="I15" s="35" t="str">
        <f>'R1'!I37</f>
        <v/>
      </c>
      <c r="J15" s="35" t="str">
        <f>'R1'!J37</f>
        <v/>
      </c>
      <c r="K15" s="35" t="str">
        <f>'R1'!K37</f>
        <v/>
      </c>
      <c r="L15" s="35" t="str">
        <f>'R1'!L37</f>
        <v/>
      </c>
      <c r="M15" s="35" t="str">
        <f>'R1'!M37</f>
        <v/>
      </c>
      <c r="N15" s="35" t="str">
        <f>'R1'!N37</f>
        <v/>
      </c>
      <c r="O15"/>
      <c r="P15" s="35">
        <f>'R1'!O37</f>
        <v>1.1308492476527408</v>
      </c>
      <c r="Q15" s="35" t="str">
        <f>'R1'!P37</f>
        <v/>
      </c>
      <c r="R15" s="35" t="str">
        <f>'R1'!Q37</f>
        <v/>
      </c>
      <c r="S15" s="35" t="str">
        <f>'R1'!R37</f>
        <v/>
      </c>
      <c r="T15" s="35" t="str">
        <f>'R1'!S37</f>
        <v/>
      </c>
      <c r="U15" s="35" t="str">
        <f>'R1'!T37</f>
        <v/>
      </c>
      <c r="V15" s="35" t="str">
        <f>'R1'!U37</f>
        <v/>
      </c>
      <c r="W15" s="35" t="str">
        <f>'R1'!V37</f>
        <v/>
      </c>
    </row>
    <row r="16" spans="1:23" s="1" customFormat="1">
      <c r="A16" s="151"/>
      <c r="B16" s="35" t="str">
        <f>'R1'!B38</f>
        <v/>
      </c>
      <c r="C16" s="35" t="str">
        <f>'R1'!C38</f>
        <v/>
      </c>
      <c r="D16" s="35" t="str">
        <f>'R1'!D38</f>
        <v/>
      </c>
      <c r="E16" s="35" t="str">
        <f>'R1'!E38</f>
        <v/>
      </c>
      <c r="F16" s="35" t="str">
        <f>'R1'!F38</f>
        <v/>
      </c>
      <c r="G16" s="35" t="str">
        <f>'R1'!G38</f>
        <v/>
      </c>
      <c r="H16" s="35" t="str">
        <f>'R1'!H38</f>
        <v/>
      </c>
      <c r="I16" s="35" t="str">
        <f>'R1'!I38</f>
        <v/>
      </c>
      <c r="J16" s="35" t="str">
        <f>'R1'!J38</f>
        <v/>
      </c>
      <c r="K16" s="35" t="str">
        <f>'R1'!K38</f>
        <v/>
      </c>
      <c r="L16" s="35" t="str">
        <f>'R1'!L38</f>
        <v/>
      </c>
      <c r="M16" s="35" t="str">
        <f>'R1'!M38</f>
        <v/>
      </c>
      <c r="N16" s="35" t="str">
        <f>'R1'!N38</f>
        <v/>
      </c>
      <c r="O16"/>
      <c r="P16" s="35">
        <f>'R1'!O38</f>
        <v>1.773800846313595</v>
      </c>
      <c r="Q16" s="35" t="str">
        <f>'R1'!P38</f>
        <v/>
      </c>
      <c r="R16" s="35" t="str">
        <f>'R1'!Q38</f>
        <v/>
      </c>
      <c r="S16" s="35" t="str">
        <f>'R1'!R38</f>
        <v/>
      </c>
      <c r="T16" s="35" t="str">
        <f>'R1'!S38</f>
        <v/>
      </c>
      <c r="U16" s="35" t="str">
        <f>'R1'!T38</f>
        <v/>
      </c>
      <c r="V16" s="35" t="str">
        <f>'R1'!U38</f>
        <v/>
      </c>
      <c r="W16" s="35" t="str">
        <f>'R1'!V38</f>
        <v/>
      </c>
    </row>
    <row r="17" spans="1:23" s="1" customFormat="1">
      <c r="A17" s="151"/>
      <c r="B17" s="35" t="str">
        <f>'R1'!B39</f>
        <v/>
      </c>
      <c r="C17" s="35" t="str">
        <f>'R1'!C39</f>
        <v/>
      </c>
      <c r="D17" s="35" t="str">
        <f>'R1'!D39</f>
        <v/>
      </c>
      <c r="E17" s="35" t="str">
        <f>'R1'!E39</f>
        <v/>
      </c>
      <c r="F17" s="35" t="str">
        <f>'R1'!F39</f>
        <v/>
      </c>
      <c r="G17" s="35" t="str">
        <f>'R1'!G39</f>
        <v/>
      </c>
      <c r="H17" s="35" t="str">
        <f>'R1'!H39</f>
        <v/>
      </c>
      <c r="I17" s="35" t="str">
        <f>'R1'!I39</f>
        <v/>
      </c>
      <c r="J17" s="35" t="str">
        <f>'R1'!J39</f>
        <v/>
      </c>
      <c r="K17" s="35" t="str">
        <f>'R1'!K39</f>
        <v/>
      </c>
      <c r="L17" s="35" t="str">
        <f>'R1'!L39</f>
        <v/>
      </c>
      <c r="M17" s="35" t="str">
        <f>'R1'!M39</f>
        <v/>
      </c>
      <c r="N17" s="35" t="str">
        <f>'R1'!N39</f>
        <v/>
      </c>
      <c r="O17"/>
      <c r="P17" s="35">
        <f>'R1'!O39</f>
        <v>1.1766037950650907</v>
      </c>
      <c r="Q17" s="35" t="str">
        <f>'R1'!P39</f>
        <v/>
      </c>
      <c r="R17" s="35" t="str">
        <f>'R1'!Q39</f>
        <v/>
      </c>
      <c r="S17" s="35" t="str">
        <f>'R1'!R39</f>
        <v/>
      </c>
      <c r="T17" s="35" t="str">
        <f>'R1'!S39</f>
        <v/>
      </c>
      <c r="U17" s="35" t="str">
        <f>'R1'!T39</f>
        <v/>
      </c>
      <c r="V17" s="35" t="str">
        <f>'R1'!U39</f>
        <v/>
      </c>
      <c r="W17" s="35" t="str">
        <f>'R1'!V39</f>
        <v/>
      </c>
    </row>
    <row r="18" spans="1:23" s="1" customFormat="1">
      <c r="A18" s="151"/>
      <c r="B18" s="35" t="str">
        <f>'R1'!B40</f>
        <v/>
      </c>
      <c r="C18" s="35" t="str">
        <f>'R1'!C40</f>
        <v/>
      </c>
      <c r="D18" s="35" t="str">
        <f>'R1'!D40</f>
        <v/>
      </c>
      <c r="E18" s="35" t="str">
        <f>'R1'!E40</f>
        <v/>
      </c>
      <c r="F18" s="35" t="str">
        <f>'R1'!F40</f>
        <v/>
      </c>
      <c r="G18" s="35" t="str">
        <f>'R1'!G40</f>
        <v/>
      </c>
      <c r="H18" s="35" t="str">
        <f>'R1'!H40</f>
        <v/>
      </c>
      <c r="I18" s="35" t="str">
        <f>'R1'!I40</f>
        <v/>
      </c>
      <c r="J18" s="35" t="str">
        <f>'R1'!J40</f>
        <v/>
      </c>
      <c r="K18" s="35" t="str">
        <f>'R1'!K40</f>
        <v/>
      </c>
      <c r="L18" s="35" t="str">
        <f>'R1'!L40</f>
        <v/>
      </c>
      <c r="M18" s="35" t="str">
        <f>'R1'!M40</f>
        <v/>
      </c>
      <c r="N18" s="35" t="str">
        <f>'R1'!N40</f>
        <v/>
      </c>
      <c r="O18"/>
      <c r="P18" s="35">
        <f>'R1'!O40</f>
        <v>0.80637742098141141</v>
      </c>
      <c r="Q18" s="35" t="str">
        <f>'R1'!P40</f>
        <v/>
      </c>
      <c r="R18" s="35" t="str">
        <f>'R1'!Q40</f>
        <v/>
      </c>
      <c r="S18" s="35" t="str">
        <f>'R1'!R40</f>
        <v/>
      </c>
      <c r="T18" s="35" t="str">
        <f>'R1'!S40</f>
        <v/>
      </c>
      <c r="U18" s="35" t="str">
        <f>'R1'!T40</f>
        <v/>
      </c>
      <c r="V18" s="35" t="str">
        <f>'R1'!U40</f>
        <v/>
      </c>
      <c r="W18" s="35" t="str">
        <f>'R1'!V40</f>
        <v/>
      </c>
    </row>
    <row r="19" spans="1:23" s="1" customFormat="1">
      <c r="A19" s="151"/>
      <c r="B19" s="35" t="str">
        <f>'R1'!B41</f>
        <v/>
      </c>
      <c r="C19" s="35" t="str">
        <f>'R1'!C41</f>
        <v/>
      </c>
      <c r="D19" s="35" t="str">
        <f>'R1'!D41</f>
        <v/>
      </c>
      <c r="E19" s="35" t="str">
        <f>'R1'!E41</f>
        <v/>
      </c>
      <c r="F19" s="35" t="str">
        <f>'R1'!F41</f>
        <v/>
      </c>
      <c r="G19" s="35" t="str">
        <f>'R1'!G41</f>
        <v/>
      </c>
      <c r="H19" s="35" t="str">
        <f>'R1'!H41</f>
        <v/>
      </c>
      <c r="I19" s="35" t="str">
        <f>'R1'!I41</f>
        <v/>
      </c>
      <c r="J19" s="35" t="str">
        <f>'R1'!J41</f>
        <v/>
      </c>
      <c r="K19" s="35" t="str">
        <f>'R1'!K41</f>
        <v/>
      </c>
      <c r="L19" s="35" t="str">
        <f>'R1'!L41</f>
        <v/>
      </c>
      <c r="M19" s="35" t="str">
        <f>'R1'!M41</f>
        <v/>
      </c>
      <c r="N19" s="35" t="str">
        <f>'R1'!N41</f>
        <v/>
      </c>
      <c r="O19"/>
      <c r="P19" s="35">
        <f>'R1'!O41</f>
        <v>0.81632616108221834</v>
      </c>
      <c r="Q19" s="35" t="str">
        <f>'R1'!P41</f>
        <v/>
      </c>
      <c r="R19" s="35" t="str">
        <f>'R1'!Q41</f>
        <v/>
      </c>
      <c r="S19" s="35" t="str">
        <f>'R1'!R41</f>
        <v/>
      </c>
      <c r="T19" s="35" t="str">
        <f>'R1'!S41</f>
        <v/>
      </c>
      <c r="U19" s="35" t="str">
        <f>'R1'!T41</f>
        <v/>
      </c>
      <c r="V19" s="35" t="str">
        <f>'R1'!U41</f>
        <v/>
      </c>
      <c r="W19" s="35" t="str">
        <f>'R1'!V41</f>
        <v/>
      </c>
    </row>
    <row r="20" spans="1:23" s="1" customFormat="1">
      <c r="A20" s="151"/>
      <c r="B20" s="35" t="str">
        <f>'R1'!B42</f>
        <v/>
      </c>
      <c r="C20" s="35" t="str">
        <f>'R1'!C42</f>
        <v/>
      </c>
      <c r="D20" s="35" t="str">
        <f>'R1'!D42</f>
        <v/>
      </c>
      <c r="E20" s="35" t="str">
        <f>'R1'!E42</f>
        <v/>
      </c>
      <c r="F20" s="35" t="str">
        <f>'R1'!F42</f>
        <v/>
      </c>
      <c r="G20" s="35" t="str">
        <f>'R1'!G42</f>
        <v/>
      </c>
      <c r="H20" s="35" t="str">
        <f>'R1'!H42</f>
        <v/>
      </c>
      <c r="I20" s="35" t="str">
        <f>'R1'!I42</f>
        <v/>
      </c>
      <c r="J20" s="35" t="str">
        <f>'R1'!J42</f>
        <v/>
      </c>
      <c r="K20" s="35" t="str">
        <f>'R1'!K42</f>
        <v/>
      </c>
      <c r="L20" s="35" t="str">
        <f>'R1'!L42</f>
        <v/>
      </c>
      <c r="M20" s="35" t="str">
        <f>'R1'!M42</f>
        <v/>
      </c>
      <c r="N20" s="35" t="str">
        <f>'R1'!N42</f>
        <v/>
      </c>
      <c r="O20"/>
      <c r="P20" s="35">
        <f>'R1'!O42</f>
        <v>0.46017181746695229</v>
      </c>
      <c r="Q20" s="35" t="str">
        <f>'R1'!P42</f>
        <v/>
      </c>
      <c r="R20" s="35" t="str">
        <f>'R1'!Q42</f>
        <v/>
      </c>
      <c r="S20" s="35" t="str">
        <f>'R1'!R42</f>
        <v/>
      </c>
      <c r="T20" s="35" t="str">
        <f>'R1'!S42</f>
        <v/>
      </c>
      <c r="U20" s="35" t="str">
        <f>'R1'!T42</f>
        <v/>
      </c>
      <c r="V20" s="35" t="str">
        <f>'R1'!U42</f>
        <v/>
      </c>
      <c r="W20" s="35" t="str">
        <f>'R1'!V42</f>
        <v/>
      </c>
    </row>
    <row r="21" spans="1:23" s="1" customFormat="1">
      <c r="A21" s="152"/>
      <c r="B21" s="35" t="str">
        <f>'R1'!B43</f>
        <v/>
      </c>
      <c r="C21" s="35" t="str">
        <f>'R1'!C43</f>
        <v/>
      </c>
      <c r="D21" s="35" t="str">
        <f>'R1'!D43</f>
        <v/>
      </c>
      <c r="E21" s="35" t="str">
        <f>'R1'!E43</f>
        <v/>
      </c>
      <c r="F21" s="35" t="str">
        <f>'R1'!F43</f>
        <v/>
      </c>
      <c r="G21" s="35" t="str">
        <f>'R1'!G43</f>
        <v/>
      </c>
      <c r="H21" s="35" t="str">
        <f>'R1'!H43</f>
        <v/>
      </c>
      <c r="I21" s="35" t="str">
        <f>'R1'!I43</f>
        <v/>
      </c>
      <c r="J21" s="35" t="str">
        <f>'R1'!J43</f>
        <v/>
      </c>
      <c r="K21" s="35" t="str">
        <f>'R1'!K43</f>
        <v/>
      </c>
      <c r="L21" s="35" t="str">
        <f>'R1'!L43</f>
        <v/>
      </c>
      <c r="M21" s="35" t="str">
        <f>'R1'!M43</f>
        <v/>
      </c>
      <c r="N21" s="35" t="str">
        <f>'R1'!N43</f>
        <v/>
      </c>
      <c r="O21"/>
      <c r="P21" s="35">
        <f>'R1'!O43</f>
        <v>0.60078889160204396</v>
      </c>
      <c r="Q21" s="35" t="str">
        <f>'R1'!P43</f>
        <v/>
      </c>
      <c r="R21" s="35" t="str">
        <f>'R1'!Q43</f>
        <v/>
      </c>
      <c r="S21" s="35" t="str">
        <f>'R1'!R43</f>
        <v/>
      </c>
      <c r="T21" s="35" t="str">
        <f>'R1'!S43</f>
        <v/>
      </c>
      <c r="U21" s="35" t="str">
        <f>'R1'!T43</f>
        <v/>
      </c>
      <c r="V21" s="35" t="str">
        <f>'R1'!U43</f>
        <v/>
      </c>
      <c r="W21" s="35" t="str">
        <f>'R1'!V43</f>
        <v/>
      </c>
    </row>
    <row r="22" spans="1:23">
      <c r="A22" s="23" t="s">
        <v>5</v>
      </c>
      <c r="B22" s="36">
        <f>'R2'!B28</f>
        <v>3.5195557385094993E-2</v>
      </c>
      <c r="C22" s="36">
        <f>'R2'!C28</f>
        <v>0.50318951785582422</v>
      </c>
      <c r="D22" s="36">
        <f>'R2'!D28</f>
        <v>2.6882160251312532E-2</v>
      </c>
      <c r="E22" s="36">
        <f>'R2'!E28</f>
        <v>0.60098778224037519</v>
      </c>
      <c r="F22" s="36">
        <f>'R2'!F28</f>
        <v>0.82396060059336396</v>
      </c>
      <c r="G22" s="36">
        <f>'R2'!G28</f>
        <v>1.4293622278298614</v>
      </c>
      <c r="H22" s="36">
        <f>'R2'!H28</f>
        <v>1.8316859205029938</v>
      </c>
      <c r="I22" s="36">
        <f>'R2'!I28</f>
        <v>0.79371949200516967</v>
      </c>
      <c r="J22" s="36">
        <f>'R2'!J28</f>
        <v>0.41851943010068621</v>
      </c>
      <c r="K22" s="36">
        <f>'R2'!K28</f>
        <v>0.14298152924206889</v>
      </c>
      <c r="L22" s="36">
        <f>'R2'!L28</f>
        <v>0.17211770120128969</v>
      </c>
      <c r="M22" s="36">
        <f>'R2'!M28</f>
        <v>0.13565442360017757</v>
      </c>
      <c r="N22" s="36" t="str">
        <f>'R2'!N28</f>
        <v/>
      </c>
      <c r="P22" s="36">
        <f>'R2'!O28</f>
        <v>1.2593529675154378</v>
      </c>
      <c r="Q22" s="36">
        <f>'R2'!P28</f>
        <v>1.9136004903179344</v>
      </c>
      <c r="R22" s="36">
        <f>'R2'!Q28</f>
        <v>7.3253105962940143E-2</v>
      </c>
      <c r="S22" s="36">
        <f>'R2'!R28</f>
        <v>1.9341731882430353</v>
      </c>
      <c r="T22" s="36">
        <f>'R2'!S28</f>
        <v>1.0661617998467294</v>
      </c>
      <c r="U22" s="36">
        <f>'R2'!T28</f>
        <v>1.2487811325339182</v>
      </c>
      <c r="V22" s="36">
        <f>'R2'!U28</f>
        <v>0.38247737347329874</v>
      </c>
      <c r="W22" s="36">
        <f>'R2'!V28</f>
        <v>0.23807947948595612</v>
      </c>
    </row>
    <row r="23" spans="1:23">
      <c r="A23" s="142" t="s">
        <v>17</v>
      </c>
      <c r="B23" s="36">
        <f>'R2'!B29</f>
        <v>3.8948309218427464E-2</v>
      </c>
      <c r="C23" s="36">
        <f>'R2'!C29</f>
        <v>0.17834872249386546</v>
      </c>
      <c r="D23" s="36">
        <f>'R2'!D29</f>
        <v>0.2673416734819743</v>
      </c>
      <c r="E23" s="36">
        <f>'R2'!E29</f>
        <v>1.0457282794295844</v>
      </c>
      <c r="F23" s="36">
        <f>'R2'!F29</f>
        <v>1.2355057867551915</v>
      </c>
      <c r="G23" s="36">
        <f>'R2'!G29</f>
        <v>1.5591289018708663</v>
      </c>
      <c r="H23" s="36">
        <f>'R2'!H29</f>
        <v>1.8080195967340928</v>
      </c>
      <c r="I23" s="36">
        <f>'R2'!I29</f>
        <v>0.94373735409203163</v>
      </c>
      <c r="J23" s="36">
        <f>'R2'!J29</f>
        <v>0.76803103707606746</v>
      </c>
      <c r="K23" s="36">
        <f>'R2'!K29</f>
        <v>0.18914715124496326</v>
      </c>
      <c r="L23" s="36">
        <f>'R2'!L29</f>
        <v>0.11817965471037715</v>
      </c>
      <c r="M23" s="36">
        <f>'R2'!M29</f>
        <v>5.5897228106879292E-3</v>
      </c>
      <c r="N23" s="36" t="str">
        <f>'R2'!N29</f>
        <v/>
      </c>
      <c r="P23" s="36">
        <f>'R2'!O29</f>
        <v>1.2260815514726635</v>
      </c>
      <c r="Q23" s="36">
        <f>'R2'!P29</f>
        <v>2.032865041079726</v>
      </c>
      <c r="R23" s="36">
        <f>'R2'!Q29</f>
        <v>7.4370214476443368E-3</v>
      </c>
      <c r="S23" s="36">
        <f>'R2'!R29</f>
        <v>1.7154077846424782</v>
      </c>
      <c r="T23" s="36">
        <f>'R2'!S29</f>
        <v>1.8186829052720781</v>
      </c>
      <c r="U23" s="36">
        <f>'R2'!T29</f>
        <v>1.8031680556882159</v>
      </c>
      <c r="V23" s="36">
        <f>'R2'!U29</f>
        <v>0.74307314111540412</v>
      </c>
      <c r="W23" s="36">
        <f>'R2'!V29</f>
        <v>0.50792708580110479</v>
      </c>
    </row>
    <row r="24" spans="1:23">
      <c r="A24" s="151"/>
      <c r="B24" s="36">
        <f>'R2'!B30</f>
        <v>0.10089102959005108</v>
      </c>
      <c r="C24" s="36">
        <f>'R2'!C30</f>
        <v>9.6413620308051645E-3</v>
      </c>
      <c r="D24" s="36">
        <f>'R2'!D30</f>
        <v>7.1437036201443774E-2</v>
      </c>
      <c r="E24" s="36">
        <f>'R2'!E30</f>
        <v>0.35174705348567348</v>
      </c>
      <c r="F24" s="36">
        <f>'R2'!F30</f>
        <v>1.372343710966307</v>
      </c>
      <c r="G24" s="36">
        <f>'R2'!G30</f>
        <v>0.64665361928758047</v>
      </c>
      <c r="H24" s="36">
        <f>'R2'!H30</f>
        <v>2.6631408364651219</v>
      </c>
      <c r="I24" s="36">
        <f>'R2'!I30</f>
        <v>1.4576501792701895</v>
      </c>
      <c r="J24" s="36">
        <f>'R2'!J30</f>
        <v>0.52858756883281388</v>
      </c>
      <c r="K24" s="36">
        <f>'R2'!K30</f>
        <v>0.1206131709780163</v>
      </c>
      <c r="L24" s="36">
        <f>'R2'!L30</f>
        <v>2.1670872396002426E-2</v>
      </c>
      <c r="M24" s="36">
        <f>'R2'!M30</f>
        <v>7.9386506282621162E-3</v>
      </c>
      <c r="N24" s="36" t="str">
        <f>'R2'!N30</f>
        <v/>
      </c>
      <c r="P24" s="36">
        <f>'R2'!O30</f>
        <v>0.60916790338597393</v>
      </c>
      <c r="Q24" s="36">
        <f>'R2'!P30</f>
        <v>1.2449741604876807</v>
      </c>
      <c r="R24" s="36">
        <f>'R2'!Q30</f>
        <v>5.5054048469458522E-2</v>
      </c>
      <c r="S24" s="36">
        <f>'R2'!R30</f>
        <v>1.2014059448744263</v>
      </c>
      <c r="T24" s="36">
        <f>'R2'!S30</f>
        <v>1.7385686678325754</v>
      </c>
      <c r="U24" s="36">
        <f>'R2'!T30</f>
        <v>1.5805056818648986</v>
      </c>
      <c r="V24" s="36">
        <f>'R2'!U30</f>
        <v>0.71022294604635439</v>
      </c>
      <c r="W24" s="36">
        <f>'R2'!V30</f>
        <v>0.43036119836813758</v>
      </c>
    </row>
    <row r="25" spans="1:23">
      <c r="A25" s="151"/>
      <c r="B25" s="36">
        <f>'R2'!B31</f>
        <v>0.41336654270145295</v>
      </c>
      <c r="C25" s="36">
        <f>'R2'!C31</f>
        <v>7.7726703846753509E-2</v>
      </c>
      <c r="D25" s="36">
        <f>'R2'!D31</f>
        <v>0.19456855779382135</v>
      </c>
      <c r="E25" s="36">
        <f>'R2'!E31</f>
        <v>0.30924910307273229</v>
      </c>
      <c r="F25" s="36">
        <f>'R2'!F31</f>
        <v>0.83661444257110462</v>
      </c>
      <c r="G25" s="36">
        <f>'R2'!G31</f>
        <v>1.4909225788995926</v>
      </c>
      <c r="H25" s="36">
        <f>'R2'!H31</f>
        <v>2.489482838603347</v>
      </c>
      <c r="I25" s="36">
        <f>'R2'!I31</f>
        <v>0.90090215641378779</v>
      </c>
      <c r="J25" s="36">
        <f>'R2'!J31</f>
        <v>0.63013428185919695</v>
      </c>
      <c r="K25" s="36">
        <f>'R2'!K31</f>
        <v>0.15068682394268088</v>
      </c>
      <c r="L25" s="36">
        <f>'R2'!L31</f>
        <v>2.3765911915053155E-3</v>
      </c>
      <c r="M25" s="36">
        <f>'R2'!M31</f>
        <v>4.5873988567495978E-2</v>
      </c>
      <c r="N25" s="36" t="str">
        <f>'R2'!N31</f>
        <v/>
      </c>
      <c r="P25" s="36">
        <f>'R2'!O31</f>
        <v>0.97737282013573956</v>
      </c>
      <c r="Q25" s="36">
        <f>'R2'!P31</f>
        <v>0.78930982725221932</v>
      </c>
      <c r="R25" s="36">
        <f>'R2'!Q31</f>
        <v>0.35327567005494331</v>
      </c>
      <c r="S25" s="36">
        <f>'R2'!R31</f>
        <v>1.5593791017195322</v>
      </c>
      <c r="T25" s="36">
        <f>'R2'!S31</f>
        <v>1.729662659755024</v>
      </c>
      <c r="U25" s="36">
        <f>'R2'!T31</f>
        <v>1.5085050505252313</v>
      </c>
      <c r="V25" s="36">
        <f>'R2'!U31</f>
        <v>0.76990722857024085</v>
      </c>
      <c r="W25" s="36">
        <f>'R2'!V31</f>
        <v>0.94033758691006031</v>
      </c>
    </row>
    <row r="26" spans="1:23">
      <c r="A26" s="151"/>
      <c r="B26" s="36">
        <f>'R2'!B32</f>
        <v>5.964715212865436E-3</v>
      </c>
      <c r="C26" s="36">
        <f>'R2'!C32</f>
        <v>4.7238837963093527E-2</v>
      </c>
      <c r="D26" s="36">
        <f>'R2'!D32</f>
        <v>9.2433659963498171E-2</v>
      </c>
      <c r="E26" s="36">
        <f>'R2'!E32</f>
        <v>0.57092519462528313</v>
      </c>
      <c r="F26" s="36">
        <f>'R2'!F32</f>
        <v>1.2265745742702805</v>
      </c>
      <c r="G26" s="36">
        <f>'R2'!G32</f>
        <v>1.2898687426696862</v>
      </c>
      <c r="H26" s="36">
        <f>'R2'!H32</f>
        <v>3.0772476510529718</v>
      </c>
      <c r="I26" s="36">
        <f>'R2'!I32</f>
        <v>0.53287305577389554</v>
      </c>
      <c r="J26" s="36">
        <f>'R2'!J32</f>
        <v>0.30538360762208944</v>
      </c>
      <c r="K26" s="36">
        <f>'R2'!K32</f>
        <v>1.7861441383193285E-2</v>
      </c>
      <c r="L26" s="36">
        <f>'R2'!L32</f>
        <v>1.3026375413346517E-3</v>
      </c>
      <c r="M26" s="36">
        <f>'R2'!M32</f>
        <v>0.14217966024305195</v>
      </c>
      <c r="N26" s="36" t="str">
        <f>'R2'!N32</f>
        <v/>
      </c>
      <c r="P26" s="36">
        <f>'R2'!O32</f>
        <v>1.1338635428774997</v>
      </c>
      <c r="Q26" s="36">
        <f>'R2'!P32</f>
        <v>1.6660434159748454</v>
      </c>
      <c r="R26" s="36">
        <f>'R2'!Q32</f>
        <v>0.18607688558359384</v>
      </c>
      <c r="S26" s="36">
        <f>'R2'!R32</f>
        <v>1.6271924818326555</v>
      </c>
      <c r="T26" s="36">
        <f>'R2'!S32</f>
        <v>1.0110507033528087</v>
      </c>
      <c r="U26" s="36">
        <f>'R2'!T32</f>
        <v>0.98658423186149069</v>
      </c>
      <c r="V26" s="36">
        <f>'R2'!U32</f>
        <v>1.0129857870963732</v>
      </c>
      <c r="W26" s="36">
        <f>'R2'!V32</f>
        <v>0.39224930662905882</v>
      </c>
    </row>
    <row r="27" spans="1:23">
      <c r="A27" s="151"/>
      <c r="B27" s="36">
        <f>'R2'!B33</f>
        <v>2.1780665253426857E-2</v>
      </c>
      <c r="C27" s="36">
        <f>'R2'!C33</f>
        <v>0.1978934494436857</v>
      </c>
      <c r="D27" s="36">
        <f>'R2'!D33</f>
        <v>0.23142084390656942</v>
      </c>
      <c r="E27" s="36">
        <f>'R2'!E33</f>
        <v>0.54953107891692055</v>
      </c>
      <c r="F27" s="36">
        <f>'R2'!F33</f>
        <v>1.1422856263337493</v>
      </c>
      <c r="G27" s="36">
        <f>'R2'!G33</f>
        <v>1.137356996685851</v>
      </c>
      <c r="H27" s="36">
        <f>'R2'!H33</f>
        <v>2.0937850772541982</v>
      </c>
      <c r="I27" s="36">
        <f>'R2'!I33</f>
        <v>0.97318470827089543</v>
      </c>
      <c r="J27" s="36">
        <f>'R2'!J33</f>
        <v>1.1776016730808554</v>
      </c>
      <c r="K27" s="36">
        <f>'R2'!K33</f>
        <v>0.16759787474592919</v>
      </c>
      <c r="L27" s="36">
        <f>'R2'!L33</f>
        <v>1.0228440299787983E-2</v>
      </c>
      <c r="M27" s="36">
        <f>'R2'!M33</f>
        <v>0.12909168771708546</v>
      </c>
      <c r="N27" s="36" t="str">
        <f>'R2'!N33</f>
        <v/>
      </c>
      <c r="P27" s="36">
        <f>'R2'!O33</f>
        <v>0.66064194242375873</v>
      </c>
      <c r="Q27" s="36">
        <f>'R2'!P33</f>
        <v>1.4989779074916796</v>
      </c>
      <c r="R27" s="36">
        <f>'R2'!Q33</f>
        <v>0.17737804543970434</v>
      </c>
      <c r="S27" s="36">
        <f>'R2'!R33</f>
        <v>1.6647208608042803</v>
      </c>
      <c r="T27" s="36">
        <f>'R2'!S33</f>
        <v>1.0385804324507666</v>
      </c>
      <c r="U27" s="36">
        <f>'R2'!T33</f>
        <v>1.6686764773797744</v>
      </c>
      <c r="V27" s="36">
        <f>'R2'!U33</f>
        <v>0.77798690093138734</v>
      </c>
      <c r="W27" s="36">
        <f>'R2'!V33</f>
        <v>0.56862999522729962</v>
      </c>
    </row>
    <row r="28" spans="1:23">
      <c r="A28" s="151"/>
      <c r="B28" s="36">
        <f>'R2'!B34</f>
        <v>0.16829388523403638</v>
      </c>
      <c r="C28" s="36">
        <f>'R2'!C34</f>
        <v>0.17598872932671883</v>
      </c>
      <c r="D28" s="36">
        <f>'R2'!D34</f>
        <v>0.21287986711129905</v>
      </c>
      <c r="E28" s="36">
        <f>'R2'!E34</f>
        <v>0.81762888461967898</v>
      </c>
      <c r="F28" s="36">
        <f>'R2'!F34</f>
        <v>0.62774232212661885</v>
      </c>
      <c r="G28" s="36">
        <f>'R2'!G34</f>
        <v>0.7308159304456715</v>
      </c>
      <c r="H28" s="36">
        <f>'R2'!H34</f>
        <v>2.1733060890082889</v>
      </c>
      <c r="I28" s="36">
        <f>'R2'!I34</f>
        <v>0.80333196117875783</v>
      </c>
      <c r="J28" s="36">
        <f>'R2'!J34</f>
        <v>1.0840494292239109</v>
      </c>
      <c r="K28" s="36">
        <f>'R2'!K34</f>
        <v>0.26910303123725132</v>
      </c>
      <c r="L28" s="36">
        <f>'R2'!L34</f>
        <v>3.4157381698541919E-2</v>
      </c>
      <c r="M28" s="36">
        <f>'R2'!M34</f>
        <v>8.5900554627594508E-2</v>
      </c>
      <c r="N28" s="36" t="str">
        <f>'R2'!N34</f>
        <v/>
      </c>
      <c r="P28" s="36">
        <f>'R2'!O34</f>
        <v>1.0772944021549153</v>
      </c>
      <c r="Q28" s="36">
        <f>'R2'!P34</f>
        <v>2.0416590432299389</v>
      </c>
      <c r="R28" s="36">
        <f>'R2'!Q34</f>
        <v>0.27470996681394083</v>
      </c>
      <c r="S28" s="36">
        <f>'R2'!R34</f>
        <v>1.5371162331214037</v>
      </c>
      <c r="T28" s="36">
        <f>'R2'!S34</f>
        <v>1.2230482932581976</v>
      </c>
      <c r="U28" s="36">
        <f>'R2'!T34</f>
        <v>1.7493696784985735</v>
      </c>
      <c r="V28" s="36">
        <f>'R2'!U34</f>
        <v>0.27658345344488539</v>
      </c>
      <c r="W28" s="36">
        <f>'R2'!V34</f>
        <v>0.617518553863317</v>
      </c>
    </row>
    <row r="29" spans="1:23">
      <c r="A29" s="151"/>
      <c r="B29" s="36">
        <f>'R2'!B35</f>
        <v>0.10065570648914363</v>
      </c>
      <c r="C29" s="36">
        <f>'R2'!C35</f>
        <v>9.3611259054664137E-2</v>
      </c>
      <c r="D29" s="36">
        <f>'R2'!D35</f>
        <v>7.6139932718064032E-2</v>
      </c>
      <c r="E29" s="36">
        <f>'R2'!E35</f>
        <v>0.29129176199324447</v>
      </c>
      <c r="F29" s="36">
        <f>'R2'!F35</f>
        <v>0.72266273498403244</v>
      </c>
      <c r="G29" s="36">
        <f>'R2'!G35</f>
        <v>1.8521694808898723</v>
      </c>
      <c r="H29" s="36">
        <f>'R2'!H35</f>
        <v>2.8835484608905593</v>
      </c>
      <c r="I29" s="36">
        <f>'R2'!I35</f>
        <v>1.3757636416741659</v>
      </c>
      <c r="J29" s="36">
        <f>'R2'!J35</f>
        <v>0.51493022259718046</v>
      </c>
      <c r="K29" s="36">
        <f>'R2'!K35</f>
        <v>0.17953824757290393</v>
      </c>
      <c r="L29" s="36">
        <f>'R2'!L35</f>
        <v>9.8801768642443749E-2</v>
      </c>
      <c r="M29" s="36">
        <f>'R2'!M35</f>
        <v>0.1852413287425452</v>
      </c>
      <c r="N29" s="36" t="str">
        <f>'R2'!N35</f>
        <v/>
      </c>
      <c r="P29" s="36">
        <f>'R2'!O35</f>
        <v>1.2834986668174833</v>
      </c>
      <c r="Q29" s="36">
        <f>'R2'!P35</f>
        <v>2.2235871604138349</v>
      </c>
      <c r="R29" s="36">
        <f>'R2'!Q35</f>
        <v>0.33566651864200192</v>
      </c>
      <c r="S29" s="36">
        <f>'R2'!R35</f>
        <v>1.7128045996813948</v>
      </c>
      <c r="T29" s="36">
        <f>'R2'!S35</f>
        <v>1.8299684553010209</v>
      </c>
      <c r="U29" s="36">
        <f>'R2'!T35</f>
        <v>2.2923709716844622</v>
      </c>
      <c r="V29" s="36">
        <f>'R2'!U35</f>
        <v>1.8924239931511633</v>
      </c>
      <c r="W29" s="36">
        <f>'R2'!V35</f>
        <v>0.42720806553330337</v>
      </c>
    </row>
    <row r="30" spans="1:23">
      <c r="A30" s="151"/>
      <c r="B30" s="36" t="str">
        <f>'R2'!B36</f>
        <v/>
      </c>
      <c r="C30" s="36" t="str">
        <f>'R2'!C36</f>
        <v/>
      </c>
      <c r="D30" s="36" t="str">
        <f>'R2'!D36</f>
        <v/>
      </c>
      <c r="E30" s="36" t="str">
        <f>'R2'!E36</f>
        <v/>
      </c>
      <c r="F30" s="36" t="str">
        <f>'R2'!F36</f>
        <v/>
      </c>
      <c r="G30" s="36" t="str">
        <f>'R2'!G36</f>
        <v/>
      </c>
      <c r="H30" s="36" t="str">
        <f>'R2'!H36</f>
        <v/>
      </c>
      <c r="I30" s="36" t="str">
        <f>'R2'!I36</f>
        <v/>
      </c>
      <c r="J30" s="36" t="str">
        <f>'R2'!J36</f>
        <v/>
      </c>
      <c r="K30" s="36" t="str">
        <f>'R2'!K36</f>
        <v/>
      </c>
      <c r="L30" s="36" t="str">
        <f>'R2'!L36</f>
        <v/>
      </c>
      <c r="M30" s="36" t="str">
        <f>'R2'!M36</f>
        <v/>
      </c>
      <c r="N30" s="36" t="str">
        <f>'R2'!N36</f>
        <v/>
      </c>
      <c r="P30" s="36">
        <f>'R2'!O36</f>
        <v>1.5685099822900617</v>
      </c>
      <c r="Q30" s="36" t="str">
        <f>'R2'!P36</f>
        <v/>
      </c>
      <c r="R30" s="36" t="str">
        <f>'R2'!Q36</f>
        <v/>
      </c>
      <c r="S30" s="36" t="str">
        <f>'R2'!R36</f>
        <v/>
      </c>
      <c r="T30" s="36" t="str">
        <f>'R2'!S36</f>
        <v/>
      </c>
      <c r="U30" s="36" t="str">
        <f>'R2'!T36</f>
        <v/>
      </c>
      <c r="V30" s="36" t="str">
        <f>'R2'!U36</f>
        <v/>
      </c>
      <c r="W30" s="36" t="str">
        <f>'R2'!V36</f>
        <v/>
      </c>
    </row>
    <row r="31" spans="1:23" s="1" customFormat="1">
      <c r="A31" s="151"/>
      <c r="B31" s="36" t="str">
        <f>'R2'!B37</f>
        <v/>
      </c>
      <c r="C31" s="36" t="str">
        <f>'R2'!C37</f>
        <v/>
      </c>
      <c r="D31" s="36" t="str">
        <f>'R2'!D37</f>
        <v/>
      </c>
      <c r="E31" s="36" t="str">
        <f>'R2'!E37</f>
        <v/>
      </c>
      <c r="F31" s="36" t="str">
        <f>'R2'!F37</f>
        <v/>
      </c>
      <c r="G31" s="36" t="str">
        <f>'R2'!G37</f>
        <v/>
      </c>
      <c r="H31" s="36" t="str">
        <f>'R2'!H37</f>
        <v/>
      </c>
      <c r="I31" s="36" t="str">
        <f>'R2'!I37</f>
        <v/>
      </c>
      <c r="J31" s="36" t="str">
        <f>'R2'!J37</f>
        <v/>
      </c>
      <c r="K31" s="36" t="str">
        <f>'R2'!K37</f>
        <v/>
      </c>
      <c r="L31" s="36" t="str">
        <f>'R2'!L37</f>
        <v/>
      </c>
      <c r="M31" s="36" t="str">
        <f>'R2'!M37</f>
        <v/>
      </c>
      <c r="N31" s="36" t="str">
        <f>'R2'!N37</f>
        <v/>
      </c>
      <c r="O31"/>
      <c r="P31" s="36">
        <f>'R2'!O37</f>
        <v>1.3830668953403122</v>
      </c>
      <c r="Q31" s="36" t="str">
        <f>'R2'!P37</f>
        <v/>
      </c>
      <c r="R31" s="36" t="str">
        <f>'R2'!Q37</f>
        <v/>
      </c>
      <c r="S31" s="36" t="str">
        <f>'R2'!R37</f>
        <v/>
      </c>
      <c r="T31" s="36" t="str">
        <f>'R2'!S37</f>
        <v/>
      </c>
      <c r="U31" s="36" t="str">
        <f>'R2'!T37</f>
        <v/>
      </c>
      <c r="V31" s="36" t="str">
        <f>'R2'!U37</f>
        <v/>
      </c>
      <c r="W31" s="36" t="str">
        <f>'R2'!V37</f>
        <v/>
      </c>
    </row>
    <row r="32" spans="1:23" s="1" customFormat="1">
      <c r="A32" s="151"/>
      <c r="B32" s="36" t="str">
        <f>'R2'!B38</f>
        <v/>
      </c>
      <c r="C32" s="36" t="str">
        <f>'R2'!C38</f>
        <v/>
      </c>
      <c r="D32" s="36" t="str">
        <f>'R2'!D38</f>
        <v/>
      </c>
      <c r="E32" s="36" t="str">
        <f>'R2'!E38</f>
        <v/>
      </c>
      <c r="F32" s="36" t="str">
        <f>'R2'!F38</f>
        <v/>
      </c>
      <c r="G32" s="36" t="str">
        <f>'R2'!G38</f>
        <v/>
      </c>
      <c r="H32" s="36" t="str">
        <f>'R2'!H38</f>
        <v/>
      </c>
      <c r="I32" s="36" t="str">
        <f>'R2'!I38</f>
        <v/>
      </c>
      <c r="J32" s="36" t="str">
        <f>'R2'!J38</f>
        <v/>
      </c>
      <c r="K32" s="36" t="str">
        <f>'R2'!K38</f>
        <v/>
      </c>
      <c r="L32" s="36" t="str">
        <f>'R2'!L38</f>
        <v/>
      </c>
      <c r="M32" s="36" t="str">
        <f>'R2'!M38</f>
        <v/>
      </c>
      <c r="N32" s="36" t="str">
        <f>'R2'!N38</f>
        <v/>
      </c>
      <c r="O32"/>
      <c r="P32" s="36">
        <f>'R2'!O38</f>
        <v>0.70323505484302307</v>
      </c>
      <c r="Q32" s="36" t="str">
        <f>'R2'!P38</f>
        <v/>
      </c>
      <c r="R32" s="36" t="str">
        <f>'R2'!Q38</f>
        <v/>
      </c>
      <c r="S32" s="36" t="str">
        <f>'R2'!R38</f>
        <v/>
      </c>
      <c r="T32" s="36" t="str">
        <f>'R2'!S38</f>
        <v/>
      </c>
      <c r="U32" s="36" t="str">
        <f>'R2'!T38</f>
        <v/>
      </c>
      <c r="V32" s="36" t="str">
        <f>'R2'!U38</f>
        <v/>
      </c>
      <c r="W32" s="36" t="str">
        <f>'R2'!V38</f>
        <v/>
      </c>
    </row>
    <row r="33" spans="1:23" s="1" customFormat="1">
      <c r="A33" s="151"/>
      <c r="B33" s="36" t="str">
        <f>'R2'!B39</f>
        <v/>
      </c>
      <c r="C33" s="36" t="str">
        <f>'R2'!C39</f>
        <v/>
      </c>
      <c r="D33" s="36" t="str">
        <f>'R2'!D39</f>
        <v/>
      </c>
      <c r="E33" s="36" t="str">
        <f>'R2'!E39</f>
        <v/>
      </c>
      <c r="F33" s="36" t="str">
        <f>'R2'!F39</f>
        <v/>
      </c>
      <c r="G33" s="36" t="str">
        <f>'R2'!G39</f>
        <v/>
      </c>
      <c r="H33" s="36" t="str">
        <f>'R2'!H39</f>
        <v/>
      </c>
      <c r="I33" s="36" t="str">
        <f>'R2'!I39</f>
        <v/>
      </c>
      <c r="J33" s="36" t="str">
        <f>'R2'!J39</f>
        <v/>
      </c>
      <c r="K33" s="36" t="str">
        <f>'R2'!K39</f>
        <v/>
      </c>
      <c r="L33" s="36" t="str">
        <f>'R2'!L39</f>
        <v/>
      </c>
      <c r="M33" s="36" t="str">
        <f>'R2'!M39</f>
        <v/>
      </c>
      <c r="N33" s="36" t="str">
        <f>'R2'!N39</f>
        <v/>
      </c>
      <c r="O33"/>
      <c r="P33" s="36">
        <f>'R2'!O39</f>
        <v>0.4218343629359354</v>
      </c>
      <c r="Q33" s="36" t="str">
        <f>'R2'!P39</f>
        <v/>
      </c>
      <c r="R33" s="36" t="str">
        <f>'R2'!Q39</f>
        <v/>
      </c>
      <c r="S33" s="36" t="str">
        <f>'R2'!R39</f>
        <v/>
      </c>
      <c r="T33" s="36" t="str">
        <f>'R2'!S39</f>
        <v/>
      </c>
      <c r="U33" s="36" t="str">
        <f>'R2'!T39</f>
        <v/>
      </c>
      <c r="V33" s="36" t="str">
        <f>'R2'!U39</f>
        <v/>
      </c>
      <c r="W33" s="36" t="str">
        <f>'R2'!V39</f>
        <v/>
      </c>
    </row>
    <row r="34" spans="1:23" s="1" customFormat="1">
      <c r="A34" s="151"/>
      <c r="B34" s="36" t="str">
        <f>'R2'!B40</f>
        <v/>
      </c>
      <c r="C34" s="36" t="str">
        <f>'R2'!C40</f>
        <v/>
      </c>
      <c r="D34" s="36" t="str">
        <f>'R2'!D40</f>
        <v/>
      </c>
      <c r="E34" s="36" t="str">
        <f>'R2'!E40</f>
        <v/>
      </c>
      <c r="F34" s="36" t="str">
        <f>'R2'!F40</f>
        <v/>
      </c>
      <c r="G34" s="36" t="str">
        <f>'R2'!G40</f>
        <v/>
      </c>
      <c r="H34" s="36" t="str">
        <f>'R2'!H40</f>
        <v/>
      </c>
      <c r="I34" s="36" t="str">
        <f>'R2'!I40</f>
        <v/>
      </c>
      <c r="J34" s="36" t="str">
        <f>'R2'!J40</f>
        <v/>
      </c>
      <c r="K34" s="36" t="str">
        <f>'R2'!K40</f>
        <v/>
      </c>
      <c r="L34" s="36" t="str">
        <f>'R2'!L40</f>
        <v/>
      </c>
      <c r="M34" s="36" t="str">
        <f>'R2'!M40</f>
        <v/>
      </c>
      <c r="N34" s="36" t="str">
        <f>'R2'!N40</f>
        <v/>
      </c>
      <c r="O34"/>
      <c r="P34" s="36">
        <f>'R2'!O40</f>
        <v>1.0587189998276418</v>
      </c>
      <c r="Q34" s="36" t="str">
        <f>'R2'!P40</f>
        <v/>
      </c>
      <c r="R34" s="36" t="str">
        <f>'R2'!Q40</f>
        <v/>
      </c>
      <c r="S34" s="36" t="str">
        <f>'R2'!R40</f>
        <v/>
      </c>
      <c r="T34" s="36" t="str">
        <f>'R2'!S40</f>
        <v/>
      </c>
      <c r="U34" s="36" t="str">
        <f>'R2'!T40</f>
        <v/>
      </c>
      <c r="V34" s="36" t="str">
        <f>'R2'!U40</f>
        <v/>
      </c>
      <c r="W34" s="36" t="str">
        <f>'R2'!V40</f>
        <v/>
      </c>
    </row>
    <row r="35" spans="1:23" s="1" customFormat="1">
      <c r="A35" s="151"/>
      <c r="B35" s="36" t="str">
        <f>'R2'!B41</f>
        <v/>
      </c>
      <c r="C35" s="36" t="str">
        <f>'R2'!C41</f>
        <v/>
      </c>
      <c r="D35" s="36" t="str">
        <f>'R2'!D41</f>
        <v/>
      </c>
      <c r="E35" s="36" t="str">
        <f>'R2'!E41</f>
        <v/>
      </c>
      <c r="F35" s="36" t="str">
        <f>'R2'!F41</f>
        <v/>
      </c>
      <c r="G35" s="36" t="str">
        <f>'R2'!G41</f>
        <v/>
      </c>
      <c r="H35" s="36" t="str">
        <f>'R2'!H41</f>
        <v/>
      </c>
      <c r="I35" s="36" t="str">
        <f>'R2'!I41</f>
        <v/>
      </c>
      <c r="J35" s="36" t="str">
        <f>'R2'!J41</f>
        <v/>
      </c>
      <c r="K35" s="36" t="str">
        <f>'R2'!K41</f>
        <v/>
      </c>
      <c r="L35" s="36" t="str">
        <f>'R2'!L41</f>
        <v/>
      </c>
      <c r="M35" s="36" t="str">
        <f>'R2'!M41</f>
        <v/>
      </c>
      <c r="N35" s="36" t="str">
        <f>'R2'!N41</f>
        <v/>
      </c>
      <c r="O35"/>
      <c r="P35" s="36">
        <f>'R2'!O41</f>
        <v>1.6380512782130874</v>
      </c>
      <c r="Q35" s="36" t="str">
        <f>'R2'!P41</f>
        <v/>
      </c>
      <c r="R35" s="36" t="str">
        <f>'R2'!Q41</f>
        <v/>
      </c>
      <c r="S35" s="36" t="str">
        <f>'R2'!R41</f>
        <v/>
      </c>
      <c r="T35" s="36" t="str">
        <f>'R2'!S41</f>
        <v/>
      </c>
      <c r="U35" s="36" t="str">
        <f>'R2'!T41</f>
        <v/>
      </c>
      <c r="V35" s="36" t="str">
        <f>'R2'!U41</f>
        <v/>
      </c>
      <c r="W35" s="36" t="str">
        <f>'R2'!V41</f>
        <v/>
      </c>
    </row>
    <row r="36" spans="1:23">
      <c r="A36" s="151"/>
      <c r="B36" s="36" t="str">
        <f>'R2'!B42</f>
        <v/>
      </c>
      <c r="C36" s="36" t="str">
        <f>'R2'!C42</f>
        <v/>
      </c>
      <c r="D36" s="36" t="str">
        <f>'R2'!D42</f>
        <v/>
      </c>
      <c r="E36" s="36" t="str">
        <f>'R2'!E42</f>
        <v/>
      </c>
      <c r="F36" s="36" t="str">
        <f>'R2'!F42</f>
        <v/>
      </c>
      <c r="G36" s="36" t="str">
        <f>'R2'!G42</f>
        <v/>
      </c>
      <c r="H36" s="36" t="str">
        <f>'R2'!H42</f>
        <v/>
      </c>
      <c r="I36" s="36" t="str">
        <f>'R2'!I42</f>
        <v/>
      </c>
      <c r="J36" s="36" t="str">
        <f>'R2'!J42</f>
        <v/>
      </c>
      <c r="K36" s="36" t="str">
        <f>'R2'!K42</f>
        <v/>
      </c>
      <c r="L36" s="36" t="str">
        <f>'R2'!L42</f>
        <v/>
      </c>
      <c r="M36" s="36" t="str">
        <f>'R2'!M42</f>
        <v/>
      </c>
      <c r="N36" s="36" t="str">
        <f>'R2'!N42</f>
        <v/>
      </c>
      <c r="P36" s="36">
        <f>'R2'!O42</f>
        <v>0.61772547590032179</v>
      </c>
      <c r="Q36" s="36" t="str">
        <f>'R2'!P42</f>
        <v/>
      </c>
      <c r="R36" s="36" t="str">
        <f>'R2'!Q42</f>
        <v/>
      </c>
      <c r="S36" s="36" t="str">
        <f>'R2'!R42</f>
        <v/>
      </c>
      <c r="T36" s="36" t="str">
        <f>'R2'!S42</f>
        <v/>
      </c>
      <c r="U36" s="36" t="str">
        <f>'R2'!T42</f>
        <v/>
      </c>
      <c r="V36" s="36" t="str">
        <f>'R2'!U42</f>
        <v/>
      </c>
      <c r="W36" s="36" t="str">
        <f>'R2'!V42</f>
        <v/>
      </c>
    </row>
    <row r="37" spans="1:23">
      <c r="A37" s="152"/>
      <c r="B37" s="36" t="str">
        <f>'R2'!B43</f>
        <v/>
      </c>
      <c r="C37" s="36" t="str">
        <f>'R2'!C43</f>
        <v/>
      </c>
      <c r="D37" s="36" t="str">
        <f>'R2'!D43</f>
        <v/>
      </c>
      <c r="E37" s="36" t="str">
        <f>'R2'!E43</f>
        <v/>
      </c>
      <c r="F37" s="36" t="str">
        <f>'R2'!F43</f>
        <v/>
      </c>
      <c r="G37" s="36" t="str">
        <f>'R2'!G43</f>
        <v/>
      </c>
      <c r="H37" s="36" t="str">
        <f>'R2'!H43</f>
        <v/>
      </c>
      <c r="I37" s="36" t="str">
        <f>'R2'!I43</f>
        <v/>
      </c>
      <c r="J37" s="36" t="str">
        <f>'R2'!J43</f>
        <v/>
      </c>
      <c r="K37" s="36" t="str">
        <f>'R2'!K43</f>
        <v/>
      </c>
      <c r="L37" s="36" t="str">
        <f>'R2'!L43</f>
        <v/>
      </c>
      <c r="M37" s="36" t="str">
        <f>'R2'!M43</f>
        <v/>
      </c>
      <c r="N37" s="36" t="str">
        <f>'R2'!N43</f>
        <v/>
      </c>
      <c r="P37" s="36">
        <f>'R2'!O43</f>
        <v>0.38158415386614475</v>
      </c>
      <c r="Q37" s="36" t="str">
        <f>'R2'!P43</f>
        <v/>
      </c>
      <c r="R37" s="36" t="str">
        <f>'R2'!Q43</f>
        <v/>
      </c>
      <c r="S37" s="36" t="str">
        <f>'R2'!R43</f>
        <v/>
      </c>
      <c r="T37" s="36" t="str">
        <f>'R2'!S43</f>
        <v/>
      </c>
      <c r="U37" s="36" t="str">
        <f>'R2'!T43</f>
        <v/>
      </c>
      <c r="V37" s="36" t="str">
        <f>'R2'!U43</f>
        <v/>
      </c>
      <c r="W37" s="36" t="str">
        <f>'R2'!V43</f>
        <v/>
      </c>
    </row>
    <row r="38" spans="1:23" s="1" customFormat="1">
      <c r="A38" s="81" t="s">
        <v>48</v>
      </c>
      <c r="B38" s="82">
        <f>'R3'!B28</f>
        <v>4.7735490284842565E-2</v>
      </c>
      <c r="C38" s="82">
        <f>'R3'!C28</f>
        <v>0.39071165318993034</v>
      </c>
      <c r="D38" s="82">
        <f>'R3'!D28</f>
        <v>0.82361451703505961</v>
      </c>
      <c r="E38" s="82">
        <f>'R3'!E28</f>
        <v>1.5918540719164747</v>
      </c>
      <c r="F38" s="82">
        <f>'R3'!F28</f>
        <v>1.9087735608762284</v>
      </c>
      <c r="G38" s="82">
        <f>'R3'!G28</f>
        <v>3.3846054623530599</v>
      </c>
      <c r="H38" s="82">
        <f>'R3'!H28</f>
        <v>2.7571180368241537</v>
      </c>
      <c r="I38" s="82">
        <f>'R3'!I28</f>
        <v>3.7852329804433382</v>
      </c>
      <c r="J38" s="82">
        <f>'R3'!J28</f>
        <v>2.205322596140995</v>
      </c>
      <c r="K38" s="82">
        <f>'R3'!K28</f>
        <v>1.0165106590277175</v>
      </c>
      <c r="L38" s="82">
        <f>'R3'!L28</f>
        <v>5.3572478886804546E-2</v>
      </c>
      <c r="M38" s="82">
        <f>'R3'!M28</f>
        <v>0.12929280539495158</v>
      </c>
      <c r="N38" s="82" t="str">
        <f>'R3'!N28</f>
        <v/>
      </c>
      <c r="O38"/>
      <c r="P38" s="82">
        <f>'R3'!O28</f>
        <v>1.3990376118107257</v>
      </c>
      <c r="Q38" s="82">
        <f>'R3'!P28</f>
        <v>1.7949241737842787</v>
      </c>
      <c r="R38" s="82">
        <f>'R3'!Q28</f>
        <v>0.1302009001352632</v>
      </c>
      <c r="S38" s="82">
        <f>'R3'!R28</f>
        <v>3.9540006107686323</v>
      </c>
      <c r="T38" s="82">
        <f>'R3'!S28</f>
        <v>2.5779367040368619</v>
      </c>
      <c r="U38" s="82">
        <f>'R3'!T28</f>
        <v>1.4820459271121846</v>
      </c>
      <c r="V38" s="82">
        <f>'R3'!U28</f>
        <v>0.93925314579748242</v>
      </c>
      <c r="W38" s="82">
        <f>'R3'!V28</f>
        <v>1.3835849011593961</v>
      </c>
    </row>
    <row r="39" spans="1:23" s="1" customFormat="1">
      <c r="A39" s="142" t="s">
        <v>17</v>
      </c>
      <c r="B39" s="82">
        <f>'R3'!B29</f>
        <v>5.880662639101554E-2</v>
      </c>
      <c r="C39" s="82">
        <f>'R3'!C29</f>
        <v>0.18329133845257514</v>
      </c>
      <c r="D39" s="82">
        <f>'R3'!D29</f>
        <v>1.3341916559329154</v>
      </c>
      <c r="E39" s="82">
        <f>'R3'!E29</f>
        <v>2.2605512038084807</v>
      </c>
      <c r="F39" s="82">
        <f>'R3'!F29</f>
        <v>2.2073569234986081</v>
      </c>
      <c r="G39" s="82">
        <f>'R3'!G29</f>
        <v>2.3973064618365942</v>
      </c>
      <c r="H39" s="82">
        <f>'R3'!H29</f>
        <v>5.4477932277104042</v>
      </c>
      <c r="I39" s="82">
        <f>'R3'!I29</f>
        <v>1.7579320320183542</v>
      </c>
      <c r="J39" s="82">
        <f>'R3'!J29</f>
        <v>1.9537088019925581</v>
      </c>
      <c r="K39" s="82">
        <f>'R3'!K29</f>
        <v>0.8300624775395592</v>
      </c>
      <c r="L39" s="82">
        <f>'R3'!L29</f>
        <v>7.9106458238712901E-2</v>
      </c>
      <c r="M39" s="82">
        <f>'R3'!M29</f>
        <v>1.3009287658595522E-4</v>
      </c>
      <c r="N39" s="82" t="str">
        <f>'R3'!N29</f>
        <v/>
      </c>
      <c r="O39"/>
      <c r="P39" s="82">
        <f>'R3'!O29</f>
        <v>1.158787430432072</v>
      </c>
      <c r="Q39" s="82">
        <f>'R3'!P29</f>
        <v>2.6430702580954102</v>
      </c>
      <c r="R39" s="82">
        <f>'R3'!Q29</f>
        <v>0.37289915068081481</v>
      </c>
      <c r="S39" s="82">
        <f>'R3'!R29</f>
        <v>3.3856236714210532</v>
      </c>
      <c r="T39" s="82">
        <f>'R3'!S29</f>
        <v>2.556446522368403</v>
      </c>
      <c r="U39" s="82">
        <f>'R3'!T29</f>
        <v>1.0027398634236777</v>
      </c>
      <c r="V39" s="82">
        <f>'R3'!U29</f>
        <v>1.2166980421356017</v>
      </c>
      <c r="W39" s="82">
        <f>'R3'!V29</f>
        <v>1.7829370444417159</v>
      </c>
    </row>
    <row r="40" spans="1:23" s="1" customFormat="1">
      <c r="A40" s="151"/>
      <c r="B40" s="82">
        <f>'R3'!B30</f>
        <v>0.12384075232245913</v>
      </c>
      <c r="C40" s="82">
        <f>'R3'!C30</f>
        <v>0.51162833580241196</v>
      </c>
      <c r="D40" s="82">
        <f>'R3'!D30</f>
        <v>3.2073007193105205</v>
      </c>
      <c r="E40" s="82">
        <f>'R3'!E30</f>
        <v>1.7869311280616127</v>
      </c>
      <c r="F40" s="82">
        <f>'R3'!F30</f>
        <v>3.2056327427857219</v>
      </c>
      <c r="G40" s="82">
        <f>'R3'!G30</f>
        <v>3.0468193082976271</v>
      </c>
      <c r="H40" s="82">
        <f>'R3'!H30</f>
        <v>5.4686053002596591</v>
      </c>
      <c r="I40" s="82">
        <f>'R3'!I30</f>
        <v>2.2991827481280964</v>
      </c>
      <c r="J40" s="82">
        <f>'R3'!J30</f>
        <v>0.59627094286598181</v>
      </c>
      <c r="K40" s="82">
        <f>'R3'!K30</f>
        <v>2.1928078937221347</v>
      </c>
      <c r="L40" s="82">
        <f>'R3'!L30</f>
        <v>0.2673055504604932</v>
      </c>
      <c r="M40" s="82">
        <f>'R3'!M30</f>
        <v>0</v>
      </c>
      <c r="N40" s="82" t="str">
        <f>'R3'!N30</f>
        <v/>
      </c>
      <c r="O40"/>
      <c r="P40" s="82">
        <f>'R3'!O30</f>
        <v>1.5872027869611105</v>
      </c>
      <c r="Q40" s="82">
        <f>'R3'!P30</f>
        <v>2.8565561532035857</v>
      </c>
      <c r="R40" s="82">
        <f>'R3'!Q30</f>
        <v>2.3516145912576919E-2</v>
      </c>
      <c r="S40" s="82">
        <f>'R3'!R30</f>
        <v>1.7356801100957431</v>
      </c>
      <c r="T40" s="82">
        <f>'R3'!S30</f>
        <v>1.4418367743552558</v>
      </c>
      <c r="U40" s="82">
        <f>'R3'!T30</f>
        <v>2.5752979094205406</v>
      </c>
      <c r="V40" s="82">
        <f>'R3'!U30</f>
        <v>2.1040675933548152</v>
      </c>
      <c r="W40" s="82">
        <f>'R3'!V30</f>
        <v>0.96927184476098349</v>
      </c>
    </row>
    <row r="41" spans="1:23" s="1" customFormat="1">
      <c r="A41" s="151"/>
      <c r="B41" s="82">
        <f>'R3'!B31</f>
        <v>7.1534820512702121E-3</v>
      </c>
      <c r="C41" s="82">
        <f>'R3'!C31</f>
        <v>0.1873235207006152</v>
      </c>
      <c r="D41" s="82">
        <f>'R3'!D31</f>
        <v>1.1116461858227773</v>
      </c>
      <c r="E41" s="82">
        <f>'R3'!E31</f>
        <v>1.4041300510029413</v>
      </c>
      <c r="F41" s="82">
        <f>'R3'!F31</f>
        <v>3.0661260204178156</v>
      </c>
      <c r="G41" s="82">
        <f>'R3'!G31</f>
        <v>1.9334821473879404</v>
      </c>
      <c r="H41" s="82">
        <f>'R3'!H31</f>
        <v>6.283260367345985</v>
      </c>
      <c r="I41" s="82">
        <f>'R3'!I31</f>
        <v>1.5535951507647945</v>
      </c>
      <c r="J41" s="82">
        <f>'R3'!J31</f>
        <v>0.38109871884506097</v>
      </c>
      <c r="K41" s="82">
        <f>'R3'!K31</f>
        <v>1.7664403384557839</v>
      </c>
      <c r="L41" s="82">
        <f>'R3'!L31</f>
        <v>6.7227817062874257E-2</v>
      </c>
      <c r="M41" s="82">
        <f>'R3'!M31</f>
        <v>3.734780639816223E-2</v>
      </c>
      <c r="N41" s="82" t="str">
        <f>'R3'!N31</f>
        <v/>
      </c>
      <c r="O41"/>
      <c r="P41" s="82">
        <f>'R3'!O31</f>
        <v>0.71501298366110422</v>
      </c>
      <c r="Q41" s="82">
        <f>'R3'!P31</f>
        <v>2.5835866841287314</v>
      </c>
      <c r="R41" s="82">
        <f>'R3'!Q31</f>
        <v>1.5888289479184348E-2</v>
      </c>
      <c r="S41" s="82">
        <f>'R3'!R31</f>
        <v>1.3185484521408706</v>
      </c>
      <c r="T41" s="82">
        <f>'R3'!S31</f>
        <v>3.0072873354250698</v>
      </c>
      <c r="U41" s="82">
        <f>'R3'!T31</f>
        <v>2.7764930477045495</v>
      </c>
      <c r="V41" s="82">
        <f>'R3'!U31</f>
        <v>1.121096271763206</v>
      </c>
      <c r="W41" s="82">
        <f>'R3'!V31</f>
        <v>1.6174891055564453</v>
      </c>
    </row>
    <row r="42" spans="1:23" s="1" customFormat="1">
      <c r="A42" s="151"/>
      <c r="B42" s="82">
        <f>'R3'!B32</f>
        <v>1.6261609573244402E-5</v>
      </c>
      <c r="C42" s="82">
        <f>'R3'!C32</f>
        <v>0.4353720731044724</v>
      </c>
      <c r="D42" s="82">
        <f>'R3'!D32</f>
        <v>0.48337007222956874</v>
      </c>
      <c r="E42" s="82">
        <f>'R3'!E32</f>
        <v>1.3980491382573808</v>
      </c>
      <c r="F42" s="82">
        <f>'R3'!F32</f>
        <v>2.0449812672791396</v>
      </c>
      <c r="G42" s="82">
        <f>'R3'!G32</f>
        <v>3.0059359956695335</v>
      </c>
      <c r="H42" s="82">
        <f>'R3'!H32</f>
        <v>4.0095500367621275</v>
      </c>
      <c r="I42" s="82">
        <f>'R3'!I32</f>
        <v>2.4940878958291743</v>
      </c>
      <c r="J42" s="82">
        <f>'R3'!J32</f>
        <v>6.7933803227061246E-2</v>
      </c>
      <c r="K42" s="82">
        <f>'R3'!K32</f>
        <v>0.27810929924354039</v>
      </c>
      <c r="L42" s="82">
        <f>'R3'!L32</f>
        <v>3.595209567936148E-2</v>
      </c>
      <c r="M42" s="82">
        <f>'R3'!M32</f>
        <v>0.27803310198725434</v>
      </c>
      <c r="N42" s="82" t="str">
        <f>'R3'!N32</f>
        <v/>
      </c>
      <c r="O42"/>
      <c r="P42" s="82">
        <f>'R3'!O32</f>
        <v>0.39626220515469501</v>
      </c>
      <c r="Q42" s="82">
        <f>'R3'!P32</f>
        <v>2.2974724914184073</v>
      </c>
      <c r="R42" s="82">
        <f>'R3'!Q32</f>
        <v>0.32021478798541758</v>
      </c>
      <c r="S42" s="82">
        <f>'R3'!R32</f>
        <v>2.0861208164123664</v>
      </c>
      <c r="T42" s="82">
        <f>'R3'!S32</f>
        <v>2.6376493343898151</v>
      </c>
      <c r="U42" s="82">
        <f>'R3'!T32</f>
        <v>2.9525210220868812</v>
      </c>
      <c r="V42" s="82">
        <f>'R3'!U32</f>
        <v>1.0486252471565014</v>
      </c>
      <c r="W42" s="82">
        <f>'R3'!V32</f>
        <v>1.5820385643780643</v>
      </c>
    </row>
    <row r="43" spans="1:23" s="1" customFormat="1">
      <c r="A43" s="151"/>
      <c r="B43" s="82">
        <f>'R3'!B33</f>
        <v>1.4128086397234736E-2</v>
      </c>
      <c r="C43" s="82">
        <f>'R3'!C33</f>
        <v>0.13380122049477952</v>
      </c>
      <c r="D43" s="82">
        <f>'R3'!D33</f>
        <v>3.8579739477689584E-2</v>
      </c>
      <c r="E43" s="82">
        <f>'R3'!E33</f>
        <v>1.2517120752512951</v>
      </c>
      <c r="F43" s="82">
        <f>'R3'!F33</f>
        <v>2.5661486632572168</v>
      </c>
      <c r="G43" s="82">
        <f>'R3'!G33</f>
        <v>2.6543265442420103</v>
      </c>
      <c r="H43" s="82">
        <f>'R3'!H33</f>
        <v>1.8197777209299011</v>
      </c>
      <c r="I43" s="82">
        <f>'R3'!I33</f>
        <v>1.4539637535401488</v>
      </c>
      <c r="J43" s="82">
        <f>'R3'!J33</f>
        <v>2.211643251473407</v>
      </c>
      <c r="K43" s="82">
        <f>'R3'!K33</f>
        <v>0.19105114623221919</v>
      </c>
      <c r="L43" s="82">
        <f>'R3'!L33</f>
        <v>3.8253113433975562E-2</v>
      </c>
      <c r="M43" s="82">
        <f>'R3'!M33</f>
        <v>0.22953076065667921</v>
      </c>
      <c r="N43" s="82" t="str">
        <f>'R3'!N33</f>
        <v/>
      </c>
      <c r="O43"/>
      <c r="P43" s="82">
        <f>'R3'!O33</f>
        <v>0.75969454366809153</v>
      </c>
      <c r="Q43" s="82">
        <f>'R3'!P33</f>
        <v>2.8253433874799923</v>
      </c>
      <c r="R43" s="82">
        <f>'R3'!Q33</f>
        <v>8.2666821500420679E-2</v>
      </c>
      <c r="S43" s="82">
        <f>'R3'!R33</f>
        <v>1.3383160647381065</v>
      </c>
      <c r="T43" s="82">
        <f>'R3'!S33</f>
        <v>2.18220393042813</v>
      </c>
      <c r="U43" s="82">
        <f>'R3'!T33</f>
        <v>1.5015765848270675</v>
      </c>
      <c r="V43" s="82">
        <f>'R3'!U33</f>
        <v>2.9856391838350427</v>
      </c>
      <c r="W43" s="82">
        <f>'R3'!V33</f>
        <v>1.628217354009331</v>
      </c>
    </row>
    <row r="44" spans="1:23" s="1" customFormat="1">
      <c r="A44" s="151"/>
      <c r="B44" s="82">
        <f>'R3'!B34</f>
        <v>1.8028084990315121E-2</v>
      </c>
      <c r="C44" s="82">
        <f>'R3'!C34</f>
        <v>3.8392266350180899E-2</v>
      </c>
      <c r="D44" s="82">
        <f>'R3'!D34</f>
        <v>0.79410991724278135</v>
      </c>
      <c r="E44" s="82">
        <f>'R3'!E34</f>
        <v>2.1851187077897798</v>
      </c>
      <c r="F44" s="82">
        <f>'R3'!F34</f>
        <v>3.3467621414803301</v>
      </c>
      <c r="G44" s="82">
        <f>'R3'!G34</f>
        <v>2.4716886901855712</v>
      </c>
      <c r="H44" s="82">
        <f>'R3'!H34</f>
        <v>5.6941554512015156</v>
      </c>
      <c r="I44" s="82">
        <f>'R3'!I34</f>
        <v>0.65788362614321472</v>
      </c>
      <c r="J44" s="82">
        <f>'R3'!J34</f>
        <v>1.222404008626145</v>
      </c>
      <c r="K44" s="82">
        <f>'R3'!K34</f>
        <v>0.22747622244145388</v>
      </c>
      <c r="L44" s="82">
        <f>'R3'!L34</f>
        <v>0.41027738951974979</v>
      </c>
      <c r="M44" s="82">
        <f>'R3'!M34</f>
        <v>0.19908484597881829</v>
      </c>
      <c r="N44" s="82" t="str">
        <f>'R3'!N34</f>
        <v/>
      </c>
      <c r="O44"/>
      <c r="P44" s="82">
        <f>'R3'!O34</f>
        <v>0.19877076460534648</v>
      </c>
      <c r="Q44" s="82">
        <f>'R3'!P34</f>
        <v>2.2677079381816654</v>
      </c>
      <c r="R44" s="82">
        <f>'R3'!Q34</f>
        <v>3.8948413397585854E-2</v>
      </c>
      <c r="S44" s="82">
        <f>'R3'!R34</f>
        <v>3.5539810445676854</v>
      </c>
      <c r="T44" s="82">
        <f>'R3'!S34</f>
        <v>4.0620866511191158</v>
      </c>
      <c r="U44" s="82">
        <f>'R3'!T34</f>
        <v>1.4673458966753881</v>
      </c>
      <c r="V44" s="82">
        <f>'R3'!U34</f>
        <v>3.3306106462347671</v>
      </c>
      <c r="W44" s="82">
        <f>'R3'!V34</f>
        <v>1.343613400210945</v>
      </c>
    </row>
    <row r="45" spans="1:23" s="1" customFormat="1">
      <c r="A45" s="151"/>
      <c r="B45" s="82">
        <f>'R3'!B35</f>
        <v>3.2523219146488804E-5</v>
      </c>
      <c r="C45" s="82">
        <f>'R3'!C35</f>
        <v>0.30134435161920842</v>
      </c>
      <c r="D45" s="82">
        <f>'R3'!D35</f>
        <v>3.6468294921306224</v>
      </c>
      <c r="E45" s="82">
        <f>'R3'!E35</f>
        <v>1.5788127256561491</v>
      </c>
      <c r="F45" s="82">
        <f>'R3'!F35</f>
        <v>3.861758256625361</v>
      </c>
      <c r="G45" s="82">
        <f>'R3'!G35</f>
        <v>2.6462415042709013</v>
      </c>
      <c r="H45" s="82">
        <f>'R3'!H35</f>
        <v>3.5002206279359558</v>
      </c>
      <c r="I45" s="82">
        <f>'R3'!I35</f>
        <v>1.2788297030669293</v>
      </c>
      <c r="J45" s="82">
        <f>'R3'!J35</f>
        <v>0.45801845521358892</v>
      </c>
      <c r="K45" s="82">
        <f>'R3'!K35</f>
        <v>0.80524098899566721</v>
      </c>
      <c r="L45" s="82">
        <f>'R3'!L35</f>
        <v>1.1830553273243491E-2</v>
      </c>
      <c r="M45" s="82">
        <f>'R3'!M35</f>
        <v>3.5355062299315221E-3</v>
      </c>
      <c r="N45" s="82" t="str">
        <f>'R3'!N35</f>
        <v/>
      </c>
      <c r="O45"/>
      <c r="P45" s="82">
        <f>'R3'!O35</f>
        <v>1.7495612523361725</v>
      </c>
      <c r="Q45" s="82">
        <f>'R3'!P35</f>
        <v>3.3524627648705851</v>
      </c>
      <c r="R45" s="82">
        <f>'R3'!Q35</f>
        <v>0</v>
      </c>
      <c r="S45" s="82">
        <f>'R3'!R35</f>
        <v>1.0755440187179257</v>
      </c>
      <c r="T45" s="82">
        <f>'R3'!S35</f>
        <v>3.5770249068765136</v>
      </c>
      <c r="U45" s="82">
        <f>'R3'!T35</f>
        <v>0.82481880537831254</v>
      </c>
      <c r="V45" s="82">
        <f>'R3'!U35</f>
        <v>2.2741568279209976</v>
      </c>
      <c r="W45" s="82">
        <f>'R3'!V35</f>
        <v>1.1723008279874381</v>
      </c>
    </row>
    <row r="46" spans="1:23" s="1" customFormat="1">
      <c r="A46" s="151"/>
      <c r="B46" s="82" t="str">
        <f>'R3'!B36</f>
        <v/>
      </c>
      <c r="C46" s="82" t="str">
        <f>'R3'!C36</f>
        <v/>
      </c>
      <c r="D46" s="82" t="str">
        <f>'R3'!D36</f>
        <v/>
      </c>
      <c r="E46" s="82" t="str">
        <f>'R3'!E36</f>
        <v/>
      </c>
      <c r="F46" s="82" t="str">
        <f>'R3'!F36</f>
        <v/>
      </c>
      <c r="G46" s="82" t="str">
        <f>'R3'!G36</f>
        <v/>
      </c>
      <c r="H46" s="82" t="str">
        <f>'R3'!H36</f>
        <v/>
      </c>
      <c r="I46" s="82" t="str">
        <f>'R3'!I36</f>
        <v/>
      </c>
      <c r="J46" s="82" t="str">
        <f>'R3'!J36</f>
        <v/>
      </c>
      <c r="K46" s="82" t="str">
        <f>'R3'!K36</f>
        <v/>
      </c>
      <c r="L46" s="82" t="str">
        <f>'R3'!L36</f>
        <v/>
      </c>
      <c r="M46" s="82" t="str">
        <f>'R3'!M36</f>
        <v/>
      </c>
      <c r="N46" s="82" t="str">
        <f>'R3'!N36</f>
        <v/>
      </c>
      <c r="O46"/>
      <c r="P46" s="82">
        <f>'R3'!O36</f>
        <v>2.6519906801811679</v>
      </c>
      <c r="Q46" s="82" t="str">
        <f>'R3'!P36</f>
        <v/>
      </c>
      <c r="R46" s="82" t="str">
        <f>'R3'!Q36</f>
        <v/>
      </c>
      <c r="S46" s="82" t="str">
        <f>'R3'!R36</f>
        <v/>
      </c>
      <c r="T46" s="82" t="str">
        <f>'R3'!S36</f>
        <v/>
      </c>
      <c r="U46" s="82" t="str">
        <f>'R3'!T36</f>
        <v/>
      </c>
      <c r="V46" s="82" t="str">
        <f>'R3'!U36</f>
        <v/>
      </c>
      <c r="W46" s="82" t="str">
        <f>'R3'!V36</f>
        <v/>
      </c>
    </row>
    <row r="47" spans="1:23" s="1" customFormat="1">
      <c r="A47" s="151"/>
      <c r="B47" s="82" t="str">
        <f>'R3'!B37</f>
        <v/>
      </c>
      <c r="C47" s="82" t="str">
        <f>'R3'!C37</f>
        <v/>
      </c>
      <c r="D47" s="82" t="str">
        <f>'R3'!D37</f>
        <v/>
      </c>
      <c r="E47" s="82" t="str">
        <f>'R3'!E37</f>
        <v/>
      </c>
      <c r="F47" s="82" t="str">
        <f>'R3'!F37</f>
        <v/>
      </c>
      <c r="G47" s="82" t="str">
        <f>'R3'!G37</f>
        <v/>
      </c>
      <c r="H47" s="82" t="str">
        <f>'R3'!H37</f>
        <v/>
      </c>
      <c r="I47" s="82" t="str">
        <f>'R3'!I37</f>
        <v/>
      </c>
      <c r="J47" s="82" t="str">
        <f>'R3'!J37</f>
        <v/>
      </c>
      <c r="K47" s="82" t="str">
        <f>'R3'!K37</f>
        <v/>
      </c>
      <c r="L47" s="82" t="str">
        <f>'R3'!L37</f>
        <v/>
      </c>
      <c r="M47" s="82" t="str">
        <f>'R3'!M37</f>
        <v/>
      </c>
      <c r="N47" s="82" t="str">
        <f>'R3'!N37</f>
        <v/>
      </c>
      <c r="O47"/>
      <c r="P47" s="82">
        <f>'R3'!O37</f>
        <v>0.64176837105612949</v>
      </c>
      <c r="Q47" s="82" t="str">
        <f>'R3'!P37</f>
        <v/>
      </c>
      <c r="R47" s="82" t="str">
        <f>'R3'!Q37</f>
        <v/>
      </c>
      <c r="S47" s="82" t="str">
        <f>'R3'!R37</f>
        <v/>
      </c>
      <c r="T47" s="82" t="str">
        <f>'R3'!S37</f>
        <v/>
      </c>
      <c r="U47" s="82" t="str">
        <f>'R3'!T37</f>
        <v/>
      </c>
      <c r="V47" s="82" t="str">
        <f>'R3'!U37</f>
        <v/>
      </c>
      <c r="W47" s="82" t="str">
        <f>'R3'!V37</f>
        <v/>
      </c>
    </row>
    <row r="48" spans="1:23" s="1" customFormat="1">
      <c r="A48" s="151"/>
      <c r="B48" s="82" t="str">
        <f>'R3'!B38</f>
        <v/>
      </c>
      <c r="C48" s="82" t="str">
        <f>'R3'!C38</f>
        <v/>
      </c>
      <c r="D48" s="82" t="str">
        <f>'R3'!D38</f>
        <v/>
      </c>
      <c r="E48" s="82" t="str">
        <f>'R3'!E38</f>
        <v/>
      </c>
      <c r="F48" s="82" t="str">
        <f>'R3'!F38</f>
        <v/>
      </c>
      <c r="G48" s="82" t="str">
        <f>'R3'!G38</f>
        <v/>
      </c>
      <c r="H48" s="82" t="str">
        <f>'R3'!H38</f>
        <v/>
      </c>
      <c r="I48" s="82" t="str">
        <f>'R3'!I38</f>
        <v/>
      </c>
      <c r="J48" s="82" t="str">
        <f>'R3'!J38</f>
        <v/>
      </c>
      <c r="K48" s="82" t="str">
        <f>'R3'!K38</f>
        <v/>
      </c>
      <c r="L48" s="82" t="str">
        <f>'R3'!L38</f>
        <v/>
      </c>
      <c r="M48" s="82" t="str">
        <f>'R3'!M38</f>
        <v/>
      </c>
      <c r="N48" s="82" t="str">
        <f>'R3'!N38</f>
        <v/>
      </c>
      <c r="O48"/>
      <c r="P48" s="82">
        <f>'R3'!O38</f>
        <v>0.72761805416745051</v>
      </c>
      <c r="Q48" s="82" t="str">
        <f>'R3'!P38</f>
        <v/>
      </c>
      <c r="R48" s="82" t="str">
        <f>'R3'!Q38</f>
        <v/>
      </c>
      <c r="S48" s="82" t="str">
        <f>'R3'!R38</f>
        <v/>
      </c>
      <c r="T48" s="82" t="str">
        <f>'R3'!S38</f>
        <v/>
      </c>
      <c r="U48" s="82" t="str">
        <f>'R3'!T38</f>
        <v/>
      </c>
      <c r="V48" s="82" t="str">
        <f>'R3'!U38</f>
        <v/>
      </c>
      <c r="W48" s="82" t="str">
        <f>'R3'!V38</f>
        <v/>
      </c>
    </row>
    <row r="49" spans="1:25" s="1" customFormat="1">
      <c r="A49" s="151"/>
      <c r="B49" s="82" t="str">
        <f>'R3'!B39</f>
        <v/>
      </c>
      <c r="C49" s="82" t="str">
        <f>'R3'!C39</f>
        <v/>
      </c>
      <c r="D49" s="82" t="str">
        <f>'R3'!D39</f>
        <v/>
      </c>
      <c r="E49" s="82" t="str">
        <f>'R3'!E39</f>
        <v/>
      </c>
      <c r="F49" s="82" t="str">
        <f>'R3'!F39</f>
        <v/>
      </c>
      <c r="G49" s="82" t="str">
        <f>'R3'!G39</f>
        <v/>
      </c>
      <c r="H49" s="82" t="str">
        <f>'R3'!H39</f>
        <v/>
      </c>
      <c r="I49" s="82" t="str">
        <f>'R3'!I39</f>
        <v/>
      </c>
      <c r="J49" s="82" t="str">
        <f>'R3'!J39</f>
        <v/>
      </c>
      <c r="K49" s="82" t="str">
        <f>'R3'!K39</f>
        <v/>
      </c>
      <c r="L49" s="82" t="str">
        <f>'R3'!L39</f>
        <v/>
      </c>
      <c r="M49" s="82" t="str">
        <f>'R3'!M39</f>
        <v/>
      </c>
      <c r="N49" s="82" t="str">
        <f>'R3'!N39</f>
        <v/>
      </c>
      <c r="O49"/>
      <c r="P49" s="82">
        <f>'R3'!O39</f>
        <v>1.4666192350361722</v>
      </c>
      <c r="Q49" s="82" t="str">
        <f>'R3'!P39</f>
        <v/>
      </c>
      <c r="R49" s="82" t="str">
        <f>'R3'!Q39</f>
        <v/>
      </c>
      <c r="S49" s="82" t="str">
        <f>'R3'!R39</f>
        <v/>
      </c>
      <c r="T49" s="82" t="str">
        <f>'R3'!S39</f>
        <v/>
      </c>
      <c r="U49" s="82" t="str">
        <f>'R3'!T39</f>
        <v/>
      </c>
      <c r="V49" s="82" t="str">
        <f>'R3'!U39</f>
        <v/>
      </c>
      <c r="W49" s="82" t="str">
        <f>'R3'!V39</f>
        <v/>
      </c>
    </row>
    <row r="50" spans="1:25" s="1" customFormat="1">
      <c r="A50" s="151"/>
      <c r="B50" s="82" t="str">
        <f>'R3'!B40</f>
        <v/>
      </c>
      <c r="C50" s="82" t="str">
        <f>'R3'!C40</f>
        <v/>
      </c>
      <c r="D50" s="82" t="str">
        <f>'R3'!D40</f>
        <v/>
      </c>
      <c r="E50" s="82" t="str">
        <f>'R3'!E40</f>
        <v/>
      </c>
      <c r="F50" s="82" t="str">
        <f>'R3'!F40</f>
        <v/>
      </c>
      <c r="G50" s="82" t="str">
        <f>'R3'!G40</f>
        <v/>
      </c>
      <c r="H50" s="82" t="str">
        <f>'R3'!H40</f>
        <v/>
      </c>
      <c r="I50" s="82" t="str">
        <f>'R3'!I40</f>
        <v/>
      </c>
      <c r="J50" s="82" t="str">
        <f>'R3'!J40</f>
        <v/>
      </c>
      <c r="K50" s="82" t="str">
        <f>'R3'!K40</f>
        <v/>
      </c>
      <c r="L50" s="82" t="str">
        <f>'R3'!L40</f>
        <v/>
      </c>
      <c r="M50" s="82" t="str">
        <f>'R3'!M40</f>
        <v/>
      </c>
      <c r="N50" s="82" t="str">
        <f>'R3'!N40</f>
        <v/>
      </c>
      <c r="O50"/>
      <c r="P50" s="82">
        <f>'R3'!O40</f>
        <v>0.51627776228811073</v>
      </c>
      <c r="Q50" s="82" t="str">
        <f>'R3'!P40</f>
        <v/>
      </c>
      <c r="R50" s="82" t="str">
        <f>'R3'!Q40</f>
        <v/>
      </c>
      <c r="S50" s="82" t="str">
        <f>'R3'!R40</f>
        <v/>
      </c>
      <c r="T50" s="82" t="str">
        <f>'R3'!S40</f>
        <v/>
      </c>
      <c r="U50" s="82" t="str">
        <f>'R3'!T40</f>
        <v/>
      </c>
      <c r="V50" s="82" t="str">
        <f>'R3'!U40</f>
        <v/>
      </c>
      <c r="W50" s="82" t="str">
        <f>'R3'!V40</f>
        <v/>
      </c>
    </row>
    <row r="51" spans="1:25" s="1" customFormat="1">
      <c r="A51" s="151"/>
      <c r="B51" s="82" t="str">
        <f>'R3'!B41</f>
        <v/>
      </c>
      <c r="C51" s="82" t="str">
        <f>'R3'!C41</f>
        <v/>
      </c>
      <c r="D51" s="82" t="str">
        <f>'R3'!D41</f>
        <v/>
      </c>
      <c r="E51" s="82" t="str">
        <f>'R3'!E41</f>
        <v/>
      </c>
      <c r="F51" s="82" t="str">
        <f>'R3'!F41</f>
        <v/>
      </c>
      <c r="G51" s="82" t="str">
        <f>'R3'!G41</f>
        <v/>
      </c>
      <c r="H51" s="82" t="str">
        <f>'R3'!H41</f>
        <v/>
      </c>
      <c r="I51" s="82" t="str">
        <f>'R3'!I41</f>
        <v/>
      </c>
      <c r="J51" s="82" t="str">
        <f>'R3'!J41</f>
        <v/>
      </c>
      <c r="K51" s="82" t="str">
        <f>'R3'!K41</f>
        <v/>
      </c>
      <c r="L51" s="82" t="str">
        <f>'R3'!L41</f>
        <v/>
      </c>
      <c r="M51" s="82" t="str">
        <f>'R3'!M41</f>
        <v/>
      </c>
      <c r="N51" s="82" t="str">
        <f>'R3'!N41</f>
        <v/>
      </c>
      <c r="O51"/>
      <c r="P51" s="82">
        <f>'R3'!O41</f>
        <v>1.261071328486822</v>
      </c>
      <c r="Q51" s="82" t="str">
        <f>'R3'!P41</f>
        <v/>
      </c>
      <c r="R51" s="82" t="str">
        <f>'R3'!Q41</f>
        <v/>
      </c>
      <c r="S51" s="82" t="str">
        <f>'R3'!R41</f>
        <v/>
      </c>
      <c r="T51" s="82" t="str">
        <f>'R3'!S41</f>
        <v/>
      </c>
      <c r="U51" s="82" t="str">
        <f>'R3'!T41</f>
        <v/>
      </c>
      <c r="V51" s="82" t="str">
        <f>'R3'!U41</f>
        <v/>
      </c>
      <c r="W51" s="82" t="str">
        <f>'R3'!V41</f>
        <v/>
      </c>
    </row>
    <row r="52" spans="1:25" s="1" customFormat="1">
      <c r="A52" s="151"/>
      <c r="B52" s="82" t="str">
        <f>'R3'!B42</f>
        <v/>
      </c>
      <c r="C52" s="82" t="str">
        <f>'R3'!C42</f>
        <v/>
      </c>
      <c r="D52" s="82" t="str">
        <f>'R3'!D42</f>
        <v/>
      </c>
      <c r="E52" s="82" t="str">
        <f>'R3'!E42</f>
        <v/>
      </c>
      <c r="F52" s="82" t="str">
        <f>'R3'!F42</f>
        <v/>
      </c>
      <c r="G52" s="82" t="str">
        <f>'R3'!G42</f>
        <v/>
      </c>
      <c r="H52" s="82" t="str">
        <f>'R3'!H42</f>
        <v/>
      </c>
      <c r="I52" s="82" t="str">
        <f>'R3'!I42</f>
        <v/>
      </c>
      <c r="J52" s="82" t="str">
        <f>'R3'!J42</f>
        <v/>
      </c>
      <c r="K52" s="82" t="str">
        <f>'R3'!K42</f>
        <v/>
      </c>
      <c r="L52" s="82" t="str">
        <f>'R3'!L42</f>
        <v/>
      </c>
      <c r="M52" s="82" t="str">
        <f>'R3'!M42</f>
        <v/>
      </c>
      <c r="N52" s="82" t="str">
        <f>'R3'!N42</f>
        <v/>
      </c>
      <c r="O52"/>
      <c r="P52" s="82">
        <f>'R3'!O42</f>
        <v>9.6092174055383058E-3</v>
      </c>
      <c r="Q52" s="82" t="str">
        <f>'R3'!P42</f>
        <v/>
      </c>
      <c r="R52" s="82" t="str">
        <f>'R3'!Q42</f>
        <v/>
      </c>
      <c r="S52" s="82" t="str">
        <f>'R3'!R42</f>
        <v/>
      </c>
      <c r="T52" s="82" t="str">
        <f>'R3'!S42</f>
        <v/>
      </c>
      <c r="U52" s="82" t="str">
        <f>'R3'!T42</f>
        <v/>
      </c>
      <c r="V52" s="82" t="str">
        <f>'R3'!U42</f>
        <v/>
      </c>
      <c r="W52" s="82" t="str">
        <f>'R3'!V42</f>
        <v/>
      </c>
    </row>
    <row r="53" spans="1:25" s="1" customFormat="1">
      <c r="A53" s="152"/>
      <c r="B53" s="82" t="str">
        <f>'R3'!B43</f>
        <v/>
      </c>
      <c r="C53" s="82" t="str">
        <f>'R3'!C43</f>
        <v/>
      </c>
      <c r="D53" s="82" t="str">
        <f>'R3'!D43</f>
        <v/>
      </c>
      <c r="E53" s="82" t="str">
        <f>'R3'!E43</f>
        <v/>
      </c>
      <c r="F53" s="82" t="str">
        <f>'R3'!F43</f>
        <v/>
      </c>
      <c r="G53" s="82" t="str">
        <f>'R3'!G43</f>
        <v/>
      </c>
      <c r="H53" s="82" t="str">
        <f>'R3'!H43</f>
        <v/>
      </c>
      <c r="I53" s="82" t="str">
        <f>'R3'!I43</f>
        <v/>
      </c>
      <c r="J53" s="82" t="str">
        <f>'R3'!J43</f>
        <v/>
      </c>
      <c r="K53" s="82" t="str">
        <f>'R3'!K43</f>
        <v/>
      </c>
      <c r="L53" s="82" t="str">
        <f>'R3'!L43</f>
        <v/>
      </c>
      <c r="M53" s="82" t="str">
        <f>'R3'!M43</f>
        <v/>
      </c>
      <c r="N53" s="82" t="str">
        <f>'R3'!N43</f>
        <v/>
      </c>
      <c r="O53"/>
      <c r="P53" s="82">
        <f>'R3'!O43</f>
        <v>0.76071577274929125</v>
      </c>
      <c r="Q53" s="82" t="str">
        <f>'R3'!P43</f>
        <v/>
      </c>
      <c r="R53" s="82" t="str">
        <f>'R3'!Q43</f>
        <v/>
      </c>
      <c r="S53" s="82" t="str">
        <f>'R3'!R43</f>
        <v/>
      </c>
      <c r="T53" s="82" t="str">
        <f>'R3'!S43</f>
        <v/>
      </c>
      <c r="U53" s="82" t="str">
        <f>'R3'!T43</f>
        <v/>
      </c>
      <c r="V53" s="82" t="str">
        <f>'R3'!U43</f>
        <v/>
      </c>
      <c r="W53" s="82" t="str">
        <f>'R3'!V43</f>
        <v/>
      </c>
    </row>
    <row r="54" spans="1:25" s="42" customFormat="1">
      <c r="A54" s="40"/>
      <c r="B54" s="41"/>
      <c r="C54" s="41"/>
      <c r="D54" s="41"/>
      <c r="E54" s="41"/>
      <c r="F54" s="41"/>
      <c r="G54" s="41"/>
      <c r="H54" s="41"/>
      <c r="I54" s="41"/>
      <c r="J54" s="41"/>
      <c r="K54" s="41"/>
      <c r="L54" s="41"/>
      <c r="M54" s="41"/>
      <c r="N54" s="41"/>
      <c r="O54"/>
      <c r="P54" s="41"/>
      <c r="Q54" s="41"/>
      <c r="R54" s="41"/>
      <c r="S54" s="41"/>
      <c r="T54" s="41"/>
      <c r="U54" s="41"/>
      <c r="V54" s="41"/>
      <c r="W54" s="41"/>
    </row>
    <row r="55" spans="1:25" s="25" customFormat="1">
      <c r="A55" s="25" t="s">
        <v>27</v>
      </c>
      <c r="B55" s="14" t="str">
        <f t="shared" ref="B55:N55" si="0">B4</f>
        <v>Solvent control</v>
      </c>
      <c r="C55" s="14" t="str">
        <f t="shared" si="0"/>
        <v>EE2-33.8ng/L</v>
      </c>
      <c r="D55" s="14" t="str">
        <f t="shared" si="0"/>
        <v>EE2-50.6ng/L</v>
      </c>
      <c r="E55" s="14" t="str">
        <f t="shared" si="0"/>
        <v>EE2-76ng/L</v>
      </c>
      <c r="F55" s="14" t="str">
        <f t="shared" si="0"/>
        <v>EE2-114ng/L</v>
      </c>
      <c r="G55" s="14" t="str">
        <f t="shared" si="0"/>
        <v>EE2-170.9ng/L</v>
      </c>
      <c r="H55" s="14" t="str">
        <f t="shared" si="0"/>
        <v>EE2-488ng/L</v>
      </c>
      <c r="I55" s="14" t="str">
        <f t="shared" si="0"/>
        <v>BPA-5mg/L</v>
      </c>
      <c r="J55" s="14" t="str">
        <f t="shared" si="0"/>
        <v>BPA-4mg/L</v>
      </c>
      <c r="K55" s="14" t="str">
        <f t="shared" si="0"/>
        <v>BPA-3mg/L</v>
      </c>
      <c r="L55" s="14" t="str">
        <f t="shared" si="0"/>
        <v>BPA-2mg/L</v>
      </c>
      <c r="M55" s="14" t="str">
        <f t="shared" si="0"/>
        <v>BPA-1mg/L</v>
      </c>
      <c r="N55" s="14" t="str">
        <f t="shared" si="0"/>
        <v/>
      </c>
      <c r="P55" s="14" t="str">
        <f t="shared" ref="P55:W55" si="1">P4</f>
        <v>Testo -30µg/L</v>
      </c>
      <c r="Q55" s="14" t="str">
        <f t="shared" si="1"/>
        <v>Testo 30µg/L + EE2 -64ng/L</v>
      </c>
      <c r="R55" s="14" t="str">
        <f t="shared" si="1"/>
        <v>Testo 30µg/L + FAD-10mg/L</v>
      </c>
      <c r="S55" s="14" t="str">
        <f t="shared" si="1"/>
        <v>BPA-5mg/L + Testostérone</v>
      </c>
      <c r="T55" s="14" t="str">
        <f t="shared" si="1"/>
        <v>BPA-4mg/L + Testostérone</v>
      </c>
      <c r="U55" s="14" t="str">
        <f t="shared" si="1"/>
        <v>BPA-3mg/L + Testostérone</v>
      </c>
      <c r="V55" s="14" t="str">
        <f t="shared" si="1"/>
        <v>BPA-2mg/L + Testostérone</v>
      </c>
      <c r="W55" s="14" t="str">
        <f t="shared" si="1"/>
        <v>BPA-1mg/L + Testostérone</v>
      </c>
    </row>
    <row r="56" spans="1:25">
      <c r="A56" t="s">
        <v>28</v>
      </c>
      <c r="B56" s="8">
        <f t="shared" ref="B56:W56" si="2">AVERAGE(B6:B53)</f>
        <v>0.11391426312879976</v>
      </c>
      <c r="C56" s="8">
        <f t="shared" si="2"/>
        <v>0.20064723878094892</v>
      </c>
      <c r="D56" s="8">
        <f t="shared" si="2"/>
        <v>0.68280096594616702</v>
      </c>
      <c r="E56" s="8">
        <f t="shared" si="2"/>
        <v>1.0931490380429909</v>
      </c>
      <c r="F56" s="8">
        <f t="shared" si="2"/>
        <v>1.6596621612839162</v>
      </c>
      <c r="G56" s="8">
        <f t="shared" si="2"/>
        <v>1.7855187523303571</v>
      </c>
      <c r="H56" s="8">
        <f t="shared" si="2"/>
        <v>2.8658822019224566</v>
      </c>
      <c r="I56" s="8">
        <f t="shared" si="2"/>
        <v>1.2615791137337879</v>
      </c>
      <c r="J56" s="8">
        <f t="shared" si="2"/>
        <v>0.86561295691702578</v>
      </c>
      <c r="K56" s="8">
        <f t="shared" si="2"/>
        <v>0.43220916534266446</v>
      </c>
      <c r="L56" s="8">
        <f t="shared" si="2"/>
        <v>0.10592054200317892</v>
      </c>
      <c r="M56" s="8">
        <f t="shared" si="2"/>
        <v>0.12426187369744175</v>
      </c>
      <c r="N56" s="8" t="e">
        <f t="shared" si="2"/>
        <v>#DIV/0!</v>
      </c>
      <c r="O56" s="8"/>
      <c r="P56" s="8">
        <f t="shared" si="2"/>
        <v>0.99999999999999989</v>
      </c>
      <c r="Q56" s="8">
        <f t="shared" si="2"/>
        <v>1.901396175978969</v>
      </c>
      <c r="R56" s="8">
        <f t="shared" si="2"/>
        <v>0.13609055171321366</v>
      </c>
      <c r="S56" s="8">
        <f t="shared" si="2"/>
        <v>1.7036663715591347</v>
      </c>
      <c r="T56" s="8">
        <f t="shared" si="2"/>
        <v>1.8430592780678108</v>
      </c>
      <c r="U56" s="8">
        <f t="shared" si="2"/>
        <v>1.684835065315452</v>
      </c>
      <c r="V56" s="8">
        <f t="shared" si="2"/>
        <v>1.399742799713209</v>
      </c>
      <c r="W56" s="8">
        <f t="shared" si="2"/>
        <v>1.0229366324932918</v>
      </c>
    </row>
    <row r="57" spans="1:25">
      <c r="A57" t="s">
        <v>1</v>
      </c>
      <c r="B57" s="3">
        <f>STDEV(B6:B53)</f>
        <v>0.11895528511991518</v>
      </c>
      <c r="C57" s="3">
        <f t="shared" ref="C57:W57" si="3">STDEV(C6:C53)</f>
        <v>0.17390491251243811</v>
      </c>
      <c r="D57" s="3">
        <f t="shared" si="3"/>
        <v>0.91372764202522394</v>
      </c>
      <c r="E57" s="3">
        <f t="shared" si="3"/>
        <v>0.55719230201118231</v>
      </c>
      <c r="F57" s="3">
        <f t="shared" si="3"/>
        <v>0.93351027292582189</v>
      </c>
      <c r="G57" s="3">
        <f t="shared" si="3"/>
        <v>0.7824730400120754</v>
      </c>
      <c r="H57" s="3">
        <f t="shared" si="3"/>
        <v>1.4601172946544212</v>
      </c>
      <c r="I57" s="3">
        <f t="shared" si="3"/>
        <v>0.73931322471006633</v>
      </c>
      <c r="J57" s="3">
        <f t="shared" si="3"/>
        <v>0.57661622218348652</v>
      </c>
      <c r="K57" s="3">
        <f t="shared" si="3"/>
        <v>0.54027294236870915</v>
      </c>
      <c r="L57" s="3">
        <f t="shared" si="3"/>
        <v>0.11654871097498147</v>
      </c>
      <c r="M57" s="3">
        <f t="shared" si="3"/>
        <v>0.10099828427210779</v>
      </c>
      <c r="N57" s="3" t="e">
        <f t="shared" si="3"/>
        <v>#DIV/0!</v>
      </c>
      <c r="O57" s="3"/>
      <c r="P57" s="3">
        <f t="shared" si="3"/>
        <v>0.48555685202915233</v>
      </c>
      <c r="Q57" s="3">
        <f t="shared" si="3"/>
        <v>0.64261104409394454</v>
      </c>
      <c r="R57" s="3">
        <f t="shared" si="3"/>
        <v>0.12647807991198678</v>
      </c>
      <c r="S57" s="3">
        <f t="shared" si="3"/>
        <v>0.82103034744544812</v>
      </c>
      <c r="T57" s="3">
        <f t="shared" si="3"/>
        <v>0.83543524610772157</v>
      </c>
      <c r="U57" s="3">
        <f t="shared" si="3"/>
        <v>0.55013466813555989</v>
      </c>
      <c r="V57" s="3">
        <f t="shared" si="3"/>
        <v>0.7746044659021305</v>
      </c>
      <c r="W57" s="3">
        <f t="shared" si="3"/>
        <v>0.51122874555108067</v>
      </c>
      <c r="X57" s="3"/>
      <c r="Y57" s="3"/>
    </row>
    <row r="58" spans="1:25">
      <c r="A58" t="s">
        <v>2</v>
      </c>
      <c r="B58" s="3">
        <f xml:space="preserve"> B57/SQRT(COUNT(B6:B53))</f>
        <v>2.4281645895923389E-2</v>
      </c>
      <c r="C58" s="3">
        <f t="shared" ref="C58:W58" si="4" xml:space="preserve"> C57/SQRT(COUNT(C6:C53))</f>
        <v>3.5498191618235267E-2</v>
      </c>
      <c r="D58" s="3">
        <f t="shared" si="4"/>
        <v>0.18651387390318716</v>
      </c>
      <c r="E58" s="3">
        <f t="shared" si="4"/>
        <v>0.11373640237784483</v>
      </c>
      <c r="F58" s="3">
        <f t="shared" si="4"/>
        <v>0.1905519865262105</v>
      </c>
      <c r="G58" s="3">
        <f t="shared" si="4"/>
        <v>0.15972164045949586</v>
      </c>
      <c r="H58" s="3">
        <f t="shared" si="4"/>
        <v>0.29804519470969404</v>
      </c>
      <c r="I58" s="3">
        <f t="shared" si="4"/>
        <v>0.15091168005260522</v>
      </c>
      <c r="J58" s="3">
        <f t="shared" si="4"/>
        <v>0.1177012934800697</v>
      </c>
      <c r="K58" s="3">
        <f t="shared" si="4"/>
        <v>0.11028275255295336</v>
      </c>
      <c r="L58" s="3">
        <f t="shared" si="4"/>
        <v>2.3790406005651528E-2</v>
      </c>
      <c r="M58" s="3">
        <f t="shared" si="4"/>
        <v>2.0616188446935635E-2</v>
      </c>
      <c r="N58" s="3" t="e">
        <f t="shared" si="4"/>
        <v>#DIV/0!</v>
      </c>
      <c r="O58" s="3"/>
      <c r="P58" s="3">
        <f t="shared" si="4"/>
        <v>7.0084094806474595E-2</v>
      </c>
      <c r="Q58" s="3">
        <f t="shared" si="4"/>
        <v>0.1311724300922755</v>
      </c>
      <c r="R58" s="3">
        <f t="shared" si="4"/>
        <v>2.5817229952610231E-2</v>
      </c>
      <c r="S58" s="3">
        <f t="shared" si="4"/>
        <v>0.16759211788177786</v>
      </c>
      <c r="T58" s="3">
        <f t="shared" si="4"/>
        <v>0.17053250550836702</v>
      </c>
      <c r="U58" s="3">
        <f t="shared" si="4"/>
        <v>0.11229576889562348</v>
      </c>
      <c r="V58" s="3">
        <f t="shared" si="4"/>
        <v>0.15811547449510924</v>
      </c>
      <c r="W58" s="3">
        <f t="shared" si="4"/>
        <v>0.10435413070360695</v>
      </c>
      <c r="X58" s="3"/>
      <c r="Y58" s="3"/>
    </row>
    <row r="59" spans="1:25" s="1" customFormat="1" ht="15.75" thickBot="1">
      <c r="B59" s="3"/>
      <c r="C59" s="3"/>
      <c r="D59" s="3"/>
      <c r="E59" s="3"/>
      <c r="F59" s="3"/>
      <c r="G59" s="3"/>
      <c r="H59" s="3"/>
      <c r="I59" s="3"/>
      <c r="J59" s="3"/>
      <c r="K59" s="3"/>
      <c r="L59" s="3"/>
      <c r="M59" s="3"/>
      <c r="N59" s="3"/>
      <c r="O59" s="3"/>
      <c r="P59" s="3"/>
      <c r="Q59" s="3"/>
      <c r="R59" s="3"/>
      <c r="S59" s="3"/>
      <c r="T59" s="3"/>
      <c r="U59" s="3"/>
      <c r="V59" s="3"/>
      <c r="W59" s="3"/>
    </row>
    <row r="60" spans="1:25" s="30" customFormat="1" ht="27" thickBot="1">
      <c r="A60" s="153" t="s">
        <v>26</v>
      </c>
      <c r="B60" s="154"/>
      <c r="C60" s="154"/>
      <c r="D60" s="154"/>
      <c r="E60" s="154"/>
      <c r="F60" s="154"/>
      <c r="G60" s="154"/>
      <c r="H60" s="154"/>
      <c r="I60" s="154"/>
      <c r="J60" s="154"/>
      <c r="K60" s="154"/>
      <c r="L60" s="154"/>
      <c r="M60" s="154"/>
      <c r="N60" s="154"/>
      <c r="O60" s="154"/>
      <c r="P60" s="154"/>
      <c r="Q60" s="154"/>
      <c r="R60" s="154"/>
      <c r="S60" s="154"/>
      <c r="T60" s="154"/>
      <c r="U60" s="154"/>
      <c r="V60" s="154"/>
      <c r="W60" s="154"/>
    </row>
    <row r="61" spans="1:25" s="1" customFormat="1">
      <c r="B61" s="3"/>
      <c r="C61" s="3"/>
      <c r="D61" s="3"/>
      <c r="E61" s="3"/>
      <c r="F61" s="3"/>
      <c r="G61" s="3"/>
      <c r="H61" s="3"/>
      <c r="I61" s="3"/>
      <c r="J61" s="3"/>
      <c r="K61" s="3"/>
      <c r="L61" s="3"/>
      <c r="M61" s="3"/>
      <c r="N61" s="3"/>
      <c r="O61" s="3"/>
      <c r="P61" s="3"/>
      <c r="Q61" s="3"/>
      <c r="R61" s="3"/>
      <c r="S61" s="3"/>
      <c r="T61" s="3"/>
      <c r="U61" s="3"/>
      <c r="V61" s="3"/>
      <c r="W61" s="3"/>
    </row>
    <row r="62" spans="1:25" s="1" customFormat="1">
      <c r="A62" s="1" t="s">
        <v>27</v>
      </c>
      <c r="B62" s="3" t="str">
        <f t="shared" ref="B62" si="5">B4</f>
        <v>Solvent control</v>
      </c>
      <c r="C62" s="3" t="str">
        <f t="shared" ref="C62:W62" si="6">C4</f>
        <v>EE2-33.8ng/L</v>
      </c>
      <c r="D62" s="3" t="str">
        <f t="shared" si="6"/>
        <v>EE2-50.6ng/L</v>
      </c>
      <c r="E62" s="3" t="str">
        <f t="shared" si="6"/>
        <v>EE2-76ng/L</v>
      </c>
      <c r="F62" s="3" t="str">
        <f t="shared" si="6"/>
        <v>EE2-114ng/L</v>
      </c>
      <c r="G62" s="3" t="str">
        <f t="shared" si="6"/>
        <v>EE2-170.9ng/L</v>
      </c>
      <c r="H62" s="3" t="str">
        <f t="shared" si="6"/>
        <v>EE2-488ng/L</v>
      </c>
      <c r="I62" s="3" t="str">
        <f t="shared" si="6"/>
        <v>BPA-5mg/L</v>
      </c>
      <c r="J62" s="3" t="str">
        <f t="shared" si="6"/>
        <v>BPA-4mg/L</v>
      </c>
      <c r="K62" s="3" t="str">
        <f t="shared" si="6"/>
        <v>BPA-3mg/L</v>
      </c>
      <c r="L62" s="3" t="str">
        <f t="shared" si="6"/>
        <v>BPA-2mg/L</v>
      </c>
      <c r="M62" s="3" t="str">
        <f t="shared" si="6"/>
        <v>BPA-1mg/L</v>
      </c>
      <c r="N62" s="3" t="str">
        <f t="shared" si="6"/>
        <v/>
      </c>
      <c r="O62" s="3"/>
      <c r="P62" s="3" t="str">
        <f t="shared" si="6"/>
        <v>Testo -30µg/L</v>
      </c>
      <c r="Q62" s="3" t="str">
        <f t="shared" si="6"/>
        <v>Testo 30µg/L + EE2 -64ng/L</v>
      </c>
      <c r="R62" s="3" t="str">
        <f t="shared" si="6"/>
        <v>Testo 30µg/L + FAD-10mg/L</v>
      </c>
      <c r="S62" s="3" t="str">
        <f t="shared" si="6"/>
        <v>BPA-5mg/L + Testostérone</v>
      </c>
      <c r="T62" s="3" t="str">
        <f t="shared" si="6"/>
        <v>BPA-4mg/L + Testostérone</v>
      </c>
      <c r="U62" s="3" t="str">
        <f t="shared" si="6"/>
        <v>BPA-3mg/L + Testostérone</v>
      </c>
      <c r="V62" s="3" t="str">
        <f t="shared" si="6"/>
        <v>BPA-2mg/L + Testostérone</v>
      </c>
      <c r="W62" s="3" t="str">
        <f t="shared" si="6"/>
        <v>BPA-1mg/L + Testostérone</v>
      </c>
    </row>
    <row r="63" spans="1:25" s="1" customFormat="1">
      <c r="A63" s="1" t="s">
        <v>29</v>
      </c>
      <c r="B63" s="3">
        <f>COUNT(B6:B53)</f>
        <v>24</v>
      </c>
      <c r="C63" s="3">
        <f t="shared" ref="C63:W63" si="7">COUNT(C6:C53)</f>
        <v>24</v>
      </c>
      <c r="D63" s="3">
        <f t="shared" si="7"/>
        <v>24</v>
      </c>
      <c r="E63" s="3">
        <f t="shared" si="7"/>
        <v>24</v>
      </c>
      <c r="F63" s="3">
        <f t="shared" si="7"/>
        <v>24</v>
      </c>
      <c r="G63" s="3">
        <f t="shared" si="7"/>
        <v>24</v>
      </c>
      <c r="H63" s="3">
        <f t="shared" si="7"/>
        <v>24</v>
      </c>
      <c r="I63" s="3">
        <f t="shared" si="7"/>
        <v>24</v>
      </c>
      <c r="J63" s="3">
        <f t="shared" si="7"/>
        <v>24</v>
      </c>
      <c r="K63" s="3">
        <f t="shared" si="7"/>
        <v>24</v>
      </c>
      <c r="L63" s="3">
        <f t="shared" si="7"/>
        <v>24</v>
      </c>
      <c r="M63" s="3">
        <f t="shared" si="7"/>
        <v>24</v>
      </c>
      <c r="N63" s="3">
        <f t="shared" si="7"/>
        <v>0</v>
      </c>
      <c r="O63" s="3"/>
      <c r="P63" s="3">
        <f t="shared" si="7"/>
        <v>48</v>
      </c>
      <c r="Q63" s="3">
        <f t="shared" si="7"/>
        <v>24</v>
      </c>
      <c r="R63" s="3">
        <f t="shared" si="7"/>
        <v>24</v>
      </c>
      <c r="S63" s="3">
        <f t="shared" si="7"/>
        <v>24</v>
      </c>
      <c r="T63" s="3">
        <f t="shared" si="7"/>
        <v>24</v>
      </c>
      <c r="U63" s="3">
        <f t="shared" si="7"/>
        <v>24</v>
      </c>
      <c r="V63" s="3">
        <f t="shared" si="7"/>
        <v>24</v>
      </c>
      <c r="W63" s="3">
        <f t="shared" si="7"/>
        <v>24</v>
      </c>
    </row>
    <row r="64" spans="1:25" s="1" customFormat="1" ht="15.75" thickBot="1">
      <c r="B64" s="3" t="str">
        <f>IF(B63&gt;=21,"OK","ATTENTION")</f>
        <v>OK</v>
      </c>
      <c r="C64" s="3" t="str">
        <f t="shared" ref="C64:W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t="str">
        <f t="shared" si="8"/>
        <v>ATTENTION</v>
      </c>
      <c r="O64" s="3"/>
      <c r="P64" s="3" t="str">
        <f>IF(P63&gt;=41,"OK","ATTENTION")</f>
        <v>OK</v>
      </c>
      <c r="Q64" s="3" t="str">
        <f t="shared" si="8"/>
        <v>OK</v>
      </c>
      <c r="R64" s="3" t="str">
        <f t="shared" si="8"/>
        <v>OK</v>
      </c>
      <c r="S64" s="3" t="str">
        <f t="shared" si="8"/>
        <v>OK</v>
      </c>
      <c r="T64" s="3" t="str">
        <f t="shared" si="8"/>
        <v>OK</v>
      </c>
      <c r="U64" s="3" t="str">
        <f t="shared" si="8"/>
        <v>OK</v>
      </c>
      <c r="V64" s="3" t="str">
        <f t="shared" si="8"/>
        <v>OK</v>
      </c>
      <c r="W64" s="3" t="str">
        <f t="shared" si="8"/>
        <v>OK</v>
      </c>
    </row>
    <row r="65" spans="1:23" s="30" customFormat="1" ht="27" thickBot="1">
      <c r="A65" s="153" t="s">
        <v>37</v>
      </c>
      <c r="B65" s="154"/>
      <c r="C65" s="154"/>
      <c r="D65" s="154"/>
      <c r="E65" s="154"/>
      <c r="F65" s="154"/>
      <c r="G65" s="154"/>
      <c r="H65" s="154"/>
      <c r="I65" s="154"/>
      <c r="J65" s="154"/>
      <c r="K65" s="154"/>
      <c r="L65" s="154"/>
      <c r="M65" s="154"/>
      <c r="N65" s="154"/>
      <c r="O65" s="154"/>
      <c r="P65" s="154"/>
      <c r="Q65" s="154"/>
      <c r="R65" s="154"/>
      <c r="S65" s="154"/>
      <c r="T65" s="154"/>
      <c r="U65" s="154"/>
      <c r="V65" s="154"/>
      <c r="W65" s="154"/>
    </row>
    <row r="66" spans="1:23" s="1" customFormat="1">
      <c r="B66" s="1" t="s">
        <v>39</v>
      </c>
      <c r="C66" s="3"/>
      <c r="D66" s="3"/>
      <c r="E66" s="3"/>
      <c r="F66" s="3"/>
      <c r="G66" s="3"/>
      <c r="H66" s="3"/>
      <c r="I66" s="3"/>
      <c r="J66" s="3"/>
      <c r="K66" s="3"/>
      <c r="L66" s="3"/>
      <c r="M66" s="3"/>
      <c r="N66" s="3"/>
      <c r="O66" s="3"/>
      <c r="P66" s="3"/>
      <c r="Q66" s="3"/>
      <c r="R66" s="3"/>
      <c r="S66" s="3"/>
      <c r="T66" s="3"/>
      <c r="U66" s="3"/>
      <c r="V66" s="3"/>
      <c r="W66" s="3"/>
    </row>
    <row r="67" spans="1:23" s="1" customFormat="1">
      <c r="A67" s="1" t="s">
        <v>38</v>
      </c>
      <c r="B67" s="3">
        <v>3.5</v>
      </c>
      <c r="C67" s="3"/>
      <c r="D67" s="3"/>
      <c r="E67" s="3"/>
      <c r="F67" s="3"/>
      <c r="G67" s="3"/>
      <c r="H67" s="3"/>
      <c r="I67" s="3"/>
      <c r="J67" s="3"/>
      <c r="K67" s="3"/>
      <c r="L67" s="3"/>
      <c r="M67" s="3"/>
      <c r="N67" s="3"/>
      <c r="O67" s="3"/>
      <c r="P67" s="3"/>
      <c r="Q67" s="3"/>
      <c r="R67" s="3"/>
      <c r="S67" s="3"/>
      <c r="T67" s="3"/>
      <c r="U67" s="3"/>
      <c r="V67" s="3"/>
      <c r="W67" s="3"/>
    </row>
    <row r="68" spans="1:23" s="1" customFormat="1">
      <c r="A68" s="1" t="s">
        <v>40</v>
      </c>
      <c r="B68" s="3">
        <v>2</v>
      </c>
      <c r="C68" s="3"/>
      <c r="D68" s="3"/>
      <c r="E68" s="3"/>
      <c r="F68" s="3"/>
      <c r="G68" s="3"/>
      <c r="H68" s="3"/>
      <c r="I68" s="3"/>
      <c r="J68" s="3"/>
      <c r="K68" s="3"/>
      <c r="L68" s="3"/>
      <c r="M68" s="3"/>
      <c r="N68" s="3"/>
      <c r="O68" s="3"/>
      <c r="P68" s="3"/>
      <c r="Q68" s="3"/>
      <c r="R68" s="3"/>
      <c r="S68" s="3"/>
      <c r="T68" s="3"/>
      <c r="U68" s="3"/>
      <c r="V68" s="3"/>
      <c r="W68" s="3"/>
    </row>
    <row r="69" spans="1:23" s="1" customFormat="1" ht="15.75" thickBot="1">
      <c r="A69" s="1" t="s">
        <v>41</v>
      </c>
      <c r="B69" s="3">
        <v>0.5</v>
      </c>
      <c r="C69" s="3"/>
      <c r="D69" s="3"/>
      <c r="E69" s="3"/>
      <c r="F69" s="3"/>
      <c r="G69" s="3"/>
      <c r="H69" s="3"/>
      <c r="I69" s="3"/>
      <c r="J69" s="3"/>
      <c r="K69" s="3"/>
      <c r="L69" s="3"/>
      <c r="M69" s="3"/>
      <c r="N69" s="3"/>
      <c r="O69" s="3"/>
      <c r="P69" s="3"/>
      <c r="Q69" s="3"/>
      <c r="R69" s="3"/>
      <c r="S69" s="3"/>
      <c r="T69" s="3"/>
      <c r="U69" s="3"/>
      <c r="V69" s="3"/>
      <c r="W69" s="3"/>
    </row>
    <row r="70" spans="1:23" s="30" customFormat="1" ht="27" thickBot="1">
      <c r="A70" s="153" t="s">
        <v>32</v>
      </c>
      <c r="B70" s="154"/>
      <c r="C70" s="154"/>
      <c r="D70" s="154"/>
      <c r="E70" s="154"/>
      <c r="F70" s="154"/>
      <c r="G70" s="154"/>
      <c r="H70" s="154"/>
      <c r="I70" s="154"/>
      <c r="J70" s="154"/>
      <c r="K70" s="154"/>
      <c r="L70" s="154"/>
      <c r="M70" s="154"/>
      <c r="N70" s="154"/>
      <c r="O70" s="154"/>
      <c r="P70" s="154"/>
      <c r="Q70" s="154"/>
      <c r="R70" s="154"/>
      <c r="S70" s="154"/>
      <c r="T70" s="154"/>
      <c r="U70" s="154"/>
      <c r="V70" s="154"/>
      <c r="W70" s="154"/>
    </row>
    <row r="71" spans="1:23" ht="15.75" thickBot="1"/>
    <row r="72" spans="1:23" s="30" customFormat="1" ht="27" thickBot="1">
      <c r="A72" s="153" t="s">
        <v>33</v>
      </c>
      <c r="B72" s="154"/>
      <c r="C72" s="154"/>
      <c r="D72" s="154"/>
      <c r="E72" s="154"/>
      <c r="F72" s="154"/>
      <c r="G72" s="154"/>
      <c r="H72" s="154"/>
      <c r="I72" s="154"/>
      <c r="J72" s="154"/>
      <c r="K72" s="154"/>
      <c r="L72" s="154"/>
      <c r="M72" s="154"/>
      <c r="N72" s="154"/>
      <c r="O72" s="154"/>
      <c r="P72" s="154"/>
      <c r="Q72" s="154"/>
      <c r="R72" s="154"/>
      <c r="S72" s="154"/>
      <c r="T72" s="154"/>
      <c r="U72" s="154"/>
      <c r="V72" s="154"/>
      <c r="W72" s="154"/>
    </row>
    <row r="73" spans="1:23" ht="15.75" thickBot="1">
      <c r="J73" s="3">
        <v>1</v>
      </c>
      <c r="K73" s="3">
        <v>2</v>
      </c>
      <c r="L73" s="3">
        <v>3</v>
      </c>
      <c r="M73" s="3">
        <v>4</v>
      </c>
      <c r="N73" s="3">
        <v>5</v>
      </c>
      <c r="S73" s="3">
        <v>1</v>
      </c>
      <c r="T73" s="3">
        <v>2</v>
      </c>
      <c r="U73" s="3">
        <v>3</v>
      </c>
      <c r="V73" s="3">
        <v>4</v>
      </c>
      <c r="W73" s="3">
        <v>5</v>
      </c>
    </row>
    <row r="74" spans="1:23" s="1" customFormat="1">
      <c r="A74" s="28" t="s">
        <v>22</v>
      </c>
      <c r="B74" s="29" t="str">
        <f t="shared" ref="B74:N74" si="9">B4</f>
        <v>Solvent control</v>
      </c>
      <c r="C74" s="29" t="str">
        <f t="shared" si="9"/>
        <v>EE2-33.8ng/L</v>
      </c>
      <c r="D74" s="29" t="str">
        <f t="shared" si="9"/>
        <v>EE2-50.6ng/L</v>
      </c>
      <c r="E74" s="29" t="str">
        <f t="shared" si="9"/>
        <v>EE2-76ng/L</v>
      </c>
      <c r="F74" s="29" t="str">
        <f t="shared" si="9"/>
        <v>EE2-114ng/L</v>
      </c>
      <c r="G74" s="29" t="str">
        <f t="shared" si="9"/>
        <v>EE2-170.9ng/L</v>
      </c>
      <c r="H74" s="29" t="str">
        <f t="shared" si="9"/>
        <v>EE2-488ng/L</v>
      </c>
      <c r="I74" s="29" t="str">
        <f t="shared" si="9"/>
        <v>BPA-5mg/L</v>
      </c>
      <c r="J74" s="29" t="str">
        <f t="shared" si="9"/>
        <v>BPA-4mg/L</v>
      </c>
      <c r="K74" s="29" t="str">
        <f t="shared" si="9"/>
        <v>BPA-3mg/L</v>
      </c>
      <c r="L74" s="29" t="str">
        <f t="shared" si="9"/>
        <v>BPA-2mg/L</v>
      </c>
      <c r="M74" s="29" t="str">
        <f t="shared" si="9"/>
        <v>BPA-1mg/L</v>
      </c>
      <c r="N74" s="29" t="str">
        <f t="shared" si="9"/>
        <v/>
      </c>
      <c r="O74" s="29"/>
      <c r="P74" s="29" t="str">
        <f t="shared" ref="P74:W74" si="10">P4</f>
        <v>Testo -30µg/L</v>
      </c>
      <c r="Q74" s="29" t="str">
        <f t="shared" si="10"/>
        <v>Testo 30µg/L + EE2 -64ng/L</v>
      </c>
      <c r="R74" s="29" t="str">
        <f t="shared" si="10"/>
        <v>Testo 30µg/L + FAD-10mg/L</v>
      </c>
      <c r="S74" s="29" t="str">
        <f t="shared" si="10"/>
        <v>BPA-5mg/L + Testostérone</v>
      </c>
      <c r="T74" s="29" t="str">
        <f t="shared" si="10"/>
        <v>BPA-4mg/L + Testostérone</v>
      </c>
      <c r="U74" s="29" t="str">
        <f t="shared" si="10"/>
        <v>BPA-3mg/L + Testostérone</v>
      </c>
      <c r="V74" s="29" t="str">
        <f t="shared" si="10"/>
        <v>BPA-2mg/L + Testostérone</v>
      </c>
      <c r="W74" s="29" t="str">
        <f t="shared" si="10"/>
        <v>BPA-1mg/L + Testostérone</v>
      </c>
    </row>
    <row r="75" spans="1:23" s="3" customFormat="1">
      <c r="A75" s="43" t="s">
        <v>15</v>
      </c>
      <c r="B75" s="75">
        <f>B56</f>
        <v>0.11391426312879976</v>
      </c>
      <c r="C75" s="75">
        <f t="shared" ref="C75:W75" si="11">C56</f>
        <v>0.20064723878094892</v>
      </c>
      <c r="D75" s="75">
        <f t="shared" si="11"/>
        <v>0.68280096594616702</v>
      </c>
      <c r="E75" s="75">
        <f t="shared" si="11"/>
        <v>1.0931490380429909</v>
      </c>
      <c r="F75" s="75">
        <f t="shared" si="11"/>
        <v>1.6596621612839162</v>
      </c>
      <c r="G75" s="75">
        <f t="shared" si="11"/>
        <v>1.7855187523303571</v>
      </c>
      <c r="H75" s="75">
        <f t="shared" si="11"/>
        <v>2.8658822019224566</v>
      </c>
      <c r="I75" s="75">
        <f t="shared" si="11"/>
        <v>1.2615791137337879</v>
      </c>
      <c r="J75" s="75">
        <f t="shared" si="11"/>
        <v>0.86561295691702578</v>
      </c>
      <c r="K75" s="75">
        <f t="shared" si="11"/>
        <v>0.43220916534266446</v>
      </c>
      <c r="L75" s="75">
        <f t="shared" si="11"/>
        <v>0.10592054200317892</v>
      </c>
      <c r="M75" s="75">
        <f t="shared" si="11"/>
        <v>0.12426187369744175</v>
      </c>
      <c r="N75" s="75" t="e">
        <f t="shared" si="11"/>
        <v>#DIV/0!</v>
      </c>
      <c r="O75" s="75"/>
      <c r="P75" s="75">
        <f t="shared" si="11"/>
        <v>0.99999999999999989</v>
      </c>
      <c r="Q75" s="75">
        <f t="shared" si="11"/>
        <v>1.901396175978969</v>
      </c>
      <c r="R75" s="75">
        <f t="shared" si="11"/>
        <v>0.13609055171321366</v>
      </c>
      <c r="S75" s="75">
        <f t="shared" si="11"/>
        <v>1.7036663715591347</v>
      </c>
      <c r="T75" s="75">
        <f t="shared" si="11"/>
        <v>1.8430592780678108</v>
      </c>
      <c r="U75" s="75">
        <f t="shared" si="11"/>
        <v>1.684835065315452</v>
      </c>
      <c r="V75" s="75">
        <f t="shared" si="11"/>
        <v>1.399742799713209</v>
      </c>
      <c r="W75" s="75">
        <f t="shared" si="11"/>
        <v>1.0229366324932918</v>
      </c>
    </row>
    <row r="76" spans="1:23" s="3" customFormat="1">
      <c r="A76" s="43" t="s">
        <v>2</v>
      </c>
      <c r="B76" s="75">
        <f>B58</f>
        <v>2.4281645895923389E-2</v>
      </c>
      <c r="C76" s="75">
        <f t="shared" ref="C76:W76" si="12">C58</f>
        <v>3.5498191618235267E-2</v>
      </c>
      <c r="D76" s="75">
        <f t="shared" si="12"/>
        <v>0.18651387390318716</v>
      </c>
      <c r="E76" s="75">
        <f t="shared" si="12"/>
        <v>0.11373640237784483</v>
      </c>
      <c r="F76" s="75">
        <f t="shared" si="12"/>
        <v>0.1905519865262105</v>
      </c>
      <c r="G76" s="75">
        <f t="shared" si="12"/>
        <v>0.15972164045949586</v>
      </c>
      <c r="H76" s="75">
        <f t="shared" si="12"/>
        <v>0.29804519470969404</v>
      </c>
      <c r="I76" s="75">
        <f t="shared" si="12"/>
        <v>0.15091168005260522</v>
      </c>
      <c r="J76" s="75">
        <f t="shared" si="12"/>
        <v>0.1177012934800697</v>
      </c>
      <c r="K76" s="75">
        <f t="shared" si="12"/>
        <v>0.11028275255295336</v>
      </c>
      <c r="L76" s="75">
        <f t="shared" si="12"/>
        <v>2.3790406005651528E-2</v>
      </c>
      <c r="M76" s="75">
        <f t="shared" si="12"/>
        <v>2.0616188446935635E-2</v>
      </c>
      <c r="N76" s="75" t="e">
        <f t="shared" si="12"/>
        <v>#DIV/0!</v>
      </c>
      <c r="O76" s="75"/>
      <c r="P76" s="75">
        <f t="shared" si="12"/>
        <v>7.0084094806474595E-2</v>
      </c>
      <c r="Q76" s="75">
        <f t="shared" si="12"/>
        <v>0.1311724300922755</v>
      </c>
      <c r="R76" s="75">
        <f t="shared" si="12"/>
        <v>2.5817229952610231E-2</v>
      </c>
      <c r="S76" s="75">
        <f t="shared" si="12"/>
        <v>0.16759211788177786</v>
      </c>
      <c r="T76" s="75">
        <f t="shared" si="12"/>
        <v>0.17053250550836702</v>
      </c>
      <c r="U76" s="75">
        <f t="shared" si="12"/>
        <v>0.11229576889562348</v>
      </c>
      <c r="V76" s="75">
        <f t="shared" si="12"/>
        <v>0.15811547449510924</v>
      </c>
      <c r="W76" s="75">
        <f t="shared" si="12"/>
        <v>0.10435413070360695</v>
      </c>
    </row>
    <row r="77" spans="1:23" s="3" customFormat="1">
      <c r="A77" s="43" t="s">
        <v>42</v>
      </c>
      <c r="B77" s="75">
        <f>(B75*100/$B$75)-100</f>
        <v>0</v>
      </c>
      <c r="C77" s="75">
        <f t="shared" ref="C77:N77" si="13">(C75*100/$B$75)-100</f>
        <v>76.138819907110786</v>
      </c>
      <c r="D77" s="75">
        <f t="shared" si="13"/>
        <v>499.39901044186411</v>
      </c>
      <c r="E77" s="75">
        <f t="shared" si="13"/>
        <v>859.62437715722831</v>
      </c>
      <c r="F77" s="75">
        <f t="shared" si="13"/>
        <v>1356.939733181069</v>
      </c>
      <c r="G77" s="75">
        <f t="shared" si="13"/>
        <v>1467.4233439156951</v>
      </c>
      <c r="H77" s="75">
        <f t="shared" si="13"/>
        <v>2415.8238513838091</v>
      </c>
      <c r="I77" s="75">
        <f t="shared" si="13"/>
        <v>1007.481257467605</v>
      </c>
      <c r="J77" s="75">
        <f t="shared" si="13"/>
        <v>659.88110105079704</v>
      </c>
      <c r="K77" s="75">
        <f t="shared" si="13"/>
        <v>279.41619729741592</v>
      </c>
      <c r="L77" s="75">
        <f t="shared" si="13"/>
        <v>-7.0173136410341783</v>
      </c>
      <c r="M77" s="75">
        <f t="shared" si="13"/>
        <v>9.0836830124970618</v>
      </c>
      <c r="N77" s="75" t="e">
        <f t="shared" si="13"/>
        <v>#DIV/0!</v>
      </c>
      <c r="O77" s="75"/>
      <c r="P77" s="75">
        <f>(P75*100/$P$75)-100</f>
        <v>0</v>
      </c>
      <c r="Q77" s="75">
        <f t="shared" ref="Q77:W77" si="14">(Q75*100/$P$75)-100</f>
        <v>90.139617597896944</v>
      </c>
      <c r="R77" s="75">
        <f t="shared" si="14"/>
        <v>-86.390944828678627</v>
      </c>
      <c r="S77" s="75">
        <f t="shared" si="14"/>
        <v>70.366637155913509</v>
      </c>
      <c r="T77" s="75">
        <f t="shared" si="14"/>
        <v>84.305927806781114</v>
      </c>
      <c r="U77" s="75">
        <f t="shared" si="14"/>
        <v>68.483506531545231</v>
      </c>
      <c r="V77" s="75">
        <f t="shared" si="14"/>
        <v>39.974279971320925</v>
      </c>
      <c r="W77" s="75">
        <f t="shared" si="14"/>
        <v>2.2936632493291995</v>
      </c>
    </row>
    <row r="78" spans="1:23" s="3" customFormat="1">
      <c r="A78" s="43" t="s">
        <v>43</v>
      </c>
      <c r="B78" s="75" t="e">
        <f ca="1">[2]!DPTEST(B6:B53)</f>
        <v>#NAME?</v>
      </c>
      <c r="C78" s="75" t="e">
        <f ca="1">[2]!DPTEST(C6:C53)</f>
        <v>#NAME?</v>
      </c>
      <c r="D78" s="75" t="e">
        <f ca="1">[2]!DPTEST(D6:D53)</f>
        <v>#NAME?</v>
      </c>
      <c r="E78" s="75" t="e">
        <f ca="1">[2]!DPTEST(E6:E53)</f>
        <v>#NAME?</v>
      </c>
      <c r="F78" s="75" t="e">
        <f ca="1">[2]!DPTEST(F6:F53)</f>
        <v>#NAME?</v>
      </c>
      <c r="G78" s="75" t="e">
        <f ca="1">[2]!DPTEST(G6:G53)</f>
        <v>#NAME?</v>
      </c>
      <c r="H78" s="75" t="e">
        <f ca="1">[2]!DPTEST(H6:H53)</f>
        <v>#NAME?</v>
      </c>
      <c r="I78" s="75" t="e">
        <f ca="1">[2]!DPTEST(I6:I53)</f>
        <v>#NAME?</v>
      </c>
      <c r="J78" s="75" t="e">
        <f ca="1">[2]!DPTEST(J6:J53)</f>
        <v>#NAME?</v>
      </c>
      <c r="K78" s="75" t="e">
        <f ca="1">[2]!DPTEST(K6:K53)</f>
        <v>#NAME?</v>
      </c>
      <c r="L78" s="75" t="e">
        <f ca="1">[2]!DPTEST(L6:L53)</f>
        <v>#NAME?</v>
      </c>
      <c r="M78" s="75" t="e">
        <f ca="1">[2]!DPTEST(M6:M53)</f>
        <v>#NAME?</v>
      </c>
      <c r="N78" s="75" t="e">
        <f ca="1">[2]!DPTEST(N6:N53)</f>
        <v>#NAME?</v>
      </c>
      <c r="O78" s="75" t="e">
        <f ca="1">[2]!DPTEST(O6:O53)</f>
        <v>#NAME?</v>
      </c>
      <c r="P78" s="75" t="e">
        <f ca="1">[2]!DPTEST(P6:P53)</f>
        <v>#NAME?</v>
      </c>
      <c r="Q78" s="75" t="e">
        <f ca="1">[2]!DPTEST(Q6:Q53)</f>
        <v>#NAME?</v>
      </c>
      <c r="R78" s="75" t="e">
        <f ca="1">[2]!DPTEST(R6:R53)</f>
        <v>#NAME?</v>
      </c>
      <c r="S78" s="75" t="e">
        <f ca="1">[2]!DPTEST(S6:S53)</f>
        <v>#NAME?</v>
      </c>
      <c r="T78" s="75" t="e">
        <f ca="1">[2]!DPTEST(T6:T53)</f>
        <v>#NAME?</v>
      </c>
      <c r="U78" s="75" t="e">
        <f ca="1">[2]!DPTEST(U6:U53)</f>
        <v>#NAME?</v>
      </c>
      <c r="V78" s="75" t="e">
        <f ca="1">[2]!DPTEST(V6:V53)</f>
        <v>#NAME?</v>
      </c>
      <c r="W78" s="75" t="e">
        <f ca="1">[2]!DPTEST(W6:W53)</f>
        <v>#NAME?</v>
      </c>
    </row>
    <row r="79" spans="1:23" s="3" customFormat="1">
      <c r="A79" s="43" t="s">
        <v>47</v>
      </c>
      <c r="B79" s="75" t="e">
        <f ca="1">IF(B78&gt;0.05,"Oui","Non")</f>
        <v>#NAME?</v>
      </c>
      <c r="C79" s="75" t="e">
        <f t="shared" ref="C79:W79" ca="1" si="15">IF(C78&gt;0.05,"Oui","Non")</f>
        <v>#NAME?</v>
      </c>
      <c r="D79" s="75" t="e">
        <f t="shared" ca="1" si="15"/>
        <v>#NAME?</v>
      </c>
      <c r="E79" s="75" t="e">
        <f t="shared" ca="1" si="15"/>
        <v>#NAME?</v>
      </c>
      <c r="F79" s="75" t="e">
        <f t="shared" ca="1" si="15"/>
        <v>#NAME?</v>
      </c>
      <c r="G79" s="75" t="e">
        <f t="shared" ca="1" si="15"/>
        <v>#NAME?</v>
      </c>
      <c r="H79" s="75" t="e">
        <f t="shared" ca="1" si="15"/>
        <v>#NAME?</v>
      </c>
      <c r="I79" s="75" t="e">
        <f t="shared" ca="1" si="15"/>
        <v>#NAME?</v>
      </c>
      <c r="J79" s="75" t="e">
        <f t="shared" ca="1" si="15"/>
        <v>#NAME?</v>
      </c>
      <c r="K79" s="75" t="e">
        <f t="shared" ca="1" si="15"/>
        <v>#NAME?</v>
      </c>
      <c r="L79" s="75" t="e">
        <f t="shared" ca="1" si="15"/>
        <v>#NAME?</v>
      </c>
      <c r="M79" s="75" t="e">
        <f t="shared" ca="1" si="15"/>
        <v>#NAME?</v>
      </c>
      <c r="N79" s="75" t="e">
        <f t="shared" ca="1" si="15"/>
        <v>#NAME?</v>
      </c>
      <c r="O79" s="75"/>
      <c r="P79" s="75" t="e">
        <f t="shared" ca="1" si="15"/>
        <v>#NAME?</v>
      </c>
      <c r="Q79" s="75" t="e">
        <f t="shared" ca="1" si="15"/>
        <v>#NAME?</v>
      </c>
      <c r="R79" s="75" t="e">
        <f t="shared" ca="1" si="15"/>
        <v>#NAME?</v>
      </c>
      <c r="S79" s="75" t="e">
        <f t="shared" ca="1" si="15"/>
        <v>#NAME?</v>
      </c>
      <c r="T79" s="75" t="e">
        <f t="shared" ca="1" si="15"/>
        <v>#NAME?</v>
      </c>
      <c r="U79" s="75" t="e">
        <f t="shared" ca="1" si="15"/>
        <v>#NAME?</v>
      </c>
      <c r="V79" s="75" t="e">
        <f t="shared" ca="1" si="15"/>
        <v>#NAME?</v>
      </c>
      <c r="W79" s="75" t="e">
        <f t="shared" ca="1" si="15"/>
        <v>#NAME?</v>
      </c>
    </row>
    <row r="80" spans="1:23" s="3" customFormat="1">
      <c r="A80" s="43" t="s">
        <v>49</v>
      </c>
      <c r="B80" s="75" t="str">
        <f ca="1">IF(COUNTIF(B79:I79, "Non")=0, "Oui","Non")</f>
        <v>Oui</v>
      </c>
      <c r="C80" s="75"/>
      <c r="D80" s="75"/>
      <c r="E80" s="75"/>
      <c r="F80" s="75"/>
      <c r="G80" s="75"/>
      <c r="H80" s="75"/>
      <c r="I80" s="75"/>
      <c r="J80" s="75" t="str">
        <f ca="1">IF(COUNTIF(J79:N79, "Non")&gt;0, "Oui","Non")</f>
        <v>Non</v>
      </c>
      <c r="K80" s="75"/>
      <c r="L80" s="75"/>
      <c r="M80" s="75"/>
      <c r="N80" s="75"/>
      <c r="O80" s="75"/>
      <c r="P80" s="75"/>
      <c r="Q80" s="75"/>
      <c r="R80" s="75"/>
      <c r="S80" s="75" t="str">
        <f ca="1">IF(COUNTIF(S79:W79, "Non")&gt;0, "Oui","Non")</f>
        <v>Non</v>
      </c>
      <c r="T80" s="75"/>
      <c r="U80" s="75"/>
      <c r="V80" s="75"/>
      <c r="W80" s="75"/>
    </row>
    <row r="81" spans="1:23" s="3" customFormat="1">
      <c r="A81" s="43" t="s">
        <v>44</v>
      </c>
      <c r="B81" s="75"/>
      <c r="C81" s="75" t="str">
        <f t="shared" ref="C81:M81" ca="1" si="16">IF($B80="Non","Kruskal-Wallis","ANOVA")</f>
        <v>ANOVA</v>
      </c>
      <c r="D81" s="75" t="str">
        <f t="shared" ca="1" si="16"/>
        <v>ANOVA</v>
      </c>
      <c r="E81" s="75" t="str">
        <f t="shared" ca="1" si="16"/>
        <v>ANOVA</v>
      </c>
      <c r="F81" s="75" t="str">
        <f t="shared" ca="1" si="16"/>
        <v>ANOVA</v>
      </c>
      <c r="G81" s="75" t="str">
        <f t="shared" ca="1" si="16"/>
        <v>ANOVA</v>
      </c>
      <c r="H81" s="75" t="str">
        <f t="shared" ca="1" si="16"/>
        <v>ANOVA</v>
      </c>
      <c r="I81" s="75" t="str">
        <f t="shared" ca="1" si="16"/>
        <v>ANOVA</v>
      </c>
      <c r="J81" s="75" t="str">
        <f t="shared" ca="1" si="16"/>
        <v>ANOVA</v>
      </c>
      <c r="K81" s="75" t="str">
        <f t="shared" ca="1" si="16"/>
        <v>ANOVA</v>
      </c>
      <c r="L81" s="75" t="str">
        <f t="shared" ca="1" si="16"/>
        <v>ANOVA</v>
      </c>
      <c r="M81" s="75" t="str">
        <f t="shared" ca="1" si="16"/>
        <v>ANOVA</v>
      </c>
      <c r="N81" s="75" t="e">
        <f t="shared" ref="N81" ca="1" si="17">IF($B79="Non",IF(N79="Non","Mann Withney",IF(N79="Oui","Mann Withney","")),IF($B79="Oui",IF(N79="Oui","T-Test Welch",IF(N79="Non","Mann Withney",""))))</f>
        <v>#NAME?</v>
      </c>
      <c r="O81" s="75"/>
      <c r="P81" s="75" t="e">
        <f ca="1">IF($B79="Non",IF(P79="Non","Mann Withney",IF(P79="Oui","Mann Withney","")),IF($B79="Oui",IF(P79="Oui","T-Test Welch",IF(P79="Non","Mann Withney",""))))</f>
        <v>#NAME?</v>
      </c>
      <c r="Q81" s="75" t="e">
        <f t="shared" ref="Q81:R81" ca="1" si="18">IF($P79="Non",IF(Q79="Non","Mann Withney",IF(Q$79="Oui","Mann Withney","")),IF($P79="Oui",IF(Q79="Oui","T-Test Welch",IF(Q79="Non","Mann Withney",""))))</f>
        <v>#NAME?</v>
      </c>
      <c r="R81" s="75" t="e">
        <f t="shared" ca="1" si="18"/>
        <v>#NAME?</v>
      </c>
      <c r="S81" s="75" t="s">
        <v>76</v>
      </c>
      <c r="T81" s="75" t="s">
        <v>76</v>
      </c>
      <c r="U81" s="75" t="s">
        <v>76</v>
      </c>
      <c r="V81" s="75" t="s">
        <v>76</v>
      </c>
      <c r="W81" s="75" t="s">
        <v>76</v>
      </c>
    </row>
    <row r="82" spans="1:23" s="3" customFormat="1">
      <c r="A82" s="43" t="s">
        <v>45</v>
      </c>
      <c r="B82" s="75"/>
      <c r="C82" s="119">
        <v>0.99990000000000001</v>
      </c>
      <c r="D82" s="119">
        <v>4.0800000000000003E-2</v>
      </c>
      <c r="E82" s="119">
        <v>1E-4</v>
      </c>
      <c r="F82" s="119">
        <v>1E-4</v>
      </c>
      <c r="G82" s="119">
        <v>1E-4</v>
      </c>
      <c r="H82" s="119">
        <v>1E-4</v>
      </c>
      <c r="I82" s="119">
        <v>1E-4</v>
      </c>
      <c r="J82" s="119">
        <v>1E-4</v>
      </c>
      <c r="K82" s="119">
        <v>1.6199999999999999E-2</v>
      </c>
      <c r="L82" s="119">
        <v>0.99990000000000001</v>
      </c>
      <c r="M82" s="119">
        <v>0.99990000000000001</v>
      </c>
      <c r="N82" s="75" t="e">
        <f ca="1">IF(N81="Mann Withney",[1]!MTEST($B6:$B53,N6:N53,2), IF(N81="T-Test Welch",_xlfn.T.TEST($B6:$B53,N6:N53,2,3),""))</f>
        <v>#NAME?</v>
      </c>
      <c r="O82" s="75"/>
      <c r="P82" s="119">
        <v>1E-4</v>
      </c>
      <c r="Q82" s="119">
        <v>1E-4</v>
      </c>
      <c r="R82" s="119">
        <v>1E-4</v>
      </c>
      <c r="S82" s="119">
        <v>2.0000000000000001E-4</v>
      </c>
      <c r="T82" s="119">
        <v>1E-4</v>
      </c>
      <c r="U82" s="119">
        <v>1E-4</v>
      </c>
      <c r="V82" s="119">
        <v>0.15770000000000001</v>
      </c>
      <c r="W82" s="119">
        <v>0.99990000000000001</v>
      </c>
    </row>
    <row r="83" spans="1:23" s="3" customFormat="1" ht="15.75" thickBot="1">
      <c r="A83" s="44" t="s">
        <v>46</v>
      </c>
      <c r="B83" s="76"/>
      <c r="C83" s="76" t="str">
        <f t="shared" ref="C83:P83" si="19">IF(C82&gt;0.05,"NS",IF(C82&gt;0.01,"*",IF(C82&gt;0.001,"**","***")))</f>
        <v>NS</v>
      </c>
      <c r="D83" s="76" t="str">
        <f t="shared" si="19"/>
        <v>*</v>
      </c>
      <c r="E83" s="76" t="str">
        <f t="shared" si="19"/>
        <v>***</v>
      </c>
      <c r="F83" s="76" t="str">
        <f t="shared" si="19"/>
        <v>***</v>
      </c>
      <c r="G83" s="76" t="str">
        <f t="shared" si="19"/>
        <v>***</v>
      </c>
      <c r="H83" s="76" t="str">
        <f t="shared" si="19"/>
        <v>***</v>
      </c>
      <c r="I83" s="76" t="str">
        <f t="shared" si="19"/>
        <v>***</v>
      </c>
      <c r="J83" s="76" t="str">
        <f t="shared" si="19"/>
        <v>***</v>
      </c>
      <c r="K83" s="76" t="str">
        <f t="shared" si="19"/>
        <v>*</v>
      </c>
      <c r="L83" s="76" t="str">
        <f t="shared" si="19"/>
        <v>NS</v>
      </c>
      <c r="M83" s="76" t="str">
        <f t="shared" si="19"/>
        <v>NS</v>
      </c>
      <c r="N83" s="76" t="e">
        <f t="shared" ca="1" si="19"/>
        <v>#NAME?</v>
      </c>
      <c r="O83" s="76"/>
      <c r="P83" s="76" t="str">
        <f t="shared" si="19"/>
        <v>***</v>
      </c>
      <c r="Q83" s="76" t="str">
        <f t="shared" ref="Q83" si="20">IF(Q82&gt;0.05,"NS",IF(Q82&gt;0.01,"*",IF(Q82&gt;0.001,"**","***")))</f>
        <v>***</v>
      </c>
      <c r="R83" s="76" t="str">
        <f t="shared" ref="R83:W83" si="21">IF(R82&gt;0.05,"NS",IF(R82&gt;0.01,"*",IF(R82&gt;0.001,"**","***")))</f>
        <v>***</v>
      </c>
      <c r="S83" s="76" t="str">
        <f t="shared" si="21"/>
        <v>***</v>
      </c>
      <c r="T83" s="76" t="str">
        <f t="shared" si="21"/>
        <v>***</v>
      </c>
      <c r="U83" s="76" t="str">
        <f t="shared" si="21"/>
        <v>***</v>
      </c>
      <c r="V83" s="76" t="str">
        <f t="shared" si="21"/>
        <v>NS</v>
      </c>
      <c r="W83" s="76" t="str">
        <f t="shared" si="21"/>
        <v>NS</v>
      </c>
    </row>
    <row r="84" spans="1:23" s="1" customFormat="1"/>
    <row r="85" spans="1:23" s="1" customFormat="1">
      <c r="A85" s="2" t="s">
        <v>20</v>
      </c>
    </row>
    <row r="86" spans="1:23">
      <c r="A86" s="1" t="s">
        <v>13</v>
      </c>
      <c r="B86" s="1">
        <f>B56+(3*B57)</f>
        <v>0.47078011848854534</v>
      </c>
    </row>
    <row r="87" spans="1:23">
      <c r="A87" s="1" t="s">
        <v>14</v>
      </c>
      <c r="B87" s="1">
        <f>B56+(10*B57)</f>
        <v>1.3034671143279515</v>
      </c>
    </row>
    <row r="88" spans="1:23" ht="15.75" thickBot="1"/>
    <row r="89" spans="1:23" s="30" customFormat="1" ht="27" thickBot="1">
      <c r="A89" s="31" t="s">
        <v>34</v>
      </c>
      <c r="B89" s="32"/>
      <c r="C89" s="32"/>
      <c r="D89" s="32"/>
      <c r="E89" s="32"/>
      <c r="F89" s="32"/>
      <c r="G89" s="32"/>
      <c r="H89" s="32"/>
      <c r="I89" s="32"/>
      <c r="J89" s="32"/>
      <c r="K89" s="32"/>
      <c r="L89" s="32"/>
      <c r="M89" s="32"/>
      <c r="N89" s="32"/>
      <c r="O89" s="32"/>
      <c r="P89" s="32"/>
      <c r="Q89" s="32"/>
      <c r="R89" s="32"/>
      <c r="S89" s="32"/>
      <c r="T89" s="32"/>
      <c r="U89" s="32"/>
      <c r="V89" s="32"/>
      <c r="W89" s="32"/>
    </row>
    <row r="90" spans="1:23" ht="15.75" thickBot="1"/>
    <row r="91" spans="1:23" s="30" customFormat="1" ht="27" thickBot="1">
      <c r="A91" s="31" t="s">
        <v>35</v>
      </c>
      <c r="B91" s="32"/>
      <c r="C91" s="32"/>
      <c r="D91" s="32"/>
      <c r="E91" s="32"/>
      <c r="F91" s="32"/>
      <c r="G91" s="32"/>
      <c r="H91" s="32"/>
      <c r="I91" s="32"/>
      <c r="J91" s="32"/>
      <c r="K91" s="32"/>
      <c r="L91" s="32"/>
      <c r="M91" s="32"/>
      <c r="N91" s="32"/>
      <c r="O91" s="32"/>
      <c r="P91" s="32"/>
      <c r="Q91" s="32"/>
      <c r="R91" s="32"/>
      <c r="S91" s="32"/>
      <c r="T91" s="32"/>
      <c r="U91" s="32"/>
      <c r="V91" s="32"/>
      <c r="W91" s="32"/>
    </row>
    <row r="92" spans="1:23" ht="15.75" thickBot="1"/>
    <row r="93" spans="1:23" s="30" customFormat="1" ht="27" thickBot="1">
      <c r="A93" s="153" t="s">
        <v>36</v>
      </c>
      <c r="B93" s="154"/>
      <c r="C93" s="154"/>
      <c r="D93" s="154"/>
      <c r="E93" s="154"/>
      <c r="F93" s="154"/>
      <c r="G93" s="154"/>
      <c r="H93" s="154"/>
      <c r="I93" s="154"/>
      <c r="J93" s="154"/>
      <c r="K93" s="154"/>
      <c r="L93" s="154"/>
      <c r="M93" s="154"/>
      <c r="N93" s="154"/>
      <c r="O93" s="154"/>
      <c r="P93" s="154"/>
      <c r="Q93" s="154"/>
      <c r="R93" s="154"/>
      <c r="S93" s="154"/>
      <c r="T93" s="154"/>
      <c r="U93" s="154"/>
      <c r="V93" s="154"/>
      <c r="W93" s="154"/>
    </row>
    <row r="94" spans="1:23">
      <c r="B94" s="1">
        <f t="shared" ref="B94:V94" si="22">B75/$B$75</f>
        <v>1</v>
      </c>
      <c r="C94" s="1">
        <f t="shared" si="22"/>
        <v>1.7613881990711078</v>
      </c>
      <c r="D94" s="1">
        <f t="shared" si="22"/>
        <v>5.993990104418641</v>
      </c>
      <c r="E94" s="1">
        <f t="shared" si="22"/>
        <v>9.5962437715722828</v>
      </c>
      <c r="F94" s="1">
        <f t="shared" si="22"/>
        <v>14.56939733181069</v>
      </c>
      <c r="G94" s="1">
        <f t="shared" si="22"/>
        <v>15.674233439156952</v>
      </c>
      <c r="H94" s="1">
        <f>H75/$B$75</f>
        <v>25.158238513838089</v>
      </c>
      <c r="I94" s="1">
        <f t="shared" si="22"/>
        <v>11.07481257467605</v>
      </c>
      <c r="J94" s="1">
        <f t="shared" si="22"/>
        <v>7.59881101050797</v>
      </c>
      <c r="K94" s="1">
        <f t="shared" si="22"/>
        <v>3.7941619729741594</v>
      </c>
      <c r="L94" s="1">
        <f t="shared" si="22"/>
        <v>0.92982686358965816</v>
      </c>
      <c r="M94" s="1">
        <f t="shared" si="22"/>
        <v>1.0908368301249707</v>
      </c>
      <c r="N94" s="1" t="e">
        <f t="shared" si="22"/>
        <v>#DIV/0!</v>
      </c>
      <c r="O94" s="1">
        <f t="shared" si="22"/>
        <v>0</v>
      </c>
      <c r="P94" s="1">
        <f t="shared" si="22"/>
        <v>8.7785319637219352</v>
      </c>
      <c r="Q94" s="1">
        <f t="shared" si="22"/>
        <v>16.691467106530041</v>
      </c>
      <c r="R94" s="1">
        <f t="shared" si="22"/>
        <v>1.1946752581749993</v>
      </c>
      <c r="S94" s="1">
        <f t="shared" si="22"/>
        <v>14.955689698250037</v>
      </c>
      <c r="T94" s="1">
        <f t="shared" si="22"/>
        <v>16.179354783552554</v>
      </c>
      <c r="U94" s="1">
        <f t="shared" si="22"/>
        <v>14.790378474471233</v>
      </c>
      <c r="V94" s="1">
        <f t="shared" si="22"/>
        <v>12.287686908272038</v>
      </c>
    </row>
  </sheetData>
  <mergeCells count="10">
    <mergeCell ref="A7:A21"/>
    <mergeCell ref="A23:A37"/>
    <mergeCell ref="A93:W93"/>
    <mergeCell ref="P3:W3"/>
    <mergeCell ref="B3:N3"/>
    <mergeCell ref="A60:W60"/>
    <mergeCell ref="A72:W72"/>
    <mergeCell ref="A70:W70"/>
    <mergeCell ref="A65:W65"/>
    <mergeCell ref="A39:A53"/>
  </mergeCells>
  <phoneticPr fontId="12"/>
  <pageMargins left="0.7" right="0.7" top="0.75" bottom="0.75" header="0.3" footer="0.3"/>
  <pageSetup paperSize="9" orientation="portrait" r:id="rId1"/>
  <headerFooter>
    <oddHeader>&amp;C&amp;"-,Gras"&amp;14Données poolées normalisées&amp;R&amp;"-,Gras"&amp;14Page : &amp;P/&amp;P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277D7F-5081-4E56-A51F-CC7AA2B28A4C}">
  <ds:schemaRefs>
    <ds:schemaRef ds:uri="http://schemas.microsoft.com/sharepoint/v3/contenttype/forms"/>
  </ds:schemaRefs>
</ds:datastoreItem>
</file>

<file path=customXml/itemProps2.xml><?xml version="1.0" encoding="utf-8"?>
<ds:datastoreItem xmlns:ds="http://schemas.openxmlformats.org/officeDocument/2006/customXml" ds:itemID="{17EA804B-3DF2-4D7F-9B0F-6DD181AD66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2023-04-03T08:24:37Z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2023-04-03T08:24:37Z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3f2ce76b-c3fe-40a2-a5bc-e1b12b6603bb</vt:lpwstr>
  </property>
  <property fmtid="{D5CDD505-2E9C-101B-9397-08002B2CF9AE}" pid="8" name="MSIP_Label_06530cf4-8573-4c29-a912-bbcdac835909_ContentBits">
    <vt:lpwstr>2</vt:lpwstr>
  </property>
</Properties>
</file>