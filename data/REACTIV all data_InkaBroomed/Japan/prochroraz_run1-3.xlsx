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chartsheets/sheet3.xml" ContentType="application/vnd.openxmlformats-officedocument.spreadsheetml.chartsheet+xml"/>
  <Override PartName="/xl/worksheets/sheet5.xml" ContentType="application/vnd.openxmlformats-officedocument.spreadsheetml.worksheet+xml"/>
  <Override PartName="/xl/chartsheets/sheet4.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hidePivotFieldList="1" defaultThemeVersion="124226"/>
  <xr:revisionPtr revIDLastSave="14" documentId="13_ncr:1_{F8D653DE-A376-401B-9AF7-598103FA7840}" xr6:coauthVersionLast="47" xr6:coauthVersionMax="47" xr10:uidLastSave="{8F9DB407-A722-4852-927C-22DA1359F989}"/>
  <bookViews>
    <workbookView xWindow="-120" yWindow="-120" windowWidth="29040" windowHeight="15840" firstSheet="1" activeTab="1" xr2:uid="{00000000-000D-0000-FFFF-FFFF00000000}"/>
  </bookViews>
  <sheets>
    <sheet name="Front page" sheetId="10" r:id="rId1"/>
    <sheet name="R1" sheetId="1" r:id="rId2"/>
    <sheet name="Graph R1" sheetId="8" r:id="rId3"/>
    <sheet name="R2" sheetId="23" r:id="rId4"/>
    <sheet name="Graph R2" sheetId="19" r:id="rId5"/>
    <sheet name="R3" sheetId="33" r:id="rId6"/>
    <sheet name="Graph R3" sheetId="34" r:id="rId7"/>
    <sheet name="pooled normalised values" sheetId="4" r:id="rId8"/>
    <sheet name="pooled normalised graphe" sheetId="5" r:id="rId9"/>
  </sheets>
  <externalReferences>
    <externalReference r:id="rId10"/>
    <externalReference r:id="rId11"/>
  </externalReferences>
  <definedNames>
    <definedName name="_xlnm.Print_Area" localSheetId="0">'Front page'!$A$1:$I$27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23" l="1"/>
  <c r="F6" i="23"/>
  <c r="F7" i="23"/>
  <c r="F8" i="23"/>
  <c r="F9" i="23"/>
  <c r="F10" i="23"/>
  <c r="F11" i="23"/>
  <c r="F12" i="23"/>
  <c r="B24" i="10"/>
  <c r="C24" i="10"/>
  <c r="D24" i="10"/>
  <c r="E24" i="10"/>
  <c r="B25" i="10"/>
  <c r="C25" i="10"/>
  <c r="D25" i="10"/>
  <c r="E25" i="10"/>
  <c r="B26" i="10"/>
  <c r="C26" i="10"/>
  <c r="D26" i="10"/>
  <c r="E26" i="10"/>
  <c r="B27" i="10"/>
  <c r="C27" i="10"/>
  <c r="D27" i="10"/>
  <c r="E27" i="10"/>
  <c r="C23" i="10"/>
  <c r="D23" i="10"/>
  <c r="E23" i="10"/>
  <c r="B23" i="10"/>
  <c r="A7" i="10" l="1"/>
  <c r="A8" i="10"/>
  <c r="A9" i="10"/>
  <c r="A10" i="10"/>
  <c r="A11" i="10"/>
  <c r="A12" i="10"/>
  <c r="A13" i="10"/>
  <c r="A14" i="10"/>
  <c r="A15" i="10"/>
  <c r="A16" i="10"/>
  <c r="A17" i="10"/>
  <c r="A18" i="10"/>
  <c r="A19" i="10"/>
  <c r="A20" i="10"/>
  <c r="A21" i="10"/>
  <c r="A22" i="10"/>
  <c r="A23" i="10"/>
  <c r="A24" i="10"/>
  <c r="A25" i="10"/>
  <c r="A26" i="10"/>
  <c r="A27" i="10"/>
  <c r="B4" i="33" l="1"/>
  <c r="B4" i="23" l="1"/>
  <c r="B4" i="1"/>
  <c r="H4" i="33" l="1"/>
  <c r="H4" i="23"/>
  <c r="H4" i="1"/>
  <c r="G4" i="33"/>
  <c r="G4" i="23"/>
  <c r="G4" i="1"/>
  <c r="C4" i="33"/>
  <c r="C4" i="23"/>
  <c r="C4" i="1"/>
  <c r="D4" i="33"/>
  <c r="D4" i="23"/>
  <c r="D4" i="1"/>
  <c r="F4" i="33" l="1"/>
  <c r="F4" i="23"/>
  <c r="F4" i="1"/>
  <c r="E4" i="33"/>
  <c r="E4" i="23"/>
  <c r="E4" i="1"/>
  <c r="I4" i="33"/>
  <c r="I4" i="23"/>
  <c r="I4" i="1"/>
  <c r="A52" i="33" l="1"/>
  <c r="A45" i="33"/>
  <c r="V43" i="33"/>
  <c r="W53" i="4" s="1"/>
  <c r="U43" i="33"/>
  <c r="V53" i="4" s="1"/>
  <c r="T43" i="33"/>
  <c r="U53" i="4" s="1"/>
  <c r="S43" i="33"/>
  <c r="T53" i="4" s="1"/>
  <c r="R43" i="33"/>
  <c r="S53" i="4" s="1"/>
  <c r="Q43" i="33"/>
  <c r="R53" i="4" s="1"/>
  <c r="P43" i="33"/>
  <c r="Q53" i="4" s="1"/>
  <c r="N43" i="33"/>
  <c r="N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W52" i="4" s="1"/>
  <c r="U42" i="33"/>
  <c r="V52" i="4" s="1"/>
  <c r="T42" i="33"/>
  <c r="U52" i="4" s="1"/>
  <c r="S42" i="33"/>
  <c r="T52" i="4" s="1"/>
  <c r="R42" i="33"/>
  <c r="S52" i="4" s="1"/>
  <c r="Q42" i="33"/>
  <c r="R52" i="4" s="1"/>
  <c r="P42" i="33"/>
  <c r="Q52" i="4" s="1"/>
  <c r="N42" i="33"/>
  <c r="N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W51" i="4" s="1"/>
  <c r="U41" i="33"/>
  <c r="V51" i="4" s="1"/>
  <c r="T41" i="33"/>
  <c r="U51" i="4" s="1"/>
  <c r="S41" i="33"/>
  <c r="T51" i="4" s="1"/>
  <c r="R41" i="33"/>
  <c r="S51" i="4" s="1"/>
  <c r="Q41" i="33"/>
  <c r="R51" i="4" s="1"/>
  <c r="P41" i="33"/>
  <c r="Q51" i="4" s="1"/>
  <c r="N41" i="33"/>
  <c r="N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W50" i="4" s="1"/>
  <c r="U40" i="33"/>
  <c r="V50" i="4" s="1"/>
  <c r="T40" i="33"/>
  <c r="U50" i="4" s="1"/>
  <c r="S40" i="33"/>
  <c r="T50" i="4" s="1"/>
  <c r="R40" i="33"/>
  <c r="S50" i="4" s="1"/>
  <c r="Q40" i="33"/>
  <c r="R50" i="4" s="1"/>
  <c r="P40" i="33"/>
  <c r="Q50" i="4" s="1"/>
  <c r="N40" i="33"/>
  <c r="N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W49" i="4" s="1"/>
  <c r="U39" i="33"/>
  <c r="V49" i="4" s="1"/>
  <c r="T39" i="33"/>
  <c r="U49" i="4" s="1"/>
  <c r="S39" i="33"/>
  <c r="T49" i="4" s="1"/>
  <c r="R39" i="33"/>
  <c r="S49" i="4" s="1"/>
  <c r="Q39" i="33"/>
  <c r="R49" i="4" s="1"/>
  <c r="P39" i="33"/>
  <c r="Q49" i="4" s="1"/>
  <c r="N39" i="33"/>
  <c r="N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W48" i="4" s="1"/>
  <c r="U38" i="33"/>
  <c r="V48" i="4" s="1"/>
  <c r="T38" i="33"/>
  <c r="U48" i="4" s="1"/>
  <c r="S38" i="33"/>
  <c r="T48" i="4" s="1"/>
  <c r="R38" i="33"/>
  <c r="S48" i="4" s="1"/>
  <c r="Q38" i="33"/>
  <c r="R48" i="4" s="1"/>
  <c r="P38" i="33"/>
  <c r="Q48" i="4" s="1"/>
  <c r="N38" i="33"/>
  <c r="N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W47" i="4" s="1"/>
  <c r="U37" i="33"/>
  <c r="V47" i="4" s="1"/>
  <c r="T37" i="33"/>
  <c r="U47" i="4" s="1"/>
  <c r="S37" i="33"/>
  <c r="T47" i="4" s="1"/>
  <c r="R37" i="33"/>
  <c r="S47" i="4" s="1"/>
  <c r="Q37" i="33"/>
  <c r="R47" i="4" s="1"/>
  <c r="P37" i="33"/>
  <c r="Q47" i="4" s="1"/>
  <c r="N37" i="33"/>
  <c r="N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W46" i="4" s="1"/>
  <c r="U36" i="33"/>
  <c r="V46" i="4" s="1"/>
  <c r="T36" i="33"/>
  <c r="U46" i="4" s="1"/>
  <c r="S36" i="33"/>
  <c r="T46" i="4" s="1"/>
  <c r="R36" i="33"/>
  <c r="S46" i="4" s="1"/>
  <c r="Q36" i="33"/>
  <c r="R46" i="4" s="1"/>
  <c r="P36" i="33"/>
  <c r="Q46" i="4" s="1"/>
  <c r="N36" i="33"/>
  <c r="N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N35" i="33"/>
  <c r="N45" i="4" s="1"/>
  <c r="C35" i="33"/>
  <c r="C45" i="4" s="1"/>
  <c r="N34" i="33"/>
  <c r="N44" i="4" s="1"/>
  <c r="N33" i="33"/>
  <c r="N43" i="4" s="1"/>
  <c r="N32" i="33"/>
  <c r="N42" i="4" s="1"/>
  <c r="N31" i="33"/>
  <c r="N41" i="4" s="1"/>
  <c r="N30" i="33"/>
  <c r="N40" i="4" s="1"/>
  <c r="N29" i="33"/>
  <c r="N39" i="4" s="1"/>
  <c r="N28" i="33"/>
  <c r="V24" i="33"/>
  <c r="U24" i="33"/>
  <c r="T24" i="33"/>
  <c r="S24" i="33"/>
  <c r="R24" i="33"/>
  <c r="Q24" i="33"/>
  <c r="P24" i="33"/>
  <c r="O24" i="33"/>
  <c r="N24" i="33"/>
  <c r="L24" i="33"/>
  <c r="J24" i="33"/>
  <c r="I24" i="33"/>
  <c r="H24" i="33"/>
  <c r="G24" i="33"/>
  <c r="F24" i="33"/>
  <c r="E24" i="33"/>
  <c r="D24" i="33"/>
  <c r="C24" i="33"/>
  <c r="B24" i="33"/>
  <c r="V23" i="33"/>
  <c r="U23" i="33"/>
  <c r="T23" i="33"/>
  <c r="S23" i="33"/>
  <c r="R23" i="33"/>
  <c r="Q23" i="33"/>
  <c r="P23" i="33"/>
  <c r="O23" i="33"/>
  <c r="Q35" i="33" s="1"/>
  <c r="R45" i="4" s="1"/>
  <c r="N23" i="33"/>
  <c r="L23" i="33"/>
  <c r="J23" i="33"/>
  <c r="I23" i="33"/>
  <c r="H23" i="33"/>
  <c r="G23" i="33"/>
  <c r="F23" i="33"/>
  <c r="E23" i="33"/>
  <c r="D23" i="33"/>
  <c r="C23" i="33"/>
  <c r="B23" i="33"/>
  <c r="A22" i="33"/>
  <c r="H22" i="33"/>
  <c r="G45" i="33"/>
  <c r="F27" i="33"/>
  <c r="F52" i="33" s="1"/>
  <c r="E45" i="33"/>
  <c r="D22" i="33"/>
  <c r="C45" i="33"/>
  <c r="B45" i="33"/>
  <c r="O56" i="33"/>
  <c r="N56" i="33"/>
  <c r="V56" i="33"/>
  <c r="Q56" i="33"/>
  <c r="K56" i="33"/>
  <c r="J56" i="33"/>
  <c r="M56" i="33"/>
  <c r="L56" i="33"/>
  <c r="T56" i="33"/>
  <c r="C56" i="33"/>
  <c r="F56" i="33"/>
  <c r="R56" i="33"/>
  <c r="E56" i="33"/>
  <c r="G56" i="33"/>
  <c r="H56" i="33"/>
  <c r="S56" i="33"/>
  <c r="B56" i="33"/>
  <c r="I56" i="33"/>
  <c r="P56" i="33"/>
  <c r="U56" i="33"/>
  <c r="D56" i="33"/>
  <c r="J28" i="33" l="1"/>
  <c r="G30" i="33"/>
  <c r="G40" i="4" s="1"/>
  <c r="M32" i="33"/>
  <c r="M42" i="4" s="1"/>
  <c r="P28" i="33"/>
  <c r="P46" i="33" s="1"/>
  <c r="P53" i="33" s="1"/>
  <c r="O30" i="33"/>
  <c r="P40" i="4" s="1"/>
  <c r="R32" i="33"/>
  <c r="S42" i="4" s="1"/>
  <c r="D35" i="33"/>
  <c r="D45" i="4" s="1"/>
  <c r="O38" i="33"/>
  <c r="P48" i="4" s="1"/>
  <c r="V28" i="33"/>
  <c r="W38" i="4" s="1"/>
  <c r="T30" i="33"/>
  <c r="U40" i="4" s="1"/>
  <c r="E33" i="33"/>
  <c r="E43" i="4" s="1"/>
  <c r="J29" i="33"/>
  <c r="J39" i="4" s="1"/>
  <c r="H31" i="33"/>
  <c r="H41" i="4" s="1"/>
  <c r="T35" i="33"/>
  <c r="U45" i="4" s="1"/>
  <c r="R33" i="33"/>
  <c r="S43" i="4" s="1"/>
  <c r="P29" i="33"/>
  <c r="Q39" i="4" s="1"/>
  <c r="P31" i="33"/>
  <c r="Q41" i="4" s="1"/>
  <c r="C34" i="33"/>
  <c r="C44" i="4" s="1"/>
  <c r="V29" i="33"/>
  <c r="W39" i="4" s="1"/>
  <c r="D32" i="33"/>
  <c r="D42" i="4" s="1"/>
  <c r="K34" i="33"/>
  <c r="K44" i="4" s="1"/>
  <c r="K28" i="33"/>
  <c r="B29" i="33"/>
  <c r="B39" i="4" s="1"/>
  <c r="Q29" i="33"/>
  <c r="R39" i="4" s="1"/>
  <c r="J30" i="33"/>
  <c r="J40" i="4" s="1"/>
  <c r="C31" i="33"/>
  <c r="C41" i="4" s="1"/>
  <c r="Q31" i="33"/>
  <c r="R41" i="4" s="1"/>
  <c r="F33" i="33"/>
  <c r="F43" i="4" s="1"/>
  <c r="S33" i="33"/>
  <c r="T43" i="4" s="1"/>
  <c r="G35" i="33"/>
  <c r="G45" i="4" s="1"/>
  <c r="U35" i="33"/>
  <c r="V45" i="4" s="1"/>
  <c r="E29" i="33"/>
  <c r="E39" i="4" s="1"/>
  <c r="R29" i="33"/>
  <c r="S39" i="4" s="1"/>
  <c r="K30" i="33"/>
  <c r="K40" i="4" s="1"/>
  <c r="D31" i="33"/>
  <c r="D41" i="4" s="1"/>
  <c r="T31" i="33"/>
  <c r="U41" i="4" s="1"/>
  <c r="P32" i="33"/>
  <c r="Q42" i="4" s="1"/>
  <c r="J33" i="33"/>
  <c r="J43" i="4" s="1"/>
  <c r="V33" i="33"/>
  <c r="W43" i="4" s="1"/>
  <c r="O34" i="33"/>
  <c r="P44" i="4" s="1"/>
  <c r="H35" i="33"/>
  <c r="H45" i="4" s="1"/>
  <c r="O42" i="33"/>
  <c r="P52" i="4" s="1"/>
  <c r="O28" i="33"/>
  <c r="F29" i="33"/>
  <c r="F39" i="4" s="1"/>
  <c r="S29" i="33"/>
  <c r="T39" i="4" s="1"/>
  <c r="G31" i="33"/>
  <c r="G41" i="4" s="1"/>
  <c r="U31" i="33"/>
  <c r="V41" i="4" s="1"/>
  <c r="Q32" i="33"/>
  <c r="R42" i="4" s="1"/>
  <c r="M33" i="33"/>
  <c r="M43" i="4" s="1"/>
  <c r="B34" i="33"/>
  <c r="B44" i="4" s="1"/>
  <c r="P34" i="33"/>
  <c r="Q44" i="4" s="1"/>
  <c r="K35" i="33"/>
  <c r="K45" i="4" s="1"/>
  <c r="O37" i="33"/>
  <c r="P47" i="4" s="1"/>
  <c r="Q34" i="33"/>
  <c r="R44" i="4" s="1"/>
  <c r="L35" i="33"/>
  <c r="L45" i="4" s="1"/>
  <c r="B28" i="33"/>
  <c r="Q28" i="33"/>
  <c r="Q47" i="33" s="1"/>
  <c r="Q48" i="33" s="1"/>
  <c r="Q54" i="33" s="1"/>
  <c r="M29" i="33"/>
  <c r="M39" i="4" s="1"/>
  <c r="B30" i="33"/>
  <c r="B40" i="4" s="1"/>
  <c r="P30" i="33"/>
  <c r="Q40" i="4" s="1"/>
  <c r="K31" i="33"/>
  <c r="K41" i="4" s="1"/>
  <c r="E32" i="33"/>
  <c r="E42" i="4" s="1"/>
  <c r="U32" i="33"/>
  <c r="V42" i="4" s="1"/>
  <c r="O33" i="33"/>
  <c r="P43" i="4" s="1"/>
  <c r="F34" i="33"/>
  <c r="F44" i="4" s="1"/>
  <c r="S34" i="33"/>
  <c r="T44" i="4" s="1"/>
  <c r="O41" i="33"/>
  <c r="P51" i="4" s="1"/>
  <c r="E28" i="33"/>
  <c r="E38" i="4" s="1"/>
  <c r="R28" i="33"/>
  <c r="C30" i="33"/>
  <c r="C40" i="4" s="1"/>
  <c r="Q30" i="33"/>
  <c r="R40" i="4" s="1"/>
  <c r="L31" i="33"/>
  <c r="L41" i="4" s="1"/>
  <c r="H32" i="33"/>
  <c r="H42" i="4" s="1"/>
  <c r="V32" i="33"/>
  <c r="W42" i="4" s="1"/>
  <c r="P33" i="33"/>
  <c r="Q43" i="4" s="1"/>
  <c r="G34" i="33"/>
  <c r="G44" i="4" s="1"/>
  <c r="T34" i="33"/>
  <c r="U44" i="4" s="1"/>
  <c r="P35" i="33"/>
  <c r="Q45" i="4" s="1"/>
  <c r="F28" i="33"/>
  <c r="S28" i="33"/>
  <c r="O29" i="33"/>
  <c r="P39" i="4" s="1"/>
  <c r="F30" i="33"/>
  <c r="F40" i="4" s="1"/>
  <c r="S30" i="33"/>
  <c r="T40" i="4" s="1"/>
  <c r="L32" i="33"/>
  <c r="L42" i="4" s="1"/>
  <c r="B33" i="33"/>
  <c r="B43" i="4" s="1"/>
  <c r="Q33" i="33"/>
  <c r="R43" i="4" s="1"/>
  <c r="J34" i="33"/>
  <c r="J44" i="4" s="1"/>
  <c r="I28" i="33"/>
  <c r="I32" i="33"/>
  <c r="I42" i="4" s="1"/>
  <c r="I29" i="33"/>
  <c r="I39" i="4" s="1"/>
  <c r="I33" i="33"/>
  <c r="I43" i="4" s="1"/>
  <c r="I35" i="33"/>
  <c r="I45" i="4" s="1"/>
  <c r="I30" i="33"/>
  <c r="I40" i="4" s="1"/>
  <c r="I34" i="33"/>
  <c r="I44" i="4" s="1"/>
  <c r="I31" i="33"/>
  <c r="I41" i="4" s="1"/>
  <c r="C28" i="33"/>
  <c r="G28" i="33"/>
  <c r="G38" i="4" s="1"/>
  <c r="L28" i="33"/>
  <c r="T28" i="33"/>
  <c r="C29" i="33"/>
  <c r="C39" i="4" s="1"/>
  <c r="G29" i="33"/>
  <c r="G39" i="4" s="1"/>
  <c r="K29" i="33"/>
  <c r="K39" i="4" s="1"/>
  <c r="T29" i="33"/>
  <c r="U39" i="4" s="1"/>
  <c r="D30" i="33"/>
  <c r="D40" i="4" s="1"/>
  <c r="H30" i="33"/>
  <c r="H40" i="4" s="1"/>
  <c r="L30" i="33"/>
  <c r="L40" i="4" s="1"/>
  <c r="U30" i="33"/>
  <c r="V40" i="4" s="1"/>
  <c r="E31" i="33"/>
  <c r="E41" i="4" s="1"/>
  <c r="M31" i="33"/>
  <c r="M41" i="4" s="1"/>
  <c r="R31" i="33"/>
  <c r="S41" i="4" s="1"/>
  <c r="V31" i="33"/>
  <c r="W41" i="4" s="1"/>
  <c r="B32" i="33"/>
  <c r="B42" i="4" s="1"/>
  <c r="F32" i="33"/>
  <c r="F42" i="4" s="1"/>
  <c r="J32" i="33"/>
  <c r="J42" i="4" s="1"/>
  <c r="O32" i="33"/>
  <c r="P42" i="4" s="1"/>
  <c r="S32" i="33"/>
  <c r="T42" i="4" s="1"/>
  <c r="C33" i="33"/>
  <c r="C43" i="4" s="1"/>
  <c r="G33" i="33"/>
  <c r="G43" i="4" s="1"/>
  <c r="K33" i="33"/>
  <c r="K43" i="4" s="1"/>
  <c r="T33" i="33"/>
  <c r="U43" i="4" s="1"/>
  <c r="D34" i="33"/>
  <c r="D44" i="4" s="1"/>
  <c r="H34" i="33"/>
  <c r="H44" i="4" s="1"/>
  <c r="L34" i="33"/>
  <c r="L44" i="4" s="1"/>
  <c r="U34" i="33"/>
  <c r="V44" i="4" s="1"/>
  <c r="E35" i="33"/>
  <c r="E45" i="4" s="1"/>
  <c r="M35" i="33"/>
  <c r="M45" i="4" s="1"/>
  <c r="R35" i="33"/>
  <c r="S45" i="4" s="1"/>
  <c r="V35" i="33"/>
  <c r="W45" i="4" s="1"/>
  <c r="O36" i="33"/>
  <c r="P46" i="4" s="1"/>
  <c r="O40" i="33"/>
  <c r="P50" i="4" s="1"/>
  <c r="D28" i="33"/>
  <c r="H28" i="33"/>
  <c r="H38" i="4" s="1"/>
  <c r="M28" i="33"/>
  <c r="M38" i="4" s="1"/>
  <c r="U28" i="33"/>
  <c r="V38" i="4" s="1"/>
  <c r="D29" i="33"/>
  <c r="D39" i="4" s="1"/>
  <c r="H29" i="33"/>
  <c r="H39" i="4" s="1"/>
  <c r="L29" i="33"/>
  <c r="L39" i="4" s="1"/>
  <c r="U29" i="33"/>
  <c r="V39" i="4" s="1"/>
  <c r="E30" i="33"/>
  <c r="E40" i="4" s="1"/>
  <c r="M30" i="33"/>
  <c r="M40" i="4" s="1"/>
  <c r="R30" i="33"/>
  <c r="S40" i="4" s="1"/>
  <c r="V30" i="33"/>
  <c r="W40" i="4" s="1"/>
  <c r="B31" i="33"/>
  <c r="B41" i="4" s="1"/>
  <c r="F31" i="33"/>
  <c r="F41" i="4" s="1"/>
  <c r="J31" i="33"/>
  <c r="J41" i="4" s="1"/>
  <c r="O31" i="33"/>
  <c r="P41" i="4" s="1"/>
  <c r="S31" i="33"/>
  <c r="T41" i="4" s="1"/>
  <c r="C32" i="33"/>
  <c r="C42" i="4" s="1"/>
  <c r="G32" i="33"/>
  <c r="G42" i="4" s="1"/>
  <c r="K32" i="33"/>
  <c r="K42" i="4" s="1"/>
  <c r="T32" i="33"/>
  <c r="U42" i="4" s="1"/>
  <c r="D33" i="33"/>
  <c r="D43" i="4" s="1"/>
  <c r="H33" i="33"/>
  <c r="H43" i="4" s="1"/>
  <c r="L33" i="33"/>
  <c r="L43" i="4" s="1"/>
  <c r="U33" i="33"/>
  <c r="V43" i="4" s="1"/>
  <c r="E34" i="33"/>
  <c r="E44" i="4" s="1"/>
  <c r="M34" i="33"/>
  <c r="M44" i="4" s="1"/>
  <c r="R34" i="33"/>
  <c r="S44" i="4" s="1"/>
  <c r="V34" i="33"/>
  <c r="W44" i="4" s="1"/>
  <c r="B35" i="33"/>
  <c r="B45" i="4" s="1"/>
  <c r="F35" i="33"/>
  <c r="F45" i="4" s="1"/>
  <c r="J35" i="33"/>
  <c r="J45" i="4" s="1"/>
  <c r="O35" i="33"/>
  <c r="P45" i="4" s="1"/>
  <c r="S35" i="33"/>
  <c r="T45" i="4" s="1"/>
  <c r="O39" i="33"/>
  <c r="P49" i="4" s="1"/>
  <c r="O43" i="33"/>
  <c r="P53" i="4" s="1"/>
  <c r="I38" i="4"/>
  <c r="S38" i="4"/>
  <c r="B38" i="4"/>
  <c r="N46" i="33"/>
  <c r="N53" i="33" s="1"/>
  <c r="B22" i="33"/>
  <c r="E22" i="33"/>
  <c r="I45" i="33"/>
  <c r="I52" i="33"/>
  <c r="I27" i="33"/>
  <c r="C38" i="4"/>
  <c r="K38" i="4"/>
  <c r="B27" i="33"/>
  <c r="B52" i="33" s="1"/>
  <c r="L38" i="4"/>
  <c r="R38" i="4"/>
  <c r="D27" i="33"/>
  <c r="D52" i="33" s="1"/>
  <c r="I22" i="33"/>
  <c r="E27" i="33"/>
  <c r="E52" i="33" s="1"/>
  <c r="F38" i="4"/>
  <c r="J38" i="4"/>
  <c r="N38" i="4"/>
  <c r="N47" i="33"/>
  <c r="N48" i="33" s="1"/>
  <c r="N54" i="33" s="1"/>
  <c r="P38" i="4"/>
  <c r="T38" i="4"/>
  <c r="D45" i="33"/>
  <c r="G57" i="33"/>
  <c r="N57" i="33"/>
  <c r="T57" i="33"/>
  <c r="H57" i="33"/>
  <c r="O57" i="33"/>
  <c r="U57" i="33"/>
  <c r="C57" i="33"/>
  <c r="J57" i="33"/>
  <c r="P57" i="33"/>
  <c r="D57" i="33"/>
  <c r="L57" i="33"/>
  <c r="S57" i="33"/>
  <c r="F57" i="33"/>
  <c r="K57" i="33"/>
  <c r="Q57" i="33"/>
  <c r="B57" i="33"/>
  <c r="E57" i="33"/>
  <c r="I57" i="33"/>
  <c r="M57" i="33"/>
  <c r="R57" i="33"/>
  <c r="V57" i="33"/>
  <c r="D46" i="33"/>
  <c r="D53" i="33" s="1"/>
  <c r="F22" i="33"/>
  <c r="F45" i="33"/>
  <c r="G22" i="33"/>
  <c r="G27" i="33"/>
  <c r="G52" i="33" s="1"/>
  <c r="C22" i="33"/>
  <c r="C27" i="33"/>
  <c r="C52" i="33" s="1"/>
  <c r="H27" i="33"/>
  <c r="H52" i="33" s="1"/>
  <c r="H45" i="33"/>
  <c r="Q38" i="4" l="1"/>
  <c r="M46" i="33"/>
  <c r="M53" i="33" s="1"/>
  <c r="Q46" i="33"/>
  <c r="Q53" i="33" s="1"/>
  <c r="D47" i="33"/>
  <c r="D48" i="33" s="1"/>
  <c r="D54" i="33" s="1"/>
  <c r="M47" i="33"/>
  <c r="M48" i="33" s="1"/>
  <c r="M54" i="33" s="1"/>
  <c r="K47" i="33"/>
  <c r="K48" i="33" s="1"/>
  <c r="K54" i="33" s="1"/>
  <c r="T46" i="33"/>
  <c r="T53" i="33" s="1"/>
  <c r="E46" i="33"/>
  <c r="E53" i="33" s="1"/>
  <c r="L46" i="33"/>
  <c r="L53" i="33" s="1"/>
  <c r="F47" i="33"/>
  <c r="F48" i="33" s="1"/>
  <c r="F54" i="33" s="1"/>
  <c r="T47" i="33"/>
  <c r="T48" i="33" s="1"/>
  <c r="T54" i="33" s="1"/>
  <c r="C46" i="33"/>
  <c r="C53" i="33" s="1"/>
  <c r="U46" i="33"/>
  <c r="U53" i="33" s="1"/>
  <c r="S46" i="33"/>
  <c r="S53" i="33" s="1"/>
  <c r="P47" i="33"/>
  <c r="P48" i="33" s="1"/>
  <c r="P54" i="33" s="1"/>
  <c r="C47" i="33"/>
  <c r="C48" i="33" s="1"/>
  <c r="C54" i="33" s="1"/>
  <c r="F46" i="33"/>
  <c r="F53" i="33" s="1"/>
  <c r="D38" i="4"/>
  <c r="G47" i="33"/>
  <c r="G48" i="33" s="1"/>
  <c r="G54" i="33" s="1"/>
  <c r="H47" i="33"/>
  <c r="H48" i="33" s="1"/>
  <c r="H54" i="33" s="1"/>
  <c r="V46" i="33"/>
  <c r="V53" i="33" s="1"/>
  <c r="U47" i="33"/>
  <c r="U48" i="33" s="1"/>
  <c r="U54" i="33" s="1"/>
  <c r="E47" i="33"/>
  <c r="E48" i="33" s="1"/>
  <c r="E54" i="33" s="1"/>
  <c r="L47" i="33"/>
  <c r="L48" i="33" s="1"/>
  <c r="L54" i="33" s="1"/>
  <c r="R46" i="33"/>
  <c r="R53" i="33" s="1"/>
  <c r="I46" i="33"/>
  <c r="I53" i="33" s="1"/>
  <c r="B46" i="33"/>
  <c r="H46" i="33"/>
  <c r="H53" i="33" s="1"/>
  <c r="J47" i="33"/>
  <c r="J48" i="33" s="1"/>
  <c r="J54" i="33" s="1"/>
  <c r="G46" i="33"/>
  <c r="G53" i="33" s="1"/>
  <c r="U38" i="4"/>
  <c r="K46" i="33"/>
  <c r="K53" i="33" s="1"/>
  <c r="V47" i="33"/>
  <c r="V48" i="33" s="1"/>
  <c r="V54" i="33" s="1"/>
  <c r="O46" i="33"/>
  <c r="O53" i="33" s="1"/>
  <c r="O55" i="33" s="1"/>
  <c r="R47" i="33"/>
  <c r="R48" i="33" s="1"/>
  <c r="R54" i="33" s="1"/>
  <c r="I47" i="33"/>
  <c r="I48" i="33" s="1"/>
  <c r="I54" i="33" s="1"/>
  <c r="B47" i="33"/>
  <c r="B48" i="33" s="1"/>
  <c r="B54" i="33" s="1"/>
  <c r="S47" i="33"/>
  <c r="S48" i="33" s="1"/>
  <c r="S54" i="33" s="1"/>
  <c r="O47" i="33"/>
  <c r="O48" i="33" s="1"/>
  <c r="O54" i="33" s="1"/>
  <c r="J46" i="33"/>
  <c r="J53" i="33" s="1"/>
  <c r="O59" i="33"/>
  <c r="O60" i="33" s="1"/>
  <c r="O61" i="33" s="1"/>
  <c r="N59" i="33"/>
  <c r="N60" i="33" s="1"/>
  <c r="N61" i="33" s="1"/>
  <c r="J59" i="33"/>
  <c r="J60" i="33" s="1"/>
  <c r="J61" i="33" s="1"/>
  <c r="F59" i="33"/>
  <c r="F60" i="33" s="1"/>
  <c r="F61" i="33" s="1"/>
  <c r="I59" i="33"/>
  <c r="I60" i="33" s="1"/>
  <c r="I61" i="33" s="1"/>
  <c r="D59" i="33"/>
  <c r="D60" i="33" s="1"/>
  <c r="D61" i="33" s="1"/>
  <c r="H59" i="33"/>
  <c r="H60" i="33" s="1"/>
  <c r="H61" i="33" s="1"/>
  <c r="M59" i="33"/>
  <c r="M60" i="33" s="1"/>
  <c r="M61" i="33" s="1"/>
  <c r="G59" i="33"/>
  <c r="G60" i="33" s="1"/>
  <c r="G61" i="33" s="1"/>
  <c r="L59" i="33"/>
  <c r="L60" i="33" s="1"/>
  <c r="L61" i="33" s="1"/>
  <c r="E59" i="33"/>
  <c r="E60" i="33" s="1"/>
  <c r="E61" i="33" s="1"/>
  <c r="K59" i="33"/>
  <c r="K60" i="33" s="1"/>
  <c r="K61" i="33" s="1"/>
  <c r="C59" i="33"/>
  <c r="C60" i="33" s="1"/>
  <c r="C61" i="33" s="1"/>
  <c r="S59" i="33"/>
  <c r="S60" i="33" s="1"/>
  <c r="S61" i="33" s="1"/>
  <c r="U59" i="33"/>
  <c r="U60" i="33" s="1"/>
  <c r="U61" i="33" s="1"/>
  <c r="P59" i="33"/>
  <c r="P60" i="33" s="1"/>
  <c r="P61" i="33" s="1"/>
  <c r="V59" i="33"/>
  <c r="V60" i="33" s="1"/>
  <c r="V61" i="33" s="1"/>
  <c r="T59" i="33"/>
  <c r="T60" i="33" s="1"/>
  <c r="T61" i="33" s="1"/>
  <c r="R59" i="33"/>
  <c r="R60" i="33" s="1"/>
  <c r="R61" i="33" s="1"/>
  <c r="Q59" i="33"/>
  <c r="Q60" i="33" s="1"/>
  <c r="Q61" i="33" s="1"/>
  <c r="B53" i="33"/>
  <c r="M55" i="33" s="1"/>
  <c r="B65" i="33" l="1"/>
  <c r="T55" i="33"/>
  <c r="B64" i="33"/>
  <c r="Q55" i="33"/>
  <c r="S55" i="33"/>
  <c r="U55" i="33"/>
  <c r="R55" i="33"/>
  <c r="P55" i="33"/>
  <c r="V55" i="33"/>
  <c r="D55" i="33"/>
  <c r="B55" i="33"/>
  <c r="K55" i="33"/>
  <c r="L55" i="33"/>
  <c r="N55" i="33"/>
  <c r="G55" i="33"/>
  <c r="F55" i="33"/>
  <c r="C55" i="33"/>
  <c r="J55" i="33"/>
  <c r="H55" i="33"/>
  <c r="I55" i="33"/>
  <c r="E55" i="33"/>
  <c r="M4" i="33" l="1"/>
  <c r="N4" i="33"/>
  <c r="L4" i="33" l="1"/>
  <c r="L22" i="33" s="1"/>
  <c r="K4" i="33"/>
  <c r="K22" i="33" s="1"/>
  <c r="J4" i="33"/>
  <c r="J52" i="33" s="1"/>
  <c r="M45" i="33"/>
  <c r="M52" i="33"/>
  <c r="M27" i="33"/>
  <c r="M22" i="33"/>
  <c r="N27" i="33"/>
  <c r="N52" i="33"/>
  <c r="N22" i="33"/>
  <c r="N45" i="33"/>
  <c r="K45" i="33" l="1"/>
  <c r="K52" i="33"/>
  <c r="K27" i="33"/>
  <c r="O4" i="33"/>
  <c r="O4" i="23"/>
  <c r="O4" i="1"/>
  <c r="Q4" i="1"/>
  <c r="Q4" i="33"/>
  <c r="Q4" i="23"/>
  <c r="P4" i="33"/>
  <c r="P4" i="23"/>
  <c r="P4" i="1"/>
  <c r="J22" i="33"/>
  <c r="L52" i="33"/>
  <c r="J45" i="33"/>
  <c r="L27" i="33"/>
  <c r="J27" i="33"/>
  <c r="L45" i="33"/>
  <c r="Q22" i="33" l="1"/>
  <c r="Q45" i="33"/>
  <c r="Q27" i="33"/>
  <c r="Q52" i="33" s="1"/>
  <c r="O27" i="33"/>
  <c r="O52" i="33" s="1"/>
  <c r="O22" i="33"/>
  <c r="O45" i="33"/>
  <c r="P22" i="33"/>
  <c r="P45" i="33"/>
  <c r="P27" i="33"/>
  <c r="P52" i="33" s="1"/>
  <c r="N4" i="1" l="1"/>
  <c r="N45" i="1" s="1"/>
  <c r="P22" i="1"/>
  <c r="Q45" i="1"/>
  <c r="T32" i="23"/>
  <c r="U26" i="4" s="1"/>
  <c r="V33" i="23"/>
  <c r="W27" i="4" s="1"/>
  <c r="P36" i="23"/>
  <c r="Q30" i="4" s="1"/>
  <c r="Q36" i="23"/>
  <c r="R30" i="4" s="1"/>
  <c r="R36" i="23"/>
  <c r="S30" i="4" s="1"/>
  <c r="S36" i="23"/>
  <c r="T30" i="4" s="1"/>
  <c r="T36" i="23"/>
  <c r="U30" i="4" s="1"/>
  <c r="U36" i="23"/>
  <c r="V30" i="4" s="1"/>
  <c r="V36" i="23"/>
  <c r="W30" i="4" s="1"/>
  <c r="P37" i="23"/>
  <c r="Q31" i="4" s="1"/>
  <c r="Q37" i="23"/>
  <c r="R31" i="4" s="1"/>
  <c r="R37" i="23"/>
  <c r="S31" i="4" s="1"/>
  <c r="S37" i="23"/>
  <c r="T31" i="4" s="1"/>
  <c r="T37" i="23"/>
  <c r="U31" i="4" s="1"/>
  <c r="U37" i="23"/>
  <c r="V31" i="4" s="1"/>
  <c r="V37" i="23"/>
  <c r="W31" i="4" s="1"/>
  <c r="P38" i="23"/>
  <c r="Q32" i="4" s="1"/>
  <c r="Q38" i="23"/>
  <c r="R32" i="4" s="1"/>
  <c r="R38" i="23"/>
  <c r="S32" i="4" s="1"/>
  <c r="S38" i="23"/>
  <c r="T32" i="4" s="1"/>
  <c r="T38" i="23"/>
  <c r="U32" i="4" s="1"/>
  <c r="U38" i="23"/>
  <c r="V32" i="4" s="1"/>
  <c r="V38" i="23"/>
  <c r="W32" i="4" s="1"/>
  <c r="P39" i="23"/>
  <c r="Q33" i="4" s="1"/>
  <c r="Q39" i="23"/>
  <c r="R33" i="4" s="1"/>
  <c r="R39" i="23"/>
  <c r="S33" i="4" s="1"/>
  <c r="S39" i="23"/>
  <c r="T33" i="4" s="1"/>
  <c r="T39" i="23"/>
  <c r="U33" i="4" s="1"/>
  <c r="U39" i="23"/>
  <c r="V33" i="4" s="1"/>
  <c r="V39" i="23"/>
  <c r="W33" i="4" s="1"/>
  <c r="P40" i="23"/>
  <c r="Q34" i="4" s="1"/>
  <c r="Q40" i="23"/>
  <c r="R34" i="4" s="1"/>
  <c r="R40" i="23"/>
  <c r="S34" i="4" s="1"/>
  <c r="S40" i="23"/>
  <c r="T34" i="4" s="1"/>
  <c r="T40" i="23"/>
  <c r="U34" i="4" s="1"/>
  <c r="U40" i="23"/>
  <c r="V34" i="4" s="1"/>
  <c r="V40" i="23"/>
  <c r="W34" i="4" s="1"/>
  <c r="P41" i="23"/>
  <c r="Q35" i="4" s="1"/>
  <c r="Q41" i="23"/>
  <c r="R35" i="4" s="1"/>
  <c r="R41" i="23"/>
  <c r="S35" i="4" s="1"/>
  <c r="S41" i="23"/>
  <c r="T35" i="4" s="1"/>
  <c r="T41" i="23"/>
  <c r="U35" i="4" s="1"/>
  <c r="U41" i="23"/>
  <c r="V35" i="4" s="1"/>
  <c r="V41" i="23"/>
  <c r="W35" i="4" s="1"/>
  <c r="P42" i="23"/>
  <c r="Q36" i="4" s="1"/>
  <c r="Q42" i="23"/>
  <c r="R36" i="4" s="1"/>
  <c r="R42" i="23"/>
  <c r="S36" i="4" s="1"/>
  <c r="S42" i="23"/>
  <c r="T36" i="4" s="1"/>
  <c r="T42" i="23"/>
  <c r="U36" i="4" s="1"/>
  <c r="U42" i="23"/>
  <c r="V36" i="4" s="1"/>
  <c r="V42" i="23"/>
  <c r="W36" i="4" s="1"/>
  <c r="P43" i="23"/>
  <c r="Q43" i="23"/>
  <c r="R37" i="4" s="1"/>
  <c r="R43" i="23"/>
  <c r="S43" i="23"/>
  <c r="T43" i="23"/>
  <c r="U43" i="23"/>
  <c r="V37" i="4" s="1"/>
  <c r="V43" i="23"/>
  <c r="O43" i="23"/>
  <c r="N28" i="23"/>
  <c r="N29" i="23"/>
  <c r="N23" i="4" s="1"/>
  <c r="N30" i="23"/>
  <c r="N24" i="4" s="1"/>
  <c r="N31" i="23"/>
  <c r="N25" i="4" s="1"/>
  <c r="N32" i="23"/>
  <c r="N26" i="4" s="1"/>
  <c r="N33" i="23"/>
  <c r="N27" i="4" s="1"/>
  <c r="N34" i="23"/>
  <c r="N28" i="4" s="1"/>
  <c r="K35" i="23"/>
  <c r="K29" i="4" s="1"/>
  <c r="N35" i="23"/>
  <c r="N29" i="4" s="1"/>
  <c r="K36" i="23"/>
  <c r="K30" i="4" s="1"/>
  <c r="L36" i="23"/>
  <c r="L30" i="4" s="1"/>
  <c r="M36" i="23"/>
  <c r="M30" i="4" s="1"/>
  <c r="N36" i="23"/>
  <c r="N30" i="4" s="1"/>
  <c r="K37" i="23"/>
  <c r="K31" i="4" s="1"/>
  <c r="L37" i="23"/>
  <c r="L31" i="4" s="1"/>
  <c r="M37" i="23"/>
  <c r="M31" i="4" s="1"/>
  <c r="N37" i="23"/>
  <c r="N31" i="4" s="1"/>
  <c r="K38" i="23"/>
  <c r="K32" i="4" s="1"/>
  <c r="L38" i="23"/>
  <c r="L32" i="4" s="1"/>
  <c r="M38" i="23"/>
  <c r="M32" i="4" s="1"/>
  <c r="N38" i="23"/>
  <c r="N32" i="4" s="1"/>
  <c r="K39" i="23"/>
  <c r="K33" i="4" s="1"/>
  <c r="L39" i="23"/>
  <c r="L33" i="4" s="1"/>
  <c r="M39" i="23"/>
  <c r="M33" i="4" s="1"/>
  <c r="N39" i="23"/>
  <c r="N33" i="4" s="1"/>
  <c r="K40" i="23"/>
  <c r="K34" i="4" s="1"/>
  <c r="L40" i="23"/>
  <c r="L34" i="4" s="1"/>
  <c r="M40" i="23"/>
  <c r="M34" i="4" s="1"/>
  <c r="N40" i="23"/>
  <c r="N34" i="4" s="1"/>
  <c r="K41" i="23"/>
  <c r="K35" i="4" s="1"/>
  <c r="L41" i="23"/>
  <c r="L35" i="4" s="1"/>
  <c r="M41" i="23"/>
  <c r="M35" i="4" s="1"/>
  <c r="N41" i="23"/>
  <c r="N35" i="4" s="1"/>
  <c r="K42" i="23"/>
  <c r="K36" i="4" s="1"/>
  <c r="L42" i="23"/>
  <c r="L36" i="4" s="1"/>
  <c r="M42" i="23"/>
  <c r="M36" i="4" s="1"/>
  <c r="N42" i="23"/>
  <c r="N36" i="4" s="1"/>
  <c r="K43" i="23"/>
  <c r="L43" i="23"/>
  <c r="M43" i="23"/>
  <c r="N43" i="23"/>
  <c r="S36" i="1"/>
  <c r="T14" i="4" s="1"/>
  <c r="T36" i="1"/>
  <c r="U14" i="4" s="1"/>
  <c r="U36" i="1"/>
  <c r="V14" i="4" s="1"/>
  <c r="V36" i="1"/>
  <c r="W14" i="4" s="1"/>
  <c r="S37" i="1"/>
  <c r="T15" i="4" s="1"/>
  <c r="T37" i="1"/>
  <c r="U15" i="4" s="1"/>
  <c r="U37" i="1"/>
  <c r="V15" i="4" s="1"/>
  <c r="V37" i="1"/>
  <c r="W15" i="4" s="1"/>
  <c r="S38" i="1"/>
  <c r="T16" i="4" s="1"/>
  <c r="T38" i="1"/>
  <c r="U16" i="4" s="1"/>
  <c r="U38" i="1"/>
  <c r="V16" i="4" s="1"/>
  <c r="V38" i="1"/>
  <c r="W16" i="4" s="1"/>
  <c r="S39" i="1"/>
  <c r="T17" i="4" s="1"/>
  <c r="T39" i="1"/>
  <c r="U17" i="4" s="1"/>
  <c r="U39" i="1"/>
  <c r="V17" i="4" s="1"/>
  <c r="V39" i="1"/>
  <c r="W17" i="4" s="1"/>
  <c r="S40" i="1"/>
  <c r="T18" i="4" s="1"/>
  <c r="T40" i="1"/>
  <c r="U18" i="4" s="1"/>
  <c r="U40" i="1"/>
  <c r="V18" i="4" s="1"/>
  <c r="V40" i="1"/>
  <c r="W18" i="4" s="1"/>
  <c r="S41" i="1"/>
  <c r="T19" i="4" s="1"/>
  <c r="T41" i="1"/>
  <c r="U19" i="4" s="1"/>
  <c r="U41" i="1"/>
  <c r="V19" i="4" s="1"/>
  <c r="V41" i="1"/>
  <c r="W19" i="4" s="1"/>
  <c r="S42" i="1"/>
  <c r="T20" i="4" s="1"/>
  <c r="T42" i="1"/>
  <c r="U20" i="4" s="1"/>
  <c r="U42" i="1"/>
  <c r="V20" i="4" s="1"/>
  <c r="V42" i="1"/>
  <c r="W20" i="4" s="1"/>
  <c r="S43" i="1"/>
  <c r="T21" i="4" s="1"/>
  <c r="T43" i="1"/>
  <c r="U21" i="4" s="1"/>
  <c r="U43" i="1"/>
  <c r="V21" i="4" s="1"/>
  <c r="V43" i="1"/>
  <c r="W21" i="4" s="1"/>
  <c r="N28" i="1"/>
  <c r="N29" i="1"/>
  <c r="N7" i="4" s="1"/>
  <c r="N30" i="1"/>
  <c r="N8" i="4" s="1"/>
  <c r="N31" i="1"/>
  <c r="N9" i="4" s="1"/>
  <c r="N32" i="1"/>
  <c r="N10" i="4" s="1"/>
  <c r="N33" i="1"/>
  <c r="N11" i="4" s="1"/>
  <c r="N34" i="1"/>
  <c r="N12" i="4" s="1"/>
  <c r="N35" i="1"/>
  <c r="N13" i="4" s="1"/>
  <c r="K36" i="1"/>
  <c r="K14" i="4" s="1"/>
  <c r="L36" i="1"/>
  <c r="L14" i="4" s="1"/>
  <c r="M36" i="1"/>
  <c r="M14" i="4" s="1"/>
  <c r="N36" i="1"/>
  <c r="N14" i="4" s="1"/>
  <c r="K37" i="1"/>
  <c r="K15" i="4" s="1"/>
  <c r="L37" i="1"/>
  <c r="L15" i="4" s="1"/>
  <c r="M37" i="1"/>
  <c r="M15" i="4" s="1"/>
  <c r="N37" i="1"/>
  <c r="N15" i="4" s="1"/>
  <c r="K38" i="1"/>
  <c r="K16" i="4" s="1"/>
  <c r="L38" i="1"/>
  <c r="L16" i="4" s="1"/>
  <c r="M38" i="1"/>
  <c r="M16" i="4" s="1"/>
  <c r="N38" i="1"/>
  <c r="N16" i="4" s="1"/>
  <c r="K39" i="1"/>
  <c r="K17" i="4" s="1"/>
  <c r="L39" i="1"/>
  <c r="L17" i="4" s="1"/>
  <c r="M39" i="1"/>
  <c r="M17" i="4" s="1"/>
  <c r="N39" i="1"/>
  <c r="N17" i="4" s="1"/>
  <c r="K40" i="1"/>
  <c r="K18" i="4" s="1"/>
  <c r="L40" i="1"/>
  <c r="L18" i="4" s="1"/>
  <c r="M40" i="1"/>
  <c r="M18" i="4" s="1"/>
  <c r="N40" i="1"/>
  <c r="N18" i="4" s="1"/>
  <c r="K41" i="1"/>
  <c r="K19" i="4" s="1"/>
  <c r="L41" i="1"/>
  <c r="L19" i="4" s="1"/>
  <c r="M41" i="1"/>
  <c r="M19" i="4" s="1"/>
  <c r="N41" i="1"/>
  <c r="N19" i="4" s="1"/>
  <c r="K42" i="1"/>
  <c r="K20" i="4" s="1"/>
  <c r="L42" i="1"/>
  <c r="L20" i="4" s="1"/>
  <c r="M42" i="1"/>
  <c r="M20" i="4" s="1"/>
  <c r="N42" i="1"/>
  <c r="N20" i="4" s="1"/>
  <c r="K43" i="1"/>
  <c r="K21" i="4" s="1"/>
  <c r="L43" i="1"/>
  <c r="L21" i="4" s="1"/>
  <c r="M43" i="1"/>
  <c r="M21" i="4" s="1"/>
  <c r="N43" i="1"/>
  <c r="N21" i="4" s="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N24" i="23"/>
  <c r="L24" i="23"/>
  <c r="J24" i="23"/>
  <c r="I24" i="23"/>
  <c r="H24" i="23"/>
  <c r="G24" i="23"/>
  <c r="F24" i="23"/>
  <c r="E24" i="23"/>
  <c r="D24" i="23"/>
  <c r="C24" i="23"/>
  <c r="B24" i="23"/>
  <c r="V23" i="23"/>
  <c r="U23" i="23"/>
  <c r="T23" i="23"/>
  <c r="S23" i="23"/>
  <c r="R23" i="23"/>
  <c r="Q23" i="23"/>
  <c r="P23" i="23"/>
  <c r="O23" i="23"/>
  <c r="B32" i="23" s="1"/>
  <c r="B26" i="4" s="1"/>
  <c r="N23" i="23"/>
  <c r="L23" i="23"/>
  <c r="J23" i="23"/>
  <c r="I23" i="23"/>
  <c r="H23" i="23"/>
  <c r="G23" i="23"/>
  <c r="F23" i="23"/>
  <c r="E23" i="23"/>
  <c r="D23" i="23"/>
  <c r="C23" i="23"/>
  <c r="B23" i="23"/>
  <c r="Q45" i="23"/>
  <c r="P45" i="23"/>
  <c r="O45" i="23"/>
  <c r="I22" i="23"/>
  <c r="H27" i="23"/>
  <c r="H52" i="23" s="1"/>
  <c r="G45" i="23"/>
  <c r="F27" i="23"/>
  <c r="F52" i="23" s="1"/>
  <c r="E45" i="23"/>
  <c r="C45" i="23"/>
  <c r="B45" i="23"/>
  <c r="D31" i="23"/>
  <c r="D25" i="4" s="1"/>
  <c r="C28" i="23"/>
  <c r="J40" i="23"/>
  <c r="J34" i="4" s="1"/>
  <c r="J36" i="23"/>
  <c r="J30" i="4" s="1"/>
  <c r="C35" i="23"/>
  <c r="C29" i="4" s="1"/>
  <c r="D34" i="23"/>
  <c r="D28" i="4" s="1"/>
  <c r="I33" i="23"/>
  <c r="I27" i="4" s="1"/>
  <c r="D30" i="23"/>
  <c r="D24" i="4" s="1"/>
  <c r="I29" i="23"/>
  <c r="I23" i="4" s="1"/>
  <c r="J42" i="23"/>
  <c r="J36" i="4" s="1"/>
  <c r="J38" i="23"/>
  <c r="J32" i="4" s="1"/>
  <c r="F34" i="23"/>
  <c r="F28" i="4" s="1"/>
  <c r="C33" i="23"/>
  <c r="C27" i="4" s="1"/>
  <c r="D28" i="23"/>
  <c r="J41" i="23"/>
  <c r="J35" i="4" s="1"/>
  <c r="J37" i="23"/>
  <c r="J31" i="4" s="1"/>
  <c r="J43" i="23"/>
  <c r="J39" i="23"/>
  <c r="J33" i="4" s="1"/>
  <c r="J35" i="23"/>
  <c r="J29" i="4" s="1"/>
  <c r="E32" i="23"/>
  <c r="E26" i="4" s="1"/>
  <c r="J31" i="23"/>
  <c r="J25" i="4" s="1"/>
  <c r="E28" i="23"/>
  <c r="I35" i="23"/>
  <c r="I29" i="4" s="1"/>
  <c r="J33" i="23"/>
  <c r="J27" i="4" s="1"/>
  <c r="F33" i="23"/>
  <c r="F27" i="4" s="1"/>
  <c r="P22" i="23"/>
  <c r="S23" i="1"/>
  <c r="T23" i="1"/>
  <c r="U23" i="1"/>
  <c r="V23" i="1"/>
  <c r="S24" i="1"/>
  <c r="T24" i="1"/>
  <c r="U24" i="1"/>
  <c r="V24" i="1"/>
  <c r="L23" i="1"/>
  <c r="M23" i="1"/>
  <c r="N23" i="1"/>
  <c r="L24" i="1"/>
  <c r="M24" i="1"/>
  <c r="N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D17" i="4" s="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C21" i="4" s="1"/>
  <c r="D43" i="1"/>
  <c r="D21" i="4" s="1"/>
  <c r="E43" i="1"/>
  <c r="E21" i="4" s="1"/>
  <c r="F43" i="1"/>
  <c r="F21" i="4" s="1"/>
  <c r="G43" i="1"/>
  <c r="G21" i="4" s="1"/>
  <c r="H43" i="1"/>
  <c r="H21" i="4" s="1"/>
  <c r="I43" i="1"/>
  <c r="I21" i="4" s="1"/>
  <c r="J43" i="1"/>
  <c r="J21" i="4" s="1"/>
  <c r="I45" i="1"/>
  <c r="Q36" i="1"/>
  <c r="R14" i="4" s="1"/>
  <c r="R36" i="1"/>
  <c r="S14" i="4" s="1"/>
  <c r="Q37" i="1"/>
  <c r="R15" i="4" s="1"/>
  <c r="P38" i="1"/>
  <c r="Q16" i="4" s="1"/>
  <c r="Q38" i="1"/>
  <c r="R16" i="4" s="1"/>
  <c r="P39" i="1"/>
  <c r="Q17" i="4" s="1"/>
  <c r="Q39" i="1"/>
  <c r="R17" i="4" s="1"/>
  <c r="R39" i="1"/>
  <c r="S17" i="4" s="1"/>
  <c r="P40" i="1"/>
  <c r="Q18" i="4" s="1"/>
  <c r="Q40" i="1"/>
  <c r="R18" i="4" s="1"/>
  <c r="R40" i="1"/>
  <c r="S18" i="4" s="1"/>
  <c r="P41" i="1"/>
  <c r="Q19" i="4" s="1"/>
  <c r="Q41" i="1"/>
  <c r="R19" i="4" s="1"/>
  <c r="P42" i="1"/>
  <c r="Q20" i="4" s="1"/>
  <c r="Q42" i="1"/>
  <c r="R20" i="4" s="1"/>
  <c r="P43" i="1"/>
  <c r="Q21" i="4" s="1"/>
  <c r="Q43" i="1"/>
  <c r="R21" i="4" s="1"/>
  <c r="R43" i="1"/>
  <c r="S21" i="4" s="1"/>
  <c r="B36" i="1"/>
  <c r="B14" i="4" s="1"/>
  <c r="B37" i="1"/>
  <c r="B15" i="4" s="1"/>
  <c r="B38" i="1"/>
  <c r="B16" i="4" s="1"/>
  <c r="B39" i="1"/>
  <c r="B17" i="4" s="1"/>
  <c r="B40" i="1"/>
  <c r="B18" i="4" s="1"/>
  <c r="B41" i="1"/>
  <c r="B19" i="4" s="1"/>
  <c r="B42" i="1"/>
  <c r="B20" i="4" s="1"/>
  <c r="B43" i="1"/>
  <c r="B21" i="4" s="1"/>
  <c r="B23" i="1"/>
  <c r="B4" i="4"/>
  <c r="B62" i="4" s="1"/>
  <c r="A52" i="1"/>
  <c r="O22" i="1"/>
  <c r="Q24" i="1"/>
  <c r="P24" i="1"/>
  <c r="O24" i="1"/>
  <c r="Q23" i="1"/>
  <c r="P23" i="1"/>
  <c r="O23" i="1"/>
  <c r="C29" i="1" s="1"/>
  <c r="C7" i="4" s="1"/>
  <c r="H27" i="1"/>
  <c r="H52" i="1" s="1"/>
  <c r="G27" i="1"/>
  <c r="G52" i="1" s="1"/>
  <c r="F27" i="1"/>
  <c r="F52" i="1" s="1"/>
  <c r="E4" i="4"/>
  <c r="D22" i="1"/>
  <c r="C45" i="1"/>
  <c r="P30" i="1"/>
  <c r="Q8" i="4" s="1"/>
  <c r="P33" i="1"/>
  <c r="Q11" i="4" s="1"/>
  <c r="P34" i="1"/>
  <c r="Q12" i="4" s="1"/>
  <c r="O41" i="1"/>
  <c r="P19" i="4" s="1"/>
  <c r="Q33" i="1"/>
  <c r="R11" i="4" s="1"/>
  <c r="O38" i="1"/>
  <c r="P16"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P56" i="23"/>
  <c r="G56" i="23"/>
  <c r="V56" i="1"/>
  <c r="T56" i="23"/>
  <c r="S56" i="23"/>
  <c r="N56" i="23"/>
  <c r="J56" i="23"/>
  <c r="Q56" i="23"/>
  <c r="C56" i="23"/>
  <c r="R56" i="23"/>
  <c r="M56" i="1"/>
  <c r="S56" i="1"/>
  <c r="J56" i="1"/>
  <c r="F56" i="23"/>
  <c r="E56" i="23"/>
  <c r="L56" i="1"/>
  <c r="U56" i="23"/>
  <c r="I56" i="23"/>
  <c r="M56" i="23"/>
  <c r="V56" i="23"/>
  <c r="L56" i="23"/>
  <c r="K56" i="1"/>
  <c r="K56" i="23"/>
  <c r="H56" i="23"/>
  <c r="D56" i="23"/>
  <c r="U56" i="1"/>
  <c r="N56" i="1"/>
  <c r="T56" i="1"/>
  <c r="Q31" i="1" l="1"/>
  <c r="R9" i="4" s="1"/>
  <c r="S31" i="23"/>
  <c r="T25" i="4" s="1"/>
  <c r="P30" i="23"/>
  <c r="Q24" i="4" s="1"/>
  <c r="U28" i="23"/>
  <c r="V22" i="4" s="1"/>
  <c r="O36" i="23"/>
  <c r="P30" i="4" s="1"/>
  <c r="Q35" i="23"/>
  <c r="R29" i="4" s="1"/>
  <c r="M34" i="23"/>
  <c r="M28" i="4" s="1"/>
  <c r="M32" i="23"/>
  <c r="M26" i="4" s="1"/>
  <c r="M30" i="23"/>
  <c r="M24" i="4" s="1"/>
  <c r="M28" i="23"/>
  <c r="O35" i="23"/>
  <c r="P29" i="4" s="1"/>
  <c r="V34" i="23"/>
  <c r="W28" i="4" s="1"/>
  <c r="U33" i="23"/>
  <c r="V27" i="4" s="1"/>
  <c r="S32" i="23"/>
  <c r="T26" i="4" s="1"/>
  <c r="R31" i="23"/>
  <c r="S25" i="4" s="1"/>
  <c r="V29" i="23"/>
  <c r="W23" i="4" s="1"/>
  <c r="T28" i="23"/>
  <c r="U22" i="4" s="1"/>
  <c r="H34" i="23"/>
  <c r="H28" i="4" s="1"/>
  <c r="L34" i="23"/>
  <c r="L28" i="4" s="1"/>
  <c r="L32" i="23"/>
  <c r="L26" i="4" s="1"/>
  <c r="L30" i="23"/>
  <c r="L24" i="4" s="1"/>
  <c r="L28" i="23"/>
  <c r="L22" i="4" s="1"/>
  <c r="O33" i="23"/>
  <c r="P27" i="4" s="1"/>
  <c r="U34" i="23"/>
  <c r="V28" i="4" s="1"/>
  <c r="T33" i="23"/>
  <c r="U27" i="4" s="1"/>
  <c r="R32" i="23"/>
  <c r="S26" i="4" s="1"/>
  <c r="Q31" i="23"/>
  <c r="R25" i="4" s="1"/>
  <c r="U29" i="23"/>
  <c r="V23" i="4" s="1"/>
  <c r="S28" i="23"/>
  <c r="T22" i="4" s="1"/>
  <c r="I32" i="23"/>
  <c r="I26" i="4" s="1"/>
  <c r="D29" i="23"/>
  <c r="D23" i="4" s="1"/>
  <c r="C32" i="23"/>
  <c r="C26" i="4" s="1"/>
  <c r="C31" i="23"/>
  <c r="C25" i="4" s="1"/>
  <c r="E30" i="23"/>
  <c r="E24" i="4" s="1"/>
  <c r="K34" i="23"/>
  <c r="K28" i="4" s="1"/>
  <c r="K32" i="23"/>
  <c r="K26" i="4" s="1"/>
  <c r="K30" i="23"/>
  <c r="K24" i="4" s="1"/>
  <c r="K28" i="23"/>
  <c r="K22" i="4" s="1"/>
  <c r="V35" i="23"/>
  <c r="W29" i="4" s="1"/>
  <c r="T34" i="23"/>
  <c r="U28" i="4" s="1"/>
  <c r="S33" i="23"/>
  <c r="T27" i="4" s="1"/>
  <c r="Q32" i="23"/>
  <c r="R26" i="4" s="1"/>
  <c r="V30" i="23"/>
  <c r="W24" i="4" s="1"/>
  <c r="T29" i="23"/>
  <c r="U23" i="4" s="1"/>
  <c r="R28" i="23"/>
  <c r="I28" i="23"/>
  <c r="H30" i="23"/>
  <c r="H24" i="4" s="1"/>
  <c r="H28" i="23"/>
  <c r="D33" i="23"/>
  <c r="D27" i="4" s="1"/>
  <c r="F30" i="23"/>
  <c r="F24" i="4" s="1"/>
  <c r="Q35" i="1"/>
  <c r="R13" i="4" s="1"/>
  <c r="P28" i="1"/>
  <c r="I30" i="23"/>
  <c r="I24" i="4" s="1"/>
  <c r="G29" i="23"/>
  <c r="G23" i="4" s="1"/>
  <c r="H29" i="23"/>
  <c r="H23" i="4" s="1"/>
  <c r="H33" i="23"/>
  <c r="H27" i="4" s="1"/>
  <c r="E34" i="23"/>
  <c r="E28" i="4" s="1"/>
  <c r="J30" i="23"/>
  <c r="J24" i="4" s="1"/>
  <c r="G31" i="23"/>
  <c r="G25" i="4" s="1"/>
  <c r="G35" i="23"/>
  <c r="G29" i="4" s="1"/>
  <c r="U35" i="23"/>
  <c r="S34" i="23"/>
  <c r="T28" i="4" s="1"/>
  <c r="R33" i="23"/>
  <c r="S27" i="4" s="1"/>
  <c r="P32" i="23"/>
  <c r="Q26" i="4" s="1"/>
  <c r="U30" i="23"/>
  <c r="V24" i="4" s="1"/>
  <c r="S29" i="23"/>
  <c r="T23" i="4" s="1"/>
  <c r="P28" i="23"/>
  <c r="G28" i="23"/>
  <c r="D32" i="23"/>
  <c r="D26" i="4" s="1"/>
  <c r="C30" i="23"/>
  <c r="C24" i="4" s="1"/>
  <c r="C34" i="23"/>
  <c r="C28" i="4" s="1"/>
  <c r="I34" i="23"/>
  <c r="I28" i="4" s="1"/>
  <c r="E31" i="23"/>
  <c r="E25" i="4" s="1"/>
  <c r="F28" i="23"/>
  <c r="F32" i="23"/>
  <c r="F26" i="4" s="1"/>
  <c r="M35" i="23"/>
  <c r="M29" i="4" s="1"/>
  <c r="M33" i="23"/>
  <c r="M27" i="4" s="1"/>
  <c r="M31" i="23"/>
  <c r="M25" i="4" s="1"/>
  <c r="M29" i="23"/>
  <c r="M23" i="4" s="1"/>
  <c r="O42" i="23"/>
  <c r="P36" i="4" s="1"/>
  <c r="T35" i="23"/>
  <c r="U29" i="4" s="1"/>
  <c r="R34" i="23"/>
  <c r="S28" i="4" s="1"/>
  <c r="P33" i="23"/>
  <c r="Q27" i="4" s="1"/>
  <c r="V31" i="23"/>
  <c r="W25" i="4" s="1"/>
  <c r="T30" i="23"/>
  <c r="U24" i="4" s="1"/>
  <c r="R29" i="23"/>
  <c r="S23" i="4" s="1"/>
  <c r="C29" i="23"/>
  <c r="C23" i="4" s="1"/>
  <c r="F29" i="23"/>
  <c r="F23" i="4" s="1"/>
  <c r="Q28" i="1"/>
  <c r="R6" i="4" s="1"/>
  <c r="I29" i="1"/>
  <c r="H31" i="23"/>
  <c r="H25" i="4" s="1"/>
  <c r="G33" i="23"/>
  <c r="G27" i="4" s="1"/>
  <c r="G30" i="23"/>
  <c r="G24" i="4" s="1"/>
  <c r="G34" i="23"/>
  <c r="G28" i="4" s="1"/>
  <c r="H35" i="23"/>
  <c r="H29" i="4" s="1"/>
  <c r="I31" i="23"/>
  <c r="I25" i="4" s="1"/>
  <c r="J28" i="23"/>
  <c r="J46" i="23" s="1"/>
  <c r="J53" i="23" s="1"/>
  <c r="J32" i="23"/>
  <c r="J26" i="4" s="1"/>
  <c r="L35" i="23"/>
  <c r="L29" i="4" s="1"/>
  <c r="L33" i="23"/>
  <c r="L27" i="4" s="1"/>
  <c r="L31" i="23"/>
  <c r="L25" i="4" s="1"/>
  <c r="L29" i="23"/>
  <c r="L23" i="4" s="1"/>
  <c r="O41" i="23"/>
  <c r="P35" i="4" s="1"/>
  <c r="S35" i="23"/>
  <c r="T29" i="4" s="1"/>
  <c r="Q34" i="23"/>
  <c r="R28" i="4" s="1"/>
  <c r="V32" i="23"/>
  <c r="W26" i="4" s="1"/>
  <c r="U31" i="23"/>
  <c r="V25" i="4" s="1"/>
  <c r="S30" i="23"/>
  <c r="T24" i="4" s="1"/>
  <c r="P29" i="23"/>
  <c r="D35" i="23"/>
  <c r="D29" i="4" s="1"/>
  <c r="J34" i="23"/>
  <c r="J28" i="4" s="1"/>
  <c r="B33" i="1"/>
  <c r="B11" i="4" s="1"/>
  <c r="G32" i="23"/>
  <c r="G26" i="4" s="1"/>
  <c r="E35" i="23"/>
  <c r="E29" i="4" s="1"/>
  <c r="F31" i="23"/>
  <c r="F25" i="4" s="1"/>
  <c r="F35" i="23"/>
  <c r="F29" i="4" s="1"/>
  <c r="H32" i="23"/>
  <c r="H26" i="4" s="1"/>
  <c r="E29" i="23"/>
  <c r="E23" i="4" s="1"/>
  <c r="E33" i="23"/>
  <c r="E27" i="4" s="1"/>
  <c r="J29" i="23"/>
  <c r="J23" i="4" s="1"/>
  <c r="K33" i="23"/>
  <c r="K27" i="4" s="1"/>
  <c r="K31" i="23"/>
  <c r="K25" i="4" s="1"/>
  <c r="K29" i="23"/>
  <c r="K23" i="4" s="1"/>
  <c r="O40" i="23"/>
  <c r="P34" i="4" s="1"/>
  <c r="R35" i="23"/>
  <c r="S29" i="4" s="1"/>
  <c r="P34" i="23"/>
  <c r="Q28" i="4" s="1"/>
  <c r="U32" i="23"/>
  <c r="V26" i="4" s="1"/>
  <c r="T31" i="23"/>
  <c r="U25" i="4" s="1"/>
  <c r="R30" i="23"/>
  <c r="S24" i="4" s="1"/>
  <c r="V28" i="23"/>
  <c r="O39" i="23"/>
  <c r="P33" i="4" s="1"/>
  <c r="O29" i="23"/>
  <c r="P23" i="4" s="1"/>
  <c r="P35" i="23"/>
  <c r="Q29" i="4" s="1"/>
  <c r="Q33" i="23"/>
  <c r="R27" i="4" s="1"/>
  <c r="P31" i="23"/>
  <c r="Q25" i="4" s="1"/>
  <c r="Q30" i="23"/>
  <c r="R24" i="4" s="1"/>
  <c r="Q29" i="23"/>
  <c r="R23" i="4" s="1"/>
  <c r="Q28" i="23"/>
  <c r="Q34" i="1"/>
  <c r="R12" i="4" s="1"/>
  <c r="I33" i="1"/>
  <c r="I11" i="4" s="1"/>
  <c r="F33" i="1"/>
  <c r="F11" i="4" s="1"/>
  <c r="H35" i="1"/>
  <c r="H13" i="4" s="1"/>
  <c r="F29" i="1"/>
  <c r="F7" i="4" s="1"/>
  <c r="H34" i="1"/>
  <c r="H12" i="4" s="1"/>
  <c r="O40" i="1"/>
  <c r="P18" i="4" s="1"/>
  <c r="O39" i="1"/>
  <c r="P17" i="4" s="1"/>
  <c r="G35" i="1"/>
  <c r="G13" i="4" s="1"/>
  <c r="E29" i="1"/>
  <c r="H30" i="1"/>
  <c r="H8" i="4" s="1"/>
  <c r="O42" i="1"/>
  <c r="P20" i="4" s="1"/>
  <c r="G34" i="1"/>
  <c r="G12" i="4" s="1"/>
  <c r="C35" i="1"/>
  <c r="C13" i="4" s="1"/>
  <c r="I30" i="1"/>
  <c r="I8" i="4" s="1"/>
  <c r="F35" i="1"/>
  <c r="F13" i="4" s="1"/>
  <c r="E32" i="1"/>
  <c r="E10" i="4" s="1"/>
  <c r="G29" i="1"/>
  <c r="J35" i="1"/>
  <c r="J13" i="4" s="1"/>
  <c r="J28" i="1"/>
  <c r="J6" i="4" s="1"/>
  <c r="U29" i="1"/>
  <c r="V7" i="4" s="1"/>
  <c r="E33" i="1"/>
  <c r="E11" i="4" s="1"/>
  <c r="D33" i="1"/>
  <c r="D11" i="4" s="1"/>
  <c r="E35" i="1"/>
  <c r="E13" i="4" s="1"/>
  <c r="J32" i="1"/>
  <c r="J10" i="4" s="1"/>
  <c r="L33" i="1"/>
  <c r="L11" i="4" s="1"/>
  <c r="M30" i="1"/>
  <c r="M8" i="4" s="1"/>
  <c r="K28" i="1"/>
  <c r="K6" i="4" s="1"/>
  <c r="H32" i="1"/>
  <c r="H10" i="4" s="1"/>
  <c r="H33" i="1"/>
  <c r="H11" i="4" s="1"/>
  <c r="D35" i="1"/>
  <c r="D13" i="4" s="1"/>
  <c r="C33" i="1"/>
  <c r="C11" i="4" s="1"/>
  <c r="J31" i="1"/>
  <c r="J9" i="4" s="1"/>
  <c r="K35" i="1"/>
  <c r="K13" i="4" s="1"/>
  <c r="L32" i="1"/>
  <c r="L10" i="4" s="1"/>
  <c r="M29" i="1"/>
  <c r="M7" i="4" s="1"/>
  <c r="U33" i="1"/>
  <c r="V11" i="4" s="1"/>
  <c r="T32" i="1"/>
  <c r="U10" i="4" s="1"/>
  <c r="S31" i="1"/>
  <c r="T9" i="4" s="1"/>
  <c r="V30" i="1"/>
  <c r="W8" i="4" s="1"/>
  <c r="T28" i="1"/>
  <c r="M34" i="1"/>
  <c r="M12" i="4" s="1"/>
  <c r="K32" i="1"/>
  <c r="K10" i="4" s="1"/>
  <c r="L29" i="1"/>
  <c r="L7" i="4" s="1"/>
  <c r="V34" i="1"/>
  <c r="W12" i="4" s="1"/>
  <c r="M33" i="1"/>
  <c r="M11" i="4" s="1"/>
  <c r="K31" i="1"/>
  <c r="K9" i="4" s="1"/>
  <c r="L28" i="1"/>
  <c r="S35" i="1"/>
  <c r="T13" i="4" s="1"/>
  <c r="V35" i="1"/>
  <c r="W13" i="4" s="1"/>
  <c r="U34" i="1"/>
  <c r="V12" i="4" s="1"/>
  <c r="T33" i="1"/>
  <c r="U11" i="4" s="1"/>
  <c r="S32" i="1"/>
  <c r="T10" i="4" s="1"/>
  <c r="V31" i="1"/>
  <c r="W9" i="4" s="1"/>
  <c r="U30" i="1"/>
  <c r="V8" i="4" s="1"/>
  <c r="T29" i="1"/>
  <c r="U7" i="4" s="1"/>
  <c r="S28" i="1"/>
  <c r="T6" i="4" s="1"/>
  <c r="O32" i="1"/>
  <c r="P10" i="4" s="1"/>
  <c r="O43" i="1"/>
  <c r="P21" i="4" s="1"/>
  <c r="G30" i="1"/>
  <c r="G8" i="4" s="1"/>
  <c r="F34" i="1"/>
  <c r="F12" i="4" s="1"/>
  <c r="F30" i="1"/>
  <c r="I34" i="1"/>
  <c r="I12" i="4" s="1"/>
  <c r="E30" i="1"/>
  <c r="E8" i="4" s="1"/>
  <c r="H31" i="1"/>
  <c r="F32" i="1"/>
  <c r="F10" i="4" s="1"/>
  <c r="J34" i="1"/>
  <c r="J12" i="4" s="1"/>
  <c r="J30" i="1"/>
  <c r="J8" i="4" s="1"/>
  <c r="M35" i="1"/>
  <c r="M13" i="4" s="1"/>
  <c r="L34" i="1"/>
  <c r="L12" i="4" s="1"/>
  <c r="K33" i="1"/>
  <c r="K11" i="4" s="1"/>
  <c r="M31" i="1"/>
  <c r="M9" i="4" s="1"/>
  <c r="L30" i="1"/>
  <c r="L8" i="4" s="1"/>
  <c r="K29" i="1"/>
  <c r="K7" i="4" s="1"/>
  <c r="U35" i="1"/>
  <c r="V13" i="4" s="1"/>
  <c r="T34" i="1"/>
  <c r="U12" i="4" s="1"/>
  <c r="S33" i="1"/>
  <c r="T11" i="4" s="1"/>
  <c r="V32" i="1"/>
  <c r="W10" i="4" s="1"/>
  <c r="U31" i="1"/>
  <c r="V9" i="4" s="1"/>
  <c r="T30" i="1"/>
  <c r="U8" i="4" s="1"/>
  <c r="S29" i="1"/>
  <c r="T7" i="4" s="1"/>
  <c r="V28" i="1"/>
  <c r="R33" i="1"/>
  <c r="S11" i="4" s="1"/>
  <c r="J33" i="1"/>
  <c r="J11" i="4" s="1"/>
  <c r="J29" i="1"/>
  <c r="J7" i="4" s="1"/>
  <c r="L35" i="1"/>
  <c r="L13" i="4" s="1"/>
  <c r="K34" i="1"/>
  <c r="K12" i="4" s="1"/>
  <c r="M32" i="1"/>
  <c r="M10" i="4" s="1"/>
  <c r="L31" i="1"/>
  <c r="L9" i="4" s="1"/>
  <c r="K30" i="1"/>
  <c r="K8" i="4" s="1"/>
  <c r="M28" i="1"/>
  <c r="M6" i="4" s="1"/>
  <c r="T35" i="1"/>
  <c r="U13" i="4" s="1"/>
  <c r="S34" i="1"/>
  <c r="T12" i="4" s="1"/>
  <c r="V33" i="1"/>
  <c r="W11" i="4" s="1"/>
  <c r="U32" i="1"/>
  <c r="V10" i="4" s="1"/>
  <c r="T31" i="1"/>
  <c r="U9" i="4" s="1"/>
  <c r="S30" i="1"/>
  <c r="T8" i="4" s="1"/>
  <c r="V29" i="1"/>
  <c r="W7" i="4" s="1"/>
  <c r="U28" i="1"/>
  <c r="V6" i="4" s="1"/>
  <c r="D22" i="4"/>
  <c r="E22" i="4"/>
  <c r="M22" i="4"/>
  <c r="H22" i="4"/>
  <c r="C22" i="4"/>
  <c r="G22" i="4"/>
  <c r="F22" i="4"/>
  <c r="N22" i="4"/>
  <c r="Q22" i="4"/>
  <c r="U6" i="4"/>
  <c r="N6" i="4"/>
  <c r="Q6" i="4"/>
  <c r="T4" i="33"/>
  <c r="T22" i="33" s="1"/>
  <c r="Q22" i="1"/>
  <c r="R35" i="1"/>
  <c r="S13" i="4" s="1"/>
  <c r="G32" i="1"/>
  <c r="G10" i="4" s="1"/>
  <c r="H29" i="1"/>
  <c r="E28" i="1"/>
  <c r="D34" i="1"/>
  <c r="D12" i="4" s="1"/>
  <c r="I31" i="1"/>
  <c r="I9" i="4" s="1"/>
  <c r="F28" i="1"/>
  <c r="R41" i="1"/>
  <c r="S19" i="4" s="1"/>
  <c r="R37" i="1"/>
  <c r="S15" i="4" s="1"/>
  <c r="Q29" i="1"/>
  <c r="O37" i="1"/>
  <c r="P15" i="4" s="1"/>
  <c r="P29" i="1"/>
  <c r="B34" i="1"/>
  <c r="B12" i="4" s="1"/>
  <c r="B35" i="1"/>
  <c r="B13" i="4" s="1"/>
  <c r="C34" i="1"/>
  <c r="C12" i="4" s="1"/>
  <c r="I28" i="1"/>
  <c r="G31" i="1"/>
  <c r="G9" i="4" s="1"/>
  <c r="H28" i="1"/>
  <c r="E34" i="1"/>
  <c r="F31" i="1"/>
  <c r="G28" i="1"/>
  <c r="I32" i="1"/>
  <c r="I10" i="4" s="1"/>
  <c r="I35" i="1"/>
  <c r="G33" i="1"/>
  <c r="E31" i="1"/>
  <c r="E9" i="4" s="1"/>
  <c r="R42" i="1"/>
  <c r="S20" i="4" s="1"/>
  <c r="R38" i="1"/>
  <c r="S16" i="4" s="1"/>
  <c r="R34" i="1"/>
  <c r="S12" i="4" s="1"/>
  <c r="L74" i="4"/>
  <c r="L62" i="4"/>
  <c r="E55" i="4"/>
  <c r="E62" i="4"/>
  <c r="I52" i="23"/>
  <c r="R4" i="33"/>
  <c r="W37" i="4"/>
  <c r="S37" i="4"/>
  <c r="K37" i="4"/>
  <c r="I45" i="23"/>
  <c r="U4" i="33"/>
  <c r="S4" i="33"/>
  <c r="C27" i="23"/>
  <c r="C52" i="23" s="1"/>
  <c r="I27" i="23"/>
  <c r="O37" i="23"/>
  <c r="P31" i="4" s="1"/>
  <c r="O34" i="23"/>
  <c r="P28" i="4" s="1"/>
  <c r="O38" i="23"/>
  <c r="U37" i="4"/>
  <c r="B38" i="23"/>
  <c r="F37" i="4"/>
  <c r="N37" i="4"/>
  <c r="L37" i="4"/>
  <c r="Q37" i="4"/>
  <c r="T37" i="4"/>
  <c r="J37" i="4"/>
  <c r="H37" i="4"/>
  <c r="M37" i="4"/>
  <c r="P37" i="4"/>
  <c r="R4" i="4"/>
  <c r="R62" i="4" s="1"/>
  <c r="N4" i="23"/>
  <c r="N22" i="23" s="1"/>
  <c r="P27" i="23"/>
  <c r="P52" i="23" s="1"/>
  <c r="J4" i="1"/>
  <c r="J4" i="4" s="1"/>
  <c r="J4" i="23"/>
  <c r="J45" i="23" s="1"/>
  <c r="M4" i="23"/>
  <c r="M27" i="23" s="1"/>
  <c r="M4" i="1"/>
  <c r="M4" i="4" s="1"/>
  <c r="L45" i="1"/>
  <c r="L27" i="1"/>
  <c r="L52" i="1" s="1"/>
  <c r="O32" i="23"/>
  <c r="O31" i="23"/>
  <c r="P25" i="4" s="1"/>
  <c r="O30" i="23"/>
  <c r="P24" i="4" s="1"/>
  <c r="B33" i="23"/>
  <c r="B27" i="4" s="1"/>
  <c r="B28" i="23"/>
  <c r="B30" i="23"/>
  <c r="B24" i="4" s="1"/>
  <c r="B34" i="23"/>
  <c r="B28" i="4" s="1"/>
  <c r="B35" i="23"/>
  <c r="O28" i="23"/>
  <c r="B31" i="23"/>
  <c r="B25" i="4" s="1"/>
  <c r="B29" i="23"/>
  <c r="B23" i="4" s="1"/>
  <c r="Q32" i="1"/>
  <c r="P32" i="1"/>
  <c r="Q10" i="4" s="1"/>
  <c r="D4" i="4"/>
  <c r="O29" i="1"/>
  <c r="P7" i="4" s="1"/>
  <c r="B27" i="23"/>
  <c r="B52" i="23" s="1"/>
  <c r="K45" i="23"/>
  <c r="E27" i="23"/>
  <c r="E52" i="23" s="1"/>
  <c r="Q30" i="1"/>
  <c r="R8" i="4" s="1"/>
  <c r="B29" i="1"/>
  <c r="B7" i="4" s="1"/>
  <c r="P35" i="1"/>
  <c r="Q13" i="4" s="1"/>
  <c r="P31" i="1"/>
  <c r="Q9" i="4" s="1"/>
  <c r="H22" i="23"/>
  <c r="N47" i="23"/>
  <c r="N48" i="23" s="1"/>
  <c r="N54" i="23" s="1"/>
  <c r="V47" i="23"/>
  <c r="V48" i="23" s="1"/>
  <c r="V54" i="23" s="1"/>
  <c r="P37" i="1"/>
  <c r="Q15" i="4" s="1"/>
  <c r="F22" i="23"/>
  <c r="O36" i="1"/>
  <c r="H45" i="23"/>
  <c r="R31" i="1"/>
  <c r="S9" i="4" s="1"/>
  <c r="S22" i="4"/>
  <c r="W22" i="4"/>
  <c r="V29" i="4"/>
  <c r="N46" i="23"/>
  <c r="N53" i="23" s="1"/>
  <c r="J57" i="1"/>
  <c r="E57" i="23"/>
  <c r="M57" i="1"/>
  <c r="V57" i="1"/>
  <c r="N57" i="23"/>
  <c r="U57" i="23"/>
  <c r="Q57" i="23"/>
  <c r="J57" i="23"/>
  <c r="H57" i="23"/>
  <c r="L57" i="1"/>
  <c r="U57" i="1"/>
  <c r="M57" i="23"/>
  <c r="T57" i="23"/>
  <c r="P57" i="23"/>
  <c r="C57" i="23"/>
  <c r="F57" i="23"/>
  <c r="I57" i="23"/>
  <c r="K57" i="1"/>
  <c r="T57" i="1"/>
  <c r="L57" i="23"/>
  <c r="S57" i="23"/>
  <c r="D57" i="23"/>
  <c r="G57" i="23"/>
  <c r="N57" i="1"/>
  <c r="S57" i="1"/>
  <c r="K57" i="23"/>
  <c r="V57" i="23"/>
  <c r="R57" i="23"/>
  <c r="E37" i="4"/>
  <c r="R28" i="1"/>
  <c r="R30" i="1"/>
  <c r="S8" i="4" s="1"/>
  <c r="R29" i="1"/>
  <c r="S7" i="4" s="1"/>
  <c r="C37" i="4"/>
  <c r="I37" i="4"/>
  <c r="P36" i="1"/>
  <c r="Q14" i="4" s="1"/>
  <c r="R32" i="1"/>
  <c r="B37" i="4"/>
  <c r="D37" i="4"/>
  <c r="G37" i="4"/>
  <c r="O34" i="1"/>
  <c r="P12" i="4" s="1"/>
  <c r="O35" i="1"/>
  <c r="P13" i="4" s="1"/>
  <c r="O33" i="1"/>
  <c r="P11" i="4" s="1"/>
  <c r="O30" i="1"/>
  <c r="P8" i="4" s="1"/>
  <c r="B31" i="1"/>
  <c r="B9" i="4" s="1"/>
  <c r="O31" i="1"/>
  <c r="P9" i="4" s="1"/>
  <c r="B32" i="1"/>
  <c r="D28" i="1"/>
  <c r="C32" i="1"/>
  <c r="B28" i="1"/>
  <c r="N47" i="1"/>
  <c r="N48" i="1" s="1"/>
  <c r="N54" i="1" s="1"/>
  <c r="D32" i="1"/>
  <c r="B30" i="1"/>
  <c r="B8" i="4" s="1"/>
  <c r="C28" i="1"/>
  <c r="D31" i="1"/>
  <c r="D9" i="4" s="1"/>
  <c r="N46" i="1"/>
  <c r="N53" i="1" s="1"/>
  <c r="O28" i="1"/>
  <c r="C30" i="1"/>
  <c r="C8" i="4" s="1"/>
  <c r="C31" i="1"/>
  <c r="C9" i="4" s="1"/>
  <c r="D29" i="1"/>
  <c r="D7" i="4" s="1"/>
  <c r="D30" i="1"/>
  <c r="W6" i="4"/>
  <c r="L52" i="23"/>
  <c r="E7" i="4"/>
  <c r="F8" i="4"/>
  <c r="H9" i="4"/>
  <c r="G7" i="4"/>
  <c r="C4" i="4"/>
  <c r="J47" i="23"/>
  <c r="J48" i="23" s="1"/>
  <c r="J54" i="23" s="1"/>
  <c r="F47" i="23"/>
  <c r="F48" i="23" s="1"/>
  <c r="F54" i="23" s="1"/>
  <c r="F46" i="23"/>
  <c r="F53" i="23" s="1"/>
  <c r="G27" i="23"/>
  <c r="G52" i="23" s="1"/>
  <c r="K27" i="23"/>
  <c r="L22" i="1"/>
  <c r="I7" i="4"/>
  <c r="D27" i="1"/>
  <c r="D52" i="1" s="1"/>
  <c r="D45" i="1"/>
  <c r="D22" i="23"/>
  <c r="D45" i="23"/>
  <c r="D27" i="23"/>
  <c r="D52" i="23" s="1"/>
  <c r="V46" i="23"/>
  <c r="V53" i="23" s="1"/>
  <c r="F45" i="23"/>
  <c r="E22" i="23"/>
  <c r="G22" i="23"/>
  <c r="K22" i="23"/>
  <c r="L45" i="23"/>
  <c r="O22" i="23"/>
  <c r="Q22" i="23"/>
  <c r="B22" i="23"/>
  <c r="C22" i="23"/>
  <c r="L22" i="23"/>
  <c r="Q27" i="23"/>
  <c r="Q52" i="23" s="1"/>
  <c r="O27" i="23"/>
  <c r="O52" i="23" s="1"/>
  <c r="E45" i="1"/>
  <c r="B27" i="1"/>
  <c r="B52" i="1" s="1"/>
  <c r="K27" i="1"/>
  <c r="K52" i="1" s="1"/>
  <c r="F4" i="4"/>
  <c r="N4" i="4"/>
  <c r="G22" i="1"/>
  <c r="N27" i="1"/>
  <c r="N52" i="1" s="1"/>
  <c r="F45" i="1"/>
  <c r="C22" i="1"/>
  <c r="B22" i="1"/>
  <c r="G45" i="1"/>
  <c r="E27" i="1"/>
  <c r="E52" i="1" s="1"/>
  <c r="E22" i="1"/>
  <c r="I22" i="1"/>
  <c r="I27" i="1"/>
  <c r="P27" i="1"/>
  <c r="P52" i="1" s="1"/>
  <c r="H4" i="4"/>
  <c r="F22" i="1"/>
  <c r="I4" i="4"/>
  <c r="N22" i="1"/>
  <c r="G4" i="4"/>
  <c r="C27" i="1"/>
  <c r="C52" i="1" s="1"/>
  <c r="B45" i="1"/>
  <c r="K74" i="4"/>
  <c r="K22" i="1"/>
  <c r="H22" i="1"/>
  <c r="P4" i="4"/>
  <c r="H45" i="1"/>
  <c r="O45" i="1"/>
  <c r="Q4" i="4"/>
  <c r="K45" i="1"/>
  <c r="P45" i="1"/>
  <c r="O27" i="1"/>
  <c r="O52" i="1" s="1"/>
  <c r="I52" i="1"/>
  <c r="K55" i="4"/>
  <c r="B55" i="4"/>
  <c r="L55" i="4"/>
  <c r="E74" i="4"/>
  <c r="B74" i="4"/>
  <c r="Q56" i="1"/>
  <c r="C56" i="1"/>
  <c r="P56" i="1"/>
  <c r="K78" i="4"/>
  <c r="E56" i="1"/>
  <c r="D56" i="1"/>
  <c r="L78" i="4"/>
  <c r="T78" i="4"/>
  <c r="G56" i="1"/>
  <c r="B56" i="1"/>
  <c r="I56" i="1"/>
  <c r="H56" i="1"/>
  <c r="W78" i="4"/>
  <c r="B56" i="23"/>
  <c r="F56" i="1"/>
  <c r="O56" i="1"/>
  <c r="R56" i="1"/>
  <c r="U78" i="4"/>
  <c r="N78" i="4"/>
  <c r="V78" i="4"/>
  <c r="O56" i="23"/>
  <c r="M78" i="4"/>
  <c r="J78" i="4"/>
  <c r="U46" i="1" l="1"/>
  <c r="U53" i="1" s="1"/>
  <c r="U46" i="23"/>
  <c r="U53" i="23" s="1"/>
  <c r="J22" i="4"/>
  <c r="P46" i="23"/>
  <c r="P53" i="23" s="1"/>
  <c r="R47" i="23"/>
  <c r="R48" i="23" s="1"/>
  <c r="R54" i="23" s="1"/>
  <c r="U47" i="23"/>
  <c r="U48" i="23" s="1"/>
  <c r="U54" i="23" s="1"/>
  <c r="T47" i="23"/>
  <c r="T48" i="23" s="1"/>
  <c r="T54" i="23" s="1"/>
  <c r="I46" i="23"/>
  <c r="I53" i="23" s="1"/>
  <c r="E47" i="23"/>
  <c r="E48" i="23" s="1"/>
  <c r="E54" i="23" s="1"/>
  <c r="M46" i="23"/>
  <c r="M53" i="23" s="1"/>
  <c r="C46" i="23"/>
  <c r="C53" i="23" s="1"/>
  <c r="D46" i="23"/>
  <c r="D53" i="23" s="1"/>
  <c r="I47" i="23"/>
  <c r="I48" i="23" s="1"/>
  <c r="I54" i="23" s="1"/>
  <c r="C47" i="23"/>
  <c r="C48" i="23" s="1"/>
  <c r="C54" i="23" s="1"/>
  <c r="H47" i="23"/>
  <c r="H48" i="23" s="1"/>
  <c r="H54" i="23" s="1"/>
  <c r="G46" i="23"/>
  <c r="G53" i="23" s="1"/>
  <c r="G47" i="23"/>
  <c r="G48" i="23" s="1"/>
  <c r="G54" i="23" s="1"/>
  <c r="R46" i="23"/>
  <c r="R53" i="23" s="1"/>
  <c r="D47" i="23"/>
  <c r="D48" i="23" s="1"/>
  <c r="D54" i="23" s="1"/>
  <c r="Q23" i="4"/>
  <c r="I22" i="4"/>
  <c r="L46" i="23"/>
  <c r="L53" i="23" s="1"/>
  <c r="Q47" i="23"/>
  <c r="Q48" i="23" s="1"/>
  <c r="Q54" i="23" s="1"/>
  <c r="E46" i="23"/>
  <c r="E53" i="23" s="1"/>
  <c r="M47" i="23"/>
  <c r="M48" i="23" s="1"/>
  <c r="M54" i="23" s="1"/>
  <c r="S47" i="23"/>
  <c r="S48" i="23" s="1"/>
  <c r="S54" i="23" s="1"/>
  <c r="L47" i="23"/>
  <c r="L48" i="23" s="1"/>
  <c r="L54" i="23" s="1"/>
  <c r="K47" i="23"/>
  <c r="K48" i="23" s="1"/>
  <c r="K54" i="23" s="1"/>
  <c r="S46" i="23"/>
  <c r="S53" i="23" s="1"/>
  <c r="H46" i="23"/>
  <c r="H53" i="23" s="1"/>
  <c r="T46" i="23"/>
  <c r="T53" i="23" s="1"/>
  <c r="K46" i="23"/>
  <c r="K53" i="23" s="1"/>
  <c r="Q46" i="23"/>
  <c r="Q53" i="23" s="1"/>
  <c r="R22" i="4"/>
  <c r="P47" i="23"/>
  <c r="P48" i="23" s="1"/>
  <c r="P54" i="23" s="1"/>
  <c r="L46" i="1"/>
  <c r="L53" i="1" s="1"/>
  <c r="U47" i="1"/>
  <c r="U48" i="1" s="1"/>
  <c r="U54" i="1" s="1"/>
  <c r="V46" i="1"/>
  <c r="V53" i="1" s="1"/>
  <c r="S46" i="1"/>
  <c r="S53" i="1" s="1"/>
  <c r="S47" i="1"/>
  <c r="S48" i="1" s="1"/>
  <c r="S54" i="1" s="1"/>
  <c r="K47" i="1"/>
  <c r="K48" i="1" s="1"/>
  <c r="K54" i="1" s="1"/>
  <c r="T63" i="4"/>
  <c r="T64" i="4" s="1"/>
  <c r="M63" i="4"/>
  <c r="M64" i="4" s="1"/>
  <c r="T46" i="1"/>
  <c r="T53" i="1" s="1"/>
  <c r="J47" i="1"/>
  <c r="J48" i="1" s="1"/>
  <c r="J54" i="1" s="1"/>
  <c r="K46" i="1"/>
  <c r="K53" i="1" s="1"/>
  <c r="L47" i="1"/>
  <c r="L48" i="1" s="1"/>
  <c r="L54" i="1" s="1"/>
  <c r="J46" i="1"/>
  <c r="J53" i="1" s="1"/>
  <c r="M46" i="1"/>
  <c r="M53" i="1" s="1"/>
  <c r="M47" i="1"/>
  <c r="M48" i="1" s="1"/>
  <c r="M54" i="1" s="1"/>
  <c r="L6" i="4"/>
  <c r="L63" i="4" s="1"/>
  <c r="L64" i="4" s="1"/>
  <c r="V47" i="1"/>
  <c r="V48" i="1" s="1"/>
  <c r="V54" i="1" s="1"/>
  <c r="T47" i="1"/>
  <c r="T48" i="1" s="1"/>
  <c r="T54" i="1" s="1"/>
  <c r="F46" i="1"/>
  <c r="F53" i="1" s="1"/>
  <c r="B22" i="4"/>
  <c r="D6" i="4"/>
  <c r="S6" i="4"/>
  <c r="I6" i="4"/>
  <c r="Q7" i="4"/>
  <c r="E6" i="4"/>
  <c r="P6" i="4"/>
  <c r="B6" i="4"/>
  <c r="C6" i="4"/>
  <c r="H6" i="4"/>
  <c r="F6" i="4"/>
  <c r="P47" i="1"/>
  <c r="P48" i="1" s="1"/>
  <c r="P54" i="1" s="1"/>
  <c r="G6" i="4"/>
  <c r="R7" i="4"/>
  <c r="K63" i="4"/>
  <c r="K64" i="4" s="1"/>
  <c r="V63" i="4"/>
  <c r="V64" i="4" s="1"/>
  <c r="J63" i="4"/>
  <c r="J64" i="4" s="1"/>
  <c r="W63" i="4"/>
  <c r="W64" i="4" s="1"/>
  <c r="U63" i="4"/>
  <c r="U64" i="4" s="1"/>
  <c r="N63" i="4"/>
  <c r="N64" i="4" s="1"/>
  <c r="T27" i="33"/>
  <c r="T52" i="33" s="1"/>
  <c r="T45" i="33"/>
  <c r="I47" i="1"/>
  <c r="I48" i="1" s="1"/>
  <c r="I54" i="1" s="1"/>
  <c r="F47" i="1"/>
  <c r="F48" i="1" s="1"/>
  <c r="F54" i="1" s="1"/>
  <c r="G47" i="1"/>
  <c r="G48" i="1" s="1"/>
  <c r="G54" i="1" s="1"/>
  <c r="E47" i="1"/>
  <c r="E48" i="1" s="1"/>
  <c r="E54" i="1" s="1"/>
  <c r="Q46" i="1"/>
  <c r="Q53" i="1" s="1"/>
  <c r="E46" i="1"/>
  <c r="E53" i="1" s="1"/>
  <c r="Q47" i="1"/>
  <c r="Q48" i="1" s="1"/>
  <c r="Q54" i="1" s="1"/>
  <c r="I46" i="1"/>
  <c r="I53" i="1" s="1"/>
  <c r="R74" i="4"/>
  <c r="M57" i="4"/>
  <c r="M58" i="4" s="1"/>
  <c r="M76" i="4" s="1"/>
  <c r="U57" i="4"/>
  <c r="U58" i="4" s="1"/>
  <c r="H57" i="1"/>
  <c r="G57" i="1"/>
  <c r="F57" i="1"/>
  <c r="I57" i="1"/>
  <c r="E57" i="1"/>
  <c r="H7" i="4"/>
  <c r="G46" i="1"/>
  <c r="G53" i="1" s="1"/>
  <c r="H46" i="1"/>
  <c r="H53" i="1" s="1"/>
  <c r="H47" i="1"/>
  <c r="H48" i="1" s="1"/>
  <c r="H54" i="1" s="1"/>
  <c r="G11" i="4"/>
  <c r="F9" i="4"/>
  <c r="I13" i="4"/>
  <c r="E12" i="4"/>
  <c r="I55" i="4"/>
  <c r="I62" i="4"/>
  <c r="N55" i="4"/>
  <c r="N62" i="4"/>
  <c r="W57" i="4"/>
  <c r="W58" i="4" s="1"/>
  <c r="W76" i="4" s="1"/>
  <c r="W56" i="4"/>
  <c r="W75" i="4" s="1"/>
  <c r="V57" i="4"/>
  <c r="V58" i="4" s="1"/>
  <c r="V76" i="4" s="1"/>
  <c r="T56" i="4"/>
  <c r="T75" i="4" s="1"/>
  <c r="K57" i="4"/>
  <c r="K58" i="4" s="1"/>
  <c r="K76" i="4" s="1"/>
  <c r="J56" i="4"/>
  <c r="J75" i="4" s="1"/>
  <c r="P55" i="4"/>
  <c r="P62" i="4"/>
  <c r="F55" i="4"/>
  <c r="F62" i="4"/>
  <c r="M55" i="4"/>
  <c r="M62" i="4"/>
  <c r="J55" i="4"/>
  <c r="J62" i="4"/>
  <c r="N57" i="4"/>
  <c r="N58" i="4" s="1"/>
  <c r="N76" i="4" s="1"/>
  <c r="K56" i="4"/>
  <c r="K75" i="4" s="1"/>
  <c r="J57" i="4"/>
  <c r="J58" i="4" s="1"/>
  <c r="J76" i="4" s="1"/>
  <c r="Q55" i="4"/>
  <c r="Q62" i="4"/>
  <c r="G55" i="4"/>
  <c r="G62" i="4"/>
  <c r="H74" i="4"/>
  <c r="H62" i="4"/>
  <c r="U22" i="33"/>
  <c r="U45" i="33"/>
  <c r="U27" i="33"/>
  <c r="U52" i="33" s="1"/>
  <c r="R45" i="33"/>
  <c r="R27" i="33"/>
  <c r="R52" i="33" s="1"/>
  <c r="R22" i="33"/>
  <c r="V56" i="4"/>
  <c r="V75" i="4" s="1"/>
  <c r="M56" i="4"/>
  <c r="M75" i="4" s="1"/>
  <c r="N56" i="4"/>
  <c r="N75" i="4" s="1"/>
  <c r="U56" i="4"/>
  <c r="U75" i="4" s="1"/>
  <c r="C74" i="4"/>
  <c r="C62" i="4"/>
  <c r="D55" i="4"/>
  <c r="D62" i="4"/>
  <c r="S27" i="33"/>
  <c r="S52" i="33" s="1"/>
  <c r="S22" i="33"/>
  <c r="S45" i="33"/>
  <c r="V4" i="33"/>
  <c r="T57" i="4"/>
  <c r="T58" i="4" s="1"/>
  <c r="T76" i="4" s="1"/>
  <c r="R55" i="4"/>
  <c r="V4" i="1"/>
  <c r="V45" i="1" s="1"/>
  <c r="P32" i="4"/>
  <c r="R10" i="4"/>
  <c r="B32" i="4"/>
  <c r="H55" i="4"/>
  <c r="S10" i="4"/>
  <c r="P14" i="4"/>
  <c r="V4" i="23"/>
  <c r="V45" i="23" s="1"/>
  <c r="N52" i="23"/>
  <c r="K79" i="4"/>
  <c r="B10" i="4"/>
  <c r="U76" i="4"/>
  <c r="L79" i="4"/>
  <c r="N79" i="4"/>
  <c r="W79" i="4"/>
  <c r="M79" i="4"/>
  <c r="J79" i="4"/>
  <c r="V79" i="4"/>
  <c r="U79" i="4"/>
  <c r="T79" i="4"/>
  <c r="P26" i="4"/>
  <c r="P46" i="1"/>
  <c r="P53" i="1" s="1"/>
  <c r="U4" i="1"/>
  <c r="U22" i="1" s="1"/>
  <c r="M74" i="4"/>
  <c r="M27" i="1"/>
  <c r="M52" i="1" s="1"/>
  <c r="M22" i="1"/>
  <c r="J52" i="1"/>
  <c r="J74" i="4"/>
  <c r="J27" i="1"/>
  <c r="J45" i="1"/>
  <c r="S4" i="1"/>
  <c r="S4" i="23"/>
  <c r="C55" i="4"/>
  <c r="U4" i="23"/>
  <c r="U22" i="23" s="1"/>
  <c r="N27" i="23"/>
  <c r="N45" i="23"/>
  <c r="J22" i="23"/>
  <c r="J52" i="23"/>
  <c r="J22" i="1"/>
  <c r="J27" i="23"/>
  <c r="R4" i="1"/>
  <c r="R22" i="1" s="1"/>
  <c r="R4" i="23"/>
  <c r="R22" i="23" s="1"/>
  <c r="M52" i="23"/>
  <c r="M22" i="23"/>
  <c r="M45" i="23"/>
  <c r="M45" i="1"/>
  <c r="B46" i="23"/>
  <c r="B53" i="23" s="1"/>
  <c r="B55" i="23" s="1"/>
  <c r="O46" i="23"/>
  <c r="O53" i="23" s="1"/>
  <c r="O47" i="23"/>
  <c r="O48" i="23" s="1"/>
  <c r="O54" i="23" s="1"/>
  <c r="B47" i="23"/>
  <c r="B48" i="23" s="1"/>
  <c r="B54" i="23" s="1"/>
  <c r="B57" i="23"/>
  <c r="O57" i="23"/>
  <c r="B29" i="4"/>
  <c r="P22" i="4"/>
  <c r="R47" i="1"/>
  <c r="R48" i="1" s="1"/>
  <c r="R54" i="1" s="1"/>
  <c r="Q57" i="1"/>
  <c r="D74" i="4"/>
  <c r="R46" i="1"/>
  <c r="R53" i="1" s="1"/>
  <c r="N74" i="4"/>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P74" i="4"/>
  <c r="Q74" i="4"/>
  <c r="C78" i="4"/>
  <c r="Q78" i="4"/>
  <c r="E78" i="4"/>
  <c r="R78" i="4"/>
  <c r="I78" i="4"/>
  <c r="S78" i="4"/>
  <c r="F78" i="4"/>
  <c r="B78" i="4"/>
  <c r="H78" i="4"/>
  <c r="G78" i="4"/>
  <c r="D78" i="4"/>
  <c r="P78" i="4"/>
  <c r="F55" i="23" l="1"/>
  <c r="I63" i="4"/>
  <c r="I64" i="4" s="1"/>
  <c r="H56" i="4"/>
  <c r="H75" i="4" s="1"/>
  <c r="L56" i="4"/>
  <c r="L75" i="4" s="1"/>
  <c r="O55" i="23"/>
  <c r="L57" i="4"/>
  <c r="L58" i="4" s="1"/>
  <c r="L76" i="4" s="1"/>
  <c r="C63" i="4"/>
  <c r="C64" i="4" s="1"/>
  <c r="F63" i="4"/>
  <c r="F64" i="4" s="1"/>
  <c r="W4" i="4"/>
  <c r="W55" i="4" s="1"/>
  <c r="I57" i="4"/>
  <c r="I58" i="4" s="1"/>
  <c r="I76" i="4" s="1"/>
  <c r="G55" i="1"/>
  <c r="S63" i="4"/>
  <c r="S64" i="4" s="1"/>
  <c r="C55" i="23"/>
  <c r="N55" i="23"/>
  <c r="Q55" i="23"/>
  <c r="U55" i="23"/>
  <c r="T55" i="23"/>
  <c r="R55" i="23"/>
  <c r="S55" i="23"/>
  <c r="V55" i="23"/>
  <c r="P55" i="23"/>
  <c r="S55" i="1"/>
  <c r="U55" i="1"/>
  <c r="R55" i="1"/>
  <c r="T55" i="1"/>
  <c r="P55" i="1"/>
  <c r="Q55" i="1"/>
  <c r="V55" i="1"/>
  <c r="D63" i="4"/>
  <c r="D64" i="4" s="1"/>
  <c r="B63" i="4"/>
  <c r="B64" i="4" s="1"/>
  <c r="P63" i="4"/>
  <c r="P64" i="4" s="1"/>
  <c r="G56" i="4"/>
  <c r="G75" i="4" s="1"/>
  <c r="H57" i="4"/>
  <c r="H58" i="4" s="1"/>
  <c r="H76" i="4" s="1"/>
  <c r="H63" i="4"/>
  <c r="H64" i="4" s="1"/>
  <c r="Q63" i="4"/>
  <c r="Q64" i="4" s="1"/>
  <c r="G63" i="4"/>
  <c r="G64" i="4" s="1"/>
  <c r="E63" i="4"/>
  <c r="E64" i="4" s="1"/>
  <c r="R63" i="4"/>
  <c r="R64" i="4" s="1"/>
  <c r="V27" i="23"/>
  <c r="V52" i="23" s="1"/>
  <c r="I56" i="4"/>
  <c r="I75" i="4" s="1"/>
  <c r="U45" i="1"/>
  <c r="V22" i="1"/>
  <c r="V22" i="23"/>
  <c r="V27" i="1"/>
  <c r="V52" i="1" s="1"/>
  <c r="G57" i="4"/>
  <c r="G58" i="4" s="1"/>
  <c r="G76" i="4" s="1"/>
  <c r="F57" i="4"/>
  <c r="F58" i="4" s="1"/>
  <c r="F76" i="4" s="1"/>
  <c r="B56" i="4"/>
  <c r="E79" i="4"/>
  <c r="G79" i="4"/>
  <c r="I79" i="4"/>
  <c r="H79" i="4"/>
  <c r="F79" i="4"/>
  <c r="J80" i="4"/>
  <c r="E57" i="4"/>
  <c r="E58" i="4" s="1"/>
  <c r="E76" i="4" s="1"/>
  <c r="E56" i="4"/>
  <c r="E75" i="4" s="1"/>
  <c r="F56" i="4"/>
  <c r="F75" i="4" s="1"/>
  <c r="Q57" i="4"/>
  <c r="Q58" i="4" s="1"/>
  <c r="Q76" i="4" s="1"/>
  <c r="S56" i="4"/>
  <c r="S75" i="4" s="1"/>
  <c r="D56" i="4"/>
  <c r="D75" i="4" s="1"/>
  <c r="B57" i="4"/>
  <c r="B58" i="4" s="1"/>
  <c r="B76" i="4" s="1"/>
  <c r="V45" i="33"/>
  <c r="V27" i="33"/>
  <c r="V52" i="33" s="1"/>
  <c r="V22" i="33"/>
  <c r="D57" i="4"/>
  <c r="D58" i="4" s="1"/>
  <c r="D76" i="4" s="1"/>
  <c r="P57" i="4"/>
  <c r="P58" i="4" s="1"/>
  <c r="P76" i="4" s="1"/>
  <c r="C57" i="4"/>
  <c r="C58" i="4" s="1"/>
  <c r="C76" i="4" s="1"/>
  <c r="R56" i="4"/>
  <c r="R75" i="4" s="1"/>
  <c r="P56" i="4"/>
  <c r="P75" i="4" s="1"/>
  <c r="C56" i="4"/>
  <c r="C75" i="4" s="1"/>
  <c r="Q56" i="4"/>
  <c r="S57" i="4"/>
  <c r="S58" i="4" s="1"/>
  <c r="S76" i="4" s="1"/>
  <c r="R57" i="4"/>
  <c r="R58" i="4" s="1"/>
  <c r="R76" i="4" s="1"/>
  <c r="R79" i="4"/>
  <c r="Q79" i="4"/>
  <c r="S79" i="4"/>
  <c r="S80" i="4" s="1"/>
  <c r="V4" i="4"/>
  <c r="U27" i="1"/>
  <c r="U52" i="1" s="1"/>
  <c r="C79" i="4"/>
  <c r="D79" i="4"/>
  <c r="L55" i="23"/>
  <c r="D55" i="23"/>
  <c r="H55" i="23"/>
  <c r="K55" i="23"/>
  <c r="J55" i="23"/>
  <c r="M55" i="23"/>
  <c r="G55" i="23"/>
  <c r="E55" i="23"/>
  <c r="I55" i="23"/>
  <c r="R59" i="23"/>
  <c r="R60" i="23" s="1"/>
  <c r="P79" i="4"/>
  <c r="B79" i="4"/>
  <c r="N81" i="4" s="1"/>
  <c r="B64" i="23"/>
  <c r="L59" i="23"/>
  <c r="L60" i="23" s="1"/>
  <c r="F59" i="23"/>
  <c r="F60" i="23" s="1"/>
  <c r="Q59" i="23"/>
  <c r="Q60" i="23" s="1"/>
  <c r="V59" i="23"/>
  <c r="V60" i="23" s="1"/>
  <c r="P59" i="23"/>
  <c r="P60" i="23" s="1"/>
  <c r="T59" i="23"/>
  <c r="T60" i="23" s="1"/>
  <c r="U59" i="23"/>
  <c r="U60" i="23" s="1"/>
  <c r="S59" i="23"/>
  <c r="S60" i="23" s="1"/>
  <c r="B65" i="23"/>
  <c r="R45" i="23"/>
  <c r="T4" i="4"/>
  <c r="T62" i="4" s="1"/>
  <c r="S45" i="1"/>
  <c r="S27" i="1"/>
  <c r="S52" i="1" s="1"/>
  <c r="S22" i="1"/>
  <c r="U27" i="23"/>
  <c r="U52" i="23" s="1"/>
  <c r="U45" i="23"/>
  <c r="S45" i="23"/>
  <c r="S27" i="23"/>
  <c r="S52" i="23" s="1"/>
  <c r="S22" i="23"/>
  <c r="R45" i="1"/>
  <c r="S4" i="4"/>
  <c r="S62" i="4" s="1"/>
  <c r="R27" i="1"/>
  <c r="R52" i="1" s="1"/>
  <c r="R27" i="23"/>
  <c r="R52" i="23" s="1"/>
  <c r="C59" i="23"/>
  <c r="C60" i="23" s="1"/>
  <c r="N59" i="23"/>
  <c r="N60" i="23" s="1"/>
  <c r="E59" i="23"/>
  <c r="E60" i="23" s="1"/>
  <c r="J59" i="23"/>
  <c r="J60" i="23" s="1"/>
  <c r="K59" i="23"/>
  <c r="K60" i="23" s="1"/>
  <c r="D59" i="23"/>
  <c r="D60" i="23" s="1"/>
  <c r="I59" i="23"/>
  <c r="I60" i="23" s="1"/>
  <c r="O59" i="23"/>
  <c r="O60" i="23" s="1"/>
  <c r="G59" i="23"/>
  <c r="G60" i="23" s="1"/>
  <c r="H59" i="23"/>
  <c r="H60" i="23" s="1"/>
  <c r="M59" i="23"/>
  <c r="M60" i="23" s="1"/>
  <c r="C55" i="1"/>
  <c r="H55" i="1"/>
  <c r="F55" i="1"/>
  <c r="N55" i="1"/>
  <c r="I55" i="1"/>
  <c r="L55" i="1"/>
  <c r="J55" i="1"/>
  <c r="D55" i="1"/>
  <c r="K55" i="1"/>
  <c r="E55" i="1"/>
  <c r="O59" i="1"/>
  <c r="O60" i="1" s="1"/>
  <c r="N59" i="1"/>
  <c r="N60" i="1" s="1"/>
  <c r="J59" i="1"/>
  <c r="J60" i="1" s="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T27" i="23"/>
  <c r="T52" i="23" s="1"/>
  <c r="T45" i="23"/>
  <c r="T22" i="23"/>
  <c r="T27" i="1"/>
  <c r="T52" i="1" s="1"/>
  <c r="T45" i="1"/>
  <c r="U4" i="4"/>
  <c r="U62" i="4" s="1"/>
  <c r="T22" i="1"/>
  <c r="W74" i="4" l="1"/>
  <c r="U77" i="4"/>
  <c r="W62" i="4"/>
  <c r="B80" i="4"/>
  <c r="Q75" i="4"/>
  <c r="V74" i="4"/>
  <c r="V62" i="4"/>
  <c r="R61" i="23"/>
  <c r="V55" i="4"/>
  <c r="W77" i="4"/>
  <c r="V77" i="4"/>
  <c r="P77" i="4"/>
  <c r="T77" i="4"/>
  <c r="R77" i="4"/>
  <c r="S77" i="4"/>
  <c r="B86" i="4"/>
  <c r="B87" i="4"/>
  <c r="B75" i="4"/>
  <c r="P94" i="4" s="1"/>
  <c r="N82" i="4"/>
  <c r="M61" i="23"/>
  <c r="I61" i="23"/>
  <c r="E61" i="23"/>
  <c r="D61" i="23"/>
  <c r="C61" i="23"/>
  <c r="Q61" i="23"/>
  <c r="U61" i="23"/>
  <c r="P61" i="23"/>
  <c r="F61" i="23"/>
  <c r="H61" i="23"/>
  <c r="K61" i="23"/>
  <c r="N61" i="23"/>
  <c r="G61" i="23"/>
  <c r="J61" i="23"/>
  <c r="S61" i="23"/>
  <c r="T61" i="23"/>
  <c r="V61" i="23"/>
  <c r="L61" i="23"/>
  <c r="D61" i="1"/>
  <c r="U61" i="1"/>
  <c r="S61" i="1"/>
  <c r="G61" i="1"/>
  <c r="M61" i="1"/>
  <c r="L61" i="1"/>
  <c r="T61" i="1"/>
  <c r="E61" i="1"/>
  <c r="F61" i="1"/>
  <c r="K61" i="1"/>
  <c r="I61" i="1"/>
  <c r="J61" i="1"/>
  <c r="V61" i="1"/>
  <c r="H61" i="1"/>
  <c r="N61" i="1"/>
  <c r="T55" i="4"/>
  <c r="T74" i="4"/>
  <c r="S55" i="4"/>
  <c r="S74" i="4"/>
  <c r="O61" i="1"/>
  <c r="Q61" i="1"/>
  <c r="P61" i="1"/>
  <c r="C61" i="1"/>
  <c r="R61" i="1"/>
  <c r="U55" i="4"/>
  <c r="U74" i="4"/>
  <c r="L94" i="4" l="1"/>
  <c r="B94" i="4"/>
  <c r="O94" i="4"/>
  <c r="N94" i="4"/>
  <c r="M94" i="4"/>
  <c r="K94" i="4"/>
  <c r="V94" i="4"/>
  <c r="J94" i="4"/>
  <c r="T94" i="4"/>
  <c r="U94" i="4"/>
  <c r="S94" i="4"/>
  <c r="Q77" i="4"/>
  <c r="Q94" i="4"/>
  <c r="H94" i="4"/>
  <c r="E94" i="4"/>
  <c r="D94" i="4"/>
  <c r="G94" i="4"/>
  <c r="R94" i="4"/>
  <c r="I94" i="4"/>
  <c r="C94" i="4"/>
  <c r="F94" i="4"/>
  <c r="K77" i="4"/>
  <c r="J77" i="4"/>
  <c r="G77" i="4"/>
  <c r="N77" i="4"/>
  <c r="F77" i="4"/>
  <c r="L77" i="4"/>
  <c r="B77" i="4"/>
  <c r="M77" i="4"/>
  <c r="I77" i="4"/>
  <c r="H77" i="4"/>
  <c r="D77" i="4"/>
  <c r="C77" i="4"/>
  <c r="E77" i="4"/>
  <c r="N83" i="4"/>
  <c r="O61"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<sst xmlns="http://schemas.openxmlformats.org/spreadsheetml/2006/main" count="247" uniqueCount="84">
  <si>
    <t>mean</t>
  </si>
  <si>
    <t>SD</t>
  </si>
  <si>
    <t>SEM</t>
  </si>
  <si>
    <t>avec testo</t>
  </si>
  <si>
    <t>Rep1</t>
  </si>
  <si>
    <t>Rep2</t>
  </si>
  <si>
    <t>Non dopé</t>
  </si>
  <si>
    <t>N°BDC :</t>
  </si>
  <si>
    <t>R1</t>
  </si>
  <si>
    <t>R2</t>
  </si>
  <si>
    <t>Concentration</t>
  </si>
  <si>
    <t xml:space="preserve">Testo </t>
  </si>
  <si>
    <t>R3</t>
  </si>
  <si>
    <t>LOD</t>
  </si>
  <si>
    <t>LOQ</t>
  </si>
  <si>
    <t>Mean</t>
  </si>
  <si>
    <t>Données brutes</t>
  </si>
  <si>
    <t>Données normalisées sur la moyenne du groupe "Testo"</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</si>
  <si>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</si>
  <si>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</si>
  <si>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</si>
  <si>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</si>
  <si>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</si>
  <si>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</si>
  <si>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</si>
  <si>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</si>
  <si>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</si>
  <si>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</si>
  <si>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</si>
  <si>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</si>
  <si>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</si>
  <si>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</si>
  <si>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</si>
  <si>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</si>
  <si>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</si>
  <si>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</si>
  <si>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</si>
  <si>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</si>
  <si>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</si>
  <si>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Ratio à atteindre</t>
  </si>
  <si>
    <t>Evian/Testo + EE2 64 ng/L &gt;=</t>
  </si>
  <si>
    <t>Evian/ Testo + FAD &lt;=</t>
  </si>
  <si>
    <t>% induction</t>
  </si>
  <si>
    <t>Test de normalité : valeur du p</t>
  </si>
  <si>
    <t>Test statistique utilisé</t>
  </si>
  <si>
    <t>Test statistique : valeur du p</t>
  </si>
  <si>
    <t>Annotation</t>
  </si>
  <si>
    <t>Test de normalité : résultat normal?</t>
  </si>
  <si>
    <t>Rep3</t>
  </si>
  <si>
    <t>Tous les groupes du gamme sont normale?</t>
  </si>
  <si>
    <t>Témoin</t>
  </si>
  <si>
    <t>ng/L</t>
  </si>
  <si>
    <t>EE2</t>
  </si>
  <si>
    <t>µg/L</t>
  </si>
  <si>
    <t xml:space="preserve">Testo 30µg/L + EE2 </t>
  </si>
  <si>
    <t>mg/L</t>
  </si>
  <si>
    <t>Testo 30µg/L + FAD</t>
  </si>
  <si>
    <t>Experiment number :</t>
  </si>
  <si>
    <t>Do not fill in</t>
  </si>
  <si>
    <t>Do not fill in2</t>
  </si>
  <si>
    <t>Units</t>
  </si>
  <si>
    <t>Chemical name</t>
  </si>
  <si>
    <t>Do not fill in3</t>
  </si>
  <si>
    <t>test chemical</t>
  </si>
  <si>
    <t>Solvent control</t>
  </si>
  <si>
    <t>33.8</t>
  </si>
  <si>
    <t>50.6</t>
  </si>
  <si>
    <t>170.9</t>
  </si>
  <si>
    <t>6. Expérimentateur 2 : copier et coller les valeurs des intensités totales de fluorescences obtenues dans le fichier raw data lors du traitement des images. Ne pas supprimer les colonnes correspondant aux concentrations non lues.
画像処理時に取得した蛍光強度全体の値をコピーして、生データファイルに貼り付けます。未読濃度に対応する列は削除しないでください。</t>
    <phoneticPr fontId="12"/>
  </si>
  <si>
    <t>Données brutes
ローデータ</t>
    <phoneticPr fontId="12"/>
  </si>
  <si>
    <t>Données normalisées sur la moyenne du groupe "Testo"
「Testo」群の平均に関する標準化データ</t>
    <phoneticPr fontId="12"/>
  </si>
  <si>
    <t>Date performed :20210720</t>
    <phoneticPr fontId="12"/>
  </si>
  <si>
    <t>Date performed :</t>
    <phoneticPr fontId="12"/>
  </si>
  <si>
    <t>prochroraz</t>
    <phoneticPr fontId="12"/>
  </si>
  <si>
    <t>mg/L</t>
    <phoneticPr fontId="12"/>
  </si>
  <si>
    <t>Kruskal-Wallis</t>
  </si>
  <si>
    <t>Mann-Whitney</t>
  </si>
  <si>
    <t>T-test Welch</t>
  </si>
  <si>
    <t>*</t>
  </si>
  <si>
    <t>****</t>
  </si>
  <si>
    <t>&lt;0,0001</t>
  </si>
  <si>
    <t>***</t>
  </si>
  <si>
    <t>ns</t>
  </si>
  <si>
    <t>&gt;0,9999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</si>
</sst>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b/>
      <sz val="11"/>
      <color rgb="FFFF0000"/>
      <name val="Calibri"/>
      <family val="2"/>
      <scheme val="minor"/>
    </font>
    <font>
      <sz val="6"/>
      <name val="Calibri"/>
      <family val="3"/>
      <charset val="128"/>
      <scheme val="minor"/>
    </font>
  </fonts>
  <fills count="1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FFC00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s>
  <cellStyleXfs count="7">
    <xf numFmtId="0" fontId="0" fillId="0" borderId="0"/>
    <xf numFmtId="0" fontId="4" fillId="0" borderId="0"/>
    <xf numFmtId="0" fontId="8" fillId="0" borderId="0"/>
    <xf numFmtId="0" fontId="4" fillId="0" borderId="0"/>
    <xf numFmtId="0" fontId="8" fillId="0" borderId="0"/>
    <xf numFmtId="0" fontId="4" fillId="0" borderId="0"/>
    <xf numFmtId="0" fontId="8" fillId="0" borderId="0"/>
  </cellStyleXfs>
  <cellXfs count="150">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0" xfId="0" applyBorder="1"/>
    <xf numFmtId="0" fontId="0" fillId="8" borderId="1" xfId="0" applyFill="1" applyBorder="1" applyAlignment="1">
      <alignment horizontal="center"/>
    </xf>
    <xf numFmtId="0" fontId="0" fillId="8" borderId="11" xfId="0" applyFill="1" applyBorder="1" applyAlignment="1">
      <alignment horizontal="center"/>
    </xf>
    <xf numFmtId="0" fontId="0" fillId="10" borderId="11" xfId="0" applyFill="1" applyBorder="1" applyAlignment="1">
      <alignment horizontal="center"/>
    </xf>
    <xf numFmtId="0" fontId="5" fillId="0" borderId="6" xfId="0" applyFont="1" applyBorder="1" applyAlignment="1">
      <alignment vertical="center"/>
    </xf>
    <xf numFmtId="0" fontId="5" fillId="0" borderId="5" xfId="0" applyFont="1" applyBorder="1" applyAlignment="1">
      <alignment vertical="center" wrapText="1"/>
    </xf>
    <xf numFmtId="0" fontId="1" fillId="4" borderId="3" xfId="0" applyFont="1" applyFill="1" applyBorder="1" applyAlignment="1">
      <alignment horizontal="center"/>
    </xf>
    <xf numFmtId="0" fontId="3" fillId="0" borderId="14" xfId="0" applyFont="1" applyBorder="1" applyAlignment="1">
      <alignment vertical="center"/>
    </xf>
    <xf numFmtId="0" fontId="0" fillId="0" borderId="0" xfId="0" applyFont="1"/>
    <xf numFmtId="0" fontId="3" fillId="0" borderId="8" xfId="0" applyNumberFormat="1" applyFont="1" applyBorder="1" applyAlignment="1">
      <alignment vertical="center"/>
    </xf>
    <xf numFmtId="0" fontId="0" fillId="0" borderId="0" xfId="0" applyNumberFormat="1"/>
    <xf numFmtId="0" fontId="0" fillId="6" borderId="7" xfId="0" applyFill="1" applyBorder="1" applyAlignment="1">
      <alignment horizontal="center"/>
    </xf>
    <xf numFmtId="0" fontId="0" fillId="6" borderId="8" xfId="0" applyFill="1" applyBorder="1" applyAlignment="1">
      <alignment horizontal="center"/>
    </xf>
    <xf numFmtId="0" fontId="0" fillId="0" borderId="0" xfId="0" applyAlignment="1">
      <alignment vertical="center"/>
    </xf>
    <xf numFmtId="164" fontId="7" fillId="11" borderId="6" xfId="0" applyNumberFormat="1" applyFont="1" applyFill="1" applyBorder="1" applyAlignment="1">
      <alignment horizontal="left" vertical="center"/>
    </xf>
    <xf numFmtId="164" fontId="7" fillId="11" borderId="5" xfId="0" applyNumberFormat="1" applyFont="1" applyFill="1" applyBorder="1" applyAlignment="1">
      <alignment horizontal="left" vertical="center"/>
    </xf>
    <xf numFmtId="0" fontId="1" fillId="0" borderId="0" xfId="0" applyFont="1" applyAlignment="1">
      <alignment horizontal="center"/>
    </xf>
    <xf numFmtId="0" fontId="3" fillId="13" borderId="25"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5" xfId="0" applyFont="1" applyBorder="1" applyAlignment="1">
      <alignment vertical="center"/>
    </xf>
    <xf numFmtId="0" fontId="5" fillId="0" borderId="5" xfId="0" applyFont="1" applyBorder="1" applyAlignment="1">
      <alignment horizontal="center" vertical="center"/>
    </xf>
    <xf numFmtId="0" fontId="0" fillId="0" borderId="5"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6" borderId="9" xfId="0" applyNumberFormat="1" applyFill="1" applyBorder="1" applyAlignment="1">
      <alignment horizontal="center"/>
    </xf>
    <xf numFmtId="164" fontId="0" fillId="6" borderId="17" xfId="0" applyNumberFormat="1" applyFill="1" applyBorder="1" applyAlignment="1">
      <alignment horizontal="center"/>
    </xf>
    <xf numFmtId="0" fontId="3" fillId="7"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9" borderId="0" xfId="0" applyFont="1" applyFill="1" applyBorder="1" applyAlignment="1">
      <alignment vertical="center"/>
    </xf>
    <xf numFmtId="0" fontId="3" fillId="13" borderId="3" xfId="0" applyFont="1" applyFill="1" applyBorder="1" applyAlignment="1">
      <alignment vertical="center"/>
    </xf>
    <xf numFmtId="2" fontId="3" fillId="7" borderId="2" xfId="0" applyNumberFormat="1" applyFont="1" applyFill="1" applyBorder="1" applyAlignment="1">
      <alignment horizontal="center" vertical="center" wrapText="1"/>
    </xf>
    <xf numFmtId="2" fontId="3" fillId="7" borderId="20" xfId="0" applyNumberFormat="1" applyFont="1" applyFill="1" applyBorder="1" applyAlignment="1">
      <alignment horizontal="center" vertical="center" wrapText="1"/>
    </xf>
    <xf numFmtId="0" fontId="3" fillId="13" borderId="12" xfId="0" applyFont="1" applyFill="1" applyBorder="1" applyAlignment="1">
      <alignment vertical="center"/>
    </xf>
    <xf numFmtId="0" fontId="3" fillId="13" borderId="14" xfId="0" applyFont="1" applyFill="1" applyBorder="1" applyAlignment="1">
      <alignment vertical="center"/>
    </xf>
    <xf numFmtId="0" fontId="3" fillId="0" borderId="1" xfId="0" applyNumberFormat="1" applyFont="1" applyBorder="1" applyAlignment="1">
      <alignment horizontal="center" vertical="center"/>
    </xf>
    <xf numFmtId="0" fontId="3" fillId="13" borderId="8" xfId="0" applyNumberFormat="1" applyFont="1" applyFill="1" applyBorder="1" applyAlignment="1">
      <alignment horizontal="center" vertical="center"/>
    </xf>
    <xf numFmtId="0" fontId="3" fillId="13" borderId="1" xfId="0" applyNumberFormat="1" applyFont="1" applyFill="1" applyBorder="1" applyAlignment="1">
      <alignment horizontal="center" vertical="center"/>
    </xf>
    <xf numFmtId="0" fontId="3" fillId="7"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3" borderId="22" xfId="0" applyFont="1" applyFill="1" applyBorder="1" applyAlignment="1">
      <alignment vertical="center"/>
    </xf>
    <xf numFmtId="0" fontId="3" fillId="13" borderId="0" xfId="0" applyFont="1" applyFill="1" applyBorder="1" applyAlignment="1">
      <alignment vertical="center"/>
    </xf>
    <xf numFmtId="0" fontId="3" fillId="13" borderId="25" xfId="0" applyNumberFormat="1" applyFont="1" applyFill="1" applyBorder="1" applyAlignment="1">
      <alignment horizontal="center" vertical="center"/>
    </xf>
    <xf numFmtId="0" fontId="3" fillId="13" borderId="3" xfId="0" applyNumberFormat="1" applyFont="1" applyFill="1" applyBorder="1" applyAlignment="1">
      <alignment horizontal="center" vertical="center"/>
    </xf>
    <xf numFmtId="164" fontId="0" fillId="6" borderId="1" xfId="0" applyNumberFormat="1" applyFill="1" applyBorder="1" applyAlignment="1">
      <alignment horizontal="center"/>
    </xf>
    <xf numFmtId="0" fontId="0" fillId="6" borderId="10" xfId="0" applyFill="1" applyBorder="1" applyAlignment="1">
      <alignment horizontal="center"/>
    </xf>
    <xf numFmtId="164" fontId="0" fillId="6" borderId="14" xfId="0" applyNumberFormat="1" applyFill="1" applyBorder="1" applyAlignment="1">
      <alignment horizontal="center"/>
    </xf>
    <xf numFmtId="0" fontId="0" fillId="6" borderId="1" xfId="0" applyFill="1" applyBorder="1" applyAlignment="1">
      <alignment horizontal="center"/>
    </xf>
    <xf numFmtId="0" fontId="0" fillId="6" borderId="21" xfId="0" applyFill="1" applyBorder="1" applyAlignment="1">
      <alignment horizontal="center"/>
    </xf>
    <xf numFmtId="0" fontId="1" fillId="0" borderId="0" xfId="0" applyFont="1" applyAlignment="1">
      <alignment horizontal="center"/>
    </xf>
    <xf numFmtId="0" fontId="1" fillId="14" borderId="3" xfId="0" applyFont="1" applyFill="1" applyBorder="1" applyAlignment="1">
      <alignment horizontal="center"/>
    </xf>
    <xf numFmtId="164" fontId="0" fillId="14" borderId="1" xfId="0" applyNumberFormat="1" applyFill="1" applyBorder="1" applyAlignment="1">
      <alignment horizontal="center"/>
    </xf>
    <xf numFmtId="2" fontId="3" fillId="7" borderId="2" xfId="0" applyNumberFormat="1" applyFont="1" applyFill="1" applyBorder="1" applyAlignment="1">
      <alignment horizontal="center" vertical="center"/>
    </xf>
    <xf numFmtId="0" fontId="3" fillId="13" borderId="25" xfId="0" applyFont="1" applyFill="1" applyBorder="1" applyAlignment="1">
      <alignment horizontal="center" vertical="center"/>
    </xf>
    <xf numFmtId="0" fontId="3" fillId="13"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4"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13" borderId="30" xfId="0" applyNumberFormat="1" applyFont="1" applyFill="1" applyBorder="1" applyAlignment="1">
      <alignment vertical="center"/>
    </xf>
    <xf numFmtId="0" fontId="3" fillId="13" borderId="28" xfId="0" applyFont="1" applyFill="1" applyBorder="1" applyAlignment="1">
      <alignment vertical="center"/>
    </xf>
    <xf numFmtId="0" fontId="3" fillId="13" borderId="31" xfId="0" applyNumberFormat="1" applyFont="1" applyFill="1" applyBorder="1" applyAlignment="1">
      <alignment vertical="center"/>
    </xf>
    <xf numFmtId="0" fontId="3" fillId="13" borderId="23" xfId="0" applyFont="1" applyFill="1" applyBorder="1" applyAlignment="1">
      <alignment vertical="center"/>
    </xf>
    <xf numFmtId="0" fontId="3" fillId="13" borderId="32" xfId="0" applyNumberFormat="1" applyFont="1" applyFill="1" applyBorder="1" applyAlignment="1">
      <alignment vertical="center"/>
    </xf>
    <xf numFmtId="0" fontId="3" fillId="13" borderId="33" xfId="0" applyFont="1" applyFill="1" applyBorder="1" applyAlignment="1">
      <alignment vertical="center"/>
    </xf>
    <xf numFmtId="0" fontId="3" fillId="13" borderId="10" xfId="0" applyNumberFormat="1" applyFont="1" applyFill="1" applyBorder="1" applyAlignment="1">
      <alignment horizontal="center" vertical="center"/>
    </xf>
    <xf numFmtId="0" fontId="3" fillId="13" borderId="34" xfId="0" applyNumberFormat="1" applyFont="1" applyFill="1" applyBorder="1" applyAlignment="1">
      <alignment horizontal="center" vertical="center"/>
    </xf>
    <xf numFmtId="0" fontId="3" fillId="13" borderId="34" xfId="0" applyFont="1" applyFill="1" applyBorder="1" applyAlignment="1">
      <alignment horizontal="center" vertical="center"/>
    </xf>
    <xf numFmtId="0" fontId="3" fillId="13" borderId="29" xfId="0" applyFont="1" applyFill="1" applyBorder="1" applyAlignment="1">
      <alignment vertical="center"/>
    </xf>
    <xf numFmtId="0" fontId="3" fillId="8" borderId="7" xfId="0" applyFont="1" applyFill="1" applyBorder="1" applyAlignment="1">
      <alignment horizontal="center"/>
    </xf>
    <xf numFmtId="0" fontId="3" fillId="8" borderId="9" xfId="0" applyFont="1" applyFill="1" applyBorder="1" applyAlignment="1">
      <alignment horizontal="center"/>
    </xf>
    <xf numFmtId="0" fontId="3" fillId="8" borderId="17" xfId="0" applyFont="1" applyFill="1" applyBorder="1" applyAlignment="1">
      <alignment horizontal="center"/>
    </xf>
    <xf numFmtId="0" fontId="3" fillId="13" borderId="38" xfId="0" applyNumberFormat="1" applyFont="1" applyFill="1" applyBorder="1" applyAlignment="1">
      <alignment vertical="center"/>
    </xf>
    <xf numFmtId="0" fontId="3" fillId="13" borderId="1" xfId="0" applyNumberFormat="1" applyFont="1" applyFill="1" applyBorder="1" applyAlignment="1">
      <alignment vertical="center"/>
    </xf>
    <xf numFmtId="0" fontId="11" fillId="8" borderId="11" xfId="0" applyFont="1" applyFill="1" applyBorder="1" applyAlignment="1">
      <alignment horizontal="left"/>
    </xf>
    <xf numFmtId="0" fontId="2" fillId="6" borderId="1" xfId="0" applyFont="1" applyFill="1" applyBorder="1"/>
    <xf numFmtId="0" fontId="0" fillId="6" borderId="1" xfId="0" applyFill="1" applyBorder="1"/>
    <xf numFmtId="0" fontId="6" fillId="6" borderId="1" xfId="0" applyFont="1" applyFill="1" applyBorder="1" applyAlignment="1">
      <alignment horizontal="center"/>
    </xf>
    <xf numFmtId="0" fontId="0" fillId="0" borderId="1" xfId="0" applyFill="1" applyBorder="1"/>
    <xf numFmtId="0" fontId="0" fillId="0" borderId="1" xfId="0" applyFill="1" applyBorder="1" applyAlignment="1">
      <alignment horizontal="center"/>
    </xf>
    <xf numFmtId="0" fontId="2" fillId="6" borderId="1" xfId="0" applyFont="1" applyFill="1" applyBorder="1" applyAlignment="1">
      <alignment horizontal="right"/>
    </xf>
    <xf numFmtId="0" fontId="0" fillId="6" borderId="1" xfId="0" applyNumberFormat="1" applyFill="1" applyBorder="1" applyAlignment="1">
      <alignment horizontal="center"/>
    </xf>
    <xf numFmtId="0" fontId="0" fillId="6" borderId="1" xfId="0" applyNumberFormat="1" applyFill="1" applyBorder="1"/>
    <xf numFmtId="0" fontId="2" fillId="0" borderId="1" xfId="0" applyFont="1" applyBorder="1" applyAlignment="1">
      <alignment horizontal="center"/>
    </xf>
    <xf numFmtId="0" fontId="0" fillId="0" borderId="1" xfId="0" applyFont="1" applyBorder="1" applyAlignment="1">
      <alignment horizontal="center"/>
    </xf>
    <xf numFmtId="0" fontId="4" fillId="0" borderId="0" xfId="0" applyFont="1"/>
    <xf numFmtId="0" fontId="7" fillId="12" borderId="6" xfId="0" applyFont="1" applyFill="1" applyBorder="1" applyAlignment="1">
      <alignment horizontal="center" vertical="center" wrapText="1"/>
    </xf>
    <xf numFmtId="0" fontId="7" fillId="12" borderId="5" xfId="0" applyFont="1" applyFill="1" applyBorder="1" applyAlignment="1">
      <alignment horizontal="center" vertical="center" wrapText="1"/>
    </xf>
    <xf numFmtId="0" fontId="7" fillId="12" borderId="4" xfId="0" applyFont="1" applyFill="1" applyBorder="1" applyAlignment="1">
      <alignment horizontal="center" vertical="center" wrapText="1"/>
    </xf>
    <xf numFmtId="14" fontId="3" fillId="0" borderId="8" xfId="0" applyNumberFormat="1" applyFont="1" applyBorder="1" applyAlignment="1">
      <alignment horizontal="center" vertical="center"/>
    </xf>
    <xf numFmtId="0" fontId="3" fillId="0" borderId="15"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0" xfId="0" applyNumberFormat="1" applyFont="1" applyBorder="1" applyAlignment="1">
      <alignment horizontal="center" vertical="center"/>
    </xf>
    <xf numFmtId="0" fontId="3" fillId="0" borderId="35" xfId="0" applyFont="1" applyBorder="1" applyAlignment="1">
      <alignment horizontal="center" vertical="center"/>
    </xf>
    <xf numFmtId="0" fontId="3" fillId="0" borderId="34" xfId="0" applyFont="1" applyBorder="1" applyAlignment="1">
      <alignment horizontal="left" vertical="center"/>
    </xf>
    <xf numFmtId="0" fontId="3" fillId="0" borderId="36" xfId="0" applyFont="1" applyBorder="1" applyAlignment="1">
      <alignment horizontal="left" vertical="center"/>
    </xf>
    <xf numFmtId="0" fontId="3" fillId="0" borderId="37" xfId="0" applyFont="1" applyBorder="1" applyAlignment="1">
      <alignment horizontal="left" vertical="center"/>
    </xf>
    <xf numFmtId="0" fontId="3" fillId="0" borderId="3" xfId="0" applyFont="1" applyBorder="1" applyAlignment="1">
      <alignment horizontal="left" vertical="center"/>
    </xf>
    <xf numFmtId="0" fontId="3" fillId="0" borderId="13" xfId="0" applyFont="1" applyBorder="1" applyAlignment="1">
      <alignment horizontal="left" vertical="center"/>
    </xf>
    <xf numFmtId="0" fontId="3" fillId="0" borderId="19" xfId="0" applyFont="1" applyBorder="1" applyAlignment="1">
      <alignment horizontal="left" vertical="center"/>
    </xf>
    <xf numFmtId="0" fontId="3" fillId="0" borderId="25"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7" fillId="11" borderId="6" xfId="0" applyFont="1" applyFill="1" applyBorder="1" applyAlignment="1">
      <alignment horizontal="left"/>
    </xf>
    <xf numFmtId="0" fontId="7" fillId="11" borderId="5" xfId="0" applyFont="1" applyFill="1" applyBorder="1" applyAlignment="1">
      <alignment horizontal="left"/>
    </xf>
    <xf numFmtId="164" fontId="7" fillId="11" borderId="6" xfId="0" applyNumberFormat="1" applyFont="1" applyFill="1" applyBorder="1" applyAlignment="1">
      <alignment horizontal="left"/>
    </xf>
    <xf numFmtId="164" fontId="7" fillId="11" borderId="5" xfId="0" applyNumberFormat="1" applyFont="1" applyFill="1" applyBorder="1" applyAlignment="1">
      <alignment horizontal="left"/>
    </xf>
    <xf numFmtId="0" fontId="1" fillId="0" borderId="18" xfId="0" applyFont="1" applyBorder="1" applyAlignment="1">
      <alignment horizontal="center" vertical="center" wrapText="1"/>
    </xf>
    <xf numFmtId="0" fontId="1" fillId="0" borderId="20" xfId="0" applyFont="1" applyBorder="1" applyAlignment="1">
      <alignment horizontal="center" vertical="center"/>
    </xf>
    <xf numFmtId="0" fontId="1" fillId="0" borderId="21" xfId="0" applyFont="1" applyBorder="1" applyAlignment="1">
      <alignment horizontal="center" vertical="center" wrapText="1"/>
    </xf>
    <xf numFmtId="0" fontId="1" fillId="0" borderId="2" xfId="0" applyFont="1" applyBorder="1" applyAlignment="1">
      <alignment horizontal="center" vertical="center" wrapText="1"/>
    </xf>
    <xf numFmtId="0" fontId="1" fillId="2" borderId="6"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7" fillId="11" borderId="6" xfId="0" applyFont="1" applyFill="1" applyBorder="1" applyAlignment="1">
      <alignment horizontal="left" wrapText="1"/>
    </xf>
    <xf numFmtId="0" fontId="1" fillId="0" borderId="20" xfId="0" applyFont="1" applyBorder="1" applyAlignment="1">
      <alignment horizontal="center" vertical="center" wrapText="1"/>
    </xf>
    <xf numFmtId="0" fontId="1" fillId="0" borderId="24" xfId="0" applyFont="1" applyBorder="1" applyAlignment="1">
      <alignment horizontal="center" vertical="center" wrapText="1"/>
    </xf>
    <xf numFmtId="164" fontId="7" fillId="11" borderId="6" xfId="0" applyNumberFormat="1" applyFont="1" applyFill="1" applyBorder="1" applyAlignment="1">
      <alignment horizontal="left" vertical="center"/>
    </xf>
    <xf numFmtId="164" fontId="7" fillId="11" borderId="5" xfId="0" applyNumberFormat="1" applyFont="1" applyFill="1" applyBorder="1" applyAlignment="1">
      <alignment horizontal="left" vertical="center"/>
    </xf>
  </cellXfs>
  <cellStyles count="7">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s>
  <dxfs count="9">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styles" Target="styles.xml"/><Relationship Id="rId3" Type="http://schemas.openxmlformats.org/officeDocument/2006/relationships/chartsheet" Target="chartsheets/sheet1.xml"/><Relationship Id="rId7" Type="http://schemas.openxmlformats.org/officeDocument/2006/relationships/chartsheet" Target="chartsheets/sheet3.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externalLink" Target="externalLinks/externalLink2.xml"/><Relationship Id="rId5" Type="http://schemas.openxmlformats.org/officeDocument/2006/relationships/chartsheet" Target="chartsheets/sheet2.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3.xml"/><Relationship Id="rId9" Type="http://schemas.openxmlformats.org/officeDocument/2006/relationships/chartsheet" Target="chartsheets/sheet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'R1'!$O$48:$V$48</c:f>
                <c:numCache>
                  <c:formatCode>General</c:formatCode>
                  <c:ptCount val="8"/>
                  <c:pt idx="0">
                    <c:v>0.11959526714459065</c:v>
                  </c:pt>
                  <c:pt idx="1">
                    <c:v>0.15816847873917955</c:v>
                  </c:pt>
                  <c:pt idx="2">
                    <c:v>4.4835415047311887E-2</c:v>
                  </c:pt>
                  <c:pt idx="3">
                    <c:v>0.15132171568330777</c:v>
                  </c:pt>
                  <c:pt idx="4">
                    <c:v>6.252518843719633E-2</c:v>
                  </c:pt>
                  <c:pt idx="5">
                    <c:v>8.956419987295218E-2</c:v>
                  </c:pt>
                  <c:pt idx="6">
                    <c:v>0.12558293911430909</c:v>
                  </c:pt>
                  <c:pt idx="7">
                    <c:v>5.5276094992243778E-2</c:v>
                  </c:pt>
                </c:numCache>
              </c:numRef>
            </c:plus>
            <c:minus>
              <c:numRef>
                <c:f>'R1'!$O$48:$V$48</c:f>
                <c:numCache>
                  <c:formatCode>General</c:formatCode>
                  <c:ptCount val="8"/>
                  <c:pt idx="0">
                    <c:v>0.11959526714459065</c:v>
                  </c:pt>
                  <c:pt idx="1">
                    <c:v>0.15816847873917955</c:v>
                  </c:pt>
                  <c:pt idx="2">
                    <c:v>4.4835415047311887E-2</c:v>
                  </c:pt>
                  <c:pt idx="3">
                    <c:v>0.15132171568330777</c:v>
                  </c:pt>
                  <c:pt idx="4">
                    <c:v>6.252518843719633E-2</c:v>
                  </c:pt>
                  <c:pt idx="5">
                    <c:v>8.956419987295218E-2</c:v>
                  </c:pt>
                  <c:pt idx="6">
                    <c:v>0.12558293911430909</c:v>
                  </c:pt>
                  <c:pt idx="7">
                    <c:v>5.5276094992243778E-2</c:v>
                  </c:pt>
                </c:numCache>
              </c:numRef>
            </c:minus>
          </c:errBars>
          <c:cat>
            <c:strRef>
              <c:f>'R1'!$B$52:$V$52</c:f>
              <c:strCache>
                <c:ptCount val="21"/>
                <c:pt idx="0">
                  <c:v>Solvent control</c:v>
                </c:pt>
                <c:pt idx="1">
                  <c:v>EE2-33.8ng/L</c:v>
                </c:pt>
                <c:pt idx="2">
                  <c:v>EE2-50.6ng/L</c:v>
                </c:pt>
                <c:pt idx="3">
                  <c:v>EE2-76ng/L</c:v>
                </c:pt>
                <c:pt idx="4">
                  <c:v>EE2-114ng/L</c:v>
                </c:pt>
                <c:pt idx="5">
                  <c:v>EE2-170.9ng/L</c:v>
                </c:pt>
                <c:pt idx="6">
                  <c:v>EE2-488ng/L</c:v>
                </c:pt>
                <c:pt idx="7">
                  <c:v>prochroraz-0.063mg/L</c:v>
                </c:pt>
                <c:pt idx="8">
                  <c:v>prochroraz-0.13mg/L</c:v>
                </c:pt>
                <c:pt idx="9">
                  <c:v>prochroraz-0.25mg/L</c:v>
                </c:pt>
                <c:pt idx="10">
                  <c:v>prochroraz-0.5mg/L</c:v>
                </c:pt>
                <c:pt idx="11">
                  <c:v>prochroraz-1mg/L</c:v>
                </c:pt>
                <c:pt idx="13">
                  <c:v>Testo -30µg/L</c:v>
                </c:pt>
                <c:pt idx="14">
                  <c:v>Testo 30µg/L + EE2 -64ng/L</c:v>
                </c:pt>
                <c:pt idx="15">
                  <c:v>Testo 30µg/L + FAD-10mg/L</c:v>
                </c:pt>
                <c:pt idx="16">
                  <c:v>prochroraz-0.063mg/L + Testostérone</c:v>
                </c:pt>
                <c:pt idx="17">
                  <c:v>prochroraz-0.13mg/L + Testostérone</c:v>
                </c:pt>
                <c:pt idx="18">
                  <c:v>prochroraz-0.25mg/L + Testostérone</c:v>
                </c:pt>
                <c:pt idx="19">
                  <c:v>prochroraz-0.5mg/L + Testostérone</c:v>
                </c:pt>
                <c:pt idx="20">
                  <c:v>prochroraz-1mg/L + Testostérone</c:v>
                </c:pt>
              </c:strCache>
            </c:strRef>
          </c:cat>
          <c:val>
            <c:numRef>
              <c:f>'R1'!$B$53:$V$53</c:f>
              <c:numCache>
                <c:formatCode>0.0000</c:formatCode>
                <c:ptCount val="21"/>
                <c:pt idx="0">
                  <c:v>0.15307795468890611</c:v>
                </c:pt>
                <c:pt idx="1">
                  <c:v>0.41059017230802186</c:v>
                </c:pt>
                <c:pt idx="2">
                  <c:v>0.69189991308612753</c:v>
                </c:pt>
                <c:pt idx="3">
                  <c:v>0.75846922980582898</c:v>
                </c:pt>
                <c:pt idx="4">
                  <c:v>1.6267324284946603</c:v>
                </c:pt>
                <c:pt idx="5">
                  <c:v>1.724853457172796</c:v>
                </c:pt>
                <c:pt idx="6">
                  <c:v>2.2872748107521952</c:v>
                </c:pt>
                <c:pt idx="7">
                  <c:v>0.15798407252711025</c:v>
                </c:pt>
                <c:pt idx="8">
                  <c:v>9.6148577875747293E-2</c:v>
                </c:pt>
                <c:pt idx="9">
                  <c:v>0.26182183781262897</c:v>
                </c:pt>
                <c:pt idx="10">
                  <c:v>0.11162893473169309</c:v>
                </c:pt>
                <c:pt idx="11">
                  <c:v>0.20317000834758134</c:v>
                </c:pt>
                <c:pt idx="12">
                  <c:v>0</c:v>
                </c:pt>
                <c:pt idx="13">
                  <c:v>0.99999999999999989</c:v>
                </c:pt>
                <c:pt idx="14">
                  <c:v>1.577058067219125</c:v>
                </c:pt>
                <c:pt idx="15">
                  <c:v>0.18642499567740758</c:v>
                </c:pt>
                <c:pt idx="16">
                  <c:v>0.71417376626029638</c:v>
                </c:pt>
                <c:pt idx="17">
                  <c:v>0.42652490290686312</c:v>
                </c:pt>
                <c:pt idx="18">
                  <c:v>0.24719452365443129</c:v>
                </c:pt>
                <c:pt idx="19">
                  <c:v>0.3645980883175472</c:v>
                </c:pt>
                <c:pt idx="20">
                  <c:v>0.21317414309065486</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54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rgbClr val="C00000"/>
            </a:solidFill>
          </c:spPr>
          <c:invertIfNegative val="0"/>
          <c:dPt>
            <c:idx val="9"/>
            <c:invertIfNegative val="0"/>
            <c:bubble3D val="0"/>
            <c:extLst>
              <c:ext xmlns:c16="http://schemas.microsoft.com/office/drawing/2014/chart" uri="{C3380CC4-5D6E-409C-BE32-E72D297353CC}">
                <c16:uniqueId val="{00000001-EED2-4ACE-91AA-7F8713196E92}"/>
              </c:ext>
            </c:extLst>
          </c:dPt>
          <c:dPt>
            <c:idx val="11"/>
            <c:invertIfNegative val="0"/>
            <c:bubble3D val="0"/>
            <c:extLst>
              <c:ext xmlns:c16="http://schemas.microsoft.com/office/drawing/2014/chart" uri="{C3380CC4-5D6E-409C-BE32-E72D297353CC}">
                <c16:uniqueId val="{00000003-EED2-4ACE-91AA-7F8713196E92}"/>
              </c:ext>
            </c:extLst>
          </c:dPt>
          <c:dPt>
            <c:idx val="13"/>
            <c:invertIfNegative val="0"/>
            <c:bubble3D val="0"/>
            <c:extLst>
              <c:ext xmlns:c16="http://schemas.microsoft.com/office/drawing/2014/chart" uri="{C3380CC4-5D6E-409C-BE32-E72D297353CC}">
                <c16:uniqueId val="{00000005-EED2-4ACE-91AA-7F8713196E92}"/>
              </c:ext>
            </c:extLst>
          </c:dPt>
          <c:dPt>
            <c:idx val="15"/>
            <c:invertIfNegative val="0"/>
            <c:bubble3D val="0"/>
            <c:extLst>
              <c:ext xmlns:c16="http://schemas.microsoft.com/office/drawing/2014/chart" uri="{C3380CC4-5D6E-409C-BE32-E72D297353CC}">
                <c16:uniqueId val="{00000007-EED2-4ACE-91AA-7F8713196E92}"/>
              </c:ext>
            </c:extLst>
          </c:dPt>
          <c:dPt>
            <c:idx val="25"/>
            <c:invertIfNegative val="0"/>
            <c:bubble3D val="0"/>
            <c:extLst>
              <c:ext xmlns:c16="http://schemas.microsoft.com/office/drawing/2014/chart" uri="{C3380CC4-5D6E-409C-BE32-E72D297353CC}">
                <c16:uniqueId val="{00000009-EED2-4ACE-91AA-7F8713196E92}"/>
              </c:ext>
            </c:extLst>
          </c:dPt>
          <c:dPt>
            <c:idx val="26"/>
            <c:invertIfNegative val="0"/>
            <c:bubble3D val="0"/>
            <c:extLst>
              <c:ext xmlns:c16="http://schemas.microsoft.com/office/drawing/2014/chart" uri="{C3380CC4-5D6E-409C-BE32-E72D297353CC}">
                <c16:uniqueId val="{0000000B-EED2-4ACE-91AA-7F8713196E92}"/>
              </c:ext>
            </c:extLst>
          </c:dPt>
          <c:dPt>
            <c:idx val="27"/>
            <c:invertIfNegative val="0"/>
            <c:bubble3D val="0"/>
            <c:extLst>
              <c:ext xmlns:c16="http://schemas.microsoft.com/office/drawing/2014/chart" uri="{C3380CC4-5D6E-409C-BE32-E72D297353CC}">
                <c16:uniqueId val="{0000000D-EED2-4ACE-91AA-7F8713196E92}"/>
              </c:ext>
            </c:extLst>
          </c:dPt>
          <c:dPt>
            <c:idx val="28"/>
            <c:invertIfNegative val="0"/>
            <c:bubble3D val="0"/>
            <c:extLst>
              <c:ext xmlns:c16="http://schemas.microsoft.com/office/drawing/2014/chart" uri="{C3380CC4-5D6E-409C-BE32-E72D297353CC}">
                <c16:uniqueId val="{0000000F-EED2-4ACE-91AA-7F8713196E92}"/>
              </c:ext>
            </c:extLst>
          </c:dPt>
          <c:dPt>
            <c:idx val="30"/>
            <c:invertIfNegative val="0"/>
            <c:bubble3D val="0"/>
            <c:extLst>
              <c:ext xmlns:c16="http://schemas.microsoft.com/office/drawing/2014/chart" uri="{C3380CC4-5D6E-409C-BE32-E72D297353CC}">
                <c16:uniqueId val="{00000011-EED2-4ACE-91AA-7F8713196E92}"/>
              </c:ext>
            </c:extLst>
          </c:dPt>
          <c:dPt>
            <c:idx val="32"/>
            <c:invertIfNegative val="0"/>
            <c:bubble3D val="0"/>
            <c:extLst>
              <c:ext xmlns:c16="http://schemas.microsoft.com/office/drawing/2014/chart" uri="{C3380CC4-5D6E-409C-BE32-E72D297353CC}">
                <c16:uniqueId val="{00000013-EED2-4ACE-91AA-7F8713196E92}"/>
              </c:ext>
            </c:extLst>
          </c:dPt>
          <c:dPt>
            <c:idx val="34"/>
            <c:invertIfNegative val="0"/>
            <c:bubble3D val="0"/>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2.1540041922332592E-2</c:v>
                  </c:pt>
                  <c:pt idx="1">
                    <c:v>6.4486473507433167E-2</c:v>
                  </c:pt>
                  <c:pt idx="2">
                    <c:v>6.239208585818834E-2</c:v>
                  </c:pt>
                  <c:pt idx="3">
                    <c:v>0.16521040236489806</c:v>
                  </c:pt>
                  <c:pt idx="4">
                    <c:v>0.11496758312757682</c:v>
                  </c:pt>
                  <c:pt idx="5">
                    <c:v>0.17276662044091054</c:v>
                  </c:pt>
                  <c:pt idx="6">
                    <c:v>0.31813667972427911</c:v>
                  </c:pt>
                  <c:pt idx="7">
                    <c:v>8.6989700510230847E-2</c:v>
                  </c:pt>
                  <c:pt idx="8">
                    <c:v>3.8656647331046241E-2</c:v>
                  </c:pt>
                  <c:pt idx="9">
                    <c:v>7.8062734249958285E-2</c:v>
                  </c:pt>
                  <c:pt idx="10">
                    <c:v>2.8898561304902783E-2</c:v>
                  </c:pt>
                  <c:pt idx="11">
                    <c:v>3.3673278791920586E-2</c:v>
                  </c:pt>
                  <c:pt idx="12">
                    <c:v>0</c:v>
                  </c:pt>
                  <c:pt idx="13">
                    <c:v>9.2343432842551365E-2</c:v>
                  </c:pt>
                  <c:pt idx="14">
                    <c:v>0.16688610703361614</c:v>
                  </c:pt>
                  <c:pt idx="15">
                    <c:v>2.0032928790144424E-2</c:v>
                  </c:pt>
                  <c:pt idx="16">
                    <c:v>0.15360573417549511</c:v>
                  </c:pt>
                  <c:pt idx="17">
                    <c:v>6.3396459375373485E-2</c:v>
                  </c:pt>
                  <c:pt idx="18">
                    <c:v>4.8141507798080338E-2</c:v>
                  </c:pt>
                  <c:pt idx="19">
                    <c:v>3.8119892103305776E-2</c:v>
                  </c:pt>
                  <c:pt idx="20">
                    <c:v>4.2240366776832371E-2</c:v>
                  </c:pt>
                </c:numCache>
              </c:numRef>
            </c:plus>
            <c:minus>
              <c:numRef>
                <c:f>'R1'!$O$48:$V$48</c:f>
                <c:numCache>
                  <c:formatCode>General</c:formatCode>
                  <c:ptCount val="8"/>
                  <c:pt idx="0">
                    <c:v>0.11959526714459065</c:v>
                  </c:pt>
                  <c:pt idx="1">
                    <c:v>0.15816847873917955</c:v>
                  </c:pt>
                  <c:pt idx="2">
                    <c:v>4.4835415047311887E-2</c:v>
                  </c:pt>
                  <c:pt idx="3">
                    <c:v>0.15132171568330777</c:v>
                  </c:pt>
                  <c:pt idx="4">
                    <c:v>6.252518843719633E-2</c:v>
                  </c:pt>
                  <c:pt idx="5">
                    <c:v>8.956419987295218E-2</c:v>
                  </c:pt>
                  <c:pt idx="6">
                    <c:v>0.12558293911430909</c:v>
                  </c:pt>
                  <c:pt idx="7">
                    <c:v>5.5276094992243778E-2</c:v>
                  </c:pt>
                </c:numCache>
              </c:numRef>
            </c:minus>
          </c:errBars>
          <c:cat>
            <c:strRef>
              <c:f>'R2'!$B$52:$V$52</c:f>
              <c:strCache>
                <c:ptCount val="21"/>
                <c:pt idx="0">
                  <c:v>Solvent control</c:v>
                </c:pt>
                <c:pt idx="1">
                  <c:v>EE2-33.8ng/L</c:v>
                </c:pt>
                <c:pt idx="2">
                  <c:v>EE2-50.6ng/L</c:v>
                </c:pt>
                <c:pt idx="3">
                  <c:v>EE2-76ng/L</c:v>
                </c:pt>
                <c:pt idx="4">
                  <c:v>EE2-114ng/L</c:v>
                </c:pt>
                <c:pt idx="5">
                  <c:v>EE2-170.9ng/L</c:v>
                </c:pt>
                <c:pt idx="6">
                  <c:v>EE2-488ng/L</c:v>
                </c:pt>
                <c:pt idx="7">
                  <c:v>prochroraz-0.063mg/L</c:v>
                </c:pt>
                <c:pt idx="8">
                  <c:v>prochroraz-0.13mg/L</c:v>
                </c:pt>
                <c:pt idx="9">
                  <c:v>prochroraz-0.25mg/L</c:v>
                </c:pt>
                <c:pt idx="10">
                  <c:v>prochroraz-0.5mg/L</c:v>
                </c:pt>
                <c:pt idx="11">
                  <c:v>prochroraz-1mg/L</c:v>
                </c:pt>
                <c:pt idx="13">
                  <c:v>Testo -30µg/L</c:v>
                </c:pt>
                <c:pt idx="14">
                  <c:v>Testo 30µg/L + EE2 -64ng/L</c:v>
                </c:pt>
                <c:pt idx="15">
                  <c:v>Testo 30µg/L + FAD-10mg/L</c:v>
                </c:pt>
                <c:pt idx="16">
                  <c:v>prochroraz-0.063mg/L + Testostérone</c:v>
                </c:pt>
                <c:pt idx="17">
                  <c:v>prochroraz-0.13mg/L + Testostérone</c:v>
                </c:pt>
                <c:pt idx="18">
                  <c:v>prochroraz-0.25mg/L + Testostérone</c:v>
                </c:pt>
                <c:pt idx="19">
                  <c:v>prochroraz-0.5mg/L + Testostérone</c:v>
                </c:pt>
                <c:pt idx="20">
                  <c:v>prochroraz-1mg/L + Testostérone</c:v>
                </c:pt>
              </c:strCache>
            </c:strRef>
          </c:cat>
          <c:val>
            <c:numRef>
              <c:f>'R2'!$B$53:$V$53</c:f>
              <c:numCache>
                <c:formatCode>0.0000</c:formatCode>
                <c:ptCount val="21"/>
                <c:pt idx="0">
                  <c:v>6.5203173609967469E-2</c:v>
                </c:pt>
                <c:pt idx="1">
                  <c:v>0.29501221554749119</c:v>
                </c:pt>
                <c:pt idx="2">
                  <c:v>0.52328646701648029</c:v>
                </c:pt>
                <c:pt idx="3">
                  <c:v>0.94434749608959312</c:v>
                </c:pt>
                <c:pt idx="4">
                  <c:v>1.3856813236523615</c:v>
                </c:pt>
                <c:pt idx="5">
                  <c:v>2.3893560175689585</c:v>
                </c:pt>
                <c:pt idx="6">
                  <c:v>3.0665407917752394</c:v>
                </c:pt>
                <c:pt idx="7">
                  <c:v>0.31345647485172717</c:v>
                </c:pt>
                <c:pt idx="8">
                  <c:v>0.14517260907456839</c:v>
                </c:pt>
                <c:pt idx="9">
                  <c:v>0.19365130161612257</c:v>
                </c:pt>
                <c:pt idx="10">
                  <c:v>0.24521961826554659</c:v>
                </c:pt>
                <c:pt idx="11">
                  <c:v>0.16892632001604818</c:v>
                </c:pt>
                <c:pt idx="12">
                  <c:v>0</c:v>
                </c:pt>
                <c:pt idx="13">
                  <c:v>1</c:v>
                </c:pt>
                <c:pt idx="14">
                  <c:v>1.3532172529709128</c:v>
                </c:pt>
                <c:pt idx="15">
                  <c:v>4.6632894830842916E-2</c:v>
                </c:pt>
                <c:pt idx="16">
                  <c:v>0.63333172022978212</c:v>
                </c:pt>
                <c:pt idx="17">
                  <c:v>0.27408707960988504</c:v>
                </c:pt>
                <c:pt idx="18">
                  <c:v>0.14329094193420511</c:v>
                </c:pt>
                <c:pt idx="19">
                  <c:v>0.1030339979987468</c:v>
                </c:pt>
                <c:pt idx="20">
                  <c:v>0.11673296457464827</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tx2"/>
            </a:solidFill>
          </c:spPr>
          <c:invertIfNegative val="0"/>
          <c:dPt>
            <c:idx val="9"/>
            <c:invertIfNegative val="0"/>
            <c:bubble3D val="0"/>
            <c:extLst>
              <c:ext xmlns:c16="http://schemas.microsoft.com/office/drawing/2014/chart" uri="{C3380CC4-5D6E-409C-BE32-E72D297353CC}">
                <c16:uniqueId val="{00000001-EED2-4ACE-91AA-7F8713196E92}"/>
              </c:ext>
            </c:extLst>
          </c:dPt>
          <c:dPt>
            <c:idx val="11"/>
            <c:invertIfNegative val="0"/>
            <c:bubble3D val="0"/>
            <c:extLst>
              <c:ext xmlns:c16="http://schemas.microsoft.com/office/drawing/2014/chart" uri="{C3380CC4-5D6E-409C-BE32-E72D297353CC}">
                <c16:uniqueId val="{00000003-EED2-4ACE-91AA-7F8713196E92}"/>
              </c:ext>
            </c:extLst>
          </c:dPt>
          <c:dPt>
            <c:idx val="13"/>
            <c:invertIfNegative val="0"/>
            <c:bubble3D val="0"/>
            <c:extLst>
              <c:ext xmlns:c16="http://schemas.microsoft.com/office/drawing/2014/chart" uri="{C3380CC4-5D6E-409C-BE32-E72D297353CC}">
                <c16:uniqueId val="{00000005-EED2-4ACE-91AA-7F8713196E92}"/>
              </c:ext>
            </c:extLst>
          </c:dPt>
          <c:dPt>
            <c:idx val="15"/>
            <c:invertIfNegative val="0"/>
            <c:bubble3D val="0"/>
            <c:extLst>
              <c:ext xmlns:c16="http://schemas.microsoft.com/office/drawing/2014/chart" uri="{C3380CC4-5D6E-409C-BE32-E72D297353CC}">
                <c16:uniqueId val="{00000007-EED2-4ACE-91AA-7F8713196E92}"/>
              </c:ext>
            </c:extLst>
          </c:dPt>
          <c:dPt>
            <c:idx val="25"/>
            <c:invertIfNegative val="0"/>
            <c:bubble3D val="0"/>
            <c:extLst>
              <c:ext xmlns:c16="http://schemas.microsoft.com/office/drawing/2014/chart" uri="{C3380CC4-5D6E-409C-BE32-E72D297353CC}">
                <c16:uniqueId val="{00000009-EED2-4ACE-91AA-7F8713196E92}"/>
              </c:ext>
            </c:extLst>
          </c:dPt>
          <c:dPt>
            <c:idx val="26"/>
            <c:invertIfNegative val="0"/>
            <c:bubble3D val="0"/>
            <c:extLst>
              <c:ext xmlns:c16="http://schemas.microsoft.com/office/drawing/2014/chart" uri="{C3380CC4-5D6E-409C-BE32-E72D297353CC}">
                <c16:uniqueId val="{0000000B-EED2-4ACE-91AA-7F8713196E92}"/>
              </c:ext>
            </c:extLst>
          </c:dPt>
          <c:dPt>
            <c:idx val="27"/>
            <c:invertIfNegative val="0"/>
            <c:bubble3D val="0"/>
            <c:extLst>
              <c:ext xmlns:c16="http://schemas.microsoft.com/office/drawing/2014/chart" uri="{C3380CC4-5D6E-409C-BE32-E72D297353CC}">
                <c16:uniqueId val="{0000000D-EED2-4ACE-91AA-7F8713196E92}"/>
              </c:ext>
            </c:extLst>
          </c:dPt>
          <c:dPt>
            <c:idx val="28"/>
            <c:invertIfNegative val="0"/>
            <c:bubble3D val="0"/>
            <c:extLst>
              <c:ext xmlns:c16="http://schemas.microsoft.com/office/drawing/2014/chart" uri="{C3380CC4-5D6E-409C-BE32-E72D297353CC}">
                <c16:uniqueId val="{0000000F-EED2-4ACE-91AA-7F8713196E92}"/>
              </c:ext>
            </c:extLst>
          </c:dPt>
          <c:dPt>
            <c:idx val="30"/>
            <c:invertIfNegative val="0"/>
            <c:bubble3D val="0"/>
            <c:extLst>
              <c:ext xmlns:c16="http://schemas.microsoft.com/office/drawing/2014/chart" uri="{C3380CC4-5D6E-409C-BE32-E72D297353CC}">
                <c16:uniqueId val="{00000011-EED2-4ACE-91AA-7F8713196E92}"/>
              </c:ext>
            </c:extLst>
          </c:dPt>
          <c:dPt>
            <c:idx val="32"/>
            <c:invertIfNegative val="0"/>
            <c:bubble3D val="0"/>
            <c:extLst>
              <c:ext xmlns:c16="http://schemas.microsoft.com/office/drawing/2014/chart" uri="{C3380CC4-5D6E-409C-BE32-E72D297353CC}">
                <c16:uniqueId val="{00000013-EED2-4ACE-91AA-7F8713196E92}"/>
              </c:ext>
            </c:extLst>
          </c:dPt>
          <c:dPt>
            <c:idx val="34"/>
            <c:invertIfNegative val="0"/>
            <c:bubble3D val="0"/>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4.2519232552547095E-2</c:v>
                  </c:pt>
                  <c:pt idx="1">
                    <c:v>5.0453203759963414E-2</c:v>
                  </c:pt>
                  <c:pt idx="2">
                    <c:v>6.3484688336414227E-2</c:v>
                  </c:pt>
                  <c:pt idx="3">
                    <c:v>0.10106192807394061</c:v>
                  </c:pt>
                  <c:pt idx="4">
                    <c:v>0.14843821742446653</c:v>
                  </c:pt>
                  <c:pt idx="5">
                    <c:v>0.18310794630148017</c:v>
                  </c:pt>
                  <c:pt idx="6">
                    <c:v>0.22419514413801772</c:v>
                  </c:pt>
                  <c:pt idx="7">
                    <c:v>4.301045817161208E-2</c:v>
                  </c:pt>
                  <c:pt idx="8">
                    <c:v>3.7454001840075767E-2</c:v>
                  </c:pt>
                  <c:pt idx="9">
                    <c:v>6.9673982778565319E-2</c:v>
                  </c:pt>
                  <c:pt idx="10">
                    <c:v>4.5763615507013591E-2</c:v>
                  </c:pt>
                  <c:pt idx="11">
                    <c:v>3.3323963878670725E-2</c:v>
                  </c:pt>
                  <c:pt idx="12">
                    <c:v>0</c:v>
                  </c:pt>
                  <c:pt idx="13">
                    <c:v>6.7626863252341601E-2</c:v>
                  </c:pt>
                  <c:pt idx="14">
                    <c:v>0.17310979256194312</c:v>
                  </c:pt>
                  <c:pt idx="15">
                    <c:v>2.2530050707009121E-2</c:v>
                  </c:pt>
                  <c:pt idx="16">
                    <c:v>0.13900218596235597</c:v>
                  </c:pt>
                  <c:pt idx="17">
                    <c:v>0.12014248729673492</c:v>
                  </c:pt>
                  <c:pt idx="18">
                    <c:v>0.11472729569089869</c:v>
                  </c:pt>
                  <c:pt idx="19">
                    <c:v>9.6460206193978826E-2</c:v>
                  </c:pt>
                  <c:pt idx="20">
                    <c:v>8.537917296804623E-2</c:v>
                  </c:pt>
                </c:numCache>
              </c:numRef>
            </c:plus>
            <c:minus>
              <c:numRef>
                <c:f>'R1'!$O$48:$V$48</c:f>
                <c:numCache>
                  <c:formatCode>General</c:formatCode>
                  <c:ptCount val="8"/>
                  <c:pt idx="0">
                    <c:v>0.11959526714459065</c:v>
                  </c:pt>
                  <c:pt idx="1">
                    <c:v>0.15816847873917955</c:v>
                  </c:pt>
                  <c:pt idx="2">
                    <c:v>4.4835415047311887E-2</c:v>
                  </c:pt>
                  <c:pt idx="3">
                    <c:v>0.15132171568330777</c:v>
                  </c:pt>
                  <c:pt idx="4">
                    <c:v>6.252518843719633E-2</c:v>
                  </c:pt>
                  <c:pt idx="5">
                    <c:v>8.956419987295218E-2</c:v>
                  </c:pt>
                  <c:pt idx="6">
                    <c:v>0.12558293911430909</c:v>
                  </c:pt>
                  <c:pt idx="7">
                    <c:v>5.5276094992243778E-2</c:v>
                  </c:pt>
                </c:numCache>
              </c:numRef>
            </c:minus>
          </c:errBars>
          <c:cat>
            <c:strRef>
              <c:f>'R3'!$B$52:$V$52</c:f>
              <c:strCache>
                <c:ptCount val="21"/>
                <c:pt idx="0">
                  <c:v>Solvent control</c:v>
                </c:pt>
                <c:pt idx="1">
                  <c:v>EE2-33.8ng/L</c:v>
                </c:pt>
                <c:pt idx="2">
                  <c:v>EE2-50.6ng/L</c:v>
                </c:pt>
                <c:pt idx="3">
                  <c:v>EE2-76ng/L</c:v>
                </c:pt>
                <c:pt idx="4">
                  <c:v>EE2-114ng/L</c:v>
                </c:pt>
                <c:pt idx="5">
                  <c:v>EE2-170.9ng/L</c:v>
                </c:pt>
                <c:pt idx="6">
                  <c:v>EE2-488ng/L</c:v>
                </c:pt>
                <c:pt idx="7">
                  <c:v>prochroraz-0.063mg/L</c:v>
                </c:pt>
                <c:pt idx="8">
                  <c:v>prochroraz-0.13mg/L</c:v>
                </c:pt>
                <c:pt idx="9">
                  <c:v>prochroraz-0.25mg/L</c:v>
                </c:pt>
                <c:pt idx="10">
                  <c:v>prochroraz-0.5mg/L</c:v>
                </c:pt>
                <c:pt idx="11">
                  <c:v>prochroraz-1mg/L</c:v>
                </c:pt>
                <c:pt idx="13">
                  <c:v>Testo -30µg/L</c:v>
                </c:pt>
                <c:pt idx="14">
                  <c:v>Testo 30µg/L + EE2 -64ng/L</c:v>
                </c:pt>
                <c:pt idx="15">
                  <c:v>Testo 30µg/L + FAD-10mg/L</c:v>
                </c:pt>
                <c:pt idx="16">
                  <c:v>prochroraz-0.063mg/L + Testostérone</c:v>
                </c:pt>
                <c:pt idx="17">
                  <c:v>prochroraz-0.13mg/L + Testostérone</c:v>
                </c:pt>
                <c:pt idx="18">
                  <c:v>prochroraz-0.25mg/L + Testostérone</c:v>
                </c:pt>
                <c:pt idx="19">
                  <c:v>prochroraz-0.5mg/L + Testostérone</c:v>
                </c:pt>
                <c:pt idx="20">
                  <c:v>prochroraz-1mg/L + Testostérone</c:v>
                </c:pt>
              </c:strCache>
            </c:strRef>
          </c:cat>
          <c:val>
            <c:numRef>
              <c:f>'R3'!$B$53:$V$53</c:f>
              <c:numCache>
                <c:formatCode>0.0000</c:formatCode>
                <c:ptCount val="21"/>
                <c:pt idx="0">
                  <c:v>0.19542672817297607</c:v>
                </c:pt>
                <c:pt idx="1">
                  <c:v>0.1868451257991009</c:v>
                </c:pt>
                <c:pt idx="2">
                  <c:v>0.32316593793484077</c:v>
                </c:pt>
                <c:pt idx="3">
                  <c:v>0.82726532280221887</c:v>
                </c:pt>
                <c:pt idx="4">
                  <c:v>1.1857887513406506</c:v>
                </c:pt>
                <c:pt idx="5">
                  <c:v>1.1343194610688156</c:v>
                </c:pt>
                <c:pt idx="6">
                  <c:v>1.9551598960547645</c:v>
                </c:pt>
                <c:pt idx="7">
                  <c:v>0.14068244002838445</c:v>
                </c:pt>
                <c:pt idx="8">
                  <c:v>0.112356726100531</c:v>
                </c:pt>
                <c:pt idx="9">
                  <c:v>0.16362567452394494</c:v>
                </c:pt>
                <c:pt idx="10">
                  <c:v>0.12763440122849765</c:v>
                </c:pt>
                <c:pt idx="11">
                  <c:v>0.10254136609386315</c:v>
                </c:pt>
                <c:pt idx="12">
                  <c:v>0</c:v>
                </c:pt>
                <c:pt idx="13">
                  <c:v>1.0000000000000002</c:v>
                </c:pt>
                <c:pt idx="14">
                  <c:v>1.4486067213607798</c:v>
                </c:pt>
                <c:pt idx="15">
                  <c:v>6.103801835290458E-2</c:v>
                </c:pt>
                <c:pt idx="16">
                  <c:v>0.53166973476409385</c:v>
                </c:pt>
                <c:pt idx="17">
                  <c:v>0.51321987763005206</c:v>
                </c:pt>
                <c:pt idx="18">
                  <c:v>0.46019713881592061</c:v>
                </c:pt>
                <c:pt idx="19">
                  <c:v>0.35564977380616841</c:v>
                </c:pt>
                <c:pt idx="20">
                  <c:v>0.28489622948111515</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chemeClr val="bg1">
                <a:lumMod val="50000"/>
              </a:schemeClr>
            </a:solidFill>
          </c:spPr>
          <c:invertIfNegative val="0"/>
          <c:dPt>
            <c:idx val="1"/>
            <c:invertIfNegative val="0"/>
            <c:bubble3D val="0"/>
            <c:extLst>
              <c:ext xmlns:c16="http://schemas.microsoft.com/office/drawing/2014/chart" uri="{C3380CC4-5D6E-409C-BE32-E72D297353CC}">
                <c16:uniqueId val="{00000001-033C-4530-84A9-991A3866ABD4}"/>
              </c:ext>
            </c:extLst>
          </c:dPt>
          <c:dPt>
            <c:idx val="2"/>
            <c:invertIfNegative val="0"/>
            <c:bubble3D val="0"/>
            <c:extLst>
              <c:ext xmlns:c16="http://schemas.microsoft.com/office/drawing/2014/chart" uri="{C3380CC4-5D6E-409C-BE32-E72D297353CC}">
                <c16:uniqueId val="{00000003-033C-4530-84A9-991A3866ABD4}"/>
              </c:ext>
            </c:extLst>
          </c:dPt>
          <c:dPt>
            <c:idx val="3"/>
            <c:invertIfNegative val="0"/>
            <c:bubble3D val="0"/>
            <c:extLst>
              <c:ext xmlns:c16="http://schemas.microsoft.com/office/drawing/2014/chart" uri="{C3380CC4-5D6E-409C-BE32-E72D297353CC}">
                <c16:uniqueId val="{00000005-033C-4530-84A9-991A3866ABD4}"/>
              </c:ext>
            </c:extLst>
          </c:dPt>
          <c:dPt>
            <c:idx val="4"/>
            <c:invertIfNegative val="0"/>
            <c:bubble3D val="0"/>
            <c:extLst>
              <c:ext xmlns:c16="http://schemas.microsoft.com/office/drawing/2014/chart" uri="{C3380CC4-5D6E-409C-BE32-E72D297353CC}">
                <c16:uniqueId val="{00000007-033C-4530-84A9-991A3866ABD4}"/>
              </c:ext>
            </c:extLst>
          </c:dPt>
          <c:dPt>
            <c:idx val="5"/>
            <c:invertIfNegative val="0"/>
            <c:bubble3D val="0"/>
            <c:extLst>
              <c:ext xmlns:c16="http://schemas.microsoft.com/office/drawing/2014/chart" uri="{C3380CC4-5D6E-409C-BE32-E72D297353CC}">
                <c16:uniqueId val="{00000009-033C-4530-84A9-991A3866ABD4}"/>
              </c:ext>
            </c:extLst>
          </c:dPt>
          <c:dPt>
            <c:idx val="6"/>
            <c:invertIfNegative val="0"/>
            <c:bubble3D val="0"/>
            <c:extLst>
              <c:ext xmlns:c16="http://schemas.microsoft.com/office/drawing/2014/chart" uri="{C3380CC4-5D6E-409C-BE32-E72D297353CC}">
                <c16:uniqueId val="{0000000B-033C-4530-84A9-991A3866ABD4}"/>
              </c:ext>
            </c:extLst>
          </c:dPt>
          <c:dPt>
            <c:idx val="7"/>
            <c:invertIfNegative val="0"/>
            <c:bubble3D val="0"/>
            <c:extLst>
              <c:ext xmlns:c16="http://schemas.microsoft.com/office/drawing/2014/chart" uri="{C3380CC4-5D6E-409C-BE32-E72D297353CC}">
                <c16:uniqueId val="{0000000D-033C-4530-84A9-991A3866ABD4}"/>
              </c:ext>
            </c:extLst>
          </c:dPt>
          <c:dPt>
            <c:idx val="8"/>
            <c:invertIfNegative val="0"/>
            <c:bubble3D val="0"/>
            <c:extLst>
              <c:ext xmlns:c16="http://schemas.microsoft.com/office/drawing/2014/chart" uri="{C3380CC4-5D6E-409C-BE32-E72D297353CC}">
                <c16:uniqueId val="{0000000F-033C-4530-84A9-991A3866ABD4}"/>
              </c:ext>
            </c:extLst>
          </c:dPt>
          <c:dPt>
            <c:idx val="9"/>
            <c:invertIfNegative val="0"/>
            <c:bubble3D val="0"/>
            <c:extLst>
              <c:ext xmlns:c16="http://schemas.microsoft.com/office/drawing/2014/chart" uri="{C3380CC4-5D6E-409C-BE32-E72D297353CC}">
                <c16:uniqueId val="{00000011-033C-4530-84A9-991A3866ABD4}"/>
              </c:ext>
            </c:extLst>
          </c:dPt>
          <c:dPt>
            <c:idx val="10"/>
            <c:invertIfNegative val="0"/>
            <c:bubble3D val="0"/>
            <c:extLst>
              <c:ext xmlns:c16="http://schemas.microsoft.com/office/drawing/2014/chart" uri="{C3380CC4-5D6E-409C-BE32-E72D297353CC}">
                <c16:uniqueId val="{00000013-033C-4530-84A9-991A3866ABD4}"/>
              </c:ext>
            </c:extLst>
          </c:dPt>
          <c:dPt>
            <c:idx val="11"/>
            <c:invertIfNegative val="0"/>
            <c:bubble3D val="0"/>
            <c:extLst>
              <c:ext xmlns:c16="http://schemas.microsoft.com/office/drawing/2014/chart" uri="{C3380CC4-5D6E-409C-BE32-E72D297353CC}">
                <c16:uniqueId val="{00000015-033C-4530-84A9-991A3866ABD4}"/>
              </c:ext>
            </c:extLst>
          </c:dPt>
          <c:dPt>
            <c:idx val="12"/>
            <c:invertIfNegative val="0"/>
            <c:bubble3D val="0"/>
            <c:extLst>
              <c:ext xmlns:c16="http://schemas.microsoft.com/office/drawing/2014/chart" uri="{C3380CC4-5D6E-409C-BE32-E72D297353CC}">
                <c16:uniqueId val="{00000017-033C-4530-84A9-991A3866ABD4}"/>
              </c:ext>
            </c:extLst>
          </c:dPt>
          <c:dPt>
            <c:idx val="13"/>
            <c:invertIfNegative val="0"/>
            <c:bubble3D val="0"/>
            <c:extLst>
              <c:ext xmlns:c16="http://schemas.microsoft.com/office/drawing/2014/chart" uri="{C3380CC4-5D6E-409C-BE32-E72D297353CC}">
                <c16:uniqueId val="{00000019-033C-4530-84A9-991A3866ABD4}"/>
              </c:ext>
            </c:extLst>
          </c:dPt>
          <c:dPt>
            <c:idx val="14"/>
            <c:invertIfNegative val="0"/>
            <c:bubble3D val="0"/>
            <c:extLst>
              <c:ext xmlns:c16="http://schemas.microsoft.com/office/drawing/2014/chart" uri="{C3380CC4-5D6E-409C-BE32-E72D297353CC}">
                <c16:uniqueId val="{0000001B-033C-4530-84A9-991A3866ABD4}"/>
              </c:ext>
            </c:extLst>
          </c:dPt>
          <c:dPt>
            <c:idx val="15"/>
            <c:invertIfNegative val="0"/>
            <c:bubble3D val="0"/>
            <c:extLst>
              <c:ext xmlns:c16="http://schemas.microsoft.com/office/drawing/2014/chart" uri="{C3380CC4-5D6E-409C-BE32-E72D297353CC}">
                <c16:uniqueId val="{0000001D-033C-4530-84A9-991A3866ABD4}"/>
              </c:ext>
            </c:extLst>
          </c:dPt>
          <c:dPt>
            <c:idx val="16"/>
            <c:invertIfNegative val="0"/>
            <c:bubble3D val="0"/>
            <c:extLst>
              <c:ext xmlns:c16="http://schemas.microsoft.com/office/drawing/2014/chart" uri="{C3380CC4-5D6E-409C-BE32-E72D297353CC}">
                <c16:uniqueId val="{0000001F-033C-4530-84A9-991A3866ABD4}"/>
              </c:ext>
            </c:extLst>
          </c:dPt>
          <c:dPt>
            <c:idx val="17"/>
            <c:invertIfNegative val="0"/>
            <c:bubble3D val="0"/>
            <c:extLst>
              <c:ext xmlns:c16="http://schemas.microsoft.com/office/drawing/2014/chart" uri="{C3380CC4-5D6E-409C-BE32-E72D297353CC}">
                <c16:uniqueId val="{00000021-033C-4530-84A9-991A3866ABD4}"/>
              </c:ext>
            </c:extLst>
          </c:dPt>
          <c:dPt>
            <c:idx val="18"/>
            <c:invertIfNegative val="0"/>
            <c:bubble3D val="0"/>
            <c:extLst>
              <c:ext xmlns:c16="http://schemas.microsoft.com/office/drawing/2014/chart" uri="{C3380CC4-5D6E-409C-BE32-E72D297353CC}">
                <c16:uniqueId val="{00000023-033C-4530-84A9-991A3866ABD4}"/>
              </c:ext>
            </c:extLst>
          </c:dPt>
          <c:dPt>
            <c:idx val="19"/>
            <c:invertIfNegative val="0"/>
            <c:bubble3D val="0"/>
            <c:extLst>
              <c:ext xmlns:c16="http://schemas.microsoft.com/office/drawing/2014/chart" uri="{C3380CC4-5D6E-409C-BE32-E72D297353CC}">
                <c16:uniqueId val="{00000025-033C-4530-84A9-991A3866ABD4}"/>
              </c:ext>
            </c:extLst>
          </c:dPt>
          <c:dPt>
            <c:idx val="20"/>
            <c:invertIfNegative val="0"/>
            <c:bubble3D val="0"/>
            <c:extLst>
              <c:ext xmlns:c16="http://schemas.microsoft.com/office/drawing/2014/chart" uri="{C3380CC4-5D6E-409C-BE32-E72D297353CC}">
                <c16:uniqueId val="{00000027-033C-4530-84A9-991A3866ABD4}"/>
              </c:ext>
            </c:extLst>
          </c:dPt>
          <c:dPt>
            <c:idx val="21"/>
            <c:invertIfNegative val="0"/>
            <c:bubble3D val="0"/>
            <c:extLst>
              <c:ext xmlns:c16="http://schemas.microsoft.com/office/drawing/2014/chart" uri="{C3380CC4-5D6E-409C-BE32-E72D297353CC}">
                <c16:uniqueId val="{00000029-033C-4530-84A9-991A3866ABD4}"/>
              </c:ext>
            </c:extLst>
          </c:dPt>
          <c:dPt>
            <c:idx val="22"/>
            <c:invertIfNegative val="0"/>
            <c:bubble3D val="0"/>
            <c:extLst>
              <c:ext xmlns:c16="http://schemas.microsoft.com/office/drawing/2014/chart" uri="{C3380CC4-5D6E-409C-BE32-E72D297353CC}">
                <c16:uniqueId val="{0000002B-033C-4530-84A9-991A3866ABD4}"/>
              </c:ext>
            </c:extLst>
          </c:dPt>
          <c:dLbls>
            <c:dLbl>
              <c:idx val="0"/>
              <c:tx>
                <c:rich>
                  <a:bodyPr/>
                  <a:lstStyle/>
                  <a:p>
                    <a:fld id="{8FF610D1-2F42-48C0-BB5A-EFB2A73362E6}"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65B6C7F3-6AD0-4B3D-BA4A-C13B7CFA9EE3}"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33C-4530-84A9-991A3866ABD4}"/>
                </c:ext>
              </c:extLst>
            </c:dLbl>
            <c:dLbl>
              <c:idx val="2"/>
              <c:tx>
                <c:rich>
                  <a:bodyPr/>
                  <a:lstStyle/>
                  <a:p>
                    <a:fld id="{8AB0B8CC-DF92-4413-9EC5-F6D53DA2254A}"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33C-4530-84A9-991A3866ABD4}"/>
                </c:ext>
              </c:extLst>
            </c:dLbl>
            <c:dLbl>
              <c:idx val="3"/>
              <c:tx>
                <c:rich>
                  <a:bodyPr/>
                  <a:lstStyle/>
                  <a:p>
                    <a:fld id="{5BA07AE8-4022-4A59-9DB8-796C72643612}"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33C-4530-84A9-991A3866ABD4}"/>
                </c:ext>
              </c:extLst>
            </c:dLbl>
            <c:dLbl>
              <c:idx val="4"/>
              <c:tx>
                <c:rich>
                  <a:bodyPr/>
                  <a:lstStyle/>
                  <a:p>
                    <a:fld id="{E01EE577-CCF1-4B53-952F-14AC66F12CCE}"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33C-4530-84A9-991A3866ABD4}"/>
                </c:ext>
              </c:extLst>
            </c:dLbl>
            <c:dLbl>
              <c:idx val="5"/>
              <c:tx>
                <c:rich>
                  <a:bodyPr/>
                  <a:lstStyle/>
                  <a:p>
                    <a:fld id="{3D8A31DB-E285-4604-944F-4FE7632D2784}"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33C-4530-84A9-991A3866ABD4}"/>
                </c:ext>
              </c:extLst>
            </c:dLbl>
            <c:dLbl>
              <c:idx val="6"/>
              <c:tx>
                <c:rich>
                  <a:bodyPr/>
                  <a:lstStyle/>
                  <a:p>
                    <a:fld id="{744E5028-1608-47B7-8F1B-410CEA6400C5}"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33C-4530-84A9-991A3866ABD4}"/>
                </c:ext>
              </c:extLst>
            </c:dLbl>
            <c:dLbl>
              <c:idx val="7"/>
              <c:tx>
                <c:rich>
                  <a:bodyPr/>
                  <a:lstStyle/>
                  <a:p>
                    <a:fld id="{C05B3402-1AEE-4A10-9DC2-0D802CCDFB46}"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33C-4530-84A9-991A3866ABD4}"/>
                </c:ext>
              </c:extLst>
            </c:dLbl>
            <c:dLbl>
              <c:idx val="8"/>
              <c:tx>
                <c:rich>
                  <a:bodyPr/>
                  <a:lstStyle/>
                  <a:p>
                    <a:fld id="{1691521C-72CB-4162-A011-79CD97A884AA}"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033C-4530-84A9-991A3866ABD4}"/>
                </c:ext>
              </c:extLst>
            </c:dLbl>
            <c:dLbl>
              <c:idx val="9"/>
              <c:tx>
                <c:rich>
                  <a:bodyPr/>
                  <a:lstStyle/>
                  <a:p>
                    <a:fld id="{96614777-9AAD-4394-9251-490EC06A7520}"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033C-4530-84A9-991A3866ABD4}"/>
                </c:ext>
              </c:extLst>
            </c:dLbl>
            <c:dLbl>
              <c:idx val="10"/>
              <c:tx>
                <c:rich>
                  <a:bodyPr/>
                  <a:lstStyle/>
                  <a:p>
                    <a:fld id="{7C327D63-853C-4E6B-97B6-7F496402BE97}"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033C-4530-84A9-991A3866ABD4}"/>
                </c:ext>
              </c:extLst>
            </c:dLbl>
            <c:dLbl>
              <c:idx val="11"/>
              <c:tx>
                <c:rich>
                  <a:bodyPr/>
                  <a:lstStyle/>
                  <a:p>
                    <a:fld id="{C836D5EF-A812-491A-A131-1C038001AADA}"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033C-4530-84A9-991A3866ABD4}"/>
                </c:ext>
              </c:extLst>
            </c:dLbl>
            <c:dLbl>
              <c:idx val="12"/>
              <c:tx>
                <c:rich>
                  <a:bodyPr/>
                  <a:lstStyle/>
                  <a:p>
                    <a:fld id="{1FFF6053-2394-41AE-BD85-38FE2B2B483D}"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033C-4530-84A9-991A3866ABD4}"/>
                </c:ext>
              </c:extLst>
            </c:dLbl>
            <c:dLbl>
              <c:idx val="13"/>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033C-4530-84A9-991A3866ABD4}"/>
                </c:ext>
              </c:extLst>
            </c:dLbl>
            <c:dLbl>
              <c:idx val="14"/>
              <c:tx>
                <c:rich>
                  <a:bodyPr/>
                  <a:lstStyle/>
                  <a:p>
                    <a:fld id="{0FE7804C-924D-4A2E-8D98-71B3AE8D08E5}"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033C-4530-84A9-991A3866ABD4}"/>
                </c:ext>
              </c:extLst>
            </c:dLbl>
            <c:dLbl>
              <c:idx val="15"/>
              <c:tx>
                <c:rich>
                  <a:bodyPr/>
                  <a:lstStyle/>
                  <a:p>
                    <a:fld id="{685BB14E-22F8-4EC6-B942-C858F4B2F713}"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033C-4530-84A9-991A3866ABD4}"/>
                </c:ext>
              </c:extLst>
            </c:dLbl>
            <c:dLbl>
              <c:idx val="16"/>
              <c:tx>
                <c:rich>
                  <a:bodyPr/>
                  <a:lstStyle/>
                  <a:p>
                    <a:fld id="{E35778DA-5B38-49C0-B9FD-2D9AD61371E8}"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033C-4530-84A9-991A3866ABD4}"/>
                </c:ext>
              </c:extLst>
            </c:dLbl>
            <c:dLbl>
              <c:idx val="17"/>
              <c:tx>
                <c:rich>
                  <a:bodyPr/>
                  <a:lstStyle/>
                  <a:p>
                    <a:fld id="{68C37753-6547-4D78-83D8-92EC8C7AC8CE}"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033C-4530-84A9-991A3866ABD4}"/>
                </c:ext>
              </c:extLst>
            </c:dLbl>
            <c:dLbl>
              <c:idx val="18"/>
              <c:tx>
                <c:rich>
                  <a:bodyPr/>
                  <a:lstStyle/>
                  <a:p>
                    <a:fld id="{B2E796B9-FA5B-4C1E-8133-9886484A787A}"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033C-4530-84A9-991A3866ABD4}"/>
                </c:ext>
              </c:extLst>
            </c:dLbl>
            <c:dLbl>
              <c:idx val="19"/>
              <c:tx>
                <c:rich>
                  <a:bodyPr/>
                  <a:lstStyle/>
                  <a:p>
                    <a:fld id="{20B5129F-3C32-43F4-870F-32181CAABCB8}"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033C-4530-84A9-991A3866ABD4}"/>
                </c:ext>
              </c:extLst>
            </c:dLbl>
            <c:dLbl>
              <c:idx val="20"/>
              <c:tx>
                <c:rich>
                  <a:bodyPr/>
                  <a:lstStyle/>
                  <a:p>
                    <a:fld id="{5614818E-5801-444F-BEFC-95A2EB1C3A93}"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033C-4530-84A9-991A3866ABD4}"/>
                </c:ext>
              </c:extLst>
            </c:dLbl>
            <c:dLbl>
              <c:idx val="21"/>
              <c:tx>
                <c:rich>
                  <a:bodyPr/>
                  <a:lstStyle/>
                  <a:p>
                    <a:fld id="{29C9B79A-452F-47A3-8324-BA3F1F1DB0EE}"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txPr>
              <a:bodyPr wrap="square" lIns="38100" tIns="19050" rIns="38100" bIns="19050" anchor="ctr">
                <a:spAutoFit/>
              </a:bodyPr>
              <a:lstStyle/>
              <a:p>
                <a:pPr>
                  <a:defRPr lang="ja-JP"/>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values'!$B$76:$W$76</c:f>
                <c:numCache>
                  <c:formatCode>General</c:formatCode>
                  <c:ptCount val="22"/>
                  <c:pt idx="0">
                    <c:v>2.2392643254215559E-2</c:v>
                  </c:pt>
                  <c:pt idx="1">
                    <c:v>4.0031017219859764E-2</c:v>
                  </c:pt>
                  <c:pt idx="2">
                    <c:v>6.8145960973355985E-2</c:v>
                  </c:pt>
                  <c:pt idx="3">
                    <c:v>7.4541769717924658E-2</c:v>
                  </c:pt>
                  <c:pt idx="4">
                    <c:v>9.2217964258063029E-2</c:v>
                  </c:pt>
                  <c:pt idx="5">
                    <c:v>0.14049773126356557</c:v>
                  </c:pt>
                  <c:pt idx="6">
                    <c:v>0.18662979819773043</c:v>
                  </c:pt>
                  <c:pt idx="7">
                    <c:v>3.7652604802723109E-2</c:v>
                  </c:pt>
                  <c:pt idx="8">
                    <c:v>2.4752559123683439E-2</c:v>
                  </c:pt>
                  <c:pt idx="9">
                    <c:v>3.8088801349853721E-2</c:v>
                  </c:pt>
                  <c:pt idx="10">
                    <c:v>2.6610972831465917E-2</c:v>
                  </c:pt>
                  <c:pt idx="11">
                    <c:v>2.1596280268198514E-2</c:v>
                  </c:pt>
                  <c:pt idx="12">
                    <c:v>0</c:v>
                  </c:pt>
                  <c:pt idx="14">
                    <c:v>5.4071405607876634E-2</c:v>
                  </c:pt>
                  <c:pt idx="15">
                    <c:v>9.3644503620931283E-2</c:v>
                  </c:pt>
                  <c:pt idx="16">
                    <c:v>2.1621813803231749E-2</c:v>
                  </c:pt>
                  <c:pt idx="17">
                    <c:v>8.3182028622285076E-2</c:v>
                  </c:pt>
                  <c:pt idx="18">
                    <c:v>5.1898967313208685E-2</c:v>
                  </c:pt>
                  <c:pt idx="19">
                    <c:v>5.6042227436469978E-2</c:v>
                  </c:pt>
                  <c:pt idx="20">
                    <c:v>5.7710538350759566E-2</c:v>
                  </c:pt>
                  <c:pt idx="21">
                    <c:v>3.7906515410566825E-2</c:v>
                  </c:pt>
                </c:numCache>
              </c:numRef>
            </c:plus>
            <c:minus>
              <c:numRef>
                <c:f>'pooled normalised values'!$B$76:$W$76</c:f>
                <c:numCache>
                  <c:formatCode>General</c:formatCode>
                  <c:ptCount val="22"/>
                  <c:pt idx="0">
                    <c:v>2.2392643254215559E-2</c:v>
                  </c:pt>
                  <c:pt idx="1">
                    <c:v>4.0031017219859764E-2</c:v>
                  </c:pt>
                  <c:pt idx="2">
                    <c:v>6.8145960973355985E-2</c:v>
                  </c:pt>
                  <c:pt idx="3">
                    <c:v>7.4541769717924658E-2</c:v>
                  </c:pt>
                  <c:pt idx="4">
                    <c:v>9.2217964258063029E-2</c:v>
                  </c:pt>
                  <c:pt idx="5">
                    <c:v>0.14049773126356557</c:v>
                  </c:pt>
                  <c:pt idx="6">
                    <c:v>0.18662979819773043</c:v>
                  </c:pt>
                  <c:pt idx="7">
                    <c:v>3.7652604802723109E-2</c:v>
                  </c:pt>
                  <c:pt idx="8">
                    <c:v>2.4752559123683439E-2</c:v>
                  </c:pt>
                  <c:pt idx="9">
                    <c:v>3.8088801349853721E-2</c:v>
                  </c:pt>
                  <c:pt idx="10">
                    <c:v>2.6610972831465917E-2</c:v>
                  </c:pt>
                  <c:pt idx="11">
                    <c:v>2.1596280268198514E-2</c:v>
                  </c:pt>
                  <c:pt idx="12">
                    <c:v>0</c:v>
                  </c:pt>
                  <c:pt idx="14">
                    <c:v>5.4071405607876634E-2</c:v>
                  </c:pt>
                  <c:pt idx="15">
                    <c:v>9.3644503620931283E-2</c:v>
                  </c:pt>
                  <c:pt idx="16">
                    <c:v>2.1621813803231749E-2</c:v>
                  </c:pt>
                  <c:pt idx="17">
                    <c:v>8.3182028622285076E-2</c:v>
                  </c:pt>
                  <c:pt idx="18">
                    <c:v>5.1898967313208685E-2</c:v>
                  </c:pt>
                  <c:pt idx="19">
                    <c:v>5.6042227436469978E-2</c:v>
                  </c:pt>
                  <c:pt idx="20">
                    <c:v>5.7710538350759566E-2</c:v>
                  </c:pt>
                  <c:pt idx="21">
                    <c:v>3.7906515410566825E-2</c:v>
                  </c:pt>
                </c:numCache>
              </c:numRef>
            </c:minus>
          </c:errBars>
          <c:cat>
            <c:strRef>
              <c:f>'pooled normalised values'!$B$74:$W$74</c:f>
              <c:strCache>
                <c:ptCount val="22"/>
                <c:pt idx="0">
                  <c:v>Solvent control</c:v>
                </c:pt>
                <c:pt idx="1">
                  <c:v>EE2-33.8ng/L</c:v>
                </c:pt>
                <c:pt idx="2">
                  <c:v>EE2-50.6ng/L</c:v>
                </c:pt>
                <c:pt idx="3">
                  <c:v>EE2-76ng/L</c:v>
                </c:pt>
                <c:pt idx="4">
                  <c:v>EE2-114ng/L</c:v>
                </c:pt>
                <c:pt idx="5">
                  <c:v>EE2-170.9ng/L</c:v>
                </c:pt>
                <c:pt idx="6">
                  <c:v>EE2-488ng/L</c:v>
                </c:pt>
                <c:pt idx="7">
                  <c:v>prochroraz-0.063mg/L</c:v>
                </c:pt>
                <c:pt idx="8">
                  <c:v>prochroraz-0.13mg/L</c:v>
                </c:pt>
                <c:pt idx="9">
                  <c:v>prochroraz-0.25mg/L</c:v>
                </c:pt>
                <c:pt idx="10">
                  <c:v>prochroraz-0.5mg/L</c:v>
                </c:pt>
                <c:pt idx="11">
                  <c:v>prochroraz-1mg/L</c:v>
                </c:pt>
                <c:pt idx="14">
                  <c:v>Testo -30µg/L</c:v>
                </c:pt>
                <c:pt idx="15">
                  <c:v>Testo 30µg/L + EE2 -64ng/L</c:v>
                </c:pt>
                <c:pt idx="16">
                  <c:v>Testo 30µg/L + FAD-10mg/L</c:v>
                </c:pt>
                <c:pt idx="17">
                  <c:v>prochroraz-0.063mg/L + Testostérone</c:v>
                </c:pt>
                <c:pt idx="18">
                  <c:v>prochroraz-0.13mg/L + Testostérone</c:v>
                </c:pt>
                <c:pt idx="19">
                  <c:v>prochroraz-0.25mg/L + Testostérone</c:v>
                </c:pt>
                <c:pt idx="20">
                  <c:v>prochroraz-0.5mg/L + Testostérone</c:v>
                </c:pt>
                <c:pt idx="21">
                  <c:v>prochroraz-1mg/L + Testostérone</c:v>
                </c:pt>
              </c:strCache>
            </c:strRef>
          </c:cat>
          <c:val>
            <c:numRef>
              <c:f>'pooled normalised values'!$B$75:$W$75</c:f>
              <c:numCache>
                <c:formatCode>0.0000</c:formatCode>
                <c:ptCount val="22"/>
                <c:pt idx="0">
                  <c:v>0.13790261882394986</c:v>
                </c:pt>
                <c:pt idx="1">
                  <c:v>0.30262376217683273</c:v>
                </c:pt>
                <c:pt idx="2">
                  <c:v>0.5127841060124827</c:v>
                </c:pt>
                <c:pt idx="3">
                  <c:v>0.84336068289921373</c:v>
                </c:pt>
                <c:pt idx="4">
                  <c:v>1.3994008344958908</c:v>
                </c:pt>
                <c:pt idx="5">
                  <c:v>1.7495096452701902</c:v>
                </c:pt>
                <c:pt idx="6">
                  <c:v>2.4363251661940666</c:v>
                </c:pt>
                <c:pt idx="7">
                  <c:v>0.20404099580240723</c:v>
                </c:pt>
                <c:pt idx="8">
                  <c:v>0.11789263768361556</c:v>
                </c:pt>
                <c:pt idx="9">
                  <c:v>0.20691909608719347</c:v>
                </c:pt>
                <c:pt idx="10">
                  <c:v>0.16149431807524575</c:v>
                </c:pt>
                <c:pt idx="11">
                  <c:v>0.15821256481916426</c:v>
                </c:pt>
                <c:pt idx="12">
                  <c:v>0</c:v>
                </c:pt>
                <c:pt idx="14">
                  <c:v>0.99999999999999989</c:v>
                </c:pt>
                <c:pt idx="15">
                  <c:v>1.4596273471836054</c:v>
                </c:pt>
                <c:pt idx="16">
                  <c:v>9.8031969620385018E-2</c:v>
                </c:pt>
                <c:pt idx="17">
                  <c:v>0.62639174041805745</c:v>
                </c:pt>
                <c:pt idx="18">
                  <c:v>0.40461062004893344</c:v>
                </c:pt>
                <c:pt idx="19">
                  <c:v>0.28356086813485232</c:v>
                </c:pt>
                <c:pt idx="20">
                  <c:v>0.27442728670748751</c:v>
                </c:pt>
                <c:pt idx="21">
                  <c:v>0.20493444571547278</c:v>
                </c:pt>
              </c:numCache>
            </c:numRef>
          </c:val>
          <c:extLst>
            <c:ext xmlns:c15="http://schemas.microsoft.com/office/drawing/2012/chart" uri="{02D57815-91ED-43cb-92C2-25804820EDAC}">
              <c15:datalabelsRange>
                <c15:f>'pooled normalised values'!$B$83:$W$83</c15:f>
                <c15:dlblRangeCache>
                  <c:ptCount val="22"/>
                  <c:pt idx="1">
                    <c:v>ns</c:v>
                  </c:pt>
                  <c:pt idx="2">
                    <c:v>*</c:v>
                  </c:pt>
                  <c:pt idx="3">
                    <c:v>****</c:v>
                  </c:pt>
                  <c:pt idx="4">
                    <c:v>****</c:v>
                  </c:pt>
                  <c:pt idx="5">
                    <c:v>****</c:v>
                  </c:pt>
                  <c:pt idx="6">
                    <c:v>****</c:v>
                  </c:pt>
                  <c:pt idx="7">
                    <c:v>ns</c:v>
                  </c:pt>
                  <c:pt idx="8">
                    <c:v>ns</c:v>
                  </c:pt>
                  <c:pt idx="9">
                    <c:v>ns</c:v>
                  </c:pt>
                  <c:pt idx="10">
                    <c:v>ns</c:v>
                  </c:pt>
                  <c:pt idx="11">
                    <c:v>ns</c:v>
                  </c:pt>
                  <c:pt idx="12">
                    <c:v>#NAME?</c:v>
                  </c:pt>
                  <c:pt idx="14">
                    <c:v>****</c:v>
                  </c:pt>
                  <c:pt idx="15">
                    <c:v>***</c:v>
                  </c:pt>
                  <c:pt idx="16">
                    <c:v>****</c:v>
                  </c:pt>
                  <c:pt idx="17">
                    <c:v>*</c:v>
                  </c:pt>
                  <c:pt idx="18">
                    <c:v>****</c:v>
                  </c:pt>
                  <c:pt idx="19">
                    <c:v>****</c:v>
                  </c:pt>
                  <c:pt idx="20">
                    <c:v>****</c:v>
                  </c:pt>
                  <c:pt idx="21">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9"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8"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9"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9"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9299937" cy="6076709"/>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0.10431</cdr:y>
    </cdr:to>
    <cdr:sp macro="" textlink="">
      <cdr:nvSpPr>
        <cdr:cNvPr id="2" name="ZoneTexte 1"/>
        <cdr:cNvSpPr txBox="1"/>
      </cdr:nvSpPr>
      <cdr:spPr>
        <a:xfrm xmlns:a="http://schemas.openxmlformats.org/drawingml/2006/main">
          <a:off x="3954923" y="103035"/>
          <a:ext cx="1558925"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prochroraz-run1_20210720</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7051" cy="6073205"/>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0.41527</cdr:x>
      <cdr:y>0.01908</cdr:y>
    </cdr:from>
    <cdr:to>
      <cdr:x>0.58271</cdr:x>
      <cdr:y>0.10634</cdr:y>
    </cdr:to>
    <cdr:sp macro="" textlink="">
      <cdr:nvSpPr>
        <cdr:cNvPr id="3" name="ZoneTexte 1">
          <a:extLst xmlns:a="http://schemas.openxmlformats.org/drawingml/2006/main">
            <a:ext uri="{FF2B5EF4-FFF2-40B4-BE49-F238E27FC236}">
              <a16:creationId xmlns:a16="http://schemas.microsoft.com/office/drawing/2014/main" id="{993C792C-7610-492C-BB54-2F06E153DAF3}"/>
            </a:ext>
          </a:extLst>
        </cdr:cNvPr>
        <cdr:cNvSpPr txBox="1"/>
      </cdr:nvSpPr>
      <cdr:spPr>
        <a:xfrm xmlns:a="http://schemas.openxmlformats.org/drawingml/2006/main">
          <a:off x="3860762" y="115900"/>
          <a:ext cx="1556698" cy="529948"/>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400" b="1"/>
            <a:t>prochroraz-run2_20210827</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9937" cy="6076709"/>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0.43416</cdr:x>
      <cdr:y>0.03481</cdr:y>
    </cdr:from>
    <cdr:to>
      <cdr:x>0.60155</cdr:x>
      <cdr:y>0.12202</cdr:y>
    </cdr:to>
    <cdr:sp macro="" textlink="">
      <cdr:nvSpPr>
        <cdr:cNvPr id="3" name="ZoneTexte 1">
          <a:extLst xmlns:a="http://schemas.openxmlformats.org/drawingml/2006/main">
            <a:ext uri="{FF2B5EF4-FFF2-40B4-BE49-F238E27FC236}">
              <a16:creationId xmlns:a16="http://schemas.microsoft.com/office/drawing/2014/main" id="{6F9546C6-B852-455A-85DC-7E267D9E4BF2}"/>
            </a:ext>
          </a:extLst>
        </cdr:cNvPr>
        <cdr:cNvSpPr txBox="1"/>
      </cdr:nvSpPr>
      <cdr:spPr>
        <a:xfrm xmlns:a="http://schemas.openxmlformats.org/drawingml/2006/main">
          <a:off x="4037636" y="211560"/>
          <a:ext cx="1556698" cy="529948"/>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400" b="1"/>
            <a:t>prochroraz-run3_20211006</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937" cy="6076709"/>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t_yas/Desktop/20210827_Dutasteride_prochloraz/raw%20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data"/>
    </sheetNames>
    <sheetDataSet>
      <sheetData sheetId="0">
        <row r="358">
          <cell r="E358">
            <v>5788179</v>
          </cell>
        </row>
        <row r="359">
          <cell r="E359">
            <v>8493152</v>
          </cell>
        </row>
        <row r="360">
          <cell r="E360">
            <v>11243952</v>
          </cell>
        </row>
        <row r="361">
          <cell r="E361">
            <v>6618431</v>
          </cell>
        </row>
        <row r="362">
          <cell r="E362">
            <v>11454021</v>
          </cell>
        </row>
        <row r="363">
          <cell r="E363">
            <v>7454765</v>
          </cell>
        </row>
        <row r="364">
          <cell r="E364">
            <v>9396807</v>
          </cell>
        </row>
        <row r="365">
          <cell r="E365">
            <v>8932439</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27" totalsRowShown="0" headerRowDxfId="8" dataDxfId="7" tableBorderDxfId="6">
  <autoFilter ref="A6:F27" xr:uid="{00000000-0009-0000-0100-000001000000}"/>
  <tableColumns count="6">
    <tableColumn id="4" xr3:uid="{00000000-0010-0000-0000-000004000000}" name="Do not fill in" dataDxfId="5">
      <calculatedColumnFormula>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calculatedColumnFormula>
    </tableColumn>
    <tableColumn id="1" xr3:uid="{00000000-0010-0000-0000-000001000000}" name="Do not fill in2" dataDxfId="4">
      <calculatedColumnFormula>A2</calculatedColumnFormula>
    </tableColumn>
    <tableColumn id="2" xr3:uid="{00000000-0010-0000-0000-000002000000}" name="Concentration" dataDxfId="3">
      <calculatedColumnFormula>B2</calculatedColumnFormula>
    </tableColumn>
    <tableColumn id="10" xr3:uid="{00000000-0010-0000-0000-00000A000000}" name="Units" dataDxfId="2"/>
    <tableColumn id="3" xr3:uid="{00000000-0010-0000-0000-000003000000}" name="Chemical name" dataDxfId="1">
      <calculatedColumnFormula>C2</calculatedColumnFormula>
    </tableColumn>
    <tableColumn id="9" xr3:uid="{00000000-0010-0000-0000-000009000000}" name="Do not fill in3"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7"/>
  <sheetViews>
    <sheetView showGridLines="0" topLeftCell="A15" zoomScale="55" zoomScaleNormal="55" workbookViewId="0">
      <selection activeCell="A31" sqref="A31"/>
    </sheetView>
  </sheetViews>
  <sheetFormatPr defaultColWidth="11" defaultRowHeight="39" customHeight="1"/>
  <cols>
    <col min="1" max="1" width="42" bestFit="1" customWidth="1"/>
    <col min="2" max="2" width="33.85546875" style="27" bestFit="1" customWidth="1"/>
    <col min="3" max="3" width="21.28515625" customWidth="1"/>
    <col min="4" max="4" width="30.42578125" customWidth="1"/>
    <col min="5" max="5" width="62.28515625" style="81" bestFit="1" customWidth="1"/>
    <col min="6" max="6" width="56.7109375" bestFit="1" customWidth="1"/>
    <col min="7" max="7" width="19.42578125" customWidth="1"/>
    <col min="8" max="8" width="15.28515625" customWidth="1"/>
    <col min="9" max="9" width="18" customWidth="1"/>
    <col min="10" max="10" width="19.42578125" bestFit="1" customWidth="1"/>
  </cols>
  <sheetData>
    <row r="1" spans="1:9" ht="39" customHeight="1" thickBot="1">
      <c r="A1" s="115"/>
      <c r="B1" s="116"/>
      <c r="C1" s="116"/>
      <c r="D1" s="116"/>
      <c r="E1" s="116"/>
      <c r="F1" s="116"/>
      <c r="G1" s="116"/>
      <c r="H1" s="116"/>
      <c r="I1" s="117"/>
    </row>
    <row r="2" spans="1:9" ht="21.75" thickBot="1">
      <c r="A2" s="98" t="s">
        <v>8</v>
      </c>
      <c r="B2" s="26" t="s">
        <v>57</v>
      </c>
      <c r="C2" s="118"/>
      <c r="D2" s="119"/>
      <c r="E2" s="26" t="s">
        <v>71</v>
      </c>
      <c r="F2" s="130"/>
      <c r="G2" s="131"/>
      <c r="H2" s="131"/>
      <c r="I2" s="132"/>
    </row>
    <row r="3" spans="1:9" ht="21.75" thickBot="1">
      <c r="A3" s="99" t="s">
        <v>9</v>
      </c>
      <c r="B3" s="26" t="s">
        <v>57</v>
      </c>
      <c r="C3" s="120"/>
      <c r="D3" s="121"/>
      <c r="E3" s="26" t="s">
        <v>72</v>
      </c>
      <c r="F3" s="127"/>
      <c r="G3" s="128"/>
      <c r="H3" s="128"/>
      <c r="I3" s="129"/>
    </row>
    <row r="4" spans="1:9" ht="21.75" thickBot="1">
      <c r="A4" s="100" t="s">
        <v>12</v>
      </c>
      <c r="B4" s="26" t="s">
        <v>57</v>
      </c>
      <c r="C4" s="122"/>
      <c r="D4" s="123"/>
      <c r="E4" s="26" t="s">
        <v>72</v>
      </c>
      <c r="F4" s="124"/>
      <c r="G4" s="125"/>
      <c r="H4" s="125"/>
      <c r="I4" s="126"/>
    </row>
    <row r="5" spans="1:9" s="1" customFormat="1" ht="65.25" customHeight="1" thickBot="1">
      <c r="A5" s="115" t="s">
        <v>18</v>
      </c>
      <c r="B5" s="116"/>
      <c r="C5" s="116"/>
      <c r="D5" s="116"/>
      <c r="E5" s="116"/>
      <c r="F5" s="116"/>
      <c r="G5" s="116"/>
      <c r="H5" s="116"/>
      <c r="I5" s="117"/>
    </row>
    <row r="6" spans="1:9" s="63" customFormat="1" ht="39" customHeight="1">
      <c r="A6" s="55" t="s">
        <v>58</v>
      </c>
      <c r="B6" s="56" t="s">
        <v>59</v>
      </c>
      <c r="C6" s="45" t="s">
        <v>10</v>
      </c>
      <c r="D6" s="45" t="s">
        <v>60</v>
      </c>
      <c r="E6" s="78" t="s">
        <v>61</v>
      </c>
      <c r="F6" s="62" t="s">
        <v>62</v>
      </c>
    </row>
    <row r="7" spans="1:9" s="87" customFormat="1" ht="39" customHeight="1">
      <c r="A7" s="8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Solvent control</v>
      </c>
      <c r="B7" s="83" t="s">
        <v>50</v>
      </c>
      <c r="C7" s="84"/>
      <c r="D7" s="85"/>
      <c r="E7" s="86" t="s">
        <v>64</v>
      </c>
      <c r="F7" s="64"/>
    </row>
    <row r="8" spans="1:9" s="87" customFormat="1" ht="39" customHeight="1">
      <c r="A8" s="8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EE2-33.8ng/L</v>
      </c>
      <c r="B8" s="83" t="s">
        <v>50</v>
      </c>
      <c r="C8" s="84" t="s">
        <v>65</v>
      </c>
      <c r="D8" s="85" t="s">
        <v>51</v>
      </c>
      <c r="E8" s="86" t="s">
        <v>52</v>
      </c>
      <c r="F8" s="64"/>
    </row>
    <row r="9" spans="1:9" s="87" customFormat="1" ht="39" customHeight="1">
      <c r="A9" s="8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EE2-50.6ng/L</v>
      </c>
      <c r="B9" s="83" t="s">
        <v>50</v>
      </c>
      <c r="C9" s="84" t="s">
        <v>66</v>
      </c>
      <c r="D9" s="85" t="s">
        <v>51</v>
      </c>
      <c r="E9" s="86" t="s">
        <v>52</v>
      </c>
      <c r="F9" s="64"/>
    </row>
    <row r="10" spans="1:9" s="87" customFormat="1" ht="39" customHeight="1">
      <c r="A10" s="8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EE2-76ng/L</v>
      </c>
      <c r="B10" s="83" t="s">
        <v>50</v>
      </c>
      <c r="C10" s="84">
        <v>76</v>
      </c>
      <c r="D10" s="85" t="s">
        <v>51</v>
      </c>
      <c r="E10" s="86" t="s">
        <v>52</v>
      </c>
      <c r="F10" s="64"/>
    </row>
    <row r="11" spans="1:9" s="87" customFormat="1" ht="39" customHeight="1">
      <c r="A11" s="8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EE2-114ng/L</v>
      </c>
      <c r="B11" s="83" t="s">
        <v>50</v>
      </c>
      <c r="C11" s="84">
        <v>114</v>
      </c>
      <c r="D11" s="85" t="s">
        <v>51</v>
      </c>
      <c r="E11" s="86" t="s">
        <v>52</v>
      </c>
      <c r="F11" s="64"/>
    </row>
    <row r="12" spans="1:9" s="87" customFormat="1" ht="39" customHeight="1">
      <c r="A12" s="8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EE2-170.9ng/L</v>
      </c>
      <c r="B12" s="83" t="s">
        <v>50</v>
      </c>
      <c r="C12" s="84" t="s">
        <v>67</v>
      </c>
      <c r="D12" s="85" t="s">
        <v>51</v>
      </c>
      <c r="E12" s="86" t="s">
        <v>52</v>
      </c>
      <c r="F12" s="64"/>
    </row>
    <row r="13" spans="1:9" s="87" customFormat="1" ht="39" customHeight="1">
      <c r="A13" s="8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EE2-488ng/L</v>
      </c>
      <c r="B13" s="83" t="s">
        <v>50</v>
      </c>
      <c r="C13" s="84">
        <v>488</v>
      </c>
      <c r="D13" s="85" t="s">
        <v>51</v>
      </c>
      <c r="E13" s="86" t="s">
        <v>52</v>
      </c>
      <c r="F13" s="64"/>
    </row>
    <row r="14" spans="1:9" s="87" customFormat="1" ht="39" customHeight="1">
      <c r="A14" s="8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prochroraz-0.063mg/L</v>
      </c>
      <c r="B14" s="83" t="s">
        <v>63</v>
      </c>
      <c r="C14" s="84">
        <v>6.3E-2</v>
      </c>
      <c r="D14" s="85" t="s">
        <v>74</v>
      </c>
      <c r="E14" s="86" t="s">
        <v>73</v>
      </c>
      <c r="F14" s="64"/>
    </row>
    <row r="15" spans="1:9" s="65" customFormat="1" ht="39" customHeight="1">
      <c r="A15"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prochroraz-0.13mg/L</v>
      </c>
      <c r="B15" s="83" t="s">
        <v>63</v>
      </c>
      <c r="C15" s="59">
        <v>0.13</v>
      </c>
      <c r="D15" s="59" t="s">
        <v>55</v>
      </c>
      <c r="E15" s="86" t="s">
        <v>73</v>
      </c>
      <c r="F15" s="64"/>
    </row>
    <row r="16" spans="1:9" s="65" customFormat="1" ht="39" customHeight="1">
      <c r="A16"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prochroraz-0.25mg/L</v>
      </c>
      <c r="B16" s="83" t="s">
        <v>63</v>
      </c>
      <c r="C16" s="59">
        <v>0.25</v>
      </c>
      <c r="D16" s="59" t="s">
        <v>55</v>
      </c>
      <c r="E16" s="86" t="s">
        <v>73</v>
      </c>
      <c r="F16" s="64"/>
    </row>
    <row r="17" spans="1:6" s="65" customFormat="1" ht="39" customHeight="1">
      <c r="A17"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prochroraz-0.5mg/L</v>
      </c>
      <c r="B17" s="83" t="s">
        <v>63</v>
      </c>
      <c r="C17" s="59">
        <v>0.5</v>
      </c>
      <c r="D17" s="59" t="s">
        <v>55</v>
      </c>
      <c r="E17" s="86" t="s">
        <v>73</v>
      </c>
      <c r="F17" s="64"/>
    </row>
    <row r="18" spans="1:6" s="65" customFormat="1" ht="39" customHeight="1">
      <c r="A18"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prochroraz-1mg/L</v>
      </c>
      <c r="B18" s="83" t="s">
        <v>63</v>
      </c>
      <c r="C18" s="59">
        <v>1</v>
      </c>
      <c r="D18" s="59" t="s">
        <v>55</v>
      </c>
      <c r="E18" s="86" t="s">
        <v>73</v>
      </c>
      <c r="F18" s="64"/>
    </row>
    <row r="19" spans="1:6" s="65" customFormat="1" ht="39" customHeight="1" thickBot="1">
      <c r="A19"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19" s="83" t="s">
        <v>63</v>
      </c>
      <c r="C19" s="59"/>
      <c r="D19" s="59"/>
      <c r="E19" s="24"/>
      <c r="F19" s="64"/>
    </row>
    <row r="20" spans="1:6" s="65" customFormat="1" ht="39" customHeight="1">
      <c r="A20" s="8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v>
      </c>
      <c r="B20" s="57" t="s">
        <v>50</v>
      </c>
      <c r="C20" s="60">
        <v>30</v>
      </c>
      <c r="D20" s="68" t="s">
        <v>53</v>
      </c>
      <c r="E20" s="79" t="s">
        <v>11</v>
      </c>
      <c r="F20" s="89"/>
    </row>
    <row r="21" spans="1:6" s="65" customFormat="1" ht="39" customHeight="1">
      <c r="A21"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EE2 -64ng/L</v>
      </c>
      <c r="B21" s="58" t="s">
        <v>50</v>
      </c>
      <c r="C21" s="61">
        <v>64</v>
      </c>
      <c r="D21" s="69" t="s">
        <v>51</v>
      </c>
      <c r="E21" s="80" t="s">
        <v>54</v>
      </c>
      <c r="F21" s="91"/>
    </row>
    <row r="22" spans="1:6" s="65" customFormat="1" ht="39" customHeight="1" thickBot="1">
      <c r="A22" s="9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FAD-10mg/L</v>
      </c>
      <c r="B22" s="93" t="s">
        <v>50</v>
      </c>
      <c r="C22" s="94">
        <v>10</v>
      </c>
      <c r="D22" s="95" t="s">
        <v>55</v>
      </c>
      <c r="E22" s="96" t="s">
        <v>56</v>
      </c>
      <c r="F22" s="97"/>
    </row>
    <row r="23" spans="1:6" s="65" customFormat="1" ht="39" customHeight="1">
      <c r="A23" s="3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prochroraz-0.063mg/L + Testostérone</v>
      </c>
      <c r="B23" s="101" t="str">
        <f>B14</f>
        <v>test chemical</v>
      </c>
      <c r="C23" s="101">
        <f t="shared" ref="C23:E23" si="0">C14</f>
        <v>6.3E-2</v>
      </c>
      <c r="D23" s="101" t="str">
        <f t="shared" si="0"/>
        <v>mg/L</v>
      </c>
      <c r="E23" s="101" t="str">
        <f t="shared" si="0"/>
        <v>prochroraz</v>
      </c>
      <c r="F23" s="66" t="s">
        <v>30</v>
      </c>
    </row>
    <row r="24" spans="1:6" s="65" customFormat="1" ht="39" customHeight="1">
      <c r="A24" s="5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prochroraz-0.13mg/L + Testostérone</v>
      </c>
      <c r="B24" s="102" t="str">
        <f t="shared" ref="B24:E24" si="1">B15</f>
        <v>test chemical</v>
      </c>
      <c r="C24" s="102">
        <f t="shared" si="1"/>
        <v>0.13</v>
      </c>
      <c r="D24" s="102" t="str">
        <f t="shared" si="1"/>
        <v>mg/L</v>
      </c>
      <c r="E24" s="102" t="str">
        <f t="shared" si="1"/>
        <v>prochroraz</v>
      </c>
      <c r="F24" s="67" t="s">
        <v>30</v>
      </c>
    </row>
    <row r="25" spans="1:6" s="65" customFormat="1" ht="39" customHeight="1">
      <c r="A25" s="5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prochroraz-0.25mg/L + Testostérone</v>
      </c>
      <c r="B25" s="102" t="str">
        <f t="shared" ref="B25:E25" si="2">B16</f>
        <v>test chemical</v>
      </c>
      <c r="C25" s="102">
        <f t="shared" si="2"/>
        <v>0.25</v>
      </c>
      <c r="D25" s="102" t="str">
        <f t="shared" si="2"/>
        <v>mg/L</v>
      </c>
      <c r="E25" s="102" t="str">
        <f t="shared" si="2"/>
        <v>prochroraz</v>
      </c>
      <c r="F25" s="67" t="s">
        <v>30</v>
      </c>
    </row>
    <row r="26" spans="1:6" s="65" customFormat="1" ht="39" customHeight="1">
      <c r="A26" s="5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prochroraz-0.5mg/L + Testostérone</v>
      </c>
      <c r="B26" s="102" t="str">
        <f t="shared" ref="B26:E26" si="3">B17</f>
        <v>test chemical</v>
      </c>
      <c r="C26" s="102">
        <f t="shared" si="3"/>
        <v>0.5</v>
      </c>
      <c r="D26" s="102" t="str">
        <f t="shared" si="3"/>
        <v>mg/L</v>
      </c>
      <c r="E26" s="102" t="str">
        <f t="shared" si="3"/>
        <v>prochroraz</v>
      </c>
      <c r="F26" s="67" t="s">
        <v>30</v>
      </c>
    </row>
    <row r="27" spans="1:6" s="65" customFormat="1" ht="39" customHeight="1">
      <c r="A27" s="5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prochroraz-1mg/L + Testostérone</v>
      </c>
      <c r="B27" s="102" t="str">
        <f t="shared" ref="B27:E27" si="4">B18</f>
        <v>test chemical</v>
      </c>
      <c r="C27" s="102">
        <f t="shared" si="4"/>
        <v>1</v>
      </c>
      <c r="D27" s="102" t="str">
        <f t="shared" si="4"/>
        <v>mg/L</v>
      </c>
      <c r="E27" s="102" t="str">
        <f t="shared" si="4"/>
        <v>prochroraz</v>
      </c>
      <c r="F27" s="67" t="s">
        <v>30</v>
      </c>
    </row>
  </sheetData>
  <protectedRanges>
    <protectedRange sqref="C20:D22 A20:A27 A15:A19 C15:D19" name="Plage1_1"/>
  </protectedRanges>
  <mergeCells count="8">
    <mergeCell ref="A5:I5"/>
    <mergeCell ref="A1:I1"/>
    <mergeCell ref="C2:D2"/>
    <mergeCell ref="C3:D3"/>
    <mergeCell ref="C4:D4"/>
    <mergeCell ref="F4:I4"/>
    <mergeCell ref="F3:I3"/>
    <mergeCell ref="F2:I2"/>
  </mergeCells>
  <phoneticPr fontId="12"/>
  <dataValidations count="1">
    <dataValidation type="custom" allowBlank="1" showInputMessage="1" showErrorMessage="1" sqref="E7:E22" xr:uid="{E0A8F951-ED76-4488-98E3-F13AD7875916}">
      <formula1>ISERROR(SEARCH("-",E7))=TRUE</formula1>
    </dataValidation>
  </dataValidations>
  <pageMargins left="0.7" right="0.7" top="0.75" bottom="0.75" header="0.3" footer="0.3"/>
  <pageSetup paperSize="9" scale="43"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tabSelected="1" topLeftCell="A4" zoomScale="85" zoomScaleNormal="85" zoomScaleSheetLayoutView="40" zoomScalePageLayoutView="30" workbookViewId="0">
      <pane xSplit="1" topLeftCell="K1" activePane="topRight" state="frozen"/>
      <selection pane="topRight" activeCell="O4" sqref="O1:O1048576"/>
    </sheetView>
  </sheetViews>
  <sheetFormatPr defaultColWidth="9.140625" defaultRowHeight="15"/>
  <cols>
    <col min="1" max="1" width="29.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customWidth="1"/>
    <col min="16" max="16" width="26.42578125" customWidth="1"/>
    <col min="17" max="18" width="25.85546875" bestFit="1" customWidth="1"/>
    <col min="19" max="22" width="25.85546875" style="1" customWidth="1"/>
  </cols>
  <sheetData>
    <row r="1" spans="1:22" s="1" customFormat="1" ht="27" thickBot="1">
      <c r="A1" s="133" t="s">
        <v>21</v>
      </c>
      <c r="B1" s="134"/>
      <c r="C1" s="134"/>
      <c r="D1" s="134"/>
      <c r="E1" s="134"/>
      <c r="F1" s="134"/>
      <c r="G1" s="134"/>
      <c r="H1" s="134"/>
      <c r="I1" s="134"/>
      <c r="J1" s="134"/>
      <c r="K1" s="134"/>
      <c r="L1" s="134"/>
      <c r="M1" s="134"/>
      <c r="N1" s="134"/>
      <c r="O1" s="134"/>
      <c r="P1" s="134"/>
      <c r="Q1" s="134"/>
      <c r="R1" s="134"/>
      <c r="S1" s="134"/>
      <c r="T1" s="134"/>
      <c r="U1" s="134"/>
      <c r="V1" s="134"/>
    </row>
    <row r="2" spans="1:22" ht="15.75" thickBot="1">
      <c r="A2"/>
      <c r="B2"/>
      <c r="C2"/>
      <c r="D2"/>
      <c r="E2"/>
      <c r="F2"/>
      <c r="G2"/>
      <c r="H2"/>
      <c r="I2"/>
      <c r="J2"/>
      <c r="K2"/>
      <c r="L2"/>
      <c r="M2"/>
      <c r="N2"/>
      <c r="S2"/>
      <c r="T2"/>
      <c r="U2"/>
      <c r="V2"/>
    </row>
    <row r="3" spans="1:22" ht="15.75" thickBot="1">
      <c r="A3" s="33" t="s">
        <v>8</v>
      </c>
      <c r="B3" s="141" t="s">
        <v>6</v>
      </c>
      <c r="C3" s="142"/>
      <c r="D3" s="142"/>
      <c r="E3" s="142"/>
      <c r="F3" s="142"/>
      <c r="G3" s="142"/>
      <c r="H3" s="142"/>
      <c r="I3" s="142"/>
      <c r="J3" s="142"/>
      <c r="K3" s="142"/>
      <c r="L3" s="142"/>
      <c r="M3" s="142"/>
      <c r="N3" s="142"/>
      <c r="O3" s="141" t="s">
        <v>3</v>
      </c>
      <c r="P3" s="142"/>
      <c r="Q3" s="142"/>
      <c r="R3" s="142"/>
      <c r="S3" s="142"/>
      <c r="T3" s="142"/>
      <c r="U3" s="142"/>
      <c r="V3" s="142"/>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prochroraz-0.063mg/L</v>
      </c>
      <c r="J4" s="19" t="str">
        <f>'Front page'!A15</f>
        <v>prochroraz-0.13mg/L</v>
      </c>
      <c r="K4" s="19" t="str">
        <f>'Front page'!A16</f>
        <v>prochroraz-0.25mg/L</v>
      </c>
      <c r="L4" s="19" t="str">
        <f>'Front page'!A17</f>
        <v>prochroraz-0.5mg/L</v>
      </c>
      <c r="M4" s="19" t="str">
        <f>'Front page'!A18</f>
        <v>prochroraz-1mg/L</v>
      </c>
      <c r="N4" s="19" t="str">
        <f>'Front page'!A19</f>
        <v/>
      </c>
      <c r="O4" s="20" t="str">
        <f>'Front page'!A20</f>
        <v>Testo -30µg/L</v>
      </c>
      <c r="P4" s="20" t="str">
        <f>'Front page'!A21</f>
        <v>Testo 30µg/L + EE2 -64ng/L</v>
      </c>
      <c r="Q4" s="20" t="str">
        <f>'Front page'!A22</f>
        <v>Testo 30µg/L + FAD-10mg/L</v>
      </c>
      <c r="R4" s="20" t="str">
        <f>'Front page'!A23</f>
        <v>prochroraz-0.063mg/L + Testostérone</v>
      </c>
      <c r="S4" s="20" t="str">
        <f>'Front page'!A24</f>
        <v>prochroraz-0.13mg/L + Testostérone</v>
      </c>
      <c r="T4" s="20" t="str">
        <f>'Front page'!A25</f>
        <v>prochroraz-0.25mg/L + Testostérone</v>
      </c>
      <c r="U4" s="20" t="str">
        <f>'Front page'!A26</f>
        <v>prochroraz-0.5mg/L + Testostérone</v>
      </c>
      <c r="V4" s="20" t="str">
        <f>'Front page'!A27</f>
        <v>prochroraz-1mg/L + Testostérone</v>
      </c>
    </row>
    <row r="5" spans="1:22" ht="16.5">
      <c r="A5" s="137" t="s">
        <v>69</v>
      </c>
      <c r="B5" s="109">
        <v>1671811</v>
      </c>
      <c r="C5" s="105">
        <v>1949747</v>
      </c>
      <c r="D5" s="73">
        <v>3875738</v>
      </c>
      <c r="E5" s="73">
        <v>1837156</v>
      </c>
      <c r="F5" s="73">
        <v>15311408</v>
      </c>
      <c r="G5" s="73">
        <v>12275320</v>
      </c>
      <c r="H5" s="73">
        <v>15797160</v>
      </c>
      <c r="I5" s="110">
        <v>2049872</v>
      </c>
      <c r="J5" s="110">
        <v>700</v>
      </c>
      <c r="K5" s="111">
        <v>1573741</v>
      </c>
      <c r="L5" s="111">
        <v>89438</v>
      </c>
      <c r="M5" s="105">
        <v>1092757</v>
      </c>
      <c r="N5" s="12"/>
      <c r="O5" s="73">
        <v>4057895</v>
      </c>
      <c r="P5" s="105">
        <v>12208009</v>
      </c>
      <c r="Q5" s="105">
        <v>2424897</v>
      </c>
      <c r="R5" s="73">
        <v>626183</v>
      </c>
      <c r="S5" s="73">
        <v>2361816</v>
      </c>
      <c r="T5" s="73">
        <v>676180</v>
      </c>
      <c r="U5" s="73">
        <v>565792</v>
      </c>
      <c r="V5" s="73">
        <v>383989</v>
      </c>
    </row>
    <row r="6" spans="1:22" ht="16.5">
      <c r="A6" s="138"/>
      <c r="B6" s="109">
        <v>1188716</v>
      </c>
      <c r="C6" s="105">
        <v>4111128</v>
      </c>
      <c r="D6" s="73">
        <v>1059630</v>
      </c>
      <c r="E6" s="73">
        <v>6608232</v>
      </c>
      <c r="F6" s="73">
        <v>7073923</v>
      </c>
      <c r="G6" s="73">
        <v>10445439</v>
      </c>
      <c r="H6" s="73">
        <v>8116889</v>
      </c>
      <c r="I6" s="110">
        <v>41668</v>
      </c>
      <c r="J6" s="110">
        <v>58543</v>
      </c>
      <c r="K6" s="111">
        <v>1740798</v>
      </c>
      <c r="L6" s="111">
        <v>1100067</v>
      </c>
      <c r="M6" s="105">
        <v>1792128</v>
      </c>
      <c r="N6" s="12"/>
      <c r="O6" s="73">
        <v>6507517</v>
      </c>
      <c r="P6" s="105">
        <v>10244407</v>
      </c>
      <c r="Q6" s="105">
        <v>116983</v>
      </c>
      <c r="R6" s="73">
        <v>6174847</v>
      </c>
      <c r="S6" s="73">
        <v>3605180</v>
      </c>
      <c r="T6" s="73">
        <v>853603</v>
      </c>
      <c r="U6" s="73">
        <v>5792324</v>
      </c>
      <c r="V6" s="73">
        <v>1663013</v>
      </c>
    </row>
    <row r="7" spans="1:22" ht="16.5">
      <c r="A7" s="138"/>
      <c r="B7" s="109">
        <v>159940</v>
      </c>
      <c r="C7" s="105">
        <v>3468288</v>
      </c>
      <c r="D7" s="73">
        <v>3674255</v>
      </c>
      <c r="E7" s="73">
        <v>5244813</v>
      </c>
      <c r="F7" s="73">
        <v>9736052</v>
      </c>
      <c r="G7" s="73">
        <v>17071962</v>
      </c>
      <c r="H7" s="73">
        <v>11544329</v>
      </c>
      <c r="I7" s="110">
        <v>1606156</v>
      </c>
      <c r="J7" s="110">
        <v>345486</v>
      </c>
      <c r="K7" s="111">
        <v>928268</v>
      </c>
      <c r="L7" s="111">
        <v>44577</v>
      </c>
      <c r="M7" s="105">
        <v>2434457</v>
      </c>
      <c r="N7" s="12"/>
      <c r="O7" s="73">
        <v>10843427</v>
      </c>
      <c r="P7" s="105">
        <v>14981030</v>
      </c>
      <c r="Q7" s="105">
        <v>1533152</v>
      </c>
      <c r="R7" s="73">
        <v>2532290</v>
      </c>
      <c r="S7" s="73">
        <v>2823770</v>
      </c>
      <c r="T7" s="73">
        <v>2220110</v>
      </c>
      <c r="U7" s="73">
        <v>1460873</v>
      </c>
      <c r="V7" s="73">
        <v>3602261</v>
      </c>
    </row>
    <row r="8" spans="1:22" ht="16.5">
      <c r="A8" s="138"/>
      <c r="B8" s="109">
        <v>288516</v>
      </c>
      <c r="C8" s="105">
        <v>2183740</v>
      </c>
      <c r="D8" s="73">
        <v>10360709</v>
      </c>
      <c r="E8" s="73">
        <v>7270700</v>
      </c>
      <c r="F8" s="73">
        <v>15063935</v>
      </c>
      <c r="G8" s="73">
        <v>9960540</v>
      </c>
      <c r="H8" s="73">
        <v>24989011</v>
      </c>
      <c r="I8" s="110">
        <v>490991</v>
      </c>
      <c r="J8" s="110">
        <v>125345</v>
      </c>
      <c r="K8" s="111">
        <v>2180136</v>
      </c>
      <c r="L8" s="111">
        <v>916785</v>
      </c>
      <c r="M8" s="105">
        <v>265044</v>
      </c>
      <c r="N8" s="12"/>
      <c r="O8" s="73">
        <v>6952609</v>
      </c>
      <c r="P8" s="105">
        <v>9734319</v>
      </c>
      <c r="Q8" s="105">
        <v>2205239</v>
      </c>
      <c r="R8" s="73">
        <v>5975555</v>
      </c>
      <c r="S8" s="73">
        <v>5088294</v>
      </c>
      <c r="T8" s="73">
        <v>1641045</v>
      </c>
      <c r="U8" s="73">
        <v>5956057</v>
      </c>
      <c r="V8" s="73">
        <v>363007</v>
      </c>
    </row>
    <row r="9" spans="1:22" ht="16.5">
      <c r="A9" s="138"/>
      <c r="B9" s="109">
        <v>1671735</v>
      </c>
      <c r="C9" s="105">
        <v>99657</v>
      </c>
      <c r="D9" s="73">
        <v>2576889</v>
      </c>
      <c r="E9" s="73">
        <v>6166872</v>
      </c>
      <c r="F9" s="73">
        <v>6625533</v>
      </c>
      <c r="G9" s="73">
        <v>11495933</v>
      </c>
      <c r="H9" s="73">
        <v>19696290</v>
      </c>
      <c r="I9" s="110">
        <v>751346</v>
      </c>
      <c r="J9" s="110">
        <v>3058080</v>
      </c>
      <c r="K9" s="111">
        <v>3842352</v>
      </c>
      <c r="L9" s="111">
        <v>2872950</v>
      </c>
      <c r="M9" s="105">
        <v>2091637</v>
      </c>
      <c r="N9" s="12"/>
      <c r="O9" s="73">
        <v>3948891</v>
      </c>
      <c r="P9" s="105">
        <v>6163240</v>
      </c>
      <c r="Q9" s="105">
        <v>799489</v>
      </c>
      <c r="R9" s="73">
        <v>5819027</v>
      </c>
      <c r="S9" s="73">
        <v>921823</v>
      </c>
      <c r="T9" s="73">
        <v>235997</v>
      </c>
      <c r="U9" s="73">
        <v>3727869</v>
      </c>
      <c r="V9" s="73">
        <v>1746156</v>
      </c>
    </row>
    <row r="10" spans="1:22" ht="16.5">
      <c r="A10" s="138"/>
      <c r="B10" s="109">
        <v>148013</v>
      </c>
      <c r="C10" s="105">
        <v>2934630</v>
      </c>
      <c r="D10" s="73">
        <v>7277724</v>
      </c>
      <c r="E10" s="73">
        <v>1121185</v>
      </c>
      <c r="F10" s="73">
        <v>8184966</v>
      </c>
      <c r="G10" s="73">
        <v>11936597</v>
      </c>
      <c r="H10" s="73">
        <v>7858217</v>
      </c>
      <c r="I10" s="110">
        <v>1988039</v>
      </c>
      <c r="J10" s="110">
        <v>606257</v>
      </c>
      <c r="K10" s="111">
        <v>421172</v>
      </c>
      <c r="L10" s="111">
        <v>210</v>
      </c>
      <c r="M10" s="105">
        <v>1435289</v>
      </c>
      <c r="N10" s="12"/>
      <c r="O10" s="73">
        <v>9690319</v>
      </c>
      <c r="P10" s="105">
        <v>8969842</v>
      </c>
      <c r="Q10" s="105">
        <v>1099581</v>
      </c>
      <c r="R10" s="73">
        <v>9523920</v>
      </c>
      <c r="S10" s="73">
        <v>2364673</v>
      </c>
      <c r="T10" s="73">
        <v>444050</v>
      </c>
      <c r="U10" s="73">
        <v>967395</v>
      </c>
      <c r="V10" s="73">
        <v>1621429</v>
      </c>
    </row>
    <row r="11" spans="1:22" ht="16.5">
      <c r="A11" s="138"/>
      <c r="B11" s="109">
        <v>1749204</v>
      </c>
      <c r="C11" s="105">
        <v>3973424</v>
      </c>
      <c r="D11" s="73">
        <v>1692912</v>
      </c>
      <c r="E11" s="73">
        <v>6004756</v>
      </c>
      <c r="F11" s="73">
        <v>13748160</v>
      </c>
      <c r="G11" s="73">
        <v>8247286</v>
      </c>
      <c r="H11" s="73">
        <v>15412275</v>
      </c>
      <c r="I11" s="110">
        <v>1517819</v>
      </c>
      <c r="J11" s="110">
        <v>925504</v>
      </c>
      <c r="K11" s="111">
        <v>2078275</v>
      </c>
      <c r="L11" s="111">
        <v>571678</v>
      </c>
      <c r="M11" s="105">
        <v>1317435</v>
      </c>
      <c r="N11" s="12"/>
      <c r="O11" s="73">
        <v>3529331</v>
      </c>
      <c r="P11" s="105">
        <v>13942977</v>
      </c>
      <c r="Q11" s="105">
        <v>226168</v>
      </c>
      <c r="R11" s="73">
        <v>2041636</v>
      </c>
      <c r="S11" s="73">
        <v>2848260</v>
      </c>
      <c r="T11" s="73">
        <v>5483928</v>
      </c>
      <c r="U11" s="73">
        <v>729226</v>
      </c>
      <c r="V11" s="73">
        <v>1275867</v>
      </c>
    </row>
    <row r="12" spans="1:22" ht="16.5">
      <c r="A12" s="138"/>
      <c r="B12" s="109">
        <v>1305673</v>
      </c>
      <c r="C12" s="105">
        <v>3229699</v>
      </c>
      <c r="D12" s="73">
        <v>6471386</v>
      </c>
      <c r="E12" s="73">
        <v>6294351</v>
      </c>
      <c r="F12" s="73">
        <v>11221782</v>
      </c>
      <c r="G12" s="73">
        <v>10778271</v>
      </c>
      <c r="H12" s="73">
        <v>18864445</v>
      </c>
      <c r="I12" s="110">
        <v>0</v>
      </c>
      <c r="J12" s="110">
        <v>20226</v>
      </c>
      <c r="K12" s="111">
        <v>1232357</v>
      </c>
      <c r="L12" s="111">
        <v>372022</v>
      </c>
      <c r="M12" s="105">
        <v>432802</v>
      </c>
      <c r="N12" s="12"/>
      <c r="O12" s="73">
        <v>9152805</v>
      </c>
      <c r="P12" s="105">
        <v>8066324</v>
      </c>
      <c r="Q12" s="105">
        <v>1560845</v>
      </c>
      <c r="R12" s="73">
        <v>5486554</v>
      </c>
      <c r="S12" s="73">
        <v>2788374</v>
      </c>
      <c r="T12" s="73">
        <v>1660204</v>
      </c>
      <c r="U12" s="73">
        <v>292022</v>
      </c>
      <c r="V12" s="73">
        <v>740652</v>
      </c>
    </row>
    <row r="13" spans="1:22" ht="16.5">
      <c r="A13" s="138"/>
      <c r="B13" s="13"/>
      <c r="C13" s="12"/>
      <c r="D13" s="15"/>
      <c r="E13" s="15"/>
      <c r="F13" s="15"/>
      <c r="G13" s="15"/>
      <c r="H13" s="15"/>
      <c r="I13" s="16"/>
      <c r="J13" s="15"/>
      <c r="K13" s="12"/>
      <c r="L13" s="12"/>
      <c r="M13" s="12"/>
      <c r="N13" s="12"/>
      <c r="O13" s="16">
        <v>2338123</v>
      </c>
      <c r="P13" s="12"/>
      <c r="Q13" s="12"/>
      <c r="R13" s="4"/>
      <c r="S13" s="16"/>
      <c r="T13" s="16"/>
      <c r="U13" s="16"/>
      <c r="V13" s="16"/>
    </row>
    <row r="14" spans="1:22" ht="16.5">
      <c r="A14" s="138"/>
      <c r="B14" s="13"/>
      <c r="C14" s="15"/>
      <c r="D14" s="15"/>
      <c r="E14" s="15"/>
      <c r="F14" s="15"/>
      <c r="G14" s="15"/>
      <c r="H14" s="15"/>
      <c r="I14" s="16"/>
      <c r="J14" s="15"/>
      <c r="K14" s="12"/>
      <c r="L14" s="12"/>
      <c r="M14" s="12"/>
      <c r="N14" s="12"/>
      <c r="O14" s="16">
        <v>3642263</v>
      </c>
      <c r="P14" s="12"/>
      <c r="Q14" s="12"/>
      <c r="R14" s="4"/>
      <c r="S14" s="16"/>
      <c r="T14" s="16"/>
      <c r="U14" s="16"/>
      <c r="V14" s="16"/>
    </row>
    <row r="15" spans="1:22" ht="16.5">
      <c r="A15" s="138"/>
      <c r="B15" s="13"/>
      <c r="C15" s="15"/>
      <c r="D15" s="15"/>
      <c r="E15" s="15"/>
      <c r="F15" s="15"/>
      <c r="G15" s="15"/>
      <c r="H15" s="15"/>
      <c r="I15" s="16"/>
      <c r="J15" s="15"/>
      <c r="K15" s="12"/>
      <c r="L15" s="12"/>
      <c r="M15" s="12"/>
      <c r="N15" s="12"/>
      <c r="O15" s="16">
        <v>4074998</v>
      </c>
      <c r="P15" s="12"/>
      <c r="Q15" s="12"/>
      <c r="R15" s="4"/>
      <c r="S15" s="16"/>
      <c r="T15" s="16"/>
      <c r="U15" s="16"/>
      <c r="V15" s="16"/>
    </row>
    <row r="16" spans="1:22" ht="16.5">
      <c r="A16" s="138"/>
      <c r="B16" s="13"/>
      <c r="C16" s="15"/>
      <c r="D16" s="15"/>
      <c r="E16" s="15"/>
      <c r="F16" s="15"/>
      <c r="G16" s="15"/>
      <c r="H16" s="15"/>
      <c r="I16" s="16"/>
      <c r="J16" s="15"/>
      <c r="K16" s="12"/>
      <c r="L16" s="12"/>
      <c r="M16" s="12"/>
      <c r="N16" s="12"/>
      <c r="O16" s="16">
        <v>10259809</v>
      </c>
      <c r="P16" s="12"/>
      <c r="Q16" s="12"/>
      <c r="R16" s="4"/>
      <c r="S16" s="16"/>
      <c r="T16" s="16"/>
      <c r="U16" s="16"/>
      <c r="V16" s="16"/>
    </row>
    <row r="17" spans="1:22" s="1" customFormat="1" ht="16.5">
      <c r="A17" s="138"/>
      <c r="B17" s="13"/>
      <c r="C17" s="16"/>
      <c r="D17" s="16"/>
      <c r="E17" s="16"/>
      <c r="F17" s="16"/>
      <c r="G17" s="16"/>
      <c r="H17" s="16"/>
      <c r="I17" s="16"/>
      <c r="J17" s="16"/>
      <c r="K17" s="12"/>
      <c r="L17" s="12"/>
      <c r="M17" s="12"/>
      <c r="N17" s="12"/>
      <c r="O17" s="16">
        <v>11696628</v>
      </c>
      <c r="P17" s="12"/>
      <c r="Q17" s="12"/>
      <c r="R17" s="16"/>
      <c r="S17" s="16"/>
      <c r="T17" s="16"/>
      <c r="U17" s="16"/>
      <c r="V17" s="16"/>
    </row>
    <row r="18" spans="1:22" s="1" customFormat="1" ht="16.5">
      <c r="A18" s="138"/>
      <c r="B18" s="13"/>
      <c r="C18" s="16"/>
      <c r="D18" s="16"/>
      <c r="E18" s="16"/>
      <c r="F18" s="16"/>
      <c r="G18" s="16"/>
      <c r="H18" s="16"/>
      <c r="I18" s="16"/>
      <c r="J18" s="16"/>
      <c r="K18" s="12"/>
      <c r="L18" s="12"/>
      <c r="M18" s="12"/>
      <c r="N18" s="12"/>
      <c r="O18" s="16">
        <v>8757091</v>
      </c>
      <c r="P18" s="12"/>
      <c r="Q18" s="12"/>
      <c r="R18" s="16"/>
      <c r="S18" s="16"/>
      <c r="T18" s="16"/>
      <c r="U18" s="16"/>
      <c r="V18" s="16"/>
    </row>
    <row r="19" spans="1:22" s="1" customFormat="1" ht="16.5">
      <c r="A19" s="138"/>
      <c r="B19" s="13"/>
      <c r="C19" s="16"/>
      <c r="D19" s="16"/>
      <c r="E19" s="16"/>
      <c r="F19" s="16"/>
      <c r="G19" s="16"/>
      <c r="H19" s="16"/>
      <c r="I19" s="16"/>
      <c r="J19" s="16"/>
      <c r="K19" s="12"/>
      <c r="L19" s="12"/>
      <c r="M19" s="12"/>
      <c r="N19" s="12"/>
      <c r="O19" s="16">
        <v>8689878</v>
      </c>
      <c r="P19" s="12"/>
      <c r="Q19" s="12"/>
      <c r="R19" s="16"/>
      <c r="S19" s="16"/>
      <c r="T19" s="16"/>
      <c r="U19" s="16"/>
      <c r="V19" s="16"/>
    </row>
    <row r="20" spans="1:22" ht="16.5">
      <c r="A20" s="138"/>
      <c r="B20" s="13"/>
      <c r="C20" s="15"/>
      <c r="D20" s="15"/>
      <c r="E20" s="15"/>
      <c r="F20" s="15"/>
      <c r="G20" s="15"/>
      <c r="H20" s="15"/>
      <c r="I20" s="16"/>
      <c r="J20" s="15"/>
      <c r="K20" s="12"/>
      <c r="L20" s="12"/>
      <c r="M20" s="12"/>
      <c r="N20" s="12"/>
      <c r="O20" s="16">
        <v>2779207</v>
      </c>
      <c r="P20" s="12"/>
      <c r="Q20" s="12"/>
      <c r="R20" s="4"/>
      <c r="S20" s="16"/>
      <c r="T20" s="16"/>
      <c r="U20" s="16"/>
      <c r="V20" s="16"/>
    </row>
    <row r="21" spans="1:22" s="1" customFormat="1" ht="16.5">
      <c r="A21" s="47"/>
      <c r="B21" s="48"/>
      <c r="C21" s="6"/>
      <c r="D21" s="6"/>
      <c r="E21" s="6"/>
      <c r="F21" s="6"/>
      <c r="G21" s="6"/>
      <c r="H21" s="6"/>
      <c r="I21" s="6"/>
      <c r="J21" s="6"/>
      <c r="K21" s="17"/>
      <c r="L21" s="17"/>
      <c r="M21" s="17"/>
      <c r="N21" s="17"/>
      <c r="O21" s="6"/>
      <c r="P21" s="17"/>
      <c r="Q21" s="17"/>
      <c r="R21" s="6"/>
      <c r="S21" s="6"/>
      <c r="T21" s="6"/>
      <c r="U21" s="6"/>
      <c r="V21" s="6"/>
    </row>
    <row r="22" spans="1:22" s="50" customFormat="1">
      <c r="A22" s="49" t="str">
        <f t="shared" ref="A22:N22" si="0">A4</f>
        <v>Noms des groupes</v>
      </c>
      <c r="B22" s="49" t="str">
        <f t="shared" si="0"/>
        <v>Solvent control</v>
      </c>
      <c r="C22" s="49" t="str">
        <f t="shared" si="0"/>
        <v>EE2-33.8ng/L</v>
      </c>
      <c r="D22" s="49" t="str">
        <f t="shared" si="0"/>
        <v>EE2-50.6ng/L</v>
      </c>
      <c r="E22" s="49" t="str">
        <f t="shared" si="0"/>
        <v>EE2-76ng/L</v>
      </c>
      <c r="F22" s="49" t="str">
        <f t="shared" si="0"/>
        <v>EE2-114ng/L</v>
      </c>
      <c r="G22" s="49" t="str">
        <f t="shared" si="0"/>
        <v>EE2-170.9ng/L</v>
      </c>
      <c r="H22" s="49" t="str">
        <f t="shared" si="0"/>
        <v>EE2-488ng/L</v>
      </c>
      <c r="I22" s="49" t="str">
        <f t="shared" si="0"/>
        <v>prochroraz-0.063mg/L</v>
      </c>
      <c r="J22" s="49" t="str">
        <f t="shared" si="0"/>
        <v>prochroraz-0.13mg/L</v>
      </c>
      <c r="K22" s="49" t="str">
        <f t="shared" si="0"/>
        <v>prochroraz-0.25mg/L</v>
      </c>
      <c r="L22" s="49" t="str">
        <f t="shared" si="0"/>
        <v>prochroraz-0.5mg/L</v>
      </c>
      <c r="M22" s="49" t="str">
        <f t="shared" si="0"/>
        <v>prochroraz-1mg/L</v>
      </c>
      <c r="N22" s="49" t="str">
        <f t="shared" si="0"/>
        <v/>
      </c>
      <c r="O22" s="49" t="str">
        <f t="shared" ref="O22:V22" si="1">O4</f>
        <v>Testo -30µg/L</v>
      </c>
      <c r="P22" s="49" t="str">
        <f t="shared" si="1"/>
        <v>Testo 30µg/L + EE2 -64ng/L</v>
      </c>
      <c r="Q22" s="49" t="str">
        <f t="shared" si="1"/>
        <v>Testo 30µg/L + FAD-10mg/L</v>
      </c>
      <c r="R22" s="49" t="str">
        <f t="shared" si="1"/>
        <v>prochroraz-0.063mg/L + Testostérone</v>
      </c>
      <c r="S22" s="49" t="str">
        <f t="shared" si="1"/>
        <v>prochroraz-0.13mg/L + Testostérone</v>
      </c>
      <c r="T22" s="49" t="str">
        <f t="shared" si="1"/>
        <v>prochroraz-0.25mg/L + Testostérone</v>
      </c>
      <c r="U22" s="49" t="str">
        <f t="shared" si="1"/>
        <v>prochroraz-0.5mg/L + Testostérone</v>
      </c>
      <c r="V22" s="49" t="str">
        <f t="shared" si="1"/>
        <v>prochroraz-1mg/L + Testostérone</v>
      </c>
    </row>
    <row r="23" spans="1:22">
      <c r="A23" s="5" t="s">
        <v>0</v>
      </c>
      <c r="B23" s="5">
        <f t="shared" ref="B23:N23" si="2">AVERAGE(B5:B20)</f>
        <v>1022951</v>
      </c>
      <c r="C23" s="5">
        <f t="shared" si="2"/>
        <v>2743789.125</v>
      </c>
      <c r="D23" s="5">
        <f t="shared" si="2"/>
        <v>4623655.375</v>
      </c>
      <c r="E23" s="5">
        <f t="shared" si="2"/>
        <v>5068508.125</v>
      </c>
      <c r="F23" s="5">
        <f t="shared" si="2"/>
        <v>10870719.875</v>
      </c>
      <c r="G23" s="5">
        <f t="shared" si="2"/>
        <v>11526418.5</v>
      </c>
      <c r="H23" s="5">
        <f t="shared" si="2"/>
        <v>15284827</v>
      </c>
      <c r="I23" s="5">
        <f t="shared" si="2"/>
        <v>1055736.375</v>
      </c>
      <c r="J23" s="5">
        <f t="shared" si="2"/>
        <v>642517.625</v>
      </c>
      <c r="K23" s="5">
        <f t="shared" si="2"/>
        <v>1749637.375</v>
      </c>
      <c r="L23" s="5">
        <f t="shared" si="2"/>
        <v>745965.875</v>
      </c>
      <c r="M23" s="5">
        <f t="shared" si="2"/>
        <v>1357693.625</v>
      </c>
      <c r="N23" s="5" t="e">
        <f t="shared" si="2"/>
        <v>#DIV/0!</v>
      </c>
      <c r="O23" s="5">
        <f t="shared" ref="O23:V23" si="3">AVERAGE(O5:O20)</f>
        <v>6682549.4375</v>
      </c>
      <c r="P23" s="5">
        <f t="shared" si="3"/>
        <v>10538768.5</v>
      </c>
      <c r="Q23" s="5">
        <f t="shared" si="3"/>
        <v>1245794.25</v>
      </c>
      <c r="R23" s="5">
        <f t="shared" si="3"/>
        <v>4772501.5</v>
      </c>
      <c r="S23" s="5">
        <f t="shared" si="3"/>
        <v>2850273.75</v>
      </c>
      <c r="T23" s="5">
        <f t="shared" si="3"/>
        <v>1651889.625</v>
      </c>
      <c r="U23" s="5">
        <f t="shared" si="3"/>
        <v>2436444.75</v>
      </c>
      <c r="V23" s="5">
        <f t="shared" si="3"/>
        <v>1424546.75</v>
      </c>
    </row>
    <row r="24" spans="1:22">
      <c r="A24" s="3" t="s">
        <v>1</v>
      </c>
      <c r="B24" s="3">
        <f t="shared" ref="B24:N24" si="4">STDEV(B5:B20)</f>
        <v>709777.87490815949</v>
      </c>
      <c r="C24" s="3">
        <f t="shared" si="4"/>
        <v>1315546.4591957254</v>
      </c>
      <c r="D24" s="3">
        <f t="shared" si="4"/>
        <v>3169351.0082474947</v>
      </c>
      <c r="E24" s="3">
        <f t="shared" si="4"/>
        <v>2294718.5486599091</v>
      </c>
      <c r="F24" s="3">
        <f t="shared" si="4"/>
        <v>3518191.3692352711</v>
      </c>
      <c r="G24" s="3">
        <f t="shared" si="4"/>
        <v>2575045.3179136203</v>
      </c>
      <c r="H24" s="3">
        <f t="shared" si="4"/>
        <v>5943180.7570849033</v>
      </c>
      <c r="I24" s="3">
        <f t="shared" si="4"/>
        <v>839088.00347570167</v>
      </c>
      <c r="J24" s="3">
        <f t="shared" si="4"/>
        <v>1029024.2335148571</v>
      </c>
      <c r="K24" s="3">
        <f t="shared" si="4"/>
        <v>1028928.0701495593</v>
      </c>
      <c r="L24" s="3">
        <f t="shared" si="4"/>
        <v>950786.55881319614</v>
      </c>
      <c r="M24" s="3">
        <f t="shared" si="4"/>
        <v>757247.49728510401</v>
      </c>
      <c r="N24" s="3" t="e">
        <f t="shared" si="4"/>
        <v>#DIV/0!</v>
      </c>
      <c r="O24" s="3">
        <f t="shared" ref="O24:V24" si="5">STDEV(O5:O20)</f>
        <v>3196805.1407389846</v>
      </c>
      <c r="P24" s="3">
        <f t="shared" si="5"/>
        <v>2989558.8806406585</v>
      </c>
      <c r="Q24" s="3">
        <f t="shared" si="5"/>
        <v>847438.84679405799</v>
      </c>
      <c r="R24" s="3">
        <f t="shared" si="5"/>
        <v>2860147.4994319035</v>
      </c>
      <c r="S24" s="3">
        <f t="shared" si="5"/>
        <v>1181795.0949909994</v>
      </c>
      <c r="T24" s="3">
        <f t="shared" si="5"/>
        <v>1692862.2646690037</v>
      </c>
      <c r="U24" s="3">
        <f t="shared" si="5"/>
        <v>2373656.2043138519</v>
      </c>
      <c r="V24" s="3">
        <f t="shared" si="5"/>
        <v>1044779.2252190686</v>
      </c>
    </row>
    <row r="25" spans="1:22" ht="15.75" thickBot="1"/>
    <row r="26" spans="1:22" ht="15.75" thickBot="1">
      <c r="B26" s="141" t="s">
        <v>6</v>
      </c>
      <c r="C26" s="142"/>
      <c r="D26" s="142"/>
      <c r="E26" s="142"/>
      <c r="F26" s="142"/>
      <c r="G26" s="142"/>
      <c r="H26" s="142"/>
      <c r="I26" s="142"/>
      <c r="J26" s="142"/>
      <c r="K26" s="142"/>
      <c r="L26" s="142"/>
      <c r="M26" s="142"/>
      <c r="N26" s="142"/>
      <c r="O26" s="141" t="s">
        <v>3</v>
      </c>
      <c r="P26" s="142"/>
      <c r="Q26" s="142"/>
      <c r="R26" s="142"/>
      <c r="S26" s="142"/>
      <c r="T26" s="142"/>
      <c r="U26" s="142"/>
      <c r="V26" s="142"/>
    </row>
    <row r="27" spans="1:22" s="1" customFormat="1">
      <c r="A27" s="18" t="s">
        <v>22</v>
      </c>
      <c r="B27" s="19" t="str">
        <f t="shared" ref="B27:N27" si="6">B4</f>
        <v>Solvent control</v>
      </c>
      <c r="C27" s="19" t="str">
        <f t="shared" si="6"/>
        <v>EE2-33.8ng/L</v>
      </c>
      <c r="D27" s="19" t="str">
        <f t="shared" si="6"/>
        <v>EE2-50.6ng/L</v>
      </c>
      <c r="E27" s="19" t="str">
        <f t="shared" si="6"/>
        <v>EE2-76ng/L</v>
      </c>
      <c r="F27" s="19" t="str">
        <f t="shared" si="6"/>
        <v>EE2-114ng/L</v>
      </c>
      <c r="G27" s="19" t="str">
        <f t="shared" si="6"/>
        <v>EE2-170.9ng/L</v>
      </c>
      <c r="H27" s="19" t="str">
        <f t="shared" si="6"/>
        <v>EE2-488ng/L</v>
      </c>
      <c r="I27" s="19" t="str">
        <f t="shared" si="6"/>
        <v>prochroraz-0.063mg/L</v>
      </c>
      <c r="J27" s="19" t="str">
        <f t="shared" si="6"/>
        <v>prochroraz-0.13mg/L</v>
      </c>
      <c r="K27" s="19" t="str">
        <f t="shared" si="6"/>
        <v>prochroraz-0.25mg/L</v>
      </c>
      <c r="L27" s="19" t="str">
        <f t="shared" si="6"/>
        <v>prochroraz-0.5mg/L</v>
      </c>
      <c r="M27" s="19" t="str">
        <f t="shared" si="6"/>
        <v>prochroraz-1mg/L</v>
      </c>
      <c r="N27" s="19" t="str">
        <f t="shared" si="6"/>
        <v/>
      </c>
      <c r="O27" s="20" t="str">
        <f t="shared" ref="O27:V27" si="7">O4</f>
        <v>Testo -30µg/L</v>
      </c>
      <c r="P27" s="20" t="str">
        <f t="shared" si="7"/>
        <v>Testo 30µg/L + EE2 -64ng/L</v>
      </c>
      <c r="Q27" s="20" t="str">
        <f t="shared" si="7"/>
        <v>Testo 30µg/L + FAD-10mg/L</v>
      </c>
      <c r="R27" s="20" t="str">
        <f t="shared" si="7"/>
        <v>prochroraz-0.063mg/L + Testostérone</v>
      </c>
      <c r="S27" s="20" t="str">
        <f t="shared" si="7"/>
        <v>prochroraz-0.13mg/L + Testostérone</v>
      </c>
      <c r="T27" s="20" t="str">
        <f t="shared" si="7"/>
        <v>prochroraz-0.25mg/L + Testostérone</v>
      </c>
      <c r="U27" s="20" t="str">
        <f t="shared" si="7"/>
        <v>prochroraz-0.5mg/L + Testostérone</v>
      </c>
      <c r="V27" s="20" t="str">
        <f t="shared" si="7"/>
        <v>prochroraz-1mg/L + Testostérone</v>
      </c>
    </row>
    <row r="28" spans="1:22">
      <c r="A28" s="139" t="s">
        <v>70</v>
      </c>
      <c r="B28" s="70">
        <f>IF(B5="","",(B5/$O$23))</f>
        <v>0.2501756276756314</v>
      </c>
      <c r="C28" s="70">
        <f>IF(C5="","",(C5/$O$23))</f>
        <v>0.29176693988356295</v>
      </c>
      <c r="D28" s="70">
        <f>IF(D5="","",(D5/$O$23))</f>
        <v>0.57997894908951808</v>
      </c>
      <c r="E28" s="70">
        <f>IF(E5="","",(E5/$O$23))</f>
        <v>0.27491843003668015</v>
      </c>
      <c r="F28" s="70">
        <f>IF(F5="","",(F5/$O$23))</f>
        <v>2.2912524842806299</v>
      </c>
      <c r="G28" s="70">
        <f>IF(G5="","",(G5/$O$23))</f>
        <v>1.8369216890660676</v>
      </c>
      <c r="H28" s="70">
        <f>IF(H5="","",(H5/$O$23))</f>
        <v>2.3639421073867664</v>
      </c>
      <c r="I28" s="10">
        <f>IF(I5="","",(I5/$O$23))</f>
        <v>0.30674999402127506</v>
      </c>
      <c r="J28" s="10">
        <f>IF(J5="","",(J5/$O$23))</f>
        <v>1.047504409128436E-4</v>
      </c>
      <c r="K28" s="10">
        <f>IF(K5="","",(K5/$O$23))</f>
        <v>0.23550009090374199</v>
      </c>
      <c r="L28" s="10">
        <f>IF(L5="","",(L5/$O$23))</f>
        <v>1.3383814191947009E-2</v>
      </c>
      <c r="M28" s="10">
        <f>IF(M5="","",(M5/$O$23))</f>
        <v>0.16352396794370891</v>
      </c>
      <c r="N28" s="10" t="str">
        <f>IF(N5="","",(N5/$O$23))</f>
        <v/>
      </c>
      <c r="O28" s="70">
        <f t="shared" ref="O28:V37" si="8">IF(O5="","",(O5/$O$23))</f>
        <v>0.60723755775431931</v>
      </c>
      <c r="P28" s="70">
        <f t="shared" si="8"/>
        <v>1.8268490363113756</v>
      </c>
      <c r="Q28" s="70">
        <f t="shared" si="8"/>
        <v>0.36287004274033102</v>
      </c>
      <c r="R28" s="70">
        <f t="shared" si="8"/>
        <v>9.3704207631610206E-2</v>
      </c>
      <c r="S28" s="70">
        <f t="shared" si="8"/>
        <v>0.35343038193572662</v>
      </c>
      <c r="T28" s="70">
        <f t="shared" si="8"/>
        <v>0.10118593305206655</v>
      </c>
      <c r="U28" s="70">
        <f t="shared" si="8"/>
        <v>8.4667087807085151E-2</v>
      </c>
      <c r="V28" s="70">
        <f t="shared" si="8"/>
        <v>5.7461452936688431E-2</v>
      </c>
    </row>
    <row r="29" spans="1:22">
      <c r="A29" s="140"/>
      <c r="B29" s="70">
        <f>IF(B6="","",(B6/$O$23))</f>
        <v>0.17788360731450256</v>
      </c>
      <c r="C29" s="70">
        <f>IF(C6="","",(C6/$O$23))</f>
        <v>0.615203529498767</v>
      </c>
      <c r="D29" s="70">
        <f>IF(D6="","",(D6/$O$23))</f>
        <v>0.1585667281492521</v>
      </c>
      <c r="E29" s="70">
        <f>IF(E6="","",(E6/$O$23))</f>
        <v>0.98887887950623188</v>
      </c>
      <c r="F29" s="70">
        <f>IF(F6="","",(F6/$O$23))</f>
        <v>1.0585665046192934</v>
      </c>
      <c r="G29" s="70">
        <f>IF(G6="","",(G6/$O$23))</f>
        <v>1.5630919153974459</v>
      </c>
      <c r="H29" s="70">
        <f>IF(H6="","",(H6/$O$23))</f>
        <v>1.2146395737008717</v>
      </c>
      <c r="I29" s="10">
        <f>IF(I6="","",(I6/$O$23))</f>
        <v>6.2353448170805242E-3</v>
      </c>
      <c r="J29" s="10">
        <f>IF(J6="","",(J6/$O$23))</f>
        <v>8.7605786605151476E-3</v>
      </c>
      <c r="K29" s="10">
        <f>IF(K6="","",(K6/$O$23))</f>
        <v>0.26049908291456619</v>
      </c>
      <c r="L29" s="10">
        <f>IF(L6="","",(L6/$O$23))</f>
        <v>0.16461786183381302</v>
      </c>
      <c r="M29" s="10">
        <f>IF(M6="","",(M6/$O$23))</f>
        <v>0.26818028310321795</v>
      </c>
      <c r="N29" s="10" t="str">
        <f>IF(N6="","",(N6/$O$23))</f>
        <v/>
      </c>
      <c r="O29" s="70">
        <f t="shared" si="8"/>
        <v>0.97380753571117895</v>
      </c>
      <c r="P29" s="70">
        <f t="shared" si="8"/>
        <v>1.5330087859151733</v>
      </c>
      <c r="Q29" s="70">
        <f t="shared" si="8"/>
        <v>1.7505744041867406E-2</v>
      </c>
      <c r="R29" s="70">
        <f t="shared" si="8"/>
        <v>0.92402563688478512</v>
      </c>
      <c r="S29" s="70">
        <f t="shared" si="8"/>
        <v>0.53949170652880785</v>
      </c>
      <c r="T29" s="70">
        <f t="shared" si="8"/>
        <v>0.12773612944932292</v>
      </c>
      <c r="U29" s="70">
        <f t="shared" si="8"/>
        <v>0.86678356130006562</v>
      </c>
      <c r="V29" s="70">
        <f t="shared" si="8"/>
        <v>0.24885906427684396</v>
      </c>
    </row>
    <row r="30" spans="1:22">
      <c r="A30" s="140"/>
      <c r="B30" s="70">
        <f>IF(B7="","",(B7/$O$23))</f>
        <v>2.393397931371458E-2</v>
      </c>
      <c r="C30" s="70">
        <f>IF(C7="","",(C7/$O$23))</f>
        <v>0.51900671030389212</v>
      </c>
      <c r="D30" s="70">
        <f>IF(D7="","",(D7/$O$23))</f>
        <v>0.54982833039460022</v>
      </c>
      <c r="E30" s="70">
        <f>IF(E7="","",(E7/$O$23))</f>
        <v>0.78485210607916289</v>
      </c>
      <c r="F30" s="70">
        <f>IF(F7="","",(F7/$O$23))</f>
        <v>1.4569367710719612</v>
      </c>
      <c r="G30" s="70">
        <f>IF(G7="","",(G7/$O$23))</f>
        <v>2.5547079239247306</v>
      </c>
      <c r="H30" s="70">
        <f>IF(H7="","",(H7/$O$23))</f>
        <v>1.7275336468470384</v>
      </c>
      <c r="I30" s="10">
        <f>IF(I7="","",(I7/$O$23))</f>
        <v>0.24035078453544176</v>
      </c>
      <c r="J30" s="10">
        <f>IF(J7="","",(J7/$O$23))</f>
        <v>5.1699729756020975E-2</v>
      </c>
      <c r="K30" s="10">
        <f>IF(K7="","",(K7/$O$23))</f>
        <v>0.13890926040754786</v>
      </c>
      <c r="L30" s="10">
        <f>IF(L7="","",(L7/$O$23))</f>
        <v>6.6706577208168992E-3</v>
      </c>
      <c r="M30" s="10">
        <f>IF(M7="","",(M7/$O$23))</f>
        <v>0.3643006344762264</v>
      </c>
      <c r="N30" s="10" t="str">
        <f>IF(N7="","",(N7/$O$23))</f>
        <v/>
      </c>
      <c r="O30" s="70">
        <f t="shared" si="8"/>
        <v>1.6226482275089043</v>
      </c>
      <c r="P30" s="70">
        <f t="shared" si="8"/>
        <v>2.2418135683264819</v>
      </c>
      <c r="Q30" s="70">
        <f t="shared" si="8"/>
        <v>0.22942621140915428</v>
      </c>
      <c r="R30" s="70">
        <f t="shared" si="8"/>
        <v>0.37894070574169247</v>
      </c>
      <c r="S30" s="70">
        <f t="shared" si="8"/>
        <v>0.42255878933780056</v>
      </c>
      <c r="T30" s="70">
        <f t="shared" si="8"/>
        <v>0.3322250019643046</v>
      </c>
      <c r="U30" s="70">
        <f t="shared" si="8"/>
        <v>0.21861012981095509</v>
      </c>
      <c r="V30" s="70">
        <f t="shared" si="8"/>
        <v>0.53905489719020128</v>
      </c>
    </row>
    <row r="31" spans="1:22">
      <c r="A31" s="140"/>
      <c r="B31" s="70">
        <f>IF(B8="","",(B8/$O$23))</f>
        <v>4.3174540300585693E-2</v>
      </c>
      <c r="C31" s="70">
        <f>IF(C8="","",(C8/$O$23))</f>
        <v>0.32678246834144725</v>
      </c>
      <c r="D31" s="70">
        <f>IF(D8="","",(D8/$O$23))</f>
        <v>1.5504126227423813</v>
      </c>
      <c r="E31" s="70">
        <f>IF(E8="","",(E8/$O$23))</f>
        <v>1.0880129010643029</v>
      </c>
      <c r="F31" s="70">
        <f>IF(F8="","",(F8/$O$23))</f>
        <v>2.2542197616177382</v>
      </c>
      <c r="G31" s="70">
        <f>IF(G8="","",(G8/$O$23))</f>
        <v>1.490529938185736</v>
      </c>
      <c r="H31" s="70">
        <f>IF(H8="","",(H8/$O$23))</f>
        <v>3.7394427431798554</v>
      </c>
      <c r="I31" s="10">
        <f>IF(I8="","",(I8/$O$23))</f>
        <v>7.34736053346257E-2</v>
      </c>
      <c r="J31" s="10">
        <f>IF(J8="","",(J8/$O$23))</f>
        <v>1.8757062880314829E-2</v>
      </c>
      <c r="K31" s="10">
        <f>IF(K8="","",(K8/$O$23))</f>
        <v>0.32624315321423314</v>
      </c>
      <c r="L31" s="10">
        <f>IF(L8="","",(L8/$O$23))</f>
        <v>0.13719090424611619</v>
      </c>
      <c r="M31" s="10">
        <f>IF(M8="","",(M8/$O$23))</f>
        <v>3.9662108373291032E-2</v>
      </c>
      <c r="N31" s="10" t="str">
        <f>IF(N8="","",(N8/$O$23))</f>
        <v/>
      </c>
      <c r="O31" s="70">
        <f t="shared" si="8"/>
        <v>1.0404126546351495</v>
      </c>
      <c r="P31" s="70">
        <f t="shared" si="8"/>
        <v>1.4566774389089583</v>
      </c>
      <c r="Q31" s="70">
        <f t="shared" si="8"/>
        <v>0.32999965366885475</v>
      </c>
      <c r="R31" s="70">
        <f t="shared" si="8"/>
        <v>0.89420288706992446</v>
      </c>
      <c r="S31" s="70">
        <f t="shared" si="8"/>
        <v>0.76143005713453804</v>
      </c>
      <c r="T31" s="70">
        <f t="shared" si="8"/>
        <v>0.24557169615402491</v>
      </c>
      <c r="U31" s="70">
        <f t="shared" si="8"/>
        <v>0.89128513836004075</v>
      </c>
      <c r="V31" s="70">
        <f t="shared" si="8"/>
        <v>5.4321633292069453E-2</v>
      </c>
    </row>
    <row r="32" spans="1:22">
      <c r="A32" s="140"/>
      <c r="B32" s="70">
        <f>IF(B9="","",(B9/$O$23))</f>
        <v>0.25016425477061799</v>
      </c>
      <c r="C32" s="70">
        <f>IF(C9="","",(C9/$O$23))</f>
        <v>1.4913020985787506E-2</v>
      </c>
      <c r="D32" s="70">
        <f>IF(D9="","",(D9/$O$23))</f>
        <v>0.38561465561922376</v>
      </c>
      <c r="E32" s="70">
        <f>IF(E9="","",(E9/$O$23))</f>
        <v>0.92283223007581383</v>
      </c>
      <c r="F32" s="70">
        <f>IF(F9="","",(F9/$O$23))</f>
        <v>0.99146786147513633</v>
      </c>
      <c r="G32" s="70">
        <f>IF(G9="","",(G9/$O$23))</f>
        <v>1.7202915006492985</v>
      </c>
      <c r="H32" s="70">
        <f>IF(H9="","",(H9/$O$23))</f>
        <v>2.9474215169246176</v>
      </c>
      <c r="I32" s="10">
        <f>IF(I9="","",(I9/$O$23))</f>
        <v>0.1124340353972877</v>
      </c>
      <c r="J32" s="10">
        <f>IF(J9="","",(J9/$O$23))</f>
        <v>0.45762175478106965</v>
      </c>
      <c r="K32" s="10">
        <f>IF(K9="","",(K9/$O$23))</f>
        <v>0.57498295163192348</v>
      </c>
      <c r="L32" s="10">
        <f>IF(L9="","",(L9/$O$23))</f>
        <v>0.4299182560293629</v>
      </c>
      <c r="M32" s="10">
        <f>IF(M9="","",(M9/$O$23))</f>
        <v>0.31299985425659638</v>
      </c>
      <c r="N32" s="10" t="str">
        <f>IF(N9="","",(N9/$O$23))</f>
        <v/>
      </c>
      <c r="O32" s="70">
        <f t="shared" si="8"/>
        <v>0.59092581909537123</v>
      </c>
      <c r="P32" s="70">
        <f t="shared" si="8"/>
        <v>0.92228872493096314</v>
      </c>
      <c r="Q32" s="70">
        <f t="shared" si="8"/>
        <v>0.11963832179281203</v>
      </c>
      <c r="R32" s="70">
        <f t="shared" si="8"/>
        <v>0.87077949133391652</v>
      </c>
      <c r="S32" s="70">
        <f t="shared" si="8"/>
        <v>0.13794480813371462</v>
      </c>
      <c r="T32" s="70">
        <f t="shared" si="8"/>
        <v>3.5315414005869072E-2</v>
      </c>
      <c r="U32" s="70">
        <f t="shared" si="8"/>
        <v>0.55785131630760199</v>
      </c>
      <c r="V32" s="70">
        <f t="shared" si="8"/>
        <v>0.2613008727180105</v>
      </c>
    </row>
    <row r="33" spans="1:22">
      <c r="A33" s="140"/>
      <c r="B33" s="70">
        <f>IF(B10="","",(B10/$O$23))</f>
        <v>2.2149181444046744E-2</v>
      </c>
      <c r="C33" s="70">
        <f>IF(C10="","",(C10/$O$23))</f>
        <v>0.43914826630865461</v>
      </c>
      <c r="D33" s="70">
        <f>IF(D10="","",(D10/$O$23))</f>
        <v>1.0890639969171196</v>
      </c>
      <c r="E33" s="70">
        <f>IF(E10="","",(E10/$O$23))</f>
        <v>0.1677780329926665</v>
      </c>
      <c r="F33" s="70">
        <f>IF(F10="","",(F10/$O$23))</f>
        <v>1.2248268533666198</v>
      </c>
      <c r="G33" s="70">
        <f>IF(G10="","",(G10/$O$23))</f>
        <v>1.7862339982127518</v>
      </c>
      <c r="H33" s="70">
        <f>IF(H10="","",(H10/$O$23))</f>
        <v>1.1759309936268616</v>
      </c>
      <c r="I33" s="10">
        <f>IF(I10="","",(I10/$O$23))</f>
        <v>0.29749708828846955</v>
      </c>
      <c r="J33" s="10">
        <f>IF(J10="","",(J10/$O$23))</f>
        <v>9.0722411509282605E-2</v>
      </c>
      <c r="K33" s="10">
        <f>IF(K10="","",(K10/$O$23))</f>
        <v>6.3025646714491665E-2</v>
      </c>
      <c r="L33" s="10">
        <f>IF(L10="","",(L10/$O$23))</f>
        <v>3.1425132273853083E-5</v>
      </c>
      <c r="M33" s="10">
        <f>IF(M10="","",(M10/$O$23))</f>
        <v>0.21478165083907769</v>
      </c>
      <c r="N33" s="10" t="str">
        <f>IF(N10="","",(N10/$O$23))</f>
        <v/>
      </c>
      <c r="O33" s="70">
        <f t="shared" si="8"/>
        <v>1.450093125480151</v>
      </c>
      <c r="P33" s="70">
        <f t="shared" si="8"/>
        <v>1.3422784348836327</v>
      </c>
      <c r="Q33" s="70">
        <f t="shared" si="8"/>
        <v>0.16454513509912211</v>
      </c>
      <c r="R33" s="70">
        <f t="shared" si="8"/>
        <v>1.425192598883785</v>
      </c>
      <c r="S33" s="70">
        <f t="shared" si="8"/>
        <v>0.35385791337813804</v>
      </c>
      <c r="T33" s="70">
        <f t="shared" si="8"/>
        <v>6.6449190410497433E-2</v>
      </c>
      <c r="U33" s="70">
        <f t="shared" si="8"/>
        <v>0.14476436112411475</v>
      </c>
      <c r="V33" s="70">
        <f t="shared" si="8"/>
        <v>0.24263628951267299</v>
      </c>
    </row>
    <row r="34" spans="1:22">
      <c r="A34" s="140"/>
      <c r="B34" s="70">
        <f>IF(B11="","",(B11/$O$23))</f>
        <v>0.26175698606644238</v>
      </c>
      <c r="C34" s="70">
        <f>IF(C11="","",(C11/$O$23))</f>
        <v>0.59459702276239235</v>
      </c>
      <c r="D34" s="70">
        <f>IF(D11="","",(D11/$O$23))</f>
        <v>0.25333325489520553</v>
      </c>
      <c r="E34" s="70">
        <f>IF(E11="","",(E11/$O$23))</f>
        <v>0.89857262653434733</v>
      </c>
      <c r="F34" s="70">
        <f>IF(F11="","",(F11/$O$23))</f>
        <v>2.0573226024861713</v>
      </c>
      <c r="G34" s="70">
        <f>IF(G11="","",(G11/$O$23))</f>
        <v>1.2341526354776031</v>
      </c>
      <c r="H34" s="70">
        <f>IF(H11="","",(H11/$O$23))</f>
        <v>2.3063465738857096</v>
      </c>
      <c r="I34" s="10">
        <f>IF(I11="","",(I11/$O$23))</f>
        <v>0.22713172782270194</v>
      </c>
      <c r="J34" s="10">
        <f>IF(J11="","",(J11/$O$23))</f>
        <v>0.13849564580942916</v>
      </c>
      <c r="K34" s="10">
        <f>IF(K11="","",(K11/$O$23))</f>
        <v>0.31100031798305722</v>
      </c>
      <c r="L34" s="10">
        <f>IF(L11="","",(L11/$O$23))</f>
        <v>8.5547889371675151E-2</v>
      </c>
      <c r="M34" s="10">
        <f>IF(M11="","",(M11/$O$23))</f>
        <v>0.19714556732001731</v>
      </c>
      <c r="N34" s="10" t="str">
        <f>IF(N11="","",(N11/$O$23))</f>
        <v/>
      </c>
      <c r="O34" s="70">
        <f t="shared" si="8"/>
        <v>0.52814139768195323</v>
      </c>
      <c r="P34" s="70">
        <f t="shared" si="8"/>
        <v>2.086475697696625</v>
      </c>
      <c r="Q34" s="70">
        <f t="shared" si="8"/>
        <v>3.3844568171965732E-2</v>
      </c>
      <c r="R34" s="70">
        <f t="shared" si="8"/>
        <v>0.30551753026219192</v>
      </c>
      <c r="S34" s="70">
        <f t="shared" si="8"/>
        <v>0.4262235583348799</v>
      </c>
      <c r="T34" s="70">
        <f t="shared" si="8"/>
        <v>0.82063410847755514</v>
      </c>
      <c r="U34" s="70">
        <f t="shared" si="8"/>
        <v>0.10912392146444184</v>
      </c>
      <c r="V34" s="70">
        <f t="shared" si="8"/>
        <v>0.19092518685163862</v>
      </c>
    </row>
    <row r="35" spans="1:22">
      <c r="A35" s="140"/>
      <c r="B35" s="70">
        <f>IF(B12="","",(B12/$O$23))</f>
        <v>0.1953854606257075</v>
      </c>
      <c r="C35" s="70">
        <f>IF(C12="","",(C12/$O$23))</f>
        <v>0.4833034203796715</v>
      </c>
      <c r="D35" s="70">
        <f>IF(D12="","",(D12/$O$23))</f>
        <v>0.96840076688171906</v>
      </c>
      <c r="E35" s="70">
        <f>IF(E12="","",(E12/$O$23))</f>
        <v>0.94190863215742582</v>
      </c>
      <c r="F35" s="70">
        <f>IF(F12="","",(F12/$O$23))</f>
        <v>1.6792665890397314</v>
      </c>
      <c r="G35" s="70">
        <f>IF(G12="","",(G12/$O$23))</f>
        <v>1.6128980564687367</v>
      </c>
      <c r="H35" s="70">
        <f>IF(H12="","",(H12/$O$23))</f>
        <v>2.8229413304658397</v>
      </c>
      <c r="I35" s="10">
        <f>IF(I12="","",(I12/$O$23))</f>
        <v>0</v>
      </c>
      <c r="J35" s="10">
        <f>IF(J12="","",(J12/$O$23))</f>
        <v>3.0266891684331068E-3</v>
      </c>
      <c r="K35" s="10">
        <f>IF(K12="","",(K12/$O$23))</f>
        <v>0.1844141987314703</v>
      </c>
      <c r="L35" s="10">
        <f>IF(L12="","",(L12/$O$23))</f>
        <v>5.5670669327539862E-2</v>
      </c>
      <c r="M35" s="10">
        <f>IF(M12="","",(M12/$O$23))</f>
        <v>6.476600046851505E-2</v>
      </c>
      <c r="N35" s="10" t="str">
        <f>IF(N12="","",(N12/$O$23))</f>
        <v/>
      </c>
      <c r="O35" s="70">
        <f t="shared" si="8"/>
        <v>1.3696576561989706</v>
      </c>
      <c r="P35" s="70">
        <f t="shared" si="8"/>
        <v>1.207072850779789</v>
      </c>
      <c r="Q35" s="70">
        <f t="shared" si="8"/>
        <v>0.23357028849515338</v>
      </c>
      <c r="R35" s="70">
        <f t="shared" si="8"/>
        <v>0.82102707227446536</v>
      </c>
      <c r="S35" s="70">
        <f t="shared" si="8"/>
        <v>0.41726200847129907</v>
      </c>
      <c r="T35" s="70">
        <f t="shared" si="8"/>
        <v>0.24843871572180942</v>
      </c>
      <c r="U35" s="70">
        <f t="shared" si="8"/>
        <v>4.3699190366072019E-2</v>
      </c>
      <c r="V35" s="70">
        <f t="shared" si="8"/>
        <v>0.11083374794711348</v>
      </c>
    </row>
    <row r="36" spans="1:22" s="1" customFormat="1">
      <c r="A36" s="140"/>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si="8"/>
        <v>0.34988487879780089</v>
      </c>
      <c r="P36" s="10" t="str">
        <f t="shared" si="8"/>
        <v/>
      </c>
      <c r="Q36" s="10" t="str">
        <f t="shared" si="8"/>
        <v/>
      </c>
      <c r="R36" s="10" t="str">
        <f t="shared" si="8"/>
        <v/>
      </c>
      <c r="S36" s="10" t="str">
        <f t="shared" si="8"/>
        <v/>
      </c>
      <c r="T36" s="10" t="str">
        <f t="shared" si="8"/>
        <v/>
      </c>
      <c r="U36" s="10" t="str">
        <f t="shared" si="8"/>
        <v/>
      </c>
      <c r="V36" s="10" t="str">
        <f t="shared" si="8"/>
        <v/>
      </c>
    </row>
    <row r="37" spans="1:22" s="1" customFormat="1">
      <c r="A37" s="140"/>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si="8"/>
        <v>0.54504093595790926</v>
      </c>
      <c r="P37" s="10" t="str">
        <f t="shared" si="8"/>
        <v/>
      </c>
      <c r="Q37" s="10" t="str">
        <f t="shared" si="8"/>
        <v/>
      </c>
      <c r="R37" s="10" t="str">
        <f t="shared" si="8"/>
        <v/>
      </c>
      <c r="S37" s="10" t="str">
        <f t="shared" si="8"/>
        <v/>
      </c>
      <c r="T37" s="10" t="str">
        <f t="shared" si="8"/>
        <v/>
      </c>
      <c r="U37" s="10" t="str">
        <f t="shared" si="8"/>
        <v/>
      </c>
      <c r="V37" s="10" t="str">
        <f t="shared" si="8"/>
        <v/>
      </c>
    </row>
    <row r="38" spans="1:22" s="1" customFormat="1">
      <c r="A38" s="140"/>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ref="O38:R38" si="9">IF(O15="","",(O15/$O$23))</f>
        <v>0.60979691031279404</v>
      </c>
      <c r="P38" s="10" t="str">
        <f t="shared" si="9"/>
        <v/>
      </c>
      <c r="Q38" s="10" t="str">
        <f t="shared" si="9"/>
        <v/>
      </c>
      <c r="R38" s="10" t="str">
        <f t="shared" si="9"/>
        <v/>
      </c>
      <c r="S38" s="10" t="str">
        <f t="shared" ref="S38:V43" si="10">IF(S15="","",(S15/$O$23))</f>
        <v/>
      </c>
      <c r="T38" s="10" t="str">
        <f t="shared" si="10"/>
        <v/>
      </c>
      <c r="U38" s="10" t="str">
        <f t="shared" si="10"/>
        <v/>
      </c>
      <c r="V38" s="10" t="str">
        <f t="shared" si="10"/>
        <v/>
      </c>
    </row>
    <row r="39" spans="1:22" s="1" customFormat="1">
      <c r="A39" s="140"/>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ref="O39:R39" si="11">IF(O16="","",(O16/$O$23))</f>
        <v>1.5353135949022301</v>
      </c>
      <c r="P39" s="10" t="str">
        <f t="shared" si="11"/>
        <v/>
      </c>
      <c r="Q39" s="10" t="str">
        <f t="shared" si="11"/>
        <v/>
      </c>
      <c r="R39" s="10" t="str">
        <f t="shared" si="11"/>
        <v/>
      </c>
      <c r="S39" s="10" t="str">
        <f t="shared" si="10"/>
        <v/>
      </c>
      <c r="T39" s="10" t="str">
        <f t="shared" si="10"/>
        <v/>
      </c>
      <c r="U39" s="10" t="str">
        <f t="shared" si="10"/>
        <v/>
      </c>
      <c r="V39" s="10" t="str">
        <f t="shared" si="10"/>
        <v/>
      </c>
    </row>
    <row r="40" spans="1:22" s="1" customFormat="1">
      <c r="A40" s="140"/>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R40" si="12">IF(O17="","",(O17/$O$23))</f>
        <v>1.7503242002764459</v>
      </c>
      <c r="P40" s="10" t="str">
        <f t="shared" si="12"/>
        <v/>
      </c>
      <c r="Q40" s="10" t="str">
        <f t="shared" si="12"/>
        <v/>
      </c>
      <c r="R40" s="10" t="str">
        <f t="shared" si="12"/>
        <v/>
      </c>
      <c r="S40" s="10" t="str">
        <f t="shared" si="10"/>
        <v/>
      </c>
      <c r="T40" s="10" t="str">
        <f t="shared" si="10"/>
        <v/>
      </c>
      <c r="U40" s="10" t="str">
        <f t="shared" si="10"/>
        <v/>
      </c>
      <c r="V40" s="10" t="str">
        <f t="shared" si="10"/>
        <v/>
      </c>
    </row>
    <row r="41" spans="1:22" s="1" customFormat="1">
      <c r="A41" s="140"/>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ref="O41:R41" si="13">IF(O18="","",(O18/$O$23))</f>
        <v>1.3104416333769922</v>
      </c>
      <c r="P41" s="10" t="str">
        <f t="shared" si="13"/>
        <v/>
      </c>
      <c r="Q41" s="10" t="str">
        <f t="shared" si="13"/>
        <v/>
      </c>
      <c r="R41" s="10" t="str">
        <f t="shared" si="13"/>
        <v/>
      </c>
      <c r="S41" s="10" t="str">
        <f t="shared" si="10"/>
        <v/>
      </c>
      <c r="T41" s="10" t="str">
        <f t="shared" si="10"/>
        <v/>
      </c>
      <c r="U41" s="10" t="str">
        <f t="shared" si="10"/>
        <v/>
      </c>
      <c r="V41" s="10" t="str">
        <f t="shared" si="10"/>
        <v/>
      </c>
    </row>
    <row r="42" spans="1:22" s="1" customFormat="1">
      <c r="A42" s="140"/>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ref="O42:R42" si="14">IF(O19="","",(O19/$O$23))</f>
        <v>1.3003836456840279</v>
      </c>
      <c r="P42" s="10" t="str">
        <f t="shared" si="14"/>
        <v/>
      </c>
      <c r="Q42" s="10" t="str">
        <f t="shared" si="14"/>
        <v/>
      </c>
      <c r="R42" s="10" t="str">
        <f t="shared" si="14"/>
        <v/>
      </c>
      <c r="S42" s="10" t="str">
        <f t="shared" si="10"/>
        <v/>
      </c>
      <c r="T42" s="10" t="str">
        <f t="shared" si="10"/>
        <v/>
      </c>
      <c r="U42" s="10" t="str">
        <f t="shared" si="10"/>
        <v/>
      </c>
      <c r="V42" s="10" t="str">
        <f t="shared" si="10"/>
        <v/>
      </c>
    </row>
    <row r="43" spans="1:22" s="1" customFormat="1">
      <c r="A43" s="140"/>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ref="O43:R43" si="15">IF(O20="","",(O20/$O$23))</f>
        <v>0.41589022662580188</v>
      </c>
      <c r="P43" s="10" t="str">
        <f t="shared" si="15"/>
        <v/>
      </c>
      <c r="Q43" s="10" t="str">
        <f t="shared" si="15"/>
        <v/>
      </c>
      <c r="R43" s="10" t="str">
        <f t="shared" si="15"/>
        <v/>
      </c>
      <c r="S43" s="10" t="str">
        <f t="shared" si="10"/>
        <v/>
      </c>
      <c r="T43" s="10" t="str">
        <f t="shared" si="10"/>
        <v/>
      </c>
      <c r="U43" s="10" t="str">
        <f t="shared" si="10"/>
        <v/>
      </c>
      <c r="V43" s="10" t="str">
        <f t="shared" si="10"/>
        <v/>
      </c>
    </row>
    <row r="44" spans="1:22">
      <c r="A44" s="6"/>
      <c r="B44" s="3"/>
      <c r="C44" s="3"/>
      <c r="D44" s="3"/>
      <c r="E44" s="3"/>
      <c r="F44" s="3"/>
      <c r="G44" s="3"/>
      <c r="H44" s="3"/>
      <c r="I44" s="3"/>
      <c r="J44" s="3"/>
      <c r="O44" s="3"/>
      <c r="P44" s="3"/>
      <c r="Q44" s="3"/>
      <c r="R44" s="3"/>
      <c r="S44" s="3"/>
      <c r="T44" s="3"/>
      <c r="U44" s="3"/>
      <c r="V44" s="3"/>
    </row>
    <row r="45" spans="1:22" s="50" customFormat="1">
      <c r="A45" s="51" t="str">
        <f t="shared" ref="A45:N45" si="16">A4</f>
        <v>Noms des groupes</v>
      </c>
      <c r="B45" s="51" t="str">
        <f t="shared" si="16"/>
        <v>Solvent control</v>
      </c>
      <c r="C45" s="51" t="str">
        <f t="shared" si="16"/>
        <v>EE2-33.8ng/L</v>
      </c>
      <c r="D45" s="51" t="str">
        <f t="shared" si="16"/>
        <v>EE2-50.6ng/L</v>
      </c>
      <c r="E45" s="51" t="str">
        <f t="shared" si="16"/>
        <v>EE2-76ng/L</v>
      </c>
      <c r="F45" s="51" t="str">
        <f t="shared" si="16"/>
        <v>EE2-114ng/L</v>
      </c>
      <c r="G45" s="51" t="str">
        <f t="shared" si="16"/>
        <v>EE2-170.9ng/L</v>
      </c>
      <c r="H45" s="51" t="str">
        <f t="shared" si="16"/>
        <v>EE2-488ng/L</v>
      </c>
      <c r="I45" s="51" t="str">
        <f t="shared" si="16"/>
        <v>prochroraz-0.063mg/L</v>
      </c>
      <c r="J45" s="51" t="str">
        <f t="shared" si="16"/>
        <v>prochroraz-0.13mg/L</v>
      </c>
      <c r="K45" s="51" t="str">
        <f t="shared" si="16"/>
        <v>prochroraz-0.25mg/L</v>
      </c>
      <c r="L45" s="51" t="str">
        <f t="shared" si="16"/>
        <v>prochroraz-0.5mg/L</v>
      </c>
      <c r="M45" s="51" t="str">
        <f t="shared" si="16"/>
        <v>prochroraz-1mg/L</v>
      </c>
      <c r="N45" s="51" t="str">
        <f t="shared" si="16"/>
        <v/>
      </c>
      <c r="O45" s="51" t="str">
        <f t="shared" ref="O45:V45" si="17">O4</f>
        <v>Testo -30µg/L</v>
      </c>
      <c r="P45" s="51" t="str">
        <f t="shared" si="17"/>
        <v>Testo 30µg/L + EE2 -64ng/L</v>
      </c>
      <c r="Q45" s="51" t="str">
        <f t="shared" si="17"/>
        <v>Testo 30µg/L + FAD-10mg/L</v>
      </c>
      <c r="R45" s="51" t="str">
        <f t="shared" si="17"/>
        <v>prochroraz-0.063mg/L + Testostérone</v>
      </c>
      <c r="S45" s="51" t="str">
        <f t="shared" si="17"/>
        <v>prochroraz-0.13mg/L + Testostérone</v>
      </c>
      <c r="T45" s="51" t="str">
        <f t="shared" si="17"/>
        <v>prochroraz-0.25mg/L + Testostérone</v>
      </c>
      <c r="U45" s="51" t="str">
        <f t="shared" si="17"/>
        <v>prochroraz-0.5mg/L + Testostérone</v>
      </c>
      <c r="V45" s="51" t="str">
        <f t="shared" si="17"/>
        <v>prochroraz-1mg/L + Testostérone</v>
      </c>
    </row>
    <row r="46" spans="1:22">
      <c r="A46" s="7" t="s">
        <v>0</v>
      </c>
      <c r="B46" s="9">
        <f t="shared" ref="B46:H46" si="18">AVERAGE(B28:B43)</f>
        <v>0.15307795468890611</v>
      </c>
      <c r="C46" s="9">
        <f t="shared" si="18"/>
        <v>0.41059017230802186</v>
      </c>
      <c r="D46" s="9">
        <f t="shared" si="18"/>
        <v>0.69189991308612753</v>
      </c>
      <c r="E46" s="9">
        <f t="shared" si="18"/>
        <v>0.75846922980582898</v>
      </c>
      <c r="F46" s="9">
        <f t="shared" si="18"/>
        <v>1.6267324284946603</v>
      </c>
      <c r="G46" s="9">
        <f t="shared" si="18"/>
        <v>1.724853457172796</v>
      </c>
      <c r="H46" s="9">
        <f t="shared" si="18"/>
        <v>2.2872748107521952</v>
      </c>
      <c r="I46" s="9">
        <f>AVERAGE(I28:I43)</f>
        <v>0.15798407252711025</v>
      </c>
      <c r="J46" s="8">
        <f>AVERAGE(J28:J43)</f>
        <v>9.6148577875747293E-2</v>
      </c>
      <c r="K46" s="8">
        <f>AVERAGE(K28:K43)</f>
        <v>0.26182183781262897</v>
      </c>
      <c r="L46" s="8">
        <f t="shared" ref="L46:N46" si="19">AVERAGE(L28:L43)</f>
        <v>0.11162893473169309</v>
      </c>
      <c r="M46" s="8">
        <f t="shared" si="19"/>
        <v>0.20317000834758134</v>
      </c>
      <c r="N46" s="8" t="e">
        <f t="shared" si="19"/>
        <v>#DIV/0!</v>
      </c>
      <c r="O46" s="9">
        <f>AVERAGE(O28:O43)</f>
        <v>0.99999999999999989</v>
      </c>
      <c r="P46" s="9">
        <f>AVERAGE(P28:P43)</f>
        <v>1.577058067219125</v>
      </c>
      <c r="Q46" s="9">
        <f>AVERAGE(Q28:Q43)</f>
        <v>0.18642499567740758</v>
      </c>
      <c r="R46" s="9">
        <f>AVERAGE(R28:R43)</f>
        <v>0.71417376626029638</v>
      </c>
      <c r="S46" s="9">
        <f t="shared" ref="S46:V46" si="20">AVERAGE(S28:S43)</f>
        <v>0.42652490290686312</v>
      </c>
      <c r="T46" s="9">
        <f t="shared" si="20"/>
        <v>0.24719452365443129</v>
      </c>
      <c r="U46" s="9">
        <f t="shared" si="20"/>
        <v>0.3645980883175472</v>
      </c>
      <c r="V46" s="9">
        <f t="shared" si="20"/>
        <v>0.21317414309065486</v>
      </c>
    </row>
    <row r="47" spans="1:22">
      <c r="A47" s="7" t="s">
        <v>1</v>
      </c>
      <c r="B47" s="7">
        <f t="shared" ref="B47:K47" si="21">STDEV(B28:B43)</f>
        <v>0.10621363620972978</v>
      </c>
      <c r="C47" s="7">
        <f t="shared" si="21"/>
        <v>0.1968629594886894</v>
      </c>
      <c r="D47" s="7">
        <f t="shared" si="21"/>
        <v>0.47427273645927215</v>
      </c>
      <c r="E47" s="7">
        <f t="shared" si="21"/>
        <v>0.34338968534715147</v>
      </c>
      <c r="F47" s="7">
        <f t="shared" si="21"/>
        <v>0.52647442449022208</v>
      </c>
      <c r="G47" s="7">
        <f t="shared" si="21"/>
        <v>0.38533876060286515</v>
      </c>
      <c r="H47" s="7">
        <f t="shared" si="21"/>
        <v>0.88935829247053022</v>
      </c>
      <c r="I47" s="7">
        <f>STDEV(I28:I43)</f>
        <v>0.12556405475536775</v>
      </c>
      <c r="J47" s="7">
        <f t="shared" si="21"/>
        <v>0.15398677452954601</v>
      </c>
      <c r="K47" s="7">
        <f t="shared" si="21"/>
        <v>0.15397238430823942</v>
      </c>
      <c r="L47" s="7">
        <f t="shared" ref="L47:N47" si="22">STDEV(L28:L43)</f>
        <v>0.14227901607098228</v>
      </c>
      <c r="M47" s="7">
        <f t="shared" si="22"/>
        <v>0.11331715602965999</v>
      </c>
      <c r="N47" s="7" t="e">
        <f t="shared" si="22"/>
        <v>#DIV/0!</v>
      </c>
      <c r="O47" s="7">
        <f>STDEV(O28:O43)</f>
        <v>0.4783810685783626</v>
      </c>
      <c r="P47" s="7">
        <f>STDEV(P28:P43)</f>
        <v>0.44736801554573652</v>
      </c>
      <c r="Q47" s="7">
        <f>STDEV(Q28:Q43)</f>
        <v>0.12681370406907044</v>
      </c>
      <c r="R47" s="7">
        <f>STDEV(R28:R43)</f>
        <v>0.42800244520179864</v>
      </c>
      <c r="S47" s="7">
        <f t="shared" ref="S47:V47" si="23">STDEV(S28:S43)</f>
        <v>0.17684793895563294</v>
      </c>
      <c r="T47" s="7">
        <f t="shared" si="23"/>
        <v>0.25332581232684726</v>
      </c>
      <c r="U47" s="7">
        <f t="shared" si="23"/>
        <v>0.35520219139626114</v>
      </c>
      <c r="V47" s="7">
        <f t="shared" si="23"/>
        <v>0.15634440642610936</v>
      </c>
    </row>
    <row r="48" spans="1:22">
      <c r="A48" s="7" t="s">
        <v>2</v>
      </c>
      <c r="B48" s="7">
        <f t="shared" ref="B48:K48" si="24" xml:space="preserve"> B47/SQRT(COUNT(B28:B43))</f>
        <v>3.7552191209190476E-2</v>
      </c>
      <c r="C48" s="7">
        <f t="shared" si="24"/>
        <v>6.9601566809452425E-2</v>
      </c>
      <c r="D48" s="7">
        <f t="shared" si="24"/>
        <v>0.16768073404112582</v>
      </c>
      <c r="E48" s="7">
        <f t="shared" si="24"/>
        <v>0.12140658754924281</v>
      </c>
      <c r="F48" s="7">
        <f t="shared" si="24"/>
        <v>0.1861368178391605</v>
      </c>
      <c r="G48" s="7">
        <f t="shared" si="24"/>
        <v>0.13623782533815279</v>
      </c>
      <c r="H48" s="7">
        <f t="shared" si="24"/>
        <v>0.31443563975520034</v>
      </c>
      <c r="I48" s="7">
        <f xml:space="preserve"> I47/SQRT(COUNT(I28:I43))</f>
        <v>4.4393597295399746E-2</v>
      </c>
      <c r="J48" s="7">
        <f t="shared" si="24"/>
        <v>5.4442546241442957E-2</v>
      </c>
      <c r="K48" s="7">
        <f t="shared" si="24"/>
        <v>5.4437458529908625E-2</v>
      </c>
      <c r="L48" s="7">
        <f t="shared" ref="L48:N48" si="25" xml:space="preserve"> L47/SQRT(COUNT(L28:L43))</f>
        <v>5.0303228542170668E-2</v>
      </c>
      <c r="M48" s="7">
        <f t="shared" si="25"/>
        <v>4.0063664726673318E-2</v>
      </c>
      <c r="N48" s="7" t="e">
        <f t="shared" si="25"/>
        <v>#DIV/0!</v>
      </c>
      <c r="O48" s="7">
        <f xml:space="preserve"> O47/SQRT(COUNT(O28:O43))</f>
        <v>0.11959526714459065</v>
      </c>
      <c r="P48" s="7">
        <f xml:space="preserve"> P47/SQRT(COUNT(P28:P43))</f>
        <v>0.15816847873917955</v>
      </c>
      <c r="Q48" s="7">
        <f xml:space="preserve"> Q47/SQRT(COUNT(Q28:Q43))</f>
        <v>4.4835415047311887E-2</v>
      </c>
      <c r="R48" s="7">
        <f xml:space="preserve"> R47/SQRT(COUNT(R28:R43))</f>
        <v>0.15132171568330777</v>
      </c>
      <c r="S48" s="7">
        <f t="shared" ref="S48:V48" si="26" xml:space="preserve"> S47/SQRT(COUNT(S28:S43))</f>
        <v>6.252518843719633E-2</v>
      </c>
      <c r="T48" s="7">
        <f t="shared" si="26"/>
        <v>8.956419987295218E-2</v>
      </c>
      <c r="U48" s="7">
        <f t="shared" si="26"/>
        <v>0.12558293911430909</v>
      </c>
      <c r="V48" s="7">
        <f t="shared" si="26"/>
        <v>5.5276094992243778E-2</v>
      </c>
    </row>
    <row r="49" spans="1:22" s="1" customFormat="1"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35" t="s">
        <v>19</v>
      </c>
      <c r="B50" s="136"/>
      <c r="C50" s="136"/>
      <c r="D50" s="136"/>
      <c r="E50" s="136"/>
      <c r="F50" s="136"/>
      <c r="G50" s="136"/>
      <c r="H50" s="136"/>
      <c r="I50" s="136"/>
      <c r="J50" s="136"/>
      <c r="K50" s="136"/>
      <c r="L50" s="136"/>
      <c r="M50" s="136"/>
      <c r="N50" s="136"/>
      <c r="O50" s="136"/>
      <c r="P50" s="136"/>
      <c r="Q50" s="136"/>
      <c r="R50" s="136"/>
      <c r="S50" s="136"/>
      <c r="T50" s="136"/>
      <c r="U50" s="136"/>
      <c r="V50" s="136"/>
    </row>
    <row r="51" spans="1:22" ht="15.75" thickBot="1">
      <c r="A51"/>
      <c r="B51"/>
      <c r="C51"/>
      <c r="D51"/>
      <c r="E51"/>
      <c r="F51"/>
      <c r="G51"/>
      <c r="H51"/>
      <c r="I51"/>
      <c r="J51"/>
      <c r="K51"/>
      <c r="L51"/>
      <c r="M51"/>
      <c r="N51"/>
      <c r="S51"/>
      <c r="T51"/>
      <c r="U51"/>
      <c r="V51"/>
    </row>
    <row r="52" spans="1:22">
      <c r="A52" s="28" t="str">
        <f t="shared" ref="A52:H52" si="27">A27</f>
        <v>Noms des groupes</v>
      </c>
      <c r="B52" s="29" t="str">
        <f t="shared" si="27"/>
        <v>Solvent control</v>
      </c>
      <c r="C52" s="29" t="str">
        <f t="shared" si="27"/>
        <v>EE2-33.8ng/L</v>
      </c>
      <c r="D52" s="29" t="str">
        <f t="shared" si="27"/>
        <v>EE2-50.6ng/L</v>
      </c>
      <c r="E52" s="29" t="str">
        <f t="shared" si="27"/>
        <v>EE2-76ng/L</v>
      </c>
      <c r="F52" s="29" t="str">
        <f t="shared" si="27"/>
        <v>EE2-114ng/L</v>
      </c>
      <c r="G52" s="29" t="str">
        <f t="shared" si="27"/>
        <v>EE2-170.9ng/L</v>
      </c>
      <c r="H52" s="29" t="str">
        <f t="shared" si="27"/>
        <v>EE2-488ng/L</v>
      </c>
      <c r="I52" s="29" t="str">
        <f>I4</f>
        <v>prochroraz-0.063mg/L</v>
      </c>
      <c r="J52" s="29" t="str">
        <f>J4</f>
        <v>prochroraz-0.13mg/L</v>
      </c>
      <c r="K52" s="29" t="str">
        <f>K27</f>
        <v>prochroraz-0.25mg/L</v>
      </c>
      <c r="L52" s="29" t="str">
        <f t="shared" ref="L52:N52" si="28">L27</f>
        <v>prochroraz-0.5mg/L</v>
      </c>
      <c r="M52" s="29" t="str">
        <f t="shared" si="28"/>
        <v>prochroraz-1mg/L</v>
      </c>
      <c r="N52" s="29" t="str">
        <f t="shared" si="28"/>
        <v/>
      </c>
      <c r="O52" s="29" t="str">
        <f>O27</f>
        <v>Testo -30µg/L</v>
      </c>
      <c r="P52" s="29" t="str">
        <f>P27</f>
        <v>Testo 30µg/L + EE2 -64ng/L</v>
      </c>
      <c r="Q52" s="29" t="str">
        <f>Q27</f>
        <v>Testo 30µg/L + FAD-10mg/L</v>
      </c>
      <c r="R52" s="29" t="str">
        <f>R27</f>
        <v>prochroraz-0.063mg/L + Testostérone</v>
      </c>
      <c r="S52" s="29" t="str">
        <f t="shared" ref="S52:V52" si="29">S27</f>
        <v>prochroraz-0.13mg/L + Testostérone</v>
      </c>
      <c r="T52" s="29" t="str">
        <f t="shared" si="29"/>
        <v>prochroraz-0.25mg/L + Testostérone</v>
      </c>
      <c r="U52" s="29" t="str">
        <f t="shared" si="29"/>
        <v>prochroraz-0.5mg/L + Testostérone</v>
      </c>
      <c r="V52" s="29" t="str">
        <f t="shared" si="29"/>
        <v>prochroraz-1mg/L + Testostérone</v>
      </c>
    </row>
    <row r="53" spans="1:22" s="3" customFormat="1">
      <c r="A53" s="43" t="s">
        <v>15</v>
      </c>
      <c r="B53" s="70">
        <f t="shared" ref="B53:N53" si="30">B46</f>
        <v>0.15307795468890611</v>
      </c>
      <c r="C53" s="70">
        <f t="shared" si="30"/>
        <v>0.41059017230802186</v>
      </c>
      <c r="D53" s="70">
        <f t="shared" si="30"/>
        <v>0.69189991308612753</v>
      </c>
      <c r="E53" s="70">
        <f t="shared" si="30"/>
        <v>0.75846922980582898</v>
      </c>
      <c r="F53" s="70">
        <f t="shared" si="30"/>
        <v>1.6267324284946603</v>
      </c>
      <c r="G53" s="70">
        <f t="shared" si="30"/>
        <v>1.724853457172796</v>
      </c>
      <c r="H53" s="70">
        <f t="shared" si="30"/>
        <v>2.2872748107521952</v>
      </c>
      <c r="I53" s="70">
        <f t="shared" si="30"/>
        <v>0.15798407252711025</v>
      </c>
      <c r="J53" s="70">
        <f t="shared" si="30"/>
        <v>9.6148577875747293E-2</v>
      </c>
      <c r="K53" s="70">
        <f t="shared" si="30"/>
        <v>0.26182183781262897</v>
      </c>
      <c r="L53" s="70">
        <f t="shared" si="30"/>
        <v>0.11162893473169309</v>
      </c>
      <c r="M53" s="70">
        <f t="shared" si="30"/>
        <v>0.20317000834758134</v>
      </c>
      <c r="N53" s="70" t="e">
        <f t="shared" si="30"/>
        <v>#DIV/0!</v>
      </c>
      <c r="O53" s="70">
        <f t="shared" ref="O53:V53" si="31">O46</f>
        <v>0.99999999999999989</v>
      </c>
      <c r="P53" s="70">
        <f t="shared" si="31"/>
        <v>1.577058067219125</v>
      </c>
      <c r="Q53" s="70">
        <f t="shared" si="31"/>
        <v>0.18642499567740758</v>
      </c>
      <c r="R53" s="70">
        <f t="shared" si="31"/>
        <v>0.71417376626029638</v>
      </c>
      <c r="S53" s="70">
        <f t="shared" si="31"/>
        <v>0.42652490290686312</v>
      </c>
      <c r="T53" s="70">
        <f t="shared" si="31"/>
        <v>0.24719452365443129</v>
      </c>
      <c r="U53" s="70">
        <f t="shared" si="31"/>
        <v>0.3645980883175472</v>
      </c>
      <c r="V53" s="70">
        <f t="shared" si="31"/>
        <v>0.21317414309065486</v>
      </c>
    </row>
    <row r="54" spans="1:22" s="3" customFormat="1">
      <c r="A54" s="43" t="s">
        <v>2</v>
      </c>
      <c r="B54" s="70">
        <f t="shared" ref="B54:N54" si="32">B48</f>
        <v>3.7552191209190476E-2</v>
      </c>
      <c r="C54" s="70">
        <f t="shared" si="32"/>
        <v>6.9601566809452425E-2</v>
      </c>
      <c r="D54" s="70">
        <f t="shared" si="32"/>
        <v>0.16768073404112582</v>
      </c>
      <c r="E54" s="70">
        <f t="shared" si="32"/>
        <v>0.12140658754924281</v>
      </c>
      <c r="F54" s="70">
        <f t="shared" si="32"/>
        <v>0.1861368178391605</v>
      </c>
      <c r="G54" s="70">
        <f t="shared" si="32"/>
        <v>0.13623782533815279</v>
      </c>
      <c r="H54" s="70">
        <f t="shared" si="32"/>
        <v>0.31443563975520034</v>
      </c>
      <c r="I54" s="70">
        <f t="shared" si="32"/>
        <v>4.4393597295399746E-2</v>
      </c>
      <c r="J54" s="70">
        <f t="shared" si="32"/>
        <v>5.4442546241442957E-2</v>
      </c>
      <c r="K54" s="70">
        <f t="shared" si="32"/>
        <v>5.4437458529908625E-2</v>
      </c>
      <c r="L54" s="70">
        <f t="shared" si="32"/>
        <v>5.0303228542170668E-2</v>
      </c>
      <c r="M54" s="70">
        <f t="shared" si="32"/>
        <v>4.0063664726673318E-2</v>
      </c>
      <c r="N54" s="70" t="e">
        <f t="shared" si="32"/>
        <v>#DIV/0!</v>
      </c>
      <c r="O54" s="70">
        <f t="shared" ref="O54:V54" si="33">O48</f>
        <v>0.11959526714459065</v>
      </c>
      <c r="P54" s="70">
        <f t="shared" si="33"/>
        <v>0.15816847873917955</v>
      </c>
      <c r="Q54" s="70">
        <f t="shared" si="33"/>
        <v>4.4835415047311887E-2</v>
      </c>
      <c r="R54" s="70">
        <f t="shared" si="33"/>
        <v>0.15132171568330777</v>
      </c>
      <c r="S54" s="70">
        <f t="shared" si="33"/>
        <v>6.252518843719633E-2</v>
      </c>
      <c r="T54" s="70">
        <f t="shared" si="33"/>
        <v>8.956419987295218E-2</v>
      </c>
      <c r="U54" s="70">
        <f t="shared" si="33"/>
        <v>0.12558293911430909</v>
      </c>
      <c r="V54" s="70">
        <f t="shared" si="33"/>
        <v>5.5276094992243778E-2</v>
      </c>
    </row>
    <row r="55" spans="1:22" s="3" customFormat="1">
      <c r="A55" s="43" t="s">
        <v>42</v>
      </c>
      <c r="B55" s="70">
        <f t="shared" ref="B55:N55" si="34">(B53*100/$B$53)-100</f>
        <v>0</v>
      </c>
      <c r="C55" s="70">
        <f t="shared" si="34"/>
        <v>168.22292807768889</v>
      </c>
      <c r="D55" s="70">
        <f t="shared" si="34"/>
        <v>351.99187204470201</v>
      </c>
      <c r="E55" s="70">
        <f t="shared" si="34"/>
        <v>395.47907231138157</v>
      </c>
      <c r="F55" s="70">
        <f t="shared" si="34"/>
        <v>962.68236455118586</v>
      </c>
      <c r="G55" s="70">
        <f t="shared" si="34"/>
        <v>1026.7810970417936</v>
      </c>
      <c r="H55" s="70">
        <f t="shared" si="34"/>
        <v>1394.1895555114565</v>
      </c>
      <c r="I55" s="70">
        <f t="shared" si="34"/>
        <v>3.2049800039297764</v>
      </c>
      <c r="J55" s="70">
        <f t="shared" si="34"/>
        <v>-37.189794525837499</v>
      </c>
      <c r="K55" s="70">
        <f t="shared" si="34"/>
        <v>71.038238879477092</v>
      </c>
      <c r="L55" s="70">
        <f t="shared" si="34"/>
        <v>-27.077066741222225</v>
      </c>
      <c r="M55" s="70">
        <f t="shared" si="34"/>
        <v>32.723231611289293</v>
      </c>
      <c r="N55" s="70" t="e">
        <f t="shared" si="34"/>
        <v>#DIV/0!</v>
      </c>
      <c r="O55" s="70">
        <f t="shared" ref="O55:V55" si="35">(O53*100/$O$53)-100</f>
        <v>0</v>
      </c>
      <c r="P55" s="70">
        <f t="shared" si="35"/>
        <v>57.705806721912523</v>
      </c>
      <c r="Q55" s="70">
        <f t="shared" si="35"/>
        <v>-81.357500432259229</v>
      </c>
      <c r="R55" s="70">
        <f t="shared" si="35"/>
        <v>-28.58262337397035</v>
      </c>
      <c r="S55" s="70">
        <f t="shared" si="35"/>
        <v>-57.347509709313684</v>
      </c>
      <c r="T55" s="70">
        <f t="shared" si="35"/>
        <v>-75.280547634556868</v>
      </c>
      <c r="U55" s="70">
        <f t="shared" si="35"/>
        <v>-63.540191168245272</v>
      </c>
      <c r="V55" s="70">
        <f t="shared" si="35"/>
        <v>-78.682585690934516</v>
      </c>
    </row>
    <row r="56" spans="1:22" s="3" customFormat="1">
      <c r="A56" s="43" t="s">
        <v>43</v>
      </c>
      <c r="B56" s="70" t="e">
        <f ca="1">[1]!SWTEST(B28:B43)</f>
        <v>#NAME?</v>
      </c>
      <c r="C56" s="70" t="e">
        <f ca="1">[1]!SWTEST(C28:C43)</f>
        <v>#NAME?</v>
      </c>
      <c r="D56" s="70" t="e">
        <f ca="1">[1]!SWTEST(D28:D43)</f>
        <v>#NAME?</v>
      </c>
      <c r="E56" s="70" t="e">
        <f ca="1">[1]!SWTEST(E28:E43)</f>
        <v>#NAME?</v>
      </c>
      <c r="F56" s="70" t="e">
        <f ca="1">[1]!SWTEST(F28:F43)</f>
        <v>#NAME?</v>
      </c>
      <c r="G56" s="70" t="e">
        <f ca="1">[1]!SWTEST(G28:G43)</f>
        <v>#NAME?</v>
      </c>
      <c r="H56" s="70" t="e">
        <f ca="1">[1]!SWTEST(H28:H43)</f>
        <v>#NAME?</v>
      </c>
      <c r="I56" s="70" t="e">
        <f ca="1">[1]!SWTEST(I28:I43)</f>
        <v>#NAME?</v>
      </c>
      <c r="J56" s="70" t="e">
        <f ca="1">[1]!SWTEST(J28:J43)</f>
        <v>#NAME?</v>
      </c>
      <c r="K56" s="70" t="e">
        <f ca="1">[1]!SWTEST(K28:K43)</f>
        <v>#NAME?</v>
      </c>
      <c r="L56" s="70" t="e">
        <f ca="1">[1]!SWTEST(L28:L43)</f>
        <v>#NAME?</v>
      </c>
      <c r="M56" s="70" t="e">
        <f ca="1">[1]!SWTEST(M28:M43)</f>
        <v>#NAME?</v>
      </c>
      <c r="N56" s="70" t="e">
        <f ca="1">[1]!SWTEST(N28:N43)</f>
        <v>#NAME?</v>
      </c>
      <c r="O56" s="70" t="e">
        <f ca="1">[1]!SWTEST(O28:O43)</f>
        <v>#NAME?</v>
      </c>
      <c r="P56" s="70" t="e">
        <f ca="1">[1]!SWTEST(P28:P43)</f>
        <v>#NAME?</v>
      </c>
      <c r="Q56" s="70" t="e">
        <f ca="1">[1]!SWTEST(Q28:Q43)</f>
        <v>#NAME?</v>
      </c>
      <c r="R56" s="70" t="e">
        <f ca="1">[1]!SWTEST(R28:R43)</f>
        <v>#NAME?</v>
      </c>
      <c r="S56" s="70" t="e">
        <f ca="1">[1]!SWTEST(S28:S43)</f>
        <v>#NAME?</v>
      </c>
      <c r="T56" s="70" t="e">
        <f ca="1">[1]!SWTEST(T28:T43)</f>
        <v>#NAME?</v>
      </c>
      <c r="U56" s="70" t="e">
        <f ca="1">[1]!SWTEST(U28:U43)</f>
        <v>#NAME?</v>
      </c>
      <c r="V56" s="70" t="e">
        <f ca="1">[1]!SWTEST(V28:V43)</f>
        <v>#NAME?</v>
      </c>
    </row>
    <row r="57" spans="1:22" s="3" customFormat="1">
      <c r="A57" s="43" t="s">
        <v>47</v>
      </c>
      <c r="B57" s="70" t="e">
        <f t="shared" ref="B57:N57" ca="1" si="36">IF(B56&gt;0.05,"Oui","Non")</f>
        <v>#NAME?</v>
      </c>
      <c r="C57" s="70" t="e">
        <f t="shared" ca="1" si="36"/>
        <v>#NAME?</v>
      </c>
      <c r="D57" s="70" t="e">
        <f t="shared" ca="1" si="36"/>
        <v>#NAME?</v>
      </c>
      <c r="E57" s="70" t="e">
        <f t="shared" ca="1" si="36"/>
        <v>#NAME?</v>
      </c>
      <c r="F57" s="70" t="e">
        <f t="shared" ca="1" si="36"/>
        <v>#NAME?</v>
      </c>
      <c r="G57" s="70" t="e">
        <f t="shared" ca="1" si="36"/>
        <v>#NAME?</v>
      </c>
      <c r="H57" s="70" t="e">
        <f t="shared" ca="1" si="36"/>
        <v>#NAME?</v>
      </c>
      <c r="I57" s="70" t="e">
        <f t="shared" ca="1" si="36"/>
        <v>#NAME?</v>
      </c>
      <c r="J57" s="70" t="e">
        <f t="shared" ca="1" si="36"/>
        <v>#NAME?</v>
      </c>
      <c r="K57" s="70" t="e">
        <f t="shared" ca="1" si="36"/>
        <v>#NAME?</v>
      </c>
      <c r="L57" s="70" t="e">
        <f t="shared" ca="1" si="36"/>
        <v>#NAME?</v>
      </c>
      <c r="M57" s="70" t="e">
        <f t="shared" ca="1" si="36"/>
        <v>#NAME?</v>
      </c>
      <c r="N57" s="70" t="e">
        <f t="shared" ca="1" si="36"/>
        <v>#NAME?</v>
      </c>
      <c r="O57" s="70" t="e">
        <f t="shared" ref="O57:V57" ca="1" si="37">IF(O56&gt;0.05,"Oui","Non")</f>
        <v>#NAME?</v>
      </c>
      <c r="P57" s="70" t="e">
        <f t="shared" ca="1" si="37"/>
        <v>#NAME?</v>
      </c>
      <c r="Q57" s="70" t="e">
        <f t="shared" ca="1" si="37"/>
        <v>#NAME?</v>
      </c>
      <c r="R57" s="70" t="e">
        <f t="shared" ca="1" si="37"/>
        <v>#NAME?</v>
      </c>
      <c r="S57" s="70" t="e">
        <f t="shared" ca="1" si="37"/>
        <v>#NAME?</v>
      </c>
      <c r="T57" s="70" t="e">
        <f t="shared" ca="1" si="37"/>
        <v>#NAME?</v>
      </c>
      <c r="U57" s="70" t="e">
        <f t="shared" ca="1" si="37"/>
        <v>#NAME?</v>
      </c>
      <c r="V57" s="70" t="e">
        <f t="shared" ca="1" si="37"/>
        <v>#NAME?</v>
      </c>
    </row>
    <row r="58" spans="1:22" s="3" customFormat="1">
      <c r="A58" s="43"/>
      <c r="B58" s="70"/>
      <c r="C58" s="70"/>
      <c r="D58" s="70"/>
      <c r="E58" s="70"/>
      <c r="F58" s="70"/>
      <c r="G58" s="70"/>
      <c r="H58" s="70"/>
      <c r="I58" s="70"/>
      <c r="J58" s="70"/>
      <c r="K58" s="70"/>
      <c r="L58" s="70"/>
      <c r="M58" s="70"/>
      <c r="N58" s="70"/>
      <c r="O58" s="72"/>
      <c r="P58" s="70"/>
      <c r="Q58" s="70"/>
      <c r="R58" s="70"/>
      <c r="S58" s="70"/>
      <c r="T58" s="70"/>
      <c r="U58" s="70"/>
      <c r="V58" s="70"/>
    </row>
    <row r="59" spans="1:22" s="3" customFormat="1">
      <c r="A59" s="43" t="s">
        <v>44</v>
      </c>
      <c r="B59" s="73"/>
      <c r="C59" s="73" t="e">
        <f t="shared" ref="C59:N59" ca="1" si="38">IF($B57="Non",IF(C$57="Non","Mann Withney",IF(C$57="Oui","Mann Withney","")),IF($B$57="Oui",IF(C$57="Oui","T-Test Welch",IF(C$57="Non","Mann Withney",""))))</f>
        <v>#NAME?</v>
      </c>
      <c r="D59" s="73" t="e">
        <f t="shared" ca="1" si="38"/>
        <v>#NAME?</v>
      </c>
      <c r="E59" s="73" t="e">
        <f t="shared" ca="1" si="38"/>
        <v>#NAME?</v>
      </c>
      <c r="F59" s="73" t="e">
        <f t="shared" ca="1" si="38"/>
        <v>#NAME?</v>
      </c>
      <c r="G59" s="73" t="e">
        <f t="shared" ca="1" si="38"/>
        <v>#NAME?</v>
      </c>
      <c r="H59" s="73" t="e">
        <f t="shared" ca="1" si="38"/>
        <v>#NAME?</v>
      </c>
      <c r="I59" s="73" t="e">
        <f t="shared" ca="1" si="38"/>
        <v>#NAME?</v>
      </c>
      <c r="J59" s="73" t="e">
        <f t="shared" ca="1" si="38"/>
        <v>#NAME?</v>
      </c>
      <c r="K59" s="73" t="e">
        <f t="shared" ca="1" si="38"/>
        <v>#NAME?</v>
      </c>
      <c r="L59" s="73" t="e">
        <f t="shared" ca="1" si="38"/>
        <v>#NAME?</v>
      </c>
      <c r="M59" s="73" t="e">
        <f t="shared" ca="1" si="38"/>
        <v>#NAME?</v>
      </c>
      <c r="N59" s="73" t="e">
        <f t="shared" ca="1" si="38"/>
        <v>#NAME?</v>
      </c>
      <c r="O59" s="73" t="e">
        <f ca="1">IF($B57="Non",IF(O$57="Non","Mann Withney",IF(O$57="Oui","Mann Withney","")),IF($B$57="Oui",IF(O$57="Oui","T-Test Welch",IF(O$57="Non","Mann Withney",""))))</f>
        <v>#NAME?</v>
      </c>
      <c r="P59" s="73" t="e">
        <f t="shared" ref="P59:V59" ca="1" si="39">IF($O57="Non",IF(P$57="Non","Mann Withney",IF(P$57="Oui","Mann Withney","")),IF($O$57="Oui",IF(P$57="Oui","T-Test Welch",IF(P$57="Non","Mann Withney",""))))</f>
        <v>#NAME?</v>
      </c>
      <c r="Q59" s="73" t="e">
        <f t="shared" ca="1" si="39"/>
        <v>#NAME?</v>
      </c>
      <c r="R59" s="73" t="e">
        <f t="shared" ca="1" si="39"/>
        <v>#NAME?</v>
      </c>
      <c r="S59" s="73" t="e">
        <f t="shared" ca="1" si="39"/>
        <v>#NAME?</v>
      </c>
      <c r="T59" s="73" t="e">
        <f t="shared" ca="1" si="39"/>
        <v>#NAME?</v>
      </c>
      <c r="U59" s="73" t="e">
        <f t="shared" ca="1" si="39"/>
        <v>#NAME?</v>
      </c>
      <c r="V59" s="73" t="e">
        <f t="shared" ca="1" si="39"/>
        <v>#NAME?</v>
      </c>
    </row>
    <row r="60" spans="1:22" s="3" customFormat="1">
      <c r="A60" s="43" t="s">
        <v>45</v>
      </c>
      <c r="B60" s="74"/>
      <c r="C60" s="74" t="e">
        <f ca="1">IF(C59="Mann Withney",[1]!MTEST($B28:$B43,C28:C43,2), IF(C59="T-Test Welch",_xlfn.T.TEST($B28:$B43,C28:C43,2,3),""))</f>
        <v>#NAME?</v>
      </c>
      <c r="D60" s="74" t="e">
        <f ca="1">IF(D59="Mann Withney",[1]!MTEST($B28:$B43,D28:D43,2), IF(D59="T-Test Welch",_xlfn.T.TEST($B28:$B43,D28:D43,2,3),""))</f>
        <v>#NAME?</v>
      </c>
      <c r="E60" s="74" t="e">
        <f ca="1">IF(E59="Mann Withney",[1]!MTEST($B28:$B43,E28:E43,2), IF(E59="T-Test Welch",_xlfn.T.TEST($B28:$B43,E28:E43,2,3),""))</f>
        <v>#NAME?</v>
      </c>
      <c r="F60" s="74" t="e">
        <f ca="1">IF(F59="Mann Withney",[1]!MTEST($B28:$B43,F28:F43,2), IF(F59="T-Test Welch",_xlfn.T.TEST($B28:$B43,F28:F43,2,3),""))</f>
        <v>#NAME?</v>
      </c>
      <c r="G60" s="74" t="e">
        <f ca="1">IF(G59="Mann Withney",[1]!MTEST($B28:$B43,G28:G43,2), IF(G59="T-Test Welch",_xlfn.T.TEST($B28:$B43,G28:G43,2,3),""))</f>
        <v>#NAME?</v>
      </c>
      <c r="H60" s="74" t="e">
        <f ca="1">IF(H59="Mann Withney",[1]!MTEST($B28:$B43,H28:H43,2), IF(H59="T-Test Welch",_xlfn.T.TEST($B28:$B43,H28:H43,2,3),""))</f>
        <v>#NAME?</v>
      </c>
      <c r="I60" s="74" t="e">
        <f ca="1">IF(I59="Mann Withney",[1]!MTEST($B28:$B43,I28:I43,2), IF(I59="T-Test Welch",_xlfn.T.TEST($B28:$B43,I28:I43,2,3),""))</f>
        <v>#NAME?</v>
      </c>
      <c r="J60" s="74" t="e">
        <f ca="1">IF(J59="Mann Withney",[1]!MTEST($B28:$B43,J28:J43,2), IF(J59="T-Test Welch",_xlfn.T.TEST($B28:$B43,J28:J43,2,3),""))</f>
        <v>#NAME?</v>
      </c>
      <c r="K60" s="74" t="e">
        <f ca="1">IF(K59="Mann Withney",[1]!MTEST($B28:$B43,K28:K43,2), IF(K59="T-Test Welch",_xlfn.T.TEST($B28:$B43,K28:K43,2,3),""))</f>
        <v>#NAME?</v>
      </c>
      <c r="L60" s="74" t="e">
        <f ca="1">IF(L59="Mann Withney",[1]!MTEST($B28:$B43,L28:L43,2), IF(L59="T-Test Welch",_xlfn.T.TEST($B28:$B43,L28:L43,2,3),""))</f>
        <v>#NAME?</v>
      </c>
      <c r="M60" s="74" t="e">
        <f ca="1">IF(M59="Mann Withney",[1]!MTEST($B28:$B43,M28:M43,2), IF(M59="T-Test Welch",_xlfn.T.TEST($B28:$B43,M28:M43,2,3),""))</f>
        <v>#NAME?</v>
      </c>
      <c r="N60" s="74" t="e">
        <f ca="1">IF(N59="Mann Withney",[1]!MTEST($B28:$B43,N28:N43,2), IF(N59="T-Test Welch",_xlfn.T.TEST($B28:$B43,N28:N43,2,3),""))</f>
        <v>#NAME?</v>
      </c>
      <c r="O60" s="74" t="e">
        <f ca="1">IF(O59="Mann Withney",[1]!MTEST($B28:$B43,O28:O43,2), IF(O59="T-Test Welch",_xlfn.T.TEST($B28:$B43,O28:O43,2,3),""))</f>
        <v>#NAME?</v>
      </c>
      <c r="P60" s="74" t="e">
        <f ca="1">IF(P59="Mann Withney",[1]!MTEST($O28:$O43,P28:P43,2), IF(P59="T-Test Welch",_xlfn.T.TEST($O28:$O43,P28:P43,2,3),""))</f>
        <v>#NAME?</v>
      </c>
      <c r="Q60" s="74" t="e">
        <f ca="1">IF(Q59="Mann Withney",[1]!MTEST($O28:$O43,Q28:Q43,2), IF(Q59="T-Test Welch",_xlfn.T.TEST($O28:$O43,Q28:Q43,2,3),""))</f>
        <v>#NAME?</v>
      </c>
      <c r="R60" s="74" t="e">
        <f ca="1">IF(R59="Mann Withney",[1]!MTEST($O28:$O43,R28:R43,2), IF(R59="T-Test Welch",_xlfn.T.TEST($O28:$O43,R28:R43,2,3),""))</f>
        <v>#NAME?</v>
      </c>
      <c r="S60" s="74" t="e">
        <f ca="1">IF(S59="Mann Withney",[1]!MTEST($O28:$O43,S28:S43,2), IF(S59="T-Test Welch",_xlfn.T.TEST($O28:$O43,S28:S43,2,3),""))</f>
        <v>#NAME?</v>
      </c>
      <c r="T60" s="74" t="e">
        <f ca="1">IF(T59="Mann Withney",[1]!MTEST($O28:$O43,T28:T43,2), IF(T59="T-Test Welch",_xlfn.T.TEST($O28:$O43,T28:T43,2,3),""))</f>
        <v>#NAME?</v>
      </c>
      <c r="U60" s="74" t="e">
        <f ca="1">IF(U59="Mann Withney",[1]!MTEST($O28:$O43,U28:U43,2), IF(U59="T-Test Welch",_xlfn.T.TEST($O28:$O43,U28:U43,2,3),""))</f>
        <v>#NAME?</v>
      </c>
      <c r="V60" s="74" t="e">
        <f ca="1">IF(V59="Mann Withney",[1]!MTEST($O28:$O43,V28:V43,2), IF(V59="T-Test Welch",_xlfn.T.TEST($O28:$O43,V28:V43,2,3),""))</f>
        <v>#NAME?</v>
      </c>
    </row>
    <row r="61" spans="1:22" s="3" customFormat="1" ht="15.75" thickBot="1">
      <c r="A61" s="44" t="s">
        <v>46</v>
      </c>
      <c r="B61" s="71"/>
      <c r="C61" s="71" t="e">
        <f t="shared" ref="C61:N61" ca="1" si="40">IF(C60&gt;0.05,"NS",IF(C60&gt;0.01,"*",IF(C60&gt;0.001,"**","***")))</f>
        <v>#NAME?</v>
      </c>
      <c r="D61" s="71" t="e">
        <f t="shared" ca="1" si="40"/>
        <v>#NAME?</v>
      </c>
      <c r="E61" s="71" t="e">
        <f t="shared" ca="1" si="40"/>
        <v>#NAME?</v>
      </c>
      <c r="F61" s="71" t="e">
        <f t="shared" ca="1" si="40"/>
        <v>#NAME?</v>
      </c>
      <c r="G61" s="71" t="e">
        <f t="shared" ca="1" si="40"/>
        <v>#NAME?</v>
      </c>
      <c r="H61" s="71" t="e">
        <f t="shared" ca="1" si="40"/>
        <v>#NAME?</v>
      </c>
      <c r="I61" s="71" t="e">
        <f t="shared" ca="1" si="40"/>
        <v>#NAME?</v>
      </c>
      <c r="J61" s="71" t="e">
        <f t="shared" ca="1" si="40"/>
        <v>#NAME?</v>
      </c>
      <c r="K61" s="71" t="e">
        <f t="shared" ca="1" si="40"/>
        <v>#NAME?</v>
      </c>
      <c r="L61" s="71" t="e">
        <f t="shared" ca="1" si="40"/>
        <v>#NAME?</v>
      </c>
      <c r="M61" s="71" t="e">
        <f t="shared" ca="1" si="40"/>
        <v>#NAME?</v>
      </c>
      <c r="N61" s="71" t="e">
        <f t="shared" ca="1" si="40"/>
        <v>#NAME?</v>
      </c>
      <c r="O61" s="71" t="e">
        <f ca="1">IF(O60&gt;0.05,"NS",IF(O60&gt;0.01,"*",IF(O60&gt;0.001,"**","***")))</f>
        <v>#NAME?</v>
      </c>
      <c r="P61" s="71" t="e">
        <f ca="1">IF(P60&gt;0.05,"NS",IF(P60&gt;0.01,"*",IF(P60&gt;0.001,"**","***")))</f>
        <v>#NAME?</v>
      </c>
      <c r="Q61" s="71" t="e">
        <f t="shared" ref="Q61" ca="1" si="41">IF(Q60&gt;0.05,"NS",IF(Q60&gt;0.01,"*",IF(Q60&gt;0.001,"**","***")))</f>
        <v>#NAME?</v>
      </c>
      <c r="R61" s="71" t="e">
        <f t="shared" ref="R61" ca="1" si="42">IF(R60&gt;0.05,"NS",IF(R60&gt;0.01,"*",IF(R60&gt;0.001,"**","***")))</f>
        <v>#NAME?</v>
      </c>
      <c r="S61" s="71" t="e">
        <f t="shared" ref="S61" ca="1" si="43">IF(S60&gt;0.05,"NS",IF(S60&gt;0.01,"*",IF(S60&gt;0.001,"**","***")))</f>
        <v>#NAME?</v>
      </c>
      <c r="T61" s="71" t="e">
        <f t="shared" ref="T61" ca="1" si="44">IF(T60&gt;0.05,"NS",IF(T60&gt;0.01,"*",IF(T60&gt;0.001,"**","***")))</f>
        <v>#NAME?</v>
      </c>
      <c r="U61" s="71" t="e">
        <f t="shared" ref="U61" ca="1" si="45">IF(U60&gt;0.05,"NS",IF(U60&gt;0.01,"*",IF(U60&gt;0.001,"**","***")))</f>
        <v>#NAME?</v>
      </c>
      <c r="V61" s="71" t="e">
        <f t="shared" ref="V61" ca="1" si="46">IF(V60&gt;0.05,"NS",IF(V60&gt;0.01,"*",IF(V60&gt;0.001,"**","***")))</f>
        <v>#NAME?</v>
      </c>
    </row>
    <row r="63" spans="1:22">
      <c r="A63" s="2" t="s">
        <v>20</v>
      </c>
    </row>
    <row r="64" spans="1:22">
      <c r="A64" s="1" t="s">
        <v>13</v>
      </c>
      <c r="B64" s="1">
        <f>B46+(3*B47)</f>
        <v>0.47171886331809543</v>
      </c>
    </row>
    <row r="65" spans="1:22">
      <c r="A65" s="1" t="s">
        <v>14</v>
      </c>
      <c r="B65" s="1">
        <f>B46+(10*B47)</f>
        <v>1.2152143167862037</v>
      </c>
    </row>
    <row r="66" spans="1:22" ht="15.75" thickBot="1"/>
    <row r="67" spans="1:22" s="1" customFormat="1" ht="27" thickBot="1">
      <c r="A67" s="135" t="s">
        <v>31</v>
      </c>
      <c r="B67" s="136"/>
      <c r="C67" s="136"/>
      <c r="D67" s="136"/>
      <c r="E67" s="136"/>
      <c r="F67" s="136"/>
      <c r="G67" s="136"/>
      <c r="H67" s="136"/>
      <c r="I67" s="136"/>
      <c r="J67" s="136"/>
      <c r="K67" s="136"/>
      <c r="L67" s="136"/>
      <c r="M67" s="136"/>
      <c r="N67" s="136"/>
      <c r="O67" s="136"/>
      <c r="P67" s="136"/>
      <c r="Q67" s="136"/>
      <c r="R67" s="136"/>
      <c r="S67" s="136"/>
      <c r="T67" s="136"/>
      <c r="U67" s="136"/>
      <c r="V67" s="136"/>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N3"/>
    <mergeCell ref="B26:N26"/>
    <mergeCell ref="O26:V26"/>
    <mergeCell ref="O3:V3"/>
  </mergeCells>
  <phoneticPr fontId="12"/>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A10" zoomScale="70" zoomScaleNormal="70" zoomScaleSheetLayoutView="40" zoomScalePageLayoutView="30" workbookViewId="0">
      <selection activeCell="O10" sqref="O1:O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c r="A1" s="133" t="s">
        <v>23</v>
      </c>
      <c r="B1" s="134"/>
      <c r="C1" s="134"/>
      <c r="D1" s="134"/>
      <c r="E1" s="134"/>
      <c r="F1" s="134"/>
      <c r="G1" s="134"/>
      <c r="H1" s="134"/>
      <c r="I1" s="134"/>
      <c r="J1" s="134"/>
      <c r="K1" s="134"/>
      <c r="L1" s="134"/>
      <c r="M1" s="134"/>
      <c r="N1" s="134"/>
      <c r="O1" s="134"/>
      <c r="P1" s="134"/>
      <c r="Q1" s="134"/>
      <c r="R1" s="134"/>
      <c r="S1" s="134"/>
      <c r="T1" s="134"/>
      <c r="U1" s="134"/>
      <c r="V1" s="134"/>
    </row>
    <row r="2" spans="1:22" customFormat="1" ht="15.75" thickBot="1"/>
    <row r="3" spans="1:22" ht="15.75" thickBot="1">
      <c r="A3" s="33" t="s">
        <v>9</v>
      </c>
      <c r="B3" s="141" t="s">
        <v>6</v>
      </c>
      <c r="C3" s="142"/>
      <c r="D3" s="142"/>
      <c r="E3" s="142"/>
      <c r="F3" s="142"/>
      <c r="G3" s="142"/>
      <c r="H3" s="142"/>
      <c r="I3" s="142"/>
      <c r="J3" s="142"/>
      <c r="K3" s="142"/>
      <c r="L3" s="142"/>
      <c r="M3" s="142"/>
      <c r="N3" s="142"/>
      <c r="O3" s="141" t="s">
        <v>3</v>
      </c>
      <c r="P3" s="142"/>
      <c r="Q3" s="142"/>
      <c r="R3" s="142"/>
      <c r="S3" s="142"/>
      <c r="T3" s="142"/>
      <c r="U3" s="142"/>
      <c r="V3" s="142"/>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prochroraz-0.063mg/L</v>
      </c>
      <c r="J4" s="19" t="str">
        <f>'Front page'!A15</f>
        <v>prochroraz-0.13mg/L</v>
      </c>
      <c r="K4" s="19" t="str">
        <f>'Front page'!A16</f>
        <v>prochroraz-0.25mg/L</v>
      </c>
      <c r="L4" s="19" t="str">
        <f>'Front page'!A17</f>
        <v>prochroraz-0.5mg/L</v>
      </c>
      <c r="M4" s="19" t="str">
        <f>'Front page'!A18</f>
        <v>prochroraz-1mg/L</v>
      </c>
      <c r="N4" s="19" t="str">
        <f>'Front page'!A19</f>
        <v/>
      </c>
      <c r="O4" s="20" t="str">
        <f>'Front page'!A20</f>
        <v>Testo -30µg/L</v>
      </c>
      <c r="P4" s="20" t="str">
        <f>'Front page'!A21</f>
        <v>Testo 30µg/L + EE2 -64ng/L</v>
      </c>
      <c r="Q4" s="20" t="str">
        <f>'Front page'!A22</f>
        <v>Testo 30µg/L + FAD-10mg/L</v>
      </c>
      <c r="R4" s="20" t="str">
        <f>'Front page'!A23</f>
        <v>prochroraz-0.063mg/L + Testostérone</v>
      </c>
      <c r="S4" s="20" t="str">
        <f>'Front page'!A24</f>
        <v>prochroraz-0.13mg/L + Testostérone</v>
      </c>
      <c r="T4" s="20" t="str">
        <f>'Front page'!A25</f>
        <v>prochroraz-0.25mg/L + Testostérone</v>
      </c>
      <c r="U4" s="20" t="str">
        <f>'Front page'!A26</f>
        <v>prochroraz-0.5mg/L + Testostérone</v>
      </c>
      <c r="V4" s="20" t="str">
        <f>'Front page'!A27</f>
        <v>prochroraz-1mg/L + Testostérone</v>
      </c>
    </row>
    <row r="5" spans="1:22">
      <c r="A5" s="143" t="s">
        <v>16</v>
      </c>
      <c r="B5" s="113">
        <v>1032709</v>
      </c>
      <c r="C5" s="16">
        <v>2299530</v>
      </c>
      <c r="D5" s="16">
        <v>2122657</v>
      </c>
      <c r="E5" s="16">
        <v>11206942</v>
      </c>
      <c r="F5" s="16">
        <f>'[2]raw data'!E358</f>
        <v>5788179</v>
      </c>
      <c r="G5" s="16">
        <v>14380382</v>
      </c>
      <c r="H5" s="16">
        <v>16381498</v>
      </c>
      <c r="I5" s="16">
        <v>1887012</v>
      </c>
      <c r="J5" s="16">
        <v>1435588</v>
      </c>
      <c r="K5" s="12">
        <v>733397</v>
      </c>
      <c r="L5" s="12">
        <v>1142440</v>
      </c>
      <c r="M5" s="12">
        <v>1549666</v>
      </c>
      <c r="N5" s="12"/>
      <c r="O5" s="16">
        <v>7360714</v>
      </c>
      <c r="P5" s="12">
        <v>9927719</v>
      </c>
      <c r="Q5" s="12">
        <v>828988</v>
      </c>
      <c r="R5" s="16">
        <v>7484451</v>
      </c>
      <c r="S5" s="16">
        <v>883456</v>
      </c>
      <c r="T5" s="16">
        <v>487210</v>
      </c>
      <c r="U5" s="16">
        <v>1740233</v>
      </c>
      <c r="V5" s="16">
        <v>78933</v>
      </c>
    </row>
    <row r="6" spans="1:22" ht="16.5">
      <c r="A6" s="143"/>
      <c r="B6" s="112">
        <v>854313</v>
      </c>
      <c r="C6" s="16">
        <v>3057768</v>
      </c>
      <c r="D6" s="16">
        <v>4189516</v>
      </c>
      <c r="E6" s="16">
        <v>1297234</v>
      </c>
      <c r="F6" s="16">
        <f>'[2]raw data'!E359</f>
        <v>8493152</v>
      </c>
      <c r="G6" s="16">
        <v>15053382</v>
      </c>
      <c r="H6" s="16">
        <v>19395577</v>
      </c>
      <c r="I6" s="16">
        <v>564558</v>
      </c>
      <c r="J6" s="16">
        <v>186616</v>
      </c>
      <c r="K6" s="12">
        <v>349691</v>
      </c>
      <c r="L6" s="12">
        <v>2098771</v>
      </c>
      <c r="M6" s="12">
        <v>1476374</v>
      </c>
      <c r="N6" s="12"/>
      <c r="O6" s="16">
        <v>4066439</v>
      </c>
      <c r="P6" s="12">
        <v>8617235</v>
      </c>
      <c r="Q6" s="12">
        <v>31531</v>
      </c>
      <c r="R6" s="16">
        <v>4534916</v>
      </c>
      <c r="S6" s="16">
        <v>2973183</v>
      </c>
      <c r="T6" s="16">
        <v>706561</v>
      </c>
      <c r="U6" s="16">
        <v>181019</v>
      </c>
      <c r="V6" s="16">
        <v>63131</v>
      </c>
    </row>
    <row r="7" spans="1:22" ht="16.5">
      <c r="A7" s="143"/>
      <c r="B7" s="112">
        <v>55338</v>
      </c>
      <c r="C7" s="16">
        <v>3052599</v>
      </c>
      <c r="D7" s="16">
        <v>1424665</v>
      </c>
      <c r="E7" s="16">
        <v>6924664</v>
      </c>
      <c r="F7" s="16">
        <f>'[2]raw data'!E360</f>
        <v>11243952</v>
      </c>
      <c r="G7" s="16">
        <v>9793547</v>
      </c>
      <c r="H7" s="16">
        <v>7099700</v>
      </c>
      <c r="I7" s="16">
        <v>1293404</v>
      </c>
      <c r="J7" s="16">
        <v>90696</v>
      </c>
      <c r="K7" s="12">
        <v>3212480</v>
      </c>
      <c r="L7" s="12">
        <v>1531587</v>
      </c>
      <c r="M7" s="12">
        <v>913302</v>
      </c>
      <c r="N7" s="12"/>
      <c r="O7" s="16">
        <v>5504108</v>
      </c>
      <c r="P7" s="12">
        <v>6740602</v>
      </c>
      <c r="Q7" s="12">
        <v>806489</v>
      </c>
      <c r="R7" s="16">
        <v>5524769</v>
      </c>
      <c r="S7" s="16">
        <v>430309</v>
      </c>
      <c r="T7" s="16">
        <v>651426</v>
      </c>
      <c r="U7" s="16">
        <v>138750</v>
      </c>
      <c r="V7" s="16">
        <v>1878720</v>
      </c>
    </row>
    <row r="8" spans="1:22" ht="16.5">
      <c r="A8" s="143"/>
      <c r="B8" s="112">
        <v>153624</v>
      </c>
      <c r="C8" s="16">
        <v>237510</v>
      </c>
      <c r="D8" s="16">
        <v>3764141</v>
      </c>
      <c r="E8" s="16">
        <v>4781817</v>
      </c>
      <c r="F8" s="16">
        <f>'[2]raw data'!E361</f>
        <v>6618431</v>
      </c>
      <c r="G8" s="16">
        <v>16338893</v>
      </c>
      <c r="H8" s="16">
        <v>23090918</v>
      </c>
      <c r="I8" s="16">
        <v>3479021</v>
      </c>
      <c r="J8" s="16">
        <v>256336</v>
      </c>
      <c r="K8" s="12">
        <v>2884901</v>
      </c>
      <c r="L8" s="12">
        <v>2362629</v>
      </c>
      <c r="M8" s="12">
        <v>294993</v>
      </c>
      <c r="N8" s="12"/>
      <c r="O8" s="16">
        <v>11180636</v>
      </c>
      <c r="P8" s="12">
        <v>5480243</v>
      </c>
      <c r="Q8" s="12">
        <v>0</v>
      </c>
      <c r="R8" s="16">
        <v>861459</v>
      </c>
      <c r="S8" s="16">
        <v>1019997</v>
      </c>
      <c r="T8" s="16">
        <v>2015240</v>
      </c>
      <c r="U8" s="16">
        <v>70</v>
      </c>
      <c r="V8" s="16">
        <v>1583387</v>
      </c>
    </row>
    <row r="9" spans="1:22" ht="16.5">
      <c r="A9" s="143"/>
      <c r="B9" s="112">
        <v>23561</v>
      </c>
      <c r="C9" s="16">
        <v>1431170</v>
      </c>
      <c r="D9" s="16">
        <v>3430568</v>
      </c>
      <c r="E9" s="16">
        <v>4621523</v>
      </c>
      <c r="F9" s="16">
        <f>'[2]raw data'!E362</f>
        <v>11454021</v>
      </c>
      <c r="G9" s="16">
        <v>11804479</v>
      </c>
      <c r="H9" s="16">
        <v>25544428</v>
      </c>
      <c r="I9" s="16">
        <v>4665427</v>
      </c>
      <c r="J9" s="16">
        <v>1225724</v>
      </c>
      <c r="K9" s="12">
        <v>14885</v>
      </c>
      <c r="L9" s="12">
        <v>1622105</v>
      </c>
      <c r="M9" s="12">
        <v>1244293</v>
      </c>
      <c r="N9" s="12"/>
      <c r="O9" s="16">
        <v>4429486</v>
      </c>
      <c r="P9" s="12">
        <v>10114823</v>
      </c>
      <c r="Q9" s="12">
        <v>0</v>
      </c>
      <c r="R9" s="16">
        <v>1628948</v>
      </c>
      <c r="S9" s="16">
        <v>1809853</v>
      </c>
      <c r="T9" s="16">
        <v>132403</v>
      </c>
      <c r="U9" s="16">
        <v>190315</v>
      </c>
      <c r="V9" s="16">
        <v>463443</v>
      </c>
    </row>
    <row r="10" spans="1:22" ht="16.5">
      <c r="A10" s="143"/>
      <c r="B10" s="112">
        <v>597453</v>
      </c>
      <c r="C10" s="16">
        <v>1968641</v>
      </c>
      <c r="D10" s="16">
        <v>4600272</v>
      </c>
      <c r="E10" s="16">
        <v>6675720</v>
      </c>
      <c r="F10" s="16">
        <f>'[2]raw data'!E363</f>
        <v>7454765</v>
      </c>
      <c r="G10" s="16">
        <v>19779371</v>
      </c>
      <c r="H10" s="16">
        <v>21768963</v>
      </c>
      <c r="I10" s="16">
        <v>195632</v>
      </c>
      <c r="J10" s="16">
        <v>1644289</v>
      </c>
      <c r="K10" s="12">
        <v>348364</v>
      </c>
      <c r="L10" s="12">
        <v>1556812</v>
      </c>
      <c r="M10" s="12">
        <v>1520630</v>
      </c>
      <c r="N10" s="12"/>
      <c r="O10" s="16">
        <v>8975382</v>
      </c>
      <c r="P10" s="12">
        <v>7395563</v>
      </c>
      <c r="Q10" s="12">
        <v>108489</v>
      </c>
      <c r="R10" s="16">
        <v>2647881</v>
      </c>
      <c r="S10" s="16">
        <v>1854059</v>
      </c>
      <c r="T10" s="16">
        <v>33988</v>
      </c>
      <c r="U10" s="16">
        <v>1525706</v>
      </c>
      <c r="V10" s="16">
        <v>1353290</v>
      </c>
    </row>
    <row r="11" spans="1:22" ht="16.5">
      <c r="A11" s="143"/>
      <c r="B11" s="112">
        <v>372895</v>
      </c>
      <c r="C11" s="16">
        <v>877763</v>
      </c>
      <c r="D11" s="16">
        <v>4014608</v>
      </c>
      <c r="E11" s="16">
        <v>7618648</v>
      </c>
      <c r="F11" s="16">
        <f>'[2]raw data'!E364</f>
        <v>9396807</v>
      </c>
      <c r="G11" s="16">
        <v>16420711</v>
      </c>
      <c r="H11" s="16">
        <v>18734589</v>
      </c>
      <c r="I11" s="16">
        <v>2646129</v>
      </c>
      <c r="J11" s="16">
        <v>1741761</v>
      </c>
      <c r="K11" s="12">
        <v>940471</v>
      </c>
      <c r="L11" s="12">
        <v>815669</v>
      </c>
      <c r="M11" s="12">
        <v>21345</v>
      </c>
      <c r="N11" s="12"/>
      <c r="O11" s="16">
        <v>3905752</v>
      </c>
      <c r="P11" s="12">
        <v>14208479</v>
      </c>
      <c r="Q11" s="12">
        <v>445482</v>
      </c>
      <c r="R11" s="16">
        <v>1417043</v>
      </c>
      <c r="S11" s="16">
        <v>1052512</v>
      </c>
      <c r="T11" s="16">
        <v>2387326</v>
      </c>
      <c r="U11" s="16">
        <v>452739</v>
      </c>
      <c r="V11" s="16">
        <v>238551</v>
      </c>
    </row>
    <row r="12" spans="1:22" ht="16.5">
      <c r="A12" s="143"/>
      <c r="B12" s="112">
        <v>174862</v>
      </c>
      <c r="C12" s="12"/>
      <c r="D12" s="16">
        <v>2654784</v>
      </c>
      <c r="E12" s="16">
        <v>4157396</v>
      </c>
      <c r="F12" s="16">
        <f>'[2]raw data'!E365</f>
        <v>8932439</v>
      </c>
      <c r="G12" s="16">
        <v>16065467</v>
      </c>
      <c r="H12" s="16">
        <v>21527534</v>
      </c>
      <c r="I12" s="16">
        <v>963737</v>
      </c>
      <c r="J12" s="16">
        <v>687854</v>
      </c>
      <c r="K12" s="12"/>
      <c r="L12" s="12">
        <v>1148254</v>
      </c>
      <c r="M12" s="12">
        <v>1437621</v>
      </c>
      <c r="N12" s="12"/>
      <c r="O12" s="16">
        <v>5340183</v>
      </c>
      <c r="P12" s="12">
        <v>5271590</v>
      </c>
      <c r="Q12" s="12">
        <v>113953</v>
      </c>
      <c r="R12" s="16">
        <v>7611764</v>
      </c>
      <c r="S12" s="16">
        <v>3700306</v>
      </c>
      <c r="T12" s="16">
        <v>760494</v>
      </c>
      <c r="U12" s="16">
        <v>930131</v>
      </c>
      <c r="V12" s="16">
        <v>185422</v>
      </c>
    </row>
    <row r="13" spans="1:22" ht="16.5">
      <c r="A13" s="143"/>
      <c r="B13" s="13"/>
      <c r="C13" s="12"/>
      <c r="D13" s="16"/>
      <c r="E13" s="16"/>
      <c r="F13" s="16"/>
      <c r="G13" s="16"/>
      <c r="H13" s="16"/>
      <c r="I13" s="16"/>
      <c r="J13" s="16"/>
      <c r="K13" s="12"/>
      <c r="L13" s="12"/>
      <c r="M13" s="12"/>
      <c r="N13" s="12"/>
      <c r="O13" s="16">
        <v>4933720</v>
      </c>
      <c r="P13" s="12"/>
      <c r="Q13" s="12"/>
      <c r="R13" s="16"/>
      <c r="S13" s="16"/>
      <c r="T13" s="16"/>
      <c r="U13" s="16"/>
      <c r="V13" s="16"/>
    </row>
    <row r="14" spans="1:22" ht="16.5">
      <c r="A14" s="143"/>
      <c r="B14" s="13"/>
      <c r="C14" s="16"/>
      <c r="D14" s="16"/>
      <c r="E14" s="16"/>
      <c r="F14" s="16"/>
      <c r="G14" s="16"/>
      <c r="H14" s="16"/>
      <c r="I14" s="16"/>
      <c r="J14" s="16"/>
      <c r="K14" s="12"/>
      <c r="L14" s="12"/>
      <c r="M14" s="12"/>
      <c r="N14" s="12"/>
      <c r="O14" s="16">
        <v>8227349</v>
      </c>
      <c r="P14" s="12"/>
      <c r="Q14" s="12"/>
      <c r="R14" s="16"/>
      <c r="S14" s="16"/>
      <c r="T14" s="16"/>
      <c r="U14" s="16"/>
      <c r="V14" s="16"/>
    </row>
    <row r="15" spans="1:22" ht="16.5">
      <c r="A15" s="143"/>
      <c r="B15" s="13"/>
      <c r="C15" s="16"/>
      <c r="D15" s="16"/>
      <c r="E15" s="16"/>
      <c r="F15" s="16"/>
      <c r="G15" s="16"/>
      <c r="H15" s="16"/>
      <c r="I15" s="16"/>
      <c r="J15" s="16"/>
      <c r="K15" s="12"/>
      <c r="L15" s="12"/>
      <c r="M15" s="12"/>
      <c r="N15" s="12"/>
      <c r="O15" s="16">
        <v>6443247</v>
      </c>
      <c r="P15" s="12"/>
      <c r="Q15" s="12"/>
      <c r="R15" s="16"/>
      <c r="S15" s="16"/>
      <c r="T15" s="16"/>
      <c r="U15" s="16"/>
      <c r="V15" s="16"/>
    </row>
    <row r="16" spans="1:22" ht="16.5">
      <c r="A16" s="143"/>
      <c r="B16" s="13"/>
      <c r="C16" s="16"/>
      <c r="D16" s="16"/>
      <c r="E16" s="16"/>
      <c r="F16" s="16"/>
      <c r="G16" s="16"/>
      <c r="H16" s="16"/>
      <c r="I16" s="16"/>
      <c r="J16" s="16"/>
      <c r="K16" s="12"/>
      <c r="L16" s="12"/>
      <c r="M16" s="12"/>
      <c r="N16" s="12"/>
      <c r="O16" s="16">
        <v>2675558</v>
      </c>
      <c r="P16" s="12"/>
      <c r="Q16" s="12"/>
      <c r="R16" s="16"/>
      <c r="S16" s="16"/>
      <c r="T16" s="16"/>
      <c r="U16" s="16"/>
      <c r="V16" s="16"/>
    </row>
    <row r="17" spans="1:22" ht="16.5">
      <c r="A17" s="143"/>
      <c r="B17" s="13"/>
      <c r="C17" s="16"/>
      <c r="D17" s="16"/>
      <c r="E17" s="16"/>
      <c r="F17" s="16"/>
      <c r="G17" s="16"/>
      <c r="H17" s="16"/>
      <c r="I17" s="16"/>
      <c r="J17" s="16"/>
      <c r="K17" s="12"/>
      <c r="L17" s="12"/>
      <c r="M17" s="12"/>
      <c r="N17" s="12"/>
      <c r="O17" s="16">
        <v>5709691</v>
      </c>
      <c r="P17" s="12"/>
      <c r="Q17" s="12"/>
      <c r="R17" s="16"/>
      <c r="S17" s="16"/>
      <c r="T17" s="16"/>
      <c r="U17" s="16"/>
      <c r="V17" s="16"/>
    </row>
    <row r="18" spans="1:22" ht="16.5">
      <c r="A18" s="143"/>
      <c r="B18" s="13"/>
      <c r="C18" s="16"/>
      <c r="D18" s="16"/>
      <c r="E18" s="16"/>
      <c r="F18" s="16"/>
      <c r="G18" s="16"/>
      <c r="H18" s="16"/>
      <c r="I18" s="16"/>
      <c r="J18" s="16"/>
      <c r="K18" s="12"/>
      <c r="L18" s="12"/>
      <c r="M18" s="12"/>
      <c r="N18" s="12"/>
      <c r="O18" s="16">
        <v>7501272</v>
      </c>
      <c r="P18" s="12"/>
      <c r="Q18" s="12"/>
      <c r="R18" s="16"/>
      <c r="S18" s="16"/>
      <c r="T18" s="16"/>
      <c r="U18" s="16"/>
      <c r="V18" s="16"/>
    </row>
    <row r="19" spans="1:22" ht="16.5">
      <c r="A19" s="143"/>
      <c r="B19" s="13"/>
      <c r="C19" s="16"/>
      <c r="D19" s="16"/>
      <c r="E19" s="16"/>
      <c r="F19" s="16"/>
      <c r="G19" s="16"/>
      <c r="H19" s="16"/>
      <c r="I19" s="16"/>
      <c r="J19" s="16"/>
      <c r="K19" s="12"/>
      <c r="L19" s="12"/>
      <c r="M19" s="12"/>
      <c r="N19" s="12"/>
      <c r="O19" s="16">
        <v>7628636</v>
      </c>
      <c r="P19" s="12"/>
      <c r="Q19" s="12"/>
      <c r="R19" s="16"/>
      <c r="S19" s="16"/>
      <c r="T19" s="16"/>
      <c r="U19" s="16"/>
      <c r="V19" s="16"/>
    </row>
    <row r="20" spans="1:22" ht="16.5">
      <c r="A20" s="143"/>
      <c r="B20" s="13"/>
      <c r="C20" s="16"/>
      <c r="D20" s="16"/>
      <c r="E20" s="16"/>
      <c r="F20" s="16"/>
      <c r="G20" s="16"/>
      <c r="H20" s="16"/>
      <c r="I20" s="16"/>
      <c r="J20" s="16"/>
      <c r="K20" s="12"/>
      <c r="L20" s="12"/>
      <c r="M20" s="12"/>
      <c r="N20" s="12"/>
      <c r="O20" s="16"/>
      <c r="P20" s="12"/>
      <c r="Q20" s="12"/>
      <c r="R20" s="16"/>
      <c r="S20" s="16"/>
      <c r="T20" s="16"/>
      <c r="U20" s="16"/>
      <c r="V20" s="16"/>
    </row>
    <row r="21" spans="1:22">
      <c r="A21" s="3"/>
      <c r="B21" s="6"/>
      <c r="C21" s="6"/>
      <c r="D21" s="6"/>
      <c r="E21" s="6"/>
      <c r="F21" s="6"/>
      <c r="G21" s="6"/>
      <c r="H21" s="6"/>
      <c r="I21" s="6"/>
      <c r="J21" s="6"/>
      <c r="O21" s="6"/>
      <c r="R21" s="6"/>
      <c r="S21" s="6"/>
      <c r="T21" s="6"/>
      <c r="U21" s="6"/>
      <c r="V21" s="6"/>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prochroraz-0.063mg/L</v>
      </c>
      <c r="J22" s="3" t="str">
        <f t="shared" si="0"/>
        <v>prochroraz-0.13mg/L</v>
      </c>
      <c r="K22" s="3" t="str">
        <f t="shared" si="0"/>
        <v>prochroraz-0.25mg/L</v>
      </c>
      <c r="L22" s="3" t="str">
        <f t="shared" si="0"/>
        <v>prochroraz-0.5mg/L</v>
      </c>
      <c r="M22" s="3" t="str">
        <f t="shared" si="0"/>
        <v>prochroraz-1mg/L</v>
      </c>
      <c r="N22" s="3" t="str">
        <f t="shared" si="0"/>
        <v/>
      </c>
      <c r="O22" s="3" t="str">
        <f t="shared" si="0"/>
        <v>Testo -30µg/L</v>
      </c>
      <c r="P22" s="3" t="str">
        <f t="shared" si="0"/>
        <v>Testo 30µg/L + EE2 -64ng/L</v>
      </c>
      <c r="Q22" s="3" t="str">
        <f t="shared" si="0"/>
        <v>Testo 30µg/L + FAD-10mg/L</v>
      </c>
      <c r="R22" s="3" t="str">
        <f t="shared" si="0"/>
        <v>prochroraz-0.063mg/L + Testostérone</v>
      </c>
      <c r="S22" s="3" t="str">
        <f t="shared" si="0"/>
        <v>prochroraz-0.13mg/L + Testostérone</v>
      </c>
      <c r="T22" s="3" t="str">
        <f t="shared" si="0"/>
        <v>prochroraz-0.25mg/L + Testostérone</v>
      </c>
      <c r="U22" s="3" t="str">
        <f t="shared" si="0"/>
        <v>prochroraz-0.5mg/L + Testostérone</v>
      </c>
      <c r="V22" s="3" t="str">
        <f t="shared" si="0"/>
        <v>prochroraz-1mg/L + Testostérone</v>
      </c>
    </row>
    <row r="23" spans="1:22">
      <c r="A23" s="5" t="s">
        <v>0</v>
      </c>
      <c r="B23" s="5">
        <f t="shared" ref="B23:J23" si="1">AVERAGE(B5:B20)</f>
        <v>408094.375</v>
      </c>
      <c r="C23" s="5">
        <f t="shared" si="1"/>
        <v>1846425.857142857</v>
      </c>
      <c r="D23" s="5">
        <f t="shared" si="1"/>
        <v>3275151.375</v>
      </c>
      <c r="E23" s="5">
        <f t="shared" si="1"/>
        <v>5910493</v>
      </c>
      <c r="F23" s="5">
        <f t="shared" si="1"/>
        <v>8672718.25</v>
      </c>
      <c r="G23" s="5">
        <f t="shared" si="1"/>
        <v>14954529</v>
      </c>
      <c r="H23" s="5">
        <f t="shared" si="1"/>
        <v>19192900.875</v>
      </c>
      <c r="I23" s="5">
        <f t="shared" si="1"/>
        <v>1961865</v>
      </c>
      <c r="J23" s="5">
        <f t="shared" si="1"/>
        <v>908608</v>
      </c>
      <c r="K23" s="5"/>
      <c r="L23" s="5">
        <f>AVERAGE(L5:L20)</f>
        <v>1534783.375</v>
      </c>
      <c r="M23" s="5"/>
      <c r="N23" s="5" t="e">
        <f>AVERAGE(N5:N20)</f>
        <v>#DIV/0!</v>
      </c>
      <c r="O23" s="5">
        <f>AVERAGE(O5:O20)</f>
        <v>6258811.5333333332</v>
      </c>
      <c r="P23" s="5">
        <f>AVERAGE(P5:P20)</f>
        <v>8469531.75</v>
      </c>
      <c r="Q23" s="5">
        <f>AVERAGE(Q5:Q20)</f>
        <v>291866.5</v>
      </c>
      <c r="R23" s="5">
        <f>AVERAGE(R5:R20)</f>
        <v>3963903.875</v>
      </c>
      <c r="S23" s="5">
        <f>AVERAGE(S5:S20)</f>
        <v>1715459.375</v>
      </c>
      <c r="T23" s="5">
        <f t="shared" ref="T23:V23" si="2">AVERAGE(T5:T20)</f>
        <v>896831</v>
      </c>
      <c r="U23" s="5">
        <f t="shared" si="2"/>
        <v>644870.375</v>
      </c>
      <c r="V23" s="5">
        <f t="shared" si="2"/>
        <v>730609.625</v>
      </c>
    </row>
    <row r="24" spans="1:22">
      <c r="A24" s="3" t="s">
        <v>1</v>
      </c>
      <c r="B24" s="3">
        <f t="shared" ref="B24:J24" si="3">STDEV(B5:B20)</f>
        <v>381314.58048176201</v>
      </c>
      <c r="C24" s="3">
        <f t="shared" si="3"/>
        <v>1067848.2052001317</v>
      </c>
      <c r="D24" s="3">
        <f t="shared" si="3"/>
        <v>1104501.6592902155</v>
      </c>
      <c r="E24" s="3">
        <f t="shared" si="3"/>
        <v>2924652.3983632163</v>
      </c>
      <c r="F24" s="3">
        <f t="shared" si="3"/>
        <v>2035224.2529222846</v>
      </c>
      <c r="G24" s="3">
        <f t="shared" si="3"/>
        <v>3058417.0463649519</v>
      </c>
      <c r="H24" s="3">
        <f t="shared" si="3"/>
        <v>5631843.9398741582</v>
      </c>
      <c r="I24" s="3">
        <f t="shared" si="3"/>
        <v>1539943.2032628439</v>
      </c>
      <c r="J24" s="3">
        <f t="shared" si="3"/>
        <v>684322.86775573168</v>
      </c>
      <c r="K24" s="3"/>
      <c r="L24" s="3">
        <f>STDEV(L5:L20)</f>
        <v>511579.44911335618</v>
      </c>
      <c r="M24" s="3"/>
      <c r="N24" s="3" t="e">
        <f>STDEV(N5:N20)</f>
        <v>#DIV/0!</v>
      </c>
      <c r="O24" s="3">
        <f>STDEV(O5:O20)</f>
        <v>2238430.0066840495</v>
      </c>
      <c r="P24" s="3">
        <f>STDEV(P5:P20)</f>
        <v>2954316.7149447482</v>
      </c>
      <c r="Q24" s="3">
        <f>STDEV(Q5:Q20)</f>
        <v>354634.77113825956</v>
      </c>
      <c r="R24" s="3">
        <f>STDEV(R5:R20)</f>
        <v>2719219.6885185614</v>
      </c>
      <c r="S24" s="3">
        <f>STDEV(S5:S20)</f>
        <v>1122281.6741914582</v>
      </c>
      <c r="T24" s="3">
        <f t="shared" ref="T24:V24" si="4">STDEV(T5:T20)</f>
        <v>852229.48571664502</v>
      </c>
      <c r="U24" s="3">
        <f t="shared" si="4"/>
        <v>674820.90878902038</v>
      </c>
      <c r="V24" s="3">
        <f t="shared" si="4"/>
        <v>747763.99205630529</v>
      </c>
    </row>
    <row r="25" spans="1:22" ht="15.75" thickBot="1"/>
    <row r="26" spans="1:22" ht="15.75" thickBot="1">
      <c r="B26" s="141" t="s">
        <v>6</v>
      </c>
      <c r="C26" s="142"/>
      <c r="D26" s="142"/>
      <c r="E26" s="142"/>
      <c r="F26" s="142"/>
      <c r="G26" s="142"/>
      <c r="H26" s="142"/>
      <c r="I26" s="142"/>
      <c r="J26" s="142"/>
      <c r="K26" s="142"/>
      <c r="L26" s="142"/>
      <c r="M26" s="142"/>
      <c r="N26" s="142"/>
      <c r="O26" s="141" t="s">
        <v>3</v>
      </c>
      <c r="P26" s="142"/>
      <c r="Q26" s="142"/>
      <c r="R26" s="142"/>
      <c r="S26" s="142"/>
      <c r="T26" s="142"/>
      <c r="U26" s="142"/>
      <c r="V26" s="142"/>
    </row>
    <row r="27" spans="1:22">
      <c r="A27" s="18" t="s">
        <v>22</v>
      </c>
      <c r="B27" s="19" t="str">
        <f>B4</f>
        <v>Solvent control</v>
      </c>
      <c r="C27" s="19" t="str">
        <f t="shared" ref="C27:N27" si="5">C4</f>
        <v>EE2-33.8ng/L</v>
      </c>
      <c r="D27" s="19" t="str">
        <f t="shared" si="5"/>
        <v>EE2-50.6ng/L</v>
      </c>
      <c r="E27" s="19" t="str">
        <f t="shared" si="5"/>
        <v>EE2-76ng/L</v>
      </c>
      <c r="F27" s="19" t="str">
        <f t="shared" si="5"/>
        <v>EE2-114ng/L</v>
      </c>
      <c r="G27" s="19" t="str">
        <f t="shared" si="5"/>
        <v>EE2-170.9ng/L</v>
      </c>
      <c r="H27" s="19" t="str">
        <f t="shared" si="5"/>
        <v>EE2-488ng/L</v>
      </c>
      <c r="I27" s="19" t="str">
        <f t="shared" si="5"/>
        <v>prochroraz-0.063mg/L</v>
      </c>
      <c r="J27" s="19" t="str">
        <f t="shared" si="5"/>
        <v>prochroraz-0.13mg/L</v>
      </c>
      <c r="K27" s="19" t="str">
        <f t="shared" si="5"/>
        <v>prochroraz-0.25mg/L</v>
      </c>
      <c r="L27" s="19" t="str">
        <f t="shared" si="5"/>
        <v>prochroraz-0.5mg/L</v>
      </c>
      <c r="M27" s="19" t="str">
        <f t="shared" si="5"/>
        <v>prochroraz-1mg/L</v>
      </c>
      <c r="N27" s="19" t="str">
        <f t="shared" si="5"/>
        <v/>
      </c>
      <c r="O27" s="20" t="str">
        <f>O4</f>
        <v>Testo -30µg/L</v>
      </c>
      <c r="P27" s="20" t="str">
        <f t="shared" ref="P27:R27" si="6">P4</f>
        <v>Testo 30µg/L + EE2 -64ng/L</v>
      </c>
      <c r="Q27" s="20" t="str">
        <f t="shared" si="6"/>
        <v>Testo 30µg/L + FAD-10mg/L</v>
      </c>
      <c r="R27" s="20" t="str">
        <f t="shared" si="6"/>
        <v>prochroraz-0.063mg/L + Testostérone</v>
      </c>
      <c r="S27" s="20" t="str">
        <f t="shared" ref="S27:V27" si="7">S4</f>
        <v>prochroraz-0.13mg/L + Testostérone</v>
      </c>
      <c r="T27" s="20" t="str">
        <f t="shared" si="7"/>
        <v>prochroraz-0.25mg/L + Testostérone</v>
      </c>
      <c r="U27" s="20" t="str">
        <f t="shared" si="7"/>
        <v>prochroraz-0.5mg/L + Testostérone</v>
      </c>
      <c r="V27" s="20" t="str">
        <f t="shared" si="7"/>
        <v>prochroraz-1mg/L + Testostérone</v>
      </c>
    </row>
    <row r="28" spans="1:22">
      <c r="A28" s="144" t="s">
        <v>17</v>
      </c>
      <c r="B28" s="10">
        <f>IF(B5="","",(B5/$O$23))</f>
        <v>0.16500081437186165</v>
      </c>
      <c r="C28" s="10">
        <f>IF(C5="","",(C5/$O$23))</f>
        <v>0.36740681321894841</v>
      </c>
      <c r="D28" s="10">
        <f>IF(D5="","",(D5/$O$23))</f>
        <v>0.33914697521967241</v>
      </c>
      <c r="E28" s="10">
        <f>IF(E5="","",(E5/$O$23))</f>
        <v>1.7905862703028828</v>
      </c>
      <c r="F28" s="10">
        <f>IF(F5="","",(F5/$O$23))</f>
        <v>0.92480480825683486</v>
      </c>
      <c r="G28" s="10">
        <f>IF(G5="","",(G5/$O$23))</f>
        <v>2.2976218285872014</v>
      </c>
      <c r="H28" s="10">
        <f>IF(H5="","",(H5/$O$23))</f>
        <v>2.6173496218499332</v>
      </c>
      <c r="I28" s="10">
        <f>IF(I5="","",(I5/$O$23))</f>
        <v>0.30149685606446286</v>
      </c>
      <c r="J28" s="10">
        <f>IF(J5="","",(J5/$O$23))</f>
        <v>0.22937070278507507</v>
      </c>
      <c r="K28" s="10">
        <f>IF(K5="","",(K5/$O$23))</f>
        <v>0.11717831669703684</v>
      </c>
      <c r="L28" s="10">
        <f>IF(L5="","",(L5/$O$23))</f>
        <v>0.1825330566219425</v>
      </c>
      <c r="M28" s="10">
        <f>IF(M5="","",(M5/$O$23))</f>
        <v>0.24759748584004335</v>
      </c>
      <c r="N28" s="10" t="str">
        <f>IF(N5="","",(N5/$O$23))</f>
        <v/>
      </c>
      <c r="O28" s="10">
        <f t="shared" ref="O28:S37" si="8">IF(O5="","",(O5/$O$23))</f>
        <v>1.176056182679112</v>
      </c>
      <c r="P28" s="10">
        <f t="shared" si="8"/>
        <v>1.5861987451014796</v>
      </c>
      <c r="Q28" s="10">
        <f t="shared" si="8"/>
        <v>0.13245134409064008</v>
      </c>
      <c r="R28" s="10">
        <f t="shared" si="8"/>
        <v>1.1958262299701989</v>
      </c>
      <c r="S28" s="10">
        <f t="shared" si="8"/>
        <v>0.14115395475560627</v>
      </c>
      <c r="T28" s="10">
        <f t="shared" ref="T28:V28" si="9">IF(T5="","",(T5/$O$23))</f>
        <v>7.7843852208235531E-2</v>
      </c>
      <c r="U28" s="10">
        <f t="shared" si="9"/>
        <v>0.27804527916071992</v>
      </c>
      <c r="V28" s="10">
        <f t="shared" si="9"/>
        <v>1.2611499735950936E-2</v>
      </c>
    </row>
    <row r="29" spans="1:22">
      <c r="A29" s="144"/>
      <c r="B29" s="10">
        <f>IF(B6="","",(B6/$O$23))</f>
        <v>0.13649763944002447</v>
      </c>
      <c r="C29" s="10">
        <f>IF(C6="","",(C6/$O$23))</f>
        <v>0.48855409429008423</v>
      </c>
      <c r="D29" s="10">
        <f>IF(D6="","",(D6/$O$23))</f>
        <v>0.6693788393670862</v>
      </c>
      <c r="E29" s="10">
        <f>IF(E6="","",(E6/$O$23))</f>
        <v>0.2072652280854215</v>
      </c>
      <c r="F29" s="10">
        <f>IF(F6="","",(F6/$O$23))</f>
        <v>1.3569911723283183</v>
      </c>
      <c r="G29" s="10">
        <f>IF(G6="","",(G6/$O$23))</f>
        <v>2.4051502301720262</v>
      </c>
      <c r="H29" s="10">
        <f>IF(H6="","",(H6/$O$23))</f>
        <v>3.0989233174225741</v>
      </c>
      <c r="I29" s="10">
        <f>IF(I6="","",(I6/$O$23))</f>
        <v>9.02021089776011E-2</v>
      </c>
      <c r="J29" s="10">
        <f>IF(J6="","",(J6/$O$23))</f>
        <v>2.9816523313749885E-2</v>
      </c>
      <c r="K29" s="10">
        <f>IF(K6="","",(K6/$O$23))</f>
        <v>5.5871789418423454E-2</v>
      </c>
      <c r="L29" s="10">
        <f>IF(L6="","",(L6/$O$23))</f>
        <v>0.33533059572449392</v>
      </c>
      <c r="M29" s="10">
        <f>IF(M6="","",(M6/$O$23))</f>
        <v>0.23588727542554858</v>
      </c>
      <c r="N29" s="10" t="str">
        <f>IF(N6="","",(N6/$O$23))</f>
        <v/>
      </c>
      <c r="O29" s="10">
        <f t="shared" si="8"/>
        <v>0.64971424340593398</v>
      </c>
      <c r="P29" s="10">
        <f t="shared" si="8"/>
        <v>1.3768165016802498</v>
      </c>
      <c r="Q29" s="10">
        <f t="shared" si="8"/>
        <v>5.0378574002542531E-3</v>
      </c>
      <c r="R29" s="10">
        <f t="shared" si="8"/>
        <v>0.72456503536619243</v>
      </c>
      <c r="S29" s="10">
        <f t="shared" si="8"/>
        <v>0.47503954771051154</v>
      </c>
      <c r="T29" s="10">
        <f t="shared" ref="T29:V29" si="10">IF(T6="","",(T6/$O$23))</f>
        <v>0.11289060171199915</v>
      </c>
      <c r="U29" s="10">
        <f t="shared" si="10"/>
        <v>2.892226408095603E-2</v>
      </c>
      <c r="V29" s="10">
        <f t="shared" si="10"/>
        <v>1.0086739257728941E-2</v>
      </c>
    </row>
    <row r="30" spans="1:22">
      <c r="A30" s="144"/>
      <c r="B30" s="10">
        <f>IF(B7="","",(B7/$O$23))</f>
        <v>8.841614690789059E-3</v>
      </c>
      <c r="C30" s="10">
        <f>IF(C7="","",(C7/$O$23))</f>
        <v>0.48772821864700555</v>
      </c>
      <c r="D30" s="10">
        <f>IF(D7="","",(D7/$O$23))</f>
        <v>0.22762548327465748</v>
      </c>
      <c r="E30" s="10">
        <f>IF(E7="","",(E7/$O$23))</f>
        <v>1.1063864062882312</v>
      </c>
      <c r="F30" s="10">
        <f>IF(F7="","",(F7/$O$23))</f>
        <v>1.7964995335163365</v>
      </c>
      <c r="G30" s="10">
        <f>IF(G7="","",(G7/$O$23))</f>
        <v>1.5647614483742298</v>
      </c>
      <c r="H30" s="10">
        <f>IF(H7="","",(H7/$O$23))</f>
        <v>1.1343527380858558</v>
      </c>
      <c r="I30" s="10">
        <f>IF(I7="","",(I7/$O$23))</f>
        <v>0.20665329082231618</v>
      </c>
      <c r="J30" s="10">
        <f>IF(J7="","",(J7/$O$23))</f>
        <v>1.4490930029921655E-2</v>
      </c>
      <c r="K30" s="10">
        <f>IF(K7="","",(K7/$O$23))</f>
        <v>0.5132731642246926</v>
      </c>
      <c r="L30" s="10">
        <f>IF(L7="","",(L7/$O$23))</f>
        <v>0.24470891827354699</v>
      </c>
      <c r="M30" s="10">
        <f>IF(M7="","",(M7/$O$23))</f>
        <v>0.14592259171504265</v>
      </c>
      <c r="N30" s="10" t="str">
        <f>IF(N7="","",(N7/$O$23))</f>
        <v/>
      </c>
      <c r="O30" s="10">
        <f t="shared" si="8"/>
        <v>0.87941743742978762</v>
      </c>
      <c r="P30" s="10">
        <f t="shared" si="8"/>
        <v>1.0769779476663797</v>
      </c>
      <c r="Q30" s="10">
        <f t="shared" si="8"/>
        <v>0.12885657216306656</v>
      </c>
      <c r="R30" s="10">
        <f t="shared" si="8"/>
        <v>0.88271854338096756</v>
      </c>
      <c r="S30" s="10">
        <f t="shared" si="8"/>
        <v>6.875250959519226E-2</v>
      </c>
      <c r="T30" s="10">
        <f t="shared" ref="T30:V30" si="11">IF(T7="","",(T7/$O$23))</f>
        <v>0.10408142129390209</v>
      </c>
      <c r="U30" s="10">
        <f t="shared" si="11"/>
        <v>2.2168745497614335E-2</v>
      </c>
      <c r="V30" s="10">
        <f t="shared" si="11"/>
        <v>0.30017200390110271</v>
      </c>
    </row>
    <row r="31" spans="1:22">
      <c r="A31" s="144"/>
      <c r="B31" s="10">
        <f>IF(B8="","",(B8/$O$23))</f>
        <v>2.4545235014958592E-2</v>
      </c>
      <c r="C31" s="10">
        <f>IF(C8="","",(C8/$O$23))</f>
        <v>3.7948099049645988E-2</v>
      </c>
      <c r="D31" s="10">
        <f>IF(D8="","",(D8/$O$23))</f>
        <v>0.60141465835052621</v>
      </c>
      <c r="E31" s="10">
        <f>IF(E8="","",(E8/$O$23))</f>
        <v>0.76401357902101397</v>
      </c>
      <c r="F31" s="10">
        <f>IF(F8="","",(F8/$O$23))</f>
        <v>1.0574581076217739</v>
      </c>
      <c r="G31" s="10">
        <f>IF(G8="","",(G8/$O$23))</f>
        <v>2.6105424189531701</v>
      </c>
      <c r="H31" s="10">
        <f>IF(H8="","",(H8/$O$23))</f>
        <v>3.6893454735011302</v>
      </c>
      <c r="I31" s="10">
        <f>IF(I8="","",(I8/$O$23))</f>
        <v>0.55585968381877993</v>
      </c>
      <c r="J31" s="10">
        <f>IF(J8="","",(J8/$O$23))</f>
        <v>4.095601834865923E-2</v>
      </c>
      <c r="K31" s="10">
        <f>IF(K8="","",(K8/$O$23))</f>
        <v>0.46093431390856282</v>
      </c>
      <c r="L31" s="10">
        <f>IF(L8="","",(L8/$O$23))</f>
        <v>0.37748843968492296</v>
      </c>
      <c r="M31" s="10">
        <f>IF(M8="","",(M8/$O$23))</f>
        <v>4.713243056272249E-2</v>
      </c>
      <c r="N31" s="10" t="str">
        <f>IF(N8="","",(N8/$O$23))</f>
        <v/>
      </c>
      <c r="O31" s="10">
        <f t="shared" si="8"/>
        <v>1.7863832359312775</v>
      </c>
      <c r="P31" s="10">
        <f t="shared" si="8"/>
        <v>0.87560441320419802</v>
      </c>
      <c r="Q31" s="10">
        <f t="shared" si="8"/>
        <v>0</v>
      </c>
      <c r="R31" s="10">
        <f t="shared" si="8"/>
        <v>0.13763938974867998</v>
      </c>
      <c r="S31" s="10">
        <f t="shared" si="8"/>
        <v>0.16296975784742435</v>
      </c>
      <c r="T31" s="10">
        <f t="shared" ref="T31:V31" si="12">IF(T8="","",(T8/$O$23))</f>
        <v>0.32198445172333195</v>
      </c>
      <c r="U31" s="10">
        <f t="shared" si="12"/>
        <v>1.1184231962760386E-5</v>
      </c>
      <c r="V31" s="10">
        <f t="shared" si="12"/>
        <v>0.2529852499259897</v>
      </c>
    </row>
    <row r="32" spans="1:22">
      <c r="A32" s="144"/>
      <c r="B32" s="10">
        <f>IF(B9="","",(B9/$O$23))</f>
        <v>3.7644527039228204E-3</v>
      </c>
      <c r="C32" s="10">
        <f>IF(C9="","",(C9/$O$23))</f>
        <v>0.22866481797348256</v>
      </c>
      <c r="D32" s="10">
        <f>IF(D9="","",(D9/$O$23))</f>
        <v>0.54811811822889955</v>
      </c>
      <c r="E32" s="10">
        <f>IF(E9="","",(E9/$O$23))</f>
        <v>0.73840264647474663</v>
      </c>
      <c r="F32" s="10">
        <f>IF(F9="","",(F9/$O$23))</f>
        <v>1.8300632538618382</v>
      </c>
      <c r="G32" s="10">
        <f>IF(G9="","",(G9/$O$23))</f>
        <v>1.8860575905076249</v>
      </c>
      <c r="H32" s="10">
        <f>IF(H9="","",(H9/$O$23))</f>
        <v>4.0813544015433045</v>
      </c>
      <c r="I32" s="10">
        <f>IF(I9="","",(I9/$O$23))</f>
        <v>0.74541739676178997</v>
      </c>
      <c r="J32" s="10">
        <f>IF(J9="","",(J9/$O$23))</f>
        <v>0.19583973626175014</v>
      </c>
      <c r="K32" s="10">
        <f>IF(K9="","",(K9/$O$23))</f>
        <v>2.3782470395098333E-3</v>
      </c>
      <c r="L32" s="10">
        <f>IF(L9="","",(L9/$O$23))</f>
        <v>0.25917140839933478</v>
      </c>
      <c r="M32" s="10">
        <f>IF(M9="","",(M9/$O$23))</f>
        <v>0.19880659345198581</v>
      </c>
      <c r="N32" s="10" t="str">
        <f>IF(N9="","",(N9/$O$23))</f>
        <v/>
      </c>
      <c r="O32" s="10">
        <f t="shared" si="8"/>
        <v>0.7077199842828521</v>
      </c>
      <c r="P32" s="10">
        <f t="shared" si="8"/>
        <v>1.6160932384894842</v>
      </c>
      <c r="Q32" s="10">
        <f t="shared" si="8"/>
        <v>0</v>
      </c>
      <c r="R32" s="10">
        <f t="shared" si="8"/>
        <v>0.26026474696106577</v>
      </c>
      <c r="S32" s="10">
        <f t="shared" si="8"/>
        <v>0.28916879672139673</v>
      </c>
      <c r="T32" s="10">
        <f t="shared" ref="T32:V32" si="13">IF(T9="","",(T9/$O$23))</f>
        <v>2.1154655208076616E-2</v>
      </c>
      <c r="U32" s="10">
        <f t="shared" si="13"/>
        <v>3.0407530085610611E-2</v>
      </c>
      <c r="V32" s="10">
        <f t="shared" si="13"/>
        <v>7.4046485907393725E-2</v>
      </c>
    </row>
    <row r="33" spans="1:22">
      <c r="A33" s="144"/>
      <c r="B33" s="10">
        <f>IF(B10="","",(B10/$O$23))</f>
        <v>9.5457899126386858E-2</v>
      </c>
      <c r="C33" s="10">
        <f>IF(C10="","",(C10/$O$23))</f>
        <v>0.31453910850572236</v>
      </c>
      <c r="D33" s="10">
        <f>IF(D10="","",(D10/$O$23))</f>
        <v>0.73500727342559491</v>
      </c>
      <c r="E33" s="10">
        <f>IF(E10="","",(E10/$O$23))</f>
        <v>1.0666114428348394</v>
      </c>
      <c r="F33" s="10">
        <f>IF(F10="","",(F10/$O$23))</f>
        <v>1.1910831569695346</v>
      </c>
      <c r="G33" s="10">
        <f>IF(G10="","",(G10/$O$23))</f>
        <v>3.160243904878512</v>
      </c>
      <c r="H33" s="10">
        <f>IF(H10="","",(H10/$O$23))</f>
        <v>3.4781304540106888</v>
      </c>
      <c r="I33" s="10">
        <f>IF(I10="","",(I10/$O$23))</f>
        <v>3.1257052390553423E-2</v>
      </c>
      <c r="J33" s="10">
        <f>IF(J10="","",(J10/$O$23))</f>
        <v>0.26271585128307584</v>
      </c>
      <c r="K33" s="10">
        <f>IF(K10="","",(K10/$O$23))</f>
        <v>5.5659768335357983E-2</v>
      </c>
      <c r="L33" s="10">
        <f>IF(L10="","",(L10/$O$23))</f>
        <v>0.24873923614869886</v>
      </c>
      <c r="M33" s="10">
        <f>IF(M10="","",(M10/$O$23))</f>
        <v>0.24295826642189033</v>
      </c>
      <c r="N33" s="10" t="str">
        <f>IF(N10="","",(N10/$O$23))</f>
        <v/>
      </c>
      <c r="O33" s="10">
        <f t="shared" si="8"/>
        <v>1.4340393463197747</v>
      </c>
      <c r="P33" s="10">
        <f t="shared" si="8"/>
        <v>1.1816241726744012</v>
      </c>
      <c r="Q33" s="10">
        <f t="shared" si="8"/>
        <v>1.7333802020113021E-2</v>
      </c>
      <c r="R33" s="10">
        <f t="shared" si="8"/>
        <v>0.42306450448265615</v>
      </c>
      <c r="S33" s="10">
        <f t="shared" si="8"/>
        <v>0.29623179898062224</v>
      </c>
      <c r="T33" s="10">
        <f t="shared" ref="T33:V33" si="14">IF(T10="","",(T10/$O$23))</f>
        <v>5.4304239421471426E-3</v>
      </c>
      <c r="U33" s="10">
        <f t="shared" si="14"/>
        <v>0.2437692830139328</v>
      </c>
      <c r="V33" s="10">
        <f t="shared" si="14"/>
        <v>0.21622156104120002</v>
      </c>
    </row>
    <row r="34" spans="1:22">
      <c r="A34" s="144"/>
      <c r="B34" s="10">
        <f>IF(B11="","",(B11/$O$23))</f>
        <v>5.9579202539336198E-2</v>
      </c>
      <c r="C34" s="10">
        <f>IF(C11="","",(C11/$O$23))</f>
        <v>0.14024435714754921</v>
      </c>
      <c r="D34" s="10">
        <f>IF(D11="","",(D11/$O$23))</f>
        <v>0.64143295873647921</v>
      </c>
      <c r="E34" s="10">
        <f>IF(E11="","",(E11/$O$23))</f>
        <v>1.2172675210660069</v>
      </c>
      <c r="F34" s="10">
        <f>IF(F11="","",(F11/$O$23))</f>
        <v>1.5013724171041503</v>
      </c>
      <c r="G34" s="10">
        <f>IF(G11="","",(G11/$O$23))</f>
        <v>2.623614868820729</v>
      </c>
      <c r="H34" s="10">
        <f>IF(H11="","",(H11/$O$23))</f>
        <v>2.9933141300425588</v>
      </c>
      <c r="I34" s="10">
        <f>IF(I11="","",(I11/$O$23))</f>
        <v>0.4227845791341025</v>
      </c>
      <c r="J34" s="10">
        <f>IF(J11="","",(J11/$O$23))</f>
        <v>0.27828941496699272</v>
      </c>
      <c r="K34" s="10">
        <f>IF(K11="","",(K11/$O$23))</f>
        <v>0.1502635116892746</v>
      </c>
      <c r="L34" s="10">
        <f>IF(L11="","",(L11/$O$23))</f>
        <v>0.13032330429761144</v>
      </c>
      <c r="M34" s="10">
        <f>IF(M11="","",(M11/$O$23))</f>
        <v>3.4103918749302919E-3</v>
      </c>
      <c r="N34" s="10" t="str">
        <f>IF(N11="","",(N11/$O$23))</f>
        <v/>
      </c>
      <c r="O34" s="10">
        <f t="shared" si="8"/>
        <v>0.62404051938593286</v>
      </c>
      <c r="P34" s="10">
        <f t="shared" si="8"/>
        <v>2.2701560710572815</v>
      </c>
      <c r="Q34" s="10">
        <f t="shared" si="8"/>
        <v>7.1176771760491739E-2</v>
      </c>
      <c r="R34" s="10">
        <f t="shared" si="8"/>
        <v>0.2264076801886552</v>
      </c>
      <c r="S34" s="10">
        <f t="shared" si="8"/>
        <v>0.16816483359412654</v>
      </c>
      <c r="T34" s="10">
        <f t="shared" ref="T34:V34" si="15">IF(T11="","",(T11/$O$23))</f>
        <v>0.38143439649612715</v>
      </c>
      <c r="U34" s="10">
        <f t="shared" si="15"/>
        <v>7.2336257065545348E-2</v>
      </c>
      <c r="V34" s="10">
        <f t="shared" si="15"/>
        <v>3.8114424556406463E-2</v>
      </c>
    </row>
    <row r="35" spans="1:22">
      <c r="A35" s="144"/>
      <c r="B35" s="10">
        <f>IF(B12="","",(B12/$O$23))</f>
        <v>2.7938530992460093E-2</v>
      </c>
      <c r="C35" s="10" t="str">
        <f>IF(C12="","",(C12/$O$23))</f>
        <v/>
      </c>
      <c r="D35" s="10">
        <f>IF(D12="","",(D12/$O$23))</f>
        <v>0.42416742952892666</v>
      </c>
      <c r="E35" s="10">
        <f>IF(E12="","",(E12/$O$23))</f>
        <v>0.66424687464360244</v>
      </c>
      <c r="F35" s="10">
        <f>IF(F12="","",(F12/$O$23))</f>
        <v>1.427178139560106</v>
      </c>
      <c r="G35" s="10">
        <f>IF(G12="","",(G12/$O$23))</f>
        <v>2.566855850258174</v>
      </c>
      <c r="H35" s="10">
        <f>IF(H12="","",(H12/$O$23))</f>
        <v>3.4395561977458704</v>
      </c>
      <c r="I35" s="10">
        <f>IF(I12="","",(I12/$O$23))</f>
        <v>0.15398083084421149</v>
      </c>
      <c r="J35" s="10">
        <f>IF(J12="","",(J12/$O$23))</f>
        <v>0.1099016956073226</v>
      </c>
      <c r="K35" s="10" t="str">
        <f>IF(K12="","",(K12/$O$23))</f>
        <v/>
      </c>
      <c r="L35" s="10">
        <f>IF(L12="","",(L12/$O$23))</f>
        <v>0.18346198697382091</v>
      </c>
      <c r="M35" s="10">
        <f>IF(M12="","",(M12/$O$23))</f>
        <v>0.2296955248362221</v>
      </c>
      <c r="N35" s="10" t="str">
        <f>IF(N12="","",(N12/$O$23))</f>
        <v/>
      </c>
      <c r="O35" s="10">
        <f t="shared" si="8"/>
        <v>0.85322636279413777</v>
      </c>
      <c r="P35" s="10">
        <f t="shared" si="8"/>
        <v>0.84226693389382878</v>
      </c>
      <c r="Q35" s="10">
        <f t="shared" si="8"/>
        <v>1.8206811212177629E-2</v>
      </c>
      <c r="R35" s="10">
        <f t="shared" si="8"/>
        <v>1.2161676317398407</v>
      </c>
      <c r="S35" s="10">
        <f t="shared" si="8"/>
        <v>0.59121543767420037</v>
      </c>
      <c r="T35" s="10">
        <f t="shared" ref="T35:V35" si="16">IF(T12="","",(T12/$O$23))</f>
        <v>0.12150773288982138</v>
      </c>
      <c r="U35" s="10">
        <f t="shared" si="16"/>
        <v>0.14861144085363256</v>
      </c>
      <c r="V35" s="10">
        <f t="shared" si="16"/>
        <v>2.9625752271413657E-2</v>
      </c>
    </row>
    <row r="36" spans="1:22">
      <c r="A36" s="144"/>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si="8"/>
        <v>0.788283841704431</v>
      </c>
      <c r="P36" s="10" t="str">
        <f t="shared" si="8"/>
        <v/>
      </c>
      <c r="Q36" s="10" t="str">
        <f t="shared" si="8"/>
        <v/>
      </c>
      <c r="R36" s="10" t="str">
        <f t="shared" si="8"/>
        <v/>
      </c>
      <c r="S36" s="10" t="str">
        <f t="shared" si="8"/>
        <v/>
      </c>
      <c r="T36" s="10" t="str">
        <f t="shared" ref="T36:V36" si="17">IF(T13="","",(T13/$O$23))</f>
        <v/>
      </c>
      <c r="U36" s="10" t="str">
        <f t="shared" si="17"/>
        <v/>
      </c>
      <c r="V36" s="10" t="str">
        <f t="shared" si="17"/>
        <v/>
      </c>
    </row>
    <row r="37" spans="1:22">
      <c r="A37" s="144"/>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si="8"/>
        <v>1.314522566494067</v>
      </c>
      <c r="P37" s="10" t="str">
        <f t="shared" si="8"/>
        <v/>
      </c>
      <c r="Q37" s="10" t="str">
        <f t="shared" si="8"/>
        <v/>
      </c>
      <c r="R37" s="10" t="str">
        <f t="shared" si="8"/>
        <v/>
      </c>
      <c r="S37" s="10" t="str">
        <f t="shared" si="8"/>
        <v/>
      </c>
      <c r="T37" s="10" t="str">
        <f t="shared" ref="T37:V37" si="18">IF(T14="","",(T14/$O$23))</f>
        <v/>
      </c>
      <c r="U37" s="10" t="str">
        <f t="shared" si="18"/>
        <v/>
      </c>
      <c r="V37" s="10" t="str">
        <f t="shared" si="18"/>
        <v/>
      </c>
    </row>
    <row r="38" spans="1:22">
      <c r="A38" s="144"/>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ref="O38:V38" si="19">IF(O15="","",(O15/$O$23))</f>
        <v>1.0294681291622851</v>
      </c>
      <c r="P38" s="10" t="str">
        <f t="shared" si="19"/>
        <v/>
      </c>
      <c r="Q38" s="10" t="str">
        <f t="shared" si="19"/>
        <v/>
      </c>
      <c r="R38" s="10" t="str">
        <f t="shared" si="19"/>
        <v/>
      </c>
      <c r="S38" s="10" t="str">
        <f t="shared" si="19"/>
        <v/>
      </c>
      <c r="T38" s="10" t="str">
        <f t="shared" si="19"/>
        <v/>
      </c>
      <c r="U38" s="10" t="str">
        <f t="shared" si="19"/>
        <v/>
      </c>
      <c r="V38" s="10" t="str">
        <f t="shared" si="19"/>
        <v/>
      </c>
    </row>
    <row r="39" spans="1:22">
      <c r="A39" s="144"/>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ref="O39:V39" si="20">IF(O16="","",(O16/$O$23))</f>
        <v>0.42748659002598927</v>
      </c>
      <c r="P39" s="10" t="str">
        <f t="shared" si="20"/>
        <v/>
      </c>
      <c r="Q39" s="10" t="str">
        <f t="shared" si="20"/>
        <v/>
      </c>
      <c r="R39" s="10" t="str">
        <f t="shared" si="20"/>
        <v/>
      </c>
      <c r="S39" s="10" t="str">
        <f t="shared" si="20"/>
        <v/>
      </c>
      <c r="T39" s="10" t="str">
        <f t="shared" si="20"/>
        <v/>
      </c>
      <c r="U39" s="10" t="str">
        <f t="shared" si="20"/>
        <v/>
      </c>
      <c r="V39" s="10" t="str">
        <f t="shared" si="20"/>
        <v/>
      </c>
    </row>
    <row r="40" spans="1:22">
      <c r="A40" s="144"/>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V40" si="21">IF(O17="","",(O17/$O$23))</f>
        <v>0.91226440828121869</v>
      </c>
      <c r="P40" s="10" t="str">
        <f t="shared" si="21"/>
        <v/>
      </c>
      <c r="Q40" s="10" t="str">
        <f t="shared" si="21"/>
        <v/>
      </c>
      <c r="R40" s="10" t="str">
        <f t="shared" si="21"/>
        <v/>
      </c>
      <c r="S40" s="10" t="str">
        <f t="shared" si="21"/>
        <v/>
      </c>
      <c r="T40" s="10" t="str">
        <f t="shared" si="21"/>
        <v/>
      </c>
      <c r="U40" s="10" t="str">
        <f t="shared" si="21"/>
        <v/>
      </c>
      <c r="V40" s="10" t="str">
        <f t="shared" si="21"/>
        <v/>
      </c>
    </row>
    <row r="41" spans="1:22">
      <c r="A41" s="144"/>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ref="O41:V41" si="22">IF(O18="","",(O18/$O$23))</f>
        <v>1.1985138009108502</v>
      </c>
      <c r="P41" s="10" t="str">
        <f t="shared" si="22"/>
        <v/>
      </c>
      <c r="Q41" s="10" t="str">
        <f t="shared" si="22"/>
        <v/>
      </c>
      <c r="R41" s="10" t="str">
        <f t="shared" si="22"/>
        <v/>
      </c>
      <c r="S41" s="10" t="str">
        <f t="shared" si="22"/>
        <v/>
      </c>
      <c r="T41" s="10" t="str">
        <f t="shared" si="22"/>
        <v/>
      </c>
      <c r="U41" s="10" t="str">
        <f t="shared" si="22"/>
        <v/>
      </c>
      <c r="V41" s="10" t="str">
        <f t="shared" si="22"/>
        <v/>
      </c>
    </row>
    <row r="42" spans="1:22">
      <c r="A42" s="144"/>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ref="O42:V42" si="23">IF(O19="","",(O19/$O$23))</f>
        <v>1.2188633511923506</v>
      </c>
      <c r="P42" s="10" t="str">
        <f t="shared" si="23"/>
        <v/>
      </c>
      <c r="Q42" s="10" t="str">
        <f t="shared" si="23"/>
        <v/>
      </c>
      <c r="R42" s="10" t="str">
        <f t="shared" si="23"/>
        <v/>
      </c>
      <c r="S42" s="10" t="str">
        <f t="shared" si="23"/>
        <v/>
      </c>
      <c r="T42" s="10" t="str">
        <f t="shared" si="23"/>
        <v/>
      </c>
      <c r="U42" s="10" t="str">
        <f t="shared" si="23"/>
        <v/>
      </c>
      <c r="V42" s="10" t="str">
        <f t="shared" si="23"/>
        <v/>
      </c>
    </row>
    <row r="43" spans="1:22">
      <c r="A43" s="144"/>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t="str">
        <f t="shared" ref="O43:V43" si="24">IF(O20="","",(O20/$O$23))</f>
        <v/>
      </c>
      <c r="P43" s="10" t="str">
        <f t="shared" si="24"/>
        <v/>
      </c>
      <c r="Q43" s="10" t="str">
        <f t="shared" si="24"/>
        <v/>
      </c>
      <c r="R43" s="10" t="str">
        <f t="shared" si="24"/>
        <v/>
      </c>
      <c r="S43" s="10" t="str">
        <f t="shared" si="24"/>
        <v/>
      </c>
      <c r="T43" s="10" t="str">
        <f t="shared" si="24"/>
        <v/>
      </c>
      <c r="U43" s="10" t="str">
        <f t="shared" si="24"/>
        <v/>
      </c>
      <c r="V43" s="10" t="str">
        <f t="shared" si="24"/>
        <v/>
      </c>
    </row>
    <row r="44" spans="1:22">
      <c r="A44" s="6"/>
      <c r="B44" s="3"/>
      <c r="C44" s="3"/>
      <c r="D44" s="3"/>
      <c r="E44" s="3"/>
      <c r="F44" s="3"/>
      <c r="G44" s="3"/>
      <c r="H44" s="3"/>
      <c r="I44" s="3"/>
      <c r="J44" s="3"/>
      <c r="K44" s="3"/>
      <c r="L44" s="3"/>
      <c r="M44" s="3"/>
      <c r="N44" s="3"/>
      <c r="O44" s="3"/>
      <c r="P44" s="3"/>
      <c r="Q44" s="3"/>
      <c r="R44" s="3"/>
      <c r="S44" s="3"/>
      <c r="T44" s="3"/>
      <c r="U44" s="3"/>
      <c r="V44" s="3"/>
    </row>
    <row r="45" spans="1:22">
      <c r="A45" s="6" t="str">
        <f>A4</f>
        <v>Noms des groupes</v>
      </c>
      <c r="B45" s="6" t="str">
        <f t="shared" ref="B45:R45" si="25">B4</f>
        <v>Solvent control</v>
      </c>
      <c r="C45" s="6" t="str">
        <f t="shared" si="25"/>
        <v>EE2-33.8ng/L</v>
      </c>
      <c r="D45" s="6" t="str">
        <f t="shared" si="25"/>
        <v>EE2-50.6ng/L</v>
      </c>
      <c r="E45" s="6" t="str">
        <f t="shared" si="25"/>
        <v>EE2-76ng/L</v>
      </c>
      <c r="F45" s="6" t="str">
        <f t="shared" si="25"/>
        <v>EE2-114ng/L</v>
      </c>
      <c r="G45" s="6" t="str">
        <f t="shared" si="25"/>
        <v>EE2-170.9ng/L</v>
      </c>
      <c r="H45" s="6" t="str">
        <f t="shared" si="25"/>
        <v>EE2-488ng/L</v>
      </c>
      <c r="I45" s="6" t="str">
        <f t="shared" si="25"/>
        <v>prochroraz-0.063mg/L</v>
      </c>
      <c r="J45" s="6" t="str">
        <f t="shared" si="25"/>
        <v>prochroraz-0.13mg/L</v>
      </c>
      <c r="K45" s="6" t="str">
        <f t="shared" ref="K45:N45" si="26">K4</f>
        <v>prochroraz-0.25mg/L</v>
      </c>
      <c r="L45" s="6" t="str">
        <f t="shared" si="26"/>
        <v>prochroraz-0.5mg/L</v>
      </c>
      <c r="M45" s="6" t="str">
        <f t="shared" si="26"/>
        <v>prochroraz-1mg/L</v>
      </c>
      <c r="N45" s="6" t="str">
        <f t="shared" si="26"/>
        <v/>
      </c>
      <c r="O45" s="6" t="str">
        <f t="shared" si="25"/>
        <v>Testo -30µg/L</v>
      </c>
      <c r="P45" s="6" t="str">
        <f t="shared" si="25"/>
        <v>Testo 30µg/L + EE2 -64ng/L</v>
      </c>
      <c r="Q45" s="6" t="str">
        <f t="shared" si="25"/>
        <v>Testo 30µg/L + FAD-10mg/L</v>
      </c>
      <c r="R45" s="6" t="str">
        <f t="shared" si="25"/>
        <v>prochroraz-0.063mg/L + Testostérone</v>
      </c>
      <c r="S45" s="6" t="str">
        <f t="shared" ref="S45:V45" si="27">S4</f>
        <v>prochroraz-0.13mg/L + Testostérone</v>
      </c>
      <c r="T45" s="6" t="str">
        <f t="shared" si="27"/>
        <v>prochroraz-0.25mg/L + Testostérone</v>
      </c>
      <c r="U45" s="6" t="str">
        <f t="shared" si="27"/>
        <v>prochroraz-0.5mg/L + Testostérone</v>
      </c>
      <c r="V45" s="6" t="str">
        <f t="shared" si="27"/>
        <v>prochroraz-1mg/L + Testostérone</v>
      </c>
    </row>
    <row r="46" spans="1:22">
      <c r="A46" s="7" t="s">
        <v>0</v>
      </c>
      <c r="B46" s="9">
        <f t="shared" ref="B46:H46" si="28">AVERAGE(B28:B43)</f>
        <v>6.5203173609967469E-2</v>
      </c>
      <c r="C46" s="9">
        <f t="shared" si="28"/>
        <v>0.29501221554749119</v>
      </c>
      <c r="D46" s="9">
        <f t="shared" si="28"/>
        <v>0.52328646701648029</v>
      </c>
      <c r="E46" s="9">
        <f t="shared" si="28"/>
        <v>0.94434749608959312</v>
      </c>
      <c r="F46" s="9">
        <f t="shared" si="28"/>
        <v>1.3856813236523615</v>
      </c>
      <c r="G46" s="9">
        <f t="shared" si="28"/>
        <v>2.3893560175689585</v>
      </c>
      <c r="H46" s="9">
        <f t="shared" si="28"/>
        <v>3.0665407917752394</v>
      </c>
      <c r="I46" s="9">
        <f>AVERAGE(I28:I43)</f>
        <v>0.31345647485172717</v>
      </c>
      <c r="J46" s="8">
        <f>AVERAGE(J28:J43)</f>
        <v>0.14517260907456839</v>
      </c>
      <c r="K46" s="8">
        <f t="shared" ref="K46:N46" si="29">AVERAGE(K28:K43)</f>
        <v>0.19365130161612257</v>
      </c>
      <c r="L46" s="8">
        <f t="shared" si="29"/>
        <v>0.24521961826554659</v>
      </c>
      <c r="M46" s="8">
        <f t="shared" si="29"/>
        <v>0.16892632001604818</v>
      </c>
      <c r="N46" s="8" t="e">
        <f t="shared" si="29"/>
        <v>#DIV/0!</v>
      </c>
      <c r="O46" s="9">
        <f t="shared" ref="O46:R46" si="30">AVERAGE(O28:O43)</f>
        <v>1</v>
      </c>
      <c r="P46" s="9">
        <f t="shared" si="30"/>
        <v>1.3532172529709128</v>
      </c>
      <c r="Q46" s="9">
        <f t="shared" si="30"/>
        <v>4.6632894830842916E-2</v>
      </c>
      <c r="R46" s="9">
        <f t="shared" si="30"/>
        <v>0.63333172022978212</v>
      </c>
      <c r="S46" s="9">
        <f t="shared" ref="S46:V46" si="31">AVERAGE(S28:S43)</f>
        <v>0.27408707960988504</v>
      </c>
      <c r="T46" s="9">
        <f t="shared" si="31"/>
        <v>0.14329094193420511</v>
      </c>
      <c r="U46" s="9">
        <f t="shared" si="31"/>
        <v>0.1030339979987468</v>
      </c>
      <c r="V46" s="9">
        <f t="shared" si="31"/>
        <v>0.11673296457464827</v>
      </c>
    </row>
    <row r="47" spans="1:22">
      <c r="A47" s="7" t="s">
        <v>1</v>
      </c>
      <c r="B47" s="7">
        <f t="shared" ref="B47:J47" si="32">STDEV(B28:B43)</f>
        <v>6.0924438841295572E-2</v>
      </c>
      <c r="C47" s="7">
        <f t="shared" si="32"/>
        <v>0.17061517182822331</v>
      </c>
      <c r="D47" s="7">
        <f t="shared" si="32"/>
        <v>0.17647146801079308</v>
      </c>
      <c r="E47" s="7">
        <f t="shared" si="32"/>
        <v>0.46728558333910986</v>
      </c>
      <c r="F47" s="7">
        <f t="shared" si="32"/>
        <v>0.32517743058455073</v>
      </c>
      <c r="G47" s="7">
        <f t="shared" si="32"/>
        <v>0.48865779550580096</v>
      </c>
      <c r="H47" s="7">
        <f t="shared" si="32"/>
        <v>0.89982641430884236</v>
      </c>
      <c r="I47" s="7">
        <f t="shared" si="32"/>
        <v>0.24604402849668444</v>
      </c>
      <c r="J47" s="7">
        <f t="shared" si="32"/>
        <v>0.10933750986287862</v>
      </c>
      <c r="K47" s="7">
        <f t="shared" ref="K47:N47" si="33">STDEV(K28:K43)</f>
        <v>0.20653458148711387</v>
      </c>
      <c r="L47" s="7">
        <f t="shared" si="33"/>
        <v>8.1737474660927692E-2</v>
      </c>
      <c r="M47" s="7">
        <f t="shared" si="33"/>
        <v>9.5242415114208806E-2</v>
      </c>
      <c r="N47" s="7" t="e">
        <f t="shared" si="33"/>
        <v>#DIV/0!</v>
      </c>
      <c r="O47" s="7">
        <f t="shared" ref="O47:R47" si="34">STDEV(O28:O43)</f>
        <v>0.35764457753082446</v>
      </c>
      <c r="P47" s="7">
        <f t="shared" si="34"/>
        <v>0.4720251918771759</v>
      </c>
      <c r="Q47" s="7">
        <f t="shared" si="34"/>
        <v>5.6661679178153374E-2</v>
      </c>
      <c r="R47" s="7">
        <f t="shared" si="34"/>
        <v>0.43446262505852323</v>
      </c>
      <c r="S47" s="7">
        <f t="shared" ref="S47:V47" si="35">STDEV(S28:S43)</f>
        <v>0.17931226531017627</v>
      </c>
      <c r="T47" s="7">
        <f t="shared" si="35"/>
        <v>0.13616474648227067</v>
      </c>
      <c r="U47" s="7">
        <f t="shared" si="35"/>
        <v>0.10781933681738816</v>
      </c>
      <c r="V47" s="7">
        <f t="shared" si="35"/>
        <v>0.11947379915082049</v>
      </c>
    </row>
    <row r="48" spans="1:22">
      <c r="A48" s="7" t="s">
        <v>2</v>
      </c>
      <c r="B48" s="7">
        <f t="shared" ref="B48:J48" si="36" xml:space="preserve"> B47/SQRT(COUNT(B28:B43))</f>
        <v>2.1540041922332592E-2</v>
      </c>
      <c r="C48" s="7">
        <f t="shared" si="36"/>
        <v>6.4486473507433167E-2</v>
      </c>
      <c r="D48" s="7">
        <f t="shared" si="36"/>
        <v>6.239208585818834E-2</v>
      </c>
      <c r="E48" s="7">
        <f t="shared" si="36"/>
        <v>0.16521040236489806</v>
      </c>
      <c r="F48" s="7">
        <f t="shared" si="36"/>
        <v>0.11496758312757682</v>
      </c>
      <c r="G48" s="7">
        <f t="shared" si="36"/>
        <v>0.17276662044091054</v>
      </c>
      <c r="H48" s="7">
        <f t="shared" si="36"/>
        <v>0.31813667972427911</v>
      </c>
      <c r="I48" s="7">
        <f t="shared" si="36"/>
        <v>8.6989700510230847E-2</v>
      </c>
      <c r="J48" s="7">
        <f t="shared" si="36"/>
        <v>3.8656647331046241E-2</v>
      </c>
      <c r="K48" s="7">
        <f t="shared" ref="K48:N48" si="37" xml:space="preserve"> K47/SQRT(COUNT(K28:K43))</f>
        <v>7.8062734249958285E-2</v>
      </c>
      <c r="L48" s="7">
        <f t="shared" si="37"/>
        <v>2.8898561304902783E-2</v>
      </c>
      <c r="M48" s="7">
        <f t="shared" si="37"/>
        <v>3.3673278791920586E-2</v>
      </c>
      <c r="N48" s="7" t="e">
        <f t="shared" si="37"/>
        <v>#DIV/0!</v>
      </c>
      <c r="O48" s="7">
        <f t="shared" ref="O48:R48" si="38" xml:space="preserve"> O47/SQRT(COUNT(O28:O43))</f>
        <v>9.2343432842551365E-2</v>
      </c>
      <c r="P48" s="7">
        <f t="shared" si="38"/>
        <v>0.16688610703361614</v>
      </c>
      <c r="Q48" s="7">
        <f t="shared" si="38"/>
        <v>2.0032928790144424E-2</v>
      </c>
      <c r="R48" s="7">
        <f t="shared" si="38"/>
        <v>0.15360573417549511</v>
      </c>
      <c r="S48" s="7">
        <f t="shared" ref="S48:V48" si="39" xml:space="preserve"> S47/SQRT(COUNT(S28:S43))</f>
        <v>6.3396459375373485E-2</v>
      </c>
      <c r="T48" s="7">
        <f t="shared" si="39"/>
        <v>4.8141507798080338E-2</v>
      </c>
      <c r="U48" s="7">
        <f t="shared" si="39"/>
        <v>3.8119892103305776E-2</v>
      </c>
      <c r="V48" s="7">
        <f t="shared" si="39"/>
        <v>4.2240366776832371E-2</v>
      </c>
    </row>
    <row r="49" spans="1:22"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35" t="s">
        <v>24</v>
      </c>
      <c r="B50" s="136"/>
      <c r="C50" s="136"/>
      <c r="D50" s="136"/>
      <c r="E50" s="136"/>
      <c r="F50" s="136"/>
      <c r="G50" s="136"/>
      <c r="H50" s="136"/>
      <c r="I50" s="136"/>
      <c r="J50" s="136"/>
      <c r="K50" s="136"/>
      <c r="L50" s="136"/>
      <c r="M50" s="136"/>
      <c r="N50" s="136"/>
      <c r="O50" s="136"/>
      <c r="P50" s="136"/>
      <c r="Q50" s="136"/>
      <c r="R50" s="136"/>
      <c r="S50" s="136"/>
      <c r="T50" s="136"/>
      <c r="U50" s="136"/>
      <c r="V50" s="136"/>
    </row>
    <row r="51" spans="1:22" customFormat="1" ht="15.75" thickBot="1"/>
    <row r="52" spans="1:22">
      <c r="A52" s="28" t="str">
        <f t="shared" ref="A52:H52" si="40">A27</f>
        <v>Noms des groupes</v>
      </c>
      <c r="B52" s="29" t="str">
        <f t="shared" si="40"/>
        <v>Solvent control</v>
      </c>
      <c r="C52" s="29" t="str">
        <f t="shared" si="40"/>
        <v>EE2-33.8ng/L</v>
      </c>
      <c r="D52" s="29" t="str">
        <f t="shared" si="40"/>
        <v>EE2-50.6ng/L</v>
      </c>
      <c r="E52" s="29" t="str">
        <f t="shared" si="40"/>
        <v>EE2-76ng/L</v>
      </c>
      <c r="F52" s="29" t="str">
        <f t="shared" si="40"/>
        <v>EE2-114ng/L</v>
      </c>
      <c r="G52" s="29" t="str">
        <f t="shared" si="40"/>
        <v>EE2-170.9ng/L</v>
      </c>
      <c r="H52" s="29" t="str">
        <f t="shared" si="40"/>
        <v>EE2-488ng/L</v>
      </c>
      <c r="I52" s="29" t="str">
        <f>I4</f>
        <v>prochroraz-0.063mg/L</v>
      </c>
      <c r="J52" s="29" t="str">
        <f>J4</f>
        <v>prochroraz-0.13mg/L</v>
      </c>
      <c r="K52" s="29" t="str">
        <f t="shared" ref="K52:N52" si="41">K4</f>
        <v>prochroraz-0.25mg/L</v>
      </c>
      <c r="L52" s="29" t="str">
        <f t="shared" si="41"/>
        <v>prochroraz-0.5mg/L</v>
      </c>
      <c r="M52" s="29" t="str">
        <f t="shared" si="41"/>
        <v>prochroraz-1mg/L</v>
      </c>
      <c r="N52" s="29" t="str">
        <f t="shared" si="41"/>
        <v/>
      </c>
      <c r="O52" s="29" t="str">
        <f>O27</f>
        <v>Testo -30µg/L</v>
      </c>
      <c r="P52" s="29" t="str">
        <f>P27</f>
        <v>Testo 30µg/L + EE2 -64ng/L</v>
      </c>
      <c r="Q52" s="29" t="str">
        <f>Q27</f>
        <v>Testo 30µg/L + FAD-10mg/L</v>
      </c>
      <c r="R52" s="29" t="str">
        <f>R27</f>
        <v>prochroraz-0.063mg/L + Testostérone</v>
      </c>
      <c r="S52" s="29" t="str">
        <f t="shared" ref="S52:V52" si="42">S27</f>
        <v>prochroraz-0.13mg/L + Testostérone</v>
      </c>
      <c r="T52" s="29" t="str">
        <f t="shared" si="42"/>
        <v>prochroraz-0.25mg/L + Testostérone</v>
      </c>
      <c r="U52" s="29" t="str">
        <f t="shared" si="42"/>
        <v>prochroraz-0.5mg/L + Testostérone</v>
      </c>
      <c r="V52" s="29" t="str">
        <f t="shared" si="42"/>
        <v>prochroraz-1mg/L + Testostérone</v>
      </c>
    </row>
    <row r="53" spans="1:22" s="3" customFormat="1">
      <c r="A53" s="43" t="s">
        <v>15</v>
      </c>
      <c r="B53" s="70">
        <f t="shared" ref="B53" si="43">B46</f>
        <v>6.5203173609967469E-2</v>
      </c>
      <c r="C53" s="70">
        <f t="shared" ref="C53:V53" si="44">C46</f>
        <v>0.29501221554749119</v>
      </c>
      <c r="D53" s="70">
        <f t="shared" si="44"/>
        <v>0.52328646701648029</v>
      </c>
      <c r="E53" s="70">
        <f t="shared" si="44"/>
        <v>0.94434749608959312</v>
      </c>
      <c r="F53" s="70">
        <f t="shared" si="44"/>
        <v>1.3856813236523615</v>
      </c>
      <c r="G53" s="70">
        <f t="shared" si="44"/>
        <v>2.3893560175689585</v>
      </c>
      <c r="H53" s="70">
        <f t="shared" si="44"/>
        <v>3.0665407917752394</v>
      </c>
      <c r="I53" s="70">
        <f t="shared" si="44"/>
        <v>0.31345647485172717</v>
      </c>
      <c r="J53" s="70">
        <f t="shared" si="44"/>
        <v>0.14517260907456839</v>
      </c>
      <c r="K53" s="70">
        <f t="shared" si="44"/>
        <v>0.19365130161612257</v>
      </c>
      <c r="L53" s="70">
        <f t="shared" si="44"/>
        <v>0.24521961826554659</v>
      </c>
      <c r="M53" s="70">
        <f t="shared" si="44"/>
        <v>0.16892632001604818</v>
      </c>
      <c r="N53" s="70" t="e">
        <f t="shared" si="44"/>
        <v>#DIV/0!</v>
      </c>
      <c r="O53" s="70">
        <f t="shared" si="44"/>
        <v>1</v>
      </c>
      <c r="P53" s="70">
        <f t="shared" si="44"/>
        <v>1.3532172529709128</v>
      </c>
      <c r="Q53" s="70">
        <f t="shared" si="44"/>
        <v>4.6632894830842916E-2</v>
      </c>
      <c r="R53" s="70">
        <f t="shared" si="44"/>
        <v>0.63333172022978212</v>
      </c>
      <c r="S53" s="70">
        <f t="shared" si="44"/>
        <v>0.27408707960988504</v>
      </c>
      <c r="T53" s="70">
        <f t="shared" si="44"/>
        <v>0.14329094193420511</v>
      </c>
      <c r="U53" s="70">
        <f t="shared" si="44"/>
        <v>0.1030339979987468</v>
      </c>
      <c r="V53" s="70">
        <f t="shared" si="44"/>
        <v>0.11673296457464827</v>
      </c>
    </row>
    <row r="54" spans="1:22" s="3" customFormat="1">
      <c r="A54" s="43" t="s">
        <v>2</v>
      </c>
      <c r="B54" s="70">
        <f t="shared" ref="B54" si="45">B48</f>
        <v>2.1540041922332592E-2</v>
      </c>
      <c r="C54" s="70">
        <f t="shared" ref="C54:V54" si="46">C48</f>
        <v>6.4486473507433167E-2</v>
      </c>
      <c r="D54" s="70">
        <f t="shared" si="46"/>
        <v>6.239208585818834E-2</v>
      </c>
      <c r="E54" s="70">
        <f t="shared" si="46"/>
        <v>0.16521040236489806</v>
      </c>
      <c r="F54" s="70">
        <f t="shared" si="46"/>
        <v>0.11496758312757682</v>
      </c>
      <c r="G54" s="70">
        <f t="shared" si="46"/>
        <v>0.17276662044091054</v>
      </c>
      <c r="H54" s="70">
        <f t="shared" si="46"/>
        <v>0.31813667972427911</v>
      </c>
      <c r="I54" s="70">
        <f t="shared" si="46"/>
        <v>8.6989700510230847E-2</v>
      </c>
      <c r="J54" s="70">
        <f t="shared" si="46"/>
        <v>3.8656647331046241E-2</v>
      </c>
      <c r="K54" s="70">
        <f t="shared" si="46"/>
        <v>7.8062734249958285E-2</v>
      </c>
      <c r="L54" s="70">
        <f t="shared" si="46"/>
        <v>2.8898561304902783E-2</v>
      </c>
      <c r="M54" s="70">
        <f t="shared" si="46"/>
        <v>3.3673278791920586E-2</v>
      </c>
      <c r="N54" s="70" t="e">
        <f t="shared" si="46"/>
        <v>#DIV/0!</v>
      </c>
      <c r="O54" s="70">
        <f t="shared" si="46"/>
        <v>9.2343432842551365E-2</v>
      </c>
      <c r="P54" s="70">
        <f t="shared" si="46"/>
        <v>0.16688610703361614</v>
      </c>
      <c r="Q54" s="70">
        <f t="shared" si="46"/>
        <v>2.0032928790144424E-2</v>
      </c>
      <c r="R54" s="70">
        <f t="shared" si="46"/>
        <v>0.15360573417549511</v>
      </c>
      <c r="S54" s="70">
        <f t="shared" si="46"/>
        <v>6.3396459375373485E-2</v>
      </c>
      <c r="T54" s="70">
        <f t="shared" si="46"/>
        <v>4.8141507798080338E-2</v>
      </c>
      <c r="U54" s="70">
        <f t="shared" si="46"/>
        <v>3.8119892103305776E-2</v>
      </c>
      <c r="V54" s="70">
        <f t="shared" si="46"/>
        <v>4.2240366776832371E-2</v>
      </c>
    </row>
    <row r="55" spans="1:22" s="3" customFormat="1">
      <c r="A55" s="43" t="s">
        <v>42</v>
      </c>
      <c r="B55" s="70">
        <f>(B53*100/$B53)-100</f>
        <v>0</v>
      </c>
      <c r="C55" s="70">
        <f t="shared" ref="C55:N55" si="47">(C53*100/$B53)-100</f>
        <v>352.45070019474224</v>
      </c>
      <c r="D55" s="70">
        <f t="shared" si="47"/>
        <v>702.54754185229808</v>
      </c>
      <c r="E55" s="70">
        <f t="shared" si="47"/>
        <v>1348.3152334554966</v>
      </c>
      <c r="F55" s="70">
        <f t="shared" si="47"/>
        <v>2025.1746608857325</v>
      </c>
      <c r="G55" s="70">
        <f t="shared" si="47"/>
        <v>3564.4781001943484</v>
      </c>
      <c r="H55" s="70">
        <f t="shared" si="47"/>
        <v>4603.0545017926306</v>
      </c>
      <c r="I55" s="70">
        <f t="shared" si="47"/>
        <v>380.73806457146088</v>
      </c>
      <c r="J55" s="70">
        <f t="shared" si="47"/>
        <v>122.64653856108649</v>
      </c>
      <c r="K55" s="70">
        <f t="shared" si="47"/>
        <v>196.99674248144191</v>
      </c>
      <c r="L55" s="70">
        <f t="shared" si="47"/>
        <v>276.08540303943181</v>
      </c>
      <c r="M55" s="70">
        <f t="shared" si="47"/>
        <v>159.07683731244759</v>
      </c>
      <c r="N55" s="70" t="e">
        <f t="shared" si="47"/>
        <v>#DIV/0!</v>
      </c>
      <c r="O55" s="70">
        <f>(O53*100/$O53)-100</f>
        <v>0</v>
      </c>
      <c r="P55" s="70">
        <f t="shared" ref="P55:V55" si="48">(P53*100/$O53)-100</f>
        <v>35.321725297091291</v>
      </c>
      <c r="Q55" s="70">
        <f t="shared" si="48"/>
        <v>-95.336710516915701</v>
      </c>
      <c r="R55" s="70">
        <f t="shared" si="48"/>
        <v>-36.666827977021789</v>
      </c>
      <c r="S55" s="70">
        <f t="shared" si="48"/>
        <v>-72.591292039011492</v>
      </c>
      <c r="T55" s="70">
        <f t="shared" si="48"/>
        <v>-85.670905806579484</v>
      </c>
      <c r="U55" s="70">
        <f t="shared" si="48"/>
        <v>-89.696600200125317</v>
      </c>
      <c r="V55" s="70">
        <f t="shared" si="48"/>
        <v>-88.326703542535171</v>
      </c>
    </row>
    <row r="56" spans="1:22" s="3" customFormat="1">
      <c r="A56" s="43" t="s">
        <v>43</v>
      </c>
      <c r="B56" s="70" t="e">
        <f ca="1">[1]!SWTEST(B28:B43)</f>
        <v>#NAME?</v>
      </c>
      <c r="C56" s="70" t="e">
        <f ca="1">[1]!SWTEST(C28:C43)</f>
        <v>#NAME?</v>
      </c>
      <c r="D56" s="70" t="e">
        <f ca="1">[1]!SWTEST(D28:D43)</f>
        <v>#NAME?</v>
      </c>
      <c r="E56" s="70" t="e">
        <f ca="1">[1]!SWTEST(E28:E43)</f>
        <v>#NAME?</v>
      </c>
      <c r="F56" s="70" t="e">
        <f ca="1">[1]!SWTEST(F28:F43)</f>
        <v>#NAME?</v>
      </c>
      <c r="G56" s="70" t="e">
        <f ca="1">[1]!SWTEST(G28:G43)</f>
        <v>#NAME?</v>
      </c>
      <c r="H56" s="70" t="e">
        <f ca="1">[1]!SWTEST(H28:H43)</f>
        <v>#NAME?</v>
      </c>
      <c r="I56" s="70" t="e">
        <f ca="1">[1]!SWTEST(I28:I43)</f>
        <v>#NAME?</v>
      </c>
      <c r="J56" s="70" t="e">
        <f ca="1">[1]!SWTEST(J28:J43)</f>
        <v>#NAME?</v>
      </c>
      <c r="K56" s="70" t="e">
        <f ca="1">[1]!SWTEST(K28:K43)</f>
        <v>#NAME?</v>
      </c>
      <c r="L56" s="70" t="e">
        <f ca="1">[1]!SWTEST(L28:L43)</f>
        <v>#NAME?</v>
      </c>
      <c r="M56" s="70" t="e">
        <f ca="1">[1]!SWTEST(M28:M43)</f>
        <v>#NAME?</v>
      </c>
      <c r="N56" s="70" t="e">
        <f ca="1">[1]!SWTEST(N28:N43)</f>
        <v>#NAME?</v>
      </c>
      <c r="O56" s="70" t="e">
        <f ca="1">[1]!SWTEST(O28:O43)</f>
        <v>#NAME?</v>
      </c>
      <c r="P56" s="70" t="e">
        <f ca="1">[1]!SWTEST(P28:P43)</f>
        <v>#NAME?</v>
      </c>
      <c r="Q56" s="70" t="e">
        <f ca="1">[1]!SWTEST(Q28:Q43)</f>
        <v>#NAME?</v>
      </c>
      <c r="R56" s="70" t="e">
        <f ca="1">[1]!SWTEST(R28:R43)</f>
        <v>#NAME?</v>
      </c>
      <c r="S56" s="70" t="e">
        <f ca="1">[1]!SWTEST(S28:S43)</f>
        <v>#NAME?</v>
      </c>
      <c r="T56" s="70" t="e">
        <f ca="1">[1]!SWTEST(T28:T43)</f>
        <v>#NAME?</v>
      </c>
      <c r="U56" s="70" t="e">
        <f ca="1">[1]!SWTEST(U28:U43)</f>
        <v>#NAME?</v>
      </c>
      <c r="V56" s="70" t="e">
        <f ca="1">[1]!SWTEST(V28:V43)</f>
        <v>#NAME?</v>
      </c>
    </row>
    <row r="57" spans="1:22" s="3" customFormat="1">
      <c r="A57" s="43" t="s">
        <v>47</v>
      </c>
      <c r="B57" s="70" t="e">
        <f ca="1">IF(B56&gt;0.05,"Oui","Non")</f>
        <v>#NAME?</v>
      </c>
      <c r="C57" s="70" t="e">
        <f t="shared" ref="C57:V57" ca="1" si="49">IF(C56&gt;0.05,"Oui","Non")</f>
        <v>#NAME?</v>
      </c>
      <c r="D57" s="70" t="e">
        <f t="shared" ca="1" si="49"/>
        <v>#NAME?</v>
      </c>
      <c r="E57" s="70" t="e">
        <f t="shared" ca="1" si="49"/>
        <v>#NAME?</v>
      </c>
      <c r="F57" s="70" t="e">
        <f t="shared" ca="1" si="49"/>
        <v>#NAME?</v>
      </c>
      <c r="G57" s="70" t="e">
        <f t="shared" ca="1" si="49"/>
        <v>#NAME?</v>
      </c>
      <c r="H57" s="70" t="e">
        <f t="shared" ca="1" si="49"/>
        <v>#NAME?</v>
      </c>
      <c r="I57" s="70" t="e">
        <f t="shared" ca="1" si="49"/>
        <v>#NAME?</v>
      </c>
      <c r="J57" s="70" t="e">
        <f t="shared" ca="1" si="49"/>
        <v>#NAME?</v>
      </c>
      <c r="K57" s="70" t="e">
        <f t="shared" ca="1" si="49"/>
        <v>#NAME?</v>
      </c>
      <c r="L57" s="70" t="e">
        <f t="shared" ca="1" si="49"/>
        <v>#NAME?</v>
      </c>
      <c r="M57" s="70" t="e">
        <f t="shared" ca="1" si="49"/>
        <v>#NAME?</v>
      </c>
      <c r="N57" s="70" t="e">
        <f t="shared" ca="1" si="49"/>
        <v>#NAME?</v>
      </c>
      <c r="O57" s="70" t="e">
        <f t="shared" ca="1" si="49"/>
        <v>#NAME?</v>
      </c>
      <c r="P57" s="70" t="e">
        <f t="shared" ca="1" si="49"/>
        <v>#NAME?</v>
      </c>
      <c r="Q57" s="70" t="e">
        <f t="shared" ca="1" si="49"/>
        <v>#NAME?</v>
      </c>
      <c r="R57" s="70" t="e">
        <f t="shared" ca="1" si="49"/>
        <v>#NAME?</v>
      </c>
      <c r="S57" s="70" t="e">
        <f t="shared" ca="1" si="49"/>
        <v>#NAME?</v>
      </c>
      <c r="T57" s="70" t="e">
        <f t="shared" ca="1" si="49"/>
        <v>#NAME?</v>
      </c>
      <c r="U57" s="70" t="e">
        <f t="shared" ca="1" si="49"/>
        <v>#NAME?</v>
      </c>
      <c r="V57" s="70" t="e">
        <f t="shared" ca="1" si="49"/>
        <v>#NAME?</v>
      </c>
    </row>
    <row r="58" spans="1:22" s="3" customFormat="1">
      <c r="A58" s="43"/>
      <c r="B58" s="70"/>
      <c r="C58" s="70"/>
      <c r="D58" s="70"/>
      <c r="E58" s="70"/>
      <c r="F58" s="70"/>
      <c r="G58" s="70"/>
      <c r="H58" s="70"/>
      <c r="I58" s="70"/>
      <c r="J58" s="70"/>
      <c r="K58" s="70"/>
      <c r="L58" s="70"/>
      <c r="M58" s="70"/>
      <c r="N58" s="70"/>
      <c r="O58" s="72"/>
      <c r="P58" s="70"/>
      <c r="Q58" s="70"/>
      <c r="R58" s="70"/>
      <c r="S58" s="70"/>
      <c r="T58" s="70"/>
      <c r="U58" s="70"/>
      <c r="V58" s="70"/>
    </row>
    <row r="59" spans="1:22" s="3" customFormat="1">
      <c r="A59" s="43" t="s">
        <v>44</v>
      </c>
      <c r="B59" s="73"/>
      <c r="C59" s="73" t="e">
        <f t="shared" ref="C59:O59" ca="1" si="50">IF($B57="Non",IF(C57="Non","MW",IF(C57="Oui","MW","")),IF($B57="Oui",IF(C57="Oui","T-Test Welch",IF(C57="Non","MW",""))))</f>
        <v>#NAME?</v>
      </c>
      <c r="D59" s="73" t="e">
        <f t="shared" ca="1" si="50"/>
        <v>#NAME?</v>
      </c>
      <c r="E59" s="73" t="e">
        <f t="shared" ca="1" si="50"/>
        <v>#NAME?</v>
      </c>
      <c r="F59" s="73" t="e">
        <f t="shared" ca="1" si="50"/>
        <v>#NAME?</v>
      </c>
      <c r="G59" s="73" t="e">
        <f t="shared" ca="1" si="50"/>
        <v>#NAME?</v>
      </c>
      <c r="H59" s="73" t="e">
        <f t="shared" ca="1" si="50"/>
        <v>#NAME?</v>
      </c>
      <c r="I59" s="73" t="e">
        <f t="shared" ca="1" si="50"/>
        <v>#NAME?</v>
      </c>
      <c r="J59" s="73" t="e">
        <f t="shared" ca="1" si="50"/>
        <v>#NAME?</v>
      </c>
      <c r="K59" s="73" t="e">
        <f t="shared" ca="1" si="50"/>
        <v>#NAME?</v>
      </c>
      <c r="L59" s="73" t="e">
        <f t="shared" ca="1" si="50"/>
        <v>#NAME?</v>
      </c>
      <c r="M59" s="73" t="e">
        <f t="shared" ca="1" si="50"/>
        <v>#NAME?</v>
      </c>
      <c r="N59" s="73" t="e">
        <f t="shared" ca="1" si="50"/>
        <v>#NAME?</v>
      </c>
      <c r="O59" s="73" t="e">
        <f t="shared" ca="1" si="50"/>
        <v>#NAME?</v>
      </c>
      <c r="P59" s="73" t="e">
        <f ca="1">IF($O57="Non",IF(P57="Non","MW",IF(P57="Oui","MW","")),IF($O57="Oui",IF(P57="Oui","T-Test Welch",IF(P57="Non","MW",""))))</f>
        <v>#NAME?</v>
      </c>
      <c r="Q59" s="73" t="e">
        <f t="shared" ref="Q59:V59" ca="1" si="51">IF($O57="Non",IF(Q57="Non","MW",IF(Q57="Oui","MW","")),IF($O57="Oui",IF(Q57="Oui","T-Test Welch",IF(Q57="Non","MW",""))))</f>
        <v>#NAME?</v>
      </c>
      <c r="R59" s="73" t="e">
        <f t="shared" ca="1" si="51"/>
        <v>#NAME?</v>
      </c>
      <c r="S59" s="73" t="e">
        <f t="shared" ca="1" si="51"/>
        <v>#NAME?</v>
      </c>
      <c r="T59" s="73" t="e">
        <f t="shared" ca="1" si="51"/>
        <v>#NAME?</v>
      </c>
      <c r="U59" s="73" t="e">
        <f t="shared" ca="1" si="51"/>
        <v>#NAME?</v>
      </c>
      <c r="V59" s="73" t="e">
        <f t="shared" ca="1" si="51"/>
        <v>#NAME?</v>
      </c>
    </row>
    <row r="60" spans="1:22" s="3" customFormat="1">
      <c r="A60" s="43" t="s">
        <v>45</v>
      </c>
      <c r="B60" s="74"/>
      <c r="C60" s="74" t="e">
        <f ca="1">IF(C59="MW",[1]!MTEST($B28:$B43,C28:C43,2), IF(C59="T-Test Welch",_xlfn.T.TEST($B28:$B43,C28:C43,2,3),""))</f>
        <v>#NAME?</v>
      </c>
      <c r="D60" s="74" t="e">
        <f ca="1">IF(D59="MW",[1]!MTEST($B28:$B43,D28:D43,2), IF(D59="T-Test Welch",_xlfn.T.TEST($B28:$B43,D28:D43,2,3),""))</f>
        <v>#NAME?</v>
      </c>
      <c r="E60" s="74" t="e">
        <f ca="1">IF(E59="MW",[1]!MTEST($B28:$B43,E28:E43,2), IF(E59="T-Test Welch",_xlfn.T.TEST($B28:$B43,E28:E43,2,3),""))</f>
        <v>#NAME?</v>
      </c>
      <c r="F60" s="74" t="e">
        <f ca="1">IF(F59="MW",[1]!MTEST($B28:$B43,F28:F43,2), IF(F59="T-Test Welch",_xlfn.T.TEST($B28:$B43,F28:F43,2,3),""))</f>
        <v>#NAME?</v>
      </c>
      <c r="G60" s="74" t="e">
        <f ca="1">IF(G59="MW",[1]!MTEST($B28:$B43,G28:G43,2), IF(G59="T-Test Welch",_xlfn.T.TEST($B28:$B43,G28:G43,2,3),""))</f>
        <v>#NAME?</v>
      </c>
      <c r="H60" s="74" t="e">
        <f ca="1">IF(H59="MW",[1]!MTEST($B28:$B43,H28:H43,2), IF(H59="T-Test Welch",_xlfn.T.TEST($B28:$B43,H28:H43,2,3),""))</f>
        <v>#NAME?</v>
      </c>
      <c r="I60" s="74" t="e">
        <f ca="1">IF(I59="MW",[1]!MTEST($B28:$B43,I28:I43,2), IF(I59="T-Test Welch",_xlfn.T.TEST($B28:$B43,I28:I43,2,3),""))</f>
        <v>#NAME?</v>
      </c>
      <c r="J60" s="74" t="e">
        <f ca="1">IF(J59="MW",[1]!MTEST($B28:$B43,J28:J43,2), IF(J59="T-Test Welch",_xlfn.T.TEST($B28:$B43,J28:J43,2,3),""))</f>
        <v>#NAME?</v>
      </c>
      <c r="K60" s="74" t="e">
        <f ca="1">IF(K59="MW",[1]!MTEST($B28:$B43,K28:K43,2), IF(K59="T-Test Welch",_xlfn.T.TEST($B28:$B43,K28:K43,2,3),""))</f>
        <v>#NAME?</v>
      </c>
      <c r="L60" s="74" t="e">
        <f ca="1">IF(L59="MW",[1]!MTEST($B28:$B43,L28:L43,2), IF(L59="T-Test Welch",_xlfn.T.TEST($B28:$B43,L28:L43,2,3),""))</f>
        <v>#NAME?</v>
      </c>
      <c r="M60" s="74" t="e">
        <f ca="1">IF(M59="MW",[1]!MTEST($B28:$B43,M28:M43,2), IF(M59="T-Test Welch",_xlfn.T.TEST($B28:$B43,M28:M43,2,3),""))</f>
        <v>#NAME?</v>
      </c>
      <c r="N60" s="74" t="e">
        <f ca="1">IF(N59="MW",[1]!MTEST($B28:$B43,N28:N43,2), IF(N59="T-Test Welch",_xlfn.T.TEST($B28:$B43,N28:N43,2,3),""))</f>
        <v>#NAME?</v>
      </c>
      <c r="O60" s="74" t="e">
        <f ca="1">IF(O59="MW",[1]!MTEST($B28:$B43,O28:O43,2), IF(O59="T-Test Welch",_xlfn.T.TEST($B28:$B43,O28:O43,2,3),""))</f>
        <v>#NAME?</v>
      </c>
      <c r="P60" s="74" t="e">
        <f ca="1">IF(P59="MW",[1]!MTEST($O28:$O43,P28:P43,2), IF(P59="T-Test Welch",_xlfn.T.TEST($O28:$O43,P28:P43,2,3),""))</f>
        <v>#NAME?</v>
      </c>
      <c r="Q60" s="74" t="e">
        <f ca="1">IF(Q59="MW",[1]!MTEST($O28:$O43,Q28:Q43,2), IF(Q59="T-Test Welch",_xlfn.T.TEST($O28:$O43,Q28:Q43,2,3),""))</f>
        <v>#NAME?</v>
      </c>
      <c r="R60" s="74" t="e">
        <f ca="1">IF(R59="MW",[1]!MTEST($O28:$O43,R28:R43,2), IF(R59="T-Test Welch",_xlfn.T.TEST($O28:$O43,R28:R43,2,3),""))</f>
        <v>#NAME?</v>
      </c>
      <c r="S60" s="74" t="e">
        <f ca="1">IF(S59="MW",[1]!MTEST($O28:$O43,S28:S43,2), IF(S59="T-Test Welch",_xlfn.T.TEST($O28:$O43,S28:S43,2,3),""))</f>
        <v>#NAME?</v>
      </c>
      <c r="T60" s="74" t="e">
        <f ca="1">IF(T59="MW",[1]!MTEST($O28:$O43,T28:T43,2), IF(T59="T-Test Welch",_xlfn.T.TEST($O28:$O43,T28:T43,2,3),""))</f>
        <v>#NAME?</v>
      </c>
      <c r="U60" s="74" t="e">
        <f ca="1">IF(U59="MW",[1]!MTEST($O28:$O43,U28:U43,2), IF(U59="T-Test Welch",_xlfn.T.TEST($O28:$O43,U28:U43,2,3),""))</f>
        <v>#NAME?</v>
      </c>
      <c r="V60" s="74" t="e">
        <f ca="1">IF(V59="MW",[1]!MTEST($O28:$O43,V28:V43,2), IF(V59="T-Test Welch",_xlfn.T.TEST($O28:$O43,V28:V43,2,3),""))</f>
        <v>#NAME?</v>
      </c>
    </row>
    <row r="61" spans="1:22" s="3" customFormat="1" ht="15.75" thickBot="1">
      <c r="A61" s="44" t="s">
        <v>46</v>
      </c>
      <c r="B61" s="71"/>
      <c r="C61" s="71" t="e">
        <f t="shared" ref="C61:O61" ca="1" si="52">IF(C60&gt;0.05,"NS",IF(C60&gt;0.01,"*",IF(C60&gt;0.001,"**","***")))</f>
        <v>#NAME?</v>
      </c>
      <c r="D61" s="71" t="e">
        <f t="shared" ca="1" si="52"/>
        <v>#NAME?</v>
      </c>
      <c r="E61" s="71" t="e">
        <f t="shared" ca="1" si="52"/>
        <v>#NAME?</v>
      </c>
      <c r="F61" s="71" t="e">
        <f t="shared" ca="1" si="52"/>
        <v>#NAME?</v>
      </c>
      <c r="G61" s="71" t="e">
        <f t="shared" ca="1" si="52"/>
        <v>#NAME?</v>
      </c>
      <c r="H61" s="71" t="e">
        <f t="shared" ca="1" si="52"/>
        <v>#NAME?</v>
      </c>
      <c r="I61" s="71" t="e">
        <f t="shared" ca="1" si="52"/>
        <v>#NAME?</v>
      </c>
      <c r="J61" s="71" t="e">
        <f t="shared" ca="1" si="52"/>
        <v>#NAME?</v>
      </c>
      <c r="K61" s="71" t="e">
        <f t="shared" ca="1" si="52"/>
        <v>#NAME?</v>
      </c>
      <c r="L61" s="71" t="e">
        <f t="shared" ca="1" si="52"/>
        <v>#NAME?</v>
      </c>
      <c r="M61" s="71" t="e">
        <f t="shared" ca="1" si="52"/>
        <v>#NAME?</v>
      </c>
      <c r="N61" s="71" t="e">
        <f t="shared" ca="1" si="52"/>
        <v>#NAME?</v>
      </c>
      <c r="O61" s="71" t="e">
        <f t="shared" ca="1" si="52"/>
        <v>#NAME?</v>
      </c>
      <c r="P61" s="71" t="e">
        <f ca="1">IF(P60&gt;0.05,"NS",IF(P60&gt;0.01,"*",IF(P60&gt;0.001,"**","***")))</f>
        <v>#NAME?</v>
      </c>
      <c r="Q61" s="71" t="e">
        <f t="shared" ref="Q61:V61" ca="1" si="53">IF(Q60&gt;0.05,"NS",IF(Q60&gt;0.01,"*",IF(Q60&gt;0.001,"**","***")))</f>
        <v>#NAME?</v>
      </c>
      <c r="R61" s="71" t="e">
        <f t="shared" ca="1" si="53"/>
        <v>#NAME?</v>
      </c>
      <c r="S61" s="71" t="e">
        <f t="shared" ca="1" si="53"/>
        <v>#NAME?</v>
      </c>
      <c r="T61" s="71" t="e">
        <f t="shared" ca="1" si="53"/>
        <v>#NAME?</v>
      </c>
      <c r="U61" s="71" t="e">
        <f t="shared" ca="1" si="53"/>
        <v>#NAME?</v>
      </c>
      <c r="V61" s="71" t="e">
        <f t="shared" ca="1" si="53"/>
        <v>#NAME?</v>
      </c>
    </row>
    <row r="63" spans="1:22">
      <c r="A63" s="2" t="s">
        <v>20</v>
      </c>
    </row>
    <row r="64" spans="1:22">
      <c r="A64" s="1" t="s">
        <v>13</v>
      </c>
      <c r="B64" s="1">
        <f>B46+(3*B47)</f>
        <v>0.2479764901338542</v>
      </c>
    </row>
    <row r="65" spans="1:22">
      <c r="A65" s="1" t="s">
        <v>14</v>
      </c>
      <c r="B65" s="1">
        <f>B46+(10*B47)</f>
        <v>0.67444756202292311</v>
      </c>
    </row>
    <row r="66" spans="1:22" ht="15.75" thickBot="1"/>
    <row r="67" spans="1:22" ht="27" thickBot="1">
      <c r="A67" s="135" t="s">
        <v>25</v>
      </c>
      <c r="B67" s="136"/>
      <c r="C67" s="136"/>
      <c r="D67" s="136"/>
      <c r="E67" s="136"/>
      <c r="F67" s="136"/>
      <c r="G67" s="136"/>
      <c r="H67" s="136"/>
      <c r="I67" s="136"/>
      <c r="J67" s="136"/>
      <c r="K67" s="136"/>
      <c r="L67" s="136"/>
      <c r="M67" s="136"/>
      <c r="N67" s="136"/>
      <c r="O67" s="136"/>
      <c r="P67" s="136"/>
      <c r="Q67" s="136"/>
      <c r="R67" s="136"/>
      <c r="S67" s="136"/>
      <c r="T67" s="136"/>
      <c r="U67" s="136"/>
      <c r="V67" s="136"/>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N3"/>
    <mergeCell ref="O3:V3"/>
    <mergeCell ref="B26:N26"/>
    <mergeCell ref="O26:V26"/>
    <mergeCell ref="A28:A43"/>
    <mergeCell ref="A50:V50"/>
  </mergeCells>
  <phoneticPr fontId="12"/>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L7" zoomScale="70" zoomScaleNormal="70" zoomScaleSheetLayoutView="40" zoomScalePageLayoutView="30" workbookViewId="0">
      <selection activeCell="O7" sqref="O1:O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style="1" customWidth="1"/>
    <col min="16" max="22" width="25.85546875" style="1" customWidth="1"/>
    <col min="23" max="16384" width="9.140625" style="1"/>
  </cols>
  <sheetData>
    <row r="1" spans="1:22" ht="60" customHeight="1" thickBot="1">
      <c r="A1" s="145" t="s">
        <v>68</v>
      </c>
      <c r="B1" s="134"/>
      <c r="C1" s="134"/>
      <c r="D1" s="134"/>
      <c r="E1" s="134"/>
      <c r="F1" s="134"/>
      <c r="G1" s="134"/>
      <c r="H1" s="134"/>
      <c r="I1" s="134"/>
      <c r="J1" s="134"/>
      <c r="K1" s="134"/>
      <c r="L1" s="134"/>
      <c r="M1" s="134"/>
      <c r="N1" s="134"/>
      <c r="O1" s="134"/>
      <c r="P1" s="134"/>
      <c r="Q1" s="134"/>
      <c r="R1" s="134"/>
      <c r="S1" s="134"/>
      <c r="T1" s="134"/>
      <c r="U1" s="134"/>
      <c r="V1" s="134"/>
    </row>
    <row r="2" spans="1:22" ht="15.75" thickBot="1"/>
    <row r="3" spans="1:22" ht="15.75" thickBot="1">
      <c r="A3" s="75" t="s">
        <v>12</v>
      </c>
      <c r="B3" s="141" t="s">
        <v>6</v>
      </c>
      <c r="C3" s="142"/>
      <c r="D3" s="142"/>
      <c r="E3" s="142"/>
      <c r="F3" s="142"/>
      <c r="G3" s="142"/>
      <c r="H3" s="142"/>
      <c r="I3" s="142"/>
      <c r="J3" s="142"/>
      <c r="K3" s="142"/>
      <c r="L3" s="142"/>
      <c r="M3" s="142"/>
      <c r="N3" s="142"/>
      <c r="O3" s="141" t="s">
        <v>3</v>
      </c>
      <c r="P3" s="142"/>
      <c r="Q3" s="142"/>
      <c r="R3" s="142"/>
      <c r="S3" s="142"/>
      <c r="T3" s="142"/>
      <c r="U3" s="142"/>
      <c r="V3" s="142"/>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prochroraz-0.063mg/L</v>
      </c>
      <c r="J4" s="19" t="str">
        <f>'Front page'!A15</f>
        <v>prochroraz-0.13mg/L</v>
      </c>
      <c r="K4" s="19" t="str">
        <f>'Front page'!A16</f>
        <v>prochroraz-0.25mg/L</v>
      </c>
      <c r="L4" s="19" t="str">
        <f>'Front page'!A17</f>
        <v>prochroraz-0.5mg/L</v>
      </c>
      <c r="M4" s="19" t="str">
        <f>'Front page'!A18</f>
        <v>prochroraz-1mg/L</v>
      </c>
      <c r="N4" s="19" t="str">
        <f>'Front page'!A19</f>
        <v/>
      </c>
      <c r="O4" s="20" t="str">
        <f>'Front page'!A20</f>
        <v>Testo -30µg/L</v>
      </c>
      <c r="P4" s="20" t="str">
        <f>'Front page'!A21</f>
        <v>Testo 30µg/L + EE2 -64ng/L</v>
      </c>
      <c r="Q4" s="20" t="str">
        <f>'Front page'!A22</f>
        <v>Testo 30µg/L + FAD-10mg/L</v>
      </c>
      <c r="R4" s="20" t="str">
        <f>'Front page'!A23</f>
        <v>prochroraz-0.063mg/L + Testostérone</v>
      </c>
      <c r="S4" s="20" t="str">
        <f>'Front page'!A24</f>
        <v>prochroraz-0.13mg/L + Testostérone</v>
      </c>
      <c r="T4" s="20" t="str">
        <f>'Front page'!A25</f>
        <v>prochroraz-0.25mg/L + Testostérone</v>
      </c>
      <c r="U4" s="20" t="str">
        <f>'Front page'!A26</f>
        <v>prochroraz-0.5mg/L + Testostérone</v>
      </c>
      <c r="V4" s="20" t="str">
        <f>'Front page'!A27</f>
        <v>prochroraz-1mg/L + Testostérone</v>
      </c>
    </row>
    <row r="5" spans="1:22">
      <c r="A5" s="144" t="s">
        <v>69</v>
      </c>
      <c r="B5" s="73">
        <v>3026040</v>
      </c>
      <c r="C5" s="73">
        <v>2518455</v>
      </c>
      <c r="D5" s="73">
        <v>3565074</v>
      </c>
      <c r="E5" s="73">
        <v>5110102</v>
      </c>
      <c r="F5" s="73">
        <v>3444469</v>
      </c>
      <c r="G5" s="73">
        <v>4517604</v>
      </c>
      <c r="H5" s="73">
        <v>20922547</v>
      </c>
      <c r="I5" s="16">
        <v>1309826</v>
      </c>
      <c r="J5" s="16">
        <v>727577</v>
      </c>
      <c r="K5" s="12">
        <v>371802</v>
      </c>
      <c r="L5" s="12">
        <v>2840494</v>
      </c>
      <c r="M5" s="12">
        <v>349067</v>
      </c>
      <c r="N5" s="12"/>
      <c r="O5" s="106">
        <v>8732314</v>
      </c>
      <c r="P5" s="105">
        <v>21674103</v>
      </c>
      <c r="Q5" s="105">
        <v>1012708</v>
      </c>
      <c r="R5" s="73">
        <v>9278632</v>
      </c>
      <c r="S5" s="73">
        <v>5497101</v>
      </c>
      <c r="T5" s="73">
        <v>1324619</v>
      </c>
      <c r="U5" s="73">
        <v>5136757</v>
      </c>
      <c r="V5" s="73">
        <v>992380</v>
      </c>
    </row>
    <row r="6" spans="1:22" ht="16.5">
      <c r="A6" s="143"/>
      <c r="B6" s="104">
        <v>2074639</v>
      </c>
      <c r="C6" s="105">
        <v>1168594</v>
      </c>
      <c r="D6" s="73">
        <v>188937</v>
      </c>
      <c r="E6" s="73">
        <v>4054025</v>
      </c>
      <c r="F6" s="73">
        <v>12671692</v>
      </c>
      <c r="G6" s="73">
        <v>8312458</v>
      </c>
      <c r="H6" s="73">
        <v>11539269</v>
      </c>
      <c r="I6" s="16">
        <v>2851975</v>
      </c>
      <c r="J6" s="16">
        <v>862169</v>
      </c>
      <c r="K6" s="12">
        <v>891497</v>
      </c>
      <c r="L6" s="12">
        <v>1427772</v>
      </c>
      <c r="M6" s="12">
        <v>1554897</v>
      </c>
      <c r="N6" s="12"/>
      <c r="O6" s="106">
        <v>11438933</v>
      </c>
      <c r="P6" s="105">
        <v>13765842</v>
      </c>
      <c r="Q6" s="105">
        <v>267799</v>
      </c>
      <c r="R6" s="73">
        <v>1670801</v>
      </c>
      <c r="S6" s="73">
        <v>10088863</v>
      </c>
      <c r="T6" s="73">
        <v>3569666</v>
      </c>
      <c r="U6" s="73">
        <v>5291010</v>
      </c>
      <c r="V6" s="73">
        <v>1063115</v>
      </c>
    </row>
    <row r="7" spans="1:22" ht="16.5">
      <c r="A7" s="143"/>
      <c r="B7" s="104">
        <v>1975848</v>
      </c>
      <c r="C7" s="105">
        <v>2326954</v>
      </c>
      <c r="D7" s="73">
        <v>4190641</v>
      </c>
      <c r="E7" s="73">
        <v>9048505</v>
      </c>
      <c r="F7" s="73">
        <v>14925285</v>
      </c>
      <c r="G7" s="73">
        <v>9755567</v>
      </c>
      <c r="H7" s="73">
        <v>16370511</v>
      </c>
      <c r="I7" s="16">
        <v>356332</v>
      </c>
      <c r="J7" s="16">
        <v>2046933</v>
      </c>
      <c r="K7" s="12">
        <v>50224</v>
      </c>
      <c r="L7" s="12">
        <v>75266</v>
      </c>
      <c r="M7" s="12">
        <v>0</v>
      </c>
      <c r="N7" s="12"/>
      <c r="O7" s="106">
        <v>7849967</v>
      </c>
      <c r="P7" s="105">
        <v>11518090</v>
      </c>
      <c r="Q7" s="105">
        <v>291154</v>
      </c>
      <c r="R7" s="73">
        <v>10521577</v>
      </c>
      <c r="S7" s="73">
        <v>181174</v>
      </c>
      <c r="T7" s="73">
        <v>5508802</v>
      </c>
      <c r="U7" s="73">
        <v>1653673</v>
      </c>
      <c r="V7" s="73">
        <v>4253647</v>
      </c>
    </row>
    <row r="8" spans="1:22" ht="16.5">
      <c r="A8" s="143"/>
      <c r="B8" s="104">
        <v>2727175</v>
      </c>
      <c r="C8" s="105">
        <v>426671</v>
      </c>
      <c r="D8" s="73">
        <v>3966158</v>
      </c>
      <c r="E8" s="73">
        <v>6425562</v>
      </c>
      <c r="F8" s="73">
        <v>8356036</v>
      </c>
      <c r="G8" s="73">
        <v>11786396</v>
      </c>
      <c r="H8" s="73">
        <v>22006465</v>
      </c>
      <c r="I8" s="16">
        <v>1292586</v>
      </c>
      <c r="J8" s="16">
        <v>37411</v>
      </c>
      <c r="K8" s="12">
        <v>241492</v>
      </c>
      <c r="L8" s="12">
        <v>385338</v>
      </c>
      <c r="M8" s="12">
        <v>2062392</v>
      </c>
      <c r="N8" s="12"/>
      <c r="O8" s="106">
        <v>11094555</v>
      </c>
      <c r="P8" s="105">
        <v>8447245</v>
      </c>
      <c r="Q8" s="105">
        <v>384779</v>
      </c>
      <c r="R8" s="73">
        <v>4035251</v>
      </c>
      <c r="S8" s="73">
        <v>4729583</v>
      </c>
      <c r="T8" s="73">
        <v>4029999</v>
      </c>
      <c r="U8" s="73">
        <v>480970</v>
      </c>
      <c r="V8" s="73">
        <v>20191</v>
      </c>
    </row>
    <row r="9" spans="1:22" ht="16.5">
      <c r="A9" s="143"/>
      <c r="B9" s="104">
        <v>61466</v>
      </c>
      <c r="C9" s="105">
        <v>156461</v>
      </c>
      <c r="D9" s="73">
        <v>3118301</v>
      </c>
      <c r="E9" s="73">
        <v>10487473</v>
      </c>
      <c r="F9" s="73">
        <v>11759596</v>
      </c>
      <c r="G9" s="73">
        <v>12068832</v>
      </c>
      <c r="H9" s="73">
        <v>15352564</v>
      </c>
      <c r="I9" s="16">
        <v>1262545</v>
      </c>
      <c r="J9" s="16">
        <v>907560</v>
      </c>
      <c r="K9" s="12">
        <v>92373</v>
      </c>
      <c r="L9" s="12">
        <v>0</v>
      </c>
      <c r="M9" s="12">
        <v>34635</v>
      </c>
      <c r="N9" s="12"/>
      <c r="O9" s="106">
        <v>6391847</v>
      </c>
      <c r="P9" s="105">
        <v>12001693</v>
      </c>
      <c r="Q9" s="105">
        <v>1686947</v>
      </c>
      <c r="R9" s="73">
        <v>2353030</v>
      </c>
      <c r="S9" s="73">
        <v>5139179</v>
      </c>
      <c r="T9" s="73">
        <v>558464</v>
      </c>
      <c r="U9" s="73">
        <v>7092985</v>
      </c>
      <c r="V9" s="73">
        <v>3755785</v>
      </c>
    </row>
    <row r="10" spans="1:22" ht="16.5">
      <c r="A10" s="143"/>
      <c r="B10" s="104">
        <v>405157</v>
      </c>
      <c r="C10" s="105">
        <v>1448556</v>
      </c>
      <c r="D10" s="73">
        <v>1489876</v>
      </c>
      <c r="E10" s="73">
        <v>4463628</v>
      </c>
      <c r="F10" s="73">
        <v>13387975</v>
      </c>
      <c r="G10" s="73">
        <v>17797308</v>
      </c>
      <c r="H10" s="73">
        <v>26142568</v>
      </c>
      <c r="I10" s="16">
        <v>126018</v>
      </c>
      <c r="J10" s="16">
        <v>364804</v>
      </c>
      <c r="K10" s="12">
        <v>3403992</v>
      </c>
      <c r="L10" s="12">
        <v>2387500</v>
      </c>
      <c r="M10" s="12">
        <v>228891</v>
      </c>
      <c r="N10" s="12"/>
      <c r="O10" s="106">
        <v>6138791</v>
      </c>
      <c r="P10" s="105">
        <v>14806021</v>
      </c>
      <c r="Q10" s="105">
        <v>45728</v>
      </c>
      <c r="R10" s="73">
        <v>1484109</v>
      </c>
      <c r="S10" s="73">
        <v>1593353</v>
      </c>
      <c r="T10" s="73">
        <v>7659916</v>
      </c>
      <c r="U10" s="73">
        <v>1720635</v>
      </c>
      <c r="V10" s="73">
        <v>441729</v>
      </c>
    </row>
    <row r="11" spans="1:22" ht="16.5">
      <c r="A11" s="143"/>
      <c r="B11" s="104">
        <v>1290150</v>
      </c>
      <c r="C11" s="105">
        <v>3358644</v>
      </c>
      <c r="D11" s="73">
        <v>1502246</v>
      </c>
      <c r="E11" s="73">
        <v>9082441</v>
      </c>
      <c r="F11" s="73">
        <v>9925562</v>
      </c>
      <c r="G11" s="73">
        <v>11221395</v>
      </c>
      <c r="H11" s="73">
        <v>10081854</v>
      </c>
      <c r="I11" s="16">
        <v>2579893</v>
      </c>
      <c r="J11" s="16">
        <v>2680656</v>
      </c>
      <c r="K11" s="12">
        <v>1745430</v>
      </c>
      <c r="L11" s="12">
        <v>97330</v>
      </c>
      <c r="M11" s="12">
        <v>1411604</v>
      </c>
      <c r="N11" s="12"/>
      <c r="O11" s="106">
        <v>7685934</v>
      </c>
      <c r="P11" s="105">
        <v>9367560</v>
      </c>
      <c r="Q11" s="105">
        <v>75069</v>
      </c>
      <c r="R11" s="73">
        <v>4420751</v>
      </c>
      <c r="S11" s="73">
        <v>3397481</v>
      </c>
      <c r="T11" s="73">
        <v>7897604</v>
      </c>
      <c r="U11" s="73">
        <v>1575690</v>
      </c>
      <c r="V11" s="73">
        <v>3620180</v>
      </c>
    </row>
    <row r="12" spans="1:22" ht="16.5">
      <c r="A12" s="143"/>
      <c r="B12" s="104">
        <v>2071667</v>
      </c>
      <c r="C12" s="105"/>
      <c r="D12" s="73">
        <v>4521456</v>
      </c>
      <c r="E12" s="73">
        <v>9034794</v>
      </c>
      <c r="F12" s="73">
        <v>8244993</v>
      </c>
      <c r="G12" s="73">
        <v>3665768</v>
      </c>
      <c r="H12" s="73">
        <v>13967907</v>
      </c>
      <c r="I12" s="16">
        <v>34237</v>
      </c>
      <c r="J12" s="16">
        <v>210420</v>
      </c>
      <c r="K12" s="12">
        <v>4617025</v>
      </c>
      <c r="L12" s="12">
        <v>1689536</v>
      </c>
      <c r="M12" s="12">
        <v>1511366</v>
      </c>
      <c r="N12" s="12"/>
      <c r="O12" s="106">
        <v>7381282</v>
      </c>
      <c r="P12" s="105">
        <v>9468124</v>
      </c>
      <c r="Q12" s="105">
        <v>493570</v>
      </c>
      <c r="R12" s="73">
        <v>3322881</v>
      </c>
      <c r="S12" s="73">
        <v>5173314</v>
      </c>
      <c r="T12" s="73">
        <v>1552336</v>
      </c>
      <c r="U12" s="73">
        <v>1856904</v>
      </c>
      <c r="V12" s="73">
        <v>5726129</v>
      </c>
    </row>
    <row r="13" spans="1:22" ht="16.5">
      <c r="A13" s="143"/>
      <c r="B13" s="13"/>
      <c r="C13" s="12"/>
      <c r="D13" s="16"/>
      <c r="E13" s="16"/>
      <c r="F13" s="16"/>
      <c r="G13" s="16"/>
      <c r="H13" s="16"/>
      <c r="I13" s="16"/>
      <c r="J13" s="16"/>
      <c r="K13" s="12"/>
      <c r="L13" s="12"/>
      <c r="M13" s="12"/>
      <c r="N13" s="12"/>
      <c r="O13" s="106">
        <v>11920238</v>
      </c>
      <c r="P13" s="107"/>
      <c r="Q13" s="107"/>
      <c r="R13" s="108"/>
      <c r="S13" s="108"/>
      <c r="T13" s="108"/>
      <c r="U13" s="108"/>
      <c r="V13" s="108"/>
    </row>
    <row r="14" spans="1:22" ht="16.5">
      <c r="A14" s="143"/>
      <c r="B14" s="13"/>
      <c r="C14" s="16"/>
      <c r="D14" s="16"/>
      <c r="E14" s="16"/>
      <c r="F14" s="16"/>
      <c r="G14" s="16"/>
      <c r="H14" s="16"/>
      <c r="I14" s="16"/>
      <c r="J14" s="16"/>
      <c r="K14" s="12"/>
      <c r="L14" s="12"/>
      <c r="M14" s="12"/>
      <c r="N14" s="12"/>
      <c r="O14" s="106">
        <v>6406819</v>
      </c>
      <c r="P14" s="12"/>
      <c r="Q14" s="12"/>
      <c r="R14" s="16"/>
      <c r="S14" s="16"/>
      <c r="T14" s="16"/>
      <c r="U14" s="16"/>
      <c r="V14" s="16"/>
    </row>
    <row r="15" spans="1:22" ht="16.5">
      <c r="A15" s="143"/>
      <c r="B15" s="13"/>
      <c r="C15" s="16"/>
      <c r="D15" s="16"/>
      <c r="E15" s="16"/>
      <c r="F15" s="16"/>
      <c r="G15" s="16"/>
      <c r="H15" s="16"/>
      <c r="I15" s="16"/>
      <c r="J15" s="16"/>
      <c r="K15" s="12"/>
      <c r="L15" s="12"/>
      <c r="M15" s="12"/>
      <c r="N15" s="12"/>
      <c r="O15" s="106">
        <v>11578464</v>
      </c>
      <c r="P15" s="12"/>
      <c r="Q15" s="12"/>
      <c r="R15" s="16"/>
      <c r="S15" s="16"/>
      <c r="T15" s="16"/>
      <c r="U15" s="16"/>
      <c r="V15" s="16"/>
    </row>
    <row r="16" spans="1:22" ht="16.5">
      <c r="A16" s="143"/>
      <c r="B16" s="13"/>
      <c r="C16" s="16"/>
      <c r="D16" s="16"/>
      <c r="E16" s="16"/>
      <c r="F16" s="16"/>
      <c r="G16" s="16"/>
      <c r="H16" s="16"/>
      <c r="I16" s="16"/>
      <c r="J16" s="16"/>
      <c r="K16" s="12"/>
      <c r="L16" s="12"/>
      <c r="M16" s="12"/>
      <c r="N16" s="12"/>
      <c r="O16" s="106">
        <v>5960765</v>
      </c>
      <c r="P16" s="12"/>
      <c r="Q16" s="12"/>
      <c r="R16" s="16"/>
      <c r="S16" s="16"/>
      <c r="T16" s="16"/>
      <c r="U16" s="16"/>
      <c r="V16" s="16"/>
    </row>
    <row r="17" spans="1:22" ht="16.5">
      <c r="A17" s="143"/>
      <c r="B17" s="13"/>
      <c r="C17" s="16"/>
      <c r="D17" s="16"/>
      <c r="E17" s="16"/>
      <c r="F17" s="16"/>
      <c r="G17" s="16"/>
      <c r="H17" s="16"/>
      <c r="I17" s="16"/>
      <c r="J17" s="16"/>
      <c r="K17" s="12"/>
      <c r="L17" s="12"/>
      <c r="M17" s="12"/>
      <c r="N17" s="12"/>
      <c r="O17" s="106">
        <v>8254324</v>
      </c>
      <c r="P17" s="12"/>
      <c r="Q17" s="12"/>
      <c r="R17" s="16"/>
      <c r="S17" s="16"/>
      <c r="T17" s="16"/>
      <c r="U17" s="16"/>
      <c r="V17" s="16"/>
    </row>
    <row r="18" spans="1:22" ht="16.5">
      <c r="A18" s="143"/>
      <c r="B18" s="13"/>
      <c r="C18" s="16"/>
      <c r="D18" s="16"/>
      <c r="E18" s="16"/>
      <c r="F18" s="16"/>
      <c r="G18" s="16"/>
      <c r="H18" s="16"/>
      <c r="I18" s="16"/>
      <c r="J18" s="16"/>
      <c r="K18" s="12"/>
      <c r="L18" s="12"/>
      <c r="M18" s="12"/>
      <c r="N18" s="12"/>
      <c r="O18" s="106">
        <v>10304553</v>
      </c>
      <c r="P18" s="12"/>
      <c r="Q18" s="12"/>
      <c r="R18" s="16"/>
      <c r="S18" s="16"/>
      <c r="T18" s="16"/>
      <c r="U18" s="16"/>
      <c r="V18" s="16"/>
    </row>
    <row r="19" spans="1:22" ht="16.5">
      <c r="A19" s="143"/>
      <c r="B19" s="13"/>
      <c r="C19" s="16"/>
      <c r="D19" s="16"/>
      <c r="E19" s="16"/>
      <c r="F19" s="16"/>
      <c r="G19" s="16"/>
      <c r="H19" s="16"/>
      <c r="I19" s="16"/>
      <c r="J19" s="16"/>
      <c r="K19" s="12"/>
      <c r="L19" s="12"/>
      <c r="M19" s="12"/>
      <c r="N19" s="12"/>
      <c r="O19" s="106">
        <v>12362767</v>
      </c>
      <c r="P19" s="12"/>
      <c r="Q19" s="12"/>
      <c r="R19" s="16"/>
      <c r="S19" s="16"/>
      <c r="T19" s="16"/>
      <c r="U19" s="16"/>
      <c r="V19" s="16"/>
    </row>
    <row r="20" spans="1:22" ht="16.5">
      <c r="A20" s="143"/>
      <c r="B20" s="13"/>
      <c r="C20" s="16"/>
      <c r="D20" s="16"/>
      <c r="E20" s="16"/>
      <c r="F20" s="16"/>
      <c r="G20" s="16"/>
      <c r="H20" s="16"/>
      <c r="I20" s="16"/>
      <c r="J20" s="16"/>
      <c r="K20" s="12"/>
      <c r="L20" s="12"/>
      <c r="M20" s="12"/>
      <c r="N20" s="12"/>
      <c r="O20" s="106">
        <v>6009988</v>
      </c>
      <c r="P20" s="12"/>
      <c r="Q20" s="12"/>
      <c r="R20" s="16"/>
      <c r="S20" s="16"/>
      <c r="T20" s="16"/>
      <c r="U20" s="16"/>
      <c r="V20" s="16"/>
    </row>
    <row r="21" spans="1:22">
      <c r="A21" s="3"/>
      <c r="B21" s="6"/>
      <c r="C21" s="6"/>
      <c r="D21" s="6"/>
      <c r="E21" s="6"/>
      <c r="F21" s="6"/>
      <c r="G21" s="6"/>
      <c r="H21" s="6"/>
      <c r="I21" s="6"/>
      <c r="J21" s="6"/>
      <c r="O21" s="6"/>
      <c r="R21" s="6"/>
      <c r="S21" s="6"/>
      <c r="T21" s="6"/>
      <c r="U21" s="6"/>
      <c r="V21" s="6"/>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prochroraz-0.063mg/L</v>
      </c>
      <c r="J22" s="3" t="str">
        <f t="shared" si="0"/>
        <v>prochroraz-0.13mg/L</v>
      </c>
      <c r="K22" s="3" t="str">
        <f t="shared" si="0"/>
        <v>prochroraz-0.25mg/L</v>
      </c>
      <c r="L22" s="3" t="str">
        <f t="shared" si="0"/>
        <v>prochroraz-0.5mg/L</v>
      </c>
      <c r="M22" s="3" t="str">
        <f t="shared" si="0"/>
        <v>prochroraz-1mg/L</v>
      </c>
      <c r="N22" s="3" t="str">
        <f t="shared" si="0"/>
        <v/>
      </c>
      <c r="O22" s="3" t="str">
        <f t="shared" si="0"/>
        <v>Testo -30µg/L</v>
      </c>
      <c r="P22" s="3" t="str">
        <f t="shared" si="0"/>
        <v>Testo 30µg/L + EE2 -64ng/L</v>
      </c>
      <c r="Q22" s="3" t="str">
        <f t="shared" si="0"/>
        <v>Testo 30µg/L + FAD-10mg/L</v>
      </c>
      <c r="R22" s="3" t="str">
        <f t="shared" si="0"/>
        <v>prochroraz-0.063mg/L + Testostérone</v>
      </c>
      <c r="S22" s="3" t="str">
        <f t="shared" si="0"/>
        <v>prochroraz-0.13mg/L + Testostérone</v>
      </c>
      <c r="T22" s="3" t="str">
        <f t="shared" si="0"/>
        <v>prochroraz-0.25mg/L + Testostérone</v>
      </c>
      <c r="U22" s="3" t="str">
        <f t="shared" si="0"/>
        <v>prochroraz-0.5mg/L + Testostérone</v>
      </c>
      <c r="V22" s="3" t="str">
        <f t="shared" si="0"/>
        <v>prochroraz-1mg/L + Testostérone</v>
      </c>
    </row>
    <row r="23" spans="1:22">
      <c r="A23" s="5" t="s">
        <v>0</v>
      </c>
      <c r="B23" s="5">
        <f t="shared" ref="B23:J23" si="1">AVERAGE(B5:B20)</f>
        <v>1704017.75</v>
      </c>
      <c r="C23" s="5">
        <f t="shared" si="1"/>
        <v>1629190.7142857143</v>
      </c>
      <c r="D23" s="5">
        <f t="shared" si="1"/>
        <v>2817836.125</v>
      </c>
      <c r="E23" s="5">
        <f t="shared" si="1"/>
        <v>7213316.25</v>
      </c>
      <c r="F23" s="5">
        <f t="shared" si="1"/>
        <v>10339451</v>
      </c>
      <c r="G23" s="5">
        <f t="shared" si="1"/>
        <v>9890666</v>
      </c>
      <c r="H23" s="5">
        <f t="shared" si="1"/>
        <v>17047960.625</v>
      </c>
      <c r="I23" s="5">
        <f t="shared" si="1"/>
        <v>1226676.5</v>
      </c>
      <c r="J23" s="5">
        <f t="shared" si="1"/>
        <v>979691.25</v>
      </c>
      <c r="K23" s="5"/>
      <c r="L23" s="5">
        <f>AVERAGE(L5:L20)</f>
        <v>1112904.5</v>
      </c>
      <c r="M23" s="5"/>
      <c r="N23" s="5" t="e">
        <f>AVERAGE(N5:N20)</f>
        <v>#DIV/0!</v>
      </c>
      <c r="O23" s="5">
        <f>AVERAGE(O5:O20)</f>
        <v>8719471.3125</v>
      </c>
      <c r="P23" s="5">
        <f>AVERAGE(P5:P20)</f>
        <v>12631084.75</v>
      </c>
      <c r="Q23" s="5">
        <f>AVERAGE(Q5:Q20)</f>
        <v>532219.25</v>
      </c>
      <c r="R23" s="5">
        <f>AVERAGE(R5:R20)</f>
        <v>4635879</v>
      </c>
      <c r="S23" s="5">
        <f>AVERAGE(S5:S20)</f>
        <v>4475006</v>
      </c>
      <c r="T23" s="5">
        <f t="shared" ref="T23:V23" si="2">AVERAGE(T5:T20)</f>
        <v>4012675.75</v>
      </c>
      <c r="U23" s="5">
        <f t="shared" si="2"/>
        <v>3101078</v>
      </c>
      <c r="V23" s="5">
        <f t="shared" si="2"/>
        <v>2484144.5</v>
      </c>
    </row>
    <row r="24" spans="1:22">
      <c r="A24" s="3" t="s">
        <v>1</v>
      </c>
      <c r="B24" s="3">
        <f t="shared" ref="B24:J24" si="3">STDEV(B5:B20)</f>
        <v>1048625.8605788748</v>
      </c>
      <c r="C24" s="3">
        <f t="shared" si="3"/>
        <v>1163932.8408466007</v>
      </c>
      <c r="D24" s="3">
        <f t="shared" si="3"/>
        <v>1565684.0903250508</v>
      </c>
      <c r="E24" s="3">
        <f t="shared" si="3"/>
        <v>2492428.6008061497</v>
      </c>
      <c r="F24" s="3">
        <f t="shared" si="3"/>
        <v>3660841.086375643</v>
      </c>
      <c r="G24" s="3">
        <f t="shared" si="3"/>
        <v>4515879.4324879525</v>
      </c>
      <c r="H24" s="3">
        <f t="shared" si="3"/>
        <v>5529187.8955903249</v>
      </c>
      <c r="I24" s="3">
        <f t="shared" si="3"/>
        <v>1060740.657968357</v>
      </c>
      <c r="J24" s="3">
        <f t="shared" si="3"/>
        <v>923705.16949322098</v>
      </c>
      <c r="K24" s="3"/>
      <c r="L24" s="3">
        <f>STDEV(L5:L20)</f>
        <v>1128640.0956305147</v>
      </c>
      <c r="M24" s="3"/>
      <c r="N24" s="3" t="e">
        <f>STDEV(N5:N20)</f>
        <v>#DIV/0!</v>
      </c>
      <c r="O24" s="3">
        <f>STDEV(O5:O20)</f>
        <v>2358681.9763326226</v>
      </c>
      <c r="P24" s="3">
        <f>STDEV(P5:P20)</f>
        <v>4269301.0739447987</v>
      </c>
      <c r="Q24" s="3">
        <f>STDEV(Q5:Q20)</f>
        <v>555644.87863993284</v>
      </c>
      <c r="R24" s="3">
        <f>STDEV(R5:R20)</f>
        <v>3428126.0062015974</v>
      </c>
      <c r="S24" s="3">
        <f>STDEV(S5:S20)</f>
        <v>2963000.7780109388</v>
      </c>
      <c r="T24" s="3">
        <f t="shared" ref="T24:V24" si="4">STDEV(T5:T20)</f>
        <v>2829449.2151775379</v>
      </c>
      <c r="U24" s="3">
        <f t="shared" si="4"/>
        <v>2378939.1449333043</v>
      </c>
      <c r="V24" s="3">
        <f t="shared" si="4"/>
        <v>2105654.391068419</v>
      </c>
    </row>
    <row r="25" spans="1:22" ht="15.75" thickBot="1"/>
    <row r="26" spans="1:22" ht="15.75" thickBot="1">
      <c r="B26" s="141" t="s">
        <v>6</v>
      </c>
      <c r="C26" s="142"/>
      <c r="D26" s="142"/>
      <c r="E26" s="142"/>
      <c r="F26" s="142"/>
      <c r="G26" s="142"/>
      <c r="H26" s="142"/>
      <c r="I26" s="142"/>
      <c r="J26" s="142"/>
      <c r="K26" s="142"/>
      <c r="L26" s="142"/>
      <c r="M26" s="142"/>
      <c r="N26" s="142"/>
      <c r="O26" s="141" t="s">
        <v>3</v>
      </c>
      <c r="P26" s="142"/>
      <c r="Q26" s="142"/>
      <c r="R26" s="142"/>
      <c r="S26" s="142"/>
      <c r="T26" s="142"/>
      <c r="U26" s="142"/>
      <c r="V26" s="142"/>
    </row>
    <row r="27" spans="1:22">
      <c r="A27" s="18" t="s">
        <v>22</v>
      </c>
      <c r="B27" s="19" t="str">
        <f>B4</f>
        <v>Solvent control</v>
      </c>
      <c r="C27" s="19" t="str">
        <f t="shared" ref="C27:N27" si="5">C4</f>
        <v>EE2-33.8ng/L</v>
      </c>
      <c r="D27" s="19" t="str">
        <f t="shared" si="5"/>
        <v>EE2-50.6ng/L</v>
      </c>
      <c r="E27" s="19" t="str">
        <f t="shared" si="5"/>
        <v>EE2-76ng/L</v>
      </c>
      <c r="F27" s="19" t="str">
        <f t="shared" si="5"/>
        <v>EE2-114ng/L</v>
      </c>
      <c r="G27" s="19" t="str">
        <f t="shared" si="5"/>
        <v>EE2-170.9ng/L</v>
      </c>
      <c r="H27" s="19" t="str">
        <f t="shared" si="5"/>
        <v>EE2-488ng/L</v>
      </c>
      <c r="I27" s="19" t="str">
        <f t="shared" si="5"/>
        <v>prochroraz-0.063mg/L</v>
      </c>
      <c r="J27" s="19" t="str">
        <f t="shared" si="5"/>
        <v>prochroraz-0.13mg/L</v>
      </c>
      <c r="K27" s="19" t="str">
        <f t="shared" si="5"/>
        <v>prochroraz-0.25mg/L</v>
      </c>
      <c r="L27" s="19" t="str">
        <f t="shared" si="5"/>
        <v>prochroraz-0.5mg/L</v>
      </c>
      <c r="M27" s="19" t="str">
        <f t="shared" si="5"/>
        <v>prochroraz-1mg/L</v>
      </c>
      <c r="N27" s="19" t="str">
        <f t="shared" si="5"/>
        <v/>
      </c>
      <c r="O27" s="20" t="str">
        <f>O4</f>
        <v>Testo -30µg/L</v>
      </c>
      <c r="P27" s="20" t="str">
        <f t="shared" ref="P27:V27" si="6">P4</f>
        <v>Testo 30µg/L + EE2 -64ng/L</v>
      </c>
      <c r="Q27" s="20" t="str">
        <f t="shared" si="6"/>
        <v>Testo 30µg/L + FAD-10mg/L</v>
      </c>
      <c r="R27" s="20" t="str">
        <f t="shared" si="6"/>
        <v>prochroraz-0.063mg/L + Testostérone</v>
      </c>
      <c r="S27" s="20" t="str">
        <f t="shared" si="6"/>
        <v>prochroraz-0.13mg/L + Testostérone</v>
      </c>
      <c r="T27" s="20" t="str">
        <f t="shared" si="6"/>
        <v>prochroraz-0.25mg/L + Testostérone</v>
      </c>
      <c r="U27" s="20" t="str">
        <f t="shared" si="6"/>
        <v>prochroraz-0.5mg/L + Testostérone</v>
      </c>
      <c r="V27" s="20" t="str">
        <f t="shared" si="6"/>
        <v>prochroraz-1mg/L + Testostérone</v>
      </c>
    </row>
    <row r="28" spans="1:22">
      <c r="A28" s="144" t="s">
        <v>70</v>
      </c>
      <c r="B28" s="10">
        <f>IF(B5="","",(B5/$O$23))</f>
        <v>0.34704397681335913</v>
      </c>
      <c r="C28" s="10">
        <f>IF(C5="","",(C5/$O$23))</f>
        <v>0.28883115842007651</v>
      </c>
      <c r="D28" s="10">
        <f>IF(D5="","",(D5/$O$23))</f>
        <v>0.40886355057894458</v>
      </c>
      <c r="E28" s="10">
        <f>IF(E5="","",(E5/$O$23))</f>
        <v>0.58605640374942169</v>
      </c>
      <c r="F28" s="10">
        <f>IF(F5="","",(F5/$O$23))</f>
        <v>0.39503186334957047</v>
      </c>
      <c r="G28" s="10">
        <f>IF(G5="","",(G5/$O$23))</f>
        <v>0.5181052655708247</v>
      </c>
      <c r="H28" s="10">
        <f>IF(H5="","",(H5/$O$23))</f>
        <v>2.3995201371906574</v>
      </c>
      <c r="I28" s="10">
        <f>IF(I5="","",(I5/$O$23))</f>
        <v>0.15021851131298164</v>
      </c>
      <c r="J28" s="10">
        <f>IF(J5="","",(J5/$O$23))</f>
        <v>8.344278843568935E-2</v>
      </c>
      <c r="K28" s="10">
        <f>IF(K5="","",(K5/$O$23))</f>
        <v>4.2640429296096731E-2</v>
      </c>
      <c r="L28" s="10">
        <f>IF(L5="","",(L5/$O$23))</f>
        <v>0.32576447564291472</v>
      </c>
      <c r="M28" s="10">
        <f>IF(M5="","",(M5/$O$23))</f>
        <v>4.0033046441656034E-2</v>
      </c>
      <c r="N28" s="10" t="str">
        <f>IF(N5="","",(N5/$O$23))</f>
        <v/>
      </c>
      <c r="O28" s="10">
        <f t="shared" ref="O28:V39" si="7">IF(O5="","",(O5/$O$23))</f>
        <v>1.0014728745631158</v>
      </c>
      <c r="P28" s="10">
        <f t="shared" si="7"/>
        <v>2.4857129776811799</v>
      </c>
      <c r="Q28" s="10">
        <f t="shared" si="7"/>
        <v>0.11614328021794268</v>
      </c>
      <c r="R28" s="10">
        <f t="shared" si="7"/>
        <v>1.0641278200776236</v>
      </c>
      <c r="S28" s="10">
        <f t="shared" si="7"/>
        <v>0.63043971394452591</v>
      </c>
      <c r="T28" s="10">
        <f t="shared" si="7"/>
        <v>0.15191505912761727</v>
      </c>
      <c r="U28" s="10">
        <f t="shared" si="7"/>
        <v>0.58911335514529228</v>
      </c>
      <c r="V28" s="10">
        <f t="shared" si="7"/>
        <v>0.11381194621024221</v>
      </c>
    </row>
    <row r="29" spans="1:22">
      <c r="A29" s="144"/>
      <c r="B29" s="10">
        <f>IF(B6="","",(B6/$O$23))</f>
        <v>0.23793174214884488</v>
      </c>
      <c r="C29" s="10">
        <f>IF(C6="","",(C6/$O$23))</f>
        <v>0.13402119900603779</v>
      </c>
      <c r="D29" s="10">
        <f>IF(D6="","",(D6/$O$23))</f>
        <v>2.1668400895951682E-2</v>
      </c>
      <c r="E29" s="10">
        <f>IF(E6="","",(E6/$O$23))</f>
        <v>0.46493931279850176</v>
      </c>
      <c r="F29" s="10">
        <f>IF(F6="","",(F6/$O$23))</f>
        <v>1.4532637984408758</v>
      </c>
      <c r="G29" s="10">
        <f>IF(G6="","",(G6/$O$23))</f>
        <v>0.95332133131552177</v>
      </c>
      <c r="H29" s="10">
        <f>IF(H6="","",(H6/$O$23))</f>
        <v>1.3233909014022001</v>
      </c>
      <c r="I29" s="10">
        <f>IF(I6="","",(I6/$O$23))</f>
        <v>0.32708118391438312</v>
      </c>
      <c r="J29" s="10">
        <f>IF(J6="","",(J6/$O$23))</f>
        <v>9.8878586682660183E-2</v>
      </c>
      <c r="K29" s="10">
        <f>IF(K6="","",(K6/$O$23))</f>
        <v>0.10224209336201082</v>
      </c>
      <c r="L29" s="10">
        <f>IF(L6="","",(L6/$O$23))</f>
        <v>0.16374524886080929</v>
      </c>
      <c r="M29" s="10">
        <f>IF(M6="","",(M6/$O$23))</f>
        <v>0.17832468784786773</v>
      </c>
      <c r="N29" s="10" t="str">
        <f>IF(N6="","",(N6/$O$23))</f>
        <v/>
      </c>
      <c r="O29" s="10">
        <f t="shared" si="7"/>
        <v>1.3118837817152347</v>
      </c>
      <c r="P29" s="10">
        <f t="shared" si="7"/>
        <v>1.5787473238504333</v>
      </c>
      <c r="Q29" s="10">
        <f t="shared" si="7"/>
        <v>3.0712756588359955E-2</v>
      </c>
      <c r="R29" s="10">
        <f t="shared" si="7"/>
        <v>0.19161723688508323</v>
      </c>
      <c r="S29" s="10">
        <f t="shared" si="7"/>
        <v>1.1570498529580431</v>
      </c>
      <c r="T29" s="10">
        <f t="shared" si="7"/>
        <v>0.40939018801319099</v>
      </c>
      <c r="U29" s="10">
        <f t="shared" si="7"/>
        <v>0.60680399193640899</v>
      </c>
      <c r="V29" s="10">
        <f t="shared" si="7"/>
        <v>0.12192424998015039</v>
      </c>
    </row>
    <row r="30" spans="1:22">
      <c r="A30" s="144"/>
      <c r="B30" s="10">
        <f>IF(B7="","",(B7/$O$23))</f>
        <v>0.22660181210384595</v>
      </c>
      <c r="C30" s="10">
        <f>IF(C7="","",(C7/$O$23))</f>
        <v>0.26686870299855692</v>
      </c>
      <c r="D30" s="10">
        <f>IF(D7="","",(D7/$O$23))</f>
        <v>0.48060723521074145</v>
      </c>
      <c r="E30" s="10">
        <f>IF(E7="","",(E7/$O$23))</f>
        <v>1.0377355089210862</v>
      </c>
      <c r="F30" s="10">
        <f>IF(F7="","",(F7/$O$23))</f>
        <v>1.7117190326211076</v>
      </c>
      <c r="G30" s="10">
        <f>IF(G7="","",(G7/$O$23))</f>
        <v>1.1188255170946753</v>
      </c>
      <c r="H30" s="10">
        <f>IF(H7="","",(H7/$O$23))</f>
        <v>1.8774660083498038</v>
      </c>
      <c r="I30" s="10">
        <f>IF(I7="","",(I7/$O$23))</f>
        <v>4.086623915938252E-2</v>
      </c>
      <c r="J30" s="10">
        <f>IF(J7="","",(J7/$O$23))</f>
        <v>0.23475425592209609</v>
      </c>
      <c r="K30" s="10">
        <f>IF(K7="","",(K7/$O$23))</f>
        <v>5.759982251217482E-3</v>
      </c>
      <c r="L30" s="10">
        <f>IF(L7="","",(L7/$O$23))</f>
        <v>8.6319453671578322E-3</v>
      </c>
      <c r="M30" s="10">
        <f>IF(M7="","",(M7/$O$23))</f>
        <v>0</v>
      </c>
      <c r="N30" s="10" t="str">
        <f>IF(N7="","",(N7/$O$23))</f>
        <v/>
      </c>
      <c r="O30" s="10">
        <f t="shared" si="7"/>
        <v>0.90028015675061601</v>
      </c>
      <c r="P30" s="10">
        <f t="shared" si="7"/>
        <v>1.3209619697341024</v>
      </c>
      <c r="Q30" s="10">
        <f t="shared" si="7"/>
        <v>3.3391244671292106E-2</v>
      </c>
      <c r="R30" s="10">
        <f t="shared" si="7"/>
        <v>1.2066760268958681</v>
      </c>
      <c r="S30" s="10">
        <f t="shared" si="7"/>
        <v>2.0778094623727223E-2</v>
      </c>
      <c r="T30" s="10">
        <f t="shared" si="7"/>
        <v>0.63178165310352352</v>
      </c>
      <c r="U30" s="10">
        <f t="shared" si="7"/>
        <v>0.18965289760508058</v>
      </c>
      <c r="V30" s="10">
        <f t="shared" si="7"/>
        <v>0.48783313202740697</v>
      </c>
    </row>
    <row r="31" spans="1:22">
      <c r="A31" s="144"/>
      <c r="B31" s="10">
        <f>IF(B8="","",(B8/$O$23))</f>
        <v>0.31276838953416763</v>
      </c>
      <c r="C31" s="10">
        <f>IF(C8="","",(C8/$O$23))</f>
        <v>4.8933127331738095E-2</v>
      </c>
      <c r="D31" s="10">
        <f>IF(D8="","",(D8/$O$23))</f>
        <v>0.45486221100518126</v>
      </c>
      <c r="E31" s="10">
        <f>IF(E8="","",(E8/$O$23))</f>
        <v>0.73692105515485629</v>
      </c>
      <c r="F31" s="10">
        <f>IF(F8="","",(F8/$O$23))</f>
        <v>0.95831911139165182</v>
      </c>
      <c r="G31" s="10">
        <f>IF(G8="","",(G8/$O$23))</f>
        <v>1.351732872049632</v>
      </c>
      <c r="H31" s="10">
        <f>IF(H8="","",(H8/$O$23))</f>
        <v>2.5238301969584009</v>
      </c>
      <c r="I31" s="10">
        <f>IF(I8="","",(I8/$O$23))</f>
        <v>0.14824132721750954</v>
      </c>
      <c r="J31" s="10">
        <f>IF(J8="","",(J8/$O$23))</f>
        <v>4.2905124243448793E-3</v>
      </c>
      <c r="K31" s="10">
        <f>IF(K8="","",(K8/$O$23))</f>
        <v>2.7695715869126555E-2</v>
      </c>
      <c r="L31" s="10">
        <f>IF(L8="","",(L8/$O$23))</f>
        <v>4.419281699425856E-2</v>
      </c>
      <c r="M31" s="10">
        <f>IF(M8="","",(M8/$O$23))</f>
        <v>0.23652718451443383</v>
      </c>
      <c r="N31" s="10" t="str">
        <f>IF(N8="","",(N8/$O$23))</f>
        <v/>
      </c>
      <c r="O31" s="10">
        <f t="shared" si="7"/>
        <v>1.2723884972355082</v>
      </c>
      <c r="P31" s="10">
        <f t="shared" si="7"/>
        <v>0.96877949330371171</v>
      </c>
      <c r="Q31" s="10">
        <f t="shared" si="7"/>
        <v>4.4128707602763849E-2</v>
      </c>
      <c r="R31" s="10">
        <f t="shared" si="7"/>
        <v>0.46278620060543951</v>
      </c>
      <c r="S31" s="10">
        <f t="shared" si="7"/>
        <v>0.54241625787790559</v>
      </c>
      <c r="T31" s="10">
        <f t="shared" si="7"/>
        <v>0.46218387050860543</v>
      </c>
      <c r="U31" s="10">
        <f t="shared" si="7"/>
        <v>5.5160454431508285E-2</v>
      </c>
      <c r="V31" s="10">
        <f t="shared" si="7"/>
        <v>2.3156220459209179E-3</v>
      </c>
    </row>
    <row r="32" spans="1:22">
      <c r="A32" s="144"/>
      <c r="B32" s="10">
        <f>IF(B9="","",(B9/$O$23))</f>
        <v>7.0492806039609297E-3</v>
      </c>
      <c r="C32" s="10">
        <f>IF(C9="","",(C9/$O$23))</f>
        <v>1.7943863153228306E-2</v>
      </c>
      <c r="D32" s="10">
        <f>IF(D9="","",(D9/$O$23))</f>
        <v>0.35762500824214966</v>
      </c>
      <c r="E32" s="10">
        <f>IF(E9="","",(E9/$O$23))</f>
        <v>1.2027647805854285</v>
      </c>
      <c r="F32" s="10">
        <f>IF(F9="","",(F9/$O$23))</f>
        <v>1.3486592912051627</v>
      </c>
      <c r="G32" s="10">
        <f>IF(G9="","",(G9/$O$23))</f>
        <v>1.3841242854596525</v>
      </c>
      <c r="H32" s="10">
        <f>IF(H9="","",(H9/$O$23))</f>
        <v>1.7607218889511083</v>
      </c>
      <c r="I32" s="10">
        <f>IF(I9="","",(I9/$O$23))</f>
        <v>0.14479604952539374</v>
      </c>
      <c r="J32" s="10">
        <f>IF(J9="","",(J9/$O$23))</f>
        <v>0.10408429220920153</v>
      </c>
      <c r="K32" s="10">
        <f>IF(K9="","",(K9/$O$23))</f>
        <v>1.0593876244259963E-2</v>
      </c>
      <c r="L32" s="10">
        <f>IF(L9="","",(L9/$O$23))</f>
        <v>0</v>
      </c>
      <c r="M32" s="10">
        <f>IF(M9="","",(M9/$O$23))</f>
        <v>3.972144498067009E-3</v>
      </c>
      <c r="N32" s="10" t="str">
        <f>IF(N9="","",(N9/$O$23))</f>
        <v/>
      </c>
      <c r="O32" s="10">
        <f t="shared" si="7"/>
        <v>0.73305442164100243</v>
      </c>
      <c r="P32" s="10">
        <f t="shared" si="7"/>
        <v>1.3764243920149946</v>
      </c>
      <c r="Q32" s="10">
        <f t="shared" si="7"/>
        <v>0.19346895465802361</v>
      </c>
      <c r="R32" s="10">
        <f t="shared" si="7"/>
        <v>0.26985925128588467</v>
      </c>
      <c r="S32" s="10">
        <f t="shared" si="7"/>
        <v>0.58939112427981855</v>
      </c>
      <c r="T32" s="10">
        <f t="shared" si="7"/>
        <v>6.4047919877825737E-2</v>
      </c>
      <c r="U32" s="10">
        <f t="shared" si="7"/>
        <v>0.81346503082494082</v>
      </c>
      <c r="V32" s="10">
        <f t="shared" si="7"/>
        <v>0.43073540417706374</v>
      </c>
    </row>
    <row r="33" spans="1:22">
      <c r="A33" s="144"/>
      <c r="B33" s="10">
        <f>IF(B10="","",(B10/$O$23))</f>
        <v>4.6465775903084608E-2</v>
      </c>
      <c r="C33" s="10">
        <f>IF(C10="","",(C10/$O$23))</f>
        <v>0.16612887961720671</v>
      </c>
      <c r="D33" s="10">
        <f>IF(D10="","",(D10/$O$23))</f>
        <v>0.17086769903860499</v>
      </c>
      <c r="E33" s="10">
        <f>IF(E10="","",(E10/$O$23))</f>
        <v>0.51191498200138152</v>
      </c>
      <c r="F33" s="10">
        <f>IF(F10="","",(F10/$O$23))</f>
        <v>1.5354113248594967</v>
      </c>
      <c r="G33" s="10">
        <f>IF(G10="","",(G10/$O$23))</f>
        <v>2.0410994385045176</v>
      </c>
      <c r="H33" s="10">
        <f>IF(H10="","",(H10/$O$23))</f>
        <v>2.9981826951506472</v>
      </c>
      <c r="I33" s="10">
        <f>IF(I10="","",(I10/$O$23))</f>
        <v>1.4452481748445456E-2</v>
      </c>
      <c r="J33" s="10">
        <f>IF(J10="","",(J10/$O$23))</f>
        <v>4.183785770096253E-2</v>
      </c>
      <c r="K33" s="10">
        <f>IF(K10="","",(K10/$O$23))</f>
        <v>0.3903897241017501</v>
      </c>
      <c r="L33" s="10">
        <f>IF(L10="","",(L10/$O$23))</f>
        <v>0.27381247261830477</v>
      </c>
      <c r="M33" s="10">
        <f>IF(M10="","",(M10/$O$23))</f>
        <v>2.6250559442963933E-2</v>
      </c>
      <c r="N33" s="10" t="str">
        <f>IF(N10="","",(N10/$O$23))</f>
        <v/>
      </c>
      <c r="O33" s="10">
        <f t="shared" si="7"/>
        <v>0.70403247857465789</v>
      </c>
      <c r="P33" s="10">
        <f t="shared" si="7"/>
        <v>1.6980411391198094</v>
      </c>
      <c r="Q33" s="10">
        <f t="shared" si="7"/>
        <v>5.2443546588020274E-3</v>
      </c>
      <c r="R33" s="10">
        <f t="shared" si="7"/>
        <v>0.17020630572778206</v>
      </c>
      <c r="S33" s="10">
        <f t="shared" si="7"/>
        <v>0.18273504698797643</v>
      </c>
      <c r="T33" s="10">
        <f t="shared" si="7"/>
        <v>0.87848399581508463</v>
      </c>
      <c r="U33" s="10">
        <f t="shared" si="7"/>
        <v>0.19733249165386252</v>
      </c>
      <c r="V33" s="10">
        <f t="shared" si="7"/>
        <v>5.0660066897261206E-2</v>
      </c>
    </row>
    <row r="34" spans="1:22">
      <c r="A34" s="144"/>
      <c r="B34" s="10">
        <f>IF(B11="","",(B11/$O$23))</f>
        <v>0.14796195248104957</v>
      </c>
      <c r="C34" s="10">
        <f>IF(C11="","",(C11/$O$23))</f>
        <v>0.38518895006686221</v>
      </c>
      <c r="D34" s="10">
        <f>IF(D11="","",(D11/$O$23))</f>
        <v>0.17228636303286191</v>
      </c>
      <c r="E34" s="10">
        <f>IF(E11="","",(E11/$O$23))</f>
        <v>1.0416274880083218</v>
      </c>
      <c r="F34" s="10">
        <f>IF(F11="","",(F11/$O$23))</f>
        <v>1.1383215385743606</v>
      </c>
      <c r="G34" s="10">
        <f>IF(G11="","",(G11/$O$23))</f>
        <v>1.2869352507546312</v>
      </c>
      <c r="H34" s="10">
        <f>IF(H11="","",(H11/$O$23))</f>
        <v>1.1562460198185325</v>
      </c>
      <c r="I34" s="10">
        <f>IF(I11="","",(I11/$O$23))</f>
        <v>0.29587722782017006</v>
      </c>
      <c r="J34" s="10">
        <f>IF(J11="","",(J11/$O$23))</f>
        <v>0.30743331836611282</v>
      </c>
      <c r="K34" s="10">
        <f>IF(K11="","",(K11/$O$23))</f>
        <v>0.20017612736425872</v>
      </c>
      <c r="L34" s="10">
        <f>IF(L11="","",(L11/$O$23))</f>
        <v>1.1162374014634388E-2</v>
      </c>
      <c r="M34" s="10">
        <f>IF(M11="","",(M11/$O$23))</f>
        <v>0.16189100799911599</v>
      </c>
      <c r="N34" s="10" t="str">
        <f>IF(N11="","",(N11/$O$23))</f>
        <v/>
      </c>
      <c r="O34" s="10">
        <f t="shared" si="7"/>
        <v>0.88146789232297273</v>
      </c>
      <c r="P34" s="10">
        <f t="shared" si="7"/>
        <v>1.0743266035603463</v>
      </c>
      <c r="Q34" s="10">
        <f t="shared" si="7"/>
        <v>8.6093522542339349E-3</v>
      </c>
      <c r="R34" s="10">
        <f t="shared" si="7"/>
        <v>0.50699759670778777</v>
      </c>
      <c r="S34" s="10">
        <f t="shared" si="7"/>
        <v>0.38964300451673745</v>
      </c>
      <c r="T34" s="10">
        <f t="shared" si="7"/>
        <v>0.90574344670166029</v>
      </c>
      <c r="U34" s="10">
        <f t="shared" si="7"/>
        <v>0.18070935077693681</v>
      </c>
      <c r="V34" s="10">
        <f t="shared" si="7"/>
        <v>0.41518342916160605</v>
      </c>
    </row>
    <row r="35" spans="1:22">
      <c r="A35" s="144"/>
      <c r="B35" s="10">
        <f>IF(B12="","",(B12/$O$23))</f>
        <v>0.23759089579549553</v>
      </c>
      <c r="C35" s="10" t="str">
        <f>IF(C12="","",(C12/$O$23))</f>
        <v/>
      </c>
      <c r="D35" s="10">
        <f>IF(D12="","",(D12/$O$23))</f>
        <v>0.51854703547429093</v>
      </c>
      <c r="E35" s="10">
        <f>IF(E12="","",(E12/$O$23))</f>
        <v>1.0361630511987534</v>
      </c>
      <c r="F35" s="10">
        <f>IF(F12="","",(F12/$O$23))</f>
        <v>0.94558405028297976</v>
      </c>
      <c r="G35" s="10">
        <f>IF(G12="","",(G12/$O$23))</f>
        <v>0.42041172780107133</v>
      </c>
      <c r="H35" s="10">
        <f>IF(H12="","",(H12/$O$23))</f>
        <v>1.6019213206167653</v>
      </c>
      <c r="I35" s="10">
        <f>IF(I12="","",(I12/$O$23))</f>
        <v>3.9264995288095916E-3</v>
      </c>
      <c r="J35" s="10">
        <f>IF(J12="","",(J12/$O$23))</f>
        <v>2.4132197063180601E-2</v>
      </c>
      <c r="K35" s="10">
        <f>IF(K12="","",(K12/$O$23))</f>
        <v>0.5295074477028392</v>
      </c>
      <c r="L35" s="10">
        <f>IF(L12="","",(L12/$O$23))</f>
        <v>0.19376587632990164</v>
      </c>
      <c r="M35" s="10">
        <f>IF(M12="","",(M12/$O$23))</f>
        <v>0.17333229800680075</v>
      </c>
      <c r="N35" s="10" t="str">
        <f>IF(N12="","",(N12/$O$23))</f>
        <v/>
      </c>
      <c r="O35" s="10">
        <f t="shared" si="7"/>
        <v>0.84652861801591028</v>
      </c>
      <c r="P35" s="10">
        <f t="shared" si="7"/>
        <v>1.0858598716216603</v>
      </c>
      <c r="Q35" s="10">
        <f t="shared" si="7"/>
        <v>5.6605496171818502E-2</v>
      </c>
      <c r="R35" s="10">
        <f t="shared" si="7"/>
        <v>0.38108743992728172</v>
      </c>
      <c r="S35" s="10">
        <f t="shared" si="7"/>
        <v>0.59330592585168274</v>
      </c>
      <c r="T35" s="10">
        <f t="shared" si="7"/>
        <v>0.17803097737985704</v>
      </c>
      <c r="U35" s="10">
        <f t="shared" si="7"/>
        <v>0.21296061807531752</v>
      </c>
      <c r="V35" s="10">
        <f t="shared" si="7"/>
        <v>0.65670598534926938</v>
      </c>
    </row>
    <row r="36" spans="1:22">
      <c r="A36" s="144"/>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si="7"/>
        <v>1.3670826559072988</v>
      </c>
      <c r="P36" s="10" t="str">
        <f t="shared" si="7"/>
        <v/>
      </c>
      <c r="Q36" s="10" t="str">
        <f t="shared" si="7"/>
        <v/>
      </c>
      <c r="R36" s="10" t="str">
        <f t="shared" si="7"/>
        <v/>
      </c>
      <c r="S36" s="10" t="str">
        <f t="shared" si="7"/>
        <v/>
      </c>
      <c r="T36" s="10" t="str">
        <f t="shared" si="7"/>
        <v/>
      </c>
      <c r="U36" s="10" t="str">
        <f t="shared" si="7"/>
        <v/>
      </c>
      <c r="V36" s="10" t="str">
        <f t="shared" si="7"/>
        <v/>
      </c>
    </row>
    <row r="37" spans="1:22">
      <c r="A37" s="144"/>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si="7"/>
        <v>0.73477149822321863</v>
      </c>
      <c r="P37" s="10" t="str">
        <f t="shared" si="7"/>
        <v/>
      </c>
      <c r="Q37" s="10" t="str">
        <f t="shared" si="7"/>
        <v/>
      </c>
      <c r="R37" s="10" t="str">
        <f t="shared" si="7"/>
        <v/>
      </c>
      <c r="S37" s="10" t="str">
        <f t="shared" si="7"/>
        <v/>
      </c>
      <c r="T37" s="10" t="str">
        <f t="shared" si="7"/>
        <v/>
      </c>
      <c r="U37" s="10" t="str">
        <f t="shared" si="7"/>
        <v/>
      </c>
      <c r="V37" s="10" t="str">
        <f t="shared" si="7"/>
        <v/>
      </c>
    </row>
    <row r="38" spans="1:22">
      <c r="A38" s="144"/>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si="7"/>
        <v>1.3278860133872366</v>
      </c>
      <c r="P38" s="10" t="str">
        <f t="shared" si="7"/>
        <v/>
      </c>
      <c r="Q38" s="10" t="str">
        <f t="shared" si="7"/>
        <v/>
      </c>
      <c r="R38" s="10" t="str">
        <f t="shared" si="7"/>
        <v/>
      </c>
      <c r="S38" s="10" t="str">
        <f t="shared" si="7"/>
        <v/>
      </c>
      <c r="T38" s="10" t="str">
        <f t="shared" si="7"/>
        <v/>
      </c>
      <c r="U38" s="10" t="str">
        <f t="shared" si="7"/>
        <v/>
      </c>
      <c r="V38" s="10" t="str">
        <f t="shared" si="7"/>
        <v/>
      </c>
    </row>
    <row r="39" spans="1:22">
      <c r="A39" s="144"/>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si="7"/>
        <v>0.68361541501430334</v>
      </c>
      <c r="P39" s="10" t="str">
        <f t="shared" si="7"/>
        <v/>
      </c>
      <c r="Q39" s="10" t="str">
        <f t="shared" ref="Q39:V39" si="8">IF(Q16="","",(Q16/$O$23))</f>
        <v/>
      </c>
      <c r="R39" s="10" t="str">
        <f t="shared" si="8"/>
        <v/>
      </c>
      <c r="S39" s="10" t="str">
        <f t="shared" si="8"/>
        <v/>
      </c>
      <c r="T39" s="10" t="str">
        <f t="shared" si="8"/>
        <v/>
      </c>
      <c r="U39" s="10" t="str">
        <f t="shared" si="8"/>
        <v/>
      </c>
      <c r="V39" s="10" t="str">
        <f t="shared" si="8"/>
        <v/>
      </c>
    </row>
    <row r="40" spans="1:22">
      <c r="A40" s="144"/>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V43" si="9">IF(O17="","",(O17/$O$23))</f>
        <v>0.94665418397177625</v>
      </c>
      <c r="P40" s="10" t="str">
        <f t="shared" si="9"/>
        <v/>
      </c>
      <c r="Q40" s="10" t="str">
        <f t="shared" si="9"/>
        <v/>
      </c>
      <c r="R40" s="10" t="str">
        <f t="shared" si="9"/>
        <v/>
      </c>
      <c r="S40" s="10" t="str">
        <f t="shared" si="9"/>
        <v/>
      </c>
      <c r="T40" s="10" t="str">
        <f t="shared" si="9"/>
        <v/>
      </c>
      <c r="U40" s="10" t="str">
        <f t="shared" si="9"/>
        <v/>
      </c>
      <c r="V40" s="10" t="str">
        <f t="shared" si="9"/>
        <v/>
      </c>
    </row>
    <row r="41" spans="1:22">
      <c r="A41" s="144"/>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si="9"/>
        <v>1.181786444463401</v>
      </c>
      <c r="P41" s="10" t="str">
        <f t="shared" si="9"/>
        <v/>
      </c>
      <c r="Q41" s="10" t="str">
        <f t="shared" si="9"/>
        <v/>
      </c>
      <c r="R41" s="10" t="str">
        <f t="shared" si="9"/>
        <v/>
      </c>
      <c r="S41" s="10" t="str">
        <f t="shared" si="9"/>
        <v/>
      </c>
      <c r="T41" s="10" t="str">
        <f t="shared" si="9"/>
        <v/>
      </c>
      <c r="U41" s="10" t="str">
        <f t="shared" si="9"/>
        <v/>
      </c>
      <c r="V41" s="10" t="str">
        <f t="shared" si="9"/>
        <v/>
      </c>
    </row>
    <row r="42" spans="1:22">
      <c r="A42" s="144"/>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si="9"/>
        <v>1.4178344714864843</v>
      </c>
      <c r="P42" s="10" t="str">
        <f t="shared" si="9"/>
        <v/>
      </c>
      <c r="Q42" s="10" t="str">
        <f t="shared" si="9"/>
        <v/>
      </c>
      <c r="R42" s="10" t="str">
        <f t="shared" si="9"/>
        <v/>
      </c>
      <c r="S42" s="10" t="str">
        <f t="shared" si="9"/>
        <v/>
      </c>
      <c r="T42" s="10" t="str">
        <f t="shared" si="9"/>
        <v/>
      </c>
      <c r="U42" s="10" t="str">
        <f t="shared" si="9"/>
        <v/>
      </c>
      <c r="V42" s="10" t="str">
        <f t="shared" si="9"/>
        <v/>
      </c>
    </row>
    <row r="43" spans="1:22">
      <c r="A43" s="144"/>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si="9"/>
        <v>0.68926059672726292</v>
      </c>
      <c r="P43" s="10" t="str">
        <f t="shared" si="9"/>
        <v/>
      </c>
      <c r="Q43" s="10" t="str">
        <f t="shared" si="9"/>
        <v/>
      </c>
      <c r="R43" s="10" t="str">
        <f t="shared" si="9"/>
        <v/>
      </c>
      <c r="S43" s="10" t="str">
        <f t="shared" si="9"/>
        <v/>
      </c>
      <c r="T43" s="10" t="str">
        <f t="shared" si="9"/>
        <v/>
      </c>
      <c r="U43" s="10" t="str">
        <f t="shared" si="9"/>
        <v/>
      </c>
      <c r="V43" s="10" t="str">
        <f t="shared" si="9"/>
        <v/>
      </c>
    </row>
    <row r="44" spans="1:22">
      <c r="A44" s="6"/>
      <c r="B44" s="3"/>
      <c r="C44" s="3"/>
      <c r="D44" s="3"/>
      <c r="E44" s="3"/>
      <c r="F44" s="3"/>
      <c r="G44" s="3"/>
      <c r="H44" s="3"/>
      <c r="I44" s="3"/>
      <c r="J44" s="3"/>
      <c r="K44" s="3"/>
      <c r="L44" s="3"/>
      <c r="M44" s="3"/>
      <c r="N44" s="3"/>
      <c r="O44" s="3"/>
      <c r="P44" s="3"/>
      <c r="Q44" s="3"/>
      <c r="R44" s="3"/>
      <c r="S44" s="3"/>
      <c r="T44" s="3"/>
      <c r="U44" s="3"/>
      <c r="V44" s="3"/>
    </row>
    <row r="45" spans="1:22">
      <c r="A45" s="6" t="str">
        <f>A4</f>
        <v>Noms des groupes</v>
      </c>
      <c r="B45" s="6" t="str">
        <f t="shared" ref="B45:V45" si="10">B4</f>
        <v>Solvent control</v>
      </c>
      <c r="C45" s="6" t="str">
        <f t="shared" si="10"/>
        <v>EE2-33.8ng/L</v>
      </c>
      <c r="D45" s="6" t="str">
        <f t="shared" si="10"/>
        <v>EE2-50.6ng/L</v>
      </c>
      <c r="E45" s="6" t="str">
        <f t="shared" si="10"/>
        <v>EE2-76ng/L</v>
      </c>
      <c r="F45" s="6" t="str">
        <f t="shared" si="10"/>
        <v>EE2-114ng/L</v>
      </c>
      <c r="G45" s="6" t="str">
        <f t="shared" si="10"/>
        <v>EE2-170.9ng/L</v>
      </c>
      <c r="H45" s="6" t="str">
        <f t="shared" si="10"/>
        <v>EE2-488ng/L</v>
      </c>
      <c r="I45" s="6" t="str">
        <f t="shared" si="10"/>
        <v>prochroraz-0.063mg/L</v>
      </c>
      <c r="J45" s="6" t="str">
        <f t="shared" si="10"/>
        <v>prochroraz-0.13mg/L</v>
      </c>
      <c r="K45" s="6" t="str">
        <f t="shared" si="10"/>
        <v>prochroraz-0.25mg/L</v>
      </c>
      <c r="L45" s="6" t="str">
        <f t="shared" si="10"/>
        <v>prochroraz-0.5mg/L</v>
      </c>
      <c r="M45" s="6" t="str">
        <f t="shared" si="10"/>
        <v>prochroraz-1mg/L</v>
      </c>
      <c r="N45" s="6" t="str">
        <f t="shared" si="10"/>
        <v/>
      </c>
      <c r="O45" s="6" t="str">
        <f t="shared" si="10"/>
        <v>Testo -30µg/L</v>
      </c>
      <c r="P45" s="6" t="str">
        <f t="shared" si="10"/>
        <v>Testo 30µg/L + EE2 -64ng/L</v>
      </c>
      <c r="Q45" s="6" t="str">
        <f t="shared" si="10"/>
        <v>Testo 30µg/L + FAD-10mg/L</v>
      </c>
      <c r="R45" s="6" t="str">
        <f t="shared" si="10"/>
        <v>prochroraz-0.063mg/L + Testostérone</v>
      </c>
      <c r="S45" s="6" t="str">
        <f t="shared" si="10"/>
        <v>prochroraz-0.13mg/L + Testostérone</v>
      </c>
      <c r="T45" s="6" t="str">
        <f t="shared" si="10"/>
        <v>prochroraz-0.25mg/L + Testostérone</v>
      </c>
      <c r="U45" s="6" t="str">
        <f t="shared" si="10"/>
        <v>prochroraz-0.5mg/L + Testostérone</v>
      </c>
      <c r="V45" s="6" t="str">
        <f t="shared" si="10"/>
        <v>prochroraz-1mg/L + Testostérone</v>
      </c>
    </row>
    <row r="46" spans="1:22">
      <c r="A46" s="7" t="s">
        <v>0</v>
      </c>
      <c r="B46" s="9">
        <f t="shared" ref="B46:H46" si="11">AVERAGE(B28:B43)</f>
        <v>0.19542672817297607</v>
      </c>
      <c r="C46" s="9">
        <f t="shared" si="11"/>
        <v>0.1868451257991009</v>
      </c>
      <c r="D46" s="9">
        <f t="shared" si="11"/>
        <v>0.32316593793484077</v>
      </c>
      <c r="E46" s="9">
        <f t="shared" si="11"/>
        <v>0.82726532280221887</v>
      </c>
      <c r="F46" s="9">
        <f t="shared" si="11"/>
        <v>1.1857887513406506</v>
      </c>
      <c r="G46" s="9">
        <f t="shared" si="11"/>
        <v>1.1343194610688156</v>
      </c>
      <c r="H46" s="9">
        <f t="shared" si="11"/>
        <v>1.9551598960547645</v>
      </c>
      <c r="I46" s="9">
        <f>AVERAGE(I28:I43)</f>
        <v>0.14068244002838445</v>
      </c>
      <c r="J46" s="8">
        <f>AVERAGE(J28:J43)</f>
        <v>0.112356726100531</v>
      </c>
      <c r="K46" s="8">
        <f t="shared" ref="K46:N46" si="12">AVERAGE(K28:K43)</f>
        <v>0.16362567452394494</v>
      </c>
      <c r="L46" s="8">
        <f t="shared" si="12"/>
        <v>0.12763440122849765</v>
      </c>
      <c r="M46" s="8">
        <f t="shared" si="12"/>
        <v>0.10254136609386315</v>
      </c>
      <c r="N46" s="8" t="e">
        <f t="shared" si="12"/>
        <v>#DIV/0!</v>
      </c>
      <c r="O46" s="9">
        <f t="shared" ref="O46:V46" si="13">AVERAGE(O28:O43)</f>
        <v>1.0000000000000002</v>
      </c>
      <c r="P46" s="9">
        <f t="shared" si="13"/>
        <v>1.4486067213607798</v>
      </c>
      <c r="Q46" s="9">
        <f t="shared" si="13"/>
        <v>6.103801835290458E-2</v>
      </c>
      <c r="R46" s="9">
        <f t="shared" si="13"/>
        <v>0.53166973476409385</v>
      </c>
      <c r="S46" s="9">
        <f t="shared" si="13"/>
        <v>0.51321987763005206</v>
      </c>
      <c r="T46" s="9">
        <f t="shared" si="13"/>
        <v>0.46019713881592061</v>
      </c>
      <c r="U46" s="9">
        <f t="shared" si="13"/>
        <v>0.35564977380616841</v>
      </c>
      <c r="V46" s="9">
        <f t="shared" si="13"/>
        <v>0.28489622948111515</v>
      </c>
    </row>
    <row r="47" spans="1:22">
      <c r="A47" s="7" t="s">
        <v>1</v>
      </c>
      <c r="B47" s="7">
        <f t="shared" ref="B47:N47" si="14">STDEV(B28:B43)</f>
        <v>0.1202625506750154</v>
      </c>
      <c r="C47" s="7">
        <f t="shared" si="14"/>
        <v>0.13348662999533215</v>
      </c>
      <c r="D47" s="7">
        <f t="shared" si="14"/>
        <v>0.17956181449677211</v>
      </c>
      <c r="E47" s="7">
        <f t="shared" si="14"/>
        <v>0.28584629864348216</v>
      </c>
      <c r="F47" s="7">
        <f t="shared" si="14"/>
        <v>0.4198466805123337</v>
      </c>
      <c r="G47" s="7">
        <f t="shared" si="14"/>
        <v>0.51790748207567538</v>
      </c>
      <c r="H47" s="7">
        <f t="shared" si="14"/>
        <v>0.63411962691635115</v>
      </c>
      <c r="I47" s="7">
        <f t="shared" si="14"/>
        <v>0.12165194654034904</v>
      </c>
      <c r="J47" s="7">
        <f t="shared" si="14"/>
        <v>0.10593591473476402</v>
      </c>
      <c r="K47" s="7">
        <f t="shared" si="14"/>
        <v>0.19706778277999307</v>
      </c>
      <c r="L47" s="7">
        <f t="shared" si="14"/>
        <v>0.12943905142649262</v>
      </c>
      <c r="M47" s="7">
        <f t="shared" si="14"/>
        <v>9.4254403338494538E-2</v>
      </c>
      <c r="N47" s="7" t="e">
        <f t="shared" si="14"/>
        <v>#DIV/0!</v>
      </c>
      <c r="O47" s="7">
        <f t="shared" ref="O47:V47" si="15">STDEV(O28:O43)</f>
        <v>0.27050745300936641</v>
      </c>
      <c r="P47" s="7">
        <f t="shared" si="15"/>
        <v>0.48962843284138624</v>
      </c>
      <c r="Q47" s="7">
        <f t="shared" si="15"/>
        <v>6.3724606541611675E-2</v>
      </c>
      <c r="R47" s="7">
        <f t="shared" si="15"/>
        <v>0.39315755317494172</v>
      </c>
      <c r="S47" s="7">
        <f t="shared" si="15"/>
        <v>0.33981426990455965</v>
      </c>
      <c r="T47" s="7">
        <f t="shared" si="15"/>
        <v>0.32449779508091459</v>
      </c>
      <c r="U47" s="7">
        <f t="shared" si="15"/>
        <v>0.27283066365766018</v>
      </c>
      <c r="V47" s="7">
        <f t="shared" si="15"/>
        <v>0.24148876871121863</v>
      </c>
    </row>
    <row r="48" spans="1:22">
      <c r="A48" s="7" t="s">
        <v>2</v>
      </c>
      <c r="B48" s="7">
        <f t="shared" ref="B48:N48" si="16" xml:space="preserve"> B47/SQRT(COUNT(B28:B43))</f>
        <v>4.2519232552547095E-2</v>
      </c>
      <c r="C48" s="7">
        <f t="shared" si="16"/>
        <v>5.0453203759963414E-2</v>
      </c>
      <c r="D48" s="7">
        <f t="shared" si="16"/>
        <v>6.3484688336414227E-2</v>
      </c>
      <c r="E48" s="7">
        <f t="shared" si="16"/>
        <v>0.10106192807394061</v>
      </c>
      <c r="F48" s="7">
        <f t="shared" si="16"/>
        <v>0.14843821742446653</v>
      </c>
      <c r="G48" s="7">
        <f t="shared" si="16"/>
        <v>0.18310794630148017</v>
      </c>
      <c r="H48" s="7">
        <f t="shared" si="16"/>
        <v>0.22419514413801772</v>
      </c>
      <c r="I48" s="7">
        <f t="shared" si="16"/>
        <v>4.301045817161208E-2</v>
      </c>
      <c r="J48" s="7">
        <f t="shared" si="16"/>
        <v>3.7454001840075767E-2</v>
      </c>
      <c r="K48" s="7">
        <f t="shared" si="16"/>
        <v>6.9673982778565319E-2</v>
      </c>
      <c r="L48" s="7">
        <f t="shared" si="16"/>
        <v>4.5763615507013591E-2</v>
      </c>
      <c r="M48" s="7">
        <f t="shared" si="16"/>
        <v>3.3323963878670725E-2</v>
      </c>
      <c r="N48" s="7" t="e">
        <f t="shared" si="16"/>
        <v>#DIV/0!</v>
      </c>
      <c r="O48" s="7">
        <f t="shared" ref="O48:V48" si="17" xml:space="preserve"> O47/SQRT(COUNT(O28:O43))</f>
        <v>6.7626863252341601E-2</v>
      </c>
      <c r="P48" s="7">
        <f t="shared" si="17"/>
        <v>0.17310979256194312</v>
      </c>
      <c r="Q48" s="7">
        <f t="shared" si="17"/>
        <v>2.2530050707009121E-2</v>
      </c>
      <c r="R48" s="7">
        <f t="shared" si="17"/>
        <v>0.13900218596235597</v>
      </c>
      <c r="S48" s="7">
        <f t="shared" si="17"/>
        <v>0.12014248729673492</v>
      </c>
      <c r="T48" s="7">
        <f t="shared" si="17"/>
        <v>0.11472729569089869</v>
      </c>
      <c r="U48" s="7">
        <f t="shared" si="17"/>
        <v>9.6460206193978826E-2</v>
      </c>
      <c r="V48" s="7">
        <f t="shared" si="17"/>
        <v>8.537917296804623E-2</v>
      </c>
    </row>
    <row r="49" spans="1:22"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35" t="s">
        <v>24</v>
      </c>
      <c r="B50" s="136"/>
      <c r="C50" s="136"/>
      <c r="D50" s="136"/>
      <c r="E50" s="136"/>
      <c r="F50" s="136"/>
      <c r="G50" s="136"/>
      <c r="H50" s="136"/>
      <c r="I50" s="136"/>
      <c r="J50" s="136"/>
      <c r="K50" s="136"/>
      <c r="L50" s="136"/>
      <c r="M50" s="136"/>
      <c r="N50" s="136"/>
      <c r="O50" s="136"/>
      <c r="P50" s="136"/>
      <c r="Q50" s="136"/>
      <c r="R50" s="136"/>
      <c r="S50" s="136"/>
      <c r="T50" s="136"/>
      <c r="U50" s="136"/>
      <c r="V50" s="136"/>
    </row>
    <row r="51" spans="1:22" ht="15.75" thickBot="1"/>
    <row r="52" spans="1:22">
      <c r="A52" s="28" t="str">
        <f t="shared" ref="A52:H52" si="18">A27</f>
        <v>Noms des groupes</v>
      </c>
      <c r="B52" s="29" t="str">
        <f t="shared" si="18"/>
        <v>Solvent control</v>
      </c>
      <c r="C52" s="29" t="str">
        <f t="shared" si="18"/>
        <v>EE2-33.8ng/L</v>
      </c>
      <c r="D52" s="29" t="str">
        <f t="shared" si="18"/>
        <v>EE2-50.6ng/L</v>
      </c>
      <c r="E52" s="29" t="str">
        <f t="shared" si="18"/>
        <v>EE2-76ng/L</v>
      </c>
      <c r="F52" s="29" t="str">
        <f t="shared" si="18"/>
        <v>EE2-114ng/L</v>
      </c>
      <c r="G52" s="29" t="str">
        <f t="shared" si="18"/>
        <v>EE2-170.9ng/L</v>
      </c>
      <c r="H52" s="29" t="str">
        <f t="shared" si="18"/>
        <v>EE2-488ng/L</v>
      </c>
      <c r="I52" s="29" t="str">
        <f>I4</f>
        <v>prochroraz-0.063mg/L</v>
      </c>
      <c r="J52" s="29" t="str">
        <f>J4</f>
        <v>prochroraz-0.13mg/L</v>
      </c>
      <c r="K52" s="29" t="str">
        <f t="shared" ref="K52:N52" si="19">K4</f>
        <v>prochroraz-0.25mg/L</v>
      </c>
      <c r="L52" s="29" t="str">
        <f t="shared" si="19"/>
        <v>prochroraz-0.5mg/L</v>
      </c>
      <c r="M52" s="29" t="str">
        <f t="shared" si="19"/>
        <v>prochroraz-1mg/L</v>
      </c>
      <c r="N52" s="29" t="str">
        <f t="shared" si="19"/>
        <v/>
      </c>
      <c r="O52" s="29" t="str">
        <f>O27</f>
        <v>Testo -30µg/L</v>
      </c>
      <c r="P52" s="29" t="str">
        <f>P27</f>
        <v>Testo 30µg/L + EE2 -64ng/L</v>
      </c>
      <c r="Q52" s="29" t="str">
        <f>Q27</f>
        <v>Testo 30µg/L + FAD-10mg/L</v>
      </c>
      <c r="R52" s="29" t="str">
        <f>R27</f>
        <v>prochroraz-0.063mg/L + Testostérone</v>
      </c>
      <c r="S52" s="29" t="str">
        <f t="shared" ref="S52:V52" si="20">S27</f>
        <v>prochroraz-0.13mg/L + Testostérone</v>
      </c>
      <c r="T52" s="29" t="str">
        <f t="shared" si="20"/>
        <v>prochroraz-0.25mg/L + Testostérone</v>
      </c>
      <c r="U52" s="29" t="str">
        <f t="shared" si="20"/>
        <v>prochroraz-0.5mg/L + Testostérone</v>
      </c>
      <c r="V52" s="29" t="str">
        <f t="shared" si="20"/>
        <v>prochroraz-1mg/L + Testostérone</v>
      </c>
    </row>
    <row r="53" spans="1:22" s="3" customFormat="1">
      <c r="A53" s="43" t="s">
        <v>15</v>
      </c>
      <c r="B53" s="70">
        <f t="shared" ref="B53:V53" si="21">B46</f>
        <v>0.19542672817297607</v>
      </c>
      <c r="C53" s="70">
        <f t="shared" si="21"/>
        <v>0.1868451257991009</v>
      </c>
      <c r="D53" s="70">
        <f t="shared" si="21"/>
        <v>0.32316593793484077</v>
      </c>
      <c r="E53" s="70">
        <f t="shared" si="21"/>
        <v>0.82726532280221887</v>
      </c>
      <c r="F53" s="70">
        <f t="shared" si="21"/>
        <v>1.1857887513406506</v>
      </c>
      <c r="G53" s="70">
        <f t="shared" si="21"/>
        <v>1.1343194610688156</v>
      </c>
      <c r="H53" s="70">
        <f t="shared" si="21"/>
        <v>1.9551598960547645</v>
      </c>
      <c r="I53" s="70">
        <f t="shared" si="21"/>
        <v>0.14068244002838445</v>
      </c>
      <c r="J53" s="70">
        <f t="shared" si="21"/>
        <v>0.112356726100531</v>
      </c>
      <c r="K53" s="70">
        <f t="shared" si="21"/>
        <v>0.16362567452394494</v>
      </c>
      <c r="L53" s="70">
        <f t="shared" si="21"/>
        <v>0.12763440122849765</v>
      </c>
      <c r="M53" s="70">
        <f t="shared" si="21"/>
        <v>0.10254136609386315</v>
      </c>
      <c r="N53" s="70" t="e">
        <f t="shared" si="21"/>
        <v>#DIV/0!</v>
      </c>
      <c r="O53" s="70">
        <f t="shared" si="21"/>
        <v>1.0000000000000002</v>
      </c>
      <c r="P53" s="70">
        <f t="shared" si="21"/>
        <v>1.4486067213607798</v>
      </c>
      <c r="Q53" s="70">
        <f t="shared" si="21"/>
        <v>6.103801835290458E-2</v>
      </c>
      <c r="R53" s="70">
        <f t="shared" si="21"/>
        <v>0.53166973476409385</v>
      </c>
      <c r="S53" s="70">
        <f t="shared" si="21"/>
        <v>0.51321987763005206</v>
      </c>
      <c r="T53" s="70">
        <f t="shared" si="21"/>
        <v>0.46019713881592061</v>
      </c>
      <c r="U53" s="70">
        <f t="shared" si="21"/>
        <v>0.35564977380616841</v>
      </c>
      <c r="V53" s="70">
        <f t="shared" si="21"/>
        <v>0.28489622948111515</v>
      </c>
    </row>
    <row r="54" spans="1:22" s="3" customFormat="1">
      <c r="A54" s="43" t="s">
        <v>2</v>
      </c>
      <c r="B54" s="70">
        <f t="shared" ref="B54:V54" si="22">B48</f>
        <v>4.2519232552547095E-2</v>
      </c>
      <c r="C54" s="70">
        <f t="shared" si="22"/>
        <v>5.0453203759963414E-2</v>
      </c>
      <c r="D54" s="70">
        <f t="shared" si="22"/>
        <v>6.3484688336414227E-2</v>
      </c>
      <c r="E54" s="70">
        <f t="shared" si="22"/>
        <v>0.10106192807394061</v>
      </c>
      <c r="F54" s="70">
        <f t="shared" si="22"/>
        <v>0.14843821742446653</v>
      </c>
      <c r="G54" s="70">
        <f t="shared" si="22"/>
        <v>0.18310794630148017</v>
      </c>
      <c r="H54" s="70">
        <f t="shared" si="22"/>
        <v>0.22419514413801772</v>
      </c>
      <c r="I54" s="70">
        <f t="shared" si="22"/>
        <v>4.301045817161208E-2</v>
      </c>
      <c r="J54" s="70">
        <f t="shared" si="22"/>
        <v>3.7454001840075767E-2</v>
      </c>
      <c r="K54" s="70">
        <f t="shared" si="22"/>
        <v>6.9673982778565319E-2</v>
      </c>
      <c r="L54" s="70">
        <f t="shared" si="22"/>
        <v>4.5763615507013591E-2</v>
      </c>
      <c r="M54" s="70">
        <f t="shared" si="22"/>
        <v>3.3323963878670725E-2</v>
      </c>
      <c r="N54" s="70" t="e">
        <f t="shared" si="22"/>
        <v>#DIV/0!</v>
      </c>
      <c r="O54" s="70">
        <f t="shared" si="22"/>
        <v>6.7626863252341601E-2</v>
      </c>
      <c r="P54" s="70">
        <f t="shared" si="22"/>
        <v>0.17310979256194312</v>
      </c>
      <c r="Q54" s="70">
        <f t="shared" si="22"/>
        <v>2.2530050707009121E-2</v>
      </c>
      <c r="R54" s="70">
        <f t="shared" si="22"/>
        <v>0.13900218596235597</v>
      </c>
      <c r="S54" s="70">
        <f t="shared" si="22"/>
        <v>0.12014248729673492</v>
      </c>
      <c r="T54" s="70">
        <f t="shared" si="22"/>
        <v>0.11472729569089869</v>
      </c>
      <c r="U54" s="70">
        <f t="shared" si="22"/>
        <v>9.6460206193978826E-2</v>
      </c>
      <c r="V54" s="70">
        <f t="shared" si="22"/>
        <v>8.537917296804623E-2</v>
      </c>
    </row>
    <row r="55" spans="1:22" s="3" customFormat="1">
      <c r="A55" s="43" t="s">
        <v>42</v>
      </c>
      <c r="B55" s="70">
        <f>(B53*100/$B53)-100</f>
        <v>0</v>
      </c>
      <c r="C55" s="70">
        <f t="shared" ref="C55:N55" si="23">(C53*100/$B53)-100</f>
        <v>-4.3912122226594335</v>
      </c>
      <c r="D55" s="70">
        <f t="shared" si="23"/>
        <v>65.364247232753229</v>
      </c>
      <c r="E55" s="70">
        <f t="shared" si="23"/>
        <v>323.31227183519644</v>
      </c>
      <c r="F55" s="70">
        <f t="shared" si="23"/>
        <v>506.76897291709531</v>
      </c>
      <c r="G55" s="70">
        <f t="shared" si="23"/>
        <v>480.43209937220411</v>
      </c>
      <c r="H55" s="70">
        <f t="shared" si="23"/>
        <v>900.45675140414448</v>
      </c>
      <c r="I55" s="70">
        <f t="shared" si="23"/>
        <v>-28.012692356050891</v>
      </c>
      <c r="J55" s="70">
        <f t="shared" si="23"/>
        <v>-42.506980927868867</v>
      </c>
      <c r="K55" s="70">
        <f t="shared" si="23"/>
        <v>-16.272622453610026</v>
      </c>
      <c r="L55" s="70">
        <f t="shared" si="23"/>
        <v>-34.689383370566432</v>
      </c>
      <c r="M55" s="70">
        <f t="shared" si="23"/>
        <v>-47.529507835232366</v>
      </c>
      <c r="N55" s="70" t="e">
        <f t="shared" si="23"/>
        <v>#DIV/0!</v>
      </c>
      <c r="O55" s="70">
        <f>(O53*100/$O53)-100</f>
        <v>0</v>
      </c>
      <c r="P55" s="70">
        <f t="shared" ref="P55:V55" si="24">(P53*100/$O53)-100</f>
        <v>44.860672136077966</v>
      </c>
      <c r="Q55" s="70">
        <f t="shared" si="24"/>
        <v>-93.896198164709546</v>
      </c>
      <c r="R55" s="70">
        <f t="shared" si="24"/>
        <v>-46.833026523590632</v>
      </c>
      <c r="S55" s="70">
        <f t="shared" si="24"/>
        <v>-48.67801223699481</v>
      </c>
      <c r="T55" s="70">
        <f t="shared" si="24"/>
        <v>-53.980286118407946</v>
      </c>
      <c r="U55" s="70">
        <f t="shared" si="24"/>
        <v>-64.435022619383176</v>
      </c>
      <c r="V55" s="70">
        <f t="shared" si="24"/>
        <v>-71.510377051888497</v>
      </c>
    </row>
    <row r="56" spans="1:22" s="3" customFormat="1">
      <c r="A56" s="43" t="s">
        <v>43</v>
      </c>
      <c r="B56" s="70" t="e">
        <f ca="1">[1]!SWTEST(B28:B43)</f>
        <v>#NAME?</v>
      </c>
      <c r="C56" s="70" t="e">
        <f ca="1">[1]!SWTEST(C28:C43)</f>
        <v>#NAME?</v>
      </c>
      <c r="D56" s="70" t="e">
        <f ca="1">[1]!SWTEST(D28:D43)</f>
        <v>#NAME?</v>
      </c>
      <c r="E56" s="70" t="e">
        <f ca="1">[1]!SWTEST(E28:E43)</f>
        <v>#NAME?</v>
      </c>
      <c r="F56" s="70" t="e">
        <f ca="1">[1]!SWTEST(F28:F43)</f>
        <v>#NAME?</v>
      </c>
      <c r="G56" s="70" t="e">
        <f ca="1">[1]!SWTEST(G28:G43)</f>
        <v>#NAME?</v>
      </c>
      <c r="H56" s="70" t="e">
        <f ca="1">[1]!SWTEST(H28:H43)</f>
        <v>#NAME?</v>
      </c>
      <c r="I56" s="70" t="e">
        <f ca="1">[1]!SWTEST(I28:I43)</f>
        <v>#NAME?</v>
      </c>
      <c r="J56" s="70" t="e">
        <f ca="1">[1]!SWTEST(J28:J43)</f>
        <v>#NAME?</v>
      </c>
      <c r="K56" s="70" t="e">
        <f ca="1">[1]!SWTEST(K28:K43)</f>
        <v>#NAME?</v>
      </c>
      <c r="L56" s="70" t="e">
        <f ca="1">[1]!SWTEST(L28:L43)</f>
        <v>#NAME?</v>
      </c>
      <c r="M56" s="70" t="e">
        <f ca="1">[1]!SWTEST(M28:M43)</f>
        <v>#NAME?</v>
      </c>
      <c r="N56" s="70" t="e">
        <f ca="1">[1]!SWTEST(N28:N43)</f>
        <v>#NAME?</v>
      </c>
      <c r="O56" s="70" t="e">
        <f ca="1">[1]!SWTEST(O28:O43)</f>
        <v>#NAME?</v>
      </c>
      <c r="P56" s="70" t="e">
        <f ca="1">[1]!SWTEST(P28:P43)</f>
        <v>#NAME?</v>
      </c>
      <c r="Q56" s="70" t="e">
        <f ca="1">[1]!SWTEST(Q28:Q43)</f>
        <v>#NAME?</v>
      </c>
      <c r="R56" s="70" t="e">
        <f ca="1">[1]!SWTEST(R28:R43)</f>
        <v>#NAME?</v>
      </c>
      <c r="S56" s="70" t="e">
        <f ca="1">[1]!SWTEST(S28:S43)</f>
        <v>#NAME?</v>
      </c>
      <c r="T56" s="70" t="e">
        <f ca="1">[1]!SWTEST(T28:T43)</f>
        <v>#NAME?</v>
      </c>
      <c r="U56" s="70" t="e">
        <f ca="1">[1]!SWTEST(U28:U43)</f>
        <v>#NAME?</v>
      </c>
      <c r="V56" s="70" t="e">
        <f ca="1">[1]!SWTEST(V28:V43)</f>
        <v>#NAME?</v>
      </c>
    </row>
    <row r="57" spans="1:22" s="3" customFormat="1">
      <c r="A57" s="43" t="s">
        <v>47</v>
      </c>
      <c r="B57" s="70" t="e">
        <f ca="1">IF(B56&gt;0.05,"Oui","Non")</f>
        <v>#NAME?</v>
      </c>
      <c r="C57" s="70" t="e">
        <f t="shared" ref="C57:V57" ca="1" si="25">IF(C56&gt;0.05,"Oui","Non")</f>
        <v>#NAME?</v>
      </c>
      <c r="D57" s="70" t="e">
        <f t="shared" ca="1" si="25"/>
        <v>#NAME?</v>
      </c>
      <c r="E57" s="70" t="e">
        <f t="shared" ca="1" si="25"/>
        <v>#NAME?</v>
      </c>
      <c r="F57" s="70" t="e">
        <f t="shared" ca="1" si="25"/>
        <v>#NAME?</v>
      </c>
      <c r="G57" s="70" t="e">
        <f t="shared" ca="1" si="25"/>
        <v>#NAME?</v>
      </c>
      <c r="H57" s="70" t="e">
        <f t="shared" ca="1" si="25"/>
        <v>#NAME?</v>
      </c>
      <c r="I57" s="70" t="e">
        <f t="shared" ca="1" si="25"/>
        <v>#NAME?</v>
      </c>
      <c r="J57" s="70" t="e">
        <f t="shared" ca="1" si="25"/>
        <v>#NAME?</v>
      </c>
      <c r="K57" s="70" t="e">
        <f t="shared" ca="1" si="25"/>
        <v>#NAME?</v>
      </c>
      <c r="L57" s="70" t="e">
        <f t="shared" ca="1" si="25"/>
        <v>#NAME?</v>
      </c>
      <c r="M57" s="70" t="e">
        <f t="shared" ca="1" si="25"/>
        <v>#NAME?</v>
      </c>
      <c r="N57" s="70" t="e">
        <f t="shared" ca="1" si="25"/>
        <v>#NAME?</v>
      </c>
      <c r="O57" s="70" t="e">
        <f t="shared" ca="1" si="25"/>
        <v>#NAME?</v>
      </c>
      <c r="P57" s="70" t="e">
        <f t="shared" ca="1" si="25"/>
        <v>#NAME?</v>
      </c>
      <c r="Q57" s="70" t="e">
        <f t="shared" ca="1" si="25"/>
        <v>#NAME?</v>
      </c>
      <c r="R57" s="70" t="e">
        <f t="shared" ca="1" si="25"/>
        <v>#NAME?</v>
      </c>
      <c r="S57" s="70" t="e">
        <f t="shared" ca="1" si="25"/>
        <v>#NAME?</v>
      </c>
      <c r="T57" s="70" t="e">
        <f t="shared" ca="1" si="25"/>
        <v>#NAME?</v>
      </c>
      <c r="U57" s="70" t="e">
        <f t="shared" ca="1" si="25"/>
        <v>#NAME?</v>
      </c>
      <c r="V57" s="70" t="e">
        <f t="shared" ca="1" si="25"/>
        <v>#NAME?</v>
      </c>
    </row>
    <row r="58" spans="1:22" s="3" customFormat="1">
      <c r="A58" s="43"/>
      <c r="B58" s="70"/>
      <c r="C58" s="70"/>
      <c r="D58" s="70"/>
      <c r="E58" s="70"/>
      <c r="F58" s="70"/>
      <c r="G58" s="70"/>
      <c r="H58" s="70"/>
      <c r="I58" s="70"/>
      <c r="J58" s="70"/>
      <c r="K58" s="70"/>
      <c r="L58" s="70"/>
      <c r="M58" s="70"/>
      <c r="N58" s="70"/>
      <c r="O58" s="72"/>
      <c r="P58" s="70"/>
      <c r="Q58" s="70"/>
      <c r="R58" s="70"/>
      <c r="S58" s="70"/>
      <c r="T58" s="70"/>
      <c r="U58" s="70"/>
      <c r="V58" s="70"/>
    </row>
    <row r="59" spans="1:22" s="3" customFormat="1">
      <c r="A59" s="43" t="s">
        <v>44</v>
      </c>
      <c r="B59" s="73"/>
      <c r="C59" s="73" t="e">
        <f t="shared" ref="C59:O59" ca="1" si="26">IF($B57="Non",IF(C57="Non","MW",IF(C57="Oui","MW","")),IF($B57="Oui",IF(C57="Oui","T-Test Welch",IF(C57="Non","MW",""))))</f>
        <v>#NAME?</v>
      </c>
      <c r="D59" s="73" t="e">
        <f t="shared" ca="1" si="26"/>
        <v>#NAME?</v>
      </c>
      <c r="E59" s="73" t="e">
        <f t="shared" ca="1" si="26"/>
        <v>#NAME?</v>
      </c>
      <c r="F59" s="73" t="e">
        <f t="shared" ca="1" si="26"/>
        <v>#NAME?</v>
      </c>
      <c r="G59" s="73" t="e">
        <f t="shared" ca="1" si="26"/>
        <v>#NAME?</v>
      </c>
      <c r="H59" s="73" t="e">
        <f t="shared" ca="1" si="26"/>
        <v>#NAME?</v>
      </c>
      <c r="I59" s="73" t="e">
        <f t="shared" ca="1" si="26"/>
        <v>#NAME?</v>
      </c>
      <c r="J59" s="73" t="e">
        <f t="shared" ca="1" si="26"/>
        <v>#NAME?</v>
      </c>
      <c r="K59" s="73" t="e">
        <f t="shared" ca="1" si="26"/>
        <v>#NAME?</v>
      </c>
      <c r="L59" s="73" t="e">
        <f t="shared" ca="1" si="26"/>
        <v>#NAME?</v>
      </c>
      <c r="M59" s="73" t="e">
        <f t="shared" ca="1" si="26"/>
        <v>#NAME?</v>
      </c>
      <c r="N59" s="73" t="e">
        <f t="shared" ca="1" si="26"/>
        <v>#NAME?</v>
      </c>
      <c r="O59" s="73" t="e">
        <f t="shared" ca="1" si="26"/>
        <v>#NAME?</v>
      </c>
      <c r="P59" s="73" t="e">
        <f ca="1">IF($O57="Non",IF(P57="Non","MW",IF(P57="Oui","MW","")),IF($O57="Oui",IF(P57="Oui","T-Test Welch",IF(P57="Non","MW",""))))</f>
        <v>#NAME?</v>
      </c>
      <c r="Q59" s="73" t="e">
        <f t="shared" ref="Q59:V59" ca="1" si="27">IF($O57="Non",IF(Q57="Non","MW",IF(Q57="Oui","MW","")),IF($O57="Oui",IF(Q57="Oui","T-Test Welch",IF(Q57="Non","MW",""))))</f>
        <v>#NAME?</v>
      </c>
      <c r="R59" s="73" t="e">
        <f t="shared" ca="1" si="27"/>
        <v>#NAME?</v>
      </c>
      <c r="S59" s="73" t="e">
        <f t="shared" ca="1" si="27"/>
        <v>#NAME?</v>
      </c>
      <c r="T59" s="73" t="e">
        <f t="shared" ca="1" si="27"/>
        <v>#NAME?</v>
      </c>
      <c r="U59" s="73" t="e">
        <f t="shared" ca="1" si="27"/>
        <v>#NAME?</v>
      </c>
      <c r="V59" s="73" t="e">
        <f t="shared" ca="1" si="27"/>
        <v>#NAME?</v>
      </c>
    </row>
    <row r="60" spans="1:22" s="3" customFormat="1">
      <c r="A60" s="43" t="s">
        <v>45</v>
      </c>
      <c r="B60" s="74"/>
      <c r="C60" s="74" t="e">
        <f ca="1">IF(C59="MW",[1]!MTEST($B28:$B43,C28:C43,2), IF(C59="T-Test Welch",_xlfn.T.TEST($B28:$B43,C28:C43,2,3),""))</f>
        <v>#NAME?</v>
      </c>
      <c r="D60" s="74" t="e">
        <f ca="1">IF(D59="MW",[1]!MTEST($B28:$B43,D28:D43,2), IF(D59="T-Test Welch",_xlfn.T.TEST($B28:$B43,D28:D43,2,3),""))</f>
        <v>#NAME?</v>
      </c>
      <c r="E60" s="74" t="e">
        <f ca="1">IF(E59="MW",[1]!MTEST($B28:$B43,E28:E43,2), IF(E59="T-Test Welch",_xlfn.T.TEST($B28:$B43,E28:E43,2,3),""))</f>
        <v>#NAME?</v>
      </c>
      <c r="F60" s="74" t="e">
        <f ca="1">IF(F59="MW",[1]!MTEST($B28:$B43,F28:F43,2), IF(F59="T-Test Welch",_xlfn.T.TEST($B28:$B43,F28:F43,2,3),""))</f>
        <v>#NAME?</v>
      </c>
      <c r="G60" s="74" t="e">
        <f ca="1">IF(G59="MW",[1]!MTEST($B28:$B43,G28:G43,2), IF(G59="T-Test Welch",_xlfn.T.TEST($B28:$B43,G28:G43,2,3),""))</f>
        <v>#NAME?</v>
      </c>
      <c r="H60" s="74" t="e">
        <f ca="1">IF(H59="MW",[1]!MTEST($B28:$B43,H28:H43,2), IF(H59="T-Test Welch",_xlfn.T.TEST($B28:$B43,H28:H43,2,3),""))</f>
        <v>#NAME?</v>
      </c>
      <c r="I60" s="74" t="e">
        <f ca="1">IF(I59="MW",[1]!MTEST($B28:$B43,I28:I43,2), IF(I59="T-Test Welch",_xlfn.T.TEST($B28:$B43,I28:I43,2,3),""))</f>
        <v>#NAME?</v>
      </c>
      <c r="J60" s="74" t="e">
        <f ca="1">IF(J59="MW",[1]!MTEST($B28:$B43,J28:J43,2), IF(J59="T-Test Welch",_xlfn.T.TEST($B28:$B43,J28:J43,2,3),""))</f>
        <v>#NAME?</v>
      </c>
      <c r="K60" s="74" t="e">
        <f ca="1">IF(K59="MW",[1]!MTEST($B28:$B43,K28:K43,2), IF(K59="T-Test Welch",_xlfn.T.TEST($B28:$B43,K28:K43,2,3),""))</f>
        <v>#NAME?</v>
      </c>
      <c r="L60" s="74" t="e">
        <f ca="1">IF(L59="MW",[1]!MTEST($B28:$B43,L28:L43,2), IF(L59="T-Test Welch",_xlfn.T.TEST($B28:$B43,L28:L43,2,3),""))</f>
        <v>#NAME?</v>
      </c>
      <c r="M60" s="74" t="e">
        <f ca="1">IF(M59="MW",[1]!MTEST($B28:$B43,M28:M43,2), IF(M59="T-Test Welch",_xlfn.T.TEST($B28:$B43,M28:M43,2,3),""))</f>
        <v>#NAME?</v>
      </c>
      <c r="N60" s="74" t="e">
        <f ca="1">IF(N59="MW",[1]!MTEST($B28:$B43,N28:N43,2), IF(N59="T-Test Welch",_xlfn.T.TEST($B28:$B43,N28:N43,2,3),""))</f>
        <v>#NAME?</v>
      </c>
      <c r="O60" s="74" t="e">
        <f ca="1">IF(O59="MW",[1]!MTEST($B28:$B43,O28:O43,2), IF(O59="T-Test Welch",_xlfn.T.TEST($B28:$B43,O28:O43,2,3),""))</f>
        <v>#NAME?</v>
      </c>
      <c r="P60" s="74" t="e">
        <f ca="1">IF(P59="MW",[1]!MTEST($O28:$O43,P28:P43,2), IF(P59="T-Test Welch",_xlfn.T.TEST($O28:$O43,P28:P43,2,3),""))</f>
        <v>#NAME?</v>
      </c>
      <c r="Q60" s="74" t="e">
        <f ca="1">IF(Q59="MW",[1]!MTEST($O28:$O43,Q28:Q43,2), IF(Q59="T-Test Welch",_xlfn.T.TEST($O28:$O43,Q28:Q43,2,3),""))</f>
        <v>#NAME?</v>
      </c>
      <c r="R60" s="74" t="e">
        <f ca="1">IF(R59="MW",[1]!MTEST($O28:$O43,R28:R43,2), IF(R59="T-Test Welch",_xlfn.T.TEST($O28:$O43,R28:R43,2,3),""))</f>
        <v>#NAME?</v>
      </c>
      <c r="S60" s="74" t="e">
        <f ca="1">IF(S59="MW",[1]!MTEST($O28:$O43,S28:S43,2), IF(S59="T-Test Welch",_xlfn.T.TEST($O28:$O43,S28:S43,2,3),""))</f>
        <v>#NAME?</v>
      </c>
      <c r="T60" s="74" t="e">
        <f ca="1">IF(T59="MW",[1]!MTEST($O28:$O43,T28:T43,2), IF(T59="T-Test Welch",_xlfn.T.TEST($O28:$O43,T28:T43,2,3),""))</f>
        <v>#NAME?</v>
      </c>
      <c r="U60" s="74" t="e">
        <f ca="1">IF(U59="MW",[1]!MTEST($O28:$O43,U28:U43,2), IF(U59="T-Test Welch",_xlfn.T.TEST($O28:$O43,U28:U43,2,3),""))</f>
        <v>#NAME?</v>
      </c>
      <c r="V60" s="74" t="e">
        <f ca="1">IF(V59="MW",[1]!MTEST($O28:$O43,V28:V43,2), IF(V59="T-Test Welch",_xlfn.T.TEST($O28:$O43,V28:V43,2,3),""))</f>
        <v>#NAME?</v>
      </c>
    </row>
    <row r="61" spans="1:22" s="3" customFormat="1" ht="15.75" thickBot="1">
      <c r="A61" s="44" t="s">
        <v>46</v>
      </c>
      <c r="B61" s="71"/>
      <c r="C61" s="71" t="e">
        <f t="shared" ref="C61:O61" ca="1" si="28">IF(C60&gt;0.05,"NS",IF(C60&gt;0.01,"*",IF(C60&gt;0.001,"**","***")))</f>
        <v>#NAME?</v>
      </c>
      <c r="D61" s="71" t="e">
        <f t="shared" ca="1" si="28"/>
        <v>#NAME?</v>
      </c>
      <c r="E61" s="71" t="e">
        <f t="shared" ca="1" si="28"/>
        <v>#NAME?</v>
      </c>
      <c r="F61" s="71" t="e">
        <f t="shared" ca="1" si="28"/>
        <v>#NAME?</v>
      </c>
      <c r="G61" s="71" t="e">
        <f t="shared" ca="1" si="28"/>
        <v>#NAME?</v>
      </c>
      <c r="H61" s="71" t="e">
        <f t="shared" ca="1" si="28"/>
        <v>#NAME?</v>
      </c>
      <c r="I61" s="71" t="e">
        <f t="shared" ca="1" si="28"/>
        <v>#NAME?</v>
      </c>
      <c r="J61" s="71" t="e">
        <f t="shared" ca="1" si="28"/>
        <v>#NAME?</v>
      </c>
      <c r="K61" s="71" t="e">
        <f t="shared" ca="1" si="28"/>
        <v>#NAME?</v>
      </c>
      <c r="L61" s="71" t="e">
        <f t="shared" ca="1" si="28"/>
        <v>#NAME?</v>
      </c>
      <c r="M61" s="71" t="e">
        <f t="shared" ca="1" si="28"/>
        <v>#NAME?</v>
      </c>
      <c r="N61" s="71" t="e">
        <f t="shared" ca="1" si="28"/>
        <v>#NAME?</v>
      </c>
      <c r="O61" s="71" t="e">
        <f t="shared" ca="1" si="28"/>
        <v>#NAME?</v>
      </c>
      <c r="P61" s="71" t="e">
        <f ca="1">IF(P60&gt;0.05,"NS",IF(P60&gt;0.01,"*",IF(P60&gt;0.001,"**","***")))</f>
        <v>#NAME?</v>
      </c>
      <c r="Q61" s="71" t="e">
        <f t="shared" ref="Q61:V61" ca="1" si="29">IF(Q60&gt;0.05,"NS",IF(Q60&gt;0.01,"*",IF(Q60&gt;0.001,"**","***")))</f>
        <v>#NAME?</v>
      </c>
      <c r="R61" s="71" t="e">
        <f t="shared" ca="1" si="29"/>
        <v>#NAME?</v>
      </c>
      <c r="S61" s="71" t="e">
        <f t="shared" ca="1" si="29"/>
        <v>#NAME?</v>
      </c>
      <c r="T61" s="71" t="e">
        <f t="shared" ca="1" si="29"/>
        <v>#NAME?</v>
      </c>
      <c r="U61" s="71" t="e">
        <f t="shared" ca="1" si="29"/>
        <v>#NAME?</v>
      </c>
      <c r="V61" s="71" t="e">
        <f t="shared" ca="1" si="29"/>
        <v>#NAME?</v>
      </c>
    </row>
    <row r="63" spans="1:22">
      <c r="A63" s="2" t="s">
        <v>20</v>
      </c>
    </row>
    <row r="64" spans="1:22">
      <c r="A64" s="1" t="s">
        <v>13</v>
      </c>
      <c r="B64" s="1">
        <f>B46+(3*B47)</f>
        <v>0.55621438019802227</v>
      </c>
    </row>
    <row r="65" spans="1:22">
      <c r="A65" s="1" t="s">
        <v>14</v>
      </c>
      <c r="B65" s="1">
        <f>B46+(10*B47)</f>
        <v>1.3980522349231301</v>
      </c>
    </row>
    <row r="66" spans="1:22" ht="15.75" thickBot="1"/>
    <row r="67" spans="1:22" ht="27" thickBot="1">
      <c r="A67" s="135" t="s">
        <v>25</v>
      </c>
      <c r="B67" s="136"/>
      <c r="C67" s="136"/>
      <c r="D67" s="136"/>
      <c r="E67" s="136"/>
      <c r="F67" s="136"/>
      <c r="G67" s="136"/>
      <c r="H67" s="136"/>
      <c r="I67" s="136"/>
      <c r="J67" s="136"/>
      <c r="K67" s="136"/>
      <c r="L67" s="136"/>
      <c r="M67" s="136"/>
      <c r="N67" s="136"/>
      <c r="O67" s="136"/>
      <c r="P67" s="136"/>
      <c r="Q67" s="136"/>
      <c r="R67" s="136"/>
      <c r="S67" s="136"/>
      <c r="T67" s="136"/>
      <c r="U67" s="136"/>
      <c r="V67" s="136"/>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N3"/>
    <mergeCell ref="O3:V3"/>
    <mergeCell ref="A5:A20"/>
    <mergeCell ref="B26:N26"/>
    <mergeCell ref="O26:V26"/>
  </mergeCells>
  <phoneticPr fontId="12"/>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05"/>
  <sheetViews>
    <sheetView showGridLines="0" topLeftCell="G73" zoomScale="70" zoomScaleNormal="70" workbookViewId="0">
      <selection activeCell="B94" sqref="B94:V94"/>
    </sheetView>
  </sheetViews>
  <sheetFormatPr defaultColWidth="11" defaultRowHeight="15"/>
  <cols>
    <col min="1" max="1" width="42.85546875" customWidth="1"/>
    <col min="2" max="2" width="14" bestFit="1" customWidth="1"/>
    <col min="3" max="14" width="22.7109375" bestFit="1" customWidth="1"/>
    <col min="15" max="15" width="8.42578125" customWidth="1"/>
    <col min="16" max="16" width="22.7109375" customWidth="1"/>
    <col min="18" max="18" width="28.140625" bestFit="1" customWidth="1"/>
    <col min="19" max="23" width="29.140625" customWidth="1"/>
  </cols>
  <sheetData>
    <row r="1" spans="1:23" s="1" customFormat="1" ht="21.75" thickBot="1">
      <c r="A1" s="21" t="s">
        <v>7</v>
      </c>
      <c r="B1" s="37" t="e">
        <f>'Front page'!#REF!</f>
        <v>#REF!</v>
      </c>
      <c r="C1" s="22"/>
      <c r="D1" s="22"/>
      <c r="E1" s="22"/>
      <c r="F1" s="22"/>
      <c r="G1" s="22"/>
      <c r="H1" s="38"/>
      <c r="I1" s="37"/>
      <c r="J1" s="39"/>
      <c r="K1" s="39"/>
      <c r="L1" s="39"/>
      <c r="M1" s="39"/>
      <c r="N1" s="39"/>
      <c r="O1" s="39"/>
      <c r="P1" s="39"/>
      <c r="Q1" s="39"/>
      <c r="R1" s="39"/>
      <c r="S1" s="39"/>
      <c r="T1" s="39"/>
      <c r="U1" s="39"/>
      <c r="V1" s="39"/>
      <c r="W1" s="39"/>
    </row>
    <row r="2" spans="1:23" ht="15.75" thickBot="1">
      <c r="A2" s="1"/>
      <c r="B2" s="1"/>
      <c r="C2" s="1"/>
      <c r="D2" s="1"/>
      <c r="E2" s="1"/>
      <c r="F2" s="1"/>
      <c r="G2" s="1"/>
      <c r="H2" s="1"/>
      <c r="I2" s="1"/>
      <c r="J2" s="1"/>
      <c r="K2" s="1"/>
      <c r="L2" s="1"/>
      <c r="M2" s="1"/>
      <c r="N2" s="1"/>
    </row>
    <row r="3" spans="1:23" s="17" customFormat="1" ht="15.75" thickBot="1">
      <c r="B3" s="141" t="s">
        <v>6</v>
      </c>
      <c r="C3" s="142"/>
      <c r="D3" s="142"/>
      <c r="E3" s="142"/>
      <c r="F3" s="142"/>
      <c r="G3" s="142"/>
      <c r="H3" s="142"/>
      <c r="I3" s="142"/>
      <c r="J3" s="142"/>
      <c r="K3" s="142"/>
      <c r="L3" s="142"/>
      <c r="M3" s="142"/>
      <c r="N3" s="142"/>
      <c r="O3" s="53"/>
      <c r="P3" s="141" t="s">
        <v>3</v>
      </c>
      <c r="Q3" s="142"/>
      <c r="R3" s="142"/>
      <c r="S3" s="142"/>
      <c r="T3" s="142"/>
      <c r="U3" s="142"/>
      <c r="V3" s="142"/>
      <c r="W3" s="142"/>
    </row>
    <row r="4" spans="1:23">
      <c r="A4" s="18" t="s">
        <v>22</v>
      </c>
      <c r="B4" s="19" t="str">
        <f>'R1'!B4</f>
        <v>Solvent control</v>
      </c>
      <c r="C4" s="19" t="str">
        <f>'R1'!C4</f>
        <v>EE2-33.8ng/L</v>
      </c>
      <c r="D4" s="19" t="str">
        <f>'R1'!D4</f>
        <v>EE2-50.6ng/L</v>
      </c>
      <c r="E4" s="19" t="str">
        <f>'R1'!E4</f>
        <v>EE2-76ng/L</v>
      </c>
      <c r="F4" s="19" t="str">
        <f>'R1'!F4</f>
        <v>EE2-114ng/L</v>
      </c>
      <c r="G4" s="19" t="str">
        <f>'R1'!G4</f>
        <v>EE2-170.9ng/L</v>
      </c>
      <c r="H4" s="19" t="str">
        <f>'R1'!H4</f>
        <v>EE2-488ng/L</v>
      </c>
      <c r="I4" s="19" t="str">
        <f>'R1'!I4</f>
        <v>prochroraz-0.063mg/L</v>
      </c>
      <c r="J4" s="19" t="str">
        <f>'R1'!J4</f>
        <v>prochroraz-0.13mg/L</v>
      </c>
      <c r="K4" s="19" t="str">
        <f>'R1'!K4</f>
        <v>prochroraz-0.25mg/L</v>
      </c>
      <c r="L4" s="19" t="str">
        <f>'R1'!L4</f>
        <v>prochroraz-0.5mg/L</v>
      </c>
      <c r="M4" s="19" t="str">
        <f>'R1'!M4</f>
        <v>prochroraz-1mg/L</v>
      </c>
      <c r="N4" s="19" t="str">
        <f>'R1'!N4</f>
        <v/>
      </c>
      <c r="P4" s="19" t="str">
        <f>'R1'!O4</f>
        <v>Testo -30µg/L</v>
      </c>
      <c r="Q4" s="19" t="str">
        <f>'R1'!P4</f>
        <v>Testo 30µg/L + EE2 -64ng/L</v>
      </c>
      <c r="R4" s="19" t="str">
        <f>'R1'!Q4</f>
        <v>Testo 30µg/L + FAD-10mg/L</v>
      </c>
      <c r="S4" s="19" t="str">
        <f>'R1'!R4</f>
        <v>prochroraz-0.063mg/L + Testostérone</v>
      </c>
      <c r="T4" s="19" t="str">
        <f>'R1'!S4</f>
        <v>prochroraz-0.13mg/L + Testostérone</v>
      </c>
      <c r="U4" s="19" t="str">
        <f>'R1'!T4</f>
        <v>prochroraz-0.25mg/L + Testostérone</v>
      </c>
      <c r="V4" s="19" t="str">
        <f>'R1'!U4</f>
        <v>prochroraz-0.5mg/L + Testostérone</v>
      </c>
      <c r="W4" s="19" t="str">
        <f>'R1'!V4</f>
        <v>prochroraz-1mg/L + Testostérone</v>
      </c>
    </row>
    <row r="5" spans="1:23" s="1" customFormat="1">
      <c r="A5" s="18"/>
      <c r="B5" s="19"/>
      <c r="C5" s="103"/>
      <c r="D5" s="19"/>
      <c r="E5" s="19"/>
      <c r="F5" s="19"/>
      <c r="G5" s="19"/>
      <c r="H5" s="19"/>
      <c r="I5" s="19"/>
      <c r="J5" s="19"/>
      <c r="K5" s="19"/>
      <c r="L5" s="19"/>
      <c r="M5" s="19"/>
      <c r="N5" s="19"/>
      <c r="P5" s="19"/>
      <c r="Q5" s="19"/>
      <c r="R5" s="19"/>
      <c r="S5" s="19"/>
      <c r="T5" s="19"/>
      <c r="U5" s="19"/>
      <c r="V5" s="19"/>
      <c r="W5" s="19"/>
    </row>
    <row r="6" spans="1:23" s="1" customFormat="1">
      <c r="A6" s="52" t="s">
        <v>4</v>
      </c>
      <c r="B6" s="35">
        <f>'R1'!B28</f>
        <v>0.2501756276756314</v>
      </c>
      <c r="C6" s="35">
        <f>'R1'!C28</f>
        <v>0.29176693988356295</v>
      </c>
      <c r="D6" s="35">
        <f>'R1'!D28</f>
        <v>0.57997894908951808</v>
      </c>
      <c r="E6" s="35">
        <f>'R1'!E28</f>
        <v>0.27491843003668015</v>
      </c>
      <c r="F6" s="35">
        <f>'R1'!F28</f>
        <v>2.2912524842806299</v>
      </c>
      <c r="G6" s="35">
        <f>'R1'!G28</f>
        <v>1.8369216890660676</v>
      </c>
      <c r="H6" s="35">
        <f>'R1'!H28</f>
        <v>2.3639421073867664</v>
      </c>
      <c r="I6" s="35">
        <f>'R1'!I28</f>
        <v>0.30674999402127506</v>
      </c>
      <c r="J6" s="35">
        <f>'R1'!J28</f>
        <v>1.047504409128436E-4</v>
      </c>
      <c r="K6" s="35">
        <f>'R1'!K28</f>
        <v>0.23550009090374199</v>
      </c>
      <c r="L6" s="35">
        <f>'R1'!L28</f>
        <v>1.3383814191947009E-2</v>
      </c>
      <c r="M6" s="35">
        <f>'R1'!M28</f>
        <v>0.16352396794370891</v>
      </c>
      <c r="N6" s="35" t="str">
        <f>'R1'!N28</f>
        <v/>
      </c>
      <c r="O6"/>
      <c r="P6" s="35">
        <f>'R1'!O28</f>
        <v>0.60723755775431931</v>
      </c>
      <c r="Q6" s="35">
        <f>'R1'!P28</f>
        <v>1.8268490363113756</v>
      </c>
      <c r="R6" s="35">
        <f>'R1'!Q28</f>
        <v>0.36287004274033102</v>
      </c>
      <c r="S6" s="35">
        <f>'R1'!R28</f>
        <v>9.3704207631610206E-2</v>
      </c>
      <c r="T6" s="35">
        <f>'R1'!S28</f>
        <v>0.35343038193572662</v>
      </c>
      <c r="U6" s="35">
        <f>'R1'!T28</f>
        <v>0.10118593305206655</v>
      </c>
      <c r="V6" s="35">
        <f>'R1'!U28</f>
        <v>8.4667087807085151E-2</v>
      </c>
      <c r="W6" s="35">
        <f>'R1'!V28</f>
        <v>5.7461452936688431E-2</v>
      </c>
    </row>
    <row r="7" spans="1:23" s="1" customFormat="1">
      <c r="A7" s="137" t="s">
        <v>17</v>
      </c>
      <c r="B7" s="35">
        <f>'R1'!B29</f>
        <v>0.17788360731450256</v>
      </c>
      <c r="C7" s="35">
        <f>'R1'!C29</f>
        <v>0.615203529498767</v>
      </c>
      <c r="D7" s="35">
        <f>'R1'!D29</f>
        <v>0.1585667281492521</v>
      </c>
      <c r="E7" s="35">
        <f>'R1'!E29</f>
        <v>0.98887887950623188</v>
      </c>
      <c r="F7" s="35">
        <f>'R1'!F29</f>
        <v>1.0585665046192934</v>
      </c>
      <c r="G7" s="35">
        <f>'R1'!G29</f>
        <v>1.5630919153974459</v>
      </c>
      <c r="H7" s="35">
        <f>'R1'!H29</f>
        <v>1.2146395737008717</v>
      </c>
      <c r="I7" s="35">
        <f>'R1'!I29</f>
        <v>6.2353448170805242E-3</v>
      </c>
      <c r="J7" s="35">
        <f>'R1'!J29</f>
        <v>8.7605786605151476E-3</v>
      </c>
      <c r="K7" s="35">
        <f>'R1'!K29</f>
        <v>0.26049908291456619</v>
      </c>
      <c r="L7" s="35">
        <f>'R1'!L29</f>
        <v>0.16461786183381302</v>
      </c>
      <c r="M7" s="35">
        <f>'R1'!M29</f>
        <v>0.26818028310321795</v>
      </c>
      <c r="N7" s="35" t="str">
        <f>'R1'!N29</f>
        <v/>
      </c>
      <c r="O7"/>
      <c r="P7" s="35">
        <f>'R1'!O29</f>
        <v>0.97380753571117895</v>
      </c>
      <c r="Q7" s="35">
        <f>'R1'!P29</f>
        <v>1.5330087859151733</v>
      </c>
      <c r="R7" s="35">
        <f>'R1'!Q29</f>
        <v>1.7505744041867406E-2</v>
      </c>
      <c r="S7" s="35">
        <f>'R1'!R29</f>
        <v>0.92402563688478512</v>
      </c>
      <c r="T7" s="35">
        <f>'R1'!S29</f>
        <v>0.53949170652880785</v>
      </c>
      <c r="U7" s="35">
        <f>'R1'!T29</f>
        <v>0.12773612944932292</v>
      </c>
      <c r="V7" s="35">
        <f>'R1'!U29</f>
        <v>0.86678356130006562</v>
      </c>
      <c r="W7" s="35">
        <f>'R1'!V29</f>
        <v>0.24885906427684396</v>
      </c>
    </row>
    <row r="8" spans="1:23" s="1" customFormat="1">
      <c r="A8" s="146"/>
      <c r="B8" s="35">
        <f>'R1'!B30</f>
        <v>2.393397931371458E-2</v>
      </c>
      <c r="C8" s="35">
        <f>'R1'!C30</f>
        <v>0.51900671030389212</v>
      </c>
      <c r="D8" s="35">
        <f>'R1'!D30</f>
        <v>0.54982833039460022</v>
      </c>
      <c r="E8" s="35">
        <f>'R1'!E30</f>
        <v>0.78485210607916289</v>
      </c>
      <c r="F8" s="35">
        <f>'R1'!F30</f>
        <v>1.4569367710719612</v>
      </c>
      <c r="G8" s="35">
        <f>'R1'!G30</f>
        <v>2.5547079239247306</v>
      </c>
      <c r="H8" s="35">
        <f>'R1'!H30</f>
        <v>1.7275336468470384</v>
      </c>
      <c r="I8" s="35">
        <f>'R1'!I30</f>
        <v>0.24035078453544176</v>
      </c>
      <c r="J8" s="35">
        <f>'R1'!J30</f>
        <v>5.1699729756020975E-2</v>
      </c>
      <c r="K8" s="35">
        <f>'R1'!K30</f>
        <v>0.13890926040754786</v>
      </c>
      <c r="L8" s="35">
        <f>'R1'!L30</f>
        <v>6.6706577208168992E-3</v>
      </c>
      <c r="M8" s="35">
        <f>'R1'!M30</f>
        <v>0.3643006344762264</v>
      </c>
      <c r="N8" s="35" t="str">
        <f>'R1'!N30</f>
        <v/>
      </c>
      <c r="O8"/>
      <c r="P8" s="35">
        <f>'R1'!O30</f>
        <v>1.6226482275089043</v>
      </c>
      <c r="Q8" s="35">
        <f>'R1'!P30</f>
        <v>2.2418135683264819</v>
      </c>
      <c r="R8" s="35">
        <f>'R1'!Q30</f>
        <v>0.22942621140915428</v>
      </c>
      <c r="S8" s="35">
        <f>'R1'!R30</f>
        <v>0.37894070574169247</v>
      </c>
      <c r="T8" s="35">
        <f>'R1'!S30</f>
        <v>0.42255878933780056</v>
      </c>
      <c r="U8" s="35">
        <f>'R1'!T30</f>
        <v>0.3322250019643046</v>
      </c>
      <c r="V8" s="35">
        <f>'R1'!U30</f>
        <v>0.21861012981095509</v>
      </c>
      <c r="W8" s="35">
        <f>'R1'!V30</f>
        <v>0.53905489719020128</v>
      </c>
    </row>
    <row r="9" spans="1:23" s="1" customFormat="1">
      <c r="A9" s="146"/>
      <c r="B9" s="35">
        <f>'R1'!B31</f>
        <v>4.3174540300585693E-2</v>
      </c>
      <c r="C9" s="35">
        <f>'R1'!C31</f>
        <v>0.32678246834144725</v>
      </c>
      <c r="D9" s="35">
        <f>'R1'!D31</f>
        <v>1.5504126227423813</v>
      </c>
      <c r="E9" s="35">
        <f>'R1'!E31</f>
        <v>1.0880129010643029</v>
      </c>
      <c r="F9" s="35">
        <f>'R1'!F31</f>
        <v>2.2542197616177382</v>
      </c>
      <c r="G9" s="35">
        <f>'R1'!G31</f>
        <v>1.490529938185736</v>
      </c>
      <c r="H9" s="35">
        <f>'R1'!H31</f>
        <v>3.7394427431798554</v>
      </c>
      <c r="I9" s="35">
        <f>'R1'!I31</f>
        <v>7.34736053346257E-2</v>
      </c>
      <c r="J9" s="35">
        <f>'R1'!J31</f>
        <v>1.8757062880314829E-2</v>
      </c>
      <c r="K9" s="35">
        <f>'R1'!K31</f>
        <v>0.32624315321423314</v>
      </c>
      <c r="L9" s="35">
        <f>'R1'!L31</f>
        <v>0.13719090424611619</v>
      </c>
      <c r="M9" s="35">
        <f>'R1'!M31</f>
        <v>3.9662108373291032E-2</v>
      </c>
      <c r="N9" s="35" t="str">
        <f>'R1'!N31</f>
        <v/>
      </c>
      <c r="O9"/>
      <c r="P9" s="35">
        <f>'R1'!O31</f>
        <v>1.0404126546351495</v>
      </c>
      <c r="Q9" s="35">
        <f>'R1'!P31</f>
        <v>1.4566774389089583</v>
      </c>
      <c r="R9" s="35">
        <f>'R1'!Q31</f>
        <v>0.32999965366885475</v>
      </c>
      <c r="S9" s="35">
        <f>'R1'!R31</f>
        <v>0.89420288706992446</v>
      </c>
      <c r="T9" s="35">
        <f>'R1'!S31</f>
        <v>0.76143005713453804</v>
      </c>
      <c r="U9" s="35">
        <f>'R1'!T31</f>
        <v>0.24557169615402491</v>
      </c>
      <c r="V9" s="35">
        <f>'R1'!U31</f>
        <v>0.89128513836004075</v>
      </c>
      <c r="W9" s="35">
        <f>'R1'!V31</f>
        <v>5.4321633292069453E-2</v>
      </c>
    </row>
    <row r="10" spans="1:23" s="1" customFormat="1">
      <c r="A10" s="146"/>
      <c r="B10" s="35">
        <f>'R1'!B32</f>
        <v>0.25016425477061799</v>
      </c>
      <c r="C10" s="35">
        <f>'R1'!C32</f>
        <v>1.4913020985787506E-2</v>
      </c>
      <c r="D10" s="35">
        <f>'R1'!D32</f>
        <v>0.38561465561922376</v>
      </c>
      <c r="E10" s="35">
        <f>'R1'!E32</f>
        <v>0.92283223007581383</v>
      </c>
      <c r="F10" s="35">
        <f>'R1'!F32</f>
        <v>0.99146786147513633</v>
      </c>
      <c r="G10" s="35">
        <f>'R1'!G32</f>
        <v>1.7202915006492985</v>
      </c>
      <c r="H10" s="35">
        <f>'R1'!H32</f>
        <v>2.9474215169246176</v>
      </c>
      <c r="I10" s="35">
        <f>'R1'!I32</f>
        <v>0.1124340353972877</v>
      </c>
      <c r="J10" s="35">
        <f>'R1'!J32</f>
        <v>0.45762175478106965</v>
      </c>
      <c r="K10" s="35">
        <f>'R1'!K32</f>
        <v>0.57498295163192348</v>
      </c>
      <c r="L10" s="35">
        <f>'R1'!L32</f>
        <v>0.4299182560293629</v>
      </c>
      <c r="M10" s="35">
        <f>'R1'!M32</f>
        <v>0.31299985425659638</v>
      </c>
      <c r="N10" s="35" t="str">
        <f>'R1'!N32</f>
        <v/>
      </c>
      <c r="O10"/>
      <c r="P10" s="35">
        <f>'R1'!O32</f>
        <v>0.59092581909537123</v>
      </c>
      <c r="Q10" s="35">
        <f>'R1'!P32</f>
        <v>0.92228872493096314</v>
      </c>
      <c r="R10" s="35">
        <f>'R1'!Q32</f>
        <v>0.11963832179281203</v>
      </c>
      <c r="S10" s="35">
        <f>'R1'!R32</f>
        <v>0.87077949133391652</v>
      </c>
      <c r="T10" s="35">
        <f>'R1'!S32</f>
        <v>0.13794480813371462</v>
      </c>
      <c r="U10" s="35">
        <f>'R1'!T32</f>
        <v>3.5315414005869072E-2</v>
      </c>
      <c r="V10" s="35">
        <f>'R1'!U32</f>
        <v>0.55785131630760199</v>
      </c>
      <c r="W10" s="35">
        <f>'R1'!V32</f>
        <v>0.2613008727180105</v>
      </c>
    </row>
    <row r="11" spans="1:23" s="1" customFormat="1">
      <c r="A11" s="146"/>
      <c r="B11" s="35">
        <f>'R1'!B33</f>
        <v>2.2149181444046744E-2</v>
      </c>
      <c r="C11" s="35">
        <f>'R1'!C33</f>
        <v>0.43914826630865461</v>
      </c>
      <c r="D11" s="35">
        <f>'R1'!D33</f>
        <v>1.0890639969171196</v>
      </c>
      <c r="E11" s="35">
        <f>'R1'!E33</f>
        <v>0.1677780329926665</v>
      </c>
      <c r="F11" s="35">
        <f>'R1'!F33</f>
        <v>1.2248268533666198</v>
      </c>
      <c r="G11" s="35">
        <f>'R1'!G33</f>
        <v>1.7862339982127518</v>
      </c>
      <c r="H11" s="35">
        <f>'R1'!H33</f>
        <v>1.1759309936268616</v>
      </c>
      <c r="I11" s="35">
        <f>'R1'!I33</f>
        <v>0.29749708828846955</v>
      </c>
      <c r="J11" s="35">
        <f>'R1'!J33</f>
        <v>9.0722411509282605E-2</v>
      </c>
      <c r="K11" s="35">
        <f>'R1'!K33</f>
        <v>6.3025646714491665E-2</v>
      </c>
      <c r="L11" s="35">
        <f>'R1'!L33</f>
        <v>3.1425132273853083E-5</v>
      </c>
      <c r="M11" s="35">
        <f>'R1'!M33</f>
        <v>0.21478165083907769</v>
      </c>
      <c r="N11" s="35" t="str">
        <f>'R1'!N33</f>
        <v/>
      </c>
      <c r="O11"/>
      <c r="P11" s="35">
        <f>'R1'!O33</f>
        <v>1.450093125480151</v>
      </c>
      <c r="Q11" s="35">
        <f>'R1'!P33</f>
        <v>1.3422784348836327</v>
      </c>
      <c r="R11" s="35">
        <f>'R1'!Q33</f>
        <v>0.16454513509912211</v>
      </c>
      <c r="S11" s="35">
        <f>'R1'!R33</f>
        <v>1.425192598883785</v>
      </c>
      <c r="T11" s="35">
        <f>'R1'!S33</f>
        <v>0.35385791337813804</v>
      </c>
      <c r="U11" s="35">
        <f>'R1'!T33</f>
        <v>6.6449190410497433E-2</v>
      </c>
      <c r="V11" s="35">
        <f>'R1'!U33</f>
        <v>0.14476436112411475</v>
      </c>
      <c r="W11" s="35">
        <f>'R1'!V33</f>
        <v>0.24263628951267299</v>
      </c>
    </row>
    <row r="12" spans="1:23" s="1" customFormat="1">
      <c r="A12" s="146"/>
      <c r="B12" s="35">
        <f>'R1'!B34</f>
        <v>0.26175698606644238</v>
      </c>
      <c r="C12" s="35">
        <f>'R1'!C34</f>
        <v>0.59459702276239235</v>
      </c>
      <c r="D12" s="35">
        <f>'R1'!D34</f>
        <v>0.25333325489520553</v>
      </c>
      <c r="E12" s="35">
        <f>'R1'!E34</f>
        <v>0.89857262653434733</v>
      </c>
      <c r="F12" s="35">
        <f>'R1'!F34</f>
        <v>2.0573226024861713</v>
      </c>
      <c r="G12" s="35">
        <f>'R1'!G34</f>
        <v>1.2341526354776031</v>
      </c>
      <c r="H12" s="35">
        <f>'R1'!H34</f>
        <v>2.3063465738857096</v>
      </c>
      <c r="I12" s="35">
        <f>'R1'!I34</f>
        <v>0.22713172782270194</v>
      </c>
      <c r="J12" s="35">
        <f>'R1'!J34</f>
        <v>0.13849564580942916</v>
      </c>
      <c r="K12" s="35">
        <f>'R1'!K34</f>
        <v>0.31100031798305722</v>
      </c>
      <c r="L12" s="35">
        <f>'R1'!L34</f>
        <v>8.5547889371675151E-2</v>
      </c>
      <c r="M12" s="35">
        <f>'R1'!M34</f>
        <v>0.19714556732001731</v>
      </c>
      <c r="N12" s="35" t="str">
        <f>'R1'!N34</f>
        <v/>
      </c>
      <c r="O12"/>
      <c r="P12" s="35">
        <f>'R1'!O34</f>
        <v>0.52814139768195323</v>
      </c>
      <c r="Q12" s="35">
        <f>'R1'!P34</f>
        <v>2.086475697696625</v>
      </c>
      <c r="R12" s="35">
        <f>'R1'!Q34</f>
        <v>3.3844568171965732E-2</v>
      </c>
      <c r="S12" s="35">
        <f>'R1'!R34</f>
        <v>0.30551753026219192</v>
      </c>
      <c r="T12" s="35">
        <f>'R1'!S34</f>
        <v>0.4262235583348799</v>
      </c>
      <c r="U12" s="35">
        <f>'R1'!T34</f>
        <v>0.82063410847755514</v>
      </c>
      <c r="V12" s="35">
        <f>'R1'!U34</f>
        <v>0.10912392146444184</v>
      </c>
      <c r="W12" s="35">
        <f>'R1'!V34</f>
        <v>0.19092518685163862</v>
      </c>
    </row>
    <row r="13" spans="1:23" s="1" customFormat="1">
      <c r="A13" s="146"/>
      <c r="B13" s="35">
        <f>'R1'!B35</f>
        <v>0.1953854606257075</v>
      </c>
      <c r="C13" s="35">
        <f>'R1'!C35</f>
        <v>0.4833034203796715</v>
      </c>
      <c r="D13" s="35">
        <f>'R1'!D35</f>
        <v>0.96840076688171906</v>
      </c>
      <c r="E13" s="35">
        <f>'R1'!E35</f>
        <v>0.94190863215742582</v>
      </c>
      <c r="F13" s="35">
        <f>'R1'!F35</f>
        <v>1.6792665890397314</v>
      </c>
      <c r="G13" s="35">
        <f>'R1'!G35</f>
        <v>1.6128980564687367</v>
      </c>
      <c r="H13" s="35">
        <f>'R1'!H35</f>
        <v>2.8229413304658397</v>
      </c>
      <c r="I13" s="35">
        <f>'R1'!I35</f>
        <v>0</v>
      </c>
      <c r="J13" s="35">
        <f>'R1'!J35</f>
        <v>3.0266891684331068E-3</v>
      </c>
      <c r="K13" s="35">
        <f>'R1'!K35</f>
        <v>0.1844141987314703</v>
      </c>
      <c r="L13" s="35">
        <f>'R1'!L35</f>
        <v>5.5670669327539862E-2</v>
      </c>
      <c r="M13" s="35">
        <f>'R1'!M35</f>
        <v>6.476600046851505E-2</v>
      </c>
      <c r="N13" s="35" t="str">
        <f>'R1'!N35</f>
        <v/>
      </c>
      <c r="O13"/>
      <c r="P13" s="35">
        <f>'R1'!O35</f>
        <v>1.3696576561989706</v>
      </c>
      <c r="Q13" s="35">
        <f>'R1'!P35</f>
        <v>1.207072850779789</v>
      </c>
      <c r="R13" s="35">
        <f>'R1'!Q35</f>
        <v>0.23357028849515338</v>
      </c>
      <c r="S13" s="35">
        <f>'R1'!R35</f>
        <v>0.82102707227446536</v>
      </c>
      <c r="T13" s="35">
        <f>'R1'!S35</f>
        <v>0.41726200847129907</v>
      </c>
      <c r="U13" s="35">
        <f>'R1'!T35</f>
        <v>0.24843871572180942</v>
      </c>
      <c r="V13" s="35">
        <f>'R1'!U35</f>
        <v>4.3699190366072019E-2</v>
      </c>
      <c r="W13" s="35">
        <f>'R1'!V35</f>
        <v>0.11083374794711348</v>
      </c>
    </row>
    <row r="14" spans="1:23" s="1" customFormat="1">
      <c r="A14" s="146"/>
      <c r="B14" s="35" t="str">
        <f>'R1'!B36</f>
        <v/>
      </c>
      <c r="C14" s="35" t="str">
        <f>'R1'!C36</f>
        <v/>
      </c>
      <c r="D14" s="35" t="str">
        <f>'R1'!D36</f>
        <v/>
      </c>
      <c r="E14" s="35" t="str">
        <f>'R1'!E36</f>
        <v/>
      </c>
      <c r="F14" s="35" t="str">
        <f>'R1'!F36</f>
        <v/>
      </c>
      <c r="G14" s="35" t="str">
        <f>'R1'!G36</f>
        <v/>
      </c>
      <c r="H14" s="35" t="str">
        <f>'R1'!H36</f>
        <v/>
      </c>
      <c r="I14" s="35" t="str">
        <f>'R1'!I36</f>
        <v/>
      </c>
      <c r="J14" s="35" t="str">
        <f>'R1'!J36</f>
        <v/>
      </c>
      <c r="K14" s="35" t="str">
        <f>'R1'!K36</f>
        <v/>
      </c>
      <c r="L14" s="35" t="str">
        <f>'R1'!L36</f>
        <v/>
      </c>
      <c r="M14" s="35" t="str">
        <f>'R1'!M36</f>
        <v/>
      </c>
      <c r="N14" s="35" t="str">
        <f>'R1'!N36</f>
        <v/>
      </c>
      <c r="O14"/>
      <c r="P14" s="35">
        <f>'R1'!O36</f>
        <v>0.34988487879780089</v>
      </c>
      <c r="Q14" s="35" t="str">
        <f>'R1'!P36</f>
        <v/>
      </c>
      <c r="R14" s="35" t="str">
        <f>'R1'!Q36</f>
        <v/>
      </c>
      <c r="S14" s="35" t="str">
        <f>'R1'!R36</f>
        <v/>
      </c>
      <c r="T14" s="35" t="str">
        <f>'R1'!S36</f>
        <v/>
      </c>
      <c r="U14" s="35" t="str">
        <f>'R1'!T36</f>
        <v/>
      </c>
      <c r="V14" s="35" t="str">
        <f>'R1'!U36</f>
        <v/>
      </c>
      <c r="W14" s="35" t="str">
        <f>'R1'!V36</f>
        <v/>
      </c>
    </row>
    <row r="15" spans="1:23" s="1" customFormat="1">
      <c r="A15" s="146"/>
      <c r="B15" s="35" t="str">
        <f>'R1'!B37</f>
        <v/>
      </c>
      <c r="C15" s="35" t="str">
        <f>'R1'!C37</f>
        <v/>
      </c>
      <c r="D15" s="35" t="str">
        <f>'R1'!D37</f>
        <v/>
      </c>
      <c r="E15" s="35" t="str">
        <f>'R1'!E37</f>
        <v/>
      </c>
      <c r="F15" s="35" t="str">
        <f>'R1'!F37</f>
        <v/>
      </c>
      <c r="G15" s="35" t="str">
        <f>'R1'!G37</f>
        <v/>
      </c>
      <c r="H15" s="35" t="str">
        <f>'R1'!H37</f>
        <v/>
      </c>
      <c r="I15" s="35" t="str">
        <f>'R1'!I37</f>
        <v/>
      </c>
      <c r="J15" s="35" t="str">
        <f>'R1'!J37</f>
        <v/>
      </c>
      <c r="K15" s="35" t="str">
        <f>'R1'!K37</f>
        <v/>
      </c>
      <c r="L15" s="35" t="str">
        <f>'R1'!L37</f>
        <v/>
      </c>
      <c r="M15" s="35" t="str">
        <f>'R1'!M37</f>
        <v/>
      </c>
      <c r="N15" s="35" t="str">
        <f>'R1'!N37</f>
        <v/>
      </c>
      <c r="O15"/>
      <c r="P15" s="35">
        <f>'R1'!O37</f>
        <v>0.54504093595790926</v>
      </c>
      <c r="Q15" s="35" t="str">
        <f>'R1'!P37</f>
        <v/>
      </c>
      <c r="R15" s="35" t="str">
        <f>'R1'!Q37</f>
        <v/>
      </c>
      <c r="S15" s="35" t="str">
        <f>'R1'!R37</f>
        <v/>
      </c>
      <c r="T15" s="35" t="str">
        <f>'R1'!S37</f>
        <v/>
      </c>
      <c r="U15" s="35" t="str">
        <f>'R1'!T37</f>
        <v/>
      </c>
      <c r="V15" s="35" t="str">
        <f>'R1'!U37</f>
        <v/>
      </c>
      <c r="W15" s="35" t="str">
        <f>'R1'!V37</f>
        <v/>
      </c>
    </row>
    <row r="16" spans="1:23" s="1" customFormat="1">
      <c r="A16" s="146"/>
      <c r="B16" s="35" t="str">
        <f>'R1'!B38</f>
        <v/>
      </c>
      <c r="C16" s="35" t="str">
        <f>'R1'!C38</f>
        <v/>
      </c>
      <c r="D16" s="35" t="str">
        <f>'R1'!D38</f>
        <v/>
      </c>
      <c r="E16" s="35" t="str">
        <f>'R1'!E38</f>
        <v/>
      </c>
      <c r="F16" s="35" t="str">
        <f>'R1'!F38</f>
        <v/>
      </c>
      <c r="G16" s="35" t="str">
        <f>'R1'!G38</f>
        <v/>
      </c>
      <c r="H16" s="35" t="str">
        <f>'R1'!H38</f>
        <v/>
      </c>
      <c r="I16" s="35" t="str">
        <f>'R1'!I38</f>
        <v/>
      </c>
      <c r="J16" s="35" t="str">
        <f>'R1'!J38</f>
        <v/>
      </c>
      <c r="K16" s="35" t="str">
        <f>'R1'!K38</f>
        <v/>
      </c>
      <c r="L16" s="35" t="str">
        <f>'R1'!L38</f>
        <v/>
      </c>
      <c r="M16" s="35" t="str">
        <f>'R1'!M38</f>
        <v/>
      </c>
      <c r="N16" s="35" t="str">
        <f>'R1'!N38</f>
        <v/>
      </c>
      <c r="O16"/>
      <c r="P16" s="35">
        <f>'R1'!O38</f>
        <v>0.60979691031279404</v>
      </c>
      <c r="Q16" s="35" t="str">
        <f>'R1'!P38</f>
        <v/>
      </c>
      <c r="R16" s="35" t="str">
        <f>'R1'!Q38</f>
        <v/>
      </c>
      <c r="S16" s="35" t="str">
        <f>'R1'!R38</f>
        <v/>
      </c>
      <c r="T16" s="35" t="str">
        <f>'R1'!S38</f>
        <v/>
      </c>
      <c r="U16" s="35" t="str">
        <f>'R1'!T38</f>
        <v/>
      </c>
      <c r="V16" s="35" t="str">
        <f>'R1'!U38</f>
        <v/>
      </c>
      <c r="W16" s="35" t="str">
        <f>'R1'!V38</f>
        <v/>
      </c>
    </row>
    <row r="17" spans="1:23" s="1" customFormat="1">
      <c r="A17" s="146"/>
      <c r="B17" s="35" t="str">
        <f>'R1'!B39</f>
        <v/>
      </c>
      <c r="C17" s="35" t="str">
        <f>'R1'!C39</f>
        <v/>
      </c>
      <c r="D17" s="35" t="str">
        <f>'R1'!D39</f>
        <v/>
      </c>
      <c r="E17" s="35" t="str">
        <f>'R1'!E39</f>
        <v/>
      </c>
      <c r="F17" s="35" t="str">
        <f>'R1'!F39</f>
        <v/>
      </c>
      <c r="G17" s="35" t="str">
        <f>'R1'!G39</f>
        <v/>
      </c>
      <c r="H17" s="35" t="str">
        <f>'R1'!H39</f>
        <v/>
      </c>
      <c r="I17" s="35" t="str">
        <f>'R1'!I39</f>
        <v/>
      </c>
      <c r="J17" s="35" t="str">
        <f>'R1'!J39</f>
        <v/>
      </c>
      <c r="K17" s="35" t="str">
        <f>'R1'!K39</f>
        <v/>
      </c>
      <c r="L17" s="35" t="str">
        <f>'R1'!L39</f>
        <v/>
      </c>
      <c r="M17" s="35" t="str">
        <f>'R1'!M39</f>
        <v/>
      </c>
      <c r="N17" s="35" t="str">
        <f>'R1'!N39</f>
        <v/>
      </c>
      <c r="O17"/>
      <c r="P17" s="35">
        <f>'R1'!O39</f>
        <v>1.5353135949022301</v>
      </c>
      <c r="Q17" s="35" t="str">
        <f>'R1'!P39</f>
        <v/>
      </c>
      <c r="R17" s="35" t="str">
        <f>'R1'!Q39</f>
        <v/>
      </c>
      <c r="S17" s="35" t="str">
        <f>'R1'!R39</f>
        <v/>
      </c>
      <c r="T17" s="35" t="str">
        <f>'R1'!S39</f>
        <v/>
      </c>
      <c r="U17" s="35" t="str">
        <f>'R1'!T39</f>
        <v/>
      </c>
      <c r="V17" s="35" t="str">
        <f>'R1'!U39</f>
        <v/>
      </c>
      <c r="W17" s="35" t="str">
        <f>'R1'!V39</f>
        <v/>
      </c>
    </row>
    <row r="18" spans="1:23" s="1" customFormat="1">
      <c r="A18" s="146"/>
      <c r="B18" s="35" t="str">
        <f>'R1'!B40</f>
        <v/>
      </c>
      <c r="C18" s="35" t="str">
        <f>'R1'!C40</f>
        <v/>
      </c>
      <c r="D18" s="35" t="str">
        <f>'R1'!D40</f>
        <v/>
      </c>
      <c r="E18" s="35" t="str">
        <f>'R1'!E40</f>
        <v/>
      </c>
      <c r="F18" s="35" t="str">
        <f>'R1'!F40</f>
        <v/>
      </c>
      <c r="G18" s="35" t="str">
        <f>'R1'!G40</f>
        <v/>
      </c>
      <c r="H18" s="35" t="str">
        <f>'R1'!H40</f>
        <v/>
      </c>
      <c r="I18" s="35" t="str">
        <f>'R1'!I40</f>
        <v/>
      </c>
      <c r="J18" s="35" t="str">
        <f>'R1'!J40</f>
        <v/>
      </c>
      <c r="K18" s="35" t="str">
        <f>'R1'!K40</f>
        <v/>
      </c>
      <c r="L18" s="35" t="str">
        <f>'R1'!L40</f>
        <v/>
      </c>
      <c r="M18" s="35" t="str">
        <f>'R1'!M40</f>
        <v/>
      </c>
      <c r="N18" s="35" t="str">
        <f>'R1'!N40</f>
        <v/>
      </c>
      <c r="O18"/>
      <c r="P18" s="35">
        <f>'R1'!O40</f>
        <v>1.7503242002764459</v>
      </c>
      <c r="Q18" s="35" t="str">
        <f>'R1'!P40</f>
        <v/>
      </c>
      <c r="R18" s="35" t="str">
        <f>'R1'!Q40</f>
        <v/>
      </c>
      <c r="S18" s="35" t="str">
        <f>'R1'!R40</f>
        <v/>
      </c>
      <c r="T18" s="35" t="str">
        <f>'R1'!S40</f>
        <v/>
      </c>
      <c r="U18" s="35" t="str">
        <f>'R1'!T40</f>
        <v/>
      </c>
      <c r="V18" s="35" t="str">
        <f>'R1'!U40</f>
        <v/>
      </c>
      <c r="W18" s="35" t="str">
        <f>'R1'!V40</f>
        <v/>
      </c>
    </row>
    <row r="19" spans="1:23" s="1" customFormat="1">
      <c r="A19" s="146"/>
      <c r="B19" s="35" t="str">
        <f>'R1'!B41</f>
        <v/>
      </c>
      <c r="C19" s="35" t="str">
        <f>'R1'!C41</f>
        <v/>
      </c>
      <c r="D19" s="35" t="str">
        <f>'R1'!D41</f>
        <v/>
      </c>
      <c r="E19" s="35" t="str">
        <f>'R1'!E41</f>
        <v/>
      </c>
      <c r="F19" s="35" t="str">
        <f>'R1'!F41</f>
        <v/>
      </c>
      <c r="G19" s="35" t="str">
        <f>'R1'!G41</f>
        <v/>
      </c>
      <c r="H19" s="35" t="str">
        <f>'R1'!H41</f>
        <v/>
      </c>
      <c r="I19" s="35" t="str">
        <f>'R1'!I41</f>
        <v/>
      </c>
      <c r="J19" s="35" t="str">
        <f>'R1'!J41</f>
        <v/>
      </c>
      <c r="K19" s="35" t="str">
        <f>'R1'!K41</f>
        <v/>
      </c>
      <c r="L19" s="35" t="str">
        <f>'R1'!L41</f>
        <v/>
      </c>
      <c r="M19" s="35" t="str">
        <f>'R1'!M41</f>
        <v/>
      </c>
      <c r="N19" s="35" t="str">
        <f>'R1'!N41</f>
        <v/>
      </c>
      <c r="O19"/>
      <c r="P19" s="35">
        <f>'R1'!O41</f>
        <v>1.3104416333769922</v>
      </c>
      <c r="Q19" s="35" t="str">
        <f>'R1'!P41</f>
        <v/>
      </c>
      <c r="R19" s="35" t="str">
        <f>'R1'!Q41</f>
        <v/>
      </c>
      <c r="S19" s="35" t="str">
        <f>'R1'!R41</f>
        <v/>
      </c>
      <c r="T19" s="35" t="str">
        <f>'R1'!S41</f>
        <v/>
      </c>
      <c r="U19" s="35" t="str">
        <f>'R1'!T41</f>
        <v/>
      </c>
      <c r="V19" s="35" t="str">
        <f>'R1'!U41</f>
        <v/>
      </c>
      <c r="W19" s="35" t="str">
        <f>'R1'!V41</f>
        <v/>
      </c>
    </row>
    <row r="20" spans="1:23" s="1" customFormat="1">
      <c r="A20" s="146"/>
      <c r="B20" s="35" t="str">
        <f>'R1'!B42</f>
        <v/>
      </c>
      <c r="C20" s="35" t="str">
        <f>'R1'!C42</f>
        <v/>
      </c>
      <c r="D20" s="35" t="str">
        <f>'R1'!D42</f>
        <v/>
      </c>
      <c r="E20" s="35" t="str">
        <f>'R1'!E42</f>
        <v/>
      </c>
      <c r="F20" s="35" t="str">
        <f>'R1'!F42</f>
        <v/>
      </c>
      <c r="G20" s="35" t="str">
        <f>'R1'!G42</f>
        <v/>
      </c>
      <c r="H20" s="35" t="str">
        <f>'R1'!H42</f>
        <v/>
      </c>
      <c r="I20" s="35" t="str">
        <f>'R1'!I42</f>
        <v/>
      </c>
      <c r="J20" s="35" t="str">
        <f>'R1'!J42</f>
        <v/>
      </c>
      <c r="K20" s="35" t="str">
        <f>'R1'!K42</f>
        <v/>
      </c>
      <c r="L20" s="35" t="str">
        <f>'R1'!L42</f>
        <v/>
      </c>
      <c r="M20" s="35" t="str">
        <f>'R1'!M42</f>
        <v/>
      </c>
      <c r="N20" s="35" t="str">
        <f>'R1'!N42</f>
        <v/>
      </c>
      <c r="O20"/>
      <c r="P20" s="35">
        <f>'R1'!O42</f>
        <v>1.3003836456840279</v>
      </c>
      <c r="Q20" s="35" t="str">
        <f>'R1'!P42</f>
        <v/>
      </c>
      <c r="R20" s="35" t="str">
        <f>'R1'!Q42</f>
        <v/>
      </c>
      <c r="S20" s="35" t="str">
        <f>'R1'!R42</f>
        <v/>
      </c>
      <c r="T20" s="35" t="str">
        <f>'R1'!S42</f>
        <v/>
      </c>
      <c r="U20" s="35" t="str">
        <f>'R1'!T42</f>
        <v/>
      </c>
      <c r="V20" s="35" t="str">
        <f>'R1'!U42</f>
        <v/>
      </c>
      <c r="W20" s="35" t="str">
        <f>'R1'!V42</f>
        <v/>
      </c>
    </row>
    <row r="21" spans="1:23" s="1" customFormat="1">
      <c r="A21" s="147"/>
      <c r="B21" s="35" t="str">
        <f>'R1'!B43</f>
        <v/>
      </c>
      <c r="C21" s="35" t="str">
        <f>'R1'!C43</f>
        <v/>
      </c>
      <c r="D21" s="35" t="str">
        <f>'R1'!D43</f>
        <v/>
      </c>
      <c r="E21" s="35" t="str">
        <f>'R1'!E43</f>
        <v/>
      </c>
      <c r="F21" s="35" t="str">
        <f>'R1'!F43</f>
        <v/>
      </c>
      <c r="G21" s="35" t="str">
        <f>'R1'!G43</f>
        <v/>
      </c>
      <c r="H21" s="35" t="str">
        <f>'R1'!H43</f>
        <v/>
      </c>
      <c r="I21" s="35" t="str">
        <f>'R1'!I43</f>
        <v/>
      </c>
      <c r="J21" s="35" t="str">
        <f>'R1'!J43</f>
        <v/>
      </c>
      <c r="K21" s="35" t="str">
        <f>'R1'!K43</f>
        <v/>
      </c>
      <c r="L21" s="35" t="str">
        <f>'R1'!L43</f>
        <v/>
      </c>
      <c r="M21" s="35" t="str">
        <f>'R1'!M43</f>
        <v/>
      </c>
      <c r="N21" s="35" t="str">
        <f>'R1'!N43</f>
        <v/>
      </c>
      <c r="O21"/>
      <c r="P21" s="35">
        <f>'R1'!O43</f>
        <v>0.41589022662580188</v>
      </c>
      <c r="Q21" s="35" t="str">
        <f>'R1'!P43</f>
        <v/>
      </c>
      <c r="R21" s="35" t="str">
        <f>'R1'!Q43</f>
        <v/>
      </c>
      <c r="S21" s="35" t="str">
        <f>'R1'!R43</f>
        <v/>
      </c>
      <c r="T21" s="35" t="str">
        <f>'R1'!S43</f>
        <v/>
      </c>
      <c r="U21" s="35" t="str">
        <f>'R1'!T43</f>
        <v/>
      </c>
      <c r="V21" s="35" t="str">
        <f>'R1'!U43</f>
        <v/>
      </c>
      <c r="W21" s="35" t="str">
        <f>'R1'!V43</f>
        <v/>
      </c>
    </row>
    <row r="22" spans="1:23">
      <c r="A22" s="23" t="s">
        <v>5</v>
      </c>
      <c r="B22" s="36">
        <f>'R2'!B28</f>
        <v>0.16500081437186165</v>
      </c>
      <c r="C22" s="36">
        <f>'R2'!C28</f>
        <v>0.36740681321894841</v>
      </c>
      <c r="D22" s="36">
        <f>'R2'!D28</f>
        <v>0.33914697521967241</v>
      </c>
      <c r="E22" s="36">
        <f>'R2'!E28</f>
        <v>1.7905862703028828</v>
      </c>
      <c r="F22" s="36">
        <f>'R2'!F28</f>
        <v>0.92480480825683486</v>
      </c>
      <c r="G22" s="36">
        <f>'R2'!G28</f>
        <v>2.2976218285872014</v>
      </c>
      <c r="H22" s="36">
        <f>'R2'!H28</f>
        <v>2.6173496218499332</v>
      </c>
      <c r="I22" s="36">
        <f>'R2'!I28</f>
        <v>0.30149685606446286</v>
      </c>
      <c r="J22" s="36">
        <f>'R2'!J28</f>
        <v>0.22937070278507507</v>
      </c>
      <c r="K22" s="36">
        <f>'R2'!K28</f>
        <v>0.11717831669703684</v>
      </c>
      <c r="L22" s="36">
        <f>'R2'!L28</f>
        <v>0.1825330566219425</v>
      </c>
      <c r="M22" s="36">
        <f>'R2'!M28</f>
        <v>0.24759748584004335</v>
      </c>
      <c r="N22" s="36" t="str">
        <f>'R2'!N28</f>
        <v/>
      </c>
      <c r="P22" s="36">
        <f>'R2'!O28</f>
        <v>1.176056182679112</v>
      </c>
      <c r="Q22" s="36">
        <f>'R2'!P28</f>
        <v>1.5861987451014796</v>
      </c>
      <c r="R22" s="36">
        <f>'R2'!Q28</f>
        <v>0.13245134409064008</v>
      </c>
      <c r="S22" s="36">
        <f>'R2'!R28</f>
        <v>1.1958262299701989</v>
      </c>
      <c r="T22" s="36">
        <f>'R2'!S28</f>
        <v>0.14115395475560627</v>
      </c>
      <c r="U22" s="36">
        <f>'R2'!T28</f>
        <v>7.7843852208235531E-2</v>
      </c>
      <c r="V22" s="36">
        <f>'R2'!U28</f>
        <v>0.27804527916071992</v>
      </c>
      <c r="W22" s="36">
        <f>'R2'!V28</f>
        <v>1.2611499735950936E-2</v>
      </c>
    </row>
    <row r="23" spans="1:23">
      <c r="A23" s="137" t="s">
        <v>17</v>
      </c>
      <c r="B23" s="36">
        <f>'R2'!B29</f>
        <v>0.13649763944002447</v>
      </c>
      <c r="C23" s="36">
        <f>'R2'!C29</f>
        <v>0.48855409429008423</v>
      </c>
      <c r="D23" s="36">
        <f>'R2'!D29</f>
        <v>0.6693788393670862</v>
      </c>
      <c r="E23" s="36">
        <f>'R2'!E29</f>
        <v>0.2072652280854215</v>
      </c>
      <c r="F23" s="36">
        <f>'R2'!F29</f>
        <v>1.3569911723283183</v>
      </c>
      <c r="G23" s="36">
        <f>'R2'!G29</f>
        <v>2.4051502301720262</v>
      </c>
      <c r="H23" s="36">
        <f>'R2'!H29</f>
        <v>3.0989233174225741</v>
      </c>
      <c r="I23" s="36">
        <f>'R2'!I29</f>
        <v>9.02021089776011E-2</v>
      </c>
      <c r="J23" s="36">
        <f>'R2'!J29</f>
        <v>2.9816523313749885E-2</v>
      </c>
      <c r="K23" s="36">
        <f>'R2'!K29</f>
        <v>5.5871789418423454E-2</v>
      </c>
      <c r="L23" s="36">
        <f>'R2'!L29</f>
        <v>0.33533059572449392</v>
      </c>
      <c r="M23" s="36">
        <f>'R2'!M29</f>
        <v>0.23588727542554858</v>
      </c>
      <c r="N23" s="36" t="str">
        <f>'R2'!N29</f>
        <v/>
      </c>
      <c r="P23" s="36">
        <f>'R2'!O29</f>
        <v>0.64971424340593398</v>
      </c>
      <c r="Q23" s="36">
        <f>'R2'!P29</f>
        <v>1.3768165016802498</v>
      </c>
      <c r="R23" s="36">
        <f>'R2'!Q29</f>
        <v>5.0378574002542531E-3</v>
      </c>
      <c r="S23" s="36">
        <f>'R2'!R29</f>
        <v>0.72456503536619243</v>
      </c>
      <c r="T23" s="36">
        <f>'R2'!S29</f>
        <v>0.47503954771051154</v>
      </c>
      <c r="U23" s="36">
        <f>'R2'!T29</f>
        <v>0.11289060171199915</v>
      </c>
      <c r="V23" s="36">
        <f>'R2'!U29</f>
        <v>2.892226408095603E-2</v>
      </c>
      <c r="W23" s="36">
        <f>'R2'!V29</f>
        <v>1.0086739257728941E-2</v>
      </c>
    </row>
    <row r="24" spans="1:23">
      <c r="A24" s="146"/>
      <c r="B24" s="36">
        <f>'R2'!B30</f>
        <v>8.841614690789059E-3</v>
      </c>
      <c r="C24" s="36">
        <f>'R2'!C30</f>
        <v>0.48772821864700555</v>
      </c>
      <c r="D24" s="36">
        <f>'R2'!D30</f>
        <v>0.22762548327465748</v>
      </c>
      <c r="E24" s="36">
        <f>'R2'!E30</f>
        <v>1.1063864062882312</v>
      </c>
      <c r="F24" s="36">
        <f>'R2'!F30</f>
        <v>1.7964995335163365</v>
      </c>
      <c r="G24" s="36">
        <f>'R2'!G30</f>
        <v>1.5647614483742298</v>
      </c>
      <c r="H24" s="36">
        <f>'R2'!H30</f>
        <v>1.1343527380858558</v>
      </c>
      <c r="I24" s="36">
        <f>'R2'!I30</f>
        <v>0.20665329082231618</v>
      </c>
      <c r="J24" s="36">
        <f>'R2'!J30</f>
        <v>1.4490930029921655E-2</v>
      </c>
      <c r="K24" s="36">
        <f>'R2'!K30</f>
        <v>0.5132731642246926</v>
      </c>
      <c r="L24" s="36">
        <f>'R2'!L30</f>
        <v>0.24470891827354699</v>
      </c>
      <c r="M24" s="36">
        <f>'R2'!M30</f>
        <v>0.14592259171504265</v>
      </c>
      <c r="N24" s="36" t="str">
        <f>'R2'!N30</f>
        <v/>
      </c>
      <c r="P24" s="36">
        <f>'R2'!O30</f>
        <v>0.87941743742978762</v>
      </c>
      <c r="Q24" s="36">
        <f>'R2'!P30</f>
        <v>1.0769779476663797</v>
      </c>
      <c r="R24" s="36">
        <f>'R2'!Q30</f>
        <v>0.12885657216306656</v>
      </c>
      <c r="S24" s="36">
        <f>'R2'!R30</f>
        <v>0.88271854338096756</v>
      </c>
      <c r="T24" s="36">
        <f>'R2'!S30</f>
        <v>6.875250959519226E-2</v>
      </c>
      <c r="U24" s="36">
        <f>'R2'!T30</f>
        <v>0.10408142129390209</v>
      </c>
      <c r="V24" s="36">
        <f>'R2'!U30</f>
        <v>2.2168745497614335E-2</v>
      </c>
      <c r="W24" s="36">
        <f>'R2'!V30</f>
        <v>0.30017200390110271</v>
      </c>
    </row>
    <row r="25" spans="1:23">
      <c r="A25" s="146"/>
      <c r="B25" s="36">
        <f>'R2'!B31</f>
        <v>2.4545235014958592E-2</v>
      </c>
      <c r="C25" s="36">
        <f>'R2'!C31</f>
        <v>3.7948099049645988E-2</v>
      </c>
      <c r="D25" s="36">
        <f>'R2'!D31</f>
        <v>0.60141465835052621</v>
      </c>
      <c r="E25" s="36">
        <f>'R2'!E31</f>
        <v>0.76401357902101397</v>
      </c>
      <c r="F25" s="36">
        <f>'R2'!F31</f>
        <v>1.0574581076217739</v>
      </c>
      <c r="G25" s="36">
        <f>'R2'!G31</f>
        <v>2.6105424189531701</v>
      </c>
      <c r="H25" s="36">
        <f>'R2'!H31</f>
        <v>3.6893454735011302</v>
      </c>
      <c r="I25" s="36">
        <f>'R2'!I31</f>
        <v>0.55585968381877993</v>
      </c>
      <c r="J25" s="36">
        <f>'R2'!J31</f>
        <v>4.095601834865923E-2</v>
      </c>
      <c r="K25" s="36">
        <f>'R2'!K31</f>
        <v>0.46093431390856282</v>
      </c>
      <c r="L25" s="36">
        <f>'R2'!L31</f>
        <v>0.37748843968492296</v>
      </c>
      <c r="M25" s="36">
        <f>'R2'!M31</f>
        <v>4.713243056272249E-2</v>
      </c>
      <c r="N25" s="36" t="str">
        <f>'R2'!N31</f>
        <v/>
      </c>
      <c r="P25" s="36">
        <f>'R2'!O31</f>
        <v>1.7863832359312775</v>
      </c>
      <c r="Q25" s="36">
        <f>'R2'!P31</f>
        <v>0.87560441320419802</v>
      </c>
      <c r="R25" s="36">
        <f>'R2'!Q31</f>
        <v>0</v>
      </c>
      <c r="S25" s="36">
        <f>'R2'!R31</f>
        <v>0.13763938974867998</v>
      </c>
      <c r="T25" s="36">
        <f>'R2'!S31</f>
        <v>0.16296975784742435</v>
      </c>
      <c r="U25" s="36">
        <f>'R2'!T31</f>
        <v>0.32198445172333195</v>
      </c>
      <c r="V25" s="36">
        <f>'R2'!U31</f>
        <v>1.1184231962760386E-5</v>
      </c>
      <c r="W25" s="36">
        <f>'R2'!V31</f>
        <v>0.2529852499259897</v>
      </c>
    </row>
    <row r="26" spans="1:23">
      <c r="A26" s="146"/>
      <c r="B26" s="36">
        <f>'R2'!B32</f>
        <v>3.7644527039228204E-3</v>
      </c>
      <c r="C26" s="36">
        <f>'R2'!C32</f>
        <v>0.22866481797348256</v>
      </c>
      <c r="D26" s="36">
        <f>'R2'!D32</f>
        <v>0.54811811822889955</v>
      </c>
      <c r="E26" s="36">
        <f>'R2'!E32</f>
        <v>0.73840264647474663</v>
      </c>
      <c r="F26" s="36">
        <f>'R2'!F32</f>
        <v>1.8300632538618382</v>
      </c>
      <c r="G26" s="36">
        <f>'R2'!G32</f>
        <v>1.8860575905076249</v>
      </c>
      <c r="H26" s="36">
        <f>'R2'!H32</f>
        <v>4.0813544015433045</v>
      </c>
      <c r="I26" s="36">
        <f>'R2'!I32</f>
        <v>0.74541739676178997</v>
      </c>
      <c r="J26" s="36">
        <f>'R2'!J32</f>
        <v>0.19583973626175014</v>
      </c>
      <c r="K26" s="36">
        <f>'R2'!K32</f>
        <v>2.3782470395098333E-3</v>
      </c>
      <c r="L26" s="36">
        <f>'R2'!L32</f>
        <v>0.25917140839933478</v>
      </c>
      <c r="M26" s="36">
        <f>'R2'!M32</f>
        <v>0.19880659345198581</v>
      </c>
      <c r="N26" s="36" t="str">
        <f>'R2'!N32</f>
        <v/>
      </c>
      <c r="P26" s="36">
        <f>'R2'!O32</f>
        <v>0.7077199842828521</v>
      </c>
      <c r="Q26" s="36">
        <f>'R2'!P32</f>
        <v>1.6160932384894842</v>
      </c>
      <c r="R26" s="36">
        <f>'R2'!Q32</f>
        <v>0</v>
      </c>
      <c r="S26" s="36">
        <f>'R2'!R32</f>
        <v>0.26026474696106577</v>
      </c>
      <c r="T26" s="36">
        <f>'R2'!S32</f>
        <v>0.28916879672139673</v>
      </c>
      <c r="U26" s="36">
        <f>'R2'!T32</f>
        <v>2.1154655208076616E-2</v>
      </c>
      <c r="V26" s="36">
        <f>'R2'!U32</f>
        <v>3.0407530085610611E-2</v>
      </c>
      <c r="W26" s="36">
        <f>'R2'!V32</f>
        <v>7.4046485907393725E-2</v>
      </c>
    </row>
    <row r="27" spans="1:23">
      <c r="A27" s="146"/>
      <c r="B27" s="36">
        <f>'R2'!B33</f>
        <v>9.5457899126386858E-2</v>
      </c>
      <c r="C27" s="36">
        <f>'R2'!C33</f>
        <v>0.31453910850572236</v>
      </c>
      <c r="D27" s="36">
        <f>'R2'!D33</f>
        <v>0.73500727342559491</v>
      </c>
      <c r="E27" s="36">
        <f>'R2'!E33</f>
        <v>1.0666114428348394</v>
      </c>
      <c r="F27" s="36">
        <f>'R2'!F33</f>
        <v>1.1910831569695346</v>
      </c>
      <c r="G27" s="36">
        <f>'R2'!G33</f>
        <v>3.160243904878512</v>
      </c>
      <c r="H27" s="36">
        <f>'R2'!H33</f>
        <v>3.4781304540106888</v>
      </c>
      <c r="I27" s="36">
        <f>'R2'!I33</f>
        <v>3.1257052390553423E-2</v>
      </c>
      <c r="J27" s="36">
        <f>'R2'!J33</f>
        <v>0.26271585128307584</v>
      </c>
      <c r="K27" s="36">
        <f>'R2'!K33</f>
        <v>5.5659768335357983E-2</v>
      </c>
      <c r="L27" s="36">
        <f>'R2'!L33</f>
        <v>0.24873923614869886</v>
      </c>
      <c r="M27" s="36">
        <f>'R2'!M33</f>
        <v>0.24295826642189033</v>
      </c>
      <c r="N27" s="36" t="str">
        <f>'R2'!N33</f>
        <v/>
      </c>
      <c r="P27" s="36">
        <f>'R2'!O33</f>
        <v>1.4340393463197747</v>
      </c>
      <c r="Q27" s="36">
        <f>'R2'!P33</f>
        <v>1.1816241726744012</v>
      </c>
      <c r="R27" s="36">
        <f>'R2'!Q33</f>
        <v>1.7333802020113021E-2</v>
      </c>
      <c r="S27" s="36">
        <f>'R2'!R33</f>
        <v>0.42306450448265615</v>
      </c>
      <c r="T27" s="36">
        <f>'R2'!S33</f>
        <v>0.29623179898062224</v>
      </c>
      <c r="U27" s="36">
        <f>'R2'!T33</f>
        <v>5.4304239421471426E-3</v>
      </c>
      <c r="V27" s="36">
        <f>'R2'!U33</f>
        <v>0.2437692830139328</v>
      </c>
      <c r="W27" s="36">
        <f>'R2'!V33</f>
        <v>0.21622156104120002</v>
      </c>
    </row>
    <row r="28" spans="1:23">
      <c r="A28" s="146"/>
      <c r="B28" s="36">
        <f>'R2'!B34</f>
        <v>5.9579202539336198E-2</v>
      </c>
      <c r="C28" s="36">
        <f>'R2'!C34</f>
        <v>0.14024435714754921</v>
      </c>
      <c r="D28" s="36">
        <f>'R2'!D34</f>
        <v>0.64143295873647921</v>
      </c>
      <c r="E28" s="36">
        <f>'R2'!E34</f>
        <v>1.2172675210660069</v>
      </c>
      <c r="F28" s="36">
        <f>'R2'!F34</f>
        <v>1.5013724171041503</v>
      </c>
      <c r="G28" s="36">
        <f>'R2'!G34</f>
        <v>2.623614868820729</v>
      </c>
      <c r="H28" s="36">
        <f>'R2'!H34</f>
        <v>2.9933141300425588</v>
      </c>
      <c r="I28" s="36">
        <f>'R2'!I34</f>
        <v>0.4227845791341025</v>
      </c>
      <c r="J28" s="36">
        <f>'R2'!J34</f>
        <v>0.27828941496699272</v>
      </c>
      <c r="K28" s="36">
        <f>'R2'!K34</f>
        <v>0.1502635116892746</v>
      </c>
      <c r="L28" s="36">
        <f>'R2'!L34</f>
        <v>0.13032330429761144</v>
      </c>
      <c r="M28" s="36">
        <f>'R2'!M34</f>
        <v>3.4103918749302919E-3</v>
      </c>
      <c r="N28" s="36" t="str">
        <f>'R2'!N34</f>
        <v/>
      </c>
      <c r="P28" s="36">
        <f>'R2'!O34</f>
        <v>0.62404051938593286</v>
      </c>
      <c r="Q28" s="36">
        <f>'R2'!P34</f>
        <v>2.2701560710572815</v>
      </c>
      <c r="R28" s="36">
        <f>'R2'!Q34</f>
        <v>7.1176771760491739E-2</v>
      </c>
      <c r="S28" s="36">
        <f>'R2'!R34</f>
        <v>0.2264076801886552</v>
      </c>
      <c r="T28" s="36">
        <f>'R2'!S34</f>
        <v>0.16816483359412654</v>
      </c>
      <c r="U28" s="36">
        <f>'R2'!T34</f>
        <v>0.38143439649612715</v>
      </c>
      <c r="V28" s="36">
        <f>'R2'!U34</f>
        <v>7.2336257065545348E-2</v>
      </c>
      <c r="W28" s="36">
        <f>'R2'!V34</f>
        <v>3.8114424556406463E-2</v>
      </c>
    </row>
    <row r="29" spans="1:23">
      <c r="A29" s="146"/>
      <c r="B29" s="36">
        <f>'R2'!B35</f>
        <v>2.7938530992460093E-2</v>
      </c>
      <c r="C29" s="36" t="str">
        <f>'R2'!C35</f>
        <v/>
      </c>
      <c r="D29" s="36">
        <f>'R2'!D35</f>
        <v>0.42416742952892666</v>
      </c>
      <c r="E29" s="36">
        <f>'R2'!E35</f>
        <v>0.66424687464360244</v>
      </c>
      <c r="F29" s="36">
        <f>'R2'!F35</f>
        <v>1.427178139560106</v>
      </c>
      <c r="G29" s="36">
        <f>'R2'!G35</f>
        <v>2.566855850258174</v>
      </c>
      <c r="H29" s="36">
        <f>'R2'!H35</f>
        <v>3.4395561977458704</v>
      </c>
      <c r="I29" s="36">
        <f>'R2'!I35</f>
        <v>0.15398083084421149</v>
      </c>
      <c r="J29" s="36">
        <f>'R2'!J35</f>
        <v>0.1099016956073226</v>
      </c>
      <c r="K29" s="36" t="str">
        <f>'R2'!K35</f>
        <v/>
      </c>
      <c r="L29" s="36">
        <f>'R2'!L35</f>
        <v>0.18346198697382091</v>
      </c>
      <c r="M29" s="36">
        <f>'R2'!M35</f>
        <v>0.2296955248362221</v>
      </c>
      <c r="N29" s="36" t="str">
        <f>'R2'!N35</f>
        <v/>
      </c>
      <c r="P29" s="36">
        <f>'R2'!O35</f>
        <v>0.85322636279413777</v>
      </c>
      <c r="Q29" s="36">
        <f>'R2'!P35</f>
        <v>0.84226693389382878</v>
      </c>
      <c r="R29" s="36">
        <f>'R2'!Q35</f>
        <v>1.8206811212177629E-2</v>
      </c>
      <c r="S29" s="36">
        <f>'R2'!R35</f>
        <v>1.2161676317398407</v>
      </c>
      <c r="T29" s="36">
        <f>'R2'!S35</f>
        <v>0.59121543767420037</v>
      </c>
      <c r="U29" s="36">
        <f>'R2'!T35</f>
        <v>0.12150773288982138</v>
      </c>
      <c r="V29" s="36">
        <f>'R2'!U35</f>
        <v>0.14861144085363256</v>
      </c>
      <c r="W29" s="36">
        <f>'R2'!V35</f>
        <v>2.9625752271413657E-2</v>
      </c>
    </row>
    <row r="30" spans="1:23">
      <c r="A30" s="146"/>
      <c r="B30" s="36" t="str">
        <f>'R2'!B36</f>
        <v/>
      </c>
      <c r="C30" s="36" t="str">
        <f>'R2'!C36</f>
        <v/>
      </c>
      <c r="D30" s="36" t="str">
        <f>'R2'!D36</f>
        <v/>
      </c>
      <c r="E30" s="36" t="str">
        <f>'R2'!E36</f>
        <v/>
      </c>
      <c r="F30" s="36" t="str">
        <f>'R2'!F36</f>
        <v/>
      </c>
      <c r="G30" s="36" t="str">
        <f>'R2'!G36</f>
        <v/>
      </c>
      <c r="H30" s="36" t="str">
        <f>'R2'!H36</f>
        <v/>
      </c>
      <c r="I30" s="36" t="str">
        <f>'R2'!I36</f>
        <v/>
      </c>
      <c r="J30" s="36" t="str">
        <f>'R2'!J36</f>
        <v/>
      </c>
      <c r="K30" s="36" t="str">
        <f>'R2'!K36</f>
        <v/>
      </c>
      <c r="L30" s="36" t="str">
        <f>'R2'!L36</f>
        <v/>
      </c>
      <c r="M30" s="36" t="str">
        <f>'R2'!M36</f>
        <v/>
      </c>
      <c r="N30" s="36" t="str">
        <f>'R2'!N36</f>
        <v/>
      </c>
      <c r="P30" s="36">
        <f>'R2'!O36</f>
        <v>0.788283841704431</v>
      </c>
      <c r="Q30" s="36" t="str">
        <f>'R2'!P36</f>
        <v/>
      </c>
      <c r="R30" s="36" t="str">
        <f>'R2'!Q36</f>
        <v/>
      </c>
      <c r="S30" s="36" t="str">
        <f>'R2'!R36</f>
        <v/>
      </c>
      <c r="T30" s="36" t="str">
        <f>'R2'!S36</f>
        <v/>
      </c>
      <c r="U30" s="36" t="str">
        <f>'R2'!T36</f>
        <v/>
      </c>
      <c r="V30" s="36" t="str">
        <f>'R2'!U36</f>
        <v/>
      </c>
      <c r="W30" s="36" t="str">
        <f>'R2'!V36</f>
        <v/>
      </c>
    </row>
    <row r="31" spans="1:23" s="1" customFormat="1">
      <c r="A31" s="146"/>
      <c r="B31" s="36" t="str">
        <f>'R2'!B37</f>
        <v/>
      </c>
      <c r="C31" s="36" t="str">
        <f>'R2'!C37</f>
        <v/>
      </c>
      <c r="D31" s="36" t="str">
        <f>'R2'!D37</f>
        <v/>
      </c>
      <c r="E31" s="36" t="str">
        <f>'R2'!E37</f>
        <v/>
      </c>
      <c r="F31" s="36" t="str">
        <f>'R2'!F37</f>
        <v/>
      </c>
      <c r="G31" s="36" t="str">
        <f>'R2'!G37</f>
        <v/>
      </c>
      <c r="H31" s="36" t="str">
        <f>'R2'!H37</f>
        <v/>
      </c>
      <c r="I31" s="36" t="str">
        <f>'R2'!I37</f>
        <v/>
      </c>
      <c r="J31" s="36" t="str">
        <f>'R2'!J37</f>
        <v/>
      </c>
      <c r="K31" s="36" t="str">
        <f>'R2'!K37</f>
        <v/>
      </c>
      <c r="L31" s="36" t="str">
        <f>'R2'!L37</f>
        <v/>
      </c>
      <c r="M31" s="36" t="str">
        <f>'R2'!M37</f>
        <v/>
      </c>
      <c r="N31" s="36" t="str">
        <f>'R2'!N37</f>
        <v/>
      </c>
      <c r="O31"/>
      <c r="P31" s="36">
        <f>'R2'!O37</f>
        <v>1.314522566494067</v>
      </c>
      <c r="Q31" s="36" t="str">
        <f>'R2'!P37</f>
        <v/>
      </c>
      <c r="R31" s="36" t="str">
        <f>'R2'!Q37</f>
        <v/>
      </c>
      <c r="S31" s="36" t="str">
        <f>'R2'!R37</f>
        <v/>
      </c>
      <c r="T31" s="36" t="str">
        <f>'R2'!S37</f>
        <v/>
      </c>
      <c r="U31" s="36" t="str">
        <f>'R2'!T37</f>
        <v/>
      </c>
      <c r="V31" s="36" t="str">
        <f>'R2'!U37</f>
        <v/>
      </c>
      <c r="W31" s="36" t="str">
        <f>'R2'!V37</f>
        <v/>
      </c>
    </row>
    <row r="32" spans="1:23" s="1" customFormat="1">
      <c r="A32" s="146"/>
      <c r="B32" s="36" t="str">
        <f>'R2'!B38</f>
        <v/>
      </c>
      <c r="C32" s="36" t="str">
        <f>'R2'!C38</f>
        <v/>
      </c>
      <c r="D32" s="36" t="str">
        <f>'R2'!D38</f>
        <v/>
      </c>
      <c r="E32" s="36" t="str">
        <f>'R2'!E38</f>
        <v/>
      </c>
      <c r="F32" s="36" t="str">
        <f>'R2'!F38</f>
        <v/>
      </c>
      <c r="G32" s="36" t="str">
        <f>'R2'!G38</f>
        <v/>
      </c>
      <c r="H32" s="36" t="str">
        <f>'R2'!H38</f>
        <v/>
      </c>
      <c r="I32" s="36" t="str">
        <f>'R2'!I38</f>
        <v/>
      </c>
      <c r="J32" s="36" t="str">
        <f>'R2'!J38</f>
        <v/>
      </c>
      <c r="K32" s="36" t="str">
        <f>'R2'!K38</f>
        <v/>
      </c>
      <c r="L32" s="36" t="str">
        <f>'R2'!L38</f>
        <v/>
      </c>
      <c r="M32" s="36" t="str">
        <f>'R2'!M38</f>
        <v/>
      </c>
      <c r="N32" s="36" t="str">
        <f>'R2'!N38</f>
        <v/>
      </c>
      <c r="O32"/>
      <c r="P32" s="36">
        <f>'R2'!O38</f>
        <v>1.0294681291622851</v>
      </c>
      <c r="Q32" s="36" t="str">
        <f>'R2'!P38</f>
        <v/>
      </c>
      <c r="R32" s="36" t="str">
        <f>'R2'!Q38</f>
        <v/>
      </c>
      <c r="S32" s="36" t="str">
        <f>'R2'!R38</f>
        <v/>
      </c>
      <c r="T32" s="36" t="str">
        <f>'R2'!S38</f>
        <v/>
      </c>
      <c r="U32" s="36" t="str">
        <f>'R2'!T38</f>
        <v/>
      </c>
      <c r="V32" s="36" t="str">
        <f>'R2'!U38</f>
        <v/>
      </c>
      <c r="W32" s="36" t="str">
        <f>'R2'!V38</f>
        <v/>
      </c>
    </row>
    <row r="33" spans="1:23" s="1" customFormat="1">
      <c r="A33" s="146"/>
      <c r="B33" s="36" t="str">
        <f>'R2'!B39</f>
        <v/>
      </c>
      <c r="C33" s="36" t="str">
        <f>'R2'!C39</f>
        <v/>
      </c>
      <c r="D33" s="36" t="str">
        <f>'R2'!D39</f>
        <v/>
      </c>
      <c r="E33" s="36" t="str">
        <f>'R2'!E39</f>
        <v/>
      </c>
      <c r="F33" s="36" t="str">
        <f>'R2'!F39</f>
        <v/>
      </c>
      <c r="G33" s="36" t="str">
        <f>'R2'!G39</f>
        <v/>
      </c>
      <c r="H33" s="36" t="str">
        <f>'R2'!H39</f>
        <v/>
      </c>
      <c r="I33" s="36" t="str">
        <f>'R2'!I39</f>
        <v/>
      </c>
      <c r="J33" s="36" t="str">
        <f>'R2'!J39</f>
        <v/>
      </c>
      <c r="K33" s="36" t="str">
        <f>'R2'!K39</f>
        <v/>
      </c>
      <c r="L33" s="36" t="str">
        <f>'R2'!L39</f>
        <v/>
      </c>
      <c r="M33" s="36" t="str">
        <f>'R2'!M39</f>
        <v/>
      </c>
      <c r="N33" s="36" t="str">
        <f>'R2'!N39</f>
        <v/>
      </c>
      <c r="O33"/>
      <c r="P33" s="36">
        <f>'R2'!O39</f>
        <v>0.42748659002598927</v>
      </c>
      <c r="Q33" s="36" t="str">
        <f>'R2'!P39</f>
        <v/>
      </c>
      <c r="R33" s="36" t="str">
        <f>'R2'!Q39</f>
        <v/>
      </c>
      <c r="S33" s="36" t="str">
        <f>'R2'!R39</f>
        <v/>
      </c>
      <c r="T33" s="36" t="str">
        <f>'R2'!S39</f>
        <v/>
      </c>
      <c r="U33" s="36" t="str">
        <f>'R2'!T39</f>
        <v/>
      </c>
      <c r="V33" s="36" t="str">
        <f>'R2'!U39</f>
        <v/>
      </c>
      <c r="W33" s="36" t="str">
        <f>'R2'!V39</f>
        <v/>
      </c>
    </row>
    <row r="34" spans="1:23" s="1" customFormat="1">
      <c r="A34" s="146"/>
      <c r="B34" s="36" t="str">
        <f>'R2'!B40</f>
        <v/>
      </c>
      <c r="C34" s="36" t="str">
        <f>'R2'!C40</f>
        <v/>
      </c>
      <c r="D34" s="36" t="str">
        <f>'R2'!D40</f>
        <v/>
      </c>
      <c r="E34" s="36" t="str">
        <f>'R2'!E40</f>
        <v/>
      </c>
      <c r="F34" s="36" t="str">
        <f>'R2'!F40</f>
        <v/>
      </c>
      <c r="G34" s="36" t="str">
        <f>'R2'!G40</f>
        <v/>
      </c>
      <c r="H34" s="36" t="str">
        <f>'R2'!H40</f>
        <v/>
      </c>
      <c r="I34" s="36" t="str">
        <f>'R2'!I40</f>
        <v/>
      </c>
      <c r="J34" s="36" t="str">
        <f>'R2'!J40</f>
        <v/>
      </c>
      <c r="K34" s="36" t="str">
        <f>'R2'!K40</f>
        <v/>
      </c>
      <c r="L34" s="36" t="str">
        <f>'R2'!L40</f>
        <v/>
      </c>
      <c r="M34" s="36" t="str">
        <f>'R2'!M40</f>
        <v/>
      </c>
      <c r="N34" s="36" t="str">
        <f>'R2'!N40</f>
        <v/>
      </c>
      <c r="O34"/>
      <c r="P34" s="36">
        <f>'R2'!O40</f>
        <v>0.91226440828121869</v>
      </c>
      <c r="Q34" s="36" t="str">
        <f>'R2'!P40</f>
        <v/>
      </c>
      <c r="R34" s="36" t="str">
        <f>'R2'!Q40</f>
        <v/>
      </c>
      <c r="S34" s="36" t="str">
        <f>'R2'!R40</f>
        <v/>
      </c>
      <c r="T34" s="36" t="str">
        <f>'R2'!S40</f>
        <v/>
      </c>
      <c r="U34" s="36" t="str">
        <f>'R2'!T40</f>
        <v/>
      </c>
      <c r="V34" s="36" t="str">
        <f>'R2'!U40</f>
        <v/>
      </c>
      <c r="W34" s="36" t="str">
        <f>'R2'!V40</f>
        <v/>
      </c>
    </row>
    <row r="35" spans="1:23" s="1" customFormat="1">
      <c r="A35" s="146"/>
      <c r="B35" s="36" t="str">
        <f>'R2'!B41</f>
        <v/>
      </c>
      <c r="C35" s="36" t="str">
        <f>'R2'!C41</f>
        <v/>
      </c>
      <c r="D35" s="36" t="str">
        <f>'R2'!D41</f>
        <v/>
      </c>
      <c r="E35" s="36" t="str">
        <f>'R2'!E41</f>
        <v/>
      </c>
      <c r="F35" s="36" t="str">
        <f>'R2'!F41</f>
        <v/>
      </c>
      <c r="G35" s="36" t="str">
        <f>'R2'!G41</f>
        <v/>
      </c>
      <c r="H35" s="36" t="str">
        <f>'R2'!H41</f>
        <v/>
      </c>
      <c r="I35" s="36" t="str">
        <f>'R2'!I41</f>
        <v/>
      </c>
      <c r="J35" s="36" t="str">
        <f>'R2'!J41</f>
        <v/>
      </c>
      <c r="K35" s="36" t="str">
        <f>'R2'!K41</f>
        <v/>
      </c>
      <c r="L35" s="36" t="str">
        <f>'R2'!L41</f>
        <v/>
      </c>
      <c r="M35" s="36" t="str">
        <f>'R2'!M41</f>
        <v/>
      </c>
      <c r="N35" s="36" t="str">
        <f>'R2'!N41</f>
        <v/>
      </c>
      <c r="O35"/>
      <c r="P35" s="36">
        <f>'R2'!O41</f>
        <v>1.1985138009108502</v>
      </c>
      <c r="Q35" s="36" t="str">
        <f>'R2'!P41</f>
        <v/>
      </c>
      <c r="R35" s="36" t="str">
        <f>'R2'!Q41</f>
        <v/>
      </c>
      <c r="S35" s="36" t="str">
        <f>'R2'!R41</f>
        <v/>
      </c>
      <c r="T35" s="36" t="str">
        <f>'R2'!S41</f>
        <v/>
      </c>
      <c r="U35" s="36" t="str">
        <f>'R2'!T41</f>
        <v/>
      </c>
      <c r="V35" s="36" t="str">
        <f>'R2'!U41</f>
        <v/>
      </c>
      <c r="W35" s="36" t="str">
        <f>'R2'!V41</f>
        <v/>
      </c>
    </row>
    <row r="36" spans="1:23">
      <c r="A36" s="146"/>
      <c r="B36" s="36" t="str">
        <f>'R2'!B42</f>
        <v/>
      </c>
      <c r="C36" s="36" t="str">
        <f>'R2'!C42</f>
        <v/>
      </c>
      <c r="D36" s="36" t="str">
        <f>'R2'!D42</f>
        <v/>
      </c>
      <c r="E36" s="36" t="str">
        <f>'R2'!E42</f>
        <v/>
      </c>
      <c r="F36" s="36" t="str">
        <f>'R2'!F42</f>
        <v/>
      </c>
      <c r="G36" s="36" t="str">
        <f>'R2'!G42</f>
        <v/>
      </c>
      <c r="H36" s="36" t="str">
        <f>'R2'!H42</f>
        <v/>
      </c>
      <c r="I36" s="36" t="str">
        <f>'R2'!I42</f>
        <v/>
      </c>
      <c r="J36" s="36" t="str">
        <f>'R2'!J42</f>
        <v/>
      </c>
      <c r="K36" s="36" t="str">
        <f>'R2'!K42</f>
        <v/>
      </c>
      <c r="L36" s="36" t="str">
        <f>'R2'!L42</f>
        <v/>
      </c>
      <c r="M36" s="36" t="str">
        <f>'R2'!M42</f>
        <v/>
      </c>
      <c r="N36" s="36" t="str">
        <f>'R2'!N42</f>
        <v/>
      </c>
      <c r="P36" s="36">
        <f>'R2'!O42</f>
        <v>1.2188633511923506</v>
      </c>
      <c r="Q36" s="36" t="str">
        <f>'R2'!P42</f>
        <v/>
      </c>
      <c r="R36" s="36" t="str">
        <f>'R2'!Q42</f>
        <v/>
      </c>
      <c r="S36" s="36" t="str">
        <f>'R2'!R42</f>
        <v/>
      </c>
      <c r="T36" s="36" t="str">
        <f>'R2'!S42</f>
        <v/>
      </c>
      <c r="U36" s="36" t="str">
        <f>'R2'!T42</f>
        <v/>
      </c>
      <c r="V36" s="36" t="str">
        <f>'R2'!U42</f>
        <v/>
      </c>
      <c r="W36" s="36" t="str">
        <f>'R2'!V42</f>
        <v/>
      </c>
    </row>
    <row r="37" spans="1:23">
      <c r="A37" s="147"/>
      <c r="B37" s="36" t="str">
        <f>'R2'!B43</f>
        <v/>
      </c>
      <c r="C37" s="36" t="str">
        <f>'R2'!C43</f>
        <v/>
      </c>
      <c r="D37" s="36" t="str">
        <f>'R2'!D43</f>
        <v/>
      </c>
      <c r="E37" s="36" t="str">
        <f>'R2'!E43</f>
        <v/>
      </c>
      <c r="F37" s="36" t="str">
        <f>'R2'!F43</f>
        <v/>
      </c>
      <c r="G37" s="36" t="str">
        <f>'R2'!G43</f>
        <v/>
      </c>
      <c r="H37" s="36" t="str">
        <f>'R2'!H43</f>
        <v/>
      </c>
      <c r="I37" s="36" t="str">
        <f>'R2'!I43</f>
        <v/>
      </c>
      <c r="J37" s="36" t="str">
        <f>'R2'!J43</f>
        <v/>
      </c>
      <c r="K37" s="36" t="str">
        <f>'R2'!K43</f>
        <v/>
      </c>
      <c r="L37" s="36" t="str">
        <f>'R2'!L43</f>
        <v/>
      </c>
      <c r="M37" s="36" t="str">
        <f>'R2'!M43</f>
        <v/>
      </c>
      <c r="N37" s="36" t="str">
        <f>'R2'!N43</f>
        <v/>
      </c>
      <c r="P37" s="36" t="str">
        <f>'R2'!O43</f>
        <v/>
      </c>
      <c r="Q37" s="36" t="str">
        <f>'R2'!P43</f>
        <v/>
      </c>
      <c r="R37" s="36" t="str">
        <f>'R2'!Q43</f>
        <v/>
      </c>
      <c r="S37" s="36" t="str">
        <f>'R2'!R43</f>
        <v/>
      </c>
      <c r="T37" s="36" t="str">
        <f>'R2'!S43</f>
        <v/>
      </c>
      <c r="U37" s="36" t="str">
        <f>'R2'!T43</f>
        <v/>
      </c>
      <c r="V37" s="36" t="str">
        <f>'R2'!U43</f>
        <v/>
      </c>
      <c r="W37" s="36" t="str">
        <f>'R2'!V43</f>
        <v/>
      </c>
    </row>
    <row r="38" spans="1:23" s="1" customFormat="1">
      <c r="A38" s="76" t="s">
        <v>48</v>
      </c>
      <c r="B38" s="77">
        <f>'R3'!B28</f>
        <v>0.34704397681335913</v>
      </c>
      <c r="C38" s="77">
        <f>'R3'!C28</f>
        <v>0.28883115842007651</v>
      </c>
      <c r="D38" s="77">
        <f>'R3'!D28</f>
        <v>0.40886355057894458</v>
      </c>
      <c r="E38" s="77">
        <f>'R3'!E28</f>
        <v>0.58605640374942169</v>
      </c>
      <c r="F38" s="77">
        <f>'R3'!F28</f>
        <v>0.39503186334957047</v>
      </c>
      <c r="G38" s="77">
        <f>'R3'!G28</f>
        <v>0.5181052655708247</v>
      </c>
      <c r="H38" s="77">
        <f>'R3'!H28</f>
        <v>2.3995201371906574</v>
      </c>
      <c r="I38" s="77">
        <f>'R3'!I28</f>
        <v>0.15021851131298164</v>
      </c>
      <c r="J38" s="77">
        <f>'R3'!J28</f>
        <v>8.344278843568935E-2</v>
      </c>
      <c r="K38" s="77">
        <f>'R3'!K28</f>
        <v>4.2640429296096731E-2</v>
      </c>
      <c r="L38" s="77">
        <f>'R3'!L28</f>
        <v>0.32576447564291472</v>
      </c>
      <c r="M38" s="77">
        <f>'R3'!M28</f>
        <v>4.0033046441656034E-2</v>
      </c>
      <c r="N38" s="77" t="str">
        <f>'R3'!N28</f>
        <v/>
      </c>
      <c r="O38"/>
      <c r="P38" s="77">
        <f>'R3'!O28</f>
        <v>1.0014728745631158</v>
      </c>
      <c r="Q38" s="77">
        <f>'R3'!P28</f>
        <v>2.4857129776811799</v>
      </c>
      <c r="R38" s="77">
        <f>'R3'!Q28</f>
        <v>0.11614328021794268</v>
      </c>
      <c r="S38" s="77">
        <f>'R3'!R28</f>
        <v>1.0641278200776236</v>
      </c>
      <c r="T38" s="77">
        <f>'R3'!S28</f>
        <v>0.63043971394452591</v>
      </c>
      <c r="U38" s="77">
        <f>'R3'!T28</f>
        <v>0.15191505912761727</v>
      </c>
      <c r="V38" s="77">
        <f>'R3'!U28</f>
        <v>0.58911335514529228</v>
      </c>
      <c r="W38" s="77">
        <f>'R3'!V28</f>
        <v>0.11381194621024221</v>
      </c>
    </row>
    <row r="39" spans="1:23" s="1" customFormat="1">
      <c r="A39" s="137" t="s">
        <v>17</v>
      </c>
      <c r="B39" s="77">
        <f>'R3'!B29</f>
        <v>0.23793174214884488</v>
      </c>
      <c r="C39" s="77">
        <f>'R3'!C29</f>
        <v>0.13402119900603779</v>
      </c>
      <c r="D39" s="77">
        <f>'R3'!D29</f>
        <v>2.1668400895951682E-2</v>
      </c>
      <c r="E39" s="77">
        <f>'R3'!E29</f>
        <v>0.46493931279850176</v>
      </c>
      <c r="F39" s="77">
        <f>'R3'!F29</f>
        <v>1.4532637984408758</v>
      </c>
      <c r="G39" s="77">
        <f>'R3'!G29</f>
        <v>0.95332133131552177</v>
      </c>
      <c r="H39" s="77">
        <f>'R3'!H29</f>
        <v>1.3233909014022001</v>
      </c>
      <c r="I39" s="77">
        <f>'R3'!I29</f>
        <v>0.32708118391438312</v>
      </c>
      <c r="J39" s="77">
        <f>'R3'!J29</f>
        <v>9.8878586682660183E-2</v>
      </c>
      <c r="K39" s="77">
        <f>'R3'!K29</f>
        <v>0.10224209336201082</v>
      </c>
      <c r="L39" s="77">
        <f>'R3'!L29</f>
        <v>0.16374524886080929</v>
      </c>
      <c r="M39" s="77">
        <f>'R3'!M29</f>
        <v>0.17832468784786773</v>
      </c>
      <c r="N39" s="77" t="str">
        <f>'R3'!N29</f>
        <v/>
      </c>
      <c r="O39"/>
      <c r="P39" s="77">
        <f>'R3'!O29</f>
        <v>1.3118837817152347</v>
      </c>
      <c r="Q39" s="77">
        <f>'R3'!P29</f>
        <v>1.5787473238504333</v>
      </c>
      <c r="R39" s="77">
        <f>'R3'!Q29</f>
        <v>3.0712756588359955E-2</v>
      </c>
      <c r="S39" s="77">
        <f>'R3'!R29</f>
        <v>0.19161723688508323</v>
      </c>
      <c r="T39" s="77">
        <f>'R3'!S29</f>
        <v>1.1570498529580431</v>
      </c>
      <c r="U39" s="77">
        <f>'R3'!T29</f>
        <v>0.40939018801319099</v>
      </c>
      <c r="V39" s="77">
        <f>'R3'!U29</f>
        <v>0.60680399193640899</v>
      </c>
      <c r="W39" s="77">
        <f>'R3'!V29</f>
        <v>0.12192424998015039</v>
      </c>
    </row>
    <row r="40" spans="1:23" s="1" customFormat="1">
      <c r="A40" s="146"/>
      <c r="B40" s="77">
        <f>'R3'!B30</f>
        <v>0.22660181210384595</v>
      </c>
      <c r="C40" s="77">
        <f>'R3'!C30</f>
        <v>0.26686870299855692</v>
      </c>
      <c r="D40" s="77">
        <f>'R3'!D30</f>
        <v>0.48060723521074145</v>
      </c>
      <c r="E40" s="77">
        <f>'R3'!E30</f>
        <v>1.0377355089210862</v>
      </c>
      <c r="F40" s="77">
        <f>'R3'!F30</f>
        <v>1.7117190326211076</v>
      </c>
      <c r="G40" s="77">
        <f>'R3'!G30</f>
        <v>1.1188255170946753</v>
      </c>
      <c r="H40" s="77">
        <f>'R3'!H30</f>
        <v>1.8774660083498038</v>
      </c>
      <c r="I40" s="77">
        <f>'R3'!I30</f>
        <v>4.086623915938252E-2</v>
      </c>
      <c r="J40" s="77">
        <f>'R3'!J30</f>
        <v>0.23475425592209609</v>
      </c>
      <c r="K40" s="77">
        <f>'R3'!K30</f>
        <v>5.759982251217482E-3</v>
      </c>
      <c r="L40" s="77">
        <f>'R3'!L30</f>
        <v>8.6319453671578322E-3</v>
      </c>
      <c r="M40" s="77">
        <f>'R3'!M30</f>
        <v>0</v>
      </c>
      <c r="N40" s="77" t="str">
        <f>'R3'!N30</f>
        <v/>
      </c>
      <c r="O40"/>
      <c r="P40" s="77">
        <f>'R3'!O30</f>
        <v>0.90028015675061601</v>
      </c>
      <c r="Q40" s="77">
        <f>'R3'!P30</f>
        <v>1.3209619697341024</v>
      </c>
      <c r="R40" s="77">
        <f>'R3'!Q30</f>
        <v>3.3391244671292106E-2</v>
      </c>
      <c r="S40" s="77">
        <f>'R3'!R30</f>
        <v>1.2066760268958681</v>
      </c>
      <c r="T40" s="77">
        <f>'R3'!S30</f>
        <v>2.0778094623727223E-2</v>
      </c>
      <c r="U40" s="77">
        <f>'R3'!T30</f>
        <v>0.63178165310352352</v>
      </c>
      <c r="V40" s="77">
        <f>'R3'!U30</f>
        <v>0.18965289760508058</v>
      </c>
      <c r="W40" s="77">
        <f>'R3'!V30</f>
        <v>0.48783313202740697</v>
      </c>
    </row>
    <row r="41" spans="1:23" s="1" customFormat="1">
      <c r="A41" s="146"/>
      <c r="B41" s="77">
        <f>'R3'!B31</f>
        <v>0.31276838953416763</v>
      </c>
      <c r="C41" s="77">
        <f>'R3'!C31</f>
        <v>4.8933127331738095E-2</v>
      </c>
      <c r="D41" s="77">
        <f>'R3'!D31</f>
        <v>0.45486221100518126</v>
      </c>
      <c r="E41" s="77">
        <f>'R3'!E31</f>
        <v>0.73692105515485629</v>
      </c>
      <c r="F41" s="77">
        <f>'R3'!F31</f>
        <v>0.95831911139165182</v>
      </c>
      <c r="G41" s="77">
        <f>'R3'!G31</f>
        <v>1.351732872049632</v>
      </c>
      <c r="H41" s="77">
        <f>'R3'!H31</f>
        <v>2.5238301969584009</v>
      </c>
      <c r="I41" s="77">
        <f>'R3'!I31</f>
        <v>0.14824132721750954</v>
      </c>
      <c r="J41" s="77">
        <f>'R3'!J31</f>
        <v>4.2905124243448793E-3</v>
      </c>
      <c r="K41" s="77">
        <f>'R3'!K31</f>
        <v>2.7695715869126555E-2</v>
      </c>
      <c r="L41" s="77">
        <f>'R3'!L31</f>
        <v>4.419281699425856E-2</v>
      </c>
      <c r="M41" s="77">
        <f>'R3'!M31</f>
        <v>0.23652718451443383</v>
      </c>
      <c r="N41" s="77" t="str">
        <f>'R3'!N31</f>
        <v/>
      </c>
      <c r="O41"/>
      <c r="P41" s="77">
        <f>'R3'!O31</f>
        <v>1.2723884972355082</v>
      </c>
      <c r="Q41" s="77">
        <f>'R3'!P31</f>
        <v>0.96877949330371171</v>
      </c>
      <c r="R41" s="77">
        <f>'R3'!Q31</f>
        <v>4.4128707602763849E-2</v>
      </c>
      <c r="S41" s="77">
        <f>'R3'!R31</f>
        <v>0.46278620060543951</v>
      </c>
      <c r="T41" s="77">
        <f>'R3'!S31</f>
        <v>0.54241625787790559</v>
      </c>
      <c r="U41" s="77">
        <f>'R3'!T31</f>
        <v>0.46218387050860543</v>
      </c>
      <c r="V41" s="77">
        <f>'R3'!U31</f>
        <v>5.5160454431508285E-2</v>
      </c>
      <c r="W41" s="77">
        <f>'R3'!V31</f>
        <v>2.3156220459209179E-3</v>
      </c>
    </row>
    <row r="42" spans="1:23" s="1" customFormat="1">
      <c r="A42" s="146"/>
      <c r="B42" s="77">
        <f>'R3'!B32</f>
        <v>7.0492806039609297E-3</v>
      </c>
      <c r="C42" s="77">
        <f>'R3'!C32</f>
        <v>1.7943863153228306E-2</v>
      </c>
      <c r="D42" s="77">
        <f>'R3'!D32</f>
        <v>0.35762500824214966</v>
      </c>
      <c r="E42" s="77">
        <f>'R3'!E32</f>
        <v>1.2027647805854285</v>
      </c>
      <c r="F42" s="77">
        <f>'R3'!F32</f>
        <v>1.3486592912051627</v>
      </c>
      <c r="G42" s="77">
        <f>'R3'!G32</f>
        <v>1.3841242854596525</v>
      </c>
      <c r="H42" s="77">
        <f>'R3'!H32</f>
        <v>1.7607218889511083</v>
      </c>
      <c r="I42" s="77">
        <f>'R3'!I32</f>
        <v>0.14479604952539374</v>
      </c>
      <c r="J42" s="77">
        <f>'R3'!J32</f>
        <v>0.10408429220920153</v>
      </c>
      <c r="K42" s="77">
        <f>'R3'!K32</f>
        <v>1.0593876244259963E-2</v>
      </c>
      <c r="L42" s="77">
        <f>'R3'!L32</f>
        <v>0</v>
      </c>
      <c r="M42" s="77">
        <f>'R3'!M32</f>
        <v>3.972144498067009E-3</v>
      </c>
      <c r="N42" s="77" t="str">
        <f>'R3'!N32</f>
        <v/>
      </c>
      <c r="O42"/>
      <c r="P42" s="77">
        <f>'R3'!O32</f>
        <v>0.73305442164100243</v>
      </c>
      <c r="Q42" s="77">
        <f>'R3'!P32</f>
        <v>1.3764243920149946</v>
      </c>
      <c r="R42" s="77">
        <f>'R3'!Q32</f>
        <v>0.19346895465802361</v>
      </c>
      <c r="S42" s="77">
        <f>'R3'!R32</f>
        <v>0.26985925128588467</v>
      </c>
      <c r="T42" s="77">
        <f>'R3'!S32</f>
        <v>0.58939112427981855</v>
      </c>
      <c r="U42" s="77">
        <f>'R3'!T32</f>
        <v>6.4047919877825737E-2</v>
      </c>
      <c r="V42" s="77">
        <f>'R3'!U32</f>
        <v>0.81346503082494082</v>
      </c>
      <c r="W42" s="77">
        <f>'R3'!V32</f>
        <v>0.43073540417706374</v>
      </c>
    </row>
    <row r="43" spans="1:23" s="1" customFormat="1">
      <c r="A43" s="146"/>
      <c r="B43" s="77">
        <f>'R3'!B33</f>
        <v>4.6465775903084608E-2</v>
      </c>
      <c r="C43" s="77">
        <f>'R3'!C33</f>
        <v>0.16612887961720671</v>
      </c>
      <c r="D43" s="77">
        <f>'R3'!D33</f>
        <v>0.17086769903860499</v>
      </c>
      <c r="E43" s="77">
        <f>'R3'!E33</f>
        <v>0.51191498200138152</v>
      </c>
      <c r="F43" s="77">
        <f>'R3'!F33</f>
        <v>1.5354113248594967</v>
      </c>
      <c r="G43" s="77">
        <f>'R3'!G33</f>
        <v>2.0410994385045176</v>
      </c>
      <c r="H43" s="77">
        <f>'R3'!H33</f>
        <v>2.9981826951506472</v>
      </c>
      <c r="I43" s="77">
        <f>'R3'!I33</f>
        <v>1.4452481748445456E-2</v>
      </c>
      <c r="J43" s="77">
        <f>'R3'!J33</f>
        <v>4.183785770096253E-2</v>
      </c>
      <c r="K43" s="77">
        <f>'R3'!K33</f>
        <v>0.3903897241017501</v>
      </c>
      <c r="L43" s="77">
        <f>'R3'!L33</f>
        <v>0.27381247261830477</v>
      </c>
      <c r="M43" s="77">
        <f>'R3'!M33</f>
        <v>2.6250559442963933E-2</v>
      </c>
      <c r="N43" s="77" t="str">
        <f>'R3'!N33</f>
        <v/>
      </c>
      <c r="O43"/>
      <c r="P43" s="77">
        <f>'R3'!O33</f>
        <v>0.70403247857465789</v>
      </c>
      <c r="Q43" s="77">
        <f>'R3'!P33</f>
        <v>1.6980411391198094</v>
      </c>
      <c r="R43" s="77">
        <f>'R3'!Q33</f>
        <v>5.2443546588020274E-3</v>
      </c>
      <c r="S43" s="77">
        <f>'R3'!R33</f>
        <v>0.17020630572778206</v>
      </c>
      <c r="T43" s="77">
        <f>'R3'!S33</f>
        <v>0.18273504698797643</v>
      </c>
      <c r="U43" s="77">
        <f>'R3'!T33</f>
        <v>0.87848399581508463</v>
      </c>
      <c r="V43" s="77">
        <f>'R3'!U33</f>
        <v>0.19733249165386252</v>
      </c>
      <c r="W43" s="77">
        <f>'R3'!V33</f>
        <v>5.0660066897261206E-2</v>
      </c>
    </row>
    <row r="44" spans="1:23" s="1" customFormat="1">
      <c r="A44" s="146"/>
      <c r="B44" s="77">
        <f>'R3'!B34</f>
        <v>0.14796195248104957</v>
      </c>
      <c r="C44" s="77">
        <f>'R3'!C34</f>
        <v>0.38518895006686221</v>
      </c>
      <c r="D44" s="77">
        <f>'R3'!D34</f>
        <v>0.17228636303286191</v>
      </c>
      <c r="E44" s="77">
        <f>'R3'!E34</f>
        <v>1.0416274880083218</v>
      </c>
      <c r="F44" s="77">
        <f>'R3'!F34</f>
        <v>1.1383215385743606</v>
      </c>
      <c r="G44" s="77">
        <f>'R3'!G34</f>
        <v>1.2869352507546312</v>
      </c>
      <c r="H44" s="77">
        <f>'R3'!H34</f>
        <v>1.1562460198185325</v>
      </c>
      <c r="I44" s="77">
        <f>'R3'!I34</f>
        <v>0.29587722782017006</v>
      </c>
      <c r="J44" s="77">
        <f>'R3'!J34</f>
        <v>0.30743331836611282</v>
      </c>
      <c r="K44" s="77">
        <f>'R3'!K34</f>
        <v>0.20017612736425872</v>
      </c>
      <c r="L44" s="77">
        <f>'R3'!L34</f>
        <v>1.1162374014634388E-2</v>
      </c>
      <c r="M44" s="77">
        <f>'R3'!M34</f>
        <v>0.16189100799911599</v>
      </c>
      <c r="N44" s="77" t="str">
        <f>'R3'!N34</f>
        <v/>
      </c>
      <c r="O44"/>
      <c r="P44" s="77">
        <f>'R3'!O34</f>
        <v>0.88146789232297273</v>
      </c>
      <c r="Q44" s="77">
        <f>'R3'!P34</f>
        <v>1.0743266035603463</v>
      </c>
      <c r="R44" s="77">
        <f>'R3'!Q34</f>
        <v>8.6093522542339349E-3</v>
      </c>
      <c r="S44" s="77">
        <f>'R3'!R34</f>
        <v>0.50699759670778777</v>
      </c>
      <c r="T44" s="77">
        <f>'R3'!S34</f>
        <v>0.38964300451673745</v>
      </c>
      <c r="U44" s="77">
        <f>'R3'!T34</f>
        <v>0.90574344670166029</v>
      </c>
      <c r="V44" s="77">
        <f>'R3'!U34</f>
        <v>0.18070935077693681</v>
      </c>
      <c r="W44" s="77">
        <f>'R3'!V34</f>
        <v>0.41518342916160605</v>
      </c>
    </row>
    <row r="45" spans="1:23" s="1" customFormat="1">
      <c r="A45" s="146"/>
      <c r="B45" s="77">
        <f>'R3'!B35</f>
        <v>0.23759089579549553</v>
      </c>
      <c r="C45" s="77" t="str">
        <f>'R3'!C35</f>
        <v/>
      </c>
      <c r="D45" s="77">
        <f>'R3'!D35</f>
        <v>0.51854703547429093</v>
      </c>
      <c r="E45" s="77">
        <f>'R3'!E35</f>
        <v>1.0361630511987534</v>
      </c>
      <c r="F45" s="77">
        <f>'R3'!F35</f>
        <v>0.94558405028297976</v>
      </c>
      <c r="G45" s="77">
        <f>'R3'!G35</f>
        <v>0.42041172780107133</v>
      </c>
      <c r="H45" s="77">
        <f>'R3'!H35</f>
        <v>1.6019213206167653</v>
      </c>
      <c r="I45" s="77">
        <f>'R3'!I35</f>
        <v>3.9264995288095916E-3</v>
      </c>
      <c r="J45" s="77">
        <f>'R3'!J35</f>
        <v>2.4132197063180601E-2</v>
      </c>
      <c r="K45" s="77">
        <f>'R3'!K35</f>
        <v>0.5295074477028392</v>
      </c>
      <c r="L45" s="77">
        <f>'R3'!L35</f>
        <v>0.19376587632990164</v>
      </c>
      <c r="M45" s="77">
        <f>'R3'!M35</f>
        <v>0.17333229800680075</v>
      </c>
      <c r="N45" s="77" t="str">
        <f>'R3'!N35</f>
        <v/>
      </c>
      <c r="O45"/>
      <c r="P45" s="77">
        <f>'R3'!O35</f>
        <v>0.84652861801591028</v>
      </c>
      <c r="Q45" s="77">
        <f>'R3'!P35</f>
        <v>1.0858598716216603</v>
      </c>
      <c r="R45" s="77">
        <f>'R3'!Q35</f>
        <v>5.6605496171818502E-2</v>
      </c>
      <c r="S45" s="77">
        <f>'R3'!R35</f>
        <v>0.38108743992728172</v>
      </c>
      <c r="T45" s="77">
        <f>'R3'!S35</f>
        <v>0.59330592585168274</v>
      </c>
      <c r="U45" s="77">
        <f>'R3'!T35</f>
        <v>0.17803097737985704</v>
      </c>
      <c r="V45" s="77">
        <f>'R3'!U35</f>
        <v>0.21296061807531752</v>
      </c>
      <c r="W45" s="77">
        <f>'R3'!V35</f>
        <v>0.65670598534926938</v>
      </c>
    </row>
    <row r="46" spans="1:23" s="1" customFormat="1">
      <c r="A46" s="146"/>
      <c r="B46" s="77" t="str">
        <f>'R3'!B36</f>
        <v/>
      </c>
      <c r="C46" s="77" t="str">
        <f>'R3'!C36</f>
        <v/>
      </c>
      <c r="D46" s="77" t="str">
        <f>'R3'!D36</f>
        <v/>
      </c>
      <c r="E46" s="77" t="str">
        <f>'R3'!E36</f>
        <v/>
      </c>
      <c r="F46" s="77" t="str">
        <f>'R3'!F36</f>
        <v/>
      </c>
      <c r="G46" s="77" t="str">
        <f>'R3'!G36</f>
        <v/>
      </c>
      <c r="H46" s="77" t="str">
        <f>'R3'!H36</f>
        <v/>
      </c>
      <c r="I46" s="77" t="str">
        <f>'R3'!I36</f>
        <v/>
      </c>
      <c r="J46" s="77" t="str">
        <f>'R3'!J36</f>
        <v/>
      </c>
      <c r="K46" s="77" t="str">
        <f>'R3'!K36</f>
        <v/>
      </c>
      <c r="L46" s="77" t="str">
        <f>'R3'!L36</f>
        <v/>
      </c>
      <c r="M46" s="77" t="str">
        <f>'R3'!M36</f>
        <v/>
      </c>
      <c r="N46" s="77" t="str">
        <f>'R3'!N36</f>
        <v/>
      </c>
      <c r="O46"/>
      <c r="P46" s="77">
        <f>'R3'!O36</f>
        <v>1.3670826559072988</v>
      </c>
      <c r="Q46" s="77" t="str">
        <f>'R3'!P36</f>
        <v/>
      </c>
      <c r="R46" s="77" t="str">
        <f>'R3'!Q36</f>
        <v/>
      </c>
      <c r="S46" s="77" t="str">
        <f>'R3'!R36</f>
        <v/>
      </c>
      <c r="T46" s="77" t="str">
        <f>'R3'!S36</f>
        <v/>
      </c>
      <c r="U46" s="77" t="str">
        <f>'R3'!T36</f>
        <v/>
      </c>
      <c r="V46" s="77" t="str">
        <f>'R3'!U36</f>
        <v/>
      </c>
      <c r="W46" s="77" t="str">
        <f>'R3'!V36</f>
        <v/>
      </c>
    </row>
    <row r="47" spans="1:23" s="1" customFormat="1">
      <c r="A47" s="146"/>
      <c r="B47" s="77" t="str">
        <f>'R3'!B37</f>
        <v/>
      </c>
      <c r="C47" s="77" t="str">
        <f>'R3'!C37</f>
        <v/>
      </c>
      <c r="D47" s="77" t="str">
        <f>'R3'!D37</f>
        <v/>
      </c>
      <c r="E47" s="77" t="str">
        <f>'R3'!E37</f>
        <v/>
      </c>
      <c r="F47" s="77" t="str">
        <f>'R3'!F37</f>
        <v/>
      </c>
      <c r="G47" s="77" t="str">
        <f>'R3'!G37</f>
        <v/>
      </c>
      <c r="H47" s="77" t="str">
        <f>'R3'!H37</f>
        <v/>
      </c>
      <c r="I47" s="77" t="str">
        <f>'R3'!I37</f>
        <v/>
      </c>
      <c r="J47" s="77" t="str">
        <f>'R3'!J37</f>
        <v/>
      </c>
      <c r="K47" s="77" t="str">
        <f>'R3'!K37</f>
        <v/>
      </c>
      <c r="L47" s="77" t="str">
        <f>'R3'!L37</f>
        <v/>
      </c>
      <c r="M47" s="77" t="str">
        <f>'R3'!M37</f>
        <v/>
      </c>
      <c r="N47" s="77" t="str">
        <f>'R3'!N37</f>
        <v/>
      </c>
      <c r="O47"/>
      <c r="P47" s="77">
        <f>'R3'!O37</f>
        <v>0.73477149822321863</v>
      </c>
      <c r="Q47" s="77" t="str">
        <f>'R3'!P37</f>
        <v/>
      </c>
      <c r="R47" s="77" t="str">
        <f>'R3'!Q37</f>
        <v/>
      </c>
      <c r="S47" s="77" t="str">
        <f>'R3'!R37</f>
        <v/>
      </c>
      <c r="T47" s="77" t="str">
        <f>'R3'!S37</f>
        <v/>
      </c>
      <c r="U47" s="77" t="str">
        <f>'R3'!T37</f>
        <v/>
      </c>
      <c r="V47" s="77" t="str">
        <f>'R3'!U37</f>
        <v/>
      </c>
      <c r="W47" s="77" t="str">
        <f>'R3'!V37</f>
        <v/>
      </c>
    </row>
    <row r="48" spans="1:23" s="1" customFormat="1">
      <c r="A48" s="146"/>
      <c r="B48" s="77" t="str">
        <f>'R3'!B38</f>
        <v/>
      </c>
      <c r="C48" s="77" t="str">
        <f>'R3'!C38</f>
        <v/>
      </c>
      <c r="D48" s="77" t="str">
        <f>'R3'!D38</f>
        <v/>
      </c>
      <c r="E48" s="77" t="str">
        <f>'R3'!E38</f>
        <v/>
      </c>
      <c r="F48" s="77" t="str">
        <f>'R3'!F38</f>
        <v/>
      </c>
      <c r="G48" s="77" t="str">
        <f>'R3'!G38</f>
        <v/>
      </c>
      <c r="H48" s="77" t="str">
        <f>'R3'!H38</f>
        <v/>
      </c>
      <c r="I48" s="77" t="str">
        <f>'R3'!I38</f>
        <v/>
      </c>
      <c r="J48" s="77" t="str">
        <f>'R3'!J38</f>
        <v/>
      </c>
      <c r="K48" s="77" t="str">
        <f>'R3'!K38</f>
        <v/>
      </c>
      <c r="L48" s="77" t="str">
        <f>'R3'!L38</f>
        <v/>
      </c>
      <c r="M48" s="77" t="str">
        <f>'R3'!M38</f>
        <v/>
      </c>
      <c r="N48" s="77" t="str">
        <f>'R3'!N38</f>
        <v/>
      </c>
      <c r="O48"/>
      <c r="P48" s="77">
        <f>'R3'!O38</f>
        <v>1.3278860133872366</v>
      </c>
      <c r="Q48" s="77" t="str">
        <f>'R3'!P38</f>
        <v/>
      </c>
      <c r="R48" s="77" t="str">
        <f>'R3'!Q38</f>
        <v/>
      </c>
      <c r="S48" s="77" t="str">
        <f>'R3'!R38</f>
        <v/>
      </c>
      <c r="T48" s="77" t="str">
        <f>'R3'!S38</f>
        <v/>
      </c>
      <c r="U48" s="77" t="str">
        <f>'R3'!T38</f>
        <v/>
      </c>
      <c r="V48" s="77" t="str">
        <f>'R3'!U38</f>
        <v/>
      </c>
      <c r="W48" s="77" t="str">
        <f>'R3'!V38</f>
        <v/>
      </c>
    </row>
    <row r="49" spans="1:25" s="1" customFormat="1">
      <c r="A49" s="146"/>
      <c r="B49" s="77" t="str">
        <f>'R3'!B39</f>
        <v/>
      </c>
      <c r="C49" s="77" t="str">
        <f>'R3'!C39</f>
        <v/>
      </c>
      <c r="D49" s="77" t="str">
        <f>'R3'!D39</f>
        <v/>
      </c>
      <c r="E49" s="77" t="str">
        <f>'R3'!E39</f>
        <v/>
      </c>
      <c r="F49" s="77" t="str">
        <f>'R3'!F39</f>
        <v/>
      </c>
      <c r="G49" s="77" t="str">
        <f>'R3'!G39</f>
        <v/>
      </c>
      <c r="H49" s="77" t="str">
        <f>'R3'!H39</f>
        <v/>
      </c>
      <c r="I49" s="77" t="str">
        <f>'R3'!I39</f>
        <v/>
      </c>
      <c r="J49" s="77" t="str">
        <f>'R3'!J39</f>
        <v/>
      </c>
      <c r="K49" s="77" t="str">
        <f>'R3'!K39</f>
        <v/>
      </c>
      <c r="L49" s="77" t="str">
        <f>'R3'!L39</f>
        <v/>
      </c>
      <c r="M49" s="77" t="str">
        <f>'R3'!M39</f>
        <v/>
      </c>
      <c r="N49" s="77" t="str">
        <f>'R3'!N39</f>
        <v/>
      </c>
      <c r="O49"/>
      <c r="P49" s="77">
        <f>'R3'!O39</f>
        <v>0.68361541501430334</v>
      </c>
      <c r="Q49" s="77" t="str">
        <f>'R3'!P39</f>
        <v/>
      </c>
      <c r="R49" s="77" t="str">
        <f>'R3'!Q39</f>
        <v/>
      </c>
      <c r="S49" s="77" t="str">
        <f>'R3'!R39</f>
        <v/>
      </c>
      <c r="T49" s="77" t="str">
        <f>'R3'!S39</f>
        <v/>
      </c>
      <c r="U49" s="77" t="str">
        <f>'R3'!T39</f>
        <v/>
      </c>
      <c r="V49" s="77" t="str">
        <f>'R3'!U39</f>
        <v/>
      </c>
      <c r="W49" s="77" t="str">
        <f>'R3'!V39</f>
        <v/>
      </c>
    </row>
    <row r="50" spans="1:25" s="1" customFormat="1">
      <c r="A50" s="146"/>
      <c r="B50" s="77" t="str">
        <f>'R3'!B40</f>
        <v/>
      </c>
      <c r="C50" s="77" t="str">
        <f>'R3'!C40</f>
        <v/>
      </c>
      <c r="D50" s="77" t="str">
        <f>'R3'!D40</f>
        <v/>
      </c>
      <c r="E50" s="77" t="str">
        <f>'R3'!E40</f>
        <v/>
      </c>
      <c r="F50" s="77" t="str">
        <f>'R3'!F40</f>
        <v/>
      </c>
      <c r="G50" s="77" t="str">
        <f>'R3'!G40</f>
        <v/>
      </c>
      <c r="H50" s="77" t="str">
        <f>'R3'!H40</f>
        <v/>
      </c>
      <c r="I50" s="77" t="str">
        <f>'R3'!I40</f>
        <v/>
      </c>
      <c r="J50" s="77" t="str">
        <f>'R3'!J40</f>
        <v/>
      </c>
      <c r="K50" s="77" t="str">
        <f>'R3'!K40</f>
        <v/>
      </c>
      <c r="L50" s="77" t="str">
        <f>'R3'!L40</f>
        <v/>
      </c>
      <c r="M50" s="77" t="str">
        <f>'R3'!M40</f>
        <v/>
      </c>
      <c r="N50" s="77" t="str">
        <f>'R3'!N40</f>
        <v/>
      </c>
      <c r="O50"/>
      <c r="P50" s="77">
        <f>'R3'!O40</f>
        <v>0.94665418397177625</v>
      </c>
      <c r="Q50" s="77" t="str">
        <f>'R3'!P40</f>
        <v/>
      </c>
      <c r="R50" s="77" t="str">
        <f>'R3'!Q40</f>
        <v/>
      </c>
      <c r="S50" s="77" t="str">
        <f>'R3'!R40</f>
        <v/>
      </c>
      <c r="T50" s="77" t="str">
        <f>'R3'!S40</f>
        <v/>
      </c>
      <c r="U50" s="77" t="str">
        <f>'R3'!T40</f>
        <v/>
      </c>
      <c r="V50" s="77" t="str">
        <f>'R3'!U40</f>
        <v/>
      </c>
      <c r="W50" s="77" t="str">
        <f>'R3'!V40</f>
        <v/>
      </c>
    </row>
    <row r="51" spans="1:25" s="1" customFormat="1">
      <c r="A51" s="146"/>
      <c r="B51" s="77" t="str">
        <f>'R3'!B41</f>
        <v/>
      </c>
      <c r="C51" s="77" t="str">
        <f>'R3'!C41</f>
        <v/>
      </c>
      <c r="D51" s="77" t="str">
        <f>'R3'!D41</f>
        <v/>
      </c>
      <c r="E51" s="77" t="str">
        <f>'R3'!E41</f>
        <v/>
      </c>
      <c r="F51" s="77" t="str">
        <f>'R3'!F41</f>
        <v/>
      </c>
      <c r="G51" s="77" t="str">
        <f>'R3'!G41</f>
        <v/>
      </c>
      <c r="H51" s="77" t="str">
        <f>'R3'!H41</f>
        <v/>
      </c>
      <c r="I51" s="77" t="str">
        <f>'R3'!I41</f>
        <v/>
      </c>
      <c r="J51" s="77" t="str">
        <f>'R3'!J41</f>
        <v/>
      </c>
      <c r="K51" s="77" t="str">
        <f>'R3'!K41</f>
        <v/>
      </c>
      <c r="L51" s="77" t="str">
        <f>'R3'!L41</f>
        <v/>
      </c>
      <c r="M51" s="77" t="str">
        <f>'R3'!M41</f>
        <v/>
      </c>
      <c r="N51" s="77" t="str">
        <f>'R3'!N41</f>
        <v/>
      </c>
      <c r="O51"/>
      <c r="P51" s="77">
        <f>'R3'!O41</f>
        <v>1.181786444463401</v>
      </c>
      <c r="Q51" s="77" t="str">
        <f>'R3'!P41</f>
        <v/>
      </c>
      <c r="R51" s="77" t="str">
        <f>'R3'!Q41</f>
        <v/>
      </c>
      <c r="S51" s="77" t="str">
        <f>'R3'!R41</f>
        <v/>
      </c>
      <c r="T51" s="77" t="str">
        <f>'R3'!S41</f>
        <v/>
      </c>
      <c r="U51" s="77" t="str">
        <f>'R3'!T41</f>
        <v/>
      </c>
      <c r="V51" s="77" t="str">
        <f>'R3'!U41</f>
        <v/>
      </c>
      <c r="W51" s="77" t="str">
        <f>'R3'!V41</f>
        <v/>
      </c>
    </row>
    <row r="52" spans="1:25" s="1" customFormat="1">
      <c r="A52" s="146"/>
      <c r="B52" s="77" t="str">
        <f>'R3'!B42</f>
        <v/>
      </c>
      <c r="C52" s="77" t="str">
        <f>'R3'!C42</f>
        <v/>
      </c>
      <c r="D52" s="77" t="str">
        <f>'R3'!D42</f>
        <v/>
      </c>
      <c r="E52" s="77" t="str">
        <f>'R3'!E42</f>
        <v/>
      </c>
      <c r="F52" s="77" t="str">
        <f>'R3'!F42</f>
        <v/>
      </c>
      <c r="G52" s="77" t="str">
        <f>'R3'!G42</f>
        <v/>
      </c>
      <c r="H52" s="77" t="str">
        <f>'R3'!H42</f>
        <v/>
      </c>
      <c r="I52" s="77" t="str">
        <f>'R3'!I42</f>
        <v/>
      </c>
      <c r="J52" s="77" t="str">
        <f>'R3'!J42</f>
        <v/>
      </c>
      <c r="K52" s="77" t="str">
        <f>'R3'!K42</f>
        <v/>
      </c>
      <c r="L52" s="77" t="str">
        <f>'R3'!L42</f>
        <v/>
      </c>
      <c r="M52" s="77" t="str">
        <f>'R3'!M42</f>
        <v/>
      </c>
      <c r="N52" s="77" t="str">
        <f>'R3'!N42</f>
        <v/>
      </c>
      <c r="O52"/>
      <c r="P52" s="77">
        <f>'R3'!O42</f>
        <v>1.4178344714864843</v>
      </c>
      <c r="Q52" s="77" t="str">
        <f>'R3'!P42</f>
        <v/>
      </c>
      <c r="R52" s="77" t="str">
        <f>'R3'!Q42</f>
        <v/>
      </c>
      <c r="S52" s="77" t="str">
        <f>'R3'!R42</f>
        <v/>
      </c>
      <c r="T52" s="77" t="str">
        <f>'R3'!S42</f>
        <v/>
      </c>
      <c r="U52" s="77" t="str">
        <f>'R3'!T42</f>
        <v/>
      </c>
      <c r="V52" s="77" t="str">
        <f>'R3'!U42</f>
        <v/>
      </c>
      <c r="W52" s="77" t="str">
        <f>'R3'!V42</f>
        <v/>
      </c>
    </row>
    <row r="53" spans="1:25" s="1" customFormat="1">
      <c r="A53" s="147"/>
      <c r="B53" s="77" t="str">
        <f>'R3'!B43</f>
        <v/>
      </c>
      <c r="C53" s="77" t="str">
        <f>'R3'!C43</f>
        <v/>
      </c>
      <c r="D53" s="77" t="str">
        <f>'R3'!D43</f>
        <v/>
      </c>
      <c r="E53" s="77" t="str">
        <f>'R3'!E43</f>
        <v/>
      </c>
      <c r="F53" s="77" t="str">
        <f>'R3'!F43</f>
        <v/>
      </c>
      <c r="G53" s="77" t="str">
        <f>'R3'!G43</f>
        <v/>
      </c>
      <c r="H53" s="77" t="str">
        <f>'R3'!H43</f>
        <v/>
      </c>
      <c r="I53" s="77" t="str">
        <f>'R3'!I43</f>
        <v/>
      </c>
      <c r="J53" s="77" t="str">
        <f>'R3'!J43</f>
        <v/>
      </c>
      <c r="K53" s="77" t="str">
        <f>'R3'!K43</f>
        <v/>
      </c>
      <c r="L53" s="77" t="str">
        <f>'R3'!L43</f>
        <v/>
      </c>
      <c r="M53" s="77" t="str">
        <f>'R3'!M43</f>
        <v/>
      </c>
      <c r="N53" s="77" t="str">
        <f>'R3'!N43</f>
        <v/>
      </c>
      <c r="O53"/>
      <c r="P53" s="77">
        <f>'R3'!O43</f>
        <v>0.68926059672726292</v>
      </c>
      <c r="Q53" s="77" t="str">
        <f>'R3'!P43</f>
        <v/>
      </c>
      <c r="R53" s="77" t="str">
        <f>'R3'!Q43</f>
        <v/>
      </c>
      <c r="S53" s="77" t="str">
        <f>'R3'!R43</f>
        <v/>
      </c>
      <c r="T53" s="77" t="str">
        <f>'R3'!S43</f>
        <v/>
      </c>
      <c r="U53" s="77" t="str">
        <f>'R3'!T43</f>
        <v/>
      </c>
      <c r="V53" s="77" t="str">
        <f>'R3'!U43</f>
        <v/>
      </c>
      <c r="W53" s="77" t="str">
        <f>'R3'!V43</f>
        <v/>
      </c>
    </row>
    <row r="54" spans="1:25" s="42" customFormat="1">
      <c r="A54" s="40"/>
      <c r="B54" s="41"/>
      <c r="C54" s="41"/>
      <c r="D54" s="41"/>
      <c r="E54" s="41"/>
      <c r="F54" s="41"/>
      <c r="G54" s="41"/>
      <c r="H54" s="41"/>
      <c r="I54" s="41"/>
      <c r="J54" s="41"/>
      <c r="K54" s="41"/>
      <c r="L54" s="41"/>
      <c r="M54" s="41"/>
      <c r="N54" s="41"/>
      <c r="O54"/>
      <c r="P54" s="41"/>
      <c r="Q54" s="41"/>
      <c r="R54" s="41"/>
      <c r="S54" s="41"/>
      <c r="T54" s="41"/>
      <c r="U54" s="41"/>
      <c r="V54" s="41"/>
      <c r="W54" s="41"/>
    </row>
    <row r="55" spans="1:25" s="25" customFormat="1">
      <c r="A55" s="25" t="s">
        <v>27</v>
      </c>
      <c r="B55" s="14" t="str">
        <f t="shared" ref="B55:N55" si="0">B4</f>
        <v>Solvent control</v>
      </c>
      <c r="C55" s="14" t="str">
        <f t="shared" si="0"/>
        <v>EE2-33.8ng/L</v>
      </c>
      <c r="D55" s="14" t="str">
        <f t="shared" si="0"/>
        <v>EE2-50.6ng/L</v>
      </c>
      <c r="E55" s="14" t="str">
        <f t="shared" si="0"/>
        <v>EE2-76ng/L</v>
      </c>
      <c r="F55" s="14" t="str">
        <f t="shared" si="0"/>
        <v>EE2-114ng/L</v>
      </c>
      <c r="G55" s="14" t="str">
        <f t="shared" si="0"/>
        <v>EE2-170.9ng/L</v>
      </c>
      <c r="H55" s="14" t="str">
        <f t="shared" si="0"/>
        <v>EE2-488ng/L</v>
      </c>
      <c r="I55" s="14" t="str">
        <f t="shared" si="0"/>
        <v>prochroraz-0.063mg/L</v>
      </c>
      <c r="J55" s="14" t="str">
        <f t="shared" si="0"/>
        <v>prochroraz-0.13mg/L</v>
      </c>
      <c r="K55" s="14" t="str">
        <f t="shared" si="0"/>
        <v>prochroraz-0.25mg/L</v>
      </c>
      <c r="L55" s="14" t="str">
        <f t="shared" si="0"/>
        <v>prochroraz-0.5mg/L</v>
      </c>
      <c r="M55" s="14" t="str">
        <f t="shared" si="0"/>
        <v>prochroraz-1mg/L</v>
      </c>
      <c r="N55" s="14" t="str">
        <f t="shared" si="0"/>
        <v/>
      </c>
      <c r="P55" s="14" t="str">
        <f t="shared" ref="P55:W55" si="1">P4</f>
        <v>Testo -30µg/L</v>
      </c>
      <c r="Q55" s="14" t="str">
        <f t="shared" si="1"/>
        <v>Testo 30µg/L + EE2 -64ng/L</v>
      </c>
      <c r="R55" s="14" t="str">
        <f t="shared" si="1"/>
        <v>Testo 30µg/L + FAD-10mg/L</v>
      </c>
      <c r="S55" s="14" t="str">
        <f t="shared" si="1"/>
        <v>prochroraz-0.063mg/L + Testostérone</v>
      </c>
      <c r="T55" s="14" t="str">
        <f t="shared" si="1"/>
        <v>prochroraz-0.13mg/L + Testostérone</v>
      </c>
      <c r="U55" s="14" t="str">
        <f t="shared" si="1"/>
        <v>prochroraz-0.25mg/L + Testostérone</v>
      </c>
      <c r="V55" s="14" t="str">
        <f t="shared" si="1"/>
        <v>prochroraz-0.5mg/L + Testostérone</v>
      </c>
      <c r="W55" s="14" t="str">
        <f t="shared" si="1"/>
        <v>prochroraz-1mg/L + Testostérone</v>
      </c>
    </row>
    <row r="56" spans="1:25">
      <c r="A56" t="s">
        <v>28</v>
      </c>
      <c r="B56" s="8">
        <f t="shared" ref="B56:N56" si="2">AVERAGE(B6:B53)</f>
        <v>0.13790261882394986</v>
      </c>
      <c r="C56" s="8">
        <f t="shared" si="2"/>
        <v>0.30262376217683273</v>
      </c>
      <c r="D56" s="8">
        <f t="shared" si="2"/>
        <v>0.5127841060124827</v>
      </c>
      <c r="E56" s="8">
        <f t="shared" si="2"/>
        <v>0.84336068289921373</v>
      </c>
      <c r="F56" s="8">
        <f t="shared" si="2"/>
        <v>1.3994008344958908</v>
      </c>
      <c r="G56" s="8">
        <f t="shared" si="2"/>
        <v>1.7495096452701902</v>
      </c>
      <c r="H56" s="8">
        <f t="shared" si="2"/>
        <v>2.4363251661940666</v>
      </c>
      <c r="I56" s="8">
        <f t="shared" si="2"/>
        <v>0.20404099580240723</v>
      </c>
      <c r="J56" s="8">
        <f t="shared" si="2"/>
        <v>0.11789263768361556</v>
      </c>
      <c r="K56" s="8">
        <f t="shared" si="2"/>
        <v>0.20691909608719347</v>
      </c>
      <c r="L56" s="8">
        <f t="shared" si="2"/>
        <v>0.16149431807524575</v>
      </c>
      <c r="M56" s="8">
        <f t="shared" si="2"/>
        <v>0.15821256481916426</v>
      </c>
      <c r="N56" s="8" t="e">
        <f t="shared" si="2"/>
        <v>#DIV/0!</v>
      </c>
      <c r="O56" s="8"/>
      <c r="P56" s="8">
        <f t="shared" ref="P56:W56" si="3">AVERAGE(P6:P53)</f>
        <v>0.99999999999999989</v>
      </c>
      <c r="Q56" s="8">
        <f t="shared" si="3"/>
        <v>1.4596273471836054</v>
      </c>
      <c r="R56" s="8">
        <f t="shared" si="3"/>
        <v>9.8031969620385018E-2</v>
      </c>
      <c r="S56" s="8">
        <f t="shared" si="3"/>
        <v>0.62639174041805745</v>
      </c>
      <c r="T56" s="8">
        <f t="shared" si="3"/>
        <v>0.40461062004893344</v>
      </c>
      <c r="U56" s="8">
        <f t="shared" si="3"/>
        <v>0.28356086813485232</v>
      </c>
      <c r="V56" s="8">
        <f t="shared" si="3"/>
        <v>0.27442728670748751</v>
      </c>
      <c r="W56" s="8">
        <f t="shared" si="3"/>
        <v>0.20493444571547278</v>
      </c>
    </row>
    <row r="57" spans="1:25">
      <c r="A57" t="s">
        <v>1</v>
      </c>
      <c r="B57" s="3">
        <f t="shared" ref="B57:N57" si="4">STDEV(B6:B53)</f>
        <v>0.10970109993000786</v>
      </c>
      <c r="C57" s="3">
        <f t="shared" si="4"/>
        <v>0.18776211404979334</v>
      </c>
      <c r="D57" s="3">
        <f t="shared" si="4"/>
        <v>0.33384566483267647</v>
      </c>
      <c r="E57" s="3">
        <f t="shared" si="4"/>
        <v>0.36517860066592428</v>
      </c>
      <c r="F57" s="3">
        <f t="shared" si="4"/>
        <v>0.45177391510094222</v>
      </c>
      <c r="G57" s="3">
        <f t="shared" si="4"/>
        <v>0.6882955032288226</v>
      </c>
      <c r="H57" s="3">
        <f t="shared" si="4"/>
        <v>0.91429555276607022</v>
      </c>
      <c r="I57" s="3">
        <f t="shared" si="4"/>
        <v>0.18445933850667776</v>
      </c>
      <c r="J57" s="3">
        <f t="shared" si="4"/>
        <v>0.1212622793621935</v>
      </c>
      <c r="K57" s="3">
        <f t="shared" si="4"/>
        <v>0.18266747419882454</v>
      </c>
      <c r="L57" s="3">
        <f t="shared" si="4"/>
        <v>0.13036660999231517</v>
      </c>
      <c r="M57" s="3">
        <f t="shared" si="4"/>
        <v>0.105799733998446</v>
      </c>
      <c r="N57" s="3" t="e">
        <f t="shared" si="4"/>
        <v>#DIV/0!</v>
      </c>
      <c r="O57" s="3"/>
      <c r="P57" s="3">
        <f t="shared" ref="P57:W57" si="5">STDEV(P6:P53)</f>
        <v>0.37069488060579026</v>
      </c>
      <c r="Q57" s="3">
        <f t="shared" si="5"/>
        <v>0.45876250217498665</v>
      </c>
      <c r="R57" s="3">
        <f t="shared" si="5"/>
        <v>0.10592482226276781</v>
      </c>
      <c r="S57" s="3">
        <f t="shared" si="5"/>
        <v>0.40750705178836805</v>
      </c>
      <c r="T57" s="3">
        <f t="shared" si="5"/>
        <v>0.25425197618948819</v>
      </c>
      <c r="U57" s="3">
        <f t="shared" si="5"/>
        <v>0.27454972253671039</v>
      </c>
      <c r="V57" s="3">
        <f t="shared" si="5"/>
        <v>0.28272274348136156</v>
      </c>
      <c r="W57" s="3">
        <f t="shared" si="5"/>
        <v>0.18570324136567179</v>
      </c>
      <c r="X57" s="3"/>
      <c r="Y57" s="3"/>
    </row>
    <row r="58" spans="1:25">
      <c r="A58" t="s">
        <v>2</v>
      </c>
      <c r="B58" s="3">
        <f t="shared" ref="B58:N58" si="6" xml:space="preserve"> B57/SQRT(COUNT(B6:B53))</f>
        <v>2.2392643254215559E-2</v>
      </c>
      <c r="C58" s="3">
        <f t="shared" si="6"/>
        <v>4.0031017219859764E-2</v>
      </c>
      <c r="D58" s="3">
        <f t="shared" si="6"/>
        <v>6.8145960973355985E-2</v>
      </c>
      <c r="E58" s="3">
        <f t="shared" si="6"/>
        <v>7.4541769717924658E-2</v>
      </c>
      <c r="F58" s="3">
        <f t="shared" si="6"/>
        <v>9.2217964258063029E-2</v>
      </c>
      <c r="G58" s="3">
        <f t="shared" si="6"/>
        <v>0.14049773126356557</v>
      </c>
      <c r="H58" s="3">
        <f t="shared" si="6"/>
        <v>0.18662979819773043</v>
      </c>
      <c r="I58" s="3">
        <f t="shared" si="6"/>
        <v>3.7652604802723109E-2</v>
      </c>
      <c r="J58" s="3">
        <f t="shared" si="6"/>
        <v>2.4752559123683439E-2</v>
      </c>
      <c r="K58" s="3">
        <f t="shared" si="6"/>
        <v>3.8088801349853721E-2</v>
      </c>
      <c r="L58" s="3">
        <f t="shared" si="6"/>
        <v>2.6610972831465917E-2</v>
      </c>
      <c r="M58" s="3">
        <f t="shared" si="6"/>
        <v>2.1596280268198514E-2</v>
      </c>
      <c r="N58" s="3" t="e">
        <f t="shared" si="6"/>
        <v>#DIV/0!</v>
      </c>
      <c r="O58" s="3"/>
      <c r="P58" s="3">
        <f t="shared" ref="P58:W58" si="7" xml:space="preserve"> P57/SQRT(COUNT(P6:P53))</f>
        <v>5.4071405607876634E-2</v>
      </c>
      <c r="Q58" s="3">
        <f t="shared" si="7"/>
        <v>9.3644503620931283E-2</v>
      </c>
      <c r="R58" s="3">
        <f t="shared" si="7"/>
        <v>2.1621813803231749E-2</v>
      </c>
      <c r="S58" s="3">
        <f t="shared" si="7"/>
        <v>8.3182028622285076E-2</v>
      </c>
      <c r="T58" s="3">
        <f t="shared" si="7"/>
        <v>5.1898967313208685E-2</v>
      </c>
      <c r="U58" s="3">
        <f t="shared" si="7"/>
        <v>5.6042227436469978E-2</v>
      </c>
      <c r="V58" s="3">
        <f t="shared" si="7"/>
        <v>5.7710538350759566E-2</v>
      </c>
      <c r="W58" s="3">
        <f t="shared" si="7"/>
        <v>3.7906515410566825E-2</v>
      </c>
      <c r="X58" s="3"/>
      <c r="Y58" s="3"/>
    </row>
    <row r="59" spans="1:25" s="1" customFormat="1" ht="15.75" thickBot="1">
      <c r="B59" s="3"/>
      <c r="C59" s="3"/>
      <c r="D59" s="3"/>
      <c r="E59" s="3"/>
      <c r="F59" s="3"/>
      <c r="G59" s="3"/>
      <c r="H59" s="3"/>
      <c r="I59" s="3"/>
      <c r="J59" s="3"/>
      <c r="K59" s="3"/>
      <c r="L59" s="3"/>
      <c r="M59" s="3"/>
      <c r="N59" s="3"/>
      <c r="O59" s="3"/>
      <c r="P59" s="3"/>
      <c r="Q59" s="3"/>
      <c r="R59" s="3"/>
      <c r="S59" s="3"/>
      <c r="T59" s="3"/>
      <c r="U59" s="3"/>
      <c r="V59" s="3"/>
      <c r="W59" s="3"/>
    </row>
    <row r="60" spans="1:25" s="30" customFormat="1" ht="27" thickBot="1">
      <c r="A60" s="148" t="s">
        <v>26</v>
      </c>
      <c r="B60" s="149"/>
      <c r="C60" s="149"/>
      <c r="D60" s="149"/>
      <c r="E60" s="149"/>
      <c r="F60" s="149"/>
      <c r="G60" s="149"/>
      <c r="H60" s="149"/>
      <c r="I60" s="149"/>
      <c r="J60" s="149"/>
      <c r="K60" s="149"/>
      <c r="L60" s="149"/>
      <c r="M60" s="149"/>
      <c r="N60" s="149"/>
      <c r="O60" s="149"/>
      <c r="P60" s="149"/>
      <c r="Q60" s="149"/>
      <c r="R60" s="149"/>
      <c r="S60" s="149"/>
      <c r="T60" s="149"/>
      <c r="U60" s="149"/>
      <c r="V60" s="149"/>
      <c r="W60" s="149"/>
    </row>
    <row r="61" spans="1:25" s="1" customFormat="1">
      <c r="B61" s="3"/>
      <c r="C61" s="3"/>
      <c r="D61" s="3"/>
      <c r="E61" s="3"/>
      <c r="F61" s="3"/>
      <c r="G61" s="3"/>
      <c r="H61" s="3"/>
      <c r="I61" s="3"/>
      <c r="J61" s="3"/>
      <c r="K61" s="3"/>
      <c r="L61" s="3"/>
      <c r="M61" s="3"/>
      <c r="N61" s="3"/>
      <c r="O61" s="3"/>
      <c r="P61" s="3"/>
      <c r="Q61" s="3"/>
      <c r="R61" s="3"/>
      <c r="S61" s="3"/>
      <c r="T61" s="3"/>
      <c r="U61" s="3"/>
      <c r="V61" s="3"/>
      <c r="W61" s="3"/>
    </row>
    <row r="62" spans="1:25" s="1" customFormat="1">
      <c r="A62" s="1" t="s">
        <v>27</v>
      </c>
      <c r="B62" s="3" t="str">
        <f t="shared" ref="B62:N62" si="8">B4</f>
        <v>Solvent control</v>
      </c>
      <c r="C62" s="3" t="str">
        <f t="shared" si="8"/>
        <v>EE2-33.8ng/L</v>
      </c>
      <c r="D62" s="3" t="str">
        <f t="shared" si="8"/>
        <v>EE2-50.6ng/L</v>
      </c>
      <c r="E62" s="3" t="str">
        <f t="shared" si="8"/>
        <v>EE2-76ng/L</v>
      </c>
      <c r="F62" s="3" t="str">
        <f t="shared" si="8"/>
        <v>EE2-114ng/L</v>
      </c>
      <c r="G62" s="3" t="str">
        <f t="shared" si="8"/>
        <v>EE2-170.9ng/L</v>
      </c>
      <c r="H62" s="3" t="str">
        <f t="shared" si="8"/>
        <v>EE2-488ng/L</v>
      </c>
      <c r="I62" s="3" t="str">
        <f t="shared" si="8"/>
        <v>prochroraz-0.063mg/L</v>
      </c>
      <c r="J62" s="3" t="str">
        <f t="shared" si="8"/>
        <v>prochroraz-0.13mg/L</v>
      </c>
      <c r="K62" s="3" t="str">
        <f t="shared" si="8"/>
        <v>prochroraz-0.25mg/L</v>
      </c>
      <c r="L62" s="3" t="str">
        <f t="shared" si="8"/>
        <v>prochroraz-0.5mg/L</v>
      </c>
      <c r="M62" s="3" t="str">
        <f t="shared" si="8"/>
        <v>prochroraz-1mg/L</v>
      </c>
      <c r="N62" s="3" t="str">
        <f t="shared" si="8"/>
        <v/>
      </c>
      <c r="O62" s="3"/>
      <c r="P62" s="3" t="str">
        <f t="shared" ref="P62:W62" si="9">P4</f>
        <v>Testo -30µg/L</v>
      </c>
      <c r="Q62" s="3" t="str">
        <f t="shared" si="9"/>
        <v>Testo 30µg/L + EE2 -64ng/L</v>
      </c>
      <c r="R62" s="3" t="str">
        <f t="shared" si="9"/>
        <v>Testo 30µg/L + FAD-10mg/L</v>
      </c>
      <c r="S62" s="3" t="str">
        <f t="shared" si="9"/>
        <v>prochroraz-0.063mg/L + Testostérone</v>
      </c>
      <c r="T62" s="3" t="str">
        <f t="shared" si="9"/>
        <v>prochroraz-0.13mg/L + Testostérone</v>
      </c>
      <c r="U62" s="3" t="str">
        <f t="shared" si="9"/>
        <v>prochroraz-0.25mg/L + Testostérone</v>
      </c>
      <c r="V62" s="3" t="str">
        <f t="shared" si="9"/>
        <v>prochroraz-0.5mg/L + Testostérone</v>
      </c>
      <c r="W62" s="3" t="str">
        <f t="shared" si="9"/>
        <v>prochroraz-1mg/L + Testostérone</v>
      </c>
    </row>
    <row r="63" spans="1:25" s="1" customFormat="1">
      <c r="A63" s="1" t="s">
        <v>29</v>
      </c>
      <c r="B63" s="3">
        <f t="shared" ref="B63:N63" si="10">COUNT(B6:B53)</f>
        <v>24</v>
      </c>
      <c r="C63" s="3">
        <f t="shared" si="10"/>
        <v>22</v>
      </c>
      <c r="D63" s="3">
        <f t="shared" si="10"/>
        <v>24</v>
      </c>
      <c r="E63" s="3">
        <f t="shared" si="10"/>
        <v>24</v>
      </c>
      <c r="F63" s="3">
        <f t="shared" si="10"/>
        <v>24</v>
      </c>
      <c r="G63" s="3">
        <f t="shared" si="10"/>
        <v>24</v>
      </c>
      <c r="H63" s="3">
        <f t="shared" si="10"/>
        <v>24</v>
      </c>
      <c r="I63" s="3">
        <f t="shared" si="10"/>
        <v>24</v>
      </c>
      <c r="J63" s="3">
        <f t="shared" si="10"/>
        <v>24</v>
      </c>
      <c r="K63" s="3">
        <f t="shared" si="10"/>
        <v>23</v>
      </c>
      <c r="L63" s="3">
        <f t="shared" si="10"/>
        <v>24</v>
      </c>
      <c r="M63" s="3">
        <f t="shared" si="10"/>
        <v>24</v>
      </c>
      <c r="N63" s="3">
        <f t="shared" si="10"/>
        <v>0</v>
      </c>
      <c r="O63" s="3"/>
      <c r="P63" s="3">
        <f t="shared" ref="P63:W63" si="11">COUNT(P6:P53)</f>
        <v>47</v>
      </c>
      <c r="Q63" s="3">
        <f t="shared" si="11"/>
        <v>24</v>
      </c>
      <c r="R63" s="3">
        <f t="shared" si="11"/>
        <v>24</v>
      </c>
      <c r="S63" s="3">
        <f t="shared" si="11"/>
        <v>24</v>
      </c>
      <c r="T63" s="3">
        <f t="shared" si="11"/>
        <v>24</v>
      </c>
      <c r="U63" s="3">
        <f t="shared" si="11"/>
        <v>24</v>
      </c>
      <c r="V63" s="3">
        <f t="shared" si="11"/>
        <v>24</v>
      </c>
      <c r="W63" s="3">
        <f t="shared" si="11"/>
        <v>24</v>
      </c>
    </row>
    <row r="64" spans="1:25" s="1" customFormat="1" ht="15.75" thickBot="1">
      <c r="B64" s="3" t="str">
        <f>IF(B63&gt;=21,"OK","ATTENTION")</f>
        <v>OK</v>
      </c>
      <c r="C64" s="3" t="str">
        <f t="shared" ref="C64:W64" si="12">IF(C63&gt;=21,"OK","ATTENTION")</f>
        <v>OK</v>
      </c>
      <c r="D64" s="3" t="str">
        <f t="shared" si="12"/>
        <v>OK</v>
      </c>
      <c r="E64" s="3" t="str">
        <f t="shared" si="12"/>
        <v>OK</v>
      </c>
      <c r="F64" s="3" t="str">
        <f t="shared" si="12"/>
        <v>OK</v>
      </c>
      <c r="G64" s="3" t="str">
        <f t="shared" si="12"/>
        <v>OK</v>
      </c>
      <c r="H64" s="3" t="str">
        <f t="shared" si="12"/>
        <v>OK</v>
      </c>
      <c r="I64" s="3" t="str">
        <f t="shared" si="12"/>
        <v>OK</v>
      </c>
      <c r="J64" s="3" t="str">
        <f t="shared" si="12"/>
        <v>OK</v>
      </c>
      <c r="K64" s="3" t="str">
        <f t="shared" si="12"/>
        <v>OK</v>
      </c>
      <c r="L64" s="3" t="str">
        <f t="shared" si="12"/>
        <v>OK</v>
      </c>
      <c r="M64" s="3" t="str">
        <f t="shared" si="12"/>
        <v>OK</v>
      </c>
      <c r="N64" s="3" t="str">
        <f t="shared" si="12"/>
        <v>ATTENTION</v>
      </c>
      <c r="O64" s="3"/>
      <c r="P64" s="3" t="str">
        <f>IF(P63&gt;=41,"OK","ATTENTION")</f>
        <v>OK</v>
      </c>
      <c r="Q64" s="3" t="str">
        <f t="shared" si="12"/>
        <v>OK</v>
      </c>
      <c r="R64" s="3" t="str">
        <f t="shared" si="12"/>
        <v>OK</v>
      </c>
      <c r="S64" s="3" t="str">
        <f t="shared" si="12"/>
        <v>OK</v>
      </c>
      <c r="T64" s="3" t="str">
        <f t="shared" si="12"/>
        <v>OK</v>
      </c>
      <c r="U64" s="3" t="str">
        <f t="shared" si="12"/>
        <v>OK</v>
      </c>
      <c r="V64" s="3" t="str">
        <f t="shared" si="12"/>
        <v>OK</v>
      </c>
      <c r="W64" s="3" t="str">
        <f t="shared" si="12"/>
        <v>OK</v>
      </c>
    </row>
    <row r="65" spans="1:23" s="30" customFormat="1" ht="27" thickBot="1">
      <c r="A65" s="148" t="s">
        <v>37</v>
      </c>
      <c r="B65" s="149"/>
      <c r="C65" s="149"/>
      <c r="D65" s="149"/>
      <c r="E65" s="149"/>
      <c r="F65" s="149"/>
      <c r="G65" s="149"/>
      <c r="H65" s="149"/>
      <c r="I65" s="149"/>
      <c r="J65" s="149"/>
      <c r="K65" s="149"/>
      <c r="L65" s="149"/>
      <c r="M65" s="149"/>
      <c r="N65" s="149"/>
      <c r="O65" s="149"/>
      <c r="P65" s="149"/>
      <c r="Q65" s="149"/>
      <c r="R65" s="149"/>
      <c r="S65" s="149"/>
      <c r="T65" s="149"/>
      <c r="U65" s="149"/>
      <c r="V65" s="149"/>
      <c r="W65" s="149"/>
    </row>
    <row r="66" spans="1:23" s="1" customFormat="1">
      <c r="B66" s="1" t="s">
        <v>39</v>
      </c>
      <c r="C66" s="3"/>
      <c r="D66" s="3"/>
      <c r="E66" s="3"/>
      <c r="F66" s="3"/>
      <c r="G66" s="3"/>
      <c r="H66" s="3"/>
      <c r="I66" s="3"/>
      <c r="J66" s="3"/>
      <c r="K66" s="3"/>
      <c r="L66" s="3"/>
      <c r="M66" s="3"/>
      <c r="N66" s="3"/>
      <c r="O66" s="3"/>
      <c r="P66" s="3"/>
      <c r="Q66" s="3"/>
      <c r="R66" s="3"/>
      <c r="S66" s="3"/>
      <c r="T66" s="3"/>
      <c r="U66" s="3"/>
      <c r="V66" s="3"/>
      <c r="W66" s="3"/>
    </row>
    <row r="67" spans="1:23" s="1" customFormat="1">
      <c r="A67" s="1" t="s">
        <v>38</v>
      </c>
      <c r="B67" s="3">
        <v>3.5</v>
      </c>
      <c r="C67" s="3"/>
      <c r="D67" s="3"/>
      <c r="E67" s="3"/>
      <c r="F67" s="3"/>
      <c r="G67" s="3"/>
      <c r="H67" s="3"/>
      <c r="I67" s="3"/>
      <c r="J67" s="3"/>
      <c r="K67" s="3"/>
      <c r="L67" s="3"/>
      <c r="M67" s="3"/>
      <c r="N67" s="3"/>
      <c r="O67" s="3"/>
      <c r="P67" s="3"/>
      <c r="Q67" s="3"/>
      <c r="R67" s="3"/>
      <c r="S67" s="3"/>
      <c r="T67" s="3"/>
      <c r="U67" s="3"/>
      <c r="V67" s="3"/>
      <c r="W67" s="3"/>
    </row>
    <row r="68" spans="1:23" s="1" customFormat="1">
      <c r="A68" s="1" t="s">
        <v>40</v>
      </c>
      <c r="B68" s="3">
        <v>2</v>
      </c>
      <c r="C68" s="3"/>
      <c r="D68" s="3"/>
      <c r="E68" s="3"/>
      <c r="F68" s="3"/>
      <c r="G68" s="3"/>
      <c r="H68" s="3"/>
      <c r="I68" s="3"/>
      <c r="J68" s="3"/>
      <c r="K68" s="3"/>
      <c r="L68" s="3"/>
      <c r="M68" s="3"/>
      <c r="N68" s="3"/>
      <c r="O68" s="3"/>
      <c r="P68" s="3"/>
      <c r="Q68" s="3"/>
      <c r="R68" s="3"/>
      <c r="S68" s="3"/>
      <c r="T68" s="3"/>
      <c r="U68" s="3"/>
      <c r="V68" s="3"/>
      <c r="W68" s="3"/>
    </row>
    <row r="69" spans="1:23" s="1" customFormat="1" ht="15.75" thickBot="1">
      <c r="A69" s="1" t="s">
        <v>41</v>
      </c>
      <c r="B69" s="3">
        <v>0.5</v>
      </c>
      <c r="C69" s="3"/>
      <c r="D69" s="3"/>
      <c r="E69" s="3"/>
      <c r="F69" s="3"/>
      <c r="G69" s="3"/>
      <c r="H69" s="3"/>
      <c r="I69" s="3"/>
      <c r="J69" s="3"/>
      <c r="K69" s="3"/>
      <c r="L69" s="3"/>
      <c r="M69" s="3"/>
      <c r="N69" s="3"/>
      <c r="O69" s="3"/>
      <c r="P69" s="3"/>
      <c r="Q69" s="3"/>
      <c r="R69" s="3"/>
      <c r="S69" s="3"/>
      <c r="T69" s="3"/>
      <c r="U69" s="3"/>
      <c r="V69" s="3"/>
      <c r="W69" s="3"/>
    </row>
    <row r="70" spans="1:23" s="30" customFormat="1" ht="27" thickBot="1">
      <c r="A70" s="148" t="s">
        <v>32</v>
      </c>
      <c r="B70" s="149"/>
      <c r="C70" s="149"/>
      <c r="D70" s="149"/>
      <c r="E70" s="149"/>
      <c r="F70" s="149"/>
      <c r="G70" s="149"/>
      <c r="H70" s="149"/>
      <c r="I70" s="149"/>
      <c r="J70" s="149"/>
      <c r="K70" s="149"/>
      <c r="L70" s="149"/>
      <c r="M70" s="149"/>
      <c r="N70" s="149"/>
      <c r="O70" s="149"/>
      <c r="P70" s="149"/>
      <c r="Q70" s="149"/>
      <c r="R70" s="149"/>
      <c r="S70" s="149"/>
      <c r="T70" s="149"/>
      <c r="U70" s="149"/>
      <c r="V70" s="149"/>
      <c r="W70" s="149"/>
    </row>
    <row r="71" spans="1:23" ht="15.75" thickBot="1"/>
    <row r="72" spans="1:23" s="30" customFormat="1" ht="27" thickBot="1">
      <c r="A72" s="148" t="s">
        <v>33</v>
      </c>
      <c r="B72" s="149"/>
      <c r="C72" s="149"/>
      <c r="D72" s="149"/>
      <c r="E72" s="149"/>
      <c r="F72" s="149"/>
      <c r="G72" s="149"/>
      <c r="H72" s="149"/>
      <c r="I72" s="149"/>
      <c r="J72" s="149"/>
      <c r="K72" s="149"/>
      <c r="L72" s="149"/>
      <c r="M72" s="149"/>
      <c r="N72" s="149"/>
      <c r="O72" s="149"/>
      <c r="P72" s="149"/>
      <c r="Q72" s="149"/>
      <c r="R72" s="149"/>
      <c r="S72" s="149"/>
      <c r="T72" s="149"/>
      <c r="U72" s="149"/>
      <c r="V72" s="149"/>
      <c r="W72" s="149"/>
    </row>
    <row r="73" spans="1:23" ht="15.75" thickBot="1">
      <c r="J73" s="3">
        <v>1</v>
      </c>
      <c r="K73" s="3">
        <v>2</v>
      </c>
      <c r="L73" s="3">
        <v>3</v>
      </c>
      <c r="M73" s="3">
        <v>4</v>
      </c>
      <c r="N73" s="3">
        <v>5</v>
      </c>
      <c r="S73" s="3">
        <v>1</v>
      </c>
      <c r="T73" s="3">
        <v>2</v>
      </c>
      <c r="U73" s="3">
        <v>3</v>
      </c>
      <c r="V73" s="3">
        <v>4</v>
      </c>
      <c r="W73" s="3">
        <v>5</v>
      </c>
    </row>
    <row r="74" spans="1:23" s="1" customFormat="1">
      <c r="A74" s="28" t="s">
        <v>22</v>
      </c>
      <c r="B74" s="29" t="str">
        <f t="shared" ref="B74:N74" si="13">B4</f>
        <v>Solvent control</v>
      </c>
      <c r="C74" s="29" t="str">
        <f t="shared" si="13"/>
        <v>EE2-33.8ng/L</v>
      </c>
      <c r="D74" s="29" t="str">
        <f t="shared" si="13"/>
        <v>EE2-50.6ng/L</v>
      </c>
      <c r="E74" s="29" t="str">
        <f t="shared" si="13"/>
        <v>EE2-76ng/L</v>
      </c>
      <c r="F74" s="29" t="str">
        <f t="shared" si="13"/>
        <v>EE2-114ng/L</v>
      </c>
      <c r="G74" s="29" t="str">
        <f t="shared" si="13"/>
        <v>EE2-170.9ng/L</v>
      </c>
      <c r="H74" s="29" t="str">
        <f t="shared" si="13"/>
        <v>EE2-488ng/L</v>
      </c>
      <c r="I74" s="29" t="str">
        <f t="shared" si="13"/>
        <v>prochroraz-0.063mg/L</v>
      </c>
      <c r="J74" s="29" t="str">
        <f t="shared" si="13"/>
        <v>prochroraz-0.13mg/L</v>
      </c>
      <c r="K74" s="29" t="str">
        <f t="shared" si="13"/>
        <v>prochroraz-0.25mg/L</v>
      </c>
      <c r="L74" s="29" t="str">
        <f t="shared" si="13"/>
        <v>prochroraz-0.5mg/L</v>
      </c>
      <c r="M74" s="29" t="str">
        <f t="shared" si="13"/>
        <v>prochroraz-1mg/L</v>
      </c>
      <c r="N74" s="29" t="str">
        <f t="shared" si="13"/>
        <v/>
      </c>
      <c r="O74" s="29"/>
      <c r="P74" s="29" t="str">
        <f t="shared" ref="P74:W74" si="14">P4</f>
        <v>Testo -30µg/L</v>
      </c>
      <c r="Q74" s="29" t="str">
        <f t="shared" si="14"/>
        <v>Testo 30µg/L + EE2 -64ng/L</v>
      </c>
      <c r="R74" s="29" t="str">
        <f t="shared" si="14"/>
        <v>Testo 30µg/L + FAD-10mg/L</v>
      </c>
      <c r="S74" s="29" t="str">
        <f t="shared" si="14"/>
        <v>prochroraz-0.063mg/L + Testostérone</v>
      </c>
      <c r="T74" s="29" t="str">
        <f t="shared" si="14"/>
        <v>prochroraz-0.13mg/L + Testostérone</v>
      </c>
      <c r="U74" s="29" t="str">
        <f t="shared" si="14"/>
        <v>prochroraz-0.25mg/L + Testostérone</v>
      </c>
      <c r="V74" s="29" t="str">
        <f t="shared" si="14"/>
        <v>prochroraz-0.5mg/L + Testostérone</v>
      </c>
      <c r="W74" s="29" t="str">
        <f t="shared" si="14"/>
        <v>prochroraz-1mg/L + Testostérone</v>
      </c>
    </row>
    <row r="75" spans="1:23" s="3" customFormat="1">
      <c r="A75" s="43" t="s">
        <v>15</v>
      </c>
      <c r="B75" s="70">
        <f>B56</f>
        <v>0.13790261882394986</v>
      </c>
      <c r="C75" s="70">
        <f t="shared" ref="C75:W75" si="15">C56</f>
        <v>0.30262376217683273</v>
      </c>
      <c r="D75" s="70">
        <f t="shared" si="15"/>
        <v>0.5127841060124827</v>
      </c>
      <c r="E75" s="70">
        <f t="shared" si="15"/>
        <v>0.84336068289921373</v>
      </c>
      <c r="F75" s="70">
        <f t="shared" si="15"/>
        <v>1.3994008344958908</v>
      </c>
      <c r="G75" s="70">
        <f t="shared" si="15"/>
        <v>1.7495096452701902</v>
      </c>
      <c r="H75" s="70">
        <f t="shared" si="15"/>
        <v>2.4363251661940666</v>
      </c>
      <c r="I75" s="70">
        <f t="shared" si="15"/>
        <v>0.20404099580240723</v>
      </c>
      <c r="J75" s="70">
        <f t="shared" si="15"/>
        <v>0.11789263768361556</v>
      </c>
      <c r="K75" s="70">
        <f t="shared" si="15"/>
        <v>0.20691909608719347</v>
      </c>
      <c r="L75" s="70">
        <f t="shared" si="15"/>
        <v>0.16149431807524575</v>
      </c>
      <c r="M75" s="70">
        <f t="shared" si="15"/>
        <v>0.15821256481916426</v>
      </c>
      <c r="N75" s="70" t="e">
        <f t="shared" si="15"/>
        <v>#DIV/0!</v>
      </c>
      <c r="O75" s="70"/>
      <c r="P75" s="70">
        <f t="shared" si="15"/>
        <v>0.99999999999999989</v>
      </c>
      <c r="Q75" s="70">
        <f t="shared" si="15"/>
        <v>1.4596273471836054</v>
      </c>
      <c r="R75" s="70">
        <f t="shared" si="15"/>
        <v>9.8031969620385018E-2</v>
      </c>
      <c r="S75" s="70">
        <f t="shared" si="15"/>
        <v>0.62639174041805745</v>
      </c>
      <c r="T75" s="70">
        <f t="shared" si="15"/>
        <v>0.40461062004893344</v>
      </c>
      <c r="U75" s="70">
        <f t="shared" si="15"/>
        <v>0.28356086813485232</v>
      </c>
      <c r="V75" s="70">
        <f t="shared" si="15"/>
        <v>0.27442728670748751</v>
      </c>
      <c r="W75" s="70">
        <f t="shared" si="15"/>
        <v>0.20493444571547278</v>
      </c>
    </row>
    <row r="76" spans="1:23" s="3" customFormat="1">
      <c r="A76" s="43" t="s">
        <v>2</v>
      </c>
      <c r="B76" s="70">
        <f>B58</f>
        <v>2.2392643254215559E-2</v>
      </c>
      <c r="C76" s="70">
        <f t="shared" ref="C76:W76" si="16">C58</f>
        <v>4.0031017219859764E-2</v>
      </c>
      <c r="D76" s="70">
        <f t="shared" si="16"/>
        <v>6.8145960973355985E-2</v>
      </c>
      <c r="E76" s="70">
        <f t="shared" si="16"/>
        <v>7.4541769717924658E-2</v>
      </c>
      <c r="F76" s="70">
        <f t="shared" si="16"/>
        <v>9.2217964258063029E-2</v>
      </c>
      <c r="G76" s="70">
        <f t="shared" si="16"/>
        <v>0.14049773126356557</v>
      </c>
      <c r="H76" s="70">
        <f t="shared" si="16"/>
        <v>0.18662979819773043</v>
      </c>
      <c r="I76" s="70">
        <f t="shared" si="16"/>
        <v>3.7652604802723109E-2</v>
      </c>
      <c r="J76" s="70">
        <f t="shared" si="16"/>
        <v>2.4752559123683439E-2</v>
      </c>
      <c r="K76" s="70">
        <f t="shared" si="16"/>
        <v>3.8088801349853721E-2</v>
      </c>
      <c r="L76" s="70">
        <f t="shared" si="16"/>
        <v>2.6610972831465917E-2</v>
      </c>
      <c r="M76" s="70">
        <f t="shared" si="16"/>
        <v>2.1596280268198514E-2</v>
      </c>
      <c r="N76" s="70" t="e">
        <f t="shared" si="16"/>
        <v>#DIV/0!</v>
      </c>
      <c r="O76" s="70"/>
      <c r="P76" s="70">
        <f t="shared" si="16"/>
        <v>5.4071405607876634E-2</v>
      </c>
      <c r="Q76" s="70">
        <f t="shared" si="16"/>
        <v>9.3644503620931283E-2</v>
      </c>
      <c r="R76" s="70">
        <f t="shared" si="16"/>
        <v>2.1621813803231749E-2</v>
      </c>
      <c r="S76" s="70">
        <f t="shared" si="16"/>
        <v>8.3182028622285076E-2</v>
      </c>
      <c r="T76" s="70">
        <f t="shared" si="16"/>
        <v>5.1898967313208685E-2</v>
      </c>
      <c r="U76" s="70">
        <f t="shared" si="16"/>
        <v>5.6042227436469978E-2</v>
      </c>
      <c r="V76" s="70">
        <f t="shared" si="16"/>
        <v>5.7710538350759566E-2</v>
      </c>
      <c r="W76" s="70">
        <f t="shared" si="16"/>
        <v>3.7906515410566825E-2</v>
      </c>
    </row>
    <row r="77" spans="1:23" s="3" customFormat="1">
      <c r="A77" s="43" t="s">
        <v>42</v>
      </c>
      <c r="B77" s="70">
        <f>(B75*100/$B$75)-100</f>
        <v>0</v>
      </c>
      <c r="C77" s="70">
        <f t="shared" ref="C77:N77" si="17">(C75*100/$B$75)-100</f>
        <v>119.44743671849355</v>
      </c>
      <c r="D77" s="70">
        <f t="shared" si="17"/>
        <v>271.84508197564867</v>
      </c>
      <c r="E77" s="70">
        <f t="shared" si="17"/>
        <v>511.56248524610714</v>
      </c>
      <c r="F77" s="70">
        <f t="shared" si="17"/>
        <v>914.77466231616893</v>
      </c>
      <c r="G77" s="70">
        <f t="shared" si="17"/>
        <v>1168.655853086924</v>
      </c>
      <c r="H77" s="70">
        <f t="shared" si="17"/>
        <v>1666.6997095278834</v>
      </c>
      <c r="I77" s="70">
        <f t="shared" si="17"/>
        <v>47.960203760083317</v>
      </c>
      <c r="J77" s="70">
        <f t="shared" si="17"/>
        <v>-14.510225629492624</v>
      </c>
      <c r="K77" s="70">
        <f t="shared" si="17"/>
        <v>50.047256427633101</v>
      </c>
      <c r="L77" s="70">
        <f t="shared" si="17"/>
        <v>17.107506334896868</v>
      </c>
      <c r="M77" s="70">
        <f t="shared" si="17"/>
        <v>14.727744961205289</v>
      </c>
      <c r="N77" s="70" t="e">
        <f t="shared" si="17"/>
        <v>#DIV/0!</v>
      </c>
      <c r="O77" s="70"/>
      <c r="P77" s="70">
        <f>(P75*100/$P$75)-100</f>
        <v>0</v>
      </c>
      <c r="Q77" s="70">
        <f t="shared" ref="Q77:W77" si="18">(Q75*100/$P$75)-100</f>
        <v>45.962734718360565</v>
      </c>
      <c r="R77" s="70">
        <f t="shared" si="18"/>
        <v>-90.196803037961502</v>
      </c>
      <c r="S77" s="70">
        <f t="shared" si="18"/>
        <v>-37.360825958194248</v>
      </c>
      <c r="T77" s="70">
        <f t="shared" si="18"/>
        <v>-59.53893799510665</v>
      </c>
      <c r="U77" s="70">
        <f t="shared" si="18"/>
        <v>-71.643913186514766</v>
      </c>
      <c r="V77" s="70">
        <f t="shared" si="18"/>
        <v>-72.55727132925125</v>
      </c>
      <c r="W77" s="70">
        <f t="shared" si="18"/>
        <v>-79.506555428452714</v>
      </c>
    </row>
    <row r="78" spans="1:23" s="3" customFormat="1">
      <c r="A78" s="43" t="s">
        <v>43</v>
      </c>
      <c r="B78" s="70" t="e">
        <f ca="1">[1]!DPTEST(B6:B53)</f>
        <v>#NAME?</v>
      </c>
      <c r="C78" s="70" t="e">
        <f ca="1">[1]!DPTEST(C6:C53)</f>
        <v>#NAME?</v>
      </c>
      <c r="D78" s="70" t="e">
        <f ca="1">[1]!DPTEST(D6:D53)</f>
        <v>#NAME?</v>
      </c>
      <c r="E78" s="70" t="e">
        <f ca="1">[1]!DPTEST(E6:E53)</f>
        <v>#NAME?</v>
      </c>
      <c r="F78" s="70" t="e">
        <f ca="1">[1]!DPTEST(F6:F53)</f>
        <v>#NAME?</v>
      </c>
      <c r="G78" s="70" t="e">
        <f ca="1">[1]!DPTEST(G6:G53)</f>
        <v>#NAME?</v>
      </c>
      <c r="H78" s="70" t="e">
        <f ca="1">[1]!DPTEST(H6:H53)</f>
        <v>#NAME?</v>
      </c>
      <c r="I78" s="70" t="e">
        <f ca="1">[1]!DPTEST(I6:I53)</f>
        <v>#NAME?</v>
      </c>
      <c r="J78" s="70" t="e">
        <f ca="1">[1]!DPTEST(J6:J53)</f>
        <v>#NAME?</v>
      </c>
      <c r="K78" s="70" t="e">
        <f ca="1">[1]!DPTEST(K6:K53)</f>
        <v>#NAME?</v>
      </c>
      <c r="L78" s="70" t="e">
        <f ca="1">[1]!DPTEST(L6:L53)</f>
        <v>#NAME?</v>
      </c>
      <c r="M78" s="70" t="e">
        <f ca="1">[1]!DPTEST(M6:M53)</f>
        <v>#NAME?</v>
      </c>
      <c r="N78" s="70" t="e">
        <f ca="1">[1]!DPTEST(N6:N53)</f>
        <v>#NAME?</v>
      </c>
      <c r="O78" s="70"/>
      <c r="P78" s="70" t="e">
        <f ca="1">[1]!DPTEST(P6:P53)</f>
        <v>#NAME?</v>
      </c>
      <c r="Q78" s="70" t="e">
        <f ca="1">[1]!DPTEST(Q6:Q53)</f>
        <v>#NAME?</v>
      </c>
      <c r="R78" s="70" t="e">
        <f ca="1">[1]!DPTEST(R6:R53)</f>
        <v>#NAME?</v>
      </c>
      <c r="S78" s="70" t="e">
        <f ca="1">[1]!DPTEST(S6:S53)</f>
        <v>#NAME?</v>
      </c>
      <c r="T78" s="70" t="e">
        <f ca="1">[1]!DPTEST(T6:T53)</f>
        <v>#NAME?</v>
      </c>
      <c r="U78" s="70" t="e">
        <f ca="1">[1]!DPTEST(U6:U53)</f>
        <v>#NAME?</v>
      </c>
      <c r="V78" s="70" t="e">
        <f ca="1">[1]!DPTEST(V6:V53)</f>
        <v>#NAME?</v>
      </c>
      <c r="W78" s="70" t="e">
        <f ca="1">[1]!DPTEST(W6:W53)</f>
        <v>#NAME?</v>
      </c>
    </row>
    <row r="79" spans="1:23" s="3" customFormat="1">
      <c r="A79" s="43" t="s">
        <v>47</v>
      </c>
      <c r="B79" s="70" t="e">
        <f ca="1">IF(B78&gt;0.05,"Oui","Non")</f>
        <v>#NAME?</v>
      </c>
      <c r="C79" s="70" t="e">
        <f t="shared" ref="C79:W79" ca="1" si="19">IF(C78&gt;0.05,"Oui","Non")</f>
        <v>#NAME?</v>
      </c>
      <c r="D79" s="70" t="e">
        <f t="shared" ca="1" si="19"/>
        <v>#NAME?</v>
      </c>
      <c r="E79" s="70" t="e">
        <f t="shared" ca="1" si="19"/>
        <v>#NAME?</v>
      </c>
      <c r="F79" s="70" t="e">
        <f t="shared" ca="1" si="19"/>
        <v>#NAME?</v>
      </c>
      <c r="G79" s="70" t="e">
        <f t="shared" ca="1" si="19"/>
        <v>#NAME?</v>
      </c>
      <c r="H79" s="70" t="e">
        <f t="shared" ca="1" si="19"/>
        <v>#NAME?</v>
      </c>
      <c r="I79" s="70" t="e">
        <f t="shared" ca="1" si="19"/>
        <v>#NAME?</v>
      </c>
      <c r="J79" s="70" t="e">
        <f t="shared" ca="1" si="19"/>
        <v>#NAME?</v>
      </c>
      <c r="K79" s="70" t="e">
        <f t="shared" ca="1" si="19"/>
        <v>#NAME?</v>
      </c>
      <c r="L79" s="70" t="e">
        <f t="shared" ca="1" si="19"/>
        <v>#NAME?</v>
      </c>
      <c r="M79" s="70" t="e">
        <f t="shared" ca="1" si="19"/>
        <v>#NAME?</v>
      </c>
      <c r="N79" s="70" t="e">
        <f t="shared" ca="1" si="19"/>
        <v>#NAME?</v>
      </c>
      <c r="O79" s="70"/>
      <c r="P79" s="70" t="e">
        <f t="shared" ca="1" si="19"/>
        <v>#NAME?</v>
      </c>
      <c r="Q79" s="70" t="e">
        <f t="shared" ca="1" si="19"/>
        <v>#NAME?</v>
      </c>
      <c r="R79" s="70" t="e">
        <f t="shared" ca="1" si="19"/>
        <v>#NAME?</v>
      </c>
      <c r="S79" s="70" t="e">
        <f t="shared" ca="1" si="19"/>
        <v>#NAME?</v>
      </c>
      <c r="T79" s="70" t="e">
        <f t="shared" ca="1" si="19"/>
        <v>#NAME?</v>
      </c>
      <c r="U79" s="70" t="e">
        <f t="shared" ca="1" si="19"/>
        <v>#NAME?</v>
      </c>
      <c r="V79" s="70" t="e">
        <f t="shared" ca="1" si="19"/>
        <v>#NAME?</v>
      </c>
      <c r="W79" s="70" t="e">
        <f t="shared" ca="1" si="19"/>
        <v>#NAME?</v>
      </c>
    </row>
    <row r="80" spans="1:23" s="3" customFormat="1">
      <c r="A80" s="43" t="s">
        <v>49</v>
      </c>
      <c r="B80" s="70" t="str">
        <f ca="1">IF(COUNTIF(B79:I79, "Non")=0, "Oui","Non")</f>
        <v>Oui</v>
      </c>
      <c r="C80" s="70"/>
      <c r="D80" s="70"/>
      <c r="E80" s="70"/>
      <c r="F80" s="70"/>
      <c r="G80" s="70"/>
      <c r="H80" s="70"/>
      <c r="I80" s="70"/>
      <c r="J80" s="70" t="str">
        <f ca="1">IF(COUNTIF(J79:N79, "Non")&gt;0, "Oui","Non")</f>
        <v>Non</v>
      </c>
      <c r="K80" s="70"/>
      <c r="L80" s="70"/>
      <c r="M80" s="70"/>
      <c r="N80" s="70"/>
      <c r="O80" s="70"/>
      <c r="P80" s="70"/>
      <c r="Q80" s="70"/>
      <c r="R80" s="70"/>
      <c r="S80" s="70" t="str">
        <f ca="1">IF(COUNTIF(S79:W79, "Non")&gt;0, "Oui","Non")</f>
        <v>Non</v>
      </c>
      <c r="T80" s="70"/>
      <c r="U80" s="70"/>
      <c r="V80" s="70"/>
      <c r="W80" s="70"/>
    </row>
    <row r="81" spans="1:23" s="3" customFormat="1">
      <c r="A81" s="43" t="s">
        <v>44</v>
      </c>
      <c r="B81" s="70"/>
      <c r="C81" s="70" t="s">
        <v>75</v>
      </c>
      <c r="D81" s="70" t="s">
        <v>75</v>
      </c>
      <c r="E81" s="70" t="s">
        <v>75</v>
      </c>
      <c r="F81" s="70" t="s">
        <v>75</v>
      </c>
      <c r="G81" s="70" t="s">
        <v>75</v>
      </c>
      <c r="H81" s="70" t="s">
        <v>75</v>
      </c>
      <c r="I81" s="70" t="s">
        <v>75</v>
      </c>
      <c r="J81" s="70" t="s">
        <v>75</v>
      </c>
      <c r="K81" s="70" t="s">
        <v>75</v>
      </c>
      <c r="L81" s="70" t="s">
        <v>75</v>
      </c>
      <c r="M81" s="70" t="s">
        <v>75</v>
      </c>
      <c r="N81" s="70" t="e">
        <f t="shared" ref="N81" ca="1" si="20">IF($B79="Non",IF(N79="Non","Mann Withney",IF(N79="Oui","Mann Withney","")),IF($B79="Oui",IF(N79="Oui","T-Test Welch",IF(N79="Non","Mann Withney",""))))</f>
        <v>#NAME?</v>
      </c>
      <c r="O81" s="70"/>
      <c r="P81" s="70" t="s">
        <v>77</v>
      </c>
      <c r="Q81" s="70" t="s">
        <v>77</v>
      </c>
      <c r="R81" s="70" t="s">
        <v>76</v>
      </c>
      <c r="S81" s="70" t="s">
        <v>75</v>
      </c>
      <c r="T81" s="70" t="s">
        <v>75</v>
      </c>
      <c r="U81" s="70" t="s">
        <v>75</v>
      </c>
      <c r="V81" s="70" t="s">
        <v>75</v>
      </c>
      <c r="W81" s="70" t="s">
        <v>75</v>
      </c>
    </row>
    <row r="82" spans="1:23" s="3" customFormat="1">
      <c r="A82" s="43" t="s">
        <v>45</v>
      </c>
      <c r="B82" s="70"/>
      <c r="C82" s="70" t="s">
        <v>83</v>
      </c>
      <c r="D82" s="70">
        <v>4.5999999999999999E-2</v>
      </c>
      <c r="E82" s="70" t="s">
        <v>80</v>
      </c>
      <c r="F82" s="70" t="s">
        <v>80</v>
      </c>
      <c r="G82" s="70" t="s">
        <v>80</v>
      </c>
      <c r="H82" s="70" t="s">
        <v>80</v>
      </c>
      <c r="I82" s="70" t="s">
        <v>83</v>
      </c>
      <c r="J82" s="70" t="s">
        <v>83</v>
      </c>
      <c r="K82" s="70" t="s">
        <v>83</v>
      </c>
      <c r="L82" s="70" t="s">
        <v>83</v>
      </c>
      <c r="M82" s="70" t="s">
        <v>83</v>
      </c>
      <c r="N82" s="70" t="e">
        <f ca="1">IF(N81="Mann Withney",[1]!MTEST($B6:$B53,N6:N53,2), IF(N81="T-Test Welch",_xlfn.T.TEST($B6:$B53,N6:N53,2,3),""))</f>
        <v>#NAME?</v>
      </c>
      <c r="O82" s="70"/>
      <c r="P82" s="70" t="s">
        <v>80</v>
      </c>
      <c r="Q82" s="70">
        <v>1E-4</v>
      </c>
      <c r="R82" s="70" t="s">
        <v>80</v>
      </c>
      <c r="S82" s="70">
        <v>1.95E-2</v>
      </c>
      <c r="T82" s="70" t="s">
        <v>80</v>
      </c>
      <c r="U82" s="70" t="s">
        <v>80</v>
      </c>
      <c r="V82" s="70" t="s">
        <v>80</v>
      </c>
      <c r="W82" s="70" t="s">
        <v>80</v>
      </c>
    </row>
    <row r="83" spans="1:23" s="3" customFormat="1" ht="15.75" thickBot="1">
      <c r="A83" s="44" t="s">
        <v>46</v>
      </c>
      <c r="B83" s="71"/>
      <c r="C83" s="71" t="s">
        <v>82</v>
      </c>
      <c r="D83" s="71" t="s">
        <v>78</v>
      </c>
      <c r="E83" s="71" t="s">
        <v>79</v>
      </c>
      <c r="F83" s="71" t="s">
        <v>79</v>
      </c>
      <c r="G83" s="71" t="s">
        <v>79</v>
      </c>
      <c r="H83" s="71" t="s">
        <v>79</v>
      </c>
      <c r="I83" s="71" t="s">
        <v>82</v>
      </c>
      <c r="J83" s="71" t="s">
        <v>82</v>
      </c>
      <c r="K83" s="71" t="s">
        <v>82</v>
      </c>
      <c r="L83" s="71" t="s">
        <v>82</v>
      </c>
      <c r="M83" s="71" t="s">
        <v>82</v>
      </c>
      <c r="N83" s="71" t="e">
        <f t="shared" ref="N83" ca="1" si="21">IF(N82&gt;0.05,"NS",IF(N82&gt;0.01,"*",IF(N82&gt;0.001,"**","***")))</f>
        <v>#NAME?</v>
      </c>
      <c r="O83" s="71"/>
      <c r="P83" s="71" t="s">
        <v>79</v>
      </c>
      <c r="Q83" s="71" t="s">
        <v>81</v>
      </c>
      <c r="R83" s="71" t="s">
        <v>79</v>
      </c>
      <c r="S83" s="71" t="s">
        <v>78</v>
      </c>
      <c r="T83" s="71" t="s">
        <v>79</v>
      </c>
      <c r="U83" s="71" t="s">
        <v>79</v>
      </c>
      <c r="V83" s="71" t="s">
        <v>79</v>
      </c>
      <c r="W83" s="71" t="s">
        <v>79</v>
      </c>
    </row>
    <row r="84" spans="1:23" s="1" customFormat="1"/>
    <row r="85" spans="1:23" s="1" customFormat="1">
      <c r="A85" s="2" t="s">
        <v>20</v>
      </c>
    </row>
    <row r="86" spans="1:23">
      <c r="A86" s="1" t="s">
        <v>13</v>
      </c>
      <c r="B86" s="1">
        <f>B56+(3*B57)</f>
        <v>0.46700591861397345</v>
      </c>
    </row>
    <row r="87" spans="1:23">
      <c r="A87" s="1" t="s">
        <v>14</v>
      </c>
      <c r="B87" s="1">
        <f>B56+(10*B57)</f>
        <v>1.2349136181240283</v>
      </c>
    </row>
    <row r="88" spans="1:23" ht="15.75" thickBot="1"/>
    <row r="89" spans="1:23" s="30" customFormat="1" ht="27" thickBot="1">
      <c r="A89" s="31" t="s">
        <v>34</v>
      </c>
      <c r="B89" s="32"/>
      <c r="C89" s="32"/>
      <c r="D89" s="32"/>
      <c r="E89" s="32"/>
      <c r="F89" s="32"/>
      <c r="G89" s="32"/>
      <c r="H89" s="32"/>
      <c r="I89" s="32"/>
      <c r="J89" s="32"/>
      <c r="K89" s="32"/>
      <c r="L89" s="32"/>
      <c r="M89" s="32"/>
      <c r="N89" s="32"/>
      <c r="O89" s="32"/>
      <c r="P89" s="32"/>
      <c r="Q89" s="32"/>
      <c r="R89" s="32"/>
      <c r="S89" s="32"/>
      <c r="T89" s="32"/>
      <c r="U89" s="32"/>
      <c r="V89" s="32"/>
      <c r="W89" s="32"/>
    </row>
    <row r="90" spans="1:23" ht="15.75" thickBot="1"/>
    <row r="91" spans="1:23" s="30" customFormat="1" ht="27" thickBot="1">
      <c r="A91" s="31" t="s">
        <v>35</v>
      </c>
      <c r="B91" s="32"/>
      <c r="C91" s="32"/>
      <c r="D91" s="32"/>
      <c r="E91" s="32"/>
      <c r="F91" s="32"/>
      <c r="G91" s="32"/>
      <c r="H91" s="32"/>
      <c r="I91" s="32"/>
      <c r="J91" s="32"/>
      <c r="K91" s="32"/>
      <c r="L91" s="32"/>
      <c r="M91" s="32"/>
      <c r="N91" s="32"/>
      <c r="O91" s="32"/>
      <c r="P91" s="32"/>
      <c r="Q91" s="32"/>
      <c r="R91" s="32"/>
      <c r="S91" s="32"/>
      <c r="T91" s="32"/>
      <c r="U91" s="32"/>
      <c r="V91" s="32"/>
      <c r="W91" s="32"/>
    </row>
    <row r="92" spans="1:23" ht="15.75" thickBot="1"/>
    <row r="93" spans="1:23" s="30" customFormat="1" ht="27" thickBot="1">
      <c r="A93" s="148" t="s">
        <v>36</v>
      </c>
      <c r="B93" s="149"/>
      <c r="C93" s="149"/>
      <c r="D93" s="149"/>
      <c r="E93" s="149"/>
      <c r="F93" s="149"/>
      <c r="G93" s="149"/>
      <c r="H93" s="149"/>
      <c r="I93" s="149"/>
      <c r="J93" s="149"/>
      <c r="K93" s="149"/>
      <c r="L93" s="149"/>
      <c r="M93" s="149"/>
      <c r="N93" s="149"/>
      <c r="O93" s="149"/>
      <c r="P93" s="149"/>
      <c r="Q93" s="149"/>
      <c r="R93" s="149"/>
      <c r="S93" s="149"/>
      <c r="T93" s="149"/>
      <c r="U93" s="149"/>
      <c r="V93" s="149"/>
      <c r="W93" s="149"/>
    </row>
    <row r="94" spans="1:23">
      <c r="B94" s="1">
        <f t="shared" ref="B94:V94" si="22">B75/$B$75</f>
        <v>1</v>
      </c>
      <c r="C94" s="1">
        <f t="shared" si="22"/>
        <v>2.1944743671849354</v>
      </c>
      <c r="D94" s="1">
        <f t="shared" si="22"/>
        <v>3.7184508197564869</v>
      </c>
      <c r="E94" s="1">
        <f t="shared" si="22"/>
        <v>6.1156248524610719</v>
      </c>
      <c r="F94" s="1">
        <f t="shared" si="22"/>
        <v>10.147746623161689</v>
      </c>
      <c r="G94" s="1">
        <f t="shared" si="22"/>
        <v>12.68655853086924</v>
      </c>
      <c r="H94" s="1">
        <f>H75/$B$75</f>
        <v>17.666997095278834</v>
      </c>
      <c r="I94" s="1">
        <f t="shared" si="22"/>
        <v>1.4796020376008332</v>
      </c>
      <c r="J94" s="1">
        <f t="shared" si="22"/>
        <v>0.85489774370507376</v>
      </c>
      <c r="K94" s="1">
        <f t="shared" si="22"/>
        <v>1.500472564276331</v>
      </c>
      <c r="L94" s="1">
        <f t="shared" si="22"/>
        <v>1.1710750633489686</v>
      </c>
      <c r="M94" s="1">
        <f t="shared" si="22"/>
        <v>1.1472774496120528</v>
      </c>
      <c r="N94" s="1" t="e">
        <f t="shared" si="22"/>
        <v>#DIV/0!</v>
      </c>
      <c r="O94" s="1">
        <f t="shared" si="22"/>
        <v>0</v>
      </c>
      <c r="P94" s="1">
        <f t="shared" si="22"/>
        <v>7.2514939058309427</v>
      </c>
      <c r="Q94" s="1">
        <f t="shared" si="22"/>
        <v>10.584478812886102</v>
      </c>
      <c r="R94" s="1">
        <f t="shared" si="22"/>
        <v>0.71087823027882624</v>
      </c>
      <c r="S94" s="1">
        <f t="shared" si="22"/>
        <v>4.5422758883043821</v>
      </c>
      <c r="T94" s="1">
        <f t="shared" si="22"/>
        <v>2.9340314455193206</v>
      </c>
      <c r="U94" s="1">
        <f t="shared" si="22"/>
        <v>2.0562399072120137</v>
      </c>
      <c r="V94" s="1">
        <f t="shared" si="22"/>
        <v>1.9900077971530667</v>
      </c>
    </row>
    <row r="98" spans="3:16">
      <c r="F98" s="114"/>
      <c r="G98" s="114"/>
      <c r="H98" s="114"/>
      <c r="I98" s="114"/>
      <c r="J98" s="114"/>
    </row>
    <row r="99" spans="3:16">
      <c r="C99" s="114"/>
      <c r="D99" s="114"/>
      <c r="F99" s="114"/>
      <c r="G99" s="114"/>
      <c r="H99" s="114"/>
      <c r="I99" s="114"/>
      <c r="J99" s="114"/>
      <c r="L99" s="114"/>
      <c r="M99" s="114"/>
      <c r="N99" s="114"/>
      <c r="O99" s="114"/>
      <c r="P99" s="114"/>
    </row>
    <row r="100" spans="3:16">
      <c r="C100" s="114"/>
      <c r="D100" s="114"/>
      <c r="F100" s="114"/>
      <c r="G100" s="114"/>
      <c r="I100" s="114"/>
      <c r="J100" s="114"/>
      <c r="K100" s="114"/>
      <c r="L100" s="114"/>
      <c r="M100" s="114"/>
      <c r="N100" s="114"/>
      <c r="O100" s="114"/>
      <c r="P100" s="114"/>
    </row>
    <row r="101" spans="3:16">
      <c r="C101" s="114"/>
      <c r="D101" s="114"/>
      <c r="F101" s="114"/>
      <c r="G101" s="114"/>
      <c r="I101" s="114"/>
      <c r="J101" s="114"/>
      <c r="K101" s="114"/>
    </row>
    <row r="102" spans="3:16">
      <c r="C102" s="114"/>
      <c r="D102" s="114"/>
      <c r="I102" s="114"/>
      <c r="J102" s="114"/>
    </row>
    <row r="103" spans="3:16">
      <c r="C103" s="114"/>
      <c r="D103" s="114"/>
      <c r="I103" s="114"/>
      <c r="J103" s="114"/>
    </row>
    <row r="104" spans="3:16">
      <c r="C104" s="114"/>
      <c r="D104" s="114"/>
      <c r="I104" s="114"/>
      <c r="J104" s="114"/>
    </row>
    <row r="105" spans="3:16">
      <c r="C105" s="114"/>
      <c r="D105" s="114"/>
    </row>
  </sheetData>
  <mergeCells count="10">
    <mergeCell ref="A7:A21"/>
    <mergeCell ref="A23:A37"/>
    <mergeCell ref="A93:W93"/>
    <mergeCell ref="P3:W3"/>
    <mergeCell ref="B3:N3"/>
    <mergeCell ref="A60:W60"/>
    <mergeCell ref="A72:W72"/>
    <mergeCell ref="A70:W70"/>
    <mergeCell ref="A65:W65"/>
    <mergeCell ref="A39:A53"/>
  </mergeCells>
  <phoneticPr fontId="12"/>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5994B6-F17A-4D48-AE84-272EB571B206}">
  <ds:schemaRefs>
    <ds:schemaRef ds:uri="http://schemas.microsoft.com/sharepoint/v3/contenttype/forms"/>
  </ds:schemaRefs>
</ds:datastoreItem>
</file>

<file path=customXml/itemProps2.xml><?xml version="1.0" encoding="utf-8"?>
<ds:datastoreItem xmlns:ds="http://schemas.openxmlformats.org/officeDocument/2006/customXml" ds:itemID="{361A7A5B-1B09-409D-BBA3-590EA91674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5</vt:i4>
      </vt:variant>
      <vt:variant>
        <vt:lpstr>Charts</vt:lpstr>
      </vt:variant>
      <vt:variant>
        <vt:i4>4</vt:i4>
      </vt:variant>
      <vt:variant>
        <vt:lpstr>Named Ranges</vt:lpstr>
      </vt:variant>
      <vt:variant>
        <vt:i4>1</vt:i4>
      </vt:variant>
    </vt:vector>
  </HeadingPairs>
  <TitlesOfParts>
    <vt:vector size="10" baseType="lpstr">
      <vt:lpstr>Front page</vt:lpstr>
      <vt:lpstr>R1</vt:lpstr>
      <vt:lpstr>R2</vt:lpstr>
      <vt:lpstr>R3</vt:lpstr>
      <vt:lpstr>pooled normalised values</vt:lpstr>
      <vt:lpstr>Graph R1</vt:lpstr>
      <vt:lpstr>Graph R2</vt:lpstr>
      <vt:lpstr>Graph R3</vt:lpstr>
      <vt:lpstr>pooled normalised graphe</vt:lpstr>
      <vt:lpstr>'Front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2023-04-03T08:37:25Z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2023-04-03T08:37:25Z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184308ee-e2ef-4635-bf04-29049ca8a131</vt:lpwstr>
  </property>
  <property fmtid="{D5CDD505-2E9C-101B-9397-08002B2CF9AE}" pid="8" name="MSIP_Label_06530cf4-8573-4c29-a912-bbcdac835909_ContentBits">
    <vt:lpwstr>2</vt:lpwstr>
  </property>
</Properties>
</file>