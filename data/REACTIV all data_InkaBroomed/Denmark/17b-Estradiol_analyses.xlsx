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1" documentId="13_ncr:1_{09975BDC-2FDD-44EC-B16C-1E56E1C4DAB1}" xr6:coauthVersionLast="47" xr6:coauthVersionMax="47" xr10:uidLastSave="{0EFF247D-B98E-49CE-A797-8DFCA3671FD5}"/>
  <bookViews>
    <workbookView xWindow="32100" yWindow="4770" windowWidth="38700" windowHeight="15435"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0" i="1" l="1"/>
  <c r="F83" i="4"/>
  <c r="M23" i="33"/>
  <c r="M24" i="33"/>
  <c r="K23" i="33"/>
  <c r="K24" i="33"/>
  <c r="M23" i="23"/>
  <c r="M24" i="23"/>
  <c r="C56" i="23"/>
  <c r="AI56" i="23"/>
  <c r="AH56" i="33"/>
  <c r="I56" i="1"/>
  <c r="Q56" i="1"/>
  <c r="AG56" i="1"/>
  <c r="S56" i="33"/>
  <c r="AG56" i="33"/>
  <c r="Z56" i="23"/>
  <c r="W56" i="1"/>
  <c r="AE56" i="33"/>
  <c r="Y56" i="23"/>
  <c r="R56" i="1"/>
  <c r="AA56" i="33"/>
  <c r="S56" i="1"/>
  <c r="AG56" i="23"/>
  <c r="AB56" i="23"/>
  <c r="X56" i="1"/>
  <c r="G56" i="23"/>
  <c r="AB56" i="33"/>
  <c r="T56" i="1"/>
  <c r="AI56" i="33"/>
  <c r="F56" i="1"/>
  <c r="V56" i="23"/>
  <c r="J56" i="1"/>
  <c r="X56" i="33"/>
  <c r="D56" i="1"/>
  <c r="B56" i="23"/>
  <c r="E56" i="1"/>
  <c r="T56" i="33"/>
  <c r="AD56" i="23"/>
  <c r="P56" i="23"/>
  <c r="AK56" i="33"/>
  <c r="AB56" i="1"/>
  <c r="X56" i="23"/>
  <c r="AH56" i="1"/>
  <c r="AF56" i="1"/>
  <c r="H56" i="1"/>
  <c r="C56" i="1"/>
  <c r="AA56" i="1"/>
  <c r="K56" i="23"/>
  <c r="E56" i="23"/>
  <c r="AK56" i="1"/>
  <c r="W56" i="23"/>
  <c r="AK56" i="23"/>
  <c r="AI56" i="1"/>
  <c r="O56" i="33"/>
  <c r="AJ56" i="33"/>
  <c r="T56" i="23"/>
  <c r="AF56" i="23"/>
  <c r="Y56" i="33"/>
  <c r="P56" i="33"/>
  <c r="O56" i="23"/>
  <c r="P56" i="1"/>
  <c r="AE56" i="23"/>
  <c r="AD56" i="33"/>
  <c r="Y56" i="1"/>
  <c r="AD56" i="1"/>
  <c r="AA56" i="23"/>
  <c r="I56" i="23"/>
  <c r="U56" i="33"/>
  <c r="D56" i="23"/>
  <c r="H56" i="23"/>
  <c r="U56" i="23"/>
  <c r="U56" i="1"/>
  <c r="K56" i="1"/>
  <c r="AJ56" i="23"/>
  <c r="AC56" i="33"/>
  <c r="Q56" i="33"/>
  <c r="R56" i="23"/>
  <c r="J56" i="23"/>
  <c r="AC56" i="1"/>
  <c r="M56" i="23"/>
  <c r="W56" i="33"/>
  <c r="O56" i="1"/>
  <c r="V56" i="1"/>
  <c r="Z56" i="1"/>
  <c r="AC56" i="23"/>
  <c r="Q56" i="23"/>
  <c r="AJ56" i="1"/>
  <c r="AF56" i="33"/>
  <c r="Z56" i="33"/>
  <c r="V56" i="33"/>
  <c r="R56" i="33"/>
  <c r="L56" i="1"/>
  <c r="AE56" i="1"/>
  <c r="L56" i="23"/>
  <c r="B56" i="1"/>
  <c r="M56" i="1"/>
  <c r="F56" i="23"/>
  <c r="S56" i="23"/>
  <c r="AH56" i="23"/>
  <c r="G56" i="1"/>
  <c r="M56" i="33" l="1"/>
  <c r="L56" i="33"/>
  <c r="K56" i="33"/>
  <c r="J56" i="33"/>
  <c r="I56" i="33"/>
  <c r="H56" i="33"/>
  <c r="G56" i="33"/>
  <c r="F56" i="33"/>
  <c r="E56" i="33"/>
  <c r="D56" i="33"/>
  <c r="C56" i="33"/>
  <c r="B56" i="33"/>
  <c r="B39" i="10"/>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AK43" i="33"/>
  <c r="AJ43" i="33"/>
  <c r="AI43" i="33"/>
  <c r="AH43" i="33"/>
  <c r="AG43" i="33"/>
  <c r="AF43" i="33"/>
  <c r="AE43" i="33"/>
  <c r="AD43" i="33"/>
  <c r="AC43" i="33"/>
  <c r="AB43" i="33"/>
  <c r="AA43" i="33"/>
  <c r="Z43" i="33"/>
  <c r="Y43" i="33"/>
  <c r="X43" i="33"/>
  <c r="W43"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AJ42" i="33"/>
  <c r="AI42" i="33"/>
  <c r="AH42" i="33"/>
  <c r="AG42" i="33"/>
  <c r="AF42" i="33"/>
  <c r="AE42" i="33"/>
  <c r="AD42" i="33"/>
  <c r="AC42" i="33"/>
  <c r="AB42" i="33"/>
  <c r="AA42" i="33"/>
  <c r="Z42" i="33"/>
  <c r="Y42" i="33"/>
  <c r="X42" i="33"/>
  <c r="W42" i="33"/>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AJ41" i="33"/>
  <c r="AI41" i="33"/>
  <c r="AH41" i="33"/>
  <c r="AG41" i="33"/>
  <c r="AF41" i="33"/>
  <c r="AE41" i="33"/>
  <c r="AD41" i="33"/>
  <c r="AC41" i="33"/>
  <c r="AB41" i="33"/>
  <c r="AA41" i="33"/>
  <c r="Z41" i="33"/>
  <c r="Y41" i="33"/>
  <c r="X41" i="33"/>
  <c r="W41" i="33"/>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AJ40" i="33"/>
  <c r="AI40" i="33"/>
  <c r="AH40" i="33"/>
  <c r="AG40" i="33"/>
  <c r="AF40" i="33"/>
  <c r="AE40" i="33"/>
  <c r="AD40" i="33"/>
  <c r="AC40" i="33"/>
  <c r="AB40" i="33"/>
  <c r="AA40" i="33"/>
  <c r="Z40" i="33"/>
  <c r="Y40" i="33"/>
  <c r="X40" i="33"/>
  <c r="W40" i="33"/>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AJ39" i="33"/>
  <c r="AI39" i="33"/>
  <c r="AH39" i="33"/>
  <c r="AG39" i="33"/>
  <c r="AF39" i="33"/>
  <c r="AE39" i="33"/>
  <c r="AD39" i="33"/>
  <c r="AC39" i="33"/>
  <c r="AB39" i="33"/>
  <c r="AA39" i="33"/>
  <c r="Z39" i="33"/>
  <c r="Y39" i="33"/>
  <c r="X39" i="33"/>
  <c r="W39" i="33"/>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AJ38" i="33"/>
  <c r="AI38" i="33"/>
  <c r="AH38" i="33"/>
  <c r="AG38" i="33"/>
  <c r="AF38" i="33"/>
  <c r="AE38" i="33"/>
  <c r="AD38" i="33"/>
  <c r="AC38" i="33"/>
  <c r="AB38" i="33"/>
  <c r="AA38" i="33"/>
  <c r="Z38" i="33"/>
  <c r="Y38" i="33"/>
  <c r="X38" i="33"/>
  <c r="W38" i="33"/>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AJ37" i="33"/>
  <c r="AI37" i="33"/>
  <c r="AH37" i="33"/>
  <c r="AG37" i="33"/>
  <c r="AF37" i="33"/>
  <c r="AE37" i="33"/>
  <c r="AD37" i="33"/>
  <c r="AC37" i="33"/>
  <c r="AB37" i="33"/>
  <c r="AA37" i="33"/>
  <c r="Z37" i="33"/>
  <c r="Y37" i="33"/>
  <c r="X37" i="33"/>
  <c r="W37" i="33"/>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AJ36" i="33"/>
  <c r="AI36" i="33"/>
  <c r="AH36" i="33"/>
  <c r="AG36" i="33"/>
  <c r="AF36" i="33"/>
  <c r="AE36" i="33"/>
  <c r="AD36" i="33"/>
  <c r="AC36" i="33"/>
  <c r="AB36" i="33"/>
  <c r="AA36" i="33"/>
  <c r="Z36" i="33"/>
  <c r="Y36" i="33"/>
  <c r="X36" i="33"/>
  <c r="W36" i="33"/>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AK35" i="33"/>
  <c r="AJ35" i="33"/>
  <c r="AI35" i="33"/>
  <c r="AH35" i="33"/>
  <c r="AG35" i="33"/>
  <c r="AF35" i="33"/>
  <c r="AE35" i="33"/>
  <c r="AD35" i="33"/>
  <c r="AC35" i="33"/>
  <c r="AB35" i="33"/>
  <c r="AA35" i="33"/>
  <c r="Z35" i="33"/>
  <c r="Y35" i="33"/>
  <c r="X35" i="33"/>
  <c r="W35" i="33"/>
  <c r="M35" i="33"/>
  <c r="M45" i="4" s="1"/>
  <c r="I35" i="33"/>
  <c r="I45" i="4" s="1"/>
  <c r="AK34" i="33"/>
  <c r="AJ34" i="33"/>
  <c r="AI34" i="33"/>
  <c r="AH34" i="33"/>
  <c r="AG34" i="33"/>
  <c r="AF34" i="33"/>
  <c r="AE34" i="33"/>
  <c r="AD34" i="33"/>
  <c r="AC34" i="33"/>
  <c r="AB34" i="33"/>
  <c r="AA34" i="33"/>
  <c r="Z34" i="33"/>
  <c r="Y34" i="33"/>
  <c r="X34" i="33"/>
  <c r="W34" i="33"/>
  <c r="AK33" i="33"/>
  <c r="AJ33" i="33"/>
  <c r="AI33" i="33"/>
  <c r="AH33" i="33"/>
  <c r="AG33" i="33"/>
  <c r="AF33" i="33"/>
  <c r="AE33" i="33"/>
  <c r="AD33" i="33"/>
  <c r="AC33" i="33"/>
  <c r="AB33" i="33"/>
  <c r="AA33" i="33"/>
  <c r="Z33" i="33"/>
  <c r="Y33" i="33"/>
  <c r="X33" i="33"/>
  <c r="W33" i="33"/>
  <c r="AK32" i="33"/>
  <c r="AJ32" i="33"/>
  <c r="AI32" i="33"/>
  <c r="AH32" i="33"/>
  <c r="AG32" i="33"/>
  <c r="AF32" i="33"/>
  <c r="AE32" i="33"/>
  <c r="AD32" i="33"/>
  <c r="AC32" i="33"/>
  <c r="AB32" i="33"/>
  <c r="AA32" i="33"/>
  <c r="Z32" i="33"/>
  <c r="Y32" i="33"/>
  <c r="X32" i="33"/>
  <c r="W32" i="33"/>
  <c r="AK31" i="33"/>
  <c r="AJ31" i="33"/>
  <c r="AI31" i="33"/>
  <c r="AH31" i="33"/>
  <c r="AG31" i="33"/>
  <c r="AF31" i="33"/>
  <c r="AE31" i="33"/>
  <c r="AD31" i="33"/>
  <c r="AC31" i="33"/>
  <c r="AB31" i="33"/>
  <c r="AA31" i="33"/>
  <c r="Z31" i="33"/>
  <c r="Y31" i="33"/>
  <c r="X31" i="33"/>
  <c r="W31" i="33"/>
  <c r="AK30" i="33"/>
  <c r="AJ30" i="33"/>
  <c r="AI30" i="33"/>
  <c r="AH30" i="33"/>
  <c r="AG30" i="33"/>
  <c r="AF30" i="33"/>
  <c r="AE30" i="33"/>
  <c r="AD30" i="33"/>
  <c r="AC30" i="33"/>
  <c r="AB30" i="33"/>
  <c r="AA30" i="33"/>
  <c r="Z30" i="33"/>
  <c r="Y30" i="33"/>
  <c r="X30" i="33"/>
  <c r="W30" i="33"/>
  <c r="AK29" i="33"/>
  <c r="AJ29" i="33"/>
  <c r="AI29" i="33"/>
  <c r="AH29" i="33"/>
  <c r="AG29" i="33"/>
  <c r="AF29" i="33"/>
  <c r="AE29" i="33"/>
  <c r="AD29" i="33"/>
  <c r="AC29" i="33"/>
  <c r="AB29" i="33"/>
  <c r="AA29" i="33"/>
  <c r="Z29" i="33"/>
  <c r="Y29" i="33"/>
  <c r="X29" i="33"/>
  <c r="W29" i="33"/>
  <c r="AK28" i="33"/>
  <c r="AJ28" i="33"/>
  <c r="AI28" i="33"/>
  <c r="AH28" i="33"/>
  <c r="AG28" i="33"/>
  <c r="AF28" i="33"/>
  <c r="AE28" i="33"/>
  <c r="AD28" i="33"/>
  <c r="AC28" i="33"/>
  <c r="AB28" i="33"/>
  <c r="AA28" i="33"/>
  <c r="Z28" i="33"/>
  <c r="Y28" i="33"/>
  <c r="X28" i="33"/>
  <c r="W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O43" i="33" s="1"/>
  <c r="O53" i="4" s="1"/>
  <c r="L23" i="33"/>
  <c r="J23" i="33"/>
  <c r="I23" i="33"/>
  <c r="H23" i="33"/>
  <c r="G23" i="33"/>
  <c r="F23" i="33"/>
  <c r="E23" i="33"/>
  <c r="D23" i="33"/>
  <c r="C23" i="33"/>
  <c r="B23" i="33"/>
  <c r="A22" i="33"/>
  <c r="H22" i="33"/>
  <c r="G45" i="33"/>
  <c r="F27" i="33"/>
  <c r="F52" i="33" s="1"/>
  <c r="E45" i="33"/>
  <c r="D22" i="33"/>
  <c r="C45" i="33"/>
  <c r="B45" i="33"/>
  <c r="B28" i="33" l="1"/>
  <c r="H28" i="33"/>
  <c r="L28" i="33"/>
  <c r="F28" i="33"/>
  <c r="E28" i="33"/>
  <c r="J28" i="33"/>
  <c r="P28" i="33"/>
  <c r="T28" i="33"/>
  <c r="E29" i="33"/>
  <c r="E39" i="4" s="1"/>
  <c r="J29" i="33"/>
  <c r="J39" i="4" s="1"/>
  <c r="P29" i="33"/>
  <c r="P39" i="4" s="1"/>
  <c r="T29" i="33"/>
  <c r="T39" i="4" s="1"/>
  <c r="D30" i="33"/>
  <c r="D40" i="4" s="1"/>
  <c r="K30" i="33"/>
  <c r="K40" i="4" s="1"/>
  <c r="Q30" i="33"/>
  <c r="Q40" i="4" s="1"/>
  <c r="U30" i="33"/>
  <c r="U40" i="4" s="1"/>
  <c r="H31" i="33"/>
  <c r="H41" i="4" s="1"/>
  <c r="P31" i="33"/>
  <c r="P41" i="4" s="1"/>
  <c r="T31" i="33"/>
  <c r="T41" i="4" s="1"/>
  <c r="F32" i="33"/>
  <c r="F42" i="4" s="1"/>
  <c r="O32" i="33"/>
  <c r="O42" i="4" s="1"/>
  <c r="S32" i="33"/>
  <c r="S42" i="4" s="1"/>
  <c r="E33" i="33"/>
  <c r="E43" i="4" s="1"/>
  <c r="M33" i="33"/>
  <c r="M43" i="4" s="1"/>
  <c r="S33" i="33"/>
  <c r="S43" i="4" s="1"/>
  <c r="D34" i="33"/>
  <c r="D44" i="4" s="1"/>
  <c r="P34" i="33"/>
  <c r="P44" i="4" s="1"/>
  <c r="T34" i="33"/>
  <c r="T44" i="4" s="1"/>
  <c r="R35" i="33"/>
  <c r="R45" i="4" s="1"/>
  <c r="V35" i="33"/>
  <c r="V45" i="4" s="1"/>
  <c r="O36" i="33"/>
  <c r="O46" i="4" s="1"/>
  <c r="Q28" i="33"/>
  <c r="U28" i="33"/>
  <c r="F29" i="33"/>
  <c r="F39" i="4" s="1"/>
  <c r="K29" i="33"/>
  <c r="K39" i="4" s="1"/>
  <c r="Q29" i="33"/>
  <c r="Q39" i="4" s="1"/>
  <c r="U29" i="33"/>
  <c r="U39" i="4" s="1"/>
  <c r="F30" i="33"/>
  <c r="F40" i="4" s="1"/>
  <c r="L30" i="33"/>
  <c r="L40" i="4" s="1"/>
  <c r="R30" i="33"/>
  <c r="R40" i="4" s="1"/>
  <c r="V30" i="33"/>
  <c r="V40" i="4" s="1"/>
  <c r="C31" i="33"/>
  <c r="C41" i="4" s="1"/>
  <c r="I31" i="33"/>
  <c r="I41" i="4" s="1"/>
  <c r="Q31" i="33"/>
  <c r="Q41" i="4" s="1"/>
  <c r="U31" i="33"/>
  <c r="U41" i="4" s="1"/>
  <c r="H32" i="33"/>
  <c r="H42" i="4" s="1"/>
  <c r="P32" i="33"/>
  <c r="P42" i="4" s="1"/>
  <c r="T32" i="33"/>
  <c r="T42" i="4" s="1"/>
  <c r="G33" i="33"/>
  <c r="G43" i="4" s="1"/>
  <c r="P33" i="33"/>
  <c r="P43" i="4" s="1"/>
  <c r="T33" i="33"/>
  <c r="T43" i="4" s="1"/>
  <c r="H34" i="33"/>
  <c r="H44" i="4" s="1"/>
  <c r="Q34" i="33"/>
  <c r="Q44" i="4" s="1"/>
  <c r="U34" i="33"/>
  <c r="U44" i="4" s="1"/>
  <c r="S35" i="33"/>
  <c r="S45" i="4" s="1"/>
  <c r="O38" i="33"/>
  <c r="O48" i="4" s="1"/>
  <c r="M28" i="33"/>
  <c r="M38" i="4" s="1"/>
  <c r="R28" i="33"/>
  <c r="V28" i="33"/>
  <c r="B29" i="33"/>
  <c r="B39" i="4" s="1"/>
  <c r="G29" i="33"/>
  <c r="G39" i="4" s="1"/>
  <c r="M29" i="33"/>
  <c r="M39" i="4" s="1"/>
  <c r="R29" i="33"/>
  <c r="R39" i="4" s="1"/>
  <c r="V29" i="33"/>
  <c r="V39" i="4" s="1"/>
  <c r="B30" i="33"/>
  <c r="B40" i="4" s="1"/>
  <c r="H30" i="33"/>
  <c r="H40" i="4" s="1"/>
  <c r="O30" i="33"/>
  <c r="O40" i="4" s="1"/>
  <c r="S30" i="33"/>
  <c r="S40" i="4" s="1"/>
  <c r="E31" i="33"/>
  <c r="E41" i="4" s="1"/>
  <c r="K31" i="33"/>
  <c r="K41" i="4" s="1"/>
  <c r="R31" i="33"/>
  <c r="R41" i="4" s="1"/>
  <c r="V31" i="33"/>
  <c r="V41" i="4" s="1"/>
  <c r="B32" i="33"/>
  <c r="B42" i="4" s="1"/>
  <c r="J32" i="33"/>
  <c r="J42" i="4" s="1"/>
  <c r="Q32" i="33"/>
  <c r="Q42" i="4" s="1"/>
  <c r="U32" i="33"/>
  <c r="U42" i="4" s="1"/>
  <c r="I33" i="33"/>
  <c r="I43" i="4" s="1"/>
  <c r="Q33" i="33"/>
  <c r="Q43" i="4" s="1"/>
  <c r="U33" i="33"/>
  <c r="U43" i="4" s="1"/>
  <c r="J34" i="33"/>
  <c r="J44" i="4" s="1"/>
  <c r="R34" i="33"/>
  <c r="R44" i="4" s="1"/>
  <c r="V34" i="33"/>
  <c r="V44" i="4" s="1"/>
  <c r="E35" i="33"/>
  <c r="E45" i="4" s="1"/>
  <c r="P35" i="33"/>
  <c r="P45" i="4" s="1"/>
  <c r="T35" i="33"/>
  <c r="T45" i="4" s="1"/>
  <c r="D28" i="33"/>
  <c r="I28" i="33"/>
  <c r="O28" i="33"/>
  <c r="O38" i="4" s="1"/>
  <c r="S28" i="33"/>
  <c r="S38" i="4" s="1"/>
  <c r="C29" i="33"/>
  <c r="C39" i="4" s="1"/>
  <c r="I29" i="33"/>
  <c r="I39" i="4" s="1"/>
  <c r="O29" i="33"/>
  <c r="O39" i="4" s="1"/>
  <c r="S29" i="33"/>
  <c r="S39" i="4" s="1"/>
  <c r="C30" i="33"/>
  <c r="C40" i="4" s="1"/>
  <c r="J30" i="33"/>
  <c r="J40" i="4" s="1"/>
  <c r="P30" i="33"/>
  <c r="P40" i="4" s="1"/>
  <c r="T30" i="33"/>
  <c r="T40" i="4" s="1"/>
  <c r="G31" i="33"/>
  <c r="G41" i="4" s="1"/>
  <c r="M31" i="33"/>
  <c r="M41" i="4" s="1"/>
  <c r="S31" i="33"/>
  <c r="S41" i="4" s="1"/>
  <c r="D32" i="33"/>
  <c r="D42" i="4" s="1"/>
  <c r="L32" i="33"/>
  <c r="L42" i="4" s="1"/>
  <c r="R32" i="33"/>
  <c r="R42" i="4" s="1"/>
  <c r="V32" i="33"/>
  <c r="V42" i="4" s="1"/>
  <c r="C33" i="33"/>
  <c r="C43" i="4" s="1"/>
  <c r="K33" i="33"/>
  <c r="K43" i="4" s="1"/>
  <c r="R33" i="33"/>
  <c r="R43" i="4" s="1"/>
  <c r="V33" i="33"/>
  <c r="V43" i="4" s="1"/>
  <c r="B34" i="33"/>
  <c r="B44" i="4" s="1"/>
  <c r="L34" i="33"/>
  <c r="L44" i="4" s="1"/>
  <c r="S34" i="33"/>
  <c r="S44" i="4" s="1"/>
  <c r="G35" i="33"/>
  <c r="G45" i="4" s="1"/>
  <c r="Q35" i="33"/>
  <c r="Q45" i="4" s="1"/>
  <c r="U35" i="33"/>
  <c r="U45" i="4" s="1"/>
  <c r="G30" i="33"/>
  <c r="G40" i="4" s="1"/>
  <c r="D31" i="33"/>
  <c r="D41" i="4" s="1"/>
  <c r="L31" i="33"/>
  <c r="L41" i="4" s="1"/>
  <c r="I32" i="33"/>
  <c r="I42" i="4" s="1"/>
  <c r="F33" i="33"/>
  <c r="F43" i="4" s="1"/>
  <c r="O33" i="33"/>
  <c r="O43" i="4" s="1"/>
  <c r="C34" i="33"/>
  <c r="C44" i="4" s="1"/>
  <c r="K34" i="33"/>
  <c r="K44" i="4" s="1"/>
  <c r="H35" i="33"/>
  <c r="H45" i="4" s="1"/>
  <c r="O41" i="33"/>
  <c r="O51" i="4" s="1"/>
  <c r="G28" i="33"/>
  <c r="G38" i="4" s="1"/>
  <c r="D29" i="33"/>
  <c r="D39" i="4" s="1"/>
  <c r="L29" i="33"/>
  <c r="L39" i="4" s="1"/>
  <c r="I30" i="33"/>
  <c r="I40" i="4" s="1"/>
  <c r="F31" i="33"/>
  <c r="F41" i="4" s="1"/>
  <c r="O31" i="33"/>
  <c r="O41" i="4" s="1"/>
  <c r="C32" i="33"/>
  <c r="C42" i="4" s="1"/>
  <c r="K32" i="33"/>
  <c r="K42" i="4" s="1"/>
  <c r="H33" i="33"/>
  <c r="H43" i="4" s="1"/>
  <c r="E34" i="33"/>
  <c r="E44" i="4" s="1"/>
  <c r="M34" i="33"/>
  <c r="M44" i="4" s="1"/>
  <c r="B35" i="33"/>
  <c r="B45" i="4" s="1"/>
  <c r="J35" i="33"/>
  <c r="J45" i="4" s="1"/>
  <c r="O39" i="33"/>
  <c r="O49" i="4" s="1"/>
  <c r="F34" i="33"/>
  <c r="F44" i="4" s="1"/>
  <c r="O34" i="33"/>
  <c r="O44" i="4" s="1"/>
  <c r="C35" i="33"/>
  <c r="C45" i="4" s="1"/>
  <c r="K35" i="33"/>
  <c r="K45" i="4" s="1"/>
  <c r="O42" i="33"/>
  <c r="O52" i="4" s="1"/>
  <c r="E32" i="33"/>
  <c r="E42" i="4" s="1"/>
  <c r="M32" i="33"/>
  <c r="M42" i="4" s="1"/>
  <c r="B33" i="33"/>
  <c r="B43" i="4" s="1"/>
  <c r="J33" i="33"/>
  <c r="J43" i="4" s="1"/>
  <c r="G34" i="33"/>
  <c r="G44" i="4" s="1"/>
  <c r="D35" i="33"/>
  <c r="D45" i="4" s="1"/>
  <c r="L35" i="33"/>
  <c r="L45" i="4" s="1"/>
  <c r="O37" i="33"/>
  <c r="O47" i="4" s="1"/>
  <c r="O40" i="33"/>
  <c r="O50" i="4" s="1"/>
  <c r="C28" i="33"/>
  <c r="C38" i="4" s="1"/>
  <c r="K28" i="33"/>
  <c r="H29" i="33"/>
  <c r="H39" i="4" s="1"/>
  <c r="E30" i="33"/>
  <c r="E40" i="4" s="1"/>
  <c r="M30" i="33"/>
  <c r="M40" i="4" s="1"/>
  <c r="B31" i="33"/>
  <c r="B41" i="4" s="1"/>
  <c r="J31" i="33"/>
  <c r="J41" i="4" s="1"/>
  <c r="G32" i="33"/>
  <c r="G42" i="4" s="1"/>
  <c r="D33" i="33"/>
  <c r="D43" i="4" s="1"/>
  <c r="L33" i="33"/>
  <c r="L43" i="4" s="1"/>
  <c r="I34" i="33"/>
  <c r="I44" i="4" s="1"/>
  <c r="F35" i="33"/>
  <c r="F45" i="4" s="1"/>
  <c r="O35" i="33"/>
  <c r="O45" i="4" s="1"/>
  <c r="D38" i="4"/>
  <c r="H38" i="4"/>
  <c r="I38" i="4"/>
  <c r="V38" i="4"/>
  <c r="E38" i="4"/>
  <c r="R38" i="4"/>
  <c r="B38" i="4"/>
  <c r="B22" i="33"/>
  <c r="E22" i="33"/>
  <c r="I45" i="33"/>
  <c r="I52" i="33"/>
  <c r="I27" i="33"/>
  <c r="P38" i="4"/>
  <c r="T38" i="4"/>
  <c r="X47" i="33"/>
  <c r="X48" i="33" s="1"/>
  <c r="X54" i="33" s="1"/>
  <c r="X46" i="33"/>
  <c r="X53" i="33" s="1"/>
  <c r="AB47" i="33"/>
  <c r="AB48" i="33" s="1"/>
  <c r="AB54" i="33" s="1"/>
  <c r="AB46" i="33"/>
  <c r="AB53" i="33" s="1"/>
  <c r="AF46" i="33"/>
  <c r="AF53" i="33" s="1"/>
  <c r="AF47" i="33"/>
  <c r="AF48" i="33" s="1"/>
  <c r="AF54" i="33" s="1"/>
  <c r="AJ46" i="33"/>
  <c r="AJ53" i="33" s="1"/>
  <c r="AJ47" i="33"/>
  <c r="AJ48" i="33" s="1"/>
  <c r="AJ54" i="33" s="1"/>
  <c r="B27" i="33"/>
  <c r="B52" i="33" s="1"/>
  <c r="L38" i="4"/>
  <c r="AC46" i="33"/>
  <c r="AC53" i="33" s="1"/>
  <c r="AG47" i="33"/>
  <c r="AG48" i="33" s="1"/>
  <c r="AG54" i="33" s="1"/>
  <c r="D27" i="33"/>
  <c r="D52" i="33" s="1"/>
  <c r="I22" i="33"/>
  <c r="E27" i="33"/>
  <c r="E52" i="33" s="1"/>
  <c r="F38" i="4"/>
  <c r="J38" i="4"/>
  <c r="W46" i="33"/>
  <c r="W53" i="33" s="1"/>
  <c r="W47" i="33"/>
  <c r="W48" i="33" s="1"/>
  <c r="W54" i="33" s="1"/>
  <c r="AA46" i="33"/>
  <c r="AA53" i="33" s="1"/>
  <c r="AA47" i="33"/>
  <c r="AA48" i="33" s="1"/>
  <c r="AA54" i="33" s="1"/>
  <c r="AE46" i="33"/>
  <c r="AE53" i="33" s="1"/>
  <c r="AE47" i="33"/>
  <c r="AE48" i="33" s="1"/>
  <c r="AE54" i="33" s="1"/>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U46" i="33"/>
  <c r="U53" i="33" s="1"/>
  <c r="Y46" i="33"/>
  <c r="Y53" i="33" s="1"/>
  <c r="Y47" i="33"/>
  <c r="Y48" i="33" s="1"/>
  <c r="Y54" i="33" s="1"/>
  <c r="AK46" i="33"/>
  <c r="AK53" i="33" s="1"/>
  <c r="AK47" i="33"/>
  <c r="AK48" i="33" s="1"/>
  <c r="AK54" i="33" s="1"/>
  <c r="Q46" i="33"/>
  <c r="Q53" i="33" s="1"/>
  <c r="AG46" i="33"/>
  <c r="AG53" i="33" s="1"/>
  <c r="AC47" i="33"/>
  <c r="AC48" i="33" s="1"/>
  <c r="AC54" i="33" s="1"/>
  <c r="F22" i="33"/>
  <c r="M46" i="33"/>
  <c r="M53" i="33" s="1"/>
  <c r="R47" i="33"/>
  <c r="R48" i="33" s="1"/>
  <c r="R54" i="33" s="1"/>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Q47" i="33" l="1"/>
  <c r="Q48" i="33" s="1"/>
  <c r="Q54" i="33" s="1"/>
  <c r="U47" i="33"/>
  <c r="U48" i="33" s="1"/>
  <c r="U54" i="33" s="1"/>
  <c r="S46" i="33"/>
  <c r="S53" i="33" s="1"/>
  <c r="U38" i="4"/>
  <c r="Q38" i="4"/>
  <c r="C46" i="33"/>
  <c r="C53" i="33" s="1"/>
  <c r="B47" i="33"/>
  <c r="B48" i="33" s="1"/>
  <c r="B54" i="33" s="1"/>
  <c r="C47" i="33"/>
  <c r="C48" i="33" s="1"/>
  <c r="C54" i="33" s="1"/>
  <c r="E47" i="33"/>
  <c r="E48" i="33" s="1"/>
  <c r="E54" i="33" s="1"/>
  <c r="H47" i="33"/>
  <c r="H48" i="33" s="1"/>
  <c r="H54" i="33" s="1"/>
  <c r="M47" i="33"/>
  <c r="M48" i="33" s="1"/>
  <c r="M54" i="33" s="1"/>
  <c r="V47" i="33"/>
  <c r="V48" i="33" s="1"/>
  <c r="V54" i="33" s="1"/>
  <c r="T46" i="33"/>
  <c r="T53" i="33" s="1"/>
  <c r="V46" i="33"/>
  <c r="V53" i="33" s="1"/>
  <c r="R46" i="33"/>
  <c r="R53" i="33" s="1"/>
  <c r="F47" i="33"/>
  <c r="F48" i="33" s="1"/>
  <c r="F54" i="33" s="1"/>
  <c r="P47" i="33"/>
  <c r="P48" i="33" s="1"/>
  <c r="P54" i="33" s="1"/>
  <c r="F46" i="33"/>
  <c r="F53" i="33" s="1"/>
  <c r="O46" i="33"/>
  <c r="O53" i="33" s="1"/>
  <c r="O55" i="33" s="1"/>
  <c r="T47" i="33"/>
  <c r="T48" i="33" s="1"/>
  <c r="T54" i="33" s="1"/>
  <c r="K47" i="33"/>
  <c r="K48" i="33" s="1"/>
  <c r="K54" i="33" s="1"/>
  <c r="S47" i="33"/>
  <c r="S48" i="33" s="1"/>
  <c r="S54" i="33" s="1"/>
  <c r="J46" i="33"/>
  <c r="J53" i="33" s="1"/>
  <c r="P46" i="33"/>
  <c r="P53" i="33" s="1"/>
  <c r="I46" i="33"/>
  <c r="I53" i="33" s="1"/>
  <c r="L46" i="33"/>
  <c r="L53" i="33" s="1"/>
  <c r="K46" i="33"/>
  <c r="K53" i="33" s="1"/>
  <c r="I47" i="33"/>
  <c r="I48" i="33" s="1"/>
  <c r="I54" i="33" s="1"/>
  <c r="L47" i="33"/>
  <c r="L48" i="33" s="1"/>
  <c r="L54" i="33" s="1"/>
  <c r="D47" i="33"/>
  <c r="D48" i="33" s="1"/>
  <c r="D54" i="33" s="1"/>
  <c r="K38" i="4"/>
  <c r="H46" i="33"/>
  <c r="H53" i="33" s="1"/>
  <c r="E46" i="33"/>
  <c r="E53" i="33" s="1"/>
  <c r="D46" i="33"/>
  <c r="D53" i="33" s="1"/>
  <c r="O47" i="33"/>
  <c r="O48" i="33" s="1"/>
  <c r="O54" i="33" s="1"/>
  <c r="G47" i="33"/>
  <c r="G48" i="33" s="1"/>
  <c r="G54" i="33" s="1"/>
  <c r="B46" i="33"/>
  <c r="B53" i="33" s="1"/>
  <c r="M55" i="33" s="1"/>
  <c r="J47" i="33"/>
  <c r="J48" i="33" s="1"/>
  <c r="J54" i="33" s="1"/>
  <c r="G46" i="33"/>
  <c r="G53" i="33" s="1"/>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S55" i="33" l="1"/>
  <c r="B65" i="33"/>
  <c r="AE55" i="33"/>
  <c r="Y55" i="33"/>
  <c r="Z55" i="33"/>
  <c r="W55" i="33"/>
  <c r="AI55" i="33"/>
  <c r="T55" i="33"/>
  <c r="R55" i="33"/>
  <c r="AH55" i="33"/>
  <c r="U55" i="33"/>
  <c r="X55" i="33"/>
  <c r="AG55" i="33"/>
  <c r="AJ55" i="33"/>
  <c r="AB55" i="33"/>
  <c r="Q55" i="33"/>
  <c r="V55" i="33"/>
  <c r="AC55" i="33"/>
  <c r="P55" i="33"/>
  <c r="AF55" i="33"/>
  <c r="AA55" i="33"/>
  <c r="AD55" i="33"/>
  <c r="AK55" i="33"/>
  <c r="B64" i="33"/>
  <c r="V60" i="33"/>
  <c r="V61" i="33" s="1"/>
  <c r="O60" i="33"/>
  <c r="O61" i="33" s="1"/>
  <c r="AD60" i="33"/>
  <c r="AD61" i="33" s="1"/>
  <c r="AC60" i="33"/>
  <c r="AC61" i="33" s="1"/>
  <c r="W60" i="33"/>
  <c r="W61" i="33" s="1"/>
  <c r="E60" i="33"/>
  <c r="E61" i="33" s="1"/>
  <c r="H60" i="33"/>
  <c r="H61" i="33" s="1"/>
  <c r="R60" i="33"/>
  <c r="R61" i="33" s="1"/>
  <c r="AJ60" i="33"/>
  <c r="AJ61" i="33" s="1"/>
  <c r="AA60" i="33"/>
  <c r="AA61" i="33" s="1"/>
  <c r="L60" i="33"/>
  <c r="L61" i="33" s="1"/>
  <c r="F60" i="33"/>
  <c r="F61" i="33" s="1"/>
  <c r="Y60" i="33"/>
  <c r="Y61" i="33" s="1"/>
  <c r="P60" i="33"/>
  <c r="P61" i="33" s="1"/>
  <c r="AE60" i="33"/>
  <c r="AE61" i="33" s="1"/>
  <c r="J60" i="33"/>
  <c r="J61" i="33" s="1"/>
  <c r="AG60" i="33"/>
  <c r="AG61" i="33" s="1"/>
  <c r="X60" i="33"/>
  <c r="X61" i="33" s="1"/>
  <c r="S60" i="33"/>
  <c r="S61" i="33" s="1"/>
  <c r="U60" i="33"/>
  <c r="U61" i="33" s="1"/>
  <c r="AI60" i="33"/>
  <c r="AI61" i="33" s="1"/>
  <c r="T60" i="33"/>
  <c r="T61" i="33" s="1"/>
  <c r="Z60" i="33"/>
  <c r="Z61" i="33" s="1"/>
  <c r="C60" i="33"/>
  <c r="C61" i="33" s="1"/>
  <c r="G60" i="33"/>
  <c r="G61" i="33" s="1"/>
  <c r="D60" i="33"/>
  <c r="D61" i="33" s="1"/>
  <c r="AB60" i="33"/>
  <c r="AB61" i="33" s="1"/>
  <c r="AF60" i="33"/>
  <c r="AF61" i="33" s="1"/>
  <c r="K60" i="33"/>
  <c r="K61" i="33" s="1"/>
  <c r="M60" i="33"/>
  <c r="M61" i="33" s="1"/>
  <c r="I60" i="33"/>
  <c r="I61" i="33" s="1"/>
  <c r="Q60" i="33"/>
  <c r="Q61" i="33" s="1"/>
  <c r="AH60" i="33"/>
  <c r="AH61" i="33" s="1"/>
  <c r="AK60" i="33"/>
  <c r="AK61" i="33" s="1"/>
  <c r="D55" i="33"/>
  <c r="B55" i="33"/>
  <c r="K55" i="33"/>
  <c r="L55" i="33"/>
  <c r="G55" i="33"/>
  <c r="F55" i="33"/>
  <c r="C55" i="33"/>
  <c r="J55" i="33"/>
  <c r="H55" i="33"/>
  <c r="I55" i="33"/>
  <c r="E55" i="33"/>
  <c r="M4" i="33" l="1"/>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P22" i="1" l="1"/>
  <c r="Q45" i="1"/>
  <c r="W28" i="23"/>
  <c r="X28" i="23"/>
  <c r="Y28" i="23"/>
  <c r="Z28" i="23"/>
  <c r="AA28" i="23"/>
  <c r="AB28" i="23"/>
  <c r="AC28" i="23"/>
  <c r="AD28" i="23"/>
  <c r="AE28" i="23"/>
  <c r="AF28" i="23"/>
  <c r="AG28" i="23"/>
  <c r="AH28" i="23"/>
  <c r="AI28" i="23"/>
  <c r="AJ28" i="23"/>
  <c r="AK28" i="23"/>
  <c r="W29" i="23"/>
  <c r="X29" i="23"/>
  <c r="Y29" i="23"/>
  <c r="Z29" i="23"/>
  <c r="AA29" i="23"/>
  <c r="AB29" i="23"/>
  <c r="AC29" i="23"/>
  <c r="AD29" i="23"/>
  <c r="AE29" i="23"/>
  <c r="AF29" i="23"/>
  <c r="AG29" i="23"/>
  <c r="AH29" i="23"/>
  <c r="AI29" i="23"/>
  <c r="AJ29" i="23"/>
  <c r="AK29" i="23"/>
  <c r="W30" i="23"/>
  <c r="X30" i="23"/>
  <c r="Y30" i="23"/>
  <c r="Z30" i="23"/>
  <c r="AA30" i="23"/>
  <c r="AB30" i="23"/>
  <c r="AC30" i="23"/>
  <c r="AD30" i="23"/>
  <c r="AE30" i="23"/>
  <c r="AF30" i="23"/>
  <c r="AG30" i="23"/>
  <c r="AH30" i="23"/>
  <c r="AI30" i="23"/>
  <c r="AJ30" i="23"/>
  <c r="AK30" i="23"/>
  <c r="W31" i="23"/>
  <c r="X31" i="23"/>
  <c r="Y31" i="23"/>
  <c r="Z31" i="23"/>
  <c r="AA31" i="23"/>
  <c r="AB31" i="23"/>
  <c r="AC31" i="23"/>
  <c r="AD31" i="23"/>
  <c r="AE31" i="23"/>
  <c r="AF31" i="23"/>
  <c r="AG31" i="23"/>
  <c r="AH31" i="23"/>
  <c r="AI31" i="23"/>
  <c r="AJ31" i="23"/>
  <c r="AK31" i="23"/>
  <c r="W32" i="23"/>
  <c r="X32" i="23"/>
  <c r="Y32" i="23"/>
  <c r="Z32" i="23"/>
  <c r="AA32" i="23"/>
  <c r="AB32" i="23"/>
  <c r="AC32" i="23"/>
  <c r="AD32" i="23"/>
  <c r="AE32" i="23"/>
  <c r="AF32" i="23"/>
  <c r="AG32" i="23"/>
  <c r="AH32" i="23"/>
  <c r="AI32" i="23"/>
  <c r="AJ32" i="23"/>
  <c r="AK32" i="23"/>
  <c r="W33" i="23"/>
  <c r="X33" i="23"/>
  <c r="Y33" i="23"/>
  <c r="Z33" i="23"/>
  <c r="AA33" i="23"/>
  <c r="AB33" i="23"/>
  <c r="AC33" i="23"/>
  <c r="AD33" i="23"/>
  <c r="AE33" i="23"/>
  <c r="AF33" i="23"/>
  <c r="AG33" i="23"/>
  <c r="AH33" i="23"/>
  <c r="AI33" i="23"/>
  <c r="AJ33" i="23"/>
  <c r="AK33" i="23"/>
  <c r="W34" i="23"/>
  <c r="X34" i="23"/>
  <c r="Y34" i="23"/>
  <c r="Z34" i="23"/>
  <c r="AA34" i="23"/>
  <c r="AB34" i="23"/>
  <c r="AC34" i="23"/>
  <c r="AD34" i="23"/>
  <c r="AE34" i="23"/>
  <c r="AF34" i="23"/>
  <c r="AG34" i="23"/>
  <c r="AH34" i="23"/>
  <c r="AI34" i="23"/>
  <c r="AJ34" i="23"/>
  <c r="AK34" i="23"/>
  <c r="W35" i="23"/>
  <c r="X35" i="23"/>
  <c r="Y35" i="23"/>
  <c r="Z35" i="23"/>
  <c r="AA35" i="23"/>
  <c r="AB35" i="23"/>
  <c r="AC35" i="23"/>
  <c r="AD35" i="23"/>
  <c r="AE35" i="23"/>
  <c r="AF35" i="23"/>
  <c r="AG35" i="23"/>
  <c r="AH35" i="23"/>
  <c r="AI35" i="23"/>
  <c r="AJ35" i="23"/>
  <c r="AK35" i="23"/>
  <c r="P36" i="23"/>
  <c r="P30" i="4" s="1"/>
  <c r="Q36" i="23"/>
  <c r="Q30" i="4" s="1"/>
  <c r="R36" i="23"/>
  <c r="R30" i="4" s="1"/>
  <c r="S36" i="23"/>
  <c r="S30" i="4" s="1"/>
  <c r="T36" i="23"/>
  <c r="T30" i="4" s="1"/>
  <c r="U36" i="23"/>
  <c r="U30" i="4" s="1"/>
  <c r="V36" i="23"/>
  <c r="V30" i="4" s="1"/>
  <c r="W36" i="23"/>
  <c r="X36" i="23"/>
  <c r="Y36" i="23"/>
  <c r="Z36" i="23"/>
  <c r="AA36" i="23"/>
  <c r="AB36" i="23"/>
  <c r="AC36" i="23"/>
  <c r="AD36" i="23"/>
  <c r="AE36" i="23"/>
  <c r="AF36" i="23"/>
  <c r="AG36" i="23"/>
  <c r="AH36" i="23"/>
  <c r="AI36" i="23"/>
  <c r="AJ36" i="23"/>
  <c r="AK36" i="23"/>
  <c r="P37" i="23"/>
  <c r="P31" i="4" s="1"/>
  <c r="Q37" i="23"/>
  <c r="R37" i="23"/>
  <c r="R31" i="4" s="1"/>
  <c r="S37" i="23"/>
  <c r="S31" i="4" s="1"/>
  <c r="T37" i="23"/>
  <c r="T31" i="4" s="1"/>
  <c r="U37" i="23"/>
  <c r="U31" i="4" s="1"/>
  <c r="V37" i="23"/>
  <c r="V31" i="4" s="1"/>
  <c r="W37" i="23"/>
  <c r="X37" i="23"/>
  <c r="Y37" i="23"/>
  <c r="Z37" i="23"/>
  <c r="AA37" i="23"/>
  <c r="AB37" i="23"/>
  <c r="AC37" i="23"/>
  <c r="AD37" i="23"/>
  <c r="AE37" i="23"/>
  <c r="AF37" i="23"/>
  <c r="AG37" i="23"/>
  <c r="AH37" i="23"/>
  <c r="AI37" i="23"/>
  <c r="AJ37" i="23"/>
  <c r="AK37" i="23"/>
  <c r="P38" i="23"/>
  <c r="P32" i="4" s="1"/>
  <c r="Q38" i="23"/>
  <c r="Q32" i="4" s="1"/>
  <c r="R38" i="23"/>
  <c r="R32" i="4" s="1"/>
  <c r="S38" i="23"/>
  <c r="S32" i="4" s="1"/>
  <c r="T38" i="23"/>
  <c r="T32" i="4" s="1"/>
  <c r="U38" i="23"/>
  <c r="U32" i="4" s="1"/>
  <c r="V38" i="23"/>
  <c r="V32" i="4" s="1"/>
  <c r="W38" i="23"/>
  <c r="X38" i="23"/>
  <c r="Y38" i="23"/>
  <c r="Z38" i="23"/>
  <c r="AA38" i="23"/>
  <c r="AB38" i="23"/>
  <c r="AC38" i="23"/>
  <c r="AD38" i="23"/>
  <c r="AE38" i="23"/>
  <c r="AF38" i="23"/>
  <c r="AG38" i="23"/>
  <c r="AH38" i="23"/>
  <c r="AI38" i="23"/>
  <c r="AJ38" i="23"/>
  <c r="AK38" i="23"/>
  <c r="P39" i="23"/>
  <c r="P33" i="4" s="1"/>
  <c r="Q39" i="23"/>
  <c r="Q33" i="4" s="1"/>
  <c r="R39" i="23"/>
  <c r="R33" i="4" s="1"/>
  <c r="S39" i="23"/>
  <c r="S33" i="4" s="1"/>
  <c r="T39" i="23"/>
  <c r="T33" i="4" s="1"/>
  <c r="U39" i="23"/>
  <c r="U33" i="4" s="1"/>
  <c r="V39" i="23"/>
  <c r="W39" i="23"/>
  <c r="X39" i="23"/>
  <c r="Y39" i="23"/>
  <c r="Z39" i="23"/>
  <c r="AA39" i="23"/>
  <c r="AB39" i="23"/>
  <c r="AC39" i="23"/>
  <c r="AD39" i="23"/>
  <c r="AE39" i="23"/>
  <c r="AF39" i="23"/>
  <c r="AG39" i="23"/>
  <c r="AH39" i="23"/>
  <c r="AI39" i="23"/>
  <c r="AJ39" i="23"/>
  <c r="AK39" i="23"/>
  <c r="P40" i="23"/>
  <c r="P34" i="4" s="1"/>
  <c r="Q40" i="23"/>
  <c r="Q34" i="4" s="1"/>
  <c r="R40" i="23"/>
  <c r="R34" i="4" s="1"/>
  <c r="S40" i="23"/>
  <c r="S34" i="4" s="1"/>
  <c r="T40" i="23"/>
  <c r="U40" i="23"/>
  <c r="U34" i="4" s="1"/>
  <c r="V40" i="23"/>
  <c r="V34" i="4" s="1"/>
  <c r="W40" i="23"/>
  <c r="X40" i="23"/>
  <c r="Y40" i="23"/>
  <c r="Z40" i="23"/>
  <c r="AA40" i="23"/>
  <c r="AB40" i="23"/>
  <c r="AC40" i="23"/>
  <c r="AD40" i="23"/>
  <c r="AE40" i="23"/>
  <c r="AF40" i="23"/>
  <c r="AG40" i="23"/>
  <c r="AH40" i="23"/>
  <c r="AI40" i="23"/>
  <c r="AJ40" i="23"/>
  <c r="AK40" i="23"/>
  <c r="P41" i="23"/>
  <c r="P35" i="4" s="1"/>
  <c r="Q41" i="23"/>
  <c r="Q35" i="4" s="1"/>
  <c r="R41" i="23"/>
  <c r="R35" i="4" s="1"/>
  <c r="S41" i="23"/>
  <c r="S35" i="4" s="1"/>
  <c r="T41" i="23"/>
  <c r="T35" i="4" s="1"/>
  <c r="U41" i="23"/>
  <c r="U35" i="4" s="1"/>
  <c r="V41" i="23"/>
  <c r="V35" i="4" s="1"/>
  <c r="W41" i="23"/>
  <c r="X41" i="23"/>
  <c r="Y41" i="23"/>
  <c r="Z41" i="23"/>
  <c r="AA41" i="23"/>
  <c r="AB41" i="23"/>
  <c r="AC41" i="23"/>
  <c r="AD41" i="23"/>
  <c r="AE41" i="23"/>
  <c r="AF41" i="23"/>
  <c r="AG41" i="23"/>
  <c r="AH41" i="23"/>
  <c r="AI41" i="23"/>
  <c r="AJ41" i="23"/>
  <c r="AK41" i="23"/>
  <c r="P42" i="23"/>
  <c r="P36" i="4" s="1"/>
  <c r="Q42" i="23"/>
  <c r="Q36" i="4" s="1"/>
  <c r="R42" i="23"/>
  <c r="R36" i="4" s="1"/>
  <c r="S42" i="23"/>
  <c r="S36" i="4" s="1"/>
  <c r="T42" i="23"/>
  <c r="T36" i="4" s="1"/>
  <c r="U42" i="23"/>
  <c r="U36" i="4" s="1"/>
  <c r="V42" i="23"/>
  <c r="V36" i="4" s="1"/>
  <c r="W42" i="23"/>
  <c r="X42" i="23"/>
  <c r="Y42" i="23"/>
  <c r="Z42" i="23"/>
  <c r="AA42" i="23"/>
  <c r="AB42" i="23"/>
  <c r="AC42" i="23"/>
  <c r="AD42" i="23"/>
  <c r="AE42" i="23"/>
  <c r="AF42" i="23"/>
  <c r="AG42" i="23"/>
  <c r="AH42" i="23"/>
  <c r="AI42" i="23"/>
  <c r="AJ42" i="23"/>
  <c r="AK42" i="23"/>
  <c r="P43" i="23"/>
  <c r="Q43" i="23"/>
  <c r="Q37" i="4" s="1"/>
  <c r="R43" i="23"/>
  <c r="S43" i="23"/>
  <c r="T43" i="23"/>
  <c r="U43" i="23"/>
  <c r="U37" i="4" s="1"/>
  <c r="V43" i="23"/>
  <c r="W43" i="23"/>
  <c r="X43" i="23"/>
  <c r="Y43" i="23"/>
  <c r="Z43" i="23"/>
  <c r="AA43" i="23"/>
  <c r="AB43" i="23"/>
  <c r="AC43" i="23"/>
  <c r="AD43" i="23"/>
  <c r="AE43" i="23"/>
  <c r="AF43" i="23"/>
  <c r="AG43" i="23"/>
  <c r="AH43" i="23"/>
  <c r="AI43" i="23"/>
  <c r="AJ43" i="23"/>
  <c r="AK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W28" i="1"/>
  <c r="X28" i="1"/>
  <c r="Y28" i="1"/>
  <c r="Z28" i="1"/>
  <c r="AA28" i="1"/>
  <c r="AB28" i="1"/>
  <c r="AC28" i="1"/>
  <c r="AD28" i="1"/>
  <c r="AE28" i="1"/>
  <c r="AF28" i="1"/>
  <c r="AG28" i="1"/>
  <c r="AH28" i="1"/>
  <c r="AI28" i="1"/>
  <c r="AJ28" i="1"/>
  <c r="AK28" i="1"/>
  <c r="W29" i="1"/>
  <c r="X29" i="1"/>
  <c r="Y29" i="1"/>
  <c r="Z29" i="1"/>
  <c r="AA29" i="1"/>
  <c r="AB29" i="1"/>
  <c r="AC29" i="1"/>
  <c r="AD29" i="1"/>
  <c r="AE29" i="1"/>
  <c r="AF29" i="1"/>
  <c r="AG29" i="1"/>
  <c r="AH29" i="1"/>
  <c r="AI29" i="1"/>
  <c r="AJ29" i="1"/>
  <c r="AK29" i="1"/>
  <c r="W30" i="1"/>
  <c r="X30" i="1"/>
  <c r="Y30" i="1"/>
  <c r="Z30" i="1"/>
  <c r="AA30" i="1"/>
  <c r="AB30" i="1"/>
  <c r="AC30" i="1"/>
  <c r="AD30" i="1"/>
  <c r="AE30" i="1"/>
  <c r="AF30" i="1"/>
  <c r="AG30" i="1"/>
  <c r="AH30" i="1"/>
  <c r="AI30" i="1"/>
  <c r="AJ30" i="1"/>
  <c r="AK30" i="1"/>
  <c r="W31" i="1"/>
  <c r="X31" i="1"/>
  <c r="Y31" i="1"/>
  <c r="Z31" i="1"/>
  <c r="AA31" i="1"/>
  <c r="AB31" i="1"/>
  <c r="AC31" i="1"/>
  <c r="AD31" i="1"/>
  <c r="AE31" i="1"/>
  <c r="AF31" i="1"/>
  <c r="AG31" i="1"/>
  <c r="AH31" i="1"/>
  <c r="AI31" i="1"/>
  <c r="AJ31" i="1"/>
  <c r="AK31" i="1"/>
  <c r="W32" i="1"/>
  <c r="X32" i="1"/>
  <c r="Y32" i="1"/>
  <c r="Z32" i="1"/>
  <c r="AA32" i="1"/>
  <c r="AB32" i="1"/>
  <c r="AC32" i="1"/>
  <c r="AD32" i="1"/>
  <c r="AE32" i="1"/>
  <c r="AF32" i="1"/>
  <c r="AG32" i="1"/>
  <c r="AH32" i="1"/>
  <c r="AI32" i="1"/>
  <c r="AJ32" i="1"/>
  <c r="AK32" i="1"/>
  <c r="W33" i="1"/>
  <c r="X33" i="1"/>
  <c r="Y33" i="1"/>
  <c r="Z33" i="1"/>
  <c r="AA33" i="1"/>
  <c r="AB33" i="1"/>
  <c r="AC33" i="1"/>
  <c r="AD33" i="1"/>
  <c r="AE33" i="1"/>
  <c r="AF33" i="1"/>
  <c r="AG33" i="1"/>
  <c r="AH33" i="1"/>
  <c r="AI33" i="1"/>
  <c r="AJ33" i="1"/>
  <c r="AK33" i="1"/>
  <c r="W34" i="1"/>
  <c r="X34" i="1"/>
  <c r="Y34" i="1"/>
  <c r="Z34" i="1"/>
  <c r="AA34" i="1"/>
  <c r="AB34" i="1"/>
  <c r="AC34" i="1"/>
  <c r="AD34" i="1"/>
  <c r="AE34" i="1"/>
  <c r="AF34" i="1"/>
  <c r="AG34" i="1"/>
  <c r="AH34" i="1"/>
  <c r="AI34" i="1"/>
  <c r="AJ34" i="1"/>
  <c r="AK34" i="1"/>
  <c r="W35" i="1"/>
  <c r="X35" i="1"/>
  <c r="Y35" i="1"/>
  <c r="Z35" i="1"/>
  <c r="AA35" i="1"/>
  <c r="AB35" i="1"/>
  <c r="AC35" i="1"/>
  <c r="AD35" i="1"/>
  <c r="AE35" i="1"/>
  <c r="AF35" i="1"/>
  <c r="AG35" i="1"/>
  <c r="AH35" i="1"/>
  <c r="AI35" i="1"/>
  <c r="AJ35" i="1"/>
  <c r="AK35" i="1"/>
  <c r="S36" i="1"/>
  <c r="S14" i="4" s="1"/>
  <c r="T36" i="1"/>
  <c r="T14" i="4" s="1"/>
  <c r="U36" i="1"/>
  <c r="U14" i="4" s="1"/>
  <c r="V36" i="1"/>
  <c r="V14" i="4" s="1"/>
  <c r="W36" i="1"/>
  <c r="X36" i="1"/>
  <c r="Y36" i="1"/>
  <c r="Z36" i="1"/>
  <c r="AA36" i="1"/>
  <c r="AB36" i="1"/>
  <c r="AC36" i="1"/>
  <c r="AD36" i="1"/>
  <c r="AE36" i="1"/>
  <c r="AF36" i="1"/>
  <c r="AG36" i="1"/>
  <c r="AH36" i="1"/>
  <c r="AI36" i="1"/>
  <c r="AJ36" i="1"/>
  <c r="AK36" i="1"/>
  <c r="S37" i="1"/>
  <c r="S15" i="4" s="1"/>
  <c r="T37" i="1"/>
  <c r="T15" i="4" s="1"/>
  <c r="U37" i="1"/>
  <c r="U15" i="4" s="1"/>
  <c r="V37" i="1"/>
  <c r="V15" i="4" s="1"/>
  <c r="W37" i="1"/>
  <c r="X37" i="1"/>
  <c r="Y37" i="1"/>
  <c r="Z37" i="1"/>
  <c r="AA37" i="1"/>
  <c r="AB37" i="1"/>
  <c r="AC37" i="1"/>
  <c r="AD37" i="1"/>
  <c r="AE37" i="1"/>
  <c r="AF37" i="1"/>
  <c r="AG37" i="1"/>
  <c r="AH37" i="1"/>
  <c r="AI37" i="1"/>
  <c r="AJ37" i="1"/>
  <c r="AK37" i="1"/>
  <c r="S38" i="1"/>
  <c r="S16" i="4" s="1"/>
  <c r="T38" i="1"/>
  <c r="T16" i="4" s="1"/>
  <c r="U38" i="1"/>
  <c r="U16" i="4" s="1"/>
  <c r="V38" i="1"/>
  <c r="V16" i="4" s="1"/>
  <c r="W38" i="1"/>
  <c r="X38" i="1"/>
  <c r="Y38" i="1"/>
  <c r="Z38" i="1"/>
  <c r="AA38" i="1"/>
  <c r="AB38" i="1"/>
  <c r="AC38" i="1"/>
  <c r="AD38" i="1"/>
  <c r="AE38" i="1"/>
  <c r="AF38" i="1"/>
  <c r="AG38" i="1"/>
  <c r="AH38" i="1"/>
  <c r="AI38" i="1"/>
  <c r="AJ38" i="1"/>
  <c r="AK38" i="1"/>
  <c r="S39" i="1"/>
  <c r="S17" i="4" s="1"/>
  <c r="T39" i="1"/>
  <c r="T17" i="4" s="1"/>
  <c r="U39" i="1"/>
  <c r="U17" i="4" s="1"/>
  <c r="V39" i="1"/>
  <c r="V17" i="4" s="1"/>
  <c r="W39" i="1"/>
  <c r="X39" i="1"/>
  <c r="Y39" i="1"/>
  <c r="Z39" i="1"/>
  <c r="AA39" i="1"/>
  <c r="AB39" i="1"/>
  <c r="AC39" i="1"/>
  <c r="AD39" i="1"/>
  <c r="AE39" i="1"/>
  <c r="AF39" i="1"/>
  <c r="AG39" i="1"/>
  <c r="AH39" i="1"/>
  <c r="AI39" i="1"/>
  <c r="AJ39" i="1"/>
  <c r="AK39" i="1"/>
  <c r="S40" i="1"/>
  <c r="S18" i="4" s="1"/>
  <c r="T40" i="1"/>
  <c r="T18" i="4" s="1"/>
  <c r="U40" i="1"/>
  <c r="U18" i="4" s="1"/>
  <c r="V40" i="1"/>
  <c r="V18" i="4" s="1"/>
  <c r="W40" i="1"/>
  <c r="X40" i="1"/>
  <c r="Y40" i="1"/>
  <c r="Z40" i="1"/>
  <c r="AA40" i="1"/>
  <c r="AB40" i="1"/>
  <c r="AC40" i="1"/>
  <c r="AD40" i="1"/>
  <c r="AE40" i="1"/>
  <c r="AF40" i="1"/>
  <c r="AG40" i="1"/>
  <c r="AH40" i="1"/>
  <c r="AI40" i="1"/>
  <c r="AJ40" i="1"/>
  <c r="AK40" i="1"/>
  <c r="S41" i="1"/>
  <c r="S19" i="4" s="1"/>
  <c r="T41" i="1"/>
  <c r="T19" i="4" s="1"/>
  <c r="U41" i="1"/>
  <c r="U19" i="4" s="1"/>
  <c r="V41" i="1"/>
  <c r="V19" i="4" s="1"/>
  <c r="W41" i="1"/>
  <c r="X41" i="1"/>
  <c r="Y41" i="1"/>
  <c r="Z41" i="1"/>
  <c r="AA41" i="1"/>
  <c r="AB41" i="1"/>
  <c r="AC41" i="1"/>
  <c r="AD41" i="1"/>
  <c r="AE41" i="1"/>
  <c r="AF41" i="1"/>
  <c r="AG41" i="1"/>
  <c r="AH41" i="1"/>
  <c r="AI41" i="1"/>
  <c r="AJ41" i="1"/>
  <c r="AK41" i="1"/>
  <c r="S42" i="1"/>
  <c r="S20" i="4" s="1"/>
  <c r="T42" i="1"/>
  <c r="T20" i="4" s="1"/>
  <c r="U42" i="1"/>
  <c r="U20" i="4" s="1"/>
  <c r="V42" i="1"/>
  <c r="V20" i="4" s="1"/>
  <c r="W42" i="1"/>
  <c r="X42" i="1"/>
  <c r="Y42" i="1"/>
  <c r="Z42" i="1"/>
  <c r="AA42" i="1"/>
  <c r="AB42" i="1"/>
  <c r="AC42" i="1"/>
  <c r="AD42" i="1"/>
  <c r="AE42" i="1"/>
  <c r="AF42" i="1"/>
  <c r="AG42" i="1"/>
  <c r="AH42" i="1"/>
  <c r="AI42" i="1"/>
  <c r="AJ42" i="1"/>
  <c r="AK42" i="1"/>
  <c r="S43" i="1"/>
  <c r="S21" i="4" s="1"/>
  <c r="T43" i="1"/>
  <c r="U43" i="1"/>
  <c r="V43" i="1"/>
  <c r="W43" i="1"/>
  <c r="X43" i="1"/>
  <c r="Y43" i="1"/>
  <c r="Z43" i="1"/>
  <c r="AA43" i="1"/>
  <c r="AB43" i="1"/>
  <c r="AC43" i="1"/>
  <c r="AD43" i="1"/>
  <c r="AE43" i="1"/>
  <c r="AF43" i="1"/>
  <c r="AG43" i="1"/>
  <c r="AH43" i="1"/>
  <c r="AI43" i="1"/>
  <c r="AJ43" i="1"/>
  <c r="AK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AE23" i="23"/>
  <c r="AF23" i="23"/>
  <c r="AG23" i="23"/>
  <c r="AH23" i="23"/>
  <c r="AI23" i="23"/>
  <c r="AJ23" i="23"/>
  <c r="AK23" i="23"/>
  <c r="AE24" i="23"/>
  <c r="AF24" i="23"/>
  <c r="AG24" i="23"/>
  <c r="AH24" i="23"/>
  <c r="AI24" i="23"/>
  <c r="AJ24" i="23"/>
  <c r="AK24" i="23"/>
  <c r="AF23" i="1"/>
  <c r="AG23" i="1"/>
  <c r="AH23" i="1"/>
  <c r="AI23" i="1"/>
  <c r="AJ23" i="1"/>
  <c r="AK23" i="1"/>
  <c r="AF24" i="1"/>
  <c r="AG24" i="1"/>
  <c r="AH24" i="1"/>
  <c r="AI24" i="1"/>
  <c r="AJ24" i="1"/>
  <c r="AK24"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T34" i="4"/>
  <c r="I40" i="23"/>
  <c r="I34" i="4" s="1"/>
  <c r="H40" i="23"/>
  <c r="H34" i="4" s="1"/>
  <c r="G40" i="23"/>
  <c r="G34" i="4" s="1"/>
  <c r="F40" i="23"/>
  <c r="F34" i="4" s="1"/>
  <c r="E40" i="23"/>
  <c r="E34" i="4" s="1"/>
  <c r="D40" i="23"/>
  <c r="D34" i="4" s="1"/>
  <c r="C40" i="23"/>
  <c r="C34" i="4" s="1"/>
  <c r="B40" i="23"/>
  <c r="B34" i="4" s="1"/>
  <c r="V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AD24" i="23"/>
  <c r="AC24" i="23"/>
  <c r="AB24" i="23"/>
  <c r="AA24" i="23"/>
  <c r="Z24" i="23"/>
  <c r="Y24" i="23"/>
  <c r="X24" i="23"/>
  <c r="W24" i="23"/>
  <c r="V24" i="23"/>
  <c r="U24" i="23"/>
  <c r="T24" i="23"/>
  <c r="S24" i="23"/>
  <c r="R24" i="23"/>
  <c r="Q24" i="23"/>
  <c r="P24" i="23"/>
  <c r="O24" i="23"/>
  <c r="L24" i="23"/>
  <c r="J24" i="23"/>
  <c r="I24" i="23"/>
  <c r="H24" i="23"/>
  <c r="G24" i="23"/>
  <c r="F24" i="23"/>
  <c r="E24" i="23"/>
  <c r="D24" i="23"/>
  <c r="C24" i="23"/>
  <c r="B24" i="23"/>
  <c r="AD23" i="23"/>
  <c r="AC23" i="23"/>
  <c r="AB23" i="23"/>
  <c r="AA23" i="23"/>
  <c r="Z23" i="23"/>
  <c r="Y23" i="23"/>
  <c r="X23" i="23"/>
  <c r="W23"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E30" i="23"/>
  <c r="E24" i="4" s="1"/>
  <c r="F29" i="23"/>
  <c r="F23" i="4" s="1"/>
  <c r="J40" i="23"/>
  <c r="J34" i="4" s="1"/>
  <c r="J36" i="23"/>
  <c r="J30" i="4" s="1"/>
  <c r="C35" i="23"/>
  <c r="C29" i="4" s="1"/>
  <c r="H34" i="23"/>
  <c r="H28" i="4" s="1"/>
  <c r="G31" i="23"/>
  <c r="G25" i="4" s="1"/>
  <c r="C31" i="23"/>
  <c r="C25" i="4" s="1"/>
  <c r="I29" i="23"/>
  <c r="I23" i="4" s="1"/>
  <c r="F28" i="23"/>
  <c r="J42" i="23"/>
  <c r="J36" i="4" s="1"/>
  <c r="J38" i="23"/>
  <c r="J32" i="4" s="1"/>
  <c r="C33" i="23"/>
  <c r="C27" i="4" s="1"/>
  <c r="E31" i="23"/>
  <c r="E25" i="4" s="1"/>
  <c r="J30" i="23"/>
  <c r="J24" i="4" s="1"/>
  <c r="J41" i="23"/>
  <c r="J35" i="4" s="1"/>
  <c r="J37" i="23"/>
  <c r="J31" i="4" s="1"/>
  <c r="H35" i="23"/>
  <c r="H29" i="4" s="1"/>
  <c r="I34" i="23"/>
  <c r="I28" i="4" s="1"/>
  <c r="J43" i="23"/>
  <c r="J39" i="23"/>
  <c r="J33" i="4" s="1"/>
  <c r="J35" i="23"/>
  <c r="J29" i="4" s="1"/>
  <c r="G34" i="23"/>
  <c r="G28" i="4" s="1"/>
  <c r="C34" i="23"/>
  <c r="C28" i="4" s="1"/>
  <c r="I32" i="23"/>
  <c r="I26" i="4" s="1"/>
  <c r="E32" i="23"/>
  <c r="E26" i="4" s="1"/>
  <c r="F31" i="23"/>
  <c r="F25" i="4" s="1"/>
  <c r="G30" i="23"/>
  <c r="G24" i="4" s="1"/>
  <c r="D29" i="23"/>
  <c r="D23" i="4" s="1"/>
  <c r="I28" i="23"/>
  <c r="E28" i="23"/>
  <c r="I35" i="23"/>
  <c r="I29" i="4" s="1"/>
  <c r="E35" i="23"/>
  <c r="E29" i="4" s="1"/>
  <c r="D32" i="23"/>
  <c r="D26" i="4" s="1"/>
  <c r="G29" i="23"/>
  <c r="G23" i="4" s="1"/>
  <c r="H28" i="23"/>
  <c r="D35" i="23"/>
  <c r="D29" i="4" s="1"/>
  <c r="J33" i="23"/>
  <c r="J27" i="4" s="1"/>
  <c r="F33" i="23"/>
  <c r="F27" i="4" s="1"/>
  <c r="G32" i="23"/>
  <c r="G26" i="4" s="1"/>
  <c r="H31" i="23"/>
  <c r="H25" i="4" s="1"/>
  <c r="G28" i="23"/>
  <c r="I30" i="23"/>
  <c r="I24" i="4" s="1"/>
  <c r="P22" i="23"/>
  <c r="S23" i="1"/>
  <c r="T23" i="1"/>
  <c r="U23" i="1"/>
  <c r="V23" i="1"/>
  <c r="W23" i="1"/>
  <c r="X23" i="1"/>
  <c r="Y23" i="1"/>
  <c r="Z23" i="1"/>
  <c r="AA23" i="1"/>
  <c r="AB23" i="1"/>
  <c r="AC23" i="1"/>
  <c r="AD23" i="1"/>
  <c r="S24" i="1"/>
  <c r="T24" i="1"/>
  <c r="U24" i="1"/>
  <c r="V24" i="1"/>
  <c r="W24" i="1"/>
  <c r="X24" i="1"/>
  <c r="Y24" i="1"/>
  <c r="Z24" i="1"/>
  <c r="AA24" i="1"/>
  <c r="AB24" i="1"/>
  <c r="AC24" i="1"/>
  <c r="AD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4" i="1"/>
  <c r="H12" i="4" s="1"/>
  <c r="D35" i="1"/>
  <c r="D13" i="4" s="1"/>
  <c r="H35" i="1"/>
  <c r="H13" i="4" s="1"/>
  <c r="H33" i="1"/>
  <c r="H11" i="4" s="1"/>
  <c r="E33" i="1"/>
  <c r="E11" i="4" s="1"/>
  <c r="I33" i="1"/>
  <c r="I11" i="4" s="1"/>
  <c r="G35" i="1"/>
  <c r="G13" i="4" s="1"/>
  <c r="F29" i="1"/>
  <c r="F7" i="4" s="1"/>
  <c r="G34" i="1"/>
  <c r="G12" i="4" s="1"/>
  <c r="O39" i="1"/>
  <c r="O17" i="4" s="1"/>
  <c r="O42" i="1"/>
  <c r="O20" i="4" s="1"/>
  <c r="P28" i="1"/>
  <c r="P30" i="1"/>
  <c r="P8" i="4" s="1"/>
  <c r="O41" i="1"/>
  <c r="O19" i="4" s="1"/>
  <c r="B33" i="1"/>
  <c r="B11" i="4" s="1"/>
  <c r="Q35" i="1"/>
  <c r="Q13" i="4" s="1"/>
  <c r="O38" i="1"/>
  <c r="O16" i="4" s="1"/>
  <c r="Q27" i="1"/>
  <c r="Q52" i="1" s="1"/>
  <c r="K24" i="1"/>
  <c r="J24" i="1"/>
  <c r="H24" i="1"/>
  <c r="G24" i="1"/>
  <c r="F24" i="1"/>
  <c r="E24" i="1"/>
  <c r="D24" i="1"/>
  <c r="C24" i="1"/>
  <c r="B24" i="1"/>
  <c r="K23" i="1"/>
  <c r="J23" i="1"/>
  <c r="H23" i="1"/>
  <c r="G23" i="1"/>
  <c r="F23" i="1"/>
  <c r="E23" i="1"/>
  <c r="D23" i="1"/>
  <c r="C23" i="1"/>
  <c r="AE24" i="1"/>
  <c r="R24" i="1"/>
  <c r="AE23" i="1"/>
  <c r="R23" i="1"/>
  <c r="K4" i="1"/>
  <c r="K4" i="4" s="1"/>
  <c r="K62" i="4" s="1"/>
  <c r="L4" i="1"/>
  <c r="L4" i="4" s="1"/>
  <c r="K4" i="23"/>
  <c r="K52" i="23" s="1"/>
  <c r="L4" i="23"/>
  <c r="L27" i="23" s="1"/>
  <c r="I29" i="1" l="1"/>
  <c r="D33" i="1"/>
  <c r="D11" i="4" s="1"/>
  <c r="E35" i="1"/>
  <c r="E13" i="4" s="1"/>
  <c r="H30" i="1"/>
  <c r="H8" i="4" s="1"/>
  <c r="Q34" i="1"/>
  <c r="Q12" i="4" s="1"/>
  <c r="E29" i="1"/>
  <c r="G29" i="1"/>
  <c r="G7" i="4" s="1"/>
  <c r="R33" i="1"/>
  <c r="R11" i="4" s="1"/>
  <c r="J33" i="1"/>
  <c r="J11" i="4" s="1"/>
  <c r="J29" i="1"/>
  <c r="J7" i="4" s="1"/>
  <c r="L35" i="1"/>
  <c r="L13" i="4" s="1"/>
  <c r="K34" i="1"/>
  <c r="K12" i="4" s="1"/>
  <c r="M32" i="1"/>
  <c r="M10" i="4" s="1"/>
  <c r="L31" i="1"/>
  <c r="L9" i="4" s="1"/>
  <c r="K30" i="1"/>
  <c r="K8" i="4" s="1"/>
  <c r="M28" i="1"/>
  <c r="T35" i="1"/>
  <c r="T13" i="4" s="1"/>
  <c r="S34" i="1"/>
  <c r="S12" i="4" s="1"/>
  <c r="V33" i="1"/>
  <c r="V11" i="4" s="1"/>
  <c r="U32" i="1"/>
  <c r="U10" i="4" s="1"/>
  <c r="T31" i="1"/>
  <c r="T9" i="4" s="1"/>
  <c r="S30" i="1"/>
  <c r="S8" i="4" s="1"/>
  <c r="V29" i="1"/>
  <c r="V7" i="4" s="1"/>
  <c r="U28" i="1"/>
  <c r="K34" i="23"/>
  <c r="K28" i="4" s="1"/>
  <c r="U35" i="23"/>
  <c r="U29" i="4" s="1"/>
  <c r="Q35" i="23"/>
  <c r="Q29" i="4" s="1"/>
  <c r="S34" i="23"/>
  <c r="S28" i="4" s="1"/>
  <c r="U33" i="23"/>
  <c r="U27" i="4" s="1"/>
  <c r="Q33" i="23"/>
  <c r="Q27" i="4" s="1"/>
  <c r="S32" i="23"/>
  <c r="S26" i="4" s="1"/>
  <c r="U31" i="23"/>
  <c r="U25" i="4" s="1"/>
  <c r="Q31" i="23"/>
  <c r="Q25" i="4" s="1"/>
  <c r="S30" i="23"/>
  <c r="S24" i="4" s="1"/>
  <c r="U29" i="23"/>
  <c r="U23" i="4" s="1"/>
  <c r="Q29" i="23"/>
  <c r="Q23" i="4" s="1"/>
  <c r="S28" i="23"/>
  <c r="S22" i="4" s="1"/>
  <c r="J32" i="1"/>
  <c r="K35" i="1"/>
  <c r="K13" i="4" s="1"/>
  <c r="M33" i="1"/>
  <c r="M11" i="4" s="1"/>
  <c r="L32" i="1"/>
  <c r="L10" i="4" s="1"/>
  <c r="K31" i="1"/>
  <c r="M29" i="1"/>
  <c r="M7" i="4" s="1"/>
  <c r="L28" i="1"/>
  <c r="S35" i="1"/>
  <c r="S13" i="4" s="1"/>
  <c r="V34" i="1"/>
  <c r="V12" i="4" s="1"/>
  <c r="U33" i="1"/>
  <c r="U11" i="4" s="1"/>
  <c r="T32" i="1"/>
  <c r="T10" i="4" s="1"/>
  <c r="S31" i="1"/>
  <c r="S9" i="4" s="1"/>
  <c r="V30" i="1"/>
  <c r="V8" i="4" s="1"/>
  <c r="U29" i="1"/>
  <c r="U7" i="4" s="1"/>
  <c r="T28" i="1"/>
  <c r="T6" i="4" s="1"/>
  <c r="L31" i="23"/>
  <c r="L25" i="4" s="1"/>
  <c r="T35" i="23"/>
  <c r="T29" i="4" s="1"/>
  <c r="P35" i="23"/>
  <c r="P29" i="4" s="1"/>
  <c r="V34" i="23"/>
  <c r="V28" i="4" s="1"/>
  <c r="R34" i="23"/>
  <c r="R28" i="4" s="1"/>
  <c r="T33" i="23"/>
  <c r="T27" i="4" s="1"/>
  <c r="P33" i="23"/>
  <c r="P27" i="4" s="1"/>
  <c r="V32" i="23"/>
  <c r="V26" i="4" s="1"/>
  <c r="R32" i="23"/>
  <c r="R26" i="4" s="1"/>
  <c r="T31" i="23"/>
  <c r="T25" i="4" s="1"/>
  <c r="P31" i="23"/>
  <c r="P25" i="4" s="1"/>
  <c r="V30" i="23"/>
  <c r="V24" i="4" s="1"/>
  <c r="R30" i="23"/>
  <c r="R24" i="4" s="1"/>
  <c r="T29" i="23"/>
  <c r="T23" i="4" s="1"/>
  <c r="P29" i="23"/>
  <c r="P23" i="4" s="1"/>
  <c r="V28" i="23"/>
  <c r="V47" i="23" s="1"/>
  <c r="V48" i="23" s="1"/>
  <c r="V54" i="23" s="1"/>
  <c r="R28" i="23"/>
  <c r="Q33" i="1"/>
  <c r="Q11" i="4" s="1"/>
  <c r="P34" i="1"/>
  <c r="P12" i="4" s="1"/>
  <c r="O40" i="1"/>
  <c r="O18" i="4" s="1"/>
  <c r="Q31" i="1"/>
  <c r="Q9" i="4" s="1"/>
  <c r="F33" i="1"/>
  <c r="F11" i="4" s="1"/>
  <c r="C35" i="1"/>
  <c r="C13" i="4" s="1"/>
  <c r="H32" i="1"/>
  <c r="H10" i="4" s="1"/>
  <c r="F35" i="1"/>
  <c r="F13" i="4" s="1"/>
  <c r="I30" i="1"/>
  <c r="I8" i="4" s="1"/>
  <c r="E32" i="1"/>
  <c r="E10" i="4" s="1"/>
  <c r="C33" i="1"/>
  <c r="C11" i="4" s="1"/>
  <c r="J35" i="1"/>
  <c r="J13" i="4" s="1"/>
  <c r="J31" i="1"/>
  <c r="J9" i="4" s="1"/>
  <c r="J28" i="1"/>
  <c r="J6" i="4" s="1"/>
  <c r="M34" i="1"/>
  <c r="M12" i="4" s="1"/>
  <c r="L33" i="1"/>
  <c r="L11" i="4" s="1"/>
  <c r="K32" i="1"/>
  <c r="K10" i="4" s="1"/>
  <c r="M30" i="1"/>
  <c r="M8" i="4" s="1"/>
  <c r="L29" i="1"/>
  <c r="L7" i="4" s="1"/>
  <c r="K28" i="1"/>
  <c r="V35" i="1"/>
  <c r="V13" i="4" s="1"/>
  <c r="U34" i="1"/>
  <c r="U12" i="4" s="1"/>
  <c r="T33" i="1"/>
  <c r="T11" i="4" s="1"/>
  <c r="S32" i="1"/>
  <c r="S10" i="4" s="1"/>
  <c r="V31" i="1"/>
  <c r="V9" i="4" s="1"/>
  <c r="U30" i="1"/>
  <c r="U8" i="4" s="1"/>
  <c r="T29" i="1"/>
  <c r="T7" i="4" s="1"/>
  <c r="S28" i="1"/>
  <c r="M28" i="23"/>
  <c r="M22" i="4" s="1"/>
  <c r="S35" i="23"/>
  <c r="S29" i="4" s="1"/>
  <c r="U34" i="23"/>
  <c r="U28" i="4" s="1"/>
  <c r="Q34" i="23"/>
  <c r="Q28" i="4" s="1"/>
  <c r="S33" i="23"/>
  <c r="S27" i="4" s="1"/>
  <c r="U32" i="23"/>
  <c r="U26" i="4" s="1"/>
  <c r="Q32" i="23"/>
  <c r="Q26" i="4" s="1"/>
  <c r="S31" i="23"/>
  <c r="S25" i="4" s="1"/>
  <c r="U30" i="23"/>
  <c r="U24" i="4" s="1"/>
  <c r="Q30" i="23"/>
  <c r="Q24" i="4" s="1"/>
  <c r="S29" i="23"/>
  <c r="S23" i="4" s="1"/>
  <c r="U28" i="23"/>
  <c r="U22" i="4" s="1"/>
  <c r="Q28" i="23"/>
  <c r="Q28" i="1"/>
  <c r="Q6" i="4" s="1"/>
  <c r="P33" i="1"/>
  <c r="P11" i="4" s="1"/>
  <c r="O32" i="1"/>
  <c r="O10" i="4" s="1"/>
  <c r="O43" i="1"/>
  <c r="G30" i="1"/>
  <c r="G8" i="4" s="1"/>
  <c r="F34" i="1"/>
  <c r="F12" i="4" s="1"/>
  <c r="F30" i="1"/>
  <c r="I34" i="1"/>
  <c r="I12" i="4" s="1"/>
  <c r="E30" i="1"/>
  <c r="E8" i="4" s="1"/>
  <c r="H31" i="1"/>
  <c r="F32" i="1"/>
  <c r="F10" i="4" s="1"/>
  <c r="J34" i="1"/>
  <c r="J12" i="4" s="1"/>
  <c r="J30" i="1"/>
  <c r="J8" i="4" s="1"/>
  <c r="M35" i="1"/>
  <c r="M13" i="4" s="1"/>
  <c r="L34" i="1"/>
  <c r="L12" i="4" s="1"/>
  <c r="K33" i="1"/>
  <c r="K11" i="4" s="1"/>
  <c r="M31" i="1"/>
  <c r="M9" i="4" s="1"/>
  <c r="L30" i="1"/>
  <c r="L8" i="4" s="1"/>
  <c r="K29" i="1"/>
  <c r="K7" i="4" s="1"/>
  <c r="U35" i="1"/>
  <c r="U13" i="4" s="1"/>
  <c r="T34" i="1"/>
  <c r="T12" i="4" s="1"/>
  <c r="S33" i="1"/>
  <c r="S11" i="4" s="1"/>
  <c r="V32" i="1"/>
  <c r="V10" i="4" s="1"/>
  <c r="U31" i="1"/>
  <c r="U9" i="4" s="1"/>
  <c r="T30" i="1"/>
  <c r="T8" i="4" s="1"/>
  <c r="S29" i="1"/>
  <c r="S7" i="4" s="1"/>
  <c r="V28" i="1"/>
  <c r="O36" i="23"/>
  <c r="O30" i="4" s="1"/>
  <c r="V35" i="23"/>
  <c r="V29" i="4" s="1"/>
  <c r="R35" i="23"/>
  <c r="R29" i="4" s="1"/>
  <c r="T34" i="23"/>
  <c r="T28" i="4" s="1"/>
  <c r="P34" i="23"/>
  <c r="P28" i="4" s="1"/>
  <c r="V33" i="23"/>
  <c r="V27" i="4" s="1"/>
  <c r="R33" i="23"/>
  <c r="R27" i="4" s="1"/>
  <c r="T32" i="23"/>
  <c r="T26" i="4" s="1"/>
  <c r="P32" i="23"/>
  <c r="P26" i="4" s="1"/>
  <c r="V31" i="23"/>
  <c r="V25" i="4" s="1"/>
  <c r="R31" i="23"/>
  <c r="R25" i="4" s="1"/>
  <c r="T30" i="23"/>
  <c r="T24" i="4" s="1"/>
  <c r="P30" i="23"/>
  <c r="P24" i="4" s="1"/>
  <c r="V29" i="23"/>
  <c r="V23" i="4" s="1"/>
  <c r="R29" i="23"/>
  <c r="R23" i="4" s="1"/>
  <c r="T28" i="23"/>
  <c r="T22" i="4" s="1"/>
  <c r="P28" i="23"/>
  <c r="P22" i="4" s="1"/>
  <c r="J31" i="23"/>
  <c r="J25" i="4" s="1"/>
  <c r="F35" i="23"/>
  <c r="F29" i="4" s="1"/>
  <c r="I31" i="23"/>
  <c r="I25" i="4" s="1"/>
  <c r="J28" i="23"/>
  <c r="F32" i="23"/>
  <c r="F26" i="4" s="1"/>
  <c r="G35" i="23"/>
  <c r="G29" i="4" s="1"/>
  <c r="M33" i="23"/>
  <c r="M27" i="4" s="1"/>
  <c r="K31" i="23"/>
  <c r="K25" i="4" s="1"/>
  <c r="L28" i="23"/>
  <c r="L22" i="4" s="1"/>
  <c r="O35" i="23"/>
  <c r="O29" i="4" s="1"/>
  <c r="H32" i="23"/>
  <c r="H26" i="4" s="1"/>
  <c r="E29" i="23"/>
  <c r="E23" i="4" s="1"/>
  <c r="J32" i="23"/>
  <c r="J26" i="4" s="1"/>
  <c r="L33" i="23"/>
  <c r="L27" i="4" s="1"/>
  <c r="M30" i="23"/>
  <c r="M24" i="4" s="1"/>
  <c r="K28" i="23"/>
  <c r="K22" i="4" s="1"/>
  <c r="O33" i="23"/>
  <c r="O27" i="4" s="1"/>
  <c r="M35" i="23"/>
  <c r="M29" i="4" s="1"/>
  <c r="K33" i="23"/>
  <c r="K27" i="4" s="1"/>
  <c r="L30" i="23"/>
  <c r="L24" i="4" s="1"/>
  <c r="O43" i="23"/>
  <c r="O29" i="23"/>
  <c r="O23" i="4" s="1"/>
  <c r="H29" i="23"/>
  <c r="H23" i="4" s="1"/>
  <c r="D33" i="23"/>
  <c r="D27" i="4" s="1"/>
  <c r="D28" i="23"/>
  <c r="D22" i="4" s="1"/>
  <c r="F34" i="23"/>
  <c r="F28" i="4" s="1"/>
  <c r="E33" i="23"/>
  <c r="E27" i="4" s="1"/>
  <c r="J29" i="23"/>
  <c r="J23" i="4" s="1"/>
  <c r="L35" i="23"/>
  <c r="L29" i="4" s="1"/>
  <c r="M32" i="23"/>
  <c r="M26" i="4" s="1"/>
  <c r="K30" i="23"/>
  <c r="K24" i="4" s="1"/>
  <c r="O42" i="23"/>
  <c r="O36" i="4" s="1"/>
  <c r="H33" i="23"/>
  <c r="H27" i="4" s="1"/>
  <c r="C32" i="23"/>
  <c r="C26" i="4" s="1"/>
  <c r="C29" i="23"/>
  <c r="C23" i="4" s="1"/>
  <c r="J34" i="23"/>
  <c r="J28" i="4" s="1"/>
  <c r="D30" i="23"/>
  <c r="D24" i="4" s="1"/>
  <c r="I33" i="23"/>
  <c r="I27" i="4" s="1"/>
  <c r="C28" i="23"/>
  <c r="C22" i="4" s="1"/>
  <c r="K35" i="23"/>
  <c r="K29" i="4" s="1"/>
  <c r="L32" i="23"/>
  <c r="L26" i="4" s="1"/>
  <c r="M29" i="23"/>
  <c r="M23" i="4" s="1"/>
  <c r="O41" i="23"/>
  <c r="O35" i="4" s="1"/>
  <c r="G33" i="23"/>
  <c r="G27" i="4" s="1"/>
  <c r="C30" i="23"/>
  <c r="C24" i="4" s="1"/>
  <c r="E34" i="23"/>
  <c r="E28" i="4" s="1"/>
  <c r="F30" i="23"/>
  <c r="F24" i="4" s="1"/>
  <c r="H30" i="23"/>
  <c r="H24" i="4" s="1"/>
  <c r="D34" i="23"/>
  <c r="D28" i="4" s="1"/>
  <c r="D31" i="23"/>
  <c r="D25" i="4" s="1"/>
  <c r="M34" i="23"/>
  <c r="M28" i="4" s="1"/>
  <c r="K32" i="23"/>
  <c r="K26" i="4" s="1"/>
  <c r="L29" i="23"/>
  <c r="L23" i="4" s="1"/>
  <c r="O40" i="23"/>
  <c r="O34" i="4" s="1"/>
  <c r="L34" i="23"/>
  <c r="L28" i="4" s="1"/>
  <c r="M31" i="23"/>
  <c r="M25" i="4" s="1"/>
  <c r="K29" i="23"/>
  <c r="K23" i="4" s="1"/>
  <c r="O39" i="23"/>
  <c r="O33" i="4" s="1"/>
  <c r="E22" i="4"/>
  <c r="H22" i="4"/>
  <c r="I22" i="4"/>
  <c r="G22" i="4"/>
  <c r="Q22" i="4"/>
  <c r="F22" i="4"/>
  <c r="J22" i="4"/>
  <c r="K6" i="4"/>
  <c r="S6" i="4"/>
  <c r="P6" i="4"/>
  <c r="M6" i="4"/>
  <c r="U6" i="4"/>
  <c r="AI4" i="33"/>
  <c r="AI27" i="33" s="1"/>
  <c r="AI52" i="33" s="1"/>
  <c r="AH4" i="33"/>
  <c r="AH22" i="33" s="1"/>
  <c r="AJ4" i="33"/>
  <c r="AJ22" i="33" s="1"/>
  <c r="AF4" i="33"/>
  <c r="AF27" i="33" s="1"/>
  <c r="AF52" i="33" s="1"/>
  <c r="AB4" i="33"/>
  <c r="AB27" i="33" s="1"/>
  <c r="AB52" i="33" s="1"/>
  <c r="X4" i="33"/>
  <c r="X45" i="33" s="1"/>
  <c r="T4" i="33"/>
  <c r="T22" i="33" s="1"/>
  <c r="Q22" i="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L62" i="4"/>
  <c r="E55" i="4"/>
  <c r="E62" i="4"/>
  <c r="P21" i="4"/>
  <c r="I52" i="23"/>
  <c r="R4" i="33"/>
  <c r="AD4" i="33"/>
  <c r="Z4" i="33"/>
  <c r="V37" i="4"/>
  <c r="R37" i="4"/>
  <c r="K37" i="4"/>
  <c r="I45" i="23"/>
  <c r="AK4" i="33"/>
  <c r="AG4" i="33"/>
  <c r="AC4" i="33"/>
  <c r="U4" i="33"/>
  <c r="O21" i="4"/>
  <c r="R21" i="4"/>
  <c r="Q21" i="4"/>
  <c r="AE4" i="33"/>
  <c r="AA4" i="33"/>
  <c r="S4" i="33"/>
  <c r="C27" i="23"/>
  <c r="C52" i="23" s="1"/>
  <c r="I27" i="23"/>
  <c r="V21" i="4"/>
  <c r="T21" i="4"/>
  <c r="B21" i="4"/>
  <c r="O37" i="23"/>
  <c r="O31" i="4" s="1"/>
  <c r="O34" i="23"/>
  <c r="O28" i="4" s="1"/>
  <c r="O38" i="23"/>
  <c r="T37" i="4"/>
  <c r="B38" i="23"/>
  <c r="F37" i="4"/>
  <c r="L37" i="4"/>
  <c r="P37" i="4"/>
  <c r="S37" i="4"/>
  <c r="J37" i="4"/>
  <c r="H37" i="4"/>
  <c r="M37" i="4"/>
  <c r="O37" i="4"/>
  <c r="Q4" i="4"/>
  <c r="Q62" i="4" s="1"/>
  <c r="Z4" i="1"/>
  <c r="P27" i="23"/>
  <c r="P52" i="23" s="1"/>
  <c r="J4" i="1"/>
  <c r="J4" i="4" s="1"/>
  <c r="J4" i="23"/>
  <c r="J45" i="23" s="1"/>
  <c r="M4" i="23"/>
  <c r="M27" i="23" s="1"/>
  <c r="M4" i="1"/>
  <c r="M4" i="4" s="1"/>
  <c r="L45" i="1"/>
  <c r="L27" i="1"/>
  <c r="L52" i="1" s="1"/>
  <c r="O32" i="23"/>
  <c r="O31" i="23"/>
  <c r="O25" i="4" s="1"/>
  <c r="O30" i="23"/>
  <c r="O24" i="4" s="1"/>
  <c r="B33" i="23"/>
  <c r="B27" i="4" s="1"/>
  <c r="B28" i="23"/>
  <c r="B30" i="23"/>
  <c r="B24" i="4" s="1"/>
  <c r="B34" i="23"/>
  <c r="B28" i="4" s="1"/>
  <c r="B35" i="23"/>
  <c r="AA46" i="23"/>
  <c r="AA53" i="23" s="1"/>
  <c r="O28" i="23"/>
  <c r="B31" i="23"/>
  <c r="B25" i="4" s="1"/>
  <c r="G47" i="23"/>
  <c r="G48" i="23" s="1"/>
  <c r="G54" i="23" s="1"/>
  <c r="B29" i="23"/>
  <c r="B23" i="4" s="1"/>
  <c r="Q32" i="1"/>
  <c r="P32" i="1"/>
  <c r="P10" i="4" s="1"/>
  <c r="D4" i="4"/>
  <c r="O29" i="1"/>
  <c r="O7" i="4" s="1"/>
  <c r="B27" i="23"/>
  <c r="B52" i="23" s="1"/>
  <c r="K45" i="23"/>
  <c r="E27" i="23"/>
  <c r="E52" i="23" s="1"/>
  <c r="Q30" i="1"/>
  <c r="Q8" i="4" s="1"/>
  <c r="B29" i="1"/>
  <c r="B7" i="4" s="1"/>
  <c r="P35" i="1"/>
  <c r="P13" i="4" s="1"/>
  <c r="P31" i="1"/>
  <c r="P9" i="4" s="1"/>
  <c r="H22" i="23"/>
  <c r="AB47" i="23"/>
  <c r="AB48" i="23" s="1"/>
  <c r="AB54" i="23" s="1"/>
  <c r="Z47" i="23"/>
  <c r="Z48" i="23" s="1"/>
  <c r="Z54" i="23" s="1"/>
  <c r="L46" i="23"/>
  <c r="L53" i="23" s="1"/>
  <c r="G46" i="23"/>
  <c r="G53" i="23" s="1"/>
  <c r="P37" i="1"/>
  <c r="F22" i="23"/>
  <c r="AF46" i="23"/>
  <c r="AF53" i="23" s="1"/>
  <c r="AD47" i="23"/>
  <c r="AD48" i="23" s="1"/>
  <c r="AD54" i="23" s="1"/>
  <c r="E46" i="23"/>
  <c r="E53" i="23" s="1"/>
  <c r="O36" i="1"/>
  <c r="H45" i="23"/>
  <c r="AK47" i="23"/>
  <c r="AK48" i="23" s="1"/>
  <c r="AK54" i="23" s="1"/>
  <c r="AA47" i="23"/>
  <c r="AA48" i="23" s="1"/>
  <c r="AA54" i="23" s="1"/>
  <c r="H47" i="23"/>
  <c r="H48" i="23" s="1"/>
  <c r="H54" i="23" s="1"/>
  <c r="AB46" i="23"/>
  <c r="AB53" i="23" s="1"/>
  <c r="X47" i="23"/>
  <c r="X48" i="23" s="1"/>
  <c r="X54" i="23" s="1"/>
  <c r="R31" i="1"/>
  <c r="R9" i="4" s="1"/>
  <c r="R22" i="4"/>
  <c r="AJ46" i="23"/>
  <c r="AJ53" i="23" s="1"/>
  <c r="AF47" i="23"/>
  <c r="AF48" i="23" s="1"/>
  <c r="AF54" i="23" s="1"/>
  <c r="AC46" i="23"/>
  <c r="AC53" i="23" s="1"/>
  <c r="X46" i="23"/>
  <c r="X53" i="23" s="1"/>
  <c r="Y47" i="23"/>
  <c r="Y48" i="23" s="1"/>
  <c r="Y54" i="23" s="1"/>
  <c r="AJ47" i="23"/>
  <c r="AJ48" i="23" s="1"/>
  <c r="AJ54" i="23" s="1"/>
  <c r="AG46" i="23"/>
  <c r="AG53" i="23" s="1"/>
  <c r="AG47" i="23"/>
  <c r="AG48" i="23" s="1"/>
  <c r="AG54" i="23" s="1"/>
  <c r="AK46" i="23"/>
  <c r="AK53" i="23" s="1"/>
  <c r="J57" i="1"/>
  <c r="E57" i="23"/>
  <c r="M57" i="1"/>
  <c r="AH57" i="1"/>
  <c r="AD57" i="1"/>
  <c r="Z57" i="1"/>
  <c r="V57" i="1"/>
  <c r="AJ57" i="23"/>
  <c r="AG57" i="23"/>
  <c r="AC57" i="23"/>
  <c r="Y57" i="23"/>
  <c r="U57" i="23"/>
  <c r="Q57" i="23"/>
  <c r="J57" i="23"/>
  <c r="H57" i="23"/>
  <c r="L57" i="1"/>
  <c r="AK57" i="1"/>
  <c r="AG57" i="1"/>
  <c r="AC57" i="1"/>
  <c r="Y57" i="1"/>
  <c r="U57" i="1"/>
  <c r="M57" i="23"/>
  <c r="AI57" i="23"/>
  <c r="AF57" i="23"/>
  <c r="AB57" i="23"/>
  <c r="X57" i="23"/>
  <c r="T57" i="23"/>
  <c r="P57" i="23"/>
  <c r="C57" i="23"/>
  <c r="F57" i="23"/>
  <c r="I57" i="23"/>
  <c r="K57" i="1"/>
  <c r="AJ57" i="1"/>
  <c r="AF57" i="1"/>
  <c r="AB57" i="1"/>
  <c r="X57" i="1"/>
  <c r="T57" i="1"/>
  <c r="L57" i="23"/>
  <c r="AE57" i="23"/>
  <c r="AA57" i="23"/>
  <c r="W57" i="23"/>
  <c r="S57" i="23"/>
  <c r="D57" i="23"/>
  <c r="G57" i="23"/>
  <c r="AI57" i="1"/>
  <c r="AE57" i="1"/>
  <c r="AA57" i="1"/>
  <c r="W57" i="1"/>
  <c r="S57" i="1"/>
  <c r="K57" i="23"/>
  <c r="AK57" i="23"/>
  <c r="AH57" i="23"/>
  <c r="AD57" i="23"/>
  <c r="Z57" i="23"/>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W47" i="1"/>
  <c r="W48" i="1" s="1"/>
  <c r="W54" i="1" s="1"/>
  <c r="X46" i="1"/>
  <c r="X53" i="1" s="1"/>
  <c r="Y46" i="1"/>
  <c r="Y53" i="1" s="1"/>
  <c r="B32" i="1"/>
  <c r="D28" i="1"/>
  <c r="C32" i="1"/>
  <c r="AH46" i="1"/>
  <c r="AH53" i="1" s="1"/>
  <c r="L46" i="1"/>
  <c r="L53" i="1" s="1"/>
  <c r="B28" i="1"/>
  <c r="D32" i="1"/>
  <c r="X47" i="1"/>
  <c r="X48" i="1" s="1"/>
  <c r="X54" i="1" s="1"/>
  <c r="B30" i="1"/>
  <c r="B8" i="4" s="1"/>
  <c r="C28" i="1"/>
  <c r="D31" i="1"/>
  <c r="D9" i="4" s="1"/>
  <c r="AB47" i="1"/>
  <c r="AB48" i="1" s="1"/>
  <c r="AB54" i="1" s="1"/>
  <c r="AI47" i="1"/>
  <c r="AI48" i="1" s="1"/>
  <c r="AI54" i="1" s="1"/>
  <c r="AI46" i="1"/>
  <c r="AI53" i="1" s="1"/>
  <c r="AA46" i="1"/>
  <c r="AA53" i="1" s="1"/>
  <c r="AA47" i="1"/>
  <c r="AA48" i="1" s="1"/>
  <c r="AA54" i="1" s="1"/>
  <c r="W46" i="1"/>
  <c r="W53" i="1" s="1"/>
  <c r="Z46" i="1"/>
  <c r="Z53" i="1" s="1"/>
  <c r="Z47" i="1"/>
  <c r="Z48" i="1" s="1"/>
  <c r="Z54" i="1" s="1"/>
  <c r="O28" i="1"/>
  <c r="C30" i="1"/>
  <c r="C8" i="4" s="1"/>
  <c r="C31" i="1"/>
  <c r="C9" i="4" s="1"/>
  <c r="D29" i="1"/>
  <c r="D7" i="4" s="1"/>
  <c r="D30" i="1"/>
  <c r="AC47" i="1"/>
  <c r="AC48" i="1" s="1"/>
  <c r="AC54" i="1" s="1"/>
  <c r="AB46" i="1"/>
  <c r="AB53" i="1" s="1"/>
  <c r="AH47" i="1"/>
  <c r="AH48" i="1" s="1"/>
  <c r="AH54" i="1" s="1"/>
  <c r="AF46" i="1"/>
  <c r="AF53" i="1" s="1"/>
  <c r="AF47" i="1"/>
  <c r="AF48" i="1" s="1"/>
  <c r="AF54" i="1" s="1"/>
  <c r="AD46" i="1"/>
  <c r="AD53" i="1" s="1"/>
  <c r="AD47" i="1"/>
  <c r="AD48" i="1" s="1"/>
  <c r="AD54" i="1" s="1"/>
  <c r="V46" i="1"/>
  <c r="V53" i="1" s="1"/>
  <c r="V6" i="4"/>
  <c r="Y47" i="1"/>
  <c r="Y48" i="1" s="1"/>
  <c r="Y54" i="1" s="1"/>
  <c r="AG46" i="1"/>
  <c r="AG53" i="1" s="1"/>
  <c r="AG47" i="1"/>
  <c r="AG48" i="1" s="1"/>
  <c r="AG54" i="1" s="1"/>
  <c r="AC46" i="1"/>
  <c r="AC53" i="1" s="1"/>
  <c r="G21" i="4"/>
  <c r="I21" i="4"/>
  <c r="F21" i="4"/>
  <c r="H21" i="4"/>
  <c r="E21" i="4"/>
  <c r="L52" i="23"/>
  <c r="E7" i="4"/>
  <c r="D17" i="4"/>
  <c r="F8" i="4"/>
  <c r="H9" i="4"/>
  <c r="J10" i="4"/>
  <c r="J46" i="1"/>
  <c r="J53" i="1" s="1"/>
  <c r="C4" i="4"/>
  <c r="E47" i="23"/>
  <c r="E48" i="23" s="1"/>
  <c r="E54" i="23" s="1"/>
  <c r="I46" i="23"/>
  <c r="I53" i="23" s="1"/>
  <c r="U47" i="23"/>
  <c r="U48" i="23" s="1"/>
  <c r="U54" i="23" s="1"/>
  <c r="I47" i="23"/>
  <c r="I48" i="23" s="1"/>
  <c r="I54" i="23" s="1"/>
  <c r="G27" i="23"/>
  <c r="G52" i="23" s="1"/>
  <c r="AC47" i="23"/>
  <c r="AC48" i="23" s="1"/>
  <c r="AC54" i="23" s="1"/>
  <c r="Y46" i="23"/>
  <c r="Y53" i="23" s="1"/>
  <c r="K27" i="23"/>
  <c r="L22" i="1"/>
  <c r="I7" i="4"/>
  <c r="D27" i="1"/>
  <c r="D52" i="1" s="1"/>
  <c r="D45" i="1"/>
  <c r="D22" i="23"/>
  <c r="D45" i="23"/>
  <c r="D27" i="23"/>
  <c r="D52" i="23" s="1"/>
  <c r="W47" i="23"/>
  <c r="W48" i="23" s="1"/>
  <c r="W54" i="23" s="1"/>
  <c r="S46" i="23"/>
  <c r="S53" i="23" s="1"/>
  <c r="AD46" i="23"/>
  <c r="AD53" i="23" s="1"/>
  <c r="AE47" i="23"/>
  <c r="AE48" i="23" s="1"/>
  <c r="AE54" i="23" s="1"/>
  <c r="AK46" i="1"/>
  <c r="AK53" i="1" s="1"/>
  <c r="AE46" i="1"/>
  <c r="AE53" i="1" s="1"/>
  <c r="F45" i="23"/>
  <c r="AE47" i="1"/>
  <c r="AE48" i="1" s="1"/>
  <c r="AE54" i="1" s="1"/>
  <c r="AK47" i="1"/>
  <c r="AK48" i="1" s="1"/>
  <c r="AK54" i="1" s="1"/>
  <c r="AH47" i="23"/>
  <c r="AH48" i="23" s="1"/>
  <c r="AH54" i="23" s="1"/>
  <c r="W46" i="23"/>
  <c r="W53" i="23" s="1"/>
  <c r="AI46" i="23"/>
  <c r="AI53" i="23" s="1"/>
  <c r="AI47" i="23"/>
  <c r="AI48" i="23" s="1"/>
  <c r="AI54" i="23" s="1"/>
  <c r="Z46" i="23"/>
  <c r="Z53" i="23" s="1"/>
  <c r="E22" i="23"/>
  <c r="AJ47" i="1"/>
  <c r="AJ48" i="1" s="1"/>
  <c r="AJ54" i="1" s="1"/>
  <c r="AJ46" i="1"/>
  <c r="AJ53" i="1" s="1"/>
  <c r="AE46" i="23"/>
  <c r="AE53" i="23" s="1"/>
  <c r="AH46" i="23"/>
  <c r="AH53" i="23" s="1"/>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K22" i="1"/>
  <c r="H22" i="1"/>
  <c r="O4" i="4"/>
  <c r="H45" i="1"/>
  <c r="O45" i="1"/>
  <c r="P4" i="4"/>
  <c r="K45" i="1"/>
  <c r="P45" i="1"/>
  <c r="O27" i="1"/>
  <c r="O52" i="1" s="1"/>
  <c r="I52" i="1"/>
  <c r="K55" i="4"/>
  <c r="B55" i="4"/>
  <c r="L55" i="4"/>
  <c r="E74" i="4"/>
  <c r="B74" i="4"/>
  <c r="K78" i="4"/>
  <c r="S78" i="4"/>
  <c r="M78" i="4"/>
  <c r="J78" i="4"/>
  <c r="T78" i="4"/>
  <c r="V78" i="4"/>
  <c r="L78" i="4"/>
  <c r="U78" i="4"/>
  <c r="U46" i="1" l="1"/>
  <c r="U53" i="1" s="1"/>
  <c r="K46" i="1"/>
  <c r="K53" i="1" s="1"/>
  <c r="L47" i="1"/>
  <c r="L48" i="1" s="1"/>
  <c r="L54" i="1" s="1"/>
  <c r="K47" i="1"/>
  <c r="K48" i="1" s="1"/>
  <c r="K54" i="1" s="1"/>
  <c r="Q47" i="23"/>
  <c r="Q48" i="23" s="1"/>
  <c r="Q54" i="23" s="1"/>
  <c r="T46" i="1"/>
  <c r="T53" i="1" s="1"/>
  <c r="K9" i="4"/>
  <c r="K57" i="4" s="1"/>
  <c r="K58" i="4" s="1"/>
  <c r="K76" i="4" s="1"/>
  <c r="L6" i="4"/>
  <c r="L63" i="4" s="1"/>
  <c r="L64" i="4" s="1"/>
  <c r="F47" i="23"/>
  <c r="F48" i="23" s="1"/>
  <c r="F54" i="23" s="1"/>
  <c r="M47" i="1"/>
  <c r="M48" i="1" s="1"/>
  <c r="M54" i="1" s="1"/>
  <c r="Q46" i="23"/>
  <c r="Q53" i="23" s="1"/>
  <c r="C46" i="23"/>
  <c r="C53" i="23" s="1"/>
  <c r="P47" i="23"/>
  <c r="P48" i="23" s="1"/>
  <c r="P54" i="23" s="1"/>
  <c r="J47" i="1"/>
  <c r="J48" i="1" s="1"/>
  <c r="J54" i="1" s="1"/>
  <c r="T46" i="23"/>
  <c r="T53" i="23" s="1"/>
  <c r="R47" i="23"/>
  <c r="R48" i="23" s="1"/>
  <c r="R54" i="23" s="1"/>
  <c r="V46" i="23"/>
  <c r="V53" i="23" s="1"/>
  <c r="J47" i="23"/>
  <c r="J48" i="23" s="1"/>
  <c r="J54" i="23" s="1"/>
  <c r="S46" i="1"/>
  <c r="S53" i="1" s="1"/>
  <c r="S47" i="1"/>
  <c r="S48" i="1" s="1"/>
  <c r="S54" i="1" s="1"/>
  <c r="P46" i="23"/>
  <c r="P53" i="23" s="1"/>
  <c r="J46" i="23"/>
  <c r="J53" i="23" s="1"/>
  <c r="C47" i="23"/>
  <c r="C48" i="23" s="1"/>
  <c r="C54" i="23" s="1"/>
  <c r="U47" i="1"/>
  <c r="U48" i="1" s="1"/>
  <c r="U54" i="1" s="1"/>
  <c r="V47" i="1"/>
  <c r="V48" i="1" s="1"/>
  <c r="V54" i="1" s="1"/>
  <c r="T47" i="1"/>
  <c r="T48" i="1" s="1"/>
  <c r="T54" i="1" s="1"/>
  <c r="V22" i="4"/>
  <c r="L47" i="23"/>
  <c r="L48" i="23" s="1"/>
  <c r="L54" i="23" s="1"/>
  <c r="M46" i="1"/>
  <c r="M53" i="1" s="1"/>
  <c r="R46" i="23"/>
  <c r="R53" i="23" s="1"/>
  <c r="S47" i="23"/>
  <c r="S48" i="23" s="1"/>
  <c r="S54" i="23" s="1"/>
  <c r="F46" i="23"/>
  <c r="F53" i="23" s="1"/>
  <c r="T47" i="23"/>
  <c r="T48" i="23" s="1"/>
  <c r="T54" i="23" s="1"/>
  <c r="U46" i="23"/>
  <c r="U53" i="23" s="1"/>
  <c r="D47" i="23"/>
  <c r="D48" i="23" s="1"/>
  <c r="D54" i="23" s="1"/>
  <c r="H46" i="23"/>
  <c r="H53" i="23" s="1"/>
  <c r="M47" i="23"/>
  <c r="M48" i="23" s="1"/>
  <c r="M54" i="23" s="1"/>
  <c r="M46" i="23"/>
  <c r="M53" i="23" s="1"/>
  <c r="K47" i="23"/>
  <c r="K48" i="23" s="1"/>
  <c r="K54" i="23" s="1"/>
  <c r="D46" i="23"/>
  <c r="D53" i="23" s="1"/>
  <c r="K46" i="23"/>
  <c r="K53" i="23" s="1"/>
  <c r="S63" i="4"/>
  <c r="S64" i="4" s="1"/>
  <c r="M63" i="4"/>
  <c r="M64" i="4" s="1"/>
  <c r="F46" i="1"/>
  <c r="F53" i="1" s="1"/>
  <c r="B22" i="4"/>
  <c r="D6" i="4"/>
  <c r="R6" i="4"/>
  <c r="I6" i="4"/>
  <c r="P7" i="4"/>
  <c r="E6" i="4"/>
  <c r="O6" i="4"/>
  <c r="B6" i="4"/>
  <c r="C6" i="4"/>
  <c r="H6" i="4"/>
  <c r="F6" i="4"/>
  <c r="P47" i="1"/>
  <c r="P48" i="1" s="1"/>
  <c r="P54" i="1" s="1"/>
  <c r="G6" i="4"/>
  <c r="Q7" i="4"/>
  <c r="AI22" i="33"/>
  <c r="AI45" i="33"/>
  <c r="AB45" i="33"/>
  <c r="AB22" i="33"/>
  <c r="U63" i="4"/>
  <c r="U64" i="4" s="1"/>
  <c r="J63" i="4"/>
  <c r="J64" i="4" s="1"/>
  <c r="V63" i="4"/>
  <c r="V64" i="4" s="1"/>
  <c r="T63" i="4"/>
  <c r="T64" i="4" s="1"/>
  <c r="AH27" i="33"/>
  <c r="AH52" i="33" s="1"/>
  <c r="AJ27" i="33"/>
  <c r="AJ52" i="33" s="1"/>
  <c r="AH45" i="33"/>
  <c r="AF45" i="33"/>
  <c r="AD4" i="1"/>
  <c r="AD22" i="1" s="1"/>
  <c r="T27" i="33"/>
  <c r="T52" i="33" s="1"/>
  <c r="AF22" i="33"/>
  <c r="AJ45" i="33"/>
  <c r="AE4" i="1"/>
  <c r="AE45" i="1" s="1"/>
  <c r="T45" i="33"/>
  <c r="X27" i="33"/>
  <c r="X52" i="33" s="1"/>
  <c r="X22" i="33"/>
  <c r="AD4" i="23"/>
  <c r="AD22" i="23" s="1"/>
  <c r="I47" i="1"/>
  <c r="I48" i="1" s="1"/>
  <c r="I54" i="1" s="1"/>
  <c r="F47" i="1"/>
  <c r="F48" i="1" s="1"/>
  <c r="F54" i="1" s="1"/>
  <c r="G47" i="1"/>
  <c r="G48" i="1" s="1"/>
  <c r="G54" i="1" s="1"/>
  <c r="E47" i="1"/>
  <c r="E48" i="1" s="1"/>
  <c r="E54" i="1" s="1"/>
  <c r="Q46" i="1"/>
  <c r="Q53" i="1" s="1"/>
  <c r="E46" i="1"/>
  <c r="E53" i="1" s="1"/>
  <c r="Q47" i="1"/>
  <c r="Q48" i="1" s="1"/>
  <c r="Q54" i="1" s="1"/>
  <c r="I46" i="1"/>
  <c r="I53" i="1" s="1"/>
  <c r="Q74" i="4"/>
  <c r="AE4" i="23"/>
  <c r="AE27" i="23" s="1"/>
  <c r="AE52" i="23" s="1"/>
  <c r="Z4" i="23"/>
  <c r="Z45" i="23"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W4" i="1"/>
  <c r="W45" i="1" s="1"/>
  <c r="W4" i="33"/>
  <c r="AC22" i="33"/>
  <c r="AC45" i="33"/>
  <c r="AC27" i="33"/>
  <c r="AC52" i="33" s="1"/>
  <c r="Z45" i="33"/>
  <c r="Z27" i="33"/>
  <c r="Z52" i="33" s="1"/>
  <c r="Z22" i="33"/>
  <c r="U57" i="4"/>
  <c r="U58" i="4" s="1"/>
  <c r="U76" i="4" s="1"/>
  <c r="L56" i="4"/>
  <c r="L75" i="4" s="1"/>
  <c r="S56" i="4"/>
  <c r="S75" i="4" s="1"/>
  <c r="J56" i="4"/>
  <c r="O55" i="4"/>
  <c r="O62" i="4"/>
  <c r="F55" i="4"/>
  <c r="F62" i="4"/>
  <c r="M55" i="4"/>
  <c r="M62" i="4"/>
  <c r="J55" i="4"/>
  <c r="J62" i="4"/>
  <c r="AA27" i="33"/>
  <c r="AA52" i="33" s="1"/>
  <c r="AA22" i="33"/>
  <c r="AA45" i="33"/>
  <c r="AG22" i="33"/>
  <c r="AG27" i="33"/>
  <c r="AG52" i="33" s="1"/>
  <c r="AG45" i="33"/>
  <c r="AD45" i="33"/>
  <c r="AD27" i="33"/>
  <c r="AD52" i="33" s="1"/>
  <c r="AD22" i="33"/>
  <c r="I57" i="4"/>
  <c r="I58" i="4" s="1"/>
  <c r="I76" i="4" s="1"/>
  <c r="L57" i="4"/>
  <c r="L58" i="4" s="1"/>
  <c r="L76" i="4" s="1"/>
  <c r="J57" i="4"/>
  <c r="J58" i="4" s="1"/>
  <c r="J76" i="4" s="1"/>
  <c r="H56" i="4"/>
  <c r="H75" i="4" s="1"/>
  <c r="P55" i="4"/>
  <c r="P62" i="4"/>
  <c r="G55" i="4"/>
  <c r="G62" i="4"/>
  <c r="H74" i="4"/>
  <c r="H62" i="4"/>
  <c r="AE27" i="33"/>
  <c r="AE52" i="33" s="1"/>
  <c r="AE22" i="33"/>
  <c r="AE45" i="33"/>
  <c r="U22" i="33"/>
  <c r="U45" i="33"/>
  <c r="U27" i="33"/>
  <c r="U52" i="33" s="1"/>
  <c r="AK22" i="33"/>
  <c r="AK45" i="33"/>
  <c r="AK27" i="33"/>
  <c r="AK52" i="33" s="1"/>
  <c r="R45" i="33"/>
  <c r="R27" i="33"/>
  <c r="R52" i="33" s="1"/>
  <c r="R22" i="33"/>
  <c r="U56" i="4"/>
  <c r="U75" i="4" s="1"/>
  <c r="M56" i="4"/>
  <c r="M75" i="4" s="1"/>
  <c r="T56" i="4"/>
  <c r="T75" i="4" s="1"/>
  <c r="C74" i="4"/>
  <c r="C62" i="4"/>
  <c r="D55" i="4"/>
  <c r="D62" i="4"/>
  <c r="S27" i="33"/>
  <c r="S52" i="33" s="1"/>
  <c r="S22" i="33"/>
  <c r="S45" i="33"/>
  <c r="Y4" i="23"/>
  <c r="Y45" i="23" s="1"/>
  <c r="Y4" i="33"/>
  <c r="V4" i="33"/>
  <c r="S57" i="4"/>
  <c r="S58" i="4" s="1"/>
  <c r="S76" i="4" s="1"/>
  <c r="Q55" i="4"/>
  <c r="V4" i="1"/>
  <c r="V45" i="1" s="1"/>
  <c r="O32" i="4"/>
  <c r="Q10" i="4"/>
  <c r="B32" i="4"/>
  <c r="H55" i="4"/>
  <c r="R10" i="4"/>
  <c r="O14" i="4"/>
  <c r="P15" i="4"/>
  <c r="V4" i="23"/>
  <c r="V45" i="23" s="1"/>
  <c r="Z45" i="1"/>
  <c r="Z22" i="1"/>
  <c r="Z27" i="1"/>
  <c r="Z52" i="1" s="1"/>
  <c r="W4" i="23"/>
  <c r="W22" i="23" s="1"/>
  <c r="K79" i="4"/>
  <c r="B10" i="4"/>
  <c r="L79" i="4"/>
  <c r="V79" i="4"/>
  <c r="M79" i="4"/>
  <c r="J79" i="4"/>
  <c r="U79" i="4"/>
  <c r="T79" i="4"/>
  <c r="S79" i="4"/>
  <c r="O26" i="4"/>
  <c r="P46" i="1"/>
  <c r="P53" i="1" s="1"/>
  <c r="AF4" i="23"/>
  <c r="AF22" i="23" s="1"/>
  <c r="AI4" i="23"/>
  <c r="AI22" i="23" s="1"/>
  <c r="U4" i="1"/>
  <c r="U22" i="1" s="1"/>
  <c r="AJ4" i="1"/>
  <c r="AI4" i="1"/>
  <c r="AI22" i="1" s="1"/>
  <c r="M74" i="4"/>
  <c r="M27" i="1"/>
  <c r="M52" i="1" s="1"/>
  <c r="M22" i="1"/>
  <c r="J52" i="1"/>
  <c r="J74" i="4"/>
  <c r="J27" i="1"/>
  <c r="J45" i="1"/>
  <c r="AH4" i="1"/>
  <c r="AH22" i="1" s="1"/>
  <c r="S4" i="1"/>
  <c r="S4" i="23"/>
  <c r="AC4" i="1"/>
  <c r="AC4" i="23"/>
  <c r="AC27" i="23" s="1"/>
  <c r="AC52" i="23" s="1"/>
  <c r="AF4" i="1"/>
  <c r="AA4" i="23"/>
  <c r="Y4" i="1"/>
  <c r="C55" i="4"/>
  <c r="AJ4" i="23"/>
  <c r="AJ27" i="23" s="1"/>
  <c r="AJ52" i="23" s="1"/>
  <c r="U4" i="23"/>
  <c r="U22" i="23" s="1"/>
  <c r="AA4" i="1"/>
  <c r="AA22" i="1" s="1"/>
  <c r="J22" i="23"/>
  <c r="J52" i="23"/>
  <c r="J22" i="1"/>
  <c r="J27" i="23"/>
  <c r="R4" i="1"/>
  <c r="R22" i="1" s="1"/>
  <c r="R4" i="23"/>
  <c r="R22" i="23" s="1"/>
  <c r="AH4" i="23"/>
  <c r="AH45" i="23" s="1"/>
  <c r="M52" i="23"/>
  <c r="M22" i="23"/>
  <c r="M45" i="23"/>
  <c r="M45" i="1"/>
  <c r="B46" i="23"/>
  <c r="B53" i="23" s="1"/>
  <c r="B55" i="23" s="1"/>
  <c r="O46" i="23"/>
  <c r="O53" i="23" s="1"/>
  <c r="O55" i="23" s="1"/>
  <c r="O47" i="23"/>
  <c r="O48" i="23" s="1"/>
  <c r="O54" i="23" s="1"/>
  <c r="B47" i="23"/>
  <c r="B48" i="23" s="1"/>
  <c r="B54" i="23" s="1"/>
  <c r="B57" i="23"/>
  <c r="O57" i="23"/>
  <c r="W59" i="23" s="1"/>
  <c r="W60" i="23" s="1"/>
  <c r="B29" i="4"/>
  <c r="O22" i="4"/>
  <c r="R47" i="1"/>
  <c r="R48" i="1" s="1"/>
  <c r="R54" i="1" s="1"/>
  <c r="Q57" i="1"/>
  <c r="D74" i="4"/>
  <c r="R46" i="1"/>
  <c r="R53" i="1" s="1"/>
  <c r="C47" i="1"/>
  <c r="C48" i="1" s="1"/>
  <c r="C54" i="1" s="1"/>
  <c r="G74" i="4"/>
  <c r="D57" i="1"/>
  <c r="R57" i="1"/>
  <c r="P57" i="1"/>
  <c r="O57" i="1"/>
  <c r="C57" i="1"/>
  <c r="D10" i="4"/>
  <c r="C10" i="4"/>
  <c r="J75" i="4"/>
  <c r="B57" i="1"/>
  <c r="C46" i="1"/>
  <c r="C53" i="1" s="1"/>
  <c r="B46" i="1"/>
  <c r="B53" i="1" s="1"/>
  <c r="G55" i="1" s="1"/>
  <c r="B47" i="1"/>
  <c r="B48" i="1" s="1"/>
  <c r="B54" i="1" s="1"/>
  <c r="D46" i="1"/>
  <c r="D53" i="1" s="1"/>
  <c r="O47" i="1"/>
  <c r="O48" i="1" s="1"/>
  <c r="O54" i="1" s="1"/>
  <c r="O46" i="1"/>
  <c r="O53" i="1" s="1"/>
  <c r="O55" i="1" s="1"/>
  <c r="D47" i="1"/>
  <c r="D48" i="1" s="1"/>
  <c r="D54" i="1" s="1"/>
  <c r="D8" i="4"/>
  <c r="X4" i="23"/>
  <c r="X4" i="1"/>
  <c r="AG4" i="1"/>
  <c r="AG4" i="23"/>
  <c r="AB4" i="23"/>
  <c r="AB4" i="1"/>
  <c r="T4" i="1"/>
  <c r="T4" i="23"/>
  <c r="AK4" i="1"/>
  <c r="AK4" i="23"/>
  <c r="F74" i="4"/>
  <c r="I74" i="4"/>
  <c r="O74" i="4"/>
  <c r="P74" i="4"/>
  <c r="P78" i="4"/>
  <c r="F78" i="4"/>
  <c r="O78" i="4"/>
  <c r="H78" i="4"/>
  <c r="G78" i="4"/>
  <c r="D78" i="4"/>
  <c r="Q78" i="4"/>
  <c r="R78" i="4"/>
  <c r="I78" i="4"/>
  <c r="B78" i="4"/>
  <c r="C78" i="4"/>
  <c r="E78" i="4"/>
  <c r="K56" i="4" l="1"/>
  <c r="K75" i="4" s="1"/>
  <c r="K63" i="4"/>
  <c r="K64" i="4" s="1"/>
  <c r="C63" i="4"/>
  <c r="C64" i="4" s="1"/>
  <c r="R63" i="4"/>
  <c r="R64" i="4" s="1"/>
  <c r="F63" i="4"/>
  <c r="F64" i="4" s="1"/>
  <c r="V4" i="4"/>
  <c r="V55" i="4" s="1"/>
  <c r="I63" i="4"/>
  <c r="I64" i="4" s="1"/>
  <c r="C55" i="23"/>
  <c r="F55" i="23"/>
  <c r="AG55" i="23"/>
  <c r="AD55" i="23"/>
  <c r="AF55" i="23"/>
  <c r="AE55" i="23"/>
  <c r="AB55" i="23"/>
  <c r="Q55" i="23"/>
  <c r="AK55" i="23"/>
  <c r="AH55" i="23"/>
  <c r="U55" i="23"/>
  <c r="W55" i="23"/>
  <c r="AJ55" i="23"/>
  <c r="T55" i="23"/>
  <c r="Y55" i="23"/>
  <c r="X55" i="23"/>
  <c r="R55" i="23"/>
  <c r="S55" i="23"/>
  <c r="AA55" i="23"/>
  <c r="AC55" i="23"/>
  <c r="AI55" i="23"/>
  <c r="V55" i="23"/>
  <c r="P55" i="23"/>
  <c r="Z55" i="23"/>
  <c r="AB55" i="1"/>
  <c r="X55" i="1"/>
  <c r="W55" i="1"/>
  <c r="AE55" i="1"/>
  <c r="S55" i="1"/>
  <c r="U55" i="1"/>
  <c r="R55" i="1"/>
  <c r="AF55" i="1"/>
  <c r="AK55" i="1"/>
  <c r="Y55" i="1"/>
  <c r="T55" i="1"/>
  <c r="AJ55" i="1"/>
  <c r="Z55" i="1"/>
  <c r="P55" i="1"/>
  <c r="Q55" i="1"/>
  <c r="AD55" i="1"/>
  <c r="AH55" i="1"/>
  <c r="V55" i="1"/>
  <c r="AC55" i="1"/>
  <c r="AG55" i="1"/>
  <c r="AI55" i="1"/>
  <c r="AA55" i="1"/>
  <c r="AE27" i="1"/>
  <c r="AE52" i="1" s="1"/>
  <c r="D63" i="4"/>
  <c r="D64" i="4" s="1"/>
  <c r="B63" i="4"/>
  <c r="B64" i="4" s="1"/>
  <c r="O63" i="4"/>
  <c r="O64" i="4" s="1"/>
  <c r="G56" i="4"/>
  <c r="G75" i="4" s="1"/>
  <c r="H57" i="4"/>
  <c r="H58" i="4" s="1"/>
  <c r="H76" i="4" s="1"/>
  <c r="H63" i="4"/>
  <c r="H64" i="4" s="1"/>
  <c r="P63" i="4"/>
  <c r="P64" i="4" s="1"/>
  <c r="G63" i="4"/>
  <c r="G64" i="4" s="1"/>
  <c r="E63" i="4"/>
  <c r="E64" i="4" s="1"/>
  <c r="Q63" i="4"/>
  <c r="Q64" i="4" s="1"/>
  <c r="AJ45" i="23"/>
  <c r="Y27" i="23"/>
  <c r="Y52" i="23" s="1"/>
  <c r="W27" i="1"/>
  <c r="W52" i="1" s="1"/>
  <c r="Y22" i="23"/>
  <c r="AD27" i="1"/>
  <c r="AD52" i="1" s="1"/>
  <c r="AD45" i="23"/>
  <c r="V27" i="23"/>
  <c r="V52" i="23" s="1"/>
  <c r="I56" i="4"/>
  <c r="I75" i="4" s="1"/>
  <c r="AE22" i="1"/>
  <c r="Z27" i="23"/>
  <c r="Z52" i="23" s="1"/>
  <c r="AD45" i="1"/>
  <c r="AI27" i="1"/>
  <c r="AI52" i="1" s="1"/>
  <c r="AE22" i="23"/>
  <c r="AD27" i="23"/>
  <c r="AD52" i="23" s="1"/>
  <c r="Z22" i="23"/>
  <c r="AE45" i="23"/>
  <c r="U45" i="1"/>
  <c r="V22" i="1"/>
  <c r="W22" i="1"/>
  <c r="V22" i="23"/>
  <c r="V27" i="1"/>
  <c r="V52" i="1" s="1"/>
  <c r="G57" i="4"/>
  <c r="G58" i="4" s="1"/>
  <c r="G76" i="4" s="1"/>
  <c r="F57" i="4"/>
  <c r="F58" i="4" s="1"/>
  <c r="F76" i="4" s="1"/>
  <c r="B56" i="4"/>
  <c r="E79" i="4"/>
  <c r="G79" i="4"/>
  <c r="I79" i="4"/>
  <c r="H79" i="4"/>
  <c r="F79" i="4"/>
  <c r="J80"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W27" i="33"/>
  <c r="W52" i="33" s="1"/>
  <c r="W22" i="33"/>
  <c r="W45" i="33"/>
  <c r="O57" i="4"/>
  <c r="O58" i="4" s="1"/>
  <c r="O76" i="4" s="1"/>
  <c r="C57" i="4"/>
  <c r="C58" i="4" s="1"/>
  <c r="C76" i="4" s="1"/>
  <c r="Q56" i="4"/>
  <c r="Q75" i="4" s="1"/>
  <c r="O56" i="4"/>
  <c r="O75" i="4" s="1"/>
  <c r="C56" i="4"/>
  <c r="C75" i="4" s="1"/>
  <c r="Y22" i="33"/>
  <c r="Y45" i="33"/>
  <c r="Y27" i="33"/>
  <c r="Y52" i="33" s="1"/>
  <c r="P56" i="4"/>
  <c r="R57" i="4"/>
  <c r="R58" i="4" s="1"/>
  <c r="R76" i="4" s="1"/>
  <c r="Q57" i="4"/>
  <c r="Q58" i="4" s="1"/>
  <c r="Q76" i="4" s="1"/>
  <c r="Q79" i="4"/>
  <c r="P79" i="4"/>
  <c r="R79" i="4"/>
  <c r="R80" i="4" s="1"/>
  <c r="AJ45" i="1"/>
  <c r="AF27" i="1"/>
  <c r="AF52" i="1" s="1"/>
  <c r="AF45" i="23"/>
  <c r="U4" i="4"/>
  <c r="AF45" i="1"/>
  <c r="AJ22" i="1"/>
  <c r="AJ27" i="1"/>
  <c r="AJ52" i="1" s="1"/>
  <c r="AH27" i="1"/>
  <c r="AH52" i="1" s="1"/>
  <c r="AJ22" i="23"/>
  <c r="AH45" i="1"/>
  <c r="AF27" i="23"/>
  <c r="AF52" i="23" s="1"/>
  <c r="AC22" i="23"/>
  <c r="U27" i="1"/>
  <c r="U52" i="1" s="1"/>
  <c r="W27" i="23"/>
  <c r="W52" i="23" s="1"/>
  <c r="W45" i="23"/>
  <c r="C79" i="4"/>
  <c r="D79" i="4"/>
  <c r="L55" i="23"/>
  <c r="D55" i="23"/>
  <c r="H55" i="23"/>
  <c r="K55" i="23"/>
  <c r="J55" i="23"/>
  <c r="M55" i="23"/>
  <c r="G55" i="23"/>
  <c r="E55" i="23"/>
  <c r="I55" i="23"/>
  <c r="AA59" i="23"/>
  <c r="AA60" i="23" s="1"/>
  <c r="AF59" i="23"/>
  <c r="AF60" i="23" s="1"/>
  <c r="R59" i="23"/>
  <c r="R60" i="23" s="1"/>
  <c r="O79" i="4"/>
  <c r="B79" i="4"/>
  <c r="B64" i="23"/>
  <c r="W61" i="23"/>
  <c r="L59" i="23"/>
  <c r="L60" i="23" s="1"/>
  <c r="F59" i="23"/>
  <c r="F60" i="23" s="1"/>
  <c r="AC59" i="23"/>
  <c r="AC60" i="23" s="1"/>
  <c r="AH59" i="23"/>
  <c r="AH60" i="23" s="1"/>
  <c r="X59" i="23"/>
  <c r="X60" i="23" s="1"/>
  <c r="Q59" i="23"/>
  <c r="Q60" i="23" s="1"/>
  <c r="AG59" i="23"/>
  <c r="AG60" i="23" s="1"/>
  <c r="V59" i="23"/>
  <c r="V60" i="23" s="1"/>
  <c r="P59" i="23"/>
  <c r="P60" i="23" s="1"/>
  <c r="AE59" i="23"/>
  <c r="AE60" i="23" s="1"/>
  <c r="T59" i="23"/>
  <c r="T60" i="23" s="1"/>
  <c r="U59" i="23"/>
  <c r="U60" i="23" s="1"/>
  <c r="AK59" i="23"/>
  <c r="AK60" i="23" s="1"/>
  <c r="Z59" i="23"/>
  <c r="Z60" i="23" s="1"/>
  <c r="S59" i="23"/>
  <c r="S60" i="23" s="1"/>
  <c r="AI59" i="23"/>
  <c r="AI60" i="23" s="1"/>
  <c r="AB59" i="23"/>
  <c r="AB60" i="23" s="1"/>
  <c r="Y59" i="23"/>
  <c r="Y60" i="23" s="1"/>
  <c r="AJ59" i="23"/>
  <c r="AJ60" i="23" s="1"/>
  <c r="AD59" i="23"/>
  <c r="AD60" i="23" s="1"/>
  <c r="B65" i="23"/>
  <c r="AF22" i="1"/>
  <c r="AH22" i="23"/>
  <c r="AI45" i="1"/>
  <c r="AI45" i="23"/>
  <c r="AH27" i="23"/>
  <c r="AH52" i="23" s="1"/>
  <c r="AI27" i="23"/>
  <c r="AI52" i="23" s="1"/>
  <c r="R45" i="23"/>
  <c r="AC27" i="1"/>
  <c r="AC52" i="1" s="1"/>
  <c r="AC22" i="1"/>
  <c r="AC45" i="1"/>
  <c r="S4" i="4"/>
  <c r="S62" i="4" s="1"/>
  <c r="S45" i="1"/>
  <c r="S27" i="1"/>
  <c r="S52" i="1" s="1"/>
  <c r="S22" i="1"/>
  <c r="AA27" i="23"/>
  <c r="AA52" i="23" s="1"/>
  <c r="AA22" i="23"/>
  <c r="AA45" i="23"/>
  <c r="AA45" i="1"/>
  <c r="AA27" i="1"/>
  <c r="AA52" i="1" s="1"/>
  <c r="AC45" i="23"/>
  <c r="U27" i="23"/>
  <c r="U52" i="23" s="1"/>
  <c r="U45" i="23"/>
  <c r="Y27" i="1"/>
  <c r="Y52" i="1" s="1"/>
  <c r="Y45" i="1"/>
  <c r="Y22" i="1"/>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AJ59" i="1"/>
  <c r="AJ60" i="1" s="1"/>
  <c r="AF59" i="1"/>
  <c r="AF60" i="1" s="1"/>
  <c r="AB59" i="1"/>
  <c r="AB60" i="1" s="1"/>
  <c r="X59" i="1"/>
  <c r="X60" i="1" s="1"/>
  <c r="T59" i="1"/>
  <c r="T60" i="1" s="1"/>
  <c r="P59" i="1"/>
  <c r="P60" i="1" s="1"/>
  <c r="AI59" i="1"/>
  <c r="AI60" i="1" s="1"/>
  <c r="AE59" i="1"/>
  <c r="AE60" i="1" s="1"/>
  <c r="AA59" i="1"/>
  <c r="AA60" i="1" s="1"/>
  <c r="W59" i="1"/>
  <c r="W60" i="1" s="1"/>
  <c r="S59" i="1"/>
  <c r="S60" i="1" s="1"/>
  <c r="AH59" i="1"/>
  <c r="AH60" i="1" s="1"/>
  <c r="AD59" i="1"/>
  <c r="AD60" i="1" s="1"/>
  <c r="Z59" i="1"/>
  <c r="Z60" i="1" s="1"/>
  <c r="V59" i="1"/>
  <c r="V60" i="1" s="1"/>
  <c r="R59" i="1"/>
  <c r="R60" i="1" s="1"/>
  <c r="Y59" i="1"/>
  <c r="Y60" i="1" s="1"/>
  <c r="AK59" i="1"/>
  <c r="AK60" i="1" s="1"/>
  <c r="U59" i="1"/>
  <c r="U60" i="1" s="1"/>
  <c r="AC59" i="1"/>
  <c r="AC60" i="1" s="1"/>
  <c r="AG59" i="1"/>
  <c r="AG60" i="1" s="1"/>
  <c r="Q59" i="1"/>
  <c r="Q60" i="1" s="1"/>
  <c r="B65" i="1"/>
  <c r="B64" i="1"/>
  <c r="B55" i="1"/>
  <c r="AB45" i="23"/>
  <c r="AB27" i="23"/>
  <c r="AB52" i="23" s="1"/>
  <c r="AB22" i="23"/>
  <c r="AG22" i="23"/>
  <c r="AG27" i="23"/>
  <c r="AG52" i="23" s="1"/>
  <c r="AG45" i="23"/>
  <c r="X45" i="23"/>
  <c r="X27" i="23"/>
  <c r="X52" i="23" s="1"/>
  <c r="X22" i="23"/>
  <c r="AG45" i="1"/>
  <c r="AG27" i="1"/>
  <c r="AG52" i="1" s="1"/>
  <c r="AG22" i="1"/>
  <c r="X27" i="1"/>
  <c r="X52" i="1" s="1"/>
  <c r="X22" i="1"/>
  <c r="X45" i="1"/>
  <c r="AB22" i="1"/>
  <c r="AB45" i="1"/>
  <c r="AB27" i="1"/>
  <c r="AB52" i="1" s="1"/>
  <c r="T27" i="23"/>
  <c r="T52" i="23" s="1"/>
  <c r="T45" i="23"/>
  <c r="T22" i="23"/>
  <c r="AK22" i="23"/>
  <c r="AK27" i="23"/>
  <c r="AK52" i="23" s="1"/>
  <c r="AK45" i="23"/>
  <c r="T27" i="1"/>
  <c r="T52" i="1" s="1"/>
  <c r="T45" i="1"/>
  <c r="T4" i="4"/>
  <c r="T62" i="4" s="1"/>
  <c r="T22" i="1"/>
  <c r="AK22" i="1"/>
  <c r="AK27" i="1"/>
  <c r="AK52" i="1" s="1"/>
  <c r="AK45" i="1"/>
  <c r="T77" i="4" l="1"/>
  <c r="V74" i="4"/>
  <c r="V62" i="4"/>
  <c r="B80" i="4"/>
  <c r="P75" i="4"/>
  <c r="O81" i="4"/>
  <c r="U74" i="4"/>
  <c r="U62" i="4"/>
  <c r="R61" i="23"/>
  <c r="AF61" i="23"/>
  <c r="AA61" i="23"/>
  <c r="U55" i="4"/>
  <c r="V77" i="4"/>
  <c r="U77" i="4"/>
  <c r="O77" i="4"/>
  <c r="S77" i="4"/>
  <c r="Q77" i="4"/>
  <c r="R77" i="4"/>
  <c r="T81" i="4"/>
  <c r="U81" i="4"/>
  <c r="P81" i="4"/>
  <c r="P82" i="4" s="1"/>
  <c r="V81" i="4"/>
  <c r="S81" i="4"/>
  <c r="Q81" i="4"/>
  <c r="R81" i="4"/>
  <c r="B86" i="4"/>
  <c r="B87" i="4"/>
  <c r="B75" i="4"/>
  <c r="D94" i="4" s="1"/>
  <c r="M81" i="4"/>
  <c r="J81" i="4"/>
  <c r="K81" i="4"/>
  <c r="L81" i="4"/>
  <c r="M61" i="23"/>
  <c r="I61" i="23"/>
  <c r="E61" i="23"/>
  <c r="AD61" i="23"/>
  <c r="Z61" i="23"/>
  <c r="AG61" i="23"/>
  <c r="AC61" i="23"/>
  <c r="D61" i="23"/>
  <c r="C61" i="23"/>
  <c r="AJ61" i="23"/>
  <c r="AK61" i="23"/>
  <c r="AE61" i="23"/>
  <c r="Q61" i="23"/>
  <c r="Y61" i="23"/>
  <c r="AI61" i="23"/>
  <c r="U61" i="23"/>
  <c r="P61" i="23"/>
  <c r="X61" i="23"/>
  <c r="F61" i="23"/>
  <c r="H61" i="23"/>
  <c r="K61" i="23"/>
  <c r="G61" i="23"/>
  <c r="J61" i="23"/>
  <c r="AB61" i="23"/>
  <c r="S61" i="23"/>
  <c r="T61" i="23"/>
  <c r="V61" i="23"/>
  <c r="AH61" i="23"/>
  <c r="L61" i="23"/>
  <c r="AC61" i="1"/>
  <c r="AH61" i="1"/>
  <c r="X61" i="1"/>
  <c r="D61" i="1"/>
  <c r="U61" i="1"/>
  <c r="S61" i="1"/>
  <c r="AI61" i="1"/>
  <c r="G61" i="1"/>
  <c r="M61" i="1"/>
  <c r="AK61" i="1"/>
  <c r="Z61" i="1"/>
  <c r="W61" i="1"/>
  <c r="AF61" i="1"/>
  <c r="L61" i="1"/>
  <c r="AG61" i="1"/>
  <c r="Y61" i="1"/>
  <c r="AD61" i="1"/>
  <c r="AA61" i="1"/>
  <c r="T61" i="1"/>
  <c r="AJ61" i="1"/>
  <c r="E61" i="1"/>
  <c r="F61" i="1"/>
  <c r="AE61" i="1"/>
  <c r="K61" i="1"/>
  <c r="I61" i="1"/>
  <c r="J61" i="1"/>
  <c r="V61" i="1"/>
  <c r="AB61" i="1"/>
  <c r="H61" i="1"/>
  <c r="S55" i="4"/>
  <c r="S74" i="4"/>
  <c r="R55" i="4"/>
  <c r="R74" i="4"/>
  <c r="O61" i="1"/>
  <c r="Q61" i="1"/>
  <c r="P61" i="1"/>
  <c r="C61" i="1"/>
  <c r="R61" i="1"/>
  <c r="T55" i="4"/>
  <c r="T74" i="4"/>
  <c r="P77" i="4" l="1"/>
  <c r="P94" i="4"/>
  <c r="N94" i="4"/>
  <c r="B94" i="4"/>
  <c r="M94" i="4"/>
  <c r="L94" i="4"/>
  <c r="V94" i="4"/>
  <c r="U94" i="4"/>
  <c r="S94" i="4"/>
  <c r="J94" i="4"/>
  <c r="T94" i="4"/>
  <c r="H94" i="4"/>
  <c r="K94" i="4"/>
  <c r="I94" i="4"/>
  <c r="E94" i="4"/>
  <c r="Q94" i="4"/>
  <c r="G94" i="4"/>
  <c r="R94" i="4"/>
  <c r="F94" i="4"/>
  <c r="O94" i="4"/>
  <c r="C94" i="4"/>
  <c r="I81" i="4"/>
  <c r="F81" i="4"/>
  <c r="G81" i="4"/>
  <c r="H81" i="4"/>
  <c r="D81" i="4"/>
  <c r="E81" i="4"/>
  <c r="C81" i="4"/>
  <c r="K77" i="4"/>
  <c r="J77" i="4"/>
  <c r="G77" i="4"/>
  <c r="F77" i="4"/>
  <c r="L77" i="4"/>
  <c r="B77" i="4"/>
  <c r="M77" i="4"/>
  <c r="I77" i="4"/>
  <c r="H77" i="4"/>
  <c r="D77" i="4"/>
  <c r="C77" i="4"/>
  <c r="E77" i="4"/>
  <c r="T83" i="4"/>
  <c r="P83" i="4"/>
  <c r="J83" i="4"/>
  <c r="O83" i="4"/>
  <c r="O61" i="23"/>
  <c r="D83" i="4" l="1"/>
  <c r="I83" i="4"/>
  <c r="E83" i="4"/>
  <c r="C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<sst xmlns="http://schemas.openxmlformats.org/spreadsheetml/2006/main" count="264" uniqueCount="79">
  <si>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</si>
  <si>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</si>
  <si>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</si>
  <si>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</si>
  <si>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</si>
  <si>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</si>
  <si>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</si>
  <si>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</si>
  <si>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</si>
  <si>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</si>
  <si>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</si>
  <si>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</si>
  <si>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</si>
  <si>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</si>
  <si>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</si>
  <si>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</si>
  <si>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</si>
  <si>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</si>
  <si>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</si>
  <si>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</si>
  <si>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</si>
  <si>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</si>
  <si>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</si>
  <si>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</si>
  <si>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</si>
  <si>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</si>
  <si>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</si>
  <si>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</si>
  <si>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</si>
  <si>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</si>
  <si>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</si>
  <si>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</si>
  <si>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</si>
  <si>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</si>
  <si>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</si>
  <si>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</si>
  <si>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</si>
  <si>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</si>
  <si>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</si>
  <si>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</si>
  <si>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</si>
  <si>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</si>
  <si>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</si>
  <si>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</si>
  <si>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</si>
  <si>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</si>
  <si>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</si>
  <si>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</si>
  <si>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</si>
  <si>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</si>
  <si>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</si>
  <si>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</si>
  <si>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</si>
  <si>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</si>
  <si>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</si>
  <si>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</si>
  <si>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</si>
  <si>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</si>
  <si>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</si>
  <si>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</si>
  <si>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</si>
  <si>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</si>
  <si>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</si>
  <si>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</si>
  <si>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</si>
  <si>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</si>
  <si>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</si>
  <si>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</si>
  <si>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17ß-Estradiol_01</t>
  </si>
  <si>
    <t>Date performed : 26-08-2021</t>
  </si>
  <si>
    <t>17ß-Estradiol_03</t>
  </si>
  <si>
    <t>17ß-Estradiol_02</t>
  </si>
  <si>
    <t>Date performed : 02-09-2021</t>
  </si>
  <si>
    <t>&gt;0,9999</t>
  </si>
  <si>
    <t>&lt;0,0001</t>
  </si>
  <si>
    <t>***</t>
  </si>
  <si>
    <t>NS</t>
  </si>
  <si>
    <t>Date performed : 15-09-2021</t>
  </si>
  <si>
    <t>Estradiol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</si>
</sst>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8"/>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8">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6" borderId="23" xfId="0" applyFill="1" applyBorder="1"/>
    <xf numFmtId="0" fontId="0" fillId="6" borderId="16"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0" xfId="0" applyNumberFormat="1" applyFill="1" applyBorder="1" applyAlignment="1">
      <alignment horizontal="center"/>
    </xf>
    <xf numFmtId="164" fontId="0" fillId="6" borderId="15" xfId="0" applyNumberFormat="1" applyFill="1" applyBorder="1" applyAlignment="1">
      <alignment horizontal="center"/>
    </xf>
    <xf numFmtId="164" fontId="0" fillId="6" borderId="3" xfId="0" applyNumberFormat="1" applyFill="1" applyBorder="1" applyAlignment="1">
      <alignment horizontal="center"/>
    </xf>
    <xf numFmtId="164" fontId="0" fillId="6" borderId="17"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8"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12" fillId="0" borderId="0" xfId="0" applyFont="1"/>
    <xf numFmtId="0" fontId="4" fillId="0" borderId="0" xfId="0" applyFont="1"/>
    <xf numFmtId="14" fontId="3" fillId="0" borderId="39" xfId="0" applyNumberFormat="1" applyFont="1" applyBorder="1" applyAlignment="1">
      <alignment horizontal="center" vertical="center"/>
    </xf>
    <xf numFmtId="14" fontId="3" fillId="0" borderId="5" xfId="0" applyNumberFormat="1" applyFont="1" applyBorder="1" applyAlignment="1">
      <alignment horizontal="center" vertical="center"/>
    </xf>
    <xf numFmtId="14" fontId="3" fillId="0" borderId="26" xfId="0" applyNumberFormat="1" applyFont="1" applyBorder="1" applyAlignment="1">
      <alignment horizontal="center" vertical="center"/>
    </xf>
    <xf numFmtId="14" fontId="3" fillId="0" borderId="28" xfId="0" applyNumberFormat="1" applyFont="1" applyBorder="1" applyAlignment="1">
      <alignment horizontal="center" vertical="center"/>
    </xf>
    <xf numFmtId="14" fontId="3" fillId="0" borderId="35" xfId="0" applyNumberFormat="1" applyFont="1" applyBorder="1" applyAlignment="1">
      <alignment horizontal="center" vertical="center"/>
    </xf>
    <xf numFmtId="14" fontId="3" fillId="0" borderId="37" xfId="0" applyNumberFormat="1" applyFont="1" applyBorder="1" applyAlignment="1">
      <alignment horizontal="center" vertical="center"/>
    </xf>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0" fontId="3" fillId="0" borderId="35" xfId="0" applyFont="1" applyBorder="1" applyAlignment="1">
      <alignment horizontal="left" vertical="center"/>
    </xf>
    <xf numFmtId="0" fontId="3" fillId="0" borderId="36" xfId="0" applyFont="1" applyBorder="1" applyAlignment="1">
      <alignment horizontal="left" vertical="center"/>
    </xf>
    <xf numFmtId="0" fontId="3" fillId="0" borderId="37"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0" fontId="7" fillId="11" borderId="5"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164" fontId="7" fillId="11"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'R1'!$N$48:$AK$48</c:f>
                <c:numCache>
                  <c:formatCode>General</c:formatCode>
                  <c:ptCount val="24"/>
                  <c:pt idx="0">
                    <c:v>0</c:v>
                  </c:pt>
                  <c:pt idx="1">
                    <c:v>0.15016793290692448</c:v>
                  </c:pt>
                  <c:pt idx="2">
                    <c:v>0.20026885342058379</c:v>
                  </c:pt>
                  <c:pt idx="3">
                    <c:v>1.5610285292358035E-2</c:v>
                  </c:pt>
                  <c:pt idx="4">
                    <c:v>0.15797523502251087</c:v>
                  </c:pt>
                  <c:pt idx="5">
                    <c:v>0.21721255872208467</c:v>
                  </c:pt>
                  <c:pt idx="6">
                    <c:v>0.21445991953862917</c:v>
                  </c:pt>
                  <c:pt idx="7">
                    <c:v>0.15397675514284934</c:v>
                  </c:pt>
                  <c:pt idx="8">
                    <c:v>0.20170337114658618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plus>
            <c:minus>
              <c:numRef>
                <c:f>'R1'!$N$48:$AK$48</c:f>
                <c:numCache>
                  <c:formatCode>General</c:formatCode>
                  <c:ptCount val="24"/>
                  <c:pt idx="0">
                    <c:v>0</c:v>
                  </c:pt>
                  <c:pt idx="1">
                    <c:v>0.15016793290692448</c:v>
                  </c:pt>
                  <c:pt idx="2">
                    <c:v>0.20026885342058379</c:v>
                  </c:pt>
                  <c:pt idx="3">
                    <c:v>1.5610285292358035E-2</c:v>
                  </c:pt>
                  <c:pt idx="4">
                    <c:v>0.15797523502251087</c:v>
                  </c:pt>
                  <c:pt idx="5">
                    <c:v>0.21721255872208467</c:v>
                  </c:pt>
                  <c:pt idx="6">
                    <c:v>0.21445991953862917</c:v>
                  </c:pt>
                  <c:pt idx="7">
                    <c:v>0.15397675514284934</c:v>
                  </c:pt>
                  <c:pt idx="8">
                    <c:v>0.20170337114658618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'R1'!$B$52:$AK$52</c:f>
              <c:strCache>
                <c:ptCount val="36"/>
                <c:pt idx="0">
                  <c:v>Solvent control</c:v>
                </c:pt>
                <c:pt idx="1">
                  <c:v>EE2-33.8ng/L</c:v>
                </c:pt>
                <c:pt idx="2">
                  <c:v>EE2-50.6ng/L</c:v>
                </c:pt>
                <c:pt idx="3">
                  <c:v>EE2-76ng/L</c:v>
                </c:pt>
                <c:pt idx="4">
                  <c:v>EE2-114ng/L</c:v>
                </c:pt>
                <c:pt idx="5">
                  <c:v>EE2-170.9ng/L</c:v>
                </c:pt>
                <c:pt idx="6">
                  <c:v>EE2-488ng/L</c:v>
                </c:pt>
                <c:pt idx="7">
                  <c:v>Estradiol-34ng/L</c:v>
                </c:pt>
                <c:pt idx="8">
                  <c:v>Estradiol-68ng/L</c:v>
                </c:pt>
                <c:pt idx="9">
                  <c:v>Estradiol-135ng/L</c:v>
                </c:pt>
                <c:pt idx="10">
                  <c:v>Estradiol-270ng/L</c:v>
                </c:pt>
                <c:pt idx="11">
                  <c:v>Estradiol-540ng/L</c:v>
                </c:pt>
                <c:pt idx="13">
                  <c:v>Testo -30µg/L</c:v>
                </c:pt>
                <c:pt idx="14">
                  <c:v>Testo 30µg/L + EE2 -64ng/L</c:v>
                </c:pt>
                <c:pt idx="15">
                  <c:v>Testo 30µg/L + FAD-10mg/L</c:v>
                </c:pt>
                <c:pt idx="16">
                  <c:v>Estradiol-34ng/L + Testostérone</c:v>
                </c:pt>
                <c:pt idx="17">
                  <c:v>Estradiol-68ng/L + Testostérone</c:v>
                </c:pt>
                <c:pt idx="18">
                  <c:v>Estradiol-135ng/L + Testostérone</c:v>
                </c:pt>
                <c:pt idx="19">
                  <c:v>Estradiol-270ng/L + Testostérone</c:v>
                </c:pt>
                <c:pt idx="20">
                  <c:v>Estradiol-540ng/L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'R1'!$B$53:$AK$53</c:f>
              <c:numCache>
                <c:formatCode>0.0000</c:formatCode>
                <c:ptCount val="36"/>
                <c:pt idx="0">
                  <c:v>2.6676704190034144E-2</c:v>
                </c:pt>
                <c:pt idx="1">
                  <c:v>9.6533534083800675E-3</c:v>
                </c:pt>
                <c:pt idx="2">
                  <c:v>1.4565601804587835E-2</c:v>
                </c:pt>
                <c:pt idx="3">
                  <c:v>0.1670673552118847</c:v>
                </c:pt>
                <c:pt idx="4">
                  <c:v>0.27806250524668208</c:v>
                </c:pt>
                <c:pt idx="5">
                  <c:v>0.67732268922581984</c:v>
                </c:pt>
                <c:pt idx="6">
                  <c:v>2.2793070859318512</c:v>
                </c:pt>
                <c:pt idx="7">
                  <c:v>2.7697065378397482E-3</c:v>
                </c:pt>
                <c:pt idx="8">
                  <c:v>1.5211180645633E-2</c:v>
                </c:pt>
                <c:pt idx="9">
                  <c:v>0.24413278776866398</c:v>
                </c:pt>
                <c:pt idx="10">
                  <c:v>1.6540433978460847</c:v>
                </c:pt>
                <c:pt idx="11">
                  <c:v>2.2856751362783356</c:v>
                </c:pt>
                <c:pt idx="13">
                  <c:v>1</c:v>
                </c:pt>
                <c:pt idx="14">
                  <c:v>1.4205180096217003</c:v>
                </c:pt>
                <c:pt idx="15">
                  <c:v>3.2204202219989653E-2</c:v>
                </c:pt>
                <c:pt idx="16">
                  <c:v>1.4480885829490282</c:v>
                </c:pt>
                <c:pt idx="17">
                  <c:v>1.7470522447675347</c:v>
                </c:pt>
                <c:pt idx="18">
                  <c:v>2.1574497469406766</c:v>
                </c:pt>
                <c:pt idx="19">
                  <c:v>2.4062781459105667</c:v>
                </c:pt>
                <c:pt idx="20">
                  <c:v>2.4745730216285162</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'R2'!$B$54:$X$54</c:f>
                <c:numCache>
                  <c:formatCode>General</c:formatCode>
                  <c:ptCount val="23"/>
                  <c:pt idx="0">
                    <c:v>4.4457783237883703E-3</c:v>
                  </c:pt>
                  <c:pt idx="1">
                    <c:v>1.6149330912242178E-2</c:v>
                  </c:pt>
                  <c:pt idx="2">
                    <c:v>1.221801166423396E-2</c:v>
                  </c:pt>
                  <c:pt idx="3">
                    <c:v>0.33160123345843961</c:v>
                  </c:pt>
                  <c:pt idx="4">
                    <c:v>0.20018583112072222</c:v>
                  </c:pt>
                  <c:pt idx="5">
                    <c:v>0.15897694283071465</c:v>
                  </c:pt>
                  <c:pt idx="6">
                    <c:v>0.18073052402236478</c:v>
                  </c:pt>
                  <c:pt idx="7">
                    <c:v>3.1705752638620539E-3</c:v>
                  </c:pt>
                  <c:pt idx="8">
                    <c:v>2.1964842460442776E-2</c:v>
                  </c:pt>
                  <c:pt idx="9">
                    <c:v>4.1826766104075645E-2</c:v>
                  </c:pt>
                  <c:pt idx="10">
                    <c:v>0.15168079766185183</c:v>
                  </c:pt>
                  <c:pt idx="11">
                    <c:v>0.1706253681302724</c:v>
                  </c:pt>
                  <c:pt idx="13">
                    <c:v>0.14835784370808847</c:v>
                  </c:pt>
                  <c:pt idx="14">
                    <c:v>0.12590975587577705</c:v>
                  </c:pt>
                  <c:pt idx="15">
                    <c:v>4.394681809711534E-3</c:v>
                  </c:pt>
                  <c:pt idx="16">
                    <c:v>0.2184910197320665</c:v>
                  </c:pt>
                  <c:pt idx="17">
                    <c:v>0.23216278727890291</c:v>
                  </c:pt>
                  <c:pt idx="18">
                    <c:v>0.29997072047114443</c:v>
                  </c:pt>
                  <c:pt idx="19">
                    <c:v>0.28411942028317388</c:v>
                  </c:pt>
                  <c:pt idx="20">
                    <c:v>7.1102546517884918E-2</c:v>
                  </c:pt>
                  <c:pt idx="21">
                    <c:v>0</c:v>
                  </c:pt>
                  <c:pt idx="22">
                    <c:v>0</c:v>
                  </c:pt>
                </c:numCache>
              </c:numRef>
            </c:plus>
            <c:minus>
              <c:numRef>
                <c:f>'R1'!$N$48:$AK$48</c:f>
                <c:numCache>
                  <c:formatCode>General</c:formatCode>
                  <c:ptCount val="24"/>
                  <c:pt idx="0">
                    <c:v>0</c:v>
                  </c:pt>
                  <c:pt idx="1">
                    <c:v>0.15016793290692448</c:v>
                  </c:pt>
                  <c:pt idx="2">
                    <c:v>0.20026885342058379</c:v>
                  </c:pt>
                  <c:pt idx="3">
                    <c:v>1.5610285292358035E-2</c:v>
                  </c:pt>
                  <c:pt idx="4">
                    <c:v>0.15797523502251087</c:v>
                  </c:pt>
                  <c:pt idx="5">
                    <c:v>0.21721255872208467</c:v>
                  </c:pt>
                  <c:pt idx="6">
                    <c:v>0.21445991953862917</c:v>
                  </c:pt>
                  <c:pt idx="7">
                    <c:v>0.15397675514284934</c:v>
                  </c:pt>
                  <c:pt idx="8">
                    <c:v>0.20170337114658618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'R2'!$B$52:$AK$52</c:f>
              <c:strCache>
                <c:ptCount val="36"/>
                <c:pt idx="0">
                  <c:v>Solvent control</c:v>
                </c:pt>
                <c:pt idx="1">
                  <c:v>EE2-33.8ng/L</c:v>
                </c:pt>
                <c:pt idx="2">
                  <c:v>EE2-50.6ng/L</c:v>
                </c:pt>
                <c:pt idx="3">
                  <c:v>EE2-76ng/L</c:v>
                </c:pt>
                <c:pt idx="4">
                  <c:v>EE2-114ng/L</c:v>
                </c:pt>
                <c:pt idx="5">
                  <c:v>EE2-170.9ng/L</c:v>
                </c:pt>
                <c:pt idx="6">
                  <c:v>EE2-488ng/L</c:v>
                </c:pt>
                <c:pt idx="7">
                  <c:v>Estradiol-34ng/L</c:v>
                </c:pt>
                <c:pt idx="8">
                  <c:v>Estradiol-68ng/L</c:v>
                </c:pt>
                <c:pt idx="9">
                  <c:v>Estradiol-135ng/L</c:v>
                </c:pt>
                <c:pt idx="10">
                  <c:v>Estradiol-270ng/L</c:v>
                </c:pt>
                <c:pt idx="11">
                  <c:v>Estradiol-540ng/L</c:v>
                </c:pt>
                <c:pt idx="13">
                  <c:v>Testo -30µg/L</c:v>
                </c:pt>
                <c:pt idx="14">
                  <c:v>Testo 30µg/L + EE2 -64ng/L</c:v>
                </c:pt>
                <c:pt idx="15">
                  <c:v>Testo 30µg/L + FAD-10mg/L</c:v>
                </c:pt>
                <c:pt idx="16">
                  <c:v>Estradiol-34ng/L + Testostérone</c:v>
                </c:pt>
                <c:pt idx="17">
                  <c:v>Estradiol-68ng/L + Testostérone</c:v>
                </c:pt>
                <c:pt idx="18">
                  <c:v>Estradiol-135ng/L + Testostérone</c:v>
                </c:pt>
                <c:pt idx="19">
                  <c:v>Estradiol-270ng/L + Testostérone</c:v>
                </c:pt>
                <c:pt idx="20">
                  <c:v>Estradiol-540ng/L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'R2'!$B$53:$AK$53</c:f>
              <c:numCache>
                <c:formatCode>0.0000</c:formatCode>
                <c:ptCount val="36"/>
                <c:pt idx="0">
                  <c:v>6.1925165756057552E-3</c:v>
                </c:pt>
                <c:pt idx="1">
                  <c:v>1.680417315551215E-2</c:v>
                </c:pt>
                <c:pt idx="2">
                  <c:v>1.7512093641637982E-2</c:v>
                </c:pt>
                <c:pt idx="3">
                  <c:v>0.50741452217665617</c:v>
                </c:pt>
                <c:pt idx="4">
                  <c:v>0.46068155478952139</c:v>
                </c:pt>
                <c:pt idx="5">
                  <c:v>1.542880521307334</c:v>
                </c:pt>
                <c:pt idx="6">
                  <c:v>2.0702312284872106</c:v>
                </c:pt>
                <c:pt idx="7">
                  <c:v>3.8634275303432801E-3</c:v>
                </c:pt>
                <c:pt idx="8">
                  <c:v>3.4595436430206968E-2</c:v>
                </c:pt>
                <c:pt idx="9">
                  <c:v>6.974395854221499E-2</c:v>
                </c:pt>
                <c:pt idx="10">
                  <c:v>1.1251195828887548</c:v>
                </c:pt>
                <c:pt idx="11">
                  <c:v>2.299611767415942</c:v>
                </c:pt>
                <c:pt idx="13">
                  <c:v>0.99999999999999978</c:v>
                </c:pt>
                <c:pt idx="14">
                  <c:v>1.6561416699057692</c:v>
                </c:pt>
                <c:pt idx="15">
                  <c:v>5.2721177906138736E-3</c:v>
                </c:pt>
                <c:pt idx="16">
                  <c:v>1.1585430322185544</c:v>
                </c:pt>
                <c:pt idx="17">
                  <c:v>0.87877040442894672</c:v>
                </c:pt>
                <c:pt idx="18">
                  <c:v>1.422782270524714</c:v>
                </c:pt>
                <c:pt idx="19">
                  <c:v>1.6060151789184751</c:v>
                </c:pt>
                <c:pt idx="20">
                  <c:v>2.2905354708513999</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'R3'!$B$54:$X$54</c:f>
                <c:numCache>
                  <c:formatCode>General</c:formatCode>
                  <c:ptCount val="23"/>
                  <c:pt idx="0">
                    <c:v>1.2392351654561493E-2</c:v>
                  </c:pt>
                  <c:pt idx="1">
                    <c:v>8.8000945145560158E-2</c:v>
                  </c:pt>
                  <c:pt idx="2">
                    <c:v>2.8835514796061223E-2</c:v>
                  </c:pt>
                  <c:pt idx="3">
                    <c:v>0.1164571605360135</c:v>
                  </c:pt>
                  <c:pt idx="4">
                    <c:v>0.11773192481912086</c:v>
                  </c:pt>
                  <c:pt idx="5">
                    <c:v>4.6871364706045929E-2</c:v>
                  </c:pt>
                  <c:pt idx="6">
                    <c:v>8.6814114230297459E-2</c:v>
                  </c:pt>
                  <c:pt idx="7">
                    <c:v>1.4856063296297429E-2</c:v>
                  </c:pt>
                  <c:pt idx="8">
                    <c:v>1.2140570047367655E-2</c:v>
                  </c:pt>
                  <c:pt idx="9">
                    <c:v>0.13324702597422947</c:v>
                  </c:pt>
                  <c:pt idx="10">
                    <c:v>3.6209117622281621E-2</c:v>
                  </c:pt>
                  <c:pt idx="11">
                    <c:v>6.4097212101659459E-2</c:v>
                  </c:pt>
                  <c:pt idx="13">
                    <c:v>4.8702011434230294E-2</c:v>
                  </c:pt>
                  <c:pt idx="14">
                    <c:v>4.8250636384782254E-2</c:v>
                  </c:pt>
                  <c:pt idx="15">
                    <c:v>1.8412881992228895E-2</c:v>
                  </c:pt>
                  <c:pt idx="16">
                    <c:v>6.708056277148404E-2</c:v>
                  </c:pt>
                  <c:pt idx="17">
                    <c:v>4.1324269532811764E-2</c:v>
                  </c:pt>
                  <c:pt idx="18">
                    <c:v>4.629347340433744E-2</c:v>
                  </c:pt>
                  <c:pt idx="19">
                    <c:v>7.3041178095553258E-2</c:v>
                  </c:pt>
                  <c:pt idx="20">
                    <c:v>4.4560266157846092E-2</c:v>
                  </c:pt>
                  <c:pt idx="21">
                    <c:v>0</c:v>
                  </c:pt>
                  <c:pt idx="22">
                    <c:v>0</c:v>
                  </c:pt>
                </c:numCache>
              </c:numRef>
            </c:plus>
            <c:minus>
              <c:numRef>
                <c:f>'R1'!$N$48:$AK$48</c:f>
                <c:numCache>
                  <c:formatCode>General</c:formatCode>
                  <c:ptCount val="24"/>
                  <c:pt idx="0">
                    <c:v>0</c:v>
                  </c:pt>
                  <c:pt idx="1">
                    <c:v>0.15016793290692448</c:v>
                  </c:pt>
                  <c:pt idx="2">
                    <c:v>0.20026885342058379</c:v>
                  </c:pt>
                  <c:pt idx="3">
                    <c:v>1.5610285292358035E-2</c:v>
                  </c:pt>
                  <c:pt idx="4">
                    <c:v>0.15797523502251087</c:v>
                  </c:pt>
                  <c:pt idx="5">
                    <c:v>0.21721255872208467</c:v>
                  </c:pt>
                  <c:pt idx="6">
                    <c:v>0.21445991953862917</c:v>
                  </c:pt>
                  <c:pt idx="7">
                    <c:v>0.15397675514284934</c:v>
                  </c:pt>
                  <c:pt idx="8">
                    <c:v>0.20170337114658618</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'R3'!$B$52:$AK$52</c:f>
              <c:strCache>
                <c:ptCount val="36"/>
                <c:pt idx="0">
                  <c:v>Solvent control</c:v>
                </c:pt>
                <c:pt idx="1">
                  <c:v>EE2-33.8ng/L</c:v>
                </c:pt>
                <c:pt idx="2">
                  <c:v>EE2-50.6ng/L</c:v>
                </c:pt>
                <c:pt idx="3">
                  <c:v>EE2-76ng/L</c:v>
                </c:pt>
                <c:pt idx="4">
                  <c:v>EE2-114ng/L</c:v>
                </c:pt>
                <c:pt idx="5">
                  <c:v>EE2-170.9ng/L</c:v>
                </c:pt>
                <c:pt idx="6">
                  <c:v>EE2-488ng/L</c:v>
                </c:pt>
                <c:pt idx="7">
                  <c:v>Estradiol-34ng/L</c:v>
                </c:pt>
                <c:pt idx="8">
                  <c:v>Estradiol-68ng/L</c:v>
                </c:pt>
                <c:pt idx="9">
                  <c:v>Estradiol-135ng/L</c:v>
                </c:pt>
                <c:pt idx="10">
                  <c:v>Estradiol-270ng/L</c:v>
                </c:pt>
                <c:pt idx="11">
                  <c:v>Estradiol-540ng/L</c:v>
                </c:pt>
                <c:pt idx="13">
                  <c:v>Testo -30µg/L</c:v>
                </c:pt>
                <c:pt idx="14">
                  <c:v>Testo 30µg/L + EE2 -64ng/L</c:v>
                </c:pt>
                <c:pt idx="15">
                  <c:v>Testo 30µg/L + FAD-10mg/L</c:v>
                </c:pt>
                <c:pt idx="16">
                  <c:v>Estradiol-34ng/L + Testostérone</c:v>
                </c:pt>
                <c:pt idx="17">
                  <c:v>Estradiol-68ng/L + Testostérone</c:v>
                </c:pt>
                <c:pt idx="18">
                  <c:v>Estradiol-135ng/L + Testostérone</c:v>
                </c:pt>
                <c:pt idx="19">
                  <c:v>Estradiol-270ng/L + Testostérone</c:v>
                </c:pt>
                <c:pt idx="20">
                  <c:v>Estradiol-540ng/L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'R3'!$B$53:$AK$53</c:f>
              <c:numCache>
                <c:formatCode>0.0000</c:formatCode>
                <c:ptCount val="36"/>
                <c:pt idx="0">
                  <c:v>8.1703081576706374E-2</c:v>
                </c:pt>
                <c:pt idx="1">
                  <c:v>0.13288946079680611</c:v>
                </c:pt>
                <c:pt idx="2">
                  <c:v>0.12701150107442194</c:v>
                </c:pt>
                <c:pt idx="3">
                  <c:v>0.75448463237965435</c:v>
                </c:pt>
                <c:pt idx="4">
                  <c:v>0.96253452335485912</c:v>
                </c:pt>
                <c:pt idx="5">
                  <c:v>1.2374413187333901</c:v>
                </c:pt>
                <c:pt idx="6">
                  <c:v>1.4600208670362964</c:v>
                </c:pt>
                <c:pt idx="7">
                  <c:v>5.4731866962054163E-2</c:v>
                </c:pt>
                <c:pt idx="8">
                  <c:v>0.13249893116368289</c:v>
                </c:pt>
                <c:pt idx="9">
                  <c:v>0.72715360917572402</c:v>
                </c:pt>
                <c:pt idx="10">
                  <c:v>1.4183989728000066</c:v>
                </c:pt>
                <c:pt idx="11">
                  <c:v>1.5554008642388197</c:v>
                </c:pt>
                <c:pt idx="13">
                  <c:v>1</c:v>
                </c:pt>
                <c:pt idx="14">
                  <c:v>1.2633000591845565</c:v>
                </c:pt>
                <c:pt idx="15">
                  <c:v>0.10534152840451423</c:v>
                </c:pt>
                <c:pt idx="16">
                  <c:v>1.1919890688940356</c:v>
                </c:pt>
                <c:pt idx="17">
                  <c:v>1.2992916239306691</c:v>
                </c:pt>
                <c:pt idx="18">
                  <c:v>1.3352305905259561</c:v>
                </c:pt>
                <c:pt idx="19">
                  <c:v>1.4447641450042579</c:v>
                </c:pt>
                <c:pt idx="20">
                  <c:v>1.6494040001126435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77DD80EC-2875-4E5B-9BED-96C664B18E5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738E227C-B9CC-4593-A1E9-FD44E1D1F60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02456B05-87C5-46D6-BFE6-2B7E764187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5574A5B6-7A30-4515-A765-C865C89BBFF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48629C1A-5B0C-4081-BCE3-9E40DF521DA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32DF0626-8BE5-424A-8E09-F3CB7F3D3D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E44D9212-B4D6-4841-8CA0-4247FE305C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0778A93-BE9E-43F6-85BD-BA7041F537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95D5D3F0-DE9A-47EE-B2E8-AC34FDE3429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5CEE95CD-6984-4437-A24C-B0D7C0B9DE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02174C3F-3C71-4BEA-BCC9-A0016A1970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6FFCBB0C-6984-42FF-96F9-2699A8AADD4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39BAA3A6-5A04-43A4-BA6F-9A7570C1886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BB2016D2-15DA-4DAA-BE5D-A2636291F1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184584F4-FFE8-4C94-98C2-CB729765B9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931443C7-C1EB-490F-8628-55B5D50AD91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B097B558-4D31-4EF5-AACA-27A06B17BD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8438EF54-AE9E-46DD-9FBB-AC1B9469701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D831C7B0-2882-4E3A-A7D0-65FCA4917C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1724C8E8-C31E-49F1-BF11-793B8445D9B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9.5332012804167227E-3</c:v>
                  </c:pt>
                  <c:pt idx="1">
                    <c:v>3.0947131078496778E-2</c:v>
                  </c:pt>
                  <c:pt idx="2">
                    <c:v>1.5240694148502022E-2</c:v>
                  </c:pt>
                  <c:pt idx="3">
                    <c:v>0.12851621234768659</c:v>
                  </c:pt>
                  <c:pt idx="4">
                    <c:v>0.10173812254081099</c:v>
                  </c:pt>
                  <c:pt idx="5">
                    <c:v>0.11461639050747031</c:v>
                  </c:pt>
                  <c:pt idx="6">
                    <c:v>0.11082528497060479</c:v>
                  </c:pt>
                  <c:pt idx="7">
                    <c:v>6.745629435083376E-3</c:v>
                  </c:pt>
                  <c:pt idx="8">
                    <c:v>1.3691244687755325E-2</c:v>
                  </c:pt>
                  <c:pt idx="9">
                    <c:v>8.2507422896720181E-2</c:v>
                  </c:pt>
                  <c:pt idx="10">
                    <c:v>7.5930601571729081E-2</c:v>
                  </c:pt>
                  <c:pt idx="11">
                    <c:v>0.13103090595328765</c:v>
                  </c:pt>
                  <c:pt idx="13">
                    <c:v>7.0659765990928505E-2</c:v>
                  </c:pt>
                  <c:pt idx="14">
                    <c:v>8.6910456917819082E-2</c:v>
                  </c:pt>
                  <c:pt idx="15">
                    <c:v>1.1781195657041769E-2</c:v>
                  </c:pt>
                  <c:pt idx="16">
                    <c:v>9.2512502787782988E-2</c:v>
                  </c:pt>
                  <c:pt idx="17">
                    <c:v>0.1260664763854015</c:v>
                  </c:pt>
                  <c:pt idx="18">
                    <c:v>0.14114671903319986</c:v>
                  </c:pt>
                  <c:pt idx="19">
                    <c:v>0.13719152630307918</c:v>
                  </c:pt>
                  <c:pt idx="20">
                    <c:v>0.10139265816297099</c:v>
                  </c:pt>
                </c:numCache>
              </c:numRef>
            </c:plus>
            <c:minus>
              <c:numRef>
                <c:f>'pooled normalised values'!$B$76:$V$76</c:f>
                <c:numCache>
                  <c:formatCode>General</c:formatCode>
                  <c:ptCount val="21"/>
                  <c:pt idx="0">
                    <c:v>9.5332012804167227E-3</c:v>
                  </c:pt>
                  <c:pt idx="1">
                    <c:v>3.0947131078496778E-2</c:v>
                  </c:pt>
                  <c:pt idx="2">
                    <c:v>1.5240694148502022E-2</c:v>
                  </c:pt>
                  <c:pt idx="3">
                    <c:v>0.12851621234768659</c:v>
                  </c:pt>
                  <c:pt idx="4">
                    <c:v>0.10173812254081099</c:v>
                  </c:pt>
                  <c:pt idx="5">
                    <c:v>0.11461639050747031</c:v>
                  </c:pt>
                  <c:pt idx="6">
                    <c:v>0.11082528497060479</c:v>
                  </c:pt>
                  <c:pt idx="7">
                    <c:v>6.745629435083376E-3</c:v>
                  </c:pt>
                  <c:pt idx="8">
                    <c:v>1.3691244687755325E-2</c:v>
                  </c:pt>
                  <c:pt idx="9">
                    <c:v>8.2507422896720181E-2</c:v>
                  </c:pt>
                  <c:pt idx="10">
                    <c:v>7.5930601571729081E-2</c:v>
                  </c:pt>
                  <c:pt idx="11">
                    <c:v>0.13103090595328765</c:v>
                  </c:pt>
                  <c:pt idx="13">
                    <c:v>7.0659765990928505E-2</c:v>
                  </c:pt>
                  <c:pt idx="14">
                    <c:v>8.6910456917819082E-2</c:v>
                  </c:pt>
                  <c:pt idx="15">
                    <c:v>1.1781195657041769E-2</c:v>
                  </c:pt>
                  <c:pt idx="16">
                    <c:v>9.2512502787782988E-2</c:v>
                  </c:pt>
                  <c:pt idx="17">
                    <c:v>0.1260664763854015</c:v>
                  </c:pt>
                  <c:pt idx="18">
                    <c:v>0.14114671903319986</c:v>
                  </c:pt>
                  <c:pt idx="19">
                    <c:v>0.13719152630307918</c:v>
                  </c:pt>
                  <c:pt idx="20">
                    <c:v>0.10139265816297099</c:v>
                  </c:pt>
                </c:numCache>
              </c:numRef>
            </c:minus>
          </c:errBars>
          <c:cat>
            <c:strRef>
              <c:f>'pooled normalised values'!$B$74:$V$74</c:f>
              <c:strCache>
                <c:ptCount val="21"/>
                <c:pt idx="0">
                  <c:v>Solvent control</c:v>
                </c:pt>
                <c:pt idx="1">
                  <c:v>EE2-33.8ng/L</c:v>
                </c:pt>
                <c:pt idx="2">
                  <c:v>EE2-50.6ng/L</c:v>
                </c:pt>
                <c:pt idx="3">
                  <c:v>EE2-76ng/L</c:v>
                </c:pt>
                <c:pt idx="4">
                  <c:v>EE2-114ng/L</c:v>
                </c:pt>
                <c:pt idx="5">
                  <c:v>EE2-170.9ng/L</c:v>
                </c:pt>
                <c:pt idx="6">
                  <c:v>EE2-488ng/L</c:v>
                </c:pt>
                <c:pt idx="7">
                  <c:v>Estradiol-34ng/L</c:v>
                </c:pt>
                <c:pt idx="8">
                  <c:v>Estradiol-68ng/L</c:v>
                </c:pt>
                <c:pt idx="9">
                  <c:v>Estradiol-135ng/L</c:v>
                </c:pt>
                <c:pt idx="10">
                  <c:v>Estradiol-270ng/L</c:v>
                </c:pt>
                <c:pt idx="11">
                  <c:v>Estradiol-540ng/L</c:v>
                </c:pt>
                <c:pt idx="13">
                  <c:v>Testo -30µg/L</c:v>
                </c:pt>
                <c:pt idx="14">
                  <c:v>Testo 30µg/L + EE2 -64ng/L</c:v>
                </c:pt>
                <c:pt idx="15">
                  <c:v>Testo 30µg/L + FAD-10mg/L</c:v>
                </c:pt>
                <c:pt idx="16">
                  <c:v>Estradiol-34ng/L + Testostérone</c:v>
                </c:pt>
                <c:pt idx="17">
                  <c:v>Estradiol-68ng/L + Testostérone</c:v>
                </c:pt>
                <c:pt idx="18">
                  <c:v>Estradiol-135ng/L + Testostérone</c:v>
                </c:pt>
                <c:pt idx="19">
                  <c:v>Estradiol-270ng/L + Testostérone</c:v>
                </c:pt>
                <c:pt idx="20">
                  <c:v>Estradiol-540ng/L + Testostérone</c:v>
                </c:pt>
              </c:strCache>
            </c:strRef>
          </c:cat>
          <c:val>
            <c:numRef>
              <c:f>'pooled normalised values'!$B$75:$V$75</c:f>
              <c:numCache>
                <c:formatCode>0.0000</c:formatCode>
                <c:ptCount val="21"/>
                <c:pt idx="0">
                  <c:v>3.8190767447448759E-2</c:v>
                </c:pt>
                <c:pt idx="1">
                  <c:v>5.3115662453566116E-2</c:v>
                </c:pt>
                <c:pt idx="2">
                  <c:v>5.3029732173549261E-2</c:v>
                </c:pt>
                <c:pt idx="3">
                  <c:v>0.4763221699227318</c:v>
                </c:pt>
                <c:pt idx="4">
                  <c:v>0.56709286113035406</c:v>
                </c:pt>
                <c:pt idx="5">
                  <c:v>1.1525481764221814</c:v>
                </c:pt>
                <c:pt idx="6">
                  <c:v>1.9365197271517864</c:v>
                </c:pt>
                <c:pt idx="7">
                  <c:v>1.8964701794775798E-2</c:v>
                </c:pt>
                <c:pt idx="8">
                  <c:v>6.1906476064607634E-2</c:v>
                </c:pt>
                <c:pt idx="9">
                  <c:v>0.34701011849553437</c:v>
                </c:pt>
                <c:pt idx="10">
                  <c:v>1.3991873178449488</c:v>
                </c:pt>
                <c:pt idx="11">
                  <c:v>2.0682652730098239</c:v>
                </c:pt>
                <c:pt idx="13">
                  <c:v>1</c:v>
                </c:pt>
                <c:pt idx="14">
                  <c:v>1.4456078367727161</c:v>
                </c:pt>
                <c:pt idx="15">
                  <c:v>4.7605949471705912E-2</c:v>
                </c:pt>
                <c:pt idx="16">
                  <c:v>1.2662068946872063</c:v>
                </c:pt>
                <c:pt idx="17">
                  <c:v>1.3083714243757167</c:v>
                </c:pt>
                <c:pt idx="18">
                  <c:v>1.6384875359971158</c:v>
                </c:pt>
                <c:pt idx="19">
                  <c:v>1.8190191566111003</c:v>
                </c:pt>
                <c:pt idx="20">
                  <c:v>2.1381708308641865</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c:v>
                  </c:pt>
                  <c:pt idx="11">
                    <c:v>***</c:v>
                  </c:pt>
                  <c:pt idx="13">
                    <c:v>***</c:v>
                  </c:pt>
                  <c:pt idx="14">
                    <c:v>#NAME?</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0"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Stats%202013%202016.xlam.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AD2 Table"/>
      <sheetName val="SW Table"/>
      <sheetName val="Stud. Q Table"/>
      <sheetName val="Stud. Q Table 2"/>
      <sheetName val="Sp Rho Table"/>
      <sheetName val="Ken Tau Table"/>
      <sheetName val="Durbin Table"/>
      <sheetName val="Dunnett Table"/>
      <sheetName val="Dunnett 1"/>
      <sheetName val="Prime"/>
      <sheetName val="MSSD"/>
      <sheetName val="RealStats 2013 2016.xlam"/>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zoomScale="55" zoomScaleNormal="55" workbookViewId="0">
      <selection activeCell="E17" sqref="E17"/>
    </sheetView>
  </sheetViews>
  <sheetFormatPr defaultColWidth="11.42578125" defaultRowHeight="39" customHeight="1" x14ac:dyDescent="0.25"/>
  <cols>
    <col min="1" max="1" width="42" bestFit="1" customWidth="1"/>
    <col min="2" max="2" width="33.85546875" style="28" bestFit="1" customWidth="1"/>
    <col min="3" max="3" width="21.28515625" customWidth="1"/>
    <col min="4" max="4" width="30.42578125" customWidth="1"/>
    <col min="5" max="5" width="62.28515625" style="92"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26"/>
      <c r="B1" s="127"/>
      <c r="C1" s="127"/>
      <c r="D1" s="127"/>
      <c r="E1" s="127"/>
      <c r="F1" s="127"/>
      <c r="G1" s="127"/>
      <c r="H1" s="127"/>
      <c r="I1" s="128"/>
    </row>
    <row r="2" spans="1:9" ht="21.75" thickBot="1" x14ac:dyDescent="0.4">
      <c r="A2" s="111" t="s">
        <v>8</v>
      </c>
      <c r="B2" s="27" t="s">
        <v>57</v>
      </c>
      <c r="C2" s="120" t="s">
        <v>68</v>
      </c>
      <c r="D2" s="121"/>
      <c r="E2" s="27" t="s">
        <v>69</v>
      </c>
      <c r="F2" s="135"/>
      <c r="G2" s="136"/>
      <c r="H2" s="136"/>
      <c r="I2" s="137"/>
    </row>
    <row r="3" spans="1:9" ht="21.75" thickBot="1" x14ac:dyDescent="0.4">
      <c r="A3" s="112" t="s">
        <v>9</v>
      </c>
      <c r="B3" s="27" t="s">
        <v>57</v>
      </c>
      <c r="C3" s="122" t="s">
        <v>71</v>
      </c>
      <c r="D3" s="123"/>
      <c r="E3" s="27" t="s">
        <v>72</v>
      </c>
      <c r="F3" s="132"/>
      <c r="G3" s="133"/>
      <c r="H3" s="133"/>
      <c r="I3" s="134"/>
    </row>
    <row r="4" spans="1:9" ht="21.75" thickBot="1" x14ac:dyDescent="0.4">
      <c r="A4" s="113" t="s">
        <v>12</v>
      </c>
      <c r="B4" s="27" t="s">
        <v>57</v>
      </c>
      <c r="C4" s="124" t="s">
        <v>70</v>
      </c>
      <c r="D4" s="125"/>
      <c r="E4" s="27" t="s">
        <v>77</v>
      </c>
      <c r="F4" s="129"/>
      <c r="G4" s="130"/>
      <c r="H4" s="130"/>
      <c r="I4" s="131"/>
    </row>
    <row r="5" spans="1:9" s="1" customFormat="1" ht="65.25" customHeight="1" thickBot="1" x14ac:dyDescent="0.3">
      <c r="A5" s="126" t="s">
        <v>18</v>
      </c>
      <c r="B5" s="127"/>
      <c r="C5" s="127"/>
      <c r="D5" s="127"/>
      <c r="E5" s="127"/>
      <c r="F5" s="127"/>
      <c r="G5" s="127"/>
      <c r="H5" s="127"/>
      <c r="I5" s="128"/>
    </row>
    <row r="6" spans="1:9" s="69" customFormat="1" ht="39" customHeight="1" x14ac:dyDescent="0.35">
      <c r="A6" s="59" t="s">
        <v>58</v>
      </c>
      <c r="B6" s="60" t="s">
        <v>59</v>
      </c>
      <c r="C6" s="48" t="s">
        <v>10</v>
      </c>
      <c r="D6" s="48" t="s">
        <v>60</v>
      </c>
      <c r="E6" s="89" t="s">
        <v>61</v>
      </c>
      <c r="F6" s="68" t="s">
        <v>62</v>
      </c>
    </row>
    <row r="7" spans="1:9" s="98" customFormat="1" ht="39" customHeight="1" x14ac:dyDescent="0.35">
      <c r="A7" s="9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94" t="s">
        <v>50</v>
      </c>
      <c r="C7" s="95"/>
      <c r="D7" s="96"/>
      <c r="E7" s="97" t="s">
        <v>64</v>
      </c>
      <c r="F7" s="70"/>
    </row>
    <row r="8" spans="1:9" s="98" customFormat="1" ht="39" customHeight="1" x14ac:dyDescent="0.35">
      <c r="A8" s="9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94" t="s">
        <v>50</v>
      </c>
      <c r="C8" s="95" t="s">
        <v>65</v>
      </c>
      <c r="D8" s="96" t="s">
        <v>51</v>
      </c>
      <c r="E8" s="97" t="s">
        <v>52</v>
      </c>
      <c r="F8" s="70"/>
    </row>
    <row r="9" spans="1:9" s="98" customFormat="1" ht="39" customHeight="1" x14ac:dyDescent="0.35">
      <c r="A9" s="9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94" t="s">
        <v>50</v>
      </c>
      <c r="C9" s="95" t="s">
        <v>66</v>
      </c>
      <c r="D9" s="96" t="s">
        <v>51</v>
      </c>
      <c r="E9" s="97" t="s">
        <v>52</v>
      </c>
      <c r="F9" s="70"/>
    </row>
    <row r="10" spans="1:9" s="98" customFormat="1" ht="39" customHeight="1" x14ac:dyDescent="0.35">
      <c r="A10" s="9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94" t="s">
        <v>50</v>
      </c>
      <c r="C10" s="95">
        <v>76</v>
      </c>
      <c r="D10" s="96" t="s">
        <v>51</v>
      </c>
      <c r="E10" s="97" t="s">
        <v>52</v>
      </c>
      <c r="F10" s="70"/>
    </row>
    <row r="11" spans="1:9" s="98" customFormat="1" ht="39" customHeight="1" x14ac:dyDescent="0.35">
      <c r="A11" s="9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94" t="s">
        <v>50</v>
      </c>
      <c r="C11" s="95">
        <v>114</v>
      </c>
      <c r="D11" s="96" t="s">
        <v>51</v>
      </c>
      <c r="E11" s="97" t="s">
        <v>52</v>
      </c>
      <c r="F11" s="70"/>
    </row>
    <row r="12" spans="1:9" s="98" customFormat="1" ht="39" customHeight="1" x14ac:dyDescent="0.35">
      <c r="A12" s="9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94" t="s">
        <v>50</v>
      </c>
      <c r="C12" s="95" t="s">
        <v>67</v>
      </c>
      <c r="D12" s="96" t="s">
        <v>51</v>
      </c>
      <c r="E12" s="97" t="s">
        <v>52</v>
      </c>
      <c r="F12" s="70"/>
    </row>
    <row r="13" spans="1:9" s="98" customFormat="1" ht="39" customHeight="1" x14ac:dyDescent="0.35">
      <c r="A13" s="9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94" t="s">
        <v>50</v>
      </c>
      <c r="C13" s="95">
        <v>488</v>
      </c>
      <c r="D13" s="96" t="s">
        <v>51</v>
      </c>
      <c r="E13" s="97" t="s">
        <v>52</v>
      </c>
      <c r="F13" s="70"/>
    </row>
    <row r="14" spans="1:9" s="98" customFormat="1" ht="39" customHeight="1" x14ac:dyDescent="0.35">
      <c r="A14" s="9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Estradiol-34ng/L</v>
      </c>
      <c r="B14" s="94" t="s">
        <v>63</v>
      </c>
      <c r="C14" s="95">
        <v>34</v>
      </c>
      <c r="D14" s="96" t="s">
        <v>51</v>
      </c>
      <c r="E14" s="97" t="s">
        <v>78</v>
      </c>
      <c r="F14" s="70"/>
    </row>
    <row r="15" spans="1:9" s="71" customFormat="1" ht="39" customHeight="1" x14ac:dyDescent="0.25">
      <c r="A15"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Estradiol-68ng/L</v>
      </c>
      <c r="B15" s="94" t="s">
        <v>63</v>
      </c>
      <c r="C15" s="65">
        <v>68</v>
      </c>
      <c r="D15" s="96" t="s">
        <v>51</v>
      </c>
      <c r="E15" s="97" t="s">
        <v>78</v>
      </c>
      <c r="F15" s="70"/>
    </row>
    <row r="16" spans="1:9" s="71" customFormat="1" ht="39" customHeight="1" x14ac:dyDescent="0.25">
      <c r="A16"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Estradiol-135ng/L</v>
      </c>
      <c r="B16" s="94" t="s">
        <v>63</v>
      </c>
      <c r="C16" s="65">
        <v>135</v>
      </c>
      <c r="D16" s="96" t="s">
        <v>51</v>
      </c>
      <c r="E16" s="97" t="s">
        <v>78</v>
      </c>
      <c r="F16" s="70"/>
    </row>
    <row r="17" spans="1:6" s="71" customFormat="1" ht="39" customHeight="1" x14ac:dyDescent="0.25">
      <c r="A17"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Estradiol-270ng/L</v>
      </c>
      <c r="B17" s="94" t="s">
        <v>63</v>
      </c>
      <c r="C17" s="65">
        <v>270</v>
      </c>
      <c r="D17" s="96" t="s">
        <v>51</v>
      </c>
      <c r="E17" s="97" t="s">
        <v>78</v>
      </c>
      <c r="F17" s="70"/>
    </row>
    <row r="18" spans="1:6" s="71" customFormat="1" ht="39" customHeight="1" x14ac:dyDescent="0.25">
      <c r="A18"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Estradiol-540ng/L</v>
      </c>
      <c r="B18" s="94" t="s">
        <v>63</v>
      </c>
      <c r="C18" s="65">
        <v>540</v>
      </c>
      <c r="D18" s="96" t="s">
        <v>51</v>
      </c>
      <c r="E18" s="97" t="s">
        <v>78</v>
      </c>
      <c r="F18" s="70"/>
    </row>
    <row r="19" spans="1:6" s="71" customFormat="1" ht="39" customHeight="1" x14ac:dyDescent="0.25">
      <c r="A19"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94" t="s">
        <v>63</v>
      </c>
      <c r="C19" s="65"/>
      <c r="D19" s="65"/>
      <c r="E19" s="25"/>
      <c r="F19" s="70"/>
    </row>
    <row r="20" spans="1:6" s="71" customFormat="1" ht="39" customHeight="1" x14ac:dyDescent="0.25">
      <c r="A20"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94" t="s">
        <v>63</v>
      </c>
      <c r="C20" s="65"/>
      <c r="D20" s="65"/>
      <c r="E20" s="61"/>
      <c r="F20" s="70"/>
    </row>
    <row r="21" spans="1:6" s="71" customFormat="1" ht="39" customHeight="1" x14ac:dyDescent="0.25">
      <c r="A21"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94" t="s">
        <v>63</v>
      </c>
      <c r="C21" s="65"/>
      <c r="D21" s="65"/>
      <c r="E21" s="25"/>
      <c r="F21" s="70"/>
    </row>
    <row r="22" spans="1:6" s="71" customFormat="1" ht="39" customHeight="1" x14ac:dyDescent="0.25">
      <c r="A22"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94" t="s">
        <v>63</v>
      </c>
      <c r="C22" s="65"/>
      <c r="D22" s="65"/>
      <c r="E22" s="61"/>
      <c r="F22" s="70"/>
    </row>
    <row r="23" spans="1:6" s="71" customFormat="1" ht="39" customHeight="1" x14ac:dyDescent="0.25">
      <c r="A23"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94" t="s">
        <v>63</v>
      </c>
      <c r="C23" s="65"/>
      <c r="D23" s="65"/>
      <c r="E23" s="25"/>
      <c r="F23" s="70"/>
    </row>
    <row r="24" spans="1:6" s="71" customFormat="1" ht="39" customHeight="1" x14ac:dyDescent="0.25">
      <c r="A24"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94" t="s">
        <v>63</v>
      </c>
      <c r="C24" s="65"/>
      <c r="D24" s="65"/>
      <c r="E24" s="61"/>
      <c r="F24" s="70"/>
    </row>
    <row r="25" spans="1:6" s="71" customFormat="1" ht="39" customHeight="1" x14ac:dyDescent="0.25">
      <c r="A25"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94" t="s">
        <v>63</v>
      </c>
      <c r="C25" s="65"/>
      <c r="D25" s="65"/>
      <c r="E25" s="25"/>
      <c r="F25" s="70"/>
    </row>
    <row r="26" spans="1:6" s="71" customFormat="1" ht="39" customHeight="1" x14ac:dyDescent="0.25">
      <c r="A26"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94" t="s">
        <v>63</v>
      </c>
      <c r="C26" s="65"/>
      <c r="D26" s="65"/>
      <c r="E26" s="61"/>
      <c r="F26" s="70"/>
    </row>
    <row r="27" spans="1:6" s="71" customFormat="1" ht="39" customHeight="1" x14ac:dyDescent="0.25">
      <c r="A27"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94" t="s">
        <v>63</v>
      </c>
      <c r="C27" s="65"/>
      <c r="D27" s="65"/>
      <c r="E27" s="25"/>
      <c r="F27" s="70"/>
    </row>
    <row r="28" spans="1:6" s="71" customFormat="1" ht="39" customHeight="1" x14ac:dyDescent="0.25">
      <c r="A28"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94" t="s">
        <v>63</v>
      </c>
      <c r="C28" s="65"/>
      <c r="D28" s="65"/>
      <c r="E28" s="61"/>
      <c r="F28" s="70"/>
    </row>
    <row r="29" spans="1:6" s="71" customFormat="1" ht="39" customHeight="1" x14ac:dyDescent="0.25">
      <c r="A29"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94" t="s">
        <v>63</v>
      </c>
      <c r="C29" s="65"/>
      <c r="D29" s="74"/>
      <c r="E29" s="25"/>
      <c r="F29" s="70"/>
    </row>
    <row r="30" spans="1:6" s="71" customFormat="1" ht="39" customHeight="1" x14ac:dyDescent="0.25">
      <c r="A30"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94" t="s">
        <v>63</v>
      </c>
      <c r="C30" s="65"/>
      <c r="D30" s="74"/>
      <c r="E30" s="61"/>
      <c r="F30" s="70"/>
    </row>
    <row r="31" spans="1:6" s="71" customFormat="1" ht="39" customHeight="1" x14ac:dyDescent="0.25">
      <c r="A31"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94" t="s">
        <v>63</v>
      </c>
      <c r="C31" s="65"/>
      <c r="D31" s="74"/>
      <c r="E31" s="25"/>
      <c r="F31" s="70"/>
    </row>
    <row r="32" spans="1:6" s="71" customFormat="1" ht="39" customHeight="1" x14ac:dyDescent="0.25">
      <c r="A32"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94" t="s">
        <v>63</v>
      </c>
      <c r="C32" s="65"/>
      <c r="D32" s="74"/>
      <c r="E32" s="61"/>
      <c r="F32" s="70"/>
    </row>
    <row r="33" spans="1:6" s="71" customFormat="1" ht="39" customHeight="1" x14ac:dyDescent="0.25">
      <c r="A33" s="4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94" t="s">
        <v>63</v>
      </c>
      <c r="C33" s="65"/>
      <c r="D33" s="74"/>
      <c r="E33" s="25"/>
      <c r="F33" s="70"/>
    </row>
    <row r="34" spans="1:6" s="71" customFormat="1" ht="39" customHeight="1" thickBot="1" x14ac:dyDescent="0.3">
      <c r="A34"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94" t="s">
        <v>63</v>
      </c>
      <c r="C34" s="100"/>
      <c r="D34" s="75"/>
      <c r="E34" s="99"/>
      <c r="F34" s="70"/>
    </row>
    <row r="35" spans="1:6" s="71" customFormat="1" ht="39" customHeight="1" x14ac:dyDescent="0.25">
      <c r="A35" s="10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62" t="s">
        <v>50</v>
      </c>
      <c r="C35" s="66">
        <v>30</v>
      </c>
      <c r="D35" s="76" t="s">
        <v>53</v>
      </c>
      <c r="E35" s="90" t="s">
        <v>11</v>
      </c>
      <c r="F35" s="102"/>
    </row>
    <row r="36" spans="1:6" s="71" customFormat="1" ht="39" customHeight="1" x14ac:dyDescent="0.25">
      <c r="A36" s="10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3" t="s">
        <v>50</v>
      </c>
      <c r="C36" s="67">
        <v>64</v>
      </c>
      <c r="D36" s="77" t="s">
        <v>51</v>
      </c>
      <c r="E36" s="91" t="s">
        <v>54</v>
      </c>
      <c r="F36" s="104"/>
    </row>
    <row r="37" spans="1:6" s="71" customFormat="1" ht="39" customHeight="1" thickBot="1" x14ac:dyDescent="0.3">
      <c r="A37" s="10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6" t="s">
        <v>50</v>
      </c>
      <c r="C37" s="107">
        <v>10</v>
      </c>
      <c r="D37" s="108" t="s">
        <v>55</v>
      </c>
      <c r="E37" s="109" t="s">
        <v>56</v>
      </c>
      <c r="F37" s="110"/>
    </row>
    <row r="38" spans="1:6" s="71" customFormat="1" ht="39" customHeight="1" x14ac:dyDescent="0.25">
      <c r="A38" s="3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Estradiol-34ng/L + Testostérone</v>
      </c>
      <c r="B38" s="114" t="str">
        <f>B14</f>
        <v>test chemical</v>
      </c>
      <c r="C38" s="114">
        <f t="shared" ref="C38:E38" si="0">C14</f>
        <v>34</v>
      </c>
      <c r="D38" s="114" t="str">
        <f t="shared" si="0"/>
        <v>ng/L</v>
      </c>
      <c r="E38" s="114" t="str">
        <f t="shared" si="0"/>
        <v>Estradiol</v>
      </c>
      <c r="F38" s="72" t="s">
        <v>30</v>
      </c>
    </row>
    <row r="39" spans="1:6" s="71" customFormat="1" ht="39" customHeight="1" x14ac:dyDescent="0.25">
      <c r="A39"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Estradiol-68ng/L + Testostérone</v>
      </c>
      <c r="B39" s="116" t="str">
        <f t="shared" ref="B39:E39" si="1">B15</f>
        <v>test chemical</v>
      </c>
      <c r="C39" s="116">
        <f t="shared" si="1"/>
        <v>68</v>
      </c>
      <c r="D39" s="116" t="str">
        <f t="shared" si="1"/>
        <v>ng/L</v>
      </c>
      <c r="E39" s="116" t="str">
        <f t="shared" si="1"/>
        <v>Estradiol</v>
      </c>
      <c r="F39" s="73" t="s">
        <v>30</v>
      </c>
    </row>
    <row r="40" spans="1:6" s="71" customFormat="1" ht="39" customHeight="1" x14ac:dyDescent="0.25">
      <c r="A40"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Estradiol-135ng/L + Testostérone</v>
      </c>
      <c r="B40" s="116" t="str">
        <f t="shared" ref="B40:E40" si="2">B16</f>
        <v>test chemical</v>
      </c>
      <c r="C40" s="116">
        <f t="shared" si="2"/>
        <v>135</v>
      </c>
      <c r="D40" s="116" t="str">
        <f t="shared" si="2"/>
        <v>ng/L</v>
      </c>
      <c r="E40" s="116" t="str">
        <f t="shared" si="2"/>
        <v>Estradiol</v>
      </c>
      <c r="F40" s="73" t="s">
        <v>30</v>
      </c>
    </row>
    <row r="41" spans="1:6" s="71" customFormat="1" ht="39" customHeight="1" x14ac:dyDescent="0.25">
      <c r="A41"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Estradiol-270ng/L + Testostérone</v>
      </c>
      <c r="B41" s="116" t="str">
        <f t="shared" ref="B41:E41" si="3">B17</f>
        <v>test chemical</v>
      </c>
      <c r="C41" s="116">
        <f t="shared" si="3"/>
        <v>270</v>
      </c>
      <c r="D41" s="116" t="str">
        <f t="shared" si="3"/>
        <v>ng/L</v>
      </c>
      <c r="E41" s="116" t="str">
        <f t="shared" si="3"/>
        <v>Estradiol</v>
      </c>
      <c r="F41" s="73" t="s">
        <v>30</v>
      </c>
    </row>
    <row r="42" spans="1:6" s="71" customFormat="1" ht="39" customHeight="1" x14ac:dyDescent="0.25">
      <c r="A42"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Estradiol-540ng/L + Testostérone</v>
      </c>
      <c r="B42" s="116" t="str">
        <f t="shared" ref="B42:E42" si="4">B18</f>
        <v>test chemical</v>
      </c>
      <c r="C42" s="116">
        <f t="shared" si="4"/>
        <v>540</v>
      </c>
      <c r="D42" s="116" t="str">
        <f t="shared" si="4"/>
        <v>ng/L</v>
      </c>
      <c r="E42" s="116" t="str">
        <f t="shared" si="4"/>
        <v>Estradiol</v>
      </c>
      <c r="F42" s="73" t="s">
        <v>30</v>
      </c>
    </row>
    <row r="43" spans="1:6" s="71" customFormat="1" ht="39" customHeight="1" x14ac:dyDescent="0.25">
      <c r="A43"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6" t="str">
        <f t="shared" ref="B43:E43" si="5">B19</f>
        <v>test chemical</v>
      </c>
      <c r="C43" s="116">
        <f t="shared" si="5"/>
        <v>0</v>
      </c>
      <c r="D43" s="116">
        <f t="shared" si="5"/>
        <v>0</v>
      </c>
      <c r="E43" s="116">
        <f t="shared" si="5"/>
        <v>0</v>
      </c>
      <c r="F43" s="73" t="s">
        <v>30</v>
      </c>
    </row>
    <row r="44" spans="1:6" s="71" customFormat="1" ht="39" customHeight="1" x14ac:dyDescent="0.25">
      <c r="A44"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6" t="str">
        <f t="shared" ref="B44:E44" si="6">B20</f>
        <v>test chemical</v>
      </c>
      <c r="C44" s="116">
        <f t="shared" si="6"/>
        <v>0</v>
      </c>
      <c r="D44" s="116">
        <f t="shared" si="6"/>
        <v>0</v>
      </c>
      <c r="E44" s="116">
        <f t="shared" si="6"/>
        <v>0</v>
      </c>
      <c r="F44" s="73" t="s">
        <v>30</v>
      </c>
    </row>
    <row r="45" spans="1:6" s="71" customFormat="1" ht="39" customHeight="1" x14ac:dyDescent="0.25">
      <c r="A45"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6" t="str">
        <f t="shared" ref="B45:E45" si="7">B21</f>
        <v>test chemical</v>
      </c>
      <c r="C45" s="116">
        <f t="shared" si="7"/>
        <v>0</v>
      </c>
      <c r="D45" s="116">
        <f t="shared" si="7"/>
        <v>0</v>
      </c>
      <c r="E45" s="116">
        <f t="shared" si="7"/>
        <v>0</v>
      </c>
      <c r="F45" s="73" t="s">
        <v>30</v>
      </c>
    </row>
    <row r="46" spans="1:6" s="71" customFormat="1" ht="39" customHeight="1" x14ac:dyDescent="0.25">
      <c r="A46"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6" t="str">
        <f t="shared" ref="B46:E46" si="8">B22</f>
        <v>test chemical</v>
      </c>
      <c r="C46" s="116">
        <f t="shared" si="8"/>
        <v>0</v>
      </c>
      <c r="D46" s="116">
        <f t="shared" si="8"/>
        <v>0</v>
      </c>
      <c r="E46" s="116">
        <f t="shared" si="8"/>
        <v>0</v>
      </c>
      <c r="F46" s="73" t="s">
        <v>30</v>
      </c>
    </row>
    <row r="47" spans="1:6" s="71" customFormat="1" ht="39" customHeight="1" x14ac:dyDescent="0.25">
      <c r="A47"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6" t="str">
        <f t="shared" ref="B47:E47" si="9">B23</f>
        <v>test chemical</v>
      </c>
      <c r="C47" s="116">
        <f t="shared" si="9"/>
        <v>0</v>
      </c>
      <c r="D47" s="116">
        <f t="shared" si="9"/>
        <v>0</v>
      </c>
      <c r="E47" s="116">
        <f t="shared" si="9"/>
        <v>0</v>
      </c>
      <c r="F47" s="73" t="s">
        <v>30</v>
      </c>
    </row>
    <row r="48" spans="1:6" s="71" customFormat="1" ht="39" customHeight="1" x14ac:dyDescent="0.25">
      <c r="A48"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6" t="str">
        <f t="shared" ref="B48:E48" si="10">B24</f>
        <v>test chemical</v>
      </c>
      <c r="C48" s="116">
        <f t="shared" si="10"/>
        <v>0</v>
      </c>
      <c r="D48" s="116">
        <f t="shared" si="10"/>
        <v>0</v>
      </c>
      <c r="E48" s="116">
        <f t="shared" si="10"/>
        <v>0</v>
      </c>
      <c r="F48" s="73" t="s">
        <v>30</v>
      </c>
    </row>
    <row r="49" spans="1:6" s="71" customFormat="1" ht="39" customHeight="1" x14ac:dyDescent="0.25">
      <c r="A49"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6" t="str">
        <f t="shared" ref="B49:E49" si="11">B25</f>
        <v>test chemical</v>
      </c>
      <c r="C49" s="116">
        <f t="shared" si="11"/>
        <v>0</v>
      </c>
      <c r="D49" s="116">
        <f t="shared" si="11"/>
        <v>0</v>
      </c>
      <c r="E49" s="116">
        <f t="shared" si="11"/>
        <v>0</v>
      </c>
      <c r="F49" s="73" t="s">
        <v>30</v>
      </c>
    </row>
    <row r="50" spans="1:6" s="71" customFormat="1" ht="39" customHeight="1" x14ac:dyDescent="0.25">
      <c r="A50"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6" t="str">
        <f t="shared" ref="B50:E50" si="12">B26</f>
        <v>test chemical</v>
      </c>
      <c r="C50" s="116">
        <f t="shared" si="12"/>
        <v>0</v>
      </c>
      <c r="D50" s="116">
        <f t="shared" si="12"/>
        <v>0</v>
      </c>
      <c r="E50" s="116">
        <f t="shared" si="12"/>
        <v>0</v>
      </c>
      <c r="F50" s="73" t="s">
        <v>30</v>
      </c>
    </row>
    <row r="51" spans="1:6" s="71" customFormat="1" ht="39" customHeight="1" x14ac:dyDescent="0.25">
      <c r="A51"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6" t="str">
        <f t="shared" ref="B51:E51" si="13">B27</f>
        <v>test chemical</v>
      </c>
      <c r="C51" s="116">
        <f t="shared" si="13"/>
        <v>0</v>
      </c>
      <c r="D51" s="116">
        <f t="shared" si="13"/>
        <v>0</v>
      </c>
      <c r="E51" s="116">
        <f t="shared" si="13"/>
        <v>0</v>
      </c>
      <c r="F51" s="73" t="s">
        <v>30</v>
      </c>
    </row>
    <row r="52" spans="1:6" s="71" customFormat="1" ht="39" customHeight="1" x14ac:dyDescent="0.25">
      <c r="A52"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6" t="str">
        <f t="shared" ref="B52:E52" si="14">B28</f>
        <v>test chemical</v>
      </c>
      <c r="C52" s="116">
        <f t="shared" si="14"/>
        <v>0</v>
      </c>
      <c r="D52" s="116">
        <f t="shared" si="14"/>
        <v>0</v>
      </c>
      <c r="E52" s="116">
        <f t="shared" si="14"/>
        <v>0</v>
      </c>
      <c r="F52" s="73" t="s">
        <v>30</v>
      </c>
    </row>
    <row r="53" spans="1:6" s="71" customFormat="1" ht="39" customHeight="1" x14ac:dyDescent="0.25">
      <c r="A53"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6" t="str">
        <f t="shared" ref="B53:E53" si="15">B29</f>
        <v>test chemical</v>
      </c>
      <c r="C53" s="116">
        <f t="shared" si="15"/>
        <v>0</v>
      </c>
      <c r="D53" s="116">
        <f t="shared" si="15"/>
        <v>0</v>
      </c>
      <c r="E53" s="116">
        <f t="shared" si="15"/>
        <v>0</v>
      </c>
      <c r="F53" s="73" t="s">
        <v>30</v>
      </c>
    </row>
    <row r="54" spans="1:6" s="71" customFormat="1" ht="39" customHeight="1" x14ac:dyDescent="0.25">
      <c r="A54"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6" t="str">
        <f t="shared" ref="B54:E54" si="16">B30</f>
        <v>test chemical</v>
      </c>
      <c r="C54" s="116">
        <f t="shared" si="16"/>
        <v>0</v>
      </c>
      <c r="D54" s="116">
        <f t="shared" si="16"/>
        <v>0</v>
      </c>
      <c r="E54" s="116">
        <f t="shared" si="16"/>
        <v>0</v>
      </c>
      <c r="F54" s="73" t="s">
        <v>30</v>
      </c>
    </row>
    <row r="55" spans="1:6" s="71" customFormat="1" ht="39" customHeight="1" x14ac:dyDescent="0.25">
      <c r="A55"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6" t="str">
        <f t="shared" ref="B55:E55" si="17">B31</f>
        <v>test chemical</v>
      </c>
      <c r="C55" s="116">
        <f t="shared" si="17"/>
        <v>0</v>
      </c>
      <c r="D55" s="116">
        <f t="shared" si="17"/>
        <v>0</v>
      </c>
      <c r="E55" s="116">
        <f t="shared" si="17"/>
        <v>0</v>
      </c>
      <c r="F55" s="73" t="s">
        <v>30</v>
      </c>
    </row>
    <row r="56" spans="1:6" s="71" customFormat="1" ht="39" customHeight="1" x14ac:dyDescent="0.25">
      <c r="A56" s="5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6" t="str">
        <f t="shared" ref="B56:E56" si="18">B32</f>
        <v>test chemical</v>
      </c>
      <c r="C56" s="116">
        <f t="shared" si="18"/>
        <v>0</v>
      </c>
      <c r="D56" s="116">
        <f t="shared" si="18"/>
        <v>0</v>
      </c>
      <c r="E56" s="116">
        <f t="shared" si="18"/>
        <v>0</v>
      </c>
      <c r="F56" s="73" t="s">
        <v>30</v>
      </c>
    </row>
    <row r="57" spans="1:6" s="71" customFormat="1" ht="39" customHeight="1" x14ac:dyDescent="0.25">
      <c r="A57" s="6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15" t="str">
        <f t="shared" ref="B57:E57" si="19">B33</f>
        <v>test chemical</v>
      </c>
      <c r="C57" s="115">
        <f t="shared" si="19"/>
        <v>0</v>
      </c>
      <c r="D57" s="115">
        <f t="shared" si="19"/>
        <v>0</v>
      </c>
      <c r="E57" s="115">
        <f t="shared" si="19"/>
        <v>0</v>
      </c>
      <c r="F57" s="73" t="s">
        <v>30</v>
      </c>
    </row>
  </sheetData>
  <protectedRanges>
    <protectedRange sqref="C19:D37 A15:A51 C15:C18" name="Plage1_1"/>
  </protectedRanges>
  <mergeCells count="5">
    <mergeCell ref="A5:I5"/>
    <mergeCell ref="A1:I1"/>
    <mergeCell ref="F4:I4"/>
    <mergeCell ref="F3:I3"/>
    <mergeCell ref="F2:I2"/>
  </mergeCells>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4"/>
  <sheetViews>
    <sheetView showGridLines="0" zoomScale="85" zoomScaleNormal="85" zoomScaleSheetLayoutView="40" zoomScalePageLayoutView="30" workbookViewId="0">
      <pane xSplit="1" topLeftCell="H1" activePane="topRight" state="frozen"/>
      <selection pane="topRight" activeCell="N30" sqref="N30"/>
    </sheetView>
  </sheetViews>
  <sheetFormatPr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7" width="25.85546875" bestFit="1" customWidth="1"/>
    <col min="18" max="18" width="37.28515625" customWidth="1"/>
    <col min="19" max="36" width="25.85546875" style="1" customWidth="1"/>
    <col min="37" max="37" width="25.85546875" bestFit="1" customWidth="1"/>
  </cols>
  <sheetData>
    <row r="1" spans="1:37" s="1" customFormat="1" ht="27" thickBot="1" x14ac:dyDescent="0.45">
      <c r="A1" s="138" t="s">
        <v>21</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40"/>
    </row>
    <row r="2" spans="1:37" ht="15.75" thickBot="1" x14ac:dyDescent="0.3">
      <c r="A2"/>
      <c r="B2"/>
      <c r="C2"/>
      <c r="D2"/>
      <c r="E2"/>
      <c r="F2"/>
      <c r="G2"/>
      <c r="H2"/>
      <c r="I2"/>
      <c r="J2"/>
      <c r="K2"/>
      <c r="L2"/>
      <c r="M2"/>
      <c r="S2"/>
      <c r="T2"/>
      <c r="U2"/>
      <c r="V2"/>
      <c r="W2"/>
      <c r="X2"/>
      <c r="Y2"/>
      <c r="Z2"/>
      <c r="AA2"/>
      <c r="AB2"/>
      <c r="AC2"/>
      <c r="AD2"/>
    </row>
    <row r="3" spans="1:37" ht="15.75" thickBot="1" x14ac:dyDescent="0.3">
      <c r="A3" s="36" t="s">
        <v>8</v>
      </c>
      <c r="B3" s="148" t="s">
        <v>6</v>
      </c>
      <c r="C3" s="149"/>
      <c r="D3" s="149"/>
      <c r="E3" s="149"/>
      <c r="F3" s="149"/>
      <c r="G3" s="149"/>
      <c r="H3" s="149"/>
      <c r="I3" s="149"/>
      <c r="J3" s="149"/>
      <c r="K3" s="149"/>
      <c r="L3" s="149"/>
      <c r="M3" s="149"/>
      <c r="O3" s="148" t="s">
        <v>3</v>
      </c>
      <c r="P3" s="149"/>
      <c r="Q3" s="149"/>
      <c r="R3" s="149"/>
      <c r="S3" s="149"/>
      <c r="T3" s="149"/>
      <c r="U3" s="149"/>
      <c r="V3" s="149"/>
      <c r="W3" s="149"/>
      <c r="X3" s="149"/>
      <c r="Y3" s="149"/>
      <c r="Z3" s="149"/>
      <c r="AA3" s="149"/>
      <c r="AB3" s="149"/>
      <c r="AC3" s="149"/>
      <c r="AD3" s="149"/>
      <c r="AE3" s="149"/>
      <c r="AF3" s="149"/>
      <c r="AG3" s="149"/>
      <c r="AH3" s="149"/>
      <c r="AI3" s="149"/>
      <c r="AJ3" s="149"/>
      <c r="AK3" s="150"/>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Estradiol-34ng/L</v>
      </c>
      <c r="J4" s="20" t="str">
        <f>'Front page'!A15</f>
        <v>Estradiol-68ng/L</v>
      </c>
      <c r="K4" s="20" t="str">
        <f>'Front page'!A16</f>
        <v>Estradiol-135ng/L</v>
      </c>
      <c r="L4" s="20" t="str">
        <f>'Front page'!A17</f>
        <v>Estradiol-270ng/L</v>
      </c>
      <c r="M4" s="20" t="str">
        <f>'Front page'!A18</f>
        <v>Estradiol-540ng/L</v>
      </c>
      <c r="N4" s="3"/>
      <c r="O4" s="21" t="str">
        <f>'Front page'!A35</f>
        <v>Testo -30µg/L</v>
      </c>
      <c r="P4" s="21" t="str">
        <f>'Front page'!A36</f>
        <v>Testo 30µg/L + EE2 -64ng/L</v>
      </c>
      <c r="Q4" s="21" t="str">
        <f>'Front page'!A37</f>
        <v>Testo 30µg/L + FAD-10mg/L</v>
      </c>
      <c r="R4" s="21" t="str">
        <f>'Front page'!A38</f>
        <v>Estradiol-34ng/L + Testostérone</v>
      </c>
      <c r="S4" s="21" t="str">
        <f>'Front page'!A39</f>
        <v>Estradiol-68ng/L + Testostérone</v>
      </c>
      <c r="T4" s="21" t="str">
        <f>'Front page'!A40</f>
        <v>Estradiol-135ng/L + Testostérone</v>
      </c>
      <c r="U4" s="21" t="str">
        <f>'Front page'!A41</f>
        <v>Estradiol-270ng/L + Testostérone</v>
      </c>
      <c r="V4" s="21" t="str">
        <f>'Front page'!A42</f>
        <v>Estradiol-540ng/L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44" t="s">
        <v>16</v>
      </c>
      <c r="B5" s="17">
        <v>160</v>
      </c>
      <c r="C5" s="17">
        <v>411</v>
      </c>
      <c r="D5" s="17">
        <v>1129</v>
      </c>
      <c r="E5" s="17">
        <v>12251</v>
      </c>
      <c r="F5" s="17">
        <v>91403</v>
      </c>
      <c r="G5" s="17">
        <v>50345</v>
      </c>
      <c r="H5" s="17">
        <v>200232</v>
      </c>
      <c r="I5" s="17">
        <v>0</v>
      </c>
      <c r="J5" s="1">
        <v>758</v>
      </c>
      <c r="K5" s="13">
        <v>161</v>
      </c>
      <c r="L5" s="13">
        <v>246658</v>
      </c>
      <c r="M5" s="13">
        <v>387922</v>
      </c>
      <c r="N5" s="3"/>
      <c r="O5" s="17">
        <v>60796</v>
      </c>
      <c r="P5" s="13">
        <v>215900</v>
      </c>
      <c r="Q5" s="13">
        <v>0</v>
      </c>
      <c r="R5" s="17">
        <v>124424</v>
      </c>
      <c r="S5" s="17">
        <v>241872</v>
      </c>
      <c r="T5" s="17">
        <v>341339</v>
      </c>
      <c r="U5" s="17">
        <v>276390</v>
      </c>
      <c r="V5" s="17">
        <v>302162</v>
      </c>
      <c r="W5" s="17"/>
      <c r="X5" s="17"/>
      <c r="Y5" s="17"/>
      <c r="Z5" s="17"/>
      <c r="AA5" s="17"/>
      <c r="AB5" s="17"/>
      <c r="AC5" s="17"/>
      <c r="AD5" s="17"/>
      <c r="AE5" s="4"/>
      <c r="AF5" s="17"/>
      <c r="AG5" s="17"/>
      <c r="AH5" s="17"/>
      <c r="AI5" s="17"/>
      <c r="AJ5" s="17"/>
      <c r="AK5" s="17"/>
    </row>
    <row r="6" spans="1:37" ht="16.5" x14ac:dyDescent="0.25">
      <c r="A6" s="145"/>
      <c r="B6" s="14">
        <v>2461</v>
      </c>
      <c r="C6" s="13">
        <v>491</v>
      </c>
      <c r="D6" s="17">
        <v>81</v>
      </c>
      <c r="E6" s="17">
        <v>4648</v>
      </c>
      <c r="F6" s="17">
        <v>50602</v>
      </c>
      <c r="G6" s="17">
        <v>0</v>
      </c>
      <c r="H6" s="17">
        <v>298992</v>
      </c>
      <c r="I6" s="17">
        <v>2222</v>
      </c>
      <c r="J6" s="1">
        <v>0</v>
      </c>
      <c r="K6" s="13">
        <v>1467</v>
      </c>
      <c r="L6" s="13">
        <v>213474</v>
      </c>
      <c r="M6" s="13">
        <v>157154</v>
      </c>
      <c r="N6" s="3"/>
      <c r="O6" s="17">
        <v>101188</v>
      </c>
      <c r="P6" s="13">
        <v>254188</v>
      </c>
      <c r="Q6" s="13">
        <v>9659</v>
      </c>
      <c r="R6" s="17">
        <v>126570</v>
      </c>
      <c r="S6" s="17">
        <v>237084</v>
      </c>
      <c r="T6" s="17">
        <v>191386</v>
      </c>
      <c r="U6" s="17">
        <v>273227</v>
      </c>
      <c r="V6" s="17">
        <v>207180</v>
      </c>
      <c r="W6" s="17"/>
      <c r="X6" s="17"/>
      <c r="Y6" s="17"/>
      <c r="Z6" s="17"/>
      <c r="AA6" s="17"/>
      <c r="AB6" s="17"/>
      <c r="AC6" s="17"/>
      <c r="AD6" s="17"/>
      <c r="AE6" s="4"/>
      <c r="AF6" s="17"/>
      <c r="AG6" s="17"/>
      <c r="AH6" s="17"/>
      <c r="AI6" s="17"/>
      <c r="AJ6" s="17"/>
      <c r="AK6" s="17"/>
    </row>
    <row r="7" spans="1:37" ht="16.5" x14ac:dyDescent="0.25">
      <c r="A7" s="145"/>
      <c r="B7" s="14">
        <v>16375</v>
      </c>
      <c r="C7" s="13">
        <v>0</v>
      </c>
      <c r="D7" s="17">
        <v>1066</v>
      </c>
      <c r="E7" s="17">
        <v>115390</v>
      </c>
      <c r="F7" s="17">
        <v>75644</v>
      </c>
      <c r="G7" s="17">
        <v>171140</v>
      </c>
      <c r="H7" s="17">
        <v>196289</v>
      </c>
      <c r="I7" s="17">
        <v>82</v>
      </c>
      <c r="J7" s="1">
        <v>4673</v>
      </c>
      <c r="K7" s="13">
        <v>73246</v>
      </c>
      <c r="L7" s="13">
        <v>126977</v>
      </c>
      <c r="M7" s="13">
        <v>159908</v>
      </c>
      <c r="N7" s="3"/>
      <c r="O7" s="17">
        <v>135480</v>
      </c>
      <c r="P7" s="13">
        <v>176217</v>
      </c>
      <c r="Q7" s="13">
        <v>0</v>
      </c>
      <c r="R7" s="17">
        <v>206724</v>
      </c>
      <c r="S7" s="17">
        <v>216904</v>
      </c>
      <c r="T7" s="17">
        <v>180733</v>
      </c>
      <c r="U7" s="17">
        <v>247274</v>
      </c>
      <c r="V7" s="17">
        <v>324271</v>
      </c>
      <c r="W7" s="17"/>
      <c r="X7" s="17"/>
      <c r="Y7" s="17"/>
      <c r="Z7" s="17"/>
      <c r="AA7" s="17"/>
      <c r="AB7" s="17"/>
      <c r="AC7" s="17"/>
      <c r="AD7" s="17"/>
      <c r="AE7" s="4"/>
      <c r="AF7" s="17"/>
      <c r="AG7" s="17"/>
      <c r="AH7" s="17"/>
      <c r="AI7" s="17"/>
      <c r="AJ7" s="17"/>
      <c r="AK7" s="17"/>
    </row>
    <row r="8" spans="1:37" ht="16.5" x14ac:dyDescent="0.25">
      <c r="A8" s="145"/>
      <c r="B8" s="14">
        <v>3259</v>
      </c>
      <c r="C8" s="13">
        <v>0</v>
      </c>
      <c r="D8" s="17">
        <v>11005</v>
      </c>
      <c r="E8" s="17">
        <v>12992</v>
      </c>
      <c r="F8" s="17">
        <v>80</v>
      </c>
      <c r="G8" s="17">
        <v>17579</v>
      </c>
      <c r="H8" s="17">
        <v>256400</v>
      </c>
      <c r="I8" s="17">
        <v>253</v>
      </c>
      <c r="J8" s="1">
        <v>1497</v>
      </c>
      <c r="K8" s="13">
        <v>98992</v>
      </c>
      <c r="L8" s="13">
        <v>178437</v>
      </c>
      <c r="M8" s="13">
        <v>281561</v>
      </c>
      <c r="N8" s="3"/>
      <c r="O8" s="17">
        <v>3745</v>
      </c>
      <c r="P8" s="13">
        <v>150865</v>
      </c>
      <c r="Q8" s="13">
        <v>8813</v>
      </c>
      <c r="R8" s="17">
        <v>132787</v>
      </c>
      <c r="S8" s="17">
        <v>198954</v>
      </c>
      <c r="T8" s="17">
        <v>154998</v>
      </c>
      <c r="U8" s="17">
        <v>289298</v>
      </c>
      <c r="V8" s="17">
        <v>292405</v>
      </c>
      <c r="W8" s="17"/>
      <c r="X8" s="17"/>
      <c r="Y8" s="17"/>
      <c r="Z8" s="17"/>
      <c r="AA8" s="17"/>
      <c r="AB8" s="17"/>
      <c r="AC8" s="17"/>
      <c r="AD8" s="17"/>
      <c r="AE8" s="4"/>
      <c r="AF8" s="17"/>
      <c r="AG8" s="17"/>
      <c r="AH8" s="17"/>
      <c r="AI8" s="17"/>
      <c r="AJ8" s="17"/>
      <c r="AK8" s="17"/>
    </row>
    <row r="9" spans="1:37" ht="16.5" x14ac:dyDescent="0.25">
      <c r="A9" s="145"/>
      <c r="B9" s="14">
        <v>88</v>
      </c>
      <c r="C9" s="13">
        <v>247</v>
      </c>
      <c r="D9" s="17">
        <v>0</v>
      </c>
      <c r="E9" s="17">
        <v>8876</v>
      </c>
      <c r="F9" s="17">
        <v>5880</v>
      </c>
      <c r="G9" s="17">
        <v>175805</v>
      </c>
      <c r="H9" s="17">
        <v>239598</v>
      </c>
      <c r="I9" s="17">
        <v>0</v>
      </c>
      <c r="J9" s="1">
        <v>0</v>
      </c>
      <c r="K9" s="13">
        <v>6530</v>
      </c>
      <c r="L9" s="13">
        <v>199329</v>
      </c>
      <c r="M9" s="13">
        <v>245532</v>
      </c>
      <c r="N9" s="3"/>
      <c r="O9" s="17">
        <v>132911</v>
      </c>
      <c r="P9" s="13">
        <v>72697</v>
      </c>
      <c r="Q9" s="13">
        <v>11010</v>
      </c>
      <c r="R9" s="17">
        <v>264798</v>
      </c>
      <c r="S9" s="17">
        <v>136842</v>
      </c>
      <c r="T9" s="17">
        <v>278098</v>
      </c>
      <c r="U9" s="17">
        <v>258515</v>
      </c>
      <c r="V9" s="17">
        <v>285384</v>
      </c>
      <c r="W9" s="17"/>
      <c r="X9" s="17"/>
      <c r="Y9" s="17"/>
      <c r="Z9" s="17"/>
      <c r="AA9" s="17"/>
      <c r="AB9" s="17"/>
      <c r="AC9" s="17"/>
      <c r="AD9" s="17"/>
      <c r="AE9" s="4"/>
      <c r="AF9" s="17"/>
      <c r="AG9" s="17"/>
      <c r="AH9" s="17"/>
      <c r="AI9" s="17"/>
      <c r="AJ9" s="17"/>
      <c r="AK9" s="17"/>
    </row>
    <row r="10" spans="1:37" ht="16.5" x14ac:dyDescent="0.25">
      <c r="A10" s="145"/>
      <c r="B10" s="14">
        <v>0</v>
      </c>
      <c r="C10" s="13">
        <v>0</v>
      </c>
      <c r="D10" s="17">
        <v>0</v>
      </c>
      <c r="E10" s="17">
        <v>80</v>
      </c>
      <c r="F10" s="17">
        <v>24217</v>
      </c>
      <c r="G10" s="17">
        <v>117427</v>
      </c>
      <c r="H10" s="17">
        <v>351293</v>
      </c>
      <c r="I10" s="17">
        <v>0</v>
      </c>
      <c r="J10" s="1">
        <v>0</v>
      </c>
      <c r="K10" s="13">
        <v>43850</v>
      </c>
      <c r="L10" s="13">
        <v>214008</v>
      </c>
      <c r="M10" s="13">
        <v>190855</v>
      </c>
      <c r="N10" s="3"/>
      <c r="O10" s="17">
        <v>200037</v>
      </c>
      <c r="P10" s="13">
        <v>56811</v>
      </c>
      <c r="Q10" s="13">
        <v>0</v>
      </c>
      <c r="R10" s="17">
        <v>128020</v>
      </c>
      <c r="S10" s="17">
        <v>293844</v>
      </c>
      <c r="T10" s="17">
        <v>327172</v>
      </c>
      <c r="U10" s="17">
        <v>226520</v>
      </c>
      <c r="V10" s="17">
        <v>231110</v>
      </c>
      <c r="W10" s="17"/>
      <c r="X10" s="17"/>
      <c r="Y10" s="17"/>
      <c r="Z10" s="17"/>
      <c r="AA10" s="17"/>
      <c r="AB10" s="17"/>
      <c r="AC10" s="17"/>
      <c r="AD10" s="17"/>
      <c r="AE10" s="4"/>
      <c r="AF10" s="17"/>
      <c r="AG10" s="17"/>
      <c r="AH10" s="17"/>
      <c r="AI10" s="17"/>
      <c r="AJ10" s="17"/>
      <c r="AK10" s="17"/>
    </row>
    <row r="11" spans="1:37" ht="16.5" x14ac:dyDescent="0.25">
      <c r="A11" s="145"/>
      <c r="B11" s="14">
        <v>81</v>
      </c>
      <c r="C11" s="13">
        <v>0</v>
      </c>
      <c r="D11" s="17">
        <v>0</v>
      </c>
      <c r="E11" s="17">
        <v>0</v>
      </c>
      <c r="F11" s="17">
        <v>0</v>
      </c>
      <c r="G11" s="17">
        <v>83556</v>
      </c>
      <c r="H11" s="17">
        <v>319422</v>
      </c>
      <c r="I11" s="17">
        <v>0</v>
      </c>
      <c r="J11" s="1">
        <v>7115</v>
      </c>
      <c r="K11" s="13">
        <v>1054</v>
      </c>
      <c r="L11" s="13">
        <v>162806</v>
      </c>
      <c r="M11" s="13">
        <v>335047</v>
      </c>
      <c r="N11" s="3"/>
      <c r="O11" s="17">
        <v>148352</v>
      </c>
      <c r="P11" s="13">
        <v>149535</v>
      </c>
      <c r="Q11" s="13">
        <v>80</v>
      </c>
      <c r="R11" s="17">
        <v>152897</v>
      </c>
      <c r="S11" s="17">
        <v>64147</v>
      </c>
      <c r="T11" s="17">
        <v>229026</v>
      </c>
      <c r="U11" s="17">
        <v>257628</v>
      </c>
      <c r="V11" s="17">
        <v>229091</v>
      </c>
      <c r="W11" s="17"/>
      <c r="X11" s="17"/>
      <c r="Y11" s="17"/>
      <c r="Z11" s="17"/>
      <c r="AA11" s="17"/>
      <c r="AB11" s="17"/>
      <c r="AC11" s="17"/>
      <c r="AD11" s="17"/>
      <c r="AE11" s="4"/>
      <c r="AF11" s="17"/>
      <c r="AG11" s="17"/>
      <c r="AH11" s="17"/>
      <c r="AI11" s="17"/>
      <c r="AJ11" s="17"/>
      <c r="AK11" s="17"/>
    </row>
    <row r="12" spans="1:37" ht="16.5" x14ac:dyDescent="0.25">
      <c r="A12" s="145"/>
      <c r="B12" s="14">
        <v>2204</v>
      </c>
      <c r="C12" s="13">
        <v>7763</v>
      </c>
      <c r="D12" s="17">
        <v>166</v>
      </c>
      <c r="E12" s="17">
        <v>0</v>
      </c>
      <c r="F12" s="17">
        <v>8882</v>
      </c>
      <c r="G12" s="17">
        <v>9454</v>
      </c>
      <c r="H12" s="17">
        <v>242036</v>
      </c>
      <c r="I12" s="17">
        <v>0</v>
      </c>
      <c r="J12" s="1">
        <v>0</v>
      </c>
      <c r="K12" s="13">
        <v>84</v>
      </c>
      <c r="L12" s="13">
        <v>185328</v>
      </c>
      <c r="M12" s="13">
        <v>352162</v>
      </c>
      <c r="N12" s="3"/>
      <c r="O12" s="17">
        <v>15190</v>
      </c>
      <c r="P12" s="13">
        <v>150877</v>
      </c>
      <c r="Q12" s="13">
        <v>169</v>
      </c>
      <c r="R12" s="17">
        <v>200659</v>
      </c>
      <c r="S12" s="17">
        <v>223236</v>
      </c>
      <c r="T12" s="17">
        <v>289011</v>
      </c>
      <c r="U12" s="17">
        <v>392630</v>
      </c>
      <c r="V12" s="17">
        <v>412929</v>
      </c>
      <c r="W12" s="17"/>
      <c r="X12" s="17"/>
      <c r="Y12" s="17"/>
      <c r="Z12" s="17"/>
      <c r="AA12" s="17"/>
      <c r="AB12" s="17"/>
      <c r="AC12" s="17"/>
      <c r="AD12" s="17"/>
      <c r="AE12" s="4"/>
      <c r="AF12" s="17"/>
      <c r="AG12" s="17"/>
      <c r="AH12" s="17"/>
      <c r="AI12" s="17"/>
      <c r="AJ12" s="17"/>
      <c r="AK12" s="17"/>
    </row>
    <row r="13" spans="1:37" ht="16.5" x14ac:dyDescent="0.25">
      <c r="A13" s="145"/>
      <c r="B13" s="14"/>
      <c r="C13" s="13"/>
      <c r="D13" s="16"/>
      <c r="E13" s="16"/>
      <c r="F13" s="16"/>
      <c r="G13" s="16"/>
      <c r="H13" s="16"/>
      <c r="I13" s="17"/>
      <c r="J13" s="16"/>
      <c r="K13" s="13"/>
      <c r="L13" s="13"/>
      <c r="M13" s="13"/>
      <c r="N13" s="3"/>
      <c r="O13" s="17">
        <v>219257</v>
      </c>
      <c r="P13" s="13">
        <v>248264</v>
      </c>
      <c r="Q13" s="13"/>
      <c r="R13" s="17"/>
      <c r="S13" s="17"/>
      <c r="T13" s="17"/>
      <c r="U13" s="17"/>
      <c r="V13" s="17"/>
      <c r="W13" s="17"/>
      <c r="X13" s="17"/>
      <c r="Y13" s="17"/>
      <c r="Z13" s="17"/>
      <c r="AA13" s="17"/>
      <c r="AB13" s="17"/>
      <c r="AC13" s="17"/>
      <c r="AD13" s="17"/>
      <c r="AE13" s="4"/>
      <c r="AF13" s="17"/>
      <c r="AG13" s="17"/>
      <c r="AH13" s="17"/>
      <c r="AI13" s="17"/>
      <c r="AJ13" s="17"/>
      <c r="AK13" s="17"/>
    </row>
    <row r="14" spans="1:37" ht="16.5" x14ac:dyDescent="0.25">
      <c r="A14" s="145"/>
      <c r="B14" s="14"/>
      <c r="C14" s="16"/>
      <c r="D14" s="16"/>
      <c r="E14" s="16"/>
      <c r="F14" s="16"/>
      <c r="G14" s="16"/>
      <c r="H14" s="16"/>
      <c r="I14" s="17"/>
      <c r="J14" s="16"/>
      <c r="K14" s="13"/>
      <c r="L14" s="13"/>
      <c r="M14" s="13"/>
      <c r="N14" s="3"/>
      <c r="O14" s="17">
        <v>4391</v>
      </c>
      <c r="P14" s="13"/>
      <c r="Q14" s="13"/>
      <c r="R14" s="4"/>
      <c r="S14" s="17"/>
      <c r="T14" s="17"/>
      <c r="U14" s="17"/>
      <c r="V14" s="17"/>
      <c r="W14" s="17"/>
      <c r="X14" s="17"/>
      <c r="Y14" s="17"/>
      <c r="Z14" s="17"/>
      <c r="AA14" s="17"/>
      <c r="AB14" s="17"/>
      <c r="AC14" s="17"/>
      <c r="AD14" s="17"/>
      <c r="AE14" s="4"/>
      <c r="AF14" s="17"/>
      <c r="AG14" s="17"/>
      <c r="AH14" s="17"/>
      <c r="AI14" s="17"/>
      <c r="AJ14" s="17"/>
      <c r="AK14" s="17"/>
    </row>
    <row r="15" spans="1:37" ht="16.5" x14ac:dyDescent="0.25">
      <c r="A15" s="145"/>
      <c r="B15" s="14"/>
      <c r="C15" s="16"/>
      <c r="D15" s="16"/>
      <c r="E15" s="16"/>
      <c r="F15" s="16"/>
      <c r="G15" s="16"/>
      <c r="H15" s="16"/>
      <c r="I15" s="17"/>
      <c r="J15" s="16"/>
      <c r="K15" s="13"/>
      <c r="L15" s="13"/>
      <c r="M15" s="13"/>
      <c r="N15" s="3"/>
      <c r="O15" s="17">
        <v>177437</v>
      </c>
      <c r="P15" s="13"/>
      <c r="Q15" s="13"/>
      <c r="R15" s="4"/>
      <c r="S15" s="17"/>
      <c r="T15" s="17"/>
      <c r="U15" s="17"/>
      <c r="V15" s="17"/>
      <c r="W15" s="17"/>
      <c r="X15" s="17"/>
      <c r="Y15" s="17"/>
      <c r="Z15" s="17"/>
      <c r="AA15" s="17"/>
      <c r="AB15" s="17"/>
      <c r="AC15" s="17"/>
      <c r="AD15" s="17"/>
      <c r="AE15" s="4"/>
      <c r="AF15" s="17"/>
      <c r="AG15" s="17"/>
      <c r="AH15" s="17"/>
      <c r="AI15" s="17"/>
      <c r="AJ15" s="17"/>
      <c r="AK15" s="17"/>
    </row>
    <row r="16" spans="1:37" ht="16.5" x14ac:dyDescent="0.25">
      <c r="A16" s="145"/>
      <c r="B16" s="14"/>
      <c r="C16" s="16"/>
      <c r="D16" s="16"/>
      <c r="E16" s="16"/>
      <c r="F16" s="16"/>
      <c r="G16" s="16"/>
      <c r="H16" s="16"/>
      <c r="I16" s="17"/>
      <c r="J16" s="16"/>
      <c r="K16" s="13"/>
      <c r="L16" s="13"/>
      <c r="M16" s="13"/>
      <c r="N16" s="3"/>
      <c r="O16" s="17">
        <v>68115</v>
      </c>
      <c r="P16" s="13"/>
      <c r="Q16" s="13"/>
      <c r="R16" s="4"/>
      <c r="S16" s="17"/>
      <c r="T16" s="17"/>
      <c r="U16" s="17"/>
      <c r="V16" s="17"/>
      <c r="W16" s="17"/>
      <c r="X16" s="17"/>
      <c r="Y16" s="17"/>
      <c r="Z16" s="17"/>
      <c r="AA16" s="17"/>
      <c r="AB16" s="17"/>
      <c r="AC16" s="17"/>
      <c r="AD16" s="17"/>
      <c r="AE16" s="4"/>
      <c r="AF16" s="17"/>
      <c r="AG16" s="17"/>
      <c r="AH16" s="17"/>
      <c r="AI16" s="17"/>
      <c r="AJ16" s="17"/>
      <c r="AK16" s="17"/>
    </row>
    <row r="17" spans="1:37" s="1" customFormat="1" ht="16.5" x14ac:dyDescent="0.25">
      <c r="A17" s="145"/>
      <c r="B17" s="14"/>
      <c r="C17" s="17"/>
      <c r="D17" s="17"/>
      <c r="E17" s="17"/>
      <c r="F17" s="17"/>
      <c r="G17" s="17"/>
      <c r="H17" s="17"/>
      <c r="I17" s="17"/>
      <c r="J17" s="17"/>
      <c r="K17" s="13"/>
      <c r="L17" s="13"/>
      <c r="M17" s="13"/>
      <c r="N17" s="3"/>
      <c r="O17" s="17">
        <v>170789</v>
      </c>
      <c r="P17" s="13"/>
      <c r="Q17" s="13"/>
      <c r="R17" s="17"/>
      <c r="S17" s="17"/>
      <c r="T17" s="17"/>
      <c r="U17" s="17"/>
      <c r="V17" s="17"/>
      <c r="W17" s="17"/>
      <c r="X17" s="17"/>
      <c r="Y17" s="17"/>
      <c r="Z17" s="17"/>
      <c r="AA17" s="17"/>
      <c r="AB17" s="17"/>
      <c r="AC17" s="17"/>
      <c r="AD17" s="17"/>
      <c r="AE17" s="17"/>
      <c r="AF17" s="17"/>
      <c r="AG17" s="17"/>
      <c r="AH17" s="17"/>
      <c r="AI17" s="17"/>
      <c r="AJ17" s="17"/>
      <c r="AK17" s="17"/>
    </row>
    <row r="18" spans="1:37" s="1" customFormat="1" ht="16.5" x14ac:dyDescent="0.25">
      <c r="A18" s="145"/>
      <c r="B18" s="14"/>
      <c r="C18" s="17"/>
      <c r="D18" s="17"/>
      <c r="E18" s="17"/>
      <c r="F18" s="17"/>
      <c r="G18" s="17"/>
      <c r="H18" s="17"/>
      <c r="I18" s="17"/>
      <c r="J18" s="17"/>
      <c r="K18" s="13"/>
      <c r="L18" s="13"/>
      <c r="M18" s="13"/>
      <c r="N18" s="3"/>
      <c r="O18" s="17">
        <v>149192</v>
      </c>
      <c r="P18" s="13"/>
      <c r="Q18" s="13"/>
      <c r="R18" s="17"/>
      <c r="S18" s="17"/>
      <c r="T18" s="17"/>
      <c r="U18" s="17"/>
      <c r="V18" s="17"/>
      <c r="W18" s="17"/>
      <c r="X18" s="17"/>
      <c r="Y18" s="17"/>
      <c r="Z18" s="17"/>
      <c r="AA18" s="17"/>
      <c r="AB18" s="17"/>
      <c r="AC18" s="17"/>
      <c r="AD18" s="17"/>
      <c r="AE18" s="17"/>
      <c r="AF18" s="17"/>
      <c r="AG18" s="17"/>
      <c r="AH18" s="17"/>
      <c r="AI18" s="17"/>
      <c r="AJ18" s="17"/>
      <c r="AK18" s="17"/>
    </row>
    <row r="19" spans="1:37" s="1" customFormat="1" ht="16.5" x14ac:dyDescent="0.25">
      <c r="A19" s="145"/>
      <c r="B19" s="14"/>
      <c r="C19" s="17"/>
      <c r="D19" s="17"/>
      <c r="E19" s="17"/>
      <c r="F19" s="17"/>
      <c r="G19" s="17"/>
      <c r="H19" s="17"/>
      <c r="I19" s="17"/>
      <c r="J19" s="17"/>
      <c r="K19" s="13"/>
      <c r="L19" s="13"/>
      <c r="M19" s="13"/>
      <c r="N19" s="3"/>
      <c r="O19" s="17">
        <v>87298</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45"/>
      <c r="B20" s="14"/>
      <c r="C20" s="16"/>
      <c r="D20" s="16"/>
      <c r="E20" s="16"/>
      <c r="F20" s="16"/>
      <c r="G20" s="16"/>
      <c r="H20" s="16"/>
      <c r="I20" s="17"/>
      <c r="J20" s="16"/>
      <c r="K20" s="13"/>
      <c r="L20" s="13"/>
      <c r="M20" s="13"/>
      <c r="N20" s="3"/>
      <c r="O20" s="17">
        <v>172227</v>
      </c>
      <c r="P20" s="13"/>
      <c r="Q20" s="13"/>
      <c r="R20" s="4"/>
      <c r="S20" s="17"/>
      <c r="T20" s="17"/>
      <c r="U20" s="17"/>
      <c r="V20" s="17"/>
      <c r="W20" s="17"/>
      <c r="X20" s="17"/>
      <c r="Y20" s="17"/>
      <c r="Z20" s="17"/>
      <c r="AA20" s="17"/>
      <c r="AB20" s="17"/>
      <c r="AC20" s="17"/>
      <c r="AD20" s="17"/>
      <c r="AE20" s="4"/>
      <c r="AF20" s="17"/>
      <c r="AG20" s="17"/>
      <c r="AH20" s="17"/>
      <c r="AI20" s="17"/>
      <c r="AJ20" s="17"/>
      <c r="AK20" s="17"/>
    </row>
    <row r="21" spans="1:37" s="1" customFormat="1" ht="16.5" x14ac:dyDescent="0.25">
      <c r="A21" s="50"/>
      <c r="B21" s="51"/>
      <c r="C21" s="7"/>
      <c r="D21" s="7"/>
      <c r="E21" s="7"/>
      <c r="F21" s="7"/>
      <c r="G21" s="7"/>
      <c r="H21" s="7"/>
      <c r="I21" s="7"/>
      <c r="J21" s="7"/>
      <c r="K21" s="18"/>
      <c r="L21" s="18"/>
      <c r="M21" s="18"/>
      <c r="N21" s="3"/>
      <c r="O21" s="7"/>
      <c r="P21" s="18"/>
      <c r="Q21" s="18"/>
      <c r="R21" s="7"/>
      <c r="S21" s="7"/>
      <c r="T21" s="7"/>
      <c r="U21" s="7"/>
      <c r="V21" s="7"/>
      <c r="W21" s="7"/>
      <c r="X21" s="7"/>
      <c r="Y21" s="7"/>
      <c r="Z21" s="7"/>
      <c r="AA21" s="7"/>
      <c r="AB21" s="7"/>
      <c r="AC21" s="7"/>
      <c r="AD21" s="7"/>
      <c r="AE21" s="7"/>
      <c r="AF21" s="7"/>
      <c r="AG21" s="7"/>
      <c r="AH21" s="7"/>
      <c r="AI21" s="7"/>
      <c r="AJ21" s="7"/>
      <c r="AK21" s="7"/>
    </row>
    <row r="22" spans="1:37" s="53" customFormat="1" x14ac:dyDescent="0.25">
      <c r="A22" s="52" t="str">
        <f t="shared" ref="A22:M22" si="0">A4</f>
        <v>Noms des groupes</v>
      </c>
      <c r="B22" s="52" t="str">
        <f t="shared" si="0"/>
        <v>Solvent control</v>
      </c>
      <c r="C22" s="52" t="str">
        <f t="shared" si="0"/>
        <v>EE2-33.8ng/L</v>
      </c>
      <c r="D22" s="52" t="str">
        <f t="shared" si="0"/>
        <v>EE2-50.6ng/L</v>
      </c>
      <c r="E22" s="52" t="str">
        <f t="shared" si="0"/>
        <v>EE2-76ng/L</v>
      </c>
      <c r="F22" s="52" t="str">
        <f t="shared" si="0"/>
        <v>EE2-114ng/L</v>
      </c>
      <c r="G22" s="52" t="str">
        <f t="shared" si="0"/>
        <v>EE2-170.9ng/L</v>
      </c>
      <c r="H22" s="52" t="str">
        <f t="shared" si="0"/>
        <v>EE2-488ng/L</v>
      </c>
      <c r="I22" s="52" t="str">
        <f t="shared" si="0"/>
        <v>Estradiol-34ng/L</v>
      </c>
      <c r="J22" s="52" t="str">
        <f t="shared" si="0"/>
        <v>Estradiol-68ng/L</v>
      </c>
      <c r="K22" s="52" t="str">
        <f t="shared" si="0"/>
        <v>Estradiol-135ng/L</v>
      </c>
      <c r="L22" s="52" t="str">
        <f t="shared" si="0"/>
        <v>Estradiol-270ng/L</v>
      </c>
      <c r="M22" s="52" t="str">
        <f t="shared" si="0"/>
        <v>Estradiol-540ng/L</v>
      </c>
      <c r="N22" s="52" t="s">
        <v>27</v>
      </c>
      <c r="O22" s="52" t="str">
        <f t="shared" ref="O22:AE22" si="1">O4</f>
        <v>Testo -30µg/L</v>
      </c>
      <c r="P22" s="52" t="str">
        <f t="shared" si="1"/>
        <v>Testo 30µg/L + EE2 -64ng/L</v>
      </c>
      <c r="Q22" s="52" t="str">
        <f t="shared" si="1"/>
        <v>Testo 30µg/L + FAD-10mg/L</v>
      </c>
      <c r="R22" s="52" t="str">
        <f t="shared" si="1"/>
        <v>Estradiol-34ng/L + Testostérone</v>
      </c>
      <c r="S22" s="52" t="str">
        <f t="shared" si="1"/>
        <v>Estradiol-68ng/L + Testostérone</v>
      </c>
      <c r="T22" s="52" t="str">
        <f t="shared" si="1"/>
        <v>Estradiol-135ng/L + Testostérone</v>
      </c>
      <c r="U22" s="52" t="str">
        <f t="shared" si="1"/>
        <v>Estradiol-270ng/L + Testostérone</v>
      </c>
      <c r="V22" s="52" t="str">
        <f t="shared" si="1"/>
        <v>Estradiol-540ng/L + Testostérone</v>
      </c>
      <c r="W22" s="52" t="str">
        <f t="shared" si="1"/>
        <v>0-00 + Testostérone</v>
      </c>
      <c r="X22" s="52" t="str">
        <f t="shared" si="1"/>
        <v>0-00 + Testostérone</v>
      </c>
      <c r="Y22" s="52" t="str">
        <f t="shared" si="1"/>
        <v>0-00 + Testostérone</v>
      </c>
      <c r="Z22" s="52" t="str">
        <f t="shared" si="1"/>
        <v>0-00 + Testostérone</v>
      </c>
      <c r="AA22" s="52" t="str">
        <f t="shared" si="1"/>
        <v>0-00 + Testostérone</v>
      </c>
      <c r="AB22" s="52" t="str">
        <f t="shared" si="1"/>
        <v>0-00 + Testostérone</v>
      </c>
      <c r="AC22" s="52" t="str">
        <f t="shared" si="1"/>
        <v>0-00 + Testostérone</v>
      </c>
      <c r="AD22" s="52" t="str">
        <f t="shared" si="1"/>
        <v>0-00 + Testostérone</v>
      </c>
      <c r="AE22" s="52" t="str">
        <f t="shared" si="1"/>
        <v>0-00 + Testostérone</v>
      </c>
      <c r="AF22" s="52" t="str">
        <f t="shared" ref="AF22:AK22" si="2">AF4</f>
        <v>0-00 + Testostérone</v>
      </c>
      <c r="AG22" s="52" t="str">
        <f t="shared" si="2"/>
        <v>0-00 + Testostérone</v>
      </c>
      <c r="AH22" s="52" t="str">
        <f t="shared" si="2"/>
        <v>0-00 + Testostérone</v>
      </c>
      <c r="AI22" s="52" t="str">
        <f t="shared" si="2"/>
        <v>0-00 + Testostérone</v>
      </c>
      <c r="AJ22" s="52" t="str">
        <f t="shared" si="2"/>
        <v>0-00 + Testostérone</v>
      </c>
      <c r="AK22" s="52" t="str">
        <f t="shared" si="2"/>
        <v>0-00 + Testostérone</v>
      </c>
    </row>
    <row r="23" spans="1:37" x14ac:dyDescent="0.25">
      <c r="A23" s="5" t="s">
        <v>0</v>
      </c>
      <c r="B23" s="5">
        <f t="shared" ref="B23:M23" si="3">AVERAGE(B5:B20)</f>
        <v>3078.5</v>
      </c>
      <c r="C23" s="5">
        <f t="shared" si="3"/>
        <v>1114</v>
      </c>
      <c r="D23" s="5">
        <f t="shared" si="3"/>
        <v>1680.875</v>
      </c>
      <c r="E23" s="5">
        <f t="shared" si="3"/>
        <v>19279.625</v>
      </c>
      <c r="F23" s="5">
        <f t="shared" si="3"/>
        <v>32088.5</v>
      </c>
      <c r="G23" s="5">
        <f t="shared" si="3"/>
        <v>78163.25</v>
      </c>
      <c r="H23" s="5">
        <f t="shared" si="3"/>
        <v>263032.75</v>
      </c>
      <c r="I23" s="5">
        <f t="shared" si="3"/>
        <v>319.625</v>
      </c>
      <c r="J23" s="5">
        <f t="shared" si="3"/>
        <v>1755.375</v>
      </c>
      <c r="K23" s="5">
        <f t="shared" si="3"/>
        <v>28173</v>
      </c>
      <c r="L23" s="5">
        <f t="shared" si="3"/>
        <v>190877.125</v>
      </c>
      <c r="M23" s="5">
        <f t="shared" si="3"/>
        <v>263767.625</v>
      </c>
      <c r="N23" s="5" t="s">
        <v>0</v>
      </c>
      <c r="O23" s="5">
        <f t="shared" ref="O23:AE23" si="4">AVERAGE(O5:O20)</f>
        <v>115400.3125</v>
      </c>
      <c r="P23" s="5">
        <f t="shared" si="4"/>
        <v>163928.22222222222</v>
      </c>
      <c r="Q23" s="5">
        <f t="shared" si="4"/>
        <v>3716.375</v>
      </c>
      <c r="R23" s="5">
        <f t="shared" si="4"/>
        <v>167109.875</v>
      </c>
      <c r="S23" s="5">
        <f t="shared" si="4"/>
        <v>201610.375</v>
      </c>
      <c r="T23" s="5">
        <f t="shared" si="4"/>
        <v>248970.375</v>
      </c>
      <c r="U23" s="5">
        <f t="shared" si="4"/>
        <v>277685.25</v>
      </c>
      <c r="V23" s="5">
        <f t="shared" si="4"/>
        <v>285566.5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si="4"/>
        <v>#DIV/0!</v>
      </c>
      <c r="AF23" s="5" t="e">
        <f t="shared" ref="AF23:AK23" si="5">AVERAGE(AF5:AF20)</f>
        <v>#DIV/0!</v>
      </c>
      <c r="AG23" s="5" t="e">
        <f t="shared" si="5"/>
        <v>#DIV/0!</v>
      </c>
      <c r="AH23" s="5" t="e">
        <f t="shared" si="5"/>
        <v>#DIV/0!</v>
      </c>
      <c r="AI23" s="5" t="e">
        <f t="shared" si="5"/>
        <v>#DIV/0!</v>
      </c>
      <c r="AJ23" s="5" t="e">
        <f t="shared" si="5"/>
        <v>#DIV/0!</v>
      </c>
      <c r="AK23" s="5" t="e">
        <f t="shared" si="5"/>
        <v>#DIV/0!</v>
      </c>
    </row>
    <row r="24" spans="1:37" x14ac:dyDescent="0.25">
      <c r="A24" s="3" t="s">
        <v>1</v>
      </c>
      <c r="B24" s="3">
        <f t="shared" ref="B24:M24" si="6">STDEV(B5:B20)</f>
        <v>5527.8315304078715</v>
      </c>
      <c r="C24" s="3">
        <f t="shared" si="6"/>
        <v>2694.0996905937136</v>
      </c>
      <c r="D24" s="3">
        <f t="shared" si="6"/>
        <v>3797.6009885001272</v>
      </c>
      <c r="E24" s="3">
        <f t="shared" si="6"/>
        <v>39207.312225937436</v>
      </c>
      <c r="F24" s="3">
        <f t="shared" si="6"/>
        <v>36054.808880766119</v>
      </c>
      <c r="G24" s="3">
        <f t="shared" si="6"/>
        <v>70734.990601237398</v>
      </c>
      <c r="H24" s="3">
        <f t="shared" si="6"/>
        <v>55671.733865965201</v>
      </c>
      <c r="I24" s="3">
        <f t="shared" si="6"/>
        <v>773.74191664367549</v>
      </c>
      <c r="J24" s="3">
        <f t="shared" si="6"/>
        <v>2689.264261439761</v>
      </c>
      <c r="K24" s="3">
        <f t="shared" si="6"/>
        <v>39249.037349432445</v>
      </c>
      <c r="L24" s="3">
        <f t="shared" si="6"/>
        <v>36420.872894683816</v>
      </c>
      <c r="M24" s="3">
        <f t="shared" si="6"/>
        <v>89783.313357275445</v>
      </c>
      <c r="N24" s="3" t="s">
        <v>1</v>
      </c>
      <c r="O24" s="3">
        <f t="shared" ref="O24:AE24" si="7">STDEV(O5:O20)</f>
        <v>69317.705539752496</v>
      </c>
      <c r="P24" s="3">
        <f t="shared" si="7"/>
        <v>69333.264806256193</v>
      </c>
      <c r="Q24" s="3">
        <f t="shared" si="7"/>
        <v>5095.218569193783</v>
      </c>
      <c r="R24" s="3">
        <f t="shared" si="7"/>
        <v>51563.333781830173</v>
      </c>
      <c r="S24" s="3">
        <f t="shared" si="7"/>
        <v>70898.477634144481</v>
      </c>
      <c r="T24" s="3">
        <f t="shared" si="7"/>
        <v>70000.012422320331</v>
      </c>
      <c r="U24" s="3">
        <f t="shared" si="7"/>
        <v>50258.224454880445</v>
      </c>
      <c r="V24" s="3">
        <f t="shared" si="7"/>
        <v>65836.257498650171</v>
      </c>
      <c r="W24" s="3" t="e">
        <f t="shared" si="7"/>
        <v>#DIV/0!</v>
      </c>
      <c r="X24" s="3" t="e">
        <f t="shared" si="7"/>
        <v>#DIV/0!</v>
      </c>
      <c r="Y24" s="3" t="e">
        <f t="shared" si="7"/>
        <v>#DIV/0!</v>
      </c>
      <c r="Z24" s="3" t="e">
        <f t="shared" si="7"/>
        <v>#DIV/0!</v>
      </c>
      <c r="AA24" s="3" t="e">
        <f t="shared" si="7"/>
        <v>#DIV/0!</v>
      </c>
      <c r="AB24" s="3" t="e">
        <f t="shared" si="7"/>
        <v>#DIV/0!</v>
      </c>
      <c r="AC24" s="3" t="e">
        <f t="shared" si="7"/>
        <v>#DIV/0!</v>
      </c>
      <c r="AD24" s="3" t="e">
        <f t="shared" si="7"/>
        <v>#DIV/0!</v>
      </c>
      <c r="AE24" s="3" t="e">
        <f t="shared" si="7"/>
        <v>#DIV/0!</v>
      </c>
      <c r="AF24" s="3" t="e">
        <f t="shared" ref="AF24:AK24" si="8">STDEV(AF5:AF20)</f>
        <v>#DIV/0!</v>
      </c>
      <c r="AG24" s="3" t="e">
        <f t="shared" si="8"/>
        <v>#DIV/0!</v>
      </c>
      <c r="AH24" s="3" t="e">
        <f t="shared" si="8"/>
        <v>#DIV/0!</v>
      </c>
      <c r="AI24" s="3" t="e">
        <f t="shared" si="8"/>
        <v>#DIV/0!</v>
      </c>
      <c r="AJ24" s="3" t="e">
        <f t="shared" si="8"/>
        <v>#DIV/0!</v>
      </c>
      <c r="AK24" s="3" t="e">
        <f t="shared" si="8"/>
        <v>#DIV/0!</v>
      </c>
    </row>
    <row r="25" spans="1:37" ht="15.75" thickBot="1" x14ac:dyDescent="0.3"/>
    <row r="26" spans="1:37" ht="15.75" thickBot="1" x14ac:dyDescent="0.3">
      <c r="B26" s="148" t="s">
        <v>6</v>
      </c>
      <c r="C26" s="149"/>
      <c r="D26" s="149"/>
      <c r="E26" s="149"/>
      <c r="F26" s="149"/>
      <c r="G26" s="149"/>
      <c r="H26" s="149"/>
      <c r="I26" s="149"/>
      <c r="J26" s="149"/>
      <c r="K26" s="149"/>
      <c r="L26" s="149"/>
      <c r="M26" s="149"/>
      <c r="N26" s="1"/>
      <c r="O26" s="148" t="s">
        <v>3</v>
      </c>
      <c r="P26" s="149"/>
      <c r="Q26" s="149"/>
      <c r="R26" s="149"/>
      <c r="S26" s="149"/>
      <c r="T26" s="149"/>
      <c r="U26" s="149"/>
      <c r="V26" s="149"/>
      <c r="W26" s="149"/>
      <c r="X26" s="149"/>
      <c r="Y26" s="149"/>
      <c r="Z26" s="149"/>
      <c r="AA26" s="149"/>
      <c r="AB26" s="149"/>
      <c r="AC26" s="149"/>
      <c r="AD26" s="149"/>
      <c r="AE26" s="149"/>
      <c r="AF26" s="149"/>
      <c r="AG26" s="149"/>
      <c r="AH26" s="149"/>
      <c r="AI26" s="149"/>
      <c r="AJ26" s="149"/>
      <c r="AK26" s="150"/>
    </row>
    <row r="27" spans="1:37" s="1" customFormat="1" x14ac:dyDescent="0.25">
      <c r="A27" s="19" t="s">
        <v>22</v>
      </c>
      <c r="B27" s="20" t="str">
        <f t="shared" ref="B27:M27" si="9">B4</f>
        <v>Solvent control</v>
      </c>
      <c r="C27" s="20" t="str">
        <f t="shared" si="9"/>
        <v>EE2-33.8ng/L</v>
      </c>
      <c r="D27" s="20" t="str">
        <f t="shared" si="9"/>
        <v>EE2-50.6ng/L</v>
      </c>
      <c r="E27" s="20" t="str">
        <f t="shared" si="9"/>
        <v>EE2-76ng/L</v>
      </c>
      <c r="F27" s="20" t="str">
        <f t="shared" si="9"/>
        <v>EE2-114ng/L</v>
      </c>
      <c r="G27" s="20" t="str">
        <f t="shared" si="9"/>
        <v>EE2-170.9ng/L</v>
      </c>
      <c r="H27" s="20" t="str">
        <f t="shared" si="9"/>
        <v>EE2-488ng/L</v>
      </c>
      <c r="I27" s="20" t="str">
        <f t="shared" si="9"/>
        <v>Estradiol-34ng/L</v>
      </c>
      <c r="J27" s="20" t="str">
        <f t="shared" si="9"/>
        <v>Estradiol-68ng/L</v>
      </c>
      <c r="K27" s="20" t="str">
        <f t="shared" si="9"/>
        <v>Estradiol-135ng/L</v>
      </c>
      <c r="L27" s="20" t="str">
        <f t="shared" si="9"/>
        <v>Estradiol-270ng/L</v>
      </c>
      <c r="M27" s="20" t="str">
        <f t="shared" si="9"/>
        <v>Estradiol-540ng/L</v>
      </c>
      <c r="N27" s="3"/>
      <c r="O27" s="21" t="str">
        <f t="shared" ref="O27:AD27" si="10">O4</f>
        <v>Testo -30µg/L</v>
      </c>
      <c r="P27" s="21" t="str">
        <f t="shared" si="10"/>
        <v>Testo 30µg/L + EE2 -64ng/L</v>
      </c>
      <c r="Q27" s="21" t="str">
        <f t="shared" si="10"/>
        <v>Testo 30µg/L + FAD-10mg/L</v>
      </c>
      <c r="R27" s="21" t="str">
        <f t="shared" si="10"/>
        <v>Estradiol-34ng/L + Testostérone</v>
      </c>
      <c r="S27" s="21" t="str">
        <f t="shared" si="10"/>
        <v>Estradiol-68ng/L + Testostérone</v>
      </c>
      <c r="T27" s="21" t="str">
        <f t="shared" si="10"/>
        <v>Estradiol-135ng/L + Testostérone</v>
      </c>
      <c r="U27" s="21" t="str">
        <f t="shared" si="10"/>
        <v>Estradiol-270ng/L + Testostérone</v>
      </c>
      <c r="V27" s="21" t="str">
        <f t="shared" si="10"/>
        <v>Estradiol-540ng/L + Testostérone</v>
      </c>
      <c r="W27" s="21" t="str">
        <f t="shared" si="10"/>
        <v>0-00 + Testostérone</v>
      </c>
      <c r="X27" s="21" t="str">
        <f t="shared" si="10"/>
        <v>0-00 + Testostérone</v>
      </c>
      <c r="Y27" s="21" t="str">
        <f t="shared" si="10"/>
        <v>0-00 + Testostérone</v>
      </c>
      <c r="Z27" s="21" t="str">
        <f t="shared" si="10"/>
        <v>0-00 + Testostérone</v>
      </c>
      <c r="AA27" s="21" t="str">
        <f t="shared" si="10"/>
        <v>0-00 + Testostérone</v>
      </c>
      <c r="AB27" s="21" t="str">
        <f t="shared" si="10"/>
        <v>0-00 + Testostérone</v>
      </c>
      <c r="AC27" s="21" t="str">
        <f t="shared" si="10"/>
        <v>0-00 + Testostérone</v>
      </c>
      <c r="AD27" s="21" t="str">
        <f t="shared" si="10"/>
        <v>0-00 + Testostérone</v>
      </c>
      <c r="AE27" s="21" t="str">
        <f t="shared" ref="AE27:AK27" si="11">AE4</f>
        <v>0-00 + Testostérone</v>
      </c>
      <c r="AF27" s="21" t="str">
        <f t="shared" si="11"/>
        <v>0-00 + Testostérone</v>
      </c>
      <c r="AG27" s="21" t="str">
        <f t="shared" si="11"/>
        <v>0-00 + Testostérone</v>
      </c>
      <c r="AH27" s="21" t="str">
        <f t="shared" si="11"/>
        <v>0-00 + Testostérone</v>
      </c>
      <c r="AI27" s="21" t="str">
        <f t="shared" si="11"/>
        <v>0-00 + Testostérone</v>
      </c>
      <c r="AJ27" s="21" t="str">
        <f t="shared" si="11"/>
        <v>0-00 + Testostérone</v>
      </c>
      <c r="AK27" s="21" t="str">
        <f t="shared" si="11"/>
        <v>0-00 + Testostérone</v>
      </c>
    </row>
    <row r="28" spans="1:37" x14ac:dyDescent="0.25">
      <c r="A28" s="146" t="s">
        <v>17</v>
      </c>
      <c r="B28" s="11">
        <f>IF(B5="","",(B5/$O$23))</f>
        <v>1.386478047882236E-3</v>
      </c>
      <c r="C28" s="11">
        <f>IF(C5="","",(C5/$O$23))</f>
        <v>3.5615154854974937E-3</v>
      </c>
      <c r="D28" s="11">
        <f>IF(D5="","",(D5/$O$23))</f>
        <v>9.7833357253690276E-3</v>
      </c>
      <c r="E28" s="11">
        <f>IF(E5="","",(E5/$O$23))</f>
        <v>0.10616089102878296</v>
      </c>
      <c r="F28" s="11">
        <f>IF(F5="","",(F5/$O$23))</f>
        <v>0.79205158131612508</v>
      </c>
      <c r="G28" s="11">
        <f>IF(G5="","",(G5/$O$23))</f>
        <v>0.43626398325394483</v>
      </c>
      <c r="H28" s="11">
        <f>IF(H5="","",(H5/$O$23))</f>
        <v>1.7351079530222242</v>
      </c>
      <c r="I28" s="11">
        <f>IF(I5="","",(I5/$O$23))</f>
        <v>0</v>
      </c>
      <c r="J28" s="11">
        <f>IF(J5="","",(J5/$O$23))</f>
        <v>6.5684397518420935E-3</v>
      </c>
      <c r="K28" s="11">
        <f>IF(K5="","",(K5/$O$23))</f>
        <v>1.3951435356815E-3</v>
      </c>
      <c r="L28" s="11">
        <f>IF(L5="","",(L5/$O$23))</f>
        <v>2.1374118895908536</v>
      </c>
      <c r="M28" s="11">
        <f>IF(M5="","",(M5/$O$23))</f>
        <v>3.3615333580660796</v>
      </c>
      <c r="N28" s="6"/>
      <c r="O28" s="11">
        <f t="shared" ref="O28:AK28" si="12">IF(O5="","",(O5/$O$23))</f>
        <v>0.5268269962440526</v>
      </c>
      <c r="P28" s="11">
        <f t="shared" si="12"/>
        <v>1.8708788158610923</v>
      </c>
      <c r="Q28" s="11">
        <f t="shared" si="12"/>
        <v>0</v>
      </c>
      <c r="R28" s="11">
        <f t="shared" si="12"/>
        <v>1.0781946539356209</v>
      </c>
      <c r="S28" s="11">
        <f t="shared" si="12"/>
        <v>2.0959388649835762</v>
      </c>
      <c r="T28" s="11">
        <f t="shared" si="12"/>
        <v>2.9578689399129661</v>
      </c>
      <c r="U28" s="11">
        <f t="shared" si="12"/>
        <v>2.3950541728385701</v>
      </c>
      <c r="V28" s="11">
        <f t="shared" si="12"/>
        <v>2.6183811244012012</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147"/>
      <c r="B29" s="11">
        <f>IF(B6="","",(B6/$O$23))</f>
        <v>2.1325765473988643E-2</v>
      </c>
      <c r="C29" s="11">
        <f>IF(C6="","",(C6/$O$23))</f>
        <v>4.2547545094386114E-3</v>
      </c>
      <c r="D29" s="11">
        <f>IF(D6="","",(D6/$O$23))</f>
        <v>7.01904511740382E-4</v>
      </c>
      <c r="E29" s="11">
        <f>IF(E6="","",(E6/$O$23))</f>
        <v>4.0277187290978955E-2</v>
      </c>
      <c r="F29" s="11">
        <f>IF(F6="","",(F6/$O$23))</f>
        <v>0.43849101361835569</v>
      </c>
      <c r="G29" s="11">
        <f>IF(G6="","",(G6/$O$23))</f>
        <v>0</v>
      </c>
      <c r="H29" s="11">
        <f>IF(H6="","",(H6/$O$23))</f>
        <v>2.5909115280775343</v>
      </c>
      <c r="I29" s="11">
        <f>IF(I6="","",(I6/$O$23))</f>
        <v>1.9254713889964553E-2</v>
      </c>
      <c r="J29" s="11">
        <f>IF(J6="","",(J6/$O$23))</f>
        <v>0</v>
      </c>
      <c r="K29" s="11">
        <f>IF(K6="","",(K6/$O$23))</f>
        <v>1.2712270601520251E-2</v>
      </c>
      <c r="L29" s="11">
        <f>IF(L6="","",(L6/$O$23))</f>
        <v>1.8498563424600778</v>
      </c>
      <c r="M29" s="11">
        <f>IF(M6="","",(M6/$O$23))</f>
        <v>1.3618160696055308</v>
      </c>
      <c r="N29" s="6"/>
      <c r="O29" s="11">
        <f t="shared" ref="O29:AK29" si="13">IF(O6="","",(O6/$O$23))</f>
        <v>0.87684337943192314</v>
      </c>
      <c r="P29" s="11">
        <f t="shared" si="13"/>
        <v>2.2026630127193112</v>
      </c>
      <c r="Q29" s="11">
        <f t="shared" si="13"/>
        <v>8.3699946653090732E-2</v>
      </c>
      <c r="R29" s="11">
        <f t="shared" si="13"/>
        <v>1.0967907907528414</v>
      </c>
      <c r="S29" s="11">
        <f t="shared" si="13"/>
        <v>2.0544485094007001</v>
      </c>
      <c r="T29" s="11">
        <f t="shared" si="13"/>
        <v>1.6584530479499351</v>
      </c>
      <c r="U29" s="11">
        <f t="shared" si="13"/>
        <v>2.3676452349294981</v>
      </c>
      <c r="V29" s="11">
        <f t="shared" si="13"/>
        <v>1.7953157622515103</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147"/>
      <c r="B30" s="11">
        <f>IF(B7="","",(B7/$O$23))</f>
        <v>0.14189736271294759</v>
      </c>
      <c r="C30" s="11">
        <f>IF(C7="","",(C7/$O$23))</f>
        <v>0</v>
      </c>
      <c r="D30" s="11">
        <f>IF(D7="","",(D7/$O$23))</f>
        <v>9.237409994015398E-3</v>
      </c>
      <c r="E30" s="11">
        <f>IF(E7="","",(E7/$O$23))</f>
        <v>0.99991063715707007</v>
      </c>
      <c r="F30" s="11">
        <f>IF(F7="","",(F7/$O$23))</f>
        <v>0.65549215908752412</v>
      </c>
      <c r="G30" s="11">
        <f>IF(G7="","",(G7/$O$23))</f>
        <v>1.4830115819660368</v>
      </c>
      <c r="H30" s="11">
        <f>IF(H7="","",(H7/$O$23))</f>
        <v>1.7009399346297265</v>
      </c>
      <c r="I30" s="11">
        <f>IF(I7="","",(I7/$O$23))</f>
        <v>7.1056999953964591E-4</v>
      </c>
      <c r="J30" s="11">
        <f>IF(J7="","",(J7/$O$23))</f>
        <v>4.0493824485960554E-2</v>
      </c>
      <c r="K30" s="11">
        <f>IF(K7="","",(K7/$O$23))</f>
        <v>0.63471231934488914</v>
      </c>
      <c r="L30" s="11">
        <f>IF(L7="","",(L7/$O$23))</f>
        <v>1.1003176442871418</v>
      </c>
      <c r="M30" s="11">
        <f>IF(M7="","",(M7/$O$23))</f>
        <v>1.3856808230047037</v>
      </c>
      <c r="N30" s="6"/>
      <c r="O30" s="11">
        <f t="shared" ref="O30:AK30" si="14">IF(O7="","",(O7/$O$23))</f>
        <v>1.1740002870442834</v>
      </c>
      <c r="P30" s="11">
        <f t="shared" si="14"/>
        <v>1.5270062635228998</v>
      </c>
      <c r="Q30" s="11">
        <f t="shared" si="14"/>
        <v>0</v>
      </c>
      <c r="R30" s="11">
        <f t="shared" si="14"/>
        <v>1.7913642998150461</v>
      </c>
      <c r="S30" s="11">
        <f t="shared" si="14"/>
        <v>1.8795789656115534</v>
      </c>
      <c r="T30" s="11">
        <f t="shared" si="14"/>
        <v>1.566139606424376</v>
      </c>
      <c r="U30" s="11">
        <f t="shared" si="14"/>
        <v>2.1427498300752004</v>
      </c>
      <c r="V30" s="11">
        <f t="shared" si="14"/>
        <v>2.8099663941551283</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147"/>
      <c r="B31" s="11">
        <f>IF(B8="","",(B8/$O$23))</f>
        <v>2.8240824737801293E-2</v>
      </c>
      <c r="C31" s="11">
        <f>IF(C8="","",(C8/$O$23))</f>
        <v>0</v>
      </c>
      <c r="D31" s="11">
        <f>IF(D8="","",(D8/$O$23))</f>
        <v>9.5363693230900048E-2</v>
      </c>
      <c r="E31" s="11">
        <f>IF(E8="","",(E8/$O$23))</f>
        <v>0.11258201748803756</v>
      </c>
      <c r="F31" s="11">
        <f>IF(F8="","",(F8/$O$23))</f>
        <v>6.9323902394111798E-4</v>
      </c>
      <c r="G31" s="11">
        <f>IF(G8="","",(G8/$O$23))</f>
        <v>0.15233061002326143</v>
      </c>
      <c r="H31" s="11">
        <f>IF(H8="","",(H8/$O$23))</f>
        <v>2.221831071731283</v>
      </c>
      <c r="I31" s="11">
        <f>IF(I8="","",(I8/$O$23))</f>
        <v>2.1923684132137858E-3</v>
      </c>
      <c r="J31" s="11">
        <f>IF(J8="","",(J8/$O$23))</f>
        <v>1.297223523549817E-2</v>
      </c>
      <c r="K31" s="11">
        <f>IF(K8="","",(K8/$O$23))</f>
        <v>0.85781396822473943</v>
      </c>
      <c r="L31" s="11">
        <f>IF(L8="","",(L8/$O$23))</f>
        <v>1.546243646437266</v>
      </c>
      <c r="M31" s="11">
        <f>IF(M8="","",(M8/$O$23))</f>
        <v>2.4398634102485639</v>
      </c>
      <c r="N31" s="6"/>
      <c r="O31" s="11">
        <f t="shared" ref="O31:AK31" si="15">IF(O8="","",(O8/$O$23))</f>
        <v>3.2452251808243585E-2</v>
      </c>
      <c r="P31" s="11">
        <f t="shared" si="15"/>
        <v>1.3073188168359595</v>
      </c>
      <c r="Q31" s="11">
        <f t="shared" si="15"/>
        <v>7.6368943974913409E-2</v>
      </c>
      <c r="R31" s="11">
        <f t="shared" si="15"/>
        <v>1.1506641284008654</v>
      </c>
      <c r="S31" s="11">
        <f t="shared" si="15"/>
        <v>1.7240334596147648</v>
      </c>
      <c r="T31" s="11">
        <f t="shared" si="15"/>
        <v>1.3431332779103176</v>
      </c>
      <c r="U31" s="11">
        <f t="shared" si="15"/>
        <v>2.5069082893514696</v>
      </c>
      <c r="V31" s="11">
        <f t="shared" si="15"/>
        <v>2.5338319599437829</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147"/>
      <c r="B32" s="11">
        <f>IF(B9="","",(B9/$O$23))</f>
        <v>7.6256292633522982E-4</v>
      </c>
      <c r="C32" s="11">
        <f>IF(C9="","",(C9/$O$23))</f>
        <v>2.1403754864182016E-3</v>
      </c>
      <c r="D32" s="11">
        <f>IF(D9="","",(D9/$O$23))</f>
        <v>0</v>
      </c>
      <c r="E32" s="11">
        <f>IF(E9="","",(E9/$O$23))</f>
        <v>7.6914869706267042E-2</v>
      </c>
      <c r="F32" s="11">
        <f>IF(F9="","",(F9/$O$23))</f>
        <v>5.0953068259672177E-2</v>
      </c>
      <c r="G32" s="11">
        <f>IF(G9="","",(G9/$O$23))</f>
        <v>1.5234360825496032</v>
      </c>
      <c r="H32" s="11">
        <f>IF(H9="","",(H9/$O$23))</f>
        <v>2.0762335457280501</v>
      </c>
      <c r="I32" s="11">
        <f>IF(I9="","",(I9/$O$23))</f>
        <v>0</v>
      </c>
      <c r="J32" s="11">
        <f>IF(J9="","",(J9/$O$23))</f>
        <v>0</v>
      </c>
      <c r="K32" s="11">
        <f>IF(K9="","",(K9/$O$23))</f>
        <v>5.6585635329193758E-2</v>
      </c>
      <c r="L32" s="11">
        <f>IF(L9="","",(L9/$O$23))</f>
        <v>1.7272830175394889</v>
      </c>
      <c r="M32" s="11">
        <f>IF(M9="","",(M9/$O$23))</f>
        <v>2.1276545503288822</v>
      </c>
      <c r="N32" s="6"/>
      <c r="O32" s="11">
        <f t="shared" ref="O32:AK32" si="16">IF(O9="","",(O9/$O$23))</f>
        <v>1.1517386488879742</v>
      </c>
      <c r="P32" s="11">
        <f t="shared" si="16"/>
        <v>0.62995496654309324</v>
      </c>
      <c r="Q32" s="11">
        <f t="shared" si="16"/>
        <v>9.540702066989637E-2</v>
      </c>
      <c r="R32" s="11">
        <f t="shared" si="16"/>
        <v>2.2946038382695022</v>
      </c>
      <c r="S32" s="11">
        <f t="shared" si="16"/>
        <v>1.1858026814268809</v>
      </c>
      <c r="T32" s="11">
        <f t="shared" si="16"/>
        <v>2.4098548259997128</v>
      </c>
      <c r="U32" s="11">
        <f t="shared" si="16"/>
        <v>2.2401585784267266</v>
      </c>
      <c r="V32" s="11">
        <f t="shared" si="16"/>
        <v>2.4729915701051501</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147"/>
      <c r="B33" s="11">
        <f>IF(B10="","",(B10/$O$23))</f>
        <v>0</v>
      </c>
      <c r="C33" s="11">
        <f>IF(C10="","",(C10/$O$23))</f>
        <v>0</v>
      </c>
      <c r="D33" s="11">
        <f>IF(D10="","",(D10/$O$23))</f>
        <v>0</v>
      </c>
      <c r="E33" s="11">
        <f>IF(E10="","",(E10/$O$23))</f>
        <v>6.9323902394111798E-4</v>
      </c>
      <c r="F33" s="11">
        <f>IF(F10="","",(F10/$O$23))</f>
        <v>0.20985211803477569</v>
      </c>
      <c r="G33" s="11">
        <f>IF(G10="","",(G10/$O$23))</f>
        <v>1.0175622358041707</v>
      </c>
      <c r="H33" s="11">
        <f>IF(H10="","",(H10/$O$23))</f>
        <v>3.0441252054668397</v>
      </c>
      <c r="I33" s="11">
        <f>IF(I10="","",(I10/$O$23))</f>
        <v>0</v>
      </c>
      <c r="J33" s="11">
        <f>IF(J10="","",(J10/$O$23))</f>
        <v>0</v>
      </c>
      <c r="K33" s="11">
        <f>IF(K10="","",(K10/$O$23))</f>
        <v>0.37998163999772533</v>
      </c>
      <c r="L33" s="11">
        <f>IF(L10="","",(L10/$O$23))</f>
        <v>1.8544837129448848</v>
      </c>
      <c r="M33" s="11">
        <f>IF(M10="","",(M10/$O$23))</f>
        <v>1.6538516739285261</v>
      </c>
      <c r="N33" s="6"/>
      <c r="O33" s="11">
        <f t="shared" ref="O33:AK33" si="17">IF(O10="","",(O10/$O$23))</f>
        <v>1.7334181829013677</v>
      </c>
      <c r="P33" s="11">
        <f t="shared" si="17"/>
        <v>0.49229502736398567</v>
      </c>
      <c r="Q33" s="11">
        <f t="shared" si="17"/>
        <v>0</v>
      </c>
      <c r="R33" s="11">
        <f t="shared" si="17"/>
        <v>1.1093557480617742</v>
      </c>
      <c r="S33" s="11">
        <f t="shared" si="17"/>
        <v>2.5463015968869236</v>
      </c>
      <c r="T33" s="11">
        <f t="shared" si="17"/>
        <v>2.8351049742607932</v>
      </c>
      <c r="U33" s="11">
        <f t="shared" si="17"/>
        <v>1.9629062962892756</v>
      </c>
      <c r="V33" s="11">
        <f t="shared" si="17"/>
        <v>2.0026808852878974</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147"/>
      <c r="B34" s="11">
        <f>IF(B11="","",(B11/$O$23))</f>
        <v>7.01904511740382E-4</v>
      </c>
      <c r="C34" s="11">
        <f>IF(C11="","",(C11/$O$23))</f>
        <v>0</v>
      </c>
      <c r="D34" s="11">
        <f>IF(D11="","",(D11/$O$23))</f>
        <v>0</v>
      </c>
      <c r="E34" s="11">
        <f>IF(E11="","",(E11/$O$23))</f>
        <v>0</v>
      </c>
      <c r="F34" s="11">
        <f>IF(F11="","",(F11/$O$23))</f>
        <v>0</v>
      </c>
      <c r="G34" s="11">
        <f>IF(G11="","",(G11/$O$23))</f>
        <v>0.72405349855530066</v>
      </c>
      <c r="H34" s="11">
        <f>IF(H11="","",(H11/$O$23))</f>
        <v>2.7679474438164973</v>
      </c>
      <c r="I34" s="11">
        <f>IF(I11="","",(I11/$O$23))</f>
        <v>0</v>
      </c>
      <c r="J34" s="11">
        <f>IF(J11="","",(J11/$O$23))</f>
        <v>6.1654945691763184E-2</v>
      </c>
      <c r="K34" s="11">
        <f>IF(K11="","",(K11/$O$23))</f>
        <v>9.1334241404242306E-3</v>
      </c>
      <c r="L34" s="11">
        <f>IF(L11="","",(L11/$O$23))</f>
        <v>1.4107934066469707</v>
      </c>
      <c r="M34" s="11">
        <f>IF(M11="","",(M11/$O$23))</f>
        <v>2.903345690679997</v>
      </c>
      <c r="N34" s="6"/>
      <c r="O34" s="11">
        <f t="shared" ref="O34:AK34" si="18">IF(O11="","",(O11/$O$23))</f>
        <v>1.2855424459964093</v>
      </c>
      <c r="P34" s="11">
        <f t="shared" si="18"/>
        <v>1.2957937180629384</v>
      </c>
      <c r="Q34" s="11">
        <f t="shared" si="18"/>
        <v>6.9323902394111798E-4</v>
      </c>
      <c r="R34" s="11">
        <f t="shared" si="18"/>
        <v>1.324927088044064</v>
      </c>
      <c r="S34" s="11">
        <f t="shared" si="18"/>
        <v>0.55586504585938623</v>
      </c>
      <c r="T34" s="11">
        <f t="shared" si="18"/>
        <v>1.9846220087142312</v>
      </c>
      <c r="U34" s="11">
        <f t="shared" si="18"/>
        <v>2.2324722907487793</v>
      </c>
      <c r="V34" s="11">
        <f t="shared" si="18"/>
        <v>1.9851852654211832</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147"/>
      <c r="B35" s="11">
        <f>IF(B12="","",(B12/$O$23))</f>
        <v>1.90987351095778E-2</v>
      </c>
      <c r="C35" s="11">
        <f>IF(C12="","",(C12/$O$23))</f>
        <v>6.7270181785686237E-2</v>
      </c>
      <c r="D35" s="11">
        <f>IF(D12="","",(D12/$O$23))</f>
        <v>1.4384709746778199E-3</v>
      </c>
      <c r="E35" s="11">
        <f>IF(E12="","",(E12/$O$23))</f>
        <v>0</v>
      </c>
      <c r="F35" s="11">
        <f>IF(F12="","",(F12/$O$23))</f>
        <v>7.6966862633062627E-2</v>
      </c>
      <c r="G35" s="11">
        <f>IF(G12="","",(G12/$O$23))</f>
        <v>8.1923521654241618E-2</v>
      </c>
      <c r="H35" s="11">
        <f>IF(H12="","",(H12/$O$23))</f>
        <v>2.0973600049826553</v>
      </c>
      <c r="I35" s="11">
        <f>IF(I12="","",(I12/$O$23))</f>
        <v>0</v>
      </c>
      <c r="J35" s="11">
        <f>IF(J12="","",(J12/$O$23))</f>
        <v>0</v>
      </c>
      <c r="K35" s="11">
        <f>IF(K12="","",(K12/$O$23))</f>
        <v>7.2790097513817395E-4</v>
      </c>
      <c r="L35" s="11">
        <f>IF(L12="","",(L12/$O$23))</f>
        <v>1.605957522861994</v>
      </c>
      <c r="M35" s="11">
        <f>IF(M12="","",(M12/$O$23))</f>
        <v>3.0516555143644002</v>
      </c>
      <c r="N35" s="6"/>
      <c r="O35" s="11">
        <f t="shared" ref="O35:AK35" si="19">IF(O12="","",(O12/$O$23))</f>
        <v>0.13162875967081977</v>
      </c>
      <c r="P35" s="11">
        <f t="shared" si="19"/>
        <v>1.3074228026895507</v>
      </c>
      <c r="Q35" s="11">
        <f t="shared" si="19"/>
        <v>1.4644674380756117E-3</v>
      </c>
      <c r="R35" s="11">
        <f t="shared" si="19"/>
        <v>1.73880811631251</v>
      </c>
      <c r="S35" s="11">
        <f t="shared" si="19"/>
        <v>1.9344488343564927</v>
      </c>
      <c r="T35" s="11">
        <f t="shared" si="19"/>
        <v>2.5044212943530808</v>
      </c>
      <c r="U35" s="11">
        <f t="shared" si="19"/>
        <v>3.4023304746250145</v>
      </c>
      <c r="V35" s="11">
        <f t="shared" si="19"/>
        <v>3.5782312114622741</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s="1" customFormat="1" x14ac:dyDescent="0.25">
      <c r="A36" s="147"/>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AK36" si="20">IF(O13="","",(O13/$O$23))</f>
        <v>1.8999688584032215</v>
      </c>
      <c r="P36" s="11">
        <f t="shared" si="20"/>
        <v>2.1513286629964714</v>
      </c>
      <c r="Q36" s="11" t="str">
        <f t="shared" si="20"/>
        <v/>
      </c>
      <c r="R36" s="11" t="str">
        <f t="shared" si="20"/>
        <v/>
      </c>
      <c r="S36" s="11" t="str">
        <f t="shared" si="20"/>
        <v/>
      </c>
      <c r="T36" s="11" t="str">
        <f t="shared" si="20"/>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s="1" customFormat="1" x14ac:dyDescent="0.25">
      <c r="A37" s="147"/>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AK37" si="21">IF(O14="","",(O14/$O$23))</f>
        <v>3.8050156926568116E-2</v>
      </c>
      <c r="P37" s="11" t="str">
        <f t="shared" si="21"/>
        <v/>
      </c>
      <c r="Q37" s="11" t="str">
        <f t="shared" si="21"/>
        <v/>
      </c>
      <c r="R37" s="11" t="str">
        <f t="shared" si="21"/>
        <v/>
      </c>
      <c r="S37" s="11" t="str">
        <f t="shared" si="21"/>
        <v/>
      </c>
      <c r="T37" s="11" t="str">
        <f t="shared" si="21"/>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s="1" customFormat="1" x14ac:dyDescent="0.25">
      <c r="A38" s="147"/>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22">IF(O15="","",(O15/$O$23))</f>
        <v>1.537578158638002</v>
      </c>
      <c r="P38" s="11" t="str">
        <f t="shared" si="22"/>
        <v/>
      </c>
      <c r="Q38" s="11" t="str">
        <f t="shared" si="22"/>
        <v/>
      </c>
      <c r="R38" s="11" t="str">
        <f t="shared" si="22"/>
        <v/>
      </c>
      <c r="S38" s="11" t="str">
        <f t="shared" ref="S38:AK38" si="23">IF(S15="","",(S15/$O$23))</f>
        <v/>
      </c>
      <c r="T38" s="11" t="str">
        <f t="shared" si="23"/>
        <v/>
      </c>
      <c r="U38" s="11" t="str">
        <f t="shared" si="23"/>
        <v/>
      </c>
      <c r="V38" s="11" t="str">
        <f t="shared" si="23"/>
        <v/>
      </c>
      <c r="W38" s="11" t="str">
        <f t="shared" si="23"/>
        <v/>
      </c>
      <c r="X38" s="11" t="str">
        <f t="shared" si="23"/>
        <v/>
      </c>
      <c r="Y38" s="11" t="str">
        <f t="shared" si="23"/>
        <v/>
      </c>
      <c r="Z38" s="11" t="str">
        <f t="shared" si="23"/>
        <v/>
      </c>
      <c r="AA38" s="11" t="str">
        <f t="shared" si="23"/>
        <v/>
      </c>
      <c r="AB38" s="11" t="str">
        <f t="shared" si="23"/>
        <v/>
      </c>
      <c r="AC38" s="11" t="str">
        <f t="shared" si="23"/>
        <v/>
      </c>
      <c r="AD38" s="11" t="str">
        <f t="shared" si="23"/>
        <v/>
      </c>
      <c r="AE38" s="11" t="str">
        <f t="shared" si="23"/>
        <v/>
      </c>
      <c r="AF38" s="11" t="str">
        <f t="shared" si="23"/>
        <v/>
      </c>
      <c r="AG38" s="11" t="str">
        <f t="shared" si="23"/>
        <v/>
      </c>
      <c r="AH38" s="11" t="str">
        <f t="shared" si="23"/>
        <v/>
      </c>
      <c r="AI38" s="11" t="str">
        <f t="shared" si="23"/>
        <v/>
      </c>
      <c r="AJ38" s="11" t="str">
        <f t="shared" si="23"/>
        <v/>
      </c>
      <c r="AK38" s="11" t="str">
        <f t="shared" si="23"/>
        <v/>
      </c>
    </row>
    <row r="39" spans="1:37" s="1" customFormat="1" x14ac:dyDescent="0.25">
      <c r="A39" s="147"/>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R39" si="24">IF(O16="","",(O16/$O$23))</f>
        <v>0.59024970144686562</v>
      </c>
      <c r="P39" s="11" t="str">
        <f t="shared" si="24"/>
        <v/>
      </c>
      <c r="Q39" s="11" t="str">
        <f t="shared" si="24"/>
        <v/>
      </c>
      <c r="R39" s="11" t="str">
        <f t="shared" si="24"/>
        <v/>
      </c>
      <c r="S39" s="11" t="str">
        <f t="shared" ref="S39:AK39" si="25">IF(S16="","",(S16/$O$23))</f>
        <v/>
      </c>
      <c r="T39" s="11" t="str">
        <f t="shared" si="25"/>
        <v/>
      </c>
      <c r="U39" s="11" t="str">
        <f t="shared" si="25"/>
        <v/>
      </c>
      <c r="V39" s="11" t="str">
        <f t="shared" si="25"/>
        <v/>
      </c>
      <c r="W39" s="11" t="str">
        <f t="shared" si="25"/>
        <v/>
      </c>
      <c r="X39" s="11" t="str">
        <f t="shared" si="25"/>
        <v/>
      </c>
      <c r="Y39" s="11" t="str">
        <f t="shared" si="25"/>
        <v/>
      </c>
      <c r="Z39" s="11" t="str">
        <f t="shared" si="25"/>
        <v/>
      </c>
      <c r="AA39" s="11" t="str">
        <f t="shared" si="25"/>
        <v/>
      </c>
      <c r="AB39" s="11" t="str">
        <f t="shared" si="25"/>
        <v/>
      </c>
      <c r="AC39" s="11" t="str">
        <f t="shared" si="25"/>
        <v/>
      </c>
      <c r="AD39" s="11" t="str">
        <f t="shared" si="25"/>
        <v/>
      </c>
      <c r="AE39" s="11" t="str">
        <f t="shared" si="25"/>
        <v/>
      </c>
      <c r="AF39" s="11" t="str">
        <f t="shared" si="25"/>
        <v/>
      </c>
      <c r="AG39" s="11" t="str">
        <f t="shared" si="25"/>
        <v/>
      </c>
      <c r="AH39" s="11" t="str">
        <f t="shared" si="25"/>
        <v/>
      </c>
      <c r="AI39" s="11" t="str">
        <f t="shared" si="25"/>
        <v/>
      </c>
      <c r="AJ39" s="11" t="str">
        <f t="shared" si="25"/>
        <v/>
      </c>
      <c r="AK39" s="11" t="str">
        <f t="shared" si="25"/>
        <v/>
      </c>
    </row>
    <row r="40" spans="1:37" s="1" customFormat="1" x14ac:dyDescent="0.25">
      <c r="A40" s="147"/>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6">IF(O17="","",(O17/$O$23))</f>
        <v>1.4799699957484951</v>
      </c>
      <c r="P40" s="11" t="str">
        <f t="shared" si="26"/>
        <v/>
      </c>
      <c r="Q40" s="11" t="str">
        <f t="shared" si="26"/>
        <v/>
      </c>
      <c r="R40" s="11" t="str">
        <f t="shared" si="26"/>
        <v/>
      </c>
      <c r="S40" s="11" t="str">
        <f t="shared" ref="S40:AK40" si="27">IF(S17="","",(S17/$O$23))</f>
        <v/>
      </c>
      <c r="T40" s="11" t="str">
        <f t="shared" si="27"/>
        <v/>
      </c>
      <c r="U40" s="11" t="str">
        <f t="shared" si="27"/>
        <v/>
      </c>
      <c r="V40" s="11" t="str">
        <f t="shared" si="27"/>
        <v/>
      </c>
      <c r="W40" s="11" t="str">
        <f t="shared" si="27"/>
        <v/>
      </c>
      <c r="X40" s="11" t="str">
        <f t="shared" si="27"/>
        <v/>
      </c>
      <c r="Y40" s="11" t="str">
        <f t="shared" si="27"/>
        <v/>
      </c>
      <c r="Z40" s="11" t="str">
        <f t="shared" si="27"/>
        <v/>
      </c>
      <c r="AA40" s="11" t="str">
        <f t="shared" si="27"/>
        <v/>
      </c>
      <c r="AB40" s="11" t="str">
        <f t="shared" si="27"/>
        <v/>
      </c>
      <c r="AC40" s="11" t="str">
        <f t="shared" si="27"/>
        <v/>
      </c>
      <c r="AD40" s="11" t="str">
        <f t="shared" si="27"/>
        <v/>
      </c>
      <c r="AE40" s="11" t="str">
        <f t="shared" si="27"/>
        <v/>
      </c>
      <c r="AF40" s="11" t="str">
        <f t="shared" si="27"/>
        <v/>
      </c>
      <c r="AG40" s="11" t="str">
        <f t="shared" si="27"/>
        <v/>
      </c>
      <c r="AH40" s="11" t="str">
        <f t="shared" si="27"/>
        <v/>
      </c>
      <c r="AI40" s="11" t="str">
        <f t="shared" si="27"/>
        <v/>
      </c>
      <c r="AJ40" s="11" t="str">
        <f t="shared" si="27"/>
        <v/>
      </c>
      <c r="AK40" s="11" t="str">
        <f t="shared" si="27"/>
        <v/>
      </c>
    </row>
    <row r="41" spans="1:37" s="1" customFormat="1" x14ac:dyDescent="0.25">
      <c r="A41" s="147"/>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8">IF(O18="","",(O18/$O$23))</f>
        <v>1.2928214557477911</v>
      </c>
      <c r="P41" s="11" t="str">
        <f t="shared" si="28"/>
        <v/>
      </c>
      <c r="Q41" s="11" t="str">
        <f t="shared" si="28"/>
        <v/>
      </c>
      <c r="R41" s="11" t="str">
        <f t="shared" si="28"/>
        <v/>
      </c>
      <c r="S41" s="11" t="str">
        <f t="shared" ref="S41:AK41" si="29">IF(S18="","",(S18/$O$23))</f>
        <v/>
      </c>
      <c r="T41" s="11" t="str">
        <f t="shared" si="29"/>
        <v/>
      </c>
      <c r="U41" s="11" t="str">
        <f t="shared" si="29"/>
        <v/>
      </c>
      <c r="V41" s="11" t="str">
        <f t="shared" si="29"/>
        <v/>
      </c>
      <c r="W41" s="11" t="str">
        <f t="shared" si="29"/>
        <v/>
      </c>
      <c r="X41" s="11" t="str">
        <f t="shared" si="29"/>
        <v/>
      </c>
      <c r="Y41" s="11" t="str">
        <f t="shared" si="29"/>
        <v/>
      </c>
      <c r="Z41" s="11" t="str">
        <f t="shared" si="29"/>
        <v/>
      </c>
      <c r="AA41" s="11" t="str">
        <f t="shared" si="29"/>
        <v/>
      </c>
      <c r="AB41" s="11" t="str">
        <f t="shared" si="29"/>
        <v/>
      </c>
      <c r="AC41" s="11" t="str">
        <f t="shared" si="29"/>
        <v/>
      </c>
      <c r="AD41" s="11" t="str">
        <f t="shared" si="29"/>
        <v/>
      </c>
      <c r="AE41" s="11" t="str">
        <f t="shared" si="29"/>
        <v/>
      </c>
      <c r="AF41" s="11" t="str">
        <f t="shared" si="29"/>
        <v/>
      </c>
      <c r="AG41" s="11" t="str">
        <f t="shared" si="29"/>
        <v/>
      </c>
      <c r="AH41" s="11" t="str">
        <f t="shared" si="29"/>
        <v/>
      </c>
      <c r="AI41" s="11" t="str">
        <f t="shared" si="29"/>
        <v/>
      </c>
      <c r="AJ41" s="11" t="str">
        <f t="shared" si="29"/>
        <v/>
      </c>
      <c r="AK41" s="11" t="str">
        <f t="shared" si="29"/>
        <v/>
      </c>
    </row>
    <row r="42" spans="1:37" s="1" customFormat="1" x14ac:dyDescent="0.25">
      <c r="A42" s="147"/>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30">IF(O19="","",(O19/$O$23))</f>
        <v>0.75647975390014655</v>
      </c>
      <c r="P42" s="11" t="str">
        <f t="shared" si="30"/>
        <v/>
      </c>
      <c r="Q42" s="11" t="str">
        <f t="shared" si="30"/>
        <v/>
      </c>
      <c r="R42" s="11" t="str">
        <f t="shared" si="30"/>
        <v/>
      </c>
      <c r="S42" s="11" t="str">
        <f t="shared" ref="S42:AK42" si="31">IF(S19="","",(S19/$O$23))</f>
        <v/>
      </c>
      <c r="T42" s="11" t="str">
        <f t="shared" si="31"/>
        <v/>
      </c>
      <c r="U42" s="11" t="str">
        <f t="shared" si="31"/>
        <v/>
      </c>
      <c r="V42" s="11" t="str">
        <f t="shared" si="31"/>
        <v/>
      </c>
      <c r="W42" s="11" t="str">
        <f t="shared" si="31"/>
        <v/>
      </c>
      <c r="X42" s="11" t="str">
        <f t="shared" si="31"/>
        <v/>
      </c>
      <c r="Y42" s="11" t="str">
        <f t="shared" si="31"/>
        <v/>
      </c>
      <c r="Z42" s="11" t="str">
        <f t="shared" si="31"/>
        <v/>
      </c>
      <c r="AA42" s="11" t="str">
        <f t="shared" si="31"/>
        <v/>
      </c>
      <c r="AB42" s="11" t="str">
        <f t="shared" si="31"/>
        <v/>
      </c>
      <c r="AC42" s="11" t="str">
        <f t="shared" si="31"/>
        <v/>
      </c>
      <c r="AD42" s="11" t="str">
        <f t="shared" si="31"/>
        <v/>
      </c>
      <c r="AE42" s="11" t="str">
        <f t="shared" si="31"/>
        <v/>
      </c>
      <c r="AF42" s="11" t="str">
        <f t="shared" si="31"/>
        <v/>
      </c>
      <c r="AG42" s="11" t="str">
        <f t="shared" si="31"/>
        <v/>
      </c>
      <c r="AH42" s="11" t="str">
        <f t="shared" si="31"/>
        <v/>
      </c>
      <c r="AI42" s="11" t="str">
        <f t="shared" si="31"/>
        <v/>
      </c>
      <c r="AJ42" s="11" t="str">
        <f t="shared" si="31"/>
        <v/>
      </c>
      <c r="AK42" s="11" t="str">
        <f t="shared" si="31"/>
        <v/>
      </c>
    </row>
    <row r="43" spans="1:37" s="1" customFormat="1" x14ac:dyDescent="0.25">
      <c r="A43" s="147"/>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32">IF(O20="","",(O20/$O$23))</f>
        <v>1.4924309672038367</v>
      </c>
      <c r="P43" s="11" t="str">
        <f t="shared" si="32"/>
        <v/>
      </c>
      <c r="Q43" s="11" t="str">
        <f t="shared" si="32"/>
        <v/>
      </c>
      <c r="R43" s="11" t="str">
        <f t="shared" si="32"/>
        <v/>
      </c>
      <c r="S43" s="11" t="str">
        <f t="shared" ref="S43:AK43" si="33">IF(S20="","",(S20/$O$23))</f>
        <v/>
      </c>
      <c r="T43" s="11" t="str">
        <f t="shared" si="33"/>
        <v/>
      </c>
      <c r="U43" s="11" t="str">
        <f t="shared" si="33"/>
        <v/>
      </c>
      <c r="V43" s="11" t="str">
        <f t="shared" si="33"/>
        <v/>
      </c>
      <c r="W43" s="11" t="str">
        <f t="shared" si="33"/>
        <v/>
      </c>
      <c r="X43" s="11" t="str">
        <f t="shared" si="33"/>
        <v/>
      </c>
      <c r="Y43" s="11" t="str">
        <f t="shared" si="33"/>
        <v/>
      </c>
      <c r="Z43" s="11" t="str">
        <f t="shared" si="33"/>
        <v/>
      </c>
      <c r="AA43" s="11" t="str">
        <f t="shared" si="33"/>
        <v/>
      </c>
      <c r="AB43" s="11" t="str">
        <f t="shared" si="33"/>
        <v/>
      </c>
      <c r="AC43" s="11" t="str">
        <f t="shared" si="33"/>
        <v/>
      </c>
      <c r="AD43" s="11" t="str">
        <f t="shared" si="33"/>
        <v/>
      </c>
      <c r="AE43" s="11" t="str">
        <f t="shared" si="33"/>
        <v/>
      </c>
      <c r="AF43" s="11" t="str">
        <f t="shared" si="33"/>
        <v/>
      </c>
      <c r="AG43" s="11" t="str">
        <f t="shared" si="33"/>
        <v/>
      </c>
      <c r="AH43" s="11" t="str">
        <f t="shared" si="33"/>
        <v/>
      </c>
      <c r="AI43" s="11" t="str">
        <f t="shared" si="33"/>
        <v/>
      </c>
      <c r="AJ43" s="11" t="str">
        <f t="shared" si="33"/>
        <v/>
      </c>
      <c r="AK43" s="11" t="str">
        <f t="shared" si="33"/>
        <v/>
      </c>
    </row>
    <row r="44" spans="1:37" x14ac:dyDescent="0.25">
      <c r="A44" s="7"/>
      <c r="B44" s="3"/>
      <c r="C44" s="3"/>
      <c r="D44" s="3"/>
      <c r="E44" s="3"/>
      <c r="F44" s="3"/>
      <c r="G44" s="3"/>
      <c r="H44" s="3"/>
      <c r="I44" s="3"/>
      <c r="J44" s="3"/>
      <c r="N44" s="7"/>
      <c r="O44" s="3"/>
      <c r="P44" s="3"/>
      <c r="Q44" s="3"/>
      <c r="R44" s="3"/>
      <c r="S44" s="3"/>
      <c r="T44" s="3"/>
      <c r="U44" s="3"/>
      <c r="V44" s="3"/>
      <c r="W44" s="3"/>
      <c r="X44" s="3"/>
      <c r="Y44" s="3"/>
      <c r="Z44" s="3"/>
      <c r="AA44" s="3"/>
      <c r="AB44" s="3"/>
      <c r="AC44" s="3"/>
      <c r="AD44" s="3"/>
      <c r="AE44" s="3"/>
      <c r="AF44" s="3"/>
      <c r="AG44" s="3"/>
      <c r="AH44" s="3"/>
      <c r="AI44" s="3"/>
      <c r="AJ44" s="3"/>
      <c r="AK44" s="3"/>
    </row>
    <row r="45" spans="1:37" s="53" customFormat="1" x14ac:dyDescent="0.25">
      <c r="A45" s="54" t="str">
        <f t="shared" ref="A45:M45" si="34">A4</f>
        <v>Noms des groupes</v>
      </c>
      <c r="B45" s="54" t="str">
        <f t="shared" si="34"/>
        <v>Solvent control</v>
      </c>
      <c r="C45" s="54" t="str">
        <f t="shared" si="34"/>
        <v>EE2-33.8ng/L</v>
      </c>
      <c r="D45" s="54" t="str">
        <f t="shared" si="34"/>
        <v>EE2-50.6ng/L</v>
      </c>
      <c r="E45" s="54" t="str">
        <f t="shared" si="34"/>
        <v>EE2-76ng/L</v>
      </c>
      <c r="F45" s="54" t="str">
        <f t="shared" si="34"/>
        <v>EE2-114ng/L</v>
      </c>
      <c r="G45" s="54" t="str">
        <f t="shared" si="34"/>
        <v>EE2-170.9ng/L</v>
      </c>
      <c r="H45" s="54" t="str">
        <f t="shared" si="34"/>
        <v>EE2-488ng/L</v>
      </c>
      <c r="I45" s="54" t="str">
        <f t="shared" si="34"/>
        <v>Estradiol-34ng/L</v>
      </c>
      <c r="J45" s="54" t="str">
        <f t="shared" si="34"/>
        <v>Estradiol-68ng/L</v>
      </c>
      <c r="K45" s="54" t="str">
        <f t="shared" si="34"/>
        <v>Estradiol-135ng/L</v>
      </c>
      <c r="L45" s="54" t="str">
        <f t="shared" si="34"/>
        <v>Estradiol-270ng/L</v>
      </c>
      <c r="M45" s="54" t="str">
        <f t="shared" si="34"/>
        <v>Estradiol-540ng/L</v>
      </c>
      <c r="N45" s="54" t="str">
        <f>N22</f>
        <v>Nom des groupes</v>
      </c>
      <c r="O45" s="54" t="str">
        <f t="shared" ref="O45:AD45" si="35">O4</f>
        <v>Testo -30µg/L</v>
      </c>
      <c r="P45" s="54" t="str">
        <f t="shared" si="35"/>
        <v>Testo 30µg/L + EE2 -64ng/L</v>
      </c>
      <c r="Q45" s="54" t="str">
        <f t="shared" si="35"/>
        <v>Testo 30µg/L + FAD-10mg/L</v>
      </c>
      <c r="R45" s="54" t="str">
        <f t="shared" si="35"/>
        <v>Estradiol-34ng/L + Testostérone</v>
      </c>
      <c r="S45" s="54" t="str">
        <f t="shared" si="35"/>
        <v>Estradiol-68ng/L + Testostérone</v>
      </c>
      <c r="T45" s="54" t="str">
        <f t="shared" si="35"/>
        <v>Estradiol-135ng/L + Testostérone</v>
      </c>
      <c r="U45" s="54" t="str">
        <f t="shared" si="35"/>
        <v>Estradiol-270ng/L + Testostérone</v>
      </c>
      <c r="V45" s="54" t="str">
        <f t="shared" si="35"/>
        <v>Estradiol-540ng/L + Testostérone</v>
      </c>
      <c r="W45" s="54" t="str">
        <f t="shared" si="35"/>
        <v>0-00 + Testostérone</v>
      </c>
      <c r="X45" s="54" t="str">
        <f t="shared" si="35"/>
        <v>0-00 + Testostérone</v>
      </c>
      <c r="Y45" s="54" t="str">
        <f t="shared" si="35"/>
        <v>0-00 + Testostérone</v>
      </c>
      <c r="Z45" s="54" t="str">
        <f t="shared" si="35"/>
        <v>0-00 + Testostérone</v>
      </c>
      <c r="AA45" s="54" t="str">
        <f t="shared" si="35"/>
        <v>0-00 + Testostérone</v>
      </c>
      <c r="AB45" s="54" t="str">
        <f t="shared" si="35"/>
        <v>0-00 + Testostérone</v>
      </c>
      <c r="AC45" s="54" t="str">
        <f t="shared" si="35"/>
        <v>0-00 + Testostérone</v>
      </c>
      <c r="AD45" s="54" t="str">
        <f t="shared" si="35"/>
        <v>0-00 + Testostérone</v>
      </c>
      <c r="AE45" s="54" t="str">
        <f t="shared" ref="AE45:AK45" si="36">AE4</f>
        <v>0-00 + Testostérone</v>
      </c>
      <c r="AF45" s="54" t="str">
        <f t="shared" si="36"/>
        <v>0-00 + Testostérone</v>
      </c>
      <c r="AG45" s="54" t="str">
        <f t="shared" si="36"/>
        <v>0-00 + Testostérone</v>
      </c>
      <c r="AH45" s="54" t="str">
        <f t="shared" si="36"/>
        <v>0-00 + Testostérone</v>
      </c>
      <c r="AI45" s="54" t="str">
        <f t="shared" si="36"/>
        <v>0-00 + Testostérone</v>
      </c>
      <c r="AJ45" s="54" t="str">
        <f t="shared" si="36"/>
        <v>0-00 + Testostérone</v>
      </c>
      <c r="AK45" s="54" t="str">
        <f t="shared" si="36"/>
        <v>0-00 + Testostérone</v>
      </c>
    </row>
    <row r="46" spans="1:37" x14ac:dyDescent="0.25">
      <c r="A46" s="8" t="s">
        <v>0</v>
      </c>
      <c r="B46" s="10">
        <f t="shared" ref="B46:H46" si="37">AVERAGE(B28:B43)</f>
        <v>2.6676704190034144E-2</v>
      </c>
      <c r="C46" s="10">
        <f t="shared" si="37"/>
        <v>9.6533534083800675E-3</v>
      </c>
      <c r="D46" s="10">
        <f t="shared" si="37"/>
        <v>1.4565601804587835E-2</v>
      </c>
      <c r="E46" s="10">
        <f t="shared" si="37"/>
        <v>0.1670673552118847</v>
      </c>
      <c r="F46" s="10">
        <f t="shared" si="37"/>
        <v>0.27806250524668208</v>
      </c>
      <c r="G46" s="10">
        <f t="shared" si="37"/>
        <v>0.67732268922581984</v>
      </c>
      <c r="H46" s="10">
        <f t="shared" si="37"/>
        <v>2.2793070859318512</v>
      </c>
      <c r="I46" s="10">
        <f>AVERAGE(I28:I43)</f>
        <v>2.7697065378397482E-3</v>
      </c>
      <c r="J46" s="9">
        <f>AVERAGE(J28:J43)</f>
        <v>1.5211180645633E-2</v>
      </c>
      <c r="K46" s="9">
        <f>AVERAGE(K28:K43)</f>
        <v>0.24413278776866398</v>
      </c>
      <c r="L46" s="9">
        <f t="shared" ref="L46:M46" si="38">AVERAGE(L28:L43)</f>
        <v>1.6540433978460847</v>
      </c>
      <c r="M46" s="9">
        <f t="shared" si="38"/>
        <v>2.2856751362783356</v>
      </c>
      <c r="N46" s="8" t="s">
        <v>0</v>
      </c>
      <c r="O46" s="10">
        <f>AVERAGE(O28:O43)</f>
        <v>1</v>
      </c>
      <c r="P46" s="10">
        <f>AVERAGE(P28:P43)</f>
        <v>1.4205180096217003</v>
      </c>
      <c r="Q46" s="10">
        <f>AVERAGE(Q28:Q43)</f>
        <v>3.2204202219989653E-2</v>
      </c>
      <c r="R46" s="10">
        <f>AVERAGE(R28:R43)</f>
        <v>1.4480885829490282</v>
      </c>
      <c r="S46" s="10">
        <f t="shared" ref="S46:AD46" si="39">AVERAGE(S28:S43)</f>
        <v>1.7470522447675347</v>
      </c>
      <c r="T46" s="10">
        <f t="shared" si="39"/>
        <v>2.1574497469406766</v>
      </c>
      <c r="U46" s="10">
        <f t="shared" si="39"/>
        <v>2.4062781459105667</v>
      </c>
      <c r="V46" s="10">
        <f t="shared" si="39"/>
        <v>2.4745730216285162</v>
      </c>
      <c r="W46" s="10" t="e">
        <f t="shared" si="39"/>
        <v>#DIV/0!</v>
      </c>
      <c r="X46" s="10" t="e">
        <f t="shared" si="39"/>
        <v>#DIV/0!</v>
      </c>
      <c r="Y46" s="10" t="e">
        <f t="shared" si="39"/>
        <v>#DIV/0!</v>
      </c>
      <c r="Z46" s="10" t="e">
        <f t="shared" si="39"/>
        <v>#DIV/0!</v>
      </c>
      <c r="AA46" s="10" t="e">
        <f t="shared" si="39"/>
        <v>#DIV/0!</v>
      </c>
      <c r="AB46" s="10" t="e">
        <f t="shared" si="39"/>
        <v>#DIV/0!</v>
      </c>
      <c r="AC46" s="10" t="e">
        <f t="shared" si="39"/>
        <v>#DIV/0!</v>
      </c>
      <c r="AD46" s="10" t="e">
        <f t="shared" si="39"/>
        <v>#DIV/0!</v>
      </c>
      <c r="AE46" s="10" t="e">
        <f t="shared" ref="AE46:AK46" si="40">AVERAGE(AE28:AE43)</f>
        <v>#DIV/0!</v>
      </c>
      <c r="AF46" s="10" t="e">
        <f t="shared" si="40"/>
        <v>#DIV/0!</v>
      </c>
      <c r="AG46" s="10" t="e">
        <f t="shared" si="40"/>
        <v>#DIV/0!</v>
      </c>
      <c r="AH46" s="10" t="e">
        <f t="shared" si="40"/>
        <v>#DIV/0!</v>
      </c>
      <c r="AI46" s="10" t="e">
        <f t="shared" si="40"/>
        <v>#DIV/0!</v>
      </c>
      <c r="AJ46" s="10" t="e">
        <f t="shared" si="40"/>
        <v>#DIV/0!</v>
      </c>
      <c r="AK46" s="10" t="e">
        <f t="shared" si="40"/>
        <v>#DIV/0!</v>
      </c>
    </row>
    <row r="47" spans="1:37" x14ac:dyDescent="0.25">
      <c r="A47" s="8" t="s">
        <v>1</v>
      </c>
      <c r="B47" s="8">
        <f t="shared" ref="B47:K47" si="41">STDEV(B28:B43)</f>
        <v>4.7901356683136116E-2</v>
      </c>
      <c r="C47" s="8">
        <f t="shared" si="41"/>
        <v>2.334568799884067E-2</v>
      </c>
      <c r="D47" s="8">
        <f t="shared" si="41"/>
        <v>3.2908065032320667E-2</v>
      </c>
      <c r="E47" s="8">
        <f t="shared" si="41"/>
        <v>0.33975048573579408</v>
      </c>
      <c r="F47" s="8">
        <f t="shared" si="41"/>
        <v>0.31243250646107323</v>
      </c>
      <c r="G47" s="8">
        <f t="shared" si="41"/>
        <v>0.61295319803607484</v>
      </c>
      <c r="H47" s="8">
        <f t="shared" si="41"/>
        <v>0.48242273057939383</v>
      </c>
      <c r="I47" s="8">
        <f>STDEV(I28:I43)</f>
        <v>6.7048511384548946E-3</v>
      </c>
      <c r="J47" s="8">
        <f t="shared" si="41"/>
        <v>2.3303786646502893E-2</v>
      </c>
      <c r="K47" s="8">
        <f t="shared" si="41"/>
        <v>0.34011205428436286</v>
      </c>
      <c r="L47" s="8">
        <f t="shared" ref="L47:M47" si="42">STDEV(L28:L43)</f>
        <v>0.31560462970742642</v>
      </c>
      <c r="M47" s="8">
        <f t="shared" si="42"/>
        <v>0.77801620647496383</v>
      </c>
      <c r="N47" s="8" t="s">
        <v>1</v>
      </c>
      <c r="O47" s="8">
        <f>STDEV(O28:O43)</f>
        <v>0.60067173162769794</v>
      </c>
      <c r="P47" s="8">
        <f>STDEV(P28:P43)</f>
        <v>0.60080656026175139</v>
      </c>
      <c r="Q47" s="8">
        <f>STDEV(Q28:Q43)</f>
        <v>4.4152554345931981E-2</v>
      </c>
      <c r="R47" s="8">
        <f>STDEV(R28:R43)</f>
        <v>0.44682143977582411</v>
      </c>
      <c r="S47" s="8">
        <f t="shared" ref="S47:AD47" si="43">STDEV(S28:S43)</f>
        <v>0.61436989292506894</v>
      </c>
      <c r="T47" s="8">
        <f t="shared" si="43"/>
        <v>0.60658425359394419</v>
      </c>
      <c r="U47" s="8">
        <f t="shared" si="43"/>
        <v>0.43551203082643752</v>
      </c>
      <c r="V47" s="8">
        <f t="shared" si="43"/>
        <v>0.57050328610375245</v>
      </c>
      <c r="W47" s="8" t="e">
        <f t="shared" si="43"/>
        <v>#DIV/0!</v>
      </c>
      <c r="X47" s="8" t="e">
        <f t="shared" si="43"/>
        <v>#DIV/0!</v>
      </c>
      <c r="Y47" s="8" t="e">
        <f t="shared" si="43"/>
        <v>#DIV/0!</v>
      </c>
      <c r="Z47" s="8" t="e">
        <f t="shared" si="43"/>
        <v>#DIV/0!</v>
      </c>
      <c r="AA47" s="8" t="e">
        <f t="shared" si="43"/>
        <v>#DIV/0!</v>
      </c>
      <c r="AB47" s="8" t="e">
        <f t="shared" si="43"/>
        <v>#DIV/0!</v>
      </c>
      <c r="AC47" s="8" t="e">
        <f t="shared" si="43"/>
        <v>#DIV/0!</v>
      </c>
      <c r="AD47" s="8" t="e">
        <f t="shared" si="43"/>
        <v>#DIV/0!</v>
      </c>
      <c r="AE47" s="8" t="e">
        <f t="shared" ref="AE47:AK47" si="44">STDEV(AE28:AE43)</f>
        <v>#DIV/0!</v>
      </c>
      <c r="AF47" s="8" t="e">
        <f t="shared" si="44"/>
        <v>#DIV/0!</v>
      </c>
      <c r="AG47" s="8" t="e">
        <f t="shared" si="44"/>
        <v>#DIV/0!</v>
      </c>
      <c r="AH47" s="8" t="e">
        <f t="shared" si="44"/>
        <v>#DIV/0!</v>
      </c>
      <c r="AI47" s="8" t="e">
        <f t="shared" si="44"/>
        <v>#DIV/0!</v>
      </c>
      <c r="AJ47" s="8" t="e">
        <f t="shared" si="44"/>
        <v>#DIV/0!</v>
      </c>
      <c r="AK47" s="8" t="e">
        <f t="shared" si="44"/>
        <v>#DIV/0!</v>
      </c>
    </row>
    <row r="48" spans="1:37" x14ac:dyDescent="0.25">
      <c r="A48" s="8" t="s">
        <v>2</v>
      </c>
      <c r="B48" s="8">
        <f t="shared" ref="B48:K48" si="45" xml:space="preserve"> B47/SQRT(COUNT(B28:B43))</f>
        <v>1.6935687069340545E-2</v>
      </c>
      <c r="C48" s="8">
        <f t="shared" si="45"/>
        <v>8.2539471477228194E-3</v>
      </c>
      <c r="D48" s="8">
        <f t="shared" si="45"/>
        <v>1.1634757970040922E-2</v>
      </c>
      <c r="E48" s="8">
        <f t="shared" si="45"/>
        <v>0.12011993618760168</v>
      </c>
      <c r="F48" s="8">
        <f t="shared" si="45"/>
        <v>0.11046157199086734</v>
      </c>
      <c r="G48" s="8">
        <f t="shared" si="45"/>
        <v>0.21671168144064465</v>
      </c>
      <c r="H48" s="8">
        <f t="shared" si="45"/>
        <v>0.17056219209561008</v>
      </c>
      <c r="I48" s="8">
        <f xml:space="preserve"> I47/SQRT(COUNT(I28:I43))</f>
        <v>2.3705228534238996E-3</v>
      </c>
      <c r="J48" s="8">
        <f t="shared" si="45"/>
        <v>8.2391327825333538E-3</v>
      </c>
      <c r="K48" s="8">
        <f t="shared" si="45"/>
        <v>0.12024776997388006</v>
      </c>
      <c r="L48" s="8">
        <f t="shared" ref="L48:M48" si="46" xml:space="preserve"> L47/SQRT(COUNT(L28:L43))</f>
        <v>0.11158308691999526</v>
      </c>
      <c r="M48" s="8">
        <f t="shared" si="46"/>
        <v>0.27507026773574</v>
      </c>
      <c r="N48" s="8" t="s">
        <v>2</v>
      </c>
      <c r="O48" s="8">
        <f xml:space="preserve"> O47/SQRT(COUNT(O28:O43))</f>
        <v>0.15016793290692448</v>
      </c>
      <c r="P48" s="8">
        <f xml:space="preserve"> P47/SQRT(COUNT(P28:P43))</f>
        <v>0.20026885342058379</v>
      </c>
      <c r="Q48" s="8">
        <f xml:space="preserve"> Q47/SQRT(COUNT(Q28:Q43))</f>
        <v>1.5610285292358035E-2</v>
      </c>
      <c r="R48" s="8">
        <f xml:space="preserve"> R47/SQRT(COUNT(R28:R43))</f>
        <v>0.15797523502251087</v>
      </c>
      <c r="S48" s="8">
        <f t="shared" ref="S48:AD48" si="47" xml:space="preserve"> S47/SQRT(COUNT(S28:S43))</f>
        <v>0.21721255872208467</v>
      </c>
      <c r="T48" s="8">
        <f t="shared" si="47"/>
        <v>0.21445991953862917</v>
      </c>
      <c r="U48" s="8">
        <f t="shared" si="47"/>
        <v>0.15397675514284934</v>
      </c>
      <c r="V48" s="8">
        <f t="shared" si="47"/>
        <v>0.20170337114658618</v>
      </c>
      <c r="W48" s="8" t="e">
        <f t="shared" si="47"/>
        <v>#DIV/0!</v>
      </c>
      <c r="X48" s="8" t="e">
        <f t="shared" si="47"/>
        <v>#DIV/0!</v>
      </c>
      <c r="Y48" s="8" t="e">
        <f t="shared" si="47"/>
        <v>#DIV/0!</v>
      </c>
      <c r="Z48" s="8" t="e">
        <f t="shared" si="47"/>
        <v>#DIV/0!</v>
      </c>
      <c r="AA48" s="8" t="e">
        <f t="shared" si="47"/>
        <v>#DIV/0!</v>
      </c>
      <c r="AB48" s="8" t="e">
        <f t="shared" si="47"/>
        <v>#DIV/0!</v>
      </c>
      <c r="AC48" s="8" t="e">
        <f t="shared" si="47"/>
        <v>#DIV/0!</v>
      </c>
      <c r="AD48" s="8" t="e">
        <f t="shared" si="47"/>
        <v>#DIV/0!</v>
      </c>
      <c r="AE48" s="8" t="e">
        <f t="shared" ref="AE48:AK48" si="48" xml:space="preserve"> AE47/SQRT(COUNT(AE28:AE43))</f>
        <v>#DIV/0!</v>
      </c>
      <c r="AF48" s="8" t="e">
        <f t="shared" si="48"/>
        <v>#DIV/0!</v>
      </c>
      <c r="AG48" s="8" t="e">
        <f t="shared" si="48"/>
        <v>#DIV/0!</v>
      </c>
      <c r="AH48" s="8" t="e">
        <f t="shared" si="48"/>
        <v>#DIV/0!</v>
      </c>
      <c r="AI48" s="8" t="e">
        <f t="shared" si="48"/>
        <v>#DIV/0!</v>
      </c>
      <c r="AJ48" s="8" t="e">
        <f t="shared" si="48"/>
        <v>#DIV/0!</v>
      </c>
      <c r="AK48" s="8" t="e">
        <f t="shared" si="48"/>
        <v>#DIV/0!</v>
      </c>
    </row>
    <row r="49" spans="1:37" s="1" customFormat="1"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1" t="s">
        <v>19</v>
      </c>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3"/>
    </row>
    <row r="51" spans="1:37" ht="15.75" thickBot="1" x14ac:dyDescent="0.3">
      <c r="A51"/>
      <c r="B51"/>
      <c r="C51"/>
      <c r="D51"/>
      <c r="E51"/>
      <c r="F51"/>
      <c r="G51"/>
      <c r="H51"/>
      <c r="I51"/>
      <c r="J51"/>
      <c r="K51"/>
      <c r="L51"/>
      <c r="M51"/>
      <c r="S51"/>
      <c r="T51"/>
      <c r="U51"/>
      <c r="V51"/>
      <c r="W51"/>
      <c r="X51"/>
      <c r="Y51"/>
      <c r="Z51"/>
      <c r="AA51"/>
      <c r="AB51"/>
      <c r="AC51"/>
      <c r="AD51"/>
    </row>
    <row r="52" spans="1:37" x14ac:dyDescent="0.25">
      <c r="A52" s="29" t="str">
        <f t="shared" ref="A52:H52" si="49">A27</f>
        <v>Noms des groupes</v>
      </c>
      <c r="B52" s="30" t="str">
        <f t="shared" si="49"/>
        <v>Solvent control</v>
      </c>
      <c r="C52" s="30" t="str">
        <f t="shared" si="49"/>
        <v>EE2-33.8ng/L</v>
      </c>
      <c r="D52" s="30" t="str">
        <f t="shared" si="49"/>
        <v>EE2-50.6ng/L</v>
      </c>
      <c r="E52" s="30" t="str">
        <f t="shared" si="49"/>
        <v>EE2-76ng/L</v>
      </c>
      <c r="F52" s="30" t="str">
        <f t="shared" si="49"/>
        <v>EE2-114ng/L</v>
      </c>
      <c r="G52" s="30" t="str">
        <f t="shared" si="49"/>
        <v>EE2-170.9ng/L</v>
      </c>
      <c r="H52" s="30" t="str">
        <f t="shared" si="49"/>
        <v>EE2-488ng/L</v>
      </c>
      <c r="I52" s="30" t="str">
        <f>I4</f>
        <v>Estradiol-34ng/L</v>
      </c>
      <c r="J52" s="30" t="str">
        <f>J4</f>
        <v>Estradiol-68ng/L</v>
      </c>
      <c r="K52" s="30" t="str">
        <f>K27</f>
        <v>Estradiol-135ng/L</v>
      </c>
      <c r="L52" s="30" t="str">
        <f t="shared" ref="L52:M52" si="50">L27</f>
        <v>Estradiol-270ng/L</v>
      </c>
      <c r="M52" s="30" t="str">
        <f t="shared" si="50"/>
        <v>Estradiol-540ng/L</v>
      </c>
      <c r="N52" s="31"/>
      <c r="O52" s="30" t="str">
        <f>O27</f>
        <v>Testo -30µg/L</v>
      </c>
      <c r="P52" s="30" t="str">
        <f>P27</f>
        <v>Testo 30µg/L + EE2 -64ng/L</v>
      </c>
      <c r="Q52" s="30" t="str">
        <f>Q27</f>
        <v>Testo 30µg/L + FAD-10mg/L</v>
      </c>
      <c r="R52" s="30" t="str">
        <f>R27</f>
        <v>Estradiol-34ng/L + Testostérone</v>
      </c>
      <c r="S52" s="30" t="str">
        <f t="shared" ref="S52:AD52" si="51">S27</f>
        <v>Estradiol-68ng/L + Testostérone</v>
      </c>
      <c r="T52" s="30" t="str">
        <f t="shared" si="51"/>
        <v>Estradiol-135ng/L + Testostérone</v>
      </c>
      <c r="U52" s="30" t="str">
        <f t="shared" si="51"/>
        <v>Estradiol-270ng/L + Testostérone</v>
      </c>
      <c r="V52" s="30" t="str">
        <f t="shared" si="51"/>
        <v>Estradiol-540ng/L + Testostérone</v>
      </c>
      <c r="W52" s="30" t="str">
        <f t="shared" si="51"/>
        <v>0-00 + Testostérone</v>
      </c>
      <c r="X52" s="30" t="str">
        <f t="shared" si="51"/>
        <v>0-00 + Testostérone</v>
      </c>
      <c r="Y52" s="30" t="str">
        <f t="shared" si="51"/>
        <v>0-00 + Testostérone</v>
      </c>
      <c r="Z52" s="30" t="str">
        <f t="shared" si="51"/>
        <v>0-00 + Testostérone</v>
      </c>
      <c r="AA52" s="30" t="str">
        <f t="shared" si="51"/>
        <v>0-00 + Testostérone</v>
      </c>
      <c r="AB52" s="30" t="str">
        <f t="shared" si="51"/>
        <v>0-00 + Testostérone</v>
      </c>
      <c r="AC52" s="30" t="str">
        <f t="shared" si="51"/>
        <v>0-00 + Testostérone</v>
      </c>
      <c r="AD52" s="30" t="str">
        <f t="shared" si="51"/>
        <v>0-00 + Testostérone</v>
      </c>
      <c r="AE52" s="30" t="str">
        <f t="shared" ref="AE52:AK52" si="52">AE27</f>
        <v>0-00 + Testostérone</v>
      </c>
      <c r="AF52" s="30" t="str">
        <f t="shared" si="52"/>
        <v>0-00 + Testostérone</v>
      </c>
      <c r="AG52" s="30" t="str">
        <f t="shared" si="52"/>
        <v>0-00 + Testostérone</v>
      </c>
      <c r="AH52" s="30" t="str">
        <f t="shared" si="52"/>
        <v>0-00 + Testostérone</v>
      </c>
      <c r="AI52" s="30" t="str">
        <f t="shared" si="52"/>
        <v>0-00 + Testostérone</v>
      </c>
      <c r="AJ52" s="30" t="str">
        <f t="shared" si="52"/>
        <v>0-00 + Testostérone</v>
      </c>
      <c r="AK52" s="32" t="str">
        <f t="shared" si="52"/>
        <v>0-00 + Testostérone</v>
      </c>
    </row>
    <row r="53" spans="1:37" s="3" customFormat="1" x14ac:dyDescent="0.25">
      <c r="A53" s="46" t="s">
        <v>15</v>
      </c>
      <c r="B53" s="78">
        <f t="shared" ref="B53:M53" si="53">B46</f>
        <v>2.6676704190034144E-2</v>
      </c>
      <c r="C53" s="78">
        <f t="shared" si="53"/>
        <v>9.6533534083800675E-3</v>
      </c>
      <c r="D53" s="78">
        <f t="shared" si="53"/>
        <v>1.4565601804587835E-2</v>
      </c>
      <c r="E53" s="78">
        <f t="shared" si="53"/>
        <v>0.1670673552118847</v>
      </c>
      <c r="F53" s="78">
        <f t="shared" si="53"/>
        <v>0.27806250524668208</v>
      </c>
      <c r="G53" s="78">
        <f t="shared" si="53"/>
        <v>0.67732268922581984</v>
      </c>
      <c r="H53" s="78">
        <f t="shared" si="53"/>
        <v>2.2793070859318512</v>
      </c>
      <c r="I53" s="78">
        <f t="shared" si="53"/>
        <v>2.7697065378397482E-3</v>
      </c>
      <c r="J53" s="78">
        <f t="shared" si="53"/>
        <v>1.5211180645633E-2</v>
      </c>
      <c r="K53" s="78">
        <f t="shared" si="53"/>
        <v>0.24413278776866398</v>
      </c>
      <c r="L53" s="78">
        <f t="shared" si="53"/>
        <v>1.6540433978460847</v>
      </c>
      <c r="M53" s="78">
        <f t="shared" si="53"/>
        <v>2.2856751362783356</v>
      </c>
      <c r="N53" s="78"/>
      <c r="O53" s="78">
        <f t="shared" ref="O53:AK53" si="54">O46</f>
        <v>1</v>
      </c>
      <c r="P53" s="78">
        <f t="shared" si="54"/>
        <v>1.4205180096217003</v>
      </c>
      <c r="Q53" s="78">
        <f t="shared" si="54"/>
        <v>3.2204202219989653E-2</v>
      </c>
      <c r="R53" s="78">
        <f t="shared" si="54"/>
        <v>1.4480885829490282</v>
      </c>
      <c r="S53" s="78">
        <f t="shared" si="54"/>
        <v>1.7470522447675347</v>
      </c>
      <c r="T53" s="78">
        <f t="shared" si="54"/>
        <v>2.1574497469406766</v>
      </c>
      <c r="U53" s="78">
        <f t="shared" si="54"/>
        <v>2.4062781459105667</v>
      </c>
      <c r="V53" s="78">
        <f t="shared" si="54"/>
        <v>2.4745730216285162</v>
      </c>
      <c r="W53" s="78" t="e">
        <f t="shared" si="54"/>
        <v>#DIV/0!</v>
      </c>
      <c r="X53" s="78" t="e">
        <f t="shared" si="54"/>
        <v>#DIV/0!</v>
      </c>
      <c r="Y53" s="78" t="e">
        <f t="shared" si="54"/>
        <v>#DIV/0!</v>
      </c>
      <c r="Z53" s="78" t="e">
        <f t="shared" si="54"/>
        <v>#DIV/0!</v>
      </c>
      <c r="AA53" s="78" t="e">
        <f t="shared" si="54"/>
        <v>#DIV/0!</v>
      </c>
      <c r="AB53" s="78" t="e">
        <f t="shared" si="54"/>
        <v>#DIV/0!</v>
      </c>
      <c r="AC53" s="78" t="e">
        <f t="shared" si="54"/>
        <v>#DIV/0!</v>
      </c>
      <c r="AD53" s="78" t="e">
        <f t="shared" si="54"/>
        <v>#DIV/0!</v>
      </c>
      <c r="AE53" s="78" t="e">
        <f t="shared" si="54"/>
        <v>#DIV/0!</v>
      </c>
      <c r="AF53" s="78" t="e">
        <f t="shared" si="54"/>
        <v>#DIV/0!</v>
      </c>
      <c r="AG53" s="78" t="e">
        <f t="shared" si="54"/>
        <v>#DIV/0!</v>
      </c>
      <c r="AH53" s="78" t="e">
        <f t="shared" si="54"/>
        <v>#DIV/0!</v>
      </c>
      <c r="AI53" s="78" t="e">
        <f t="shared" si="54"/>
        <v>#DIV/0!</v>
      </c>
      <c r="AJ53" s="78" t="e">
        <f t="shared" si="54"/>
        <v>#DIV/0!</v>
      </c>
      <c r="AK53" s="78" t="e">
        <f t="shared" si="54"/>
        <v>#DIV/0!</v>
      </c>
    </row>
    <row r="54" spans="1:37" s="3" customFormat="1" x14ac:dyDescent="0.25">
      <c r="A54" s="46" t="s">
        <v>2</v>
      </c>
      <c r="B54" s="78">
        <f t="shared" ref="B54:M54" si="55">B48</f>
        <v>1.6935687069340545E-2</v>
      </c>
      <c r="C54" s="78">
        <f t="shared" si="55"/>
        <v>8.2539471477228194E-3</v>
      </c>
      <c r="D54" s="78">
        <f t="shared" si="55"/>
        <v>1.1634757970040922E-2</v>
      </c>
      <c r="E54" s="78">
        <f t="shared" si="55"/>
        <v>0.12011993618760168</v>
      </c>
      <c r="F54" s="78">
        <f t="shared" si="55"/>
        <v>0.11046157199086734</v>
      </c>
      <c r="G54" s="78">
        <f t="shared" si="55"/>
        <v>0.21671168144064465</v>
      </c>
      <c r="H54" s="78">
        <f t="shared" si="55"/>
        <v>0.17056219209561008</v>
      </c>
      <c r="I54" s="78">
        <f t="shared" si="55"/>
        <v>2.3705228534238996E-3</v>
      </c>
      <c r="J54" s="78">
        <f t="shared" si="55"/>
        <v>8.2391327825333538E-3</v>
      </c>
      <c r="K54" s="78">
        <f t="shared" si="55"/>
        <v>0.12024776997388006</v>
      </c>
      <c r="L54" s="78">
        <f t="shared" si="55"/>
        <v>0.11158308691999526</v>
      </c>
      <c r="M54" s="78">
        <f t="shared" si="55"/>
        <v>0.27507026773574</v>
      </c>
      <c r="N54" s="78"/>
      <c r="O54" s="78">
        <f t="shared" ref="O54:AK54" si="56">O48</f>
        <v>0.15016793290692448</v>
      </c>
      <c r="P54" s="78">
        <f t="shared" si="56"/>
        <v>0.20026885342058379</v>
      </c>
      <c r="Q54" s="78">
        <f t="shared" si="56"/>
        <v>1.5610285292358035E-2</v>
      </c>
      <c r="R54" s="78">
        <f t="shared" si="56"/>
        <v>0.15797523502251087</v>
      </c>
      <c r="S54" s="78">
        <f t="shared" si="56"/>
        <v>0.21721255872208467</v>
      </c>
      <c r="T54" s="78">
        <f t="shared" si="56"/>
        <v>0.21445991953862917</v>
      </c>
      <c r="U54" s="78">
        <f t="shared" si="56"/>
        <v>0.15397675514284934</v>
      </c>
      <c r="V54" s="78">
        <f t="shared" si="56"/>
        <v>0.20170337114658618</v>
      </c>
      <c r="W54" s="78" t="e">
        <f t="shared" si="56"/>
        <v>#DIV/0!</v>
      </c>
      <c r="X54" s="78" t="e">
        <f t="shared" si="56"/>
        <v>#DIV/0!</v>
      </c>
      <c r="Y54" s="78" t="e">
        <f t="shared" si="56"/>
        <v>#DIV/0!</v>
      </c>
      <c r="Z54" s="78" t="e">
        <f t="shared" si="56"/>
        <v>#DIV/0!</v>
      </c>
      <c r="AA54" s="78" t="e">
        <f t="shared" si="56"/>
        <v>#DIV/0!</v>
      </c>
      <c r="AB54" s="78" t="e">
        <f t="shared" si="56"/>
        <v>#DIV/0!</v>
      </c>
      <c r="AC54" s="78" t="e">
        <f t="shared" si="56"/>
        <v>#DIV/0!</v>
      </c>
      <c r="AD54" s="78" t="e">
        <f t="shared" si="56"/>
        <v>#DIV/0!</v>
      </c>
      <c r="AE54" s="78" t="e">
        <f t="shared" si="56"/>
        <v>#DIV/0!</v>
      </c>
      <c r="AF54" s="78" t="e">
        <f t="shared" si="56"/>
        <v>#DIV/0!</v>
      </c>
      <c r="AG54" s="78" t="e">
        <f t="shared" si="56"/>
        <v>#DIV/0!</v>
      </c>
      <c r="AH54" s="78" t="e">
        <f t="shared" si="56"/>
        <v>#DIV/0!</v>
      </c>
      <c r="AI54" s="78" t="e">
        <f t="shared" si="56"/>
        <v>#DIV/0!</v>
      </c>
      <c r="AJ54" s="78" t="e">
        <f t="shared" si="56"/>
        <v>#DIV/0!</v>
      </c>
      <c r="AK54" s="78" t="e">
        <f t="shared" si="56"/>
        <v>#DIV/0!</v>
      </c>
    </row>
    <row r="55" spans="1:37" s="3" customFormat="1" x14ac:dyDescent="0.25">
      <c r="A55" s="46" t="s">
        <v>42</v>
      </c>
      <c r="B55" s="78">
        <f t="shared" ref="B55:M55" si="57">(B53*100/$B$53)-100</f>
        <v>0</v>
      </c>
      <c r="C55" s="78">
        <f t="shared" si="57"/>
        <v>-63.81354555790157</v>
      </c>
      <c r="D55" s="78">
        <f t="shared" si="57"/>
        <v>-45.399545233068039</v>
      </c>
      <c r="E55" s="78">
        <f t="shared" si="57"/>
        <v>526.26685073899625</v>
      </c>
      <c r="F55" s="78">
        <f t="shared" si="57"/>
        <v>942.3420496995293</v>
      </c>
      <c r="G55" s="78">
        <f t="shared" si="57"/>
        <v>2439.0043852525582</v>
      </c>
      <c r="H55" s="78">
        <f t="shared" si="57"/>
        <v>8444.1854799415305</v>
      </c>
      <c r="I55" s="78">
        <f t="shared" si="57"/>
        <v>-89.617508526879973</v>
      </c>
      <c r="J55" s="78">
        <f t="shared" si="57"/>
        <v>-42.979535488062361</v>
      </c>
      <c r="K55" s="78">
        <f t="shared" si="57"/>
        <v>815.15348383953244</v>
      </c>
      <c r="L55" s="78">
        <f t="shared" si="57"/>
        <v>6100.3288939418553</v>
      </c>
      <c r="M55" s="78">
        <f t="shared" si="57"/>
        <v>8468.0566834497331</v>
      </c>
      <c r="N55" s="78"/>
      <c r="O55" s="78">
        <f>(O53*100/$O$53)-100</f>
        <v>0</v>
      </c>
      <c r="P55" s="78">
        <f t="shared" ref="P55:AK55" si="58">(P53*100/$O$53)-100</f>
        <v>42.051800962170034</v>
      </c>
      <c r="Q55" s="78">
        <f t="shared" si="58"/>
        <v>-96.779579778001036</v>
      </c>
      <c r="R55" s="78">
        <f t="shared" si="58"/>
        <v>44.808858294902819</v>
      </c>
      <c r="S55" s="78">
        <f t="shared" si="58"/>
        <v>74.705224476753472</v>
      </c>
      <c r="T55" s="78">
        <f t="shared" si="58"/>
        <v>115.74497469406765</v>
      </c>
      <c r="U55" s="78">
        <f t="shared" si="58"/>
        <v>140.62781459105668</v>
      </c>
      <c r="V55" s="78">
        <f t="shared" si="58"/>
        <v>147.45730216285162</v>
      </c>
      <c r="W55" s="78" t="e">
        <f t="shared" si="58"/>
        <v>#DIV/0!</v>
      </c>
      <c r="X55" s="78" t="e">
        <f t="shared" si="58"/>
        <v>#DIV/0!</v>
      </c>
      <c r="Y55" s="78" t="e">
        <f t="shared" si="58"/>
        <v>#DIV/0!</v>
      </c>
      <c r="Z55" s="78" t="e">
        <f t="shared" si="58"/>
        <v>#DIV/0!</v>
      </c>
      <c r="AA55" s="78" t="e">
        <f t="shared" si="58"/>
        <v>#DIV/0!</v>
      </c>
      <c r="AB55" s="78" t="e">
        <f t="shared" si="58"/>
        <v>#DIV/0!</v>
      </c>
      <c r="AC55" s="78" t="e">
        <f t="shared" si="58"/>
        <v>#DIV/0!</v>
      </c>
      <c r="AD55" s="78" t="e">
        <f t="shared" si="58"/>
        <v>#DIV/0!</v>
      </c>
      <c r="AE55" s="78" t="e">
        <f t="shared" si="58"/>
        <v>#DIV/0!</v>
      </c>
      <c r="AF55" s="78" t="e">
        <f t="shared" si="58"/>
        <v>#DIV/0!</v>
      </c>
      <c r="AG55" s="78" t="e">
        <f t="shared" si="58"/>
        <v>#DIV/0!</v>
      </c>
      <c r="AH55" s="78" t="e">
        <f t="shared" si="58"/>
        <v>#DIV/0!</v>
      </c>
      <c r="AI55" s="78" t="e">
        <f t="shared" si="58"/>
        <v>#DIV/0!</v>
      </c>
      <c r="AJ55" s="78" t="e">
        <f t="shared" si="58"/>
        <v>#DIV/0!</v>
      </c>
      <c r="AK55" s="78" t="e">
        <f t="shared" si="58"/>
        <v>#DIV/0!</v>
      </c>
    </row>
    <row r="56" spans="1:37" s="3" customFormat="1" x14ac:dyDescent="0.25">
      <c r="A56" s="46" t="s">
        <v>43</v>
      </c>
      <c r="B56" s="78" t="e">
        <f ca="1">[1]!SWTEST(B28:B43)</f>
        <v>#NAME?</v>
      </c>
      <c r="C56" s="78" t="e">
        <f ca="1">[1]!SWTEST(C28:C43)</f>
        <v>#NAME?</v>
      </c>
      <c r="D56" s="78" t="e">
        <f ca="1">[1]!SWTEST(D28:D43)</f>
        <v>#NAME?</v>
      </c>
      <c r="E56" s="78" t="e">
        <f ca="1">[1]!SWTEST(E28:E43)</f>
        <v>#NAME?</v>
      </c>
      <c r="F56" s="78" t="e">
        <f ca="1">[1]!SWTEST(F28:F43)</f>
        <v>#NAME?</v>
      </c>
      <c r="G56" s="78" t="e">
        <f ca="1">[1]!SWTEST(G28:G43)</f>
        <v>#NAME?</v>
      </c>
      <c r="H56" s="78" t="e">
        <f ca="1">[1]!SWTEST(H28:H43)</f>
        <v>#NAME?</v>
      </c>
      <c r="I56" s="78" t="e">
        <f ca="1">[1]!SWTEST(I28:I43)</f>
        <v>#NAME?</v>
      </c>
      <c r="J56" s="78" t="e">
        <f ca="1">[1]!SWTEST(J28:J43)</f>
        <v>#NAME?</v>
      </c>
      <c r="K56" s="78" t="e">
        <f ca="1">[1]!SWTEST(K28:K43)</f>
        <v>#NAME?</v>
      </c>
      <c r="L56" s="78" t="e">
        <f ca="1">[1]!SWTEST(L28:L43)</f>
        <v>#NAME?</v>
      </c>
      <c r="M56" s="78" t="e">
        <f ca="1">[1]!SWTEST(M28:M43)</f>
        <v>#NAME?</v>
      </c>
      <c r="N56" s="78"/>
      <c r="O56" s="78" t="e">
        <f ca="1">[1]!SWTEST(O28:O43)</f>
        <v>#NAME?</v>
      </c>
      <c r="P56" s="78" t="e">
        <f ca="1">[1]!SWTEST(P28:P43)</f>
        <v>#NAME?</v>
      </c>
      <c r="Q56" s="78" t="e">
        <f ca="1">[1]!SWTEST(Q28:Q43)</f>
        <v>#NAME?</v>
      </c>
      <c r="R56" s="78" t="e">
        <f ca="1">[1]!SWTEST(R28:R43)</f>
        <v>#NAME?</v>
      </c>
      <c r="S56" s="78" t="e">
        <f ca="1">[1]!SWTEST(S28:S43)</f>
        <v>#NAME?</v>
      </c>
      <c r="T56" s="78" t="e">
        <f ca="1">[1]!SWTEST(T28:T43)</f>
        <v>#NAME?</v>
      </c>
      <c r="U56" s="78" t="e">
        <f ca="1">[1]!SWTEST(U28:U43)</f>
        <v>#NAME?</v>
      </c>
      <c r="V56" s="78" t="e">
        <f ca="1">[1]!SWTEST(V28:V43)</f>
        <v>#NAME?</v>
      </c>
      <c r="W56" s="78" t="e">
        <f ca="1">[1]!SWTEST(W28:W43)</f>
        <v>#NAME?</v>
      </c>
      <c r="X56" s="78" t="e">
        <f ca="1">[1]!SWTEST(X28:X43)</f>
        <v>#NAME?</v>
      </c>
      <c r="Y56" s="78" t="e">
        <f ca="1">[1]!SWTEST(Y28:Y43)</f>
        <v>#NAME?</v>
      </c>
      <c r="Z56" s="78" t="e">
        <f ca="1">[1]!SWTEST(Z28:Z43)</f>
        <v>#NAME?</v>
      </c>
      <c r="AA56" s="78" t="e">
        <f ca="1">[1]!SWTEST(AA28:AA43)</f>
        <v>#NAME?</v>
      </c>
      <c r="AB56" s="78" t="e">
        <f ca="1">[1]!SWTEST(AB28:AB43)</f>
        <v>#NAME?</v>
      </c>
      <c r="AC56" s="78" t="e">
        <f ca="1">[1]!SWTEST(AC28:AC43)</f>
        <v>#NAME?</v>
      </c>
      <c r="AD56" s="78" t="e">
        <f ca="1">[1]!SWTEST(AD28:AD43)</f>
        <v>#NAME?</v>
      </c>
      <c r="AE56" s="78" t="e">
        <f ca="1">[1]!SWTEST(AE28:AE43)</f>
        <v>#NAME?</v>
      </c>
      <c r="AF56" s="78" t="e">
        <f ca="1">[1]!SWTEST(AF28:AF43)</f>
        <v>#NAME?</v>
      </c>
      <c r="AG56" s="78" t="e">
        <f ca="1">[1]!SWTEST(AG28:AG43)</f>
        <v>#NAME?</v>
      </c>
      <c r="AH56" s="78" t="e">
        <f ca="1">[1]!SWTEST(AH28:AH43)</f>
        <v>#NAME?</v>
      </c>
      <c r="AI56" s="78" t="e">
        <f ca="1">[1]!SWTEST(AI28:AI43)</f>
        <v>#NAME?</v>
      </c>
      <c r="AJ56" s="78" t="e">
        <f ca="1">[1]!SWTEST(AJ28:AJ43)</f>
        <v>#NAME?</v>
      </c>
      <c r="AK56" s="78" t="e">
        <f ca="1">[1]!SWTEST(AK28:AK43)</f>
        <v>#NAME?</v>
      </c>
    </row>
    <row r="57" spans="1:37" s="3" customFormat="1" x14ac:dyDescent="0.25">
      <c r="A57" s="46" t="s">
        <v>47</v>
      </c>
      <c r="B57" s="78" t="e">
        <f t="shared" ref="B57:M57" ca="1" si="59">IF(B56&gt;0.05,"Oui","Non")</f>
        <v>#NAME?</v>
      </c>
      <c r="C57" s="78" t="e">
        <f t="shared" ca="1" si="59"/>
        <v>#NAME?</v>
      </c>
      <c r="D57" s="78" t="e">
        <f t="shared" ca="1" si="59"/>
        <v>#NAME?</v>
      </c>
      <c r="E57" s="78" t="e">
        <f t="shared" ca="1" si="59"/>
        <v>#NAME?</v>
      </c>
      <c r="F57" s="78" t="e">
        <f t="shared" ca="1" si="59"/>
        <v>#NAME?</v>
      </c>
      <c r="G57" s="78" t="e">
        <f t="shared" ca="1" si="59"/>
        <v>#NAME?</v>
      </c>
      <c r="H57" s="78" t="e">
        <f t="shared" ca="1" si="59"/>
        <v>#NAME?</v>
      </c>
      <c r="I57" s="78" t="e">
        <f t="shared" ca="1" si="59"/>
        <v>#NAME?</v>
      </c>
      <c r="J57" s="78" t="e">
        <f t="shared" ca="1" si="59"/>
        <v>#NAME?</v>
      </c>
      <c r="K57" s="78" t="e">
        <f t="shared" ca="1" si="59"/>
        <v>#NAME?</v>
      </c>
      <c r="L57" s="78" t="e">
        <f t="shared" ca="1" si="59"/>
        <v>#NAME?</v>
      </c>
      <c r="M57" s="78" t="e">
        <f t="shared" ca="1" si="59"/>
        <v>#NAME?</v>
      </c>
      <c r="N57" s="78"/>
      <c r="O57" s="78" t="e">
        <f t="shared" ref="O57:AK57" ca="1" si="60">IF(O56&gt;0.05,"Oui","Non")</f>
        <v>#NAME?</v>
      </c>
      <c r="P57" s="78" t="e">
        <f t="shared" ca="1" si="60"/>
        <v>#NAME?</v>
      </c>
      <c r="Q57" s="78" t="e">
        <f t="shared" ca="1" si="60"/>
        <v>#NAME?</v>
      </c>
      <c r="R57" s="78" t="e">
        <f t="shared" ca="1" si="60"/>
        <v>#NAME?</v>
      </c>
      <c r="S57" s="78" t="e">
        <f t="shared" ca="1" si="60"/>
        <v>#NAME?</v>
      </c>
      <c r="T57" s="78" t="e">
        <f t="shared" ca="1" si="60"/>
        <v>#NAME?</v>
      </c>
      <c r="U57" s="78" t="e">
        <f t="shared" ca="1" si="60"/>
        <v>#NAME?</v>
      </c>
      <c r="V57" s="78" t="e">
        <f t="shared" ca="1" si="60"/>
        <v>#NAME?</v>
      </c>
      <c r="W57" s="78" t="e">
        <f t="shared" ca="1" si="60"/>
        <v>#NAME?</v>
      </c>
      <c r="X57" s="78" t="e">
        <f t="shared" ca="1" si="60"/>
        <v>#NAME?</v>
      </c>
      <c r="Y57" s="78" t="e">
        <f t="shared" ca="1" si="60"/>
        <v>#NAME?</v>
      </c>
      <c r="Z57" s="78" t="e">
        <f t="shared" ca="1" si="60"/>
        <v>#NAME?</v>
      </c>
      <c r="AA57" s="78" t="e">
        <f t="shared" ca="1" si="60"/>
        <v>#NAME?</v>
      </c>
      <c r="AB57" s="78" t="e">
        <f t="shared" ca="1" si="60"/>
        <v>#NAME?</v>
      </c>
      <c r="AC57" s="78" t="e">
        <f t="shared" ca="1" si="60"/>
        <v>#NAME?</v>
      </c>
      <c r="AD57" s="78" t="e">
        <f t="shared" ca="1" si="60"/>
        <v>#NAME?</v>
      </c>
      <c r="AE57" s="78" t="e">
        <f t="shared" ca="1" si="60"/>
        <v>#NAME?</v>
      </c>
      <c r="AF57" s="78" t="e">
        <f t="shared" ca="1" si="60"/>
        <v>#NAME?</v>
      </c>
      <c r="AG57" s="78" t="e">
        <f t="shared" ca="1" si="60"/>
        <v>#NAME?</v>
      </c>
      <c r="AH57" s="78" t="e">
        <f t="shared" ca="1" si="60"/>
        <v>#NAME?</v>
      </c>
      <c r="AI57" s="78" t="e">
        <f t="shared" ca="1" si="60"/>
        <v>#NAME?</v>
      </c>
      <c r="AJ57" s="78" t="e">
        <f t="shared" ca="1" si="60"/>
        <v>#NAME?</v>
      </c>
      <c r="AK57" s="78" t="e">
        <f t="shared" ca="1" si="60"/>
        <v>#NAME?</v>
      </c>
    </row>
    <row r="58" spans="1:37" s="3" customFormat="1" x14ac:dyDescent="0.25">
      <c r="A58" s="46"/>
      <c r="B58" s="78"/>
      <c r="C58" s="78"/>
      <c r="D58" s="78"/>
      <c r="E58" s="78"/>
      <c r="F58" s="78"/>
      <c r="G58" s="78"/>
      <c r="H58" s="78"/>
      <c r="I58" s="78"/>
      <c r="J58" s="78"/>
      <c r="K58" s="78"/>
      <c r="L58" s="78"/>
      <c r="M58" s="78"/>
      <c r="N58" s="80"/>
      <c r="O58" s="81"/>
      <c r="P58" s="78"/>
      <c r="Q58" s="78"/>
      <c r="R58" s="78"/>
      <c r="S58" s="78"/>
      <c r="T58" s="78"/>
      <c r="U58" s="78"/>
      <c r="V58" s="78"/>
      <c r="W58" s="78"/>
      <c r="X58" s="78"/>
      <c r="Y58" s="78"/>
      <c r="Z58" s="78"/>
      <c r="AA58" s="78"/>
      <c r="AB58" s="78"/>
      <c r="AC58" s="78"/>
      <c r="AD58" s="78"/>
      <c r="AE58" s="82"/>
      <c r="AF58" s="82"/>
      <c r="AG58" s="82"/>
      <c r="AH58" s="82"/>
      <c r="AI58" s="82"/>
      <c r="AJ58" s="82"/>
      <c r="AK58" s="83"/>
    </row>
    <row r="59" spans="1:37" s="3" customFormat="1" x14ac:dyDescent="0.25">
      <c r="A59" s="46" t="s">
        <v>44</v>
      </c>
      <c r="B59" s="84"/>
      <c r="C59" s="84" t="e">
        <f t="shared" ref="C59:M59" ca="1" si="61">IF($B57="Non",IF(C$57="Non","Mann Withney",IF(C$57="Oui","Mann Withney","")),IF($B$57="Oui",IF(C$57="Oui","T-Test Welch",IF(C$57="Non","Mann Withney",""))))</f>
        <v>#NAME?</v>
      </c>
      <c r="D59" s="84" t="e">
        <f t="shared" ca="1" si="61"/>
        <v>#NAME?</v>
      </c>
      <c r="E59" s="84" t="e">
        <f t="shared" ca="1" si="61"/>
        <v>#NAME?</v>
      </c>
      <c r="F59" s="84" t="e">
        <f t="shared" ca="1" si="61"/>
        <v>#NAME?</v>
      </c>
      <c r="G59" s="84" t="e">
        <f t="shared" ca="1" si="61"/>
        <v>#NAME?</v>
      </c>
      <c r="H59" s="84" t="e">
        <f t="shared" ca="1" si="61"/>
        <v>#NAME?</v>
      </c>
      <c r="I59" s="84" t="e">
        <f t="shared" ca="1" si="61"/>
        <v>#NAME?</v>
      </c>
      <c r="J59" s="84" t="e">
        <f t="shared" ca="1" si="61"/>
        <v>#NAME?</v>
      </c>
      <c r="K59" s="84" t="e">
        <f t="shared" ca="1" si="61"/>
        <v>#NAME?</v>
      </c>
      <c r="L59" s="84" t="e">
        <f t="shared" ca="1" si="61"/>
        <v>#NAME?</v>
      </c>
      <c r="M59" s="84" t="e">
        <f t="shared" ca="1" si="61"/>
        <v>#NAME?</v>
      </c>
      <c r="N59" s="84"/>
      <c r="O59" s="84" t="e">
        <f ca="1">IF($B57="Non",IF(O$57="Non","Mann Withney",IF(O$57="Oui","Mann Withney","")),IF($B$57="Oui",IF(O$57="Oui","T-Test Welch",IF(O$57="Non","Mann Withney",""))))</f>
        <v>#NAME?</v>
      </c>
      <c r="P59" s="84" t="e">
        <f ca="1">IF($O57="Non",IF(P$57="Non","Mann Withney",IF(P$57="Oui","Mann Withney","")),IF($O$57="Oui",IF(P$57="Oui","T-Test Welch",IF(P$57="Non","Mann Withney",""))))</f>
        <v>#NAME?</v>
      </c>
      <c r="Q59" s="84" t="e">
        <f t="shared" ref="Q59:AK59" ca="1" si="62">IF($O57="Non",IF(Q$57="Non","Mann Withney",IF(Q$57="Oui","Mann Withney","")),IF($O$57="Oui",IF(Q$57="Oui","T-Test Welch",IF(Q$57="Non","Mann Withney",""))))</f>
        <v>#NAME?</v>
      </c>
      <c r="R59" s="84" t="e">
        <f t="shared" ca="1" si="62"/>
        <v>#NAME?</v>
      </c>
      <c r="S59" s="84" t="e">
        <f t="shared" ca="1" si="62"/>
        <v>#NAME?</v>
      </c>
      <c r="T59" s="84" t="e">
        <f t="shared" ca="1" si="62"/>
        <v>#NAME?</v>
      </c>
      <c r="U59" s="84" t="e">
        <f t="shared" ca="1" si="62"/>
        <v>#NAME?</v>
      </c>
      <c r="V59" s="84" t="e">
        <f t="shared" ca="1" si="62"/>
        <v>#NAME?</v>
      </c>
      <c r="W59" s="84" t="e">
        <f t="shared" ca="1" si="62"/>
        <v>#NAME?</v>
      </c>
      <c r="X59" s="84" t="e">
        <f t="shared" ca="1" si="62"/>
        <v>#NAME?</v>
      </c>
      <c r="Y59" s="84" t="e">
        <f t="shared" ca="1" si="62"/>
        <v>#NAME?</v>
      </c>
      <c r="Z59" s="84" t="e">
        <f t="shared" ca="1" si="62"/>
        <v>#NAME?</v>
      </c>
      <c r="AA59" s="84" t="e">
        <f t="shared" ca="1" si="62"/>
        <v>#NAME?</v>
      </c>
      <c r="AB59" s="84" t="e">
        <f t="shared" ca="1" si="62"/>
        <v>#NAME?</v>
      </c>
      <c r="AC59" s="84" t="e">
        <f t="shared" ca="1" si="62"/>
        <v>#NAME?</v>
      </c>
      <c r="AD59" s="84" t="e">
        <f t="shared" ca="1" si="62"/>
        <v>#NAME?</v>
      </c>
      <c r="AE59" s="84" t="e">
        <f t="shared" ca="1" si="62"/>
        <v>#NAME?</v>
      </c>
      <c r="AF59" s="84" t="e">
        <f t="shared" ca="1" si="62"/>
        <v>#NAME?</v>
      </c>
      <c r="AG59" s="84" t="e">
        <f t="shared" ca="1" si="62"/>
        <v>#NAME?</v>
      </c>
      <c r="AH59" s="84" t="e">
        <f t="shared" ca="1" si="62"/>
        <v>#NAME?</v>
      </c>
      <c r="AI59" s="84" t="e">
        <f t="shared" ca="1" si="62"/>
        <v>#NAME?</v>
      </c>
      <c r="AJ59" s="84" t="e">
        <f t="shared" ca="1" si="62"/>
        <v>#NAME?</v>
      </c>
      <c r="AK59" s="84" t="e">
        <f t="shared" ca="1" si="62"/>
        <v>#NAME?</v>
      </c>
    </row>
    <row r="60" spans="1:37" s="3" customFormat="1" x14ac:dyDescent="0.25">
      <c r="A60" s="46" t="s">
        <v>45</v>
      </c>
      <c r="B60" s="85"/>
      <c r="C60" s="85" t="e">
        <f ca="1">IF(C59="Mann Withney",[1]!MTEST($B28:$B43,C28:C43,2), IF(C59="T-Test Welch",_xlfn.T.TEST($B28:$B43,C28:C43,2,3),""))</f>
        <v>#NAME?</v>
      </c>
      <c r="D60" s="85" t="e">
        <f ca="1">IF(D59="Mann Withney",[1]!MTEST($B28:$B43,D28:D43,2), IF(D59="T-Test Welch",_xlfn.T.TEST($B28:$B43,D28:D43,2,3),""))</f>
        <v>#NAME?</v>
      </c>
      <c r="E60" s="85" t="e">
        <f ca="1">IF(E59="Mann Withney",[1]!MTEST($B28:$B43,E28:E43,2), IF(E59="T-Test Welch",_xlfn.T.TEST($B28:$B43,E28:E43,2,3),""))</f>
        <v>#NAME?</v>
      </c>
      <c r="F60" s="85" t="e">
        <f ca="1">IF(F59="Mann Withney",[1]!MTEST($B28:$B43,F28:F43,2), IF(F59="T-Test Welch",_xlfn.T.TEST($B28:$B43,F28:F43,2,3),""))</f>
        <v>#NAME?</v>
      </c>
      <c r="G60" s="85" t="e">
        <f ca="1">IF(G59="Mann Withney",[1]!MTEST($B28:$B43,G28:G43,2), IF(G59="T-Test Welch",_xlfn.T.TEST($B28:$B43,G28:G43,2,3),""))</f>
        <v>#NAME?</v>
      </c>
      <c r="H60" s="85" t="e">
        <f ca="1">IF(H59="Mann Withney",[1]!MTEST($B28:$B43,H28:H43,2), IF(H59="T-Test Welch",_xlfn.T.TEST($B28:$B43,H28:H43,2,3),""))</f>
        <v>#NAME?</v>
      </c>
      <c r="I60" s="85" t="e">
        <f ca="1">IF(I59="Mann Withney",[1]!MTEST($B28:$B43,I28:I43,2), IF(I59="T-Test Welch",_xlfn.T.TEST($B28:$B43,I28:I43,2,3),""))</f>
        <v>#NAME?</v>
      </c>
      <c r="J60" s="85" t="e">
        <f ca="1">IF(J59="Mann Withney",[1]!MTEST($B28:$B43,J28:J43,2), IF(J59="T-Test Welch",_xlfn.T.TEST($B28:$B43,J28:J43,2,3),""))</f>
        <v>#NAME?</v>
      </c>
      <c r="K60" s="85" t="e">
        <f ca="1">IF(K59="Mann Withney",[1]!MTEST($B28:$B43,K28:K43,2), IF(K59="T-Test Welch",_xlfn.T.TEST($B28:$B43,K28:K43,2,3),""))</f>
        <v>#NAME?</v>
      </c>
      <c r="L60" s="85" t="e">
        <f ca="1">IF(L59="Mann Withney",[1]!MTEST($B28:$B43,L28:L43,2), IF(L59="T-Test Welch",_xlfn.T.TEST($B28:$B43,L28:L43,2,3),""))</f>
        <v>#NAME?</v>
      </c>
      <c r="M60" s="85" t="e">
        <f ca="1">IF(M59="Mann Withney",[1]!MTEST($B28:$B43,M28:M43,2), IF(M59="T-Test Welch",_xlfn.T.TEST($B28:$B43,M28:M43,2,3),""))</f>
        <v>#NAME?</v>
      </c>
      <c r="N60" s="85" t="str">
        <f>IF(N59="Mann Withney",[1]!MTEST($B28:$B43,N28:N43,2), IF(N59="T-Test Welch",_xlfn.T.TEST($B28:$B43,N28:N43,2,3),""))</f>
        <v/>
      </c>
      <c r="O60" s="85" t="e">
        <f ca="1">IF(O59="Mann Withney",[1]!MTEST($B28:$B43,O28:O43,2), IF(O59="T-Test Welch",_xlfn.T.TEST($B28:$B43,O28:O43,2,3),""))</f>
        <v>#NAME?</v>
      </c>
      <c r="P60" s="85" t="e">
        <f ca="1">IF(P59="Mann Withney",[1]!MTEST($B28:$B43,P28:P43,2), IF(P59="T-Test Welch",_xlfn.T.TEST($B28:$B43,P28:P43,2,3),""))</f>
        <v>#NAME?</v>
      </c>
      <c r="Q60" s="85" t="e">
        <f ca="1">IF(Q59="Mann Withney",[1]!MTEST($B28:$B43,Q28:Q43,2), IF(Q59="T-Test Welch",_xlfn.T.TEST($B28:$B43,Q28:Q43,2,3),""))</f>
        <v>#NAME?</v>
      </c>
      <c r="R60" s="85" t="e">
        <f ca="1">IF(R59="Mann Withney",[1]!MTEST($B28:$B43,R28:R43,2), IF(R59="T-Test Welch",_xlfn.T.TEST($B28:$B43,R28:R43,2,3),""))</f>
        <v>#NAME?</v>
      </c>
      <c r="S60" s="85" t="e">
        <f ca="1">IF(S59="Mann Withney",[1]!MTEST($B28:$B43,S28:S43,2), IF(S59="T-Test Welch",_xlfn.T.TEST($B28:$B43,S28:S43,2,3),""))</f>
        <v>#NAME?</v>
      </c>
      <c r="T60" s="85" t="e">
        <f ca="1">IF(T59="Mann Withney",[1]!MTEST($B28:$B43,T28:T43,2), IF(T59="T-Test Welch",_xlfn.T.TEST($B28:$B43,T28:T43,2,3),""))</f>
        <v>#NAME?</v>
      </c>
      <c r="U60" s="85" t="e">
        <f ca="1">IF(U59="Mann Withney",[1]!MTEST($B28:$B43,U28:U43,2), IF(U59="T-Test Welch",_xlfn.T.TEST($B28:$B43,U28:U43,2,3),""))</f>
        <v>#NAME?</v>
      </c>
      <c r="V60" s="85" t="e">
        <f ca="1">IF(V59="Mann Withney",[1]!MTEST($B28:$B43,V28:V43,2), IF(V59="T-Test Welch",_xlfn.T.TEST($B28:$B43,V28:V43,2,3),""))</f>
        <v>#NAME?</v>
      </c>
      <c r="W60" s="85" t="e">
        <f ca="1">IF(W59="Mann Withney",[1]!MTEST($B28:$B43,W28:W43,2), IF(W59="T-Test Welch",_xlfn.T.TEST($B28:$B43,W28:W43,2,3),""))</f>
        <v>#NAME?</v>
      </c>
      <c r="X60" s="85" t="e">
        <f ca="1">IF(X59="Mann Withney",[1]!MTEST($B28:$B43,X28:X43,2), IF(X59="T-Test Welch",_xlfn.T.TEST($B28:$B43,X28:X43,2,3),""))</f>
        <v>#NAME?</v>
      </c>
      <c r="Y60" s="85" t="e">
        <f ca="1">IF(Y59="Mann Withney",[1]!MTEST($B28:$B43,Y28:Y43,2), IF(Y59="T-Test Welch",_xlfn.T.TEST($B28:$B43,Y28:Y43,2,3),""))</f>
        <v>#NAME?</v>
      </c>
      <c r="Z60" s="85" t="e">
        <f ca="1">IF(Z59="Mann Withney",[1]!MTEST($B28:$B43,Z28:Z43,2), IF(Z59="T-Test Welch",_xlfn.T.TEST($B28:$B43,Z28:Z43,2,3),""))</f>
        <v>#NAME?</v>
      </c>
      <c r="AA60" s="85" t="e">
        <f ca="1">IF(AA59="Mann Withney",[2]!MTEST($O28:$O43,AA28:AA43,2), IF(AA59="T-Test Welch",_xlfn.T.TEST($O28:$O43,AA28:AA43,2,3),""))</f>
        <v>#NAME?</v>
      </c>
      <c r="AB60" s="85" t="e">
        <f ca="1">IF(AB59="Mann Withney",[2]!MTEST($O28:$O43,AB28:AB43,2), IF(AB59="T-Test Welch",_xlfn.T.TEST($O28:$O43,AB28:AB43,2,3),""))</f>
        <v>#NAME?</v>
      </c>
      <c r="AC60" s="85" t="e">
        <f ca="1">IF(AC59="Mann Withney",[2]!MTEST($O28:$O43,AC28:AC43,2), IF(AC59="T-Test Welch",_xlfn.T.TEST($O28:$O43,AC28:AC43,2,3),""))</f>
        <v>#NAME?</v>
      </c>
      <c r="AD60" s="85" t="e">
        <f ca="1">IF(AD59="Mann Withney",[2]!MTEST($O28:$O43,AD28:AD43,2), IF(AD59="T-Test Welch",_xlfn.T.TEST($O28:$O43,AD28:AD43,2,3),""))</f>
        <v>#NAME?</v>
      </c>
      <c r="AE60" s="85" t="e">
        <f ca="1">IF(AE59="Mann Withney",[2]!MTEST($O28:$O43,AE28:AE43,2), IF(AE59="T-Test Welch",_xlfn.T.TEST($O28:$O43,AE28:AE43,2,3),""))</f>
        <v>#NAME?</v>
      </c>
      <c r="AF60" s="85" t="e">
        <f ca="1">IF(AF59="Mann Withney",[2]!MTEST($O28:$O43,AF28:AF43,2), IF(AF59="T-Test Welch",_xlfn.T.TEST($O28:$O43,AF28:AF43,2,3),""))</f>
        <v>#NAME?</v>
      </c>
      <c r="AG60" s="85" t="e">
        <f ca="1">IF(AG59="Mann Withney",[2]!MTEST($O28:$O43,AG28:AG43,2), IF(AG59="T-Test Welch",_xlfn.T.TEST($O28:$O43,AG28:AG43,2,3),""))</f>
        <v>#NAME?</v>
      </c>
      <c r="AH60" s="85" t="e">
        <f ca="1">IF(AH59="Mann Withney",[2]!MTEST($O28:$O43,AH28:AH43,2), IF(AH59="T-Test Welch",_xlfn.T.TEST($O28:$O43,AH28:AH43,2,3),""))</f>
        <v>#NAME?</v>
      </c>
      <c r="AI60" s="85" t="e">
        <f ca="1">IF(AI59="Mann Withney",[2]!MTEST($O28:$O43,AI28:AI43,2), IF(AI59="T-Test Welch",_xlfn.T.TEST($O28:$O43,AI28:AI43,2,3),""))</f>
        <v>#NAME?</v>
      </c>
      <c r="AJ60" s="85" t="e">
        <f ca="1">IF(AJ59="Mann Withney",[2]!MTEST($O28:$O43,AJ28:AJ43,2), IF(AJ59="T-Test Welch",_xlfn.T.TEST($O28:$O43,AJ28:AJ43,2,3),""))</f>
        <v>#NAME?</v>
      </c>
      <c r="AK60" s="85" t="e">
        <f ca="1">IF(AK59="Mann Withney",[2]!MTEST($O28:$O43,AK28:AK43,2), IF(AK59="T-Test Welch",_xlfn.T.TEST($O28:$O43,AK28:AK43,2,3),""))</f>
        <v>#NAME?</v>
      </c>
    </row>
    <row r="61" spans="1:37" s="3" customFormat="1" ht="15.75" thickBot="1" x14ac:dyDescent="0.3">
      <c r="A61" s="47" t="s">
        <v>46</v>
      </c>
      <c r="B61" s="79"/>
      <c r="C61" s="79" t="e">
        <f t="shared" ref="C61:M61" ca="1" si="63">IF(C60&gt;0.05,"NS",IF(C60&gt;0.01,"*",IF(C60&gt;0.001,"**","***")))</f>
        <v>#NAME?</v>
      </c>
      <c r="D61" s="79" t="e">
        <f t="shared" ca="1" si="63"/>
        <v>#NAME?</v>
      </c>
      <c r="E61" s="79" t="e">
        <f t="shared" ca="1" si="63"/>
        <v>#NAME?</v>
      </c>
      <c r="F61" s="79" t="e">
        <f t="shared" ca="1" si="63"/>
        <v>#NAME?</v>
      </c>
      <c r="G61" s="79" t="e">
        <f t="shared" ca="1" si="63"/>
        <v>#NAME?</v>
      </c>
      <c r="H61" s="79" t="e">
        <f t="shared" ca="1" si="63"/>
        <v>#NAME?</v>
      </c>
      <c r="I61" s="79" t="e">
        <f t="shared" ca="1" si="63"/>
        <v>#NAME?</v>
      </c>
      <c r="J61" s="79" t="e">
        <f t="shared" ca="1" si="63"/>
        <v>#NAME?</v>
      </c>
      <c r="K61" s="79" t="e">
        <f t="shared" ca="1" si="63"/>
        <v>#NAME?</v>
      </c>
      <c r="L61" s="79" t="e">
        <f t="shared" ca="1" si="63"/>
        <v>#NAME?</v>
      </c>
      <c r="M61" s="79" t="e">
        <f t="shared" ca="1" si="63"/>
        <v>#NAME?</v>
      </c>
      <c r="N61" s="79"/>
      <c r="O61" s="79" t="e">
        <f ca="1">IF(O60&gt;0.05,"NS",IF(O60&gt;0.01,"*",IF(O60&gt;0.001,"**","***")))</f>
        <v>#NAME?</v>
      </c>
      <c r="P61" s="79" t="e">
        <f ca="1">IF(P60&gt;0.05,"NS",IF(P60&gt;0.01,"*",IF(P60&gt;0.001,"**","***")))</f>
        <v>#NAME?</v>
      </c>
      <c r="Q61" s="79" t="e">
        <f t="shared" ref="Q61" ca="1" si="64">IF(Q60&gt;0.05,"NS",IF(Q60&gt;0.01,"*",IF(Q60&gt;0.001,"**","***")))</f>
        <v>#NAME?</v>
      </c>
      <c r="R61" s="79" t="e">
        <f t="shared" ref="R61" ca="1" si="65">IF(R60&gt;0.05,"NS",IF(R60&gt;0.01,"*",IF(R60&gt;0.001,"**","***")))</f>
        <v>#NAME?</v>
      </c>
      <c r="S61" s="79" t="e">
        <f t="shared" ref="S61" ca="1" si="66">IF(S60&gt;0.05,"NS",IF(S60&gt;0.01,"*",IF(S60&gt;0.001,"**","***")))</f>
        <v>#NAME?</v>
      </c>
      <c r="T61" s="79" t="e">
        <f t="shared" ref="T61" ca="1" si="67">IF(T60&gt;0.05,"NS",IF(T60&gt;0.01,"*",IF(T60&gt;0.001,"**","***")))</f>
        <v>#NAME?</v>
      </c>
      <c r="U61" s="79" t="e">
        <f t="shared" ref="U61" ca="1" si="68">IF(U60&gt;0.05,"NS",IF(U60&gt;0.01,"*",IF(U60&gt;0.001,"**","***")))</f>
        <v>#NAME?</v>
      </c>
      <c r="V61" s="79" t="e">
        <f t="shared" ref="V61" ca="1" si="69">IF(V60&gt;0.05,"NS",IF(V60&gt;0.01,"*",IF(V60&gt;0.001,"**","***")))</f>
        <v>#NAME?</v>
      </c>
      <c r="W61" s="79" t="e">
        <f t="shared" ref="W61" ca="1" si="70">IF(W60&gt;0.05,"NS",IF(W60&gt;0.01,"*",IF(W60&gt;0.001,"**","***")))</f>
        <v>#NAME?</v>
      </c>
      <c r="X61" s="79" t="e">
        <f t="shared" ref="X61" ca="1" si="71">IF(X60&gt;0.05,"NS",IF(X60&gt;0.01,"*",IF(X60&gt;0.001,"**","***")))</f>
        <v>#NAME?</v>
      </c>
      <c r="Y61" s="79" t="e">
        <f t="shared" ref="Y61" ca="1" si="72">IF(Y60&gt;0.05,"NS",IF(Y60&gt;0.01,"*",IF(Y60&gt;0.001,"**","***")))</f>
        <v>#NAME?</v>
      </c>
      <c r="Z61" s="79" t="e">
        <f t="shared" ref="Z61" ca="1" si="73">IF(Z60&gt;0.05,"NS",IF(Z60&gt;0.01,"*",IF(Z60&gt;0.001,"**","***")))</f>
        <v>#NAME?</v>
      </c>
      <c r="AA61" s="79" t="e">
        <f t="shared" ref="AA61" ca="1" si="74">IF(AA60&gt;0.05,"NS",IF(AA60&gt;0.01,"*",IF(AA60&gt;0.001,"**","***")))</f>
        <v>#NAME?</v>
      </c>
      <c r="AB61" s="79" t="e">
        <f t="shared" ref="AB61" ca="1" si="75">IF(AB60&gt;0.05,"NS",IF(AB60&gt;0.01,"*",IF(AB60&gt;0.001,"**","***")))</f>
        <v>#NAME?</v>
      </c>
      <c r="AC61" s="79" t="e">
        <f t="shared" ref="AC61" ca="1" si="76">IF(AC60&gt;0.05,"NS",IF(AC60&gt;0.01,"*",IF(AC60&gt;0.001,"**","***")))</f>
        <v>#NAME?</v>
      </c>
      <c r="AD61" s="79" t="e">
        <f t="shared" ref="AD61" ca="1" si="77">IF(AD60&gt;0.05,"NS",IF(AD60&gt;0.01,"*",IF(AD60&gt;0.001,"**","***")))</f>
        <v>#NAME?</v>
      </c>
      <c r="AE61" s="79" t="e">
        <f t="shared" ref="AE61" ca="1" si="78">IF(AE60&gt;0.05,"NS",IF(AE60&gt;0.01,"*",IF(AE60&gt;0.001,"**","***")))</f>
        <v>#NAME?</v>
      </c>
      <c r="AF61" s="79" t="e">
        <f t="shared" ref="AF61" ca="1" si="79">IF(AF60&gt;0.05,"NS",IF(AF60&gt;0.01,"*",IF(AF60&gt;0.001,"**","***")))</f>
        <v>#NAME?</v>
      </c>
      <c r="AG61" s="79" t="e">
        <f t="shared" ref="AG61" ca="1" si="80">IF(AG60&gt;0.05,"NS",IF(AG60&gt;0.01,"*",IF(AG60&gt;0.001,"**","***")))</f>
        <v>#NAME?</v>
      </c>
      <c r="AH61" s="79" t="e">
        <f t="shared" ref="AH61" ca="1" si="81">IF(AH60&gt;0.05,"NS",IF(AH60&gt;0.01,"*",IF(AH60&gt;0.001,"**","***")))</f>
        <v>#NAME?</v>
      </c>
      <c r="AI61" s="79" t="e">
        <f t="shared" ref="AI61" ca="1" si="82">IF(AI60&gt;0.05,"NS",IF(AI60&gt;0.01,"*",IF(AI60&gt;0.001,"**","***")))</f>
        <v>#NAME?</v>
      </c>
      <c r="AJ61" s="79" t="e">
        <f t="shared" ref="AJ61" ca="1" si="83">IF(AJ60&gt;0.05,"NS",IF(AJ60&gt;0.01,"*",IF(AJ60&gt;0.001,"**","***")))</f>
        <v>#NAME?</v>
      </c>
      <c r="AK61" s="79" t="e">
        <f t="shared" ref="AK61" ca="1" si="84">IF(AK60&gt;0.05,"NS",IF(AK60&gt;0.01,"*",IF(AK60&gt;0.001,"**","***")))</f>
        <v>#NAME?</v>
      </c>
    </row>
    <row r="63" spans="1:37" x14ac:dyDescent="0.25">
      <c r="A63" s="2" t="s">
        <v>20</v>
      </c>
    </row>
    <row r="64" spans="1:37" x14ac:dyDescent="0.25">
      <c r="A64" s="1" t="s">
        <v>13</v>
      </c>
      <c r="B64" s="1">
        <f>B46+(3*B47)</f>
        <v>0.17038077423944251</v>
      </c>
    </row>
    <row r="65" spans="1:37" x14ac:dyDescent="0.25">
      <c r="A65" s="1" t="s">
        <v>14</v>
      </c>
      <c r="B65" s="1">
        <f>B46+(10*B47)</f>
        <v>0.5056902710213953</v>
      </c>
    </row>
    <row r="66" spans="1:37" ht="15.75" thickBot="1" x14ac:dyDescent="0.3"/>
    <row r="67" spans="1:37" s="1" customFormat="1" ht="27" thickBot="1" x14ac:dyDescent="0.45">
      <c r="A67" s="141" t="s">
        <v>31</v>
      </c>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3"/>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1" name="Plage1"/>
    <protectedRange sqref="B51:J51" name="Plage2_1"/>
    <protectedRange sqref="O21 J5:J12 B13:J21" name="Plage1_1"/>
    <protectedRange sqref="I5:I12" name="Plage1_1_1"/>
    <protectedRange sqref="B5:H12" name="Plage1_1_2"/>
    <protectedRange sqref="O5:O20" name="Plage1_1_3"/>
  </protectedRanges>
  <mergeCells count="9">
    <mergeCell ref="A1:AK1"/>
    <mergeCell ref="A67:AK67"/>
    <mergeCell ref="A50:AK50"/>
    <mergeCell ref="A5:A20"/>
    <mergeCell ref="A28:A43"/>
    <mergeCell ref="B3:M3"/>
    <mergeCell ref="B26:M26"/>
    <mergeCell ref="O26:AK26"/>
    <mergeCell ref="O3:AK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4"/>
  <sheetViews>
    <sheetView showGridLines="0" topLeftCell="H1" zoomScale="70" zoomScaleNormal="70" zoomScaleSheetLayoutView="40" zoomScalePageLayoutView="30" workbookViewId="0">
      <selection activeCell="P24" sqref="P24"/>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19" width="25.85546875" style="1" customWidth="1"/>
    <col min="20" max="20" width="48.5703125" style="1" customWidth="1"/>
    <col min="21" max="36" width="25.85546875" style="1" customWidth="1"/>
    <col min="37" max="37" width="25.85546875" style="1" bestFit="1" customWidth="1"/>
    <col min="38" max="16384" width="9.140625" style="1"/>
  </cols>
  <sheetData>
    <row r="1" spans="1:37" ht="27" thickBot="1" x14ac:dyDescent="0.45">
      <c r="A1" s="138" t="s">
        <v>23</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40"/>
    </row>
    <row r="2" spans="1:37" customFormat="1" ht="15.75" thickBot="1" x14ac:dyDescent="0.3">
      <c r="AE2" s="1"/>
      <c r="AF2" s="1"/>
      <c r="AG2" s="1"/>
      <c r="AH2" s="1"/>
      <c r="AI2" s="1"/>
      <c r="AJ2" s="1"/>
    </row>
    <row r="3" spans="1:37" ht="15.75" thickBot="1" x14ac:dyDescent="0.3">
      <c r="A3" s="36" t="s">
        <v>9</v>
      </c>
      <c r="B3" s="148" t="s">
        <v>6</v>
      </c>
      <c r="C3" s="149"/>
      <c r="D3" s="149"/>
      <c r="E3" s="149"/>
      <c r="F3" s="149"/>
      <c r="G3" s="149"/>
      <c r="H3" s="149"/>
      <c r="I3" s="149"/>
      <c r="J3" s="149"/>
      <c r="K3" s="149"/>
      <c r="L3" s="149"/>
      <c r="M3" s="149"/>
      <c r="O3" s="148" t="s">
        <v>3</v>
      </c>
      <c r="P3" s="149"/>
      <c r="Q3" s="149"/>
      <c r="R3" s="149"/>
      <c r="S3" s="149"/>
      <c r="T3" s="149"/>
      <c r="U3" s="149"/>
      <c r="V3" s="149"/>
      <c r="W3" s="149"/>
      <c r="X3" s="149"/>
      <c r="Y3" s="149"/>
      <c r="Z3" s="149"/>
      <c r="AA3" s="149"/>
      <c r="AB3" s="149"/>
      <c r="AC3" s="149"/>
      <c r="AD3" s="149"/>
      <c r="AE3" s="149"/>
      <c r="AF3" s="149"/>
      <c r="AG3" s="149"/>
      <c r="AH3" s="149"/>
      <c r="AI3" s="149"/>
      <c r="AJ3" s="149"/>
      <c r="AK3" s="150"/>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Estradiol-34ng/L</v>
      </c>
      <c r="J4" s="20" t="str">
        <f>'Front page'!A15</f>
        <v>Estradiol-68ng/L</v>
      </c>
      <c r="K4" s="20" t="str">
        <f>'Front page'!A16</f>
        <v>Estradiol-135ng/L</v>
      </c>
      <c r="L4" s="20" t="str">
        <f>'Front page'!A17</f>
        <v>Estradiol-270ng/L</v>
      </c>
      <c r="M4" s="20" t="str">
        <f>'Front page'!A18</f>
        <v>Estradiol-540ng/L</v>
      </c>
      <c r="N4" s="3"/>
      <c r="O4" s="21" t="str">
        <f>'Front page'!A35</f>
        <v>Testo -30µg/L</v>
      </c>
      <c r="P4" s="21" t="str">
        <f>'Front page'!A36</f>
        <v>Testo 30µg/L + EE2 -64ng/L</v>
      </c>
      <c r="Q4" s="21" t="str">
        <f>'Front page'!A37</f>
        <v>Testo 30µg/L + FAD-10mg/L</v>
      </c>
      <c r="R4" s="21" t="str">
        <f>'Front page'!A38</f>
        <v>Estradiol-34ng/L + Testostérone</v>
      </c>
      <c r="S4" s="21" t="str">
        <f>'Front page'!A39</f>
        <v>Estradiol-68ng/L + Testostérone</v>
      </c>
      <c r="T4" s="21" t="str">
        <f>'Front page'!A40</f>
        <v>Estradiol-135ng/L + Testostérone</v>
      </c>
      <c r="U4" s="21" t="str">
        <f>'Front page'!A41</f>
        <v>Estradiol-270ng/L + Testostérone</v>
      </c>
      <c r="V4" s="21" t="str">
        <f>'Front page'!A42</f>
        <v>Estradiol-540ng/L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51" t="s">
        <v>16</v>
      </c>
      <c r="B5" s="17">
        <v>0</v>
      </c>
      <c r="C5" s="17">
        <v>0</v>
      </c>
      <c r="D5" s="17">
        <v>0</v>
      </c>
      <c r="E5" s="17">
        <v>0</v>
      </c>
      <c r="F5" s="17">
        <v>841</v>
      </c>
      <c r="G5" s="17">
        <v>165441</v>
      </c>
      <c r="H5" s="17">
        <v>156931</v>
      </c>
      <c r="I5" s="17">
        <v>0</v>
      </c>
      <c r="J5" s="17">
        <v>0</v>
      </c>
      <c r="K5" s="13">
        <v>3343</v>
      </c>
      <c r="L5" s="13">
        <v>25494</v>
      </c>
      <c r="M5" s="13">
        <v>325719</v>
      </c>
      <c r="N5" s="3"/>
      <c r="O5" s="17">
        <v>0</v>
      </c>
      <c r="P5" s="13">
        <v>230263</v>
      </c>
      <c r="Q5" s="13">
        <v>0</v>
      </c>
      <c r="R5" s="17">
        <v>162182</v>
      </c>
      <c r="S5" s="17">
        <v>135735</v>
      </c>
      <c r="T5" s="17">
        <v>79347</v>
      </c>
      <c r="U5" s="17">
        <v>276822</v>
      </c>
      <c r="V5" s="17">
        <v>294558</v>
      </c>
      <c r="W5" s="17"/>
      <c r="X5" s="17"/>
      <c r="Y5" s="17"/>
      <c r="Z5" s="17"/>
      <c r="AA5" s="17"/>
      <c r="AB5" s="17"/>
      <c r="AC5" s="17"/>
      <c r="AD5" s="17"/>
      <c r="AE5" s="17"/>
      <c r="AF5" s="17"/>
      <c r="AG5" s="17"/>
      <c r="AH5" s="17"/>
      <c r="AI5" s="17"/>
      <c r="AJ5" s="17"/>
      <c r="AK5" s="17"/>
    </row>
    <row r="6" spans="1:37" ht="16.5" x14ac:dyDescent="0.25">
      <c r="A6" s="151"/>
      <c r="B6" s="14">
        <v>413</v>
      </c>
      <c r="C6" s="13">
        <v>402</v>
      </c>
      <c r="D6" s="17">
        <v>0</v>
      </c>
      <c r="E6" s="17">
        <v>0</v>
      </c>
      <c r="F6" s="17">
        <v>128071</v>
      </c>
      <c r="G6" s="17">
        <v>266292</v>
      </c>
      <c r="H6" s="17">
        <v>286760</v>
      </c>
      <c r="I6" s="17">
        <v>0</v>
      </c>
      <c r="J6" s="17">
        <v>0</v>
      </c>
      <c r="K6" s="13">
        <v>39668</v>
      </c>
      <c r="L6" s="13">
        <v>216946</v>
      </c>
      <c r="M6" s="13">
        <v>190374</v>
      </c>
      <c r="N6" s="3"/>
      <c r="O6" s="17">
        <v>110643</v>
      </c>
      <c r="P6" s="13">
        <v>251514</v>
      </c>
      <c r="Q6" s="13">
        <v>0</v>
      </c>
      <c r="R6" s="17">
        <v>204762</v>
      </c>
      <c r="S6" s="17">
        <v>6130</v>
      </c>
      <c r="T6" s="17">
        <v>126945</v>
      </c>
      <c r="U6" s="17">
        <v>229224</v>
      </c>
      <c r="V6" s="17">
        <v>302160</v>
      </c>
      <c r="W6" s="17"/>
      <c r="X6" s="17"/>
      <c r="Y6" s="17"/>
      <c r="Z6" s="17"/>
      <c r="AA6" s="17"/>
      <c r="AB6" s="17"/>
      <c r="AC6" s="17"/>
      <c r="AD6" s="17"/>
      <c r="AE6" s="17"/>
      <c r="AF6" s="17"/>
      <c r="AG6" s="17"/>
      <c r="AH6" s="17"/>
      <c r="AI6" s="17"/>
      <c r="AJ6" s="17"/>
      <c r="AK6" s="17"/>
    </row>
    <row r="7" spans="1:37" ht="16.5" x14ac:dyDescent="0.25">
      <c r="A7" s="151"/>
      <c r="B7" s="14">
        <v>0</v>
      </c>
      <c r="C7" s="13">
        <v>82</v>
      </c>
      <c r="D7" s="17">
        <v>0</v>
      </c>
      <c r="E7" s="17">
        <v>322</v>
      </c>
      <c r="F7" s="17">
        <v>63763</v>
      </c>
      <c r="G7" s="17">
        <v>240013</v>
      </c>
      <c r="H7" s="17">
        <v>260200</v>
      </c>
      <c r="I7" s="17">
        <v>653</v>
      </c>
      <c r="J7" s="17">
        <v>20099</v>
      </c>
      <c r="K7" s="13">
        <v>887</v>
      </c>
      <c r="L7" s="13">
        <v>148395</v>
      </c>
      <c r="M7" s="13">
        <v>256650</v>
      </c>
      <c r="N7" s="3"/>
      <c r="O7" s="17">
        <v>21268</v>
      </c>
      <c r="P7" s="13">
        <v>255082</v>
      </c>
      <c r="Q7" s="13">
        <v>0</v>
      </c>
      <c r="R7" s="17">
        <v>19149</v>
      </c>
      <c r="S7" s="17">
        <v>165511</v>
      </c>
      <c r="T7" s="17">
        <v>138637</v>
      </c>
      <c r="U7" s="17">
        <v>249723</v>
      </c>
      <c r="V7" s="17">
        <v>283818</v>
      </c>
      <c r="W7" s="17"/>
      <c r="X7" s="17"/>
      <c r="Y7" s="17"/>
      <c r="Z7" s="17"/>
      <c r="AA7" s="17"/>
      <c r="AB7" s="17"/>
      <c r="AC7" s="17"/>
      <c r="AD7" s="17"/>
      <c r="AE7" s="17"/>
      <c r="AF7" s="17"/>
      <c r="AG7" s="17"/>
      <c r="AH7" s="17"/>
      <c r="AI7" s="17"/>
      <c r="AJ7" s="17"/>
      <c r="AK7" s="17"/>
    </row>
    <row r="8" spans="1:37" ht="16.5" x14ac:dyDescent="0.25">
      <c r="A8" s="151"/>
      <c r="B8" s="14">
        <v>0</v>
      </c>
      <c r="C8" s="13">
        <v>0</v>
      </c>
      <c r="D8" s="17">
        <v>11307</v>
      </c>
      <c r="E8" s="17">
        <v>0</v>
      </c>
      <c r="F8" s="17">
        <v>0</v>
      </c>
      <c r="G8" s="17">
        <v>222169</v>
      </c>
      <c r="H8" s="17">
        <v>193671</v>
      </c>
      <c r="I8" s="17">
        <v>0</v>
      </c>
      <c r="J8" s="17">
        <v>2618</v>
      </c>
      <c r="K8" s="13">
        <v>0</v>
      </c>
      <c r="L8" s="13">
        <v>138150</v>
      </c>
      <c r="M8" s="13">
        <v>298258</v>
      </c>
      <c r="N8" s="3"/>
      <c r="O8" s="17">
        <v>97611</v>
      </c>
      <c r="P8" s="13">
        <v>172537</v>
      </c>
      <c r="Q8" s="13">
        <v>4342</v>
      </c>
      <c r="R8" s="17">
        <v>204375</v>
      </c>
      <c r="S8" s="17">
        <v>33386</v>
      </c>
      <c r="T8" s="17">
        <v>144010</v>
      </c>
      <c r="U8" s="17">
        <v>194737</v>
      </c>
      <c r="V8" s="17">
        <v>273299</v>
      </c>
      <c r="W8" s="17"/>
      <c r="X8" s="17"/>
      <c r="Y8" s="17"/>
      <c r="Z8" s="17"/>
      <c r="AA8" s="17"/>
      <c r="AB8" s="17"/>
      <c r="AC8" s="17"/>
      <c r="AD8" s="17"/>
      <c r="AE8" s="17"/>
      <c r="AF8" s="17"/>
      <c r="AG8" s="17"/>
      <c r="AH8" s="17"/>
      <c r="AI8" s="17"/>
      <c r="AJ8" s="17"/>
      <c r="AK8" s="17"/>
    </row>
    <row r="9" spans="1:37" ht="16.5" x14ac:dyDescent="0.25">
      <c r="A9" s="151"/>
      <c r="B9" s="14">
        <v>0</v>
      </c>
      <c r="C9" s="13">
        <v>81</v>
      </c>
      <c r="D9" s="17">
        <v>0</v>
      </c>
      <c r="E9" s="17">
        <v>255</v>
      </c>
      <c r="F9" s="17">
        <v>182835</v>
      </c>
      <c r="G9" s="17">
        <v>116056</v>
      </c>
      <c r="H9" s="17">
        <v>340831</v>
      </c>
      <c r="I9" s="17">
        <v>3129</v>
      </c>
      <c r="J9" s="17">
        <v>2242</v>
      </c>
      <c r="K9" s="13">
        <v>21326</v>
      </c>
      <c r="L9" s="13">
        <v>154391</v>
      </c>
      <c r="M9" s="13">
        <v>345179</v>
      </c>
      <c r="N9" s="3"/>
      <c r="O9" s="17">
        <v>238539</v>
      </c>
      <c r="P9" s="13">
        <v>194599</v>
      </c>
      <c r="Q9" s="13">
        <v>0</v>
      </c>
      <c r="R9" s="17">
        <v>155330</v>
      </c>
      <c r="S9" s="17">
        <v>164680</v>
      </c>
      <c r="T9" s="17">
        <v>174878</v>
      </c>
      <c r="U9" s="17">
        <v>4672</v>
      </c>
      <c r="V9" s="17">
        <v>293084</v>
      </c>
      <c r="W9" s="17"/>
      <c r="X9" s="17"/>
      <c r="Y9" s="17"/>
      <c r="Z9" s="17"/>
      <c r="AA9" s="17"/>
      <c r="AB9" s="17"/>
      <c r="AC9" s="17"/>
      <c r="AD9" s="17"/>
      <c r="AE9" s="17"/>
      <c r="AF9" s="17"/>
      <c r="AG9" s="17"/>
      <c r="AH9" s="17"/>
      <c r="AI9" s="17"/>
      <c r="AJ9" s="17"/>
      <c r="AK9" s="17"/>
    </row>
    <row r="10" spans="1:37" ht="16.5" x14ac:dyDescent="0.25">
      <c r="A10" s="151"/>
      <c r="B10" s="14">
        <v>4412</v>
      </c>
      <c r="C10" s="13">
        <v>0</v>
      </c>
      <c r="D10" s="17">
        <v>0</v>
      </c>
      <c r="E10" s="17">
        <v>249333</v>
      </c>
      <c r="F10" s="17">
        <v>71495</v>
      </c>
      <c r="G10" s="17">
        <v>134293</v>
      </c>
      <c r="H10" s="17">
        <v>204993</v>
      </c>
      <c r="I10" s="17">
        <v>0</v>
      </c>
      <c r="J10" s="17">
        <v>1318</v>
      </c>
      <c r="K10" s="13">
        <v>0</v>
      </c>
      <c r="L10" s="13">
        <v>135729</v>
      </c>
      <c r="M10" s="13">
        <v>229667</v>
      </c>
      <c r="N10" s="3"/>
      <c r="O10" s="17">
        <v>136199</v>
      </c>
      <c r="P10" s="13">
        <v>206544</v>
      </c>
      <c r="Q10" s="13">
        <v>819</v>
      </c>
      <c r="R10" s="17">
        <v>35124</v>
      </c>
      <c r="S10" s="17">
        <v>159169</v>
      </c>
      <c r="T10" s="17">
        <v>324004</v>
      </c>
      <c r="U10" s="17">
        <v>199586</v>
      </c>
      <c r="V10" s="17">
        <v>304129</v>
      </c>
      <c r="W10" s="17"/>
      <c r="X10" s="17"/>
      <c r="Y10" s="17"/>
      <c r="Z10" s="17"/>
      <c r="AA10" s="17"/>
      <c r="AB10" s="17"/>
      <c r="AC10" s="17"/>
      <c r="AD10" s="17"/>
      <c r="AE10" s="17"/>
      <c r="AF10" s="17"/>
      <c r="AG10" s="17"/>
      <c r="AH10" s="17"/>
      <c r="AI10" s="17"/>
      <c r="AJ10" s="17"/>
      <c r="AK10" s="17"/>
    </row>
    <row r="11" spans="1:37" ht="16.5" x14ac:dyDescent="0.25">
      <c r="A11" s="151"/>
      <c r="B11" s="14">
        <v>0</v>
      </c>
      <c r="C11" s="13">
        <v>0</v>
      </c>
      <c r="D11" s="17">
        <v>5836</v>
      </c>
      <c r="E11" s="17">
        <v>80</v>
      </c>
      <c r="F11" s="17">
        <v>3967</v>
      </c>
      <c r="G11" s="17">
        <v>218940</v>
      </c>
      <c r="H11" s="17">
        <v>276626</v>
      </c>
      <c r="I11" s="17">
        <v>0</v>
      </c>
      <c r="J11" s="17">
        <v>3356</v>
      </c>
      <c r="K11" s="13">
        <v>0</v>
      </c>
      <c r="L11" s="13">
        <v>140625</v>
      </c>
      <c r="M11" s="13">
        <v>249650</v>
      </c>
      <c r="N11" s="3"/>
      <c r="O11" s="17">
        <v>154618</v>
      </c>
      <c r="P11" s="13">
        <v>124267</v>
      </c>
      <c r="Q11" s="13">
        <v>0</v>
      </c>
      <c r="R11" s="17">
        <v>213379</v>
      </c>
      <c r="S11" s="17">
        <v>195638</v>
      </c>
      <c r="T11" s="17">
        <v>64642</v>
      </c>
      <c r="U11" s="17">
        <v>108143</v>
      </c>
      <c r="V11" s="17">
        <v>232228</v>
      </c>
      <c r="W11" s="17"/>
      <c r="X11" s="17"/>
      <c r="Y11" s="17"/>
      <c r="Z11" s="17"/>
      <c r="AA11" s="17"/>
      <c r="AB11" s="17"/>
      <c r="AC11" s="17"/>
      <c r="AD11" s="17"/>
      <c r="AE11" s="17"/>
      <c r="AF11" s="17"/>
      <c r="AG11" s="17"/>
      <c r="AH11" s="17"/>
      <c r="AI11" s="17"/>
      <c r="AJ11" s="17"/>
      <c r="AK11" s="17"/>
    </row>
    <row r="12" spans="1:37" ht="16.5" x14ac:dyDescent="0.25">
      <c r="A12" s="151"/>
      <c r="B12" s="14">
        <v>1237</v>
      </c>
      <c r="C12" s="13">
        <v>15885</v>
      </c>
      <c r="D12" s="17">
        <v>0</v>
      </c>
      <c r="E12" s="17">
        <v>246730</v>
      </c>
      <c r="F12" s="17">
        <v>0</v>
      </c>
      <c r="G12" s="17">
        <v>147158</v>
      </c>
      <c r="H12" s="17">
        <v>306586</v>
      </c>
      <c r="I12" s="17">
        <v>0</v>
      </c>
      <c r="J12" s="17"/>
      <c r="K12" s="13">
        <v>3050</v>
      </c>
      <c r="L12" s="13">
        <v>141676</v>
      </c>
      <c r="M12" s="13">
        <v>355647</v>
      </c>
      <c r="N12" s="3"/>
      <c r="O12" s="17">
        <v>189521</v>
      </c>
      <c r="P12" s="13">
        <v>186430</v>
      </c>
      <c r="Q12" s="13">
        <v>0</v>
      </c>
      <c r="R12" s="17">
        <v>139824</v>
      </c>
      <c r="S12" s="17">
        <v>0</v>
      </c>
      <c r="T12" s="17">
        <v>340332</v>
      </c>
      <c r="U12" s="17">
        <v>309259</v>
      </c>
      <c r="V12" s="17">
        <v>258983</v>
      </c>
      <c r="W12" s="17"/>
      <c r="X12" s="17"/>
      <c r="Y12" s="17"/>
      <c r="Z12" s="17"/>
      <c r="AA12" s="17"/>
      <c r="AB12" s="17"/>
      <c r="AC12" s="17"/>
      <c r="AD12" s="17"/>
      <c r="AE12" s="17"/>
      <c r="AF12" s="17"/>
      <c r="AG12" s="17"/>
      <c r="AH12" s="17"/>
      <c r="AI12" s="17"/>
      <c r="AJ12" s="17"/>
      <c r="AK12" s="17"/>
    </row>
    <row r="13" spans="1:37" ht="16.5" x14ac:dyDescent="0.25">
      <c r="A13" s="151"/>
      <c r="B13" s="14"/>
      <c r="C13" s="13"/>
      <c r="D13" s="17"/>
      <c r="E13" s="17"/>
      <c r="F13" s="17"/>
      <c r="G13" s="17"/>
      <c r="H13" s="17"/>
      <c r="I13" s="17"/>
      <c r="J13" s="17"/>
      <c r="K13" s="13"/>
      <c r="L13" s="13"/>
      <c r="M13" s="13"/>
      <c r="N13" s="3"/>
      <c r="O13" s="17">
        <v>93987</v>
      </c>
      <c r="P13" s="13"/>
      <c r="Q13" s="13"/>
      <c r="R13" s="17"/>
      <c r="S13" s="17"/>
      <c r="T13" s="17"/>
      <c r="U13" s="17"/>
      <c r="V13" s="17"/>
      <c r="W13" s="17"/>
      <c r="X13" s="17"/>
      <c r="Y13" s="17"/>
      <c r="Z13" s="17"/>
      <c r="AA13" s="17"/>
      <c r="AB13" s="17"/>
      <c r="AC13" s="17"/>
      <c r="AD13" s="17"/>
      <c r="AE13" s="17"/>
      <c r="AF13" s="17"/>
      <c r="AG13" s="17"/>
      <c r="AH13" s="17"/>
      <c r="AI13" s="17"/>
      <c r="AJ13" s="17"/>
      <c r="AK13" s="17"/>
    </row>
    <row r="14" spans="1:37" ht="16.5" x14ac:dyDescent="0.25">
      <c r="A14" s="151"/>
      <c r="B14" s="14"/>
      <c r="C14" s="17"/>
      <c r="D14" s="17"/>
      <c r="E14" s="17"/>
      <c r="F14" s="17"/>
      <c r="G14" s="17"/>
      <c r="H14" s="17"/>
      <c r="I14" s="17"/>
      <c r="J14" s="17"/>
      <c r="K14" s="13"/>
      <c r="L14" s="13"/>
      <c r="M14" s="13"/>
      <c r="N14" s="3"/>
      <c r="O14" s="17">
        <v>125914</v>
      </c>
      <c r="P14" s="13"/>
      <c r="Q14" s="13"/>
      <c r="R14" s="17"/>
      <c r="S14" s="17"/>
      <c r="T14" s="17"/>
      <c r="U14" s="17"/>
      <c r="V14" s="17"/>
      <c r="W14" s="17"/>
      <c r="X14" s="17"/>
      <c r="Y14" s="17"/>
      <c r="Z14" s="17"/>
      <c r="AA14" s="17"/>
      <c r="AB14" s="17"/>
      <c r="AC14" s="17"/>
      <c r="AD14" s="17"/>
      <c r="AE14" s="17"/>
      <c r="AF14" s="17"/>
      <c r="AG14" s="17"/>
      <c r="AH14" s="17"/>
      <c r="AI14" s="17"/>
      <c r="AJ14" s="17"/>
      <c r="AK14" s="17"/>
    </row>
    <row r="15" spans="1:37" ht="16.5" x14ac:dyDescent="0.25">
      <c r="A15" s="151"/>
      <c r="B15" s="14"/>
      <c r="C15" s="17"/>
      <c r="D15" s="17"/>
      <c r="E15" s="17"/>
      <c r="F15" s="17"/>
      <c r="G15" s="17"/>
      <c r="H15" s="17"/>
      <c r="I15" s="17"/>
      <c r="J15" s="17"/>
      <c r="K15" s="13"/>
      <c r="L15" s="13"/>
      <c r="M15" s="13"/>
      <c r="N15" s="3"/>
      <c r="O15" s="17">
        <v>0</v>
      </c>
      <c r="P15" s="13"/>
      <c r="Q15" s="13"/>
      <c r="R15" s="17"/>
      <c r="S15" s="17"/>
      <c r="T15" s="17"/>
      <c r="U15" s="17"/>
      <c r="V15" s="17"/>
      <c r="W15" s="17"/>
      <c r="X15" s="17"/>
      <c r="Y15" s="17"/>
      <c r="Z15" s="17"/>
      <c r="AA15" s="17"/>
      <c r="AB15" s="17"/>
      <c r="AC15" s="17"/>
      <c r="AD15" s="17"/>
      <c r="AE15" s="17"/>
      <c r="AF15" s="17"/>
      <c r="AG15" s="17"/>
      <c r="AH15" s="17"/>
      <c r="AI15" s="17"/>
      <c r="AJ15" s="17"/>
      <c r="AK15" s="17"/>
    </row>
    <row r="16" spans="1:37" ht="16.5" x14ac:dyDescent="0.25">
      <c r="A16" s="151"/>
      <c r="B16" s="14"/>
      <c r="C16" s="17"/>
      <c r="D16" s="17"/>
      <c r="E16" s="17"/>
      <c r="F16" s="17"/>
      <c r="G16" s="17"/>
      <c r="H16" s="17"/>
      <c r="I16" s="17"/>
      <c r="J16" s="17"/>
      <c r="K16" s="13"/>
      <c r="L16" s="13"/>
      <c r="M16" s="13"/>
      <c r="N16" s="3"/>
      <c r="O16" s="17">
        <v>209100</v>
      </c>
      <c r="P16" s="13"/>
      <c r="Q16" s="13"/>
      <c r="R16" s="17"/>
      <c r="S16" s="17"/>
      <c r="T16" s="17"/>
      <c r="U16" s="17"/>
      <c r="V16" s="17"/>
      <c r="W16" s="17"/>
      <c r="X16" s="17"/>
      <c r="Y16" s="17"/>
      <c r="Z16" s="17"/>
      <c r="AA16" s="17"/>
      <c r="AB16" s="17"/>
      <c r="AC16" s="17"/>
      <c r="AD16" s="17"/>
      <c r="AE16" s="17"/>
      <c r="AF16" s="17"/>
      <c r="AG16" s="17"/>
      <c r="AH16" s="17"/>
      <c r="AI16" s="17"/>
      <c r="AJ16" s="17"/>
      <c r="AK16" s="17"/>
    </row>
    <row r="17" spans="1:37" ht="16.5" x14ac:dyDescent="0.25">
      <c r="A17" s="151"/>
      <c r="B17" s="14"/>
      <c r="C17" s="17"/>
      <c r="D17" s="17"/>
      <c r="E17" s="17"/>
      <c r="F17" s="17"/>
      <c r="G17" s="17"/>
      <c r="H17" s="17"/>
      <c r="I17" s="17"/>
      <c r="J17" s="17"/>
      <c r="K17" s="13"/>
      <c r="L17" s="13"/>
      <c r="M17" s="13"/>
      <c r="N17" s="3"/>
      <c r="O17" s="17">
        <v>68435</v>
      </c>
      <c r="P17" s="13"/>
      <c r="Q17" s="13"/>
      <c r="R17" s="17"/>
      <c r="S17" s="17"/>
      <c r="T17" s="17"/>
      <c r="U17" s="17"/>
      <c r="V17" s="17"/>
      <c r="W17" s="17"/>
      <c r="X17" s="17"/>
      <c r="Y17" s="17"/>
      <c r="Z17" s="17"/>
      <c r="AA17" s="17"/>
      <c r="AB17" s="17"/>
      <c r="AC17" s="17"/>
      <c r="AD17" s="17"/>
      <c r="AE17" s="17"/>
      <c r="AF17" s="17"/>
      <c r="AG17" s="17"/>
      <c r="AH17" s="17"/>
      <c r="AI17" s="17"/>
      <c r="AJ17" s="17"/>
      <c r="AK17" s="17"/>
    </row>
    <row r="18" spans="1:37" ht="16.5" x14ac:dyDescent="0.25">
      <c r="A18" s="151"/>
      <c r="B18" s="14"/>
      <c r="C18" s="17"/>
      <c r="D18" s="17"/>
      <c r="E18" s="17"/>
      <c r="F18" s="17"/>
      <c r="G18" s="17"/>
      <c r="H18" s="17"/>
      <c r="I18" s="17"/>
      <c r="J18" s="17"/>
      <c r="K18" s="13"/>
      <c r="L18" s="13"/>
      <c r="M18" s="13"/>
      <c r="N18" s="3"/>
      <c r="O18" s="17">
        <v>170717</v>
      </c>
      <c r="P18" s="13"/>
      <c r="Q18" s="13"/>
      <c r="R18" s="17"/>
      <c r="S18" s="17"/>
      <c r="T18" s="17"/>
      <c r="U18" s="17"/>
      <c r="V18" s="17"/>
      <c r="W18" s="17"/>
      <c r="X18" s="17"/>
      <c r="Y18" s="17"/>
      <c r="Z18" s="17"/>
      <c r="AA18" s="17"/>
      <c r="AB18" s="17"/>
      <c r="AC18" s="17"/>
      <c r="AD18" s="17"/>
      <c r="AE18" s="17"/>
      <c r="AF18" s="17"/>
      <c r="AG18" s="17"/>
      <c r="AH18" s="17"/>
      <c r="AI18" s="17"/>
      <c r="AJ18" s="17"/>
      <c r="AK18" s="17"/>
    </row>
    <row r="19" spans="1:37" ht="16.5" x14ac:dyDescent="0.25">
      <c r="A19" s="151"/>
      <c r="B19" s="14"/>
      <c r="C19" s="17"/>
      <c r="D19" s="17"/>
      <c r="E19" s="17"/>
      <c r="F19" s="17"/>
      <c r="G19" s="17"/>
      <c r="H19" s="17"/>
      <c r="I19" s="17"/>
      <c r="J19" s="17"/>
      <c r="K19" s="13"/>
      <c r="L19" s="13"/>
      <c r="M19" s="13"/>
      <c r="N19" s="3"/>
      <c r="O19" s="17">
        <v>189227</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1"/>
      <c r="B20" s="14"/>
      <c r="C20" s="17"/>
      <c r="D20" s="17"/>
      <c r="E20" s="17"/>
      <c r="F20" s="17"/>
      <c r="G20" s="17"/>
      <c r="H20" s="17"/>
      <c r="I20" s="17"/>
      <c r="J20" s="17"/>
      <c r="K20" s="13"/>
      <c r="L20" s="13"/>
      <c r="M20" s="13"/>
      <c r="N20" s="3"/>
      <c r="O20" s="17">
        <v>152068</v>
      </c>
      <c r="P20" s="13"/>
      <c r="Q20" s="13"/>
      <c r="R20" s="17"/>
      <c r="S20" s="17"/>
      <c r="T20" s="17"/>
      <c r="U20" s="17"/>
      <c r="V20" s="17"/>
      <c r="W20" s="17"/>
      <c r="X20" s="17"/>
      <c r="Y20" s="17"/>
      <c r="Z20" s="17"/>
      <c r="AA20" s="17"/>
      <c r="AB20" s="17"/>
      <c r="AC20" s="17"/>
      <c r="AD20" s="17"/>
      <c r="AE20" s="17"/>
      <c r="AF20" s="17"/>
      <c r="AG20" s="17"/>
      <c r="AH20" s="17"/>
      <c r="AI20" s="17"/>
      <c r="AJ20" s="17"/>
      <c r="AK20" s="17"/>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D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Estradiol-34ng/L</v>
      </c>
      <c r="J22" s="3" t="str">
        <f t="shared" si="0"/>
        <v>Estradiol-68ng/L</v>
      </c>
      <c r="K22" s="3" t="str">
        <f t="shared" si="0"/>
        <v>Estradiol-135ng/L</v>
      </c>
      <c r="L22" s="3" t="str">
        <f t="shared" si="0"/>
        <v>Estradiol-270ng/L</v>
      </c>
      <c r="M22" s="3" t="str">
        <f t="shared" si="0"/>
        <v>Estradiol-540ng/L</v>
      </c>
      <c r="N22" s="3" t="s">
        <v>22</v>
      </c>
      <c r="O22" s="3" t="str">
        <f t="shared" si="0"/>
        <v>Testo -30µg/L</v>
      </c>
      <c r="P22" s="3" t="str">
        <f t="shared" si="0"/>
        <v>Testo 30µg/L + EE2 -64ng/L</v>
      </c>
      <c r="Q22" s="3" t="str">
        <f t="shared" si="0"/>
        <v>Testo 30µg/L + FAD-10mg/L</v>
      </c>
      <c r="R22" s="3" t="str">
        <f t="shared" si="0"/>
        <v>Estradiol-34ng/L + Testostérone</v>
      </c>
      <c r="S22" s="3" t="str">
        <f t="shared" si="0"/>
        <v>Estradiol-68ng/L + Testostérone</v>
      </c>
      <c r="T22" s="3" t="str">
        <f t="shared" si="0"/>
        <v>Estradiol-135ng/L + Testostérone</v>
      </c>
      <c r="U22" s="3" t="str">
        <f t="shared" si="0"/>
        <v>Estradiol-270ng/L + Testostérone</v>
      </c>
      <c r="V22" s="3" t="str">
        <f t="shared" si="0"/>
        <v>Estradiol-540ng/L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ref="AE22:AK22" si="1">AE4</f>
        <v>0-00 + Testostérone</v>
      </c>
      <c r="AF22" s="3" t="str">
        <f t="shared" si="1"/>
        <v>0-00 + Testostérone</v>
      </c>
      <c r="AG22" s="3" t="str">
        <f t="shared" si="1"/>
        <v>0-00 + Testostérone</v>
      </c>
      <c r="AH22" s="3" t="str">
        <f t="shared" si="1"/>
        <v>0-00 + Testostérone</v>
      </c>
      <c r="AI22" s="3" t="str">
        <f t="shared" si="1"/>
        <v>0-00 + Testostérone</v>
      </c>
      <c r="AJ22" s="3" t="str">
        <f t="shared" si="1"/>
        <v>0-00 + Testostérone</v>
      </c>
      <c r="AK22" s="3" t="str">
        <f t="shared" si="1"/>
        <v>0-00 + Testostérone</v>
      </c>
    </row>
    <row r="23" spans="1:37" x14ac:dyDescent="0.25">
      <c r="A23" s="5" t="s">
        <v>0</v>
      </c>
      <c r="B23" s="5">
        <f t="shared" ref="B23:J23" si="2">AVERAGE(B5:B20)</f>
        <v>757.75</v>
      </c>
      <c r="C23" s="5">
        <f t="shared" si="2"/>
        <v>2056.25</v>
      </c>
      <c r="D23" s="5">
        <f t="shared" si="2"/>
        <v>2142.875</v>
      </c>
      <c r="E23" s="5">
        <f t="shared" si="2"/>
        <v>62090</v>
      </c>
      <c r="F23" s="5">
        <f t="shared" si="2"/>
        <v>56371.5</v>
      </c>
      <c r="G23" s="5">
        <f t="shared" si="2"/>
        <v>188795.25</v>
      </c>
      <c r="H23" s="5">
        <f t="shared" si="2"/>
        <v>253324.75</v>
      </c>
      <c r="I23" s="5">
        <f t="shared" si="2"/>
        <v>472.75</v>
      </c>
      <c r="J23" s="5">
        <f t="shared" si="2"/>
        <v>4233.2857142857147</v>
      </c>
      <c r="K23" s="5"/>
      <c r="L23" s="5">
        <f>AVERAGE(L5:L20)</f>
        <v>137675.75</v>
      </c>
      <c r="M23" s="5">
        <f>AVERAGE(M5:M20)</f>
        <v>281393</v>
      </c>
      <c r="N23" s="5" t="s">
        <v>0</v>
      </c>
      <c r="O23" s="5">
        <f>AVERAGE(O5:O20)</f>
        <v>122365.4375</v>
      </c>
      <c r="P23" s="5">
        <f>AVERAGE(P5:P20)</f>
        <v>202654.5</v>
      </c>
      <c r="Q23" s="5">
        <f>AVERAGE(Q5:Q20)</f>
        <v>645.125</v>
      </c>
      <c r="R23" s="5">
        <f>AVERAGE(R5:R20)</f>
        <v>141765.625</v>
      </c>
      <c r="S23" s="5">
        <f>AVERAGE(S5:S20)</f>
        <v>107531.125</v>
      </c>
      <c r="T23" s="5">
        <f t="shared" ref="T23:AD23" si="3">AVERAGE(T5:T20)</f>
        <v>174099.375</v>
      </c>
      <c r="U23" s="5">
        <f t="shared" si="3"/>
        <v>196520.75</v>
      </c>
      <c r="V23" s="5">
        <f t="shared" si="3"/>
        <v>280282.375</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ref="AE23:AK23" si="4">AVERAGE(AE5:AE20)</f>
        <v>#DIV/0!</v>
      </c>
      <c r="AF23" s="5" t="e">
        <f t="shared" si="4"/>
        <v>#DIV/0!</v>
      </c>
      <c r="AG23" s="5" t="e">
        <f t="shared" si="4"/>
        <v>#DIV/0!</v>
      </c>
      <c r="AH23" s="5" t="e">
        <f t="shared" si="4"/>
        <v>#DIV/0!</v>
      </c>
      <c r="AI23" s="5" t="e">
        <f t="shared" si="4"/>
        <v>#DIV/0!</v>
      </c>
      <c r="AJ23" s="5" t="e">
        <f t="shared" si="4"/>
        <v>#DIV/0!</v>
      </c>
      <c r="AK23" s="5" t="e">
        <f t="shared" si="4"/>
        <v>#DIV/0!</v>
      </c>
    </row>
    <row r="24" spans="1:37" x14ac:dyDescent="0.25">
      <c r="A24" s="3" t="s">
        <v>1</v>
      </c>
      <c r="B24" s="3">
        <f t="shared" ref="B24:J24" si="5">STDEV(B5:B20)</f>
        <v>1538.6915359672134</v>
      </c>
      <c r="C24" s="3">
        <f t="shared" si="5"/>
        <v>5589.311246860897</v>
      </c>
      <c r="D24" s="3">
        <f t="shared" si="5"/>
        <v>4228.6748832059839</v>
      </c>
      <c r="E24" s="3">
        <f t="shared" si="5"/>
        <v>114767.75810180439</v>
      </c>
      <c r="F24" s="3">
        <f t="shared" si="5"/>
        <v>69284.660982273504</v>
      </c>
      <c r="G24" s="3">
        <f t="shared" si="5"/>
        <v>55022.193760466202</v>
      </c>
      <c r="H24" s="3">
        <f t="shared" si="5"/>
        <v>62551.14568266744</v>
      </c>
      <c r="I24" s="3">
        <f t="shared" si="5"/>
        <v>1097.3415603174792</v>
      </c>
      <c r="J24" s="3">
        <f t="shared" si="5"/>
        <v>7111.0851659992968</v>
      </c>
      <c r="K24" s="3"/>
      <c r="L24" s="3">
        <f>STDEV(L5:L20)</f>
        <v>52496.985349500916</v>
      </c>
      <c r="M24" s="3">
        <f>STDEV(M5:M20)</f>
        <v>59053.733821712864</v>
      </c>
      <c r="N24" s="3" t="s">
        <v>1</v>
      </c>
      <c r="O24" s="3">
        <f>STDEV(O5:O20)</f>
        <v>72615.489807587423</v>
      </c>
      <c r="P24" s="3">
        <f>STDEV(P5:P20)</f>
        <v>43577.583395266753</v>
      </c>
      <c r="Q24" s="3">
        <f>STDEV(Q5:Q20)</f>
        <v>1521.0069444285914</v>
      </c>
      <c r="R24" s="3">
        <f>STDEV(R5:R20)</f>
        <v>75620.118292380183</v>
      </c>
      <c r="S24" s="3">
        <f>STDEV(S5:S20)</f>
        <v>80351.940590731407</v>
      </c>
      <c r="T24" s="3">
        <f t="shared" ref="T24:AD24" si="6">STDEV(T5:T20)</f>
        <v>103820.38307155778</v>
      </c>
      <c r="U24" s="3">
        <f t="shared" si="6"/>
        <v>98334.220771742097</v>
      </c>
      <c r="V24" s="3">
        <f t="shared" si="6"/>
        <v>24608.713827989002</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ref="AE24:AK24" si="7">STDEV(AE5:AE20)</f>
        <v>#DIV/0!</v>
      </c>
      <c r="AF24" s="3" t="e">
        <f t="shared" si="7"/>
        <v>#DIV/0!</v>
      </c>
      <c r="AG24" s="3" t="e">
        <f t="shared" si="7"/>
        <v>#DIV/0!</v>
      </c>
      <c r="AH24" s="3" t="e">
        <f t="shared" si="7"/>
        <v>#DIV/0!</v>
      </c>
      <c r="AI24" s="3" t="e">
        <f t="shared" si="7"/>
        <v>#DIV/0!</v>
      </c>
      <c r="AJ24" s="3" t="e">
        <f t="shared" si="7"/>
        <v>#DIV/0!</v>
      </c>
      <c r="AK24" s="3" t="e">
        <f t="shared" si="7"/>
        <v>#DIV/0!</v>
      </c>
    </row>
    <row r="25" spans="1:37" ht="15.75" thickBot="1" x14ac:dyDescent="0.3"/>
    <row r="26" spans="1:37" ht="15.75" thickBot="1" x14ac:dyDescent="0.3">
      <c r="B26" s="148" t="s">
        <v>6</v>
      </c>
      <c r="C26" s="149"/>
      <c r="D26" s="149"/>
      <c r="E26" s="149"/>
      <c r="F26" s="149"/>
      <c r="G26" s="149"/>
      <c r="H26" s="149"/>
      <c r="I26" s="149"/>
      <c r="J26" s="149"/>
      <c r="K26" s="149"/>
      <c r="L26" s="149"/>
      <c r="M26" s="149"/>
      <c r="O26" s="148" t="s">
        <v>3</v>
      </c>
      <c r="P26" s="149"/>
      <c r="Q26" s="149"/>
      <c r="R26" s="149"/>
      <c r="S26" s="149"/>
      <c r="T26" s="149"/>
      <c r="U26" s="149"/>
      <c r="V26" s="149"/>
      <c r="W26" s="149"/>
      <c r="X26" s="149"/>
      <c r="Y26" s="149"/>
      <c r="Z26" s="149"/>
      <c r="AA26" s="149"/>
      <c r="AB26" s="149"/>
      <c r="AC26" s="149"/>
      <c r="AD26" s="149"/>
      <c r="AE26" s="149"/>
      <c r="AF26" s="149"/>
      <c r="AG26" s="149"/>
      <c r="AH26" s="149"/>
      <c r="AI26" s="149"/>
      <c r="AJ26" s="149"/>
      <c r="AK26" s="150"/>
    </row>
    <row r="27" spans="1:37" x14ac:dyDescent="0.25">
      <c r="A27" s="19" t="s">
        <v>22</v>
      </c>
      <c r="B27" s="20" t="str">
        <f>B4</f>
        <v>Solvent control</v>
      </c>
      <c r="C27" s="20" t="str">
        <f t="shared" ref="C27:M27" si="8">C4</f>
        <v>EE2-33.8ng/L</v>
      </c>
      <c r="D27" s="20" t="str">
        <f t="shared" si="8"/>
        <v>EE2-50.6ng/L</v>
      </c>
      <c r="E27" s="20" t="str">
        <f t="shared" si="8"/>
        <v>EE2-76ng/L</v>
      </c>
      <c r="F27" s="20" t="str">
        <f t="shared" si="8"/>
        <v>EE2-114ng/L</v>
      </c>
      <c r="G27" s="20" t="str">
        <f t="shared" si="8"/>
        <v>EE2-170.9ng/L</v>
      </c>
      <c r="H27" s="20" t="str">
        <f t="shared" si="8"/>
        <v>EE2-488ng/L</v>
      </c>
      <c r="I27" s="20" t="str">
        <f t="shared" si="8"/>
        <v>Estradiol-34ng/L</v>
      </c>
      <c r="J27" s="20" t="str">
        <f t="shared" si="8"/>
        <v>Estradiol-68ng/L</v>
      </c>
      <c r="K27" s="20" t="str">
        <f t="shared" si="8"/>
        <v>Estradiol-135ng/L</v>
      </c>
      <c r="L27" s="20" t="str">
        <f t="shared" si="8"/>
        <v>Estradiol-270ng/L</v>
      </c>
      <c r="M27" s="20" t="str">
        <f t="shared" si="8"/>
        <v>Estradiol-540ng/L</v>
      </c>
      <c r="N27" s="3"/>
      <c r="O27" s="21" t="str">
        <f>O4</f>
        <v>Testo -30µg/L</v>
      </c>
      <c r="P27" s="21" t="str">
        <f t="shared" ref="P27:R27" si="9">P4</f>
        <v>Testo 30µg/L + EE2 -64ng/L</v>
      </c>
      <c r="Q27" s="21" t="str">
        <f t="shared" si="9"/>
        <v>Testo 30µg/L + FAD-10mg/L</v>
      </c>
      <c r="R27" s="21" t="str">
        <f t="shared" si="9"/>
        <v>Estradiol-34ng/L + Testostérone</v>
      </c>
      <c r="S27" s="21" t="str">
        <f t="shared" ref="S27:AK27" si="10">S4</f>
        <v>Estradiol-68ng/L + Testostérone</v>
      </c>
      <c r="T27" s="21" t="str">
        <f t="shared" si="10"/>
        <v>Estradiol-135ng/L + Testostérone</v>
      </c>
      <c r="U27" s="21" t="str">
        <f t="shared" si="10"/>
        <v>Estradiol-270ng/L + Testostérone</v>
      </c>
      <c r="V27" s="21" t="str">
        <f t="shared" si="10"/>
        <v>Estradiol-540ng/L + Testostérone</v>
      </c>
      <c r="W27" s="21" t="str">
        <f t="shared" si="10"/>
        <v>0-00 + Testostérone</v>
      </c>
      <c r="X27" s="21" t="str">
        <f t="shared" si="10"/>
        <v>0-00 + Testostérone</v>
      </c>
      <c r="Y27" s="21" t="str">
        <f t="shared" si="10"/>
        <v>0-00 + Testostérone</v>
      </c>
      <c r="Z27" s="21" t="str">
        <f t="shared" si="10"/>
        <v>0-00 + Testostérone</v>
      </c>
      <c r="AA27" s="21" t="str">
        <f t="shared" si="10"/>
        <v>0-00 + Testostérone</v>
      </c>
      <c r="AB27" s="21" t="str">
        <f t="shared" si="10"/>
        <v>0-00 + Testostérone</v>
      </c>
      <c r="AC27" s="21" t="str">
        <f t="shared" si="10"/>
        <v>0-00 + Testostérone</v>
      </c>
      <c r="AD27" s="21" t="str">
        <f t="shared" si="10"/>
        <v>0-00 + Testostérone</v>
      </c>
      <c r="AE27" s="21" t="str">
        <f t="shared" si="10"/>
        <v>0-00 + Testostérone</v>
      </c>
      <c r="AF27" s="21" t="str">
        <f t="shared" si="10"/>
        <v>0-00 + Testostérone</v>
      </c>
      <c r="AG27" s="21" t="str">
        <f t="shared" si="10"/>
        <v>0-00 + Testostérone</v>
      </c>
      <c r="AH27" s="21" t="str">
        <f t="shared" si="10"/>
        <v>0-00 + Testostérone</v>
      </c>
      <c r="AI27" s="21" t="str">
        <f t="shared" si="10"/>
        <v>0-00 + Testostérone</v>
      </c>
      <c r="AJ27" s="21" t="str">
        <f t="shared" si="10"/>
        <v>0-00 + Testostérone</v>
      </c>
      <c r="AK27" s="21" t="str">
        <f t="shared" si="10"/>
        <v>0-00 + Testostérone</v>
      </c>
    </row>
    <row r="28" spans="1:37" x14ac:dyDescent="0.25">
      <c r="A28" s="152" t="s">
        <v>17</v>
      </c>
      <c r="B28" s="11">
        <f>IF(B5="","",(B5/$O$23))</f>
        <v>0</v>
      </c>
      <c r="C28" s="11">
        <f>IF(C5="","",(C5/$O$23))</f>
        <v>0</v>
      </c>
      <c r="D28" s="11">
        <f>IF(D5="","",(D5/$O$23))</f>
        <v>0</v>
      </c>
      <c r="E28" s="11">
        <f>IF(E5="","",(E5/$O$23))</f>
        <v>0</v>
      </c>
      <c r="F28" s="11">
        <f>IF(F5="","",(F5/$O$23))</f>
        <v>6.8728557440903195E-3</v>
      </c>
      <c r="G28" s="11">
        <f>IF(G5="","",(G5/$O$23))</f>
        <v>1.3520239324114705</v>
      </c>
      <c r="H28" s="11">
        <f>IF(H5="","",(H5/$O$23))</f>
        <v>1.2824781507441592</v>
      </c>
      <c r="I28" s="11">
        <f>IF(I5="","",(I5/$O$23))</f>
        <v>0</v>
      </c>
      <c r="J28" s="11">
        <f>IF(J5="","",(J5/$O$23))</f>
        <v>0</v>
      </c>
      <c r="K28" s="11">
        <f>IF(K5="","",(K5/$O$23))</f>
        <v>2.7319805888815621E-2</v>
      </c>
      <c r="L28" s="11">
        <f>IF(L5="","",(L5/$O$23))</f>
        <v>0.20834314428042641</v>
      </c>
      <c r="M28" s="11">
        <f>IF(M5="","",(M5/$O$23))</f>
        <v>2.6618545780135014</v>
      </c>
      <c r="N28" s="6"/>
      <c r="O28" s="11">
        <f t="shared" ref="O28:S37" si="11">IF(O5="","",(O5/$O$23))</f>
        <v>0</v>
      </c>
      <c r="P28" s="11">
        <f t="shared" si="11"/>
        <v>1.8817650204535901</v>
      </c>
      <c r="Q28" s="11">
        <f t="shared" si="11"/>
        <v>0</v>
      </c>
      <c r="R28" s="11">
        <f t="shared" si="11"/>
        <v>1.3253905948728373</v>
      </c>
      <c r="S28" s="11">
        <f t="shared" si="11"/>
        <v>1.1092593037147438</v>
      </c>
      <c r="T28" s="11">
        <f t="shared" ref="T28:AK28" si="12">IF(T5="","",(T5/$O$23))</f>
        <v>0.6484429069278651</v>
      </c>
      <c r="U28" s="11">
        <f t="shared" si="12"/>
        <v>2.2622564480268377</v>
      </c>
      <c r="V28" s="11">
        <f t="shared" si="12"/>
        <v>2.4071993368225404</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152"/>
      <c r="B29" s="11">
        <f>IF(B6="","",(B6/$O$23))</f>
        <v>3.3751360550645683E-3</v>
      </c>
      <c r="C29" s="11">
        <f>IF(C6="","",(C6/$O$23))</f>
        <v>3.2852413901597009E-3</v>
      </c>
      <c r="D29" s="11">
        <f>IF(D6="","",(D6/$O$23))</f>
        <v>0</v>
      </c>
      <c r="E29" s="11">
        <f>IF(E6="","",(E6/$O$23))</f>
        <v>0</v>
      </c>
      <c r="F29" s="11">
        <f>IF(F6="","",(F6/$O$23))</f>
        <v>1.0466272390028435</v>
      </c>
      <c r="G29" s="11">
        <f>IF(G6="","",(G6/$O$23))</f>
        <v>2.1762027369860872</v>
      </c>
      <c r="H29" s="11">
        <f>IF(H6="","",(H6/$O$23))</f>
        <v>2.3434721916472534</v>
      </c>
      <c r="I29" s="11">
        <f>IF(I6="","",(I6/$O$23))</f>
        <v>0</v>
      </c>
      <c r="J29" s="11">
        <f>IF(J6="","",(J6/$O$23))</f>
        <v>0</v>
      </c>
      <c r="K29" s="11">
        <f>IF(K6="","",(K6/$O$23))</f>
        <v>0.32417650613148014</v>
      </c>
      <c r="L29" s="11">
        <f>IF(L6="","",(L6/$O$23))</f>
        <v>1.772935270222852</v>
      </c>
      <c r="M29" s="11">
        <f>IF(M6="","",(M6/$O$23))</f>
        <v>1.5557824487817484</v>
      </c>
      <c r="N29" s="6"/>
      <c r="O29" s="11">
        <f t="shared" si="11"/>
        <v>0.90420140082447709</v>
      </c>
      <c r="P29" s="11">
        <f t="shared" si="11"/>
        <v>2.05543334080753</v>
      </c>
      <c r="Q29" s="11">
        <f t="shared" si="11"/>
        <v>0</v>
      </c>
      <c r="R29" s="11">
        <f t="shared" si="11"/>
        <v>1.6733646704773151</v>
      </c>
      <c r="S29" s="11">
        <f t="shared" si="11"/>
        <v>5.0095845078803401E-2</v>
      </c>
      <c r="T29" s="11">
        <f t="shared" ref="T29:AK29" si="13">IF(T6="","",(T6/$O$23))</f>
        <v>1.0374252942134907</v>
      </c>
      <c r="U29" s="11">
        <f t="shared" si="13"/>
        <v>1.8732740607412122</v>
      </c>
      <c r="V29" s="11">
        <f t="shared" si="13"/>
        <v>2.4693247225140675</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152"/>
      <c r="B30" s="11">
        <f>IF(B7="","",(B7/$O$23))</f>
        <v>0</v>
      </c>
      <c r="C30" s="11">
        <f>IF(C7="","",(C7/$O$23))</f>
        <v>6.7012386565446641E-4</v>
      </c>
      <c r="D30" s="11">
        <f>IF(D7="","",(D7/$O$23))</f>
        <v>0</v>
      </c>
      <c r="E30" s="11">
        <f>IF(E7="","",(E7/$O$23))</f>
        <v>2.6314620090333923E-3</v>
      </c>
      <c r="F30" s="11">
        <f>IF(F7="","",(F7/$O$23))</f>
        <v>0.52108668348446019</v>
      </c>
      <c r="G30" s="11">
        <f>IF(G7="","",(G7/$O$23))</f>
        <v>1.961444382528359</v>
      </c>
      <c r="H30" s="11">
        <f>IF(H7="","",(H7/$O$23))</f>
        <v>2.1264174371133189</v>
      </c>
      <c r="I30" s="11">
        <f>IF(I7="","",(I7/$O$23))</f>
        <v>5.3364741984434942E-3</v>
      </c>
      <c r="J30" s="11">
        <f>IF(J7="","",(J7/$O$23))</f>
        <v>0.16425389726572096</v>
      </c>
      <c r="K30" s="11">
        <f>IF(K7="","",(K7/$O$23))</f>
        <v>7.2487788882379467E-3</v>
      </c>
      <c r="L30" s="11">
        <f>IF(L7="","",(L7/$O$23))</f>
        <v>1.2127198907779821</v>
      </c>
      <c r="M30" s="11">
        <f>IF(M7="","",(M7/$O$23))</f>
        <v>2.0974059770758391</v>
      </c>
      <c r="N30" s="6"/>
      <c r="O30" s="11">
        <f t="shared" si="11"/>
        <v>0.17380724847242915</v>
      </c>
      <c r="P30" s="11">
        <f t="shared" si="11"/>
        <v>2.0845919012057634</v>
      </c>
      <c r="Q30" s="11">
        <f t="shared" si="11"/>
        <v>0</v>
      </c>
      <c r="R30" s="11">
        <f t="shared" si="11"/>
        <v>0.15649026711484607</v>
      </c>
      <c r="S30" s="11">
        <f t="shared" si="11"/>
        <v>1.352595989369956</v>
      </c>
      <c r="T30" s="11">
        <f t="shared" ref="T30:AK30" si="14">IF(T7="","",(T7/$O$23))</f>
        <v>1.1329751507651007</v>
      </c>
      <c r="U30" s="11">
        <f t="shared" si="14"/>
        <v>2.0407968549125646</v>
      </c>
      <c r="V30" s="11">
        <f t="shared" si="14"/>
        <v>2.3194294549063335</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152"/>
      <c r="B31" s="11">
        <f>IF(B8="","",(B8/$O$23))</f>
        <v>0</v>
      </c>
      <c r="C31" s="11">
        <f>IF(C8="","",(C8/$O$23))</f>
        <v>0</v>
      </c>
      <c r="D31" s="11">
        <f>IF(D8="","",(D8/$O$23))</f>
        <v>9.2403543279939646E-2</v>
      </c>
      <c r="E31" s="11">
        <f>IF(E8="","",(E8/$O$23))</f>
        <v>0</v>
      </c>
      <c r="F31" s="11">
        <f>IF(F8="","",(F8/$O$23))</f>
        <v>0</v>
      </c>
      <c r="G31" s="11">
        <f>IF(G8="","",(G8/$O$23))</f>
        <v>1.8156188915681357</v>
      </c>
      <c r="H31" s="11">
        <f>IF(H8="","",(H8/$O$23))</f>
        <v>1.5827263315264166</v>
      </c>
      <c r="I31" s="11">
        <f>IF(I8="","",(I8/$O$23))</f>
        <v>0</v>
      </c>
      <c r="J31" s="11">
        <f>IF(J8="","",(J8/$O$23))</f>
        <v>2.1394930247358449E-2</v>
      </c>
      <c r="K31" s="11">
        <f>IF(K8="","",(K8/$O$23))</f>
        <v>0</v>
      </c>
      <c r="L31" s="11">
        <f>IF(L8="","",(L8/$O$23))</f>
        <v>1.1289952687824942</v>
      </c>
      <c r="M31" s="11">
        <f>IF(M8="","",(M8/$O$23))</f>
        <v>2.4374366331996322</v>
      </c>
      <c r="N31" s="6"/>
      <c r="O31" s="11">
        <f t="shared" si="11"/>
        <v>0.79770073963900145</v>
      </c>
      <c r="P31" s="11">
        <f t="shared" si="11"/>
        <v>1.410014163517374</v>
      </c>
      <c r="Q31" s="11">
        <f t="shared" si="11"/>
        <v>3.5483875910630402E-2</v>
      </c>
      <c r="R31" s="11">
        <f t="shared" si="11"/>
        <v>1.6702020127211166</v>
      </c>
      <c r="S31" s="11">
        <f t="shared" si="11"/>
        <v>0.27283848022853674</v>
      </c>
      <c r="T31" s="11">
        <f t="shared" ref="T31:AK31" si="15">IF(T8="","",(T8/$O$23))</f>
        <v>1.1768846084499964</v>
      </c>
      <c r="U31" s="11">
        <f t="shared" si="15"/>
        <v>1.5914379417799245</v>
      </c>
      <c r="V31" s="11">
        <f t="shared" si="15"/>
        <v>2.2334656385304879</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152"/>
      <c r="B32" s="11">
        <f>IF(B9="","",(B9/$O$23))</f>
        <v>0</v>
      </c>
      <c r="C32" s="11">
        <f>IF(C9="","",(C9/$O$23))</f>
        <v>6.6195162339038752E-4</v>
      </c>
      <c r="D32" s="11">
        <f>IF(D9="","",(D9/$O$23))</f>
        <v>0</v>
      </c>
      <c r="E32" s="11">
        <f>IF(E9="","",(E9/$O$23))</f>
        <v>2.0839217773401088E-3</v>
      </c>
      <c r="F32" s="11">
        <f>IF(F9="","",(F9/$O$23))</f>
        <v>1.494171914352858</v>
      </c>
      <c r="G32" s="11">
        <f>IF(G9="","",(G9/$O$23))</f>
        <v>0.94843774819993598</v>
      </c>
      <c r="H32" s="11">
        <f>IF(H9="","",(H9/$O$23))</f>
        <v>2.7853535031082615</v>
      </c>
      <c r="I32" s="11">
        <f>IF(I9="","",(I9/$O$23))</f>
        <v>2.5570946044302746E-2</v>
      </c>
      <c r="J32" s="11">
        <f>IF(J9="","",(J9/$O$23))</f>
        <v>1.83221671560648E-2</v>
      </c>
      <c r="K32" s="11">
        <f>IF(K9="","",(K9/$O$23))</f>
        <v>0.17428123852374572</v>
      </c>
      <c r="L32" s="11">
        <f>IF(L9="","",(L9/$O$23))</f>
        <v>1.2617206553933991</v>
      </c>
      <c r="M32" s="11">
        <f>IF(M9="","",(M9/$O$23))</f>
        <v>2.820886412472476</v>
      </c>
      <c r="N32" s="6"/>
      <c r="O32" s="11">
        <f t="shared" si="11"/>
        <v>1.9493984974311067</v>
      </c>
      <c r="P32" s="11">
        <f t="shared" si="11"/>
        <v>1.5903101723474817</v>
      </c>
      <c r="Q32" s="11">
        <f t="shared" si="11"/>
        <v>0</v>
      </c>
      <c r="R32" s="11">
        <f t="shared" si="11"/>
        <v>1.269394390879369</v>
      </c>
      <c r="S32" s="11">
        <f t="shared" si="11"/>
        <v>1.3458048560485063</v>
      </c>
      <c r="T32" s="11">
        <f t="shared" ref="T32:AK32" si="16">IF(T9="","",(T9/$O$23))</f>
        <v>1.4291453826575826</v>
      </c>
      <c r="U32" s="11">
        <f t="shared" si="16"/>
        <v>3.8180715857776423E-2</v>
      </c>
      <c r="V32" s="11">
        <f t="shared" si="16"/>
        <v>2.3951534517252879</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152"/>
      <c r="B33" s="11">
        <f>IF(B10="","",(B10/$O$23))</f>
        <v>3.6055932869115924E-2</v>
      </c>
      <c r="C33" s="11">
        <f>IF(C10="","",(C10/$O$23))</f>
        <v>0</v>
      </c>
      <c r="D33" s="11">
        <f>IF(D10="","",(D10/$O$23))</f>
        <v>0</v>
      </c>
      <c r="E33" s="11">
        <f>IF(E10="","",(E10/$O$23))</f>
        <v>2.0376096804295738</v>
      </c>
      <c r="F33" s="11">
        <f>IF(F10="","",(F10/$O$23))</f>
        <v>0.58427446067031796</v>
      </c>
      <c r="G33" s="11">
        <f>IF(G10="","",(G10/$O$23))</f>
        <v>1.097474930369942</v>
      </c>
      <c r="H33" s="11">
        <f>IF(H10="","",(H10/$O$23))</f>
        <v>1.6752524584403174</v>
      </c>
      <c r="I33" s="11">
        <f>IF(I10="","",(I10/$O$23))</f>
        <v>0</v>
      </c>
      <c r="J33" s="11">
        <f>IF(J10="","",(J10/$O$23))</f>
        <v>1.0771015304055935E-2</v>
      </c>
      <c r="K33" s="11">
        <f>IF(K10="","",(K10/$O$23))</f>
        <v>0</v>
      </c>
      <c r="L33" s="11">
        <f>IF(L10="","",(L10/$O$23))</f>
        <v>1.1092102702611593</v>
      </c>
      <c r="M33" s="11">
        <f>IF(M10="","",(M10/$O$23))</f>
        <v>1.8768943640641991</v>
      </c>
      <c r="N33" s="6"/>
      <c r="O33" s="11">
        <f t="shared" si="11"/>
        <v>1.1130512241252764</v>
      </c>
      <c r="P33" s="11">
        <f t="shared" si="11"/>
        <v>1.6879276061919037</v>
      </c>
      <c r="Q33" s="11">
        <f t="shared" si="11"/>
        <v>6.6930664142805848E-3</v>
      </c>
      <c r="R33" s="11">
        <f t="shared" si="11"/>
        <v>0.2870418372835058</v>
      </c>
      <c r="S33" s="11">
        <f t="shared" si="11"/>
        <v>1.3007676289311678</v>
      </c>
      <c r="T33" s="11">
        <f t="shared" ref="T33:AK33" si="17">IF(T10="","",(T10/$O$23))</f>
        <v>2.6478391825306065</v>
      </c>
      <c r="U33" s="11">
        <f t="shared" si="17"/>
        <v>1.631065144518443</v>
      </c>
      <c r="V33" s="11">
        <f t="shared" si="17"/>
        <v>2.4854158675320388</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152"/>
      <c r="B34" s="11">
        <f>IF(B11="","",(B11/$O$23))</f>
        <v>0</v>
      </c>
      <c r="C34" s="11">
        <f>IF(C11="","",(C11/$O$23))</f>
        <v>0</v>
      </c>
      <c r="D34" s="11">
        <f>IF(D11="","",(D11/$O$23))</f>
        <v>4.7693205853164215E-2</v>
      </c>
      <c r="E34" s="11">
        <f>IF(E11="","",(E11/$O$23))</f>
        <v>6.5377938112630863E-4</v>
      </c>
      <c r="F34" s="11">
        <f>IF(F11="","",(F11/$O$23))</f>
        <v>3.2419285061600828E-2</v>
      </c>
      <c r="G34" s="11">
        <f>IF(G11="","",(G11/$O$23))</f>
        <v>1.7892307212974252</v>
      </c>
      <c r="H34" s="11">
        <f>IF(H11="","",(H11/$O$23))</f>
        <v>2.2606546885430783</v>
      </c>
      <c r="I34" s="11">
        <f>IF(I11="","",(I11/$O$23))</f>
        <v>0</v>
      </c>
      <c r="J34" s="11">
        <f>IF(J11="","",(J11/$O$23))</f>
        <v>2.7426045038248647E-2</v>
      </c>
      <c r="K34" s="11">
        <f>IF(K11="","",(K11/$O$23))</f>
        <v>0</v>
      </c>
      <c r="L34" s="11">
        <f>IF(L11="","",(L11/$O$23))</f>
        <v>1.1492215683860894</v>
      </c>
      <c r="M34" s="11">
        <f>IF(M11="","",(M11/$O$23))</f>
        <v>2.0402002812272868</v>
      </c>
      <c r="N34" s="6"/>
      <c r="O34" s="11">
        <f t="shared" si="11"/>
        <v>1.2635757543873449</v>
      </c>
      <c r="P34" s="11">
        <f t="shared" si="11"/>
        <v>1.0155400294302874</v>
      </c>
      <c r="Q34" s="11">
        <f t="shared" si="11"/>
        <v>0</v>
      </c>
      <c r="R34" s="11">
        <f t="shared" si="11"/>
        <v>1.7437848820668826</v>
      </c>
      <c r="S34" s="11">
        <f t="shared" si="11"/>
        <v>1.5988011320598596</v>
      </c>
      <c r="T34" s="11">
        <f t="shared" ref="T34:AK34" si="18">IF(T11="","",(T11/$O$23))</f>
        <v>0.52827008443458556</v>
      </c>
      <c r="U34" s="11">
        <f t="shared" si="18"/>
        <v>0.88377079516427992</v>
      </c>
      <c r="V34" s="11">
        <f t="shared" si="18"/>
        <v>1.897823476502505</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152"/>
      <c r="B35" s="11">
        <f>IF(B12="","",(B12/$O$23))</f>
        <v>1.0109063680665548E-2</v>
      </c>
      <c r="C35" s="11">
        <f>IF(C12="","",(C12/$O$23))</f>
        <v>0.12981606836489265</v>
      </c>
      <c r="D35" s="11">
        <f>IF(D12="","",(D12/$O$23))</f>
        <v>0</v>
      </c>
      <c r="E35" s="11">
        <f>IF(E12="","",(E12/$O$23))</f>
        <v>2.0163373338161765</v>
      </c>
      <c r="F35" s="11">
        <f>IF(F12="","",(F12/$O$23))</f>
        <v>0</v>
      </c>
      <c r="G35" s="11">
        <f>IF(G12="","",(G12/$O$23))</f>
        <v>1.2026108270973166</v>
      </c>
      <c r="H35" s="11">
        <f>IF(H12="","",(H12/$O$23))</f>
        <v>2.505495066774881</v>
      </c>
      <c r="I35" s="11">
        <f>IF(I12="","",(I12/$O$23))</f>
        <v>0</v>
      </c>
      <c r="J35" s="11" t="str">
        <f>IF(J12="","",(J12/$O$23))</f>
        <v/>
      </c>
      <c r="K35" s="11">
        <f>IF(K12="","",(K12/$O$23))</f>
        <v>2.4925338905440516E-2</v>
      </c>
      <c r="L35" s="11">
        <f>IF(L12="","",(L12/$O$23))</f>
        <v>1.1578105950056363</v>
      </c>
      <c r="M35" s="11">
        <f>IF(M12="","",(M12/$O$23))</f>
        <v>2.9064334444928535</v>
      </c>
      <c r="N35" s="6"/>
      <c r="O35" s="11">
        <f t="shared" si="11"/>
        <v>1.5488115261304893</v>
      </c>
      <c r="P35" s="11">
        <f t="shared" si="11"/>
        <v>1.5235511252922216</v>
      </c>
      <c r="Q35" s="11">
        <f t="shared" si="11"/>
        <v>0</v>
      </c>
      <c r="R35" s="11">
        <f t="shared" si="11"/>
        <v>1.1426756023325622</v>
      </c>
      <c r="S35" s="11">
        <f t="shared" si="11"/>
        <v>0</v>
      </c>
      <c r="T35" s="11">
        <f t="shared" ref="T35:AK35" si="19">IF(T12="","",(T12/$O$23))</f>
        <v>2.7812755542184857</v>
      </c>
      <c r="U35" s="11">
        <f t="shared" si="19"/>
        <v>2.5273394703467638</v>
      </c>
      <c r="V35" s="11">
        <f t="shared" si="19"/>
        <v>2.116471818277935</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x14ac:dyDescent="0.25">
      <c r="A36" s="15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11"/>
        <v>0.76808453367397966</v>
      </c>
      <c r="P36" s="11" t="str">
        <f t="shared" si="11"/>
        <v/>
      </c>
      <c r="Q36" s="11" t="str">
        <f t="shared" si="11"/>
        <v/>
      </c>
      <c r="R36" s="11" t="str">
        <f t="shared" si="11"/>
        <v/>
      </c>
      <c r="S36" s="11" t="str">
        <f t="shared" si="11"/>
        <v/>
      </c>
      <c r="T36" s="11" t="str">
        <f t="shared" ref="T36:AK36" si="20">IF(T13="","",(T13/$O$23))</f>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x14ac:dyDescent="0.25">
      <c r="A37" s="15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11"/>
        <v>1.0289997124392254</v>
      </c>
      <c r="P37" s="11" t="str">
        <f t="shared" si="11"/>
        <v/>
      </c>
      <c r="Q37" s="11" t="str">
        <f t="shared" si="11"/>
        <v/>
      </c>
      <c r="R37" s="11" t="str">
        <f t="shared" si="11"/>
        <v/>
      </c>
      <c r="S37" s="11" t="str">
        <f t="shared" si="11"/>
        <v/>
      </c>
      <c r="T37" s="11" t="str">
        <f t="shared" ref="T37:AK37" si="21">IF(T14="","",(T14/$O$23))</f>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x14ac:dyDescent="0.25">
      <c r="A38" s="15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AK38" si="22">IF(O15="","",(O15/$O$23))</f>
        <v>0</v>
      </c>
      <c r="P38" s="11" t="str">
        <f t="shared" si="22"/>
        <v/>
      </c>
      <c r="Q38" s="11" t="str">
        <f t="shared" si="22"/>
        <v/>
      </c>
      <c r="R38" s="11" t="str">
        <f t="shared" si="22"/>
        <v/>
      </c>
      <c r="S38" s="11" t="str">
        <f t="shared" si="22"/>
        <v/>
      </c>
      <c r="T38" s="11" t="str">
        <f t="shared" si="22"/>
        <v/>
      </c>
      <c r="U38" s="11" t="str">
        <f t="shared" si="22"/>
        <v/>
      </c>
      <c r="V38" s="11" t="str">
        <f t="shared" si="22"/>
        <v/>
      </c>
      <c r="W38" s="11" t="str">
        <f t="shared" si="22"/>
        <v/>
      </c>
      <c r="X38" s="11" t="str">
        <f t="shared" si="22"/>
        <v/>
      </c>
      <c r="Y38" s="11" t="str">
        <f t="shared" si="22"/>
        <v/>
      </c>
      <c r="Z38" s="11" t="str">
        <f t="shared" si="22"/>
        <v/>
      </c>
      <c r="AA38" s="11" t="str">
        <f t="shared" si="22"/>
        <v/>
      </c>
      <c r="AB38" s="11" t="str">
        <f t="shared" si="22"/>
        <v/>
      </c>
      <c r="AC38" s="11" t="str">
        <f t="shared" si="22"/>
        <v/>
      </c>
      <c r="AD38" s="11" t="str">
        <f t="shared" si="22"/>
        <v/>
      </c>
      <c r="AE38" s="11" t="str">
        <f t="shared" si="22"/>
        <v/>
      </c>
      <c r="AF38" s="11" t="str">
        <f t="shared" si="22"/>
        <v/>
      </c>
      <c r="AG38" s="11" t="str">
        <f t="shared" si="22"/>
        <v/>
      </c>
      <c r="AH38" s="11" t="str">
        <f t="shared" si="22"/>
        <v/>
      </c>
      <c r="AI38" s="11" t="str">
        <f t="shared" si="22"/>
        <v/>
      </c>
      <c r="AJ38" s="11" t="str">
        <f t="shared" si="22"/>
        <v/>
      </c>
      <c r="AK38" s="11" t="str">
        <f t="shared" si="22"/>
        <v/>
      </c>
    </row>
    <row r="39" spans="1:37" x14ac:dyDescent="0.25">
      <c r="A39" s="15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AK39" si="23">IF(O16="","",(O16/$O$23))</f>
        <v>1.7088158574188892</v>
      </c>
      <c r="P39" s="11" t="str">
        <f t="shared" si="23"/>
        <v/>
      </c>
      <c r="Q39" s="11" t="str">
        <f t="shared" si="23"/>
        <v/>
      </c>
      <c r="R39" s="11" t="str">
        <f t="shared" si="23"/>
        <v/>
      </c>
      <c r="S39" s="11" t="str">
        <f t="shared" si="23"/>
        <v/>
      </c>
      <c r="T39" s="11" t="str">
        <f t="shared" si="23"/>
        <v/>
      </c>
      <c r="U39" s="11" t="str">
        <f t="shared" si="23"/>
        <v/>
      </c>
      <c r="V39" s="11" t="str">
        <f t="shared" si="23"/>
        <v/>
      </c>
      <c r="W39" s="11" t="str">
        <f t="shared" si="23"/>
        <v/>
      </c>
      <c r="X39" s="11" t="str">
        <f t="shared" si="23"/>
        <v/>
      </c>
      <c r="Y39" s="11" t="str">
        <f t="shared" si="23"/>
        <v/>
      </c>
      <c r="Z39" s="11" t="str">
        <f t="shared" si="23"/>
        <v/>
      </c>
      <c r="AA39" s="11" t="str">
        <f t="shared" si="23"/>
        <v/>
      </c>
      <c r="AB39" s="11" t="str">
        <f t="shared" si="23"/>
        <v/>
      </c>
      <c r="AC39" s="11" t="str">
        <f t="shared" si="23"/>
        <v/>
      </c>
      <c r="AD39" s="11" t="str">
        <f t="shared" si="23"/>
        <v/>
      </c>
      <c r="AE39" s="11" t="str">
        <f t="shared" si="23"/>
        <v/>
      </c>
      <c r="AF39" s="11" t="str">
        <f t="shared" si="23"/>
        <v/>
      </c>
      <c r="AG39" s="11" t="str">
        <f t="shared" si="23"/>
        <v/>
      </c>
      <c r="AH39" s="11" t="str">
        <f t="shared" si="23"/>
        <v/>
      </c>
      <c r="AI39" s="11" t="str">
        <f t="shared" si="23"/>
        <v/>
      </c>
      <c r="AJ39" s="11" t="str">
        <f t="shared" si="23"/>
        <v/>
      </c>
      <c r="AK39" s="11" t="str">
        <f t="shared" si="23"/>
        <v/>
      </c>
    </row>
    <row r="40" spans="1:37" x14ac:dyDescent="0.25">
      <c r="A40" s="15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0" si="24">IF(O17="","",(O17/$O$23))</f>
        <v>0.55926739934223668</v>
      </c>
      <c r="P40" s="11" t="str">
        <f t="shared" si="24"/>
        <v/>
      </c>
      <c r="Q40" s="11" t="str">
        <f t="shared" si="24"/>
        <v/>
      </c>
      <c r="R40" s="11" t="str">
        <f t="shared" si="24"/>
        <v/>
      </c>
      <c r="S40" s="11" t="str">
        <f t="shared" si="24"/>
        <v/>
      </c>
      <c r="T40" s="11" t="str">
        <f t="shared" si="24"/>
        <v/>
      </c>
      <c r="U40" s="11" t="str">
        <f t="shared" si="24"/>
        <v/>
      </c>
      <c r="V40" s="11" t="str">
        <f t="shared" si="24"/>
        <v/>
      </c>
      <c r="W40" s="11" t="str">
        <f t="shared" si="24"/>
        <v/>
      </c>
      <c r="X40" s="11" t="str">
        <f t="shared" si="24"/>
        <v/>
      </c>
      <c r="Y40" s="11" t="str">
        <f t="shared" si="24"/>
        <v/>
      </c>
      <c r="Z40" s="11" t="str">
        <f t="shared" si="24"/>
        <v/>
      </c>
      <c r="AA40" s="11" t="str">
        <f t="shared" si="24"/>
        <v/>
      </c>
      <c r="AB40" s="11" t="str">
        <f t="shared" si="24"/>
        <v/>
      </c>
      <c r="AC40" s="11" t="str">
        <f t="shared" si="24"/>
        <v/>
      </c>
      <c r="AD40" s="11" t="str">
        <f t="shared" si="24"/>
        <v/>
      </c>
      <c r="AE40" s="11" t="str">
        <f t="shared" si="24"/>
        <v/>
      </c>
      <c r="AF40" s="11" t="str">
        <f t="shared" si="24"/>
        <v/>
      </c>
      <c r="AG40" s="11" t="str">
        <f t="shared" si="24"/>
        <v/>
      </c>
      <c r="AH40" s="11" t="str">
        <f t="shared" si="24"/>
        <v/>
      </c>
      <c r="AI40" s="11" t="str">
        <f t="shared" si="24"/>
        <v/>
      </c>
      <c r="AJ40" s="11" t="str">
        <f t="shared" si="24"/>
        <v/>
      </c>
      <c r="AK40" s="11" t="str">
        <f t="shared" si="24"/>
        <v/>
      </c>
    </row>
    <row r="41" spans="1:37" x14ac:dyDescent="0.25">
      <c r="A41" s="15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AK41" si="25">IF(O18="","",(O18/$O$23))</f>
        <v>1.3951406825967505</v>
      </c>
      <c r="P41" s="11" t="str">
        <f t="shared" si="25"/>
        <v/>
      </c>
      <c r="Q41" s="11" t="str">
        <f t="shared" si="25"/>
        <v/>
      </c>
      <c r="R41" s="11" t="str">
        <f t="shared" si="25"/>
        <v/>
      </c>
      <c r="S41" s="11" t="str">
        <f t="shared" si="25"/>
        <v/>
      </c>
      <c r="T41" s="11" t="str">
        <f t="shared" si="25"/>
        <v/>
      </c>
      <c r="U41" s="11" t="str">
        <f t="shared" si="25"/>
        <v/>
      </c>
      <c r="V41" s="11" t="str">
        <f t="shared" si="25"/>
        <v/>
      </c>
      <c r="W41" s="11" t="str">
        <f t="shared" si="25"/>
        <v/>
      </c>
      <c r="X41" s="11" t="str">
        <f t="shared" si="25"/>
        <v/>
      </c>
      <c r="Y41" s="11" t="str">
        <f t="shared" si="25"/>
        <v/>
      </c>
      <c r="Z41" s="11" t="str">
        <f t="shared" si="25"/>
        <v/>
      </c>
      <c r="AA41" s="11" t="str">
        <f t="shared" si="25"/>
        <v/>
      </c>
      <c r="AB41" s="11" t="str">
        <f t="shared" si="25"/>
        <v/>
      </c>
      <c r="AC41" s="11" t="str">
        <f t="shared" si="25"/>
        <v/>
      </c>
      <c r="AD41" s="11" t="str">
        <f t="shared" si="25"/>
        <v/>
      </c>
      <c r="AE41" s="11" t="str">
        <f t="shared" si="25"/>
        <v/>
      </c>
      <c r="AF41" s="11" t="str">
        <f t="shared" si="25"/>
        <v/>
      </c>
      <c r="AG41" s="11" t="str">
        <f t="shared" si="25"/>
        <v/>
      </c>
      <c r="AH41" s="11" t="str">
        <f t="shared" si="25"/>
        <v/>
      </c>
      <c r="AI41" s="11" t="str">
        <f t="shared" si="25"/>
        <v/>
      </c>
      <c r="AJ41" s="11" t="str">
        <f t="shared" si="25"/>
        <v/>
      </c>
      <c r="AK41" s="11" t="str">
        <f t="shared" si="25"/>
        <v/>
      </c>
    </row>
    <row r="42" spans="1:37" x14ac:dyDescent="0.25">
      <c r="A42" s="15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AK42" si="26">IF(O19="","",(O19/$O$23))</f>
        <v>1.54640888690485</v>
      </c>
      <c r="P42" s="11" t="str">
        <f t="shared" si="26"/>
        <v/>
      </c>
      <c r="Q42" s="11" t="str">
        <f t="shared" si="26"/>
        <v/>
      </c>
      <c r="R42" s="11" t="str">
        <f t="shared" si="26"/>
        <v/>
      </c>
      <c r="S42" s="11" t="str">
        <f t="shared" si="26"/>
        <v/>
      </c>
      <c r="T42" s="11" t="str">
        <f t="shared" si="26"/>
        <v/>
      </c>
      <c r="U42" s="11" t="str">
        <f t="shared" si="26"/>
        <v/>
      </c>
      <c r="V42" s="11" t="str">
        <f t="shared" si="26"/>
        <v/>
      </c>
      <c r="W42" s="11" t="str">
        <f t="shared" si="26"/>
        <v/>
      </c>
      <c r="X42" s="11" t="str">
        <f t="shared" si="26"/>
        <v/>
      </c>
      <c r="Y42" s="11" t="str">
        <f t="shared" si="26"/>
        <v/>
      </c>
      <c r="Z42" s="11" t="str">
        <f t="shared" si="26"/>
        <v/>
      </c>
      <c r="AA42" s="11" t="str">
        <f t="shared" si="26"/>
        <v/>
      </c>
      <c r="AB42" s="11" t="str">
        <f t="shared" si="26"/>
        <v/>
      </c>
      <c r="AC42" s="11" t="str">
        <f t="shared" si="26"/>
        <v/>
      </c>
      <c r="AD42" s="11" t="str">
        <f t="shared" si="26"/>
        <v/>
      </c>
      <c r="AE42" s="11" t="str">
        <f t="shared" si="26"/>
        <v/>
      </c>
      <c r="AF42" s="11" t="str">
        <f t="shared" si="26"/>
        <v/>
      </c>
      <c r="AG42" s="11" t="str">
        <f t="shared" si="26"/>
        <v/>
      </c>
      <c r="AH42" s="11" t="str">
        <f t="shared" si="26"/>
        <v/>
      </c>
      <c r="AI42" s="11" t="str">
        <f t="shared" si="26"/>
        <v/>
      </c>
      <c r="AJ42" s="11" t="str">
        <f t="shared" si="26"/>
        <v/>
      </c>
      <c r="AK42" s="11" t="str">
        <f t="shared" si="26"/>
        <v/>
      </c>
    </row>
    <row r="43" spans="1:37" x14ac:dyDescent="0.25">
      <c r="A43" s="15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AK43" si="27">IF(O20="","",(O20/$O$23))</f>
        <v>1.2427365366139438</v>
      </c>
      <c r="P43" s="11" t="str">
        <f t="shared" si="27"/>
        <v/>
      </c>
      <c r="Q43" s="11" t="str">
        <f t="shared" si="27"/>
        <v/>
      </c>
      <c r="R43" s="11" t="str">
        <f t="shared" si="27"/>
        <v/>
      </c>
      <c r="S43" s="11" t="str">
        <f t="shared" si="27"/>
        <v/>
      </c>
      <c r="T43" s="11" t="str">
        <f t="shared" si="27"/>
        <v/>
      </c>
      <c r="U43" s="11" t="str">
        <f t="shared" si="27"/>
        <v/>
      </c>
      <c r="V43" s="11" t="str">
        <f t="shared" si="27"/>
        <v/>
      </c>
      <c r="W43" s="11" t="str">
        <f t="shared" si="27"/>
        <v/>
      </c>
      <c r="X43" s="11" t="str">
        <f t="shared" si="27"/>
        <v/>
      </c>
      <c r="Y43" s="11" t="str">
        <f t="shared" si="27"/>
        <v/>
      </c>
      <c r="Z43" s="11" t="str">
        <f t="shared" si="27"/>
        <v/>
      </c>
      <c r="AA43" s="11" t="str">
        <f t="shared" si="27"/>
        <v/>
      </c>
      <c r="AB43" s="11" t="str">
        <f t="shared" si="27"/>
        <v/>
      </c>
      <c r="AC43" s="11" t="str">
        <f t="shared" si="27"/>
        <v/>
      </c>
      <c r="AD43" s="11" t="str">
        <f t="shared" si="27"/>
        <v/>
      </c>
      <c r="AE43" s="11" t="str">
        <f t="shared" si="27"/>
        <v/>
      </c>
      <c r="AF43" s="11" t="str">
        <f t="shared" si="27"/>
        <v/>
      </c>
      <c r="AG43" s="11" t="str">
        <f t="shared" si="27"/>
        <v/>
      </c>
      <c r="AH43" s="11" t="str">
        <f t="shared" si="27"/>
        <v/>
      </c>
      <c r="AI43" s="11" t="str">
        <f t="shared" si="27"/>
        <v/>
      </c>
      <c r="AJ43" s="11" t="str">
        <f t="shared" si="27"/>
        <v/>
      </c>
      <c r="AK43" s="11" t="str">
        <f t="shared" si="27"/>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R45" si="28">B4</f>
        <v>Solvent control</v>
      </c>
      <c r="C45" s="7" t="str">
        <f t="shared" si="28"/>
        <v>EE2-33.8ng/L</v>
      </c>
      <c r="D45" s="7" t="str">
        <f t="shared" si="28"/>
        <v>EE2-50.6ng/L</v>
      </c>
      <c r="E45" s="7" t="str">
        <f t="shared" si="28"/>
        <v>EE2-76ng/L</v>
      </c>
      <c r="F45" s="7" t="str">
        <f t="shared" si="28"/>
        <v>EE2-114ng/L</v>
      </c>
      <c r="G45" s="7" t="str">
        <f t="shared" si="28"/>
        <v>EE2-170.9ng/L</v>
      </c>
      <c r="H45" s="7" t="str">
        <f t="shared" si="28"/>
        <v>EE2-488ng/L</v>
      </c>
      <c r="I45" s="7" t="str">
        <f t="shared" si="28"/>
        <v>Estradiol-34ng/L</v>
      </c>
      <c r="J45" s="7" t="str">
        <f t="shared" si="28"/>
        <v>Estradiol-68ng/L</v>
      </c>
      <c r="K45" s="7" t="str">
        <f t="shared" ref="K45:M45" si="29">K4</f>
        <v>Estradiol-135ng/L</v>
      </c>
      <c r="L45" s="7" t="str">
        <f t="shared" si="29"/>
        <v>Estradiol-270ng/L</v>
      </c>
      <c r="M45" s="7" t="str">
        <f t="shared" si="29"/>
        <v>Estradiol-540ng/L</v>
      </c>
      <c r="N45" s="7"/>
      <c r="O45" s="7" t="str">
        <f t="shared" si="28"/>
        <v>Testo -30µg/L</v>
      </c>
      <c r="P45" s="7" t="str">
        <f t="shared" si="28"/>
        <v>Testo 30µg/L + EE2 -64ng/L</v>
      </c>
      <c r="Q45" s="7" t="str">
        <f t="shared" si="28"/>
        <v>Testo 30µg/L + FAD-10mg/L</v>
      </c>
      <c r="R45" s="7" t="str">
        <f t="shared" si="28"/>
        <v>Estradiol-34ng/L + Testostérone</v>
      </c>
      <c r="S45" s="7" t="str">
        <f t="shared" ref="S45:AK45" si="30">S4</f>
        <v>Estradiol-68ng/L + Testostérone</v>
      </c>
      <c r="T45" s="7" t="str">
        <f t="shared" si="30"/>
        <v>Estradiol-135ng/L + Testostérone</v>
      </c>
      <c r="U45" s="7" t="str">
        <f t="shared" si="30"/>
        <v>Estradiol-270ng/L + Testostérone</v>
      </c>
      <c r="V45" s="7" t="str">
        <f t="shared" si="30"/>
        <v>Estradiol-540ng/L + Testostérone</v>
      </c>
      <c r="W45" s="7" t="str">
        <f t="shared" si="30"/>
        <v>0-00 + Testostérone</v>
      </c>
      <c r="X45" s="7" t="str">
        <f t="shared" si="30"/>
        <v>0-00 + Testostérone</v>
      </c>
      <c r="Y45" s="7" t="str">
        <f t="shared" si="30"/>
        <v>0-00 + Testostérone</v>
      </c>
      <c r="Z45" s="7" t="str">
        <f t="shared" si="30"/>
        <v>0-00 + Testostérone</v>
      </c>
      <c r="AA45" s="7" t="str">
        <f t="shared" si="30"/>
        <v>0-00 + Testostérone</v>
      </c>
      <c r="AB45" s="7" t="str">
        <f t="shared" si="30"/>
        <v>0-00 + Testostérone</v>
      </c>
      <c r="AC45" s="7" t="str">
        <f t="shared" si="30"/>
        <v>0-00 + Testostérone</v>
      </c>
      <c r="AD45" s="7" t="str">
        <f t="shared" si="30"/>
        <v>0-00 + Testostérone</v>
      </c>
      <c r="AE45" s="7" t="str">
        <f t="shared" si="30"/>
        <v>0-00 + Testostérone</v>
      </c>
      <c r="AF45" s="7" t="str">
        <f t="shared" si="30"/>
        <v>0-00 + Testostérone</v>
      </c>
      <c r="AG45" s="7" t="str">
        <f t="shared" si="30"/>
        <v>0-00 + Testostérone</v>
      </c>
      <c r="AH45" s="7" t="str">
        <f t="shared" si="30"/>
        <v>0-00 + Testostérone</v>
      </c>
      <c r="AI45" s="7" t="str">
        <f t="shared" si="30"/>
        <v>0-00 + Testostérone</v>
      </c>
      <c r="AJ45" s="7" t="str">
        <f t="shared" si="30"/>
        <v>0-00 + Testostérone</v>
      </c>
      <c r="AK45" s="7" t="str">
        <f t="shared" si="30"/>
        <v>0-00 + Testostérone</v>
      </c>
    </row>
    <row r="46" spans="1:37" x14ac:dyDescent="0.25">
      <c r="A46" s="8" t="s">
        <v>0</v>
      </c>
      <c r="B46" s="10">
        <f t="shared" ref="B46:H46" si="31">AVERAGE(B28:B43)</f>
        <v>6.1925165756057552E-3</v>
      </c>
      <c r="C46" s="10">
        <f t="shared" si="31"/>
        <v>1.680417315551215E-2</v>
      </c>
      <c r="D46" s="10">
        <f t="shared" si="31"/>
        <v>1.7512093641637982E-2</v>
      </c>
      <c r="E46" s="10">
        <f t="shared" si="31"/>
        <v>0.50741452217665617</v>
      </c>
      <c r="F46" s="10">
        <f t="shared" si="31"/>
        <v>0.46068155478952139</v>
      </c>
      <c r="G46" s="10">
        <f t="shared" si="31"/>
        <v>1.542880521307334</v>
      </c>
      <c r="H46" s="10">
        <f t="shared" si="31"/>
        <v>2.0702312284872106</v>
      </c>
      <c r="I46" s="10">
        <f>AVERAGE(I28:I43)</f>
        <v>3.8634275303432801E-3</v>
      </c>
      <c r="J46" s="9">
        <f>AVERAGE(J28:J43)</f>
        <v>3.4595436430206968E-2</v>
      </c>
      <c r="K46" s="9">
        <f t="shared" ref="K46:M46" si="32">AVERAGE(K28:K43)</f>
        <v>6.974395854221499E-2</v>
      </c>
      <c r="L46" s="9">
        <f t="shared" si="32"/>
        <v>1.1251195828887548</v>
      </c>
      <c r="M46" s="9">
        <f t="shared" si="32"/>
        <v>2.299611767415942</v>
      </c>
      <c r="N46" s="8" t="s">
        <v>0</v>
      </c>
      <c r="O46" s="10">
        <f t="shared" ref="O46:R46" si="33">AVERAGE(O28:O43)</f>
        <v>0.99999999999999978</v>
      </c>
      <c r="P46" s="10">
        <f t="shared" si="33"/>
        <v>1.6561416699057692</v>
      </c>
      <c r="Q46" s="10">
        <f t="shared" si="33"/>
        <v>5.2721177906138736E-3</v>
      </c>
      <c r="R46" s="10">
        <f t="shared" si="33"/>
        <v>1.1585430322185544</v>
      </c>
      <c r="S46" s="10">
        <f t="shared" ref="S46:AK46" si="34">AVERAGE(S28:S43)</f>
        <v>0.87877040442894672</v>
      </c>
      <c r="T46" s="10">
        <f t="shared" si="34"/>
        <v>1.422782270524714</v>
      </c>
      <c r="U46" s="10">
        <f t="shared" si="34"/>
        <v>1.6060151789184751</v>
      </c>
      <c r="V46" s="10">
        <f t="shared" si="34"/>
        <v>2.2905354708513999</v>
      </c>
      <c r="W46" s="10" t="e">
        <f t="shared" si="34"/>
        <v>#DIV/0!</v>
      </c>
      <c r="X46" s="10" t="e">
        <f t="shared" si="34"/>
        <v>#DIV/0!</v>
      </c>
      <c r="Y46" s="10" t="e">
        <f t="shared" si="34"/>
        <v>#DIV/0!</v>
      </c>
      <c r="Z46" s="10" t="e">
        <f t="shared" si="34"/>
        <v>#DIV/0!</v>
      </c>
      <c r="AA46" s="10" t="e">
        <f t="shared" si="34"/>
        <v>#DIV/0!</v>
      </c>
      <c r="AB46" s="10" t="e">
        <f t="shared" si="34"/>
        <v>#DIV/0!</v>
      </c>
      <c r="AC46" s="10" t="e">
        <f t="shared" si="34"/>
        <v>#DIV/0!</v>
      </c>
      <c r="AD46" s="10" t="e">
        <f t="shared" si="34"/>
        <v>#DIV/0!</v>
      </c>
      <c r="AE46" s="10" t="e">
        <f t="shared" si="34"/>
        <v>#DIV/0!</v>
      </c>
      <c r="AF46" s="10" t="e">
        <f t="shared" si="34"/>
        <v>#DIV/0!</v>
      </c>
      <c r="AG46" s="10" t="e">
        <f t="shared" si="34"/>
        <v>#DIV/0!</v>
      </c>
      <c r="AH46" s="10" t="e">
        <f t="shared" si="34"/>
        <v>#DIV/0!</v>
      </c>
      <c r="AI46" s="10" t="e">
        <f t="shared" si="34"/>
        <v>#DIV/0!</v>
      </c>
      <c r="AJ46" s="10" t="e">
        <f t="shared" si="34"/>
        <v>#DIV/0!</v>
      </c>
      <c r="AK46" s="10" t="e">
        <f t="shared" si="34"/>
        <v>#DIV/0!</v>
      </c>
    </row>
    <row r="47" spans="1:37" x14ac:dyDescent="0.25">
      <c r="A47" s="8" t="s">
        <v>1</v>
      </c>
      <c r="B47" s="8">
        <f t="shared" ref="B47:J47" si="35">STDEV(B28:B43)</f>
        <v>1.2574560001611678E-2</v>
      </c>
      <c r="C47" s="8">
        <f t="shared" si="35"/>
        <v>4.5677205598687917E-2</v>
      </c>
      <c r="D47" s="8">
        <f t="shared" si="35"/>
        <v>3.4557755601584673E-2</v>
      </c>
      <c r="E47" s="8">
        <f t="shared" si="35"/>
        <v>0.9379099233131446</v>
      </c>
      <c r="F47" s="8">
        <f t="shared" si="35"/>
        <v>0.56621103473171075</v>
      </c>
      <c r="G47" s="8">
        <f t="shared" si="35"/>
        <v>0.44965469731161772</v>
      </c>
      <c r="H47" s="8">
        <f t="shared" si="35"/>
        <v>0.51118311641444947</v>
      </c>
      <c r="I47" s="8">
        <f t="shared" si="35"/>
        <v>8.9677410773567421E-3</v>
      </c>
      <c r="J47" s="8">
        <f t="shared" si="35"/>
        <v>5.8113510737043669E-2</v>
      </c>
      <c r="K47" s="8">
        <f t="shared" ref="K47:M47" si="36">STDEV(K28:K43)</f>
        <v>0.11830395978918209</v>
      </c>
      <c r="L47" s="8">
        <f t="shared" si="36"/>
        <v>0.42901808240992023</v>
      </c>
      <c r="M47" s="8">
        <f t="shared" si="36"/>
        <v>0.4826014193894666</v>
      </c>
      <c r="N47" s="8" t="s">
        <v>1</v>
      </c>
      <c r="O47" s="8">
        <f t="shared" ref="O47:R47" si="37">STDEV(O28:O43)</f>
        <v>0.59343137483235386</v>
      </c>
      <c r="P47" s="8">
        <f t="shared" si="37"/>
        <v>0.35612656878921878</v>
      </c>
      <c r="Q47" s="8">
        <f t="shared" si="37"/>
        <v>1.2430037235216778E-2</v>
      </c>
      <c r="R47" s="8">
        <f t="shared" si="37"/>
        <v>0.61798592672363195</v>
      </c>
      <c r="S47" s="8">
        <f t="shared" ref="S47:AK47" si="38">STDEV(S28:S43)</f>
        <v>0.65665552489632872</v>
      </c>
      <c r="T47" s="8">
        <f t="shared" si="38"/>
        <v>0.84844532241024218</v>
      </c>
      <c r="U47" s="8">
        <f t="shared" si="38"/>
        <v>0.80361107499609197</v>
      </c>
      <c r="V47" s="8">
        <f t="shared" si="38"/>
        <v>0.20110837120971348</v>
      </c>
      <c r="W47" s="8" t="e">
        <f t="shared" si="38"/>
        <v>#DIV/0!</v>
      </c>
      <c r="X47" s="8" t="e">
        <f t="shared" si="38"/>
        <v>#DIV/0!</v>
      </c>
      <c r="Y47" s="8" t="e">
        <f t="shared" si="38"/>
        <v>#DIV/0!</v>
      </c>
      <c r="Z47" s="8" t="e">
        <f t="shared" si="38"/>
        <v>#DIV/0!</v>
      </c>
      <c r="AA47" s="8" t="e">
        <f t="shared" si="38"/>
        <v>#DIV/0!</v>
      </c>
      <c r="AB47" s="8" t="e">
        <f t="shared" si="38"/>
        <v>#DIV/0!</v>
      </c>
      <c r="AC47" s="8" t="e">
        <f t="shared" si="38"/>
        <v>#DIV/0!</v>
      </c>
      <c r="AD47" s="8" t="e">
        <f t="shared" si="38"/>
        <v>#DIV/0!</v>
      </c>
      <c r="AE47" s="8" t="e">
        <f t="shared" si="38"/>
        <v>#DIV/0!</v>
      </c>
      <c r="AF47" s="8" t="e">
        <f t="shared" si="38"/>
        <v>#DIV/0!</v>
      </c>
      <c r="AG47" s="8" t="e">
        <f t="shared" si="38"/>
        <v>#DIV/0!</v>
      </c>
      <c r="AH47" s="8" t="e">
        <f t="shared" si="38"/>
        <v>#DIV/0!</v>
      </c>
      <c r="AI47" s="8" t="e">
        <f t="shared" si="38"/>
        <v>#DIV/0!</v>
      </c>
      <c r="AJ47" s="8" t="e">
        <f t="shared" si="38"/>
        <v>#DIV/0!</v>
      </c>
      <c r="AK47" s="8" t="e">
        <f t="shared" si="38"/>
        <v>#DIV/0!</v>
      </c>
    </row>
    <row r="48" spans="1:37" x14ac:dyDescent="0.25">
      <c r="A48" s="8" t="s">
        <v>2</v>
      </c>
      <c r="B48" s="8">
        <f t="shared" ref="B48:J48" si="39" xml:space="preserve"> B47/SQRT(COUNT(B28:B43))</f>
        <v>4.4457783237883703E-3</v>
      </c>
      <c r="C48" s="8">
        <f t="shared" si="39"/>
        <v>1.6149330912242178E-2</v>
      </c>
      <c r="D48" s="8">
        <f t="shared" si="39"/>
        <v>1.221801166423396E-2</v>
      </c>
      <c r="E48" s="8">
        <f t="shared" si="39"/>
        <v>0.33160123345843961</v>
      </c>
      <c r="F48" s="8">
        <f t="shared" si="39"/>
        <v>0.20018583112072222</v>
      </c>
      <c r="G48" s="8">
        <f t="shared" si="39"/>
        <v>0.15897694283071465</v>
      </c>
      <c r="H48" s="8">
        <f t="shared" si="39"/>
        <v>0.18073052402236478</v>
      </c>
      <c r="I48" s="8">
        <f t="shared" si="39"/>
        <v>3.1705752638620539E-3</v>
      </c>
      <c r="J48" s="8">
        <f t="shared" si="39"/>
        <v>2.1964842460442776E-2</v>
      </c>
      <c r="K48" s="8">
        <f t="shared" ref="K48:M48" si="40" xml:space="preserve"> K47/SQRT(COUNT(K28:K43))</f>
        <v>4.1826766104075645E-2</v>
      </c>
      <c r="L48" s="8">
        <f t="shared" si="40"/>
        <v>0.15168079766185183</v>
      </c>
      <c r="M48" s="8">
        <f t="shared" si="40"/>
        <v>0.1706253681302724</v>
      </c>
      <c r="N48" s="8" t="s">
        <v>2</v>
      </c>
      <c r="O48" s="8">
        <f t="shared" ref="O48:R48" si="41" xml:space="preserve"> O47/SQRT(COUNT(O28:O43))</f>
        <v>0.14835784370808847</v>
      </c>
      <c r="P48" s="8">
        <f t="shared" si="41"/>
        <v>0.12590975587577705</v>
      </c>
      <c r="Q48" s="8">
        <f t="shared" si="41"/>
        <v>4.394681809711534E-3</v>
      </c>
      <c r="R48" s="8">
        <f t="shared" si="41"/>
        <v>0.2184910197320665</v>
      </c>
      <c r="S48" s="8">
        <f t="shared" ref="S48:AK48" si="42" xml:space="preserve"> S47/SQRT(COUNT(S28:S43))</f>
        <v>0.23216278727890291</v>
      </c>
      <c r="T48" s="8">
        <f t="shared" si="42"/>
        <v>0.29997072047114443</v>
      </c>
      <c r="U48" s="8">
        <f t="shared" si="42"/>
        <v>0.28411942028317388</v>
      </c>
      <c r="V48" s="8">
        <f t="shared" si="42"/>
        <v>7.1102546517884918E-2</v>
      </c>
      <c r="W48" s="8" t="e">
        <f t="shared" si="42"/>
        <v>#DIV/0!</v>
      </c>
      <c r="X48" s="8" t="e">
        <f t="shared" si="42"/>
        <v>#DIV/0!</v>
      </c>
      <c r="Y48" s="8" t="e">
        <f t="shared" si="42"/>
        <v>#DIV/0!</v>
      </c>
      <c r="Z48" s="8" t="e">
        <f t="shared" si="42"/>
        <v>#DIV/0!</v>
      </c>
      <c r="AA48" s="8" t="e">
        <f t="shared" si="42"/>
        <v>#DIV/0!</v>
      </c>
      <c r="AB48" s="8" t="e">
        <f t="shared" si="42"/>
        <v>#DIV/0!</v>
      </c>
      <c r="AC48" s="8" t="e">
        <f t="shared" si="42"/>
        <v>#DIV/0!</v>
      </c>
      <c r="AD48" s="8" t="e">
        <f t="shared" si="42"/>
        <v>#DIV/0!</v>
      </c>
      <c r="AE48" s="8" t="e">
        <f t="shared" si="42"/>
        <v>#DIV/0!</v>
      </c>
      <c r="AF48" s="8" t="e">
        <f t="shared" si="42"/>
        <v>#DIV/0!</v>
      </c>
      <c r="AG48" s="8" t="e">
        <f t="shared" si="42"/>
        <v>#DIV/0!</v>
      </c>
      <c r="AH48" s="8" t="e">
        <f t="shared" si="42"/>
        <v>#DIV/0!</v>
      </c>
      <c r="AI48" s="8" t="e">
        <f t="shared" si="42"/>
        <v>#DIV/0!</v>
      </c>
      <c r="AJ48" s="8" t="e">
        <f t="shared" si="42"/>
        <v>#DIV/0!</v>
      </c>
      <c r="AK48" s="8" t="e">
        <f t="shared" si="42"/>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1" t="s">
        <v>24</v>
      </c>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3"/>
    </row>
    <row r="51" spans="1:37" customFormat="1" ht="15.75" thickBot="1" x14ac:dyDescent="0.3">
      <c r="AE51" s="1"/>
      <c r="AF51" s="1"/>
      <c r="AG51" s="1"/>
      <c r="AH51" s="1"/>
      <c r="AI51" s="1"/>
      <c r="AJ51" s="1"/>
    </row>
    <row r="52" spans="1:37" x14ac:dyDescent="0.25">
      <c r="A52" s="29" t="str">
        <f t="shared" ref="A52:H52" si="43">A27</f>
        <v>Noms des groupes</v>
      </c>
      <c r="B52" s="30" t="str">
        <f t="shared" si="43"/>
        <v>Solvent control</v>
      </c>
      <c r="C52" s="30" t="str">
        <f t="shared" si="43"/>
        <v>EE2-33.8ng/L</v>
      </c>
      <c r="D52" s="30" t="str">
        <f t="shared" si="43"/>
        <v>EE2-50.6ng/L</v>
      </c>
      <c r="E52" s="30" t="str">
        <f t="shared" si="43"/>
        <v>EE2-76ng/L</v>
      </c>
      <c r="F52" s="30" t="str">
        <f t="shared" si="43"/>
        <v>EE2-114ng/L</v>
      </c>
      <c r="G52" s="30" t="str">
        <f t="shared" si="43"/>
        <v>EE2-170.9ng/L</v>
      </c>
      <c r="H52" s="30" t="str">
        <f t="shared" si="43"/>
        <v>EE2-488ng/L</v>
      </c>
      <c r="I52" s="30" t="str">
        <f>I4</f>
        <v>Estradiol-34ng/L</v>
      </c>
      <c r="J52" s="30" t="str">
        <f>J4</f>
        <v>Estradiol-68ng/L</v>
      </c>
      <c r="K52" s="30" t="str">
        <f t="shared" ref="K52:M52" si="44">K4</f>
        <v>Estradiol-135ng/L</v>
      </c>
      <c r="L52" s="30" t="str">
        <f t="shared" si="44"/>
        <v>Estradiol-270ng/L</v>
      </c>
      <c r="M52" s="30" t="str">
        <f t="shared" si="44"/>
        <v>Estradiol-540ng/L</v>
      </c>
      <c r="N52" s="31"/>
      <c r="O52" s="30" t="str">
        <f>O27</f>
        <v>Testo -30µg/L</v>
      </c>
      <c r="P52" s="30" t="str">
        <f>P27</f>
        <v>Testo 30µg/L + EE2 -64ng/L</v>
      </c>
      <c r="Q52" s="30" t="str">
        <f>Q27</f>
        <v>Testo 30µg/L + FAD-10mg/L</v>
      </c>
      <c r="R52" s="30" t="str">
        <f>R27</f>
        <v>Estradiol-34ng/L + Testostérone</v>
      </c>
      <c r="S52" s="30" t="str">
        <f t="shared" ref="S52:AC52" si="45">S27</f>
        <v>Estradiol-68ng/L + Testostérone</v>
      </c>
      <c r="T52" s="30" t="str">
        <f t="shared" si="45"/>
        <v>Estradiol-135ng/L + Testostérone</v>
      </c>
      <c r="U52" s="30" t="str">
        <f t="shared" si="45"/>
        <v>Estradiol-270ng/L + Testostérone</v>
      </c>
      <c r="V52" s="30" t="str">
        <f t="shared" si="45"/>
        <v>Estradiol-540ng/L + Testostérone</v>
      </c>
      <c r="W52" s="30" t="str">
        <f t="shared" si="45"/>
        <v>0-00 + Testostérone</v>
      </c>
      <c r="X52" s="30" t="str">
        <f t="shared" si="45"/>
        <v>0-00 + Testostérone</v>
      </c>
      <c r="Y52" s="30" t="str">
        <f t="shared" si="45"/>
        <v>0-00 + Testostérone</v>
      </c>
      <c r="Z52" s="30" t="str">
        <f t="shared" si="45"/>
        <v>0-00 + Testostérone</v>
      </c>
      <c r="AA52" s="30" t="str">
        <f t="shared" si="45"/>
        <v>0-00 + Testostérone</v>
      </c>
      <c r="AB52" s="30" t="str">
        <f t="shared" si="45"/>
        <v>0-00 + Testostérone</v>
      </c>
      <c r="AC52" s="30" t="str">
        <f t="shared" si="45"/>
        <v>0-00 + Testostérone</v>
      </c>
      <c r="AD52" s="30" t="str">
        <f t="shared" ref="AD52:AK52" si="46">AD27</f>
        <v>0-00 + Testostérone</v>
      </c>
      <c r="AE52" s="30" t="str">
        <f t="shared" si="46"/>
        <v>0-00 + Testostérone</v>
      </c>
      <c r="AF52" s="30" t="str">
        <f t="shared" si="46"/>
        <v>0-00 + Testostérone</v>
      </c>
      <c r="AG52" s="30" t="str">
        <f t="shared" si="46"/>
        <v>0-00 + Testostérone</v>
      </c>
      <c r="AH52" s="30" t="str">
        <f t="shared" si="46"/>
        <v>0-00 + Testostérone</v>
      </c>
      <c r="AI52" s="30" t="str">
        <f t="shared" si="46"/>
        <v>0-00 + Testostérone</v>
      </c>
      <c r="AJ52" s="30" t="str">
        <f t="shared" si="46"/>
        <v>0-00 + Testostérone</v>
      </c>
      <c r="AK52" s="30" t="str">
        <f t="shared" si="46"/>
        <v>0-00 + Testostérone</v>
      </c>
    </row>
    <row r="53" spans="1:37" s="3" customFormat="1" x14ac:dyDescent="0.25">
      <c r="A53" s="46" t="s">
        <v>15</v>
      </c>
      <c r="B53" s="78">
        <f t="shared" ref="B53" si="47">B46</f>
        <v>6.1925165756057552E-3</v>
      </c>
      <c r="C53" s="78">
        <f t="shared" ref="C53:AK53" si="48">C46</f>
        <v>1.680417315551215E-2</v>
      </c>
      <c r="D53" s="78">
        <f t="shared" si="48"/>
        <v>1.7512093641637982E-2</v>
      </c>
      <c r="E53" s="78">
        <f t="shared" si="48"/>
        <v>0.50741452217665617</v>
      </c>
      <c r="F53" s="78">
        <f t="shared" si="48"/>
        <v>0.46068155478952139</v>
      </c>
      <c r="G53" s="78">
        <f t="shared" si="48"/>
        <v>1.542880521307334</v>
      </c>
      <c r="H53" s="78">
        <f t="shared" si="48"/>
        <v>2.0702312284872106</v>
      </c>
      <c r="I53" s="78">
        <f t="shared" si="48"/>
        <v>3.8634275303432801E-3</v>
      </c>
      <c r="J53" s="78">
        <f t="shared" si="48"/>
        <v>3.4595436430206968E-2</v>
      </c>
      <c r="K53" s="78">
        <f t="shared" si="48"/>
        <v>6.974395854221499E-2</v>
      </c>
      <c r="L53" s="78">
        <f t="shared" si="48"/>
        <v>1.1251195828887548</v>
      </c>
      <c r="M53" s="78">
        <f t="shared" si="48"/>
        <v>2.299611767415942</v>
      </c>
      <c r="N53" s="78"/>
      <c r="O53" s="78">
        <f t="shared" si="48"/>
        <v>0.99999999999999978</v>
      </c>
      <c r="P53" s="78">
        <f t="shared" si="48"/>
        <v>1.6561416699057692</v>
      </c>
      <c r="Q53" s="78">
        <f t="shared" si="48"/>
        <v>5.2721177906138736E-3</v>
      </c>
      <c r="R53" s="78">
        <f t="shared" si="48"/>
        <v>1.1585430322185544</v>
      </c>
      <c r="S53" s="78">
        <f t="shared" si="48"/>
        <v>0.87877040442894672</v>
      </c>
      <c r="T53" s="78">
        <f t="shared" si="48"/>
        <v>1.422782270524714</v>
      </c>
      <c r="U53" s="78">
        <f t="shared" si="48"/>
        <v>1.6060151789184751</v>
      </c>
      <c r="V53" s="78">
        <f t="shared" si="48"/>
        <v>2.2905354708513999</v>
      </c>
      <c r="W53" s="78" t="e">
        <f t="shared" si="48"/>
        <v>#DIV/0!</v>
      </c>
      <c r="X53" s="78" t="e">
        <f t="shared" si="48"/>
        <v>#DIV/0!</v>
      </c>
      <c r="Y53" s="78" t="e">
        <f t="shared" si="48"/>
        <v>#DIV/0!</v>
      </c>
      <c r="Z53" s="78" t="e">
        <f t="shared" si="48"/>
        <v>#DIV/0!</v>
      </c>
      <c r="AA53" s="78" t="e">
        <f t="shared" si="48"/>
        <v>#DIV/0!</v>
      </c>
      <c r="AB53" s="78" t="e">
        <f t="shared" si="48"/>
        <v>#DIV/0!</v>
      </c>
      <c r="AC53" s="78" t="e">
        <f t="shared" si="48"/>
        <v>#DIV/0!</v>
      </c>
      <c r="AD53" s="78" t="e">
        <f t="shared" si="48"/>
        <v>#DIV/0!</v>
      </c>
      <c r="AE53" s="78" t="e">
        <f t="shared" si="48"/>
        <v>#DIV/0!</v>
      </c>
      <c r="AF53" s="78" t="e">
        <f t="shared" si="48"/>
        <v>#DIV/0!</v>
      </c>
      <c r="AG53" s="78" t="e">
        <f t="shared" si="48"/>
        <v>#DIV/0!</v>
      </c>
      <c r="AH53" s="78" t="e">
        <f t="shared" si="48"/>
        <v>#DIV/0!</v>
      </c>
      <c r="AI53" s="78" t="e">
        <f t="shared" si="48"/>
        <v>#DIV/0!</v>
      </c>
      <c r="AJ53" s="78" t="e">
        <f t="shared" si="48"/>
        <v>#DIV/0!</v>
      </c>
      <c r="AK53" s="78" t="e">
        <f t="shared" si="48"/>
        <v>#DIV/0!</v>
      </c>
    </row>
    <row r="54" spans="1:37" s="3" customFormat="1" x14ac:dyDescent="0.25">
      <c r="A54" s="46" t="s">
        <v>2</v>
      </c>
      <c r="B54" s="78">
        <f t="shared" ref="B54" si="49">B48</f>
        <v>4.4457783237883703E-3</v>
      </c>
      <c r="C54" s="78">
        <f t="shared" ref="C54:AK54" si="50">C48</f>
        <v>1.6149330912242178E-2</v>
      </c>
      <c r="D54" s="78">
        <f t="shared" si="50"/>
        <v>1.221801166423396E-2</v>
      </c>
      <c r="E54" s="78">
        <f t="shared" si="50"/>
        <v>0.33160123345843961</v>
      </c>
      <c r="F54" s="78">
        <f t="shared" si="50"/>
        <v>0.20018583112072222</v>
      </c>
      <c r="G54" s="78">
        <f t="shared" si="50"/>
        <v>0.15897694283071465</v>
      </c>
      <c r="H54" s="78">
        <f t="shared" si="50"/>
        <v>0.18073052402236478</v>
      </c>
      <c r="I54" s="78">
        <f t="shared" si="50"/>
        <v>3.1705752638620539E-3</v>
      </c>
      <c r="J54" s="78">
        <f t="shared" si="50"/>
        <v>2.1964842460442776E-2</v>
      </c>
      <c r="K54" s="78">
        <f t="shared" si="50"/>
        <v>4.1826766104075645E-2</v>
      </c>
      <c r="L54" s="78">
        <f t="shared" si="50"/>
        <v>0.15168079766185183</v>
      </c>
      <c r="M54" s="78">
        <f t="shared" si="50"/>
        <v>0.1706253681302724</v>
      </c>
      <c r="N54" s="78"/>
      <c r="O54" s="78">
        <f t="shared" si="50"/>
        <v>0.14835784370808847</v>
      </c>
      <c r="P54" s="78">
        <f t="shared" si="50"/>
        <v>0.12590975587577705</v>
      </c>
      <c r="Q54" s="78">
        <f t="shared" si="50"/>
        <v>4.394681809711534E-3</v>
      </c>
      <c r="R54" s="78">
        <f t="shared" si="50"/>
        <v>0.2184910197320665</v>
      </c>
      <c r="S54" s="78">
        <f t="shared" si="50"/>
        <v>0.23216278727890291</v>
      </c>
      <c r="T54" s="78">
        <f t="shared" si="50"/>
        <v>0.29997072047114443</v>
      </c>
      <c r="U54" s="78">
        <f t="shared" si="50"/>
        <v>0.28411942028317388</v>
      </c>
      <c r="V54" s="78">
        <f t="shared" si="50"/>
        <v>7.1102546517884918E-2</v>
      </c>
      <c r="W54" s="78" t="e">
        <f t="shared" si="50"/>
        <v>#DIV/0!</v>
      </c>
      <c r="X54" s="78" t="e">
        <f t="shared" si="50"/>
        <v>#DIV/0!</v>
      </c>
      <c r="Y54" s="78" t="e">
        <f t="shared" si="50"/>
        <v>#DIV/0!</v>
      </c>
      <c r="Z54" s="78" t="e">
        <f t="shared" si="50"/>
        <v>#DIV/0!</v>
      </c>
      <c r="AA54" s="78" t="e">
        <f t="shared" si="50"/>
        <v>#DIV/0!</v>
      </c>
      <c r="AB54" s="78" t="e">
        <f t="shared" si="50"/>
        <v>#DIV/0!</v>
      </c>
      <c r="AC54" s="78" t="e">
        <f t="shared" si="50"/>
        <v>#DIV/0!</v>
      </c>
      <c r="AD54" s="78" t="e">
        <f t="shared" si="50"/>
        <v>#DIV/0!</v>
      </c>
      <c r="AE54" s="78" t="e">
        <f t="shared" si="50"/>
        <v>#DIV/0!</v>
      </c>
      <c r="AF54" s="78" t="e">
        <f t="shared" si="50"/>
        <v>#DIV/0!</v>
      </c>
      <c r="AG54" s="78" t="e">
        <f t="shared" si="50"/>
        <v>#DIV/0!</v>
      </c>
      <c r="AH54" s="78" t="e">
        <f t="shared" si="50"/>
        <v>#DIV/0!</v>
      </c>
      <c r="AI54" s="78" t="e">
        <f t="shared" si="50"/>
        <v>#DIV/0!</v>
      </c>
      <c r="AJ54" s="78" t="e">
        <f t="shared" si="50"/>
        <v>#DIV/0!</v>
      </c>
      <c r="AK54" s="78" t="e">
        <f t="shared" si="50"/>
        <v>#DIV/0!</v>
      </c>
    </row>
    <row r="55" spans="1:37" s="3" customFormat="1" x14ac:dyDescent="0.25">
      <c r="A55" s="46" t="s">
        <v>42</v>
      </c>
      <c r="B55" s="78">
        <f>(B53*100/$B53)-100</f>
        <v>0</v>
      </c>
      <c r="C55" s="78">
        <f t="shared" ref="C55:M55" si="51">(C53*100/$B53)-100</f>
        <v>171.36258660508076</v>
      </c>
      <c r="D55" s="78">
        <f t="shared" si="51"/>
        <v>182.79445727482675</v>
      </c>
      <c r="E55" s="78">
        <f t="shared" si="51"/>
        <v>8093.9953810623538</v>
      </c>
      <c r="F55" s="78">
        <f t="shared" si="51"/>
        <v>7339.3269548003955</v>
      </c>
      <c r="G55" s="78">
        <f t="shared" si="51"/>
        <v>24815.242494226328</v>
      </c>
      <c r="H55" s="78">
        <f t="shared" si="51"/>
        <v>33331.177829099302</v>
      </c>
      <c r="I55" s="78">
        <f t="shared" si="51"/>
        <v>-37.611349389640388</v>
      </c>
      <c r="J55" s="78">
        <f t="shared" si="51"/>
        <v>458.6652212848187</v>
      </c>
      <c r="K55" s="78">
        <f t="shared" si="51"/>
        <v>1026.2619597492576</v>
      </c>
      <c r="L55" s="78">
        <f t="shared" si="51"/>
        <v>18069.02012537116</v>
      </c>
      <c r="M55" s="78">
        <f t="shared" si="51"/>
        <v>37035.334872979205</v>
      </c>
      <c r="N55" s="78"/>
      <c r="O55" s="78">
        <f>(O53*100/$O53)-100</f>
        <v>0</v>
      </c>
      <c r="P55" s="78">
        <f t="shared" ref="P55:AK55" si="52">(P53*100/$O53)-100</f>
        <v>65.614166990576933</v>
      </c>
      <c r="Q55" s="78">
        <f t="shared" si="52"/>
        <v>-99.472788220938611</v>
      </c>
      <c r="R55" s="78">
        <f t="shared" si="52"/>
        <v>15.85430322185546</v>
      </c>
      <c r="S55" s="78">
        <f t="shared" si="52"/>
        <v>-12.122959557105318</v>
      </c>
      <c r="T55" s="78">
        <f t="shared" si="52"/>
        <v>42.278227052471436</v>
      </c>
      <c r="U55" s="78">
        <f t="shared" si="52"/>
        <v>60.60151789184755</v>
      </c>
      <c r="V55" s="78">
        <f t="shared" si="52"/>
        <v>129.05354708514005</v>
      </c>
      <c r="W55" s="78" t="e">
        <f t="shared" si="52"/>
        <v>#DIV/0!</v>
      </c>
      <c r="X55" s="78" t="e">
        <f t="shared" si="52"/>
        <v>#DIV/0!</v>
      </c>
      <c r="Y55" s="78" t="e">
        <f t="shared" si="52"/>
        <v>#DIV/0!</v>
      </c>
      <c r="Z55" s="78" t="e">
        <f t="shared" si="52"/>
        <v>#DIV/0!</v>
      </c>
      <c r="AA55" s="78" t="e">
        <f t="shared" si="52"/>
        <v>#DIV/0!</v>
      </c>
      <c r="AB55" s="78" t="e">
        <f t="shared" si="52"/>
        <v>#DIV/0!</v>
      </c>
      <c r="AC55" s="78" t="e">
        <f t="shared" si="52"/>
        <v>#DIV/0!</v>
      </c>
      <c r="AD55" s="78" t="e">
        <f t="shared" si="52"/>
        <v>#DIV/0!</v>
      </c>
      <c r="AE55" s="78" t="e">
        <f t="shared" si="52"/>
        <v>#DIV/0!</v>
      </c>
      <c r="AF55" s="78" t="e">
        <f t="shared" si="52"/>
        <v>#DIV/0!</v>
      </c>
      <c r="AG55" s="78" t="e">
        <f t="shared" si="52"/>
        <v>#DIV/0!</v>
      </c>
      <c r="AH55" s="78" t="e">
        <f t="shared" si="52"/>
        <v>#DIV/0!</v>
      </c>
      <c r="AI55" s="78" t="e">
        <f t="shared" si="52"/>
        <v>#DIV/0!</v>
      </c>
      <c r="AJ55" s="78" t="e">
        <f t="shared" si="52"/>
        <v>#DIV/0!</v>
      </c>
      <c r="AK55" s="78" t="e">
        <f t="shared" si="52"/>
        <v>#DIV/0!</v>
      </c>
    </row>
    <row r="56" spans="1:37" s="3" customFormat="1" x14ac:dyDescent="0.25">
      <c r="A56" s="46" t="s">
        <v>43</v>
      </c>
      <c r="B56" s="78" t="e">
        <f ca="1">[1]!SWTEST(B28:B43)</f>
        <v>#NAME?</v>
      </c>
      <c r="C56" s="78" t="e">
        <f ca="1">[1]!SWTEST(C28:C43)</f>
        <v>#NAME?</v>
      </c>
      <c r="D56" s="78" t="e">
        <f ca="1">[1]!SWTEST(D28:D43)</f>
        <v>#NAME?</v>
      </c>
      <c r="E56" s="78" t="e">
        <f ca="1">[1]!SWTEST(E28:E43)</f>
        <v>#NAME?</v>
      </c>
      <c r="F56" s="78" t="e">
        <f ca="1">[1]!SWTEST(F28:F43)</f>
        <v>#NAME?</v>
      </c>
      <c r="G56" s="78" t="e">
        <f ca="1">[1]!SWTEST(G28:G43)</f>
        <v>#NAME?</v>
      </c>
      <c r="H56" s="78" t="e">
        <f ca="1">[1]!SWTEST(H28:H43)</f>
        <v>#NAME?</v>
      </c>
      <c r="I56" s="78" t="e">
        <f ca="1">[1]!SWTEST(I28:I43)</f>
        <v>#NAME?</v>
      </c>
      <c r="J56" s="78" t="e">
        <f ca="1">[1]!SWTEST(J28:J43)</f>
        <v>#NAME?</v>
      </c>
      <c r="K56" s="78" t="e">
        <f ca="1">[1]!SWTEST(K28:K43)</f>
        <v>#NAME?</v>
      </c>
      <c r="L56" s="78" t="e">
        <f ca="1">[1]!SWTEST(L28:L43)</f>
        <v>#NAME?</v>
      </c>
      <c r="M56" s="78" t="e">
        <f ca="1">[1]!SWTEST(M28:M43)</f>
        <v>#NAME?</v>
      </c>
      <c r="N56" s="78"/>
      <c r="O56" s="78" t="e">
        <f ca="1">[1]!SWTEST(O28:O43)</f>
        <v>#NAME?</v>
      </c>
      <c r="P56" s="78" t="e">
        <f ca="1">[1]!SWTEST(P28:P43)</f>
        <v>#NAME?</v>
      </c>
      <c r="Q56" s="78" t="e">
        <f ca="1">[1]!SWTEST(Q28:Q43)</f>
        <v>#NAME?</v>
      </c>
      <c r="R56" s="78" t="e">
        <f ca="1">[1]!SWTEST(R28:R43)</f>
        <v>#NAME?</v>
      </c>
      <c r="S56" s="78" t="e">
        <f ca="1">[1]!SWTEST(S28:S43)</f>
        <v>#NAME?</v>
      </c>
      <c r="T56" s="78" t="e">
        <f ca="1">[1]!SWTEST(T28:T43)</f>
        <v>#NAME?</v>
      </c>
      <c r="U56" s="78" t="e">
        <f ca="1">[1]!SWTEST(U28:U43)</f>
        <v>#NAME?</v>
      </c>
      <c r="V56" s="78" t="e">
        <f ca="1">[1]!SWTEST(V28:V43)</f>
        <v>#NAME?</v>
      </c>
      <c r="W56" s="78" t="e">
        <f ca="1">[1]!SWTEST(W28:W43)</f>
        <v>#NAME?</v>
      </c>
      <c r="X56" s="78" t="e">
        <f ca="1">[1]!SWTEST(X28:X43)</f>
        <v>#NAME?</v>
      </c>
      <c r="Y56" s="78" t="e">
        <f ca="1">[1]!SWTEST(Y28:Y43)</f>
        <v>#NAME?</v>
      </c>
      <c r="Z56" s="78" t="e">
        <f ca="1">[1]!SWTEST(Z28:Z43)</f>
        <v>#NAME?</v>
      </c>
      <c r="AA56" s="78" t="e">
        <f ca="1">[1]!SWTEST(AA28:AA43)</f>
        <v>#NAME?</v>
      </c>
      <c r="AB56" s="78" t="e">
        <f ca="1">[1]!SWTEST(AB28:AB43)</f>
        <v>#NAME?</v>
      </c>
      <c r="AC56" s="78" t="e">
        <f ca="1">[1]!SWTEST(AC28:AC43)</f>
        <v>#NAME?</v>
      </c>
      <c r="AD56" s="78" t="e">
        <f ca="1">[1]!SWTEST(AD28:AD43)</f>
        <v>#NAME?</v>
      </c>
      <c r="AE56" s="78" t="e">
        <f ca="1">[1]!SWTEST(AE28:AE43)</f>
        <v>#NAME?</v>
      </c>
      <c r="AF56" s="78" t="e">
        <f ca="1">[1]!SWTEST(AF28:AF43)</f>
        <v>#NAME?</v>
      </c>
      <c r="AG56" s="78" t="e">
        <f ca="1">[1]!SWTEST(AG28:AG43)</f>
        <v>#NAME?</v>
      </c>
      <c r="AH56" s="78" t="e">
        <f ca="1">[1]!SWTEST(AH28:AH43)</f>
        <v>#NAME?</v>
      </c>
      <c r="AI56" s="78" t="e">
        <f ca="1">[1]!SWTEST(AI28:AI43)</f>
        <v>#NAME?</v>
      </c>
      <c r="AJ56" s="78" t="e">
        <f ca="1">[1]!SWTEST(AJ28:AJ43)</f>
        <v>#NAME?</v>
      </c>
      <c r="AK56" s="78" t="e">
        <f ca="1">[1]!SWTEST(AK28:AK43)</f>
        <v>#NAME?</v>
      </c>
    </row>
    <row r="57" spans="1:37" s="3" customFormat="1" x14ac:dyDescent="0.25">
      <c r="A57" s="46" t="s">
        <v>47</v>
      </c>
      <c r="B57" s="78" t="e">
        <f ca="1">IF(B56&gt;0.05,"Oui","Non")</f>
        <v>#NAME?</v>
      </c>
      <c r="C57" s="78" t="e">
        <f t="shared" ref="C57:AK57" ca="1" si="53">IF(C56&gt;0.05,"Oui","Non")</f>
        <v>#NAME?</v>
      </c>
      <c r="D57" s="78" t="e">
        <f t="shared" ca="1" si="53"/>
        <v>#NAME?</v>
      </c>
      <c r="E57" s="78" t="e">
        <f t="shared" ca="1" si="53"/>
        <v>#NAME?</v>
      </c>
      <c r="F57" s="78" t="e">
        <f t="shared" ca="1" si="53"/>
        <v>#NAME?</v>
      </c>
      <c r="G57" s="78" t="e">
        <f t="shared" ca="1" si="53"/>
        <v>#NAME?</v>
      </c>
      <c r="H57" s="78" t="e">
        <f t="shared" ca="1" si="53"/>
        <v>#NAME?</v>
      </c>
      <c r="I57" s="78" t="e">
        <f t="shared" ca="1" si="53"/>
        <v>#NAME?</v>
      </c>
      <c r="J57" s="78" t="e">
        <f t="shared" ca="1" si="53"/>
        <v>#NAME?</v>
      </c>
      <c r="K57" s="78" t="e">
        <f t="shared" ca="1" si="53"/>
        <v>#NAME?</v>
      </c>
      <c r="L57" s="78" t="e">
        <f t="shared" ca="1" si="53"/>
        <v>#NAME?</v>
      </c>
      <c r="M57" s="78" t="e">
        <f t="shared" ca="1" si="53"/>
        <v>#NAME?</v>
      </c>
      <c r="N57" s="78"/>
      <c r="O57" s="78" t="e">
        <f t="shared" ca="1" si="53"/>
        <v>#NAME?</v>
      </c>
      <c r="P57" s="78" t="e">
        <f t="shared" ca="1" si="53"/>
        <v>#NAME?</v>
      </c>
      <c r="Q57" s="78" t="e">
        <f t="shared" ca="1" si="53"/>
        <v>#NAME?</v>
      </c>
      <c r="R57" s="78" t="e">
        <f t="shared" ca="1" si="53"/>
        <v>#NAME?</v>
      </c>
      <c r="S57" s="78" t="e">
        <f t="shared" ca="1" si="53"/>
        <v>#NAME?</v>
      </c>
      <c r="T57" s="78" t="e">
        <f t="shared" ca="1" si="53"/>
        <v>#NAME?</v>
      </c>
      <c r="U57" s="78" t="e">
        <f t="shared" ca="1" si="53"/>
        <v>#NAME?</v>
      </c>
      <c r="V57" s="78" t="e">
        <f t="shared" ca="1" si="53"/>
        <v>#NAME?</v>
      </c>
      <c r="W57" s="78" t="e">
        <f t="shared" ca="1" si="53"/>
        <v>#NAME?</v>
      </c>
      <c r="X57" s="78" t="e">
        <f t="shared" ca="1" si="53"/>
        <v>#NAME?</v>
      </c>
      <c r="Y57" s="78" t="e">
        <f t="shared" ca="1" si="53"/>
        <v>#NAME?</v>
      </c>
      <c r="Z57" s="78" t="e">
        <f t="shared" ca="1" si="53"/>
        <v>#NAME?</v>
      </c>
      <c r="AA57" s="78" t="e">
        <f t="shared" ca="1" si="53"/>
        <v>#NAME?</v>
      </c>
      <c r="AB57" s="78" t="e">
        <f t="shared" ca="1" si="53"/>
        <v>#NAME?</v>
      </c>
      <c r="AC57" s="78" t="e">
        <f t="shared" ca="1" si="53"/>
        <v>#NAME?</v>
      </c>
      <c r="AD57" s="78" t="e">
        <f t="shared" ca="1" si="53"/>
        <v>#NAME?</v>
      </c>
      <c r="AE57" s="78" t="e">
        <f t="shared" ca="1" si="53"/>
        <v>#NAME?</v>
      </c>
      <c r="AF57" s="78" t="e">
        <f t="shared" ca="1" si="53"/>
        <v>#NAME?</v>
      </c>
      <c r="AG57" s="78" t="e">
        <f t="shared" ca="1" si="53"/>
        <v>#NAME?</v>
      </c>
      <c r="AH57" s="78" t="e">
        <f t="shared" ca="1" si="53"/>
        <v>#NAME?</v>
      </c>
      <c r="AI57" s="78" t="e">
        <f t="shared" ca="1" si="53"/>
        <v>#NAME?</v>
      </c>
      <c r="AJ57" s="78" t="e">
        <f t="shared" ca="1" si="53"/>
        <v>#NAME?</v>
      </c>
      <c r="AK57" s="78" t="e">
        <f t="shared" ca="1" si="53"/>
        <v>#NAME?</v>
      </c>
    </row>
    <row r="58" spans="1:37" s="3" customFormat="1" x14ac:dyDescent="0.25">
      <c r="A58" s="46"/>
      <c r="B58" s="78"/>
      <c r="C58" s="78"/>
      <c r="D58" s="78"/>
      <c r="E58" s="78"/>
      <c r="F58" s="78"/>
      <c r="G58" s="78"/>
      <c r="H58" s="78"/>
      <c r="I58" s="78"/>
      <c r="J58" s="78"/>
      <c r="K58" s="78"/>
      <c r="L58" s="78"/>
      <c r="M58" s="78"/>
      <c r="N58" s="80"/>
      <c r="O58" s="81"/>
      <c r="P58" s="78"/>
      <c r="Q58" s="78"/>
      <c r="R58" s="78"/>
      <c r="S58" s="78"/>
      <c r="T58" s="78"/>
      <c r="U58" s="78"/>
      <c r="V58" s="78"/>
      <c r="W58" s="78"/>
      <c r="X58" s="78"/>
      <c r="Y58" s="78"/>
      <c r="Z58" s="78"/>
      <c r="AA58" s="78"/>
      <c r="AB58" s="78"/>
      <c r="AC58" s="78"/>
      <c r="AD58" s="78"/>
      <c r="AE58" s="82"/>
      <c r="AF58" s="82"/>
      <c r="AG58" s="82"/>
      <c r="AH58" s="82"/>
      <c r="AI58" s="82"/>
      <c r="AJ58" s="82"/>
      <c r="AK58" s="83"/>
    </row>
    <row r="59" spans="1:37" s="3" customFormat="1" x14ac:dyDescent="0.25">
      <c r="A59" s="46" t="s">
        <v>44</v>
      </c>
      <c r="B59" s="84"/>
      <c r="C59" s="84" t="e">
        <f t="shared" ref="C59:O59" ca="1" si="54">IF($B57="Non",IF(C57="Non","MW",IF(C57="Oui","MW","")),IF($B57="Oui",IF(C57="Oui","T-Test Welch",IF(C57="Non","MW",""))))</f>
        <v>#NAME?</v>
      </c>
      <c r="D59" s="84" t="e">
        <f t="shared" ca="1" si="54"/>
        <v>#NAME?</v>
      </c>
      <c r="E59" s="84" t="e">
        <f t="shared" ca="1" si="54"/>
        <v>#NAME?</v>
      </c>
      <c r="F59" s="84" t="e">
        <f t="shared" ca="1" si="54"/>
        <v>#NAME?</v>
      </c>
      <c r="G59" s="84" t="e">
        <f t="shared" ca="1" si="54"/>
        <v>#NAME?</v>
      </c>
      <c r="H59" s="84" t="e">
        <f t="shared" ca="1" si="54"/>
        <v>#NAME?</v>
      </c>
      <c r="I59" s="84" t="e">
        <f t="shared" ca="1" si="54"/>
        <v>#NAME?</v>
      </c>
      <c r="J59" s="84" t="e">
        <f t="shared" ca="1" si="54"/>
        <v>#NAME?</v>
      </c>
      <c r="K59" s="84" t="e">
        <f t="shared" ca="1" si="54"/>
        <v>#NAME?</v>
      </c>
      <c r="L59" s="84" t="e">
        <f t="shared" ca="1" si="54"/>
        <v>#NAME?</v>
      </c>
      <c r="M59" s="84" t="e">
        <f t="shared" ca="1" si="54"/>
        <v>#NAME?</v>
      </c>
      <c r="N59" s="84"/>
      <c r="O59" s="84" t="e">
        <f t="shared" ca="1" si="54"/>
        <v>#NAME?</v>
      </c>
      <c r="P59" s="84" t="e">
        <f ca="1">IF($O57="Non",IF(P57="Non","MW",IF(P57="Oui","MW","")),IF($O57="Oui",IF(P57="Oui","T-Test Welch",IF(P57="Non","MW",""))))</f>
        <v>#NAME?</v>
      </c>
      <c r="Q59" s="84" t="e">
        <f t="shared" ref="Q59:AK59" ca="1" si="55">IF($O57="Non",IF(Q57="Non","MW",IF(Q57="Oui","MW","")),IF($O57="Oui",IF(Q57="Oui","T-Test Welch",IF(Q57="Non","MW",""))))</f>
        <v>#NAME?</v>
      </c>
      <c r="R59" s="84" t="e">
        <f t="shared" ca="1" si="55"/>
        <v>#NAME?</v>
      </c>
      <c r="S59" s="84" t="e">
        <f t="shared" ca="1" si="55"/>
        <v>#NAME?</v>
      </c>
      <c r="T59" s="84" t="e">
        <f t="shared" ca="1" si="55"/>
        <v>#NAME?</v>
      </c>
      <c r="U59" s="84" t="e">
        <f t="shared" ca="1" si="55"/>
        <v>#NAME?</v>
      </c>
      <c r="V59" s="84" t="e">
        <f t="shared" ca="1" si="55"/>
        <v>#NAME?</v>
      </c>
      <c r="W59" s="84" t="e">
        <f t="shared" ca="1" si="55"/>
        <v>#NAME?</v>
      </c>
      <c r="X59" s="84" t="e">
        <f t="shared" ca="1" si="55"/>
        <v>#NAME?</v>
      </c>
      <c r="Y59" s="84" t="e">
        <f t="shared" ca="1" si="55"/>
        <v>#NAME?</v>
      </c>
      <c r="Z59" s="84" t="e">
        <f t="shared" ca="1" si="55"/>
        <v>#NAME?</v>
      </c>
      <c r="AA59" s="84" t="e">
        <f t="shared" ca="1" si="55"/>
        <v>#NAME?</v>
      </c>
      <c r="AB59" s="84" t="e">
        <f t="shared" ca="1" si="55"/>
        <v>#NAME?</v>
      </c>
      <c r="AC59" s="84" t="e">
        <f t="shared" ca="1" si="55"/>
        <v>#NAME?</v>
      </c>
      <c r="AD59" s="84" t="e">
        <f t="shared" ca="1" si="55"/>
        <v>#NAME?</v>
      </c>
      <c r="AE59" s="84" t="e">
        <f t="shared" ca="1" si="55"/>
        <v>#NAME?</v>
      </c>
      <c r="AF59" s="84" t="e">
        <f t="shared" ca="1" si="55"/>
        <v>#NAME?</v>
      </c>
      <c r="AG59" s="84" t="e">
        <f t="shared" ca="1" si="55"/>
        <v>#NAME?</v>
      </c>
      <c r="AH59" s="84" t="e">
        <f t="shared" ca="1" si="55"/>
        <v>#NAME?</v>
      </c>
      <c r="AI59" s="84" t="e">
        <f t="shared" ca="1" si="55"/>
        <v>#NAME?</v>
      </c>
      <c r="AJ59" s="84" t="e">
        <f t="shared" ca="1" si="55"/>
        <v>#NAME?</v>
      </c>
      <c r="AK59" s="84" t="e">
        <f t="shared" ca="1" si="55"/>
        <v>#NAME?</v>
      </c>
    </row>
    <row r="60" spans="1:37" s="3" customFormat="1" x14ac:dyDescent="0.25">
      <c r="A60" s="46" t="s">
        <v>45</v>
      </c>
      <c r="B60" s="85"/>
      <c r="C60" s="85" t="e">
        <f ca="1">IF(C59="MW",[1]!MTEST($B28:$B43,C28:C43,2), IF(C59="T-Test Welch",_xlfn.T.TEST($B28:$B43,C28:C43,2,3),""))</f>
        <v>#NAME?</v>
      </c>
      <c r="D60" s="85" t="e">
        <f ca="1">IF(D59="MW",[1]!MTEST($B28:$B43,D28:D43,2), IF(D59="T-Test Welch",_xlfn.T.TEST($B28:$B43,D28:D43,2,3),""))</f>
        <v>#NAME?</v>
      </c>
      <c r="E60" s="85" t="e">
        <f ca="1">IF(E59="MW",[1]!MTEST($B28:$B43,E28:E43,2), IF(E59="T-Test Welch",_xlfn.T.TEST($B28:$B43,E28:E43,2,3),""))</f>
        <v>#NAME?</v>
      </c>
      <c r="F60" s="85" t="e">
        <f ca="1">IF(F59="MW",[1]!MTEST($B28:$B43,F28:F43,2), IF(F59="T-Test Welch",_xlfn.T.TEST($B28:$B43,F28:F43,2,3),""))</f>
        <v>#NAME?</v>
      </c>
      <c r="G60" s="85" t="e">
        <f ca="1">IF(G59="MW",[1]!MTEST($B28:$B43,G28:G43,2), IF(G59="T-Test Welch",_xlfn.T.TEST($B28:$B43,G28:G43,2,3),""))</f>
        <v>#NAME?</v>
      </c>
      <c r="H60" s="85" t="e">
        <f ca="1">IF(H59="MW",[1]!MTEST($B28:$B43,H28:H43,2), IF(H59="T-Test Welch",_xlfn.T.TEST($B28:$B43,H28:H43,2,3),""))</f>
        <v>#NAME?</v>
      </c>
      <c r="I60" s="85" t="e">
        <f ca="1">IF(I59="MW",[1]!MTEST($B28:$B43,I28:I43,2), IF(I59="T-Test Welch",_xlfn.T.TEST($B28:$B43,I28:I43,2,3),""))</f>
        <v>#NAME?</v>
      </c>
      <c r="J60" s="85" t="e">
        <f ca="1">IF(J59="MW",[1]!MTEST($B28:$B43,J28:J43,2), IF(J59="T-Test Welch",_xlfn.T.TEST($B28:$B43,J28:J43,2,3),""))</f>
        <v>#NAME?</v>
      </c>
      <c r="K60" s="85" t="e">
        <f ca="1">IF(K59="MW",[1]!MTEST($B28:$B43,K28:K43,2), IF(K59="T-Test Welch",_xlfn.T.TEST($B28:$B43,K28:K43,2,3),""))</f>
        <v>#NAME?</v>
      </c>
      <c r="L60" s="85" t="e">
        <f ca="1">IF(L59="MW",[1]!MTEST($B28:$B43,L28:L43,2), IF(L59="T-Test Welch",_xlfn.T.TEST($B28:$B43,L28:L43,2,3),""))</f>
        <v>#NAME?</v>
      </c>
      <c r="M60" s="85" t="e">
        <f ca="1">IF(M59="MW",[1]!MTEST($B28:$B43,M28:M43,2), IF(M59="T-Test Welch",_xlfn.T.TEST($B28:$B43,M28:M43,2,3),""))</f>
        <v>#NAME?</v>
      </c>
      <c r="N60" s="85"/>
      <c r="O60" s="85" t="e">
        <f ca="1">IF(O59="MW",[2]!MTEST($B28:$B43,O28:O43,2), IF(O59="T-Test Welch",_xlfn.T.TEST($B28:$B43,O28:O43,2,3),""))</f>
        <v>#NAME?</v>
      </c>
      <c r="P60" s="85" t="e">
        <f ca="1">IF(P59="MW",[2]!MTEST($O28:$O43,P28:P43,2), IF(P59="T-Test Welch",_xlfn.T.TEST($O28:$O43,P28:P43,2,3),""))</f>
        <v>#NAME?</v>
      </c>
      <c r="Q60" s="85" t="e">
        <f ca="1">IF(Q59="MW",[1]!MTEST($O28:$O43,Q28:Q43,2), IF(Q59="T-Test Welch",_xlfn.T.TEST($O28:$O43,Q28:Q43,2,3),""))</f>
        <v>#NAME?</v>
      </c>
      <c r="R60" s="85" t="e">
        <f ca="1">IF(R59="MW",[2]!MTEST($O28:$O43,R28:R43,2), IF(R59="T-Test Welch",_xlfn.T.TEST($O28:$O43,R28:R43,2,3),""))</f>
        <v>#NAME?</v>
      </c>
      <c r="S60" s="85" t="e">
        <f ca="1">IF(S59="MW",[2]!MTEST($O28:$O43,S28:S43,2), IF(S59="T-Test Welch",_xlfn.T.TEST($O28:$O43,S28:S43,2,3),""))</f>
        <v>#NAME?</v>
      </c>
      <c r="T60" s="85" t="e">
        <f ca="1">IF(T59="MW",[2]!MTEST($O28:$O43,T28:T43,2), IF(T59="T-Test Welch",_xlfn.T.TEST($O28:$O43,T28:T43,2,3),""))</f>
        <v>#NAME?</v>
      </c>
      <c r="U60" s="85" t="e">
        <f ca="1">IF(U59="MW",[2]!MTEST($O28:$O43,U28:U43,2), IF(U59="T-Test Welch",_xlfn.T.TEST($O28:$O43,U28:U43,2,3),""))</f>
        <v>#NAME?</v>
      </c>
      <c r="V60" s="85" t="e">
        <f ca="1">IF(V59="MW",[2]!MTEST($O28:$O43,V28:V43,2), IF(V59="T-Test Welch",_xlfn.T.TEST($O28:$O43,V28:V43,2,3),""))</f>
        <v>#NAME?</v>
      </c>
      <c r="W60" s="85" t="e">
        <f ca="1">IF(W59="MW",[2]!MTEST($O28:$O43,W28:W43,2), IF(W59="T-Test Welch",_xlfn.T.TEST($O28:$O43,W28:W43,2,3),""))</f>
        <v>#NAME?</v>
      </c>
      <c r="X60" s="85" t="e">
        <f ca="1">IF(X59="MW",[2]!MTEST($O28:$O43,X28:X43,2), IF(X59="T-Test Welch",_xlfn.T.TEST($O28:$O43,X28:X43,2,3),""))</f>
        <v>#NAME?</v>
      </c>
      <c r="Y60" s="85" t="e">
        <f ca="1">IF(Y59="MW",[2]!MTEST($O28:$O43,Y28:Y43,2), IF(Y59="T-Test Welch",_xlfn.T.TEST($O28:$O43,Y28:Y43,2,3),""))</f>
        <v>#NAME?</v>
      </c>
      <c r="Z60" s="85" t="e">
        <f ca="1">IF(Z59="MW",[2]!MTEST($O28:$O43,Z28:Z43,2), IF(Z59="T-Test Welch",_xlfn.T.TEST($O28:$O43,Z28:Z43,2,3),""))</f>
        <v>#NAME?</v>
      </c>
      <c r="AA60" s="85" t="e">
        <f ca="1">IF(AA59="MW",[2]!MTEST($O28:$O43,AA28:AA43,2), IF(AA59="T-Test Welch",_xlfn.T.TEST($O28:$O43,AA28:AA43,2,3),""))</f>
        <v>#NAME?</v>
      </c>
      <c r="AB60" s="85" t="e">
        <f ca="1">IF(AB59="MW",[2]!MTEST($O28:$O43,AB28:AB43,2), IF(AB59="T-Test Welch",_xlfn.T.TEST($O28:$O43,AB28:AB43,2,3),""))</f>
        <v>#NAME?</v>
      </c>
      <c r="AC60" s="85" t="e">
        <f ca="1">IF(AC59="MW",[2]!MTEST($O28:$O43,AC28:AC43,2), IF(AC59="T-Test Welch",_xlfn.T.TEST($O28:$O43,AC28:AC43,2,3),""))</f>
        <v>#NAME?</v>
      </c>
      <c r="AD60" s="85" t="e">
        <f ca="1">IF(AD59="MW",[2]!MTEST($O28:$O43,AD28:AD43,2), IF(AD59="T-Test Welch",_xlfn.T.TEST($O28:$O43,AD28:AD43,2,3),""))</f>
        <v>#NAME?</v>
      </c>
      <c r="AE60" s="85" t="e">
        <f ca="1">IF(AE59="MW",[2]!MTEST($O28:$O43,AE28:AE43,2), IF(AE59="T-Test Welch",_xlfn.T.TEST($O28:$O43,AE28:AE43,2,3),""))</f>
        <v>#NAME?</v>
      </c>
      <c r="AF60" s="85" t="e">
        <f ca="1">IF(AF59="MW",[2]!MTEST($O28:$O43,AF28:AF43,2), IF(AF59="T-Test Welch",_xlfn.T.TEST($O28:$O43,AF28:AF43,2,3),""))</f>
        <v>#NAME?</v>
      </c>
      <c r="AG60" s="85" t="e">
        <f ca="1">IF(AG59="MW",[2]!MTEST($O28:$O43,AG28:AG43,2), IF(AG59="T-Test Welch",_xlfn.T.TEST($O28:$O43,AG28:AG43,2,3),""))</f>
        <v>#NAME?</v>
      </c>
      <c r="AH60" s="85" t="e">
        <f ca="1">IF(AH59="MW",[2]!MTEST($O28:$O43,AH28:AH43,2), IF(AH59="T-Test Welch",_xlfn.T.TEST($O28:$O43,AH28:AH43,2,3),""))</f>
        <v>#NAME?</v>
      </c>
      <c r="AI60" s="85" t="e">
        <f ca="1">IF(AI59="MW",[2]!MTEST($O28:$O43,AI28:AI43,2), IF(AI59="T-Test Welch",_xlfn.T.TEST($O28:$O43,AI28:AI43,2,3),""))</f>
        <v>#NAME?</v>
      </c>
      <c r="AJ60" s="85" t="e">
        <f ca="1">IF(AJ59="MW",[2]!MTEST($O28:$O43,AJ28:AJ43,2), IF(AJ59="T-Test Welch",_xlfn.T.TEST($O28:$O43,AJ28:AJ43,2,3),""))</f>
        <v>#NAME?</v>
      </c>
      <c r="AK60" s="85" t="e">
        <f ca="1">IF(AK59="MW",[2]!MTEST($O28:$O43,AK28:AK43,2), IF(AK59="T-Test Welch",_xlfn.T.TEST($O28:$O43,AK28:AK43,2,3),""))</f>
        <v>#NAME?</v>
      </c>
    </row>
    <row r="61" spans="1:37" s="3" customFormat="1" ht="15.75" thickBot="1" x14ac:dyDescent="0.3">
      <c r="A61" s="47" t="s">
        <v>46</v>
      </c>
      <c r="B61" s="79"/>
      <c r="C61" s="79" t="e">
        <f t="shared" ref="C61:O61" ca="1" si="56">IF(C60&gt;0.05,"NS",IF(C60&gt;0.01,"*",IF(C60&gt;0.001,"**","***")))</f>
        <v>#NAME?</v>
      </c>
      <c r="D61" s="79" t="e">
        <f t="shared" ca="1" si="56"/>
        <v>#NAME?</v>
      </c>
      <c r="E61" s="79" t="e">
        <f t="shared" ca="1" si="56"/>
        <v>#NAME?</v>
      </c>
      <c r="F61" s="79" t="e">
        <f t="shared" ca="1" si="56"/>
        <v>#NAME?</v>
      </c>
      <c r="G61" s="79" t="e">
        <f t="shared" ca="1" si="56"/>
        <v>#NAME?</v>
      </c>
      <c r="H61" s="79" t="e">
        <f t="shared" ca="1" si="56"/>
        <v>#NAME?</v>
      </c>
      <c r="I61" s="79" t="e">
        <f t="shared" ca="1" si="56"/>
        <v>#NAME?</v>
      </c>
      <c r="J61" s="79" t="e">
        <f t="shared" ca="1" si="56"/>
        <v>#NAME?</v>
      </c>
      <c r="K61" s="79" t="e">
        <f t="shared" ca="1" si="56"/>
        <v>#NAME?</v>
      </c>
      <c r="L61" s="79" t="e">
        <f t="shared" ca="1" si="56"/>
        <v>#NAME?</v>
      </c>
      <c r="M61" s="79" t="e">
        <f t="shared" ca="1" si="56"/>
        <v>#NAME?</v>
      </c>
      <c r="N61" s="79"/>
      <c r="O61" s="79" t="e">
        <f t="shared" ca="1" si="56"/>
        <v>#NAME?</v>
      </c>
      <c r="P61" s="79" t="e">
        <f ca="1">IF(P60&gt;0.05,"NS",IF(P60&gt;0.01,"*",IF(P60&gt;0.001,"**","***")))</f>
        <v>#NAME?</v>
      </c>
      <c r="Q61" s="79" t="e">
        <f t="shared" ref="Q61:AK61" ca="1" si="57">IF(Q60&gt;0.05,"NS",IF(Q60&gt;0.01,"*",IF(Q60&gt;0.001,"**","***")))</f>
        <v>#NAME?</v>
      </c>
      <c r="R61" s="79" t="e">
        <f t="shared" ca="1" si="57"/>
        <v>#NAME?</v>
      </c>
      <c r="S61" s="79" t="e">
        <f t="shared" ca="1" si="57"/>
        <v>#NAME?</v>
      </c>
      <c r="T61" s="79" t="e">
        <f t="shared" ca="1" si="57"/>
        <v>#NAME?</v>
      </c>
      <c r="U61" s="79" t="e">
        <f t="shared" ca="1" si="57"/>
        <v>#NAME?</v>
      </c>
      <c r="V61" s="79" t="e">
        <f t="shared" ca="1" si="57"/>
        <v>#NAME?</v>
      </c>
      <c r="W61" s="79" t="e">
        <f t="shared" ca="1" si="57"/>
        <v>#NAME?</v>
      </c>
      <c r="X61" s="79" t="e">
        <f t="shared" ca="1" si="57"/>
        <v>#NAME?</v>
      </c>
      <c r="Y61" s="79" t="e">
        <f t="shared" ca="1" si="57"/>
        <v>#NAME?</v>
      </c>
      <c r="Z61" s="79" t="e">
        <f t="shared" ca="1" si="57"/>
        <v>#NAME?</v>
      </c>
      <c r="AA61" s="79" t="e">
        <f t="shared" ca="1" si="57"/>
        <v>#NAME?</v>
      </c>
      <c r="AB61" s="79" t="e">
        <f t="shared" ca="1" si="57"/>
        <v>#NAME?</v>
      </c>
      <c r="AC61" s="79" t="e">
        <f t="shared" ca="1" si="57"/>
        <v>#NAME?</v>
      </c>
      <c r="AD61" s="79" t="e">
        <f t="shared" ca="1" si="57"/>
        <v>#NAME?</v>
      </c>
      <c r="AE61" s="79" t="e">
        <f t="shared" ca="1" si="57"/>
        <v>#NAME?</v>
      </c>
      <c r="AF61" s="79" t="e">
        <f t="shared" ca="1" si="57"/>
        <v>#NAME?</v>
      </c>
      <c r="AG61" s="79" t="e">
        <f t="shared" ca="1" si="57"/>
        <v>#NAME?</v>
      </c>
      <c r="AH61" s="79" t="e">
        <f t="shared" ca="1" si="57"/>
        <v>#NAME?</v>
      </c>
      <c r="AI61" s="79" t="e">
        <f t="shared" ca="1" si="57"/>
        <v>#NAME?</v>
      </c>
      <c r="AJ61" s="79" t="e">
        <f t="shared" ca="1" si="57"/>
        <v>#NAME?</v>
      </c>
      <c r="AK61" s="79" t="e">
        <f t="shared" ca="1" si="57"/>
        <v>#NAME?</v>
      </c>
    </row>
    <row r="63" spans="1:37" x14ac:dyDescent="0.25">
      <c r="A63" s="2" t="s">
        <v>20</v>
      </c>
    </row>
    <row r="64" spans="1:37" x14ac:dyDescent="0.25">
      <c r="A64" s="1" t="s">
        <v>13</v>
      </c>
      <c r="B64" s="1">
        <f>B46+(3*B47)</f>
        <v>4.3916196580440783E-2</v>
      </c>
    </row>
    <row r="65" spans="1:37" x14ac:dyDescent="0.25">
      <c r="A65" s="1" t="s">
        <v>14</v>
      </c>
      <c r="B65" s="1">
        <f>B46+(10*B47)</f>
        <v>0.13193811659172255</v>
      </c>
    </row>
    <row r="66" spans="1:37" ht="15.75" thickBot="1" x14ac:dyDescent="0.3"/>
    <row r="67" spans="1:37" ht="27" thickBot="1" x14ac:dyDescent="0.45">
      <c r="A67" s="141" t="s">
        <v>25</v>
      </c>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3"/>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1:AK1"/>
    <mergeCell ref="A67:AK67"/>
    <mergeCell ref="A5:A20"/>
    <mergeCell ref="B3:M3"/>
    <mergeCell ref="O3:AK3"/>
    <mergeCell ref="B26:M26"/>
    <mergeCell ref="O26:AK26"/>
    <mergeCell ref="A28:A43"/>
    <mergeCell ref="A50:AK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abSelected="1" topLeftCell="H1" zoomScale="70" zoomScaleNormal="70" zoomScaleSheetLayoutView="40" zoomScalePageLayoutView="30" workbookViewId="0">
      <selection activeCell="Q19" sqref="Q19"/>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138" t="s">
        <v>23</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40"/>
    </row>
    <row r="2" spans="1:37" ht="15.75" thickBot="1" x14ac:dyDescent="0.3"/>
    <row r="3" spans="1:37" ht="15.75" thickBot="1" x14ac:dyDescent="0.3">
      <c r="A3" s="86" t="s">
        <v>12</v>
      </c>
      <c r="B3" s="148" t="s">
        <v>6</v>
      </c>
      <c r="C3" s="149"/>
      <c r="D3" s="149"/>
      <c r="E3" s="149"/>
      <c r="F3" s="149"/>
      <c r="G3" s="149"/>
      <c r="H3" s="149"/>
      <c r="I3" s="149"/>
      <c r="J3" s="149"/>
      <c r="K3" s="149"/>
      <c r="L3" s="149"/>
      <c r="M3" s="149"/>
      <c r="O3" s="148" t="s">
        <v>3</v>
      </c>
      <c r="P3" s="149"/>
      <c r="Q3" s="149"/>
      <c r="R3" s="149"/>
      <c r="S3" s="149"/>
      <c r="T3" s="149"/>
      <c r="U3" s="149"/>
      <c r="V3" s="149"/>
      <c r="W3" s="149"/>
      <c r="X3" s="149"/>
      <c r="Y3" s="149"/>
      <c r="Z3" s="149"/>
      <c r="AA3" s="149"/>
      <c r="AB3" s="149"/>
      <c r="AC3" s="149"/>
      <c r="AD3" s="149"/>
      <c r="AE3" s="149"/>
      <c r="AF3" s="149"/>
      <c r="AG3" s="149"/>
      <c r="AH3" s="149"/>
      <c r="AI3" s="149"/>
      <c r="AJ3" s="149"/>
      <c r="AK3" s="150"/>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Estradiol-34ng/L</v>
      </c>
      <c r="J4" s="20" t="str">
        <f>'Front page'!A15</f>
        <v>Estradiol-68ng/L</v>
      </c>
      <c r="K4" s="20" t="str">
        <f>'Front page'!A16</f>
        <v>Estradiol-135ng/L</v>
      </c>
      <c r="L4" s="20" t="str">
        <f>'Front page'!A17</f>
        <v>Estradiol-270ng/L</v>
      </c>
      <c r="M4" s="20" t="str">
        <f>'Front page'!A18</f>
        <v>Estradiol-540ng/L</v>
      </c>
      <c r="N4" s="3"/>
      <c r="O4" s="21" t="str">
        <f>'Front page'!A35</f>
        <v>Testo -30µg/L</v>
      </c>
      <c r="P4" s="21" t="str">
        <f>'Front page'!A36</f>
        <v>Testo 30µg/L + EE2 -64ng/L</v>
      </c>
      <c r="Q4" s="21" t="str">
        <f>'Front page'!A37</f>
        <v>Testo 30µg/L + FAD-10mg/L</v>
      </c>
      <c r="R4" s="21" t="str">
        <f>'Front page'!A38</f>
        <v>Estradiol-34ng/L + Testostérone</v>
      </c>
      <c r="S4" s="21" t="str">
        <f>'Front page'!A39</f>
        <v>Estradiol-68ng/L + Testostérone</v>
      </c>
      <c r="T4" s="21" t="str">
        <f>'Front page'!A40</f>
        <v>Estradiol-135ng/L + Testostérone</v>
      </c>
      <c r="U4" s="21" t="str">
        <f>'Front page'!A41</f>
        <v>Estradiol-270ng/L + Testostérone</v>
      </c>
      <c r="V4" s="21" t="str">
        <f>'Front page'!A42</f>
        <v>Estradiol-540ng/L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51" t="s">
        <v>16</v>
      </c>
      <c r="B5" s="17">
        <v>26845</v>
      </c>
      <c r="C5" s="17">
        <v>13590</v>
      </c>
      <c r="D5" s="17">
        <v>28511</v>
      </c>
      <c r="E5" s="17">
        <v>277882</v>
      </c>
      <c r="F5" s="17">
        <v>262927</v>
      </c>
      <c r="G5" s="17">
        <v>348222</v>
      </c>
      <c r="H5" s="17">
        <v>285950</v>
      </c>
      <c r="I5" s="17">
        <v>21318</v>
      </c>
      <c r="J5" s="17">
        <v>25160</v>
      </c>
      <c r="K5" s="13">
        <v>279860</v>
      </c>
      <c r="L5" s="13">
        <v>340675</v>
      </c>
      <c r="M5" s="13">
        <v>400749</v>
      </c>
      <c r="N5" s="3"/>
      <c r="O5" s="17">
        <v>231768</v>
      </c>
      <c r="P5" s="13">
        <v>388480</v>
      </c>
      <c r="Q5" s="13">
        <v>10047</v>
      </c>
      <c r="R5" s="17">
        <v>341337</v>
      </c>
      <c r="S5" s="17">
        <v>392259</v>
      </c>
      <c r="T5" s="17">
        <v>414560</v>
      </c>
      <c r="U5" s="17">
        <v>348175</v>
      </c>
      <c r="V5" s="17">
        <v>400381</v>
      </c>
      <c r="W5" s="17"/>
      <c r="X5" s="17"/>
      <c r="Y5" s="17"/>
      <c r="Z5" s="17"/>
      <c r="AA5" s="17"/>
      <c r="AB5" s="17"/>
      <c r="AC5" s="17"/>
      <c r="AD5" s="17"/>
      <c r="AE5" s="17"/>
      <c r="AF5" s="17"/>
      <c r="AG5" s="17"/>
      <c r="AH5" s="17"/>
      <c r="AI5" s="17"/>
      <c r="AJ5" s="17"/>
      <c r="AK5" s="17"/>
    </row>
    <row r="6" spans="1:37" ht="16.5" x14ac:dyDescent="0.25">
      <c r="A6" s="151"/>
      <c r="B6" s="14">
        <v>12180</v>
      </c>
      <c r="C6" s="13">
        <v>28850</v>
      </c>
      <c r="D6" s="17">
        <v>13800</v>
      </c>
      <c r="E6" s="17">
        <v>263637</v>
      </c>
      <c r="F6" s="17">
        <v>313319</v>
      </c>
      <c r="G6" s="17">
        <v>289878</v>
      </c>
      <c r="H6" s="17">
        <v>343588</v>
      </c>
      <c r="I6" s="17">
        <v>6882</v>
      </c>
      <c r="J6" s="17">
        <v>42233</v>
      </c>
      <c r="K6" s="13">
        <v>159178</v>
      </c>
      <c r="L6" s="13">
        <v>405291</v>
      </c>
      <c r="M6" s="13">
        <v>479312</v>
      </c>
      <c r="N6" s="3"/>
      <c r="O6" s="17">
        <v>338433</v>
      </c>
      <c r="P6" s="13">
        <v>359984</v>
      </c>
      <c r="Q6" s="13">
        <v>36014</v>
      </c>
      <c r="R6" s="17">
        <v>337781</v>
      </c>
      <c r="S6" s="17">
        <v>361153</v>
      </c>
      <c r="T6" s="17">
        <v>335553</v>
      </c>
      <c r="U6" s="17">
        <v>347184</v>
      </c>
      <c r="V6" s="17">
        <v>420944</v>
      </c>
      <c r="W6" s="17"/>
      <c r="X6" s="17"/>
      <c r="Y6" s="17"/>
      <c r="Z6" s="17"/>
      <c r="AA6" s="17"/>
      <c r="AB6" s="17"/>
      <c r="AC6" s="17"/>
      <c r="AD6" s="17"/>
      <c r="AE6" s="17"/>
      <c r="AF6" s="17"/>
      <c r="AG6" s="17"/>
      <c r="AH6" s="17"/>
      <c r="AI6" s="17"/>
      <c r="AJ6" s="17"/>
      <c r="AK6" s="17"/>
    </row>
    <row r="7" spans="1:37" ht="16.5" x14ac:dyDescent="0.25">
      <c r="A7" s="151"/>
      <c r="B7" s="14">
        <v>11823</v>
      </c>
      <c r="C7" s="13">
        <v>200156</v>
      </c>
      <c r="D7" s="17">
        <v>74335</v>
      </c>
      <c r="E7" s="17">
        <v>197995</v>
      </c>
      <c r="F7" s="17">
        <v>189445</v>
      </c>
      <c r="G7" s="17">
        <v>311846</v>
      </c>
      <c r="H7" s="17">
        <v>354496</v>
      </c>
      <c r="I7" s="17">
        <v>6900</v>
      </c>
      <c r="J7" s="17">
        <v>47274</v>
      </c>
      <c r="K7" s="13">
        <v>324820</v>
      </c>
      <c r="L7" s="13">
        <v>354389</v>
      </c>
      <c r="M7" s="13">
        <v>366863</v>
      </c>
      <c r="N7" s="3"/>
      <c r="O7" s="17">
        <v>181358</v>
      </c>
      <c r="P7" s="13">
        <v>321057</v>
      </c>
      <c r="Q7" s="13">
        <v>35801</v>
      </c>
      <c r="R7" s="17">
        <v>281477</v>
      </c>
      <c r="S7" s="17">
        <v>348052</v>
      </c>
      <c r="T7" s="17">
        <v>376443</v>
      </c>
      <c r="U7" s="17">
        <v>422512</v>
      </c>
      <c r="V7" s="17">
        <v>450590</v>
      </c>
      <c r="W7" s="17"/>
      <c r="X7" s="17"/>
      <c r="Y7" s="17"/>
      <c r="Z7" s="17"/>
      <c r="AA7" s="17"/>
      <c r="AB7" s="17"/>
      <c r="AC7" s="17"/>
      <c r="AD7" s="17"/>
      <c r="AE7" s="17"/>
      <c r="AF7" s="17"/>
      <c r="AG7" s="17"/>
      <c r="AH7" s="17"/>
      <c r="AI7" s="17"/>
      <c r="AJ7" s="17"/>
      <c r="AK7" s="17"/>
    </row>
    <row r="8" spans="1:37" ht="16.5" x14ac:dyDescent="0.25">
      <c r="A8" s="151"/>
      <c r="B8" s="14">
        <v>32493</v>
      </c>
      <c r="C8" s="13">
        <v>5588</v>
      </c>
      <c r="D8" s="17">
        <v>38928</v>
      </c>
      <c r="E8" s="17">
        <v>11085</v>
      </c>
      <c r="F8" s="17">
        <v>330421</v>
      </c>
      <c r="G8" s="17">
        <v>323298</v>
      </c>
      <c r="H8" s="17">
        <v>471806</v>
      </c>
      <c r="I8" s="17">
        <v>29886</v>
      </c>
      <c r="J8" s="17">
        <v>25660</v>
      </c>
      <c r="K8" s="13">
        <v>26499</v>
      </c>
      <c r="L8" s="13">
        <v>367247</v>
      </c>
      <c r="M8" s="13">
        <v>384425</v>
      </c>
      <c r="N8" s="3"/>
      <c r="O8" s="17">
        <v>251994</v>
      </c>
      <c r="P8" s="13">
        <v>288305</v>
      </c>
      <c r="Q8" s="13">
        <v>20954</v>
      </c>
      <c r="R8" s="17">
        <v>352637</v>
      </c>
      <c r="S8" s="17">
        <v>332415</v>
      </c>
      <c r="T8" s="17">
        <v>310085</v>
      </c>
      <c r="U8" s="17">
        <v>360687</v>
      </c>
      <c r="V8" s="17">
        <v>397523</v>
      </c>
      <c r="W8" s="17"/>
      <c r="X8" s="17"/>
      <c r="Y8" s="17"/>
      <c r="Z8" s="17"/>
      <c r="AA8" s="17"/>
      <c r="AB8" s="17"/>
      <c r="AC8" s="17"/>
      <c r="AD8" s="17"/>
      <c r="AE8" s="17"/>
      <c r="AF8" s="17"/>
      <c r="AG8" s="17"/>
      <c r="AH8" s="17"/>
      <c r="AI8" s="17"/>
      <c r="AJ8" s="17"/>
      <c r="AK8" s="17"/>
    </row>
    <row r="9" spans="1:37" ht="16.5" x14ac:dyDescent="0.25">
      <c r="A9" s="151"/>
      <c r="B9" s="14">
        <v>9892</v>
      </c>
      <c r="C9" s="13">
        <v>10998</v>
      </c>
      <c r="D9" s="17">
        <v>51416</v>
      </c>
      <c r="E9" s="17">
        <v>180251</v>
      </c>
      <c r="F9" s="17">
        <v>101761</v>
      </c>
      <c r="G9" s="17">
        <v>397463</v>
      </c>
      <c r="H9" s="17">
        <v>465778</v>
      </c>
      <c r="I9" s="17">
        <v>12428</v>
      </c>
      <c r="J9" s="17">
        <v>27668</v>
      </c>
      <c r="K9" s="13">
        <v>227288</v>
      </c>
      <c r="L9" s="13">
        <v>379726</v>
      </c>
      <c r="M9" s="13">
        <v>395910</v>
      </c>
      <c r="N9" s="3"/>
      <c r="O9" s="17">
        <v>290456</v>
      </c>
      <c r="P9" s="13">
        <v>358008</v>
      </c>
      <c r="Q9" s="13">
        <v>17500</v>
      </c>
      <c r="R9" s="17">
        <v>292315</v>
      </c>
      <c r="S9" s="17">
        <v>378039</v>
      </c>
      <c r="T9" s="17">
        <v>395081</v>
      </c>
      <c r="U9" s="17">
        <v>389345</v>
      </c>
      <c r="V9" s="17">
        <v>448597</v>
      </c>
      <c r="W9" s="17"/>
      <c r="X9" s="17"/>
      <c r="Y9" s="17"/>
      <c r="Z9" s="17"/>
      <c r="AA9" s="17"/>
      <c r="AB9" s="17"/>
      <c r="AC9" s="17"/>
      <c r="AD9" s="17"/>
      <c r="AE9" s="17"/>
      <c r="AF9" s="17"/>
      <c r="AG9" s="17"/>
      <c r="AH9" s="17"/>
      <c r="AI9" s="17"/>
      <c r="AJ9" s="17"/>
      <c r="AK9" s="17"/>
    </row>
    <row r="10" spans="1:37" ht="16.5" x14ac:dyDescent="0.25">
      <c r="A10" s="151"/>
      <c r="B10" s="14">
        <v>30442</v>
      </c>
      <c r="C10" s="13">
        <v>8027</v>
      </c>
      <c r="D10" s="17">
        <v>18895</v>
      </c>
      <c r="E10" s="17">
        <v>237398</v>
      </c>
      <c r="F10" s="17">
        <v>306327</v>
      </c>
      <c r="G10" s="17">
        <v>346056</v>
      </c>
      <c r="H10" s="17">
        <v>431746</v>
      </c>
      <c r="I10" s="17">
        <v>24121</v>
      </c>
      <c r="J10" s="17">
        <v>30334</v>
      </c>
      <c r="K10" s="13">
        <v>228248</v>
      </c>
      <c r="L10" s="13">
        <v>417155</v>
      </c>
      <c r="M10" s="13">
        <v>414242</v>
      </c>
      <c r="N10" s="3"/>
      <c r="O10" s="17">
        <v>271772</v>
      </c>
      <c r="P10" s="13">
        <v>302750</v>
      </c>
      <c r="Q10" s="13">
        <v>53666</v>
      </c>
      <c r="R10" s="17">
        <v>407572</v>
      </c>
      <c r="S10" s="17">
        <v>364971</v>
      </c>
      <c r="T10" s="17">
        <v>358818</v>
      </c>
      <c r="U10" s="17">
        <v>325558</v>
      </c>
      <c r="V10" s="17">
        <v>458497</v>
      </c>
      <c r="W10" s="17"/>
      <c r="X10" s="17"/>
      <c r="Y10" s="17"/>
      <c r="Z10" s="17"/>
      <c r="AA10" s="17"/>
      <c r="AB10" s="17"/>
      <c r="AC10" s="17"/>
      <c r="AD10" s="17"/>
      <c r="AE10" s="17"/>
      <c r="AF10" s="17"/>
      <c r="AG10" s="17"/>
      <c r="AH10" s="17"/>
      <c r="AI10" s="17"/>
      <c r="AJ10" s="17"/>
      <c r="AK10" s="17"/>
    </row>
    <row r="11" spans="1:37" ht="16.5" x14ac:dyDescent="0.25">
      <c r="A11" s="151"/>
      <c r="B11" s="14">
        <v>30282</v>
      </c>
      <c r="C11" s="13">
        <v>8767</v>
      </c>
      <c r="D11" s="17">
        <v>39559</v>
      </c>
      <c r="E11" s="17">
        <v>172279</v>
      </c>
      <c r="F11" s="17">
        <v>368635</v>
      </c>
      <c r="G11" s="17">
        <v>292374</v>
      </c>
      <c r="H11" s="17">
        <v>423648</v>
      </c>
      <c r="I11" s="17">
        <v>1351</v>
      </c>
      <c r="J11" s="17">
        <v>42134</v>
      </c>
      <c r="K11" s="13">
        <v>239111</v>
      </c>
      <c r="L11" s="13">
        <v>409507</v>
      </c>
      <c r="M11" s="13">
        <v>482371</v>
      </c>
      <c r="N11" s="3"/>
      <c r="O11" s="17">
        <v>238751</v>
      </c>
      <c r="P11" s="13">
        <v>377678</v>
      </c>
      <c r="Q11" s="13">
        <v>19197</v>
      </c>
      <c r="R11" s="17">
        <v>306701</v>
      </c>
      <c r="S11" s="17">
        <v>304577</v>
      </c>
      <c r="T11" s="17">
        <v>349542</v>
      </c>
      <c r="U11" s="17">
        <v>413848</v>
      </c>
      <c r="V11" s="17">
        <v>487928</v>
      </c>
      <c r="W11" s="17"/>
      <c r="X11" s="17"/>
      <c r="Y11" s="17"/>
      <c r="Z11" s="17"/>
      <c r="AA11" s="17"/>
      <c r="AB11" s="17"/>
      <c r="AC11" s="17"/>
      <c r="AD11" s="17"/>
      <c r="AE11" s="17"/>
      <c r="AF11" s="17"/>
      <c r="AG11" s="17"/>
      <c r="AH11" s="17"/>
      <c r="AI11" s="17"/>
      <c r="AJ11" s="17"/>
      <c r="AK11" s="17"/>
    </row>
    <row r="12" spans="1:37" ht="16.5" x14ac:dyDescent="0.25">
      <c r="A12" s="151"/>
      <c r="B12" s="14">
        <v>21571</v>
      </c>
      <c r="C12" s="13">
        <v>9519</v>
      </c>
      <c r="D12" s="17">
        <v>7423</v>
      </c>
      <c r="E12" s="17">
        <v>280381</v>
      </c>
      <c r="F12" s="17">
        <v>195040</v>
      </c>
      <c r="G12" s="17">
        <v>349338</v>
      </c>
      <c r="H12" s="17">
        <v>359645</v>
      </c>
      <c r="I12" s="17"/>
      <c r="J12" s="17">
        <v>44193</v>
      </c>
      <c r="K12" s="13">
        <v>77187</v>
      </c>
      <c r="L12" s="13">
        <v>373248</v>
      </c>
      <c r="M12" s="13"/>
      <c r="N12" s="3"/>
      <c r="O12" s="17">
        <v>275166</v>
      </c>
      <c r="P12" s="13">
        <v>317767</v>
      </c>
      <c r="Q12" s="13">
        <v>33133</v>
      </c>
      <c r="R12" s="17">
        <v>241007</v>
      </c>
      <c r="S12" s="17">
        <v>309886</v>
      </c>
      <c r="T12" s="17">
        <v>328480</v>
      </c>
      <c r="U12" s="17">
        <v>496571</v>
      </c>
      <c r="V12" s="17">
        <v>479061</v>
      </c>
      <c r="W12" s="17"/>
      <c r="X12" s="17"/>
      <c r="Y12" s="17"/>
      <c r="Z12" s="17"/>
      <c r="AA12" s="17"/>
      <c r="AB12" s="17"/>
      <c r="AC12" s="17"/>
      <c r="AD12" s="17"/>
      <c r="AE12" s="17"/>
      <c r="AF12" s="17"/>
      <c r="AG12" s="17"/>
      <c r="AH12" s="17"/>
      <c r="AI12" s="17"/>
      <c r="AJ12" s="17"/>
      <c r="AK12" s="17"/>
    </row>
    <row r="13" spans="1:37" ht="16.5" x14ac:dyDescent="0.25">
      <c r="A13" s="151"/>
      <c r="B13" s="14"/>
      <c r="C13" s="13"/>
      <c r="D13" s="17"/>
      <c r="E13" s="17"/>
      <c r="F13" s="17"/>
      <c r="G13" s="17"/>
      <c r="H13" s="17"/>
      <c r="I13" s="17"/>
      <c r="J13" s="17"/>
      <c r="K13" s="13"/>
      <c r="L13" s="13"/>
      <c r="M13" s="13"/>
      <c r="N13" s="3"/>
      <c r="O13" s="17">
        <v>242292</v>
      </c>
      <c r="P13" s="13"/>
      <c r="Q13" s="13"/>
      <c r="R13" s="17"/>
      <c r="S13" s="17"/>
      <c r="T13" s="17"/>
      <c r="U13" s="17"/>
      <c r="V13" s="17"/>
      <c r="W13" s="17"/>
      <c r="X13" s="17"/>
      <c r="Y13" s="17"/>
      <c r="Z13" s="17"/>
      <c r="AA13" s="17"/>
      <c r="AB13" s="17"/>
      <c r="AC13" s="17"/>
      <c r="AD13" s="17"/>
      <c r="AE13" s="17"/>
      <c r="AF13" s="17"/>
      <c r="AG13" s="17"/>
      <c r="AH13" s="17"/>
      <c r="AI13" s="17"/>
      <c r="AJ13" s="17"/>
      <c r="AK13" s="17"/>
    </row>
    <row r="14" spans="1:37" ht="16.5" x14ac:dyDescent="0.25">
      <c r="A14" s="151"/>
      <c r="B14" s="14"/>
      <c r="C14" s="17"/>
      <c r="D14" s="17"/>
      <c r="E14" s="17"/>
      <c r="F14" s="17"/>
      <c r="G14" s="17"/>
      <c r="H14" s="17"/>
      <c r="I14" s="17"/>
      <c r="J14" s="17"/>
      <c r="K14" s="13"/>
      <c r="L14" s="13"/>
      <c r="M14" s="13"/>
      <c r="N14" s="3"/>
      <c r="O14" s="17">
        <v>255389</v>
      </c>
      <c r="P14" s="13"/>
      <c r="Q14" s="13"/>
      <c r="R14" s="17"/>
      <c r="S14" s="17"/>
      <c r="T14" s="17"/>
      <c r="U14" s="17"/>
      <c r="V14" s="17"/>
      <c r="W14" s="17"/>
      <c r="X14" s="17"/>
      <c r="Y14" s="17"/>
      <c r="Z14" s="17"/>
      <c r="AA14" s="17"/>
      <c r="AB14" s="17"/>
      <c r="AC14" s="17"/>
      <c r="AD14" s="17"/>
      <c r="AE14" s="17"/>
      <c r="AF14" s="17"/>
      <c r="AG14" s="17"/>
      <c r="AH14" s="17"/>
      <c r="AI14" s="17"/>
      <c r="AJ14" s="17"/>
      <c r="AK14" s="17"/>
    </row>
    <row r="15" spans="1:37" ht="16.5" x14ac:dyDescent="0.25">
      <c r="A15" s="151"/>
      <c r="B15" s="14"/>
      <c r="C15" s="17"/>
      <c r="D15" s="17"/>
      <c r="E15" s="17"/>
      <c r="F15" s="17"/>
      <c r="G15" s="17"/>
      <c r="H15" s="17"/>
      <c r="I15" s="17"/>
      <c r="J15" s="17"/>
      <c r="K15" s="13"/>
      <c r="L15" s="13"/>
      <c r="M15" s="13"/>
      <c r="N15" s="3"/>
      <c r="O15" s="17">
        <v>338695</v>
      </c>
      <c r="P15" s="13"/>
      <c r="Q15" s="13"/>
      <c r="R15" s="17"/>
      <c r="S15" s="17"/>
      <c r="T15" s="17"/>
      <c r="U15" s="17"/>
      <c r="V15" s="17"/>
      <c r="W15" s="17"/>
      <c r="X15" s="17"/>
      <c r="Y15" s="17"/>
      <c r="Z15" s="17"/>
      <c r="AA15" s="17"/>
      <c r="AB15" s="17"/>
      <c r="AC15" s="17"/>
      <c r="AD15" s="17"/>
      <c r="AE15" s="17"/>
      <c r="AF15" s="17"/>
      <c r="AG15" s="17"/>
      <c r="AH15" s="17"/>
      <c r="AI15" s="17"/>
      <c r="AJ15" s="17"/>
      <c r="AK15" s="17"/>
    </row>
    <row r="16" spans="1:37" ht="16.5" x14ac:dyDescent="0.25">
      <c r="A16" s="151"/>
      <c r="B16" s="14"/>
      <c r="C16" s="17"/>
      <c r="D16" s="17"/>
      <c r="E16" s="17"/>
      <c r="F16" s="17"/>
      <c r="G16" s="17"/>
      <c r="H16" s="17"/>
      <c r="I16" s="17"/>
      <c r="J16" s="17"/>
      <c r="K16" s="13"/>
      <c r="L16" s="13"/>
      <c r="M16" s="13"/>
      <c r="N16" s="3"/>
      <c r="O16" s="17">
        <v>305780</v>
      </c>
      <c r="P16" s="13"/>
      <c r="Q16" s="13"/>
      <c r="R16" s="17"/>
      <c r="S16" s="17"/>
      <c r="T16" s="17"/>
      <c r="U16" s="17"/>
      <c r="V16" s="17"/>
      <c r="W16" s="17"/>
      <c r="X16" s="17"/>
      <c r="Y16" s="17"/>
      <c r="Z16" s="17"/>
      <c r="AA16" s="17"/>
      <c r="AB16" s="17"/>
      <c r="AC16" s="17"/>
      <c r="AD16" s="17"/>
      <c r="AE16" s="17"/>
      <c r="AF16" s="17"/>
      <c r="AG16" s="17"/>
      <c r="AH16" s="17"/>
      <c r="AI16" s="17"/>
      <c r="AJ16" s="17"/>
      <c r="AK16" s="17"/>
    </row>
    <row r="17" spans="1:37" ht="16.5" x14ac:dyDescent="0.25">
      <c r="A17" s="151"/>
      <c r="B17" s="14"/>
      <c r="C17" s="17"/>
      <c r="D17" s="17"/>
      <c r="E17" s="17"/>
      <c r="F17" s="17"/>
      <c r="G17" s="17"/>
      <c r="H17" s="17"/>
      <c r="I17" s="17"/>
      <c r="J17" s="17"/>
      <c r="K17" s="13"/>
      <c r="L17" s="13"/>
      <c r="M17" s="13"/>
      <c r="N17" s="3"/>
      <c r="O17" s="17">
        <v>383153</v>
      </c>
      <c r="P17" s="13"/>
      <c r="Q17" s="13"/>
      <c r="R17" s="17"/>
      <c r="S17" s="17"/>
      <c r="T17" s="17"/>
      <c r="U17" s="17"/>
      <c r="V17" s="17"/>
      <c r="W17" s="17"/>
      <c r="X17" s="17"/>
      <c r="Y17" s="17"/>
      <c r="Z17" s="17"/>
      <c r="AA17" s="17"/>
      <c r="AB17" s="17"/>
      <c r="AC17" s="17"/>
      <c r="AD17" s="17"/>
      <c r="AE17" s="17"/>
      <c r="AF17" s="17"/>
      <c r="AG17" s="17"/>
      <c r="AH17" s="17"/>
      <c r="AI17" s="17"/>
      <c r="AJ17" s="17"/>
      <c r="AK17" s="17"/>
    </row>
    <row r="18" spans="1:37" ht="16.5" x14ac:dyDescent="0.25">
      <c r="A18" s="151"/>
      <c r="B18" s="14"/>
      <c r="C18" s="17"/>
      <c r="D18" s="17"/>
      <c r="E18" s="17"/>
      <c r="F18" s="17"/>
      <c r="G18" s="17"/>
      <c r="H18" s="17"/>
      <c r="I18" s="17"/>
      <c r="J18" s="17"/>
      <c r="K18" s="13"/>
      <c r="L18" s="13"/>
      <c r="M18" s="13"/>
      <c r="N18" s="3"/>
      <c r="O18" s="17">
        <v>207444</v>
      </c>
      <c r="P18" s="13"/>
      <c r="Q18" s="13"/>
      <c r="R18" s="17"/>
      <c r="S18" s="17"/>
      <c r="T18" s="17"/>
      <c r="U18" s="17"/>
      <c r="V18" s="17"/>
      <c r="W18" s="17"/>
      <c r="X18" s="17"/>
      <c r="Y18" s="17"/>
      <c r="Z18" s="17"/>
      <c r="AA18" s="17"/>
      <c r="AB18" s="17"/>
      <c r="AC18" s="17"/>
      <c r="AD18" s="17"/>
      <c r="AE18" s="17"/>
      <c r="AF18" s="17"/>
      <c r="AG18" s="17"/>
      <c r="AH18" s="17"/>
      <c r="AI18" s="17"/>
      <c r="AJ18" s="17"/>
      <c r="AK18" s="17"/>
    </row>
    <row r="19" spans="1:37" ht="16.5" x14ac:dyDescent="0.25">
      <c r="A19" s="151"/>
      <c r="B19" s="14"/>
      <c r="C19" s="17"/>
      <c r="D19" s="17"/>
      <c r="E19" s="17"/>
      <c r="F19" s="17"/>
      <c r="G19" s="17"/>
      <c r="H19" s="17"/>
      <c r="I19" s="17"/>
      <c r="J19" s="17"/>
      <c r="K19" s="13"/>
      <c r="L19" s="13"/>
      <c r="M19" s="13"/>
      <c r="N19" s="3"/>
      <c r="O19" s="17">
        <v>235598</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1"/>
      <c r="B20" s="14"/>
      <c r="C20" s="17"/>
      <c r="D20" s="17"/>
      <c r="E20" s="17"/>
      <c r="F20" s="17"/>
      <c r="G20" s="17"/>
      <c r="H20" s="17"/>
      <c r="I20" s="17"/>
      <c r="J20" s="17"/>
      <c r="K20" s="13"/>
      <c r="L20" s="13"/>
      <c r="M20" s="13"/>
      <c r="N20" s="3"/>
      <c r="O20" s="17">
        <v>248680</v>
      </c>
      <c r="P20" s="13"/>
      <c r="Q20" s="13"/>
      <c r="R20" s="17"/>
      <c r="S20" s="17"/>
      <c r="T20" s="17"/>
      <c r="U20" s="17"/>
      <c r="V20" s="17"/>
      <c r="W20" s="17"/>
      <c r="X20" s="17"/>
      <c r="Y20" s="17"/>
      <c r="Z20" s="17"/>
      <c r="AA20" s="17"/>
      <c r="AB20" s="17"/>
      <c r="AC20" s="17"/>
      <c r="AD20" s="17"/>
      <c r="AE20" s="17"/>
      <c r="AF20" s="17"/>
      <c r="AG20" s="17"/>
      <c r="AH20" s="17"/>
      <c r="AI20" s="17"/>
      <c r="AJ20" s="17"/>
      <c r="AK20" s="17"/>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K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Estradiol-34ng/L</v>
      </c>
      <c r="J22" s="3" t="str">
        <f t="shared" si="0"/>
        <v>Estradiol-68ng/L</v>
      </c>
      <c r="K22" s="3" t="str">
        <f t="shared" si="0"/>
        <v>Estradiol-135ng/L</v>
      </c>
      <c r="L22" s="3" t="str">
        <f t="shared" si="0"/>
        <v>Estradiol-270ng/L</v>
      </c>
      <c r="M22" s="3" t="str">
        <f t="shared" si="0"/>
        <v>Estradiol-540ng/L</v>
      </c>
      <c r="N22" s="3" t="s">
        <v>22</v>
      </c>
      <c r="O22" s="3" t="str">
        <f t="shared" si="0"/>
        <v>Testo -30µg/L</v>
      </c>
      <c r="P22" s="3" t="str">
        <f t="shared" si="0"/>
        <v>Testo 30µg/L + EE2 -64ng/L</v>
      </c>
      <c r="Q22" s="3" t="str">
        <f t="shared" si="0"/>
        <v>Testo 30µg/L + FAD-10mg/L</v>
      </c>
      <c r="R22" s="3" t="str">
        <f t="shared" si="0"/>
        <v>Estradiol-34ng/L + Testostérone</v>
      </c>
      <c r="S22" s="3" t="str">
        <f t="shared" si="0"/>
        <v>Estradiol-68ng/L + Testostérone</v>
      </c>
      <c r="T22" s="3" t="str">
        <f t="shared" si="0"/>
        <v>Estradiol-135ng/L + Testostérone</v>
      </c>
      <c r="U22" s="3" t="str">
        <f t="shared" si="0"/>
        <v>Estradiol-270ng/L + Testostérone</v>
      </c>
      <c r="V22" s="3" t="str">
        <f t="shared" si="0"/>
        <v>Estradiol-540ng/L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25">
      <c r="A23" s="5" t="s">
        <v>0</v>
      </c>
      <c r="B23" s="5">
        <f t="shared" ref="B23:J23" si="1">AVERAGE(B5:B20)</f>
        <v>21941</v>
      </c>
      <c r="C23" s="5">
        <f t="shared" si="1"/>
        <v>35686.875</v>
      </c>
      <c r="D23" s="5">
        <f t="shared" si="1"/>
        <v>34108.375</v>
      </c>
      <c r="E23" s="5">
        <f t="shared" si="1"/>
        <v>202613.5</v>
      </c>
      <c r="F23" s="5">
        <f t="shared" si="1"/>
        <v>258484.375</v>
      </c>
      <c r="G23" s="5">
        <f t="shared" si="1"/>
        <v>332309.375</v>
      </c>
      <c r="H23" s="5">
        <f t="shared" si="1"/>
        <v>392082.125</v>
      </c>
      <c r="I23" s="5">
        <f t="shared" si="1"/>
        <v>14698</v>
      </c>
      <c r="J23" s="5">
        <f t="shared" si="1"/>
        <v>35582</v>
      </c>
      <c r="K23" s="5">
        <f t="shared" ref="K23" si="2">AVERAGE(K5:K20)</f>
        <v>195273.875</v>
      </c>
      <c r="L23" s="5">
        <f>AVERAGE(L5:L20)</f>
        <v>380904.75</v>
      </c>
      <c r="M23" s="5">
        <f>AVERAGE(M5:M20)</f>
        <v>417696</v>
      </c>
      <c r="N23" s="5" t="s">
        <v>0</v>
      </c>
      <c r="O23" s="5">
        <f>AVERAGE(O5:O20)</f>
        <v>268545.5625</v>
      </c>
      <c r="P23" s="5">
        <f>AVERAGE(P5:P20)</f>
        <v>339253.625</v>
      </c>
      <c r="Q23" s="5">
        <f>AVERAGE(Q5:Q20)</f>
        <v>28289</v>
      </c>
      <c r="R23" s="5">
        <f>AVERAGE(R5:R20)</f>
        <v>320103.375</v>
      </c>
      <c r="S23" s="5">
        <f>AVERAGE(S5:S20)</f>
        <v>348919</v>
      </c>
      <c r="T23" s="5">
        <f t="shared" ref="T23:AK23" si="3">AVERAGE(T5:T20)</f>
        <v>358570.25</v>
      </c>
      <c r="U23" s="5">
        <f t="shared" si="3"/>
        <v>387985</v>
      </c>
      <c r="V23" s="5">
        <f t="shared" si="3"/>
        <v>442940.125</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si="3"/>
        <v>#DIV/0!</v>
      </c>
      <c r="AF23" s="5" t="e">
        <f t="shared" si="3"/>
        <v>#DIV/0!</v>
      </c>
      <c r="AG23" s="5" t="e">
        <f t="shared" si="3"/>
        <v>#DIV/0!</v>
      </c>
      <c r="AH23" s="5" t="e">
        <f t="shared" si="3"/>
        <v>#DIV/0!</v>
      </c>
      <c r="AI23" s="5" t="e">
        <f t="shared" si="3"/>
        <v>#DIV/0!</v>
      </c>
      <c r="AJ23" s="5" t="e">
        <f t="shared" si="3"/>
        <v>#DIV/0!</v>
      </c>
      <c r="AK23" s="5" t="e">
        <f t="shared" si="3"/>
        <v>#DIV/0!</v>
      </c>
    </row>
    <row r="24" spans="1:37" x14ac:dyDescent="0.25">
      <c r="A24" s="3" t="s">
        <v>1</v>
      </c>
      <c r="B24" s="3">
        <f t="shared" ref="B24:J24" si="4">STDEV(B5:B20)</f>
        <v>9412.753870604045</v>
      </c>
      <c r="C24" s="3">
        <f t="shared" si="4"/>
        <v>66842.134578289333</v>
      </c>
      <c r="D24" s="3">
        <f t="shared" si="4"/>
        <v>21902.348405968449</v>
      </c>
      <c r="E24" s="3">
        <f t="shared" si="4"/>
        <v>88456.381738604439</v>
      </c>
      <c r="F24" s="3">
        <f t="shared" si="4"/>
        <v>89424.643677452172</v>
      </c>
      <c r="G24" s="3">
        <f t="shared" si="4"/>
        <v>35601.686576972723</v>
      </c>
      <c r="H24" s="3">
        <f t="shared" si="4"/>
        <v>65940.663444899998</v>
      </c>
      <c r="I24" s="3">
        <f t="shared" si="4"/>
        <v>10555.303895830442</v>
      </c>
      <c r="J24" s="3">
        <f t="shared" si="4"/>
        <v>9221.5102419753966</v>
      </c>
      <c r="K24" s="3">
        <f t="shared" ref="K24" si="5">STDEV(K5:K20)</f>
        <v>101209.31800896242</v>
      </c>
      <c r="L24" s="3">
        <f>STDEV(L5:L20)</f>
        <v>27503.053621370847</v>
      </c>
      <c r="M24" s="3">
        <f>STDEV(M5:M20)</f>
        <v>45541.375202482996</v>
      </c>
      <c r="N24" s="3" t="s">
        <v>1</v>
      </c>
      <c r="O24" s="3">
        <f>STDEV(O5:O20)</f>
        <v>52314.836221947276</v>
      </c>
      <c r="P24" s="3">
        <f>STDEV(P5:P20)</f>
        <v>36649.328315565937</v>
      </c>
      <c r="Q24" s="3">
        <f>STDEV(Q5:Q20)</f>
        <v>13985.717245001875</v>
      </c>
      <c r="R24" s="3">
        <f>STDEV(R5:R20)</f>
        <v>50951.816448589096</v>
      </c>
      <c r="S24" s="3">
        <f>STDEV(S5:S20)</f>
        <v>31388.326351413787</v>
      </c>
      <c r="T24" s="3">
        <f t="shared" ref="T24:AK24" si="6">STDEV(T5:T20)</f>
        <v>35162.742562263258</v>
      </c>
      <c r="U24" s="3">
        <f t="shared" si="6"/>
        <v>55479.270682197792</v>
      </c>
      <c r="V24" s="3">
        <f t="shared" si="6"/>
        <v>33846.264974091726</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si="6"/>
        <v>#DIV/0!</v>
      </c>
      <c r="AF24" s="3" t="e">
        <f t="shared" si="6"/>
        <v>#DIV/0!</v>
      </c>
      <c r="AG24" s="3" t="e">
        <f t="shared" si="6"/>
        <v>#DIV/0!</v>
      </c>
      <c r="AH24" s="3" t="e">
        <f t="shared" si="6"/>
        <v>#DIV/0!</v>
      </c>
      <c r="AI24" s="3" t="e">
        <f t="shared" si="6"/>
        <v>#DIV/0!</v>
      </c>
      <c r="AJ24" s="3" t="e">
        <f t="shared" si="6"/>
        <v>#DIV/0!</v>
      </c>
      <c r="AK24" s="3" t="e">
        <f t="shared" si="6"/>
        <v>#DIV/0!</v>
      </c>
    </row>
    <row r="25" spans="1:37" ht="15.75" thickBot="1" x14ac:dyDescent="0.3"/>
    <row r="26" spans="1:37" ht="15.75" thickBot="1" x14ac:dyDescent="0.3">
      <c r="B26" s="148" t="s">
        <v>6</v>
      </c>
      <c r="C26" s="149"/>
      <c r="D26" s="149"/>
      <c r="E26" s="149"/>
      <c r="F26" s="149"/>
      <c r="G26" s="149"/>
      <c r="H26" s="149"/>
      <c r="I26" s="149"/>
      <c r="J26" s="149"/>
      <c r="K26" s="149"/>
      <c r="L26" s="149"/>
      <c r="M26" s="149"/>
      <c r="O26" s="148" t="s">
        <v>3</v>
      </c>
      <c r="P26" s="149"/>
      <c r="Q26" s="149"/>
      <c r="R26" s="149"/>
      <c r="S26" s="149"/>
      <c r="T26" s="149"/>
      <c r="U26" s="149"/>
      <c r="V26" s="149"/>
      <c r="W26" s="149"/>
      <c r="X26" s="149"/>
      <c r="Y26" s="149"/>
      <c r="Z26" s="149"/>
      <c r="AA26" s="149"/>
      <c r="AB26" s="149"/>
      <c r="AC26" s="149"/>
      <c r="AD26" s="149"/>
      <c r="AE26" s="149"/>
      <c r="AF26" s="149"/>
      <c r="AG26" s="149"/>
      <c r="AH26" s="149"/>
      <c r="AI26" s="149"/>
      <c r="AJ26" s="149"/>
      <c r="AK26" s="150"/>
    </row>
    <row r="27" spans="1:37" x14ac:dyDescent="0.25">
      <c r="A27" s="19" t="s">
        <v>22</v>
      </c>
      <c r="B27" s="20" t="str">
        <f>B4</f>
        <v>Solvent control</v>
      </c>
      <c r="C27" s="20" t="str">
        <f t="shared" ref="C27:M27" si="7">C4</f>
        <v>EE2-33.8ng/L</v>
      </c>
      <c r="D27" s="20" t="str">
        <f t="shared" si="7"/>
        <v>EE2-50.6ng/L</v>
      </c>
      <c r="E27" s="20" t="str">
        <f t="shared" si="7"/>
        <v>EE2-76ng/L</v>
      </c>
      <c r="F27" s="20" t="str">
        <f t="shared" si="7"/>
        <v>EE2-114ng/L</v>
      </c>
      <c r="G27" s="20" t="str">
        <f t="shared" si="7"/>
        <v>EE2-170.9ng/L</v>
      </c>
      <c r="H27" s="20" t="str">
        <f t="shared" si="7"/>
        <v>EE2-488ng/L</v>
      </c>
      <c r="I27" s="20" t="str">
        <f t="shared" si="7"/>
        <v>Estradiol-34ng/L</v>
      </c>
      <c r="J27" s="20" t="str">
        <f t="shared" si="7"/>
        <v>Estradiol-68ng/L</v>
      </c>
      <c r="K27" s="20" t="str">
        <f t="shared" si="7"/>
        <v>Estradiol-135ng/L</v>
      </c>
      <c r="L27" s="20" t="str">
        <f t="shared" si="7"/>
        <v>Estradiol-270ng/L</v>
      </c>
      <c r="M27" s="20" t="str">
        <f t="shared" si="7"/>
        <v>Estradiol-540ng/L</v>
      </c>
      <c r="N27" s="3"/>
      <c r="O27" s="21" t="str">
        <f>O4</f>
        <v>Testo -30µg/L</v>
      </c>
      <c r="P27" s="21" t="str">
        <f t="shared" ref="P27:AK27" si="8">P4</f>
        <v>Testo 30µg/L + EE2 -64ng/L</v>
      </c>
      <c r="Q27" s="21" t="str">
        <f t="shared" si="8"/>
        <v>Testo 30µg/L + FAD-10mg/L</v>
      </c>
      <c r="R27" s="21" t="str">
        <f t="shared" si="8"/>
        <v>Estradiol-34ng/L + Testostérone</v>
      </c>
      <c r="S27" s="21" t="str">
        <f t="shared" si="8"/>
        <v>Estradiol-68ng/L + Testostérone</v>
      </c>
      <c r="T27" s="21" t="str">
        <f t="shared" si="8"/>
        <v>Estradiol-135ng/L + Testostérone</v>
      </c>
      <c r="U27" s="21" t="str">
        <f t="shared" si="8"/>
        <v>Estradiol-270ng/L + Testostérone</v>
      </c>
      <c r="V27" s="21" t="str">
        <f t="shared" si="8"/>
        <v>Estradiol-540ng/L + Testostérone</v>
      </c>
      <c r="W27" s="21" t="str">
        <f t="shared" si="8"/>
        <v>0-00 + Testostérone</v>
      </c>
      <c r="X27" s="21" t="str">
        <f t="shared" si="8"/>
        <v>0-00 + Testostérone</v>
      </c>
      <c r="Y27" s="21" t="str">
        <f t="shared" si="8"/>
        <v>0-00 + Testostérone</v>
      </c>
      <c r="Z27" s="21" t="str">
        <f t="shared" si="8"/>
        <v>0-00 + Testostérone</v>
      </c>
      <c r="AA27" s="21" t="str">
        <f t="shared" si="8"/>
        <v>0-00 + Testostérone</v>
      </c>
      <c r="AB27" s="21" t="str">
        <f t="shared" si="8"/>
        <v>0-00 + Testostérone</v>
      </c>
      <c r="AC27" s="21" t="str">
        <f t="shared" si="8"/>
        <v>0-00 + Testostérone</v>
      </c>
      <c r="AD27" s="21" t="str">
        <f t="shared" si="8"/>
        <v>0-00 + Testostérone</v>
      </c>
      <c r="AE27" s="21" t="str">
        <f t="shared" si="8"/>
        <v>0-00 + Testostérone</v>
      </c>
      <c r="AF27" s="21" t="str">
        <f t="shared" si="8"/>
        <v>0-00 + Testostérone</v>
      </c>
      <c r="AG27" s="21" t="str">
        <f t="shared" si="8"/>
        <v>0-00 + Testostérone</v>
      </c>
      <c r="AH27" s="21" t="str">
        <f t="shared" si="8"/>
        <v>0-00 + Testostérone</v>
      </c>
      <c r="AI27" s="21" t="str">
        <f t="shared" si="8"/>
        <v>0-00 + Testostérone</v>
      </c>
      <c r="AJ27" s="21" t="str">
        <f t="shared" si="8"/>
        <v>0-00 + Testostérone</v>
      </c>
      <c r="AK27" s="21" t="str">
        <f t="shared" si="8"/>
        <v>0-00 + Testostérone</v>
      </c>
    </row>
    <row r="28" spans="1:37" x14ac:dyDescent="0.25">
      <c r="A28" s="152" t="s">
        <v>17</v>
      </c>
      <c r="B28" s="11">
        <f>IF(B5="","",(B5/$O$23))</f>
        <v>9.9964414790879294E-2</v>
      </c>
      <c r="C28" s="11">
        <f>IF(C5="","",(C5/$O$23))</f>
        <v>5.0605937679569737E-2</v>
      </c>
      <c r="D28" s="11">
        <f>IF(D5="","",(D5/$O$23))</f>
        <v>0.10616820376616724</v>
      </c>
      <c r="E28" s="11">
        <f>IF(E5="","",(E5/$O$23))</f>
        <v>1.0347666794903752</v>
      </c>
      <c r="F28" s="11">
        <f>IF(F5="","",(F5/$O$23))</f>
        <v>0.97907780546550649</v>
      </c>
      <c r="G28" s="11">
        <f>IF(G5="","",(G5/$O$23))</f>
        <v>1.2966961611961099</v>
      </c>
      <c r="H28" s="11">
        <f>IF(H5="","",(H5/$O$23))</f>
        <v>1.0648099984895487</v>
      </c>
      <c r="I28" s="11">
        <f>IF(I5="","",(I5/$O$23))</f>
        <v>7.9383177296031476E-2</v>
      </c>
      <c r="J28" s="11">
        <f>IF(J5="","",(J5/$O$23))</f>
        <v>9.3689874320675104E-2</v>
      </c>
      <c r="K28" s="11">
        <f>IF(K5="","",(K5/$O$23))</f>
        <v>1.0421322824874457</v>
      </c>
      <c r="L28" s="11">
        <f>IF(L5="","",(L5/$O$23))</f>
        <v>1.2685929226627977</v>
      </c>
      <c r="M28" s="11">
        <f>IF(M5="","",(M5/$O$23))</f>
        <v>1.492294254536416</v>
      </c>
      <c r="N28" s="6"/>
      <c r="O28" s="11">
        <f t="shared" ref="O28:AK39" si="9">IF(O5="","",(O5/$O$23))</f>
        <v>0.86304907756574822</v>
      </c>
      <c r="P28" s="11">
        <f t="shared" si="9"/>
        <v>1.4466074076349706</v>
      </c>
      <c r="Q28" s="11">
        <f t="shared" si="9"/>
        <v>3.7412645759134451E-2</v>
      </c>
      <c r="R28" s="11">
        <f t="shared" si="9"/>
        <v>1.2710580536961955</v>
      </c>
      <c r="S28" s="11">
        <f t="shared" si="9"/>
        <v>1.4606795075975236</v>
      </c>
      <c r="T28" s="11">
        <f t="shared" si="9"/>
        <v>1.5437231438147483</v>
      </c>
      <c r="U28" s="11">
        <f t="shared" si="9"/>
        <v>1.2965211443402644</v>
      </c>
      <c r="V28" s="11">
        <f t="shared" si="9"/>
        <v>1.4909239097927749</v>
      </c>
      <c r="W28" s="11" t="str">
        <f t="shared" si="9"/>
        <v/>
      </c>
      <c r="X28" s="11" t="str">
        <f t="shared" si="9"/>
        <v/>
      </c>
      <c r="Y28" s="11" t="str">
        <f t="shared" si="9"/>
        <v/>
      </c>
      <c r="Z28" s="11" t="str">
        <f t="shared" si="9"/>
        <v/>
      </c>
      <c r="AA28" s="11" t="str">
        <f t="shared" si="9"/>
        <v/>
      </c>
      <c r="AB28" s="11" t="str">
        <f t="shared" si="9"/>
        <v/>
      </c>
      <c r="AC28" s="11" t="str">
        <f t="shared" si="9"/>
        <v/>
      </c>
      <c r="AD28" s="11" t="str">
        <f t="shared" si="9"/>
        <v/>
      </c>
      <c r="AE28" s="11" t="str">
        <f t="shared" si="9"/>
        <v/>
      </c>
      <c r="AF28" s="11" t="str">
        <f t="shared" si="9"/>
        <v/>
      </c>
      <c r="AG28" s="11" t="str">
        <f t="shared" si="9"/>
        <v/>
      </c>
      <c r="AH28" s="11" t="str">
        <f t="shared" si="9"/>
        <v/>
      </c>
      <c r="AI28" s="11" t="str">
        <f t="shared" si="9"/>
        <v/>
      </c>
      <c r="AJ28" s="11" t="str">
        <f t="shared" si="9"/>
        <v/>
      </c>
      <c r="AK28" s="11" t="str">
        <f t="shared" si="9"/>
        <v/>
      </c>
    </row>
    <row r="29" spans="1:37" x14ac:dyDescent="0.25">
      <c r="A29" s="152"/>
      <c r="B29" s="11">
        <f>IF(B6="","",(B6/$O$23))</f>
        <v>4.5355432004205991E-2</v>
      </c>
      <c r="C29" s="11">
        <f>IF(C6="","",(C6/$O$23))</f>
        <v>0.10743055938598874</v>
      </c>
      <c r="D29" s="11">
        <f>IF(D6="","",(D6/$O$23))</f>
        <v>5.1387927886538808E-2</v>
      </c>
      <c r="E29" s="11">
        <f>IF(E6="","",(E6/$O$23))</f>
        <v>0.98172167711763991</v>
      </c>
      <c r="F29" s="11">
        <f>IF(F6="","",(F6/$O$23))</f>
        <v>1.1667256650349602</v>
      </c>
      <c r="G29" s="11">
        <f>IF(G6="","",(G6/$O$23))</f>
        <v>1.0794369391227605</v>
      </c>
      <c r="H29" s="11">
        <f>IF(H6="","",(H6/$O$23))</f>
        <v>1.2794402439623258</v>
      </c>
      <c r="I29" s="11">
        <f>IF(I6="","",(I6/$O$23))</f>
        <v>2.5626936211243484E-2</v>
      </c>
      <c r="J29" s="11">
        <f>IF(J6="","",(J6/$O$23))</f>
        <v>0.15726567814726039</v>
      </c>
      <c r="K29" s="11">
        <f>IF(K6="","",(K6/$O$23))</f>
        <v>0.59274112935677348</v>
      </c>
      <c r="L29" s="11">
        <f>IF(L6="","",(L6/$O$23))</f>
        <v>1.5092075855842899</v>
      </c>
      <c r="M29" s="11">
        <f>IF(M6="","",(M6/$O$23))</f>
        <v>1.7848442384893253</v>
      </c>
      <c r="N29" s="6"/>
      <c r="O29" s="11">
        <f t="shared" si="9"/>
        <v>1.2602442462626804</v>
      </c>
      <c r="P29" s="11">
        <f t="shared" si="9"/>
        <v>1.3404950603121584</v>
      </c>
      <c r="Q29" s="11">
        <f t="shared" si="9"/>
        <v>0.13410759673230496</v>
      </c>
      <c r="R29" s="11">
        <f t="shared" si="9"/>
        <v>1.2578163528581858</v>
      </c>
      <c r="S29" s="11">
        <f t="shared" si="9"/>
        <v>1.3448481391309528</v>
      </c>
      <c r="T29" s="11">
        <f t="shared" si="9"/>
        <v>1.2495198091385331</v>
      </c>
      <c r="U29" s="11">
        <f t="shared" si="9"/>
        <v>1.2928308953159484</v>
      </c>
      <c r="V29" s="11">
        <f t="shared" si="9"/>
        <v>1.5674956461066081</v>
      </c>
      <c r="W29" s="11" t="str">
        <f t="shared" si="9"/>
        <v/>
      </c>
      <c r="X29" s="11" t="str">
        <f t="shared" si="9"/>
        <v/>
      </c>
      <c r="Y29" s="11" t="str">
        <f t="shared" si="9"/>
        <v/>
      </c>
      <c r="Z29" s="11" t="str">
        <f t="shared" si="9"/>
        <v/>
      </c>
      <c r="AA29" s="11" t="str">
        <f t="shared" si="9"/>
        <v/>
      </c>
      <c r="AB29" s="11" t="str">
        <f t="shared" si="9"/>
        <v/>
      </c>
      <c r="AC29" s="11" t="str">
        <f t="shared" si="9"/>
        <v/>
      </c>
      <c r="AD29" s="11" t="str">
        <f t="shared" si="9"/>
        <v/>
      </c>
      <c r="AE29" s="11" t="str">
        <f t="shared" si="9"/>
        <v/>
      </c>
      <c r="AF29" s="11" t="str">
        <f t="shared" si="9"/>
        <v/>
      </c>
      <c r="AG29" s="11" t="str">
        <f t="shared" si="9"/>
        <v/>
      </c>
      <c r="AH29" s="11" t="str">
        <f t="shared" si="9"/>
        <v/>
      </c>
      <c r="AI29" s="11" t="str">
        <f t="shared" si="9"/>
        <v/>
      </c>
      <c r="AJ29" s="11" t="str">
        <f t="shared" si="9"/>
        <v/>
      </c>
      <c r="AK29" s="11" t="str">
        <f t="shared" si="9"/>
        <v/>
      </c>
    </row>
    <row r="30" spans="1:37" x14ac:dyDescent="0.25">
      <c r="A30" s="152"/>
      <c r="B30" s="11">
        <f>IF(B7="","",(B7/$O$23))</f>
        <v>4.4026048652358575E-2</v>
      </c>
      <c r="C30" s="11">
        <f>IF(C7="","",(C7/$O$23))</f>
        <v>0.74533348507667108</v>
      </c>
      <c r="D30" s="11">
        <f>IF(D7="","",(D7/$O$23))</f>
        <v>0.27680591445259872</v>
      </c>
      <c r="E30" s="11">
        <f>IF(E7="","",(E7/$O$23))</f>
        <v>0.73728643347067035</v>
      </c>
      <c r="F30" s="11">
        <f>IF(F7="","",(F7/$O$23))</f>
        <v>0.70544826075835831</v>
      </c>
      <c r="G30" s="11">
        <f>IF(G7="","",(G7/$O$23))</f>
        <v>1.1612405622975059</v>
      </c>
      <c r="H30" s="11">
        <f>IF(H7="","",(H7/$O$23))</f>
        <v>1.3200590495700333</v>
      </c>
      <c r="I30" s="11">
        <f>IF(I7="","",(I7/$O$23))</f>
        <v>2.5693963943269404E-2</v>
      </c>
      <c r="J30" s="11">
        <f>IF(J7="","",(J7/$O$23))</f>
        <v>0.17603716687740836</v>
      </c>
      <c r="K30" s="11">
        <f>IF(K7="","",(K7/$O$23))</f>
        <v>1.209552662036633</v>
      </c>
      <c r="L30" s="11">
        <f>IF(L7="","",(L7/$O$23))</f>
        <v>1.3196606069407681</v>
      </c>
      <c r="M30" s="11">
        <f>IF(M7="","",(M7/$O$23))</f>
        <v>1.3661108252347309</v>
      </c>
      <c r="N30" s="6"/>
      <c r="O30" s="11">
        <f t="shared" si="9"/>
        <v>0.67533419026426844</v>
      </c>
      <c r="P30" s="11">
        <f t="shared" si="9"/>
        <v>1.1955401422803253</v>
      </c>
      <c r="Q30" s="11">
        <f t="shared" si="9"/>
        <v>0.13331443523666492</v>
      </c>
      <c r="R30" s="11">
        <f t="shared" si="9"/>
        <v>1.0481536070811075</v>
      </c>
      <c r="S30" s="11">
        <f t="shared" si="9"/>
        <v>1.296063121504754</v>
      </c>
      <c r="T30" s="11">
        <f t="shared" si="9"/>
        <v>1.4017844737240817</v>
      </c>
      <c r="U30" s="11">
        <f t="shared" si="9"/>
        <v>1.5733345063186437</v>
      </c>
      <c r="V30" s="11">
        <f t="shared" si="9"/>
        <v>1.6778903207532987</v>
      </c>
      <c r="W30" s="11" t="str">
        <f t="shared" si="9"/>
        <v/>
      </c>
      <c r="X30" s="11" t="str">
        <f t="shared" si="9"/>
        <v/>
      </c>
      <c r="Y30" s="11" t="str">
        <f t="shared" si="9"/>
        <v/>
      </c>
      <c r="Z30" s="11" t="str">
        <f t="shared" si="9"/>
        <v/>
      </c>
      <c r="AA30" s="11" t="str">
        <f t="shared" si="9"/>
        <v/>
      </c>
      <c r="AB30" s="11" t="str">
        <f t="shared" si="9"/>
        <v/>
      </c>
      <c r="AC30" s="11" t="str">
        <f t="shared" si="9"/>
        <v/>
      </c>
      <c r="AD30" s="11" t="str">
        <f t="shared" si="9"/>
        <v/>
      </c>
      <c r="AE30" s="11" t="str">
        <f t="shared" si="9"/>
        <v/>
      </c>
      <c r="AF30" s="11" t="str">
        <f t="shared" si="9"/>
        <v/>
      </c>
      <c r="AG30" s="11" t="str">
        <f t="shared" si="9"/>
        <v/>
      </c>
      <c r="AH30" s="11" t="str">
        <f t="shared" si="9"/>
        <v/>
      </c>
      <c r="AI30" s="11" t="str">
        <f t="shared" si="9"/>
        <v/>
      </c>
      <c r="AJ30" s="11" t="str">
        <f t="shared" si="9"/>
        <v/>
      </c>
      <c r="AK30" s="11" t="str">
        <f t="shared" si="9"/>
        <v/>
      </c>
    </row>
    <row r="31" spans="1:37" x14ac:dyDescent="0.25">
      <c r="A31" s="152"/>
      <c r="B31" s="11">
        <f>IF(B8="","",(B8/$O$23))</f>
        <v>0.12099622759545692</v>
      </c>
      <c r="C31" s="11">
        <f>IF(C8="","",(C8/$O$23))</f>
        <v>2.0808387031157886E-2</v>
      </c>
      <c r="D31" s="11">
        <f>IF(D8="","",(D8/$O$23))</f>
        <v>0.14495864179472337</v>
      </c>
      <c r="E31" s="11">
        <f>IF(E8="","",(E8/$O$23))</f>
        <v>4.1277911639295846E-2</v>
      </c>
      <c r="F31" s="11">
        <f>IF(F8="","",(F8/$O$23))</f>
        <v>1.2304094579853651</v>
      </c>
      <c r="G31" s="11">
        <f>IF(G8="","",(G8/$O$23))</f>
        <v>1.2038850949175524</v>
      </c>
      <c r="H31" s="11">
        <f>IF(H8="","",(H8/$O$23))</f>
        <v>1.7568936742345165</v>
      </c>
      <c r="I31" s="11">
        <f>IF(I8="","",(I8/$O$23))</f>
        <v>0.11128837774036948</v>
      </c>
      <c r="J31" s="11">
        <f>IF(J8="","",(J8/$O$23))</f>
        <v>9.5551755765839547E-2</v>
      </c>
      <c r="K31" s="11">
        <f>IF(K8="","",(K8/$O$23))</f>
        <v>9.8675992830825496E-2</v>
      </c>
      <c r="L31" s="11">
        <f>IF(L8="","",(L8/$O$23))</f>
        <v>1.3675407501846171</v>
      </c>
      <c r="M31" s="11">
        <f>IF(M8="","",(M8/$O$23))</f>
        <v>1.4315075491146869</v>
      </c>
      <c r="N31" s="6"/>
      <c r="O31" s="11">
        <f t="shared" si="9"/>
        <v>0.93836590578554058</v>
      </c>
      <c r="P31" s="11">
        <f t="shared" si="9"/>
        <v>1.0735794600962731</v>
      </c>
      <c r="Q31" s="11">
        <f t="shared" si="9"/>
        <v>7.8027727603951755E-2</v>
      </c>
      <c r="R31" s="11">
        <f t="shared" si="9"/>
        <v>1.3131365743569119</v>
      </c>
      <c r="S31" s="11">
        <f t="shared" si="9"/>
        <v>1.2378346411886809</v>
      </c>
      <c r="T31" s="11">
        <f t="shared" si="9"/>
        <v>1.1546830158476367</v>
      </c>
      <c r="U31" s="11">
        <f t="shared" si="9"/>
        <v>1.3431128656240596</v>
      </c>
      <c r="V31" s="11">
        <f t="shared" si="9"/>
        <v>1.4802813954522149</v>
      </c>
      <c r="W31" s="11" t="str">
        <f t="shared" si="9"/>
        <v/>
      </c>
      <c r="X31" s="11" t="str">
        <f t="shared" si="9"/>
        <v/>
      </c>
      <c r="Y31" s="11" t="str">
        <f t="shared" si="9"/>
        <v/>
      </c>
      <c r="Z31" s="11" t="str">
        <f t="shared" si="9"/>
        <v/>
      </c>
      <c r="AA31" s="11" t="str">
        <f t="shared" si="9"/>
        <v/>
      </c>
      <c r="AB31" s="11" t="str">
        <f t="shared" si="9"/>
        <v/>
      </c>
      <c r="AC31" s="11" t="str">
        <f t="shared" si="9"/>
        <v/>
      </c>
      <c r="AD31" s="11" t="str">
        <f t="shared" si="9"/>
        <v/>
      </c>
      <c r="AE31" s="11" t="str">
        <f t="shared" si="9"/>
        <v/>
      </c>
      <c r="AF31" s="11" t="str">
        <f t="shared" si="9"/>
        <v/>
      </c>
      <c r="AG31" s="11" t="str">
        <f t="shared" si="9"/>
        <v/>
      </c>
      <c r="AH31" s="11" t="str">
        <f t="shared" si="9"/>
        <v/>
      </c>
      <c r="AI31" s="11" t="str">
        <f t="shared" si="9"/>
        <v/>
      </c>
      <c r="AJ31" s="11" t="str">
        <f t="shared" si="9"/>
        <v/>
      </c>
      <c r="AK31" s="11" t="str">
        <f t="shared" si="9"/>
        <v/>
      </c>
    </row>
    <row r="32" spans="1:37" x14ac:dyDescent="0.25">
      <c r="A32" s="152"/>
      <c r="B32" s="11">
        <f>IF(B9="","",(B9/$O$23))</f>
        <v>3.6835462511133468E-2</v>
      </c>
      <c r="C32" s="11">
        <f>IF(C9="","",(C9/$O$23))</f>
        <v>4.0953944267837231E-2</v>
      </c>
      <c r="D32" s="11">
        <f>IF(D9="","",(D9/$O$23))</f>
        <v>0.19146099276915068</v>
      </c>
      <c r="E32" s="11">
        <f>IF(E9="","",(E9/$O$23))</f>
        <v>0.67121198474467436</v>
      </c>
      <c r="F32" s="11">
        <f>IF(F9="","",(F9/$O$23))</f>
        <v>0.37893383548275911</v>
      </c>
      <c r="G32" s="11">
        <f>IF(G9="","",(G9/$O$23))</f>
        <v>1.4800579696787952</v>
      </c>
      <c r="H32" s="11">
        <f>IF(H9="","",(H9/$O$23))</f>
        <v>1.7344468315316139</v>
      </c>
      <c r="I32" s="11">
        <f>IF(I9="","",(I9/$O$23))</f>
        <v>4.6278925201007556E-2</v>
      </c>
      <c r="J32" s="11">
        <f>IF(J9="","",(J9/$O$23))</f>
        <v>0.10302907164961998</v>
      </c>
      <c r="K32" s="11">
        <f>IF(K9="","",(K9/$O$23))</f>
        <v>0.84636661981707484</v>
      </c>
      <c r="L32" s="11">
        <f>IF(L9="","",(L9/$O$23))</f>
        <v>1.4140095872930316</v>
      </c>
      <c r="M32" s="11">
        <f>IF(M9="","",(M9/$O$23))</f>
        <v>1.4742749659101144</v>
      </c>
      <c r="N32" s="6"/>
      <c r="O32" s="11">
        <f t="shared" si="9"/>
        <v>1.0815892740733708</v>
      </c>
      <c r="P32" s="11">
        <f t="shared" si="9"/>
        <v>1.3331369048408686</v>
      </c>
      <c r="Q32" s="11">
        <f t="shared" si="9"/>
        <v>6.5165850580755733E-2</v>
      </c>
      <c r="R32" s="11">
        <f t="shared" si="9"/>
        <v>1.0885117492864922</v>
      </c>
      <c r="S32" s="11">
        <f t="shared" si="9"/>
        <v>1.4077275992970466</v>
      </c>
      <c r="T32" s="11">
        <f t="shared" si="9"/>
        <v>1.4711879664740317</v>
      </c>
      <c r="U32" s="11">
        <f t="shared" si="9"/>
        <v>1.4498284625351052</v>
      </c>
      <c r="V32" s="11">
        <f t="shared" si="9"/>
        <v>1.6704688613128731</v>
      </c>
      <c r="W32" s="11" t="str">
        <f t="shared" si="9"/>
        <v/>
      </c>
      <c r="X32" s="11" t="str">
        <f t="shared" si="9"/>
        <v/>
      </c>
      <c r="Y32" s="11" t="str">
        <f t="shared" si="9"/>
        <v/>
      </c>
      <c r="Z32" s="11" t="str">
        <f t="shared" si="9"/>
        <v/>
      </c>
      <c r="AA32" s="11" t="str">
        <f t="shared" si="9"/>
        <v/>
      </c>
      <c r="AB32" s="11" t="str">
        <f t="shared" si="9"/>
        <v/>
      </c>
      <c r="AC32" s="11" t="str">
        <f t="shared" si="9"/>
        <v/>
      </c>
      <c r="AD32" s="11" t="str">
        <f t="shared" si="9"/>
        <v/>
      </c>
      <c r="AE32" s="11" t="str">
        <f t="shared" si="9"/>
        <v/>
      </c>
      <c r="AF32" s="11" t="str">
        <f t="shared" si="9"/>
        <v/>
      </c>
      <c r="AG32" s="11" t="str">
        <f t="shared" si="9"/>
        <v/>
      </c>
      <c r="AH32" s="11" t="str">
        <f t="shared" si="9"/>
        <v/>
      </c>
      <c r="AI32" s="11" t="str">
        <f t="shared" si="9"/>
        <v/>
      </c>
      <c r="AJ32" s="11" t="str">
        <f t="shared" si="9"/>
        <v/>
      </c>
      <c r="AK32" s="11" t="str">
        <f t="shared" si="9"/>
        <v/>
      </c>
    </row>
    <row r="33" spans="1:37" x14ac:dyDescent="0.25">
      <c r="A33" s="152"/>
      <c r="B33" s="11">
        <f>IF(B10="","",(B10/$O$23))</f>
        <v>0.11335878990739234</v>
      </c>
      <c r="C33" s="11">
        <f>IF(C10="","",(C10/$O$23))</f>
        <v>2.9890644720670073E-2</v>
      </c>
      <c r="D33" s="11">
        <f>IF(D10="","",(D10/$O$23))</f>
        <v>7.0360499812764543E-2</v>
      </c>
      <c r="E33" s="11">
        <f>IF(E10="","",(E10/$O$23))</f>
        <v>0.88401386263829995</v>
      </c>
      <c r="F33" s="11">
        <f>IF(F10="","",(F10/$O$23))</f>
        <v>1.1406891149057807</v>
      </c>
      <c r="G33" s="11">
        <f>IF(G10="","",(G10/$O$23))</f>
        <v>1.2886304907756574</v>
      </c>
      <c r="H33" s="11">
        <f>IF(H10="","",(H10/$O$23))</f>
        <v>1.6077197328479409</v>
      </c>
      <c r="I33" s="11">
        <f>IF(I10="","",(I10/$O$23))</f>
        <v>8.9820884677623378E-2</v>
      </c>
      <c r="J33" s="11">
        <f>IF(J10="","",(J10/$O$23))</f>
        <v>0.11295662351523682</v>
      </c>
      <c r="K33" s="11">
        <f>IF(K10="","",(K10/$O$23))</f>
        <v>0.84994143219179052</v>
      </c>
      <c r="L33" s="11">
        <f>IF(L10="","",(L10/$O$23))</f>
        <v>1.5533863085151518</v>
      </c>
      <c r="M33" s="11">
        <f>IF(M10="","",(M10/$O$23))</f>
        <v>1.5425389872156239</v>
      </c>
      <c r="N33" s="6"/>
      <c r="O33" s="11">
        <f t="shared" si="9"/>
        <v>1.0120144882304656</v>
      </c>
      <c r="P33" s="11">
        <f t="shared" si="9"/>
        <v>1.1273692150470742</v>
      </c>
      <c r="Q33" s="11">
        <f t="shared" si="9"/>
        <v>0.19983945927239069</v>
      </c>
      <c r="R33" s="11">
        <f t="shared" si="9"/>
        <v>1.5177014887371301</v>
      </c>
      <c r="S33" s="11">
        <f t="shared" si="9"/>
        <v>1.3590654658462287</v>
      </c>
      <c r="T33" s="11">
        <f t="shared" si="9"/>
        <v>1.3361531527820349</v>
      </c>
      <c r="U33" s="11">
        <f t="shared" si="9"/>
        <v>1.2123007990496957</v>
      </c>
      <c r="V33" s="11">
        <f t="shared" si="9"/>
        <v>1.7073341139271292</v>
      </c>
      <c r="W33" s="11" t="str">
        <f t="shared" si="9"/>
        <v/>
      </c>
      <c r="X33" s="11" t="str">
        <f t="shared" si="9"/>
        <v/>
      </c>
      <c r="Y33" s="11" t="str">
        <f t="shared" si="9"/>
        <v/>
      </c>
      <c r="Z33" s="11" t="str">
        <f t="shared" si="9"/>
        <v/>
      </c>
      <c r="AA33" s="11" t="str">
        <f t="shared" si="9"/>
        <v/>
      </c>
      <c r="AB33" s="11" t="str">
        <f t="shared" si="9"/>
        <v/>
      </c>
      <c r="AC33" s="11" t="str">
        <f t="shared" si="9"/>
        <v/>
      </c>
      <c r="AD33" s="11" t="str">
        <f t="shared" si="9"/>
        <v/>
      </c>
      <c r="AE33" s="11" t="str">
        <f t="shared" si="9"/>
        <v/>
      </c>
      <c r="AF33" s="11" t="str">
        <f t="shared" si="9"/>
        <v/>
      </c>
      <c r="AG33" s="11" t="str">
        <f t="shared" si="9"/>
        <v/>
      </c>
      <c r="AH33" s="11" t="str">
        <f t="shared" si="9"/>
        <v/>
      </c>
      <c r="AI33" s="11" t="str">
        <f t="shared" si="9"/>
        <v/>
      </c>
      <c r="AJ33" s="11" t="str">
        <f t="shared" si="9"/>
        <v/>
      </c>
      <c r="AK33" s="11" t="str">
        <f t="shared" si="9"/>
        <v/>
      </c>
    </row>
    <row r="34" spans="1:37" x14ac:dyDescent="0.25">
      <c r="A34" s="152"/>
      <c r="B34" s="11">
        <f>IF(B11="","",(B11/$O$23))</f>
        <v>0.11276298784493972</v>
      </c>
      <c r="C34" s="11">
        <f>IF(C11="","",(C11/$O$23))</f>
        <v>3.2646229259513458E-2</v>
      </c>
      <c r="D34" s="11">
        <f>IF(D11="","",(D11/$O$23))</f>
        <v>0.1473083361785209</v>
      </c>
      <c r="E34" s="11">
        <f>IF(E11="","",(E11/$O$23))</f>
        <v>0.64152614698297239</v>
      </c>
      <c r="F34" s="11">
        <f>IF(F11="","",(F11/$O$23))</f>
        <v>1.3727093330763938</v>
      </c>
      <c r="G34" s="11">
        <f>IF(G11="","",(G11/$O$23))</f>
        <v>1.0887314512970214</v>
      </c>
      <c r="H34" s="11">
        <f>IF(H11="","",(H11/$O$23))</f>
        <v>1.5775647009620575</v>
      </c>
      <c r="I34" s="11">
        <f>IF(I11="","",(I11/$O$23))</f>
        <v>5.0308036648343425E-3</v>
      </c>
      <c r="J34" s="11">
        <f>IF(J11="","",(J11/$O$23))</f>
        <v>0.15689702562111782</v>
      </c>
      <c r="K34" s="11">
        <f>IF(K11="","",(K11/$O$23))</f>
        <v>0.89039266846943332</v>
      </c>
      <c r="L34" s="11">
        <f>IF(L11="","",(L11/$O$23))</f>
        <v>1.5249069699299165</v>
      </c>
      <c r="M34" s="11">
        <f>IF(M11="","",(M11/$O$23))</f>
        <v>1.7962352291708414</v>
      </c>
      <c r="N34" s="6"/>
      <c r="O34" s="11">
        <f t="shared" si="9"/>
        <v>0.88905211382891502</v>
      </c>
      <c r="P34" s="11">
        <f t="shared" si="9"/>
        <v>1.4063833208936378</v>
      </c>
      <c r="Q34" s="11">
        <f t="shared" si="9"/>
        <v>7.1485076205643872E-2</v>
      </c>
      <c r="R34" s="11">
        <f t="shared" si="9"/>
        <v>1.1420818022267636</v>
      </c>
      <c r="S34" s="11">
        <f t="shared" si="9"/>
        <v>1.134172529847705</v>
      </c>
      <c r="T34" s="11">
        <f t="shared" si="9"/>
        <v>1.3016115282113441</v>
      </c>
      <c r="U34" s="11">
        <f t="shared" si="9"/>
        <v>1.5410718246368342</v>
      </c>
      <c r="V34" s="11">
        <f t="shared" si="9"/>
        <v>1.816928179552399</v>
      </c>
      <c r="W34" s="11" t="str">
        <f t="shared" si="9"/>
        <v/>
      </c>
      <c r="X34" s="11" t="str">
        <f t="shared" si="9"/>
        <v/>
      </c>
      <c r="Y34" s="11" t="str">
        <f t="shared" si="9"/>
        <v/>
      </c>
      <c r="Z34" s="11" t="str">
        <f t="shared" si="9"/>
        <v/>
      </c>
      <c r="AA34" s="11" t="str">
        <f t="shared" si="9"/>
        <v/>
      </c>
      <c r="AB34" s="11" t="str">
        <f t="shared" si="9"/>
        <v/>
      </c>
      <c r="AC34" s="11" t="str">
        <f t="shared" si="9"/>
        <v/>
      </c>
      <c r="AD34" s="11" t="str">
        <f t="shared" si="9"/>
        <v/>
      </c>
      <c r="AE34" s="11" t="str">
        <f t="shared" si="9"/>
        <v/>
      </c>
      <c r="AF34" s="11" t="str">
        <f t="shared" si="9"/>
        <v/>
      </c>
      <c r="AG34" s="11" t="str">
        <f t="shared" si="9"/>
        <v/>
      </c>
      <c r="AH34" s="11" t="str">
        <f t="shared" si="9"/>
        <v/>
      </c>
      <c r="AI34" s="11" t="str">
        <f t="shared" si="9"/>
        <v/>
      </c>
      <c r="AJ34" s="11" t="str">
        <f t="shared" si="9"/>
        <v/>
      </c>
      <c r="AK34" s="11" t="str">
        <f t="shared" si="9"/>
        <v/>
      </c>
    </row>
    <row r="35" spans="1:37" x14ac:dyDescent="0.25">
      <c r="A35" s="152"/>
      <c r="B35" s="11">
        <f>IF(B12="","",(B12/$O$23))</f>
        <v>8.0325289307284678E-2</v>
      </c>
      <c r="C35" s="11">
        <f>IF(C12="","",(C12/$O$23))</f>
        <v>3.5446498953040792E-2</v>
      </c>
      <c r="D35" s="11">
        <f>IF(D12="","",(D12/$O$23))</f>
        <v>2.7641491934911416E-2</v>
      </c>
      <c r="E35" s="11">
        <f>IF(E12="","",(E12/$O$23))</f>
        <v>1.0440723629533071</v>
      </c>
      <c r="F35" s="11">
        <f>IF(F12="","",(F12/$O$23))</f>
        <v>0.72628271412974843</v>
      </c>
      <c r="G35" s="11">
        <f>IF(G12="","",(G12/$O$23))</f>
        <v>1.3008518805817169</v>
      </c>
      <c r="H35" s="11">
        <f>IF(H12="","",(H12/$O$23))</f>
        <v>1.3392327046923369</v>
      </c>
      <c r="I35" s="11" t="str">
        <f>IF(I12="","",(I12/$O$23))</f>
        <v/>
      </c>
      <c r="J35" s="11">
        <f>IF(J12="","",(J12/$O$23))</f>
        <v>0.16456425341230504</v>
      </c>
      <c r="K35" s="11">
        <f>IF(K12="","",(K12/$O$23))</f>
        <v>0.28742608621581672</v>
      </c>
      <c r="L35" s="11">
        <f>IF(L12="","",(L12/$O$23))</f>
        <v>1.389887051289481</v>
      </c>
      <c r="M35" s="11" t="str">
        <f>IF(M12="","",(M12/$O$23))</f>
        <v/>
      </c>
      <c r="N35" s="6"/>
      <c r="O35" s="11">
        <f t="shared" si="9"/>
        <v>1.0246529394802417</v>
      </c>
      <c r="P35" s="11">
        <f t="shared" si="9"/>
        <v>1.1832889623711433</v>
      </c>
      <c r="Q35" s="11">
        <f t="shared" si="9"/>
        <v>0.12337943584526741</v>
      </c>
      <c r="R35" s="11">
        <f t="shared" si="9"/>
        <v>0.89745292290949696</v>
      </c>
      <c r="S35" s="11">
        <f t="shared" si="9"/>
        <v>1.1539419870324612</v>
      </c>
      <c r="T35" s="11">
        <f t="shared" si="9"/>
        <v>1.2231816342152368</v>
      </c>
      <c r="U35" s="11">
        <f t="shared" si="9"/>
        <v>1.8491126622135117</v>
      </c>
      <c r="V35" s="11">
        <f t="shared" si="9"/>
        <v>1.7839095740038526</v>
      </c>
      <c r="W35" s="11" t="str">
        <f t="shared" si="9"/>
        <v/>
      </c>
      <c r="X35" s="11" t="str">
        <f t="shared" si="9"/>
        <v/>
      </c>
      <c r="Y35" s="11" t="str">
        <f t="shared" si="9"/>
        <v/>
      </c>
      <c r="Z35" s="11" t="str">
        <f t="shared" si="9"/>
        <v/>
      </c>
      <c r="AA35" s="11" t="str">
        <f t="shared" si="9"/>
        <v/>
      </c>
      <c r="AB35" s="11" t="str">
        <f t="shared" si="9"/>
        <v/>
      </c>
      <c r="AC35" s="11" t="str">
        <f t="shared" si="9"/>
        <v/>
      </c>
      <c r="AD35" s="11" t="str">
        <f t="shared" si="9"/>
        <v/>
      </c>
      <c r="AE35" s="11" t="str">
        <f t="shared" si="9"/>
        <v/>
      </c>
      <c r="AF35" s="11" t="str">
        <f t="shared" si="9"/>
        <v/>
      </c>
      <c r="AG35" s="11" t="str">
        <f t="shared" si="9"/>
        <v/>
      </c>
      <c r="AH35" s="11" t="str">
        <f t="shared" si="9"/>
        <v/>
      </c>
      <c r="AI35" s="11" t="str">
        <f t="shared" si="9"/>
        <v/>
      </c>
      <c r="AJ35" s="11" t="str">
        <f t="shared" si="9"/>
        <v/>
      </c>
      <c r="AK35" s="11" t="str">
        <f t="shared" si="9"/>
        <v/>
      </c>
    </row>
    <row r="36" spans="1:37" x14ac:dyDescent="0.25">
      <c r="A36" s="15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9"/>
        <v>0.90223795822356956</v>
      </c>
      <c r="P36" s="11" t="str">
        <f t="shared" si="9"/>
        <v/>
      </c>
      <c r="Q36" s="11" t="str">
        <f t="shared" si="9"/>
        <v/>
      </c>
      <c r="R36" s="11" t="str">
        <f t="shared" si="9"/>
        <v/>
      </c>
      <c r="S36" s="11" t="str">
        <f t="shared" si="9"/>
        <v/>
      </c>
      <c r="T36" s="11" t="str">
        <f t="shared" si="9"/>
        <v/>
      </c>
      <c r="U36" s="11" t="str">
        <f t="shared" si="9"/>
        <v/>
      </c>
      <c r="V36" s="11" t="str">
        <f t="shared" si="9"/>
        <v/>
      </c>
      <c r="W36" s="11" t="str">
        <f t="shared" si="9"/>
        <v/>
      </c>
      <c r="X36" s="11" t="str">
        <f t="shared" si="9"/>
        <v/>
      </c>
      <c r="Y36" s="11" t="str">
        <f t="shared" si="9"/>
        <v/>
      </c>
      <c r="Z36" s="11" t="str">
        <f t="shared" si="9"/>
        <v/>
      </c>
      <c r="AA36" s="11" t="str">
        <f t="shared" si="9"/>
        <v/>
      </c>
      <c r="AB36" s="11" t="str">
        <f t="shared" si="9"/>
        <v/>
      </c>
      <c r="AC36" s="11" t="str">
        <f t="shared" si="9"/>
        <v/>
      </c>
      <c r="AD36" s="11" t="str">
        <f t="shared" si="9"/>
        <v/>
      </c>
      <c r="AE36" s="11" t="str">
        <f t="shared" si="9"/>
        <v/>
      </c>
      <c r="AF36" s="11" t="str">
        <f t="shared" si="9"/>
        <v/>
      </c>
      <c r="AG36" s="11" t="str">
        <f t="shared" si="9"/>
        <v/>
      </c>
      <c r="AH36" s="11" t="str">
        <f t="shared" si="9"/>
        <v/>
      </c>
      <c r="AI36" s="11" t="str">
        <f t="shared" si="9"/>
        <v/>
      </c>
      <c r="AJ36" s="11" t="str">
        <f t="shared" si="9"/>
        <v/>
      </c>
      <c r="AK36" s="11" t="str">
        <f t="shared" si="9"/>
        <v/>
      </c>
    </row>
    <row r="37" spans="1:37" x14ac:dyDescent="0.25">
      <c r="A37" s="15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9"/>
        <v>0.9510080807982072</v>
      </c>
      <c r="P37" s="11" t="str">
        <f t="shared" si="9"/>
        <v/>
      </c>
      <c r="Q37" s="11" t="str">
        <f t="shared" si="9"/>
        <v/>
      </c>
      <c r="R37" s="11" t="str">
        <f t="shared" si="9"/>
        <v/>
      </c>
      <c r="S37" s="11" t="str">
        <f t="shared" si="9"/>
        <v/>
      </c>
      <c r="T37" s="11" t="str">
        <f t="shared" si="9"/>
        <v/>
      </c>
      <c r="U37" s="11" t="str">
        <f t="shared" si="9"/>
        <v/>
      </c>
      <c r="V37" s="11" t="str">
        <f t="shared" si="9"/>
        <v/>
      </c>
      <c r="W37" s="11" t="str">
        <f t="shared" si="9"/>
        <v/>
      </c>
      <c r="X37" s="11" t="str">
        <f t="shared" si="9"/>
        <v/>
      </c>
      <c r="Y37" s="11" t="str">
        <f t="shared" si="9"/>
        <v/>
      </c>
      <c r="Z37" s="11" t="str">
        <f t="shared" si="9"/>
        <v/>
      </c>
      <c r="AA37" s="11" t="str">
        <f t="shared" si="9"/>
        <v/>
      </c>
      <c r="AB37" s="11" t="str">
        <f t="shared" si="9"/>
        <v/>
      </c>
      <c r="AC37" s="11" t="str">
        <f t="shared" si="9"/>
        <v/>
      </c>
      <c r="AD37" s="11" t="str">
        <f t="shared" si="9"/>
        <v/>
      </c>
      <c r="AE37" s="11" t="str">
        <f t="shared" si="9"/>
        <v/>
      </c>
      <c r="AF37" s="11" t="str">
        <f t="shared" si="9"/>
        <v/>
      </c>
      <c r="AG37" s="11" t="str">
        <f t="shared" si="9"/>
        <v/>
      </c>
      <c r="AH37" s="11" t="str">
        <f t="shared" si="9"/>
        <v/>
      </c>
      <c r="AI37" s="11" t="str">
        <f t="shared" si="9"/>
        <v/>
      </c>
      <c r="AJ37" s="11" t="str">
        <f t="shared" si="9"/>
        <v/>
      </c>
      <c r="AK37" s="11" t="str">
        <f t="shared" si="9"/>
        <v/>
      </c>
    </row>
    <row r="38" spans="1:37" x14ac:dyDescent="0.25">
      <c r="A38" s="15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9"/>
        <v>1.2612198721399464</v>
      </c>
      <c r="P38" s="11" t="str">
        <f t="shared" si="9"/>
        <v/>
      </c>
      <c r="Q38" s="11" t="str">
        <f t="shared" si="9"/>
        <v/>
      </c>
      <c r="R38" s="11" t="str">
        <f t="shared" si="9"/>
        <v/>
      </c>
      <c r="S38" s="11" t="str">
        <f t="shared" si="9"/>
        <v/>
      </c>
      <c r="T38" s="11" t="str">
        <f t="shared" si="9"/>
        <v/>
      </c>
      <c r="U38" s="11" t="str">
        <f t="shared" si="9"/>
        <v/>
      </c>
      <c r="V38" s="11" t="str">
        <f t="shared" si="9"/>
        <v/>
      </c>
      <c r="W38" s="11" t="str">
        <f t="shared" si="9"/>
        <v/>
      </c>
      <c r="X38" s="11" t="str">
        <f t="shared" si="9"/>
        <v/>
      </c>
      <c r="Y38" s="11" t="str">
        <f t="shared" si="9"/>
        <v/>
      </c>
      <c r="Z38" s="11" t="str">
        <f t="shared" si="9"/>
        <v/>
      </c>
      <c r="AA38" s="11" t="str">
        <f t="shared" si="9"/>
        <v/>
      </c>
      <c r="AB38" s="11" t="str">
        <f t="shared" si="9"/>
        <v/>
      </c>
      <c r="AC38" s="11" t="str">
        <f t="shared" si="9"/>
        <v/>
      </c>
      <c r="AD38" s="11" t="str">
        <f t="shared" si="9"/>
        <v/>
      </c>
      <c r="AE38" s="11" t="str">
        <f t="shared" si="9"/>
        <v/>
      </c>
      <c r="AF38" s="11" t="str">
        <f t="shared" si="9"/>
        <v/>
      </c>
      <c r="AG38" s="11" t="str">
        <f t="shared" si="9"/>
        <v/>
      </c>
      <c r="AH38" s="11" t="str">
        <f t="shared" si="9"/>
        <v/>
      </c>
      <c r="AI38" s="11" t="str">
        <f t="shared" si="9"/>
        <v/>
      </c>
      <c r="AJ38" s="11" t="str">
        <f t="shared" si="9"/>
        <v/>
      </c>
      <c r="AK38" s="11" t="str">
        <f t="shared" si="9"/>
        <v/>
      </c>
    </row>
    <row r="39" spans="1:37" x14ac:dyDescent="0.25">
      <c r="A39" s="15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9"/>
        <v>1.1386522166047708</v>
      </c>
      <c r="P39" s="11" t="str">
        <f t="shared" si="9"/>
        <v/>
      </c>
      <c r="Q39" s="11" t="str">
        <f t="shared" ref="Q39:AK39" si="10">IF(Q16="","",(Q16/$O$23))</f>
        <v/>
      </c>
      <c r="R39" s="11" t="str">
        <f t="shared" si="10"/>
        <v/>
      </c>
      <c r="S39" s="11" t="str">
        <f t="shared" si="10"/>
        <v/>
      </c>
      <c r="T39" s="11" t="str">
        <f t="shared" si="10"/>
        <v/>
      </c>
      <c r="U39" s="11" t="str">
        <f t="shared" si="10"/>
        <v/>
      </c>
      <c r="V39" s="11" t="str">
        <f t="shared" si="10"/>
        <v/>
      </c>
      <c r="W39" s="11" t="str">
        <f t="shared" si="10"/>
        <v/>
      </c>
      <c r="X39" s="11" t="str">
        <f t="shared" si="10"/>
        <v/>
      </c>
      <c r="Y39" s="11" t="str">
        <f t="shared" si="10"/>
        <v/>
      </c>
      <c r="Z39" s="11" t="str">
        <f t="shared" si="10"/>
        <v/>
      </c>
      <c r="AA39" s="11" t="str">
        <f t="shared" si="10"/>
        <v/>
      </c>
      <c r="AB39" s="11" t="str">
        <f t="shared" si="10"/>
        <v/>
      </c>
      <c r="AC39" s="11" t="str">
        <f t="shared" si="10"/>
        <v/>
      </c>
      <c r="AD39" s="11" t="str">
        <f t="shared" si="10"/>
        <v/>
      </c>
      <c r="AE39" s="11" t="str">
        <f t="shared" si="10"/>
        <v/>
      </c>
      <c r="AF39" s="11" t="str">
        <f t="shared" si="10"/>
        <v/>
      </c>
      <c r="AG39" s="11" t="str">
        <f t="shared" si="10"/>
        <v/>
      </c>
      <c r="AH39" s="11" t="str">
        <f t="shared" si="10"/>
        <v/>
      </c>
      <c r="AI39" s="11" t="str">
        <f t="shared" si="10"/>
        <v/>
      </c>
      <c r="AJ39" s="11" t="str">
        <f t="shared" si="10"/>
        <v/>
      </c>
      <c r="AK39" s="11" t="str">
        <f t="shared" si="10"/>
        <v/>
      </c>
    </row>
    <row r="40" spans="1:37" x14ac:dyDescent="0.25">
      <c r="A40" s="15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3" si="11">IF(O17="","",(O17/$O$23))</f>
        <v>1.4267709227181886</v>
      </c>
      <c r="P40" s="11" t="str">
        <f t="shared" si="11"/>
        <v/>
      </c>
      <c r="Q40" s="11" t="str">
        <f t="shared" si="11"/>
        <v/>
      </c>
      <c r="R40" s="11" t="str">
        <f t="shared" si="11"/>
        <v/>
      </c>
      <c r="S40" s="11" t="str">
        <f t="shared" si="11"/>
        <v/>
      </c>
      <c r="T40" s="11" t="str">
        <f t="shared" si="11"/>
        <v/>
      </c>
      <c r="U40" s="11" t="str">
        <f t="shared" si="11"/>
        <v/>
      </c>
      <c r="V40" s="11" t="str">
        <f t="shared" si="11"/>
        <v/>
      </c>
      <c r="W40" s="11" t="str">
        <f t="shared" si="11"/>
        <v/>
      </c>
      <c r="X40" s="11" t="str">
        <f t="shared" si="11"/>
        <v/>
      </c>
      <c r="Y40" s="11" t="str">
        <f t="shared" si="11"/>
        <v/>
      </c>
      <c r="Z40" s="11" t="str">
        <f t="shared" si="11"/>
        <v/>
      </c>
      <c r="AA40" s="11" t="str">
        <f t="shared" si="11"/>
        <v/>
      </c>
      <c r="AB40" s="11" t="str">
        <f t="shared" si="11"/>
        <v/>
      </c>
      <c r="AC40" s="11" t="str">
        <f t="shared" si="11"/>
        <v/>
      </c>
      <c r="AD40" s="11" t="str">
        <f t="shared" si="11"/>
        <v/>
      </c>
      <c r="AE40" s="11" t="str">
        <f t="shared" si="11"/>
        <v/>
      </c>
      <c r="AF40" s="11" t="str">
        <f t="shared" si="11"/>
        <v/>
      </c>
      <c r="AG40" s="11" t="str">
        <f t="shared" si="11"/>
        <v/>
      </c>
      <c r="AH40" s="11" t="str">
        <f t="shared" si="11"/>
        <v/>
      </c>
      <c r="AI40" s="11" t="str">
        <f t="shared" si="11"/>
        <v/>
      </c>
      <c r="AJ40" s="11" t="str">
        <f t="shared" si="11"/>
        <v/>
      </c>
      <c r="AK40" s="11" t="str">
        <f t="shared" si="11"/>
        <v/>
      </c>
    </row>
    <row r="41" spans="1:37" x14ac:dyDescent="0.25">
      <c r="A41" s="15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11"/>
        <v>0.7724722690213881</v>
      </c>
      <c r="P41" s="11" t="str">
        <f t="shared" si="11"/>
        <v/>
      </c>
      <c r="Q41" s="11" t="str">
        <f t="shared" si="11"/>
        <v/>
      </c>
      <c r="R41" s="11" t="str">
        <f t="shared" si="11"/>
        <v/>
      </c>
      <c r="S41" s="11" t="str">
        <f t="shared" si="11"/>
        <v/>
      </c>
      <c r="T41" s="11" t="str">
        <f t="shared" si="11"/>
        <v/>
      </c>
      <c r="U41" s="11" t="str">
        <f t="shared" si="11"/>
        <v/>
      </c>
      <c r="V41" s="11" t="str">
        <f t="shared" si="11"/>
        <v/>
      </c>
      <c r="W41" s="11" t="str">
        <f t="shared" si="11"/>
        <v/>
      </c>
      <c r="X41" s="11" t="str">
        <f t="shared" si="11"/>
        <v/>
      </c>
      <c r="Y41" s="11" t="str">
        <f t="shared" si="11"/>
        <v/>
      </c>
      <c r="Z41" s="11" t="str">
        <f t="shared" si="11"/>
        <v/>
      </c>
      <c r="AA41" s="11" t="str">
        <f t="shared" si="11"/>
        <v/>
      </c>
      <c r="AB41" s="11" t="str">
        <f t="shared" si="11"/>
        <v/>
      </c>
      <c r="AC41" s="11" t="str">
        <f t="shared" si="11"/>
        <v/>
      </c>
      <c r="AD41" s="11" t="str">
        <f t="shared" si="11"/>
        <v/>
      </c>
      <c r="AE41" s="11" t="str">
        <f t="shared" si="11"/>
        <v/>
      </c>
      <c r="AF41" s="11" t="str">
        <f t="shared" si="11"/>
        <v/>
      </c>
      <c r="AG41" s="11" t="str">
        <f t="shared" si="11"/>
        <v/>
      </c>
      <c r="AH41" s="11" t="str">
        <f t="shared" si="11"/>
        <v/>
      </c>
      <c r="AI41" s="11" t="str">
        <f t="shared" si="11"/>
        <v/>
      </c>
      <c r="AJ41" s="11" t="str">
        <f t="shared" si="11"/>
        <v/>
      </c>
      <c r="AK41" s="11" t="str">
        <f t="shared" si="11"/>
        <v/>
      </c>
    </row>
    <row r="42" spans="1:37" x14ac:dyDescent="0.25">
      <c r="A42" s="15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11"/>
        <v>0.8773110894357079</v>
      </c>
      <c r="P42" s="11" t="str">
        <f t="shared" si="11"/>
        <v/>
      </c>
      <c r="Q42" s="11" t="str">
        <f t="shared" si="11"/>
        <v/>
      </c>
      <c r="R42" s="11" t="str">
        <f t="shared" si="11"/>
        <v/>
      </c>
      <c r="S42" s="11" t="str">
        <f t="shared" si="11"/>
        <v/>
      </c>
      <c r="T42" s="11" t="str">
        <f t="shared" si="11"/>
        <v/>
      </c>
      <c r="U42" s="11" t="str">
        <f t="shared" si="11"/>
        <v/>
      </c>
      <c r="V42" s="11" t="str">
        <f t="shared" si="11"/>
        <v/>
      </c>
      <c r="W42" s="11" t="str">
        <f t="shared" si="11"/>
        <v/>
      </c>
      <c r="X42" s="11" t="str">
        <f t="shared" si="11"/>
        <v/>
      </c>
      <c r="Y42" s="11" t="str">
        <f t="shared" si="11"/>
        <v/>
      </c>
      <c r="Z42" s="11" t="str">
        <f t="shared" si="11"/>
        <v/>
      </c>
      <c r="AA42" s="11" t="str">
        <f t="shared" si="11"/>
        <v/>
      </c>
      <c r="AB42" s="11" t="str">
        <f t="shared" si="11"/>
        <v/>
      </c>
      <c r="AC42" s="11" t="str">
        <f t="shared" si="11"/>
        <v/>
      </c>
      <c r="AD42" s="11" t="str">
        <f t="shared" si="11"/>
        <v/>
      </c>
      <c r="AE42" s="11" t="str">
        <f t="shared" si="11"/>
        <v/>
      </c>
      <c r="AF42" s="11" t="str">
        <f t="shared" si="11"/>
        <v/>
      </c>
      <c r="AG42" s="11" t="str">
        <f t="shared" si="11"/>
        <v/>
      </c>
      <c r="AH42" s="11" t="str">
        <f t="shared" si="11"/>
        <v/>
      </c>
      <c r="AI42" s="11" t="str">
        <f t="shared" si="11"/>
        <v/>
      </c>
      <c r="AJ42" s="11" t="str">
        <f t="shared" si="11"/>
        <v/>
      </c>
      <c r="AK42" s="11" t="str">
        <f t="shared" si="11"/>
        <v/>
      </c>
    </row>
    <row r="43" spans="1:37" x14ac:dyDescent="0.25">
      <c r="A43" s="15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11"/>
        <v>0.92602535556699062</v>
      </c>
      <c r="P43" s="11" t="str">
        <f t="shared" si="11"/>
        <v/>
      </c>
      <c r="Q43" s="11" t="str">
        <f t="shared" si="11"/>
        <v/>
      </c>
      <c r="R43" s="11" t="str">
        <f t="shared" si="11"/>
        <v/>
      </c>
      <c r="S43" s="11" t="str">
        <f t="shared" si="11"/>
        <v/>
      </c>
      <c r="T43" s="11" t="str">
        <f t="shared" si="11"/>
        <v/>
      </c>
      <c r="U43" s="11" t="str">
        <f t="shared" si="11"/>
        <v/>
      </c>
      <c r="V43" s="11" t="str">
        <f t="shared" si="11"/>
        <v/>
      </c>
      <c r="W43" s="11" t="str">
        <f t="shared" si="11"/>
        <v/>
      </c>
      <c r="X43" s="11" t="str">
        <f t="shared" si="11"/>
        <v/>
      </c>
      <c r="Y43" s="11" t="str">
        <f t="shared" si="11"/>
        <v/>
      </c>
      <c r="Z43" s="11" t="str">
        <f t="shared" si="11"/>
        <v/>
      </c>
      <c r="AA43" s="11" t="str">
        <f t="shared" si="11"/>
        <v/>
      </c>
      <c r="AB43" s="11" t="str">
        <f t="shared" si="11"/>
        <v/>
      </c>
      <c r="AC43" s="11" t="str">
        <f t="shared" si="11"/>
        <v/>
      </c>
      <c r="AD43" s="11" t="str">
        <f t="shared" si="11"/>
        <v/>
      </c>
      <c r="AE43" s="11" t="str">
        <f t="shared" si="11"/>
        <v/>
      </c>
      <c r="AF43" s="11" t="str">
        <f t="shared" si="11"/>
        <v/>
      </c>
      <c r="AG43" s="11" t="str">
        <f t="shared" si="11"/>
        <v/>
      </c>
      <c r="AH43" s="11" t="str">
        <f t="shared" si="11"/>
        <v/>
      </c>
      <c r="AI43" s="11" t="str">
        <f t="shared" si="11"/>
        <v/>
      </c>
      <c r="AJ43" s="11" t="str">
        <f t="shared" si="11"/>
        <v/>
      </c>
      <c r="AK43" s="11" t="str">
        <f t="shared" si="11"/>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AK45" si="12">B4</f>
        <v>Solvent control</v>
      </c>
      <c r="C45" s="7" t="str">
        <f t="shared" si="12"/>
        <v>EE2-33.8ng/L</v>
      </c>
      <c r="D45" s="7" t="str">
        <f t="shared" si="12"/>
        <v>EE2-50.6ng/L</v>
      </c>
      <c r="E45" s="7" t="str">
        <f t="shared" si="12"/>
        <v>EE2-76ng/L</v>
      </c>
      <c r="F45" s="7" t="str">
        <f t="shared" si="12"/>
        <v>EE2-114ng/L</v>
      </c>
      <c r="G45" s="7" t="str">
        <f t="shared" si="12"/>
        <v>EE2-170.9ng/L</v>
      </c>
      <c r="H45" s="7" t="str">
        <f t="shared" si="12"/>
        <v>EE2-488ng/L</v>
      </c>
      <c r="I45" s="7" t="str">
        <f t="shared" si="12"/>
        <v>Estradiol-34ng/L</v>
      </c>
      <c r="J45" s="7" t="str">
        <f t="shared" si="12"/>
        <v>Estradiol-68ng/L</v>
      </c>
      <c r="K45" s="7" t="str">
        <f t="shared" si="12"/>
        <v>Estradiol-135ng/L</v>
      </c>
      <c r="L45" s="7" t="str">
        <f t="shared" si="12"/>
        <v>Estradiol-270ng/L</v>
      </c>
      <c r="M45" s="7" t="str">
        <f t="shared" si="12"/>
        <v>Estradiol-540ng/L</v>
      </c>
      <c r="N45" s="7"/>
      <c r="O45" s="7" t="str">
        <f t="shared" si="12"/>
        <v>Testo -30µg/L</v>
      </c>
      <c r="P45" s="7" t="str">
        <f t="shared" si="12"/>
        <v>Testo 30µg/L + EE2 -64ng/L</v>
      </c>
      <c r="Q45" s="7" t="str">
        <f t="shared" si="12"/>
        <v>Testo 30µg/L + FAD-10mg/L</v>
      </c>
      <c r="R45" s="7" t="str">
        <f t="shared" si="12"/>
        <v>Estradiol-34ng/L + Testostérone</v>
      </c>
      <c r="S45" s="7" t="str">
        <f t="shared" si="12"/>
        <v>Estradiol-68ng/L + Testostérone</v>
      </c>
      <c r="T45" s="7" t="str">
        <f t="shared" si="12"/>
        <v>Estradiol-135ng/L + Testostérone</v>
      </c>
      <c r="U45" s="7" t="str">
        <f t="shared" si="12"/>
        <v>Estradiol-270ng/L + Testostérone</v>
      </c>
      <c r="V45" s="7" t="str">
        <f t="shared" si="12"/>
        <v>Estradiol-540ng/L + Testostérone</v>
      </c>
      <c r="W45" s="7" t="str">
        <f t="shared" si="12"/>
        <v>0-00 + Testostérone</v>
      </c>
      <c r="X45" s="7" t="str">
        <f t="shared" si="12"/>
        <v>0-00 + Testostérone</v>
      </c>
      <c r="Y45" s="7" t="str">
        <f t="shared" si="12"/>
        <v>0-00 + Testostérone</v>
      </c>
      <c r="Z45" s="7" t="str">
        <f t="shared" si="12"/>
        <v>0-00 + Testostérone</v>
      </c>
      <c r="AA45" s="7" t="str">
        <f t="shared" si="12"/>
        <v>0-00 + Testostérone</v>
      </c>
      <c r="AB45" s="7" t="str">
        <f t="shared" si="12"/>
        <v>0-00 + Testostérone</v>
      </c>
      <c r="AC45" s="7" t="str">
        <f t="shared" si="12"/>
        <v>0-00 + Testostérone</v>
      </c>
      <c r="AD45" s="7" t="str">
        <f t="shared" si="12"/>
        <v>0-00 + Testostérone</v>
      </c>
      <c r="AE45" s="7" t="str">
        <f t="shared" si="12"/>
        <v>0-00 + Testostérone</v>
      </c>
      <c r="AF45" s="7" t="str">
        <f t="shared" si="12"/>
        <v>0-00 + Testostérone</v>
      </c>
      <c r="AG45" s="7" t="str">
        <f t="shared" si="12"/>
        <v>0-00 + Testostérone</v>
      </c>
      <c r="AH45" s="7" t="str">
        <f t="shared" si="12"/>
        <v>0-00 + Testostérone</v>
      </c>
      <c r="AI45" s="7" t="str">
        <f t="shared" si="12"/>
        <v>0-00 + Testostérone</v>
      </c>
      <c r="AJ45" s="7" t="str">
        <f t="shared" si="12"/>
        <v>0-00 + Testostérone</v>
      </c>
      <c r="AK45" s="7" t="str">
        <f t="shared" si="12"/>
        <v>0-00 + Testostérone</v>
      </c>
    </row>
    <row r="46" spans="1:37" x14ac:dyDescent="0.25">
      <c r="A46" s="8" t="s">
        <v>0</v>
      </c>
      <c r="B46" s="10">
        <f t="shared" ref="B46:H46" si="13">AVERAGE(B28:B43)</f>
        <v>8.1703081576706374E-2</v>
      </c>
      <c r="C46" s="10">
        <f t="shared" si="13"/>
        <v>0.13288946079680611</v>
      </c>
      <c r="D46" s="10">
        <f t="shared" si="13"/>
        <v>0.12701150107442194</v>
      </c>
      <c r="E46" s="10">
        <f t="shared" si="13"/>
        <v>0.75448463237965435</v>
      </c>
      <c r="F46" s="10">
        <f t="shared" si="13"/>
        <v>0.96253452335485912</v>
      </c>
      <c r="G46" s="10">
        <f t="shared" si="13"/>
        <v>1.2374413187333901</v>
      </c>
      <c r="H46" s="10">
        <f t="shared" si="13"/>
        <v>1.4600208670362964</v>
      </c>
      <c r="I46" s="10">
        <f>AVERAGE(I28:I43)</f>
        <v>5.4731866962054163E-2</v>
      </c>
      <c r="J46" s="9">
        <f>AVERAGE(J28:J43)</f>
        <v>0.13249893116368289</v>
      </c>
      <c r="K46" s="9">
        <f t="shared" ref="K46:M46" si="14">AVERAGE(K28:K43)</f>
        <v>0.72715360917572402</v>
      </c>
      <c r="L46" s="9">
        <f t="shared" si="14"/>
        <v>1.4183989728000066</v>
      </c>
      <c r="M46" s="9">
        <f t="shared" si="14"/>
        <v>1.5554008642388197</v>
      </c>
      <c r="N46" s="8" t="s">
        <v>0</v>
      </c>
      <c r="O46" s="10">
        <f t="shared" ref="O46:AK46" si="15">AVERAGE(O28:O43)</f>
        <v>1</v>
      </c>
      <c r="P46" s="10">
        <f t="shared" si="15"/>
        <v>1.2633000591845565</v>
      </c>
      <c r="Q46" s="10">
        <f t="shared" si="15"/>
        <v>0.10534152840451423</v>
      </c>
      <c r="R46" s="10">
        <f t="shared" si="15"/>
        <v>1.1919890688940356</v>
      </c>
      <c r="S46" s="10">
        <f t="shared" si="15"/>
        <v>1.2992916239306691</v>
      </c>
      <c r="T46" s="10">
        <f t="shared" si="15"/>
        <v>1.3352305905259561</v>
      </c>
      <c r="U46" s="10">
        <f t="shared" si="15"/>
        <v>1.4447641450042579</v>
      </c>
      <c r="V46" s="10">
        <f t="shared" si="15"/>
        <v>1.6494040001126435</v>
      </c>
      <c r="W46" s="10" t="e">
        <f t="shared" si="15"/>
        <v>#DIV/0!</v>
      </c>
      <c r="X46" s="10" t="e">
        <f t="shared" si="15"/>
        <v>#DIV/0!</v>
      </c>
      <c r="Y46" s="10" t="e">
        <f t="shared" si="15"/>
        <v>#DIV/0!</v>
      </c>
      <c r="Z46" s="10" t="e">
        <f t="shared" si="15"/>
        <v>#DIV/0!</v>
      </c>
      <c r="AA46" s="10" t="e">
        <f t="shared" si="15"/>
        <v>#DIV/0!</v>
      </c>
      <c r="AB46" s="10" t="e">
        <f t="shared" si="15"/>
        <v>#DIV/0!</v>
      </c>
      <c r="AC46" s="10" t="e">
        <f t="shared" si="15"/>
        <v>#DIV/0!</v>
      </c>
      <c r="AD46" s="10" t="e">
        <f t="shared" si="15"/>
        <v>#DIV/0!</v>
      </c>
      <c r="AE46" s="10" t="e">
        <f t="shared" si="15"/>
        <v>#DIV/0!</v>
      </c>
      <c r="AF46" s="10" t="e">
        <f t="shared" si="15"/>
        <v>#DIV/0!</v>
      </c>
      <c r="AG46" s="10" t="e">
        <f t="shared" si="15"/>
        <v>#DIV/0!</v>
      </c>
      <c r="AH46" s="10" t="e">
        <f t="shared" si="15"/>
        <v>#DIV/0!</v>
      </c>
      <c r="AI46" s="10" t="e">
        <f t="shared" si="15"/>
        <v>#DIV/0!</v>
      </c>
      <c r="AJ46" s="10" t="e">
        <f t="shared" si="15"/>
        <v>#DIV/0!</v>
      </c>
      <c r="AK46" s="10" t="e">
        <f t="shared" si="15"/>
        <v>#DIV/0!</v>
      </c>
    </row>
    <row r="47" spans="1:37" x14ac:dyDescent="0.25">
      <c r="A47" s="8" t="s">
        <v>1</v>
      </c>
      <c r="B47" s="8">
        <f t="shared" ref="B47:M47" si="16">STDEV(B28:B43)</f>
        <v>3.5050863559155057E-2</v>
      </c>
      <c r="C47" s="8">
        <f t="shared" si="16"/>
        <v>0.24890426025300391</v>
      </c>
      <c r="D47" s="8">
        <f t="shared" si="16"/>
        <v>8.1559152205199673E-2</v>
      </c>
      <c r="E47" s="8">
        <f t="shared" si="16"/>
        <v>0.32939059173098217</v>
      </c>
      <c r="F47" s="8">
        <f t="shared" si="16"/>
        <v>0.33299616960698064</v>
      </c>
      <c r="G47" s="8">
        <f t="shared" si="16"/>
        <v>0.13257223930845155</v>
      </c>
      <c r="H47" s="8">
        <f t="shared" si="16"/>
        <v>0.24554739549978757</v>
      </c>
      <c r="I47" s="8">
        <f t="shared" si="16"/>
        <v>3.9305448943437467E-2</v>
      </c>
      <c r="J47" s="8">
        <f t="shared" si="16"/>
        <v>3.4338717631855815E-2</v>
      </c>
      <c r="K47" s="8">
        <f t="shared" si="16"/>
        <v>0.37687950255727082</v>
      </c>
      <c r="L47" s="8">
        <f t="shared" si="16"/>
        <v>0.10241485044598661</v>
      </c>
      <c r="M47" s="8">
        <f t="shared" si="16"/>
        <v>0.16958528295355066</v>
      </c>
      <c r="N47" s="8" t="s">
        <v>1</v>
      </c>
      <c r="O47" s="8">
        <f t="shared" ref="O47:AK47" si="17">STDEV(O28:O43)</f>
        <v>0.19480804573692118</v>
      </c>
      <c r="P47" s="8">
        <f t="shared" si="17"/>
        <v>0.13647340873698358</v>
      </c>
      <c r="Q47" s="8">
        <f t="shared" si="17"/>
        <v>5.2079494871570882E-2</v>
      </c>
      <c r="R47" s="8">
        <f t="shared" si="17"/>
        <v>0.18973248328610492</v>
      </c>
      <c r="S47" s="8">
        <f t="shared" si="17"/>
        <v>0.11688268485692738</v>
      </c>
      <c r="T47" s="8">
        <f t="shared" si="17"/>
        <v>0.13093771587554437</v>
      </c>
      <c r="U47" s="8">
        <f t="shared" si="17"/>
        <v>0.20659164934888011</v>
      </c>
      <c r="V47" s="8">
        <f t="shared" si="17"/>
        <v>0.12603546548676159</v>
      </c>
      <c r="W47" s="8" t="e">
        <f t="shared" si="17"/>
        <v>#DIV/0!</v>
      </c>
      <c r="X47" s="8" t="e">
        <f t="shared" si="17"/>
        <v>#DIV/0!</v>
      </c>
      <c r="Y47" s="8" t="e">
        <f t="shared" si="17"/>
        <v>#DIV/0!</v>
      </c>
      <c r="Z47" s="8" t="e">
        <f t="shared" si="17"/>
        <v>#DIV/0!</v>
      </c>
      <c r="AA47" s="8" t="e">
        <f t="shared" si="17"/>
        <v>#DIV/0!</v>
      </c>
      <c r="AB47" s="8" t="e">
        <f t="shared" si="17"/>
        <v>#DIV/0!</v>
      </c>
      <c r="AC47" s="8" t="e">
        <f t="shared" si="17"/>
        <v>#DIV/0!</v>
      </c>
      <c r="AD47" s="8" t="e">
        <f t="shared" si="17"/>
        <v>#DIV/0!</v>
      </c>
      <c r="AE47" s="8" t="e">
        <f t="shared" si="17"/>
        <v>#DIV/0!</v>
      </c>
      <c r="AF47" s="8" t="e">
        <f t="shared" si="17"/>
        <v>#DIV/0!</v>
      </c>
      <c r="AG47" s="8" t="e">
        <f t="shared" si="17"/>
        <v>#DIV/0!</v>
      </c>
      <c r="AH47" s="8" t="e">
        <f t="shared" si="17"/>
        <v>#DIV/0!</v>
      </c>
      <c r="AI47" s="8" t="e">
        <f t="shared" si="17"/>
        <v>#DIV/0!</v>
      </c>
      <c r="AJ47" s="8" t="e">
        <f t="shared" si="17"/>
        <v>#DIV/0!</v>
      </c>
      <c r="AK47" s="8" t="e">
        <f t="shared" si="17"/>
        <v>#DIV/0!</v>
      </c>
    </row>
    <row r="48" spans="1:37" x14ac:dyDescent="0.25">
      <c r="A48" s="8" t="s">
        <v>2</v>
      </c>
      <c r="B48" s="8">
        <f t="shared" ref="B48:M48" si="18" xml:space="preserve"> B47/SQRT(COUNT(B28:B43))</f>
        <v>1.2392351654561493E-2</v>
      </c>
      <c r="C48" s="8">
        <f t="shared" si="18"/>
        <v>8.8000945145560158E-2</v>
      </c>
      <c r="D48" s="8">
        <f t="shared" si="18"/>
        <v>2.8835514796061223E-2</v>
      </c>
      <c r="E48" s="8">
        <f t="shared" si="18"/>
        <v>0.1164571605360135</v>
      </c>
      <c r="F48" s="8">
        <f t="shared" si="18"/>
        <v>0.11773192481912086</v>
      </c>
      <c r="G48" s="8">
        <f t="shared" si="18"/>
        <v>4.6871364706045929E-2</v>
      </c>
      <c r="H48" s="8">
        <f t="shared" si="18"/>
        <v>8.6814114230297459E-2</v>
      </c>
      <c r="I48" s="8">
        <f t="shared" si="18"/>
        <v>1.4856063296297429E-2</v>
      </c>
      <c r="J48" s="8">
        <f t="shared" si="18"/>
        <v>1.2140570047367655E-2</v>
      </c>
      <c r="K48" s="8">
        <f t="shared" si="18"/>
        <v>0.13324702597422947</v>
      </c>
      <c r="L48" s="8">
        <f t="shared" si="18"/>
        <v>3.6209117622281621E-2</v>
      </c>
      <c r="M48" s="8">
        <f t="shared" si="18"/>
        <v>6.4097212101659459E-2</v>
      </c>
      <c r="N48" s="8" t="s">
        <v>2</v>
      </c>
      <c r="O48" s="8">
        <f t="shared" ref="O48:AK48" si="19" xml:space="preserve"> O47/SQRT(COUNT(O28:O43))</f>
        <v>4.8702011434230294E-2</v>
      </c>
      <c r="P48" s="8">
        <f t="shared" si="19"/>
        <v>4.8250636384782254E-2</v>
      </c>
      <c r="Q48" s="8">
        <f t="shared" si="19"/>
        <v>1.8412881992228895E-2</v>
      </c>
      <c r="R48" s="8">
        <f t="shared" si="19"/>
        <v>6.708056277148404E-2</v>
      </c>
      <c r="S48" s="8">
        <f t="shared" si="19"/>
        <v>4.1324269532811764E-2</v>
      </c>
      <c r="T48" s="8">
        <f t="shared" si="19"/>
        <v>4.629347340433744E-2</v>
      </c>
      <c r="U48" s="8">
        <f t="shared" si="19"/>
        <v>7.3041178095553258E-2</v>
      </c>
      <c r="V48" s="8">
        <f t="shared" si="19"/>
        <v>4.4560266157846092E-2</v>
      </c>
      <c r="W48" s="8" t="e">
        <f t="shared" si="19"/>
        <v>#DIV/0!</v>
      </c>
      <c r="X48" s="8" t="e">
        <f t="shared" si="19"/>
        <v>#DIV/0!</v>
      </c>
      <c r="Y48" s="8" t="e">
        <f t="shared" si="19"/>
        <v>#DIV/0!</v>
      </c>
      <c r="Z48" s="8" t="e">
        <f t="shared" si="19"/>
        <v>#DIV/0!</v>
      </c>
      <c r="AA48" s="8" t="e">
        <f t="shared" si="19"/>
        <v>#DIV/0!</v>
      </c>
      <c r="AB48" s="8" t="e">
        <f t="shared" si="19"/>
        <v>#DIV/0!</v>
      </c>
      <c r="AC48" s="8" t="e">
        <f t="shared" si="19"/>
        <v>#DIV/0!</v>
      </c>
      <c r="AD48" s="8" t="e">
        <f t="shared" si="19"/>
        <v>#DIV/0!</v>
      </c>
      <c r="AE48" s="8" t="e">
        <f t="shared" si="19"/>
        <v>#DIV/0!</v>
      </c>
      <c r="AF48" s="8" t="e">
        <f t="shared" si="19"/>
        <v>#DIV/0!</v>
      </c>
      <c r="AG48" s="8" t="e">
        <f t="shared" si="19"/>
        <v>#DIV/0!</v>
      </c>
      <c r="AH48" s="8" t="e">
        <f t="shared" si="19"/>
        <v>#DIV/0!</v>
      </c>
      <c r="AI48" s="8" t="e">
        <f t="shared" si="19"/>
        <v>#DIV/0!</v>
      </c>
      <c r="AJ48" s="8" t="e">
        <f t="shared" si="19"/>
        <v>#DIV/0!</v>
      </c>
      <c r="AK48" s="8" t="e">
        <f t="shared" si="19"/>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1" t="s">
        <v>24</v>
      </c>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3"/>
    </row>
    <row r="51" spans="1:37" ht="15.75" thickBot="1" x14ac:dyDescent="0.3"/>
    <row r="52" spans="1:37" x14ac:dyDescent="0.25">
      <c r="A52" s="29" t="str">
        <f t="shared" ref="A52:H52" si="20">A27</f>
        <v>Noms des groupes</v>
      </c>
      <c r="B52" s="30" t="str">
        <f t="shared" si="20"/>
        <v>Solvent control</v>
      </c>
      <c r="C52" s="30" t="str">
        <f t="shared" si="20"/>
        <v>EE2-33.8ng/L</v>
      </c>
      <c r="D52" s="30" t="str">
        <f t="shared" si="20"/>
        <v>EE2-50.6ng/L</v>
      </c>
      <c r="E52" s="30" t="str">
        <f t="shared" si="20"/>
        <v>EE2-76ng/L</v>
      </c>
      <c r="F52" s="30" t="str">
        <f t="shared" si="20"/>
        <v>EE2-114ng/L</v>
      </c>
      <c r="G52" s="30" t="str">
        <f t="shared" si="20"/>
        <v>EE2-170.9ng/L</v>
      </c>
      <c r="H52" s="30" t="str">
        <f t="shared" si="20"/>
        <v>EE2-488ng/L</v>
      </c>
      <c r="I52" s="30" t="str">
        <f>I4</f>
        <v>Estradiol-34ng/L</v>
      </c>
      <c r="J52" s="30" t="str">
        <f>J4</f>
        <v>Estradiol-68ng/L</v>
      </c>
      <c r="K52" s="30" t="str">
        <f t="shared" ref="K52:M52" si="21">K4</f>
        <v>Estradiol-135ng/L</v>
      </c>
      <c r="L52" s="30" t="str">
        <f t="shared" si="21"/>
        <v>Estradiol-270ng/L</v>
      </c>
      <c r="M52" s="30" t="str">
        <f t="shared" si="21"/>
        <v>Estradiol-540ng/L</v>
      </c>
      <c r="N52" s="31"/>
      <c r="O52" s="30" t="str">
        <f>O27</f>
        <v>Testo -30µg/L</v>
      </c>
      <c r="P52" s="30" t="str">
        <f>P27</f>
        <v>Testo 30µg/L + EE2 -64ng/L</v>
      </c>
      <c r="Q52" s="30" t="str">
        <f>Q27</f>
        <v>Testo 30µg/L + FAD-10mg/L</v>
      </c>
      <c r="R52" s="30" t="str">
        <f>R27</f>
        <v>Estradiol-34ng/L + Testostérone</v>
      </c>
      <c r="S52" s="30" t="str">
        <f t="shared" ref="S52:AK52" si="22">S27</f>
        <v>Estradiol-68ng/L + Testostérone</v>
      </c>
      <c r="T52" s="30" t="str">
        <f t="shared" si="22"/>
        <v>Estradiol-135ng/L + Testostérone</v>
      </c>
      <c r="U52" s="30" t="str">
        <f t="shared" si="22"/>
        <v>Estradiol-270ng/L + Testostérone</v>
      </c>
      <c r="V52" s="30" t="str">
        <f t="shared" si="22"/>
        <v>Estradiol-540ng/L + Testostérone</v>
      </c>
      <c r="W52" s="30" t="str">
        <f t="shared" si="22"/>
        <v>0-00 + Testostérone</v>
      </c>
      <c r="X52" s="30" t="str">
        <f t="shared" si="22"/>
        <v>0-00 + Testostérone</v>
      </c>
      <c r="Y52" s="30" t="str">
        <f t="shared" si="22"/>
        <v>0-00 + Testostérone</v>
      </c>
      <c r="Z52" s="30" t="str">
        <f t="shared" si="22"/>
        <v>0-00 + Testostérone</v>
      </c>
      <c r="AA52" s="30" t="str">
        <f t="shared" si="22"/>
        <v>0-00 + Testostérone</v>
      </c>
      <c r="AB52" s="30" t="str">
        <f t="shared" si="22"/>
        <v>0-00 + Testostérone</v>
      </c>
      <c r="AC52" s="30" t="str">
        <f t="shared" si="22"/>
        <v>0-00 + Testostérone</v>
      </c>
      <c r="AD52" s="30" t="str">
        <f t="shared" si="22"/>
        <v>0-00 + Testostérone</v>
      </c>
      <c r="AE52" s="30" t="str">
        <f t="shared" si="22"/>
        <v>0-00 + Testostérone</v>
      </c>
      <c r="AF52" s="30" t="str">
        <f t="shared" si="22"/>
        <v>0-00 + Testostérone</v>
      </c>
      <c r="AG52" s="30" t="str">
        <f t="shared" si="22"/>
        <v>0-00 + Testostérone</v>
      </c>
      <c r="AH52" s="30" t="str">
        <f t="shared" si="22"/>
        <v>0-00 + Testostérone</v>
      </c>
      <c r="AI52" s="30" t="str">
        <f t="shared" si="22"/>
        <v>0-00 + Testostérone</v>
      </c>
      <c r="AJ52" s="30" t="str">
        <f t="shared" si="22"/>
        <v>0-00 + Testostérone</v>
      </c>
      <c r="AK52" s="30" t="str">
        <f t="shared" si="22"/>
        <v>0-00 + Testostérone</v>
      </c>
    </row>
    <row r="53" spans="1:37" s="3" customFormat="1" x14ac:dyDescent="0.25">
      <c r="A53" s="46" t="s">
        <v>15</v>
      </c>
      <c r="B53" s="78">
        <f t="shared" ref="B53:AK53" si="23">B46</f>
        <v>8.1703081576706374E-2</v>
      </c>
      <c r="C53" s="78">
        <f t="shared" si="23"/>
        <v>0.13288946079680611</v>
      </c>
      <c r="D53" s="78">
        <f t="shared" si="23"/>
        <v>0.12701150107442194</v>
      </c>
      <c r="E53" s="78">
        <f t="shared" si="23"/>
        <v>0.75448463237965435</v>
      </c>
      <c r="F53" s="78">
        <f t="shared" si="23"/>
        <v>0.96253452335485912</v>
      </c>
      <c r="G53" s="78">
        <f t="shared" si="23"/>
        <v>1.2374413187333901</v>
      </c>
      <c r="H53" s="78">
        <f t="shared" si="23"/>
        <v>1.4600208670362964</v>
      </c>
      <c r="I53" s="78">
        <f t="shared" si="23"/>
        <v>5.4731866962054163E-2</v>
      </c>
      <c r="J53" s="78">
        <f t="shared" si="23"/>
        <v>0.13249893116368289</v>
      </c>
      <c r="K53" s="78">
        <f t="shared" si="23"/>
        <v>0.72715360917572402</v>
      </c>
      <c r="L53" s="78">
        <f t="shared" si="23"/>
        <v>1.4183989728000066</v>
      </c>
      <c r="M53" s="78">
        <f t="shared" si="23"/>
        <v>1.5554008642388197</v>
      </c>
      <c r="N53" s="78"/>
      <c r="O53" s="78">
        <f t="shared" si="23"/>
        <v>1</v>
      </c>
      <c r="P53" s="78">
        <f t="shared" si="23"/>
        <v>1.2633000591845565</v>
      </c>
      <c r="Q53" s="78">
        <f t="shared" si="23"/>
        <v>0.10534152840451423</v>
      </c>
      <c r="R53" s="78">
        <f t="shared" si="23"/>
        <v>1.1919890688940356</v>
      </c>
      <c r="S53" s="78">
        <f t="shared" si="23"/>
        <v>1.2992916239306691</v>
      </c>
      <c r="T53" s="78">
        <f t="shared" si="23"/>
        <v>1.3352305905259561</v>
      </c>
      <c r="U53" s="78">
        <f t="shared" si="23"/>
        <v>1.4447641450042579</v>
      </c>
      <c r="V53" s="78">
        <f t="shared" si="23"/>
        <v>1.6494040001126435</v>
      </c>
      <c r="W53" s="78" t="e">
        <f t="shared" si="23"/>
        <v>#DIV/0!</v>
      </c>
      <c r="X53" s="78" t="e">
        <f t="shared" si="23"/>
        <v>#DIV/0!</v>
      </c>
      <c r="Y53" s="78" t="e">
        <f t="shared" si="23"/>
        <v>#DIV/0!</v>
      </c>
      <c r="Z53" s="78" t="e">
        <f t="shared" si="23"/>
        <v>#DIV/0!</v>
      </c>
      <c r="AA53" s="78" t="e">
        <f t="shared" si="23"/>
        <v>#DIV/0!</v>
      </c>
      <c r="AB53" s="78" t="e">
        <f t="shared" si="23"/>
        <v>#DIV/0!</v>
      </c>
      <c r="AC53" s="78" t="e">
        <f t="shared" si="23"/>
        <v>#DIV/0!</v>
      </c>
      <c r="AD53" s="78" t="e">
        <f t="shared" si="23"/>
        <v>#DIV/0!</v>
      </c>
      <c r="AE53" s="78" t="e">
        <f t="shared" si="23"/>
        <v>#DIV/0!</v>
      </c>
      <c r="AF53" s="78" t="e">
        <f t="shared" si="23"/>
        <v>#DIV/0!</v>
      </c>
      <c r="AG53" s="78" t="e">
        <f t="shared" si="23"/>
        <v>#DIV/0!</v>
      </c>
      <c r="AH53" s="78" t="e">
        <f t="shared" si="23"/>
        <v>#DIV/0!</v>
      </c>
      <c r="AI53" s="78" t="e">
        <f t="shared" si="23"/>
        <v>#DIV/0!</v>
      </c>
      <c r="AJ53" s="78" t="e">
        <f t="shared" si="23"/>
        <v>#DIV/0!</v>
      </c>
      <c r="AK53" s="78" t="e">
        <f t="shared" si="23"/>
        <v>#DIV/0!</v>
      </c>
    </row>
    <row r="54" spans="1:37" s="3" customFormat="1" x14ac:dyDescent="0.25">
      <c r="A54" s="46" t="s">
        <v>2</v>
      </c>
      <c r="B54" s="78">
        <f t="shared" ref="B54:AK54" si="24">B48</f>
        <v>1.2392351654561493E-2</v>
      </c>
      <c r="C54" s="78">
        <f t="shared" si="24"/>
        <v>8.8000945145560158E-2</v>
      </c>
      <c r="D54" s="78">
        <f t="shared" si="24"/>
        <v>2.8835514796061223E-2</v>
      </c>
      <c r="E54" s="78">
        <f t="shared" si="24"/>
        <v>0.1164571605360135</v>
      </c>
      <c r="F54" s="78">
        <f t="shared" si="24"/>
        <v>0.11773192481912086</v>
      </c>
      <c r="G54" s="78">
        <f t="shared" si="24"/>
        <v>4.6871364706045929E-2</v>
      </c>
      <c r="H54" s="78">
        <f t="shared" si="24"/>
        <v>8.6814114230297459E-2</v>
      </c>
      <c r="I54" s="78">
        <f t="shared" si="24"/>
        <v>1.4856063296297429E-2</v>
      </c>
      <c r="J54" s="78">
        <f t="shared" si="24"/>
        <v>1.2140570047367655E-2</v>
      </c>
      <c r="K54" s="78">
        <f t="shared" si="24"/>
        <v>0.13324702597422947</v>
      </c>
      <c r="L54" s="78">
        <f t="shared" si="24"/>
        <v>3.6209117622281621E-2</v>
      </c>
      <c r="M54" s="78">
        <f t="shared" si="24"/>
        <v>6.4097212101659459E-2</v>
      </c>
      <c r="N54" s="78"/>
      <c r="O54" s="78">
        <f t="shared" si="24"/>
        <v>4.8702011434230294E-2</v>
      </c>
      <c r="P54" s="78">
        <f t="shared" si="24"/>
        <v>4.8250636384782254E-2</v>
      </c>
      <c r="Q54" s="78">
        <f t="shared" si="24"/>
        <v>1.8412881992228895E-2</v>
      </c>
      <c r="R54" s="78">
        <f t="shared" si="24"/>
        <v>6.708056277148404E-2</v>
      </c>
      <c r="S54" s="78">
        <f t="shared" si="24"/>
        <v>4.1324269532811764E-2</v>
      </c>
      <c r="T54" s="78">
        <f t="shared" si="24"/>
        <v>4.629347340433744E-2</v>
      </c>
      <c r="U54" s="78">
        <f t="shared" si="24"/>
        <v>7.3041178095553258E-2</v>
      </c>
      <c r="V54" s="78">
        <f t="shared" si="24"/>
        <v>4.4560266157846092E-2</v>
      </c>
      <c r="W54" s="78" t="e">
        <f t="shared" si="24"/>
        <v>#DIV/0!</v>
      </c>
      <c r="X54" s="78" t="e">
        <f t="shared" si="24"/>
        <v>#DIV/0!</v>
      </c>
      <c r="Y54" s="78" t="e">
        <f t="shared" si="24"/>
        <v>#DIV/0!</v>
      </c>
      <c r="Z54" s="78" t="e">
        <f t="shared" si="24"/>
        <v>#DIV/0!</v>
      </c>
      <c r="AA54" s="78" t="e">
        <f t="shared" si="24"/>
        <v>#DIV/0!</v>
      </c>
      <c r="AB54" s="78" t="e">
        <f t="shared" si="24"/>
        <v>#DIV/0!</v>
      </c>
      <c r="AC54" s="78" t="e">
        <f t="shared" si="24"/>
        <v>#DIV/0!</v>
      </c>
      <c r="AD54" s="78" t="e">
        <f t="shared" si="24"/>
        <v>#DIV/0!</v>
      </c>
      <c r="AE54" s="78" t="e">
        <f t="shared" si="24"/>
        <v>#DIV/0!</v>
      </c>
      <c r="AF54" s="78" t="e">
        <f t="shared" si="24"/>
        <v>#DIV/0!</v>
      </c>
      <c r="AG54" s="78" t="e">
        <f t="shared" si="24"/>
        <v>#DIV/0!</v>
      </c>
      <c r="AH54" s="78" t="e">
        <f t="shared" si="24"/>
        <v>#DIV/0!</v>
      </c>
      <c r="AI54" s="78" t="e">
        <f t="shared" si="24"/>
        <v>#DIV/0!</v>
      </c>
      <c r="AJ54" s="78" t="e">
        <f t="shared" si="24"/>
        <v>#DIV/0!</v>
      </c>
      <c r="AK54" s="78" t="e">
        <f t="shared" si="24"/>
        <v>#DIV/0!</v>
      </c>
    </row>
    <row r="55" spans="1:37" s="3" customFormat="1" x14ac:dyDescent="0.25">
      <c r="A55" s="46" t="s">
        <v>42</v>
      </c>
      <c r="B55" s="78">
        <f>(B53*100/$B53)-100</f>
        <v>0</v>
      </c>
      <c r="C55" s="78">
        <f t="shared" ref="C55:M55" si="25">(C53*100/$B53)-100</f>
        <v>62.649263935098645</v>
      </c>
      <c r="D55" s="78">
        <f t="shared" si="25"/>
        <v>55.454970147212947</v>
      </c>
      <c r="E55" s="78">
        <f t="shared" si="25"/>
        <v>823.4469714233627</v>
      </c>
      <c r="F55" s="78">
        <f t="shared" si="25"/>
        <v>1078.0883961533204</v>
      </c>
      <c r="G55" s="78">
        <f t="shared" si="25"/>
        <v>1414.5589307688804</v>
      </c>
      <c r="H55" s="78">
        <f t="shared" si="25"/>
        <v>1686.9838430335897</v>
      </c>
      <c r="I55" s="78">
        <f t="shared" si="25"/>
        <v>-33.011257463196756</v>
      </c>
      <c r="J55" s="78">
        <f t="shared" si="25"/>
        <v>62.171277516977369</v>
      </c>
      <c r="K55" s="78">
        <f t="shared" si="25"/>
        <v>789.99532838065704</v>
      </c>
      <c r="L55" s="78">
        <f t="shared" si="25"/>
        <v>1636.0409735198941</v>
      </c>
      <c r="M55" s="78">
        <f t="shared" si="25"/>
        <v>1803.7236224420035</v>
      </c>
      <c r="N55" s="78"/>
      <c r="O55" s="78">
        <f>(O53*100/$O53)-100</f>
        <v>0</v>
      </c>
      <c r="P55" s="78">
        <f t="shared" ref="P55:AK55" si="26">(P53*100/$O53)-100</f>
        <v>26.33000591845564</v>
      </c>
      <c r="Q55" s="78">
        <f t="shared" si="26"/>
        <v>-89.465847159548574</v>
      </c>
      <c r="R55" s="78">
        <f t="shared" si="26"/>
        <v>19.19890688940356</v>
      </c>
      <c r="S55" s="78">
        <f t="shared" si="26"/>
        <v>29.929162393066918</v>
      </c>
      <c r="T55" s="78">
        <f t="shared" si="26"/>
        <v>33.523059052595613</v>
      </c>
      <c r="U55" s="78">
        <f t="shared" si="26"/>
        <v>44.47641450042579</v>
      </c>
      <c r="V55" s="78">
        <f t="shared" si="26"/>
        <v>64.940400011264359</v>
      </c>
      <c r="W55" s="78" t="e">
        <f t="shared" si="26"/>
        <v>#DIV/0!</v>
      </c>
      <c r="X55" s="78" t="e">
        <f t="shared" si="26"/>
        <v>#DIV/0!</v>
      </c>
      <c r="Y55" s="78" t="e">
        <f t="shared" si="26"/>
        <v>#DIV/0!</v>
      </c>
      <c r="Z55" s="78" t="e">
        <f t="shared" si="26"/>
        <v>#DIV/0!</v>
      </c>
      <c r="AA55" s="78" t="e">
        <f t="shared" si="26"/>
        <v>#DIV/0!</v>
      </c>
      <c r="AB55" s="78" t="e">
        <f t="shared" si="26"/>
        <v>#DIV/0!</v>
      </c>
      <c r="AC55" s="78" t="e">
        <f t="shared" si="26"/>
        <v>#DIV/0!</v>
      </c>
      <c r="AD55" s="78" t="e">
        <f t="shared" si="26"/>
        <v>#DIV/0!</v>
      </c>
      <c r="AE55" s="78" t="e">
        <f t="shared" si="26"/>
        <v>#DIV/0!</v>
      </c>
      <c r="AF55" s="78" t="e">
        <f t="shared" si="26"/>
        <v>#DIV/0!</v>
      </c>
      <c r="AG55" s="78" t="e">
        <f t="shared" si="26"/>
        <v>#DIV/0!</v>
      </c>
      <c r="AH55" s="78" t="e">
        <f t="shared" si="26"/>
        <v>#DIV/0!</v>
      </c>
      <c r="AI55" s="78" t="e">
        <f t="shared" si="26"/>
        <v>#DIV/0!</v>
      </c>
      <c r="AJ55" s="78" t="e">
        <f t="shared" si="26"/>
        <v>#DIV/0!</v>
      </c>
      <c r="AK55" s="78" t="e">
        <f t="shared" si="26"/>
        <v>#DIV/0!</v>
      </c>
    </row>
    <row r="56" spans="1:37" s="3" customFormat="1" x14ac:dyDescent="0.25">
      <c r="A56" s="46" t="s">
        <v>43</v>
      </c>
      <c r="B56" s="78" t="e">
        <f ca="1">[2]!SWTEST(B28:B43)</f>
        <v>#NAME?</v>
      </c>
      <c r="C56" s="78" t="e">
        <f ca="1">[2]!SWTEST(C28:C43)</f>
        <v>#NAME?</v>
      </c>
      <c r="D56" s="78" t="e">
        <f ca="1">[2]!SWTEST(D28:D43)</f>
        <v>#NAME?</v>
      </c>
      <c r="E56" s="78" t="e">
        <f ca="1">[2]!SWTEST(E28:E43)</f>
        <v>#NAME?</v>
      </c>
      <c r="F56" s="78" t="e">
        <f ca="1">[2]!SWTEST(F28:F43)</f>
        <v>#NAME?</v>
      </c>
      <c r="G56" s="78" t="e">
        <f ca="1">[2]!SWTEST(G28:G43)</f>
        <v>#NAME?</v>
      </c>
      <c r="H56" s="78" t="e">
        <f ca="1">[2]!SWTEST(H28:H43)</f>
        <v>#NAME?</v>
      </c>
      <c r="I56" s="78" t="e">
        <f ca="1">[2]!SWTEST(I28:I43)</f>
        <v>#NAME?</v>
      </c>
      <c r="J56" s="78" t="e">
        <f ca="1">[2]!SWTEST(J28:J43)</f>
        <v>#NAME?</v>
      </c>
      <c r="K56" s="78" t="e">
        <f ca="1">[2]!SWTEST(K28:K43)</f>
        <v>#NAME?</v>
      </c>
      <c r="L56" s="78" t="e">
        <f ca="1">[2]!SWTEST(L28:L43)</f>
        <v>#NAME?</v>
      </c>
      <c r="M56" s="78" t="e">
        <f ca="1">[2]!SWTEST(M28:M43)</f>
        <v>#NAME?</v>
      </c>
      <c r="N56" s="78"/>
      <c r="O56" s="78" t="e">
        <f ca="1">[1]!SWTEST(O28:O43)</f>
        <v>#NAME?</v>
      </c>
      <c r="P56" s="78" t="e">
        <f ca="1">[1]!SWTEST(P28:P43)</f>
        <v>#NAME?</v>
      </c>
      <c r="Q56" s="78" t="e">
        <f ca="1">[1]!SWTEST(Q28:Q43)</f>
        <v>#NAME?</v>
      </c>
      <c r="R56" s="78" t="e">
        <f ca="1">[1]!SWTEST(R28:R43)</f>
        <v>#NAME?</v>
      </c>
      <c r="S56" s="78" t="e">
        <f ca="1">[1]!SWTEST(S28:S43)</f>
        <v>#NAME?</v>
      </c>
      <c r="T56" s="78" t="e">
        <f ca="1">[1]!SWTEST(T28:T43)</f>
        <v>#NAME?</v>
      </c>
      <c r="U56" s="78" t="e">
        <f ca="1">[1]!SWTEST(U28:U43)</f>
        <v>#NAME?</v>
      </c>
      <c r="V56" s="78" t="e">
        <f ca="1">[1]!SWTEST(V28:V43)</f>
        <v>#NAME?</v>
      </c>
      <c r="W56" s="78" t="e">
        <f ca="1">[1]!SWTEST(W28:W43)</f>
        <v>#NAME?</v>
      </c>
      <c r="X56" s="78" t="e">
        <f ca="1">[1]!SWTEST(X28:X43)</f>
        <v>#NAME?</v>
      </c>
      <c r="Y56" s="78" t="e">
        <f ca="1">[1]!SWTEST(Y28:Y43)</f>
        <v>#NAME?</v>
      </c>
      <c r="Z56" s="78" t="e">
        <f ca="1">[1]!SWTEST(Z28:Z43)</f>
        <v>#NAME?</v>
      </c>
      <c r="AA56" s="78" t="e">
        <f ca="1">[1]!SWTEST(AA28:AA43)</f>
        <v>#NAME?</v>
      </c>
      <c r="AB56" s="78" t="e">
        <f ca="1">[1]!SWTEST(AB28:AB43)</f>
        <v>#NAME?</v>
      </c>
      <c r="AC56" s="78" t="e">
        <f ca="1">[1]!SWTEST(AC28:AC43)</f>
        <v>#NAME?</v>
      </c>
      <c r="AD56" s="78" t="e">
        <f ca="1">[1]!SWTEST(AD28:AD43)</f>
        <v>#NAME?</v>
      </c>
      <c r="AE56" s="78" t="e">
        <f ca="1">[1]!SWTEST(AE28:AE43)</f>
        <v>#NAME?</v>
      </c>
      <c r="AF56" s="78" t="e">
        <f ca="1">[1]!SWTEST(AF28:AF43)</f>
        <v>#NAME?</v>
      </c>
      <c r="AG56" s="78" t="e">
        <f ca="1">[1]!SWTEST(AG28:AG43)</f>
        <v>#NAME?</v>
      </c>
      <c r="AH56" s="78" t="e">
        <f ca="1">[1]!SWTEST(AH28:AH43)</f>
        <v>#NAME?</v>
      </c>
      <c r="AI56" s="78" t="e">
        <f ca="1">[1]!SWTEST(AI28:AI43)</f>
        <v>#NAME?</v>
      </c>
      <c r="AJ56" s="78" t="e">
        <f ca="1">[1]!SWTEST(AJ28:AJ43)</f>
        <v>#NAME?</v>
      </c>
      <c r="AK56" s="78" t="e">
        <f ca="1">[1]!SWTEST(AK28:AK43)</f>
        <v>#NAME?</v>
      </c>
    </row>
    <row r="57" spans="1:37" s="3" customFormat="1" x14ac:dyDescent="0.25">
      <c r="A57" s="46" t="s">
        <v>47</v>
      </c>
      <c r="B57" s="78" t="e">
        <f ca="1">IF(B56&gt;0.05,"Oui","Non")</f>
        <v>#NAME?</v>
      </c>
      <c r="C57" s="78" t="e">
        <f t="shared" ref="C57:AK57" ca="1" si="27">IF(C56&gt;0.05,"Oui","Non")</f>
        <v>#NAME?</v>
      </c>
      <c r="D57" s="78" t="e">
        <f t="shared" ca="1" si="27"/>
        <v>#NAME?</v>
      </c>
      <c r="E57" s="78" t="e">
        <f t="shared" ca="1" si="27"/>
        <v>#NAME?</v>
      </c>
      <c r="F57" s="78" t="e">
        <f t="shared" ca="1" si="27"/>
        <v>#NAME?</v>
      </c>
      <c r="G57" s="78" t="e">
        <f t="shared" ca="1" si="27"/>
        <v>#NAME?</v>
      </c>
      <c r="H57" s="78" t="e">
        <f t="shared" ca="1" si="27"/>
        <v>#NAME?</v>
      </c>
      <c r="I57" s="78" t="e">
        <f t="shared" ca="1" si="27"/>
        <v>#NAME?</v>
      </c>
      <c r="J57" s="78" t="e">
        <f t="shared" ca="1" si="27"/>
        <v>#NAME?</v>
      </c>
      <c r="K57" s="78" t="e">
        <f t="shared" ca="1" si="27"/>
        <v>#NAME?</v>
      </c>
      <c r="L57" s="78" t="e">
        <f t="shared" ca="1" si="27"/>
        <v>#NAME?</v>
      </c>
      <c r="M57" s="78" t="e">
        <f t="shared" ca="1" si="27"/>
        <v>#NAME?</v>
      </c>
      <c r="N57" s="78"/>
      <c r="O57" s="78" t="e">
        <f t="shared" ca="1" si="27"/>
        <v>#NAME?</v>
      </c>
      <c r="P57" s="78" t="e">
        <f t="shared" ca="1" si="27"/>
        <v>#NAME?</v>
      </c>
      <c r="Q57" s="78" t="e">
        <f t="shared" ca="1" si="27"/>
        <v>#NAME?</v>
      </c>
      <c r="R57" s="78" t="e">
        <f t="shared" ca="1" si="27"/>
        <v>#NAME?</v>
      </c>
      <c r="S57" s="78" t="e">
        <f t="shared" ca="1" si="27"/>
        <v>#NAME?</v>
      </c>
      <c r="T57" s="78" t="e">
        <f t="shared" ca="1" si="27"/>
        <v>#NAME?</v>
      </c>
      <c r="U57" s="78" t="e">
        <f t="shared" ca="1" si="27"/>
        <v>#NAME?</v>
      </c>
      <c r="V57" s="78" t="e">
        <f t="shared" ca="1" si="27"/>
        <v>#NAME?</v>
      </c>
      <c r="W57" s="78" t="e">
        <f t="shared" ca="1" si="27"/>
        <v>#NAME?</v>
      </c>
      <c r="X57" s="78" t="e">
        <f t="shared" ca="1" si="27"/>
        <v>#NAME?</v>
      </c>
      <c r="Y57" s="78" t="e">
        <f t="shared" ca="1" si="27"/>
        <v>#NAME?</v>
      </c>
      <c r="Z57" s="78" t="e">
        <f t="shared" ca="1" si="27"/>
        <v>#NAME?</v>
      </c>
      <c r="AA57" s="78" t="e">
        <f t="shared" ca="1" si="27"/>
        <v>#NAME?</v>
      </c>
      <c r="AB57" s="78" t="e">
        <f t="shared" ca="1" si="27"/>
        <v>#NAME?</v>
      </c>
      <c r="AC57" s="78" t="e">
        <f t="shared" ca="1" si="27"/>
        <v>#NAME?</v>
      </c>
      <c r="AD57" s="78" t="e">
        <f t="shared" ca="1" si="27"/>
        <v>#NAME?</v>
      </c>
      <c r="AE57" s="78" t="e">
        <f t="shared" ca="1" si="27"/>
        <v>#NAME?</v>
      </c>
      <c r="AF57" s="78" t="e">
        <f t="shared" ca="1" si="27"/>
        <v>#NAME?</v>
      </c>
      <c r="AG57" s="78" t="e">
        <f t="shared" ca="1" si="27"/>
        <v>#NAME?</v>
      </c>
      <c r="AH57" s="78" t="e">
        <f t="shared" ca="1" si="27"/>
        <v>#NAME?</v>
      </c>
      <c r="AI57" s="78" t="e">
        <f t="shared" ca="1" si="27"/>
        <v>#NAME?</v>
      </c>
      <c r="AJ57" s="78" t="e">
        <f t="shared" ca="1" si="27"/>
        <v>#NAME?</v>
      </c>
      <c r="AK57" s="78" t="e">
        <f t="shared" ca="1" si="27"/>
        <v>#NAME?</v>
      </c>
    </row>
    <row r="58" spans="1:37" s="3" customFormat="1" x14ac:dyDescent="0.25">
      <c r="A58" s="46"/>
      <c r="B58" s="78"/>
      <c r="C58" s="78"/>
      <c r="D58" s="78"/>
      <c r="E58" s="78"/>
      <c r="F58" s="78"/>
      <c r="G58" s="78"/>
      <c r="H58" s="78"/>
      <c r="I58" s="78"/>
      <c r="J58" s="78"/>
      <c r="K58" s="78"/>
      <c r="L58" s="78"/>
      <c r="M58" s="78"/>
      <c r="N58" s="80"/>
      <c r="O58" s="81"/>
      <c r="P58" s="78"/>
      <c r="Q58" s="78"/>
      <c r="R58" s="78"/>
      <c r="S58" s="78"/>
      <c r="T58" s="78"/>
      <c r="U58" s="78"/>
      <c r="V58" s="78"/>
      <c r="W58" s="78"/>
      <c r="X58" s="78"/>
      <c r="Y58" s="78"/>
      <c r="Z58" s="78"/>
      <c r="AA58" s="78"/>
      <c r="AB58" s="78"/>
      <c r="AC58" s="78"/>
      <c r="AD58" s="78"/>
      <c r="AE58" s="82"/>
      <c r="AF58" s="82"/>
      <c r="AG58" s="82"/>
      <c r="AH58" s="82"/>
      <c r="AI58" s="82"/>
      <c r="AJ58" s="82"/>
      <c r="AK58" s="83"/>
    </row>
    <row r="59" spans="1:37" s="3" customFormat="1" x14ac:dyDescent="0.25">
      <c r="A59" s="46" t="s">
        <v>44</v>
      </c>
      <c r="B59" s="84"/>
      <c r="C59" s="84" t="e">
        <f t="shared" ref="C59:O59" ca="1" si="28">IF($B57="Non",IF(C57="Non","MW",IF(C57="Oui","MW","")),IF($B57="Oui",IF(C57="Oui","T-Test Welch",IF(C57="Non","MW",""))))</f>
        <v>#NAME?</v>
      </c>
      <c r="D59" s="84" t="e">
        <f t="shared" ca="1" si="28"/>
        <v>#NAME?</v>
      </c>
      <c r="E59" s="84" t="e">
        <f t="shared" ca="1" si="28"/>
        <v>#NAME?</v>
      </c>
      <c r="F59" s="84" t="e">
        <f t="shared" ca="1" si="28"/>
        <v>#NAME?</v>
      </c>
      <c r="G59" s="84" t="e">
        <f t="shared" ca="1" si="28"/>
        <v>#NAME?</v>
      </c>
      <c r="H59" s="84" t="e">
        <f t="shared" ca="1" si="28"/>
        <v>#NAME?</v>
      </c>
      <c r="I59" s="84" t="e">
        <f t="shared" ca="1" si="28"/>
        <v>#NAME?</v>
      </c>
      <c r="J59" s="84" t="e">
        <f t="shared" ca="1" si="28"/>
        <v>#NAME?</v>
      </c>
      <c r="K59" s="84" t="e">
        <f t="shared" ca="1" si="28"/>
        <v>#NAME?</v>
      </c>
      <c r="L59" s="84" t="e">
        <f t="shared" ca="1" si="28"/>
        <v>#NAME?</v>
      </c>
      <c r="M59" s="84" t="e">
        <f t="shared" ca="1" si="28"/>
        <v>#NAME?</v>
      </c>
      <c r="N59" s="84"/>
      <c r="O59" s="84" t="e">
        <f t="shared" ca="1" si="28"/>
        <v>#NAME?</v>
      </c>
      <c r="P59" s="84" t="e">
        <f ca="1">IF($O57="Non",IF(P57="Non","MW",IF(P57="Oui","MW","")),IF($O57="Oui",IF(P57="Oui","T-Test Welch",IF(P57="Non","MW",""))))</f>
        <v>#NAME?</v>
      </c>
      <c r="Q59" s="84" t="e">
        <f t="shared" ref="Q59:AK59" ca="1" si="29">IF($O57="Non",IF(Q57="Non","MW",IF(Q57="Oui","MW","")),IF($O57="Oui",IF(Q57="Oui","T-Test Welch",IF(Q57="Non","MW",""))))</f>
        <v>#NAME?</v>
      </c>
      <c r="R59" s="84" t="e">
        <f t="shared" ca="1" si="29"/>
        <v>#NAME?</v>
      </c>
      <c r="S59" s="84" t="e">
        <f t="shared" ca="1" si="29"/>
        <v>#NAME?</v>
      </c>
      <c r="T59" s="84" t="e">
        <f t="shared" ca="1" si="29"/>
        <v>#NAME?</v>
      </c>
      <c r="U59" s="84" t="e">
        <f t="shared" ca="1" si="29"/>
        <v>#NAME?</v>
      </c>
      <c r="V59" s="84" t="e">
        <f t="shared" ca="1" si="29"/>
        <v>#NAME?</v>
      </c>
      <c r="W59" s="84" t="e">
        <f t="shared" ca="1" si="29"/>
        <v>#NAME?</v>
      </c>
      <c r="X59" s="84" t="e">
        <f t="shared" ca="1" si="29"/>
        <v>#NAME?</v>
      </c>
      <c r="Y59" s="84" t="e">
        <f t="shared" ca="1" si="29"/>
        <v>#NAME?</v>
      </c>
      <c r="Z59" s="84" t="e">
        <f t="shared" ca="1" si="29"/>
        <v>#NAME?</v>
      </c>
      <c r="AA59" s="84" t="e">
        <f t="shared" ca="1" si="29"/>
        <v>#NAME?</v>
      </c>
      <c r="AB59" s="84" t="e">
        <f t="shared" ca="1" si="29"/>
        <v>#NAME?</v>
      </c>
      <c r="AC59" s="84" t="e">
        <f t="shared" ca="1" si="29"/>
        <v>#NAME?</v>
      </c>
      <c r="AD59" s="84" t="e">
        <f t="shared" ca="1" si="29"/>
        <v>#NAME?</v>
      </c>
      <c r="AE59" s="84" t="e">
        <f t="shared" ca="1" si="29"/>
        <v>#NAME?</v>
      </c>
      <c r="AF59" s="84" t="e">
        <f t="shared" ca="1" si="29"/>
        <v>#NAME?</v>
      </c>
      <c r="AG59" s="84" t="e">
        <f t="shared" ca="1" si="29"/>
        <v>#NAME?</v>
      </c>
      <c r="AH59" s="84" t="e">
        <f t="shared" ca="1" si="29"/>
        <v>#NAME?</v>
      </c>
      <c r="AI59" s="84" t="e">
        <f t="shared" ca="1" si="29"/>
        <v>#NAME?</v>
      </c>
      <c r="AJ59" s="84" t="e">
        <f t="shared" ca="1" si="29"/>
        <v>#NAME?</v>
      </c>
      <c r="AK59" s="84" t="e">
        <f t="shared" ca="1" si="29"/>
        <v>#NAME?</v>
      </c>
    </row>
    <row r="60" spans="1:37" s="3" customFormat="1" x14ac:dyDescent="0.25">
      <c r="A60" s="46" t="s">
        <v>45</v>
      </c>
      <c r="B60" s="85"/>
      <c r="C60" s="85" t="e">
        <f ca="1">IF(C59="MW",[2]!MTEST($B28:$B43,C28:C43,2), IF(C59="T-Test Welch",_xlfn.T.TEST($B28:$B43,C28:C43,2,3),""))</f>
        <v>#NAME?</v>
      </c>
      <c r="D60" s="85" t="e">
        <f ca="1">IF(D59="MW",[2]!MTEST($B28:$B43,D28:D43,2), IF(D59="T-Test Welch",_xlfn.T.TEST($B28:$B43,D28:D43,2,3),""))</f>
        <v>#NAME?</v>
      </c>
      <c r="E60" s="85" t="e">
        <f ca="1">IF(E59="MW",[2]!MTEST($B28:$B43,E28:E43,2), IF(E59="T-Test Welch",_xlfn.T.TEST($B28:$B43,E28:E43,2,3),""))</f>
        <v>#NAME?</v>
      </c>
      <c r="F60" s="85" t="e">
        <f ca="1">IF(F59="MW",[2]!MTEST($B28:$B43,F28:F43,2), IF(F59="T-Test Welch",_xlfn.T.TEST($B28:$B43,F28:F43,2,3),""))</f>
        <v>#NAME?</v>
      </c>
      <c r="G60" s="85" t="e">
        <f ca="1">IF(G59="MW",[2]!MTEST($B28:$B43,G28:G43,2), IF(G59="T-Test Welch",_xlfn.T.TEST($B28:$B43,G28:G43,2,3),""))</f>
        <v>#NAME?</v>
      </c>
      <c r="H60" s="85" t="e">
        <f ca="1">IF(H59="MW",[2]!MTEST($B28:$B43,H28:H43,2), IF(H59="T-Test Welch",_xlfn.T.TEST($B28:$B43,H28:H43,2,3),""))</f>
        <v>#NAME?</v>
      </c>
      <c r="I60" s="85" t="e">
        <f ca="1">IF(I59="MW",[2]!MTEST($B28:$B43,I28:I43,2), IF(I59="T-Test Welch",_xlfn.T.TEST($B28:$B43,I28:I43,2,3),""))</f>
        <v>#NAME?</v>
      </c>
      <c r="J60" s="85" t="e">
        <f ca="1">IF(J59="MW",[2]!MTEST($B28:$B43,J28:J43,2), IF(J59="T-Test Welch",_xlfn.T.TEST($B28:$B43,J28:J43,2,3),""))</f>
        <v>#NAME?</v>
      </c>
      <c r="K60" s="85" t="e">
        <f ca="1">IF(K59="MW",[2]!MTEST($B28:$B43,K28:K43,2), IF(K59="T-Test Welch",_xlfn.T.TEST($B28:$B43,K28:K43,2,3),""))</f>
        <v>#NAME?</v>
      </c>
      <c r="L60" s="85" t="e">
        <f ca="1">IF(L59="MW",[2]!MTEST($B28:$B43,L28:L43,2), IF(L59="T-Test Welch",_xlfn.T.TEST($B28:$B43,L28:L43,2,3),""))</f>
        <v>#NAME?</v>
      </c>
      <c r="M60" s="85" t="e">
        <f ca="1">IF(M59="MW",[2]!MTEST($B28:$B43,M28:M43,2), IF(M59="T-Test Welch",_xlfn.T.TEST($B28:$B43,M28:M43,2,3),""))</f>
        <v>#NAME?</v>
      </c>
      <c r="N60" s="85"/>
      <c r="O60" s="85" t="e">
        <f ca="1">IF(O59="MW",[2]!MTEST($B28:$B43,O28:O43,2), IF(O59="T-Test Welch",_xlfn.T.TEST($B28:$B43,O28:O43,2,3),""))</f>
        <v>#NAME?</v>
      </c>
      <c r="P60" s="85" t="e">
        <f ca="1">IF(P59="MW",[2]!MTEST($O28:$O43,P28:P43,2), IF(P59="T-Test Welch",_xlfn.T.TEST($O28:$O43,P28:P43,2,3),""))</f>
        <v>#NAME?</v>
      </c>
      <c r="Q60" s="85" t="e">
        <f ca="1">IF(Q59="MW",[2]!MTEST($O28:$O43,Q28:Q43,2), IF(Q59="T-Test Welch",_xlfn.T.TEST($O28:$O43,Q28:Q43,2,3),""))</f>
        <v>#NAME?</v>
      </c>
      <c r="R60" s="85" t="e">
        <f ca="1">IF(R59="MW",[2]!MTEST($O28:$O43,R28:R43,2), IF(R59="T-Test Welch",_xlfn.T.TEST($O28:$O43,R28:R43,2,3),""))</f>
        <v>#NAME?</v>
      </c>
      <c r="S60" s="85" t="e">
        <f ca="1">IF(S59="MW",[2]!MTEST($O28:$O43,S28:S43,2), IF(S59="T-Test Welch",_xlfn.T.TEST($O28:$O43,S28:S43,2,3),""))</f>
        <v>#NAME?</v>
      </c>
      <c r="T60" s="85" t="e">
        <f ca="1">IF(T59="MW",[2]!MTEST($O28:$O43,T28:T43,2), IF(T59="T-Test Welch",_xlfn.T.TEST($O28:$O43,T28:T43,2,3),""))</f>
        <v>#NAME?</v>
      </c>
      <c r="U60" s="85" t="e">
        <f ca="1">IF(U59="MW",[2]!MTEST($O28:$O43,U28:U43,2), IF(U59="T-Test Welch",_xlfn.T.TEST($O28:$O43,U28:U43,2,3),""))</f>
        <v>#NAME?</v>
      </c>
      <c r="V60" s="85" t="e">
        <f ca="1">IF(V59="MW",[2]!MTEST($O28:$O43,V28:V43,2), IF(V59="T-Test Welch",_xlfn.T.TEST($O28:$O43,V28:V43,2,3),""))</f>
        <v>#NAME?</v>
      </c>
      <c r="W60" s="85" t="e">
        <f ca="1">IF(W59="MW",[2]!MTEST($O28:$O43,W28:W43,2), IF(W59="T-Test Welch",_xlfn.T.TEST($O28:$O43,W28:W43,2,3),""))</f>
        <v>#NAME?</v>
      </c>
      <c r="X60" s="85" t="e">
        <f ca="1">IF(X59="MW",[2]!MTEST($O28:$O43,X28:X43,2), IF(X59="T-Test Welch",_xlfn.T.TEST($O28:$O43,X28:X43,2,3),""))</f>
        <v>#NAME?</v>
      </c>
      <c r="Y60" s="85" t="e">
        <f ca="1">IF(Y59="MW",[2]!MTEST($O28:$O43,Y28:Y43,2), IF(Y59="T-Test Welch",_xlfn.T.TEST($O28:$O43,Y28:Y43,2,3),""))</f>
        <v>#NAME?</v>
      </c>
      <c r="Z60" s="85" t="e">
        <f ca="1">IF(Z59="MW",[2]!MTEST($O28:$O43,Z28:Z43,2), IF(Z59="T-Test Welch",_xlfn.T.TEST($O28:$O43,Z28:Z43,2,3),""))</f>
        <v>#NAME?</v>
      </c>
      <c r="AA60" s="85" t="e">
        <f ca="1">IF(AA59="MW",[2]!MTEST($O28:$O43,AA28:AA43,2), IF(AA59="T-Test Welch",_xlfn.T.TEST($O28:$O43,AA28:AA43,2,3),""))</f>
        <v>#NAME?</v>
      </c>
      <c r="AB60" s="85" t="e">
        <f ca="1">IF(AB59="MW",[2]!MTEST($O28:$O43,AB28:AB43,2), IF(AB59="T-Test Welch",_xlfn.T.TEST($O28:$O43,AB28:AB43,2,3),""))</f>
        <v>#NAME?</v>
      </c>
      <c r="AC60" s="85" t="e">
        <f ca="1">IF(AC59="MW",[2]!MTEST($O28:$O43,AC28:AC43,2), IF(AC59="T-Test Welch",_xlfn.T.TEST($O28:$O43,AC28:AC43,2,3),""))</f>
        <v>#NAME?</v>
      </c>
      <c r="AD60" s="85" t="e">
        <f ca="1">IF(AD59="MW",[2]!MTEST($O28:$O43,AD28:AD43,2), IF(AD59="T-Test Welch",_xlfn.T.TEST($O28:$O43,AD28:AD43,2,3),""))</f>
        <v>#NAME?</v>
      </c>
      <c r="AE60" s="85" t="e">
        <f ca="1">IF(AE59="MW",[2]!MTEST($O28:$O43,AE28:AE43,2), IF(AE59="T-Test Welch",_xlfn.T.TEST($O28:$O43,AE28:AE43,2,3),""))</f>
        <v>#NAME?</v>
      </c>
      <c r="AF60" s="85" t="e">
        <f ca="1">IF(AF59="MW",[2]!MTEST($O28:$O43,AF28:AF43,2), IF(AF59="T-Test Welch",_xlfn.T.TEST($O28:$O43,AF28:AF43,2,3),""))</f>
        <v>#NAME?</v>
      </c>
      <c r="AG60" s="85" t="e">
        <f ca="1">IF(AG59="MW",[2]!MTEST($O28:$O43,AG28:AG43,2), IF(AG59="T-Test Welch",_xlfn.T.TEST($O28:$O43,AG28:AG43,2,3),""))</f>
        <v>#NAME?</v>
      </c>
      <c r="AH60" s="85" t="e">
        <f ca="1">IF(AH59="MW",[2]!MTEST($O28:$O43,AH28:AH43,2), IF(AH59="T-Test Welch",_xlfn.T.TEST($O28:$O43,AH28:AH43,2,3),""))</f>
        <v>#NAME?</v>
      </c>
      <c r="AI60" s="85" t="e">
        <f ca="1">IF(AI59="MW",[2]!MTEST($O28:$O43,AI28:AI43,2), IF(AI59="T-Test Welch",_xlfn.T.TEST($O28:$O43,AI28:AI43,2,3),""))</f>
        <v>#NAME?</v>
      </c>
      <c r="AJ60" s="85" t="e">
        <f ca="1">IF(AJ59="MW",[2]!MTEST($O28:$O43,AJ28:AJ43,2), IF(AJ59="T-Test Welch",_xlfn.T.TEST($O28:$O43,AJ28:AJ43,2,3),""))</f>
        <v>#NAME?</v>
      </c>
      <c r="AK60" s="85" t="e">
        <f ca="1">IF(AK59="MW",[2]!MTEST($O28:$O43,AK28:AK43,2), IF(AK59="T-Test Welch",_xlfn.T.TEST($O28:$O43,AK28:AK43,2,3),""))</f>
        <v>#NAME?</v>
      </c>
    </row>
    <row r="61" spans="1:37" s="3" customFormat="1" ht="15.75" thickBot="1" x14ac:dyDescent="0.3">
      <c r="A61" s="47" t="s">
        <v>46</v>
      </c>
      <c r="B61" s="79"/>
      <c r="C61" s="79" t="e">
        <f t="shared" ref="C61:O61" ca="1" si="30">IF(C60&gt;0.05,"NS",IF(C60&gt;0.01,"*",IF(C60&gt;0.001,"**","***")))</f>
        <v>#NAME?</v>
      </c>
      <c r="D61" s="79" t="e">
        <f t="shared" ca="1" si="30"/>
        <v>#NAME?</v>
      </c>
      <c r="E61" s="79" t="e">
        <f t="shared" ca="1" si="30"/>
        <v>#NAME?</v>
      </c>
      <c r="F61" s="79" t="e">
        <f t="shared" ca="1" si="30"/>
        <v>#NAME?</v>
      </c>
      <c r="G61" s="79" t="e">
        <f t="shared" ca="1" si="30"/>
        <v>#NAME?</v>
      </c>
      <c r="H61" s="79" t="e">
        <f t="shared" ca="1" si="30"/>
        <v>#NAME?</v>
      </c>
      <c r="I61" s="79" t="e">
        <f t="shared" ca="1" si="30"/>
        <v>#NAME?</v>
      </c>
      <c r="J61" s="79" t="e">
        <f t="shared" ca="1" si="30"/>
        <v>#NAME?</v>
      </c>
      <c r="K61" s="79" t="e">
        <f t="shared" ca="1" si="30"/>
        <v>#NAME?</v>
      </c>
      <c r="L61" s="79" t="e">
        <f t="shared" ca="1" si="30"/>
        <v>#NAME?</v>
      </c>
      <c r="M61" s="79" t="e">
        <f t="shared" ca="1" si="30"/>
        <v>#NAME?</v>
      </c>
      <c r="N61" s="79"/>
      <c r="O61" s="79" t="e">
        <f t="shared" ca="1" si="30"/>
        <v>#NAME?</v>
      </c>
      <c r="P61" s="79" t="e">
        <f ca="1">IF(P60&gt;0.05,"NS",IF(P60&gt;0.01,"*",IF(P60&gt;0.001,"**","***")))</f>
        <v>#NAME?</v>
      </c>
      <c r="Q61" s="79" t="e">
        <f t="shared" ref="Q61:AK61" ca="1" si="31">IF(Q60&gt;0.05,"NS",IF(Q60&gt;0.01,"*",IF(Q60&gt;0.001,"**","***")))</f>
        <v>#NAME?</v>
      </c>
      <c r="R61" s="79" t="e">
        <f t="shared" ca="1" si="31"/>
        <v>#NAME?</v>
      </c>
      <c r="S61" s="79" t="e">
        <f t="shared" ca="1" si="31"/>
        <v>#NAME?</v>
      </c>
      <c r="T61" s="79" t="e">
        <f t="shared" ca="1" si="31"/>
        <v>#NAME?</v>
      </c>
      <c r="U61" s="79" t="e">
        <f t="shared" ca="1" si="31"/>
        <v>#NAME?</v>
      </c>
      <c r="V61" s="79" t="e">
        <f t="shared" ca="1" si="31"/>
        <v>#NAME?</v>
      </c>
      <c r="W61" s="79" t="e">
        <f t="shared" ca="1" si="31"/>
        <v>#NAME?</v>
      </c>
      <c r="X61" s="79" t="e">
        <f t="shared" ca="1" si="31"/>
        <v>#NAME?</v>
      </c>
      <c r="Y61" s="79" t="e">
        <f t="shared" ca="1" si="31"/>
        <v>#NAME?</v>
      </c>
      <c r="Z61" s="79" t="e">
        <f t="shared" ca="1" si="31"/>
        <v>#NAME?</v>
      </c>
      <c r="AA61" s="79" t="e">
        <f t="shared" ca="1" si="31"/>
        <v>#NAME?</v>
      </c>
      <c r="AB61" s="79" t="e">
        <f t="shared" ca="1" si="31"/>
        <v>#NAME?</v>
      </c>
      <c r="AC61" s="79" t="e">
        <f t="shared" ca="1" si="31"/>
        <v>#NAME?</v>
      </c>
      <c r="AD61" s="79" t="e">
        <f t="shared" ca="1" si="31"/>
        <v>#NAME?</v>
      </c>
      <c r="AE61" s="79" t="e">
        <f t="shared" ca="1" si="31"/>
        <v>#NAME?</v>
      </c>
      <c r="AF61" s="79" t="e">
        <f t="shared" ca="1" si="31"/>
        <v>#NAME?</v>
      </c>
      <c r="AG61" s="79" t="e">
        <f t="shared" ca="1" si="31"/>
        <v>#NAME?</v>
      </c>
      <c r="AH61" s="79" t="e">
        <f t="shared" ca="1" si="31"/>
        <v>#NAME?</v>
      </c>
      <c r="AI61" s="79" t="e">
        <f t="shared" ca="1" si="31"/>
        <v>#NAME?</v>
      </c>
      <c r="AJ61" s="79" t="e">
        <f t="shared" ca="1" si="31"/>
        <v>#NAME?</v>
      </c>
      <c r="AK61" s="79" t="e">
        <f t="shared" ca="1" si="31"/>
        <v>#NAME?</v>
      </c>
    </row>
    <row r="63" spans="1:37" x14ac:dyDescent="0.25">
      <c r="A63" s="2" t="s">
        <v>20</v>
      </c>
    </row>
    <row r="64" spans="1:37" x14ac:dyDescent="0.25">
      <c r="A64" s="1" t="s">
        <v>13</v>
      </c>
      <c r="B64" s="1">
        <f>B46+(3*B47)</f>
        <v>0.18685567225417155</v>
      </c>
    </row>
    <row r="65" spans="1:37" x14ac:dyDescent="0.25">
      <c r="A65" s="1" t="s">
        <v>14</v>
      </c>
      <c r="B65" s="1">
        <f>B46+(10*B47)</f>
        <v>0.4322117171682569</v>
      </c>
    </row>
    <row r="66" spans="1:37" ht="15.75" thickBot="1" x14ac:dyDescent="0.3"/>
    <row r="67" spans="1:37" ht="27" thickBot="1" x14ac:dyDescent="0.45">
      <c r="A67" s="141" t="s">
        <v>25</v>
      </c>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3"/>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94"/>
  <sheetViews>
    <sheetView showGridLines="0" topLeftCell="B61" zoomScale="55" zoomScaleNormal="55" workbookViewId="0">
      <selection activeCell="B94" sqref="B94:V94"/>
    </sheetView>
  </sheetViews>
  <sheetFormatPr defaultColWidth="11.42578125"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22" t="s">
        <v>7</v>
      </c>
      <c r="B1" s="40" t="e">
        <f>'Front page'!#REF!</f>
        <v>#REF!</v>
      </c>
      <c r="C1" s="23"/>
      <c r="D1" s="23"/>
      <c r="E1" s="23"/>
      <c r="F1" s="23"/>
      <c r="G1" s="23"/>
      <c r="H1" s="41"/>
      <c r="I1" s="40"/>
      <c r="J1" s="42"/>
      <c r="K1" s="42"/>
      <c r="L1" s="42"/>
      <c r="M1" s="42"/>
      <c r="N1" s="42"/>
      <c r="O1" s="42"/>
      <c r="P1" s="42"/>
      <c r="Q1" s="42"/>
      <c r="R1" s="42"/>
      <c r="S1" s="42"/>
      <c r="T1" s="42"/>
      <c r="U1" s="42"/>
      <c r="V1" s="42"/>
    </row>
    <row r="2" spans="1:22" ht="15.75" thickBot="1" x14ac:dyDescent="0.3">
      <c r="A2" s="1"/>
      <c r="B2" s="1"/>
      <c r="C2" s="1"/>
      <c r="D2" s="1"/>
      <c r="E2" s="1"/>
      <c r="F2" s="1"/>
      <c r="G2" s="1"/>
      <c r="H2" s="1"/>
      <c r="I2" s="1"/>
      <c r="J2" s="1"/>
      <c r="K2" s="1"/>
      <c r="L2" s="1"/>
      <c r="M2" s="1"/>
    </row>
    <row r="3" spans="1:22" s="18" customFormat="1" ht="15.75" thickBot="1" x14ac:dyDescent="0.3">
      <c r="B3" s="148" t="s">
        <v>6</v>
      </c>
      <c r="C3" s="149"/>
      <c r="D3" s="149"/>
      <c r="E3" s="149"/>
      <c r="F3" s="149"/>
      <c r="G3" s="149"/>
      <c r="H3" s="149"/>
      <c r="I3" s="149"/>
      <c r="J3" s="149"/>
      <c r="K3" s="149"/>
      <c r="L3" s="149"/>
      <c r="M3" s="149"/>
      <c r="N3" s="56"/>
      <c r="O3" s="148" t="s">
        <v>3</v>
      </c>
      <c r="P3" s="149"/>
      <c r="Q3" s="149"/>
      <c r="R3" s="149"/>
      <c r="S3" s="149"/>
      <c r="T3" s="149"/>
      <c r="U3" s="149"/>
      <c r="V3" s="149"/>
    </row>
    <row r="4" spans="1:22" x14ac:dyDescent="0.25">
      <c r="A4" s="19" t="s">
        <v>22</v>
      </c>
      <c r="B4" s="20" t="str">
        <f>'R1'!B4</f>
        <v>Solvent control</v>
      </c>
      <c r="C4" s="20" t="str">
        <f>'R1'!C4</f>
        <v>EE2-33.8ng/L</v>
      </c>
      <c r="D4" s="20" t="str">
        <f>'R1'!D4</f>
        <v>EE2-50.6ng/L</v>
      </c>
      <c r="E4" s="20" t="str">
        <f>'R1'!E4</f>
        <v>EE2-76ng/L</v>
      </c>
      <c r="F4" s="20" t="str">
        <f>'R1'!F4</f>
        <v>EE2-114ng/L</v>
      </c>
      <c r="G4" s="20" t="str">
        <f>'R1'!G4</f>
        <v>EE2-170.9ng/L</v>
      </c>
      <c r="H4" s="20" t="str">
        <f>'R1'!H4</f>
        <v>EE2-488ng/L</v>
      </c>
      <c r="I4" s="20" t="str">
        <f>'R1'!I4</f>
        <v>Estradiol-34ng/L</v>
      </c>
      <c r="J4" s="20" t="str">
        <f>'R1'!J4</f>
        <v>Estradiol-68ng/L</v>
      </c>
      <c r="K4" s="20" t="str">
        <f>'R1'!K4</f>
        <v>Estradiol-135ng/L</v>
      </c>
      <c r="L4" s="20" t="str">
        <f>'R1'!L4</f>
        <v>Estradiol-270ng/L</v>
      </c>
      <c r="M4" s="20" t="str">
        <f>'R1'!M4</f>
        <v>Estradiol-540ng/L</v>
      </c>
      <c r="O4" s="20" t="str">
        <f>'R1'!O4</f>
        <v>Testo -30µg/L</v>
      </c>
      <c r="P4" s="20" t="str">
        <f>'R1'!P4</f>
        <v>Testo 30µg/L + EE2 -64ng/L</v>
      </c>
      <c r="Q4" s="20" t="str">
        <f>'R1'!Q4</f>
        <v>Testo 30µg/L + FAD-10mg/L</v>
      </c>
      <c r="R4" s="20" t="str">
        <f>'R1'!R4</f>
        <v>Estradiol-34ng/L + Testostérone</v>
      </c>
      <c r="S4" s="20" t="str">
        <f>'R1'!S4</f>
        <v>Estradiol-68ng/L + Testostérone</v>
      </c>
      <c r="T4" s="20" t="str">
        <f>'R1'!T4</f>
        <v>Estradiol-135ng/L + Testostérone</v>
      </c>
      <c r="U4" s="20" t="str">
        <f>'R1'!U4</f>
        <v>Estradiol-270ng/L + Testostérone</v>
      </c>
      <c r="V4" s="20" t="str">
        <f>'R1'!V4</f>
        <v>Estradiol-540ng/L + Testostérone</v>
      </c>
    </row>
    <row r="5" spans="1:22" s="1" customFormat="1" x14ac:dyDescent="0.25">
      <c r="A5" s="19"/>
      <c r="B5" s="20"/>
      <c r="C5" s="117"/>
      <c r="D5" s="20"/>
      <c r="E5" s="20"/>
      <c r="F5" s="20"/>
      <c r="G5" s="20"/>
      <c r="H5" s="20"/>
      <c r="I5" s="20"/>
      <c r="J5" s="20"/>
      <c r="K5" s="20"/>
      <c r="L5" s="20"/>
      <c r="M5" s="20"/>
      <c r="O5" s="20"/>
      <c r="P5" s="20"/>
      <c r="Q5" s="20"/>
      <c r="R5" s="20"/>
      <c r="S5" s="20"/>
      <c r="T5" s="20"/>
      <c r="U5" s="20"/>
      <c r="V5" s="20"/>
    </row>
    <row r="6" spans="1:22" s="1" customFormat="1" x14ac:dyDescent="0.25">
      <c r="A6" s="55" t="s">
        <v>4</v>
      </c>
      <c r="B6" s="38">
        <f>'R1'!B28</f>
        <v>1.386478047882236E-3</v>
      </c>
      <c r="C6" s="38">
        <f>'R1'!C28</f>
        <v>3.5615154854974937E-3</v>
      </c>
      <c r="D6" s="38">
        <f>'R1'!D28</f>
        <v>9.7833357253690276E-3</v>
      </c>
      <c r="E6" s="38">
        <f>'R1'!E28</f>
        <v>0.10616089102878296</v>
      </c>
      <c r="F6" s="38">
        <f>'R1'!F28</f>
        <v>0.79205158131612508</v>
      </c>
      <c r="G6" s="38">
        <f>'R1'!G28</f>
        <v>0.43626398325394483</v>
      </c>
      <c r="H6" s="38">
        <f>'R1'!H28</f>
        <v>1.7351079530222242</v>
      </c>
      <c r="I6" s="38">
        <f>'R1'!I28</f>
        <v>0</v>
      </c>
      <c r="J6" s="38">
        <f>'R1'!J28</f>
        <v>6.5684397518420935E-3</v>
      </c>
      <c r="K6" s="38">
        <f>'R1'!K28</f>
        <v>1.3951435356815E-3</v>
      </c>
      <c r="L6" s="38">
        <f>'R1'!L28</f>
        <v>2.1374118895908536</v>
      </c>
      <c r="M6" s="38">
        <f>'R1'!M28</f>
        <v>3.3615333580660796</v>
      </c>
      <c r="N6"/>
      <c r="O6" s="38">
        <f>'R1'!O28</f>
        <v>0.5268269962440526</v>
      </c>
      <c r="P6" s="38">
        <f>'R1'!P28</f>
        <v>1.8708788158610923</v>
      </c>
      <c r="Q6" s="38">
        <f>'R1'!Q28</f>
        <v>0</v>
      </c>
      <c r="R6" s="38">
        <f>'R1'!R28</f>
        <v>1.0781946539356209</v>
      </c>
      <c r="S6" s="38">
        <f>'R1'!S28</f>
        <v>2.0959388649835762</v>
      </c>
      <c r="T6" s="38">
        <f>'R1'!T28</f>
        <v>2.9578689399129661</v>
      </c>
      <c r="U6" s="38">
        <f>'R1'!U28</f>
        <v>2.3950541728385701</v>
      </c>
      <c r="V6" s="38">
        <f>'R1'!V28</f>
        <v>2.6183811244012012</v>
      </c>
    </row>
    <row r="7" spans="1:22" s="1" customFormat="1" x14ac:dyDescent="0.25">
      <c r="A7" s="153" t="s">
        <v>17</v>
      </c>
      <c r="B7" s="38">
        <f>'R1'!B29</f>
        <v>2.1325765473988643E-2</v>
      </c>
      <c r="C7" s="38">
        <f>'R1'!C29</f>
        <v>4.2547545094386114E-3</v>
      </c>
      <c r="D7" s="38">
        <f>'R1'!D29</f>
        <v>7.01904511740382E-4</v>
      </c>
      <c r="E7" s="38">
        <f>'R1'!E29</f>
        <v>4.0277187290978955E-2</v>
      </c>
      <c r="F7" s="38">
        <f>'R1'!F29</f>
        <v>0.43849101361835569</v>
      </c>
      <c r="G7" s="38">
        <f>'R1'!G29</f>
        <v>0</v>
      </c>
      <c r="H7" s="38">
        <f>'R1'!H29</f>
        <v>2.5909115280775343</v>
      </c>
      <c r="I7" s="38">
        <f>'R1'!I29</f>
        <v>1.9254713889964553E-2</v>
      </c>
      <c r="J7" s="38">
        <f>'R1'!J29</f>
        <v>0</v>
      </c>
      <c r="K7" s="38">
        <f>'R1'!K29</f>
        <v>1.2712270601520251E-2</v>
      </c>
      <c r="L7" s="38">
        <f>'R1'!L29</f>
        <v>1.8498563424600778</v>
      </c>
      <c r="M7" s="38">
        <f>'R1'!M29</f>
        <v>1.3618160696055308</v>
      </c>
      <c r="N7"/>
      <c r="O7" s="38">
        <f>'R1'!O29</f>
        <v>0.87684337943192314</v>
      </c>
      <c r="P7" s="38">
        <f>'R1'!P29</f>
        <v>2.2026630127193112</v>
      </c>
      <c r="Q7" s="38">
        <f>'R1'!Q29</f>
        <v>8.3699946653090732E-2</v>
      </c>
      <c r="R7" s="38">
        <f>'R1'!R29</f>
        <v>1.0967907907528414</v>
      </c>
      <c r="S7" s="38">
        <f>'R1'!S29</f>
        <v>2.0544485094007001</v>
      </c>
      <c r="T7" s="38">
        <f>'R1'!T29</f>
        <v>1.6584530479499351</v>
      </c>
      <c r="U7" s="38">
        <f>'R1'!U29</f>
        <v>2.3676452349294981</v>
      </c>
      <c r="V7" s="38">
        <f>'R1'!V29</f>
        <v>1.7953157622515103</v>
      </c>
    </row>
    <row r="8" spans="1:22" s="1" customFormat="1" x14ac:dyDescent="0.25">
      <c r="A8" s="154"/>
      <c r="B8" s="38">
        <f>'R1'!B30</f>
        <v>0.14189736271294759</v>
      </c>
      <c r="C8" s="38">
        <f>'R1'!C30</f>
        <v>0</v>
      </c>
      <c r="D8" s="38">
        <f>'R1'!D30</f>
        <v>9.237409994015398E-3</v>
      </c>
      <c r="E8" s="38">
        <f>'R1'!E30</f>
        <v>0.99991063715707007</v>
      </c>
      <c r="F8" s="38">
        <f>'R1'!F30</f>
        <v>0.65549215908752412</v>
      </c>
      <c r="G8" s="38">
        <f>'R1'!G30</f>
        <v>1.4830115819660368</v>
      </c>
      <c r="H8" s="38">
        <f>'R1'!H30</f>
        <v>1.7009399346297265</v>
      </c>
      <c r="I8" s="38">
        <f>'R1'!I30</f>
        <v>7.1056999953964591E-4</v>
      </c>
      <c r="J8" s="38">
        <f>'R1'!J30</f>
        <v>4.0493824485960554E-2</v>
      </c>
      <c r="K8" s="38">
        <f>'R1'!K30</f>
        <v>0.63471231934488914</v>
      </c>
      <c r="L8" s="38">
        <f>'R1'!L30</f>
        <v>1.1003176442871418</v>
      </c>
      <c r="M8" s="38">
        <f>'R1'!M30</f>
        <v>1.3856808230047037</v>
      </c>
      <c r="N8"/>
      <c r="O8" s="38">
        <f>'R1'!O30</f>
        <v>1.1740002870442834</v>
      </c>
      <c r="P8" s="38">
        <f>'R1'!P30</f>
        <v>1.5270062635228998</v>
      </c>
      <c r="Q8" s="38">
        <f>'R1'!Q30</f>
        <v>0</v>
      </c>
      <c r="R8" s="38">
        <f>'R1'!R30</f>
        <v>1.7913642998150461</v>
      </c>
      <c r="S8" s="38">
        <f>'R1'!S30</f>
        <v>1.8795789656115534</v>
      </c>
      <c r="T8" s="38">
        <f>'R1'!T30</f>
        <v>1.566139606424376</v>
      </c>
      <c r="U8" s="38">
        <f>'R1'!U30</f>
        <v>2.1427498300752004</v>
      </c>
      <c r="V8" s="38">
        <f>'R1'!V30</f>
        <v>2.8099663941551283</v>
      </c>
    </row>
    <row r="9" spans="1:22" s="1" customFormat="1" x14ac:dyDescent="0.25">
      <c r="A9" s="154"/>
      <c r="B9" s="38">
        <f>'R1'!B31</f>
        <v>2.8240824737801293E-2</v>
      </c>
      <c r="C9" s="38">
        <f>'R1'!C31</f>
        <v>0</v>
      </c>
      <c r="D9" s="38">
        <f>'R1'!D31</f>
        <v>9.5363693230900048E-2</v>
      </c>
      <c r="E9" s="38">
        <f>'R1'!E31</f>
        <v>0.11258201748803756</v>
      </c>
      <c r="F9" s="38">
        <f>'R1'!F31</f>
        <v>6.9323902394111798E-4</v>
      </c>
      <c r="G9" s="38">
        <f>'R1'!G31</f>
        <v>0.15233061002326143</v>
      </c>
      <c r="H9" s="38">
        <f>'R1'!H31</f>
        <v>2.221831071731283</v>
      </c>
      <c r="I9" s="38">
        <f>'R1'!I31</f>
        <v>2.1923684132137858E-3</v>
      </c>
      <c r="J9" s="38">
        <f>'R1'!J31</f>
        <v>1.297223523549817E-2</v>
      </c>
      <c r="K9" s="38">
        <f>'R1'!K31</f>
        <v>0.85781396822473943</v>
      </c>
      <c r="L9" s="38">
        <f>'R1'!L31</f>
        <v>1.546243646437266</v>
      </c>
      <c r="M9" s="38">
        <f>'R1'!M31</f>
        <v>2.4398634102485639</v>
      </c>
      <c r="N9"/>
      <c r="O9" s="38">
        <f>'R1'!O31</f>
        <v>3.2452251808243585E-2</v>
      </c>
      <c r="P9" s="38">
        <f>'R1'!P31</f>
        <v>1.3073188168359595</v>
      </c>
      <c r="Q9" s="38">
        <f>'R1'!Q31</f>
        <v>7.6368943974913409E-2</v>
      </c>
      <c r="R9" s="38">
        <f>'R1'!R31</f>
        <v>1.1506641284008654</v>
      </c>
      <c r="S9" s="38">
        <f>'R1'!S31</f>
        <v>1.7240334596147648</v>
      </c>
      <c r="T9" s="38">
        <f>'R1'!T31</f>
        <v>1.3431332779103176</v>
      </c>
      <c r="U9" s="38">
        <f>'R1'!U31</f>
        <v>2.5069082893514696</v>
      </c>
      <c r="V9" s="38">
        <f>'R1'!V31</f>
        <v>2.5338319599437829</v>
      </c>
    </row>
    <row r="10" spans="1:22" s="1" customFormat="1" x14ac:dyDescent="0.25">
      <c r="A10" s="154"/>
      <c r="B10" s="38">
        <f>'R1'!B32</f>
        <v>7.6256292633522982E-4</v>
      </c>
      <c r="C10" s="38">
        <f>'R1'!C32</f>
        <v>2.1403754864182016E-3</v>
      </c>
      <c r="D10" s="38">
        <f>'R1'!D32</f>
        <v>0</v>
      </c>
      <c r="E10" s="38">
        <f>'R1'!E32</f>
        <v>7.6914869706267042E-2</v>
      </c>
      <c r="F10" s="38">
        <f>'R1'!F32</f>
        <v>5.0953068259672177E-2</v>
      </c>
      <c r="G10" s="38">
        <f>'R1'!G32</f>
        <v>1.5234360825496032</v>
      </c>
      <c r="H10" s="38">
        <f>'R1'!H32</f>
        <v>2.0762335457280501</v>
      </c>
      <c r="I10" s="38">
        <f>'R1'!I32</f>
        <v>0</v>
      </c>
      <c r="J10" s="38">
        <f>'R1'!J32</f>
        <v>0</v>
      </c>
      <c r="K10" s="38">
        <f>'R1'!K32</f>
        <v>5.6585635329193758E-2</v>
      </c>
      <c r="L10" s="38">
        <f>'R1'!L32</f>
        <v>1.7272830175394889</v>
      </c>
      <c r="M10" s="38">
        <f>'R1'!M32</f>
        <v>2.1276545503288822</v>
      </c>
      <c r="N10"/>
      <c r="O10" s="38">
        <f>'R1'!O32</f>
        <v>1.1517386488879742</v>
      </c>
      <c r="P10" s="38">
        <f>'R1'!P32</f>
        <v>0.62995496654309324</v>
      </c>
      <c r="Q10" s="38">
        <f>'R1'!Q32</f>
        <v>9.540702066989637E-2</v>
      </c>
      <c r="R10" s="38">
        <f>'R1'!R32</f>
        <v>2.2946038382695022</v>
      </c>
      <c r="S10" s="38">
        <f>'R1'!S32</f>
        <v>1.1858026814268809</v>
      </c>
      <c r="T10" s="38">
        <f>'R1'!T32</f>
        <v>2.4098548259997128</v>
      </c>
      <c r="U10" s="38">
        <f>'R1'!U32</f>
        <v>2.2401585784267266</v>
      </c>
      <c r="V10" s="38">
        <f>'R1'!V32</f>
        <v>2.4729915701051501</v>
      </c>
    </row>
    <row r="11" spans="1:22" s="1" customFormat="1" x14ac:dyDescent="0.25">
      <c r="A11" s="154"/>
      <c r="B11" s="38">
        <f>'R1'!B33</f>
        <v>0</v>
      </c>
      <c r="C11" s="38">
        <f>'R1'!C33</f>
        <v>0</v>
      </c>
      <c r="D11" s="38">
        <f>'R1'!D33</f>
        <v>0</v>
      </c>
      <c r="E11" s="38">
        <f>'R1'!E33</f>
        <v>6.9323902394111798E-4</v>
      </c>
      <c r="F11" s="38">
        <f>'R1'!F33</f>
        <v>0.20985211803477569</v>
      </c>
      <c r="G11" s="38">
        <f>'R1'!G33</f>
        <v>1.0175622358041707</v>
      </c>
      <c r="H11" s="38">
        <f>'R1'!H33</f>
        <v>3.0441252054668397</v>
      </c>
      <c r="I11" s="38">
        <f>'R1'!I33</f>
        <v>0</v>
      </c>
      <c r="J11" s="38">
        <f>'R1'!J33</f>
        <v>0</v>
      </c>
      <c r="K11" s="38">
        <f>'R1'!K33</f>
        <v>0.37998163999772533</v>
      </c>
      <c r="L11" s="38">
        <f>'R1'!L33</f>
        <v>1.8544837129448848</v>
      </c>
      <c r="M11" s="38">
        <f>'R1'!M33</f>
        <v>1.6538516739285261</v>
      </c>
      <c r="N11"/>
      <c r="O11" s="38">
        <f>'R1'!O33</f>
        <v>1.7334181829013677</v>
      </c>
      <c r="P11" s="38">
        <f>'R1'!P33</f>
        <v>0.49229502736398567</v>
      </c>
      <c r="Q11" s="38">
        <f>'R1'!Q33</f>
        <v>0</v>
      </c>
      <c r="R11" s="38">
        <f>'R1'!R33</f>
        <v>1.1093557480617742</v>
      </c>
      <c r="S11" s="38">
        <f>'R1'!S33</f>
        <v>2.5463015968869236</v>
      </c>
      <c r="T11" s="38">
        <f>'R1'!T33</f>
        <v>2.8351049742607932</v>
      </c>
      <c r="U11" s="38">
        <f>'R1'!U33</f>
        <v>1.9629062962892756</v>
      </c>
      <c r="V11" s="38">
        <f>'R1'!V33</f>
        <v>2.0026808852878974</v>
      </c>
    </row>
    <row r="12" spans="1:22" s="1" customFormat="1" x14ac:dyDescent="0.25">
      <c r="A12" s="154"/>
      <c r="B12" s="38">
        <f>'R1'!B34</f>
        <v>7.01904511740382E-4</v>
      </c>
      <c r="C12" s="38">
        <f>'R1'!C34</f>
        <v>0</v>
      </c>
      <c r="D12" s="38">
        <f>'R1'!D34</f>
        <v>0</v>
      </c>
      <c r="E12" s="38">
        <f>'R1'!E34</f>
        <v>0</v>
      </c>
      <c r="F12" s="38">
        <f>'R1'!F34</f>
        <v>0</v>
      </c>
      <c r="G12" s="38">
        <f>'R1'!G34</f>
        <v>0.72405349855530066</v>
      </c>
      <c r="H12" s="38">
        <f>'R1'!H34</f>
        <v>2.7679474438164973</v>
      </c>
      <c r="I12" s="38">
        <f>'R1'!I34</f>
        <v>0</v>
      </c>
      <c r="J12" s="38">
        <f>'R1'!J34</f>
        <v>6.1654945691763184E-2</v>
      </c>
      <c r="K12" s="38">
        <f>'R1'!K34</f>
        <v>9.1334241404242306E-3</v>
      </c>
      <c r="L12" s="38">
        <f>'R1'!L34</f>
        <v>1.4107934066469707</v>
      </c>
      <c r="M12" s="38">
        <f>'R1'!M34</f>
        <v>2.903345690679997</v>
      </c>
      <c r="N12"/>
      <c r="O12" s="38">
        <f>'R1'!O34</f>
        <v>1.2855424459964093</v>
      </c>
      <c r="P12" s="38">
        <f>'R1'!P34</f>
        <v>1.2957937180629384</v>
      </c>
      <c r="Q12" s="38">
        <f>'R1'!Q34</f>
        <v>6.9323902394111798E-4</v>
      </c>
      <c r="R12" s="38">
        <f>'R1'!R34</f>
        <v>1.324927088044064</v>
      </c>
      <c r="S12" s="38">
        <f>'R1'!S34</f>
        <v>0.55586504585938623</v>
      </c>
      <c r="T12" s="38">
        <f>'R1'!T34</f>
        <v>1.9846220087142312</v>
      </c>
      <c r="U12" s="38">
        <f>'R1'!U34</f>
        <v>2.2324722907487793</v>
      </c>
      <c r="V12" s="38">
        <f>'R1'!V34</f>
        <v>1.9851852654211832</v>
      </c>
    </row>
    <row r="13" spans="1:22" s="1" customFormat="1" x14ac:dyDescent="0.25">
      <c r="A13" s="154"/>
      <c r="B13" s="38">
        <f>'R1'!B35</f>
        <v>1.90987351095778E-2</v>
      </c>
      <c r="C13" s="38">
        <f>'R1'!C35</f>
        <v>6.7270181785686237E-2</v>
      </c>
      <c r="D13" s="38">
        <f>'R1'!D35</f>
        <v>1.4384709746778199E-3</v>
      </c>
      <c r="E13" s="38">
        <f>'R1'!E35</f>
        <v>0</v>
      </c>
      <c r="F13" s="38">
        <f>'R1'!F35</f>
        <v>7.6966862633062627E-2</v>
      </c>
      <c r="G13" s="38">
        <f>'R1'!G35</f>
        <v>8.1923521654241618E-2</v>
      </c>
      <c r="H13" s="38">
        <f>'R1'!H35</f>
        <v>2.0973600049826553</v>
      </c>
      <c r="I13" s="38">
        <f>'R1'!I35</f>
        <v>0</v>
      </c>
      <c r="J13" s="38">
        <f>'R1'!J35</f>
        <v>0</v>
      </c>
      <c r="K13" s="38">
        <f>'R1'!K35</f>
        <v>7.2790097513817395E-4</v>
      </c>
      <c r="L13" s="38">
        <f>'R1'!L35</f>
        <v>1.605957522861994</v>
      </c>
      <c r="M13" s="38">
        <f>'R1'!M35</f>
        <v>3.0516555143644002</v>
      </c>
      <c r="N13"/>
      <c r="O13" s="38">
        <f>'R1'!O35</f>
        <v>0.13162875967081977</v>
      </c>
      <c r="P13" s="38">
        <f>'R1'!P35</f>
        <v>1.3074228026895507</v>
      </c>
      <c r="Q13" s="38">
        <f>'R1'!Q35</f>
        <v>1.4644674380756117E-3</v>
      </c>
      <c r="R13" s="38">
        <f>'R1'!R35</f>
        <v>1.73880811631251</v>
      </c>
      <c r="S13" s="38">
        <f>'R1'!S35</f>
        <v>1.9344488343564927</v>
      </c>
      <c r="T13" s="38">
        <f>'R1'!T35</f>
        <v>2.5044212943530808</v>
      </c>
      <c r="U13" s="38">
        <f>'R1'!U35</f>
        <v>3.4023304746250145</v>
      </c>
      <c r="V13" s="38">
        <f>'R1'!V35</f>
        <v>3.5782312114622741</v>
      </c>
    </row>
    <row r="14" spans="1:22" s="1" customFormat="1" x14ac:dyDescent="0.25">
      <c r="A14" s="154"/>
      <c r="B14" s="38" t="str">
        <f>'R1'!B36</f>
        <v/>
      </c>
      <c r="C14" s="38" t="str">
        <f>'R1'!C36</f>
        <v/>
      </c>
      <c r="D14" s="38" t="str">
        <f>'R1'!D36</f>
        <v/>
      </c>
      <c r="E14" s="38" t="str">
        <f>'R1'!E36</f>
        <v/>
      </c>
      <c r="F14" s="38" t="str">
        <f>'R1'!F36</f>
        <v/>
      </c>
      <c r="G14" s="38" t="str">
        <f>'R1'!G36</f>
        <v/>
      </c>
      <c r="H14" s="38" t="str">
        <f>'R1'!H36</f>
        <v/>
      </c>
      <c r="I14" s="38" t="str">
        <f>'R1'!I36</f>
        <v/>
      </c>
      <c r="J14" s="38" t="str">
        <f>'R1'!J36</f>
        <v/>
      </c>
      <c r="K14" s="38" t="str">
        <f>'R1'!K36</f>
        <v/>
      </c>
      <c r="L14" s="38" t="str">
        <f>'R1'!L36</f>
        <v/>
      </c>
      <c r="M14" s="38" t="str">
        <f>'R1'!M36</f>
        <v/>
      </c>
      <c r="N14"/>
      <c r="O14" s="38">
        <f>'R1'!O36</f>
        <v>1.8999688584032215</v>
      </c>
      <c r="P14" s="38">
        <f>'R1'!P36</f>
        <v>2.1513286629964714</v>
      </c>
      <c r="Q14" s="38" t="str">
        <f>'R1'!Q36</f>
        <v/>
      </c>
      <c r="R14" s="38" t="str">
        <f>'R1'!R36</f>
        <v/>
      </c>
      <c r="S14" s="38" t="str">
        <f>'R1'!S36</f>
        <v/>
      </c>
      <c r="T14" s="38" t="str">
        <f>'R1'!T36</f>
        <v/>
      </c>
      <c r="U14" s="38" t="str">
        <f>'R1'!U36</f>
        <v/>
      </c>
      <c r="V14" s="38" t="str">
        <f>'R1'!V36</f>
        <v/>
      </c>
    </row>
    <row r="15" spans="1:22" s="1" customFormat="1" x14ac:dyDescent="0.25">
      <c r="A15" s="154"/>
      <c r="B15" s="38" t="str">
        <f>'R1'!B37</f>
        <v/>
      </c>
      <c r="C15" s="38" t="str">
        <f>'R1'!C37</f>
        <v/>
      </c>
      <c r="D15" s="38" t="str">
        <f>'R1'!D37</f>
        <v/>
      </c>
      <c r="E15" s="38" t="str">
        <f>'R1'!E37</f>
        <v/>
      </c>
      <c r="F15" s="38" t="str">
        <f>'R1'!F37</f>
        <v/>
      </c>
      <c r="G15" s="38" t="str">
        <f>'R1'!G37</f>
        <v/>
      </c>
      <c r="H15" s="38" t="str">
        <f>'R1'!H37</f>
        <v/>
      </c>
      <c r="I15" s="38" t="str">
        <f>'R1'!I37</f>
        <v/>
      </c>
      <c r="J15" s="38" t="str">
        <f>'R1'!J37</f>
        <v/>
      </c>
      <c r="K15" s="38" t="str">
        <f>'R1'!K37</f>
        <v/>
      </c>
      <c r="L15" s="38" t="str">
        <f>'R1'!L37</f>
        <v/>
      </c>
      <c r="M15" s="38" t="str">
        <f>'R1'!M37</f>
        <v/>
      </c>
      <c r="N15"/>
      <c r="O15" s="38">
        <f>'R1'!O37</f>
        <v>3.8050156926568116E-2</v>
      </c>
      <c r="P15" s="38" t="str">
        <f>'R1'!P37</f>
        <v/>
      </c>
      <c r="Q15" s="38" t="str">
        <f>'R1'!Q37</f>
        <v/>
      </c>
      <c r="R15" s="38" t="str">
        <f>'R1'!R37</f>
        <v/>
      </c>
      <c r="S15" s="38" t="str">
        <f>'R1'!S37</f>
        <v/>
      </c>
      <c r="T15" s="38" t="str">
        <f>'R1'!T37</f>
        <v/>
      </c>
      <c r="U15" s="38" t="str">
        <f>'R1'!U37</f>
        <v/>
      </c>
      <c r="V15" s="38" t="str">
        <f>'R1'!V37</f>
        <v/>
      </c>
    </row>
    <row r="16" spans="1:22" s="1" customFormat="1" x14ac:dyDescent="0.25">
      <c r="A16" s="154"/>
      <c r="B16" s="38" t="str">
        <f>'R1'!B38</f>
        <v/>
      </c>
      <c r="C16" s="38" t="str">
        <f>'R1'!C38</f>
        <v/>
      </c>
      <c r="D16" s="38" t="str">
        <f>'R1'!D38</f>
        <v/>
      </c>
      <c r="E16" s="38" t="str">
        <f>'R1'!E38</f>
        <v/>
      </c>
      <c r="F16" s="38" t="str">
        <f>'R1'!F38</f>
        <v/>
      </c>
      <c r="G16" s="38" t="str">
        <f>'R1'!G38</f>
        <v/>
      </c>
      <c r="H16" s="38" t="str">
        <f>'R1'!H38</f>
        <v/>
      </c>
      <c r="I16" s="38" t="str">
        <f>'R1'!I38</f>
        <v/>
      </c>
      <c r="J16" s="38" t="str">
        <f>'R1'!J38</f>
        <v/>
      </c>
      <c r="K16" s="38" t="str">
        <f>'R1'!K38</f>
        <v/>
      </c>
      <c r="L16" s="38" t="str">
        <f>'R1'!L38</f>
        <v/>
      </c>
      <c r="M16" s="38" t="str">
        <f>'R1'!M38</f>
        <v/>
      </c>
      <c r="N16"/>
      <c r="O16" s="38">
        <f>'R1'!O38</f>
        <v>1.537578158638002</v>
      </c>
      <c r="P16" s="38" t="str">
        <f>'R1'!P38</f>
        <v/>
      </c>
      <c r="Q16" s="38" t="str">
        <f>'R1'!Q38</f>
        <v/>
      </c>
      <c r="R16" s="38" t="str">
        <f>'R1'!R38</f>
        <v/>
      </c>
      <c r="S16" s="38" t="str">
        <f>'R1'!S38</f>
        <v/>
      </c>
      <c r="T16" s="38" t="str">
        <f>'R1'!T38</f>
        <v/>
      </c>
      <c r="U16" s="38" t="str">
        <f>'R1'!U38</f>
        <v/>
      </c>
      <c r="V16" s="38" t="str">
        <f>'R1'!V38</f>
        <v/>
      </c>
    </row>
    <row r="17" spans="1:22" s="1" customFormat="1" x14ac:dyDescent="0.25">
      <c r="A17" s="154"/>
      <c r="B17" s="38" t="str">
        <f>'R1'!B39</f>
        <v/>
      </c>
      <c r="C17" s="38" t="str">
        <f>'R1'!C39</f>
        <v/>
      </c>
      <c r="D17" s="38" t="str">
        <f>'R1'!D39</f>
        <v/>
      </c>
      <c r="E17" s="38" t="str">
        <f>'R1'!E39</f>
        <v/>
      </c>
      <c r="F17" s="38" t="str">
        <f>'R1'!F39</f>
        <v/>
      </c>
      <c r="G17" s="38" t="str">
        <f>'R1'!G39</f>
        <v/>
      </c>
      <c r="H17" s="38" t="str">
        <f>'R1'!H39</f>
        <v/>
      </c>
      <c r="I17" s="38" t="str">
        <f>'R1'!I39</f>
        <v/>
      </c>
      <c r="J17" s="38" t="str">
        <f>'R1'!J39</f>
        <v/>
      </c>
      <c r="K17" s="38" t="str">
        <f>'R1'!K39</f>
        <v/>
      </c>
      <c r="L17" s="38" t="str">
        <f>'R1'!L39</f>
        <v/>
      </c>
      <c r="M17" s="38" t="str">
        <f>'R1'!M39</f>
        <v/>
      </c>
      <c r="N17"/>
      <c r="O17" s="38">
        <f>'R1'!O39</f>
        <v>0.59024970144686562</v>
      </c>
      <c r="P17" s="38" t="str">
        <f>'R1'!P39</f>
        <v/>
      </c>
      <c r="Q17" s="38" t="str">
        <f>'R1'!Q39</f>
        <v/>
      </c>
      <c r="R17" s="38" t="str">
        <f>'R1'!R39</f>
        <v/>
      </c>
      <c r="S17" s="38" t="str">
        <f>'R1'!S39</f>
        <v/>
      </c>
      <c r="T17" s="38" t="str">
        <f>'R1'!T39</f>
        <v/>
      </c>
      <c r="U17" s="38" t="str">
        <f>'R1'!U39</f>
        <v/>
      </c>
      <c r="V17" s="38" t="str">
        <f>'R1'!V39</f>
        <v/>
      </c>
    </row>
    <row r="18" spans="1:22" s="1" customFormat="1" x14ac:dyDescent="0.25">
      <c r="A18" s="154"/>
      <c r="B18" s="38" t="str">
        <f>'R1'!B40</f>
        <v/>
      </c>
      <c r="C18" s="38" t="str">
        <f>'R1'!C40</f>
        <v/>
      </c>
      <c r="D18" s="38" t="str">
        <f>'R1'!D40</f>
        <v/>
      </c>
      <c r="E18" s="38" t="str">
        <f>'R1'!E40</f>
        <v/>
      </c>
      <c r="F18" s="38" t="str">
        <f>'R1'!F40</f>
        <v/>
      </c>
      <c r="G18" s="38" t="str">
        <f>'R1'!G40</f>
        <v/>
      </c>
      <c r="H18" s="38" t="str">
        <f>'R1'!H40</f>
        <v/>
      </c>
      <c r="I18" s="38" t="str">
        <f>'R1'!I40</f>
        <v/>
      </c>
      <c r="J18" s="38" t="str">
        <f>'R1'!J40</f>
        <v/>
      </c>
      <c r="K18" s="38" t="str">
        <f>'R1'!K40</f>
        <v/>
      </c>
      <c r="L18" s="38" t="str">
        <f>'R1'!L40</f>
        <v/>
      </c>
      <c r="M18" s="38" t="str">
        <f>'R1'!M40</f>
        <v/>
      </c>
      <c r="N18"/>
      <c r="O18" s="38">
        <f>'R1'!O40</f>
        <v>1.4799699957484951</v>
      </c>
      <c r="P18" s="38" t="str">
        <f>'R1'!P40</f>
        <v/>
      </c>
      <c r="Q18" s="38" t="str">
        <f>'R1'!Q40</f>
        <v/>
      </c>
      <c r="R18" s="38" t="str">
        <f>'R1'!R40</f>
        <v/>
      </c>
      <c r="S18" s="38" t="str">
        <f>'R1'!S40</f>
        <v/>
      </c>
      <c r="T18" s="38" t="str">
        <f>'R1'!T40</f>
        <v/>
      </c>
      <c r="U18" s="38" t="str">
        <f>'R1'!U40</f>
        <v/>
      </c>
      <c r="V18" s="38" t="str">
        <f>'R1'!V40</f>
        <v/>
      </c>
    </row>
    <row r="19" spans="1:22" s="1" customFormat="1" x14ac:dyDescent="0.25">
      <c r="A19" s="154"/>
      <c r="B19" s="38" t="str">
        <f>'R1'!B41</f>
        <v/>
      </c>
      <c r="C19" s="38" t="str">
        <f>'R1'!C41</f>
        <v/>
      </c>
      <c r="D19" s="38" t="str">
        <f>'R1'!D41</f>
        <v/>
      </c>
      <c r="E19" s="38" t="str">
        <f>'R1'!E41</f>
        <v/>
      </c>
      <c r="F19" s="38" t="str">
        <f>'R1'!F41</f>
        <v/>
      </c>
      <c r="G19" s="38" t="str">
        <f>'R1'!G41</f>
        <v/>
      </c>
      <c r="H19" s="38" t="str">
        <f>'R1'!H41</f>
        <v/>
      </c>
      <c r="I19" s="38" t="str">
        <f>'R1'!I41</f>
        <v/>
      </c>
      <c r="J19" s="38" t="str">
        <f>'R1'!J41</f>
        <v/>
      </c>
      <c r="K19" s="38" t="str">
        <f>'R1'!K41</f>
        <v/>
      </c>
      <c r="L19" s="38" t="str">
        <f>'R1'!L41</f>
        <v/>
      </c>
      <c r="M19" s="38" t="str">
        <f>'R1'!M41</f>
        <v/>
      </c>
      <c r="N19"/>
      <c r="O19" s="38">
        <f>'R1'!O41</f>
        <v>1.2928214557477911</v>
      </c>
      <c r="P19" s="38" t="str">
        <f>'R1'!P41</f>
        <v/>
      </c>
      <c r="Q19" s="38" t="str">
        <f>'R1'!Q41</f>
        <v/>
      </c>
      <c r="R19" s="38" t="str">
        <f>'R1'!R41</f>
        <v/>
      </c>
      <c r="S19" s="38" t="str">
        <f>'R1'!S41</f>
        <v/>
      </c>
      <c r="T19" s="38" t="str">
        <f>'R1'!T41</f>
        <v/>
      </c>
      <c r="U19" s="38" t="str">
        <f>'R1'!U41</f>
        <v/>
      </c>
      <c r="V19" s="38" t="str">
        <f>'R1'!V41</f>
        <v/>
      </c>
    </row>
    <row r="20" spans="1:22" s="1" customFormat="1" x14ac:dyDescent="0.25">
      <c r="A20" s="154"/>
      <c r="B20" s="38" t="str">
        <f>'R1'!B42</f>
        <v/>
      </c>
      <c r="C20" s="38" t="str">
        <f>'R1'!C42</f>
        <v/>
      </c>
      <c r="D20" s="38" t="str">
        <f>'R1'!D42</f>
        <v/>
      </c>
      <c r="E20" s="38" t="str">
        <f>'R1'!E42</f>
        <v/>
      </c>
      <c r="F20" s="38" t="str">
        <f>'R1'!F42</f>
        <v/>
      </c>
      <c r="G20" s="38" t="str">
        <f>'R1'!G42</f>
        <v/>
      </c>
      <c r="H20" s="38" t="str">
        <f>'R1'!H42</f>
        <v/>
      </c>
      <c r="I20" s="38" t="str">
        <f>'R1'!I42</f>
        <v/>
      </c>
      <c r="J20" s="38" t="str">
        <f>'R1'!J42</f>
        <v/>
      </c>
      <c r="K20" s="38" t="str">
        <f>'R1'!K42</f>
        <v/>
      </c>
      <c r="L20" s="38" t="str">
        <f>'R1'!L42</f>
        <v/>
      </c>
      <c r="M20" s="38" t="str">
        <f>'R1'!M42</f>
        <v/>
      </c>
      <c r="N20"/>
      <c r="O20" s="38">
        <f>'R1'!O42</f>
        <v>0.75647975390014655</v>
      </c>
      <c r="P20" s="38" t="str">
        <f>'R1'!P42</f>
        <v/>
      </c>
      <c r="Q20" s="38" t="str">
        <f>'R1'!Q42</f>
        <v/>
      </c>
      <c r="R20" s="38" t="str">
        <f>'R1'!R42</f>
        <v/>
      </c>
      <c r="S20" s="38" t="str">
        <f>'R1'!S42</f>
        <v/>
      </c>
      <c r="T20" s="38" t="str">
        <f>'R1'!T42</f>
        <v/>
      </c>
      <c r="U20" s="38" t="str">
        <f>'R1'!U42</f>
        <v/>
      </c>
      <c r="V20" s="38" t="str">
        <f>'R1'!V42</f>
        <v/>
      </c>
    </row>
    <row r="21" spans="1:22" s="1" customFormat="1" x14ac:dyDescent="0.25">
      <c r="A21" s="155"/>
      <c r="B21" s="38" t="str">
        <f>'R1'!B43</f>
        <v/>
      </c>
      <c r="C21" s="38" t="str">
        <f>'R1'!C43</f>
        <v/>
      </c>
      <c r="D21" s="38" t="str">
        <f>'R1'!D43</f>
        <v/>
      </c>
      <c r="E21" s="38" t="str">
        <f>'R1'!E43</f>
        <v/>
      </c>
      <c r="F21" s="38" t="str">
        <f>'R1'!F43</f>
        <v/>
      </c>
      <c r="G21" s="38" t="str">
        <f>'R1'!G43</f>
        <v/>
      </c>
      <c r="H21" s="38" t="str">
        <f>'R1'!H43</f>
        <v/>
      </c>
      <c r="I21" s="38" t="str">
        <f>'R1'!I43</f>
        <v/>
      </c>
      <c r="J21" s="38" t="str">
        <f>'R1'!J43</f>
        <v/>
      </c>
      <c r="K21" s="38" t="str">
        <f>'R1'!K43</f>
        <v/>
      </c>
      <c r="L21" s="38" t="str">
        <f>'R1'!L43</f>
        <v/>
      </c>
      <c r="M21" s="38" t="str">
        <f>'R1'!M43</f>
        <v/>
      </c>
      <c r="N21"/>
      <c r="O21" s="38">
        <f>'R1'!O43</f>
        <v>1.4924309672038367</v>
      </c>
      <c r="P21" s="38" t="str">
        <f>'R1'!P43</f>
        <v/>
      </c>
      <c r="Q21" s="38" t="str">
        <f>'R1'!Q43</f>
        <v/>
      </c>
      <c r="R21" s="38" t="str">
        <f>'R1'!R43</f>
        <v/>
      </c>
      <c r="S21" s="38" t="str">
        <f>'R1'!S43</f>
        <v/>
      </c>
      <c r="T21" s="38" t="str">
        <f>'R1'!T43</f>
        <v/>
      </c>
      <c r="U21" s="38" t="str">
        <f>'R1'!U43</f>
        <v/>
      </c>
      <c r="V21" s="38" t="str">
        <f>'R1'!V43</f>
        <v/>
      </c>
    </row>
    <row r="22" spans="1:22" x14ac:dyDescent="0.25">
      <c r="A22" s="24" t="s">
        <v>5</v>
      </c>
      <c r="B22" s="39">
        <f>'R2'!B28</f>
        <v>0</v>
      </c>
      <c r="C22" s="39">
        <f>'R2'!C28</f>
        <v>0</v>
      </c>
      <c r="D22" s="39">
        <f>'R2'!D28</f>
        <v>0</v>
      </c>
      <c r="E22" s="39">
        <f>'R2'!E28</f>
        <v>0</v>
      </c>
      <c r="F22" s="39">
        <f>'R2'!F28</f>
        <v>6.8728557440903195E-3</v>
      </c>
      <c r="G22" s="39">
        <f>'R2'!G28</f>
        <v>1.3520239324114705</v>
      </c>
      <c r="H22" s="39">
        <f>'R2'!H28</f>
        <v>1.2824781507441592</v>
      </c>
      <c r="I22" s="39">
        <f>'R2'!I28</f>
        <v>0</v>
      </c>
      <c r="J22" s="39">
        <f>'R2'!J28</f>
        <v>0</v>
      </c>
      <c r="K22" s="39">
        <f>'R2'!K28</f>
        <v>2.7319805888815621E-2</v>
      </c>
      <c r="L22" s="39">
        <f>'R2'!L28</f>
        <v>0.20834314428042641</v>
      </c>
      <c r="M22" s="39">
        <f>'R2'!M28</f>
        <v>2.6618545780135014</v>
      </c>
      <c r="O22" s="39">
        <f>'R2'!O28</f>
        <v>0</v>
      </c>
      <c r="P22" s="39">
        <f>'R2'!P28</f>
        <v>1.8817650204535901</v>
      </c>
      <c r="Q22" s="39">
        <f>'R2'!Q28</f>
        <v>0</v>
      </c>
      <c r="R22" s="39">
        <f>'R2'!R28</f>
        <v>1.3253905948728373</v>
      </c>
      <c r="S22" s="39">
        <f>'R2'!S28</f>
        <v>1.1092593037147438</v>
      </c>
      <c r="T22" s="39">
        <f>'R2'!T28</f>
        <v>0.6484429069278651</v>
      </c>
      <c r="U22" s="39">
        <f>'R2'!U28</f>
        <v>2.2622564480268377</v>
      </c>
      <c r="V22" s="39">
        <f>'R2'!V28</f>
        <v>2.4071993368225404</v>
      </c>
    </row>
    <row r="23" spans="1:22" x14ac:dyDescent="0.25">
      <c r="A23" s="153" t="s">
        <v>17</v>
      </c>
      <c r="B23" s="39">
        <f>'R2'!B29</f>
        <v>3.3751360550645683E-3</v>
      </c>
      <c r="C23" s="39">
        <f>'R2'!C29</f>
        <v>3.2852413901597009E-3</v>
      </c>
      <c r="D23" s="39">
        <f>'R2'!D29</f>
        <v>0</v>
      </c>
      <c r="E23" s="39">
        <f>'R2'!E29</f>
        <v>0</v>
      </c>
      <c r="F23" s="39">
        <f>'R2'!F29</f>
        <v>1.0466272390028435</v>
      </c>
      <c r="G23" s="39">
        <f>'R2'!G29</f>
        <v>2.1762027369860872</v>
      </c>
      <c r="H23" s="39">
        <f>'R2'!H29</f>
        <v>2.3434721916472534</v>
      </c>
      <c r="I23" s="39">
        <f>'R2'!I29</f>
        <v>0</v>
      </c>
      <c r="J23" s="39">
        <f>'R2'!J29</f>
        <v>0</v>
      </c>
      <c r="K23" s="39">
        <f>'R2'!K29</f>
        <v>0.32417650613148014</v>
      </c>
      <c r="L23" s="39">
        <f>'R2'!L29</f>
        <v>1.772935270222852</v>
      </c>
      <c r="M23" s="39">
        <f>'R2'!M29</f>
        <v>1.5557824487817484</v>
      </c>
      <c r="O23" s="39">
        <f>'R2'!O29</f>
        <v>0.90420140082447709</v>
      </c>
      <c r="P23" s="39">
        <f>'R2'!P29</f>
        <v>2.05543334080753</v>
      </c>
      <c r="Q23" s="39">
        <f>'R2'!Q29</f>
        <v>0</v>
      </c>
      <c r="R23" s="39">
        <f>'R2'!R29</f>
        <v>1.6733646704773151</v>
      </c>
      <c r="S23" s="39">
        <f>'R2'!S29</f>
        <v>5.0095845078803401E-2</v>
      </c>
      <c r="T23" s="39">
        <f>'R2'!T29</f>
        <v>1.0374252942134907</v>
      </c>
      <c r="U23" s="39">
        <f>'R2'!U29</f>
        <v>1.8732740607412122</v>
      </c>
      <c r="V23" s="39">
        <f>'R2'!V29</f>
        <v>2.4693247225140675</v>
      </c>
    </row>
    <row r="24" spans="1:22" x14ac:dyDescent="0.25">
      <c r="A24" s="154"/>
      <c r="B24" s="39">
        <f>'R2'!B30</f>
        <v>0</v>
      </c>
      <c r="C24" s="39">
        <f>'R2'!C30</f>
        <v>6.7012386565446641E-4</v>
      </c>
      <c r="D24" s="39">
        <f>'R2'!D30</f>
        <v>0</v>
      </c>
      <c r="E24" s="39">
        <f>'R2'!E30</f>
        <v>2.6314620090333923E-3</v>
      </c>
      <c r="F24" s="39">
        <f>'R2'!F30</f>
        <v>0.52108668348446019</v>
      </c>
      <c r="G24" s="39">
        <f>'R2'!G30</f>
        <v>1.961444382528359</v>
      </c>
      <c r="H24" s="39">
        <f>'R2'!H30</f>
        <v>2.1264174371133189</v>
      </c>
      <c r="I24" s="39">
        <f>'R2'!I30</f>
        <v>5.3364741984434942E-3</v>
      </c>
      <c r="J24" s="39">
        <f>'R2'!J30</f>
        <v>0.16425389726572096</v>
      </c>
      <c r="K24" s="39">
        <f>'R2'!K30</f>
        <v>7.2487788882379467E-3</v>
      </c>
      <c r="L24" s="39">
        <f>'R2'!L30</f>
        <v>1.2127198907779821</v>
      </c>
      <c r="M24" s="39">
        <f>'R2'!M30</f>
        <v>2.0974059770758391</v>
      </c>
      <c r="O24" s="39">
        <f>'R2'!O30</f>
        <v>0.17380724847242915</v>
      </c>
      <c r="P24" s="39">
        <f>'R2'!P30</f>
        <v>2.0845919012057634</v>
      </c>
      <c r="Q24" s="39">
        <f>'R2'!Q30</f>
        <v>0</v>
      </c>
      <c r="R24" s="39">
        <f>'R2'!R30</f>
        <v>0.15649026711484607</v>
      </c>
      <c r="S24" s="39">
        <f>'R2'!S30</f>
        <v>1.352595989369956</v>
      </c>
      <c r="T24" s="39">
        <f>'R2'!T30</f>
        <v>1.1329751507651007</v>
      </c>
      <c r="U24" s="39">
        <f>'R2'!U30</f>
        <v>2.0407968549125646</v>
      </c>
      <c r="V24" s="39">
        <f>'R2'!V30</f>
        <v>2.3194294549063335</v>
      </c>
    </row>
    <row r="25" spans="1:22" x14ac:dyDescent="0.25">
      <c r="A25" s="154"/>
      <c r="B25" s="39">
        <f>'R2'!B31</f>
        <v>0</v>
      </c>
      <c r="C25" s="39">
        <f>'R2'!C31</f>
        <v>0</v>
      </c>
      <c r="D25" s="39">
        <f>'R2'!D31</f>
        <v>9.2403543279939646E-2</v>
      </c>
      <c r="E25" s="39">
        <f>'R2'!E31</f>
        <v>0</v>
      </c>
      <c r="F25" s="39">
        <f>'R2'!F31</f>
        <v>0</v>
      </c>
      <c r="G25" s="39">
        <f>'R2'!G31</f>
        <v>1.8156188915681357</v>
      </c>
      <c r="H25" s="39">
        <f>'R2'!H31</f>
        <v>1.5827263315264166</v>
      </c>
      <c r="I25" s="39">
        <f>'R2'!I31</f>
        <v>0</v>
      </c>
      <c r="J25" s="39">
        <f>'R2'!J31</f>
        <v>2.1394930247358449E-2</v>
      </c>
      <c r="K25" s="39">
        <f>'R2'!K31</f>
        <v>0</v>
      </c>
      <c r="L25" s="39">
        <f>'R2'!L31</f>
        <v>1.1289952687824942</v>
      </c>
      <c r="M25" s="39">
        <f>'R2'!M31</f>
        <v>2.4374366331996322</v>
      </c>
      <c r="O25" s="39">
        <f>'R2'!O31</f>
        <v>0.79770073963900145</v>
      </c>
      <c r="P25" s="39">
        <f>'R2'!P31</f>
        <v>1.410014163517374</v>
      </c>
      <c r="Q25" s="39">
        <f>'R2'!Q31</f>
        <v>3.5483875910630402E-2</v>
      </c>
      <c r="R25" s="39">
        <f>'R2'!R31</f>
        <v>1.6702020127211166</v>
      </c>
      <c r="S25" s="39">
        <f>'R2'!S31</f>
        <v>0.27283848022853674</v>
      </c>
      <c r="T25" s="39">
        <f>'R2'!T31</f>
        <v>1.1768846084499964</v>
      </c>
      <c r="U25" s="39">
        <f>'R2'!U31</f>
        <v>1.5914379417799245</v>
      </c>
      <c r="V25" s="39">
        <f>'R2'!V31</f>
        <v>2.2334656385304879</v>
      </c>
    </row>
    <row r="26" spans="1:22" x14ac:dyDescent="0.25">
      <c r="A26" s="154"/>
      <c r="B26" s="39">
        <f>'R2'!B32</f>
        <v>0</v>
      </c>
      <c r="C26" s="39">
        <f>'R2'!C32</f>
        <v>6.6195162339038752E-4</v>
      </c>
      <c r="D26" s="39">
        <f>'R2'!D32</f>
        <v>0</v>
      </c>
      <c r="E26" s="39">
        <f>'R2'!E32</f>
        <v>2.0839217773401088E-3</v>
      </c>
      <c r="F26" s="39">
        <f>'R2'!F32</f>
        <v>1.494171914352858</v>
      </c>
      <c r="G26" s="39">
        <f>'R2'!G32</f>
        <v>0.94843774819993598</v>
      </c>
      <c r="H26" s="39">
        <f>'R2'!H32</f>
        <v>2.7853535031082615</v>
      </c>
      <c r="I26" s="39">
        <f>'R2'!I32</f>
        <v>2.5570946044302746E-2</v>
      </c>
      <c r="J26" s="39">
        <f>'R2'!J32</f>
        <v>1.83221671560648E-2</v>
      </c>
      <c r="K26" s="39">
        <f>'R2'!K32</f>
        <v>0.17428123852374572</v>
      </c>
      <c r="L26" s="39">
        <f>'R2'!L32</f>
        <v>1.2617206553933991</v>
      </c>
      <c r="M26" s="39">
        <f>'R2'!M32</f>
        <v>2.820886412472476</v>
      </c>
      <c r="O26" s="39">
        <f>'R2'!O32</f>
        <v>1.9493984974311067</v>
      </c>
      <c r="P26" s="39">
        <f>'R2'!P32</f>
        <v>1.5903101723474817</v>
      </c>
      <c r="Q26" s="39">
        <f>'R2'!Q32</f>
        <v>0</v>
      </c>
      <c r="R26" s="39">
        <f>'R2'!R32</f>
        <v>1.269394390879369</v>
      </c>
      <c r="S26" s="39">
        <f>'R2'!S32</f>
        <v>1.3458048560485063</v>
      </c>
      <c r="T26" s="39">
        <f>'R2'!T32</f>
        <v>1.4291453826575826</v>
      </c>
      <c r="U26" s="39">
        <f>'R2'!U32</f>
        <v>3.8180715857776423E-2</v>
      </c>
      <c r="V26" s="39">
        <f>'R2'!V32</f>
        <v>2.3951534517252879</v>
      </c>
    </row>
    <row r="27" spans="1:22" x14ac:dyDescent="0.25">
      <c r="A27" s="154"/>
      <c r="B27" s="39">
        <f>'R2'!B33</f>
        <v>3.6055932869115924E-2</v>
      </c>
      <c r="C27" s="39">
        <f>'R2'!C33</f>
        <v>0</v>
      </c>
      <c r="D27" s="39">
        <f>'R2'!D33</f>
        <v>0</v>
      </c>
      <c r="E27" s="39">
        <f>'R2'!E33</f>
        <v>2.0376096804295738</v>
      </c>
      <c r="F27" s="39">
        <f>'R2'!F33</f>
        <v>0.58427446067031796</v>
      </c>
      <c r="G27" s="39">
        <f>'R2'!G33</f>
        <v>1.097474930369942</v>
      </c>
      <c r="H27" s="39">
        <f>'R2'!H33</f>
        <v>1.6752524584403174</v>
      </c>
      <c r="I27" s="39">
        <f>'R2'!I33</f>
        <v>0</v>
      </c>
      <c r="J27" s="39">
        <f>'R2'!J33</f>
        <v>1.0771015304055935E-2</v>
      </c>
      <c r="K27" s="39">
        <f>'R2'!K33</f>
        <v>0</v>
      </c>
      <c r="L27" s="39">
        <f>'R2'!L33</f>
        <v>1.1092102702611593</v>
      </c>
      <c r="M27" s="39">
        <f>'R2'!M33</f>
        <v>1.8768943640641991</v>
      </c>
      <c r="O27" s="39">
        <f>'R2'!O33</f>
        <v>1.1130512241252764</v>
      </c>
      <c r="P27" s="39">
        <f>'R2'!P33</f>
        <v>1.6879276061919037</v>
      </c>
      <c r="Q27" s="39">
        <f>'R2'!Q33</f>
        <v>6.6930664142805848E-3</v>
      </c>
      <c r="R27" s="39">
        <f>'R2'!R33</f>
        <v>0.2870418372835058</v>
      </c>
      <c r="S27" s="39">
        <f>'R2'!S33</f>
        <v>1.3007676289311678</v>
      </c>
      <c r="T27" s="39">
        <f>'R2'!T33</f>
        <v>2.6478391825306065</v>
      </c>
      <c r="U27" s="39">
        <f>'R2'!U33</f>
        <v>1.631065144518443</v>
      </c>
      <c r="V27" s="39">
        <f>'R2'!V33</f>
        <v>2.4854158675320388</v>
      </c>
    </row>
    <row r="28" spans="1:22" x14ac:dyDescent="0.25">
      <c r="A28" s="154"/>
      <c r="B28" s="39">
        <f>'R2'!B34</f>
        <v>0</v>
      </c>
      <c r="C28" s="39">
        <f>'R2'!C34</f>
        <v>0</v>
      </c>
      <c r="D28" s="39">
        <f>'R2'!D34</f>
        <v>4.7693205853164215E-2</v>
      </c>
      <c r="E28" s="39">
        <f>'R2'!E34</f>
        <v>6.5377938112630863E-4</v>
      </c>
      <c r="F28" s="39">
        <f>'R2'!F34</f>
        <v>3.2419285061600828E-2</v>
      </c>
      <c r="G28" s="39">
        <f>'R2'!G34</f>
        <v>1.7892307212974252</v>
      </c>
      <c r="H28" s="39">
        <f>'R2'!H34</f>
        <v>2.2606546885430783</v>
      </c>
      <c r="I28" s="39">
        <f>'R2'!I34</f>
        <v>0</v>
      </c>
      <c r="J28" s="39">
        <f>'R2'!J34</f>
        <v>2.7426045038248647E-2</v>
      </c>
      <c r="K28" s="39">
        <f>'R2'!K34</f>
        <v>0</v>
      </c>
      <c r="L28" s="39">
        <f>'R2'!L34</f>
        <v>1.1492215683860894</v>
      </c>
      <c r="M28" s="39">
        <f>'R2'!M34</f>
        <v>2.0402002812272868</v>
      </c>
      <c r="O28" s="39">
        <f>'R2'!O34</f>
        <v>1.2635757543873449</v>
      </c>
      <c r="P28" s="39">
        <f>'R2'!P34</f>
        <v>1.0155400294302874</v>
      </c>
      <c r="Q28" s="39">
        <f>'R2'!Q34</f>
        <v>0</v>
      </c>
      <c r="R28" s="39">
        <f>'R2'!R34</f>
        <v>1.7437848820668826</v>
      </c>
      <c r="S28" s="39">
        <f>'R2'!S34</f>
        <v>1.5988011320598596</v>
      </c>
      <c r="T28" s="39">
        <f>'R2'!T34</f>
        <v>0.52827008443458556</v>
      </c>
      <c r="U28" s="39">
        <f>'R2'!U34</f>
        <v>0.88377079516427992</v>
      </c>
      <c r="V28" s="39">
        <f>'R2'!V34</f>
        <v>1.897823476502505</v>
      </c>
    </row>
    <row r="29" spans="1:22" x14ac:dyDescent="0.25">
      <c r="A29" s="154"/>
      <c r="B29" s="39">
        <f>'R2'!B35</f>
        <v>1.0109063680665548E-2</v>
      </c>
      <c r="C29" s="39">
        <f>'R2'!C35</f>
        <v>0.12981606836489265</v>
      </c>
      <c r="D29" s="39">
        <f>'R2'!D35</f>
        <v>0</v>
      </c>
      <c r="E29" s="39">
        <f>'R2'!E35</f>
        <v>2.0163373338161765</v>
      </c>
      <c r="F29" s="39">
        <f>'R2'!F35</f>
        <v>0</v>
      </c>
      <c r="G29" s="39">
        <f>'R2'!G35</f>
        <v>1.2026108270973166</v>
      </c>
      <c r="H29" s="39">
        <f>'R2'!H35</f>
        <v>2.505495066774881</v>
      </c>
      <c r="I29" s="39">
        <f>'R2'!I35</f>
        <v>0</v>
      </c>
      <c r="J29" s="39" t="str">
        <f>'R2'!J35</f>
        <v/>
      </c>
      <c r="K29" s="39">
        <f>'R2'!K35</f>
        <v>2.4925338905440516E-2</v>
      </c>
      <c r="L29" s="39">
        <f>'R2'!L35</f>
        <v>1.1578105950056363</v>
      </c>
      <c r="M29" s="39">
        <f>'R2'!M35</f>
        <v>2.9064334444928535</v>
      </c>
      <c r="O29" s="39">
        <f>'R2'!O35</f>
        <v>1.5488115261304893</v>
      </c>
      <c r="P29" s="39">
        <f>'R2'!P35</f>
        <v>1.5235511252922216</v>
      </c>
      <c r="Q29" s="39">
        <f>'R2'!Q35</f>
        <v>0</v>
      </c>
      <c r="R29" s="39">
        <f>'R2'!R35</f>
        <v>1.1426756023325622</v>
      </c>
      <c r="S29" s="39">
        <f>'R2'!S35</f>
        <v>0</v>
      </c>
      <c r="T29" s="39">
        <f>'R2'!T35</f>
        <v>2.7812755542184857</v>
      </c>
      <c r="U29" s="39">
        <f>'R2'!U35</f>
        <v>2.5273394703467638</v>
      </c>
      <c r="V29" s="39">
        <f>'R2'!V35</f>
        <v>2.116471818277935</v>
      </c>
    </row>
    <row r="30" spans="1:22" x14ac:dyDescent="0.25">
      <c r="A30" s="154"/>
      <c r="B30" s="39" t="str">
        <f>'R2'!B36</f>
        <v/>
      </c>
      <c r="C30" s="39" t="str">
        <f>'R2'!C36</f>
        <v/>
      </c>
      <c r="D30" s="39" t="str">
        <f>'R2'!D36</f>
        <v/>
      </c>
      <c r="E30" s="39" t="str">
        <f>'R2'!E36</f>
        <v/>
      </c>
      <c r="F30" s="39" t="str">
        <f>'R2'!F36</f>
        <v/>
      </c>
      <c r="G30" s="39" t="str">
        <f>'R2'!G36</f>
        <v/>
      </c>
      <c r="H30" s="39" t="str">
        <f>'R2'!H36</f>
        <v/>
      </c>
      <c r="I30" s="39" t="str">
        <f>'R2'!I36</f>
        <v/>
      </c>
      <c r="J30" s="39" t="str">
        <f>'R2'!J36</f>
        <v/>
      </c>
      <c r="K30" s="39" t="str">
        <f>'R2'!K36</f>
        <v/>
      </c>
      <c r="L30" s="39" t="str">
        <f>'R2'!L36</f>
        <v/>
      </c>
      <c r="M30" s="39" t="str">
        <f>'R2'!M36</f>
        <v/>
      </c>
      <c r="O30" s="39">
        <f>'R2'!O36</f>
        <v>0.76808453367397966</v>
      </c>
      <c r="P30" s="39" t="str">
        <f>'R2'!P36</f>
        <v/>
      </c>
      <c r="Q30" s="39" t="str">
        <f>'R2'!Q36</f>
        <v/>
      </c>
      <c r="R30" s="39" t="str">
        <f>'R2'!R36</f>
        <v/>
      </c>
      <c r="S30" s="39" t="str">
        <f>'R2'!S36</f>
        <v/>
      </c>
      <c r="T30" s="39" t="str">
        <f>'R2'!T36</f>
        <v/>
      </c>
      <c r="U30" s="39" t="str">
        <f>'R2'!U36</f>
        <v/>
      </c>
      <c r="V30" s="39" t="str">
        <f>'R2'!V36</f>
        <v/>
      </c>
    </row>
    <row r="31" spans="1:22" s="1" customFormat="1" x14ac:dyDescent="0.25">
      <c r="A31" s="154"/>
      <c r="B31" s="39" t="str">
        <f>'R2'!B37</f>
        <v/>
      </c>
      <c r="C31" s="39" t="str">
        <f>'R2'!C37</f>
        <v/>
      </c>
      <c r="D31" s="39" t="str">
        <f>'R2'!D37</f>
        <v/>
      </c>
      <c r="E31" s="39" t="str">
        <f>'R2'!E37</f>
        <v/>
      </c>
      <c r="F31" s="39" t="str">
        <f>'R2'!F37</f>
        <v/>
      </c>
      <c r="G31" s="39" t="str">
        <f>'R2'!G37</f>
        <v/>
      </c>
      <c r="H31" s="39" t="str">
        <f>'R2'!H37</f>
        <v/>
      </c>
      <c r="I31" s="39" t="str">
        <f>'R2'!I37</f>
        <v/>
      </c>
      <c r="J31" s="39" t="str">
        <f>'R2'!J37</f>
        <v/>
      </c>
      <c r="K31" s="39" t="str">
        <f>'R2'!K37</f>
        <v/>
      </c>
      <c r="L31" s="39" t="str">
        <f>'R2'!L37</f>
        <v/>
      </c>
      <c r="M31" s="39" t="str">
        <f>'R2'!M37</f>
        <v/>
      </c>
      <c r="N31"/>
      <c r="O31" s="39">
        <f>'R2'!O37</f>
        <v>1.0289997124392254</v>
      </c>
      <c r="P31" s="39" t="str">
        <f>'R2'!P37</f>
        <v/>
      </c>
      <c r="Q31" s="39" t="str">
        <f>'R2'!Q37</f>
        <v/>
      </c>
      <c r="R31" s="39" t="str">
        <f>'R2'!R37</f>
        <v/>
      </c>
      <c r="S31" s="39" t="str">
        <f>'R2'!S37</f>
        <v/>
      </c>
      <c r="T31" s="39" t="str">
        <f>'R2'!T37</f>
        <v/>
      </c>
      <c r="U31" s="39" t="str">
        <f>'R2'!U37</f>
        <v/>
      </c>
      <c r="V31" s="39" t="str">
        <f>'R2'!V37</f>
        <v/>
      </c>
    </row>
    <row r="32" spans="1:22" s="1" customFormat="1" x14ac:dyDescent="0.25">
      <c r="A32" s="154"/>
      <c r="B32" s="39" t="str">
        <f>'R2'!B38</f>
        <v/>
      </c>
      <c r="C32" s="39" t="str">
        <f>'R2'!C38</f>
        <v/>
      </c>
      <c r="D32" s="39" t="str">
        <f>'R2'!D38</f>
        <v/>
      </c>
      <c r="E32" s="39" t="str">
        <f>'R2'!E38</f>
        <v/>
      </c>
      <c r="F32" s="39" t="str">
        <f>'R2'!F38</f>
        <v/>
      </c>
      <c r="G32" s="39" t="str">
        <f>'R2'!G38</f>
        <v/>
      </c>
      <c r="H32" s="39" t="str">
        <f>'R2'!H38</f>
        <v/>
      </c>
      <c r="I32" s="39" t="str">
        <f>'R2'!I38</f>
        <v/>
      </c>
      <c r="J32" s="39" t="str">
        <f>'R2'!J38</f>
        <v/>
      </c>
      <c r="K32" s="39" t="str">
        <f>'R2'!K38</f>
        <v/>
      </c>
      <c r="L32" s="39" t="str">
        <f>'R2'!L38</f>
        <v/>
      </c>
      <c r="M32" s="39" t="str">
        <f>'R2'!M38</f>
        <v/>
      </c>
      <c r="N32"/>
      <c r="O32" s="39">
        <f>'R2'!O38</f>
        <v>0</v>
      </c>
      <c r="P32" s="39" t="str">
        <f>'R2'!P38</f>
        <v/>
      </c>
      <c r="Q32" s="39" t="str">
        <f>'R2'!Q38</f>
        <v/>
      </c>
      <c r="R32" s="39" t="str">
        <f>'R2'!R38</f>
        <v/>
      </c>
      <c r="S32" s="39" t="str">
        <f>'R2'!S38</f>
        <v/>
      </c>
      <c r="T32" s="39" t="str">
        <f>'R2'!T38</f>
        <v/>
      </c>
      <c r="U32" s="39" t="str">
        <f>'R2'!U38</f>
        <v/>
      </c>
      <c r="V32" s="39" t="str">
        <f>'R2'!V38</f>
        <v/>
      </c>
    </row>
    <row r="33" spans="1:22" s="1" customFormat="1" x14ac:dyDescent="0.25">
      <c r="A33" s="154"/>
      <c r="B33" s="39" t="str">
        <f>'R2'!B39</f>
        <v/>
      </c>
      <c r="C33" s="39" t="str">
        <f>'R2'!C39</f>
        <v/>
      </c>
      <c r="D33" s="39" t="str">
        <f>'R2'!D39</f>
        <v/>
      </c>
      <c r="E33" s="39" t="str">
        <f>'R2'!E39</f>
        <v/>
      </c>
      <c r="F33" s="39" t="str">
        <f>'R2'!F39</f>
        <v/>
      </c>
      <c r="G33" s="39" t="str">
        <f>'R2'!G39</f>
        <v/>
      </c>
      <c r="H33" s="39" t="str">
        <f>'R2'!H39</f>
        <v/>
      </c>
      <c r="I33" s="39" t="str">
        <f>'R2'!I39</f>
        <v/>
      </c>
      <c r="J33" s="39" t="str">
        <f>'R2'!J39</f>
        <v/>
      </c>
      <c r="K33" s="39" t="str">
        <f>'R2'!K39</f>
        <v/>
      </c>
      <c r="L33" s="39" t="str">
        <f>'R2'!L39</f>
        <v/>
      </c>
      <c r="M33" s="39" t="str">
        <f>'R2'!M39</f>
        <v/>
      </c>
      <c r="N33"/>
      <c r="O33" s="39">
        <f>'R2'!O39</f>
        <v>1.7088158574188892</v>
      </c>
      <c r="P33" s="39" t="str">
        <f>'R2'!P39</f>
        <v/>
      </c>
      <c r="Q33" s="39" t="str">
        <f>'R2'!Q39</f>
        <v/>
      </c>
      <c r="R33" s="39" t="str">
        <f>'R2'!R39</f>
        <v/>
      </c>
      <c r="S33" s="39" t="str">
        <f>'R2'!S39</f>
        <v/>
      </c>
      <c r="T33" s="39" t="str">
        <f>'R2'!T39</f>
        <v/>
      </c>
      <c r="U33" s="39" t="str">
        <f>'R2'!U39</f>
        <v/>
      </c>
      <c r="V33" s="39" t="str">
        <f>'R2'!V39</f>
        <v/>
      </c>
    </row>
    <row r="34" spans="1:22" s="1" customFormat="1" x14ac:dyDescent="0.25">
      <c r="A34" s="154"/>
      <c r="B34" s="39" t="str">
        <f>'R2'!B40</f>
        <v/>
      </c>
      <c r="C34" s="39" t="str">
        <f>'R2'!C40</f>
        <v/>
      </c>
      <c r="D34" s="39" t="str">
        <f>'R2'!D40</f>
        <v/>
      </c>
      <c r="E34" s="39" t="str">
        <f>'R2'!E40</f>
        <v/>
      </c>
      <c r="F34" s="39" t="str">
        <f>'R2'!F40</f>
        <v/>
      </c>
      <c r="G34" s="39" t="str">
        <f>'R2'!G40</f>
        <v/>
      </c>
      <c r="H34" s="39" t="str">
        <f>'R2'!H40</f>
        <v/>
      </c>
      <c r="I34" s="39" t="str">
        <f>'R2'!I40</f>
        <v/>
      </c>
      <c r="J34" s="39" t="str">
        <f>'R2'!J40</f>
        <v/>
      </c>
      <c r="K34" s="39" t="str">
        <f>'R2'!K40</f>
        <v/>
      </c>
      <c r="L34" s="39" t="str">
        <f>'R2'!L40</f>
        <v/>
      </c>
      <c r="M34" s="39" t="str">
        <f>'R2'!M40</f>
        <v/>
      </c>
      <c r="N34"/>
      <c r="O34" s="39">
        <f>'R2'!O40</f>
        <v>0.55926739934223668</v>
      </c>
      <c r="P34" s="39" t="str">
        <f>'R2'!P40</f>
        <v/>
      </c>
      <c r="Q34" s="39" t="str">
        <f>'R2'!Q40</f>
        <v/>
      </c>
      <c r="R34" s="39" t="str">
        <f>'R2'!R40</f>
        <v/>
      </c>
      <c r="S34" s="39" t="str">
        <f>'R2'!S40</f>
        <v/>
      </c>
      <c r="T34" s="39" t="str">
        <f>'R2'!T40</f>
        <v/>
      </c>
      <c r="U34" s="39" t="str">
        <f>'R2'!U40</f>
        <v/>
      </c>
      <c r="V34" s="39" t="str">
        <f>'R2'!V40</f>
        <v/>
      </c>
    </row>
    <row r="35" spans="1:22" s="1" customFormat="1" x14ac:dyDescent="0.25">
      <c r="A35" s="154"/>
      <c r="B35" s="39" t="str">
        <f>'R2'!B41</f>
        <v/>
      </c>
      <c r="C35" s="39" t="str">
        <f>'R2'!C41</f>
        <v/>
      </c>
      <c r="D35" s="39" t="str">
        <f>'R2'!D41</f>
        <v/>
      </c>
      <c r="E35" s="39" t="str">
        <f>'R2'!E41</f>
        <v/>
      </c>
      <c r="F35" s="39" t="str">
        <f>'R2'!F41</f>
        <v/>
      </c>
      <c r="G35" s="39" t="str">
        <f>'R2'!G41</f>
        <v/>
      </c>
      <c r="H35" s="39" t="str">
        <f>'R2'!H41</f>
        <v/>
      </c>
      <c r="I35" s="39" t="str">
        <f>'R2'!I41</f>
        <v/>
      </c>
      <c r="J35" s="39" t="str">
        <f>'R2'!J41</f>
        <v/>
      </c>
      <c r="K35" s="39" t="str">
        <f>'R2'!K41</f>
        <v/>
      </c>
      <c r="L35" s="39" t="str">
        <f>'R2'!L41</f>
        <v/>
      </c>
      <c r="M35" s="39" t="str">
        <f>'R2'!M41</f>
        <v/>
      </c>
      <c r="N35"/>
      <c r="O35" s="39">
        <f>'R2'!O41</f>
        <v>1.3951406825967505</v>
      </c>
      <c r="P35" s="39" t="str">
        <f>'R2'!P41</f>
        <v/>
      </c>
      <c r="Q35" s="39" t="str">
        <f>'R2'!Q41</f>
        <v/>
      </c>
      <c r="R35" s="39" t="str">
        <f>'R2'!R41</f>
        <v/>
      </c>
      <c r="S35" s="39" t="str">
        <f>'R2'!S41</f>
        <v/>
      </c>
      <c r="T35" s="39" t="str">
        <f>'R2'!T41</f>
        <v/>
      </c>
      <c r="U35" s="39" t="str">
        <f>'R2'!U41</f>
        <v/>
      </c>
      <c r="V35" s="39" t="str">
        <f>'R2'!V41</f>
        <v/>
      </c>
    </row>
    <row r="36" spans="1:22" x14ac:dyDescent="0.25">
      <c r="A36" s="154"/>
      <c r="B36" s="39" t="str">
        <f>'R2'!B42</f>
        <v/>
      </c>
      <c r="C36" s="39" t="str">
        <f>'R2'!C42</f>
        <v/>
      </c>
      <c r="D36" s="39" t="str">
        <f>'R2'!D42</f>
        <v/>
      </c>
      <c r="E36" s="39" t="str">
        <f>'R2'!E42</f>
        <v/>
      </c>
      <c r="F36" s="39" t="str">
        <f>'R2'!F42</f>
        <v/>
      </c>
      <c r="G36" s="39" t="str">
        <f>'R2'!G42</f>
        <v/>
      </c>
      <c r="H36" s="39" t="str">
        <f>'R2'!H42</f>
        <v/>
      </c>
      <c r="I36" s="39" t="str">
        <f>'R2'!I42</f>
        <v/>
      </c>
      <c r="J36" s="39" t="str">
        <f>'R2'!J42</f>
        <v/>
      </c>
      <c r="K36" s="39" t="str">
        <f>'R2'!K42</f>
        <v/>
      </c>
      <c r="L36" s="39" t="str">
        <f>'R2'!L42</f>
        <v/>
      </c>
      <c r="M36" s="39" t="str">
        <f>'R2'!M42</f>
        <v/>
      </c>
      <c r="O36" s="39">
        <f>'R2'!O42</f>
        <v>1.54640888690485</v>
      </c>
      <c r="P36" s="39" t="str">
        <f>'R2'!P42</f>
        <v/>
      </c>
      <c r="Q36" s="39" t="str">
        <f>'R2'!Q42</f>
        <v/>
      </c>
      <c r="R36" s="39" t="str">
        <f>'R2'!R42</f>
        <v/>
      </c>
      <c r="S36" s="39" t="str">
        <f>'R2'!S42</f>
        <v/>
      </c>
      <c r="T36" s="39" t="str">
        <f>'R2'!T42</f>
        <v/>
      </c>
      <c r="U36" s="39" t="str">
        <f>'R2'!U42</f>
        <v/>
      </c>
      <c r="V36" s="39" t="str">
        <f>'R2'!V42</f>
        <v/>
      </c>
    </row>
    <row r="37" spans="1:22" x14ac:dyDescent="0.25">
      <c r="A37" s="155"/>
      <c r="B37" s="39" t="str">
        <f>'R2'!B43</f>
        <v/>
      </c>
      <c r="C37" s="39" t="str">
        <f>'R2'!C43</f>
        <v/>
      </c>
      <c r="D37" s="39" t="str">
        <f>'R2'!D43</f>
        <v/>
      </c>
      <c r="E37" s="39" t="str">
        <f>'R2'!E43</f>
        <v/>
      </c>
      <c r="F37" s="39" t="str">
        <f>'R2'!F43</f>
        <v/>
      </c>
      <c r="G37" s="39" t="str">
        <f>'R2'!G43</f>
        <v/>
      </c>
      <c r="H37" s="39" t="str">
        <f>'R2'!H43</f>
        <v/>
      </c>
      <c r="I37" s="39" t="str">
        <f>'R2'!I43</f>
        <v/>
      </c>
      <c r="J37" s="39" t="str">
        <f>'R2'!J43</f>
        <v/>
      </c>
      <c r="K37" s="39" t="str">
        <f>'R2'!K43</f>
        <v/>
      </c>
      <c r="L37" s="39" t="str">
        <f>'R2'!L43</f>
        <v/>
      </c>
      <c r="M37" s="39" t="str">
        <f>'R2'!M43</f>
        <v/>
      </c>
      <c r="O37" s="39">
        <f>'R2'!O43</f>
        <v>1.2427365366139438</v>
      </c>
      <c r="P37" s="39" t="str">
        <f>'R2'!P43</f>
        <v/>
      </c>
      <c r="Q37" s="39" t="str">
        <f>'R2'!Q43</f>
        <v/>
      </c>
      <c r="R37" s="39" t="str">
        <f>'R2'!R43</f>
        <v/>
      </c>
      <c r="S37" s="39" t="str">
        <f>'R2'!S43</f>
        <v/>
      </c>
      <c r="T37" s="39" t="str">
        <f>'R2'!T43</f>
        <v/>
      </c>
      <c r="U37" s="39" t="str">
        <f>'R2'!U43</f>
        <v/>
      </c>
      <c r="V37" s="39" t="str">
        <f>'R2'!V43</f>
        <v/>
      </c>
    </row>
    <row r="38" spans="1:22" s="1" customFormat="1" x14ac:dyDescent="0.25">
      <c r="A38" s="87" t="s">
        <v>48</v>
      </c>
      <c r="B38" s="88">
        <f>'R3'!B28</f>
        <v>9.9964414790879294E-2</v>
      </c>
      <c r="C38" s="88">
        <f>'R3'!C28</f>
        <v>5.0605937679569737E-2</v>
      </c>
      <c r="D38" s="88">
        <f>'R3'!D28</f>
        <v>0.10616820376616724</v>
      </c>
      <c r="E38" s="88">
        <f>'R3'!E28</f>
        <v>1.0347666794903752</v>
      </c>
      <c r="F38" s="88">
        <f>'R3'!F28</f>
        <v>0.97907780546550649</v>
      </c>
      <c r="G38" s="88">
        <f>'R3'!G28</f>
        <v>1.2966961611961099</v>
      </c>
      <c r="H38" s="88">
        <f>'R3'!H28</f>
        <v>1.0648099984895487</v>
      </c>
      <c r="I38" s="88">
        <f>'R3'!I28</f>
        <v>7.9383177296031476E-2</v>
      </c>
      <c r="J38" s="88">
        <f>'R3'!J28</f>
        <v>9.3689874320675104E-2</v>
      </c>
      <c r="K38" s="88">
        <f>'R3'!K28</f>
        <v>1.0421322824874457</v>
      </c>
      <c r="L38" s="88">
        <f>'R3'!L28</f>
        <v>1.2685929226627977</v>
      </c>
      <c r="M38" s="88">
        <f>'R3'!M28</f>
        <v>1.492294254536416</v>
      </c>
      <c r="N38"/>
      <c r="O38" s="88">
        <f>'R3'!O28</f>
        <v>0.86304907756574822</v>
      </c>
      <c r="P38" s="88">
        <f>'R3'!P28</f>
        <v>1.4466074076349706</v>
      </c>
      <c r="Q38" s="88">
        <f>'R3'!Q28</f>
        <v>3.7412645759134451E-2</v>
      </c>
      <c r="R38" s="88">
        <f>'R3'!R28</f>
        <v>1.2710580536961955</v>
      </c>
      <c r="S38" s="88">
        <f>'R3'!S28</f>
        <v>1.4606795075975236</v>
      </c>
      <c r="T38" s="88">
        <f>'R3'!T28</f>
        <v>1.5437231438147483</v>
      </c>
      <c r="U38" s="88">
        <f>'R3'!U28</f>
        <v>1.2965211443402644</v>
      </c>
      <c r="V38" s="88">
        <f>'R3'!V28</f>
        <v>1.4909239097927749</v>
      </c>
    </row>
    <row r="39" spans="1:22" s="1" customFormat="1" x14ac:dyDescent="0.25">
      <c r="A39" s="153" t="s">
        <v>17</v>
      </c>
      <c r="B39" s="88">
        <f>'R3'!B29</f>
        <v>4.5355432004205991E-2</v>
      </c>
      <c r="C39" s="88">
        <f>'R3'!C29</f>
        <v>0.10743055938598874</v>
      </c>
      <c r="D39" s="88">
        <f>'R3'!D29</f>
        <v>5.1387927886538808E-2</v>
      </c>
      <c r="E39" s="88">
        <f>'R3'!E29</f>
        <v>0.98172167711763991</v>
      </c>
      <c r="F39" s="88">
        <f>'R3'!F29</f>
        <v>1.1667256650349602</v>
      </c>
      <c r="G39" s="88">
        <f>'R3'!G29</f>
        <v>1.0794369391227605</v>
      </c>
      <c r="H39" s="88">
        <f>'R3'!H29</f>
        <v>1.2794402439623258</v>
      </c>
      <c r="I39" s="88">
        <f>'R3'!I29</f>
        <v>2.5626936211243484E-2</v>
      </c>
      <c r="J39" s="88">
        <f>'R3'!J29</f>
        <v>0.15726567814726039</v>
      </c>
      <c r="K39" s="88">
        <f>'R3'!K29</f>
        <v>0.59274112935677348</v>
      </c>
      <c r="L39" s="88">
        <f>'R3'!L29</f>
        <v>1.5092075855842899</v>
      </c>
      <c r="M39" s="88">
        <f>'R3'!M29</f>
        <v>1.7848442384893253</v>
      </c>
      <c r="N39"/>
      <c r="O39" s="88">
        <f>'R3'!O29</f>
        <v>1.2602442462626804</v>
      </c>
      <c r="P39" s="88">
        <f>'R3'!P29</f>
        <v>1.3404950603121584</v>
      </c>
      <c r="Q39" s="88">
        <f>'R3'!Q29</f>
        <v>0.13410759673230496</v>
      </c>
      <c r="R39" s="88">
        <f>'R3'!R29</f>
        <v>1.2578163528581858</v>
      </c>
      <c r="S39" s="88">
        <f>'R3'!S29</f>
        <v>1.3448481391309528</v>
      </c>
      <c r="T39" s="88">
        <f>'R3'!T29</f>
        <v>1.2495198091385331</v>
      </c>
      <c r="U39" s="88">
        <f>'R3'!U29</f>
        <v>1.2928308953159484</v>
      </c>
      <c r="V39" s="88">
        <f>'R3'!V29</f>
        <v>1.5674956461066081</v>
      </c>
    </row>
    <row r="40" spans="1:22" s="1" customFormat="1" x14ac:dyDescent="0.25">
      <c r="A40" s="154"/>
      <c r="B40" s="88">
        <f>'R3'!B30</f>
        <v>4.4026048652358575E-2</v>
      </c>
      <c r="C40" s="88">
        <f>'R3'!C30</f>
        <v>0.74533348507667108</v>
      </c>
      <c r="D40" s="88">
        <f>'R3'!D30</f>
        <v>0.27680591445259872</v>
      </c>
      <c r="E40" s="88">
        <f>'R3'!E30</f>
        <v>0.73728643347067035</v>
      </c>
      <c r="F40" s="88">
        <f>'R3'!F30</f>
        <v>0.70544826075835831</v>
      </c>
      <c r="G40" s="88">
        <f>'R3'!G30</f>
        <v>1.1612405622975059</v>
      </c>
      <c r="H40" s="88">
        <f>'R3'!H30</f>
        <v>1.3200590495700333</v>
      </c>
      <c r="I40" s="88">
        <f>'R3'!I30</f>
        <v>2.5693963943269404E-2</v>
      </c>
      <c r="J40" s="88">
        <f>'R3'!J30</f>
        <v>0.17603716687740836</v>
      </c>
      <c r="K40" s="88">
        <f>'R3'!K30</f>
        <v>1.209552662036633</v>
      </c>
      <c r="L40" s="88">
        <f>'R3'!L30</f>
        <v>1.3196606069407681</v>
      </c>
      <c r="M40" s="88">
        <f>'R3'!M30</f>
        <v>1.3661108252347309</v>
      </c>
      <c r="N40"/>
      <c r="O40" s="88">
        <f>'R3'!O30</f>
        <v>0.67533419026426844</v>
      </c>
      <c r="P40" s="88">
        <f>'R3'!P30</f>
        <v>1.1955401422803253</v>
      </c>
      <c r="Q40" s="88">
        <f>'R3'!Q30</f>
        <v>0.13331443523666492</v>
      </c>
      <c r="R40" s="88">
        <f>'R3'!R30</f>
        <v>1.0481536070811075</v>
      </c>
      <c r="S40" s="88">
        <f>'R3'!S30</f>
        <v>1.296063121504754</v>
      </c>
      <c r="T40" s="88">
        <f>'R3'!T30</f>
        <v>1.4017844737240817</v>
      </c>
      <c r="U40" s="88">
        <f>'R3'!U30</f>
        <v>1.5733345063186437</v>
      </c>
      <c r="V40" s="88">
        <f>'R3'!V30</f>
        <v>1.6778903207532987</v>
      </c>
    </row>
    <row r="41" spans="1:22" s="1" customFormat="1" x14ac:dyDescent="0.25">
      <c r="A41" s="154"/>
      <c r="B41" s="88">
        <f>'R3'!B31</f>
        <v>0.12099622759545692</v>
      </c>
      <c r="C41" s="88">
        <f>'R3'!C31</f>
        <v>2.0808387031157886E-2</v>
      </c>
      <c r="D41" s="88">
        <f>'R3'!D31</f>
        <v>0.14495864179472337</v>
      </c>
      <c r="E41" s="88">
        <f>'R3'!E31</f>
        <v>4.1277911639295846E-2</v>
      </c>
      <c r="F41" s="88">
        <f>'R3'!F31</f>
        <v>1.2304094579853651</v>
      </c>
      <c r="G41" s="88">
        <f>'R3'!G31</f>
        <v>1.2038850949175524</v>
      </c>
      <c r="H41" s="88">
        <f>'R3'!H31</f>
        <v>1.7568936742345165</v>
      </c>
      <c r="I41" s="88">
        <f>'R3'!I31</f>
        <v>0.11128837774036948</v>
      </c>
      <c r="J41" s="88">
        <f>'R3'!J31</f>
        <v>9.5551755765839547E-2</v>
      </c>
      <c r="K41" s="88">
        <f>'R3'!K31</f>
        <v>9.8675992830825496E-2</v>
      </c>
      <c r="L41" s="88">
        <f>'R3'!L31</f>
        <v>1.3675407501846171</v>
      </c>
      <c r="M41" s="88">
        <f>'R3'!M31</f>
        <v>1.4315075491146869</v>
      </c>
      <c r="N41"/>
      <c r="O41" s="88">
        <f>'R3'!O31</f>
        <v>0.93836590578554058</v>
      </c>
      <c r="P41" s="88">
        <f>'R3'!P31</f>
        <v>1.0735794600962731</v>
      </c>
      <c r="Q41" s="88">
        <f>'R3'!Q31</f>
        <v>7.8027727603951755E-2</v>
      </c>
      <c r="R41" s="88">
        <f>'R3'!R31</f>
        <v>1.3131365743569119</v>
      </c>
      <c r="S41" s="88">
        <f>'R3'!S31</f>
        <v>1.2378346411886809</v>
      </c>
      <c r="T41" s="88">
        <f>'R3'!T31</f>
        <v>1.1546830158476367</v>
      </c>
      <c r="U41" s="88">
        <f>'R3'!U31</f>
        <v>1.3431128656240596</v>
      </c>
      <c r="V41" s="88">
        <f>'R3'!V31</f>
        <v>1.4802813954522149</v>
      </c>
    </row>
    <row r="42" spans="1:22" s="1" customFormat="1" x14ac:dyDescent="0.25">
      <c r="A42" s="154"/>
      <c r="B42" s="88">
        <f>'R3'!B32</f>
        <v>3.6835462511133468E-2</v>
      </c>
      <c r="C42" s="88">
        <f>'R3'!C32</f>
        <v>4.0953944267837231E-2</v>
      </c>
      <c r="D42" s="88">
        <f>'R3'!D32</f>
        <v>0.19146099276915068</v>
      </c>
      <c r="E42" s="88">
        <f>'R3'!E32</f>
        <v>0.67121198474467436</v>
      </c>
      <c r="F42" s="88">
        <f>'R3'!F32</f>
        <v>0.37893383548275911</v>
      </c>
      <c r="G42" s="88">
        <f>'R3'!G32</f>
        <v>1.4800579696787952</v>
      </c>
      <c r="H42" s="88">
        <f>'R3'!H32</f>
        <v>1.7344468315316139</v>
      </c>
      <c r="I42" s="88">
        <f>'R3'!I32</f>
        <v>4.6278925201007556E-2</v>
      </c>
      <c r="J42" s="88">
        <f>'R3'!J32</f>
        <v>0.10302907164961998</v>
      </c>
      <c r="K42" s="88">
        <f>'R3'!K32</f>
        <v>0.84636661981707484</v>
      </c>
      <c r="L42" s="88">
        <f>'R3'!L32</f>
        <v>1.4140095872930316</v>
      </c>
      <c r="M42" s="88">
        <f>'R3'!M32</f>
        <v>1.4742749659101144</v>
      </c>
      <c r="N42"/>
      <c r="O42" s="88">
        <f>'R3'!O32</f>
        <v>1.0815892740733708</v>
      </c>
      <c r="P42" s="88">
        <f>'R3'!P32</f>
        <v>1.3331369048408686</v>
      </c>
      <c r="Q42" s="88">
        <f>'R3'!Q32</f>
        <v>6.5165850580755733E-2</v>
      </c>
      <c r="R42" s="88">
        <f>'R3'!R32</f>
        <v>1.0885117492864922</v>
      </c>
      <c r="S42" s="88">
        <f>'R3'!S32</f>
        <v>1.4077275992970466</v>
      </c>
      <c r="T42" s="88">
        <f>'R3'!T32</f>
        <v>1.4711879664740317</v>
      </c>
      <c r="U42" s="88">
        <f>'R3'!U32</f>
        <v>1.4498284625351052</v>
      </c>
      <c r="V42" s="88">
        <f>'R3'!V32</f>
        <v>1.6704688613128731</v>
      </c>
    </row>
    <row r="43" spans="1:22" s="1" customFormat="1" x14ac:dyDescent="0.25">
      <c r="A43" s="154"/>
      <c r="B43" s="88">
        <f>'R3'!B33</f>
        <v>0.11335878990739234</v>
      </c>
      <c r="C43" s="88">
        <f>'R3'!C33</f>
        <v>2.9890644720670073E-2</v>
      </c>
      <c r="D43" s="88">
        <f>'R3'!D33</f>
        <v>7.0360499812764543E-2</v>
      </c>
      <c r="E43" s="88">
        <f>'R3'!E33</f>
        <v>0.88401386263829995</v>
      </c>
      <c r="F43" s="88">
        <f>'R3'!F33</f>
        <v>1.1406891149057807</v>
      </c>
      <c r="G43" s="88">
        <f>'R3'!G33</f>
        <v>1.2886304907756574</v>
      </c>
      <c r="H43" s="88">
        <f>'R3'!H33</f>
        <v>1.6077197328479409</v>
      </c>
      <c r="I43" s="88">
        <f>'R3'!I33</f>
        <v>8.9820884677623378E-2</v>
      </c>
      <c r="J43" s="88">
        <f>'R3'!J33</f>
        <v>0.11295662351523682</v>
      </c>
      <c r="K43" s="88">
        <f>'R3'!K33</f>
        <v>0.84994143219179052</v>
      </c>
      <c r="L43" s="88">
        <f>'R3'!L33</f>
        <v>1.5533863085151518</v>
      </c>
      <c r="M43" s="88">
        <f>'R3'!M33</f>
        <v>1.5425389872156239</v>
      </c>
      <c r="N43"/>
      <c r="O43" s="88">
        <f>'R3'!O33</f>
        <v>1.0120144882304656</v>
      </c>
      <c r="P43" s="88">
        <f>'R3'!P33</f>
        <v>1.1273692150470742</v>
      </c>
      <c r="Q43" s="88">
        <f>'R3'!Q33</f>
        <v>0.19983945927239069</v>
      </c>
      <c r="R43" s="88">
        <f>'R3'!R33</f>
        <v>1.5177014887371301</v>
      </c>
      <c r="S43" s="88">
        <f>'R3'!S33</f>
        <v>1.3590654658462287</v>
      </c>
      <c r="T43" s="88">
        <f>'R3'!T33</f>
        <v>1.3361531527820349</v>
      </c>
      <c r="U43" s="88">
        <f>'R3'!U33</f>
        <v>1.2123007990496957</v>
      </c>
      <c r="V43" s="88">
        <f>'R3'!V33</f>
        <v>1.7073341139271292</v>
      </c>
    </row>
    <row r="44" spans="1:22" s="1" customFormat="1" x14ac:dyDescent="0.25">
      <c r="A44" s="154"/>
      <c r="B44" s="88">
        <f>'R3'!B34</f>
        <v>0.11276298784493972</v>
      </c>
      <c r="C44" s="88">
        <f>'R3'!C34</f>
        <v>3.2646229259513458E-2</v>
      </c>
      <c r="D44" s="88">
        <f>'R3'!D34</f>
        <v>0.1473083361785209</v>
      </c>
      <c r="E44" s="88">
        <f>'R3'!E34</f>
        <v>0.64152614698297239</v>
      </c>
      <c r="F44" s="88">
        <f>'R3'!F34</f>
        <v>1.3727093330763938</v>
      </c>
      <c r="G44" s="88">
        <f>'R3'!G34</f>
        <v>1.0887314512970214</v>
      </c>
      <c r="H44" s="88">
        <f>'R3'!H34</f>
        <v>1.5775647009620575</v>
      </c>
      <c r="I44" s="88">
        <f>'R3'!I34</f>
        <v>5.0308036648343425E-3</v>
      </c>
      <c r="J44" s="88">
        <f>'R3'!J34</f>
        <v>0.15689702562111782</v>
      </c>
      <c r="K44" s="88">
        <f>'R3'!K34</f>
        <v>0.89039266846943332</v>
      </c>
      <c r="L44" s="88">
        <f>'R3'!L34</f>
        <v>1.5249069699299165</v>
      </c>
      <c r="M44" s="88">
        <f>'R3'!M34</f>
        <v>1.7962352291708414</v>
      </c>
      <c r="N44"/>
      <c r="O44" s="88">
        <f>'R3'!O34</f>
        <v>0.88905211382891502</v>
      </c>
      <c r="P44" s="88">
        <f>'R3'!P34</f>
        <v>1.4063833208936378</v>
      </c>
      <c r="Q44" s="88">
        <f>'R3'!Q34</f>
        <v>7.1485076205643872E-2</v>
      </c>
      <c r="R44" s="88">
        <f>'R3'!R34</f>
        <v>1.1420818022267636</v>
      </c>
      <c r="S44" s="88">
        <f>'R3'!S34</f>
        <v>1.134172529847705</v>
      </c>
      <c r="T44" s="88">
        <f>'R3'!T34</f>
        <v>1.3016115282113441</v>
      </c>
      <c r="U44" s="88">
        <f>'R3'!U34</f>
        <v>1.5410718246368342</v>
      </c>
      <c r="V44" s="88">
        <f>'R3'!V34</f>
        <v>1.816928179552399</v>
      </c>
    </row>
    <row r="45" spans="1:22" s="1" customFormat="1" x14ac:dyDescent="0.25">
      <c r="A45" s="154"/>
      <c r="B45" s="88">
        <f>'R3'!B35</f>
        <v>8.0325289307284678E-2</v>
      </c>
      <c r="C45" s="88">
        <f>'R3'!C35</f>
        <v>3.5446498953040792E-2</v>
      </c>
      <c r="D45" s="88">
        <f>'R3'!D35</f>
        <v>2.7641491934911416E-2</v>
      </c>
      <c r="E45" s="88">
        <f>'R3'!E35</f>
        <v>1.0440723629533071</v>
      </c>
      <c r="F45" s="88">
        <f>'R3'!F35</f>
        <v>0.72628271412974843</v>
      </c>
      <c r="G45" s="88">
        <f>'R3'!G35</f>
        <v>1.3008518805817169</v>
      </c>
      <c r="H45" s="88">
        <f>'R3'!H35</f>
        <v>1.3392327046923369</v>
      </c>
      <c r="I45" s="88" t="str">
        <f>'R3'!I35</f>
        <v/>
      </c>
      <c r="J45" s="88">
        <f>'R3'!J35</f>
        <v>0.16456425341230504</v>
      </c>
      <c r="K45" s="88">
        <f>'R3'!K35</f>
        <v>0.28742608621581672</v>
      </c>
      <c r="L45" s="88">
        <f>'R3'!L35</f>
        <v>1.389887051289481</v>
      </c>
      <c r="M45" s="88" t="str">
        <f>'R3'!M35</f>
        <v/>
      </c>
      <c r="N45"/>
      <c r="O45" s="88">
        <f>'R3'!O35</f>
        <v>1.0246529394802417</v>
      </c>
      <c r="P45" s="88">
        <f>'R3'!P35</f>
        <v>1.1832889623711433</v>
      </c>
      <c r="Q45" s="88">
        <f>'R3'!Q35</f>
        <v>0.12337943584526741</v>
      </c>
      <c r="R45" s="88">
        <f>'R3'!R35</f>
        <v>0.89745292290949696</v>
      </c>
      <c r="S45" s="88">
        <f>'R3'!S35</f>
        <v>1.1539419870324612</v>
      </c>
      <c r="T45" s="88">
        <f>'R3'!T35</f>
        <v>1.2231816342152368</v>
      </c>
      <c r="U45" s="88">
        <f>'R3'!U35</f>
        <v>1.8491126622135117</v>
      </c>
      <c r="V45" s="88">
        <f>'R3'!V35</f>
        <v>1.7839095740038526</v>
      </c>
    </row>
    <row r="46" spans="1:22" s="1" customFormat="1" x14ac:dyDescent="0.25">
      <c r="A46" s="154"/>
      <c r="B46" s="88" t="str">
        <f>'R3'!B36</f>
        <v/>
      </c>
      <c r="C46" s="88" t="str">
        <f>'R3'!C36</f>
        <v/>
      </c>
      <c r="D46" s="88" t="str">
        <f>'R3'!D36</f>
        <v/>
      </c>
      <c r="E46" s="88" t="str">
        <f>'R3'!E36</f>
        <v/>
      </c>
      <c r="F46" s="88" t="str">
        <f>'R3'!F36</f>
        <v/>
      </c>
      <c r="G46" s="88" t="str">
        <f>'R3'!G36</f>
        <v/>
      </c>
      <c r="H46" s="88" t="str">
        <f>'R3'!H36</f>
        <v/>
      </c>
      <c r="I46" s="88" t="str">
        <f>'R3'!I36</f>
        <v/>
      </c>
      <c r="J46" s="88" t="str">
        <f>'R3'!J36</f>
        <v/>
      </c>
      <c r="K46" s="88" t="str">
        <f>'R3'!K36</f>
        <v/>
      </c>
      <c r="L46" s="88" t="str">
        <f>'R3'!L36</f>
        <v/>
      </c>
      <c r="M46" s="88" t="str">
        <f>'R3'!M36</f>
        <v/>
      </c>
      <c r="N46"/>
      <c r="O46" s="88">
        <f>'R3'!O36</f>
        <v>0.90223795822356956</v>
      </c>
      <c r="P46" s="88" t="str">
        <f>'R3'!P36</f>
        <v/>
      </c>
      <c r="Q46" s="88" t="str">
        <f>'R3'!Q36</f>
        <v/>
      </c>
      <c r="R46" s="88" t="str">
        <f>'R3'!R36</f>
        <v/>
      </c>
      <c r="S46" s="88" t="str">
        <f>'R3'!S36</f>
        <v/>
      </c>
      <c r="T46" s="88" t="str">
        <f>'R3'!T36</f>
        <v/>
      </c>
      <c r="U46" s="88" t="str">
        <f>'R3'!U36</f>
        <v/>
      </c>
      <c r="V46" s="88" t="str">
        <f>'R3'!V36</f>
        <v/>
      </c>
    </row>
    <row r="47" spans="1:22" s="1" customFormat="1" x14ac:dyDescent="0.25">
      <c r="A47" s="154"/>
      <c r="B47" s="88" t="str">
        <f>'R3'!B37</f>
        <v/>
      </c>
      <c r="C47" s="88" t="str">
        <f>'R3'!C37</f>
        <v/>
      </c>
      <c r="D47" s="88" t="str">
        <f>'R3'!D37</f>
        <v/>
      </c>
      <c r="E47" s="88" t="str">
        <f>'R3'!E37</f>
        <v/>
      </c>
      <c r="F47" s="88" t="str">
        <f>'R3'!F37</f>
        <v/>
      </c>
      <c r="G47" s="88" t="str">
        <f>'R3'!G37</f>
        <v/>
      </c>
      <c r="H47" s="88" t="str">
        <f>'R3'!H37</f>
        <v/>
      </c>
      <c r="I47" s="88" t="str">
        <f>'R3'!I37</f>
        <v/>
      </c>
      <c r="J47" s="88" t="str">
        <f>'R3'!J37</f>
        <v/>
      </c>
      <c r="K47" s="88" t="str">
        <f>'R3'!K37</f>
        <v/>
      </c>
      <c r="L47" s="88" t="str">
        <f>'R3'!L37</f>
        <v/>
      </c>
      <c r="M47" s="88" t="str">
        <f>'R3'!M37</f>
        <v/>
      </c>
      <c r="N47"/>
      <c r="O47" s="88">
        <f>'R3'!O37</f>
        <v>0.9510080807982072</v>
      </c>
      <c r="P47" s="88" t="str">
        <f>'R3'!P37</f>
        <v/>
      </c>
      <c r="Q47" s="88" t="str">
        <f>'R3'!Q37</f>
        <v/>
      </c>
      <c r="R47" s="88" t="str">
        <f>'R3'!R37</f>
        <v/>
      </c>
      <c r="S47" s="88" t="str">
        <f>'R3'!S37</f>
        <v/>
      </c>
      <c r="T47" s="88" t="str">
        <f>'R3'!T37</f>
        <v/>
      </c>
      <c r="U47" s="88" t="str">
        <f>'R3'!U37</f>
        <v/>
      </c>
      <c r="V47" s="88" t="str">
        <f>'R3'!V37</f>
        <v/>
      </c>
    </row>
    <row r="48" spans="1:22" s="1" customFormat="1" x14ac:dyDescent="0.25">
      <c r="A48" s="154"/>
      <c r="B48" s="88" t="str">
        <f>'R3'!B38</f>
        <v/>
      </c>
      <c r="C48" s="88" t="str">
        <f>'R3'!C38</f>
        <v/>
      </c>
      <c r="D48" s="88" t="str">
        <f>'R3'!D38</f>
        <v/>
      </c>
      <c r="E48" s="88" t="str">
        <f>'R3'!E38</f>
        <v/>
      </c>
      <c r="F48" s="88" t="str">
        <f>'R3'!F38</f>
        <v/>
      </c>
      <c r="G48" s="88" t="str">
        <f>'R3'!G38</f>
        <v/>
      </c>
      <c r="H48" s="88" t="str">
        <f>'R3'!H38</f>
        <v/>
      </c>
      <c r="I48" s="88" t="str">
        <f>'R3'!I38</f>
        <v/>
      </c>
      <c r="J48" s="88" t="str">
        <f>'R3'!J38</f>
        <v/>
      </c>
      <c r="K48" s="88" t="str">
        <f>'R3'!K38</f>
        <v/>
      </c>
      <c r="L48" s="88" t="str">
        <f>'R3'!L38</f>
        <v/>
      </c>
      <c r="M48" s="88" t="str">
        <f>'R3'!M38</f>
        <v/>
      </c>
      <c r="N48"/>
      <c r="O48" s="88">
        <f>'R3'!O38</f>
        <v>1.2612198721399464</v>
      </c>
      <c r="P48" s="88" t="str">
        <f>'R3'!P38</f>
        <v/>
      </c>
      <c r="Q48" s="88" t="str">
        <f>'R3'!Q38</f>
        <v/>
      </c>
      <c r="R48" s="88" t="str">
        <f>'R3'!R38</f>
        <v/>
      </c>
      <c r="S48" s="88" t="str">
        <f>'R3'!S38</f>
        <v/>
      </c>
      <c r="T48" s="88" t="str">
        <f>'R3'!T38</f>
        <v/>
      </c>
      <c r="U48" s="88" t="str">
        <f>'R3'!U38</f>
        <v/>
      </c>
      <c r="V48" s="88" t="str">
        <f>'R3'!V38</f>
        <v/>
      </c>
    </row>
    <row r="49" spans="1:24" s="1" customFormat="1" x14ac:dyDescent="0.25">
      <c r="A49" s="154"/>
      <c r="B49" s="88" t="str">
        <f>'R3'!B39</f>
        <v/>
      </c>
      <c r="C49" s="88" t="str">
        <f>'R3'!C39</f>
        <v/>
      </c>
      <c r="D49" s="88" t="str">
        <f>'R3'!D39</f>
        <v/>
      </c>
      <c r="E49" s="88" t="str">
        <f>'R3'!E39</f>
        <v/>
      </c>
      <c r="F49" s="88" t="str">
        <f>'R3'!F39</f>
        <v/>
      </c>
      <c r="G49" s="88" t="str">
        <f>'R3'!G39</f>
        <v/>
      </c>
      <c r="H49" s="88" t="str">
        <f>'R3'!H39</f>
        <v/>
      </c>
      <c r="I49" s="88" t="str">
        <f>'R3'!I39</f>
        <v/>
      </c>
      <c r="J49" s="88" t="str">
        <f>'R3'!J39</f>
        <v/>
      </c>
      <c r="K49" s="88" t="str">
        <f>'R3'!K39</f>
        <v/>
      </c>
      <c r="L49" s="88" t="str">
        <f>'R3'!L39</f>
        <v/>
      </c>
      <c r="M49" s="88" t="str">
        <f>'R3'!M39</f>
        <v/>
      </c>
      <c r="N49"/>
      <c r="O49" s="88">
        <f>'R3'!O39</f>
        <v>1.1386522166047708</v>
      </c>
      <c r="P49" s="88" t="str">
        <f>'R3'!P39</f>
        <v/>
      </c>
      <c r="Q49" s="88" t="str">
        <f>'R3'!Q39</f>
        <v/>
      </c>
      <c r="R49" s="88" t="str">
        <f>'R3'!R39</f>
        <v/>
      </c>
      <c r="S49" s="88" t="str">
        <f>'R3'!S39</f>
        <v/>
      </c>
      <c r="T49" s="88" t="str">
        <f>'R3'!T39</f>
        <v/>
      </c>
      <c r="U49" s="88" t="str">
        <f>'R3'!U39</f>
        <v/>
      </c>
      <c r="V49" s="88" t="str">
        <f>'R3'!V39</f>
        <v/>
      </c>
    </row>
    <row r="50" spans="1:24" s="1" customFormat="1" x14ac:dyDescent="0.25">
      <c r="A50" s="154"/>
      <c r="B50" s="88" t="str">
        <f>'R3'!B40</f>
        <v/>
      </c>
      <c r="C50" s="88" t="str">
        <f>'R3'!C40</f>
        <v/>
      </c>
      <c r="D50" s="88" t="str">
        <f>'R3'!D40</f>
        <v/>
      </c>
      <c r="E50" s="88" t="str">
        <f>'R3'!E40</f>
        <v/>
      </c>
      <c r="F50" s="88" t="str">
        <f>'R3'!F40</f>
        <v/>
      </c>
      <c r="G50" s="88" t="str">
        <f>'R3'!G40</f>
        <v/>
      </c>
      <c r="H50" s="88" t="str">
        <f>'R3'!H40</f>
        <v/>
      </c>
      <c r="I50" s="88" t="str">
        <f>'R3'!I40</f>
        <v/>
      </c>
      <c r="J50" s="88" t="str">
        <f>'R3'!J40</f>
        <v/>
      </c>
      <c r="K50" s="88" t="str">
        <f>'R3'!K40</f>
        <v/>
      </c>
      <c r="L50" s="88" t="str">
        <f>'R3'!L40</f>
        <v/>
      </c>
      <c r="M50" s="88" t="str">
        <f>'R3'!M40</f>
        <v/>
      </c>
      <c r="N50"/>
      <c r="O50" s="88">
        <f>'R3'!O40</f>
        <v>1.4267709227181886</v>
      </c>
      <c r="P50" s="88" t="str">
        <f>'R3'!P40</f>
        <v/>
      </c>
      <c r="Q50" s="88" t="str">
        <f>'R3'!Q40</f>
        <v/>
      </c>
      <c r="R50" s="88" t="str">
        <f>'R3'!R40</f>
        <v/>
      </c>
      <c r="S50" s="88" t="str">
        <f>'R3'!S40</f>
        <v/>
      </c>
      <c r="T50" s="88" t="str">
        <f>'R3'!T40</f>
        <v/>
      </c>
      <c r="U50" s="88" t="str">
        <f>'R3'!U40</f>
        <v/>
      </c>
      <c r="V50" s="88" t="str">
        <f>'R3'!V40</f>
        <v/>
      </c>
    </row>
    <row r="51" spans="1:24" s="1" customFormat="1" x14ac:dyDescent="0.25">
      <c r="A51" s="154"/>
      <c r="B51" s="88" t="str">
        <f>'R3'!B41</f>
        <v/>
      </c>
      <c r="C51" s="88" t="str">
        <f>'R3'!C41</f>
        <v/>
      </c>
      <c r="D51" s="88" t="str">
        <f>'R3'!D41</f>
        <v/>
      </c>
      <c r="E51" s="88" t="str">
        <f>'R3'!E41</f>
        <v/>
      </c>
      <c r="F51" s="88" t="str">
        <f>'R3'!F41</f>
        <v/>
      </c>
      <c r="G51" s="88" t="str">
        <f>'R3'!G41</f>
        <v/>
      </c>
      <c r="H51" s="88" t="str">
        <f>'R3'!H41</f>
        <v/>
      </c>
      <c r="I51" s="88" t="str">
        <f>'R3'!I41</f>
        <v/>
      </c>
      <c r="J51" s="88" t="str">
        <f>'R3'!J41</f>
        <v/>
      </c>
      <c r="K51" s="88" t="str">
        <f>'R3'!K41</f>
        <v/>
      </c>
      <c r="L51" s="88" t="str">
        <f>'R3'!L41</f>
        <v/>
      </c>
      <c r="M51" s="88" t="str">
        <f>'R3'!M41</f>
        <v/>
      </c>
      <c r="N51"/>
      <c r="O51" s="88">
        <f>'R3'!O41</f>
        <v>0.7724722690213881</v>
      </c>
      <c r="P51" s="88" t="str">
        <f>'R3'!P41</f>
        <v/>
      </c>
      <c r="Q51" s="88" t="str">
        <f>'R3'!Q41</f>
        <v/>
      </c>
      <c r="R51" s="88" t="str">
        <f>'R3'!R41</f>
        <v/>
      </c>
      <c r="S51" s="88" t="str">
        <f>'R3'!S41</f>
        <v/>
      </c>
      <c r="T51" s="88" t="str">
        <f>'R3'!T41</f>
        <v/>
      </c>
      <c r="U51" s="88" t="str">
        <f>'R3'!U41</f>
        <v/>
      </c>
      <c r="V51" s="88" t="str">
        <f>'R3'!V41</f>
        <v/>
      </c>
    </row>
    <row r="52" spans="1:24" s="1" customFormat="1" x14ac:dyDescent="0.25">
      <c r="A52" s="154"/>
      <c r="B52" s="88" t="str">
        <f>'R3'!B42</f>
        <v/>
      </c>
      <c r="C52" s="88" t="str">
        <f>'R3'!C42</f>
        <v/>
      </c>
      <c r="D52" s="88" t="str">
        <f>'R3'!D42</f>
        <v/>
      </c>
      <c r="E52" s="88" t="str">
        <f>'R3'!E42</f>
        <v/>
      </c>
      <c r="F52" s="88" t="str">
        <f>'R3'!F42</f>
        <v/>
      </c>
      <c r="G52" s="88" t="str">
        <f>'R3'!G42</f>
        <v/>
      </c>
      <c r="H52" s="88" t="str">
        <f>'R3'!H42</f>
        <v/>
      </c>
      <c r="I52" s="88" t="str">
        <f>'R3'!I42</f>
        <v/>
      </c>
      <c r="J52" s="88" t="str">
        <f>'R3'!J42</f>
        <v/>
      </c>
      <c r="K52" s="88" t="str">
        <f>'R3'!K42</f>
        <v/>
      </c>
      <c r="L52" s="88" t="str">
        <f>'R3'!L42</f>
        <v/>
      </c>
      <c r="M52" s="88" t="str">
        <f>'R3'!M42</f>
        <v/>
      </c>
      <c r="N52"/>
      <c r="O52" s="88">
        <f>'R3'!O42</f>
        <v>0.8773110894357079</v>
      </c>
      <c r="P52" s="88" t="str">
        <f>'R3'!P42</f>
        <v/>
      </c>
      <c r="Q52" s="88" t="str">
        <f>'R3'!Q42</f>
        <v/>
      </c>
      <c r="R52" s="88" t="str">
        <f>'R3'!R42</f>
        <v/>
      </c>
      <c r="S52" s="88" t="str">
        <f>'R3'!S42</f>
        <v/>
      </c>
      <c r="T52" s="88" t="str">
        <f>'R3'!T42</f>
        <v/>
      </c>
      <c r="U52" s="88" t="str">
        <f>'R3'!U42</f>
        <v/>
      </c>
      <c r="V52" s="88" t="str">
        <f>'R3'!V42</f>
        <v/>
      </c>
    </row>
    <row r="53" spans="1:24" s="1" customFormat="1" x14ac:dyDescent="0.25">
      <c r="A53" s="155"/>
      <c r="B53" s="88" t="str">
        <f>'R3'!B43</f>
        <v/>
      </c>
      <c r="C53" s="88" t="str">
        <f>'R3'!C43</f>
        <v/>
      </c>
      <c r="D53" s="88" t="str">
        <f>'R3'!D43</f>
        <v/>
      </c>
      <c r="E53" s="88" t="str">
        <f>'R3'!E43</f>
        <v/>
      </c>
      <c r="F53" s="88" t="str">
        <f>'R3'!F43</f>
        <v/>
      </c>
      <c r="G53" s="88" t="str">
        <f>'R3'!G43</f>
        <v/>
      </c>
      <c r="H53" s="88" t="str">
        <f>'R3'!H43</f>
        <v/>
      </c>
      <c r="I53" s="88" t="str">
        <f>'R3'!I43</f>
        <v/>
      </c>
      <c r="J53" s="88" t="str">
        <f>'R3'!J43</f>
        <v/>
      </c>
      <c r="K53" s="88" t="str">
        <f>'R3'!K43</f>
        <v/>
      </c>
      <c r="L53" s="88" t="str">
        <f>'R3'!L43</f>
        <v/>
      </c>
      <c r="M53" s="88" t="str">
        <f>'R3'!M43</f>
        <v/>
      </c>
      <c r="N53"/>
      <c r="O53" s="88">
        <f>'R3'!O43</f>
        <v>0.92602535556699062</v>
      </c>
      <c r="P53" s="88" t="str">
        <f>'R3'!P43</f>
        <v/>
      </c>
      <c r="Q53" s="88" t="str">
        <f>'R3'!Q43</f>
        <v/>
      </c>
      <c r="R53" s="88" t="str">
        <f>'R3'!R43</f>
        <v/>
      </c>
      <c r="S53" s="88" t="str">
        <f>'R3'!S43</f>
        <v/>
      </c>
      <c r="T53" s="88" t="str">
        <f>'R3'!T43</f>
        <v/>
      </c>
      <c r="U53" s="88" t="str">
        <f>'R3'!U43</f>
        <v/>
      </c>
      <c r="V53" s="88" t="str">
        <f>'R3'!V43</f>
        <v/>
      </c>
    </row>
    <row r="54" spans="1:24" s="45" customFormat="1" x14ac:dyDescent="0.25">
      <c r="A54" s="43"/>
      <c r="B54" s="44"/>
      <c r="C54" s="44"/>
      <c r="D54" s="44"/>
      <c r="E54" s="44"/>
      <c r="F54" s="44"/>
      <c r="G54" s="44"/>
      <c r="H54" s="44"/>
      <c r="I54" s="44"/>
      <c r="J54" s="44"/>
      <c r="K54" s="44"/>
      <c r="L54" s="44"/>
      <c r="M54" s="44"/>
      <c r="N54"/>
      <c r="O54" s="44"/>
      <c r="P54" s="44"/>
      <c r="Q54" s="44"/>
      <c r="R54" s="44"/>
      <c r="S54" s="44"/>
      <c r="T54" s="44"/>
      <c r="U54" s="44"/>
      <c r="V54" s="44"/>
    </row>
    <row r="55" spans="1:24" s="26" customFormat="1" x14ac:dyDescent="0.25">
      <c r="A55" s="26" t="s">
        <v>27</v>
      </c>
      <c r="B55" s="15" t="str">
        <f t="shared" ref="B55:M55" si="0">B4</f>
        <v>Solvent control</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Estradiol-34ng/L</v>
      </c>
      <c r="J55" s="15" t="str">
        <f t="shared" si="0"/>
        <v>Estradiol-68ng/L</v>
      </c>
      <c r="K55" s="15" t="str">
        <f t="shared" si="0"/>
        <v>Estradiol-135ng/L</v>
      </c>
      <c r="L55" s="15" t="str">
        <f t="shared" si="0"/>
        <v>Estradiol-270ng/L</v>
      </c>
      <c r="M55" s="15" t="str">
        <f t="shared" si="0"/>
        <v>Estradiol-540ng/L</v>
      </c>
      <c r="O55" s="15" t="str">
        <f t="shared" ref="O55:V55" si="1">O4</f>
        <v>Testo -30µg/L</v>
      </c>
      <c r="P55" s="15" t="str">
        <f t="shared" si="1"/>
        <v>Testo 30µg/L + EE2 -64ng/L</v>
      </c>
      <c r="Q55" s="15" t="str">
        <f t="shared" si="1"/>
        <v>Testo 30µg/L + FAD-10mg/L</v>
      </c>
      <c r="R55" s="15" t="str">
        <f t="shared" si="1"/>
        <v>Estradiol-34ng/L + Testostérone</v>
      </c>
      <c r="S55" s="15" t="str">
        <f t="shared" si="1"/>
        <v>Estradiol-68ng/L + Testostérone</v>
      </c>
      <c r="T55" s="15" t="str">
        <f t="shared" si="1"/>
        <v>Estradiol-135ng/L + Testostérone</v>
      </c>
      <c r="U55" s="15" t="str">
        <f t="shared" si="1"/>
        <v>Estradiol-270ng/L + Testostérone</v>
      </c>
      <c r="V55" s="15" t="str">
        <f t="shared" si="1"/>
        <v>Estradiol-540ng/L + Testostérone</v>
      </c>
    </row>
    <row r="56" spans="1:24" x14ac:dyDescent="0.25">
      <c r="A56" t="s">
        <v>28</v>
      </c>
      <c r="B56" s="9">
        <f t="shared" ref="B56:V56" si="2">AVERAGE(B6:B53)</f>
        <v>3.8190767447448759E-2</v>
      </c>
      <c r="C56" s="9">
        <f t="shared" si="2"/>
        <v>5.3115662453566116E-2</v>
      </c>
      <c r="D56" s="9">
        <f t="shared" si="2"/>
        <v>5.3029732173549261E-2</v>
      </c>
      <c r="E56" s="9">
        <f t="shared" si="2"/>
        <v>0.4763221699227318</v>
      </c>
      <c r="F56" s="9">
        <f t="shared" si="2"/>
        <v>0.56709286113035406</v>
      </c>
      <c r="G56" s="9">
        <f t="shared" si="2"/>
        <v>1.1525481764221814</v>
      </c>
      <c r="H56" s="9">
        <f t="shared" si="2"/>
        <v>1.9365197271517864</v>
      </c>
      <c r="I56" s="9">
        <f t="shared" si="2"/>
        <v>1.8964701794775798E-2</v>
      </c>
      <c r="J56" s="9">
        <f t="shared" si="2"/>
        <v>6.1906476064607634E-2</v>
      </c>
      <c r="K56" s="9">
        <f t="shared" si="2"/>
        <v>0.34701011849553437</v>
      </c>
      <c r="L56" s="9">
        <f t="shared" si="2"/>
        <v>1.3991873178449488</v>
      </c>
      <c r="M56" s="9">
        <f t="shared" si="2"/>
        <v>2.0682652730098239</v>
      </c>
      <c r="N56" s="9"/>
      <c r="O56" s="9">
        <f t="shared" si="2"/>
        <v>1</v>
      </c>
      <c r="P56" s="9">
        <f t="shared" si="2"/>
        <v>1.4456078367727161</v>
      </c>
      <c r="Q56" s="9">
        <f t="shared" si="2"/>
        <v>4.7605949471705912E-2</v>
      </c>
      <c r="R56" s="9">
        <f t="shared" si="2"/>
        <v>1.2662068946872063</v>
      </c>
      <c r="S56" s="9">
        <f t="shared" si="2"/>
        <v>1.3083714243757167</v>
      </c>
      <c r="T56" s="9">
        <f t="shared" si="2"/>
        <v>1.6384875359971158</v>
      </c>
      <c r="U56" s="9">
        <f t="shared" si="2"/>
        <v>1.8190191566111003</v>
      </c>
      <c r="V56" s="9">
        <f t="shared" si="2"/>
        <v>2.1381708308641865</v>
      </c>
    </row>
    <row r="57" spans="1:24" x14ac:dyDescent="0.25">
      <c r="A57" t="s">
        <v>1</v>
      </c>
      <c r="B57" s="3">
        <f>STDEV(B6:B53)</f>
        <v>4.6702957504536444E-2</v>
      </c>
      <c r="C57" s="3">
        <f t="shared" ref="C57:V57" si="3">STDEV(C6:C53)</f>
        <v>0.15160936029068872</v>
      </c>
      <c r="D57" s="3">
        <f t="shared" si="3"/>
        <v>7.4663847979302603E-2</v>
      </c>
      <c r="E57" s="3">
        <f t="shared" si="3"/>
        <v>0.62959828785400618</v>
      </c>
      <c r="F57" s="3">
        <f t="shared" si="3"/>
        <v>0.49841297522746913</v>
      </c>
      <c r="G57" s="3">
        <f t="shared" si="3"/>
        <v>0.56150334580575945</v>
      </c>
      <c r="H57" s="3">
        <f t="shared" si="3"/>
        <v>0.54293079755303819</v>
      </c>
      <c r="I57" s="3">
        <f t="shared" si="3"/>
        <v>3.2350902289359024E-2</v>
      </c>
      <c r="J57" s="3">
        <f t="shared" si="3"/>
        <v>6.5660902866924789E-2</v>
      </c>
      <c r="K57" s="3">
        <f t="shared" si="3"/>
        <v>0.40420217217797999</v>
      </c>
      <c r="L57" s="3">
        <f t="shared" si="3"/>
        <v>0.37198245942661329</v>
      </c>
      <c r="M57" s="3">
        <f t="shared" si="3"/>
        <v>0.62840214929900118</v>
      </c>
      <c r="N57" s="3"/>
      <c r="O57" s="3">
        <f t="shared" si="3"/>
        <v>0.48954521898886239</v>
      </c>
      <c r="P57" s="3">
        <f t="shared" si="3"/>
        <v>0.43455228458909539</v>
      </c>
      <c r="Q57" s="3">
        <f t="shared" si="3"/>
        <v>5.7715835839291074E-2</v>
      </c>
      <c r="R57" s="3">
        <f t="shared" si="3"/>
        <v>0.45321685331574918</v>
      </c>
      <c r="S57" s="3">
        <f t="shared" si="3"/>
        <v>0.61759708162971738</v>
      </c>
      <c r="T57" s="3">
        <f t="shared" si="3"/>
        <v>0.6914748809986444</v>
      </c>
      <c r="U57" s="3">
        <f t="shared" si="3"/>
        <v>0.67209847295232206</v>
      </c>
      <c r="V57" s="3">
        <f t="shared" si="3"/>
        <v>0.496720552327437</v>
      </c>
      <c r="W57" s="3"/>
      <c r="X57" s="3"/>
    </row>
    <row r="58" spans="1:24" x14ac:dyDescent="0.25">
      <c r="A58" t="s">
        <v>2</v>
      </c>
      <c r="B58" s="3">
        <f xml:space="preserve"> B57/SQRT(COUNT(B6:B53))</f>
        <v>9.5332012804167227E-3</v>
      </c>
      <c r="C58" s="3">
        <f t="shared" ref="C58:V58" si="4" xml:space="preserve"> C57/SQRT(COUNT(C6:C53))</f>
        <v>3.0947131078496778E-2</v>
      </c>
      <c r="D58" s="3">
        <f t="shared" si="4"/>
        <v>1.5240694148502022E-2</v>
      </c>
      <c r="E58" s="3">
        <f t="shared" si="4"/>
        <v>0.12851621234768659</v>
      </c>
      <c r="F58" s="3">
        <f t="shared" si="4"/>
        <v>0.10173812254081099</v>
      </c>
      <c r="G58" s="3">
        <f t="shared" si="4"/>
        <v>0.11461639050747031</v>
      </c>
      <c r="H58" s="3">
        <f t="shared" si="4"/>
        <v>0.11082528497060479</v>
      </c>
      <c r="I58" s="3">
        <f t="shared" si="4"/>
        <v>6.745629435083376E-3</v>
      </c>
      <c r="J58" s="3">
        <f t="shared" si="4"/>
        <v>1.3691244687755325E-2</v>
      </c>
      <c r="K58" s="3">
        <f t="shared" si="4"/>
        <v>8.2507422896720181E-2</v>
      </c>
      <c r="L58" s="3">
        <f t="shared" si="4"/>
        <v>7.5930601571729081E-2</v>
      </c>
      <c r="M58" s="3">
        <f t="shared" si="4"/>
        <v>0.13103090595328765</v>
      </c>
      <c r="N58" s="3"/>
      <c r="O58" s="3">
        <f t="shared" si="4"/>
        <v>7.0659765990928505E-2</v>
      </c>
      <c r="P58" s="3">
        <f t="shared" si="4"/>
        <v>8.6910456917819082E-2</v>
      </c>
      <c r="Q58" s="3">
        <f t="shared" si="4"/>
        <v>1.1781195657041769E-2</v>
      </c>
      <c r="R58" s="3">
        <f t="shared" si="4"/>
        <v>9.2512502787782988E-2</v>
      </c>
      <c r="S58" s="3">
        <f t="shared" si="4"/>
        <v>0.1260664763854015</v>
      </c>
      <c r="T58" s="3">
        <f t="shared" si="4"/>
        <v>0.14114671903319986</v>
      </c>
      <c r="U58" s="3">
        <f t="shared" si="4"/>
        <v>0.13719152630307918</v>
      </c>
      <c r="V58" s="3">
        <f t="shared" si="4"/>
        <v>0.10139265816297099</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33" customFormat="1" ht="27" thickBot="1" x14ac:dyDescent="0.3">
      <c r="A60" s="156" t="s">
        <v>26</v>
      </c>
      <c r="B60" s="157"/>
      <c r="C60" s="157"/>
      <c r="D60" s="157"/>
      <c r="E60" s="157"/>
      <c r="F60" s="157"/>
      <c r="G60" s="157"/>
      <c r="H60" s="157"/>
      <c r="I60" s="157"/>
      <c r="J60" s="157"/>
      <c r="K60" s="157"/>
      <c r="L60" s="157"/>
      <c r="M60" s="157"/>
      <c r="N60" s="157"/>
      <c r="O60" s="157"/>
      <c r="P60" s="157"/>
      <c r="Q60" s="157"/>
      <c r="R60" s="157"/>
      <c r="S60" s="157"/>
      <c r="T60" s="157"/>
      <c r="U60" s="157"/>
      <c r="V60" s="157"/>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27</v>
      </c>
      <c r="B62" s="3" t="str">
        <f t="shared" ref="B62" si="5">B4</f>
        <v>Solvent control</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Estradiol-34ng/L</v>
      </c>
      <c r="J62" s="3" t="str">
        <f t="shared" si="6"/>
        <v>Estradiol-68ng/L</v>
      </c>
      <c r="K62" s="3" t="str">
        <f t="shared" si="6"/>
        <v>Estradiol-135ng/L</v>
      </c>
      <c r="L62" s="3" t="str">
        <f t="shared" si="6"/>
        <v>Estradiol-270ng/L</v>
      </c>
      <c r="M62" s="3" t="str">
        <f t="shared" si="6"/>
        <v>Estradiol-540ng/L</v>
      </c>
      <c r="N62" s="3"/>
      <c r="O62" s="3" t="str">
        <f t="shared" si="6"/>
        <v>Testo -30µg/L</v>
      </c>
      <c r="P62" s="3" t="str">
        <f t="shared" si="6"/>
        <v>Testo 30µg/L + EE2 -64ng/L</v>
      </c>
      <c r="Q62" s="3" t="str">
        <f t="shared" si="6"/>
        <v>Testo 30µg/L + FAD-10mg/L</v>
      </c>
      <c r="R62" s="3" t="str">
        <f t="shared" si="6"/>
        <v>Estradiol-34ng/L + Testostérone</v>
      </c>
      <c r="S62" s="3" t="str">
        <f t="shared" si="6"/>
        <v>Estradiol-68ng/L + Testostérone</v>
      </c>
      <c r="T62" s="3" t="str">
        <f t="shared" si="6"/>
        <v>Estradiol-135ng/L + Testostérone</v>
      </c>
      <c r="U62" s="3" t="str">
        <f t="shared" si="6"/>
        <v>Estradiol-270ng/L + Testostérone</v>
      </c>
      <c r="V62" s="3" t="str">
        <f t="shared" si="6"/>
        <v>Estradiol-540ng/L + Testostérone</v>
      </c>
    </row>
    <row r="63" spans="1:24" s="1" customFormat="1" x14ac:dyDescent="0.25">
      <c r="A63" s="1" t="s">
        <v>29</v>
      </c>
      <c r="B63" s="3">
        <f>COUNT(B6:B53)</f>
        <v>24</v>
      </c>
      <c r="C63" s="3">
        <f t="shared" ref="C63:V63" si="7">COUNT(C6:C53)</f>
        <v>24</v>
      </c>
      <c r="D63" s="3">
        <f t="shared" si="7"/>
        <v>24</v>
      </c>
      <c r="E63" s="3">
        <f t="shared" si="7"/>
        <v>24</v>
      </c>
      <c r="F63" s="3">
        <f t="shared" si="7"/>
        <v>24</v>
      </c>
      <c r="G63" s="3">
        <f t="shared" si="7"/>
        <v>24</v>
      </c>
      <c r="H63" s="3">
        <f t="shared" si="7"/>
        <v>24</v>
      </c>
      <c r="I63" s="3">
        <f t="shared" si="7"/>
        <v>23</v>
      </c>
      <c r="J63" s="3">
        <f t="shared" si="7"/>
        <v>23</v>
      </c>
      <c r="K63" s="3">
        <f t="shared" si="7"/>
        <v>24</v>
      </c>
      <c r="L63" s="3">
        <f t="shared" si="7"/>
        <v>24</v>
      </c>
      <c r="M63" s="3">
        <f t="shared" si="7"/>
        <v>23</v>
      </c>
      <c r="N63" s="3"/>
      <c r="O63" s="3">
        <f t="shared" si="7"/>
        <v>48</v>
      </c>
      <c r="P63" s="3">
        <f t="shared" si="7"/>
        <v>25</v>
      </c>
      <c r="Q63" s="3">
        <f t="shared" si="7"/>
        <v>24</v>
      </c>
      <c r="R63" s="3">
        <f t="shared" si="7"/>
        <v>24</v>
      </c>
      <c r="S63" s="3">
        <f t="shared" si="7"/>
        <v>24</v>
      </c>
      <c r="T63" s="3">
        <f t="shared" si="7"/>
        <v>24</v>
      </c>
      <c r="U63" s="3">
        <f t="shared" si="7"/>
        <v>24</v>
      </c>
      <c r="V63" s="3">
        <f t="shared" si="7"/>
        <v>24</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33" customFormat="1" ht="27" thickBot="1" x14ac:dyDescent="0.3">
      <c r="A65" s="156" t="s">
        <v>37</v>
      </c>
      <c r="B65" s="157"/>
      <c r="C65" s="157"/>
      <c r="D65" s="157"/>
      <c r="E65" s="157"/>
      <c r="F65" s="157"/>
      <c r="G65" s="157"/>
      <c r="H65" s="157"/>
      <c r="I65" s="157"/>
      <c r="J65" s="157"/>
      <c r="K65" s="157"/>
      <c r="L65" s="157"/>
      <c r="M65" s="157"/>
      <c r="N65" s="157"/>
      <c r="O65" s="157"/>
      <c r="P65" s="157"/>
      <c r="Q65" s="157"/>
      <c r="R65" s="157"/>
      <c r="S65" s="157"/>
      <c r="T65" s="157"/>
      <c r="U65" s="157"/>
      <c r="V65" s="157"/>
    </row>
    <row r="66" spans="1:22" s="1" customFormat="1" x14ac:dyDescent="0.25">
      <c r="B66" s="1" t="s">
        <v>39</v>
      </c>
      <c r="C66" s="3"/>
      <c r="D66" s="3"/>
      <c r="E66" s="3"/>
      <c r="F66" s="3"/>
      <c r="G66" s="3"/>
      <c r="H66" s="3"/>
      <c r="I66" s="3"/>
      <c r="J66" s="3"/>
      <c r="K66" s="3"/>
      <c r="L66" s="3"/>
      <c r="M66" s="3"/>
      <c r="N66" s="3"/>
      <c r="O66" s="3"/>
      <c r="P66" s="3"/>
      <c r="Q66" s="3"/>
      <c r="R66" s="3"/>
      <c r="S66" s="3"/>
      <c r="T66" s="3"/>
      <c r="U66" s="3"/>
      <c r="V66" s="3"/>
    </row>
    <row r="67" spans="1:22" s="1" customFormat="1" x14ac:dyDescent="0.25">
      <c r="A67" s="1" t="s">
        <v>38</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40</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41</v>
      </c>
      <c r="B69" s="3">
        <v>0.5</v>
      </c>
      <c r="C69" s="3"/>
      <c r="D69" s="3"/>
      <c r="E69" s="3"/>
      <c r="F69" s="3"/>
      <c r="G69" s="3"/>
      <c r="H69" s="3"/>
      <c r="I69" s="3"/>
      <c r="J69" s="3"/>
      <c r="K69" s="3"/>
      <c r="L69" s="3"/>
      <c r="M69" s="3"/>
      <c r="N69" s="3"/>
      <c r="O69" s="3"/>
      <c r="P69" s="3"/>
      <c r="Q69" s="3"/>
      <c r="R69" s="3"/>
      <c r="S69" s="3"/>
      <c r="T69" s="3"/>
      <c r="U69" s="3"/>
      <c r="V69" s="3"/>
    </row>
    <row r="70" spans="1:22" s="33" customFormat="1" ht="27" thickBot="1" x14ac:dyDescent="0.3">
      <c r="A70" s="156" t="s">
        <v>32</v>
      </c>
      <c r="B70" s="157"/>
      <c r="C70" s="157"/>
      <c r="D70" s="157"/>
      <c r="E70" s="157"/>
      <c r="F70" s="157"/>
      <c r="G70" s="157"/>
      <c r="H70" s="157"/>
      <c r="I70" s="157"/>
      <c r="J70" s="157"/>
      <c r="K70" s="157"/>
      <c r="L70" s="157"/>
      <c r="M70" s="157"/>
      <c r="N70" s="157"/>
      <c r="O70" s="157"/>
      <c r="P70" s="157"/>
      <c r="Q70" s="157"/>
      <c r="R70" s="157"/>
      <c r="S70" s="157"/>
      <c r="T70" s="157"/>
      <c r="U70" s="157"/>
      <c r="V70" s="157"/>
    </row>
    <row r="71" spans="1:22" ht="15.75" thickBot="1" x14ac:dyDescent="0.3"/>
    <row r="72" spans="1:22" s="33" customFormat="1" ht="27" thickBot="1" x14ac:dyDescent="0.3">
      <c r="A72" s="156" t="s">
        <v>33</v>
      </c>
      <c r="B72" s="157"/>
      <c r="C72" s="157"/>
      <c r="D72" s="157"/>
      <c r="E72" s="157"/>
      <c r="F72" s="157"/>
      <c r="G72" s="157"/>
      <c r="H72" s="157"/>
      <c r="I72" s="157"/>
      <c r="J72" s="157"/>
      <c r="K72" s="157"/>
      <c r="L72" s="157"/>
      <c r="M72" s="157"/>
      <c r="N72" s="157"/>
      <c r="O72" s="157"/>
      <c r="P72" s="157"/>
      <c r="Q72" s="157"/>
      <c r="R72" s="157"/>
      <c r="S72" s="157"/>
      <c r="T72" s="157"/>
      <c r="U72" s="157"/>
      <c r="V72" s="157"/>
    </row>
    <row r="73" spans="1:22" ht="15.75" thickBot="1" x14ac:dyDescent="0.3">
      <c r="J73" s="3">
        <v>1</v>
      </c>
      <c r="K73" s="3">
        <v>2</v>
      </c>
      <c r="L73" s="3">
        <v>3</v>
      </c>
      <c r="M73" s="3">
        <v>4</v>
      </c>
      <c r="R73" s="3">
        <v>1</v>
      </c>
      <c r="S73" s="3">
        <v>2</v>
      </c>
      <c r="T73" s="3">
        <v>3</v>
      </c>
      <c r="U73" s="3">
        <v>4</v>
      </c>
      <c r="V73" s="3">
        <v>5</v>
      </c>
    </row>
    <row r="74" spans="1:22" s="1" customFormat="1" x14ac:dyDescent="0.25">
      <c r="A74" s="29" t="s">
        <v>22</v>
      </c>
      <c r="B74" s="30" t="str">
        <f t="shared" ref="B74:M74" si="9">B4</f>
        <v>Solvent control</v>
      </c>
      <c r="C74" s="30" t="str">
        <f t="shared" si="9"/>
        <v>EE2-33.8ng/L</v>
      </c>
      <c r="D74" s="30" t="str">
        <f t="shared" si="9"/>
        <v>EE2-50.6ng/L</v>
      </c>
      <c r="E74" s="30" t="str">
        <f t="shared" si="9"/>
        <v>EE2-76ng/L</v>
      </c>
      <c r="F74" s="30" t="str">
        <f t="shared" si="9"/>
        <v>EE2-114ng/L</v>
      </c>
      <c r="G74" s="30" t="str">
        <f t="shared" si="9"/>
        <v>EE2-170.9ng/L</v>
      </c>
      <c r="H74" s="30" t="str">
        <f t="shared" si="9"/>
        <v>EE2-488ng/L</v>
      </c>
      <c r="I74" s="30" t="str">
        <f t="shared" si="9"/>
        <v>Estradiol-34ng/L</v>
      </c>
      <c r="J74" s="30" t="str">
        <f t="shared" si="9"/>
        <v>Estradiol-68ng/L</v>
      </c>
      <c r="K74" s="30" t="str">
        <f t="shared" si="9"/>
        <v>Estradiol-135ng/L</v>
      </c>
      <c r="L74" s="30" t="str">
        <f t="shared" si="9"/>
        <v>Estradiol-270ng/L</v>
      </c>
      <c r="M74" s="30" t="str">
        <f t="shared" si="9"/>
        <v>Estradiol-540ng/L</v>
      </c>
      <c r="N74" s="30"/>
      <c r="O74" s="30" t="str">
        <f t="shared" ref="O74:V74" si="10">O4</f>
        <v>Testo -30µg/L</v>
      </c>
      <c r="P74" s="30" t="str">
        <f t="shared" si="10"/>
        <v>Testo 30µg/L + EE2 -64ng/L</v>
      </c>
      <c r="Q74" s="30" t="str">
        <f t="shared" si="10"/>
        <v>Testo 30µg/L + FAD-10mg/L</v>
      </c>
      <c r="R74" s="30" t="str">
        <f t="shared" si="10"/>
        <v>Estradiol-34ng/L + Testostérone</v>
      </c>
      <c r="S74" s="30" t="str">
        <f t="shared" si="10"/>
        <v>Estradiol-68ng/L + Testostérone</v>
      </c>
      <c r="T74" s="30" t="str">
        <f t="shared" si="10"/>
        <v>Estradiol-135ng/L + Testostérone</v>
      </c>
      <c r="U74" s="30" t="str">
        <f t="shared" si="10"/>
        <v>Estradiol-270ng/L + Testostérone</v>
      </c>
      <c r="V74" s="30" t="str">
        <f t="shared" si="10"/>
        <v>Estradiol-540ng/L + Testostérone</v>
      </c>
    </row>
    <row r="75" spans="1:22" s="3" customFormat="1" x14ac:dyDescent="0.25">
      <c r="A75" s="46" t="s">
        <v>15</v>
      </c>
      <c r="B75" s="78">
        <f>B56</f>
        <v>3.8190767447448759E-2</v>
      </c>
      <c r="C75" s="78">
        <f t="shared" ref="C75:V75" si="11">C56</f>
        <v>5.3115662453566116E-2</v>
      </c>
      <c r="D75" s="78">
        <f t="shared" si="11"/>
        <v>5.3029732173549261E-2</v>
      </c>
      <c r="E75" s="78">
        <f t="shared" si="11"/>
        <v>0.4763221699227318</v>
      </c>
      <c r="F75" s="78">
        <f t="shared" si="11"/>
        <v>0.56709286113035406</v>
      </c>
      <c r="G75" s="78">
        <f t="shared" si="11"/>
        <v>1.1525481764221814</v>
      </c>
      <c r="H75" s="78">
        <f t="shared" si="11"/>
        <v>1.9365197271517864</v>
      </c>
      <c r="I75" s="78">
        <f t="shared" si="11"/>
        <v>1.8964701794775798E-2</v>
      </c>
      <c r="J75" s="78">
        <f t="shared" si="11"/>
        <v>6.1906476064607634E-2</v>
      </c>
      <c r="K75" s="78">
        <f t="shared" si="11"/>
        <v>0.34701011849553437</v>
      </c>
      <c r="L75" s="78">
        <f t="shared" si="11"/>
        <v>1.3991873178449488</v>
      </c>
      <c r="M75" s="78">
        <f t="shared" si="11"/>
        <v>2.0682652730098239</v>
      </c>
      <c r="N75" s="78"/>
      <c r="O75" s="78">
        <f t="shared" si="11"/>
        <v>1</v>
      </c>
      <c r="P75" s="78">
        <f t="shared" si="11"/>
        <v>1.4456078367727161</v>
      </c>
      <c r="Q75" s="78">
        <f t="shared" si="11"/>
        <v>4.7605949471705912E-2</v>
      </c>
      <c r="R75" s="78">
        <f t="shared" si="11"/>
        <v>1.2662068946872063</v>
      </c>
      <c r="S75" s="78">
        <f t="shared" si="11"/>
        <v>1.3083714243757167</v>
      </c>
      <c r="T75" s="78">
        <f t="shared" si="11"/>
        <v>1.6384875359971158</v>
      </c>
      <c r="U75" s="78">
        <f t="shared" si="11"/>
        <v>1.8190191566111003</v>
      </c>
      <c r="V75" s="78">
        <f t="shared" si="11"/>
        <v>2.1381708308641865</v>
      </c>
    </row>
    <row r="76" spans="1:22" s="3" customFormat="1" x14ac:dyDescent="0.25">
      <c r="A76" s="46" t="s">
        <v>2</v>
      </c>
      <c r="B76" s="78">
        <f>B58</f>
        <v>9.5332012804167227E-3</v>
      </c>
      <c r="C76" s="78">
        <f t="shared" ref="C76:V76" si="12">C58</f>
        <v>3.0947131078496778E-2</v>
      </c>
      <c r="D76" s="78">
        <f t="shared" si="12"/>
        <v>1.5240694148502022E-2</v>
      </c>
      <c r="E76" s="78">
        <f t="shared" si="12"/>
        <v>0.12851621234768659</v>
      </c>
      <c r="F76" s="78">
        <f t="shared" si="12"/>
        <v>0.10173812254081099</v>
      </c>
      <c r="G76" s="78">
        <f t="shared" si="12"/>
        <v>0.11461639050747031</v>
      </c>
      <c r="H76" s="78">
        <f t="shared" si="12"/>
        <v>0.11082528497060479</v>
      </c>
      <c r="I76" s="78">
        <f t="shared" si="12"/>
        <v>6.745629435083376E-3</v>
      </c>
      <c r="J76" s="78">
        <f t="shared" si="12"/>
        <v>1.3691244687755325E-2</v>
      </c>
      <c r="K76" s="78">
        <f t="shared" si="12"/>
        <v>8.2507422896720181E-2</v>
      </c>
      <c r="L76" s="78">
        <f t="shared" si="12"/>
        <v>7.5930601571729081E-2</v>
      </c>
      <c r="M76" s="78">
        <f t="shared" si="12"/>
        <v>0.13103090595328765</v>
      </c>
      <c r="N76" s="78"/>
      <c r="O76" s="78">
        <f t="shared" si="12"/>
        <v>7.0659765990928505E-2</v>
      </c>
      <c r="P76" s="78">
        <f t="shared" si="12"/>
        <v>8.6910456917819082E-2</v>
      </c>
      <c r="Q76" s="78">
        <f t="shared" si="12"/>
        <v>1.1781195657041769E-2</v>
      </c>
      <c r="R76" s="78">
        <f t="shared" si="12"/>
        <v>9.2512502787782988E-2</v>
      </c>
      <c r="S76" s="78">
        <f t="shared" si="12"/>
        <v>0.1260664763854015</v>
      </c>
      <c r="T76" s="78">
        <f t="shared" si="12"/>
        <v>0.14114671903319986</v>
      </c>
      <c r="U76" s="78">
        <f t="shared" si="12"/>
        <v>0.13719152630307918</v>
      </c>
      <c r="V76" s="78">
        <f t="shared" si="12"/>
        <v>0.10139265816297099</v>
      </c>
    </row>
    <row r="77" spans="1:22" s="3" customFormat="1" x14ac:dyDescent="0.25">
      <c r="A77" s="46" t="s">
        <v>42</v>
      </c>
      <c r="B77" s="78">
        <f>(B75*100/$B$75)-100</f>
        <v>0</v>
      </c>
      <c r="C77" s="78">
        <f t="shared" ref="C77:M77" si="13">(C75*100/$B$75)-100</f>
        <v>39.079850978785117</v>
      </c>
      <c r="D77" s="78">
        <f t="shared" si="13"/>
        <v>38.854848220893189</v>
      </c>
      <c r="E77" s="78">
        <f t="shared" si="13"/>
        <v>1147.2181151587497</v>
      </c>
      <c r="F77" s="78">
        <f t="shared" si="13"/>
        <v>1384.8951697833379</v>
      </c>
      <c r="G77" s="78">
        <f t="shared" si="13"/>
        <v>2917.8712119574716</v>
      </c>
      <c r="H77" s="78">
        <f t="shared" si="13"/>
        <v>4970.6488939151996</v>
      </c>
      <c r="I77" s="78">
        <f t="shared" si="13"/>
        <v>-50.342181992358235</v>
      </c>
      <c r="J77" s="78">
        <f t="shared" si="13"/>
        <v>62.098015311664398</v>
      </c>
      <c r="K77" s="78">
        <f t="shared" si="13"/>
        <v>808.6230565359208</v>
      </c>
      <c r="L77" s="78">
        <f t="shared" si="13"/>
        <v>3563.6794999478807</v>
      </c>
      <c r="M77" s="78">
        <f t="shared" si="13"/>
        <v>5315.6158968415521</v>
      </c>
      <c r="N77" s="78"/>
      <c r="O77" s="78">
        <f t="shared" ref="O77:V77" si="14">(O75*100/$O$75)-100</f>
        <v>0</v>
      </c>
      <c r="P77" s="78">
        <f t="shared" si="14"/>
        <v>44.560783677271615</v>
      </c>
      <c r="Q77" s="78">
        <f t="shared" si="14"/>
        <v>-95.239405052829412</v>
      </c>
      <c r="R77" s="78">
        <f t="shared" si="14"/>
        <v>26.620689468720627</v>
      </c>
      <c r="S77" s="78">
        <f t="shared" si="14"/>
        <v>30.837142437571686</v>
      </c>
      <c r="T77" s="78">
        <f t="shared" si="14"/>
        <v>63.848753599711586</v>
      </c>
      <c r="U77" s="78">
        <f t="shared" si="14"/>
        <v>81.901915661110024</v>
      </c>
      <c r="V77" s="78">
        <f t="shared" si="14"/>
        <v>113.81708308641865</v>
      </c>
    </row>
    <row r="78" spans="1:22" s="3" customFormat="1" x14ac:dyDescent="0.25">
      <c r="A78" s="46" t="s">
        <v>43</v>
      </c>
      <c r="B78" s="78" t="e">
        <f ca="1">[1]!DPTEST(B6:B53)</f>
        <v>#NAME?</v>
      </c>
      <c r="C78" s="78" t="e">
        <f ca="1">[1]!DPTEST(C6:C53)</f>
        <v>#NAME?</v>
      </c>
      <c r="D78" s="78" t="e">
        <f ca="1">[1]!DPTEST(D6:D53)</f>
        <v>#NAME?</v>
      </c>
      <c r="E78" s="78" t="e">
        <f ca="1">[1]!DPTEST(E6:E53)</f>
        <v>#NAME?</v>
      </c>
      <c r="F78" s="78" t="e">
        <f ca="1">[1]!DPTEST(F6:F53)</f>
        <v>#NAME?</v>
      </c>
      <c r="G78" s="78" t="e">
        <f ca="1">[1]!DPTEST(G6:G53)</f>
        <v>#NAME?</v>
      </c>
      <c r="H78" s="78" t="e">
        <f ca="1">[1]!DPTEST(H6:H53)</f>
        <v>#NAME?</v>
      </c>
      <c r="I78" s="78" t="e">
        <f ca="1">[1]!DPTEST(I6:I53)</f>
        <v>#NAME?</v>
      </c>
      <c r="J78" s="78" t="e">
        <f ca="1">[1]!DPTEST(J6:J53)</f>
        <v>#NAME?</v>
      </c>
      <c r="K78" s="78" t="e">
        <f ca="1">[1]!DPTEST(K6:K53)</f>
        <v>#NAME?</v>
      </c>
      <c r="L78" s="78" t="e">
        <f ca="1">[1]!DPTEST(L6:L53)</f>
        <v>#NAME?</v>
      </c>
      <c r="M78" s="78" t="e">
        <f ca="1">[1]!DPTEST(M6:M53)</f>
        <v>#NAME?</v>
      </c>
      <c r="N78" s="78"/>
      <c r="O78" s="78" t="e">
        <f ca="1">[1]!DPTEST(O6:O53)</f>
        <v>#NAME?</v>
      </c>
      <c r="P78" s="78" t="e">
        <f ca="1">[1]!DPTEST(P6:P53)</f>
        <v>#NAME?</v>
      </c>
      <c r="Q78" s="78" t="e">
        <f ca="1">[1]!DPTEST(Q6:Q53)</f>
        <v>#NAME?</v>
      </c>
      <c r="R78" s="78" t="e">
        <f ca="1">[1]!DPTEST(R6:R53)</f>
        <v>#NAME?</v>
      </c>
      <c r="S78" s="78" t="e">
        <f ca="1">[1]!DPTEST(S6:S53)</f>
        <v>#NAME?</v>
      </c>
      <c r="T78" s="78" t="e">
        <f ca="1">[1]!DPTEST(T6:T53)</f>
        <v>#NAME?</v>
      </c>
      <c r="U78" s="78" t="e">
        <f ca="1">[1]!DPTEST(U6:U53)</f>
        <v>#NAME?</v>
      </c>
      <c r="V78" s="78" t="e">
        <f ca="1">[1]!DPTEST(V6:V53)</f>
        <v>#NAME?</v>
      </c>
    </row>
    <row r="79" spans="1:22" s="3" customFormat="1" x14ac:dyDescent="0.25">
      <c r="A79" s="46" t="s">
        <v>47</v>
      </c>
      <c r="B79" s="78" t="e">
        <f ca="1">IF(B78&gt;0.05,"Oui","Non")</f>
        <v>#NAME?</v>
      </c>
      <c r="C79" s="78" t="e">
        <f t="shared" ref="C79:V79" ca="1" si="15">IF(C78&gt;0.05,"Oui","Non")</f>
        <v>#NAME?</v>
      </c>
      <c r="D79" s="78" t="e">
        <f t="shared" ca="1" si="15"/>
        <v>#NAME?</v>
      </c>
      <c r="E79" s="78" t="e">
        <f t="shared" ca="1" si="15"/>
        <v>#NAME?</v>
      </c>
      <c r="F79" s="78" t="e">
        <f t="shared" ca="1" si="15"/>
        <v>#NAME?</v>
      </c>
      <c r="G79" s="78" t="e">
        <f t="shared" ca="1" si="15"/>
        <v>#NAME?</v>
      </c>
      <c r="H79" s="78" t="e">
        <f t="shared" ca="1" si="15"/>
        <v>#NAME?</v>
      </c>
      <c r="I79" s="78" t="e">
        <f t="shared" ca="1" si="15"/>
        <v>#NAME?</v>
      </c>
      <c r="J79" s="78" t="e">
        <f t="shared" ca="1" si="15"/>
        <v>#NAME?</v>
      </c>
      <c r="K79" s="78" t="e">
        <f t="shared" ca="1" si="15"/>
        <v>#NAME?</v>
      </c>
      <c r="L79" s="78" t="e">
        <f t="shared" ca="1" si="15"/>
        <v>#NAME?</v>
      </c>
      <c r="M79" s="78" t="e">
        <f t="shared" ca="1" si="15"/>
        <v>#NAME?</v>
      </c>
      <c r="N79" s="78"/>
      <c r="O79" s="78" t="e">
        <f t="shared" ca="1" si="15"/>
        <v>#NAME?</v>
      </c>
      <c r="P79" s="78" t="e">
        <f t="shared" ca="1" si="15"/>
        <v>#NAME?</v>
      </c>
      <c r="Q79" s="78" t="e">
        <f t="shared" ca="1" si="15"/>
        <v>#NAME?</v>
      </c>
      <c r="R79" s="78" t="e">
        <f t="shared" ca="1" si="15"/>
        <v>#NAME?</v>
      </c>
      <c r="S79" s="78" t="e">
        <f t="shared" ca="1" si="15"/>
        <v>#NAME?</v>
      </c>
      <c r="T79" s="78" t="e">
        <f t="shared" ca="1" si="15"/>
        <v>#NAME?</v>
      </c>
      <c r="U79" s="78" t="e">
        <f t="shared" ca="1" si="15"/>
        <v>#NAME?</v>
      </c>
      <c r="V79" s="78" t="e">
        <f t="shared" ca="1" si="15"/>
        <v>#NAME?</v>
      </c>
    </row>
    <row r="80" spans="1:22" s="3" customFormat="1" x14ac:dyDescent="0.25">
      <c r="A80" s="46" t="s">
        <v>49</v>
      </c>
      <c r="B80" s="78" t="str">
        <f ca="1">IF(COUNTIF(B79:I79, "Non")=0, "Oui","Non")</f>
        <v>Oui</v>
      </c>
      <c r="C80" s="78"/>
      <c r="D80" s="78"/>
      <c r="E80" s="78"/>
      <c r="F80" s="78"/>
      <c r="G80" s="78"/>
      <c r="H80" s="78"/>
      <c r="I80" s="78"/>
      <c r="J80" s="78" t="str">
        <f ca="1">IF(COUNTIF(J79:M79, "Non")&gt;0, "Oui","Non")</f>
        <v>Non</v>
      </c>
      <c r="K80" s="78"/>
      <c r="L80" s="78"/>
      <c r="M80" s="78"/>
      <c r="N80" s="78"/>
      <c r="O80" s="78"/>
      <c r="P80" s="78"/>
      <c r="Q80" s="78"/>
      <c r="R80" s="78" t="str">
        <f ca="1">IF(COUNTIF(R79:V79, "Non")&gt;0, "Oui","Non")</f>
        <v>Non</v>
      </c>
      <c r="S80" s="78"/>
      <c r="T80" s="78"/>
      <c r="U80" s="78"/>
      <c r="V80" s="78"/>
    </row>
    <row r="81" spans="1:22" s="3" customFormat="1" x14ac:dyDescent="0.25">
      <c r="A81" s="46" t="s">
        <v>44</v>
      </c>
      <c r="B81" s="78"/>
      <c r="C81" s="78" t="str">
        <f t="shared" ref="C81:I81" ca="1" si="16">IF($B80="Non","Kruskal-Wallis","ANOVA")</f>
        <v>ANOVA</v>
      </c>
      <c r="D81" s="78" t="str">
        <f t="shared" ca="1" si="16"/>
        <v>ANOVA</v>
      </c>
      <c r="E81" s="78" t="str">
        <f t="shared" ca="1" si="16"/>
        <v>ANOVA</v>
      </c>
      <c r="F81" s="78" t="str">
        <f t="shared" ca="1" si="16"/>
        <v>ANOVA</v>
      </c>
      <c r="G81" s="78" t="str">
        <f t="shared" ca="1" si="16"/>
        <v>ANOVA</v>
      </c>
      <c r="H81" s="78" t="str">
        <f t="shared" ca="1" si="16"/>
        <v>ANOVA</v>
      </c>
      <c r="I81" s="78" t="str">
        <f t="shared" ca="1" si="16"/>
        <v>ANOVA</v>
      </c>
      <c r="J81" s="78" t="e">
        <f t="shared" ref="J81:M81" ca="1" si="17">IF($B79="Non",IF(J79="Non","Mann Withney",IF(J79="Oui","Mann Withney","")),IF($B79="Oui",IF(J79="Oui","T-Test Welch",IF(J79="Non","Mann Withney",""))))</f>
        <v>#NAME?</v>
      </c>
      <c r="K81" s="78" t="e">
        <f t="shared" ca="1" si="17"/>
        <v>#NAME?</v>
      </c>
      <c r="L81" s="78" t="e">
        <f t="shared" ca="1" si="17"/>
        <v>#NAME?</v>
      </c>
      <c r="M81" s="78" t="e">
        <f t="shared" ca="1" si="17"/>
        <v>#NAME?</v>
      </c>
      <c r="N81" s="78"/>
      <c r="O81" s="78" t="e">
        <f ca="1">IF($B79="Non",IF(O79="Non","Mann Withney",IF(O79="Oui","Mann Withney","")),IF($B79="Oui",IF(O79="Oui","T-Test Welch",IF(O79="Non","Mann Withney",""))))</f>
        <v>#NAME?</v>
      </c>
      <c r="P81" s="78" t="e">
        <f t="shared" ref="P81:V81" ca="1" si="18">IF($O79="Non",IF(P79="Non","Mann Withney",IF(P$79="Oui","Mann Withney","")),IF($O79="Oui",IF(P79="Oui","T-Test Welch",IF(P79="Non","Mann Withney",""))))</f>
        <v>#NAME?</v>
      </c>
      <c r="Q81" s="78" t="e">
        <f t="shared" ca="1" si="18"/>
        <v>#NAME?</v>
      </c>
      <c r="R81" s="78" t="e">
        <f t="shared" ca="1" si="18"/>
        <v>#NAME?</v>
      </c>
      <c r="S81" s="78" t="e">
        <f t="shared" ca="1" si="18"/>
        <v>#NAME?</v>
      </c>
      <c r="T81" s="78" t="e">
        <f t="shared" ca="1" si="18"/>
        <v>#NAME?</v>
      </c>
      <c r="U81" s="78" t="e">
        <f t="shared" ca="1" si="18"/>
        <v>#NAME?</v>
      </c>
      <c r="V81" s="78" t="e">
        <f t="shared" ca="1" si="18"/>
        <v>#NAME?</v>
      </c>
    </row>
    <row r="82" spans="1:22" s="3" customFormat="1" x14ac:dyDescent="0.25">
      <c r="A82" s="46" t="s">
        <v>45</v>
      </c>
      <c r="B82" s="78"/>
      <c r="C82" s="118" t="s">
        <v>73</v>
      </c>
      <c r="D82" s="118" t="s">
        <v>73</v>
      </c>
      <c r="E82" s="118">
        <v>0.55489999999999995</v>
      </c>
      <c r="F82" s="118">
        <v>4.2599999999999999E-2</v>
      </c>
      <c r="G82" s="118" t="s">
        <v>74</v>
      </c>
      <c r="H82" s="118" t="s">
        <v>74</v>
      </c>
      <c r="I82" s="118" t="s">
        <v>73</v>
      </c>
      <c r="J82" s="118" t="s">
        <v>73</v>
      </c>
      <c r="K82" s="118">
        <v>0.4803</v>
      </c>
      <c r="L82" s="118" t="s">
        <v>74</v>
      </c>
      <c r="M82" s="118" t="s">
        <v>74</v>
      </c>
      <c r="N82" s="78"/>
      <c r="O82" s="118">
        <v>1E-4</v>
      </c>
      <c r="P82" s="78" t="e">
        <f ca="1">IF(P81="Mann Withney",[1]!MTEST($O6:$O53,P6:P53,2), IF(P81="T-Test Welch",_xlfn.T.TEST($O6:$O53,P6:P53,2,3),""))</f>
        <v>#NAME?</v>
      </c>
      <c r="Q82" s="119">
        <v>1E-4</v>
      </c>
      <c r="R82" s="118">
        <v>0.45019999999999999</v>
      </c>
      <c r="S82" s="118">
        <v>7.9500000000000001E-2</v>
      </c>
      <c r="T82" s="118">
        <v>8.9999999999999998E-4</v>
      </c>
      <c r="U82" s="118" t="s">
        <v>74</v>
      </c>
      <c r="V82" s="118" t="s">
        <v>74</v>
      </c>
    </row>
    <row r="83" spans="1:22" s="3" customFormat="1" ht="15.75" thickBot="1" x14ac:dyDescent="0.3">
      <c r="A83" s="47" t="s">
        <v>46</v>
      </c>
      <c r="B83" s="79"/>
      <c r="C83" s="79" t="str">
        <f t="shared" ref="C83:O83" si="19">IF(C82&gt;0.05,"NS",IF(C82&gt;0.01,"*",IF(C82&gt;0.001,"**","***")))</f>
        <v>NS</v>
      </c>
      <c r="D83" s="79" t="str">
        <f t="shared" si="19"/>
        <v>NS</v>
      </c>
      <c r="E83" s="79" t="str">
        <f t="shared" si="19"/>
        <v>NS</v>
      </c>
      <c r="F83" s="79" t="str">
        <f>IF(F82&gt;0.05,"NS",IF(F82&gt;0.01,"*",IF(F82&gt;0.001,"**","***")))</f>
        <v>*</v>
      </c>
      <c r="G83" s="79" t="s">
        <v>75</v>
      </c>
      <c r="H83" s="79" t="s">
        <v>75</v>
      </c>
      <c r="I83" s="79" t="str">
        <f t="shared" si="19"/>
        <v>NS</v>
      </c>
      <c r="J83" s="79" t="str">
        <f t="shared" si="19"/>
        <v>NS</v>
      </c>
      <c r="K83" s="79" t="s">
        <v>76</v>
      </c>
      <c r="L83" s="79" t="s">
        <v>75</v>
      </c>
      <c r="M83" s="79" t="s">
        <v>75</v>
      </c>
      <c r="N83" s="79"/>
      <c r="O83" s="79" t="str">
        <f t="shared" si="19"/>
        <v>***</v>
      </c>
      <c r="P83" s="79" t="e">
        <f t="shared" ref="P83" ca="1" si="20">IF(P82&gt;0.05,"NS",IF(P82&gt;0.01,"*",IF(P82&gt;0.001,"**","***")))</f>
        <v>#NAME?</v>
      </c>
      <c r="Q83" s="79" t="s">
        <v>75</v>
      </c>
      <c r="R83" s="79" t="s">
        <v>76</v>
      </c>
      <c r="S83" s="79" t="s">
        <v>76</v>
      </c>
      <c r="T83" s="79" t="str">
        <f t="shared" ref="T83" si="21">IF(T82&gt;0.05,"NS",IF(T82&gt;0.01,"*",IF(T82&gt;0.001,"**","***")))</f>
        <v>***</v>
      </c>
      <c r="U83" s="79" t="s">
        <v>75</v>
      </c>
      <c r="V83" s="79" t="s">
        <v>75</v>
      </c>
    </row>
    <row r="84" spans="1:22" s="1" customFormat="1" x14ac:dyDescent="0.25"/>
    <row r="85" spans="1:22" s="1" customFormat="1" x14ac:dyDescent="0.25">
      <c r="A85" s="2" t="s">
        <v>20</v>
      </c>
    </row>
    <row r="86" spans="1:22" x14ac:dyDescent="0.25">
      <c r="A86" s="1" t="s">
        <v>13</v>
      </c>
      <c r="B86" s="1">
        <f>B56+(3*B57)</f>
        <v>0.17829963996105808</v>
      </c>
    </row>
    <row r="87" spans="1:22" x14ac:dyDescent="0.25">
      <c r="A87" s="1" t="s">
        <v>14</v>
      </c>
      <c r="B87" s="1">
        <f>B56+(10*B57)</f>
        <v>0.50522034249281322</v>
      </c>
    </row>
    <row r="88" spans="1:22" ht="15.75" thickBot="1" x14ac:dyDescent="0.3"/>
    <row r="89" spans="1:22" s="33" customFormat="1" ht="27" thickBot="1" x14ac:dyDescent="0.3">
      <c r="A89" s="34" t="s">
        <v>34</v>
      </c>
      <c r="B89" s="35"/>
      <c r="C89" s="35"/>
      <c r="D89" s="35"/>
      <c r="E89" s="35"/>
      <c r="F89" s="35"/>
      <c r="G89" s="35"/>
      <c r="H89" s="35"/>
      <c r="I89" s="35"/>
      <c r="J89" s="35"/>
      <c r="K89" s="35"/>
      <c r="L89" s="35"/>
      <c r="M89" s="35"/>
      <c r="N89" s="35"/>
      <c r="O89" s="35"/>
      <c r="P89" s="35"/>
      <c r="Q89" s="35"/>
      <c r="R89" s="35"/>
      <c r="S89" s="35"/>
      <c r="T89" s="35"/>
      <c r="U89" s="35"/>
      <c r="V89" s="35"/>
    </row>
    <row r="90" spans="1:22" ht="15.75" thickBot="1" x14ac:dyDescent="0.3"/>
    <row r="91" spans="1:22" s="33" customFormat="1" ht="27" thickBot="1" x14ac:dyDescent="0.3">
      <c r="A91" s="34" t="s">
        <v>35</v>
      </c>
      <c r="B91" s="35"/>
      <c r="C91" s="35"/>
      <c r="D91" s="35"/>
      <c r="E91" s="35"/>
      <c r="F91" s="35"/>
      <c r="G91" s="35"/>
      <c r="H91" s="35"/>
      <c r="I91" s="35"/>
      <c r="J91" s="35"/>
      <c r="K91" s="35"/>
      <c r="L91" s="35"/>
      <c r="M91" s="35"/>
      <c r="N91" s="35"/>
      <c r="O91" s="35"/>
      <c r="P91" s="35"/>
      <c r="Q91" s="35"/>
      <c r="R91" s="35"/>
      <c r="S91" s="35"/>
      <c r="T91" s="35"/>
      <c r="U91" s="35"/>
      <c r="V91" s="35"/>
    </row>
    <row r="92" spans="1:22" ht="15.75" thickBot="1" x14ac:dyDescent="0.3"/>
    <row r="93" spans="1:22" s="33" customFormat="1" ht="27" thickBot="1" x14ac:dyDescent="0.3">
      <c r="A93" s="156" t="s">
        <v>36</v>
      </c>
      <c r="B93" s="157"/>
      <c r="C93" s="157"/>
      <c r="D93" s="157"/>
      <c r="E93" s="157"/>
      <c r="F93" s="157"/>
      <c r="G93" s="157"/>
      <c r="H93" s="157"/>
      <c r="I93" s="157"/>
      <c r="J93" s="157"/>
      <c r="K93" s="157"/>
      <c r="L93" s="157"/>
      <c r="M93" s="157"/>
      <c r="N93" s="157"/>
      <c r="O93" s="157"/>
      <c r="P93" s="157"/>
      <c r="Q93" s="157"/>
      <c r="R93" s="157"/>
      <c r="S93" s="157"/>
      <c r="T93" s="157"/>
      <c r="U93" s="157"/>
      <c r="V93" s="157"/>
    </row>
    <row r="94" spans="1:22" x14ac:dyDescent="0.25">
      <c r="B94" s="1">
        <f t="shared" ref="B94:V94" si="22">B75/$B$75</f>
        <v>1</v>
      </c>
      <c r="C94" s="1">
        <f t="shared" si="22"/>
        <v>1.3907985097878512</v>
      </c>
      <c r="D94" s="1">
        <f t="shared" si="22"/>
        <v>1.388548482208932</v>
      </c>
      <c r="E94" s="1">
        <f t="shared" si="22"/>
        <v>12.472181151587497</v>
      </c>
      <c r="F94" s="1">
        <f t="shared" si="22"/>
        <v>14.848951697833382</v>
      </c>
      <c r="G94" s="1">
        <f t="shared" si="22"/>
        <v>30.178712119574715</v>
      </c>
      <c r="H94" s="1">
        <f>H75/$B$75</f>
        <v>50.706488939151988</v>
      </c>
      <c r="I94" s="1">
        <f t="shared" si="22"/>
        <v>0.49657818007641763</v>
      </c>
      <c r="J94" s="1">
        <f t="shared" si="22"/>
        <v>1.6209801531166441</v>
      </c>
      <c r="K94" s="1">
        <f t="shared" si="22"/>
        <v>9.086230565359207</v>
      </c>
      <c r="L94" s="1">
        <f t="shared" si="22"/>
        <v>36.636794999478809</v>
      </c>
      <c r="M94" s="1">
        <f t="shared" si="22"/>
        <v>54.156158968415525</v>
      </c>
      <c r="N94" s="1">
        <f t="shared" si="22"/>
        <v>0</v>
      </c>
      <c r="O94" s="1">
        <f t="shared" si="22"/>
        <v>26.184338960352644</v>
      </c>
      <c r="P94" s="1">
        <f t="shared" si="22"/>
        <v>37.852285601798933</v>
      </c>
      <c r="Q94" s="1">
        <f t="shared" si="22"/>
        <v>1.2465303174965685</v>
      </c>
      <c r="R94" s="1">
        <f t="shared" si="22"/>
        <v>33.154790524425351</v>
      </c>
      <c r="S94" s="1">
        <f t="shared" si="22"/>
        <v>34.258840861893162</v>
      </c>
      <c r="T94" s="1">
        <f t="shared" si="22"/>
        <v>42.902713024861484</v>
      </c>
      <c r="U94" s="1">
        <f t="shared" si="22"/>
        <v>47.62981417207984</v>
      </c>
      <c r="V94" s="1">
        <f t="shared" si="22"/>
        <v>55.986589790486697</v>
      </c>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085D60-1ECC-4743-8A96-F4FB54BD5F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3C0C23-26DB-43FC-917D-67C374A036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2023-01-11T15:03:14Z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2023-01-11T15:03:14Z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dd84399d-94a6-457a-a03c-e4a573ac9cc2</vt:lpwstr>
  </property>
  <property fmtid="{D5CDD505-2E9C-101B-9397-08002B2CF9AE}" pid="8" name="MSIP_Label_06530cf4-8573-4c29-a912-bbcdac835909_ContentBits">
    <vt:lpwstr>2</vt:lpwstr>
  </property>
</Properties>
</file>