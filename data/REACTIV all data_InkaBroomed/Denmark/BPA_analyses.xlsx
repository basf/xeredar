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13" documentId="13_ncr:1_{4F112B30-53E9-469B-AB64-1FDE79726E88}" xr6:coauthVersionLast="47" xr6:coauthVersionMax="47" xr10:uidLastSave="{37B7A216-E03B-49F7-8D9C-6F3808307338}"/>
  <bookViews>
    <workbookView xWindow="3510" yWindow="3510" windowWidth="38700" windowHeight="15435"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33" l="1"/>
  <c r="M24" i="33"/>
  <c r="K23" i="33"/>
  <c r="K24" i="33"/>
  <c r="M23" i="23"/>
  <c r="M24" i="23"/>
  <c r="K23" i="23"/>
  <c r="K24" i="23"/>
  <c r="B39" i="10"/>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BA78" i="4"/>
  <c r="AS78" i="4"/>
  <c r="AK78" i="4"/>
  <c r="AB78" i="4"/>
  <c r="T78" i="4"/>
  <c r="L78" i="4"/>
  <c r="D78" i="4"/>
  <c r="AF56" i="33"/>
  <c r="X56" i="33"/>
  <c r="P56" i="33"/>
  <c r="G56" i="33"/>
  <c r="AI56" i="23"/>
  <c r="AA56" i="23"/>
  <c r="S56" i="23"/>
  <c r="AD56" i="1"/>
  <c r="E56" i="1"/>
  <c r="AZ78" i="4"/>
  <c r="AR78" i="4"/>
  <c r="AJ78" i="4"/>
  <c r="AA78" i="4"/>
  <c r="S78" i="4"/>
  <c r="K78" i="4"/>
  <c r="C78" i="4"/>
  <c r="AE56" i="33"/>
  <c r="W56" i="33"/>
  <c r="O56" i="33"/>
  <c r="F56" i="33"/>
  <c r="AH56" i="23"/>
  <c r="Z56" i="23"/>
  <c r="R56" i="23"/>
  <c r="I56" i="23"/>
  <c r="AK56" i="1"/>
  <c r="AC56" i="1"/>
  <c r="U56" i="1"/>
  <c r="L56" i="1"/>
  <c r="D56" i="1"/>
  <c r="AX78" i="4"/>
  <c r="Y78" i="4"/>
  <c r="I78" i="4"/>
  <c r="AC56" i="33"/>
  <c r="L56" i="33"/>
  <c r="AF56" i="23"/>
  <c r="P56" i="23"/>
  <c r="AI56" i="1"/>
  <c r="S56" i="1"/>
  <c r="B56" i="1"/>
  <c r="U78" i="4"/>
  <c r="AG56" i="33"/>
  <c r="T56" i="23"/>
  <c r="C56" i="23"/>
  <c r="B56" i="23"/>
  <c r="AY78" i="4"/>
  <c r="AQ78" i="4"/>
  <c r="AI78" i="4"/>
  <c r="Z78" i="4"/>
  <c r="R78" i="4"/>
  <c r="J78" i="4"/>
  <c r="B78" i="4"/>
  <c r="AD56" i="33"/>
  <c r="V56" i="33"/>
  <c r="M56" i="33"/>
  <c r="E56" i="33"/>
  <c r="AG56" i="23"/>
  <c r="Y56" i="23"/>
  <c r="Q56" i="23"/>
  <c r="H56" i="23"/>
  <c r="AJ56" i="1"/>
  <c r="AB56" i="1"/>
  <c r="T56" i="1"/>
  <c r="K56" i="1"/>
  <c r="C56" i="1"/>
  <c r="AP78" i="4"/>
  <c r="AH78" i="4"/>
  <c r="Q78" i="4"/>
  <c r="AK56" i="33"/>
  <c r="U56" i="33"/>
  <c r="D56" i="33"/>
  <c r="X56" i="23"/>
  <c r="G56" i="23"/>
  <c r="AA56" i="1"/>
  <c r="J56" i="1"/>
  <c r="G56" i="1"/>
  <c r="AL78" i="4"/>
  <c r="E78" i="4"/>
  <c r="Q56" i="33"/>
  <c r="AJ56" i="23"/>
  <c r="K56" i="23"/>
  <c r="W56" i="1"/>
  <c r="F56" i="1"/>
  <c r="V56" i="1"/>
  <c r="AW78" i="4"/>
  <c r="AO78" i="4"/>
  <c r="AG78" i="4"/>
  <c r="X78" i="4"/>
  <c r="P78" i="4"/>
  <c r="H78" i="4"/>
  <c r="AJ56" i="33"/>
  <c r="AB56" i="33"/>
  <c r="T56" i="33"/>
  <c r="K56" i="33"/>
  <c r="C56" i="33"/>
  <c r="AE56" i="23"/>
  <c r="W56" i="23"/>
  <c r="O56" i="23"/>
  <c r="F56" i="23"/>
  <c r="AH56" i="1"/>
  <c r="Z56" i="1"/>
  <c r="R56" i="1"/>
  <c r="I56" i="1"/>
  <c r="AU78" i="4"/>
  <c r="F78" i="4"/>
  <c r="R56" i="33"/>
  <c r="AC56" i="23"/>
  <c r="L56" i="23"/>
  <c r="X56" i="1"/>
  <c r="AC78" i="4"/>
  <c r="Y56" i="33"/>
  <c r="H56" i="33"/>
  <c r="O56" i="1"/>
  <c r="J56" i="23"/>
  <c r="M56" i="1"/>
  <c r="AV78" i="4"/>
  <c r="AN78" i="4"/>
  <c r="AF78" i="4"/>
  <c r="W78" i="4"/>
  <c r="O78" i="4"/>
  <c r="G78" i="4"/>
  <c r="AI56" i="33"/>
  <c r="AA56" i="33"/>
  <c r="S56" i="33"/>
  <c r="J56" i="33"/>
  <c r="B56" i="33"/>
  <c r="AD56" i="23"/>
  <c r="V56" i="23"/>
  <c r="M56" i="23"/>
  <c r="E56" i="23"/>
  <c r="AG56" i="1"/>
  <c r="Y56" i="1"/>
  <c r="Q56" i="1"/>
  <c r="H56" i="1"/>
  <c r="AM78" i="4"/>
  <c r="AE78" i="4"/>
  <c r="V78" i="4"/>
  <c r="N78" i="4"/>
  <c r="AH56" i="33"/>
  <c r="Z56" i="33"/>
  <c r="I56" i="33"/>
  <c r="AK56" i="23"/>
  <c r="U56" i="23"/>
  <c r="D56" i="23"/>
  <c r="AF56" i="1"/>
  <c r="P56" i="1"/>
  <c r="AT78" i="4"/>
  <c r="M78" i="4"/>
  <c r="AB56" i="23"/>
  <c r="AE56" i="1"/>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AK43" i="33"/>
  <c r="BA53" i="4" s="1"/>
  <c r="AJ43" i="33"/>
  <c r="AZ53" i="4" s="1"/>
  <c r="AI43" i="33"/>
  <c r="AY53" i="4" s="1"/>
  <c r="AH43" i="33"/>
  <c r="AX53" i="4" s="1"/>
  <c r="AG43" i="33"/>
  <c r="AW53" i="4" s="1"/>
  <c r="AF43" i="33"/>
  <c r="AV53" i="4" s="1"/>
  <c r="AE43" i="33"/>
  <c r="AU53" i="4" s="1"/>
  <c r="AD43" i="33"/>
  <c r="AT53" i="4" s="1"/>
  <c r="AC43" i="33"/>
  <c r="AS53" i="4" s="1"/>
  <c r="AB43" i="33"/>
  <c r="AR53" i="4" s="1"/>
  <c r="AA43" i="33"/>
  <c r="AQ53" i="4" s="1"/>
  <c r="Z43" i="33"/>
  <c r="AP53" i="4" s="1"/>
  <c r="Y43" i="33"/>
  <c r="AO53" i="4" s="1"/>
  <c r="X43" i="33"/>
  <c r="AN53" i="4" s="1"/>
  <c r="W43" i="33"/>
  <c r="AM53" i="4" s="1"/>
  <c r="V43" i="33"/>
  <c r="AL53" i="4" s="1"/>
  <c r="U43" i="33"/>
  <c r="AK53" i="4" s="1"/>
  <c r="T43" i="33"/>
  <c r="AJ53" i="4" s="1"/>
  <c r="S43" i="33"/>
  <c r="AI53" i="4" s="1"/>
  <c r="R43" i="33"/>
  <c r="AH53" i="4" s="1"/>
  <c r="Q43" i="33"/>
  <c r="AG53" i="4" s="1"/>
  <c r="P43" i="33"/>
  <c r="AF53" i="4" s="1"/>
  <c r="AC53" i="4"/>
  <c r="AB53" i="4"/>
  <c r="AA53" i="4"/>
  <c r="Z53" i="4"/>
  <c r="Y53" i="4"/>
  <c r="X53" i="4"/>
  <c r="W53" i="4"/>
  <c r="V53" i="4"/>
  <c r="U53" i="4"/>
  <c r="T53" i="4"/>
  <c r="S53" i="4"/>
  <c r="R53" i="4"/>
  <c r="Q53" i="4"/>
  <c r="P53" i="4"/>
  <c r="O53" i="4"/>
  <c r="N53" i="4"/>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BA52" i="4" s="1"/>
  <c r="AJ42" i="33"/>
  <c r="AZ52" i="4" s="1"/>
  <c r="AI42" i="33"/>
  <c r="AY52" i="4" s="1"/>
  <c r="AH42" i="33"/>
  <c r="AX52" i="4" s="1"/>
  <c r="AG42" i="33"/>
  <c r="AW52" i="4" s="1"/>
  <c r="AF42" i="33"/>
  <c r="AV52" i="4" s="1"/>
  <c r="AE42" i="33"/>
  <c r="AU52" i="4" s="1"/>
  <c r="AD42" i="33"/>
  <c r="AT52" i="4" s="1"/>
  <c r="AC42" i="33"/>
  <c r="AS52" i="4" s="1"/>
  <c r="AB42" i="33"/>
  <c r="AR52" i="4" s="1"/>
  <c r="AA42" i="33"/>
  <c r="AQ52" i="4" s="1"/>
  <c r="Z42" i="33"/>
  <c r="AP52" i="4" s="1"/>
  <c r="Y42" i="33"/>
  <c r="AO52" i="4" s="1"/>
  <c r="X42" i="33"/>
  <c r="AN52" i="4" s="1"/>
  <c r="W42" i="33"/>
  <c r="AM52" i="4" s="1"/>
  <c r="V42" i="33"/>
  <c r="AL52" i="4" s="1"/>
  <c r="U42" i="33"/>
  <c r="AK52" i="4" s="1"/>
  <c r="T42" i="33"/>
  <c r="AJ52" i="4" s="1"/>
  <c r="S42" i="33"/>
  <c r="AI52" i="4" s="1"/>
  <c r="R42" i="33"/>
  <c r="AH52" i="4" s="1"/>
  <c r="Q42" i="33"/>
  <c r="AG52" i="4" s="1"/>
  <c r="P42" i="33"/>
  <c r="AF52" i="4" s="1"/>
  <c r="AC52" i="4"/>
  <c r="AB52" i="4"/>
  <c r="AA52" i="4"/>
  <c r="Z52" i="4"/>
  <c r="Y52" i="4"/>
  <c r="X52" i="4"/>
  <c r="W52" i="4"/>
  <c r="V52" i="4"/>
  <c r="U52" i="4"/>
  <c r="T52" i="4"/>
  <c r="S52" i="4"/>
  <c r="R52" i="4"/>
  <c r="Q52" i="4"/>
  <c r="P52" i="4"/>
  <c r="O52" i="4"/>
  <c r="N52" i="4"/>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BA51" i="4" s="1"/>
  <c r="AJ41" i="33"/>
  <c r="AZ51" i="4" s="1"/>
  <c r="AI41" i="33"/>
  <c r="AY51" i="4" s="1"/>
  <c r="AH41" i="33"/>
  <c r="AX51" i="4" s="1"/>
  <c r="AG41" i="33"/>
  <c r="AW51" i="4" s="1"/>
  <c r="AF41" i="33"/>
  <c r="AV51" i="4" s="1"/>
  <c r="AE41" i="33"/>
  <c r="AU51" i="4" s="1"/>
  <c r="AD41" i="33"/>
  <c r="AT51" i="4" s="1"/>
  <c r="AC41" i="33"/>
  <c r="AS51" i="4" s="1"/>
  <c r="AB41" i="33"/>
  <c r="AR51" i="4" s="1"/>
  <c r="AA41" i="33"/>
  <c r="AQ51" i="4" s="1"/>
  <c r="Z41" i="33"/>
  <c r="AP51" i="4" s="1"/>
  <c r="Y41" i="33"/>
  <c r="AO51" i="4" s="1"/>
  <c r="X41" i="33"/>
  <c r="AN51" i="4" s="1"/>
  <c r="W41" i="33"/>
  <c r="AM51" i="4" s="1"/>
  <c r="V41" i="33"/>
  <c r="AL51" i="4" s="1"/>
  <c r="U41" i="33"/>
  <c r="AK51" i="4" s="1"/>
  <c r="T41" i="33"/>
  <c r="AJ51" i="4" s="1"/>
  <c r="S41" i="33"/>
  <c r="AI51" i="4" s="1"/>
  <c r="R41" i="33"/>
  <c r="AH51" i="4" s="1"/>
  <c r="Q41" i="33"/>
  <c r="AG51" i="4" s="1"/>
  <c r="P41" i="33"/>
  <c r="AF51" i="4" s="1"/>
  <c r="AC51" i="4"/>
  <c r="AB51" i="4"/>
  <c r="AA51" i="4"/>
  <c r="Z51" i="4"/>
  <c r="Y51" i="4"/>
  <c r="X51" i="4"/>
  <c r="W51" i="4"/>
  <c r="V51" i="4"/>
  <c r="U51" i="4"/>
  <c r="T51" i="4"/>
  <c r="S51" i="4"/>
  <c r="R51" i="4"/>
  <c r="Q51" i="4"/>
  <c r="P51" i="4"/>
  <c r="O51" i="4"/>
  <c r="N51" i="4"/>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BA50" i="4" s="1"/>
  <c r="AJ40" i="33"/>
  <c r="AZ50" i="4" s="1"/>
  <c r="AI40" i="33"/>
  <c r="AY50" i="4" s="1"/>
  <c r="AH40" i="33"/>
  <c r="AX50" i="4" s="1"/>
  <c r="AG40" i="33"/>
  <c r="AW50" i="4" s="1"/>
  <c r="AF40" i="33"/>
  <c r="AV50" i="4" s="1"/>
  <c r="AE40" i="33"/>
  <c r="AU50" i="4" s="1"/>
  <c r="AD40" i="33"/>
  <c r="AT50" i="4" s="1"/>
  <c r="AC40" i="33"/>
  <c r="AS50" i="4" s="1"/>
  <c r="AB40" i="33"/>
  <c r="AR50" i="4" s="1"/>
  <c r="AA40" i="33"/>
  <c r="AQ50" i="4" s="1"/>
  <c r="Z40" i="33"/>
  <c r="AP50" i="4" s="1"/>
  <c r="Y40" i="33"/>
  <c r="AO50" i="4" s="1"/>
  <c r="X40" i="33"/>
  <c r="AN50" i="4" s="1"/>
  <c r="W40" i="33"/>
  <c r="AM50" i="4" s="1"/>
  <c r="V40" i="33"/>
  <c r="AL50" i="4" s="1"/>
  <c r="U40" i="33"/>
  <c r="AK50" i="4" s="1"/>
  <c r="T40" i="33"/>
  <c r="AJ50" i="4" s="1"/>
  <c r="S40" i="33"/>
  <c r="AI50" i="4" s="1"/>
  <c r="R40" i="33"/>
  <c r="AH50" i="4" s="1"/>
  <c r="Q40" i="33"/>
  <c r="AG50" i="4" s="1"/>
  <c r="P40" i="33"/>
  <c r="AF50" i="4" s="1"/>
  <c r="AC50" i="4"/>
  <c r="AB50" i="4"/>
  <c r="AA50" i="4"/>
  <c r="Z50" i="4"/>
  <c r="Y50" i="4"/>
  <c r="X50" i="4"/>
  <c r="W50" i="4"/>
  <c r="V50" i="4"/>
  <c r="U50" i="4"/>
  <c r="T50" i="4"/>
  <c r="S50" i="4"/>
  <c r="R50" i="4"/>
  <c r="Q50" i="4"/>
  <c r="P50" i="4"/>
  <c r="O50" i="4"/>
  <c r="N50" i="4"/>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BA49" i="4" s="1"/>
  <c r="AJ39" i="33"/>
  <c r="AZ49" i="4" s="1"/>
  <c r="AI39" i="33"/>
  <c r="AY49" i="4" s="1"/>
  <c r="AH39" i="33"/>
  <c r="AX49" i="4" s="1"/>
  <c r="AG39" i="33"/>
  <c r="AW49" i="4" s="1"/>
  <c r="AF39" i="33"/>
  <c r="AV49" i="4" s="1"/>
  <c r="AE39" i="33"/>
  <c r="AU49" i="4" s="1"/>
  <c r="AD39" i="33"/>
  <c r="AT49" i="4" s="1"/>
  <c r="AC39" i="33"/>
  <c r="AS49" i="4" s="1"/>
  <c r="AB39" i="33"/>
  <c r="AR49" i="4" s="1"/>
  <c r="AA39" i="33"/>
  <c r="AQ49" i="4" s="1"/>
  <c r="Z39" i="33"/>
  <c r="AP49" i="4" s="1"/>
  <c r="Y39" i="33"/>
  <c r="AO49" i="4" s="1"/>
  <c r="X39" i="33"/>
  <c r="AN49" i="4" s="1"/>
  <c r="W39" i="33"/>
  <c r="AM49" i="4" s="1"/>
  <c r="V39" i="33"/>
  <c r="AL49" i="4" s="1"/>
  <c r="U39" i="33"/>
  <c r="AK49" i="4" s="1"/>
  <c r="T39" i="33"/>
  <c r="AJ49" i="4" s="1"/>
  <c r="S39" i="33"/>
  <c r="AI49" i="4" s="1"/>
  <c r="R39" i="33"/>
  <c r="AH49" i="4" s="1"/>
  <c r="Q39" i="33"/>
  <c r="AG49" i="4" s="1"/>
  <c r="P39" i="33"/>
  <c r="AF49" i="4" s="1"/>
  <c r="AC49" i="4"/>
  <c r="AB49" i="4"/>
  <c r="AA49" i="4"/>
  <c r="Z49" i="4"/>
  <c r="Y49" i="4"/>
  <c r="X49" i="4"/>
  <c r="W49" i="4"/>
  <c r="V49" i="4"/>
  <c r="U49" i="4"/>
  <c r="T49" i="4"/>
  <c r="S49" i="4"/>
  <c r="R49" i="4"/>
  <c r="Q49" i="4"/>
  <c r="P49" i="4"/>
  <c r="O49" i="4"/>
  <c r="N49" i="4"/>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BA48" i="4" s="1"/>
  <c r="AJ38" i="33"/>
  <c r="AZ48" i="4" s="1"/>
  <c r="AI38" i="33"/>
  <c r="AY48" i="4" s="1"/>
  <c r="AH38" i="33"/>
  <c r="AX48" i="4" s="1"/>
  <c r="AG38" i="33"/>
  <c r="AW48" i="4" s="1"/>
  <c r="AF38" i="33"/>
  <c r="AV48" i="4" s="1"/>
  <c r="AE38" i="33"/>
  <c r="AU48" i="4" s="1"/>
  <c r="AD38" i="33"/>
  <c r="AT48" i="4" s="1"/>
  <c r="AC38" i="33"/>
  <c r="AS48" i="4" s="1"/>
  <c r="AB38" i="33"/>
  <c r="AR48" i="4" s="1"/>
  <c r="AA38" i="33"/>
  <c r="AQ48" i="4" s="1"/>
  <c r="Z38" i="33"/>
  <c r="AP48" i="4" s="1"/>
  <c r="Y38" i="33"/>
  <c r="AO48" i="4" s="1"/>
  <c r="X38" i="33"/>
  <c r="AN48" i="4" s="1"/>
  <c r="W38" i="33"/>
  <c r="AM48" i="4" s="1"/>
  <c r="V38" i="33"/>
  <c r="AL48" i="4" s="1"/>
  <c r="U38" i="33"/>
  <c r="AK48" i="4" s="1"/>
  <c r="T38" i="33"/>
  <c r="AJ48" i="4" s="1"/>
  <c r="S38" i="33"/>
  <c r="AI48" i="4" s="1"/>
  <c r="R38" i="33"/>
  <c r="AH48" i="4" s="1"/>
  <c r="Q38" i="33"/>
  <c r="AG48" i="4" s="1"/>
  <c r="P38" i="33"/>
  <c r="AF48" i="4" s="1"/>
  <c r="AC48" i="4"/>
  <c r="AB48" i="4"/>
  <c r="AA48" i="4"/>
  <c r="Z48" i="4"/>
  <c r="Y48" i="4"/>
  <c r="X48" i="4"/>
  <c r="W48" i="4"/>
  <c r="V48" i="4"/>
  <c r="U48" i="4"/>
  <c r="T48" i="4"/>
  <c r="S48" i="4"/>
  <c r="R48" i="4"/>
  <c r="Q48" i="4"/>
  <c r="P48" i="4"/>
  <c r="O48" i="4"/>
  <c r="N48" i="4"/>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BA47" i="4" s="1"/>
  <c r="AJ37" i="33"/>
  <c r="AZ47" i="4" s="1"/>
  <c r="AI37" i="33"/>
  <c r="AY47" i="4" s="1"/>
  <c r="AH37" i="33"/>
  <c r="AX47" i="4" s="1"/>
  <c r="AG37" i="33"/>
  <c r="AW47" i="4" s="1"/>
  <c r="AF37" i="33"/>
  <c r="AV47" i="4" s="1"/>
  <c r="AE37" i="33"/>
  <c r="AU47" i="4" s="1"/>
  <c r="AD37" i="33"/>
  <c r="AT47" i="4" s="1"/>
  <c r="AC37" i="33"/>
  <c r="AS47" i="4" s="1"/>
  <c r="AB37" i="33"/>
  <c r="AR47" i="4" s="1"/>
  <c r="AA37" i="33"/>
  <c r="AQ47" i="4" s="1"/>
  <c r="Z37" i="33"/>
  <c r="AP47" i="4" s="1"/>
  <c r="Y37" i="33"/>
  <c r="AO47" i="4" s="1"/>
  <c r="X37" i="33"/>
  <c r="AN47" i="4" s="1"/>
  <c r="W37" i="33"/>
  <c r="AM47" i="4" s="1"/>
  <c r="V37" i="33"/>
  <c r="AL47" i="4" s="1"/>
  <c r="U37" i="33"/>
  <c r="AK47" i="4" s="1"/>
  <c r="T37" i="33"/>
  <c r="AJ47" i="4" s="1"/>
  <c r="S37" i="33"/>
  <c r="AI47" i="4" s="1"/>
  <c r="R37" i="33"/>
  <c r="AH47" i="4" s="1"/>
  <c r="Q37" i="33"/>
  <c r="AG47" i="4" s="1"/>
  <c r="P37" i="33"/>
  <c r="AF47" i="4" s="1"/>
  <c r="AC47" i="4"/>
  <c r="AB47" i="4"/>
  <c r="AA47" i="4"/>
  <c r="Z47" i="4"/>
  <c r="Y47" i="4"/>
  <c r="X47" i="4"/>
  <c r="W47" i="4"/>
  <c r="V47" i="4"/>
  <c r="U47" i="4"/>
  <c r="T47" i="4"/>
  <c r="S47" i="4"/>
  <c r="R47" i="4"/>
  <c r="Q47" i="4"/>
  <c r="P47" i="4"/>
  <c r="O47" i="4"/>
  <c r="N47" i="4"/>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BA46" i="4" s="1"/>
  <c r="AJ36" i="33"/>
  <c r="AZ46" i="4" s="1"/>
  <c r="AI36" i="33"/>
  <c r="AY46" i="4" s="1"/>
  <c r="AH36" i="33"/>
  <c r="AX46" i="4" s="1"/>
  <c r="AG36" i="33"/>
  <c r="AW46" i="4" s="1"/>
  <c r="AF36" i="33"/>
  <c r="AV46" i="4" s="1"/>
  <c r="AE36" i="33"/>
  <c r="AU46" i="4" s="1"/>
  <c r="AD36" i="33"/>
  <c r="AT46" i="4" s="1"/>
  <c r="AC36" i="33"/>
  <c r="AS46" i="4" s="1"/>
  <c r="AB36" i="33"/>
  <c r="AR46" i="4" s="1"/>
  <c r="AA36" i="33"/>
  <c r="AQ46" i="4" s="1"/>
  <c r="Z36" i="33"/>
  <c r="AP46" i="4" s="1"/>
  <c r="Y36" i="33"/>
  <c r="AO46" i="4" s="1"/>
  <c r="X36" i="33"/>
  <c r="AN46" i="4" s="1"/>
  <c r="W36" i="33"/>
  <c r="AM46" i="4" s="1"/>
  <c r="V36" i="33"/>
  <c r="AL46" i="4" s="1"/>
  <c r="U36" i="33"/>
  <c r="AK46" i="4" s="1"/>
  <c r="T36" i="33"/>
  <c r="AJ46" i="4" s="1"/>
  <c r="S36" i="33"/>
  <c r="AI46" i="4" s="1"/>
  <c r="R36" i="33"/>
  <c r="AH46" i="4" s="1"/>
  <c r="Q36" i="33"/>
  <c r="AG46" i="4" s="1"/>
  <c r="AC46" i="4"/>
  <c r="AB46" i="4"/>
  <c r="AA46" i="4"/>
  <c r="Z46" i="4"/>
  <c r="Y46" i="4"/>
  <c r="X46" i="4"/>
  <c r="W46" i="4"/>
  <c r="V46" i="4"/>
  <c r="U46" i="4"/>
  <c r="T46" i="4"/>
  <c r="S46" i="4"/>
  <c r="R46" i="4"/>
  <c r="Q46" i="4"/>
  <c r="P46" i="4"/>
  <c r="O46" i="4"/>
  <c r="N46" i="4"/>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BA45" i="4" s="1"/>
  <c r="AJ35" i="33"/>
  <c r="AZ45" i="4" s="1"/>
  <c r="AI35" i="33"/>
  <c r="AY45" i="4" s="1"/>
  <c r="AH35" i="33"/>
  <c r="AX45" i="4" s="1"/>
  <c r="AG35" i="33"/>
  <c r="AW45" i="4" s="1"/>
  <c r="AF35" i="33"/>
  <c r="AV45" i="4" s="1"/>
  <c r="AE35" i="33"/>
  <c r="AU45" i="4" s="1"/>
  <c r="AD35" i="33"/>
  <c r="AT45" i="4" s="1"/>
  <c r="AC35" i="33"/>
  <c r="AS45" i="4" s="1"/>
  <c r="AB35" i="33"/>
  <c r="AR45" i="4" s="1"/>
  <c r="AA35" i="33"/>
  <c r="AQ45" i="4" s="1"/>
  <c r="Z35" i="33"/>
  <c r="AP45" i="4" s="1"/>
  <c r="Y35" i="33"/>
  <c r="AO45" i="4" s="1"/>
  <c r="X35" i="33"/>
  <c r="AN45" i="4" s="1"/>
  <c r="W35" i="33"/>
  <c r="AM45" i="4" s="1"/>
  <c r="AC45" i="4"/>
  <c r="AB45" i="4"/>
  <c r="AA45" i="4"/>
  <c r="Z45" i="4"/>
  <c r="Y45" i="4"/>
  <c r="X45" i="4"/>
  <c r="W45" i="4"/>
  <c r="V45" i="4"/>
  <c r="U45" i="4"/>
  <c r="T45" i="4"/>
  <c r="S45" i="4"/>
  <c r="R45" i="4"/>
  <c r="Q45" i="4"/>
  <c r="P45" i="4"/>
  <c r="O45" i="4"/>
  <c r="N45" i="4"/>
  <c r="AK34" i="33"/>
  <c r="BA44" i="4" s="1"/>
  <c r="AJ34" i="33"/>
  <c r="AZ44" i="4" s="1"/>
  <c r="AI34" i="33"/>
  <c r="AY44" i="4" s="1"/>
  <c r="AH34" i="33"/>
  <c r="AX44" i="4" s="1"/>
  <c r="AG34" i="33"/>
  <c r="AW44" i="4" s="1"/>
  <c r="AF34" i="33"/>
  <c r="AV44" i="4" s="1"/>
  <c r="AE34" i="33"/>
  <c r="AU44" i="4" s="1"/>
  <c r="AD34" i="33"/>
  <c r="AT44" i="4" s="1"/>
  <c r="AC34" i="33"/>
  <c r="AS44" i="4" s="1"/>
  <c r="AB34" i="33"/>
  <c r="AR44" i="4" s="1"/>
  <c r="AA34" i="33"/>
  <c r="AQ44" i="4" s="1"/>
  <c r="Z34" i="33"/>
  <c r="AP44" i="4" s="1"/>
  <c r="Y34" i="33"/>
  <c r="AO44" i="4" s="1"/>
  <c r="X34" i="33"/>
  <c r="AN44" i="4" s="1"/>
  <c r="W34" i="33"/>
  <c r="AM44" i="4" s="1"/>
  <c r="AC44" i="4"/>
  <c r="AB44" i="4"/>
  <c r="AA44" i="4"/>
  <c r="Z44" i="4"/>
  <c r="Y44" i="4"/>
  <c r="X44" i="4"/>
  <c r="W44" i="4"/>
  <c r="V44" i="4"/>
  <c r="U44" i="4"/>
  <c r="T44" i="4"/>
  <c r="S44" i="4"/>
  <c r="R44" i="4"/>
  <c r="Q44" i="4"/>
  <c r="P44" i="4"/>
  <c r="O44" i="4"/>
  <c r="N44" i="4"/>
  <c r="AK33" i="33"/>
  <c r="BA43" i="4" s="1"/>
  <c r="AJ33" i="33"/>
  <c r="AZ43" i="4" s="1"/>
  <c r="AI33" i="33"/>
  <c r="AY43" i="4" s="1"/>
  <c r="AH33" i="33"/>
  <c r="AX43" i="4" s="1"/>
  <c r="AG33" i="33"/>
  <c r="AW43" i="4" s="1"/>
  <c r="AF33" i="33"/>
  <c r="AV43" i="4" s="1"/>
  <c r="AE33" i="33"/>
  <c r="AU43" i="4" s="1"/>
  <c r="AD33" i="33"/>
  <c r="AT43" i="4" s="1"/>
  <c r="AC33" i="33"/>
  <c r="AS43" i="4" s="1"/>
  <c r="AB33" i="33"/>
  <c r="AR43" i="4" s="1"/>
  <c r="AA33" i="33"/>
  <c r="AQ43" i="4" s="1"/>
  <c r="Z33" i="33"/>
  <c r="AP43" i="4" s="1"/>
  <c r="Y33" i="33"/>
  <c r="AO43" i="4" s="1"/>
  <c r="X33" i="33"/>
  <c r="AN43" i="4" s="1"/>
  <c r="W33" i="33"/>
  <c r="AM43" i="4" s="1"/>
  <c r="AC43" i="4"/>
  <c r="AB43" i="4"/>
  <c r="AA43" i="4"/>
  <c r="Z43" i="4"/>
  <c r="Y43" i="4"/>
  <c r="X43" i="4"/>
  <c r="W43" i="4"/>
  <c r="V43" i="4"/>
  <c r="U43" i="4"/>
  <c r="T43" i="4"/>
  <c r="S43" i="4"/>
  <c r="R43" i="4"/>
  <c r="Q43" i="4"/>
  <c r="P43" i="4"/>
  <c r="O43" i="4"/>
  <c r="N43" i="4"/>
  <c r="AK32" i="33"/>
  <c r="BA42" i="4" s="1"/>
  <c r="AJ32" i="33"/>
  <c r="AZ42" i="4" s="1"/>
  <c r="AI32" i="33"/>
  <c r="AY42" i="4" s="1"/>
  <c r="AH32" i="33"/>
  <c r="AX42" i="4" s="1"/>
  <c r="AG32" i="33"/>
  <c r="AW42" i="4" s="1"/>
  <c r="AF32" i="33"/>
  <c r="AV42" i="4" s="1"/>
  <c r="AE32" i="33"/>
  <c r="AU42" i="4" s="1"/>
  <c r="AD32" i="33"/>
  <c r="AT42" i="4" s="1"/>
  <c r="AC32" i="33"/>
  <c r="AS42" i="4" s="1"/>
  <c r="AB32" i="33"/>
  <c r="AR42" i="4" s="1"/>
  <c r="AA32" i="33"/>
  <c r="AQ42" i="4" s="1"/>
  <c r="Z32" i="33"/>
  <c r="AP42" i="4" s="1"/>
  <c r="Y32" i="33"/>
  <c r="AO42" i="4" s="1"/>
  <c r="X32" i="33"/>
  <c r="AN42" i="4" s="1"/>
  <c r="W32" i="33"/>
  <c r="AM42" i="4" s="1"/>
  <c r="AC42" i="4"/>
  <c r="AB42" i="4"/>
  <c r="AA42" i="4"/>
  <c r="Z42" i="4"/>
  <c r="Y42" i="4"/>
  <c r="X42" i="4"/>
  <c r="W42" i="4"/>
  <c r="V42" i="4"/>
  <c r="U42" i="4"/>
  <c r="T42" i="4"/>
  <c r="S42" i="4"/>
  <c r="R42" i="4"/>
  <c r="Q42" i="4"/>
  <c r="P42" i="4"/>
  <c r="O42" i="4"/>
  <c r="N42" i="4"/>
  <c r="AK31" i="33"/>
  <c r="BA41" i="4" s="1"/>
  <c r="AJ31" i="33"/>
  <c r="AZ41" i="4" s="1"/>
  <c r="AI31" i="33"/>
  <c r="AY41" i="4" s="1"/>
  <c r="AH31" i="33"/>
  <c r="AX41" i="4" s="1"/>
  <c r="AG31" i="33"/>
  <c r="AW41" i="4" s="1"/>
  <c r="AF31" i="33"/>
  <c r="AV41" i="4" s="1"/>
  <c r="AE31" i="33"/>
  <c r="AU41" i="4" s="1"/>
  <c r="AD31" i="33"/>
  <c r="AT41" i="4" s="1"/>
  <c r="AC31" i="33"/>
  <c r="AS41" i="4" s="1"/>
  <c r="AB31" i="33"/>
  <c r="AR41" i="4" s="1"/>
  <c r="AA31" i="33"/>
  <c r="AQ41" i="4" s="1"/>
  <c r="Z31" i="33"/>
  <c r="AP41" i="4" s="1"/>
  <c r="Y31" i="33"/>
  <c r="AO41" i="4" s="1"/>
  <c r="X31" i="33"/>
  <c r="AN41" i="4" s="1"/>
  <c r="W31" i="33"/>
  <c r="AM41" i="4" s="1"/>
  <c r="AC41" i="4"/>
  <c r="AB41" i="4"/>
  <c r="AA41" i="4"/>
  <c r="Z41" i="4"/>
  <c r="Y41" i="4"/>
  <c r="X41" i="4"/>
  <c r="W41" i="4"/>
  <c r="V41" i="4"/>
  <c r="U41" i="4"/>
  <c r="T41" i="4"/>
  <c r="S41" i="4"/>
  <c r="R41" i="4"/>
  <c r="Q41" i="4"/>
  <c r="P41" i="4"/>
  <c r="O41" i="4"/>
  <c r="N41" i="4"/>
  <c r="AK30" i="33"/>
  <c r="BA40" i="4" s="1"/>
  <c r="AJ30" i="33"/>
  <c r="AZ40" i="4" s="1"/>
  <c r="AI30" i="33"/>
  <c r="AY40" i="4" s="1"/>
  <c r="AH30" i="33"/>
  <c r="AX40" i="4" s="1"/>
  <c r="AG30" i="33"/>
  <c r="AW40" i="4" s="1"/>
  <c r="AF30" i="33"/>
  <c r="AV40" i="4" s="1"/>
  <c r="AE30" i="33"/>
  <c r="AU40" i="4" s="1"/>
  <c r="AD30" i="33"/>
  <c r="AT40" i="4" s="1"/>
  <c r="AC30" i="33"/>
  <c r="AS40" i="4" s="1"/>
  <c r="AB30" i="33"/>
  <c r="AR40" i="4" s="1"/>
  <c r="AA30" i="33"/>
  <c r="AQ40" i="4" s="1"/>
  <c r="Z30" i="33"/>
  <c r="AP40" i="4" s="1"/>
  <c r="Y30" i="33"/>
  <c r="AO40" i="4" s="1"/>
  <c r="X30" i="33"/>
  <c r="AN40" i="4" s="1"/>
  <c r="W30" i="33"/>
  <c r="AM40" i="4" s="1"/>
  <c r="AC40" i="4"/>
  <c r="AB40" i="4"/>
  <c r="AA40" i="4"/>
  <c r="Z40" i="4"/>
  <c r="Y40" i="4"/>
  <c r="X40" i="4"/>
  <c r="W40" i="4"/>
  <c r="V40" i="4"/>
  <c r="U40" i="4"/>
  <c r="T40" i="4"/>
  <c r="S40" i="4"/>
  <c r="R40" i="4"/>
  <c r="Q40" i="4"/>
  <c r="P40" i="4"/>
  <c r="O40" i="4"/>
  <c r="N40" i="4"/>
  <c r="AK29" i="33"/>
  <c r="BA39" i="4" s="1"/>
  <c r="AJ29" i="33"/>
  <c r="AZ39" i="4" s="1"/>
  <c r="AI29" i="33"/>
  <c r="AY39" i="4" s="1"/>
  <c r="AH29" i="33"/>
  <c r="AX39" i="4" s="1"/>
  <c r="AG29" i="33"/>
  <c r="AW39" i="4" s="1"/>
  <c r="AF29" i="33"/>
  <c r="AV39" i="4" s="1"/>
  <c r="AE29" i="33"/>
  <c r="AU39" i="4" s="1"/>
  <c r="AD29" i="33"/>
  <c r="AT39" i="4" s="1"/>
  <c r="AC29" i="33"/>
  <c r="AS39" i="4" s="1"/>
  <c r="AB29" i="33"/>
  <c r="AR39" i="4" s="1"/>
  <c r="AA29" i="33"/>
  <c r="AQ39" i="4" s="1"/>
  <c r="Z29" i="33"/>
  <c r="AP39" i="4" s="1"/>
  <c r="Y29" i="33"/>
  <c r="AO39" i="4" s="1"/>
  <c r="X29" i="33"/>
  <c r="AN39" i="4" s="1"/>
  <c r="W29" i="33"/>
  <c r="AM39" i="4" s="1"/>
  <c r="AC39" i="4"/>
  <c r="AB39" i="4"/>
  <c r="AA39" i="4"/>
  <c r="Z39" i="4"/>
  <c r="Y39" i="4"/>
  <c r="X39" i="4"/>
  <c r="W39" i="4"/>
  <c r="V39" i="4"/>
  <c r="U39" i="4"/>
  <c r="T39" i="4"/>
  <c r="S39" i="4"/>
  <c r="R39" i="4"/>
  <c r="Q39" i="4"/>
  <c r="P39" i="4"/>
  <c r="O39" i="4"/>
  <c r="N39" i="4"/>
  <c r="AK28" i="33"/>
  <c r="AJ28" i="33"/>
  <c r="AI28" i="33"/>
  <c r="AH28" i="33"/>
  <c r="AG28" i="33"/>
  <c r="AF28" i="33"/>
  <c r="AE28" i="33"/>
  <c r="AD28" i="33"/>
  <c r="AC28" i="33"/>
  <c r="AB28" i="33"/>
  <c r="AA28" i="33"/>
  <c r="Z28" i="33"/>
  <c r="Y28" i="33"/>
  <c r="X28" i="33"/>
  <c r="W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O43" i="33" s="1"/>
  <c r="AE53" i="4" s="1"/>
  <c r="L23" i="33"/>
  <c r="J23" i="33"/>
  <c r="I23" i="33"/>
  <c r="H23" i="33"/>
  <c r="G23" i="33"/>
  <c r="F23" i="33"/>
  <c r="E23" i="33"/>
  <c r="D23" i="33"/>
  <c r="C23" i="33"/>
  <c r="B23" i="33"/>
  <c r="A22" i="33"/>
  <c r="H22" i="33"/>
  <c r="G45" i="33"/>
  <c r="F27" i="33"/>
  <c r="F52" i="33" s="1"/>
  <c r="E45" i="33"/>
  <c r="D22" i="33"/>
  <c r="C45" i="33"/>
  <c r="B45" i="33"/>
  <c r="R28" i="33" l="1"/>
  <c r="I29" i="33"/>
  <c r="I39" i="4" s="1"/>
  <c r="P36" i="33"/>
  <c r="AF46" i="4" s="1"/>
  <c r="K31" i="33"/>
  <c r="K41" i="4" s="1"/>
  <c r="V31" i="33"/>
  <c r="AL41" i="4" s="1"/>
  <c r="H32" i="33"/>
  <c r="H42" i="4" s="1"/>
  <c r="Q30" i="33"/>
  <c r="AG40" i="4" s="1"/>
  <c r="V32" i="33"/>
  <c r="AL42" i="4" s="1"/>
  <c r="E33" i="33"/>
  <c r="E43" i="4" s="1"/>
  <c r="F28" i="33"/>
  <c r="T33" i="33"/>
  <c r="AJ43" i="4" s="1"/>
  <c r="R34" i="33"/>
  <c r="AH44" i="4" s="1"/>
  <c r="R35" i="33"/>
  <c r="AH45" i="4" s="1"/>
  <c r="T29" i="33"/>
  <c r="AJ39" i="4" s="1"/>
  <c r="H28" i="33"/>
  <c r="H38" i="4" s="1"/>
  <c r="S28" i="33"/>
  <c r="AI38" i="4" s="1"/>
  <c r="J29" i="33"/>
  <c r="J39" i="4" s="1"/>
  <c r="U29" i="33"/>
  <c r="AK39" i="4" s="1"/>
  <c r="R30" i="33"/>
  <c r="AH40" i="4" s="1"/>
  <c r="L31" i="33"/>
  <c r="L41" i="4" s="1"/>
  <c r="I32" i="33"/>
  <c r="I42" i="4" s="1"/>
  <c r="F33" i="33"/>
  <c r="F43" i="4" s="1"/>
  <c r="U33" i="33"/>
  <c r="AK43" i="4" s="1"/>
  <c r="S34" i="33"/>
  <c r="AI44" i="4" s="1"/>
  <c r="S35" i="33"/>
  <c r="AI45" i="4" s="1"/>
  <c r="J28" i="33"/>
  <c r="T28" i="33"/>
  <c r="K29" i="33"/>
  <c r="K39" i="4" s="1"/>
  <c r="V29" i="33"/>
  <c r="AL39" i="4" s="1"/>
  <c r="B30" i="33"/>
  <c r="B40" i="4" s="1"/>
  <c r="S30" i="33"/>
  <c r="AI40" i="4" s="1"/>
  <c r="P31" i="33"/>
  <c r="AF41" i="4" s="1"/>
  <c r="P32" i="33"/>
  <c r="AF42" i="4" s="1"/>
  <c r="M33" i="33"/>
  <c r="M43" i="4" s="1"/>
  <c r="V33" i="33"/>
  <c r="AL43" i="4" s="1"/>
  <c r="B34" i="33"/>
  <c r="B44" i="4" s="1"/>
  <c r="T34" i="33"/>
  <c r="AJ44" i="4" s="1"/>
  <c r="T35" i="33"/>
  <c r="AJ45" i="4" s="1"/>
  <c r="L28" i="33"/>
  <c r="L47" i="33" s="1"/>
  <c r="L48" i="33" s="1"/>
  <c r="L54" i="33" s="1"/>
  <c r="U28" i="33"/>
  <c r="AK38" i="4" s="1"/>
  <c r="M29" i="33"/>
  <c r="M39" i="4" s="1"/>
  <c r="F30" i="33"/>
  <c r="F40" i="4" s="1"/>
  <c r="T30" i="33"/>
  <c r="AJ40" i="4" s="1"/>
  <c r="Q31" i="33"/>
  <c r="AG41" i="4" s="1"/>
  <c r="Q32" i="33"/>
  <c r="AG42" i="4" s="1"/>
  <c r="O33" i="33"/>
  <c r="AE43" i="4" s="1"/>
  <c r="C34" i="33"/>
  <c r="C44" i="4" s="1"/>
  <c r="U34" i="33"/>
  <c r="AK44" i="4" s="1"/>
  <c r="U35" i="33"/>
  <c r="AK45" i="4" s="1"/>
  <c r="O41" i="33"/>
  <c r="AE51" i="4" s="1"/>
  <c r="M28" i="33"/>
  <c r="V28" i="33"/>
  <c r="B29" i="33"/>
  <c r="B39" i="4" s="1"/>
  <c r="P29" i="33"/>
  <c r="AF39" i="4" s="1"/>
  <c r="G30" i="33"/>
  <c r="G40" i="4" s="1"/>
  <c r="U30" i="33"/>
  <c r="AK40" i="4" s="1"/>
  <c r="R31" i="33"/>
  <c r="AH41" i="4" s="1"/>
  <c r="R32" i="33"/>
  <c r="AH42" i="4" s="1"/>
  <c r="P33" i="33"/>
  <c r="AF43" i="4" s="1"/>
  <c r="J34" i="33"/>
  <c r="J44" i="4" s="1"/>
  <c r="V34" i="33"/>
  <c r="AL44" i="4" s="1"/>
  <c r="G35" i="33"/>
  <c r="G45" i="4" s="1"/>
  <c r="V35" i="33"/>
  <c r="AL45" i="4" s="1"/>
  <c r="O38" i="33"/>
  <c r="AE48" i="4" s="1"/>
  <c r="B28" i="33"/>
  <c r="O28" i="33"/>
  <c r="C29" i="33"/>
  <c r="C39" i="4" s="1"/>
  <c r="Q29" i="33"/>
  <c r="AG39" i="4" s="1"/>
  <c r="J30" i="33"/>
  <c r="J40" i="4" s="1"/>
  <c r="V30" i="33"/>
  <c r="AL40" i="4" s="1"/>
  <c r="C31" i="33"/>
  <c r="C41" i="4" s="1"/>
  <c r="S31" i="33"/>
  <c r="AI41" i="4" s="1"/>
  <c r="S32" i="33"/>
  <c r="AI42" i="4" s="1"/>
  <c r="Q33" i="33"/>
  <c r="AG43" i="4" s="1"/>
  <c r="K34" i="33"/>
  <c r="K44" i="4" s="1"/>
  <c r="H35" i="33"/>
  <c r="H45" i="4" s="1"/>
  <c r="D28" i="33"/>
  <c r="D38" i="4" s="1"/>
  <c r="P28" i="33"/>
  <c r="E29" i="33"/>
  <c r="E39" i="4" s="1"/>
  <c r="R29" i="33"/>
  <c r="AH39" i="4" s="1"/>
  <c r="O30" i="33"/>
  <c r="AE40" i="4" s="1"/>
  <c r="D31" i="33"/>
  <c r="D41" i="4" s="1"/>
  <c r="T31" i="33"/>
  <c r="AJ41" i="4" s="1"/>
  <c r="T32" i="33"/>
  <c r="AJ42" i="4" s="1"/>
  <c r="R33" i="33"/>
  <c r="AH43" i="4" s="1"/>
  <c r="P34" i="33"/>
  <c r="AF44" i="4" s="1"/>
  <c r="P35" i="33"/>
  <c r="AF45" i="4" s="1"/>
  <c r="E28" i="33"/>
  <c r="E38" i="4" s="1"/>
  <c r="Q28" i="33"/>
  <c r="G29" i="33"/>
  <c r="G39" i="4" s="1"/>
  <c r="S29" i="33"/>
  <c r="AI39" i="4" s="1"/>
  <c r="P30" i="33"/>
  <c r="AF40" i="4" s="1"/>
  <c r="G31" i="33"/>
  <c r="G41" i="4" s="1"/>
  <c r="U31" i="33"/>
  <c r="AK41" i="4" s="1"/>
  <c r="U32" i="33"/>
  <c r="AK42" i="4" s="1"/>
  <c r="S33" i="33"/>
  <c r="AI43" i="4" s="1"/>
  <c r="Q34" i="33"/>
  <c r="AG44" i="4" s="1"/>
  <c r="Q35" i="33"/>
  <c r="AG45" i="4" s="1"/>
  <c r="H30" i="33"/>
  <c r="H40" i="4" s="1"/>
  <c r="E31" i="33"/>
  <c r="E41" i="4" s="1"/>
  <c r="M31" i="33"/>
  <c r="M41" i="4" s="1"/>
  <c r="B32" i="33"/>
  <c r="B42" i="4" s="1"/>
  <c r="J32" i="33"/>
  <c r="J42" i="4" s="1"/>
  <c r="G33" i="33"/>
  <c r="G43" i="4" s="1"/>
  <c r="D34" i="33"/>
  <c r="D44" i="4" s="1"/>
  <c r="L34" i="33"/>
  <c r="L44" i="4" s="1"/>
  <c r="I35" i="33"/>
  <c r="I45" i="4" s="1"/>
  <c r="O36" i="33"/>
  <c r="AE46" i="4" s="1"/>
  <c r="G28" i="33"/>
  <c r="G38" i="4" s="1"/>
  <c r="D29" i="33"/>
  <c r="D39" i="4" s="1"/>
  <c r="L29" i="33"/>
  <c r="L39" i="4" s="1"/>
  <c r="I30" i="33"/>
  <c r="I40" i="4" s="1"/>
  <c r="F31" i="33"/>
  <c r="F41" i="4" s="1"/>
  <c r="O31" i="33"/>
  <c r="AE41" i="4" s="1"/>
  <c r="C32" i="33"/>
  <c r="C42" i="4" s="1"/>
  <c r="K32" i="33"/>
  <c r="K42" i="4" s="1"/>
  <c r="H33" i="33"/>
  <c r="H43" i="4" s="1"/>
  <c r="E34" i="33"/>
  <c r="E44" i="4" s="1"/>
  <c r="M34" i="33"/>
  <c r="M44" i="4" s="1"/>
  <c r="B35" i="33"/>
  <c r="B45" i="4" s="1"/>
  <c r="J35" i="33"/>
  <c r="J45" i="4" s="1"/>
  <c r="O39" i="33"/>
  <c r="AE49" i="4" s="1"/>
  <c r="D32" i="33"/>
  <c r="D42" i="4" s="1"/>
  <c r="L32" i="33"/>
  <c r="L42" i="4" s="1"/>
  <c r="I33" i="33"/>
  <c r="I43" i="4" s="1"/>
  <c r="F34" i="33"/>
  <c r="F44" i="4" s="1"/>
  <c r="O34" i="33"/>
  <c r="AE44" i="4" s="1"/>
  <c r="C35" i="33"/>
  <c r="C45" i="4" s="1"/>
  <c r="K35" i="33"/>
  <c r="K45" i="4" s="1"/>
  <c r="O42" i="33"/>
  <c r="AE52" i="4" s="1"/>
  <c r="I28" i="33"/>
  <c r="I38" i="4" s="1"/>
  <c r="F29" i="33"/>
  <c r="F39" i="4" s="1"/>
  <c r="O29" i="33"/>
  <c r="AE39" i="4" s="1"/>
  <c r="C30" i="33"/>
  <c r="C40" i="4" s="1"/>
  <c r="K30" i="33"/>
  <c r="K40" i="4" s="1"/>
  <c r="H31" i="33"/>
  <c r="H41" i="4" s="1"/>
  <c r="E32" i="33"/>
  <c r="E42" i="4" s="1"/>
  <c r="M32" i="33"/>
  <c r="M42" i="4" s="1"/>
  <c r="B33" i="33"/>
  <c r="B43" i="4" s="1"/>
  <c r="J33" i="33"/>
  <c r="J43" i="4" s="1"/>
  <c r="G34" i="33"/>
  <c r="G44" i="4" s="1"/>
  <c r="D35" i="33"/>
  <c r="D45" i="4" s="1"/>
  <c r="L35" i="33"/>
  <c r="L45" i="4" s="1"/>
  <c r="O37" i="33"/>
  <c r="AE47" i="4" s="1"/>
  <c r="D30" i="33"/>
  <c r="D40" i="4" s="1"/>
  <c r="L30" i="33"/>
  <c r="L40" i="4" s="1"/>
  <c r="I31" i="33"/>
  <c r="I41" i="4" s="1"/>
  <c r="F32" i="33"/>
  <c r="F42" i="4" s="1"/>
  <c r="O32" i="33"/>
  <c r="AE42" i="4" s="1"/>
  <c r="C33" i="33"/>
  <c r="C43" i="4" s="1"/>
  <c r="K33" i="33"/>
  <c r="K43" i="4" s="1"/>
  <c r="H34" i="33"/>
  <c r="H44" i="4" s="1"/>
  <c r="E35" i="33"/>
  <c r="E45" i="4" s="1"/>
  <c r="M35" i="33"/>
  <c r="M45" i="4" s="1"/>
  <c r="O40" i="33"/>
  <c r="AE50" i="4" s="1"/>
  <c r="C28" i="33"/>
  <c r="C38" i="4" s="1"/>
  <c r="K28" i="33"/>
  <c r="K38" i="4" s="1"/>
  <c r="H29" i="33"/>
  <c r="H39" i="4" s="1"/>
  <c r="E30" i="33"/>
  <c r="E40" i="4" s="1"/>
  <c r="M30" i="33"/>
  <c r="M40" i="4" s="1"/>
  <c r="B31" i="33"/>
  <c r="B41" i="4" s="1"/>
  <c r="J31" i="33"/>
  <c r="J41" i="4" s="1"/>
  <c r="G32" i="33"/>
  <c r="G42" i="4" s="1"/>
  <c r="D33" i="33"/>
  <c r="D43" i="4" s="1"/>
  <c r="L33" i="33"/>
  <c r="L43" i="4" s="1"/>
  <c r="I34" i="33"/>
  <c r="I44" i="4" s="1"/>
  <c r="F35" i="33"/>
  <c r="F45" i="4" s="1"/>
  <c r="O35" i="33"/>
  <c r="AE45" i="4" s="1"/>
  <c r="T38" i="4"/>
  <c r="X38" i="4"/>
  <c r="AO38" i="4"/>
  <c r="BA38" i="4"/>
  <c r="Q38" i="4"/>
  <c r="Y38" i="4"/>
  <c r="AL38" i="4"/>
  <c r="AT38" i="4"/>
  <c r="M38" i="4"/>
  <c r="U38" i="4"/>
  <c r="AC38" i="4"/>
  <c r="AH38" i="4"/>
  <c r="AP38" i="4"/>
  <c r="AX38" i="4"/>
  <c r="B38" i="4"/>
  <c r="B22" i="33"/>
  <c r="E22" i="33"/>
  <c r="I45" i="33"/>
  <c r="I52" i="33"/>
  <c r="I27" i="33"/>
  <c r="O38" i="4"/>
  <c r="S38" i="4"/>
  <c r="W38" i="4"/>
  <c r="AA38" i="4"/>
  <c r="AJ38" i="4"/>
  <c r="AN38" i="4"/>
  <c r="X47" i="33"/>
  <c r="X48" i="33" s="1"/>
  <c r="X54" i="33" s="1"/>
  <c r="X46" i="33"/>
  <c r="X53" i="33" s="1"/>
  <c r="AB47" i="33"/>
  <c r="AB48" i="33" s="1"/>
  <c r="AB54" i="33" s="1"/>
  <c r="AR38" i="4"/>
  <c r="AB46" i="33"/>
  <c r="AB53" i="33" s="1"/>
  <c r="AF46" i="33"/>
  <c r="AF53" i="33" s="1"/>
  <c r="AV38" i="4"/>
  <c r="AF47" i="33"/>
  <c r="AF48" i="33" s="1"/>
  <c r="AF54" i="33" s="1"/>
  <c r="AZ38" i="4"/>
  <c r="AJ46" i="33"/>
  <c r="AJ53" i="33" s="1"/>
  <c r="AJ47" i="33"/>
  <c r="AJ48" i="33" s="1"/>
  <c r="AJ54" i="33" s="1"/>
  <c r="B27" i="33"/>
  <c r="B52" i="33" s="1"/>
  <c r="L38" i="4"/>
  <c r="P38" i="4"/>
  <c r="AB38" i="4"/>
  <c r="AG38" i="4"/>
  <c r="AC46" i="33"/>
  <c r="AC53" i="33" s="1"/>
  <c r="AS38" i="4"/>
  <c r="AG47" i="33"/>
  <c r="AG48" i="33" s="1"/>
  <c r="AG54" i="33" s="1"/>
  <c r="AW38" i="4"/>
  <c r="D27" i="33"/>
  <c r="D52" i="33" s="1"/>
  <c r="I22" i="33"/>
  <c r="E27" i="33"/>
  <c r="E52" i="33" s="1"/>
  <c r="F38" i="4"/>
  <c r="J38" i="4"/>
  <c r="N38" i="4"/>
  <c r="R38" i="4"/>
  <c r="V38" i="4"/>
  <c r="Z38" i="4"/>
  <c r="AE38" i="4"/>
  <c r="AM38" i="4"/>
  <c r="W46" i="33"/>
  <c r="W53" i="33" s="1"/>
  <c r="W47" i="33"/>
  <c r="W48" i="33" s="1"/>
  <c r="W54" i="33" s="1"/>
  <c r="AQ38" i="4"/>
  <c r="AA46" i="33"/>
  <c r="AA53" i="33" s="1"/>
  <c r="AA47" i="33"/>
  <c r="AA48" i="33" s="1"/>
  <c r="AA54" i="33" s="1"/>
  <c r="AU38" i="4"/>
  <c r="AE46" i="33"/>
  <c r="AE53" i="33" s="1"/>
  <c r="AE47" i="33"/>
  <c r="AE48" i="33" s="1"/>
  <c r="AE54" i="33" s="1"/>
  <c r="AY38" i="4"/>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Y46" i="33"/>
  <c r="Y53" i="33" s="1"/>
  <c r="Y47" i="33"/>
  <c r="Y48" i="33" s="1"/>
  <c r="Y54" i="33" s="1"/>
  <c r="AK46" i="33"/>
  <c r="AK53" i="33" s="1"/>
  <c r="AK47" i="33"/>
  <c r="AK48" i="33" s="1"/>
  <c r="AK54" i="33" s="1"/>
  <c r="AG46" i="33"/>
  <c r="AG53" i="33" s="1"/>
  <c r="AC47" i="33"/>
  <c r="AC48" i="33" s="1"/>
  <c r="AC54" i="33" s="1"/>
  <c r="F22" i="33"/>
  <c r="R46" i="33"/>
  <c r="R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P46" i="33" l="1"/>
  <c r="P53" i="33" s="1"/>
  <c r="H47" i="33"/>
  <c r="H48" i="33" s="1"/>
  <c r="H54" i="33" s="1"/>
  <c r="S47" i="33"/>
  <c r="S48" i="33" s="1"/>
  <c r="S54" i="33" s="1"/>
  <c r="K46" i="33"/>
  <c r="K53" i="33" s="1"/>
  <c r="S46" i="33"/>
  <c r="S53" i="33" s="1"/>
  <c r="R47" i="33"/>
  <c r="R48" i="33" s="1"/>
  <c r="R54" i="33" s="1"/>
  <c r="K47" i="33"/>
  <c r="K48" i="33" s="1"/>
  <c r="K54" i="33" s="1"/>
  <c r="Q46" i="33"/>
  <c r="Q53" i="33" s="1"/>
  <c r="Q47" i="33"/>
  <c r="Q48" i="33" s="1"/>
  <c r="Q54" i="33" s="1"/>
  <c r="G46" i="33"/>
  <c r="G53" i="33" s="1"/>
  <c r="C46" i="33"/>
  <c r="C53" i="33" s="1"/>
  <c r="I47" i="33"/>
  <c r="I48" i="33" s="1"/>
  <c r="I54" i="33" s="1"/>
  <c r="U47" i="33"/>
  <c r="U48" i="33" s="1"/>
  <c r="U54" i="33" s="1"/>
  <c r="D47" i="33"/>
  <c r="D48" i="33" s="1"/>
  <c r="D54" i="33" s="1"/>
  <c r="T47" i="33"/>
  <c r="T48" i="33" s="1"/>
  <c r="T54" i="33" s="1"/>
  <c r="C47" i="33"/>
  <c r="C48" i="33" s="1"/>
  <c r="C54" i="33" s="1"/>
  <c r="I46" i="33"/>
  <c r="I53" i="33" s="1"/>
  <c r="H46" i="33"/>
  <c r="H53" i="33" s="1"/>
  <c r="E46" i="33"/>
  <c r="E53" i="33" s="1"/>
  <c r="U46" i="33"/>
  <c r="U53" i="33" s="1"/>
  <c r="T46" i="33"/>
  <c r="T53" i="33" s="1"/>
  <c r="F47" i="33"/>
  <c r="F48" i="33" s="1"/>
  <c r="F54" i="33" s="1"/>
  <c r="D46" i="33"/>
  <c r="D53" i="33" s="1"/>
  <c r="E47" i="33"/>
  <c r="E48" i="33" s="1"/>
  <c r="E54" i="33" s="1"/>
  <c r="V46" i="33"/>
  <c r="V53" i="33" s="1"/>
  <c r="B46" i="33"/>
  <c r="P47" i="33"/>
  <c r="P48" i="33" s="1"/>
  <c r="P54" i="33" s="1"/>
  <c r="B47" i="33"/>
  <c r="B48" i="33" s="1"/>
  <c r="B54" i="33" s="1"/>
  <c r="AF38" i="4"/>
  <c r="V47" i="33"/>
  <c r="V48" i="33" s="1"/>
  <c r="V54" i="33" s="1"/>
  <c r="G47" i="33"/>
  <c r="G48" i="33" s="1"/>
  <c r="G54" i="33" s="1"/>
  <c r="V55" i="33"/>
  <c r="J47" i="33"/>
  <c r="J48" i="33" s="1"/>
  <c r="J54" i="33" s="1"/>
  <c r="J46" i="33"/>
  <c r="J53" i="33" s="1"/>
  <c r="M46" i="33"/>
  <c r="M53" i="33" s="1"/>
  <c r="O46" i="33"/>
  <c r="O53" i="33" s="1"/>
  <c r="O55" i="33" s="1"/>
  <c r="F46" i="33"/>
  <c r="F53" i="33" s="1"/>
  <c r="M47" i="33"/>
  <c r="M48" i="33" s="1"/>
  <c r="M54" i="33" s="1"/>
  <c r="O47" i="33"/>
  <c r="O48" i="33" s="1"/>
  <c r="O54" i="33" s="1"/>
  <c r="L46" i="33"/>
  <c r="L53" i="33" s="1"/>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X55" i="33" l="1"/>
  <c r="B65" i="33"/>
  <c r="AG55" i="33"/>
  <c r="B64" i="33"/>
  <c r="B53" i="33"/>
  <c r="M55" i="33" s="1"/>
  <c r="AF55" i="33"/>
  <c r="S55" i="33"/>
  <c r="AJ55" i="33"/>
  <c r="AH55" i="33"/>
  <c r="AA55" i="33"/>
  <c r="AB55" i="33"/>
  <c r="U55" i="33"/>
  <c r="AE55" i="33"/>
  <c r="AK55" i="33"/>
  <c r="AC55" i="33"/>
  <c r="W55" i="33"/>
  <c r="Z55" i="33"/>
  <c r="AD55" i="33"/>
  <c r="Y55" i="33"/>
  <c r="P55" i="33"/>
  <c r="AI55" i="33"/>
  <c r="Q55" i="33"/>
  <c r="T55" i="33"/>
  <c r="R55" i="33"/>
  <c r="V60" i="33"/>
  <c r="V61" i="33" s="1"/>
  <c r="AD60" i="33"/>
  <c r="AD61" i="33" s="1"/>
  <c r="AC60" i="33"/>
  <c r="AC61" i="33" s="1"/>
  <c r="W60" i="33"/>
  <c r="W61" i="33" s="1"/>
  <c r="R60" i="33"/>
  <c r="R61" i="33" s="1"/>
  <c r="AJ60" i="33"/>
  <c r="AJ61" i="33" s="1"/>
  <c r="AA60" i="33"/>
  <c r="AA61" i="33" s="1"/>
  <c r="Y60" i="33"/>
  <c r="Y61" i="33" s="1"/>
  <c r="P60" i="33"/>
  <c r="P61" i="33" s="1"/>
  <c r="AE60" i="33"/>
  <c r="AE61" i="33" s="1"/>
  <c r="AG60" i="33"/>
  <c r="AG61" i="33" s="1"/>
  <c r="X60" i="33"/>
  <c r="X61" i="33" s="1"/>
  <c r="S60" i="33"/>
  <c r="S61" i="33" s="1"/>
  <c r="U60" i="33"/>
  <c r="U61" i="33" s="1"/>
  <c r="AI60" i="33"/>
  <c r="AI61" i="33" s="1"/>
  <c r="T60" i="33"/>
  <c r="T61" i="33" s="1"/>
  <c r="Z60" i="33"/>
  <c r="Z61" i="33" s="1"/>
  <c r="AB60" i="33"/>
  <c r="AB61" i="33" s="1"/>
  <c r="AF60" i="33"/>
  <c r="AF61" i="33" s="1"/>
  <c r="AH60" i="33"/>
  <c r="AH61" i="33" s="1"/>
  <c r="AK60" i="33"/>
  <c r="AK61" i="33" s="1"/>
  <c r="D55" i="33"/>
  <c r="B55" i="33"/>
  <c r="K55" i="33"/>
  <c r="J55" i="33"/>
  <c r="H55" i="33"/>
  <c r="I55" i="33"/>
  <c r="E55" i="33"/>
  <c r="L60" i="33"/>
  <c r="J60" i="33"/>
  <c r="K60" i="33"/>
  <c r="H60" i="33"/>
  <c r="E60" i="33"/>
  <c r="F60" i="33"/>
  <c r="M60" i="33"/>
  <c r="C60" i="33"/>
  <c r="I60" i="33"/>
  <c r="O60" i="33"/>
  <c r="G60" i="33"/>
  <c r="D60" i="33"/>
  <c r="Q60" i="33"/>
  <c r="C55" i="33" l="1"/>
  <c r="F55" i="33"/>
  <c r="G55" i="33"/>
  <c r="L55" i="33"/>
  <c r="Q61" i="33"/>
  <c r="D61" i="33"/>
  <c r="G61" i="33"/>
  <c r="O61" i="33"/>
  <c r="I61" i="33"/>
  <c r="C61" i="33"/>
  <c r="M61" i="33"/>
  <c r="F61" i="33"/>
  <c r="E61" i="33"/>
  <c r="H61" i="33"/>
  <c r="K61" i="33"/>
  <c r="J61" i="33"/>
  <c r="L61" i="33"/>
  <c r="M4" i="33"/>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P22" i="1" l="1"/>
  <c r="Q45" i="1"/>
  <c r="W28" i="23"/>
  <c r="AM22" i="4" s="1"/>
  <c r="X28" i="23"/>
  <c r="Y28" i="23"/>
  <c r="Z28" i="23"/>
  <c r="AA28" i="23"/>
  <c r="AB28" i="23"/>
  <c r="AC28" i="23"/>
  <c r="AD28" i="23"/>
  <c r="AE28" i="23"/>
  <c r="AF28" i="23"/>
  <c r="AG28" i="23"/>
  <c r="AH28" i="23"/>
  <c r="AI28" i="23"/>
  <c r="AJ28" i="23"/>
  <c r="AK28" i="23"/>
  <c r="W29" i="23"/>
  <c r="AM23" i="4" s="1"/>
  <c r="X29" i="23"/>
  <c r="AN23" i="4" s="1"/>
  <c r="Y29" i="23"/>
  <c r="AO23" i="4" s="1"/>
  <c r="Z29" i="23"/>
  <c r="AP23" i="4" s="1"/>
  <c r="AA29" i="23"/>
  <c r="AB29" i="23"/>
  <c r="AC29" i="23"/>
  <c r="AS23" i="4" s="1"/>
  <c r="AD29" i="23"/>
  <c r="AT23" i="4" s="1"/>
  <c r="AE29" i="23"/>
  <c r="AU23" i="4" s="1"/>
  <c r="AF29" i="23"/>
  <c r="AV23" i="4" s="1"/>
  <c r="AG29" i="23"/>
  <c r="AW23" i="4" s="1"/>
  <c r="AH29" i="23"/>
  <c r="AX23" i="4" s="1"/>
  <c r="AI29" i="23"/>
  <c r="AY23" i="4" s="1"/>
  <c r="AJ29" i="23"/>
  <c r="AZ23" i="4" s="1"/>
  <c r="AK29" i="23"/>
  <c r="BA23" i="4" s="1"/>
  <c r="W30" i="23"/>
  <c r="AM24" i="4" s="1"/>
  <c r="X30" i="23"/>
  <c r="Y30" i="23"/>
  <c r="AO24" i="4" s="1"/>
  <c r="Z30" i="23"/>
  <c r="AP24" i="4" s="1"/>
  <c r="AA30" i="23"/>
  <c r="AQ24" i="4" s="1"/>
  <c r="AB30" i="23"/>
  <c r="AC30" i="23"/>
  <c r="AS24" i="4" s="1"/>
  <c r="AD30" i="23"/>
  <c r="AT24" i="4" s="1"/>
  <c r="AE30" i="23"/>
  <c r="AU24" i="4" s="1"/>
  <c r="AF30" i="23"/>
  <c r="AV24" i="4" s="1"/>
  <c r="AG30" i="23"/>
  <c r="AW24" i="4" s="1"/>
  <c r="AH30" i="23"/>
  <c r="AX24" i="4" s="1"/>
  <c r="AI30" i="23"/>
  <c r="AY24" i="4" s="1"/>
  <c r="AJ30" i="23"/>
  <c r="AZ24" i="4" s="1"/>
  <c r="AK30" i="23"/>
  <c r="BA24" i="4" s="1"/>
  <c r="W31" i="23"/>
  <c r="AM25" i="4" s="1"/>
  <c r="X31" i="23"/>
  <c r="AN25" i="4" s="1"/>
  <c r="Y31" i="23"/>
  <c r="AO25" i="4" s="1"/>
  <c r="Z31" i="23"/>
  <c r="AA31" i="23"/>
  <c r="AQ25" i="4" s="1"/>
  <c r="AB31" i="23"/>
  <c r="AR25" i="4" s="1"/>
  <c r="AC31" i="23"/>
  <c r="AD31" i="23"/>
  <c r="AT25" i="4" s="1"/>
  <c r="AE31" i="23"/>
  <c r="AU25" i="4" s="1"/>
  <c r="AF31" i="23"/>
  <c r="AV25" i="4" s="1"/>
  <c r="AG31" i="23"/>
  <c r="AW25" i="4" s="1"/>
  <c r="AH31" i="23"/>
  <c r="AX25" i="4" s="1"/>
  <c r="AI31" i="23"/>
  <c r="AY25" i="4" s="1"/>
  <c r="AJ31" i="23"/>
  <c r="AZ25" i="4" s="1"/>
  <c r="AK31" i="23"/>
  <c r="BA25" i="4" s="1"/>
  <c r="W32" i="23"/>
  <c r="AM26" i="4" s="1"/>
  <c r="X32" i="23"/>
  <c r="AN26" i="4" s="1"/>
  <c r="Y32" i="23"/>
  <c r="AO26" i="4" s="1"/>
  <c r="Z32" i="23"/>
  <c r="AP26" i="4" s="1"/>
  <c r="AA32" i="23"/>
  <c r="AQ26" i="4" s="1"/>
  <c r="AB32" i="23"/>
  <c r="AR26" i="4" s="1"/>
  <c r="AC32" i="23"/>
  <c r="AS26" i="4" s="1"/>
  <c r="AD32" i="23"/>
  <c r="AT26" i="4" s="1"/>
  <c r="AE32" i="23"/>
  <c r="AU26" i="4" s="1"/>
  <c r="AF32" i="23"/>
  <c r="AV26" i="4" s="1"/>
  <c r="AG32" i="23"/>
  <c r="AW26" i="4" s="1"/>
  <c r="AH32" i="23"/>
  <c r="AX26" i="4" s="1"/>
  <c r="AI32" i="23"/>
  <c r="AY26" i="4" s="1"/>
  <c r="AJ32" i="23"/>
  <c r="AZ26" i="4" s="1"/>
  <c r="AK32" i="23"/>
  <c r="BA26" i="4" s="1"/>
  <c r="W33" i="23"/>
  <c r="AM27" i="4" s="1"/>
  <c r="X33" i="23"/>
  <c r="Y33" i="23"/>
  <c r="AO27" i="4" s="1"/>
  <c r="Z33" i="23"/>
  <c r="AP27" i="4" s="1"/>
  <c r="AA33" i="23"/>
  <c r="AQ27" i="4" s="1"/>
  <c r="AB33" i="23"/>
  <c r="AC33" i="23"/>
  <c r="AS27" i="4" s="1"/>
  <c r="AD33" i="23"/>
  <c r="AT27" i="4" s="1"/>
  <c r="AE33" i="23"/>
  <c r="AU27" i="4" s="1"/>
  <c r="AF33" i="23"/>
  <c r="AV27" i="4" s="1"/>
  <c r="AG33" i="23"/>
  <c r="AW27" i="4" s="1"/>
  <c r="AH33" i="23"/>
  <c r="AX27" i="4" s="1"/>
  <c r="AI33" i="23"/>
  <c r="AY27" i="4" s="1"/>
  <c r="AJ33" i="23"/>
  <c r="AZ27" i="4" s="1"/>
  <c r="AK33" i="23"/>
  <c r="BA27" i="4" s="1"/>
  <c r="W34" i="23"/>
  <c r="AM28" i="4" s="1"/>
  <c r="X34" i="23"/>
  <c r="AN28" i="4" s="1"/>
  <c r="Y34" i="23"/>
  <c r="AO28" i="4" s="1"/>
  <c r="Z34" i="23"/>
  <c r="AP28" i="4" s="1"/>
  <c r="AA34" i="23"/>
  <c r="AQ28" i="4" s="1"/>
  <c r="AB34" i="23"/>
  <c r="AR28" i="4" s="1"/>
  <c r="AC34" i="23"/>
  <c r="AS28" i="4" s="1"/>
  <c r="AD34" i="23"/>
  <c r="AT28" i="4" s="1"/>
  <c r="AE34" i="23"/>
  <c r="AU28" i="4" s="1"/>
  <c r="AF34" i="23"/>
  <c r="AV28" i="4" s="1"/>
  <c r="AG34" i="23"/>
  <c r="AW28" i="4" s="1"/>
  <c r="AH34" i="23"/>
  <c r="AX28" i="4" s="1"/>
  <c r="AI34" i="23"/>
  <c r="AY28" i="4" s="1"/>
  <c r="AJ34" i="23"/>
  <c r="AZ28" i="4" s="1"/>
  <c r="AK34" i="23"/>
  <c r="BA28" i="4" s="1"/>
  <c r="U35" i="23"/>
  <c r="W35" i="23"/>
  <c r="AM29" i="4" s="1"/>
  <c r="X35" i="23"/>
  <c r="AN29" i="4" s="1"/>
  <c r="Y35" i="23"/>
  <c r="AO29" i="4" s="1"/>
  <c r="Z35" i="23"/>
  <c r="AP29" i="4" s="1"/>
  <c r="AA35" i="23"/>
  <c r="AQ29" i="4" s="1"/>
  <c r="AB35" i="23"/>
  <c r="AR29" i="4" s="1"/>
  <c r="AC35" i="23"/>
  <c r="AS29" i="4" s="1"/>
  <c r="AD35" i="23"/>
  <c r="AT29" i="4" s="1"/>
  <c r="AE35" i="23"/>
  <c r="AU29" i="4" s="1"/>
  <c r="AF35" i="23"/>
  <c r="AV29" i="4" s="1"/>
  <c r="AG35" i="23"/>
  <c r="AW29" i="4" s="1"/>
  <c r="AH35" i="23"/>
  <c r="AX29" i="4" s="1"/>
  <c r="AI35" i="23"/>
  <c r="AY29" i="4" s="1"/>
  <c r="AJ35" i="23"/>
  <c r="AZ29" i="4" s="1"/>
  <c r="AK35" i="23"/>
  <c r="BA29" i="4" s="1"/>
  <c r="P36" i="23"/>
  <c r="AF30" i="4" s="1"/>
  <c r="Q36" i="23"/>
  <c r="AG30" i="4" s="1"/>
  <c r="R36" i="23"/>
  <c r="AH30" i="4" s="1"/>
  <c r="S36" i="23"/>
  <c r="AI30" i="4" s="1"/>
  <c r="T36" i="23"/>
  <c r="AJ30" i="4" s="1"/>
  <c r="U36" i="23"/>
  <c r="AK30" i="4" s="1"/>
  <c r="V36" i="23"/>
  <c r="AL30" i="4" s="1"/>
  <c r="W36" i="23"/>
  <c r="X36" i="23"/>
  <c r="AN30" i="4" s="1"/>
  <c r="Y36" i="23"/>
  <c r="AO30" i="4" s="1"/>
  <c r="Z36" i="23"/>
  <c r="AP30" i="4" s="1"/>
  <c r="AA36" i="23"/>
  <c r="AQ30" i="4" s="1"/>
  <c r="AB36" i="23"/>
  <c r="AR30" i="4" s="1"/>
  <c r="AC36" i="23"/>
  <c r="AS30" i="4" s="1"/>
  <c r="AD36" i="23"/>
  <c r="AT30" i="4" s="1"/>
  <c r="AE36" i="23"/>
  <c r="AU30" i="4" s="1"/>
  <c r="AF36" i="23"/>
  <c r="AV30" i="4" s="1"/>
  <c r="AG36" i="23"/>
  <c r="AW30" i="4" s="1"/>
  <c r="AH36" i="23"/>
  <c r="AI36" i="23"/>
  <c r="AY30" i="4" s="1"/>
  <c r="AJ36" i="23"/>
  <c r="AZ30" i="4" s="1"/>
  <c r="AK36" i="23"/>
  <c r="BA30" i="4" s="1"/>
  <c r="P37" i="23"/>
  <c r="AF31" i="4" s="1"/>
  <c r="Q37" i="23"/>
  <c r="R37" i="23"/>
  <c r="AH31" i="4" s="1"/>
  <c r="S37" i="23"/>
  <c r="AI31" i="4" s="1"/>
  <c r="T37" i="23"/>
  <c r="AJ31" i="4" s="1"/>
  <c r="U37" i="23"/>
  <c r="AK31" i="4" s="1"/>
  <c r="V37" i="23"/>
  <c r="AL31" i="4" s="1"/>
  <c r="W37" i="23"/>
  <c r="AM31" i="4" s="1"/>
  <c r="X37" i="23"/>
  <c r="AN31" i="4" s="1"/>
  <c r="Y37" i="23"/>
  <c r="AO31" i="4" s="1"/>
  <c r="Z37" i="23"/>
  <c r="AP31" i="4" s="1"/>
  <c r="AA37" i="23"/>
  <c r="AQ31" i="4" s="1"/>
  <c r="AB37" i="23"/>
  <c r="AR31" i="4" s="1"/>
  <c r="AC37" i="23"/>
  <c r="AS31" i="4" s="1"/>
  <c r="AD37" i="23"/>
  <c r="AT31" i="4" s="1"/>
  <c r="AE37" i="23"/>
  <c r="AU31" i="4" s="1"/>
  <c r="AF37" i="23"/>
  <c r="AV31" i="4" s="1"/>
  <c r="AG37" i="23"/>
  <c r="AW31" i="4" s="1"/>
  <c r="AH37" i="23"/>
  <c r="AX31" i="4" s="1"/>
  <c r="AI37" i="23"/>
  <c r="AY31" i="4" s="1"/>
  <c r="AJ37" i="23"/>
  <c r="AZ31" i="4" s="1"/>
  <c r="AK37" i="23"/>
  <c r="BA31" i="4" s="1"/>
  <c r="P38" i="23"/>
  <c r="AF32" i="4" s="1"/>
  <c r="Q38" i="23"/>
  <c r="AG32" i="4" s="1"/>
  <c r="R38" i="23"/>
  <c r="AH32" i="4" s="1"/>
  <c r="S38" i="23"/>
  <c r="AI32" i="4" s="1"/>
  <c r="T38" i="23"/>
  <c r="AJ32" i="4" s="1"/>
  <c r="U38" i="23"/>
  <c r="AK32" i="4" s="1"/>
  <c r="V38" i="23"/>
  <c r="AL32" i="4" s="1"/>
  <c r="W38" i="23"/>
  <c r="AM32" i="4" s="1"/>
  <c r="X38" i="23"/>
  <c r="AN32" i="4" s="1"/>
  <c r="Y38" i="23"/>
  <c r="AO32" i="4" s="1"/>
  <c r="Z38" i="23"/>
  <c r="AP32" i="4" s="1"/>
  <c r="AA38" i="23"/>
  <c r="AQ32" i="4" s="1"/>
  <c r="AB38" i="23"/>
  <c r="AR32" i="4" s="1"/>
  <c r="AC38" i="23"/>
  <c r="AS32" i="4" s="1"/>
  <c r="AD38" i="23"/>
  <c r="AT32" i="4" s="1"/>
  <c r="AE38" i="23"/>
  <c r="AU32" i="4" s="1"/>
  <c r="AF38" i="23"/>
  <c r="AV32" i="4" s="1"/>
  <c r="AG38" i="23"/>
  <c r="AW32" i="4" s="1"/>
  <c r="AH38" i="23"/>
  <c r="AX32" i="4" s="1"/>
  <c r="AI38" i="23"/>
  <c r="AY32" i="4" s="1"/>
  <c r="AJ38" i="23"/>
  <c r="AZ32" i="4" s="1"/>
  <c r="AK38" i="23"/>
  <c r="BA32" i="4" s="1"/>
  <c r="P39" i="23"/>
  <c r="AF33" i="4" s="1"/>
  <c r="Q39" i="23"/>
  <c r="AG33" i="4" s="1"/>
  <c r="R39" i="23"/>
  <c r="AH33" i="4" s="1"/>
  <c r="S39" i="23"/>
  <c r="AI33" i="4" s="1"/>
  <c r="T39" i="23"/>
  <c r="AJ33" i="4" s="1"/>
  <c r="U39" i="23"/>
  <c r="AK33" i="4" s="1"/>
  <c r="V39" i="23"/>
  <c r="W39" i="23"/>
  <c r="AM33" i="4" s="1"/>
  <c r="X39" i="23"/>
  <c r="AN33" i="4" s="1"/>
  <c r="Y39" i="23"/>
  <c r="AO33" i="4" s="1"/>
  <c r="Z39" i="23"/>
  <c r="AP33" i="4" s="1"/>
  <c r="AA39" i="23"/>
  <c r="AB39" i="23"/>
  <c r="AR33" i="4" s="1"/>
  <c r="AC39" i="23"/>
  <c r="AS33" i="4" s="1"/>
  <c r="AD39" i="23"/>
  <c r="AT33" i="4" s="1"/>
  <c r="AE39" i="23"/>
  <c r="AU33" i="4" s="1"/>
  <c r="AF39" i="23"/>
  <c r="AV33" i="4" s="1"/>
  <c r="AG39" i="23"/>
  <c r="AW33" i="4" s="1"/>
  <c r="AH39" i="23"/>
  <c r="AX33" i="4" s="1"/>
  <c r="AI39" i="23"/>
  <c r="AY33" i="4" s="1"/>
  <c r="AJ39" i="23"/>
  <c r="AZ33" i="4" s="1"/>
  <c r="AK39" i="23"/>
  <c r="BA33" i="4" s="1"/>
  <c r="P40" i="23"/>
  <c r="AF34" i="4" s="1"/>
  <c r="Q40" i="23"/>
  <c r="AG34" i="4" s="1"/>
  <c r="R40" i="23"/>
  <c r="AH34" i="4" s="1"/>
  <c r="S40" i="23"/>
  <c r="AI34" i="4" s="1"/>
  <c r="T40" i="23"/>
  <c r="AJ34" i="4" s="1"/>
  <c r="U40" i="23"/>
  <c r="AK34" i="4" s="1"/>
  <c r="V40" i="23"/>
  <c r="AL34" i="4" s="1"/>
  <c r="W40" i="23"/>
  <c r="AM34" i="4" s="1"/>
  <c r="X40" i="23"/>
  <c r="AN34" i="4" s="1"/>
  <c r="Y40" i="23"/>
  <c r="AO34" i="4" s="1"/>
  <c r="Z40" i="23"/>
  <c r="AP34" i="4" s="1"/>
  <c r="AA40" i="23"/>
  <c r="AQ34" i="4" s="1"/>
  <c r="AB40" i="23"/>
  <c r="AC40" i="23"/>
  <c r="AS34" i="4" s="1"/>
  <c r="AD40" i="23"/>
  <c r="AT34" i="4" s="1"/>
  <c r="AE40" i="23"/>
  <c r="AU34" i="4" s="1"/>
  <c r="AF40" i="23"/>
  <c r="AV34" i="4" s="1"/>
  <c r="AG40" i="23"/>
  <c r="AW34" i="4" s="1"/>
  <c r="AH40" i="23"/>
  <c r="AX34" i="4" s="1"/>
  <c r="AI40" i="23"/>
  <c r="AY34" i="4" s="1"/>
  <c r="AJ40" i="23"/>
  <c r="AZ34" i="4" s="1"/>
  <c r="AK40" i="23"/>
  <c r="BA34" i="4" s="1"/>
  <c r="P41" i="23"/>
  <c r="AF35" i="4" s="1"/>
  <c r="Q41" i="23"/>
  <c r="AG35" i="4" s="1"/>
  <c r="R41" i="23"/>
  <c r="AH35" i="4" s="1"/>
  <c r="S41" i="23"/>
  <c r="AI35" i="4" s="1"/>
  <c r="T41" i="23"/>
  <c r="AJ35" i="4" s="1"/>
  <c r="U41" i="23"/>
  <c r="AK35" i="4" s="1"/>
  <c r="V41" i="23"/>
  <c r="AL35" i="4" s="1"/>
  <c r="W41" i="23"/>
  <c r="AM35" i="4" s="1"/>
  <c r="X41" i="23"/>
  <c r="AN35" i="4" s="1"/>
  <c r="Y41" i="23"/>
  <c r="AO35" i="4" s="1"/>
  <c r="Z41" i="23"/>
  <c r="AP35" i="4" s="1"/>
  <c r="AA41" i="23"/>
  <c r="AQ35" i="4" s="1"/>
  <c r="AB41" i="23"/>
  <c r="AR35" i="4" s="1"/>
  <c r="AC41" i="23"/>
  <c r="AS35" i="4" s="1"/>
  <c r="AD41" i="23"/>
  <c r="AT35" i="4" s="1"/>
  <c r="AE41" i="23"/>
  <c r="AU35" i="4" s="1"/>
  <c r="AF41" i="23"/>
  <c r="AV35" i="4" s="1"/>
  <c r="AG41" i="23"/>
  <c r="AW35" i="4" s="1"/>
  <c r="AH41" i="23"/>
  <c r="AX35" i="4" s="1"/>
  <c r="AI41" i="23"/>
  <c r="AY35" i="4" s="1"/>
  <c r="AJ41" i="23"/>
  <c r="AZ35" i="4" s="1"/>
  <c r="AK41" i="23"/>
  <c r="BA35" i="4" s="1"/>
  <c r="P42" i="23"/>
  <c r="AF36" i="4" s="1"/>
  <c r="Q42" i="23"/>
  <c r="AG36" i="4" s="1"/>
  <c r="R42" i="23"/>
  <c r="AH36" i="4" s="1"/>
  <c r="S42" i="23"/>
  <c r="AI36" i="4" s="1"/>
  <c r="T42" i="23"/>
  <c r="AJ36" i="4" s="1"/>
  <c r="U42" i="23"/>
  <c r="AK36" i="4" s="1"/>
  <c r="V42" i="23"/>
  <c r="AL36" i="4" s="1"/>
  <c r="W42" i="23"/>
  <c r="AM36" i="4" s="1"/>
  <c r="X42" i="23"/>
  <c r="AN36" i="4" s="1"/>
  <c r="Y42" i="23"/>
  <c r="AO36" i="4" s="1"/>
  <c r="Z42" i="23"/>
  <c r="AP36" i="4" s="1"/>
  <c r="AA42" i="23"/>
  <c r="AQ36" i="4" s="1"/>
  <c r="AB42" i="23"/>
  <c r="AR36" i="4" s="1"/>
  <c r="AC42" i="23"/>
  <c r="AS36" i="4" s="1"/>
  <c r="AD42" i="23"/>
  <c r="AT36" i="4" s="1"/>
  <c r="AE42" i="23"/>
  <c r="AU36" i="4" s="1"/>
  <c r="AF42" i="23"/>
  <c r="AV36" i="4" s="1"/>
  <c r="AG42" i="23"/>
  <c r="AW36" i="4" s="1"/>
  <c r="AH42" i="23"/>
  <c r="AX36" i="4" s="1"/>
  <c r="AI42" i="23"/>
  <c r="AY36" i="4" s="1"/>
  <c r="AJ42" i="23"/>
  <c r="AZ36" i="4" s="1"/>
  <c r="AK42" i="23"/>
  <c r="BA36" i="4" s="1"/>
  <c r="P43" i="23"/>
  <c r="Q43" i="23"/>
  <c r="AG37" i="4" s="1"/>
  <c r="R43" i="23"/>
  <c r="S43" i="23"/>
  <c r="T43" i="23"/>
  <c r="U43" i="23"/>
  <c r="AK37" i="4" s="1"/>
  <c r="V43" i="23"/>
  <c r="W43" i="23"/>
  <c r="X43" i="23"/>
  <c r="Y43" i="23"/>
  <c r="AO37" i="4" s="1"/>
  <c r="Z43" i="23"/>
  <c r="AA43" i="23"/>
  <c r="AB43" i="23"/>
  <c r="AC43" i="23"/>
  <c r="AS37" i="4" s="1"/>
  <c r="AD43" i="23"/>
  <c r="AE43" i="23"/>
  <c r="AF43" i="23"/>
  <c r="AG43" i="23"/>
  <c r="AH43" i="23"/>
  <c r="AI43" i="23"/>
  <c r="AJ43" i="23"/>
  <c r="AK43" i="23"/>
  <c r="N23" i="4"/>
  <c r="O23" i="4"/>
  <c r="P23" i="4"/>
  <c r="Q23" i="4"/>
  <c r="R23" i="4"/>
  <c r="S23" i="4"/>
  <c r="T23" i="4"/>
  <c r="U23" i="4"/>
  <c r="V23" i="4"/>
  <c r="W23" i="4"/>
  <c r="X23" i="4"/>
  <c r="Y23" i="4"/>
  <c r="Z23" i="4"/>
  <c r="AA23" i="4"/>
  <c r="AB23" i="4"/>
  <c r="AC23" i="4"/>
  <c r="N24" i="4"/>
  <c r="O24" i="4"/>
  <c r="Q24" i="4"/>
  <c r="R24" i="4"/>
  <c r="S24" i="4"/>
  <c r="T24" i="4"/>
  <c r="U24" i="4"/>
  <c r="V24" i="4"/>
  <c r="W24" i="4"/>
  <c r="X24" i="4"/>
  <c r="Y24" i="4"/>
  <c r="Z24" i="4"/>
  <c r="AA24" i="4"/>
  <c r="AB24" i="4"/>
  <c r="AC24" i="4"/>
  <c r="N25" i="4"/>
  <c r="O25" i="4"/>
  <c r="P25" i="4"/>
  <c r="Q25" i="4"/>
  <c r="R25" i="4"/>
  <c r="S25" i="4"/>
  <c r="U25" i="4"/>
  <c r="V25" i="4"/>
  <c r="W25" i="4"/>
  <c r="X25" i="4"/>
  <c r="Y25" i="4"/>
  <c r="Z25" i="4"/>
  <c r="AB25" i="4"/>
  <c r="AC25" i="4"/>
  <c r="N26" i="4"/>
  <c r="O26" i="4"/>
  <c r="P26" i="4"/>
  <c r="Q26" i="4"/>
  <c r="R26" i="4"/>
  <c r="S26" i="4"/>
  <c r="T26" i="4"/>
  <c r="U26" i="4"/>
  <c r="V26" i="4"/>
  <c r="W26" i="4"/>
  <c r="X26" i="4"/>
  <c r="Y26" i="4"/>
  <c r="Z26" i="4"/>
  <c r="AA26" i="4"/>
  <c r="AB26" i="4"/>
  <c r="AC26" i="4"/>
  <c r="N27" i="4"/>
  <c r="O27" i="4"/>
  <c r="P27" i="4"/>
  <c r="Q27" i="4"/>
  <c r="R27" i="4"/>
  <c r="S27" i="4"/>
  <c r="T27" i="4"/>
  <c r="U27" i="4"/>
  <c r="V27" i="4"/>
  <c r="W27" i="4"/>
  <c r="X27" i="4"/>
  <c r="Y27" i="4"/>
  <c r="Z27" i="4"/>
  <c r="AA27" i="4"/>
  <c r="AB27" i="4"/>
  <c r="AC27" i="4"/>
  <c r="N28" i="4"/>
  <c r="O28" i="4"/>
  <c r="P28" i="4"/>
  <c r="Q28" i="4"/>
  <c r="R28" i="4"/>
  <c r="S28" i="4"/>
  <c r="T28" i="4"/>
  <c r="U28" i="4"/>
  <c r="V28" i="4"/>
  <c r="W28" i="4"/>
  <c r="X28" i="4"/>
  <c r="Y28" i="4"/>
  <c r="Z28" i="4"/>
  <c r="AA28" i="4"/>
  <c r="AB28" i="4"/>
  <c r="AC28" i="4"/>
  <c r="M35" i="23"/>
  <c r="M29" i="4" s="1"/>
  <c r="N29" i="4"/>
  <c r="O29" i="4"/>
  <c r="P29" i="4"/>
  <c r="Q29" i="4"/>
  <c r="R29" i="4"/>
  <c r="S29" i="4"/>
  <c r="T29" i="4"/>
  <c r="U29" i="4"/>
  <c r="V29" i="4"/>
  <c r="W29" i="4"/>
  <c r="X29" i="4"/>
  <c r="Y29" i="4"/>
  <c r="Z29" i="4"/>
  <c r="AA29" i="4"/>
  <c r="AB29" i="4"/>
  <c r="AC29" i="4"/>
  <c r="K36" i="23"/>
  <c r="K30" i="4" s="1"/>
  <c r="L36" i="23"/>
  <c r="L30" i="4" s="1"/>
  <c r="M36" i="23"/>
  <c r="M30" i="4" s="1"/>
  <c r="N30" i="4"/>
  <c r="O30" i="4"/>
  <c r="P30" i="4"/>
  <c r="Q30" i="4"/>
  <c r="R30" i="4"/>
  <c r="S30" i="4"/>
  <c r="T30" i="4"/>
  <c r="U30" i="4"/>
  <c r="V30" i="4"/>
  <c r="W30" i="4"/>
  <c r="X30" i="4"/>
  <c r="Y30" i="4"/>
  <c r="Z30" i="4"/>
  <c r="AA30" i="4"/>
  <c r="AB30" i="4"/>
  <c r="AC30" i="4"/>
  <c r="K37" i="23"/>
  <c r="K31" i="4" s="1"/>
  <c r="L37" i="23"/>
  <c r="L31" i="4" s="1"/>
  <c r="M37" i="23"/>
  <c r="M31" i="4" s="1"/>
  <c r="N31" i="4"/>
  <c r="O31" i="4"/>
  <c r="Q31" i="4"/>
  <c r="R31" i="4"/>
  <c r="S31" i="4"/>
  <c r="T31" i="4"/>
  <c r="U31" i="4"/>
  <c r="V31" i="4"/>
  <c r="W31" i="4"/>
  <c r="X31" i="4"/>
  <c r="Y31" i="4"/>
  <c r="Z31" i="4"/>
  <c r="AA31" i="4"/>
  <c r="AB31" i="4"/>
  <c r="AC31" i="4"/>
  <c r="K38" i="23"/>
  <c r="K32" i="4" s="1"/>
  <c r="L38" i="23"/>
  <c r="L32" i="4" s="1"/>
  <c r="M38" i="23"/>
  <c r="M32" i="4" s="1"/>
  <c r="N32" i="4"/>
  <c r="O32" i="4"/>
  <c r="P32" i="4"/>
  <c r="Q32" i="4"/>
  <c r="R32" i="4"/>
  <c r="S32" i="4"/>
  <c r="T32" i="4"/>
  <c r="U32" i="4"/>
  <c r="V32" i="4"/>
  <c r="W32" i="4"/>
  <c r="X32" i="4"/>
  <c r="Y32" i="4"/>
  <c r="Z32" i="4"/>
  <c r="AA32" i="4"/>
  <c r="AB32" i="4"/>
  <c r="AC32" i="4"/>
  <c r="K39" i="23"/>
  <c r="K33" i="4" s="1"/>
  <c r="L39" i="23"/>
  <c r="L33" i="4" s="1"/>
  <c r="M39" i="23"/>
  <c r="M33" i="4" s="1"/>
  <c r="N33" i="4"/>
  <c r="O33" i="4"/>
  <c r="P33" i="4"/>
  <c r="Q33" i="4"/>
  <c r="R33" i="4"/>
  <c r="S33" i="4"/>
  <c r="T33" i="4"/>
  <c r="U33" i="4"/>
  <c r="V33" i="4"/>
  <c r="W33" i="4"/>
  <c r="X33" i="4"/>
  <c r="Y33" i="4"/>
  <c r="Z33" i="4"/>
  <c r="AA33" i="4"/>
  <c r="AB33" i="4"/>
  <c r="AC33" i="4"/>
  <c r="K40" i="23"/>
  <c r="K34" i="4" s="1"/>
  <c r="L40" i="23"/>
  <c r="L34" i="4" s="1"/>
  <c r="M40" i="23"/>
  <c r="M34" i="4" s="1"/>
  <c r="N34" i="4"/>
  <c r="O34" i="4"/>
  <c r="P34" i="4"/>
  <c r="Q34" i="4"/>
  <c r="R34" i="4"/>
  <c r="S34" i="4"/>
  <c r="T34" i="4"/>
  <c r="U34" i="4"/>
  <c r="V34" i="4"/>
  <c r="W34" i="4"/>
  <c r="X34" i="4"/>
  <c r="Y34" i="4"/>
  <c r="Z34" i="4"/>
  <c r="AA34" i="4"/>
  <c r="AB34" i="4"/>
  <c r="AC34" i="4"/>
  <c r="K41" i="23"/>
  <c r="K35" i="4" s="1"/>
  <c r="L41" i="23"/>
  <c r="L35" i="4" s="1"/>
  <c r="M41" i="23"/>
  <c r="M35" i="4" s="1"/>
  <c r="N35" i="4"/>
  <c r="O35" i="4"/>
  <c r="P35" i="4"/>
  <c r="Q35" i="4"/>
  <c r="R35" i="4"/>
  <c r="S35" i="4"/>
  <c r="T35" i="4"/>
  <c r="U35" i="4"/>
  <c r="V35" i="4"/>
  <c r="W35" i="4"/>
  <c r="X35" i="4"/>
  <c r="Y35" i="4"/>
  <c r="Z35" i="4"/>
  <c r="AA35" i="4"/>
  <c r="AB35" i="4"/>
  <c r="AC35" i="4"/>
  <c r="K42" i="23"/>
  <c r="K36" i="4" s="1"/>
  <c r="L42" i="23"/>
  <c r="L36" i="4" s="1"/>
  <c r="M42" i="23"/>
  <c r="M36" i="4" s="1"/>
  <c r="N36" i="4"/>
  <c r="O36" i="4"/>
  <c r="P36" i="4"/>
  <c r="Q36" i="4"/>
  <c r="R36" i="4"/>
  <c r="S36" i="4"/>
  <c r="T36" i="4"/>
  <c r="U36" i="4"/>
  <c r="V36" i="4"/>
  <c r="W36" i="4"/>
  <c r="X36" i="4"/>
  <c r="Y36" i="4"/>
  <c r="Z36" i="4"/>
  <c r="AA36" i="4"/>
  <c r="AB36" i="4"/>
  <c r="AC36" i="4"/>
  <c r="K43" i="23"/>
  <c r="L43" i="23"/>
  <c r="M43" i="23"/>
  <c r="W28" i="1"/>
  <c r="X28" i="1"/>
  <c r="Y28" i="1"/>
  <c r="Z28" i="1"/>
  <c r="AA28" i="1"/>
  <c r="AB28" i="1"/>
  <c r="AC28" i="1"/>
  <c r="AD28" i="1"/>
  <c r="AE28" i="1"/>
  <c r="AF28" i="1"/>
  <c r="AG28" i="1"/>
  <c r="AH28" i="1"/>
  <c r="AI28" i="1"/>
  <c r="AJ28" i="1"/>
  <c r="AK28" i="1"/>
  <c r="W29" i="1"/>
  <c r="AM7" i="4" s="1"/>
  <c r="X29" i="1"/>
  <c r="Y29" i="1"/>
  <c r="AO7" i="4" s="1"/>
  <c r="Z29" i="1"/>
  <c r="AP7" i="4" s="1"/>
  <c r="AA29" i="1"/>
  <c r="AQ7" i="4" s="1"/>
  <c r="AB29" i="1"/>
  <c r="AR7" i="4" s="1"/>
  <c r="AC29" i="1"/>
  <c r="AS7" i="4" s="1"/>
  <c r="AD29" i="1"/>
  <c r="AT7" i="4" s="1"/>
  <c r="AE29" i="1"/>
  <c r="AU7" i="4" s="1"/>
  <c r="AF29" i="1"/>
  <c r="AV7" i="4" s="1"/>
  <c r="AG29" i="1"/>
  <c r="AW7" i="4" s="1"/>
  <c r="AH29" i="1"/>
  <c r="AX7" i="4" s="1"/>
  <c r="AI29" i="1"/>
  <c r="AY7" i="4" s="1"/>
  <c r="AJ29" i="1"/>
  <c r="AZ7" i="4" s="1"/>
  <c r="AK29" i="1"/>
  <c r="BA7" i="4" s="1"/>
  <c r="W30" i="1"/>
  <c r="AM8" i="4" s="1"/>
  <c r="X30" i="1"/>
  <c r="AN8" i="4" s="1"/>
  <c r="Y30" i="1"/>
  <c r="AO8" i="4" s="1"/>
  <c r="Z30" i="1"/>
  <c r="AP8" i="4" s="1"/>
  <c r="AA30" i="1"/>
  <c r="AQ8" i="4" s="1"/>
  <c r="AB30" i="1"/>
  <c r="AR8" i="4" s="1"/>
  <c r="AC30" i="1"/>
  <c r="AS8" i="4" s="1"/>
  <c r="AD30" i="1"/>
  <c r="AT8" i="4" s="1"/>
  <c r="AE30" i="1"/>
  <c r="AU8" i="4" s="1"/>
  <c r="AF30" i="1"/>
  <c r="AV8" i="4" s="1"/>
  <c r="AG30" i="1"/>
  <c r="AW8" i="4" s="1"/>
  <c r="AH30" i="1"/>
  <c r="AX8" i="4" s="1"/>
  <c r="AI30" i="1"/>
  <c r="AY8" i="4" s="1"/>
  <c r="AJ30" i="1"/>
  <c r="AZ8" i="4" s="1"/>
  <c r="AK30" i="1"/>
  <c r="BA8" i="4" s="1"/>
  <c r="W31" i="1"/>
  <c r="AM9" i="4" s="1"/>
  <c r="X31" i="1"/>
  <c r="AN9" i="4" s="1"/>
  <c r="Y31" i="1"/>
  <c r="AO9" i="4" s="1"/>
  <c r="Z31" i="1"/>
  <c r="AP9" i="4" s="1"/>
  <c r="AA31" i="1"/>
  <c r="AQ9" i="4" s="1"/>
  <c r="AB31" i="1"/>
  <c r="AR9" i="4" s="1"/>
  <c r="AC31" i="1"/>
  <c r="AS9" i="4" s="1"/>
  <c r="AD31" i="1"/>
  <c r="AT9" i="4" s="1"/>
  <c r="AE31" i="1"/>
  <c r="AU9" i="4" s="1"/>
  <c r="AF31" i="1"/>
  <c r="AG31" i="1"/>
  <c r="AW9" i="4" s="1"/>
  <c r="AH31" i="1"/>
  <c r="AX9" i="4" s="1"/>
  <c r="AI31" i="1"/>
  <c r="AY9" i="4" s="1"/>
  <c r="AJ31" i="1"/>
  <c r="AZ9" i="4" s="1"/>
  <c r="AK31" i="1"/>
  <c r="BA9" i="4" s="1"/>
  <c r="W32" i="1"/>
  <c r="AM10" i="4" s="1"/>
  <c r="X32" i="1"/>
  <c r="AN10" i="4" s="1"/>
  <c r="Y32" i="1"/>
  <c r="AO10" i="4" s="1"/>
  <c r="Z32" i="1"/>
  <c r="AP10" i="4" s="1"/>
  <c r="AA32" i="1"/>
  <c r="AQ10" i="4" s="1"/>
  <c r="AB32" i="1"/>
  <c r="AR10" i="4" s="1"/>
  <c r="AC32" i="1"/>
  <c r="AS10" i="4" s="1"/>
  <c r="AD32" i="1"/>
  <c r="AT10" i="4" s="1"/>
  <c r="AE32" i="1"/>
  <c r="AU10" i="4" s="1"/>
  <c r="AF32" i="1"/>
  <c r="AV10" i="4" s="1"/>
  <c r="AG32" i="1"/>
  <c r="AW10" i="4" s="1"/>
  <c r="AH32" i="1"/>
  <c r="AX10" i="4" s="1"/>
  <c r="AI32" i="1"/>
  <c r="AY10" i="4" s="1"/>
  <c r="AJ32" i="1"/>
  <c r="AZ10" i="4" s="1"/>
  <c r="AK32" i="1"/>
  <c r="BA10" i="4" s="1"/>
  <c r="W33" i="1"/>
  <c r="AM11" i="4" s="1"/>
  <c r="X33" i="1"/>
  <c r="Y33" i="1"/>
  <c r="AO11" i="4" s="1"/>
  <c r="Z33" i="1"/>
  <c r="AP11" i="4" s="1"/>
  <c r="AA33" i="1"/>
  <c r="AQ11" i="4" s="1"/>
  <c r="AB33" i="1"/>
  <c r="AR11" i="4" s="1"/>
  <c r="AC33" i="1"/>
  <c r="AS11" i="4" s="1"/>
  <c r="AD33" i="1"/>
  <c r="AT11" i="4" s="1"/>
  <c r="AE33" i="1"/>
  <c r="AU11" i="4" s="1"/>
  <c r="AF33" i="1"/>
  <c r="AV11" i="4" s="1"/>
  <c r="AG33" i="1"/>
  <c r="AH33" i="1"/>
  <c r="AX11" i="4" s="1"/>
  <c r="AI33" i="1"/>
  <c r="AY11" i="4" s="1"/>
  <c r="AJ33" i="1"/>
  <c r="AZ11" i="4" s="1"/>
  <c r="AK33" i="1"/>
  <c r="BA11" i="4" s="1"/>
  <c r="W34" i="1"/>
  <c r="AM12" i="4" s="1"/>
  <c r="X34" i="1"/>
  <c r="AN12" i="4" s="1"/>
  <c r="Y34" i="1"/>
  <c r="Z34" i="1"/>
  <c r="AP12" i="4" s="1"/>
  <c r="AA34" i="1"/>
  <c r="AQ12" i="4" s="1"/>
  <c r="AB34" i="1"/>
  <c r="AR12" i="4" s="1"/>
  <c r="AC34" i="1"/>
  <c r="AS12" i="4" s="1"/>
  <c r="AD34" i="1"/>
  <c r="AT12" i="4" s="1"/>
  <c r="AE34" i="1"/>
  <c r="AU12" i="4" s="1"/>
  <c r="AF34" i="1"/>
  <c r="AV12" i="4" s="1"/>
  <c r="AG34" i="1"/>
  <c r="AW12" i="4" s="1"/>
  <c r="AH34" i="1"/>
  <c r="AX12" i="4" s="1"/>
  <c r="AI34" i="1"/>
  <c r="AY12" i="4" s="1"/>
  <c r="AJ34" i="1"/>
  <c r="AZ12" i="4" s="1"/>
  <c r="AK34" i="1"/>
  <c r="BA12" i="4" s="1"/>
  <c r="U35" i="1"/>
  <c r="AK13" i="4" s="1"/>
  <c r="W35" i="1"/>
  <c r="AM13" i="4" s="1"/>
  <c r="X35" i="1"/>
  <c r="AN13" i="4" s="1"/>
  <c r="Y35" i="1"/>
  <c r="AO13" i="4" s="1"/>
  <c r="Z35" i="1"/>
  <c r="AP13" i="4" s="1"/>
  <c r="AA35" i="1"/>
  <c r="AQ13" i="4" s="1"/>
  <c r="AB35" i="1"/>
  <c r="AR13" i="4" s="1"/>
  <c r="AC35" i="1"/>
  <c r="AS13" i="4" s="1"/>
  <c r="AD35" i="1"/>
  <c r="AT13" i="4" s="1"/>
  <c r="AE35" i="1"/>
  <c r="AU13" i="4" s="1"/>
  <c r="AF35" i="1"/>
  <c r="AV13" i="4" s="1"/>
  <c r="AG35" i="1"/>
  <c r="AW13" i="4" s="1"/>
  <c r="AH35" i="1"/>
  <c r="AX13" i="4" s="1"/>
  <c r="AI35" i="1"/>
  <c r="AY13" i="4" s="1"/>
  <c r="AJ35" i="1"/>
  <c r="AZ13" i="4" s="1"/>
  <c r="AK35" i="1"/>
  <c r="BA13" i="4" s="1"/>
  <c r="S36" i="1"/>
  <c r="AI14" i="4" s="1"/>
  <c r="T36" i="1"/>
  <c r="AJ14" i="4" s="1"/>
  <c r="U36" i="1"/>
  <c r="AK14" i="4" s="1"/>
  <c r="V36" i="1"/>
  <c r="AL14" i="4" s="1"/>
  <c r="W36" i="1"/>
  <c r="AM14" i="4" s="1"/>
  <c r="X36" i="1"/>
  <c r="AN14" i="4" s="1"/>
  <c r="Y36" i="1"/>
  <c r="AO14" i="4" s="1"/>
  <c r="Z36" i="1"/>
  <c r="AP14" i="4" s="1"/>
  <c r="AA36" i="1"/>
  <c r="AQ14" i="4" s="1"/>
  <c r="AB36" i="1"/>
  <c r="AR14" i="4" s="1"/>
  <c r="AC36" i="1"/>
  <c r="AS14" i="4" s="1"/>
  <c r="AD36" i="1"/>
  <c r="AT14" i="4" s="1"/>
  <c r="AE36" i="1"/>
  <c r="AU14" i="4" s="1"/>
  <c r="AF36" i="1"/>
  <c r="AV14" i="4" s="1"/>
  <c r="AG36" i="1"/>
  <c r="AW14" i="4" s="1"/>
  <c r="AH36" i="1"/>
  <c r="AX14" i="4" s="1"/>
  <c r="AI36" i="1"/>
  <c r="AY14" i="4" s="1"/>
  <c r="AJ36" i="1"/>
  <c r="AZ14" i="4" s="1"/>
  <c r="AK36" i="1"/>
  <c r="BA14" i="4" s="1"/>
  <c r="S37" i="1"/>
  <c r="AI15" i="4" s="1"/>
  <c r="T37" i="1"/>
  <c r="AJ15" i="4" s="1"/>
  <c r="U37" i="1"/>
  <c r="AK15" i="4" s="1"/>
  <c r="V37" i="1"/>
  <c r="AL15" i="4" s="1"/>
  <c r="W37" i="1"/>
  <c r="AM15" i="4" s="1"/>
  <c r="X37" i="1"/>
  <c r="AN15" i="4" s="1"/>
  <c r="Y37" i="1"/>
  <c r="AO15" i="4" s="1"/>
  <c r="Z37" i="1"/>
  <c r="AP15" i="4" s="1"/>
  <c r="AA37" i="1"/>
  <c r="AQ15" i="4" s="1"/>
  <c r="AB37" i="1"/>
  <c r="AR15" i="4" s="1"/>
  <c r="AC37" i="1"/>
  <c r="AS15" i="4" s="1"/>
  <c r="AD37" i="1"/>
  <c r="AT15" i="4" s="1"/>
  <c r="AE37" i="1"/>
  <c r="AU15" i="4" s="1"/>
  <c r="AF37" i="1"/>
  <c r="AV15" i="4" s="1"/>
  <c r="AG37" i="1"/>
  <c r="AW15" i="4" s="1"/>
  <c r="AH37" i="1"/>
  <c r="AX15" i="4" s="1"/>
  <c r="AI37" i="1"/>
  <c r="AY15" i="4" s="1"/>
  <c r="AJ37" i="1"/>
  <c r="AZ15" i="4" s="1"/>
  <c r="AK37" i="1"/>
  <c r="BA15" i="4" s="1"/>
  <c r="S38" i="1"/>
  <c r="AI16" i="4" s="1"/>
  <c r="T38" i="1"/>
  <c r="AJ16" i="4" s="1"/>
  <c r="U38" i="1"/>
  <c r="AK16" i="4" s="1"/>
  <c r="V38" i="1"/>
  <c r="AL16" i="4" s="1"/>
  <c r="W38" i="1"/>
  <c r="AM16" i="4" s="1"/>
  <c r="X38" i="1"/>
  <c r="AN16" i="4" s="1"/>
  <c r="Y38" i="1"/>
  <c r="AO16" i="4" s="1"/>
  <c r="Z38" i="1"/>
  <c r="AP16" i="4" s="1"/>
  <c r="AA38" i="1"/>
  <c r="AQ16" i="4" s="1"/>
  <c r="AB38" i="1"/>
  <c r="AR16" i="4" s="1"/>
  <c r="AC38" i="1"/>
  <c r="AS16" i="4" s="1"/>
  <c r="AD38" i="1"/>
  <c r="AT16" i="4" s="1"/>
  <c r="AE38" i="1"/>
  <c r="AU16" i="4" s="1"/>
  <c r="AF38" i="1"/>
  <c r="AV16" i="4" s="1"/>
  <c r="AG38" i="1"/>
  <c r="AW16" i="4" s="1"/>
  <c r="AH38" i="1"/>
  <c r="AX16" i="4" s="1"/>
  <c r="AI38" i="1"/>
  <c r="AY16" i="4" s="1"/>
  <c r="AJ38" i="1"/>
  <c r="AZ16" i="4" s="1"/>
  <c r="AK38" i="1"/>
  <c r="BA16" i="4" s="1"/>
  <c r="S39" i="1"/>
  <c r="AI17" i="4" s="1"/>
  <c r="T39" i="1"/>
  <c r="AJ17" i="4" s="1"/>
  <c r="U39" i="1"/>
  <c r="AK17" i="4" s="1"/>
  <c r="V39" i="1"/>
  <c r="AL17" i="4" s="1"/>
  <c r="W39" i="1"/>
  <c r="AM17" i="4" s="1"/>
  <c r="X39" i="1"/>
  <c r="AN17" i="4" s="1"/>
  <c r="Y39" i="1"/>
  <c r="AO17" i="4" s="1"/>
  <c r="Z39" i="1"/>
  <c r="AP17" i="4" s="1"/>
  <c r="AA39" i="1"/>
  <c r="AQ17" i="4" s="1"/>
  <c r="AB39" i="1"/>
  <c r="AR17" i="4" s="1"/>
  <c r="AC39" i="1"/>
  <c r="AS17" i="4" s="1"/>
  <c r="AD39" i="1"/>
  <c r="AT17" i="4" s="1"/>
  <c r="AE39" i="1"/>
  <c r="AU17" i="4" s="1"/>
  <c r="AF39" i="1"/>
  <c r="AV17" i="4" s="1"/>
  <c r="AG39" i="1"/>
  <c r="AW17" i="4" s="1"/>
  <c r="AH39" i="1"/>
  <c r="AX17" i="4" s="1"/>
  <c r="AI39" i="1"/>
  <c r="AY17" i="4" s="1"/>
  <c r="AJ39" i="1"/>
  <c r="AZ17" i="4" s="1"/>
  <c r="AK39" i="1"/>
  <c r="BA17" i="4" s="1"/>
  <c r="S40" i="1"/>
  <c r="AI18" i="4" s="1"/>
  <c r="T40" i="1"/>
  <c r="AJ18" i="4" s="1"/>
  <c r="U40" i="1"/>
  <c r="AK18" i="4" s="1"/>
  <c r="V40" i="1"/>
  <c r="AL18" i="4" s="1"/>
  <c r="W40" i="1"/>
  <c r="AM18" i="4" s="1"/>
  <c r="X40" i="1"/>
  <c r="AN18" i="4" s="1"/>
  <c r="Y40" i="1"/>
  <c r="AO18" i="4" s="1"/>
  <c r="Z40" i="1"/>
  <c r="AP18" i="4" s="1"/>
  <c r="AA40" i="1"/>
  <c r="AQ18" i="4" s="1"/>
  <c r="AB40" i="1"/>
  <c r="AR18" i="4" s="1"/>
  <c r="AC40" i="1"/>
  <c r="AS18" i="4" s="1"/>
  <c r="AD40" i="1"/>
  <c r="AT18" i="4" s="1"/>
  <c r="AE40" i="1"/>
  <c r="AU18" i="4" s="1"/>
  <c r="AF40" i="1"/>
  <c r="AV18" i="4" s="1"/>
  <c r="AG40" i="1"/>
  <c r="AW18" i="4" s="1"/>
  <c r="AH40" i="1"/>
  <c r="AX18" i="4" s="1"/>
  <c r="AI40" i="1"/>
  <c r="AY18" i="4" s="1"/>
  <c r="AJ40" i="1"/>
  <c r="AZ18" i="4" s="1"/>
  <c r="AK40" i="1"/>
  <c r="BA18" i="4" s="1"/>
  <c r="S41" i="1"/>
  <c r="AI19" i="4" s="1"/>
  <c r="T41" i="1"/>
  <c r="AJ19" i="4" s="1"/>
  <c r="U41" i="1"/>
  <c r="AK19" i="4" s="1"/>
  <c r="V41" i="1"/>
  <c r="AL19" i="4" s="1"/>
  <c r="W41" i="1"/>
  <c r="AM19" i="4" s="1"/>
  <c r="X41" i="1"/>
  <c r="AN19" i="4" s="1"/>
  <c r="Y41" i="1"/>
  <c r="AO19" i="4" s="1"/>
  <c r="Z41" i="1"/>
  <c r="AP19" i="4" s="1"/>
  <c r="AA41" i="1"/>
  <c r="AQ19" i="4" s="1"/>
  <c r="AB41" i="1"/>
  <c r="AR19" i="4" s="1"/>
  <c r="AC41" i="1"/>
  <c r="AS19" i="4" s="1"/>
  <c r="AD41" i="1"/>
  <c r="AT19" i="4" s="1"/>
  <c r="AE41" i="1"/>
  <c r="AU19" i="4" s="1"/>
  <c r="AF41" i="1"/>
  <c r="AV19" i="4" s="1"/>
  <c r="AG41" i="1"/>
  <c r="AW19" i="4" s="1"/>
  <c r="AH41" i="1"/>
  <c r="AX19" i="4" s="1"/>
  <c r="AI41" i="1"/>
  <c r="AY19" i="4" s="1"/>
  <c r="AJ41" i="1"/>
  <c r="AZ19" i="4" s="1"/>
  <c r="AK41" i="1"/>
  <c r="BA19" i="4" s="1"/>
  <c r="S42" i="1"/>
  <c r="AI20" i="4" s="1"/>
  <c r="T42" i="1"/>
  <c r="AJ20" i="4" s="1"/>
  <c r="U42" i="1"/>
  <c r="AK20" i="4" s="1"/>
  <c r="V42" i="1"/>
  <c r="AL20" i="4" s="1"/>
  <c r="W42" i="1"/>
  <c r="AM20" i="4" s="1"/>
  <c r="X42" i="1"/>
  <c r="AN20" i="4" s="1"/>
  <c r="Y42" i="1"/>
  <c r="AO20" i="4" s="1"/>
  <c r="Z42" i="1"/>
  <c r="AP20" i="4" s="1"/>
  <c r="AA42" i="1"/>
  <c r="AQ20" i="4" s="1"/>
  <c r="AB42" i="1"/>
  <c r="AR20" i="4" s="1"/>
  <c r="AC42" i="1"/>
  <c r="AS20" i="4" s="1"/>
  <c r="AD42" i="1"/>
  <c r="AT20" i="4" s="1"/>
  <c r="AE42" i="1"/>
  <c r="AU20" i="4" s="1"/>
  <c r="AF42" i="1"/>
  <c r="AV20" i="4" s="1"/>
  <c r="AG42" i="1"/>
  <c r="AW20" i="4" s="1"/>
  <c r="AH42" i="1"/>
  <c r="AX20" i="4" s="1"/>
  <c r="AI42" i="1"/>
  <c r="AY20" i="4" s="1"/>
  <c r="AJ42" i="1"/>
  <c r="AZ20" i="4" s="1"/>
  <c r="AK42" i="1"/>
  <c r="BA20" i="4" s="1"/>
  <c r="S43" i="1"/>
  <c r="AI21" i="4" s="1"/>
  <c r="T43" i="1"/>
  <c r="U43" i="1"/>
  <c r="V43" i="1"/>
  <c r="W43" i="1"/>
  <c r="AM21" i="4" s="1"/>
  <c r="X43" i="1"/>
  <c r="Y43" i="1"/>
  <c r="Z43" i="1"/>
  <c r="AA43" i="1"/>
  <c r="AQ21" i="4" s="1"/>
  <c r="AB43" i="1"/>
  <c r="AC43" i="1"/>
  <c r="AD43" i="1"/>
  <c r="AE43" i="1"/>
  <c r="AF43" i="1"/>
  <c r="AG43" i="1"/>
  <c r="AH43" i="1"/>
  <c r="AI43" i="1"/>
  <c r="AJ43" i="1"/>
  <c r="AK43" i="1"/>
  <c r="N7" i="4"/>
  <c r="O7" i="4"/>
  <c r="P7" i="4"/>
  <c r="Q7" i="4"/>
  <c r="R7" i="4"/>
  <c r="S7" i="4"/>
  <c r="T7" i="4"/>
  <c r="U7" i="4"/>
  <c r="V7" i="4"/>
  <c r="W7" i="4"/>
  <c r="X7" i="4"/>
  <c r="Y7" i="4"/>
  <c r="Z7" i="4"/>
  <c r="AA7" i="4"/>
  <c r="AB7" i="4"/>
  <c r="AC7" i="4"/>
  <c r="N8" i="4"/>
  <c r="O8" i="4"/>
  <c r="P8" i="4"/>
  <c r="Q8" i="4"/>
  <c r="R8" i="4"/>
  <c r="S8" i="4"/>
  <c r="T8" i="4"/>
  <c r="U8" i="4"/>
  <c r="V8" i="4"/>
  <c r="W8" i="4"/>
  <c r="X8" i="4"/>
  <c r="Y8" i="4"/>
  <c r="AA8" i="4"/>
  <c r="AB8" i="4"/>
  <c r="N9" i="4"/>
  <c r="P9" i="4"/>
  <c r="Q9" i="4"/>
  <c r="S9" i="4"/>
  <c r="T9" i="4"/>
  <c r="U9" i="4"/>
  <c r="W9" i="4"/>
  <c r="X9" i="4"/>
  <c r="Y9" i="4"/>
  <c r="Z9" i="4"/>
  <c r="AA9" i="4"/>
  <c r="AB9" i="4"/>
  <c r="AC9" i="4"/>
  <c r="N10" i="4"/>
  <c r="P10" i="4"/>
  <c r="Q10" i="4"/>
  <c r="R10" i="4"/>
  <c r="S10" i="4"/>
  <c r="T10" i="4"/>
  <c r="U10" i="4"/>
  <c r="V10" i="4"/>
  <c r="W10" i="4"/>
  <c r="X10" i="4"/>
  <c r="Y10" i="4"/>
  <c r="Z10" i="4"/>
  <c r="AA10" i="4"/>
  <c r="AB10" i="4"/>
  <c r="AC10" i="4"/>
  <c r="N11" i="4"/>
  <c r="O11" i="4"/>
  <c r="P11" i="4"/>
  <c r="Q11" i="4"/>
  <c r="R11" i="4"/>
  <c r="S11" i="4"/>
  <c r="T11" i="4"/>
  <c r="U11" i="4"/>
  <c r="V11" i="4"/>
  <c r="W11" i="4"/>
  <c r="X11" i="4"/>
  <c r="Y11" i="4"/>
  <c r="Z11" i="4"/>
  <c r="AA11" i="4"/>
  <c r="AB11" i="4"/>
  <c r="AC11" i="4"/>
  <c r="N12" i="4"/>
  <c r="O12" i="4"/>
  <c r="P12" i="4"/>
  <c r="Q12" i="4"/>
  <c r="R12" i="4"/>
  <c r="S12" i="4"/>
  <c r="T12" i="4"/>
  <c r="U12" i="4"/>
  <c r="V12" i="4"/>
  <c r="W12" i="4"/>
  <c r="X12" i="4"/>
  <c r="Y12" i="4"/>
  <c r="Z12" i="4"/>
  <c r="AA12" i="4"/>
  <c r="AB12" i="4"/>
  <c r="AC12" i="4"/>
  <c r="L35" i="1"/>
  <c r="L13" i="4" s="1"/>
  <c r="N13" i="4"/>
  <c r="O13" i="4"/>
  <c r="P13" i="4"/>
  <c r="Q13" i="4"/>
  <c r="R13" i="4"/>
  <c r="S13" i="4"/>
  <c r="T13" i="4"/>
  <c r="U13" i="4"/>
  <c r="V13" i="4"/>
  <c r="W13" i="4"/>
  <c r="X13" i="4"/>
  <c r="Y13" i="4"/>
  <c r="Z13" i="4"/>
  <c r="AA13" i="4"/>
  <c r="AB13" i="4"/>
  <c r="AC13" i="4"/>
  <c r="K36" i="1"/>
  <c r="K14" i="4" s="1"/>
  <c r="L36" i="1"/>
  <c r="L14" i="4" s="1"/>
  <c r="M36" i="1"/>
  <c r="M14" i="4" s="1"/>
  <c r="N14" i="4"/>
  <c r="O14" i="4"/>
  <c r="P14" i="4"/>
  <c r="Q14" i="4"/>
  <c r="R14" i="4"/>
  <c r="S14" i="4"/>
  <c r="T14" i="4"/>
  <c r="U14" i="4"/>
  <c r="V14" i="4"/>
  <c r="W14" i="4"/>
  <c r="X14" i="4"/>
  <c r="Y14" i="4"/>
  <c r="Z14" i="4"/>
  <c r="AA14" i="4"/>
  <c r="AB14" i="4"/>
  <c r="AC14" i="4"/>
  <c r="K37" i="1"/>
  <c r="K15" i="4" s="1"/>
  <c r="L37" i="1"/>
  <c r="L15" i="4" s="1"/>
  <c r="M37" i="1"/>
  <c r="M15" i="4" s="1"/>
  <c r="N15" i="4"/>
  <c r="O15" i="4"/>
  <c r="P15" i="4"/>
  <c r="Q15" i="4"/>
  <c r="R15" i="4"/>
  <c r="S15" i="4"/>
  <c r="T15" i="4"/>
  <c r="U15" i="4"/>
  <c r="V15" i="4"/>
  <c r="W15" i="4"/>
  <c r="X15" i="4"/>
  <c r="Y15" i="4"/>
  <c r="Z15" i="4"/>
  <c r="AA15" i="4"/>
  <c r="AB15" i="4"/>
  <c r="AC15" i="4"/>
  <c r="K38" i="1"/>
  <c r="K16" i="4" s="1"/>
  <c r="L38" i="1"/>
  <c r="L16" i="4" s="1"/>
  <c r="M38" i="1"/>
  <c r="M16" i="4" s="1"/>
  <c r="N16" i="4"/>
  <c r="O16" i="4"/>
  <c r="P16" i="4"/>
  <c r="Q16" i="4"/>
  <c r="R16" i="4"/>
  <c r="S16" i="4"/>
  <c r="T16" i="4"/>
  <c r="U16" i="4"/>
  <c r="V16" i="4"/>
  <c r="W16" i="4"/>
  <c r="X16" i="4"/>
  <c r="Y16" i="4"/>
  <c r="Z16" i="4"/>
  <c r="AA16" i="4"/>
  <c r="AB16" i="4"/>
  <c r="AC16" i="4"/>
  <c r="K39" i="1"/>
  <c r="K17" i="4" s="1"/>
  <c r="L39" i="1"/>
  <c r="L17" i="4" s="1"/>
  <c r="M39" i="1"/>
  <c r="M17" i="4" s="1"/>
  <c r="N17" i="4"/>
  <c r="O17" i="4"/>
  <c r="P17" i="4"/>
  <c r="Q17" i="4"/>
  <c r="R17" i="4"/>
  <c r="S17" i="4"/>
  <c r="T17" i="4"/>
  <c r="U17" i="4"/>
  <c r="V17" i="4"/>
  <c r="W17" i="4"/>
  <c r="X17" i="4"/>
  <c r="Y17" i="4"/>
  <c r="Z17" i="4"/>
  <c r="AA17" i="4"/>
  <c r="AB17" i="4"/>
  <c r="AC17" i="4"/>
  <c r="K40" i="1"/>
  <c r="K18" i="4" s="1"/>
  <c r="L40" i="1"/>
  <c r="L18" i="4" s="1"/>
  <c r="M40" i="1"/>
  <c r="M18" i="4" s="1"/>
  <c r="N18" i="4"/>
  <c r="O18" i="4"/>
  <c r="P18" i="4"/>
  <c r="Q18" i="4"/>
  <c r="R18" i="4"/>
  <c r="S18" i="4"/>
  <c r="T18" i="4"/>
  <c r="U18" i="4"/>
  <c r="V18" i="4"/>
  <c r="W18" i="4"/>
  <c r="X18" i="4"/>
  <c r="Y18" i="4"/>
  <c r="Z18" i="4"/>
  <c r="AA18" i="4"/>
  <c r="AB18" i="4"/>
  <c r="AC18" i="4"/>
  <c r="K41" i="1"/>
  <c r="K19" i="4" s="1"/>
  <c r="L41" i="1"/>
  <c r="L19" i="4" s="1"/>
  <c r="M41" i="1"/>
  <c r="M19" i="4" s="1"/>
  <c r="N19" i="4"/>
  <c r="O19" i="4"/>
  <c r="P19" i="4"/>
  <c r="Q19" i="4"/>
  <c r="R19" i="4"/>
  <c r="S19" i="4"/>
  <c r="T19" i="4"/>
  <c r="U19" i="4"/>
  <c r="V19" i="4"/>
  <c r="W19" i="4"/>
  <c r="X19" i="4"/>
  <c r="Y19" i="4"/>
  <c r="Z19" i="4"/>
  <c r="AA19" i="4"/>
  <c r="AB19" i="4"/>
  <c r="AC19" i="4"/>
  <c r="K42" i="1"/>
  <c r="K20" i="4" s="1"/>
  <c r="L42" i="1"/>
  <c r="L20" i="4" s="1"/>
  <c r="M42" i="1"/>
  <c r="M20" i="4" s="1"/>
  <c r="N20" i="4"/>
  <c r="O20" i="4"/>
  <c r="P20" i="4"/>
  <c r="Q20" i="4"/>
  <c r="R20" i="4"/>
  <c r="S20" i="4"/>
  <c r="T20" i="4"/>
  <c r="U20" i="4"/>
  <c r="V20" i="4"/>
  <c r="W20" i="4"/>
  <c r="X20" i="4"/>
  <c r="Y20" i="4"/>
  <c r="Z20" i="4"/>
  <c r="AA20" i="4"/>
  <c r="AB20" i="4"/>
  <c r="AC20" i="4"/>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AR34" i="4"/>
  <c r="I40" i="23"/>
  <c r="I34" i="4" s="1"/>
  <c r="H40" i="23"/>
  <c r="H34" i="4" s="1"/>
  <c r="G40" i="23"/>
  <c r="G34" i="4" s="1"/>
  <c r="F40" i="23"/>
  <c r="F34" i="4" s="1"/>
  <c r="E40" i="23"/>
  <c r="E34" i="4" s="1"/>
  <c r="D40" i="23"/>
  <c r="D34" i="4" s="1"/>
  <c r="C40" i="23"/>
  <c r="C34" i="4" s="1"/>
  <c r="B40" i="23"/>
  <c r="B34" i="4" s="1"/>
  <c r="AQ33" i="4"/>
  <c r="AL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AG31" i="4"/>
  <c r="P31" i="4"/>
  <c r="I37" i="23"/>
  <c r="I31" i="4" s="1"/>
  <c r="H37" i="23"/>
  <c r="H31" i="4" s="1"/>
  <c r="G37" i="23"/>
  <c r="G31" i="4" s="1"/>
  <c r="F37" i="23"/>
  <c r="F31" i="4" s="1"/>
  <c r="E37" i="23"/>
  <c r="E31" i="4" s="1"/>
  <c r="D37" i="23"/>
  <c r="D31" i="4" s="1"/>
  <c r="C37" i="23"/>
  <c r="C31" i="4" s="1"/>
  <c r="B37" i="23"/>
  <c r="B31" i="4" s="1"/>
  <c r="AM30" i="4"/>
  <c r="I36" i="23"/>
  <c r="I30" i="4" s="1"/>
  <c r="H36" i="23"/>
  <c r="H30" i="4" s="1"/>
  <c r="G36" i="23"/>
  <c r="G30" i="4" s="1"/>
  <c r="F36" i="23"/>
  <c r="F30" i="4" s="1"/>
  <c r="E36" i="23"/>
  <c r="E30" i="4" s="1"/>
  <c r="D36" i="23"/>
  <c r="D30" i="4" s="1"/>
  <c r="C36" i="23"/>
  <c r="C30" i="4" s="1"/>
  <c r="B36" i="23"/>
  <c r="B30" i="4" s="1"/>
  <c r="AS25" i="4"/>
  <c r="AP25" i="4"/>
  <c r="AR24" i="4"/>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AN24" i="4"/>
  <c r="P22" i="23"/>
  <c r="S23" i="1"/>
  <c r="T23" i="1"/>
  <c r="U23" i="1"/>
  <c r="V23" i="1"/>
  <c r="W23" i="1"/>
  <c r="X23" i="1"/>
  <c r="Y23" i="1"/>
  <c r="Z23" i="1"/>
  <c r="AA23" i="1"/>
  <c r="AB23" i="1"/>
  <c r="AC23" i="1"/>
  <c r="AD23" i="1"/>
  <c r="S24" i="1"/>
  <c r="T24" i="1"/>
  <c r="U24" i="1"/>
  <c r="V24" i="1"/>
  <c r="W24" i="1"/>
  <c r="X24" i="1"/>
  <c r="Y24" i="1"/>
  <c r="Z24" i="1"/>
  <c r="AA24" i="1"/>
  <c r="AB24" i="1"/>
  <c r="AC24" i="1"/>
  <c r="AD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AH11" i="4" s="1"/>
  <c r="Q36" i="1"/>
  <c r="AG14" i="4" s="1"/>
  <c r="R36" i="1"/>
  <c r="AH14" i="4" s="1"/>
  <c r="Q37" i="1"/>
  <c r="AG15" i="4" s="1"/>
  <c r="P38" i="1"/>
  <c r="AF16" i="4" s="1"/>
  <c r="Q38" i="1"/>
  <c r="AG16" i="4" s="1"/>
  <c r="P39" i="1"/>
  <c r="AF17" i="4" s="1"/>
  <c r="Q39" i="1"/>
  <c r="AG17" i="4" s="1"/>
  <c r="R39" i="1"/>
  <c r="AH17" i="4" s="1"/>
  <c r="P40" i="1"/>
  <c r="AF18" i="4" s="1"/>
  <c r="Q40" i="1"/>
  <c r="AG18" i="4" s="1"/>
  <c r="R40" i="1"/>
  <c r="AH18" i="4" s="1"/>
  <c r="P41" i="1"/>
  <c r="AF19" i="4" s="1"/>
  <c r="Q41" i="1"/>
  <c r="AG19" i="4" s="1"/>
  <c r="P42" i="1"/>
  <c r="AF20" i="4" s="1"/>
  <c r="Q42" i="1"/>
  <c r="AG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E35" i="1"/>
  <c r="E13" i="4" s="1"/>
  <c r="I30" i="1"/>
  <c r="I8" i="4" s="1"/>
  <c r="H33" i="1"/>
  <c r="H11" i="4" s="1"/>
  <c r="I34" i="1"/>
  <c r="I12" i="4" s="1"/>
  <c r="H32" i="1"/>
  <c r="H10" i="4" s="1"/>
  <c r="I33" i="1"/>
  <c r="I11" i="4" s="1"/>
  <c r="F33" i="1"/>
  <c r="F11" i="4" s="1"/>
  <c r="O39" i="1"/>
  <c r="AE17" i="4" s="1"/>
  <c r="O43" i="1"/>
  <c r="Q31" i="1"/>
  <c r="AG9" i="4" s="1"/>
  <c r="Q34" i="1"/>
  <c r="AG12" i="4" s="1"/>
  <c r="O40" i="1"/>
  <c r="AE18" i="4" s="1"/>
  <c r="P28" i="1"/>
  <c r="P33" i="1"/>
  <c r="AF11" i="4" s="1"/>
  <c r="P34" i="1"/>
  <c r="AF12" i="4" s="1"/>
  <c r="Q28" i="1"/>
  <c r="Q33" i="1"/>
  <c r="AG11" i="4" s="1"/>
  <c r="Q35" i="1"/>
  <c r="AG13" i="4" s="1"/>
  <c r="O38" i="1"/>
  <c r="AE16" i="4" s="1"/>
  <c r="Q27" i="1"/>
  <c r="Q52" i="1" s="1"/>
  <c r="K24" i="1"/>
  <c r="J24" i="1"/>
  <c r="H24" i="1"/>
  <c r="G24" i="1"/>
  <c r="F24" i="1"/>
  <c r="E24" i="1"/>
  <c r="D24" i="1"/>
  <c r="C24" i="1"/>
  <c r="B24" i="1"/>
  <c r="K23" i="1"/>
  <c r="J23" i="1"/>
  <c r="H23" i="1"/>
  <c r="G23" i="1"/>
  <c r="F23" i="1"/>
  <c r="E23" i="1"/>
  <c r="D23" i="1"/>
  <c r="C23" i="1"/>
  <c r="AE24" i="1"/>
  <c r="R24" i="1"/>
  <c r="AE23" i="1"/>
  <c r="R23" i="1"/>
  <c r="K4" i="1"/>
  <c r="K4" i="4" s="1"/>
  <c r="K62" i="4" s="1"/>
  <c r="L4" i="1"/>
  <c r="L4" i="4" s="1"/>
  <c r="K4" i="23"/>
  <c r="K52" i="23" s="1"/>
  <c r="L4" i="23"/>
  <c r="L27" i="23" s="1"/>
  <c r="U29" i="1" l="1"/>
  <c r="AK7" i="4" s="1"/>
  <c r="T32" i="1"/>
  <c r="AJ10" i="4" s="1"/>
  <c r="S35" i="1"/>
  <c r="AI13" i="4" s="1"/>
  <c r="V34" i="1"/>
  <c r="AL12" i="4" s="1"/>
  <c r="G33" i="23"/>
  <c r="G27" i="4" s="1"/>
  <c r="C30" i="23"/>
  <c r="C24" i="4" s="1"/>
  <c r="M33" i="1"/>
  <c r="M11" i="4" s="1"/>
  <c r="U34" i="1"/>
  <c r="AK12" i="4" s="1"/>
  <c r="S32" i="1"/>
  <c r="AI10" i="4" s="1"/>
  <c r="V31" i="1"/>
  <c r="AL9" i="4" s="1"/>
  <c r="T29" i="1"/>
  <c r="AJ7" i="4" s="1"/>
  <c r="L31" i="23"/>
  <c r="L25" i="4" s="1"/>
  <c r="P35" i="23"/>
  <c r="AF29" i="4" s="1"/>
  <c r="V34" i="23"/>
  <c r="AL28" i="4" s="1"/>
  <c r="T33" i="23"/>
  <c r="R32" i="23"/>
  <c r="AH26" i="4" s="1"/>
  <c r="P31" i="23"/>
  <c r="AF25" i="4" s="1"/>
  <c r="V30" i="23"/>
  <c r="AL24" i="4" s="1"/>
  <c r="T29" i="23"/>
  <c r="AJ23" i="4" s="1"/>
  <c r="R28" i="23"/>
  <c r="K34" i="23"/>
  <c r="K28" i="4" s="1"/>
  <c r="S32" i="23"/>
  <c r="AI26" i="4" s="1"/>
  <c r="S28" i="23"/>
  <c r="AI22" i="4" s="1"/>
  <c r="J35" i="1"/>
  <c r="J13" i="4" s="1"/>
  <c r="K33" i="1"/>
  <c r="K11" i="4" s="1"/>
  <c r="T34" i="1"/>
  <c r="AJ12" i="4" s="1"/>
  <c r="U31" i="1"/>
  <c r="AK9" i="4" s="1"/>
  <c r="S29" i="1"/>
  <c r="AI7" i="4" s="1"/>
  <c r="V28" i="1"/>
  <c r="M28" i="23"/>
  <c r="U34" i="23"/>
  <c r="AK28" i="4" s="1"/>
  <c r="S33" i="23"/>
  <c r="AI27" i="4" s="1"/>
  <c r="Q32" i="23"/>
  <c r="AG26" i="4" s="1"/>
  <c r="U30" i="23"/>
  <c r="AK24" i="4" s="1"/>
  <c r="S29" i="23"/>
  <c r="AI23" i="4" s="1"/>
  <c r="Q28" i="23"/>
  <c r="AG22" i="4" s="1"/>
  <c r="D31" i="23"/>
  <c r="D25" i="4" s="1"/>
  <c r="U33" i="23"/>
  <c r="AK27" i="4" s="1"/>
  <c r="H31" i="1"/>
  <c r="H9" i="4" s="1"/>
  <c r="J29" i="1"/>
  <c r="J7" i="4" s="1"/>
  <c r="H30" i="23"/>
  <c r="H24" i="4" s="1"/>
  <c r="K31" i="1"/>
  <c r="S34" i="1"/>
  <c r="AI12" i="4" s="1"/>
  <c r="V33" i="1"/>
  <c r="AL11" i="4" s="1"/>
  <c r="T31" i="1"/>
  <c r="AJ9" i="4" s="1"/>
  <c r="U28" i="1"/>
  <c r="O36" i="23"/>
  <c r="AE30" i="4" s="1"/>
  <c r="V35" i="23"/>
  <c r="AL29" i="4" s="1"/>
  <c r="T34" i="23"/>
  <c r="AJ28" i="4" s="1"/>
  <c r="R33" i="23"/>
  <c r="AH27" i="4" s="1"/>
  <c r="P32" i="23"/>
  <c r="AF26" i="4" s="1"/>
  <c r="V31" i="23"/>
  <c r="AL25" i="4" s="1"/>
  <c r="T30" i="23"/>
  <c r="AJ24" i="4" s="1"/>
  <c r="R29" i="23"/>
  <c r="AH23" i="4" s="1"/>
  <c r="P28" i="23"/>
  <c r="G32" i="23"/>
  <c r="G26" i="4" s="1"/>
  <c r="E34" i="23"/>
  <c r="E28" i="4" s="1"/>
  <c r="L30" i="1"/>
  <c r="L8" i="4" s="1"/>
  <c r="U33" i="1"/>
  <c r="AK11" i="4" s="1"/>
  <c r="S31" i="1"/>
  <c r="AI9" i="4" s="1"/>
  <c r="V30" i="1"/>
  <c r="AL8" i="4" s="1"/>
  <c r="T28" i="1"/>
  <c r="S34" i="23"/>
  <c r="AI28" i="4" s="1"/>
  <c r="Q33" i="23"/>
  <c r="AG27" i="4" s="1"/>
  <c r="U31" i="23"/>
  <c r="AK25" i="4" s="1"/>
  <c r="S30" i="23"/>
  <c r="AI24" i="4" s="1"/>
  <c r="Q29" i="23"/>
  <c r="AG23" i="4" s="1"/>
  <c r="F30" i="23"/>
  <c r="F24" i="4" s="1"/>
  <c r="Q31" i="23"/>
  <c r="AG25" i="4" s="1"/>
  <c r="U29" i="23"/>
  <c r="AK23" i="4" s="1"/>
  <c r="P30" i="1"/>
  <c r="AF8" i="4" s="1"/>
  <c r="F34" i="1"/>
  <c r="F12" i="4" s="1"/>
  <c r="C33" i="1"/>
  <c r="C11" i="4" s="1"/>
  <c r="F33" i="23"/>
  <c r="F27" i="4" s="1"/>
  <c r="D34" i="23"/>
  <c r="D28" i="4" s="1"/>
  <c r="L28" i="1"/>
  <c r="V35" i="1"/>
  <c r="AL13" i="4" s="1"/>
  <c r="T33" i="1"/>
  <c r="AJ11" i="4" s="1"/>
  <c r="U30" i="1"/>
  <c r="AK8" i="4" s="1"/>
  <c r="S28" i="1"/>
  <c r="T35" i="23"/>
  <c r="AJ29" i="4" s="1"/>
  <c r="R34" i="23"/>
  <c r="AH28" i="4" s="1"/>
  <c r="P33" i="23"/>
  <c r="AF27" i="4" s="1"/>
  <c r="V32" i="23"/>
  <c r="AL26" i="4" s="1"/>
  <c r="T31" i="23"/>
  <c r="AJ25" i="4" s="1"/>
  <c r="R30" i="23"/>
  <c r="AH24" i="4" s="1"/>
  <c r="P29" i="23"/>
  <c r="V28" i="23"/>
  <c r="V46" i="23" s="1"/>
  <c r="V53" i="23" s="1"/>
  <c r="Q35" i="23"/>
  <c r="AG29" i="4" s="1"/>
  <c r="S33" i="1"/>
  <c r="AI11" i="4" s="1"/>
  <c r="V32" i="1"/>
  <c r="AL10" i="4" s="1"/>
  <c r="T30" i="1"/>
  <c r="AJ8" i="4" s="1"/>
  <c r="S35" i="23"/>
  <c r="AI29" i="4" s="1"/>
  <c r="Q34" i="23"/>
  <c r="AG28" i="4" s="1"/>
  <c r="U32" i="23"/>
  <c r="AK26" i="4" s="1"/>
  <c r="S31" i="23"/>
  <c r="AI25" i="4" s="1"/>
  <c r="Q30" i="23"/>
  <c r="AG24" i="4" s="1"/>
  <c r="U28" i="23"/>
  <c r="AK22" i="4" s="1"/>
  <c r="M35" i="1"/>
  <c r="M13" i="4" s="1"/>
  <c r="T35" i="1"/>
  <c r="AJ13" i="4" s="1"/>
  <c r="U32" i="1"/>
  <c r="AK10" i="4" s="1"/>
  <c r="S30" i="1"/>
  <c r="AI8" i="4" s="1"/>
  <c r="V29" i="1"/>
  <c r="AL7" i="4" s="1"/>
  <c r="R35" i="23"/>
  <c r="AH29" i="4" s="1"/>
  <c r="P34" i="23"/>
  <c r="AF28" i="4" s="1"/>
  <c r="V33" i="23"/>
  <c r="AL27" i="4" s="1"/>
  <c r="T32" i="23"/>
  <c r="AJ26" i="4" s="1"/>
  <c r="R31" i="23"/>
  <c r="AH25" i="4" s="1"/>
  <c r="P30" i="23"/>
  <c r="AF24" i="4" s="1"/>
  <c r="V29" i="23"/>
  <c r="AL23" i="4" s="1"/>
  <c r="T28" i="23"/>
  <c r="AJ22" i="4" s="1"/>
  <c r="G30" i="23"/>
  <c r="G24" i="4" s="1"/>
  <c r="J30" i="23"/>
  <c r="J24" i="4" s="1"/>
  <c r="H34" i="23"/>
  <c r="H28" i="4" s="1"/>
  <c r="M33" i="23"/>
  <c r="M27" i="4" s="1"/>
  <c r="K31" i="23"/>
  <c r="K25" i="4" s="1"/>
  <c r="L28" i="23"/>
  <c r="O35" i="23"/>
  <c r="AE29" i="4" s="1"/>
  <c r="J33" i="23"/>
  <c r="J27" i="4" s="1"/>
  <c r="I35" i="23"/>
  <c r="I29" i="4" s="1"/>
  <c r="F31" i="23"/>
  <c r="F25" i="4" s="1"/>
  <c r="G34" i="23"/>
  <c r="G28" i="4" s="1"/>
  <c r="H35" i="23"/>
  <c r="H29" i="4" s="1"/>
  <c r="E31" i="23"/>
  <c r="E25" i="4" s="1"/>
  <c r="F28" i="23"/>
  <c r="F22" i="4" s="1"/>
  <c r="G31" i="23"/>
  <c r="G25" i="4" s="1"/>
  <c r="C35" i="23"/>
  <c r="C29" i="4" s="1"/>
  <c r="E30" i="23"/>
  <c r="E24" i="4" s="1"/>
  <c r="L33" i="23"/>
  <c r="L27" i="4" s="1"/>
  <c r="M30" i="23"/>
  <c r="M24" i="4" s="1"/>
  <c r="K28" i="23"/>
  <c r="K22" i="4" s="1"/>
  <c r="O33" i="23"/>
  <c r="AE27" i="4" s="1"/>
  <c r="O29" i="23"/>
  <c r="AE23" i="4" s="1"/>
  <c r="J31" i="23"/>
  <c r="J25" i="4" s="1"/>
  <c r="K33" i="23"/>
  <c r="K27" i="4" s="1"/>
  <c r="O43" i="23"/>
  <c r="AE37" i="4" s="1"/>
  <c r="I30" i="23"/>
  <c r="I24" i="4" s="1"/>
  <c r="H28" i="23"/>
  <c r="I28" i="23"/>
  <c r="E32" i="23"/>
  <c r="E26" i="4" s="1"/>
  <c r="J35" i="23"/>
  <c r="J29" i="4" s="1"/>
  <c r="H32" i="23"/>
  <c r="H26" i="4" s="1"/>
  <c r="E29" i="23"/>
  <c r="E23" i="4" s="1"/>
  <c r="J32" i="23"/>
  <c r="J26" i="4" s="1"/>
  <c r="L35" i="23"/>
  <c r="L29" i="4" s="1"/>
  <c r="M32" i="23"/>
  <c r="M26" i="4" s="1"/>
  <c r="K30" i="23"/>
  <c r="K24" i="4" s="1"/>
  <c r="O42" i="23"/>
  <c r="AE36" i="4" s="1"/>
  <c r="D35" i="23"/>
  <c r="D29" i="4" s="1"/>
  <c r="J28" i="23"/>
  <c r="F32" i="23"/>
  <c r="F26" i="4" s="1"/>
  <c r="L30" i="23"/>
  <c r="L24" i="4" s="1"/>
  <c r="L32" i="23"/>
  <c r="L26" i="4" s="1"/>
  <c r="H31" i="23"/>
  <c r="H25" i="4" s="1"/>
  <c r="H29" i="23"/>
  <c r="H23" i="4" s="1"/>
  <c r="D33" i="23"/>
  <c r="D27" i="4" s="1"/>
  <c r="D28" i="23"/>
  <c r="D22" i="4" s="1"/>
  <c r="F34" i="23"/>
  <c r="F28" i="4" s="1"/>
  <c r="E33" i="23"/>
  <c r="E27" i="4" s="1"/>
  <c r="J29" i="23"/>
  <c r="J23" i="4" s="1"/>
  <c r="M34" i="23"/>
  <c r="M28" i="4" s="1"/>
  <c r="K32" i="23"/>
  <c r="K26" i="4" s="1"/>
  <c r="L29" i="23"/>
  <c r="L23" i="4" s="1"/>
  <c r="O40" i="23"/>
  <c r="AE34" i="4" s="1"/>
  <c r="E35" i="23"/>
  <c r="E29" i="4" s="1"/>
  <c r="C34" i="23"/>
  <c r="C28" i="4" s="1"/>
  <c r="I34" i="23"/>
  <c r="I28" i="4" s="1"/>
  <c r="C31" i="23"/>
  <c r="C25" i="4" s="1"/>
  <c r="F29" i="23"/>
  <c r="F23" i="4" s="1"/>
  <c r="E28" i="23"/>
  <c r="F35" i="23"/>
  <c r="F29" i="4" s="1"/>
  <c r="I31" i="23"/>
  <c r="I25" i="4" s="1"/>
  <c r="G35" i="23"/>
  <c r="G29" i="4" s="1"/>
  <c r="G28" i="23"/>
  <c r="G29" i="23"/>
  <c r="G23" i="4" s="1"/>
  <c r="D29" i="23"/>
  <c r="D23" i="4" s="1"/>
  <c r="I32" i="23"/>
  <c r="I26" i="4" s="1"/>
  <c r="C33" i="23"/>
  <c r="C27" i="4" s="1"/>
  <c r="I29" i="23"/>
  <c r="I23" i="4" s="1"/>
  <c r="K35" i="23"/>
  <c r="K29" i="4" s="1"/>
  <c r="M29" i="23"/>
  <c r="M23" i="4" s="1"/>
  <c r="O41" i="23"/>
  <c r="AE35" i="4" s="1"/>
  <c r="D32" i="23"/>
  <c r="D26" i="4" s="1"/>
  <c r="H33" i="23"/>
  <c r="H27" i="4" s="1"/>
  <c r="C32" i="23"/>
  <c r="C26" i="4" s="1"/>
  <c r="C29" i="23"/>
  <c r="C23" i="4" s="1"/>
  <c r="J34" i="23"/>
  <c r="J28" i="4" s="1"/>
  <c r="D30" i="23"/>
  <c r="D24" i="4" s="1"/>
  <c r="I33" i="23"/>
  <c r="I27" i="4" s="1"/>
  <c r="C28" i="23"/>
  <c r="C22" i="4" s="1"/>
  <c r="L34" i="23"/>
  <c r="L28" i="4" s="1"/>
  <c r="M31" i="23"/>
  <c r="M25" i="4" s="1"/>
  <c r="K29" i="23"/>
  <c r="K23" i="4" s="1"/>
  <c r="O39" i="23"/>
  <c r="AE33" i="4" s="1"/>
  <c r="G34" i="1"/>
  <c r="G12" i="4" s="1"/>
  <c r="E33" i="1"/>
  <c r="E11" i="4" s="1"/>
  <c r="D33" i="1"/>
  <c r="D11" i="4" s="1"/>
  <c r="H34" i="1"/>
  <c r="H12" i="4" s="1"/>
  <c r="J28" i="1"/>
  <c r="J6" i="4" s="1"/>
  <c r="L33" i="1"/>
  <c r="L11" i="4" s="1"/>
  <c r="M30" i="1"/>
  <c r="M8" i="4" s="1"/>
  <c r="K28" i="1"/>
  <c r="K6" i="4" s="1"/>
  <c r="O32" i="1"/>
  <c r="AE10" i="4" s="1"/>
  <c r="G30" i="1"/>
  <c r="G8" i="4" s="1"/>
  <c r="F30" i="1"/>
  <c r="E30" i="1"/>
  <c r="E8" i="4" s="1"/>
  <c r="F32" i="1"/>
  <c r="F10" i="4" s="1"/>
  <c r="J34" i="1"/>
  <c r="J12" i="4" s="1"/>
  <c r="M32" i="1"/>
  <c r="M10" i="4" s="1"/>
  <c r="K30" i="1"/>
  <c r="K8" i="4" s="1"/>
  <c r="B33" i="1"/>
  <c r="B11" i="4" s="1"/>
  <c r="O42" i="1"/>
  <c r="AE20" i="4" s="1"/>
  <c r="F29" i="1"/>
  <c r="F7" i="4" s="1"/>
  <c r="I29" i="1"/>
  <c r="H35" i="1"/>
  <c r="H13" i="4" s="1"/>
  <c r="H30" i="1"/>
  <c r="H8" i="4" s="1"/>
  <c r="J33" i="1"/>
  <c r="J11" i="4" s="1"/>
  <c r="K35" i="1"/>
  <c r="K13" i="4" s="1"/>
  <c r="L32" i="1"/>
  <c r="L10" i="4" s="1"/>
  <c r="M29" i="1"/>
  <c r="M7" i="4" s="1"/>
  <c r="O41" i="1"/>
  <c r="AE19" i="4" s="1"/>
  <c r="G35" i="1"/>
  <c r="G13" i="4" s="1"/>
  <c r="E29" i="1"/>
  <c r="D35" i="1"/>
  <c r="D13" i="4" s="1"/>
  <c r="G29" i="1"/>
  <c r="J32" i="1"/>
  <c r="M34" i="1"/>
  <c r="M12" i="4" s="1"/>
  <c r="K32" i="1"/>
  <c r="K10" i="4" s="1"/>
  <c r="L29" i="1"/>
  <c r="L7" i="4" s="1"/>
  <c r="C35" i="1"/>
  <c r="C13" i="4" s="1"/>
  <c r="F35" i="1"/>
  <c r="F13" i="4" s="1"/>
  <c r="E32" i="1"/>
  <c r="E10" i="4" s="1"/>
  <c r="J31" i="1"/>
  <c r="J9" i="4" s="1"/>
  <c r="L34" i="1"/>
  <c r="L12" i="4" s="1"/>
  <c r="M31" i="1"/>
  <c r="M9" i="4" s="1"/>
  <c r="K29" i="1"/>
  <c r="K7" i="4" s="1"/>
  <c r="J30" i="1"/>
  <c r="J8" i="4" s="1"/>
  <c r="K34" i="1"/>
  <c r="K12" i="4" s="1"/>
  <c r="L31" i="1"/>
  <c r="L9" i="4" s="1"/>
  <c r="M28" i="1"/>
  <c r="M6" i="4" s="1"/>
  <c r="Q22" i="4"/>
  <c r="AB22" i="4"/>
  <c r="X22" i="4"/>
  <c r="T22" i="4"/>
  <c r="P22" i="4"/>
  <c r="AX22" i="4"/>
  <c r="AT22" i="4"/>
  <c r="AP22" i="4"/>
  <c r="E22" i="4"/>
  <c r="U22" i="4"/>
  <c r="M22" i="4"/>
  <c r="H22" i="4"/>
  <c r="I22" i="4"/>
  <c r="AU22" i="4"/>
  <c r="G22" i="4"/>
  <c r="AQ22" i="4"/>
  <c r="AA22" i="4"/>
  <c r="W22" i="4"/>
  <c r="S22" i="4"/>
  <c r="O22" i="4"/>
  <c r="BA22" i="4"/>
  <c r="AW22" i="4"/>
  <c r="AS22" i="4"/>
  <c r="AO22" i="4"/>
  <c r="Y22" i="4"/>
  <c r="J22" i="4"/>
  <c r="Z22" i="4"/>
  <c r="V22" i="4"/>
  <c r="R22" i="4"/>
  <c r="N22" i="4"/>
  <c r="AZ22" i="4"/>
  <c r="AV22" i="4"/>
  <c r="AR22" i="4"/>
  <c r="AN22" i="4"/>
  <c r="AF22" i="4"/>
  <c r="AB6" i="4"/>
  <c r="AZ6" i="4"/>
  <c r="AV6" i="4"/>
  <c r="AR6" i="4"/>
  <c r="AN6" i="4"/>
  <c r="AJ6" i="4"/>
  <c r="AA6" i="4"/>
  <c r="W6" i="4"/>
  <c r="O6" i="4"/>
  <c r="AU6" i="4"/>
  <c r="AQ6" i="4"/>
  <c r="AI6" i="4"/>
  <c r="AG6" i="4"/>
  <c r="L6" i="4"/>
  <c r="Z6" i="4"/>
  <c r="V6" i="4"/>
  <c r="R6" i="4"/>
  <c r="N6" i="4"/>
  <c r="AX6" i="4"/>
  <c r="AT6" i="4"/>
  <c r="P6" i="4"/>
  <c r="AF6" i="4"/>
  <c r="AC6" i="4"/>
  <c r="Y6" i="4"/>
  <c r="U6" i="4"/>
  <c r="Q6" i="4"/>
  <c r="BA6" i="4"/>
  <c r="AW6" i="4"/>
  <c r="AS6" i="4"/>
  <c r="AO6" i="4"/>
  <c r="AK6" i="4"/>
  <c r="AI4" i="33"/>
  <c r="AI27" i="33" s="1"/>
  <c r="AI52" i="33" s="1"/>
  <c r="AH4" i="33"/>
  <c r="AH22" i="33" s="1"/>
  <c r="AJ4" i="33"/>
  <c r="AJ22" i="33" s="1"/>
  <c r="AF4" i="33"/>
  <c r="AF27" i="33" s="1"/>
  <c r="AF52" i="33" s="1"/>
  <c r="AB4" i="33"/>
  <c r="AB27" i="33" s="1"/>
  <c r="AB52" i="33" s="1"/>
  <c r="X4" i="33"/>
  <c r="X45" i="33" s="1"/>
  <c r="T4" i="33"/>
  <c r="T22" i="33" s="1"/>
  <c r="Q22" i="1"/>
  <c r="R35" i="1"/>
  <c r="AH13" i="4" s="1"/>
  <c r="G32" i="1"/>
  <c r="G10" i="4" s="1"/>
  <c r="H29" i="1"/>
  <c r="E28" i="1"/>
  <c r="D34" i="1"/>
  <c r="D12" i="4" s="1"/>
  <c r="I31" i="1"/>
  <c r="I9" i="4" s="1"/>
  <c r="F28" i="1"/>
  <c r="R41" i="1"/>
  <c r="AH19" i="4" s="1"/>
  <c r="R37" i="1"/>
  <c r="AH15" i="4" s="1"/>
  <c r="Q29" i="1"/>
  <c r="O37" i="1"/>
  <c r="AE15" i="4" s="1"/>
  <c r="P29" i="1"/>
  <c r="B34" i="1"/>
  <c r="B12" i="4" s="1"/>
  <c r="B35" i="1"/>
  <c r="B13" i="4" s="1"/>
  <c r="C34" i="1"/>
  <c r="C12" i="4" s="1"/>
  <c r="I28" i="1"/>
  <c r="G31" i="1"/>
  <c r="G9" i="4" s="1"/>
  <c r="H28" i="1"/>
  <c r="E34" i="1"/>
  <c r="F31" i="1"/>
  <c r="G28" i="1"/>
  <c r="I32" i="1"/>
  <c r="I10" i="4" s="1"/>
  <c r="I35" i="1"/>
  <c r="G33" i="1"/>
  <c r="E31" i="1"/>
  <c r="E9" i="4" s="1"/>
  <c r="R42" i="1"/>
  <c r="AH20" i="4" s="1"/>
  <c r="R38" i="1"/>
  <c r="AH16" i="4" s="1"/>
  <c r="R34" i="1"/>
  <c r="AH12" i="4" s="1"/>
  <c r="L74" i="4"/>
  <c r="L62" i="4"/>
  <c r="E55" i="4"/>
  <c r="E62" i="4"/>
  <c r="AF21" i="4"/>
  <c r="I52" i="23"/>
  <c r="R4" i="33"/>
  <c r="AD4" i="33"/>
  <c r="Z4" i="33"/>
  <c r="AN21" i="4"/>
  <c r="AT37" i="4"/>
  <c r="AP37" i="4"/>
  <c r="AL37" i="4"/>
  <c r="AH37" i="4"/>
  <c r="K37" i="4"/>
  <c r="I45" i="23"/>
  <c r="AK4" i="33"/>
  <c r="AG4" i="33"/>
  <c r="AC4" i="33"/>
  <c r="U4" i="33"/>
  <c r="AE21" i="4"/>
  <c r="AH21" i="4"/>
  <c r="AG21" i="4"/>
  <c r="AE4" i="33"/>
  <c r="AA4" i="33"/>
  <c r="S4" i="33"/>
  <c r="C27" i="23"/>
  <c r="C52" i="23" s="1"/>
  <c r="I27" i="23"/>
  <c r="P21" i="4"/>
  <c r="AT21" i="4"/>
  <c r="AR21" i="4"/>
  <c r="AP21" i="4"/>
  <c r="AL21" i="4"/>
  <c r="AJ21" i="4"/>
  <c r="B21" i="4"/>
  <c r="O37" i="23"/>
  <c r="AE31" i="4" s="1"/>
  <c r="O34" i="23"/>
  <c r="AE28" i="4" s="1"/>
  <c r="O38" i="23"/>
  <c r="AB37" i="4"/>
  <c r="T37" i="4"/>
  <c r="AR37" i="4"/>
  <c r="AJ37" i="4"/>
  <c r="B38" i="23"/>
  <c r="F37" i="4"/>
  <c r="O37" i="4"/>
  <c r="AQ37" i="4"/>
  <c r="V37" i="4"/>
  <c r="R37" i="4"/>
  <c r="N37" i="4"/>
  <c r="AX37" i="4"/>
  <c r="X37" i="4"/>
  <c r="P37" i="4"/>
  <c r="L37" i="4"/>
  <c r="AN37" i="4"/>
  <c r="AF37" i="4"/>
  <c r="AA37" i="4"/>
  <c r="S37" i="4"/>
  <c r="AM37" i="4"/>
  <c r="AI37" i="4"/>
  <c r="J37" i="4"/>
  <c r="H37" i="4"/>
  <c r="W37" i="4"/>
  <c r="AC37" i="4"/>
  <c r="Y37" i="4"/>
  <c r="U37" i="4"/>
  <c r="Q37" i="4"/>
  <c r="M37" i="4"/>
  <c r="BA37" i="4"/>
  <c r="AG4" i="4"/>
  <c r="AG62" i="4" s="1"/>
  <c r="Z4" i="1"/>
  <c r="AP4" i="4" s="1"/>
  <c r="AP74" i="4" s="1"/>
  <c r="P27" i="23"/>
  <c r="P52" i="23" s="1"/>
  <c r="Z4" i="4"/>
  <c r="J4" i="1"/>
  <c r="J4" i="4" s="1"/>
  <c r="J4" i="23"/>
  <c r="J45" i="23" s="1"/>
  <c r="M4" i="23"/>
  <c r="M27" i="23" s="1"/>
  <c r="M4" i="1"/>
  <c r="M4" i="4" s="1"/>
  <c r="P4" i="4"/>
  <c r="L45" i="1"/>
  <c r="L27" i="1"/>
  <c r="L52" i="1" s="1"/>
  <c r="O32" i="23"/>
  <c r="O31" i="23"/>
  <c r="AE25" i="4" s="1"/>
  <c r="O30" i="23"/>
  <c r="AE24" i="4" s="1"/>
  <c r="B33" i="23"/>
  <c r="B27" i="4" s="1"/>
  <c r="B28" i="23"/>
  <c r="B30" i="23"/>
  <c r="B24" i="4" s="1"/>
  <c r="B34" i="23"/>
  <c r="B28" i="4" s="1"/>
  <c r="B35" i="23"/>
  <c r="AA46" i="23"/>
  <c r="AA53" i="23" s="1"/>
  <c r="O28" i="23"/>
  <c r="B31" i="23"/>
  <c r="B25" i="4" s="1"/>
  <c r="B29" i="23"/>
  <c r="B23" i="4" s="1"/>
  <c r="P24" i="4"/>
  <c r="P46" i="23"/>
  <c r="P53" i="23" s="1"/>
  <c r="Q4" i="4"/>
  <c r="Q62" i="4" s="1"/>
  <c r="Q32" i="1"/>
  <c r="P32" i="1"/>
  <c r="AF10" i="4" s="1"/>
  <c r="D4" i="4"/>
  <c r="AF23" i="4"/>
  <c r="O29" i="1"/>
  <c r="AE7" i="4" s="1"/>
  <c r="B27" i="23"/>
  <c r="B52" i="23" s="1"/>
  <c r="K45" i="23"/>
  <c r="E27" i="23"/>
  <c r="E52" i="23" s="1"/>
  <c r="Q30" i="1"/>
  <c r="AG8" i="4" s="1"/>
  <c r="B29" i="1"/>
  <c r="B7" i="4" s="1"/>
  <c r="P35" i="1"/>
  <c r="AF13" i="4" s="1"/>
  <c r="P31" i="1"/>
  <c r="AF9" i="4" s="1"/>
  <c r="H22" i="23"/>
  <c r="AQ23" i="4"/>
  <c r="AB47" i="23"/>
  <c r="AB48" i="23" s="1"/>
  <c r="AB54" i="23" s="1"/>
  <c r="Z47" i="23"/>
  <c r="Z48" i="23" s="1"/>
  <c r="Z54" i="23" s="1"/>
  <c r="T25" i="4"/>
  <c r="P37" i="1"/>
  <c r="F22" i="23"/>
  <c r="AF46" i="23"/>
  <c r="AF53" i="23" s="1"/>
  <c r="AC22" i="4"/>
  <c r="AD47" i="23"/>
  <c r="AD48" i="23" s="1"/>
  <c r="AD54" i="23" s="1"/>
  <c r="L47" i="23"/>
  <c r="L48" i="23" s="1"/>
  <c r="L54" i="23" s="1"/>
  <c r="O36" i="1"/>
  <c r="H45" i="23"/>
  <c r="AK47" i="23"/>
  <c r="AK48" i="23" s="1"/>
  <c r="AK54" i="23" s="1"/>
  <c r="AA47" i="23"/>
  <c r="AA48" i="23" s="1"/>
  <c r="AA54" i="23" s="1"/>
  <c r="AR23" i="4"/>
  <c r="U46" i="23"/>
  <c r="U53" i="23" s="1"/>
  <c r="AB46" i="23"/>
  <c r="AB53" i="23" s="1"/>
  <c r="X47" i="23"/>
  <c r="X48" i="23" s="1"/>
  <c r="X54" i="23" s="1"/>
  <c r="R31" i="1"/>
  <c r="AH9" i="4" s="1"/>
  <c r="AH22" i="4"/>
  <c r="AN27" i="4"/>
  <c r="AR27" i="4"/>
  <c r="AK29" i="4"/>
  <c r="AJ46" i="23"/>
  <c r="AJ53" i="23" s="1"/>
  <c r="AF47" i="23"/>
  <c r="AF48" i="23" s="1"/>
  <c r="AF54" i="23" s="1"/>
  <c r="AC46" i="23"/>
  <c r="AC53" i="23" s="1"/>
  <c r="AJ27" i="4"/>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AC21" i="4"/>
  <c r="Y21" i="4"/>
  <c r="U21" i="4"/>
  <c r="Q21" i="4"/>
  <c r="M21" i="4"/>
  <c r="R28" i="1"/>
  <c r="AZ37" i="4"/>
  <c r="AW37" i="4"/>
  <c r="R30" i="1"/>
  <c r="AH8" i="4" s="1"/>
  <c r="AB21" i="4"/>
  <c r="T21" i="4"/>
  <c r="L21" i="4"/>
  <c r="AW21" i="4"/>
  <c r="AS21" i="4"/>
  <c r="AO21" i="4"/>
  <c r="AK21" i="4"/>
  <c r="AY37" i="4"/>
  <c r="AV37" i="4"/>
  <c r="R29" i="1"/>
  <c r="AH7" i="4" s="1"/>
  <c r="D21" i="4"/>
  <c r="C37" i="4"/>
  <c r="I37" i="4"/>
  <c r="W21" i="4"/>
  <c r="S21" i="4"/>
  <c r="O21" i="4"/>
  <c r="K21" i="4"/>
  <c r="AU37" i="4"/>
  <c r="P36" i="1"/>
  <c r="AF14" i="4" s="1"/>
  <c r="R32" i="1"/>
  <c r="C21" i="4"/>
  <c r="B37" i="4"/>
  <c r="D37" i="4"/>
  <c r="G37" i="4"/>
  <c r="Z21" i="4"/>
  <c r="V21" i="4"/>
  <c r="R21" i="4"/>
  <c r="N21" i="4"/>
  <c r="O34" i="1"/>
  <c r="AE12" i="4" s="1"/>
  <c r="O35" i="1"/>
  <c r="AE13" i="4" s="1"/>
  <c r="O33" i="1"/>
  <c r="AE11" i="4" s="1"/>
  <c r="O30" i="1"/>
  <c r="AE8" i="4" s="1"/>
  <c r="B31" i="1"/>
  <c r="B9" i="4" s="1"/>
  <c r="O31" i="1"/>
  <c r="AE9" i="4" s="1"/>
  <c r="W47" i="1"/>
  <c r="W48" i="1" s="1"/>
  <c r="W54" i="1" s="1"/>
  <c r="X46" i="1"/>
  <c r="X53" i="1" s="1"/>
  <c r="K9" i="4"/>
  <c r="Y46" i="1"/>
  <c r="Y53" i="1" s="1"/>
  <c r="Z8" i="4"/>
  <c r="B32" i="1"/>
  <c r="D28" i="1"/>
  <c r="C32" i="1"/>
  <c r="AN7" i="4"/>
  <c r="AH46" i="1"/>
  <c r="AH53" i="1" s="1"/>
  <c r="B28" i="1"/>
  <c r="X6" i="4"/>
  <c r="D32" i="1"/>
  <c r="O9" i="4"/>
  <c r="X47" i="1"/>
  <c r="X48" i="1" s="1"/>
  <c r="X54" i="1" s="1"/>
  <c r="B30" i="1"/>
  <c r="B8" i="4" s="1"/>
  <c r="C28" i="1"/>
  <c r="D31" i="1"/>
  <c r="D9" i="4" s="1"/>
  <c r="AB47" i="1"/>
  <c r="AB48" i="1" s="1"/>
  <c r="AB54" i="1" s="1"/>
  <c r="AY6" i="4"/>
  <c r="AI47" i="1"/>
  <c r="AI48" i="1" s="1"/>
  <c r="AI54" i="1" s="1"/>
  <c r="AI46" i="1"/>
  <c r="AI53" i="1" s="1"/>
  <c r="AA46" i="1"/>
  <c r="AA53" i="1" s="1"/>
  <c r="AA47" i="1"/>
  <c r="AA48" i="1" s="1"/>
  <c r="AA54" i="1" s="1"/>
  <c r="W46" i="1"/>
  <c r="W53" i="1" s="1"/>
  <c r="V9" i="4"/>
  <c r="R9" i="4"/>
  <c r="AC8" i="4"/>
  <c r="Z46" i="1"/>
  <c r="Z53" i="1" s="1"/>
  <c r="Z47" i="1"/>
  <c r="Z48" i="1" s="1"/>
  <c r="Z54" i="1" s="1"/>
  <c r="AP6" i="4"/>
  <c r="O28" i="1"/>
  <c r="C30" i="1"/>
  <c r="C8" i="4" s="1"/>
  <c r="C31" i="1"/>
  <c r="C9" i="4" s="1"/>
  <c r="D29" i="1"/>
  <c r="D7" i="4" s="1"/>
  <c r="D30" i="1"/>
  <c r="O10" i="4"/>
  <c r="AC47" i="1"/>
  <c r="AC48" i="1" s="1"/>
  <c r="AC54" i="1" s="1"/>
  <c r="S47" i="1"/>
  <c r="S48" i="1" s="1"/>
  <c r="S54" i="1" s="1"/>
  <c r="AB46" i="1"/>
  <c r="AB53" i="1" s="1"/>
  <c r="T46" i="1"/>
  <c r="T53" i="1" s="1"/>
  <c r="AO12" i="4"/>
  <c r="AN11" i="4"/>
  <c r="AH47" i="1"/>
  <c r="AH48" i="1" s="1"/>
  <c r="AH54" i="1" s="1"/>
  <c r="S6" i="4"/>
  <c r="AV9" i="4"/>
  <c r="AF46" i="1"/>
  <c r="AF53" i="1" s="1"/>
  <c r="AF47" i="1"/>
  <c r="AF48" i="1" s="1"/>
  <c r="AF54" i="1" s="1"/>
  <c r="T47" i="1"/>
  <c r="T48" i="1" s="1"/>
  <c r="T54" i="1" s="1"/>
  <c r="S46" i="1"/>
  <c r="S53" i="1" s="1"/>
  <c r="AD46" i="1"/>
  <c r="AD53" i="1" s="1"/>
  <c r="T6" i="4"/>
  <c r="AD47" i="1"/>
  <c r="AD48" i="1" s="1"/>
  <c r="AD54" i="1" s="1"/>
  <c r="AL6" i="4"/>
  <c r="Y47" i="1"/>
  <c r="Y48" i="1" s="1"/>
  <c r="Y54" i="1" s="1"/>
  <c r="AM6" i="4"/>
  <c r="AM63" i="4" s="1"/>
  <c r="AM64" i="4" s="1"/>
  <c r="AG46" i="1"/>
  <c r="AG53" i="1" s="1"/>
  <c r="AW11" i="4"/>
  <c r="AG47" i="1"/>
  <c r="AG48" i="1" s="1"/>
  <c r="AG54" i="1" s="1"/>
  <c r="AC46" i="1"/>
  <c r="AC53" i="1" s="1"/>
  <c r="U47" i="1"/>
  <c r="U48" i="1" s="1"/>
  <c r="U54" i="1" s="1"/>
  <c r="AX21" i="4"/>
  <c r="AU21" i="4"/>
  <c r="G21" i="4"/>
  <c r="BA21" i="4"/>
  <c r="I21" i="4"/>
  <c r="F21" i="4"/>
  <c r="X21" i="4"/>
  <c r="AZ21" i="4"/>
  <c r="H21" i="4"/>
  <c r="E21" i="4"/>
  <c r="AA21" i="4"/>
  <c r="AY21" i="4"/>
  <c r="AV21" i="4"/>
  <c r="L52" i="23"/>
  <c r="E7" i="4"/>
  <c r="D17" i="4"/>
  <c r="F8" i="4"/>
  <c r="G7" i="4"/>
  <c r="C4" i="4"/>
  <c r="P47" i="23"/>
  <c r="P48" i="23" s="1"/>
  <c r="P54" i="23" s="1"/>
  <c r="U47" i="23"/>
  <c r="U48" i="23" s="1"/>
  <c r="U54" i="23" s="1"/>
  <c r="G27" i="23"/>
  <c r="G52" i="23" s="1"/>
  <c r="AC47" i="23"/>
  <c r="AC48" i="23" s="1"/>
  <c r="AC54" i="23" s="1"/>
  <c r="Y46" i="23"/>
  <c r="Y53" i="23" s="1"/>
  <c r="K27" i="23"/>
  <c r="L22" i="1"/>
  <c r="I7" i="4"/>
  <c r="D27" i="1"/>
  <c r="D52" i="1" s="1"/>
  <c r="D45" i="1"/>
  <c r="D22" i="23"/>
  <c r="D45" i="23"/>
  <c r="D27" i="23"/>
  <c r="D52" i="23" s="1"/>
  <c r="W47" i="23"/>
  <c r="W48" i="23" s="1"/>
  <c r="W54"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A25" i="4"/>
  <c r="AY22" i="4"/>
  <c r="AI47" i="23"/>
  <c r="AI48" i="23" s="1"/>
  <c r="AI54" i="23" s="1"/>
  <c r="Z46" i="23"/>
  <c r="Z53" i="23" s="1"/>
  <c r="E22" i="23"/>
  <c r="AJ47" i="1"/>
  <c r="AJ48" i="1" s="1"/>
  <c r="AJ54" i="1" s="1"/>
  <c r="AJ46" i="1"/>
  <c r="AJ53" i="1" s="1"/>
  <c r="AE46" i="23"/>
  <c r="AE53" i="23" s="1"/>
  <c r="Z37" i="4"/>
  <c r="AX30" i="4"/>
  <c r="AH46" i="23"/>
  <c r="AH53" i="23" s="1"/>
  <c r="G22" i="23"/>
  <c r="K22" i="23"/>
  <c r="L45" i="23"/>
  <c r="O22" i="23"/>
  <c r="Q22" i="23"/>
  <c r="B22" i="23"/>
  <c r="C22" i="23"/>
  <c r="L22" i="23"/>
  <c r="Q27" i="23"/>
  <c r="Q52" i="23" s="1"/>
  <c r="O27" i="23"/>
  <c r="O52" i="23" s="1"/>
  <c r="E45" i="1"/>
  <c r="B27" i="1"/>
  <c r="B52" i="1" s="1"/>
  <c r="K27" i="1"/>
  <c r="K52" i="1" s="1"/>
  <c r="F4" i="4"/>
  <c r="N4" i="4"/>
  <c r="G22" i="1"/>
  <c r="F45" i="1"/>
  <c r="C22" i="1"/>
  <c r="B22" i="1"/>
  <c r="G45" i="1"/>
  <c r="E27" i="1"/>
  <c r="E52" i="1" s="1"/>
  <c r="E22" i="1"/>
  <c r="I22" i="1"/>
  <c r="I27" i="1"/>
  <c r="P27" i="1"/>
  <c r="P52" i="1" s="1"/>
  <c r="H4" i="4"/>
  <c r="F22" i="1"/>
  <c r="I4" i="4"/>
  <c r="G4" i="4"/>
  <c r="C27" i="1"/>
  <c r="C52" i="1" s="1"/>
  <c r="B45" i="1"/>
  <c r="K74" i="4"/>
  <c r="K22" i="1"/>
  <c r="H22" i="1"/>
  <c r="AE4" i="4"/>
  <c r="H45" i="1"/>
  <c r="O45" i="1"/>
  <c r="AF4" i="4"/>
  <c r="K45" i="1"/>
  <c r="P45" i="1"/>
  <c r="O27" i="1"/>
  <c r="O52" i="1" s="1"/>
  <c r="I52" i="1"/>
  <c r="K55" i="4"/>
  <c r="B55" i="4"/>
  <c r="L55" i="4"/>
  <c r="E74" i="4"/>
  <c r="B74" i="4"/>
  <c r="S47" i="23" l="1"/>
  <c r="S48" i="23" s="1"/>
  <c r="S54" i="23" s="1"/>
  <c r="F47" i="23"/>
  <c r="F48" i="23" s="1"/>
  <c r="F54" i="23" s="1"/>
  <c r="AL22" i="4"/>
  <c r="Q47" i="23"/>
  <c r="Q48" i="23" s="1"/>
  <c r="Q54" i="23" s="1"/>
  <c r="K46" i="23"/>
  <c r="K53" i="23" s="1"/>
  <c r="S46" i="23"/>
  <c r="S53" i="23" s="1"/>
  <c r="E47" i="23"/>
  <c r="E48" i="23" s="1"/>
  <c r="E54" i="23" s="1"/>
  <c r="T47" i="23"/>
  <c r="T48" i="23" s="1"/>
  <c r="T54" i="23" s="1"/>
  <c r="H47" i="23"/>
  <c r="H48" i="23" s="1"/>
  <c r="H54" i="23" s="1"/>
  <c r="V47" i="23"/>
  <c r="V48" i="23" s="1"/>
  <c r="V54" i="23" s="1"/>
  <c r="C47" i="23"/>
  <c r="C48" i="23" s="1"/>
  <c r="C54" i="23" s="1"/>
  <c r="H46" i="23"/>
  <c r="H53" i="23" s="1"/>
  <c r="T46" i="23"/>
  <c r="T53" i="23" s="1"/>
  <c r="R46" i="23"/>
  <c r="R53" i="23" s="1"/>
  <c r="Q46" i="23"/>
  <c r="Q53" i="23" s="1"/>
  <c r="C46" i="23"/>
  <c r="C53" i="23" s="1"/>
  <c r="G46" i="23"/>
  <c r="G53" i="23" s="1"/>
  <c r="V47" i="1"/>
  <c r="V48" i="1" s="1"/>
  <c r="V54" i="1" s="1"/>
  <c r="V46" i="1"/>
  <c r="V53" i="1" s="1"/>
  <c r="U46" i="1"/>
  <c r="U53" i="1" s="1"/>
  <c r="M46" i="1"/>
  <c r="M53" i="1" s="1"/>
  <c r="D46" i="23"/>
  <c r="D53" i="23" s="1"/>
  <c r="J46" i="1"/>
  <c r="J53" i="1" s="1"/>
  <c r="R47" i="23"/>
  <c r="R48" i="23" s="1"/>
  <c r="R54" i="23" s="1"/>
  <c r="AI63" i="4"/>
  <c r="AI64" i="4" s="1"/>
  <c r="F46" i="23"/>
  <c r="F53" i="23" s="1"/>
  <c r="L46" i="23"/>
  <c r="L53" i="23" s="1"/>
  <c r="L22" i="4"/>
  <c r="L63" i="4" s="1"/>
  <c r="L64" i="4" s="1"/>
  <c r="I46" i="23"/>
  <c r="I53" i="23" s="1"/>
  <c r="K47" i="23"/>
  <c r="K48" i="23" s="1"/>
  <c r="K54" i="23" s="1"/>
  <c r="D47" i="23"/>
  <c r="D48" i="23" s="1"/>
  <c r="D54" i="23" s="1"/>
  <c r="I47" i="23"/>
  <c r="I48" i="23" s="1"/>
  <c r="I54" i="23" s="1"/>
  <c r="J47" i="23"/>
  <c r="J48" i="23" s="1"/>
  <c r="J54" i="23" s="1"/>
  <c r="J46" i="23"/>
  <c r="J53" i="23" s="1"/>
  <c r="G47" i="23"/>
  <c r="G48" i="23" s="1"/>
  <c r="G54" i="23" s="1"/>
  <c r="E46" i="23"/>
  <c r="E53" i="23" s="1"/>
  <c r="M47" i="23"/>
  <c r="M48" i="23" s="1"/>
  <c r="M54" i="23" s="1"/>
  <c r="M46" i="23"/>
  <c r="M53" i="23" s="1"/>
  <c r="K46" i="1"/>
  <c r="K53" i="1" s="1"/>
  <c r="J10" i="4"/>
  <c r="J56" i="4" s="1"/>
  <c r="J75" i="4" s="1"/>
  <c r="M47" i="1"/>
  <c r="M48" i="1" s="1"/>
  <c r="M54" i="1" s="1"/>
  <c r="J47" i="1"/>
  <c r="J48" i="1" s="1"/>
  <c r="J54" i="1" s="1"/>
  <c r="W56" i="4"/>
  <c r="W75" i="4" s="1"/>
  <c r="L47" i="1"/>
  <c r="L48" i="1" s="1"/>
  <c r="L54" i="1" s="1"/>
  <c r="K47" i="1"/>
  <c r="K48" i="1" s="1"/>
  <c r="K54" i="1" s="1"/>
  <c r="L46" i="1"/>
  <c r="L53" i="1" s="1"/>
  <c r="M63" i="4"/>
  <c r="M64" i="4" s="1"/>
  <c r="F46" i="1"/>
  <c r="F53" i="1" s="1"/>
  <c r="S63" i="4"/>
  <c r="S64" i="4" s="1"/>
  <c r="AT63" i="4"/>
  <c r="AT64" i="4" s="1"/>
  <c r="AU63" i="4"/>
  <c r="AU64" i="4" s="1"/>
  <c r="AW63" i="4"/>
  <c r="AW64" i="4" s="1"/>
  <c r="R63" i="4"/>
  <c r="R64" i="4" s="1"/>
  <c r="AB63" i="4"/>
  <c r="AB64" i="4" s="1"/>
  <c r="Y63" i="4"/>
  <c r="Y64" i="4" s="1"/>
  <c r="AZ63" i="4"/>
  <c r="AZ64" i="4" s="1"/>
  <c r="BA63" i="4"/>
  <c r="BA64" i="4" s="1"/>
  <c r="AQ63" i="4"/>
  <c r="AQ64" i="4" s="1"/>
  <c r="B22" i="4"/>
  <c r="AO57" i="4"/>
  <c r="AO58" i="4" s="1"/>
  <c r="AO76" i="4" s="1"/>
  <c r="D6" i="4"/>
  <c r="AS63" i="4"/>
  <c r="AS64" i="4" s="1"/>
  <c r="AH6" i="4"/>
  <c r="I6" i="4"/>
  <c r="AF7" i="4"/>
  <c r="E6" i="4"/>
  <c r="AE6" i="4"/>
  <c r="B6" i="4"/>
  <c r="C6" i="4"/>
  <c r="H6" i="4"/>
  <c r="F6" i="4"/>
  <c r="P47" i="1"/>
  <c r="P48" i="1" s="1"/>
  <c r="P54" i="1" s="1"/>
  <c r="V63" i="4"/>
  <c r="V64" i="4" s="1"/>
  <c r="Q63" i="4"/>
  <c r="Q64" i="4" s="1"/>
  <c r="G6" i="4"/>
  <c r="AG7" i="4"/>
  <c r="AC63" i="4"/>
  <c r="AC64" i="4" s="1"/>
  <c r="AI22" i="33"/>
  <c r="Z63" i="4"/>
  <c r="Z64" i="4" s="1"/>
  <c r="P63" i="4"/>
  <c r="P64" i="4" s="1"/>
  <c r="AI45" i="33"/>
  <c r="AB45" i="33"/>
  <c r="AB22" i="33"/>
  <c r="AA63" i="4"/>
  <c r="AA64" i="4" s="1"/>
  <c r="AV63" i="4"/>
  <c r="AV64" i="4" s="1"/>
  <c r="O63" i="4"/>
  <c r="O64" i="4" s="1"/>
  <c r="AN63" i="4"/>
  <c r="AN64" i="4" s="1"/>
  <c r="K63" i="4"/>
  <c r="K64" i="4" s="1"/>
  <c r="AK63" i="4"/>
  <c r="AK64" i="4" s="1"/>
  <c r="AR63" i="4"/>
  <c r="AR64" i="4" s="1"/>
  <c r="AX63" i="4"/>
  <c r="AX64" i="4" s="1"/>
  <c r="AL63" i="4"/>
  <c r="AL64" i="4" s="1"/>
  <c r="U63" i="4"/>
  <c r="U64" i="4" s="1"/>
  <c r="AJ63" i="4"/>
  <c r="AJ64" i="4" s="1"/>
  <c r="AP63" i="4"/>
  <c r="AP64" i="4" s="1"/>
  <c r="AY63" i="4"/>
  <c r="AY64" i="4" s="1"/>
  <c r="X63" i="4"/>
  <c r="X64" i="4" s="1"/>
  <c r="T63" i="4"/>
  <c r="T64" i="4" s="1"/>
  <c r="N63" i="4"/>
  <c r="N64" i="4" s="1"/>
  <c r="AS56" i="4"/>
  <c r="AS75" i="4" s="1"/>
  <c r="AO63" i="4"/>
  <c r="AO64" i="4" s="1"/>
  <c r="W63" i="4"/>
  <c r="W64" i="4" s="1"/>
  <c r="AH27" i="33"/>
  <c r="AH52" i="33" s="1"/>
  <c r="AJ27" i="33"/>
  <c r="AJ52" i="33" s="1"/>
  <c r="AH45" i="33"/>
  <c r="AF45" i="33"/>
  <c r="AD4" i="1"/>
  <c r="AD22" i="1" s="1"/>
  <c r="T27" i="33"/>
  <c r="T52" i="33" s="1"/>
  <c r="AF22" i="33"/>
  <c r="AJ45" i="33"/>
  <c r="AE4" i="1"/>
  <c r="AE45" i="1" s="1"/>
  <c r="T45" i="33"/>
  <c r="X27" i="33"/>
  <c r="X52" i="33" s="1"/>
  <c r="X22" i="33"/>
  <c r="AD4" i="23"/>
  <c r="AD22" i="23" s="1"/>
  <c r="I47" i="1"/>
  <c r="I48" i="1" s="1"/>
  <c r="I54" i="1" s="1"/>
  <c r="F47" i="1"/>
  <c r="F48" i="1" s="1"/>
  <c r="F54" i="1" s="1"/>
  <c r="G47" i="1"/>
  <c r="G48" i="1" s="1"/>
  <c r="G54" i="1" s="1"/>
  <c r="E47" i="1"/>
  <c r="E48" i="1" s="1"/>
  <c r="E54" i="1" s="1"/>
  <c r="Q46" i="1"/>
  <c r="Q53" i="1" s="1"/>
  <c r="E46" i="1"/>
  <c r="E53" i="1" s="1"/>
  <c r="Q47" i="1"/>
  <c r="Q48" i="1" s="1"/>
  <c r="Q54" i="1" s="1"/>
  <c r="I46" i="1"/>
  <c r="I53" i="1" s="1"/>
  <c r="AG74" i="4"/>
  <c r="AE4" i="23"/>
  <c r="AE27" i="23" s="1"/>
  <c r="AE52" i="23" s="1"/>
  <c r="Z4" i="23"/>
  <c r="Z45" i="23" s="1"/>
  <c r="AB57" i="4"/>
  <c r="AB58" i="4" s="1"/>
  <c r="AB76" i="4" s="1"/>
  <c r="M57" i="4"/>
  <c r="M58" i="4" s="1"/>
  <c r="M76" i="4" s="1"/>
  <c r="AX56" i="4"/>
  <c r="AX75" i="4" s="1"/>
  <c r="AC57" i="4"/>
  <c r="AC58" i="4" s="1"/>
  <c r="AC76" i="4" s="1"/>
  <c r="U56" i="4"/>
  <c r="U75" i="4" s="1"/>
  <c r="AW56" i="4"/>
  <c r="AW75" i="4" s="1"/>
  <c r="Z57" i="4"/>
  <c r="Z58" i="4" s="1"/>
  <c r="Z76" i="4" s="1"/>
  <c r="AJ57" i="4"/>
  <c r="AJ58" i="4" s="1"/>
  <c r="AJ76" i="4" s="1"/>
  <c r="H57" i="1"/>
  <c r="G57" i="1"/>
  <c r="F57" i="1"/>
  <c r="I57" i="1"/>
  <c r="E57" i="1"/>
  <c r="H7" i="4"/>
  <c r="G46" i="1"/>
  <c r="G53" i="1" s="1"/>
  <c r="H46" i="1"/>
  <c r="H53" i="1" s="1"/>
  <c r="H47" i="1"/>
  <c r="H48" i="1" s="1"/>
  <c r="H54" i="1" s="1"/>
  <c r="G11" i="4"/>
  <c r="F9" i="4"/>
  <c r="F63" i="4" s="1"/>
  <c r="F64" i="4" s="1"/>
  <c r="AV57" i="4"/>
  <c r="AV58" i="4" s="1"/>
  <c r="AV76" i="4" s="1"/>
  <c r="V56" i="4"/>
  <c r="O57" i="4"/>
  <c r="O58" i="4" s="1"/>
  <c r="O76" i="4" s="1"/>
  <c r="AN56" i="4"/>
  <c r="AN75" i="4" s="1"/>
  <c r="I13" i="4"/>
  <c r="E12" i="4"/>
  <c r="I55" i="4"/>
  <c r="I62" i="4"/>
  <c r="N55" i="4"/>
  <c r="N62" i="4"/>
  <c r="AL57" i="4"/>
  <c r="AL58" i="4" s="1"/>
  <c r="AL76" i="4" s="1"/>
  <c r="AL56" i="4"/>
  <c r="AL75" i="4" s="1"/>
  <c r="T56" i="4"/>
  <c r="T75" i="4" s="1"/>
  <c r="T57" i="4"/>
  <c r="T58" i="4" s="1"/>
  <c r="T76" i="4" s="1"/>
  <c r="P55" i="4"/>
  <c r="P62" i="4"/>
  <c r="Z55" i="4"/>
  <c r="Z62" i="4"/>
  <c r="AP55" i="4"/>
  <c r="AP62" i="4"/>
  <c r="W4" i="1"/>
  <c r="W45" i="1" s="1"/>
  <c r="W4" i="33"/>
  <c r="AC22" i="33"/>
  <c r="AC45" i="33"/>
  <c r="AC27" i="33"/>
  <c r="AC52" i="33" s="1"/>
  <c r="Z45" i="33"/>
  <c r="Z27" i="33"/>
  <c r="Z52" i="33" s="1"/>
  <c r="Z22" i="33"/>
  <c r="AK57" i="4"/>
  <c r="AK58" i="4" s="1"/>
  <c r="AK76" i="4" s="1"/>
  <c r="BA57" i="4"/>
  <c r="BA58" i="4" s="1"/>
  <c r="BA76" i="4" s="1"/>
  <c r="Q56" i="4"/>
  <c r="Q75" i="4" s="1"/>
  <c r="U57" i="4"/>
  <c r="U58" i="4" s="1"/>
  <c r="U76" i="4" s="1"/>
  <c r="Y57" i="4"/>
  <c r="Y58" i="4" s="1"/>
  <c r="Y76" i="4" s="1"/>
  <c r="AN57" i="4"/>
  <c r="AN58" i="4" s="1"/>
  <c r="AN76" i="4" s="1"/>
  <c r="AT57" i="4"/>
  <c r="AT58" i="4" s="1"/>
  <c r="AT76" i="4" s="1"/>
  <c r="R56" i="4"/>
  <c r="R75" i="4" s="1"/>
  <c r="V57" i="4"/>
  <c r="V58" i="4" s="1"/>
  <c r="AR56" i="4"/>
  <c r="AR75" i="4" s="1"/>
  <c r="AI56" i="4"/>
  <c r="AI75" i="4" s="1"/>
  <c r="K57" i="4"/>
  <c r="K58" i="4" s="1"/>
  <c r="K76" i="4" s="1"/>
  <c r="O56" i="4"/>
  <c r="O75" i="4" s="1"/>
  <c r="P56" i="4"/>
  <c r="P75" i="4" s="1"/>
  <c r="AE55" i="4"/>
  <c r="AE62" i="4"/>
  <c r="F55" i="4"/>
  <c r="F62" i="4"/>
  <c r="AM56" i="4"/>
  <c r="AM75" i="4" s="1"/>
  <c r="AM57" i="4"/>
  <c r="AM58" i="4" s="1"/>
  <c r="AM76" i="4" s="1"/>
  <c r="S57" i="4"/>
  <c r="S58" i="4" s="1"/>
  <c r="S76" i="4" s="1"/>
  <c r="S56" i="4"/>
  <c r="S75" i="4" s="1"/>
  <c r="M55" i="4"/>
  <c r="M62" i="4"/>
  <c r="J55" i="4"/>
  <c r="J62" i="4"/>
  <c r="AA27" i="33"/>
  <c r="AA52" i="33" s="1"/>
  <c r="AA22" i="33"/>
  <c r="AA45" i="33"/>
  <c r="AG22" i="33"/>
  <c r="AG27" i="33"/>
  <c r="AG52" i="33" s="1"/>
  <c r="AG45" i="33"/>
  <c r="AD45" i="33"/>
  <c r="AD27" i="33"/>
  <c r="AD52" i="33" s="1"/>
  <c r="AD22" i="33"/>
  <c r="AO56" i="4"/>
  <c r="AO75" i="4" s="1"/>
  <c r="AW57" i="4"/>
  <c r="AW58" i="4" s="1"/>
  <c r="AW76" i="4" s="1"/>
  <c r="Q57" i="4"/>
  <c r="Q58" i="4" s="1"/>
  <c r="Q76" i="4" s="1"/>
  <c r="AC56" i="4"/>
  <c r="AC75" i="4" s="1"/>
  <c r="I57" i="4"/>
  <c r="I58" i="4" s="1"/>
  <c r="I76" i="4" s="1"/>
  <c r="N57" i="4"/>
  <c r="N58" i="4" s="1"/>
  <c r="N76" i="4" s="1"/>
  <c r="R57" i="4"/>
  <c r="R58" i="4" s="1"/>
  <c r="R76" i="4" s="1"/>
  <c r="AR57" i="4"/>
  <c r="AR58" i="4" s="1"/>
  <c r="AR76" i="4" s="1"/>
  <c r="AU57" i="4"/>
  <c r="AU58" i="4" s="1"/>
  <c r="AU76" i="4" s="1"/>
  <c r="K56" i="4"/>
  <c r="K75" i="4" s="1"/>
  <c r="AA57" i="4"/>
  <c r="AA58" i="4" s="1"/>
  <c r="AA76" i="4" s="1"/>
  <c r="AZ56" i="4"/>
  <c r="AZ75" i="4" s="1"/>
  <c r="P57" i="4"/>
  <c r="P58" i="4" s="1"/>
  <c r="P76" i="4" s="1"/>
  <c r="H56" i="4"/>
  <c r="H75" i="4" s="1"/>
  <c r="AF55" i="4"/>
  <c r="AF62" i="4"/>
  <c r="G55" i="4"/>
  <c r="G62" i="4"/>
  <c r="H74" i="4"/>
  <c r="H62" i="4"/>
  <c r="AE27" i="33"/>
  <c r="AE52" i="33" s="1"/>
  <c r="AE22" i="33"/>
  <c r="AE45" i="33"/>
  <c r="U22" i="33"/>
  <c r="U45" i="33"/>
  <c r="U27" i="33"/>
  <c r="U52" i="33" s="1"/>
  <c r="AK22" i="33"/>
  <c r="AK45" i="33"/>
  <c r="AK27" i="33"/>
  <c r="AK52" i="33" s="1"/>
  <c r="R45" i="33"/>
  <c r="R27" i="33"/>
  <c r="R52" i="33" s="1"/>
  <c r="R22" i="33"/>
  <c r="AK56" i="4"/>
  <c r="AK75" i="4" s="1"/>
  <c r="AS57" i="4"/>
  <c r="AS58" i="4" s="1"/>
  <c r="AS76" i="4" s="1"/>
  <c r="BA56" i="4"/>
  <c r="BA75" i="4" s="1"/>
  <c r="M56" i="4"/>
  <c r="M75" i="4" s="1"/>
  <c r="Y56" i="4"/>
  <c r="Y75" i="4" s="1"/>
  <c r="AX57" i="4"/>
  <c r="AX58" i="4" s="1"/>
  <c r="AX76" i="4" s="1"/>
  <c r="N56" i="4"/>
  <c r="N75" i="4" s="1"/>
  <c r="Z56" i="4"/>
  <c r="Z75" i="4" s="1"/>
  <c r="AQ57" i="4"/>
  <c r="AQ58" i="4" s="1"/>
  <c r="AQ76" i="4" s="1"/>
  <c r="AU56" i="4"/>
  <c r="AU75" i="4" s="1"/>
  <c r="W57" i="4"/>
  <c r="W58" i="4" s="1"/>
  <c r="W76" i="4" s="1"/>
  <c r="AA56" i="4"/>
  <c r="AA75" i="4" s="1"/>
  <c r="AV56" i="4"/>
  <c r="AV75" i="4" s="1"/>
  <c r="AZ57" i="4"/>
  <c r="AZ58" i="4" s="1"/>
  <c r="AZ76" i="4" s="1"/>
  <c r="AJ56" i="4"/>
  <c r="AJ75" i="4" s="1"/>
  <c r="C74" i="4"/>
  <c r="C62" i="4"/>
  <c r="AP56" i="4"/>
  <c r="AP75" i="4" s="1"/>
  <c r="AP57" i="4"/>
  <c r="AP58" i="4" s="1"/>
  <c r="AP76" i="4" s="1"/>
  <c r="AY56" i="4"/>
  <c r="AY75" i="4" s="1"/>
  <c r="AY57" i="4"/>
  <c r="AY58" i="4" s="1"/>
  <c r="AY76" i="4" s="1"/>
  <c r="X57" i="4"/>
  <c r="X58" i="4" s="1"/>
  <c r="X76" i="4" s="1"/>
  <c r="X56" i="4"/>
  <c r="X75" i="4" s="1"/>
  <c r="D55" i="4"/>
  <c r="D62" i="4"/>
  <c r="S27" i="33"/>
  <c r="S52" i="33" s="1"/>
  <c r="S22" i="33"/>
  <c r="S45" i="33"/>
  <c r="Y4" i="23"/>
  <c r="Y45" i="23" s="1"/>
  <c r="Y4" i="33"/>
  <c r="V4" i="33"/>
  <c r="AT56" i="4"/>
  <c r="AT75" i="4" s="1"/>
  <c r="AI57" i="4"/>
  <c r="AI58" i="4" s="1"/>
  <c r="AI76" i="4" s="1"/>
  <c r="AQ56" i="4"/>
  <c r="AQ75" i="4" s="1"/>
  <c r="AB56" i="4"/>
  <c r="AB75" i="4" s="1"/>
  <c r="AG55" i="4"/>
  <c r="V4" i="1"/>
  <c r="V45" i="1" s="1"/>
  <c r="AE32" i="4"/>
  <c r="AG10" i="4"/>
  <c r="B32" i="4"/>
  <c r="H55" i="4"/>
  <c r="AH10" i="4"/>
  <c r="AH63" i="4" s="1"/>
  <c r="AH64" i="4" s="1"/>
  <c r="AE14" i="4"/>
  <c r="AF15" i="4"/>
  <c r="V4" i="23"/>
  <c r="V45" i="23" s="1"/>
  <c r="Z45" i="1"/>
  <c r="Z22" i="1"/>
  <c r="Z27" i="1"/>
  <c r="Z52" i="1" s="1"/>
  <c r="W4" i="23"/>
  <c r="W22" i="23" s="1"/>
  <c r="AO79" i="4"/>
  <c r="AP79" i="4"/>
  <c r="AT79" i="4"/>
  <c r="K79" i="4"/>
  <c r="AS79" i="4"/>
  <c r="B10" i="4"/>
  <c r="AM79" i="4"/>
  <c r="L79" i="4"/>
  <c r="N79" i="4"/>
  <c r="T79" i="4"/>
  <c r="AU79" i="4"/>
  <c r="AZ79" i="4"/>
  <c r="AL79" i="4"/>
  <c r="M79" i="4"/>
  <c r="AC79" i="4"/>
  <c r="J79" i="4"/>
  <c r="P79" i="4"/>
  <c r="R79" i="4"/>
  <c r="AQ79" i="4"/>
  <c r="AB79" i="4"/>
  <c r="AW79" i="4"/>
  <c r="Z79" i="4"/>
  <c r="AV79" i="4"/>
  <c r="AK79" i="4"/>
  <c r="Q79" i="4"/>
  <c r="W79" i="4"/>
  <c r="S79" i="4"/>
  <c r="X79" i="4"/>
  <c r="V79" i="4"/>
  <c r="O79" i="4"/>
  <c r="AJ79" i="4"/>
  <c r="Y79" i="4"/>
  <c r="AY79" i="4"/>
  <c r="BA79" i="4"/>
  <c r="U79" i="4"/>
  <c r="AI79" i="4"/>
  <c r="AA79" i="4"/>
  <c r="AN79" i="4"/>
  <c r="AX79" i="4"/>
  <c r="AR79" i="4"/>
  <c r="AE26" i="4"/>
  <c r="V76" i="4"/>
  <c r="P46" i="1"/>
  <c r="P53" i="1" s="1"/>
  <c r="AF4" i="23"/>
  <c r="AF22" i="23" s="1"/>
  <c r="AI4" i="23"/>
  <c r="AI22" i="23" s="1"/>
  <c r="U4" i="1"/>
  <c r="U22" i="1" s="1"/>
  <c r="S4" i="4"/>
  <c r="S62" i="4" s="1"/>
  <c r="AJ4" i="1"/>
  <c r="AZ4" i="4" s="1"/>
  <c r="AZ62" i="4" s="1"/>
  <c r="AI4" i="1"/>
  <c r="AI22" i="1" s="1"/>
  <c r="Z74" i="4"/>
  <c r="M74" i="4"/>
  <c r="M27" i="1"/>
  <c r="M52" i="1" s="1"/>
  <c r="M22" i="1"/>
  <c r="T4" i="4"/>
  <c r="J52" i="1"/>
  <c r="J74" i="4"/>
  <c r="J27" i="1"/>
  <c r="J45" i="1"/>
  <c r="AH4" i="1"/>
  <c r="AH22" i="1" s="1"/>
  <c r="S4" i="1"/>
  <c r="S4" i="23"/>
  <c r="AB4" i="4"/>
  <c r="AB62" i="4" s="1"/>
  <c r="AC4" i="1"/>
  <c r="AC4" i="23"/>
  <c r="AC27" i="23" s="1"/>
  <c r="AC52" i="23" s="1"/>
  <c r="V4" i="4"/>
  <c r="AF4" i="1"/>
  <c r="AV4" i="4" s="1"/>
  <c r="AV62" i="4" s="1"/>
  <c r="AA4" i="23"/>
  <c r="W4" i="4"/>
  <c r="W62" i="4" s="1"/>
  <c r="X4" i="4"/>
  <c r="X62" i="4" s="1"/>
  <c r="Y4" i="1"/>
  <c r="Y4" i="4"/>
  <c r="Y62" i="4" s="1"/>
  <c r="C55" i="4"/>
  <c r="U4" i="4"/>
  <c r="R4" i="4"/>
  <c r="R62" i="4" s="1"/>
  <c r="AJ4" i="23"/>
  <c r="AJ27" i="23" s="1"/>
  <c r="AJ52" i="23" s="1"/>
  <c r="U4" i="23"/>
  <c r="U22" i="23" s="1"/>
  <c r="AA4" i="1"/>
  <c r="AA22" i="1" s="1"/>
  <c r="J22" i="23"/>
  <c r="J52" i="23"/>
  <c r="J22" i="1"/>
  <c r="J27" i="23"/>
  <c r="R4" i="1"/>
  <c r="R22" i="1" s="1"/>
  <c r="R4" i="23"/>
  <c r="R22" i="23" s="1"/>
  <c r="O4" i="4"/>
  <c r="O62" i="4" s="1"/>
  <c r="AH4" i="23"/>
  <c r="AH45" i="23" s="1"/>
  <c r="M52" i="23"/>
  <c r="M22" i="23"/>
  <c r="M45" i="23"/>
  <c r="P74" i="4"/>
  <c r="M45" i="1"/>
  <c r="B46" i="23"/>
  <c r="B53" i="23" s="1"/>
  <c r="B55" i="23" s="1"/>
  <c r="O46" i="23"/>
  <c r="O53" i="23" s="1"/>
  <c r="O55" i="23" s="1"/>
  <c r="O47" i="23"/>
  <c r="O48" i="23" s="1"/>
  <c r="O54" i="23" s="1"/>
  <c r="B47" i="23"/>
  <c r="B48" i="23" s="1"/>
  <c r="B54" i="23" s="1"/>
  <c r="B57" i="23"/>
  <c r="O57" i="23"/>
  <c r="W59" i="23" s="1"/>
  <c r="W60" i="23" s="1"/>
  <c r="B29" i="4"/>
  <c r="AE22" i="4"/>
  <c r="R47" i="1"/>
  <c r="R48" i="1" s="1"/>
  <c r="R54" i="1" s="1"/>
  <c r="Q57" i="1"/>
  <c r="D74" i="4"/>
  <c r="Q55" i="4"/>
  <c r="Q74" i="4"/>
  <c r="R46" i="1"/>
  <c r="R53" i="1" s="1"/>
  <c r="N74" i="4"/>
  <c r="C47" i="1"/>
  <c r="C48" i="1" s="1"/>
  <c r="C54" i="1" s="1"/>
  <c r="G74" i="4"/>
  <c r="D57" i="1"/>
  <c r="R57" i="1"/>
  <c r="P57" i="1"/>
  <c r="O57" i="1"/>
  <c r="C57" i="1"/>
  <c r="D10" i="4"/>
  <c r="C10" i="4"/>
  <c r="B57" i="1"/>
  <c r="V75" i="4"/>
  <c r="C46" i="1"/>
  <c r="C53" i="1" s="1"/>
  <c r="B46" i="1"/>
  <c r="B53" i="1" s="1"/>
  <c r="G55" i="1" s="1"/>
  <c r="B47" i="1"/>
  <c r="B48" i="1" s="1"/>
  <c r="B54" i="1" s="1"/>
  <c r="D46" i="1"/>
  <c r="D53" i="1" s="1"/>
  <c r="O47" i="1"/>
  <c r="O48" i="1" s="1"/>
  <c r="O54" i="1" s="1"/>
  <c r="O46" i="1"/>
  <c r="O53" i="1" s="1"/>
  <c r="O55" i="1" s="1"/>
  <c r="D47" i="1"/>
  <c r="D48" i="1" s="1"/>
  <c r="D54" i="1" s="1"/>
  <c r="D8" i="4"/>
  <c r="X4" i="23"/>
  <c r="X4" i="1"/>
  <c r="AG4" i="1"/>
  <c r="AG4" i="23"/>
  <c r="AB4" i="23"/>
  <c r="AB4" i="1"/>
  <c r="AC4" i="4"/>
  <c r="AC62" i="4" s="1"/>
  <c r="AA4" i="4"/>
  <c r="AA62" i="4" s="1"/>
  <c r="T4" i="1"/>
  <c r="T4" i="23"/>
  <c r="AK4" i="1"/>
  <c r="AK4" i="23"/>
  <c r="F74" i="4"/>
  <c r="I74" i="4"/>
  <c r="AE74" i="4"/>
  <c r="AF74" i="4"/>
  <c r="J57" i="4" l="1"/>
  <c r="J58" i="4" s="1"/>
  <c r="J76" i="4" s="1"/>
  <c r="L57" i="4"/>
  <c r="L58" i="4" s="1"/>
  <c r="L76" i="4" s="1"/>
  <c r="L56" i="4"/>
  <c r="L75" i="4" s="1"/>
  <c r="J63" i="4"/>
  <c r="J64" i="4" s="1"/>
  <c r="C63" i="4"/>
  <c r="C64" i="4" s="1"/>
  <c r="AL4" i="4"/>
  <c r="AL55" i="4" s="1"/>
  <c r="I63" i="4"/>
  <c r="I64" i="4" s="1"/>
  <c r="C55" i="23"/>
  <c r="F55" i="23"/>
  <c r="AG55" i="23"/>
  <c r="AD55" i="23"/>
  <c r="AF55" i="23"/>
  <c r="AE55" i="23"/>
  <c r="AB55" i="23"/>
  <c r="Q55" i="23"/>
  <c r="AK55" i="23"/>
  <c r="AH55" i="23"/>
  <c r="U55" i="23"/>
  <c r="W55" i="23"/>
  <c r="AJ55" i="23"/>
  <c r="T55" i="23"/>
  <c r="Y55" i="23"/>
  <c r="X55" i="23"/>
  <c r="R55" i="23"/>
  <c r="S55" i="23"/>
  <c r="AA55" i="23"/>
  <c r="AC55" i="23"/>
  <c r="AI55" i="23"/>
  <c r="V55" i="23"/>
  <c r="P55" i="23"/>
  <c r="Z55" i="23"/>
  <c r="AB55" i="1"/>
  <c r="X55" i="1"/>
  <c r="W55" i="1"/>
  <c r="AE55" i="1"/>
  <c r="S55" i="1"/>
  <c r="U55" i="1"/>
  <c r="R55" i="1"/>
  <c r="AF55" i="1"/>
  <c r="AK55" i="1"/>
  <c r="Y55" i="1"/>
  <c r="T55" i="1"/>
  <c r="AJ55" i="1"/>
  <c r="Z55" i="1"/>
  <c r="P55" i="1"/>
  <c r="Q55" i="1"/>
  <c r="AD55" i="1"/>
  <c r="AH55" i="1"/>
  <c r="V55" i="1"/>
  <c r="AC55" i="1"/>
  <c r="AG55" i="1"/>
  <c r="AI55" i="1"/>
  <c r="AA55" i="1"/>
  <c r="AE27" i="1"/>
  <c r="AE52" i="1" s="1"/>
  <c r="D63" i="4"/>
  <c r="D64" i="4" s="1"/>
  <c r="B63" i="4"/>
  <c r="B64" i="4" s="1"/>
  <c r="AE63" i="4"/>
  <c r="AE64" i="4" s="1"/>
  <c r="G56" i="4"/>
  <c r="G75" i="4" s="1"/>
  <c r="H57" i="4"/>
  <c r="H58" i="4" s="1"/>
  <c r="H76" i="4" s="1"/>
  <c r="H63" i="4"/>
  <c r="H64" i="4" s="1"/>
  <c r="AF63" i="4"/>
  <c r="AF64" i="4" s="1"/>
  <c r="G63" i="4"/>
  <c r="G64" i="4" s="1"/>
  <c r="E63" i="4"/>
  <c r="E64" i="4" s="1"/>
  <c r="AG63" i="4"/>
  <c r="AG64" i="4" s="1"/>
  <c r="AJ45" i="23"/>
  <c r="Y27" i="23"/>
  <c r="Y52" i="23" s="1"/>
  <c r="W27" i="1"/>
  <c r="W52" i="1" s="1"/>
  <c r="Y22" i="23"/>
  <c r="AD27" i="1"/>
  <c r="AD52" i="1" s="1"/>
  <c r="AD45" i="23"/>
  <c r="V27" i="23"/>
  <c r="V52" i="23" s="1"/>
  <c r="I56" i="4"/>
  <c r="I75" i="4" s="1"/>
  <c r="AE22" i="1"/>
  <c r="AU4" i="4"/>
  <c r="AU62" i="4" s="1"/>
  <c r="Z27" i="23"/>
  <c r="Z52" i="23" s="1"/>
  <c r="AT4" i="4"/>
  <c r="AT55" i="4" s="1"/>
  <c r="AD45" i="1"/>
  <c r="AM4" i="4"/>
  <c r="AM62" i="4" s="1"/>
  <c r="AI27" i="1"/>
  <c r="AI52" i="1" s="1"/>
  <c r="AE22" i="23"/>
  <c r="AD27" i="23"/>
  <c r="AD52" i="23" s="1"/>
  <c r="Z22" i="23"/>
  <c r="AE45" i="23"/>
  <c r="AY4" i="4"/>
  <c r="AY62" i="4" s="1"/>
  <c r="U45" i="1"/>
  <c r="V22" i="1"/>
  <c r="W22" i="1"/>
  <c r="V22" i="23"/>
  <c r="V27" i="1"/>
  <c r="V52" i="1" s="1"/>
  <c r="Y80" i="4"/>
  <c r="AW80" i="4"/>
  <c r="G57" i="4"/>
  <c r="G58" i="4" s="1"/>
  <c r="G76" i="4" s="1"/>
  <c r="AR80" i="4"/>
  <c r="F57" i="4"/>
  <c r="F58" i="4" s="1"/>
  <c r="F76" i="4" s="1"/>
  <c r="B56" i="4"/>
  <c r="E79" i="4"/>
  <c r="G79" i="4"/>
  <c r="I79" i="4"/>
  <c r="H79" i="4"/>
  <c r="F79" i="4"/>
  <c r="T80" i="4"/>
  <c r="O80" i="4"/>
  <c r="J80" i="4"/>
  <c r="E57" i="4"/>
  <c r="E58" i="4" s="1"/>
  <c r="E76" i="4" s="1"/>
  <c r="E56" i="4"/>
  <c r="E75" i="4" s="1"/>
  <c r="AM80" i="4"/>
  <c r="F56" i="4"/>
  <c r="F75" i="4" s="1"/>
  <c r="AF57" i="4"/>
  <c r="AF58" i="4" s="1"/>
  <c r="AF76" i="4" s="1"/>
  <c r="AH56" i="4"/>
  <c r="AH75" i="4" s="1"/>
  <c r="D56" i="4"/>
  <c r="D75" i="4" s="1"/>
  <c r="B57" i="4"/>
  <c r="B58" i="4" s="1"/>
  <c r="B76" i="4" s="1"/>
  <c r="V45" i="33"/>
  <c r="V27" i="33"/>
  <c r="V52" i="33" s="1"/>
  <c r="V22" i="33"/>
  <c r="D57" i="4"/>
  <c r="D58" i="4" s="1"/>
  <c r="D76" i="4" s="1"/>
  <c r="W27" i="33"/>
  <c r="W52" i="33" s="1"/>
  <c r="W22" i="33"/>
  <c r="W45" i="33"/>
  <c r="AE57" i="4"/>
  <c r="AE58" i="4" s="1"/>
  <c r="AE76" i="4" s="1"/>
  <c r="C57" i="4"/>
  <c r="C58" i="4" s="1"/>
  <c r="C76" i="4" s="1"/>
  <c r="U74" i="4"/>
  <c r="U62" i="4"/>
  <c r="T74" i="4"/>
  <c r="T62" i="4"/>
  <c r="AG56" i="4"/>
  <c r="AG75" i="4" s="1"/>
  <c r="AE56" i="4"/>
  <c r="AE75" i="4" s="1"/>
  <c r="C56" i="4"/>
  <c r="C75" i="4" s="1"/>
  <c r="V74" i="4"/>
  <c r="V62" i="4"/>
  <c r="AM74" i="4"/>
  <c r="AL74" i="4"/>
  <c r="Y22" i="33"/>
  <c r="Y45" i="33"/>
  <c r="Y27" i="33"/>
  <c r="Y52" i="33" s="1"/>
  <c r="AF56" i="4"/>
  <c r="AH57" i="4"/>
  <c r="AH58" i="4" s="1"/>
  <c r="AH76" i="4" s="1"/>
  <c r="AG57" i="4"/>
  <c r="AG58" i="4" s="1"/>
  <c r="AG76" i="4" s="1"/>
  <c r="T55" i="4"/>
  <c r="AG79" i="4"/>
  <c r="AF79" i="4"/>
  <c r="AH79" i="4"/>
  <c r="AH80" i="4" s="1"/>
  <c r="AJ45" i="1"/>
  <c r="AF27" i="1"/>
  <c r="AF52" i="1" s="1"/>
  <c r="AF45" i="23"/>
  <c r="AK4" i="4"/>
  <c r="AF45" i="1"/>
  <c r="AJ22" i="1"/>
  <c r="AJ27" i="1"/>
  <c r="AJ52" i="1" s="1"/>
  <c r="AH27" i="1"/>
  <c r="AH52" i="1" s="1"/>
  <c r="AJ22" i="23"/>
  <c r="AH45" i="1"/>
  <c r="S74" i="4"/>
  <c r="AF27" i="23"/>
  <c r="AF52" i="23" s="1"/>
  <c r="AC22" i="23"/>
  <c r="U27" i="1"/>
  <c r="U52" i="1" s="1"/>
  <c r="W27" i="23"/>
  <c r="W52" i="23" s="1"/>
  <c r="W45" i="23"/>
  <c r="C79" i="4"/>
  <c r="D79" i="4"/>
  <c r="L55" i="23"/>
  <c r="D55" i="23"/>
  <c r="H55" i="23"/>
  <c r="K55" i="23"/>
  <c r="J55" i="23"/>
  <c r="M55" i="23"/>
  <c r="G55" i="23"/>
  <c r="E55" i="23"/>
  <c r="I55" i="23"/>
  <c r="AA59" i="23"/>
  <c r="AA60" i="23" s="1"/>
  <c r="AF59" i="23"/>
  <c r="AF60" i="23" s="1"/>
  <c r="R59" i="23"/>
  <c r="R60" i="23" s="1"/>
  <c r="AE79" i="4"/>
  <c r="B79" i="4"/>
  <c r="B64" i="23"/>
  <c r="W61" i="23"/>
  <c r="L59" i="23"/>
  <c r="L60" i="23" s="1"/>
  <c r="F59" i="23"/>
  <c r="AC59" i="23"/>
  <c r="AC60" i="23" s="1"/>
  <c r="AH59" i="23"/>
  <c r="AH60" i="23" s="1"/>
  <c r="X59" i="23"/>
  <c r="X60" i="23" s="1"/>
  <c r="Q59" i="23"/>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X4" i="4"/>
  <c r="AX55" i="4" s="1"/>
  <c r="AF22" i="1"/>
  <c r="AH22" i="23"/>
  <c r="AI45" i="1"/>
  <c r="AI45" i="23"/>
  <c r="AH27" i="23"/>
  <c r="AH52" i="23" s="1"/>
  <c r="S55" i="4"/>
  <c r="AI27" i="23"/>
  <c r="AI52" i="23" s="1"/>
  <c r="R74" i="4"/>
  <c r="R45" i="23"/>
  <c r="AS4" i="4"/>
  <c r="AS62" i="4" s="1"/>
  <c r="AC27" i="1"/>
  <c r="AC52" i="1" s="1"/>
  <c r="AC22" i="1"/>
  <c r="AC45" i="1"/>
  <c r="AI4" i="4"/>
  <c r="AI62" i="4" s="1"/>
  <c r="S45" i="1"/>
  <c r="S27" i="1"/>
  <c r="S52" i="1" s="1"/>
  <c r="S22" i="1"/>
  <c r="AA27" i="23"/>
  <c r="AA52" i="23" s="1"/>
  <c r="AA22" i="23"/>
  <c r="AA45" i="23"/>
  <c r="AA45" i="1"/>
  <c r="AA27" i="1"/>
  <c r="AA52" i="1" s="1"/>
  <c r="W74" i="4"/>
  <c r="W55" i="4"/>
  <c r="AB74" i="4"/>
  <c r="AB55" i="4"/>
  <c r="V55" i="4"/>
  <c r="U55" i="4"/>
  <c r="AC45" i="23"/>
  <c r="R55" i="4"/>
  <c r="U27" i="23"/>
  <c r="U52" i="23" s="1"/>
  <c r="U45" i="23"/>
  <c r="Y27" i="1"/>
  <c r="Y52" i="1" s="1"/>
  <c r="AO4" i="4"/>
  <c r="AO62" i="4" s="1"/>
  <c r="Y45" i="1"/>
  <c r="Y22" i="1"/>
  <c r="S45" i="23"/>
  <c r="S27" i="23"/>
  <c r="S52" i="23" s="1"/>
  <c r="S22" i="23"/>
  <c r="AQ4" i="4"/>
  <c r="Y55" i="4"/>
  <c r="Y74" i="4"/>
  <c r="X74" i="4"/>
  <c r="X55" i="4"/>
  <c r="R45" i="1"/>
  <c r="AH4" i="4"/>
  <c r="AH62" i="4" s="1"/>
  <c r="R27" i="1"/>
  <c r="R52" i="1" s="1"/>
  <c r="R27" i="23"/>
  <c r="R52" i="23" s="1"/>
  <c r="O55" i="4"/>
  <c r="O74" i="4"/>
  <c r="C59" i="23"/>
  <c r="C60" i="23" s="1"/>
  <c r="E59" i="23"/>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W4" i="4"/>
  <c r="AW62" i="4" s="1"/>
  <c r="AG45" i="1"/>
  <c r="AG27" i="1"/>
  <c r="AG52" i="1" s="1"/>
  <c r="AG22" i="1"/>
  <c r="X27" i="1"/>
  <c r="X52" i="1" s="1"/>
  <c r="X22" i="1"/>
  <c r="X45" i="1"/>
  <c r="AN4" i="4"/>
  <c r="AN62" i="4" s="1"/>
  <c r="AB22" i="1"/>
  <c r="AB45" i="1"/>
  <c r="AR4" i="4"/>
  <c r="AR62" i="4" s="1"/>
  <c r="AB27" i="1"/>
  <c r="AB52" i="1" s="1"/>
  <c r="AZ74" i="4"/>
  <c r="AZ55" i="4"/>
  <c r="T27" i="23"/>
  <c r="T52" i="23" s="1"/>
  <c r="T45" i="23"/>
  <c r="T22" i="23"/>
  <c r="AK22" i="23"/>
  <c r="AK27" i="23"/>
  <c r="AK52" i="23" s="1"/>
  <c r="AK45" i="23"/>
  <c r="T27" i="1"/>
  <c r="T52" i="1" s="1"/>
  <c r="T45" i="1"/>
  <c r="AJ4" i="4"/>
  <c r="AJ62" i="4" s="1"/>
  <c r="T22" i="1"/>
  <c r="AA55" i="4"/>
  <c r="AA74" i="4"/>
  <c r="BA4" i="4"/>
  <c r="BA62" i="4" s="1"/>
  <c r="AK22" i="1"/>
  <c r="AK27" i="1"/>
  <c r="AK52" i="1" s="1"/>
  <c r="AK45" i="1"/>
  <c r="AV74" i="4"/>
  <c r="AV55" i="4"/>
  <c r="AC74" i="4"/>
  <c r="AC55" i="4"/>
  <c r="T60" i="1"/>
  <c r="E60" i="23"/>
  <c r="J60" i="1"/>
  <c r="Q60" i="23"/>
  <c r="F60" i="23"/>
  <c r="AJ77" i="4" l="1"/>
  <c r="AL62" i="4"/>
  <c r="AT74" i="4"/>
  <c r="AM55" i="4"/>
  <c r="AU55" i="4"/>
  <c r="AU74" i="4"/>
  <c r="AY74" i="4"/>
  <c r="AT62" i="4"/>
  <c r="AY55" i="4"/>
  <c r="B80" i="4"/>
  <c r="AF75" i="4"/>
  <c r="AE81" i="4"/>
  <c r="AX74" i="4"/>
  <c r="AX62" i="4"/>
  <c r="AQ74" i="4"/>
  <c r="AQ62" i="4"/>
  <c r="AK74" i="4"/>
  <c r="AK62" i="4"/>
  <c r="R61" i="23"/>
  <c r="AF61" i="23"/>
  <c r="AA61" i="23"/>
  <c r="AK55" i="4"/>
  <c r="BA77" i="4"/>
  <c r="AR77" i="4"/>
  <c r="AX77" i="4"/>
  <c r="AM77" i="4"/>
  <c r="AL77" i="4"/>
  <c r="AK77" i="4"/>
  <c r="AP77" i="4"/>
  <c r="AN77" i="4"/>
  <c r="AE77" i="4"/>
  <c r="AQ77" i="4"/>
  <c r="AS77" i="4"/>
  <c r="AI77" i="4"/>
  <c r="AT77" i="4"/>
  <c r="AO77" i="4"/>
  <c r="AG77" i="4"/>
  <c r="AZ77" i="4"/>
  <c r="AY77" i="4"/>
  <c r="AH77" i="4"/>
  <c r="AV77" i="4"/>
  <c r="AW77" i="4"/>
  <c r="AU77" i="4"/>
  <c r="BA81" i="4"/>
  <c r="BA82" i="4" s="1"/>
  <c r="AM81" i="4"/>
  <c r="AM82" i="4" s="1"/>
  <c r="AO81" i="4"/>
  <c r="AO82" i="4" s="1"/>
  <c r="AJ81" i="4"/>
  <c r="AW81" i="4"/>
  <c r="AW82" i="4" s="1"/>
  <c r="AQ81" i="4"/>
  <c r="AQ82" i="4" s="1"/>
  <c r="AV81" i="4"/>
  <c r="AV82" i="4" s="1"/>
  <c r="AX81" i="4"/>
  <c r="AX82" i="4" s="1"/>
  <c r="AZ81" i="4"/>
  <c r="AZ82" i="4" s="1"/>
  <c r="AT81" i="4"/>
  <c r="AT82" i="4" s="1"/>
  <c r="AK81" i="4"/>
  <c r="AY81" i="4"/>
  <c r="AY82" i="4" s="1"/>
  <c r="AS81" i="4"/>
  <c r="AS82" i="4" s="1"/>
  <c r="AU81" i="4"/>
  <c r="AU82" i="4" s="1"/>
  <c r="AF81" i="4"/>
  <c r="AF82" i="4" s="1"/>
  <c r="AL81" i="4"/>
  <c r="AR81" i="4"/>
  <c r="AR82" i="4" s="1"/>
  <c r="AI81" i="4"/>
  <c r="AN81" i="4"/>
  <c r="AN82" i="4" s="1"/>
  <c r="AP81" i="4"/>
  <c r="AP82" i="4" s="1"/>
  <c r="AG81" i="4"/>
  <c r="AH81" i="4"/>
  <c r="B86" i="4"/>
  <c r="B87" i="4"/>
  <c r="B75" i="4"/>
  <c r="AE94" i="4" s="1"/>
  <c r="N81" i="4"/>
  <c r="N82" i="4" s="1"/>
  <c r="AC81" i="4"/>
  <c r="AC82" i="4" s="1"/>
  <c r="M81" i="4"/>
  <c r="X81" i="4"/>
  <c r="X82" i="4" s="1"/>
  <c r="S81" i="4"/>
  <c r="S82" i="4" s="1"/>
  <c r="Q81" i="4"/>
  <c r="Q82" i="4" s="1"/>
  <c r="AB81" i="4"/>
  <c r="AB82" i="4" s="1"/>
  <c r="Z81" i="4"/>
  <c r="Z82" i="4" s="1"/>
  <c r="J81" i="4"/>
  <c r="Y81" i="4"/>
  <c r="Y82" i="4" s="1"/>
  <c r="T81" i="4"/>
  <c r="T82" i="4" s="1"/>
  <c r="O81" i="4"/>
  <c r="O82" i="4" s="1"/>
  <c r="R81" i="4"/>
  <c r="R82" i="4" s="1"/>
  <c r="W81" i="4"/>
  <c r="W82" i="4" s="1"/>
  <c r="V81" i="4"/>
  <c r="V82" i="4" s="1"/>
  <c r="U81" i="4"/>
  <c r="U82" i="4" s="1"/>
  <c r="P81" i="4"/>
  <c r="P82" i="4" s="1"/>
  <c r="AA81" i="4"/>
  <c r="AA82" i="4" s="1"/>
  <c r="K81" i="4"/>
  <c r="L81" i="4"/>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AQ55" i="4"/>
  <c r="AO55" i="4"/>
  <c r="AO74" i="4"/>
  <c r="AI55" i="4"/>
  <c r="AI74" i="4"/>
  <c r="AS55" i="4"/>
  <c r="AS74" i="4"/>
  <c r="AH55" i="4"/>
  <c r="AH74" i="4"/>
  <c r="O61" i="1"/>
  <c r="Q61" i="1"/>
  <c r="P61" i="1"/>
  <c r="C61" i="1"/>
  <c r="R61" i="1"/>
  <c r="AN55" i="4"/>
  <c r="AN74" i="4"/>
  <c r="AW55" i="4"/>
  <c r="AW74" i="4"/>
  <c r="AR74" i="4"/>
  <c r="AR55" i="4"/>
  <c r="AJ55" i="4"/>
  <c r="AJ74" i="4"/>
  <c r="BA74" i="4"/>
  <c r="BA55" i="4"/>
  <c r="L94" i="4" l="1"/>
  <c r="D94" i="4"/>
  <c r="AF77" i="4"/>
  <c r="AF94" i="4"/>
  <c r="R77" i="4"/>
  <c r="AD94" i="4"/>
  <c r="B94" i="4"/>
  <c r="AB94" i="4"/>
  <c r="N94" i="4"/>
  <c r="K94" i="4"/>
  <c r="AW94" i="4"/>
  <c r="H94" i="4"/>
  <c r="AX94" i="4"/>
  <c r="AY94" i="4"/>
  <c r="W94" i="4"/>
  <c r="S94" i="4"/>
  <c r="BA94" i="4"/>
  <c r="AM94" i="4"/>
  <c r="AA94" i="4"/>
  <c r="AP94" i="4"/>
  <c r="P94" i="4"/>
  <c r="X94" i="4"/>
  <c r="AI94" i="4"/>
  <c r="M94" i="4"/>
  <c r="AU94" i="4"/>
  <c r="AJ94" i="4"/>
  <c r="R94" i="4"/>
  <c r="AZ94" i="4"/>
  <c r="AC94" i="4"/>
  <c r="AL94" i="4"/>
  <c r="AO94" i="4"/>
  <c r="AV94" i="4"/>
  <c r="T94" i="4"/>
  <c r="AN94" i="4"/>
  <c r="U94" i="4"/>
  <c r="Y94" i="4"/>
  <c r="AS94" i="4"/>
  <c r="AT94" i="4"/>
  <c r="Z94" i="4"/>
  <c r="J94" i="4"/>
  <c r="AR94" i="4"/>
  <c r="V94" i="4"/>
  <c r="AK94" i="4"/>
  <c r="O94" i="4"/>
  <c r="AQ94" i="4"/>
  <c r="Q94" i="4"/>
  <c r="G94" i="4"/>
  <c r="F94" i="4"/>
  <c r="C94" i="4"/>
  <c r="AH94" i="4"/>
  <c r="I94" i="4"/>
  <c r="AG94" i="4"/>
  <c r="E94" i="4"/>
  <c r="I81" i="4"/>
  <c r="F81" i="4"/>
  <c r="G81" i="4"/>
  <c r="H81" i="4"/>
  <c r="D81" i="4"/>
  <c r="E81" i="4"/>
  <c r="C81" i="4"/>
  <c r="K77" i="4"/>
  <c r="V77" i="4"/>
  <c r="J77" i="4"/>
  <c r="AB77" i="4"/>
  <c r="AA77" i="4"/>
  <c r="G77" i="4"/>
  <c r="T77" i="4"/>
  <c r="AC77" i="4"/>
  <c r="N77" i="4"/>
  <c r="P77" i="4"/>
  <c r="F77" i="4"/>
  <c r="L77" i="4"/>
  <c r="U77" i="4"/>
  <c r="B77" i="4"/>
  <c r="W77" i="4"/>
  <c r="M77" i="4"/>
  <c r="Q77" i="4"/>
  <c r="S77" i="4"/>
  <c r="Y77" i="4"/>
  <c r="O77" i="4"/>
  <c r="I77" i="4"/>
  <c r="X77" i="4"/>
  <c r="Z77" i="4"/>
  <c r="H77" i="4"/>
  <c r="D77" i="4"/>
  <c r="C77" i="4"/>
  <c r="E77" i="4"/>
  <c r="AA83" i="4"/>
  <c r="O83" i="4"/>
  <c r="Z83" i="4"/>
  <c r="AR83" i="4"/>
  <c r="AZ83" i="4"/>
  <c r="AW83" i="4"/>
  <c r="L83" i="4"/>
  <c r="V83" i="4"/>
  <c r="AL83" i="4"/>
  <c r="AY83" i="4"/>
  <c r="AJ83" i="4"/>
  <c r="W83" i="4"/>
  <c r="Y83" i="4"/>
  <c r="AB83" i="4"/>
  <c r="M83" i="4"/>
  <c r="AN83" i="4"/>
  <c r="AF83" i="4"/>
  <c r="AK83" i="4"/>
  <c r="AV83" i="4"/>
  <c r="AO83" i="4"/>
  <c r="N83" i="4"/>
  <c r="AG83" i="4"/>
  <c r="AS83" i="4"/>
  <c r="BA83" i="4"/>
  <c r="P83" i="4"/>
  <c r="T83" i="4"/>
  <c r="X83" i="4"/>
  <c r="AP83" i="4"/>
  <c r="AX83" i="4"/>
  <c r="K83" i="4"/>
  <c r="U83" i="4"/>
  <c r="R83" i="4"/>
  <c r="J83" i="4"/>
  <c r="Q83" i="4"/>
  <c r="S83" i="4"/>
  <c r="AC83" i="4"/>
  <c r="AH83" i="4"/>
  <c r="AI83" i="4"/>
  <c r="AU83" i="4"/>
  <c r="AT83" i="4"/>
  <c r="AQ83" i="4"/>
  <c r="AM83" i="4"/>
  <c r="O61" i="23"/>
  <c r="D83" i="4" l="1"/>
  <c r="F83" i="4"/>
  <c r="I83" i="4"/>
  <c r="E83" i="4"/>
  <c r="C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<sst xmlns="http://schemas.openxmlformats.org/spreadsheetml/2006/main" count="258" uniqueCount="78">
  <si>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</si>
  <si>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</si>
  <si>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</si>
  <si>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</si>
  <si>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</si>
  <si>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</si>
  <si>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</si>
  <si>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</si>
  <si>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</si>
  <si>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</si>
  <si>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</si>
  <si>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</si>
  <si>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</si>
  <si>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</si>
  <si>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</si>
  <si>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</si>
  <si>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</si>
  <si>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</si>
  <si>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</si>
  <si>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</si>
  <si>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</si>
  <si>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</si>
  <si>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</si>
  <si>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</si>
  <si>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</si>
  <si>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</si>
  <si>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</si>
  <si>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</si>
  <si>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</si>
  <si>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</si>
  <si>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</si>
  <si>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</si>
  <si>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</si>
  <si>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</si>
  <si>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</si>
  <si>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</si>
  <si>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</si>
  <si>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</si>
  <si>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</si>
  <si>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</si>
  <si>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</si>
  <si>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</si>
  <si>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</si>
  <si>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</si>
  <si>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</si>
  <si>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</si>
  <si>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</si>
  <si>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</si>
  <si>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</si>
  <si>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</si>
  <si>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</si>
  <si>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</si>
  <si>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</si>
  <si>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</si>
  <si>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</si>
  <si>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</si>
  <si>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</si>
  <si>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</si>
  <si>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</si>
  <si>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</si>
  <si>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</si>
  <si>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</si>
  <si>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</si>
  <si>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</si>
  <si>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</si>
  <si>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</si>
  <si>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</si>
  <si>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</si>
  <si>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BPA_01</t>
  </si>
  <si>
    <t>Date performed : 05-08-2021</t>
  </si>
  <si>
    <t>BPA</t>
  </si>
  <si>
    <t>BPA_02</t>
  </si>
  <si>
    <t>Date performed : 19-08-2021</t>
  </si>
  <si>
    <t>BPA_03</t>
  </si>
  <si>
    <t>&gt;0,9999</t>
  </si>
  <si>
    <t>&lt;0,0001</t>
  </si>
  <si>
    <t>***</t>
  </si>
  <si>
    <t>Date performed : 01-09-2021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</si>
</sst>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8"/>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6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6" borderId="23" xfId="0" applyFill="1" applyBorder="1"/>
    <xf numFmtId="0" fontId="0" fillId="6" borderId="16"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0" fontId="1" fillId="0" borderId="6" xfId="0" applyFont="1" applyBorder="1"/>
    <xf numFmtId="0" fontId="0" fillId="0" borderId="5"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3" borderId="3" xfId="0" applyFont="1" applyFill="1" applyBorder="1" applyAlignment="1">
      <alignment vertical="center"/>
    </xf>
    <xf numFmtId="164" fontId="7" fillId="11" borderId="6"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0" xfId="0" applyNumberFormat="1" applyFill="1" applyBorder="1" applyAlignment="1">
      <alignment horizontal="center"/>
    </xf>
    <xf numFmtId="164" fontId="0" fillId="6" borderId="15" xfId="0" applyNumberFormat="1" applyFill="1" applyBorder="1" applyAlignment="1">
      <alignment horizontal="center"/>
    </xf>
    <xf numFmtId="164" fontId="0" fillId="6" borderId="3" xfId="0" applyNumberFormat="1" applyFill="1" applyBorder="1" applyAlignment="1">
      <alignment horizontal="center"/>
    </xf>
    <xf numFmtId="164" fontId="0" fillId="6" borderId="17"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12" fillId="0" borderId="0" xfId="0" applyFont="1"/>
    <xf numFmtId="0" fontId="3" fillId="0" borderId="9" xfId="0" applyFont="1" applyBorder="1" applyAlignment="1">
      <alignment vertical="center"/>
    </xf>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0" fontId="7" fillId="11" borderId="5"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164" fontId="7" fillId="11"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164" fontId="7" fillId="11" borderId="5"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haredStrings" Target="sharedString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chartsheet" Target="chartsheets/sheet2.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7.2767164367698214E-2</c:v>
                  </c:pt>
                  <c:pt idx="2">
                    <c:v>0.16852248375572595</c:v>
                  </c:pt>
                  <c:pt idx="3">
                    <c:v>3.4158381068134368E-2</c:v>
                  </c:pt>
                  <c:pt idx="4">
                    <c:v>7.221928255828651E-2</c:v>
                  </c:pt>
                  <c:pt idx="5">
                    <c:v>8.2665937985300725E-2</c:v>
                  </c:pt>
                  <c:pt idx="6">
                    <c:v>5.0219232901466314E-2</c:v>
                  </c:pt>
                  <c:pt idx="7">
                    <c:v>0.13812444247963104</c:v>
                  </c:pt>
                  <c:pt idx="8">
                    <c:v>7.1502794087191707E-2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7.2767164367698214E-2</c:v>
                  </c:pt>
                  <c:pt idx="2">
                    <c:v>0.16852248375572595</c:v>
                  </c:pt>
                  <c:pt idx="3">
                    <c:v>3.4158381068134368E-2</c:v>
                  </c:pt>
                  <c:pt idx="4">
                    <c:v>7.221928255828651E-2</c:v>
                  </c:pt>
                  <c:pt idx="5">
                    <c:v>8.2665937985300725E-2</c:v>
                  </c:pt>
                  <c:pt idx="6">
                    <c:v>5.0219232901466314E-2</c:v>
                  </c:pt>
                  <c:pt idx="7">
                    <c:v>0.13812444247963104</c:v>
                  </c:pt>
                  <c:pt idx="8">
                    <c:v>7.1502794087191707E-2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Solvent control</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4.3510625107598004E-2</c:v>
                </c:pt>
                <c:pt idx="1">
                  <c:v>5.7849592041895645E-2</c:v>
                </c:pt>
                <c:pt idx="2">
                  <c:v>8.4180216953252743E-2</c:v>
                </c:pt>
                <c:pt idx="3">
                  <c:v>0.27136283072169382</c:v>
                </c:pt>
                <c:pt idx="4">
                  <c:v>0.6146693652765971</c:v>
                </c:pt>
                <c:pt idx="5">
                  <c:v>0.98385115661719913</c:v>
                </c:pt>
                <c:pt idx="6">
                  <c:v>1.3378108969012668</c:v>
                </c:pt>
                <c:pt idx="7">
                  <c:v>5.8478263833678427E-2</c:v>
                </c:pt>
                <c:pt idx="8">
                  <c:v>3.8770514980763934E-2</c:v>
                </c:pt>
                <c:pt idx="9">
                  <c:v>4.1299792787432732E-2</c:v>
                </c:pt>
                <c:pt idx="10">
                  <c:v>3.7755732815189354E-2</c:v>
                </c:pt>
                <c:pt idx="11">
                  <c:v>0.19314789161435802</c:v>
                </c:pt>
                <c:pt idx="13">
                  <c:v>1</c:v>
                </c:pt>
                <c:pt idx="14">
                  <c:v>1.0385354718835826</c:v>
                </c:pt>
                <c:pt idx="15">
                  <c:v>8.7363779814124173E-2</c:v>
                </c:pt>
                <c:pt idx="16">
                  <c:v>1.1776065030671563</c:v>
                </c:pt>
                <c:pt idx="17">
                  <c:v>0.89546335602294591</c:v>
                </c:pt>
                <c:pt idx="18">
                  <c:v>0.94296703777013247</c:v>
                </c:pt>
                <c:pt idx="19">
                  <c:v>0.88424576651638098</c:v>
                </c:pt>
                <c:pt idx="20">
                  <c:v>1.3875847292455163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3.0468000334185094E-3</c:v>
                  </c:pt>
                  <c:pt idx="1">
                    <c:v>3.8018140352204877E-3</c:v>
                  </c:pt>
                  <c:pt idx="2">
                    <c:v>9.115542310482365E-4</c:v>
                  </c:pt>
                  <c:pt idx="3">
                    <c:v>0.2665472680026626</c:v>
                  </c:pt>
                  <c:pt idx="4">
                    <c:v>0.22909344302730225</c:v>
                  </c:pt>
                  <c:pt idx="5">
                    <c:v>0.16477747192901218</c:v>
                  </c:pt>
                  <c:pt idx="6">
                    <c:v>0.14025452531216995</c:v>
                  </c:pt>
                  <c:pt idx="7">
                    <c:v>3.9387421195783753E-3</c:v>
                  </c:pt>
                  <c:pt idx="8">
                    <c:v>9.092541323823207E-3</c:v>
                  </c:pt>
                  <c:pt idx="9">
                    <c:v>1.5755804742268644E-2</c:v>
                  </c:pt>
                  <c:pt idx="10">
                    <c:v>2.1826688701471293E-3</c:v>
                  </c:pt>
                  <c:pt idx="11">
                    <c:v>1.335786328163311E-2</c:v>
                  </c:pt>
                  <c:pt idx="13">
                    <c:v>0.19084354782871282</c:v>
                  </c:pt>
                  <c:pt idx="14">
                    <c:v>0.17060272834780957</c:v>
                  </c:pt>
                  <c:pt idx="15">
                    <c:v>9.3248624707869252E-4</c:v>
                  </c:pt>
                  <c:pt idx="16">
                    <c:v>0.29980831862098706</c:v>
                  </c:pt>
                  <c:pt idx="17">
                    <c:v>0.2574866351137855</c:v>
                  </c:pt>
                  <c:pt idx="18">
                    <c:v>0.18221031750901129</c:v>
                  </c:pt>
                  <c:pt idx="19">
                    <c:v>0.15062128918673368</c:v>
                  </c:pt>
                  <c:pt idx="20">
                    <c:v>0.29908639539605897</c:v>
                  </c:pt>
                  <c:pt idx="21">
                    <c:v>0</c:v>
                  </c:pt>
                  <c:pt idx="22">
                    <c:v>0</c:v>
                  </c:pt>
                </c:numCache>
              </c:numRef>
            </c:plus>
            <c:minus>
              <c:numRef>
                <c:f>'R1'!$N$48:$AK$48</c:f>
                <c:numCache>
                  <c:formatCode>General</c:formatCode>
                  <c:ptCount val="24"/>
                  <c:pt idx="0">
                    <c:v>0</c:v>
                  </c:pt>
                  <c:pt idx="1">
                    <c:v>7.2767164367698214E-2</c:v>
                  </c:pt>
                  <c:pt idx="2">
                    <c:v>0.16852248375572595</c:v>
                  </c:pt>
                  <c:pt idx="3">
                    <c:v>3.4158381068134368E-2</c:v>
                  </c:pt>
                  <c:pt idx="4">
                    <c:v>7.221928255828651E-2</c:v>
                  </c:pt>
                  <c:pt idx="5">
                    <c:v>8.2665937985300725E-2</c:v>
                  </c:pt>
                  <c:pt idx="6">
                    <c:v>5.0219232901466314E-2</c:v>
                  </c:pt>
                  <c:pt idx="7">
                    <c:v>0.13812444247963104</c:v>
                  </c:pt>
                  <c:pt idx="8">
                    <c:v>7.1502794087191707E-2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Solvent control</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6.5212488484606007E-3</c:v>
                </c:pt>
                <c:pt idx="1">
                  <c:v>5.7478221093016351E-3</c:v>
                </c:pt>
                <c:pt idx="2">
                  <c:v>1.7953184109966757E-3</c:v>
                </c:pt>
                <c:pt idx="3">
                  <c:v>0.2688709116369507</c:v>
                </c:pt>
                <c:pt idx="4">
                  <c:v>0.55585810231403676</c:v>
                </c:pt>
                <c:pt idx="5">
                  <c:v>1.312506450531906</c:v>
                </c:pt>
                <c:pt idx="6">
                  <c:v>2.8850091549771353</c:v>
                </c:pt>
                <c:pt idx="7">
                  <c:v>5.3986970244094493E-3</c:v>
                </c:pt>
                <c:pt idx="8">
                  <c:v>1.0505607025314117E-2</c:v>
                </c:pt>
                <c:pt idx="9">
                  <c:v>3.2624082750290197E-2</c:v>
                </c:pt>
                <c:pt idx="10">
                  <c:v>2.1826688701471293E-3</c:v>
                </c:pt>
                <c:pt idx="11">
                  <c:v>2.4566173856647201E-2</c:v>
                </c:pt>
                <c:pt idx="13">
                  <c:v>1</c:v>
                </c:pt>
                <c:pt idx="14">
                  <c:v>2.3485211239789043</c:v>
                </c:pt>
                <c:pt idx="15">
                  <c:v>1.0448268963926715E-3</c:v>
                </c:pt>
                <c:pt idx="16">
                  <c:v>1.2315425594946094</c:v>
                </c:pt>
                <c:pt idx="17">
                  <c:v>1.0195828592325109</c:v>
                </c:pt>
                <c:pt idx="18">
                  <c:v>1.5049533714143004</c:v>
                </c:pt>
                <c:pt idx="19">
                  <c:v>2.0080349736690879</c:v>
                </c:pt>
                <c:pt idx="20">
                  <c:v>2.1353458568153934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1.6935687069340545E-2</c:v>
                  </c:pt>
                  <c:pt idx="1">
                    <c:v>8.2539471477228194E-3</c:v>
                  </c:pt>
                  <c:pt idx="2">
                    <c:v>1.1634757970040922E-2</c:v>
                  </c:pt>
                  <c:pt idx="3">
                    <c:v>0.12011993618760168</c:v>
                  </c:pt>
                  <c:pt idx="4">
                    <c:v>0.11046157199086734</c:v>
                  </c:pt>
                  <c:pt idx="5">
                    <c:v>0.21671168144064465</c:v>
                  </c:pt>
                  <c:pt idx="6">
                    <c:v>0.17056219209561008</c:v>
                  </c:pt>
                  <c:pt idx="7">
                    <c:v>1.4477762439766961E-2</c:v>
                  </c:pt>
                  <c:pt idx="8">
                    <c:v>1.8222050854827126E-3</c:v>
                  </c:pt>
                  <c:pt idx="9">
                    <c:v>2.2141498291560896E-2</c:v>
                  </c:pt>
                  <c:pt idx="10">
                    <c:v>1.4035863121149633E-2</c:v>
                  </c:pt>
                  <c:pt idx="11">
                    <c:v>7.2637724150142208E-3</c:v>
                  </c:pt>
                  <c:pt idx="13">
                    <c:v>0.15016793290692448</c:v>
                  </c:pt>
                  <c:pt idx="14">
                    <c:v>0.20026885342058379</c:v>
                  </c:pt>
                  <c:pt idx="15">
                    <c:v>1.5610285292358035E-2</c:v>
                  </c:pt>
                  <c:pt idx="16">
                    <c:v>0.2859860969268187</c:v>
                  </c:pt>
                  <c:pt idx="17">
                    <c:v>0.13748292183211769</c:v>
                  </c:pt>
                  <c:pt idx="18">
                    <c:v>0.20281958479909498</c:v>
                  </c:pt>
                  <c:pt idx="19">
                    <c:v>0.1311487536803799</c:v>
                  </c:pt>
                  <c:pt idx="20">
                    <c:v>0.1677254943987703</c:v>
                  </c:pt>
                  <c:pt idx="21">
                    <c:v>0</c:v>
                  </c:pt>
                  <c:pt idx="22">
                    <c:v>0</c:v>
                  </c:pt>
                </c:numCache>
              </c:numRef>
            </c:plus>
            <c:minus>
              <c:numRef>
                <c:f>'R1'!$N$48:$AK$48</c:f>
                <c:numCache>
                  <c:formatCode>General</c:formatCode>
                  <c:ptCount val="24"/>
                  <c:pt idx="0">
                    <c:v>0</c:v>
                  </c:pt>
                  <c:pt idx="1">
                    <c:v>7.2767164367698214E-2</c:v>
                  </c:pt>
                  <c:pt idx="2">
                    <c:v>0.16852248375572595</c:v>
                  </c:pt>
                  <c:pt idx="3">
                    <c:v>3.4158381068134368E-2</c:v>
                  </c:pt>
                  <c:pt idx="4">
                    <c:v>7.221928255828651E-2</c:v>
                  </c:pt>
                  <c:pt idx="5">
                    <c:v>8.2665937985300725E-2</c:v>
                  </c:pt>
                  <c:pt idx="6">
                    <c:v>5.0219232901466314E-2</c:v>
                  </c:pt>
                  <c:pt idx="7">
                    <c:v>0.13812444247963104</c:v>
                  </c:pt>
                  <c:pt idx="8">
                    <c:v>7.1502794087191707E-2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Solvent control</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3">
                  <c:v>Testo -30µg/L</c:v>
                </c:pt>
                <c:pt idx="14">
                  <c:v>Testo 30µg/L + EE2 -64ng/L</c:v>
                </c:pt>
                <c:pt idx="15">
                  <c:v>Testo 30µg/L + FAD-10mg/L</c:v>
                </c:pt>
                <c:pt idx="16">
                  <c:v>BPA-1mg/L + Testostérone</c:v>
                </c:pt>
                <c:pt idx="17">
                  <c:v>BPA-2mg/L + Testostérone</c:v>
                </c:pt>
                <c:pt idx="18">
                  <c:v>BPA-3mg/L + Testostérone</c:v>
                </c:pt>
                <c:pt idx="19">
                  <c:v>BPA-4mg/L + Testostérone</c:v>
                </c:pt>
                <c:pt idx="20">
                  <c:v>BPA-5mg/L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2.6676704190034144E-2</c:v>
                </c:pt>
                <c:pt idx="1">
                  <c:v>9.6533534083800675E-3</c:v>
                </c:pt>
                <c:pt idx="2">
                  <c:v>1.4565601804587835E-2</c:v>
                </c:pt>
                <c:pt idx="3">
                  <c:v>0.1670673552118847</c:v>
                </c:pt>
                <c:pt idx="4">
                  <c:v>0.27806250524668208</c:v>
                </c:pt>
                <c:pt idx="5">
                  <c:v>0.67732268922581984</c:v>
                </c:pt>
                <c:pt idx="6">
                  <c:v>2.2793070859318512</c:v>
                </c:pt>
                <c:pt idx="7">
                  <c:v>2.3817093216277035E-2</c:v>
                </c:pt>
                <c:pt idx="8">
                  <c:v>3.6373385037410536E-3</c:v>
                </c:pt>
                <c:pt idx="9">
                  <c:v>2.8904817740419898E-2</c:v>
                </c:pt>
                <c:pt idx="10">
                  <c:v>1.6459010888727012E-2</c:v>
                </c:pt>
                <c:pt idx="11">
                  <c:v>8.4336860006336643E-3</c:v>
                </c:pt>
                <c:pt idx="13">
                  <c:v>1</c:v>
                </c:pt>
                <c:pt idx="14">
                  <c:v>1.4205180096217003</c:v>
                </c:pt>
                <c:pt idx="15">
                  <c:v>3.2204202219989653E-2</c:v>
                </c:pt>
                <c:pt idx="16">
                  <c:v>1.0291111646686399</c:v>
                </c:pt>
                <c:pt idx="17">
                  <c:v>1.0367064647246946</c:v>
                </c:pt>
                <c:pt idx="18">
                  <c:v>0.88654222665124938</c:v>
                </c:pt>
                <c:pt idx="19">
                  <c:v>1.7158770692237075</c:v>
                </c:pt>
                <c:pt idx="20">
                  <c:v>2.0436177328375953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B12D22F-9DDF-4E9E-A19E-15D2C6385D1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3DFDFFFD-9CE2-4344-9871-9A34F1AF00B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14D7A785-169A-4BB2-9BD1-53473F67E5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7656B4FB-FB13-4E5D-98D5-90A2C2C4F2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10D291F6-21F6-41AE-9047-67E2FC9F8B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1F7AAC98-8F97-4A30-BD8B-9E11488B86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895ABD7B-8269-456B-8B15-F874F0A6DF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FB01D54-DC37-4A2F-B329-0AB6DA2D82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1E66A4D6-B9D2-4CC4-8F2B-209058451C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3AEABB73-ED7A-4B60-9BEA-97FA33C795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4A54C1EB-F9CC-4480-93F0-91950D0174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3449DE5B-1144-4CBE-9AE2-55578F8B407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fld id="{3D4ED10F-42C1-4DAE-8CCA-3ADEE4CAA7F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33C-4530-84A9-991A3866ABD4}"/>
                </c:ext>
              </c:extLst>
            </c:dLbl>
            <c:dLbl>
              <c:idx val="13"/>
              <c:tx>
                <c:rich>
                  <a:bodyPr/>
                  <a:lstStyle/>
                  <a:p>
                    <a:fld id="{550BB60C-953B-4241-A146-C4F591D1AB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339B25A9-BF1B-4ED4-BC7B-FEE5E24173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70A421D6-8C8F-454A-8124-8A47208EE5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559CAAFF-0520-4725-A430-9163F81D6F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FA7C3F5A-A74F-496F-905B-E2306A48482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BE2BE990-FC71-45FC-B6D8-88DF86BC25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1FFE3BA0-6A8C-4440-98CC-6CC67C993C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3E42A08E-5DB2-403E-97C9-9F8084FE00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1"/>
              <c:tx>
                <c:rich>
                  <a:bodyPr/>
                  <a:lstStyle/>
                  <a:p>
                    <a:fld id="{7FD7EC0D-7669-4E2B-99BF-D68914DB4E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33C-4530-84A9-991A3866ABD4}"/>
                </c:ext>
              </c:extLst>
            </c:dLbl>
            <c:dLbl>
              <c:idx val="22"/>
              <c:tx>
                <c:rich>
                  <a:bodyPr/>
                  <a:lstStyle/>
                  <a:p>
                    <a:fld id="{D4CD1108-4303-4F7C-A78D-9E37262164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33C-4530-84A9-991A3866ABD4}"/>
                </c:ext>
              </c:extLst>
            </c:dLbl>
            <c:dLbl>
              <c:idx val="23"/>
              <c:tx>
                <c:rich>
                  <a:bodyPr/>
                  <a:lstStyle/>
                  <a:p>
                    <a:fld id="{FC621DF6-0EE1-47E5-940E-9209D7889C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A435-467A-9CEB-6115478B7183}"/>
                </c:ext>
              </c:extLst>
            </c:dLbl>
            <c:dLbl>
              <c:idx val="24"/>
              <c:tx>
                <c:rich>
                  <a:bodyPr/>
                  <a:lstStyle/>
                  <a:p>
                    <a:fld id="{098205FE-1D70-4041-A403-3F6CB8D9779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A435-467A-9CEB-6115478B7183}"/>
                </c:ext>
              </c:extLst>
            </c:dLbl>
            <c:dLbl>
              <c:idx val="25"/>
              <c:tx>
                <c:rich>
                  <a:bodyPr/>
                  <a:lstStyle/>
                  <a:p>
                    <a:fld id="{ED94E135-5FD4-4B24-ACF4-43C703FC2D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A435-467A-9CEB-6115478B7183}"/>
                </c:ext>
              </c:extLst>
            </c:dLbl>
            <c:dLbl>
              <c:idx val="26"/>
              <c:tx>
                <c:rich>
                  <a:bodyPr/>
                  <a:lstStyle/>
                  <a:p>
                    <a:fld id="{5FA8C17A-D460-4932-91E2-6C706780F4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A435-467A-9CEB-6115478B7183}"/>
                </c:ext>
              </c:extLst>
            </c:dLbl>
            <c:dLbl>
              <c:idx val="27"/>
              <c:tx>
                <c:rich>
                  <a:bodyPr/>
                  <a:lstStyle/>
                  <a:p>
                    <a:fld id="{B73F02C9-F4EB-4795-A74B-ABD41B6D75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A435-467A-9CEB-6115478B7183}"/>
                </c:ext>
              </c:extLst>
            </c:dLbl>
            <c:dLbl>
              <c:idx val="28"/>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A435-467A-9CEB-6115478B7183}"/>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dLbl>
              <c:idx val="30"/>
              <c:tx>
                <c:rich>
                  <a:bodyPr/>
                  <a:lstStyle/>
                  <a:p>
                    <a:fld id="{C4D8398F-4F2D-48F7-BB93-03D7753105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A435-467A-9CEB-6115478B7183}"/>
                </c:ext>
              </c:extLst>
            </c:dLbl>
            <c:dLbl>
              <c:idx val="31"/>
              <c:tx>
                <c:rich>
                  <a:bodyPr/>
                  <a:lstStyle/>
                  <a:p>
                    <a:fld id="{4C563B08-214E-4C4F-9063-59F7459EB0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A435-467A-9CEB-6115478B7183}"/>
                </c:ext>
              </c:extLst>
            </c:dLbl>
            <c:dLbl>
              <c:idx val="32"/>
              <c:tx>
                <c:rich>
                  <a:bodyPr/>
                  <a:lstStyle/>
                  <a:p>
                    <a:fld id="{2BB2C821-7A08-449C-AB78-3E2286564D6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A435-467A-9CEB-6115478B7183}"/>
                </c:ext>
              </c:extLst>
            </c:dLbl>
            <c:dLbl>
              <c:idx val="33"/>
              <c:tx>
                <c:rich>
                  <a:bodyPr/>
                  <a:lstStyle/>
                  <a:p>
                    <a:fld id="{8B6EA258-AD38-4E87-A54A-61DD3FF2778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A435-467A-9CEB-6115478B7183}"/>
                </c:ext>
              </c:extLst>
            </c:dLbl>
            <c:dLbl>
              <c:idx val="34"/>
              <c:tx>
                <c:rich>
                  <a:bodyPr/>
                  <a:lstStyle/>
                  <a:p>
                    <a:fld id="{0A73EB4E-6F05-49B0-AE19-DAABFB1F17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A435-467A-9CEB-6115478B7183}"/>
                </c:ext>
              </c:extLst>
            </c:dLbl>
            <c:dLbl>
              <c:idx val="35"/>
              <c:tx>
                <c:rich>
                  <a:bodyPr/>
                  <a:lstStyle/>
                  <a:p>
                    <a:fld id="{F19B82F1-1B20-489C-B60D-CC4FC2C3F26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A435-467A-9CEB-6115478B7183}"/>
                </c:ext>
              </c:extLst>
            </c:dLbl>
            <c:dLbl>
              <c:idx val="36"/>
              <c:tx>
                <c:rich>
                  <a:bodyPr/>
                  <a:lstStyle/>
                  <a:p>
                    <a:fld id="{DCD6B84E-0523-4E93-BD5B-D2BAA54EA3D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A435-467A-9CEB-6115478B7183}"/>
                </c:ext>
              </c:extLst>
            </c:dLbl>
            <c:dLbl>
              <c:idx val="37"/>
              <c:tx>
                <c:rich>
                  <a:bodyPr/>
                  <a:lstStyle/>
                  <a:p>
                    <a:fld id="{EB1763EE-1491-47A8-AB80-F0FDBC62B8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A435-467A-9CEB-6115478B7183}"/>
                </c:ext>
              </c:extLst>
            </c:dLbl>
            <c:dLbl>
              <c:idx val="38"/>
              <c:tx>
                <c:rich>
                  <a:bodyPr/>
                  <a:lstStyle/>
                  <a:p>
                    <a:fld id="{7A1446D2-9571-4408-BEB9-2D6B80136EE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A435-467A-9CEB-6115478B7183}"/>
                </c:ext>
              </c:extLst>
            </c:dLbl>
            <c:dLbl>
              <c:idx val="39"/>
              <c:tx>
                <c:rich>
                  <a:bodyPr/>
                  <a:lstStyle/>
                  <a:p>
                    <a:fld id="{F1FFA2D6-DCE6-47D6-B8EC-1C7D49499E1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A435-467A-9CEB-6115478B7183}"/>
                </c:ext>
              </c:extLst>
            </c:dLbl>
            <c:dLbl>
              <c:idx val="40"/>
              <c:tx>
                <c:rich>
                  <a:bodyPr/>
                  <a:lstStyle/>
                  <a:p>
                    <a:fld id="{688A9820-8718-46D8-A02E-2E7E8764295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A435-467A-9CEB-6115478B7183}"/>
                </c:ext>
              </c:extLst>
            </c:dLbl>
            <c:dLbl>
              <c:idx val="41"/>
              <c:tx>
                <c:rich>
                  <a:bodyPr/>
                  <a:lstStyle/>
                  <a:p>
                    <a:fld id="{6DC96F3C-807D-4FBA-97AE-FA07DB3EC1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A435-467A-9CEB-6115478B7183}"/>
                </c:ext>
              </c:extLst>
            </c:dLbl>
            <c:dLbl>
              <c:idx val="42"/>
              <c:tx>
                <c:rich>
                  <a:bodyPr/>
                  <a:lstStyle/>
                  <a:p>
                    <a:fld id="{B2C9DF9C-02AA-40E1-8C42-850557241D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A435-467A-9CEB-6115478B7183}"/>
                </c:ext>
              </c:extLst>
            </c:dLbl>
            <c:dLbl>
              <c:idx val="43"/>
              <c:tx>
                <c:rich>
                  <a:bodyPr/>
                  <a:lstStyle/>
                  <a:p>
                    <a:fld id="{17BF247C-3B9F-430B-AC29-838C35DE50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A435-467A-9CEB-6115478B7183}"/>
                </c:ext>
              </c:extLst>
            </c:dLbl>
            <c:dLbl>
              <c:idx val="44"/>
              <c:tx>
                <c:rich>
                  <a:bodyPr/>
                  <a:lstStyle/>
                  <a:p>
                    <a:fld id="{548A3653-413D-48C6-B81F-9139D4CF81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A435-467A-9CEB-6115478B7183}"/>
                </c:ext>
              </c:extLst>
            </c:dLbl>
            <c:dLbl>
              <c:idx val="45"/>
              <c:tx>
                <c:rich>
                  <a:bodyPr/>
                  <a:lstStyle/>
                  <a:p>
                    <a:fld id="{657D157D-AA80-40F7-9E29-E01C7A15EE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A435-467A-9CEB-6115478B7183}"/>
                </c:ext>
              </c:extLst>
            </c:dLbl>
            <c:dLbl>
              <c:idx val="46"/>
              <c:tx>
                <c:rich>
                  <a:bodyPr/>
                  <a:lstStyle/>
                  <a:p>
                    <a:fld id="{FF4FA764-EF74-49D4-95EF-178728E817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A435-467A-9CEB-6115478B7183}"/>
                </c:ext>
              </c:extLst>
            </c:dLbl>
            <c:dLbl>
              <c:idx val="47"/>
              <c:tx>
                <c:rich>
                  <a:bodyPr/>
                  <a:lstStyle/>
                  <a:p>
                    <a:fld id="{E15F0FF6-9894-4F78-A05C-7592FE6C9F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A435-467A-9CEB-6115478B7183}"/>
                </c:ext>
              </c:extLst>
            </c:dLbl>
            <c:dLbl>
              <c:idx val="48"/>
              <c:tx>
                <c:rich>
                  <a:bodyPr/>
                  <a:lstStyle/>
                  <a:p>
                    <a:fld id="{485965BC-CC65-4C52-A1BE-ED3B2F69A8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A435-467A-9CEB-6115478B7183}"/>
                </c:ext>
              </c:extLst>
            </c:dLbl>
            <c:dLbl>
              <c:idx val="49"/>
              <c:tx>
                <c:rich>
                  <a:bodyPr/>
                  <a:lstStyle/>
                  <a:p>
                    <a:fld id="{264206A8-9DAF-4B9C-9CF3-E2F41B1CC0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A435-467A-9CEB-6115478B7183}"/>
                </c:ext>
              </c:extLst>
            </c:dLbl>
            <c:dLbl>
              <c:idx val="50"/>
              <c:tx>
                <c:rich>
                  <a:bodyPr/>
                  <a:lstStyle/>
                  <a:p>
                    <a:fld id="{C72A41BC-EDC2-4D15-842D-EC69EEC842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A435-467A-9CEB-6115478B7183}"/>
                </c:ext>
              </c:extLst>
            </c:dLbl>
            <c:dLbl>
              <c:idx val="51"/>
              <c:tx>
                <c:rich>
                  <a:bodyPr/>
                  <a:lstStyle/>
                  <a:p>
                    <a:fld id="{ECCEBFA8-4C32-4FFC-9DEC-D3DE2B04A9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A435-467A-9CEB-6115478B7183}"/>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values'!$B$76:$BA$76</c:f>
                <c:numCache>
                  <c:formatCode>General</c:formatCode>
                  <c:ptCount val="52"/>
                  <c:pt idx="0">
                    <c:v>7.0949753501885083E-3</c:v>
                  </c:pt>
                  <c:pt idx="1">
                    <c:v>1.0499857373188946E-2</c:v>
                  </c:pt>
                  <c:pt idx="2">
                    <c:v>1.1209676452483438E-2</c:v>
                  </c:pt>
                  <c:pt idx="3">
                    <c:v>9.7842830826168486E-2</c:v>
                  </c:pt>
                  <c:pt idx="4">
                    <c:v>9.7264777830247118E-2</c:v>
                  </c:pt>
                  <c:pt idx="5">
                    <c:v>0.10470216819879878</c:v>
                  </c:pt>
                  <c:pt idx="6">
                    <c:v>0.15253197691729847</c:v>
                  </c:pt>
                  <c:pt idx="7">
                    <c:v>9.8722030128470754E-3</c:v>
                  </c:pt>
                  <c:pt idx="8">
                    <c:v>6.7289050241129862E-3</c:v>
                  </c:pt>
                  <c:pt idx="9">
                    <c:v>9.4493318013354199E-3</c:v>
                  </c:pt>
                  <c:pt idx="10">
                    <c:v>7.7186698195355922E-3</c:v>
                  </c:pt>
                  <c:pt idx="11">
                    <c:v>3.6367450064604991E-2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8.2685464023601718E-2</c:v>
                  </c:pt>
                  <c:pt idx="30">
                    <c:v>0.15156889469962298</c:v>
                  </c:pt>
                  <c:pt idx="31">
                    <c:v>1.4091266273171312E-2</c:v>
                  </c:pt>
                  <c:pt idx="32">
                    <c:v>0.13514352971447927</c:v>
                  </c:pt>
                  <c:pt idx="33">
                    <c:v>9.7514389629898918E-2</c:v>
                  </c:pt>
                  <c:pt idx="34">
                    <c:v>0.10576316172769665</c:v>
                  </c:pt>
                  <c:pt idx="35">
                    <c:v>0.12747885676130405</c:v>
                  </c:pt>
                  <c:pt idx="36">
                    <c:v>0.13140968273414222</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plus>
            <c:minus>
              <c:numRef>
                <c:f>'pooled normalised values'!$B$76:$BA$76</c:f>
                <c:numCache>
                  <c:formatCode>General</c:formatCode>
                  <c:ptCount val="52"/>
                  <c:pt idx="0">
                    <c:v>7.0949753501885083E-3</c:v>
                  </c:pt>
                  <c:pt idx="1">
                    <c:v>1.0499857373188946E-2</c:v>
                  </c:pt>
                  <c:pt idx="2">
                    <c:v>1.1209676452483438E-2</c:v>
                  </c:pt>
                  <c:pt idx="3">
                    <c:v>9.7842830826168486E-2</c:v>
                  </c:pt>
                  <c:pt idx="4">
                    <c:v>9.7264777830247118E-2</c:v>
                  </c:pt>
                  <c:pt idx="5">
                    <c:v>0.10470216819879878</c:v>
                  </c:pt>
                  <c:pt idx="6">
                    <c:v>0.15253197691729847</c:v>
                  </c:pt>
                  <c:pt idx="7">
                    <c:v>9.8722030128470754E-3</c:v>
                  </c:pt>
                  <c:pt idx="8">
                    <c:v>6.7289050241129862E-3</c:v>
                  </c:pt>
                  <c:pt idx="9">
                    <c:v>9.4493318013354199E-3</c:v>
                  </c:pt>
                  <c:pt idx="10">
                    <c:v>7.7186698195355922E-3</c:v>
                  </c:pt>
                  <c:pt idx="11">
                    <c:v>3.6367450064604991E-2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8.2685464023601718E-2</c:v>
                  </c:pt>
                  <c:pt idx="30">
                    <c:v>0.15156889469962298</c:v>
                  </c:pt>
                  <c:pt idx="31">
                    <c:v>1.4091266273171312E-2</c:v>
                  </c:pt>
                  <c:pt idx="32">
                    <c:v>0.13514352971447927</c:v>
                  </c:pt>
                  <c:pt idx="33">
                    <c:v>9.7514389629898918E-2</c:v>
                  </c:pt>
                  <c:pt idx="34">
                    <c:v>0.10576316172769665</c:v>
                  </c:pt>
                  <c:pt idx="35">
                    <c:v>0.12747885676130405</c:v>
                  </c:pt>
                  <c:pt idx="36">
                    <c:v>0.13140968273414222</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minus>
          </c:errBars>
          <c:cat>
            <c:strRef>
              <c:f>'pooled normalised values'!$B$74:$BA$74</c:f>
              <c:strCache>
                <c:ptCount val="52"/>
                <c:pt idx="0">
                  <c:v>Solvent control</c:v>
                </c:pt>
                <c:pt idx="1">
                  <c:v>EE2-33.8ng/L</c:v>
                </c:pt>
                <c:pt idx="2">
                  <c:v>EE2-50.6ng/L</c:v>
                </c:pt>
                <c:pt idx="3">
                  <c:v>EE2-76ng/L</c:v>
                </c:pt>
                <c:pt idx="4">
                  <c:v>EE2-114ng/L</c:v>
                </c:pt>
                <c:pt idx="5">
                  <c:v>EE2-170.9ng/L</c:v>
                </c:pt>
                <c:pt idx="6">
                  <c:v>EE2-488ng/L</c:v>
                </c:pt>
                <c:pt idx="7">
                  <c:v>BPA-1mg/L</c:v>
                </c:pt>
                <c:pt idx="8">
                  <c:v>BPA-2mg/L</c:v>
                </c:pt>
                <c:pt idx="9">
                  <c:v>BPA-3mg/L</c:v>
                </c:pt>
                <c:pt idx="10">
                  <c:v>BPA-4mg/L</c:v>
                </c:pt>
                <c:pt idx="11">
                  <c:v>BPA-5mg/L</c:v>
                </c:pt>
                <c:pt idx="12">
                  <c:v>#REF!</c:v>
                </c:pt>
                <c:pt idx="13">
                  <c:v>#REF!</c:v>
                </c:pt>
                <c:pt idx="14">
                  <c:v>#REF!</c:v>
                </c:pt>
                <c:pt idx="15">
                  <c:v>#REF!</c:v>
                </c:pt>
                <c:pt idx="16">
                  <c:v>#REF!</c:v>
                </c:pt>
                <c:pt idx="17">
                  <c:v>#REF!</c:v>
                </c:pt>
                <c:pt idx="18">
                  <c:v>#REF!</c:v>
                </c:pt>
                <c:pt idx="19">
                  <c:v>#REF!</c:v>
                </c:pt>
                <c:pt idx="20">
                  <c:v>#REF!</c:v>
                </c:pt>
                <c:pt idx="21">
                  <c:v>#REF!</c:v>
                </c:pt>
                <c:pt idx="22">
                  <c:v>#REF!</c:v>
                </c:pt>
                <c:pt idx="23">
                  <c:v>#REF!</c:v>
                </c:pt>
                <c:pt idx="24">
                  <c:v>#REF!</c:v>
                </c:pt>
                <c:pt idx="25">
                  <c:v>#REF!</c:v>
                </c:pt>
                <c:pt idx="26">
                  <c:v>#REF!</c:v>
                </c:pt>
                <c:pt idx="27">
                  <c:v>#REF!</c:v>
                </c:pt>
                <c:pt idx="29">
                  <c:v>Testo -30µg/L</c:v>
                </c:pt>
                <c:pt idx="30">
                  <c:v>Testo 30µg/L + EE2 -64ng/L</c:v>
                </c:pt>
                <c:pt idx="31">
                  <c:v>Testo 30µg/L + FAD-10mg/L</c:v>
                </c:pt>
                <c:pt idx="32">
                  <c:v>BPA-1mg/L + Testostérone</c:v>
                </c:pt>
                <c:pt idx="33">
                  <c:v>BPA-2mg/L + Testostérone</c:v>
                </c:pt>
                <c:pt idx="34">
                  <c:v>BPA-3mg/L + Testostérone</c:v>
                </c:pt>
                <c:pt idx="35">
                  <c:v>BPA-4mg/L + Testostérone</c:v>
                </c:pt>
                <c:pt idx="36">
                  <c:v>BPA-5mg/L + Testostérone</c:v>
                </c:pt>
                <c:pt idx="37">
                  <c:v>0-00 + Testostérone</c:v>
                </c:pt>
                <c:pt idx="38">
                  <c:v>0-00 + Testostérone</c:v>
                </c:pt>
                <c:pt idx="39">
                  <c:v>0-00 + Testostérone</c:v>
                </c:pt>
                <c:pt idx="40">
                  <c:v>0-00 + Testostérone</c:v>
                </c:pt>
                <c:pt idx="41">
                  <c:v>0-00 + Testostérone</c:v>
                </c:pt>
                <c:pt idx="42">
                  <c:v>0-00 + Testostérone</c:v>
                </c:pt>
                <c:pt idx="43">
                  <c:v>0-00 + Testostérone</c:v>
                </c:pt>
                <c:pt idx="44">
                  <c:v>0-00 + Testostérone</c:v>
                </c:pt>
                <c:pt idx="45">
                  <c:v>0-00 + Testostérone</c:v>
                </c:pt>
                <c:pt idx="46">
                  <c:v>0-00 + Testostérone</c:v>
                </c:pt>
                <c:pt idx="47">
                  <c:v>0-00 + Testostérone</c:v>
                </c:pt>
                <c:pt idx="48">
                  <c:v>0-00 + Testostérone</c:v>
                </c:pt>
                <c:pt idx="49">
                  <c:v>0-00 + Testostérone</c:v>
                </c:pt>
                <c:pt idx="50">
                  <c:v>0-00 + Testostérone</c:v>
                </c:pt>
                <c:pt idx="51">
                  <c:v>0-00 + Testostérone</c:v>
                </c:pt>
              </c:strCache>
            </c:strRef>
          </c:cat>
          <c:val>
            <c:numRef>
              <c:f>'pooled normalised values'!$B$75:$BA$75</c:f>
              <c:numCache>
                <c:formatCode>0.0000</c:formatCode>
                <c:ptCount val="52"/>
                <c:pt idx="0">
                  <c:v>2.5569526048697586E-2</c:v>
                </c:pt>
                <c:pt idx="1">
                  <c:v>2.4416922519859122E-2</c:v>
                </c:pt>
                <c:pt idx="2">
                  <c:v>3.351371238961242E-2</c:v>
                </c:pt>
                <c:pt idx="3">
                  <c:v>0.23576703252350975</c:v>
                </c:pt>
                <c:pt idx="4">
                  <c:v>0.48286332427910517</c:v>
                </c:pt>
                <c:pt idx="5">
                  <c:v>0.99122676545830846</c:v>
                </c:pt>
                <c:pt idx="6">
                  <c:v>2.1673757126034174</c:v>
                </c:pt>
                <c:pt idx="7">
                  <c:v>2.7959746467880034E-2</c:v>
                </c:pt>
                <c:pt idx="8">
                  <c:v>1.7637820169939703E-2</c:v>
                </c:pt>
                <c:pt idx="9">
                  <c:v>3.4276231092714278E-2</c:v>
                </c:pt>
                <c:pt idx="10">
                  <c:v>1.7974937729448637E-2</c:v>
                </c:pt>
                <c:pt idx="11">
                  <c:v>7.7591992952889738E-2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9">
                  <c:v>1.0000000000000002</c:v>
                </c:pt>
                <c:pt idx="30">
                  <c:v>1.6184408075671508</c:v>
                </c:pt>
                <c:pt idx="31">
                  <c:v>4.0204269643502169E-2</c:v>
                </c:pt>
                <c:pt idx="32">
                  <c:v>1.1460867424101353</c:v>
                </c:pt>
                <c:pt idx="33">
                  <c:v>0.98391755999338393</c:v>
                </c:pt>
                <c:pt idx="34">
                  <c:v>1.1114875452785611</c:v>
                </c:pt>
                <c:pt idx="35">
                  <c:v>1.5442264425039973</c:v>
                </c:pt>
                <c:pt idx="36">
                  <c:v>1.8555161062995016</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extLst>
            <c:ext xmlns:c15="http://schemas.microsoft.com/office/drawing/2012/chart" uri="{02D57815-91ED-43cb-92C2-25804820EDAC}">
              <c15:datalabelsRange>
                <c15:f>'pooled normalised values'!$B$83:$BA$83</c15:f>
                <c15:dlblRangeCache>
                  <c:ptCount val="52"/>
                  <c:pt idx="1">
                    <c:v>NS</c:v>
                  </c:pt>
                  <c:pt idx="2">
                    <c:v>NS</c:v>
                  </c:pt>
                  <c:pt idx="3">
                    <c:v>NS</c:v>
                  </c:pt>
                  <c:pt idx="4">
                    <c:v>NS</c:v>
                  </c:pt>
                  <c:pt idx="5">
                    <c:v>***</c:v>
                  </c:pt>
                  <c:pt idx="6">
                    <c:v>***</c:v>
                  </c:pt>
                  <c:pt idx="7">
                    <c:v>NS</c:v>
                  </c:pt>
                  <c:pt idx="8">
                    <c:v>NS</c:v>
                  </c:pt>
                  <c:pt idx="9">
                    <c:v>NS</c:v>
                  </c:pt>
                  <c:pt idx="10">
                    <c:v>NS</c:v>
                  </c:pt>
                  <c:pt idx="11">
                    <c:v>NS</c:v>
                  </c:pt>
                  <c:pt idx="12">
                    <c:v>#NAME?</c:v>
                  </c:pt>
                  <c:pt idx="13">
                    <c:v>#NAME?</c:v>
                  </c:pt>
                  <c:pt idx="14">
                    <c:v>#NAME?</c:v>
                  </c:pt>
                  <c:pt idx="15">
                    <c:v>#NAME?</c:v>
                  </c:pt>
                  <c:pt idx="16">
                    <c:v>#NAME?</c:v>
                  </c:pt>
                  <c:pt idx="17">
                    <c:v>#NAME?</c:v>
                  </c:pt>
                  <c:pt idx="18">
                    <c:v>#NAME?</c:v>
                  </c:pt>
                  <c:pt idx="19">
                    <c:v>#NAME?</c:v>
                  </c:pt>
                  <c:pt idx="20">
                    <c:v>#NAME?</c:v>
                  </c:pt>
                  <c:pt idx="21">
                    <c:v>#NAME?</c:v>
                  </c:pt>
                  <c:pt idx="22">
                    <c:v>#NAME?</c:v>
                  </c:pt>
                  <c:pt idx="23">
                    <c:v>#NAME?</c:v>
                  </c:pt>
                  <c:pt idx="24">
                    <c:v>#NAME?</c:v>
                  </c:pt>
                  <c:pt idx="25">
                    <c:v>#NAME?</c:v>
                  </c:pt>
                  <c:pt idx="26">
                    <c:v>#NAME?</c:v>
                  </c:pt>
                  <c:pt idx="27">
                    <c:v>#NAME?</c:v>
                  </c:pt>
                  <c:pt idx="29">
                    <c:v>***</c:v>
                  </c:pt>
                  <c:pt idx="30">
                    <c:v>#NAME?</c:v>
                  </c:pt>
                  <c:pt idx="31">
                    <c:v>NS</c:v>
                  </c:pt>
                  <c:pt idx="32">
                    <c:v>NS</c:v>
                  </c:pt>
                  <c:pt idx="33">
                    <c:v>NS</c:v>
                  </c:pt>
                  <c:pt idx="34">
                    <c:v>NS</c:v>
                  </c:pt>
                  <c:pt idx="35">
                    <c:v>**</c:v>
                  </c:pt>
                  <c:pt idx="36">
                    <c:v>***</c:v>
                  </c:pt>
                  <c:pt idx="37">
                    <c:v>#NAME?</c:v>
                  </c:pt>
                  <c:pt idx="38">
                    <c:v>#NAME?</c:v>
                  </c:pt>
                  <c:pt idx="39">
                    <c:v>#NAME?</c:v>
                  </c:pt>
                  <c:pt idx="40">
                    <c:v>#NAME?</c:v>
                  </c:pt>
                  <c:pt idx="41">
                    <c:v>#NAME?</c:v>
                  </c:pt>
                  <c:pt idx="42">
                    <c:v>#NAME?</c:v>
                  </c:pt>
                  <c:pt idx="43">
                    <c:v>#NAME?</c:v>
                  </c:pt>
                  <c:pt idx="44">
                    <c:v>#NAME?</c:v>
                  </c:pt>
                  <c:pt idx="45">
                    <c:v>#NAME?</c:v>
                  </c:pt>
                  <c:pt idx="46">
                    <c:v>#NAME?</c:v>
                  </c:pt>
                  <c:pt idx="47">
                    <c:v>#NAME?</c:v>
                  </c:pt>
                  <c:pt idx="48">
                    <c:v>#NAME?</c:v>
                  </c:pt>
                  <c:pt idx="49">
                    <c:v>#NAME?</c:v>
                  </c:pt>
                  <c:pt idx="50">
                    <c:v>#NAME?</c:v>
                  </c:pt>
                  <c:pt idx="51">
                    <c:v>#NAME?</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21"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304587" cy="6077107"/>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304587" cy="6077107"/>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305925" cy="6076950"/>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304587" cy="6077107"/>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202013%202016.xlam.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AD2 Table"/>
      <sheetName val="SW Table"/>
      <sheetName val="Stud. Q Table"/>
      <sheetName val="Stud. Q Table 2"/>
      <sheetName val="Sp Rho Table"/>
      <sheetName val="Ken Tau Table"/>
      <sheetName val="Durbin Table"/>
      <sheetName val="Dunnett Table"/>
      <sheetName val="Dunnett 1"/>
      <sheetName val="Prime"/>
      <sheetName val="MSSD"/>
      <sheetName val="RealStats 2013 2016.xlam"/>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C2" sqref="C2:E4"/>
    </sheetView>
  </sheetViews>
  <sheetFormatPr defaultColWidth="11.42578125" defaultRowHeight="39" customHeight="1" x14ac:dyDescent="0.25"/>
  <cols>
    <col min="1" max="1" width="42" bestFit="1" customWidth="1"/>
    <col min="2" max="2" width="33.85546875" style="28" bestFit="1" customWidth="1"/>
    <col min="3" max="3" width="21.28515625" customWidth="1"/>
    <col min="4" max="4" width="30.42578125" customWidth="1"/>
    <col min="5" max="5" width="62.28515625" style="98"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26"/>
      <c r="B1" s="127"/>
      <c r="C1" s="127"/>
      <c r="D1" s="127"/>
      <c r="E1" s="127"/>
      <c r="F1" s="127"/>
      <c r="G1" s="127"/>
      <c r="H1" s="127"/>
      <c r="I1" s="128"/>
    </row>
    <row r="2" spans="1:9" ht="21.75" thickBot="1" x14ac:dyDescent="0.4">
      <c r="A2" s="117" t="s">
        <v>8</v>
      </c>
      <c r="B2" s="27" t="s">
        <v>57</v>
      </c>
      <c r="C2" s="129" t="s">
        <v>68</v>
      </c>
      <c r="D2" s="130"/>
      <c r="E2" s="125" t="s">
        <v>69</v>
      </c>
      <c r="F2" s="141"/>
      <c r="G2" s="142"/>
      <c r="H2" s="142"/>
      <c r="I2" s="143"/>
    </row>
    <row r="3" spans="1:9" ht="21.75" thickBot="1" x14ac:dyDescent="0.4">
      <c r="A3" s="118" t="s">
        <v>9</v>
      </c>
      <c r="B3" s="27" t="s">
        <v>57</v>
      </c>
      <c r="C3" s="131" t="s">
        <v>71</v>
      </c>
      <c r="D3" s="132"/>
      <c r="E3" s="125" t="s">
        <v>72</v>
      </c>
      <c r="F3" s="138"/>
      <c r="G3" s="139"/>
      <c r="H3" s="139"/>
      <c r="I3" s="140"/>
    </row>
    <row r="4" spans="1:9" ht="21.75" thickBot="1" x14ac:dyDescent="0.4">
      <c r="A4" s="119" t="s">
        <v>12</v>
      </c>
      <c r="B4" s="27" t="s">
        <v>57</v>
      </c>
      <c r="C4" s="133" t="s">
        <v>73</v>
      </c>
      <c r="D4" s="134"/>
      <c r="E4" s="125" t="s">
        <v>77</v>
      </c>
      <c r="F4" s="135"/>
      <c r="G4" s="136"/>
      <c r="H4" s="136"/>
      <c r="I4" s="137"/>
    </row>
    <row r="5" spans="1:9" s="1" customFormat="1" ht="65.25" customHeight="1" thickBot="1" x14ac:dyDescent="0.3">
      <c r="A5" s="126" t="s">
        <v>18</v>
      </c>
      <c r="B5" s="127"/>
      <c r="C5" s="127"/>
      <c r="D5" s="127"/>
      <c r="E5" s="127"/>
      <c r="F5" s="127"/>
      <c r="G5" s="127"/>
      <c r="H5" s="127"/>
      <c r="I5" s="128"/>
    </row>
    <row r="6" spans="1:9" s="75" customFormat="1" ht="39" customHeight="1" x14ac:dyDescent="0.35">
      <c r="A6" s="65" t="s">
        <v>58</v>
      </c>
      <c r="B6" s="66" t="s">
        <v>59</v>
      </c>
      <c r="C6" s="51" t="s">
        <v>10</v>
      </c>
      <c r="D6" s="51" t="s">
        <v>60</v>
      </c>
      <c r="E6" s="95" t="s">
        <v>61</v>
      </c>
      <c r="F6" s="74" t="s">
        <v>62</v>
      </c>
    </row>
    <row r="7" spans="1:9" s="104" customFormat="1" ht="39" customHeight="1" x14ac:dyDescent="0.35">
      <c r="A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100" t="s">
        <v>50</v>
      </c>
      <c r="C7" s="101"/>
      <c r="D7" s="102"/>
      <c r="E7" s="103" t="s">
        <v>64</v>
      </c>
      <c r="F7" s="76"/>
    </row>
    <row r="8" spans="1:9" s="104" customFormat="1" ht="39" customHeight="1" x14ac:dyDescent="0.35">
      <c r="A8"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100" t="s">
        <v>50</v>
      </c>
      <c r="C8" s="101" t="s">
        <v>65</v>
      </c>
      <c r="D8" s="102" t="s">
        <v>51</v>
      </c>
      <c r="E8" s="103" t="s">
        <v>52</v>
      </c>
      <c r="F8" s="76"/>
    </row>
    <row r="9" spans="1:9" s="104" customFormat="1" ht="39" customHeight="1" x14ac:dyDescent="0.35">
      <c r="A9"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100" t="s">
        <v>50</v>
      </c>
      <c r="C9" s="101" t="s">
        <v>66</v>
      </c>
      <c r="D9" s="102" t="s">
        <v>51</v>
      </c>
      <c r="E9" s="103" t="s">
        <v>52</v>
      </c>
      <c r="F9" s="76"/>
    </row>
    <row r="10" spans="1:9" s="104" customFormat="1" ht="39" customHeight="1" x14ac:dyDescent="0.35">
      <c r="A10"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100" t="s">
        <v>50</v>
      </c>
      <c r="C10" s="101">
        <v>76</v>
      </c>
      <c r="D10" s="102" t="s">
        <v>51</v>
      </c>
      <c r="E10" s="103" t="s">
        <v>52</v>
      </c>
      <c r="F10" s="76"/>
    </row>
    <row r="11" spans="1:9" s="104" customFormat="1" ht="39" customHeight="1" x14ac:dyDescent="0.35">
      <c r="A11"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100" t="s">
        <v>50</v>
      </c>
      <c r="C11" s="101">
        <v>114</v>
      </c>
      <c r="D11" s="102" t="s">
        <v>51</v>
      </c>
      <c r="E11" s="103" t="s">
        <v>52</v>
      </c>
      <c r="F11" s="76"/>
    </row>
    <row r="12" spans="1:9" s="104" customFormat="1" ht="39" customHeight="1" x14ac:dyDescent="0.35">
      <c r="A12"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100" t="s">
        <v>50</v>
      </c>
      <c r="C12" s="101" t="s">
        <v>67</v>
      </c>
      <c r="D12" s="102" t="s">
        <v>51</v>
      </c>
      <c r="E12" s="103" t="s">
        <v>52</v>
      </c>
      <c r="F12" s="76"/>
    </row>
    <row r="13" spans="1:9" s="104" customFormat="1" ht="39" customHeight="1" x14ac:dyDescent="0.35">
      <c r="A13"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100" t="s">
        <v>50</v>
      </c>
      <c r="C13" s="101">
        <v>488</v>
      </c>
      <c r="D13" s="102" t="s">
        <v>51</v>
      </c>
      <c r="E13" s="103" t="s">
        <v>52</v>
      </c>
      <c r="F13" s="76"/>
    </row>
    <row r="14" spans="1:9" s="104" customFormat="1" ht="39" customHeight="1" x14ac:dyDescent="0.35">
      <c r="A14"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BPA-1mg/L</v>
      </c>
      <c r="B14" s="100" t="s">
        <v>63</v>
      </c>
      <c r="C14" s="101">
        <v>1</v>
      </c>
      <c r="D14" s="102" t="s">
        <v>55</v>
      </c>
      <c r="E14" s="101" t="s">
        <v>70</v>
      </c>
      <c r="F14" s="76"/>
    </row>
    <row r="15" spans="1:9" s="77" customFormat="1" ht="39" customHeight="1" x14ac:dyDescent="0.25">
      <c r="A1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BPA-2mg/L</v>
      </c>
      <c r="B15" s="100" t="s">
        <v>63</v>
      </c>
      <c r="C15" s="101">
        <v>2</v>
      </c>
      <c r="D15" s="102" t="s">
        <v>55</v>
      </c>
      <c r="E15" s="101" t="s">
        <v>70</v>
      </c>
      <c r="F15" s="76"/>
    </row>
    <row r="16" spans="1:9" s="77" customFormat="1" ht="39" customHeight="1" x14ac:dyDescent="0.25">
      <c r="A1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BPA-3mg/L</v>
      </c>
      <c r="B16" s="100" t="s">
        <v>63</v>
      </c>
      <c r="C16" s="101">
        <v>3</v>
      </c>
      <c r="D16" s="102" t="s">
        <v>55</v>
      </c>
      <c r="E16" s="101" t="s">
        <v>70</v>
      </c>
      <c r="F16" s="76"/>
    </row>
    <row r="17" spans="1:6" s="77" customFormat="1" ht="39" customHeight="1" x14ac:dyDescent="0.25">
      <c r="A1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BPA-4mg/L</v>
      </c>
      <c r="B17" s="100" t="s">
        <v>63</v>
      </c>
      <c r="C17" s="101">
        <v>4</v>
      </c>
      <c r="D17" s="102" t="s">
        <v>55</v>
      </c>
      <c r="E17" s="101" t="s">
        <v>70</v>
      </c>
      <c r="F17" s="76"/>
    </row>
    <row r="18" spans="1:6" s="77" customFormat="1" ht="39" customHeight="1" x14ac:dyDescent="0.25">
      <c r="A1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BPA-5mg/L</v>
      </c>
      <c r="B18" s="100" t="s">
        <v>63</v>
      </c>
      <c r="C18" s="101">
        <v>5</v>
      </c>
      <c r="D18" s="102" t="s">
        <v>55</v>
      </c>
      <c r="E18" s="101" t="s">
        <v>70</v>
      </c>
      <c r="F18" s="76"/>
    </row>
    <row r="19" spans="1:6" s="77" customFormat="1" ht="39" customHeight="1" x14ac:dyDescent="0.25">
      <c r="A1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100" t="s">
        <v>63</v>
      </c>
      <c r="C19" s="71"/>
      <c r="D19" s="71"/>
      <c r="E19" s="25"/>
      <c r="F19" s="76"/>
    </row>
    <row r="20" spans="1:6" s="77" customFormat="1" ht="39" customHeight="1" x14ac:dyDescent="0.25">
      <c r="A2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100" t="s">
        <v>63</v>
      </c>
      <c r="C20" s="71"/>
      <c r="D20" s="71"/>
      <c r="E20" s="67"/>
      <c r="F20" s="76"/>
    </row>
    <row r="21" spans="1:6" s="77" customFormat="1" ht="39" customHeight="1" x14ac:dyDescent="0.25">
      <c r="A2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100" t="s">
        <v>63</v>
      </c>
      <c r="C21" s="71"/>
      <c r="D21" s="71"/>
      <c r="E21" s="25"/>
      <c r="F21" s="76"/>
    </row>
    <row r="22" spans="1:6" s="77" customFormat="1" ht="39" customHeight="1" x14ac:dyDescent="0.25">
      <c r="A2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100" t="s">
        <v>63</v>
      </c>
      <c r="C22" s="71"/>
      <c r="D22" s="71"/>
      <c r="E22" s="67"/>
      <c r="F22" s="76"/>
    </row>
    <row r="23" spans="1:6" s="77" customFormat="1" ht="39" customHeight="1" x14ac:dyDescent="0.25">
      <c r="A2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100" t="s">
        <v>63</v>
      </c>
      <c r="C23" s="71"/>
      <c r="D23" s="71"/>
      <c r="E23" s="25"/>
      <c r="F23" s="76"/>
    </row>
    <row r="24" spans="1:6" s="77" customFormat="1" ht="39" customHeight="1" x14ac:dyDescent="0.25">
      <c r="A24"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100" t="s">
        <v>63</v>
      </c>
      <c r="C24" s="71"/>
      <c r="D24" s="71"/>
      <c r="E24" s="67"/>
      <c r="F24" s="76"/>
    </row>
    <row r="25" spans="1:6" s="77" customFormat="1" ht="39" customHeight="1" x14ac:dyDescent="0.25">
      <c r="A25"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100" t="s">
        <v>63</v>
      </c>
      <c r="C25" s="71"/>
      <c r="D25" s="71"/>
      <c r="E25" s="25"/>
      <c r="F25" s="76"/>
    </row>
    <row r="26" spans="1:6" s="77" customFormat="1" ht="39" customHeight="1" x14ac:dyDescent="0.25">
      <c r="A26"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100" t="s">
        <v>63</v>
      </c>
      <c r="C26" s="71"/>
      <c r="D26" s="71"/>
      <c r="E26" s="67"/>
      <c r="F26" s="76"/>
    </row>
    <row r="27" spans="1:6" s="77" customFormat="1" ht="39" customHeight="1" x14ac:dyDescent="0.25">
      <c r="A27"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100" t="s">
        <v>63</v>
      </c>
      <c r="C27" s="71"/>
      <c r="D27" s="71"/>
      <c r="E27" s="25"/>
      <c r="F27" s="76"/>
    </row>
    <row r="28" spans="1:6" s="77" customFormat="1" ht="39" customHeight="1" x14ac:dyDescent="0.25">
      <c r="A28"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100" t="s">
        <v>63</v>
      </c>
      <c r="C28" s="71"/>
      <c r="D28" s="71"/>
      <c r="E28" s="67"/>
      <c r="F28" s="76"/>
    </row>
    <row r="29" spans="1:6" s="77" customFormat="1" ht="39" customHeight="1" x14ac:dyDescent="0.25">
      <c r="A29"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100" t="s">
        <v>63</v>
      </c>
      <c r="C29" s="71"/>
      <c r="D29" s="80"/>
      <c r="E29" s="25"/>
      <c r="F29" s="76"/>
    </row>
    <row r="30" spans="1:6" s="77" customFormat="1" ht="39" customHeight="1" x14ac:dyDescent="0.25">
      <c r="A30"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100" t="s">
        <v>63</v>
      </c>
      <c r="C30" s="71"/>
      <c r="D30" s="80"/>
      <c r="E30" s="67"/>
      <c r="F30" s="76"/>
    </row>
    <row r="31" spans="1:6" s="77" customFormat="1" ht="39" customHeight="1" x14ac:dyDescent="0.25">
      <c r="A31"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100" t="s">
        <v>63</v>
      </c>
      <c r="C31" s="71"/>
      <c r="D31" s="80"/>
      <c r="E31" s="25"/>
      <c r="F31" s="76"/>
    </row>
    <row r="32" spans="1:6" s="77" customFormat="1" ht="39" customHeight="1" x14ac:dyDescent="0.25">
      <c r="A32"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100" t="s">
        <v>63</v>
      </c>
      <c r="C32" s="71"/>
      <c r="D32" s="80"/>
      <c r="E32" s="67"/>
      <c r="F32" s="76"/>
    </row>
    <row r="33" spans="1:6" s="77" customFormat="1" ht="39" customHeight="1" x14ac:dyDescent="0.25">
      <c r="A33" s="5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100" t="s">
        <v>63</v>
      </c>
      <c r="C33" s="71"/>
      <c r="D33" s="80"/>
      <c r="E33" s="25"/>
      <c r="F33" s="76"/>
    </row>
    <row r="34" spans="1:6" s="77" customFormat="1" ht="39" customHeight="1" thickBot="1" x14ac:dyDescent="0.3">
      <c r="A34"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100" t="s">
        <v>63</v>
      </c>
      <c r="C34" s="106"/>
      <c r="D34" s="81"/>
      <c r="E34" s="105"/>
      <c r="F34" s="76"/>
    </row>
    <row r="35" spans="1:6" s="77" customFormat="1" ht="39" customHeight="1" x14ac:dyDescent="0.25">
      <c r="A35" s="10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68" t="s">
        <v>50</v>
      </c>
      <c r="C35" s="72">
        <v>30</v>
      </c>
      <c r="D35" s="82" t="s">
        <v>53</v>
      </c>
      <c r="E35" s="96" t="s">
        <v>11</v>
      </c>
      <c r="F35" s="108"/>
    </row>
    <row r="36" spans="1:6" s="77" customFormat="1" ht="39" customHeight="1" x14ac:dyDescent="0.25">
      <c r="A36" s="10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9" t="s">
        <v>50</v>
      </c>
      <c r="C36" s="73">
        <v>64</v>
      </c>
      <c r="D36" s="83" t="s">
        <v>51</v>
      </c>
      <c r="E36" s="97" t="s">
        <v>54</v>
      </c>
      <c r="F36" s="110"/>
    </row>
    <row r="37" spans="1:6" s="77" customFormat="1" ht="39" customHeight="1" thickBot="1" x14ac:dyDescent="0.3">
      <c r="A37" s="11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12" t="s">
        <v>50</v>
      </c>
      <c r="C37" s="113">
        <v>10</v>
      </c>
      <c r="D37" s="114" t="s">
        <v>55</v>
      </c>
      <c r="E37" s="115" t="s">
        <v>56</v>
      </c>
      <c r="F37" s="116"/>
    </row>
    <row r="38" spans="1:6" s="77" customFormat="1" ht="39" customHeight="1" x14ac:dyDescent="0.25">
      <c r="A38" s="38"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BPA-1mg/L + Testostérone</v>
      </c>
      <c r="B38" s="120" t="str">
        <f>B14</f>
        <v>test chemical</v>
      </c>
      <c r="C38" s="120">
        <f t="shared" ref="C38:E38" si="0">C14</f>
        <v>1</v>
      </c>
      <c r="D38" s="120" t="str">
        <f t="shared" si="0"/>
        <v>mg/L</v>
      </c>
      <c r="E38" s="120" t="str">
        <f t="shared" si="0"/>
        <v>BPA</v>
      </c>
      <c r="F38" s="78" t="s">
        <v>30</v>
      </c>
    </row>
    <row r="39" spans="1:6" s="77" customFormat="1" ht="39" customHeight="1" x14ac:dyDescent="0.25">
      <c r="A39"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BPA-2mg/L + Testostérone</v>
      </c>
      <c r="B39" s="122" t="str">
        <f t="shared" ref="B39:E39" si="1">B15</f>
        <v>test chemical</v>
      </c>
      <c r="C39" s="122">
        <f t="shared" si="1"/>
        <v>2</v>
      </c>
      <c r="D39" s="122" t="str">
        <f t="shared" si="1"/>
        <v>mg/L</v>
      </c>
      <c r="E39" s="122" t="str">
        <f t="shared" si="1"/>
        <v>BPA</v>
      </c>
      <c r="F39" s="79" t="s">
        <v>30</v>
      </c>
    </row>
    <row r="40" spans="1:6" s="77" customFormat="1" ht="39" customHeight="1" x14ac:dyDescent="0.25">
      <c r="A40"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BPA-3mg/L + Testostérone</v>
      </c>
      <c r="B40" s="122" t="str">
        <f t="shared" ref="B40:E40" si="2">B16</f>
        <v>test chemical</v>
      </c>
      <c r="C40" s="122">
        <f t="shared" si="2"/>
        <v>3</v>
      </c>
      <c r="D40" s="122" t="str">
        <f t="shared" si="2"/>
        <v>mg/L</v>
      </c>
      <c r="E40" s="122" t="str">
        <f t="shared" si="2"/>
        <v>BPA</v>
      </c>
      <c r="F40" s="79" t="s">
        <v>30</v>
      </c>
    </row>
    <row r="41" spans="1:6" s="77" customFormat="1" ht="39" customHeight="1" x14ac:dyDescent="0.25">
      <c r="A41"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BPA-4mg/L + Testostérone</v>
      </c>
      <c r="B41" s="122" t="str">
        <f t="shared" ref="B41:E41" si="3">B17</f>
        <v>test chemical</v>
      </c>
      <c r="C41" s="122">
        <f t="shared" si="3"/>
        <v>4</v>
      </c>
      <c r="D41" s="122" t="str">
        <f t="shared" si="3"/>
        <v>mg/L</v>
      </c>
      <c r="E41" s="122" t="str">
        <f t="shared" si="3"/>
        <v>BPA</v>
      </c>
      <c r="F41" s="79" t="s">
        <v>30</v>
      </c>
    </row>
    <row r="42" spans="1:6" s="77" customFormat="1" ht="39" customHeight="1" x14ac:dyDescent="0.25">
      <c r="A42"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BPA-5mg/L + Testostérone</v>
      </c>
      <c r="B42" s="122" t="str">
        <f t="shared" ref="B42:E42" si="4">B18</f>
        <v>test chemical</v>
      </c>
      <c r="C42" s="122">
        <f t="shared" si="4"/>
        <v>5</v>
      </c>
      <c r="D42" s="122" t="str">
        <f t="shared" si="4"/>
        <v>mg/L</v>
      </c>
      <c r="E42" s="122" t="str">
        <f t="shared" si="4"/>
        <v>BPA</v>
      </c>
      <c r="F42" s="79" t="s">
        <v>30</v>
      </c>
    </row>
    <row r="43" spans="1:6" s="77" customFormat="1" ht="39" customHeight="1" x14ac:dyDescent="0.25">
      <c r="A43"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22" t="str">
        <f t="shared" ref="B43:E43" si="5">B19</f>
        <v>test chemical</v>
      </c>
      <c r="C43" s="122">
        <f t="shared" si="5"/>
        <v>0</v>
      </c>
      <c r="D43" s="122">
        <f t="shared" si="5"/>
        <v>0</v>
      </c>
      <c r="E43" s="122">
        <f t="shared" si="5"/>
        <v>0</v>
      </c>
      <c r="F43" s="79" t="s">
        <v>30</v>
      </c>
    </row>
    <row r="44" spans="1:6" s="77" customFormat="1" ht="39" customHeight="1" x14ac:dyDescent="0.25">
      <c r="A44"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22" t="str">
        <f t="shared" ref="B44:E44" si="6">B20</f>
        <v>test chemical</v>
      </c>
      <c r="C44" s="122">
        <f t="shared" si="6"/>
        <v>0</v>
      </c>
      <c r="D44" s="122">
        <f t="shared" si="6"/>
        <v>0</v>
      </c>
      <c r="E44" s="122">
        <f t="shared" si="6"/>
        <v>0</v>
      </c>
      <c r="F44" s="79" t="s">
        <v>30</v>
      </c>
    </row>
    <row r="45" spans="1:6" s="77" customFormat="1" ht="39" customHeight="1" x14ac:dyDescent="0.25">
      <c r="A45"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22" t="str">
        <f t="shared" ref="B45:E45" si="7">B21</f>
        <v>test chemical</v>
      </c>
      <c r="C45" s="122">
        <f t="shared" si="7"/>
        <v>0</v>
      </c>
      <c r="D45" s="122">
        <f t="shared" si="7"/>
        <v>0</v>
      </c>
      <c r="E45" s="122">
        <f t="shared" si="7"/>
        <v>0</v>
      </c>
      <c r="F45" s="79" t="s">
        <v>30</v>
      </c>
    </row>
    <row r="46" spans="1:6" s="77" customFormat="1" ht="39" customHeight="1" x14ac:dyDescent="0.25">
      <c r="A46"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22" t="str">
        <f t="shared" ref="B46:E46" si="8">B22</f>
        <v>test chemical</v>
      </c>
      <c r="C46" s="122">
        <f t="shared" si="8"/>
        <v>0</v>
      </c>
      <c r="D46" s="122">
        <f t="shared" si="8"/>
        <v>0</v>
      </c>
      <c r="E46" s="122">
        <f t="shared" si="8"/>
        <v>0</v>
      </c>
      <c r="F46" s="79" t="s">
        <v>30</v>
      </c>
    </row>
    <row r="47" spans="1:6" s="77" customFormat="1" ht="39" customHeight="1" x14ac:dyDescent="0.25">
      <c r="A47"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22" t="str">
        <f t="shared" ref="B47:E47" si="9">B23</f>
        <v>test chemical</v>
      </c>
      <c r="C47" s="122">
        <f t="shared" si="9"/>
        <v>0</v>
      </c>
      <c r="D47" s="122">
        <f t="shared" si="9"/>
        <v>0</v>
      </c>
      <c r="E47" s="122">
        <f t="shared" si="9"/>
        <v>0</v>
      </c>
      <c r="F47" s="79" t="s">
        <v>30</v>
      </c>
    </row>
    <row r="48" spans="1:6" s="77" customFormat="1" ht="39" customHeight="1" x14ac:dyDescent="0.25">
      <c r="A48"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22" t="str">
        <f t="shared" ref="B48:E48" si="10">B24</f>
        <v>test chemical</v>
      </c>
      <c r="C48" s="122">
        <f t="shared" si="10"/>
        <v>0</v>
      </c>
      <c r="D48" s="122">
        <f t="shared" si="10"/>
        <v>0</v>
      </c>
      <c r="E48" s="122">
        <f t="shared" si="10"/>
        <v>0</v>
      </c>
      <c r="F48" s="79" t="s">
        <v>30</v>
      </c>
    </row>
    <row r="49" spans="1:6" s="77" customFormat="1" ht="39" customHeight="1" x14ac:dyDescent="0.25">
      <c r="A49"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22" t="str">
        <f t="shared" ref="B49:E49" si="11">B25</f>
        <v>test chemical</v>
      </c>
      <c r="C49" s="122">
        <f t="shared" si="11"/>
        <v>0</v>
      </c>
      <c r="D49" s="122">
        <f t="shared" si="11"/>
        <v>0</v>
      </c>
      <c r="E49" s="122">
        <f t="shared" si="11"/>
        <v>0</v>
      </c>
      <c r="F49" s="79" t="s">
        <v>30</v>
      </c>
    </row>
    <row r="50" spans="1:6" s="77" customFormat="1" ht="39" customHeight="1" x14ac:dyDescent="0.25">
      <c r="A50"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22" t="str">
        <f t="shared" ref="B50:E50" si="12">B26</f>
        <v>test chemical</v>
      </c>
      <c r="C50" s="122">
        <f t="shared" si="12"/>
        <v>0</v>
      </c>
      <c r="D50" s="122">
        <f t="shared" si="12"/>
        <v>0</v>
      </c>
      <c r="E50" s="122">
        <f t="shared" si="12"/>
        <v>0</v>
      </c>
      <c r="F50" s="79" t="s">
        <v>30</v>
      </c>
    </row>
    <row r="51" spans="1:6" s="77" customFormat="1" ht="39" customHeight="1" x14ac:dyDescent="0.25">
      <c r="A51"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22" t="str">
        <f t="shared" ref="B51:E51" si="13">B27</f>
        <v>test chemical</v>
      </c>
      <c r="C51" s="122">
        <f t="shared" si="13"/>
        <v>0</v>
      </c>
      <c r="D51" s="122">
        <f t="shared" si="13"/>
        <v>0</v>
      </c>
      <c r="E51" s="122">
        <f t="shared" si="13"/>
        <v>0</v>
      </c>
      <c r="F51" s="79" t="s">
        <v>30</v>
      </c>
    </row>
    <row r="52" spans="1:6" s="77" customFormat="1" ht="39" customHeight="1" x14ac:dyDescent="0.25">
      <c r="A52"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22" t="str">
        <f t="shared" ref="B52:E52" si="14">B28</f>
        <v>test chemical</v>
      </c>
      <c r="C52" s="122">
        <f t="shared" si="14"/>
        <v>0</v>
      </c>
      <c r="D52" s="122">
        <f t="shared" si="14"/>
        <v>0</v>
      </c>
      <c r="E52" s="122">
        <f t="shared" si="14"/>
        <v>0</v>
      </c>
      <c r="F52" s="79" t="s">
        <v>30</v>
      </c>
    </row>
    <row r="53" spans="1:6" s="77" customFormat="1" ht="39" customHeight="1" x14ac:dyDescent="0.25">
      <c r="A53"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22" t="str">
        <f t="shared" ref="B53:E53" si="15">B29</f>
        <v>test chemical</v>
      </c>
      <c r="C53" s="122">
        <f t="shared" si="15"/>
        <v>0</v>
      </c>
      <c r="D53" s="122">
        <f t="shared" si="15"/>
        <v>0</v>
      </c>
      <c r="E53" s="122">
        <f t="shared" si="15"/>
        <v>0</v>
      </c>
      <c r="F53" s="79" t="s">
        <v>30</v>
      </c>
    </row>
    <row r="54" spans="1:6" s="77" customFormat="1" ht="39" customHeight="1" x14ac:dyDescent="0.25">
      <c r="A54"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22" t="str">
        <f t="shared" ref="B54:E54" si="16">B30</f>
        <v>test chemical</v>
      </c>
      <c r="C54" s="122">
        <f t="shared" si="16"/>
        <v>0</v>
      </c>
      <c r="D54" s="122">
        <f t="shared" si="16"/>
        <v>0</v>
      </c>
      <c r="E54" s="122">
        <f t="shared" si="16"/>
        <v>0</v>
      </c>
      <c r="F54" s="79" t="s">
        <v>30</v>
      </c>
    </row>
    <row r="55" spans="1:6" s="77" customFormat="1" ht="39" customHeight="1" x14ac:dyDescent="0.25">
      <c r="A55"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22" t="str">
        <f t="shared" ref="B55:E55" si="17">B31</f>
        <v>test chemical</v>
      </c>
      <c r="C55" s="122">
        <f t="shared" si="17"/>
        <v>0</v>
      </c>
      <c r="D55" s="122">
        <f t="shared" si="17"/>
        <v>0</v>
      </c>
      <c r="E55" s="122">
        <f t="shared" si="17"/>
        <v>0</v>
      </c>
      <c r="F55" s="79" t="s">
        <v>30</v>
      </c>
    </row>
    <row r="56" spans="1:6" s="77" customFormat="1" ht="39" customHeight="1" x14ac:dyDescent="0.25">
      <c r="A56" s="62"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22" t="str">
        <f t="shared" ref="B56:E56" si="18">B32</f>
        <v>test chemical</v>
      </c>
      <c r="C56" s="122">
        <f t="shared" si="18"/>
        <v>0</v>
      </c>
      <c r="D56" s="122">
        <f t="shared" si="18"/>
        <v>0</v>
      </c>
      <c r="E56" s="122">
        <f t="shared" si="18"/>
        <v>0</v>
      </c>
      <c r="F56" s="79" t="s">
        <v>30</v>
      </c>
    </row>
    <row r="57" spans="1:6" s="77" customFormat="1" ht="39" customHeight="1" x14ac:dyDescent="0.25">
      <c r="A57" s="70"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21" t="str">
        <f t="shared" ref="B57:E57" si="19">B33</f>
        <v>test chemical</v>
      </c>
      <c r="C57" s="121">
        <f t="shared" si="19"/>
        <v>0</v>
      </c>
      <c r="D57" s="121">
        <f t="shared" si="19"/>
        <v>0</v>
      </c>
      <c r="E57" s="121">
        <f t="shared" si="19"/>
        <v>0</v>
      </c>
      <c r="F57" s="79" t="s">
        <v>30</v>
      </c>
    </row>
  </sheetData>
  <protectedRanges>
    <protectedRange sqref="C19:D37 A15:A51"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13 E19: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G1" activePane="topRight" state="frozen"/>
      <selection pane="topRight" activeCell="N2" sqref="N1:AC1048576"/>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144" t="s">
        <v>21</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ht="15.75" thickBot="1" x14ac:dyDescent="0.3">
      <c r="A2"/>
      <c r="B2"/>
      <c r="C2"/>
      <c r="D2"/>
      <c r="E2"/>
      <c r="F2"/>
      <c r="G2"/>
      <c r="H2"/>
      <c r="I2"/>
      <c r="J2"/>
      <c r="K2"/>
      <c r="L2"/>
      <c r="M2"/>
      <c r="S2"/>
      <c r="T2"/>
      <c r="U2"/>
      <c r="V2"/>
      <c r="W2"/>
      <c r="X2"/>
      <c r="Y2"/>
      <c r="Z2"/>
      <c r="AA2"/>
      <c r="AB2"/>
      <c r="AC2"/>
      <c r="AD2"/>
    </row>
    <row r="3" spans="1:37" ht="15.75" thickBot="1" x14ac:dyDescent="0.3">
      <c r="A3" s="37" t="s">
        <v>8</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BPA-1mg/L</v>
      </c>
      <c r="J4" s="20" t="str">
        <f>'Front page'!A15</f>
        <v>BPA-2mg/L</v>
      </c>
      <c r="K4" s="20" t="str">
        <f>'Front page'!A16</f>
        <v>BPA-3mg/L</v>
      </c>
      <c r="L4" s="20" t="str">
        <f>'Front page'!A17</f>
        <v>BPA-4mg/L</v>
      </c>
      <c r="M4" s="20" t="str">
        <f>'Front page'!A18</f>
        <v>BPA-5mg/L</v>
      </c>
      <c r="N4" s="3"/>
      <c r="O4" s="21" t="str">
        <f>'Front page'!A35</f>
        <v>Testo -30µg/L</v>
      </c>
      <c r="P4" s="21" t="str">
        <f>'Front page'!A36</f>
        <v>Testo 30µg/L + EE2 -64ng/L</v>
      </c>
      <c r="Q4" s="21" t="str">
        <f>'Front page'!A37</f>
        <v>Testo 30µg/L + FAD-10mg/L</v>
      </c>
      <c r="R4" s="21" t="str">
        <f>'Front page'!A38</f>
        <v>BPA-1mg/L + Testostérone</v>
      </c>
      <c r="S4" s="21" t="str">
        <f>'Front page'!A39</f>
        <v>BPA-2mg/L + Testostérone</v>
      </c>
      <c r="T4" s="21" t="str">
        <f>'Front page'!A40</f>
        <v>BPA-3mg/L + Testostérone</v>
      </c>
      <c r="U4" s="21" t="str">
        <f>'Front page'!A41</f>
        <v>BPA-4mg/L + Testostérone</v>
      </c>
      <c r="V4" s="21" t="str">
        <f>'Front page'!A42</f>
        <v>BPA-5mg/L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ht="16.5" x14ac:dyDescent="0.25">
      <c r="A5" s="150" t="s">
        <v>16</v>
      </c>
      <c r="B5" s="60">
        <v>1651</v>
      </c>
      <c r="C5" s="13">
        <v>21200</v>
      </c>
      <c r="D5" s="17">
        <v>9792</v>
      </c>
      <c r="E5" s="17">
        <v>3705</v>
      </c>
      <c r="F5" s="1">
        <v>332800</v>
      </c>
      <c r="G5" s="1">
        <v>335075</v>
      </c>
      <c r="H5" s="17">
        <v>439066</v>
      </c>
      <c r="I5" s="17">
        <v>3023</v>
      </c>
      <c r="J5" s="17">
        <v>8521</v>
      </c>
      <c r="K5" s="13">
        <v>14470</v>
      </c>
      <c r="L5" s="13">
        <v>12188</v>
      </c>
      <c r="M5" s="13">
        <v>110737</v>
      </c>
      <c r="N5" s="3"/>
      <c r="O5" s="1">
        <v>21375</v>
      </c>
      <c r="P5" s="13">
        <v>127066</v>
      </c>
      <c r="Q5" s="13">
        <v>36927</v>
      </c>
      <c r="R5" s="17">
        <v>336894</v>
      </c>
      <c r="S5" s="17">
        <v>295159</v>
      </c>
      <c r="T5" s="17">
        <v>269936</v>
      </c>
      <c r="U5" s="17">
        <v>287806</v>
      </c>
      <c r="V5" s="17">
        <v>337030</v>
      </c>
      <c r="W5" s="17"/>
      <c r="X5" s="17"/>
      <c r="Y5" s="17"/>
      <c r="Z5" s="17"/>
      <c r="AA5" s="17"/>
      <c r="AB5" s="17"/>
      <c r="AC5" s="17"/>
      <c r="AD5" s="17"/>
      <c r="AE5" s="4"/>
      <c r="AF5" s="17"/>
      <c r="AG5" s="17"/>
      <c r="AH5" s="17"/>
      <c r="AI5" s="17"/>
      <c r="AJ5" s="17"/>
      <c r="AK5" s="17"/>
    </row>
    <row r="6" spans="1:37" ht="16.5" x14ac:dyDescent="0.25">
      <c r="A6" s="151"/>
      <c r="B6" s="60">
        <v>22883</v>
      </c>
      <c r="C6" s="13">
        <v>65940</v>
      </c>
      <c r="D6" s="17">
        <v>1386</v>
      </c>
      <c r="E6" s="17">
        <v>142913</v>
      </c>
      <c r="F6" s="1">
        <v>16979</v>
      </c>
      <c r="G6" s="1">
        <v>251788</v>
      </c>
      <c r="H6" s="17">
        <v>298558</v>
      </c>
      <c r="I6" s="17">
        <v>4867</v>
      </c>
      <c r="J6" s="17">
        <v>1372</v>
      </c>
      <c r="K6" s="13">
        <v>18832</v>
      </c>
      <c r="L6" s="13">
        <v>39487</v>
      </c>
      <c r="M6" s="13">
        <v>26781</v>
      </c>
      <c r="N6" s="3"/>
      <c r="O6" s="1">
        <v>349783</v>
      </c>
      <c r="P6" s="13">
        <v>360816</v>
      </c>
      <c r="Q6" s="13">
        <v>0</v>
      </c>
      <c r="R6" s="17">
        <v>374281</v>
      </c>
      <c r="S6" s="17">
        <v>305188</v>
      </c>
      <c r="T6" s="17">
        <v>252194</v>
      </c>
      <c r="U6" s="17">
        <v>271355</v>
      </c>
      <c r="V6" s="17">
        <v>430725</v>
      </c>
      <c r="W6" s="17"/>
      <c r="X6" s="17"/>
      <c r="Y6" s="17"/>
      <c r="Z6" s="17"/>
      <c r="AA6" s="17"/>
      <c r="AB6" s="17"/>
      <c r="AC6" s="17"/>
      <c r="AD6" s="17"/>
      <c r="AE6" s="4"/>
      <c r="AF6" s="17"/>
      <c r="AG6" s="17"/>
      <c r="AH6" s="17"/>
      <c r="AI6" s="17"/>
      <c r="AJ6" s="17"/>
      <c r="AK6" s="17"/>
    </row>
    <row r="7" spans="1:37" ht="16.5" x14ac:dyDescent="0.25">
      <c r="A7" s="151"/>
      <c r="B7" s="60">
        <v>4959</v>
      </c>
      <c r="C7" s="13">
        <v>2365</v>
      </c>
      <c r="D7" s="17">
        <v>32620</v>
      </c>
      <c r="E7" s="17">
        <v>31392</v>
      </c>
      <c r="F7" s="1">
        <v>197667</v>
      </c>
      <c r="G7" s="1">
        <v>295900</v>
      </c>
      <c r="H7" s="17">
        <v>267844</v>
      </c>
      <c r="I7" s="17">
        <v>37050</v>
      </c>
      <c r="J7" s="17">
        <v>6090</v>
      </c>
      <c r="K7" s="13">
        <v>247</v>
      </c>
      <c r="L7" s="13">
        <v>0</v>
      </c>
      <c r="M7" s="13">
        <v>8283</v>
      </c>
      <c r="N7" s="3"/>
      <c r="O7" s="1">
        <v>336640</v>
      </c>
      <c r="P7" s="13">
        <v>134115</v>
      </c>
      <c r="Q7" s="13">
        <v>57323</v>
      </c>
      <c r="R7" s="17">
        <v>320655</v>
      </c>
      <c r="S7" s="17">
        <v>270387</v>
      </c>
      <c r="T7" s="17">
        <v>254217</v>
      </c>
      <c r="U7" s="17">
        <v>182657</v>
      </c>
      <c r="V7" s="17">
        <v>445268</v>
      </c>
      <c r="W7" s="17"/>
      <c r="X7" s="17"/>
      <c r="Y7" s="17"/>
      <c r="Z7" s="17"/>
      <c r="AA7" s="17"/>
      <c r="AB7" s="17"/>
      <c r="AC7" s="17"/>
      <c r="AD7" s="17"/>
      <c r="AE7" s="4"/>
      <c r="AF7" s="17"/>
      <c r="AG7" s="17"/>
      <c r="AH7" s="17"/>
      <c r="AI7" s="17"/>
      <c r="AJ7" s="17"/>
      <c r="AK7" s="17"/>
    </row>
    <row r="8" spans="1:37" ht="16.5" x14ac:dyDescent="0.25">
      <c r="A8" s="151"/>
      <c r="B8" s="60">
        <v>3496</v>
      </c>
      <c r="C8" s="13">
        <v>4545</v>
      </c>
      <c r="D8" s="17">
        <v>5119</v>
      </c>
      <c r="E8" s="17">
        <v>110972</v>
      </c>
      <c r="F8" s="1">
        <v>208497</v>
      </c>
      <c r="G8" s="1">
        <v>191316</v>
      </c>
      <c r="H8" s="17">
        <v>359795</v>
      </c>
      <c r="I8" s="17">
        <v>4848</v>
      </c>
      <c r="J8" s="17">
        <v>9249</v>
      </c>
      <c r="K8" s="13">
        <v>13642</v>
      </c>
      <c r="L8" s="13">
        <v>7791</v>
      </c>
      <c r="M8" s="13">
        <v>15787</v>
      </c>
      <c r="N8" s="3"/>
      <c r="O8" s="1">
        <v>246957</v>
      </c>
      <c r="P8" s="13">
        <v>317923</v>
      </c>
      <c r="Q8" s="13">
        <v>13963</v>
      </c>
      <c r="R8" s="17">
        <v>333653</v>
      </c>
      <c r="S8" s="17">
        <v>216120</v>
      </c>
      <c r="T8" s="17">
        <v>296978</v>
      </c>
      <c r="U8" s="17">
        <v>306415</v>
      </c>
      <c r="V8" s="17">
        <v>461014</v>
      </c>
      <c r="W8" s="17"/>
      <c r="X8" s="17"/>
      <c r="Y8" s="17"/>
      <c r="Z8" s="17"/>
      <c r="AA8" s="17"/>
      <c r="AB8" s="17"/>
      <c r="AC8" s="17"/>
      <c r="AD8" s="17"/>
      <c r="AE8" s="4"/>
      <c r="AF8" s="17"/>
      <c r="AG8" s="17"/>
      <c r="AH8" s="17"/>
      <c r="AI8" s="17"/>
      <c r="AJ8" s="17"/>
      <c r="AK8" s="17"/>
    </row>
    <row r="9" spans="1:37" ht="16.5" x14ac:dyDescent="0.25">
      <c r="A9" s="151"/>
      <c r="B9" s="60">
        <v>18586</v>
      </c>
      <c r="C9" s="13">
        <v>6088</v>
      </c>
      <c r="D9" s="17">
        <v>45754</v>
      </c>
      <c r="E9" s="17">
        <v>137981</v>
      </c>
      <c r="F9" s="1">
        <v>4664</v>
      </c>
      <c r="G9" s="1">
        <v>371859</v>
      </c>
      <c r="H9" s="17">
        <v>414063</v>
      </c>
      <c r="I9" s="17">
        <v>17372</v>
      </c>
      <c r="J9" s="17">
        <v>6598</v>
      </c>
      <c r="K9" s="13">
        <v>6178</v>
      </c>
      <c r="L9" s="13">
        <v>10695</v>
      </c>
      <c r="M9" s="13">
        <v>24825</v>
      </c>
      <c r="N9" s="3"/>
      <c r="O9" s="1">
        <v>354173</v>
      </c>
      <c r="P9" s="13">
        <v>463747</v>
      </c>
      <c r="Q9" s="13">
        <v>1386</v>
      </c>
      <c r="R9" s="17">
        <v>255939</v>
      </c>
      <c r="S9" s="17">
        <v>206656</v>
      </c>
      <c r="T9" s="17">
        <v>263707</v>
      </c>
      <c r="U9" s="17">
        <v>266353</v>
      </c>
      <c r="V9" s="17">
        <v>303084</v>
      </c>
      <c r="W9" s="17"/>
      <c r="X9" s="17"/>
      <c r="Y9" s="17"/>
      <c r="Z9" s="17"/>
      <c r="AA9" s="17"/>
      <c r="AB9" s="17"/>
      <c r="AC9" s="17"/>
      <c r="AD9" s="17"/>
      <c r="AE9" s="4"/>
      <c r="AF9" s="17"/>
      <c r="AG9" s="17"/>
      <c r="AH9" s="17"/>
      <c r="AI9" s="17"/>
      <c r="AJ9" s="17"/>
      <c r="AK9" s="17"/>
    </row>
    <row r="10" spans="1:37" ht="16.5" x14ac:dyDescent="0.25">
      <c r="A10" s="151"/>
      <c r="B10" s="60">
        <v>17595</v>
      </c>
      <c r="C10" s="13">
        <v>24215</v>
      </c>
      <c r="D10" s="17">
        <v>16215</v>
      </c>
      <c r="E10" s="17">
        <v>0</v>
      </c>
      <c r="F10" s="1">
        <v>237818</v>
      </c>
      <c r="G10" s="1">
        <v>252828</v>
      </c>
      <c r="H10" s="17">
        <v>457739</v>
      </c>
      <c r="I10" s="17">
        <v>46793</v>
      </c>
      <c r="J10" s="17">
        <v>11114</v>
      </c>
      <c r="K10" s="13">
        <v>4617</v>
      </c>
      <c r="L10" s="13">
        <v>2432</v>
      </c>
      <c r="M10" s="13">
        <v>218513</v>
      </c>
      <c r="N10" s="3"/>
      <c r="O10" s="1">
        <v>338529</v>
      </c>
      <c r="P10" s="13">
        <v>264828</v>
      </c>
      <c r="Q10" s="13">
        <v>69597</v>
      </c>
      <c r="R10" s="17">
        <v>375468</v>
      </c>
      <c r="S10" s="17">
        <v>119719</v>
      </c>
      <c r="T10" s="17">
        <v>207343</v>
      </c>
      <c r="U10" s="17">
        <v>368083</v>
      </c>
      <c r="V10" s="17">
        <v>383440</v>
      </c>
      <c r="W10" s="17"/>
      <c r="X10" s="17"/>
      <c r="Y10" s="17"/>
      <c r="Z10" s="17"/>
      <c r="AA10" s="17"/>
      <c r="AB10" s="17"/>
      <c r="AC10" s="17"/>
      <c r="AD10" s="17"/>
      <c r="AE10" s="4"/>
      <c r="AF10" s="17"/>
      <c r="AG10" s="17"/>
      <c r="AH10" s="17"/>
      <c r="AI10" s="17"/>
      <c r="AJ10" s="17"/>
      <c r="AK10" s="17"/>
    </row>
    <row r="11" spans="1:37" ht="16.5" x14ac:dyDescent="0.25">
      <c r="A11" s="151"/>
      <c r="B11" s="60">
        <v>11219</v>
      </c>
      <c r="C11" s="13">
        <v>2879</v>
      </c>
      <c r="D11" s="17">
        <v>50243</v>
      </c>
      <c r="E11" s="17">
        <v>167151</v>
      </c>
      <c r="F11" s="1">
        <v>199585</v>
      </c>
      <c r="G11" s="1">
        <v>245829</v>
      </c>
      <c r="H11" s="17">
        <v>392366</v>
      </c>
      <c r="I11" s="17">
        <v>774</v>
      </c>
      <c r="J11" s="17">
        <v>2470</v>
      </c>
      <c r="K11" s="13">
        <v>6459</v>
      </c>
      <c r="L11" s="13">
        <v>1479</v>
      </c>
      <c r="M11" s="13">
        <v>4324</v>
      </c>
      <c r="N11" s="3"/>
      <c r="O11" s="1">
        <v>228379</v>
      </c>
      <c r="P11" s="13">
        <v>368981</v>
      </c>
      <c r="Q11" s="13">
        <v>15391</v>
      </c>
      <c r="R11" s="17">
        <v>240666</v>
      </c>
      <c r="S11" s="17">
        <v>304312</v>
      </c>
      <c r="T11" s="17">
        <v>338091</v>
      </c>
      <c r="U11" s="17">
        <v>52110</v>
      </c>
      <c r="V11" s="17">
        <v>344415</v>
      </c>
      <c r="W11" s="17"/>
      <c r="X11" s="17"/>
      <c r="Y11" s="17"/>
      <c r="Z11" s="17"/>
      <c r="AA11" s="17"/>
      <c r="AB11" s="17"/>
      <c r="AC11" s="17"/>
      <c r="AD11" s="17"/>
      <c r="AE11" s="4"/>
      <c r="AF11" s="17"/>
      <c r="AG11" s="17"/>
      <c r="AH11" s="17"/>
      <c r="AI11" s="17"/>
      <c r="AJ11" s="17"/>
      <c r="AK11" s="17"/>
    </row>
    <row r="12" spans="1:37" ht="16.5" x14ac:dyDescent="0.25">
      <c r="A12" s="151"/>
      <c r="B12" s="60">
        <v>17168</v>
      </c>
      <c r="C12" s="13">
        <v>2475</v>
      </c>
      <c r="D12" s="17">
        <v>27615</v>
      </c>
      <c r="E12" s="17">
        <v>14320</v>
      </c>
      <c r="F12" s="1">
        <v>180166</v>
      </c>
      <c r="G12" s="1">
        <v>261339</v>
      </c>
      <c r="H12" s="17">
        <v>370131</v>
      </c>
      <c r="I12" s="17"/>
      <c r="J12" s="17">
        <v>41515</v>
      </c>
      <c r="K12" s="13">
        <v>28155</v>
      </c>
      <c r="L12" s="13"/>
      <c r="M12" s="13">
        <v>23815</v>
      </c>
      <c r="N12" s="3"/>
      <c r="O12" s="1">
        <v>341946</v>
      </c>
      <c r="P12" s="13"/>
      <c r="Q12" s="13">
        <v>1295</v>
      </c>
      <c r="R12" s="17">
        <v>402805</v>
      </c>
      <c r="S12" s="17">
        <v>290215</v>
      </c>
      <c r="T12" s="17">
        <v>231800</v>
      </c>
      <c r="U12" s="17"/>
      <c r="V12" s="17">
        <v>406186</v>
      </c>
      <c r="W12" s="17"/>
      <c r="X12" s="17"/>
      <c r="Y12" s="17"/>
      <c r="Z12" s="17"/>
      <c r="AA12" s="17"/>
      <c r="AB12" s="17"/>
      <c r="AC12" s="17"/>
      <c r="AD12" s="17"/>
      <c r="AE12" s="4"/>
      <c r="AF12" s="17"/>
      <c r="AG12" s="17"/>
      <c r="AH12" s="17"/>
      <c r="AI12" s="17"/>
      <c r="AJ12" s="17"/>
      <c r="AK12" s="17"/>
    </row>
    <row r="13" spans="1:37" ht="16.5" x14ac:dyDescent="0.25">
      <c r="A13" s="151"/>
      <c r="B13" s="14"/>
      <c r="C13" s="13"/>
      <c r="D13" s="16"/>
      <c r="E13" s="16"/>
      <c r="F13" s="16"/>
      <c r="G13" s="16"/>
      <c r="H13" s="16"/>
      <c r="I13" s="17"/>
      <c r="J13" s="16"/>
      <c r="K13" s="13"/>
      <c r="L13" s="13"/>
      <c r="M13" s="13"/>
      <c r="N13" s="3"/>
      <c r="O13" s="1">
        <v>302137</v>
      </c>
      <c r="P13" s="13"/>
      <c r="Q13" s="13"/>
      <c r="R13" s="4"/>
      <c r="S13" s="17"/>
      <c r="T13" s="17"/>
      <c r="U13" s="17"/>
      <c r="V13" s="17"/>
      <c r="W13" s="17"/>
      <c r="X13" s="17"/>
      <c r="Y13" s="17"/>
      <c r="Z13" s="17"/>
      <c r="AA13" s="17"/>
      <c r="AB13" s="17"/>
      <c r="AC13" s="17"/>
      <c r="AD13" s="17"/>
      <c r="AE13" s="4"/>
      <c r="AF13" s="17"/>
      <c r="AG13" s="17"/>
      <c r="AH13" s="17"/>
      <c r="AI13" s="17"/>
      <c r="AJ13" s="17"/>
      <c r="AK13" s="17"/>
    </row>
    <row r="14" spans="1:37" ht="16.5" x14ac:dyDescent="0.25">
      <c r="A14" s="151"/>
      <c r="B14" s="14"/>
      <c r="C14" s="16"/>
      <c r="D14" s="16"/>
      <c r="E14" s="16"/>
      <c r="F14" s="16"/>
      <c r="G14" s="16"/>
      <c r="H14" s="16"/>
      <c r="I14" s="17"/>
      <c r="J14" s="16"/>
      <c r="K14" s="13"/>
      <c r="L14" s="13"/>
      <c r="M14" s="13"/>
      <c r="N14" s="3"/>
      <c r="O14" s="1">
        <v>320224</v>
      </c>
      <c r="P14" s="13"/>
      <c r="Q14" s="13"/>
      <c r="R14" s="4"/>
      <c r="S14" s="17"/>
      <c r="T14" s="17"/>
      <c r="U14" s="17"/>
      <c r="V14" s="17"/>
      <c r="W14" s="17"/>
      <c r="X14" s="17"/>
      <c r="Y14" s="17"/>
      <c r="Z14" s="17"/>
      <c r="AA14" s="17"/>
      <c r="AB14" s="17"/>
      <c r="AC14" s="17"/>
      <c r="AD14" s="17"/>
      <c r="AE14" s="4"/>
      <c r="AF14" s="17"/>
      <c r="AG14" s="17"/>
      <c r="AH14" s="17"/>
      <c r="AI14" s="17"/>
      <c r="AJ14" s="17"/>
      <c r="AK14" s="17"/>
    </row>
    <row r="15" spans="1:37" ht="16.5" x14ac:dyDescent="0.25">
      <c r="A15" s="151"/>
      <c r="B15" s="14"/>
      <c r="C15" s="16"/>
      <c r="D15" s="16"/>
      <c r="E15" s="16"/>
      <c r="F15" s="16"/>
      <c r="G15" s="16"/>
      <c r="H15" s="16"/>
      <c r="I15" s="17"/>
      <c r="J15" s="16"/>
      <c r="K15" s="13"/>
      <c r="L15" s="13"/>
      <c r="M15" s="13"/>
      <c r="N15" s="3"/>
      <c r="O15" s="1">
        <v>269609</v>
      </c>
      <c r="P15" s="13"/>
      <c r="Q15" s="13"/>
      <c r="R15" s="4"/>
      <c r="S15" s="17"/>
      <c r="T15" s="17"/>
      <c r="U15" s="17"/>
      <c r="V15" s="17"/>
      <c r="W15" s="17"/>
      <c r="X15" s="17"/>
      <c r="Y15" s="17"/>
      <c r="Z15" s="17"/>
      <c r="AA15" s="17"/>
      <c r="AB15" s="17"/>
      <c r="AC15" s="17"/>
      <c r="AD15" s="17"/>
      <c r="AE15" s="4"/>
      <c r="AF15" s="17"/>
      <c r="AG15" s="17"/>
      <c r="AH15" s="17"/>
      <c r="AI15" s="17"/>
      <c r="AJ15" s="17"/>
      <c r="AK15" s="17"/>
    </row>
    <row r="16" spans="1:37" ht="16.5" x14ac:dyDescent="0.25">
      <c r="A16" s="151"/>
      <c r="B16" s="14"/>
      <c r="C16" s="16"/>
      <c r="D16" s="16"/>
      <c r="E16" s="16"/>
      <c r="F16" s="16"/>
      <c r="G16" s="16"/>
      <c r="H16" s="16"/>
      <c r="I16" s="17"/>
      <c r="J16" s="16"/>
      <c r="K16" s="13"/>
      <c r="L16" s="13"/>
      <c r="M16" s="13"/>
      <c r="N16" s="3"/>
      <c r="O16" s="1">
        <v>256104</v>
      </c>
      <c r="P16" s="13"/>
      <c r="Q16" s="13"/>
      <c r="R16" s="4"/>
      <c r="S16" s="17"/>
      <c r="T16" s="17"/>
      <c r="U16" s="17"/>
      <c r="V16" s="17"/>
      <c r="W16" s="17"/>
      <c r="X16" s="17"/>
      <c r="Y16" s="17"/>
      <c r="Z16" s="17"/>
      <c r="AA16" s="17"/>
      <c r="AB16" s="17"/>
      <c r="AC16" s="17"/>
      <c r="AD16" s="17"/>
      <c r="AE16" s="4"/>
      <c r="AF16" s="17"/>
      <c r="AG16" s="17"/>
      <c r="AH16" s="17"/>
      <c r="AI16" s="17"/>
      <c r="AJ16" s="17"/>
      <c r="AK16" s="17"/>
    </row>
    <row r="17" spans="1:37" s="1" customFormat="1" ht="16.5" x14ac:dyDescent="0.25">
      <c r="A17" s="151"/>
      <c r="B17" s="14"/>
      <c r="C17" s="17"/>
      <c r="D17" s="17"/>
      <c r="E17" s="17"/>
      <c r="F17" s="17"/>
      <c r="G17" s="17"/>
      <c r="H17" s="17"/>
      <c r="I17" s="17"/>
      <c r="J17" s="17"/>
      <c r="K17" s="13"/>
      <c r="L17" s="13"/>
      <c r="M17" s="13"/>
      <c r="N17" s="3"/>
      <c r="O17" s="1">
        <v>298035</v>
      </c>
      <c r="P17" s="13"/>
      <c r="Q17" s="13"/>
      <c r="R17" s="17"/>
      <c r="S17" s="17"/>
      <c r="T17" s="17"/>
      <c r="U17" s="17"/>
      <c r="V17" s="17"/>
      <c r="W17" s="17"/>
      <c r="X17" s="17"/>
      <c r="Y17" s="17"/>
      <c r="Z17" s="17"/>
      <c r="AA17" s="17"/>
      <c r="AB17" s="17"/>
      <c r="AC17" s="17"/>
      <c r="AD17" s="17"/>
      <c r="AE17" s="17"/>
      <c r="AF17" s="17"/>
      <c r="AG17" s="17"/>
      <c r="AH17" s="17"/>
      <c r="AI17" s="17"/>
      <c r="AJ17" s="17"/>
      <c r="AK17" s="17"/>
    </row>
    <row r="18" spans="1:37" s="1" customFormat="1" ht="16.5" x14ac:dyDescent="0.25">
      <c r="A18" s="151"/>
      <c r="B18" s="14"/>
      <c r="C18" s="17"/>
      <c r="D18" s="17"/>
      <c r="E18" s="17"/>
      <c r="F18" s="17"/>
      <c r="G18" s="17"/>
      <c r="H18" s="17"/>
      <c r="I18" s="17"/>
      <c r="J18" s="17"/>
      <c r="K18" s="13"/>
      <c r="L18" s="13"/>
      <c r="M18" s="13"/>
      <c r="N18" s="3"/>
      <c r="O18" s="1">
        <v>331464</v>
      </c>
      <c r="P18" s="13"/>
      <c r="Q18" s="13"/>
      <c r="R18" s="17"/>
      <c r="S18" s="17"/>
      <c r="T18" s="17"/>
      <c r="U18" s="17"/>
      <c r="V18" s="17"/>
      <c r="W18" s="17"/>
      <c r="X18" s="17"/>
      <c r="Y18" s="17"/>
      <c r="Z18" s="17"/>
      <c r="AA18" s="17"/>
      <c r="AB18" s="17"/>
      <c r="AC18" s="17"/>
      <c r="AD18" s="17"/>
      <c r="AE18" s="17"/>
      <c r="AF18" s="17"/>
      <c r="AG18" s="17"/>
      <c r="AH18" s="17"/>
      <c r="AI18" s="17"/>
      <c r="AJ18" s="17"/>
      <c r="AK18" s="17"/>
    </row>
    <row r="19" spans="1:37" s="1" customFormat="1" ht="16.5" x14ac:dyDescent="0.25">
      <c r="A19" s="151"/>
      <c r="B19" s="14"/>
      <c r="C19" s="17"/>
      <c r="D19" s="17"/>
      <c r="E19" s="17"/>
      <c r="F19" s="17"/>
      <c r="G19" s="17"/>
      <c r="H19" s="17"/>
      <c r="I19" s="17"/>
      <c r="J19" s="17"/>
      <c r="K19" s="13"/>
      <c r="L19" s="13"/>
      <c r="M19" s="13"/>
      <c r="N19" s="3"/>
      <c r="O19" s="1">
        <v>239391</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1"/>
      <c r="B20" s="14"/>
      <c r="C20" s="16"/>
      <c r="D20" s="16"/>
      <c r="E20" s="16"/>
      <c r="F20" s="16"/>
      <c r="G20" s="16"/>
      <c r="H20" s="16"/>
      <c r="I20" s="17"/>
      <c r="J20" s="16"/>
      <c r="K20" s="13"/>
      <c r="L20" s="13"/>
      <c r="M20" s="13"/>
      <c r="N20" s="3"/>
      <c r="O20" s="1">
        <v>249538</v>
      </c>
      <c r="P20" s="13"/>
      <c r="Q20" s="13"/>
      <c r="R20" s="4"/>
      <c r="S20" s="17"/>
      <c r="T20" s="17"/>
      <c r="U20" s="17"/>
      <c r="V20" s="17"/>
      <c r="W20" s="17"/>
      <c r="X20" s="17"/>
      <c r="Y20" s="17"/>
      <c r="Z20" s="17"/>
      <c r="AA20" s="17"/>
      <c r="AB20" s="17"/>
      <c r="AC20" s="17"/>
      <c r="AD20" s="17"/>
      <c r="AE20" s="4"/>
      <c r="AF20" s="17"/>
      <c r="AG20" s="17"/>
      <c r="AH20" s="17"/>
      <c r="AI20" s="17"/>
      <c r="AJ20" s="17"/>
      <c r="AK20" s="17"/>
    </row>
    <row r="21" spans="1:37" s="1" customFormat="1" ht="16.5" x14ac:dyDescent="0.25">
      <c r="A21" s="53"/>
      <c r="B21" s="54"/>
      <c r="C21" s="7"/>
      <c r="D21" s="7"/>
      <c r="E21" s="7"/>
      <c r="F21" s="7"/>
      <c r="G21" s="7"/>
      <c r="H21" s="7"/>
      <c r="I21" s="7"/>
      <c r="J21" s="7"/>
      <c r="K21" s="18"/>
      <c r="L21" s="18"/>
      <c r="M21" s="18"/>
      <c r="N21" s="3"/>
      <c r="O21" s="7"/>
      <c r="P21" s="18"/>
      <c r="Q21" s="18"/>
      <c r="R21" s="7"/>
      <c r="S21" s="7"/>
      <c r="T21" s="7"/>
      <c r="U21" s="7"/>
      <c r="V21" s="7"/>
      <c r="W21" s="7"/>
      <c r="X21" s="7"/>
      <c r="Y21" s="7"/>
      <c r="Z21" s="7"/>
      <c r="AA21" s="7"/>
      <c r="AB21" s="7"/>
      <c r="AC21" s="7"/>
      <c r="AD21" s="7"/>
      <c r="AE21" s="7"/>
      <c r="AF21" s="7"/>
      <c r="AG21" s="7"/>
      <c r="AH21" s="7"/>
      <c r="AI21" s="7"/>
      <c r="AJ21" s="7"/>
      <c r="AK21" s="7"/>
    </row>
    <row r="22" spans="1:37" s="56" customFormat="1" x14ac:dyDescent="0.25">
      <c r="A22" s="55" t="str">
        <f t="shared" ref="A22:M22" si="0">A4</f>
        <v>Noms des groupes</v>
      </c>
      <c r="B22" s="55" t="str">
        <f t="shared" si="0"/>
        <v>Solvent control</v>
      </c>
      <c r="C22" s="55" t="str">
        <f t="shared" si="0"/>
        <v>EE2-33.8ng/L</v>
      </c>
      <c r="D22" s="55" t="str">
        <f t="shared" si="0"/>
        <v>EE2-50.6ng/L</v>
      </c>
      <c r="E22" s="55" t="str">
        <f t="shared" si="0"/>
        <v>EE2-76ng/L</v>
      </c>
      <c r="F22" s="55" t="str">
        <f t="shared" si="0"/>
        <v>EE2-114ng/L</v>
      </c>
      <c r="G22" s="55" t="str">
        <f t="shared" si="0"/>
        <v>EE2-170.9ng/L</v>
      </c>
      <c r="H22" s="55" t="str">
        <f t="shared" si="0"/>
        <v>EE2-488ng/L</v>
      </c>
      <c r="I22" s="55" t="str">
        <f t="shared" si="0"/>
        <v>BPA-1mg/L</v>
      </c>
      <c r="J22" s="55" t="str">
        <f t="shared" si="0"/>
        <v>BPA-2mg/L</v>
      </c>
      <c r="K22" s="55" t="str">
        <f t="shared" si="0"/>
        <v>BPA-3mg/L</v>
      </c>
      <c r="L22" s="55" t="str">
        <f t="shared" si="0"/>
        <v>BPA-4mg/L</v>
      </c>
      <c r="M22" s="55" t="str">
        <f t="shared" si="0"/>
        <v>BPA-5mg/L</v>
      </c>
      <c r="N22" s="55" t="s">
        <v>27</v>
      </c>
      <c r="O22" s="55" t="str">
        <f t="shared" ref="O22:AE22" si="1">O4</f>
        <v>Testo -30µg/L</v>
      </c>
      <c r="P22" s="55" t="str">
        <f t="shared" si="1"/>
        <v>Testo 30µg/L + EE2 -64ng/L</v>
      </c>
      <c r="Q22" s="55" t="str">
        <f t="shared" si="1"/>
        <v>Testo 30µg/L + FAD-10mg/L</v>
      </c>
      <c r="R22" s="55" t="str">
        <f t="shared" si="1"/>
        <v>BPA-1mg/L + Testostérone</v>
      </c>
      <c r="S22" s="55" t="str">
        <f t="shared" si="1"/>
        <v>BPA-2mg/L + Testostérone</v>
      </c>
      <c r="T22" s="55" t="str">
        <f t="shared" si="1"/>
        <v>BPA-3mg/L + Testostérone</v>
      </c>
      <c r="U22" s="55" t="str">
        <f t="shared" si="1"/>
        <v>BPA-4mg/L + Testostérone</v>
      </c>
      <c r="V22" s="55" t="str">
        <f t="shared" si="1"/>
        <v>BPA-5mg/L + Testostérone</v>
      </c>
      <c r="W22" s="55" t="str">
        <f t="shared" si="1"/>
        <v>0-00 + Testostérone</v>
      </c>
      <c r="X22" s="55" t="str">
        <f t="shared" si="1"/>
        <v>0-00 + Testostérone</v>
      </c>
      <c r="Y22" s="55" t="str">
        <f t="shared" si="1"/>
        <v>0-00 + Testostérone</v>
      </c>
      <c r="Z22" s="55" t="str">
        <f t="shared" si="1"/>
        <v>0-00 + Testostérone</v>
      </c>
      <c r="AA22" s="55" t="str">
        <f t="shared" si="1"/>
        <v>0-00 + Testostérone</v>
      </c>
      <c r="AB22" s="55" t="str">
        <f t="shared" si="1"/>
        <v>0-00 + Testostérone</v>
      </c>
      <c r="AC22" s="55" t="str">
        <f t="shared" si="1"/>
        <v>0-00 + Testostérone</v>
      </c>
      <c r="AD22" s="55" t="str">
        <f t="shared" si="1"/>
        <v>0-00 + Testostérone</v>
      </c>
      <c r="AE22" s="55" t="str">
        <f t="shared" si="1"/>
        <v>0-00 + Testostérone</v>
      </c>
      <c r="AF22" s="55" t="str">
        <f t="shared" ref="AF22:AK22" si="2">AF4</f>
        <v>0-00 + Testostérone</v>
      </c>
      <c r="AG22" s="55" t="str">
        <f t="shared" si="2"/>
        <v>0-00 + Testostérone</v>
      </c>
      <c r="AH22" s="55" t="str">
        <f t="shared" si="2"/>
        <v>0-00 + Testostérone</v>
      </c>
      <c r="AI22" s="55" t="str">
        <f t="shared" si="2"/>
        <v>0-00 + Testostérone</v>
      </c>
      <c r="AJ22" s="55" t="str">
        <f t="shared" si="2"/>
        <v>0-00 + Testostérone</v>
      </c>
      <c r="AK22" s="55" t="str">
        <f t="shared" si="2"/>
        <v>0-00 + Testostérone</v>
      </c>
    </row>
    <row r="23" spans="1:37" x14ac:dyDescent="0.25">
      <c r="A23" s="5" t="s">
        <v>0</v>
      </c>
      <c r="B23" s="5">
        <f t="shared" ref="B23:M23" si="3">AVERAGE(B5:B20)</f>
        <v>12194.625</v>
      </c>
      <c r="C23" s="5">
        <f t="shared" si="3"/>
        <v>16213.375</v>
      </c>
      <c r="D23" s="5">
        <f t="shared" si="3"/>
        <v>23593</v>
      </c>
      <c r="E23" s="5">
        <f t="shared" si="3"/>
        <v>76054.25</v>
      </c>
      <c r="F23" s="5">
        <f t="shared" si="3"/>
        <v>172272</v>
      </c>
      <c r="G23" s="5">
        <f t="shared" si="3"/>
        <v>275741.75</v>
      </c>
      <c r="H23" s="5">
        <f t="shared" si="3"/>
        <v>374945.25</v>
      </c>
      <c r="I23" s="5">
        <f t="shared" si="3"/>
        <v>16389.571428571428</v>
      </c>
      <c r="J23" s="5">
        <f t="shared" si="3"/>
        <v>10866.125</v>
      </c>
      <c r="K23" s="5">
        <f t="shared" si="3"/>
        <v>11575</v>
      </c>
      <c r="L23" s="5">
        <f t="shared" si="3"/>
        <v>10581.714285714286</v>
      </c>
      <c r="M23" s="5">
        <f t="shared" si="3"/>
        <v>54133.125</v>
      </c>
      <c r="N23" s="5" t="s">
        <v>0</v>
      </c>
      <c r="O23" s="5">
        <f t="shared" ref="O23:AE23" si="4">AVERAGE(O5:O20)</f>
        <v>280267.75</v>
      </c>
      <c r="P23" s="5">
        <f t="shared" si="4"/>
        <v>291068</v>
      </c>
      <c r="Q23" s="5">
        <f t="shared" si="4"/>
        <v>24485.25</v>
      </c>
      <c r="R23" s="5">
        <f t="shared" si="4"/>
        <v>330045.125</v>
      </c>
      <c r="S23" s="5">
        <f t="shared" si="4"/>
        <v>250969.5</v>
      </c>
      <c r="T23" s="5">
        <f t="shared" si="4"/>
        <v>264283.25</v>
      </c>
      <c r="U23" s="5">
        <f t="shared" si="4"/>
        <v>247825.57142857142</v>
      </c>
      <c r="V23" s="5">
        <f t="shared" si="4"/>
        <v>388895.25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8010.0808081798668</v>
      </c>
      <c r="C24" s="3">
        <f t="shared" si="6"/>
        <v>21904.434821270457</v>
      </c>
      <c r="D24" s="3">
        <f t="shared" si="6"/>
        <v>18432.648224588582</v>
      </c>
      <c r="E24" s="3">
        <f t="shared" si="6"/>
        <v>70353.575459450323</v>
      </c>
      <c r="F24" s="3">
        <f t="shared" si="6"/>
        <v>110220.13445049737</v>
      </c>
      <c r="G24" s="3">
        <f t="shared" si="6"/>
        <v>56687.182360111809</v>
      </c>
      <c r="H24" s="3">
        <f t="shared" si="6"/>
        <v>65855.201885326736</v>
      </c>
      <c r="I24" s="3">
        <f t="shared" si="6"/>
        <v>18442.142724903588</v>
      </c>
      <c r="J24" s="3">
        <f t="shared" si="6"/>
        <v>12812.891225385918</v>
      </c>
      <c r="K24" s="3">
        <f t="shared" si="6"/>
        <v>9041.5894304359699</v>
      </c>
      <c r="L24" s="3">
        <f t="shared" si="6"/>
        <v>13583.976733812595</v>
      </c>
      <c r="M24" s="3">
        <f t="shared" si="6"/>
        <v>74454.822164541984</v>
      </c>
      <c r="N24" s="3" t="s">
        <v>1</v>
      </c>
      <c r="O24" s="3">
        <f t="shared" ref="O24:AE24" si="7">STDEV(O5:O20)</f>
        <v>81577.157724859877</v>
      </c>
      <c r="P24" s="3">
        <f t="shared" si="7"/>
        <v>124962.58436828201</v>
      </c>
      <c r="Q24" s="3">
        <f t="shared" si="7"/>
        <v>27077.926164260491</v>
      </c>
      <c r="R24" s="3">
        <f t="shared" si="7"/>
        <v>57249.446244202722</v>
      </c>
      <c r="S24" s="3">
        <f t="shared" si="7"/>
        <v>65530.686615399616</v>
      </c>
      <c r="T24" s="3">
        <f t="shared" si="7"/>
        <v>39809.634941987169</v>
      </c>
      <c r="U24" s="3">
        <f t="shared" si="7"/>
        <v>102421.86628166394</v>
      </c>
      <c r="V24" s="3">
        <f t="shared" si="7"/>
        <v>56681.473720003334</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154" t="s">
        <v>6</v>
      </c>
      <c r="C26" s="155"/>
      <c r="D26" s="155"/>
      <c r="E26" s="155"/>
      <c r="F26" s="155"/>
      <c r="G26" s="155"/>
      <c r="H26" s="155"/>
      <c r="I26" s="155"/>
      <c r="J26" s="155"/>
      <c r="K26" s="155"/>
      <c r="L26" s="155"/>
      <c r="M26" s="155"/>
      <c r="N26" s="1"/>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s="1" customFormat="1" x14ac:dyDescent="0.25">
      <c r="A27" s="19" t="s">
        <v>22</v>
      </c>
      <c r="B27" s="20" t="str">
        <f t="shared" ref="B27:M27" si="9">B4</f>
        <v>Solvent control</v>
      </c>
      <c r="C27" s="20" t="str">
        <f t="shared" si="9"/>
        <v>EE2-33.8ng/L</v>
      </c>
      <c r="D27" s="20" t="str">
        <f t="shared" si="9"/>
        <v>EE2-50.6ng/L</v>
      </c>
      <c r="E27" s="20" t="str">
        <f t="shared" si="9"/>
        <v>EE2-76ng/L</v>
      </c>
      <c r="F27" s="20" t="str">
        <f t="shared" si="9"/>
        <v>EE2-114ng/L</v>
      </c>
      <c r="G27" s="20" t="str">
        <f t="shared" si="9"/>
        <v>EE2-170.9ng/L</v>
      </c>
      <c r="H27" s="20" t="str">
        <f t="shared" si="9"/>
        <v>EE2-488ng/L</v>
      </c>
      <c r="I27" s="20" t="str">
        <f t="shared" si="9"/>
        <v>BPA-1mg/L</v>
      </c>
      <c r="J27" s="20" t="str">
        <f t="shared" si="9"/>
        <v>BPA-2mg/L</v>
      </c>
      <c r="K27" s="20" t="str">
        <f t="shared" si="9"/>
        <v>BPA-3mg/L</v>
      </c>
      <c r="L27" s="20" t="str">
        <f t="shared" si="9"/>
        <v>BPA-4mg/L</v>
      </c>
      <c r="M27" s="20" t="str">
        <f t="shared" si="9"/>
        <v>BPA-5mg/L</v>
      </c>
      <c r="N27" s="3"/>
      <c r="O27" s="21" t="str">
        <f t="shared" ref="O27:AD27" si="10">O4</f>
        <v>Testo -30µg/L</v>
      </c>
      <c r="P27" s="21" t="str">
        <f t="shared" si="10"/>
        <v>Testo 30µg/L + EE2 -64ng/L</v>
      </c>
      <c r="Q27" s="21" t="str">
        <f t="shared" si="10"/>
        <v>Testo 30µg/L + FAD-10mg/L</v>
      </c>
      <c r="R27" s="21" t="str">
        <f t="shared" si="10"/>
        <v>BPA-1mg/L + Testostérone</v>
      </c>
      <c r="S27" s="21" t="str">
        <f t="shared" si="10"/>
        <v>BPA-2mg/L + Testostérone</v>
      </c>
      <c r="T27" s="21" t="str">
        <f t="shared" si="10"/>
        <v>BPA-3mg/L + Testostérone</v>
      </c>
      <c r="U27" s="21" t="str">
        <f t="shared" si="10"/>
        <v>BPA-4mg/L + Testostérone</v>
      </c>
      <c r="V27" s="21" t="str">
        <f t="shared" si="10"/>
        <v>BPA-5mg/L + Testostérone</v>
      </c>
      <c r="W27" s="21" t="str">
        <f t="shared" si="10"/>
        <v>0-00 + Testostérone</v>
      </c>
      <c r="X27" s="21" t="str">
        <f t="shared" si="10"/>
        <v>0-00 + Testostérone</v>
      </c>
      <c r="Y27" s="21" t="str">
        <f t="shared" si="10"/>
        <v>0-00 + Testostérone</v>
      </c>
      <c r="Z27" s="21" t="str">
        <f t="shared" si="10"/>
        <v>0-00 + Testostérone</v>
      </c>
      <c r="AA27" s="21" t="str">
        <f t="shared" si="10"/>
        <v>0-00 + Testostérone</v>
      </c>
      <c r="AB27" s="21" t="str">
        <f t="shared" si="10"/>
        <v>0-00 + Testostérone</v>
      </c>
      <c r="AC27" s="21" t="str">
        <f t="shared" si="10"/>
        <v>0-00 + Testostérone</v>
      </c>
      <c r="AD27" s="21" t="str">
        <f t="shared" si="10"/>
        <v>0-00 + Testostérone</v>
      </c>
      <c r="AE27" s="21" t="str">
        <f t="shared" ref="AE27:AK27" si="11">AE4</f>
        <v>0-00 + Testostérone</v>
      </c>
      <c r="AF27" s="21" t="str">
        <f t="shared" si="11"/>
        <v>0-00 + Testostérone</v>
      </c>
      <c r="AG27" s="21" t="str">
        <f t="shared" si="11"/>
        <v>0-00 + Testostérone</v>
      </c>
      <c r="AH27" s="21" t="str">
        <f t="shared" si="11"/>
        <v>0-00 + Testostérone</v>
      </c>
      <c r="AI27" s="21" t="str">
        <f t="shared" si="11"/>
        <v>0-00 + Testostérone</v>
      </c>
      <c r="AJ27" s="21" t="str">
        <f t="shared" si="11"/>
        <v>0-00 + Testostérone</v>
      </c>
      <c r="AK27" s="21" t="str">
        <f t="shared" si="11"/>
        <v>0-00 + Testostérone</v>
      </c>
    </row>
    <row r="28" spans="1:37" x14ac:dyDescent="0.25">
      <c r="A28" s="152" t="s">
        <v>17</v>
      </c>
      <c r="B28" s="11">
        <f>IF(B5="","",(B5/$O$23))</f>
        <v>5.8907954982333859E-3</v>
      </c>
      <c r="C28" s="11">
        <f>IF(C5="","",(C5/$O$23))</f>
        <v>7.5641953096637057E-2</v>
      </c>
      <c r="D28" s="11">
        <f>IF(D5="","",(D5/$O$23))</f>
        <v>3.4938019090673116E-2</v>
      </c>
      <c r="E28" s="11">
        <f>IF(E5="","",(E5/$O$23))</f>
        <v>1.3219501708633976E-2</v>
      </c>
      <c r="F28" s="11">
        <f>IF(F5="","",(F5/$O$23))</f>
        <v>1.1874359429509818</v>
      </c>
      <c r="G28" s="11">
        <f>IF(G5="","",(G5/$O$23))</f>
        <v>1.1955531808422482</v>
      </c>
      <c r="H28" s="11">
        <f>IF(H5="","",(H5/$O$23))</f>
        <v>1.5665948008645305</v>
      </c>
      <c r="I28" s="11">
        <f>IF(I5="","",(I5/$O$23))</f>
        <v>1.0786114349581783E-2</v>
      </c>
      <c r="J28" s="11">
        <f>IF(J5="","",(J5/$O$23))</f>
        <v>3.0403069921530395E-2</v>
      </c>
      <c r="K28" s="11">
        <f>IF(K5="","",(K5/$O$23))</f>
        <v>5.1629201005110294E-2</v>
      </c>
      <c r="L28" s="11">
        <f>IF(L5="","",(L5/$O$23))</f>
        <v>4.3486986997255304E-2</v>
      </c>
      <c r="M28" s="11">
        <f>IF(M5="","",(M5/$O$23))</f>
        <v>0.39511146038029704</v>
      </c>
      <c r="N28" s="6"/>
      <c r="O28" s="11">
        <f t="shared" ref="O28:AK28" si="12">IF(O5="","",(O5/$O$23))</f>
        <v>7.6266356011349859E-2</v>
      </c>
      <c r="P28" s="11">
        <f t="shared" si="12"/>
        <v>0.45337360434798507</v>
      </c>
      <c r="Q28" s="11">
        <f t="shared" si="12"/>
        <v>0.13175615103771304</v>
      </c>
      <c r="R28" s="11">
        <f t="shared" si="12"/>
        <v>1.2020434031386058</v>
      </c>
      <c r="S28" s="11">
        <f t="shared" si="12"/>
        <v>1.0531322280212405</v>
      </c>
      <c r="T28" s="11">
        <f t="shared" si="12"/>
        <v>0.96313614391951985</v>
      </c>
      <c r="U28" s="11">
        <f t="shared" si="12"/>
        <v>1.0268966015533361</v>
      </c>
      <c r="V28" s="11">
        <f t="shared" si="12"/>
        <v>1.202528653403754</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153"/>
      <c r="B29" s="11">
        <f>IF(B6="","",(B6/$O$23))</f>
        <v>8.1646925127846492E-2</v>
      </c>
      <c r="C29" s="11">
        <f>IF(C6="","",(C6/$O$23))</f>
        <v>0.23527501826378525</v>
      </c>
      <c r="D29" s="11">
        <f>IF(D6="","",(D6/$O$23))</f>
        <v>4.9452710845254225E-3</v>
      </c>
      <c r="E29" s="11">
        <f>IF(E6="","",(E6/$O$23))</f>
        <v>0.50991596428772135</v>
      </c>
      <c r="F29" s="11">
        <f>IF(F6="","",(F6/$O$23))</f>
        <v>6.0581354793764176E-2</v>
      </c>
      <c r="G29" s="11">
        <f>IF(G6="","",(G6/$O$23))</f>
        <v>0.89838377765547406</v>
      </c>
      <c r="H29" s="11">
        <f>IF(H6="","",(H6/$O$23))</f>
        <v>1.0652599166332908</v>
      </c>
      <c r="I29" s="11">
        <f>IF(I6="","",(I6/$O$23))</f>
        <v>1.7365537062327008E-2</v>
      </c>
      <c r="J29" s="11">
        <f>IF(J6="","",(J6/$O$23))</f>
        <v>4.8953188513483981E-3</v>
      </c>
      <c r="K29" s="11">
        <f>IF(K6="","",(K6/$O$23))</f>
        <v>6.7192889656408919E-2</v>
      </c>
      <c r="L29" s="11">
        <f>IF(L6="","",(L6/$O$23))</f>
        <v>0.14089027367579751</v>
      </c>
      <c r="M29" s="11">
        <f>IF(M6="","",(M6/$O$23))</f>
        <v>9.5555054050992308E-2</v>
      </c>
      <c r="N29" s="6"/>
      <c r="O29" s="11">
        <f t="shared" ref="O29:AK29" si="13">IF(O6="","",(O6/$O$23))</f>
        <v>1.248031569811368</v>
      </c>
      <c r="P29" s="11">
        <f t="shared" si="13"/>
        <v>1.2873974975715186</v>
      </c>
      <c r="Q29" s="11">
        <f t="shared" si="13"/>
        <v>0</v>
      </c>
      <c r="R29" s="11">
        <f t="shared" si="13"/>
        <v>1.3354408418378496</v>
      </c>
      <c r="S29" s="11">
        <f t="shared" si="13"/>
        <v>1.0889158670592674</v>
      </c>
      <c r="T29" s="11">
        <f t="shared" si="13"/>
        <v>0.89983239241760782</v>
      </c>
      <c r="U29" s="11">
        <f t="shared" si="13"/>
        <v>0.96819915955367675</v>
      </c>
      <c r="V29" s="11">
        <f t="shared" si="13"/>
        <v>1.5368339739409904</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153"/>
      <c r="B30" s="11">
        <f>IF(B7="","",(B7/$O$23))</f>
        <v>1.7693794594633168E-2</v>
      </c>
      <c r="C30" s="11">
        <f>IF(C7="","",(C7/$O$23))</f>
        <v>8.4383593902616332E-3</v>
      </c>
      <c r="D30" s="11">
        <f>IF(D7="","",(D7/$O$23))</f>
        <v>0.11638870330246702</v>
      </c>
      <c r="E30" s="11">
        <f>IF(E7="","",(E7/$O$23))</f>
        <v>0.11200717884951086</v>
      </c>
      <c r="F30" s="11">
        <f>IF(F7="","",(F7/$O$23))</f>
        <v>0.70527914824306404</v>
      </c>
      <c r="G30" s="11">
        <f>IF(G7="","",(G7/$O$23))</f>
        <v>1.0557761283629672</v>
      </c>
      <c r="H30" s="11">
        <f>IF(H7="","",(H7/$O$23))</f>
        <v>0.95567185307621016</v>
      </c>
      <c r="I30" s="11">
        <f>IF(I7="","",(I7/$O$23))</f>
        <v>0.13219501708633977</v>
      </c>
      <c r="J30" s="11">
        <f>IF(J7="","",(J7/$O$23))</f>
        <v>2.1729221432005643E-2</v>
      </c>
      <c r="K30" s="11">
        <f>IF(K7="","",(K7/$O$23))</f>
        <v>8.8130011390893177E-4</v>
      </c>
      <c r="L30" s="11">
        <f>IF(L7="","",(L7/$O$23))</f>
        <v>0</v>
      </c>
      <c r="M30" s="11">
        <f>IF(M7="","",(M7/$O$23))</f>
        <v>2.9553881957520976E-2</v>
      </c>
      <c r="N30" s="6"/>
      <c r="O30" s="11">
        <f t="shared" ref="O30:AK30" si="14">IF(O7="","",(O7/$O$23))</f>
        <v>1.2011371269081084</v>
      </c>
      <c r="P30" s="11">
        <f t="shared" si="14"/>
        <v>0.47852455375261693</v>
      </c>
      <c r="Q30" s="11">
        <f t="shared" si="14"/>
        <v>0.2045294187433267</v>
      </c>
      <c r="R30" s="11">
        <f t="shared" si="14"/>
        <v>1.1441023806699129</v>
      </c>
      <c r="S30" s="11">
        <f t="shared" si="14"/>
        <v>0.96474531943115105</v>
      </c>
      <c r="T30" s="11">
        <f t="shared" si="14"/>
        <v>0.90705049011168781</v>
      </c>
      <c r="U30" s="11">
        <f t="shared" si="14"/>
        <v>0.65172321824398272</v>
      </c>
      <c r="V30" s="11">
        <f t="shared" si="14"/>
        <v>1.5887236401619522</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153"/>
      <c r="B31" s="11">
        <f>IF(B8="","",(B8/$O$23))</f>
        <v>1.247378622763411E-2</v>
      </c>
      <c r="C31" s="11">
        <f>IF(C8="","",(C8/$O$23))</f>
        <v>1.6216635699255445E-2</v>
      </c>
      <c r="D31" s="11">
        <f>IF(D8="","",(D8/$O$23))</f>
        <v>1.8264677259513449E-2</v>
      </c>
      <c r="E31" s="11">
        <f>IF(E8="","",(E8/$O$23))</f>
        <v>0.39594994429433994</v>
      </c>
      <c r="F31" s="11">
        <f>IF(F8="","",(F8/$O$23))</f>
        <v>0.74392076862214795</v>
      </c>
      <c r="G31" s="11">
        <f>IF(G8="","",(G8/$O$23))</f>
        <v>0.6826186744639724</v>
      </c>
      <c r="H31" s="11">
        <f>IF(H8="","",(H8/$O$23))</f>
        <v>1.2837545525662515</v>
      </c>
      <c r="I31" s="11">
        <f>IF(I8="","",(I8/$O$23))</f>
        <v>1.7297744745872475E-2</v>
      </c>
      <c r="J31" s="11">
        <f>IF(J8="","",(J8/$O$23))</f>
        <v>3.3000586046735669E-2</v>
      </c>
      <c r="K31" s="11">
        <f>IF(K8="","",(K8/$O$23))</f>
        <v>4.8674883214354842E-2</v>
      </c>
      <c r="L31" s="11">
        <f>IF(L8="","",(L8/$O$23))</f>
        <v>2.7798417763014116E-2</v>
      </c>
      <c r="M31" s="11">
        <f>IF(M8="","",(M8/$O$23))</f>
        <v>5.6328278940406096E-2</v>
      </c>
      <c r="N31" s="6"/>
      <c r="O31" s="11">
        <f t="shared" ref="O31:AK31" si="15">IF(O8="","",(O8/$O$23))</f>
        <v>0.88114668919274519</v>
      </c>
      <c r="P31" s="11">
        <f t="shared" si="15"/>
        <v>1.1343545591670823</v>
      </c>
      <c r="Q31" s="11">
        <f t="shared" si="15"/>
        <v>4.9820216560770902E-2</v>
      </c>
      <c r="R31" s="11">
        <f t="shared" si="15"/>
        <v>1.1904794611581246</v>
      </c>
      <c r="S31" s="11">
        <f t="shared" si="15"/>
        <v>0.77111975958703771</v>
      </c>
      <c r="T31" s="11">
        <f t="shared" si="15"/>
        <v>1.0596224503175982</v>
      </c>
      <c r="U31" s="11">
        <f t="shared" si="15"/>
        <v>1.093293823495568</v>
      </c>
      <c r="V31" s="11">
        <f t="shared" si="15"/>
        <v>1.6449056304194829</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153"/>
      <c r="B32" s="11">
        <f>IF(B9="","",(B9/$O$23))</f>
        <v>6.6315157559155485E-2</v>
      </c>
      <c r="C32" s="11">
        <f>IF(C9="","",(C9/$O$23))</f>
        <v>2.1722085398694642E-2</v>
      </c>
      <c r="D32" s="11">
        <f>IF(D9="","",(D9/$O$23))</f>
        <v>0.16325103405582697</v>
      </c>
      <c r="E32" s="11">
        <f>IF(E9="","",(E9/$O$23))</f>
        <v>0.49231850614278666</v>
      </c>
      <c r="F32" s="11">
        <f>IF(F9="","",(F9/$O$23))</f>
        <v>1.6641229681260153E-2</v>
      </c>
      <c r="G32" s="11">
        <f>IF(G9="","",(G9/$O$23))</f>
        <v>1.3267991054982244</v>
      </c>
      <c r="H32" s="11">
        <f>IF(H9="","",(H9/$O$23))</f>
        <v>1.4773836804270202</v>
      </c>
      <c r="I32" s="11">
        <f>IF(I9="","",(I9/$O$23))</f>
        <v>6.1983585339376361E-2</v>
      </c>
      <c r="J32" s="11">
        <f>IF(J9="","",(J9/$O$23))</f>
        <v>2.3541773893000533E-2</v>
      </c>
      <c r="K32" s="11">
        <f>IF(K9="","",(K9/$O$23))</f>
        <v>2.2043206897689797E-2</v>
      </c>
      <c r="L32" s="11">
        <f>IF(L9="","",(L9/$O$23))</f>
        <v>3.8159938130591195E-2</v>
      </c>
      <c r="M32" s="11">
        <f>IF(M9="","",(M9/$O$23))</f>
        <v>8.8576013472830895E-2</v>
      </c>
      <c r="N32" s="6"/>
      <c r="O32" s="11">
        <f t="shared" ref="O32:AK32" si="16">IF(O9="","",(O9/$O$23))</f>
        <v>1.2636951629290205</v>
      </c>
      <c r="P32" s="11">
        <f t="shared" si="16"/>
        <v>1.654657019938969</v>
      </c>
      <c r="Q32" s="11">
        <f t="shared" si="16"/>
        <v>4.9452710845254225E-3</v>
      </c>
      <c r="R32" s="11">
        <f t="shared" si="16"/>
        <v>0.91319461479246189</v>
      </c>
      <c r="S32" s="11">
        <f t="shared" si="16"/>
        <v>0.7373520499593692</v>
      </c>
      <c r="T32" s="11">
        <f t="shared" si="16"/>
        <v>0.94091096817239939</v>
      </c>
      <c r="U32" s="11">
        <f t="shared" si="16"/>
        <v>0.95035194024285707</v>
      </c>
      <c r="V32" s="11">
        <f t="shared" si="16"/>
        <v>1.0814087600160918</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153"/>
      <c r="B33" s="11">
        <f>IF(B10="","",(B10/$O$23))</f>
        <v>6.2779253053553252E-2</v>
      </c>
      <c r="C33" s="11">
        <f>IF(C10="","",(C10/$O$23))</f>
        <v>8.6399523312974819E-2</v>
      </c>
      <c r="D33" s="11">
        <f>IF(D10="","",(D10/$O$23))</f>
        <v>5.7855390068960844E-2</v>
      </c>
      <c r="E33" s="11">
        <f>IF(E10="","",(E10/$O$23))</f>
        <v>0</v>
      </c>
      <c r="F33" s="11">
        <f>IF(F10="","",(F10/$O$23))</f>
        <v>0.84853858497811463</v>
      </c>
      <c r="G33" s="11">
        <f>IF(G10="","",(G10/$O$23))</f>
        <v>0.90209451497719595</v>
      </c>
      <c r="H33" s="11">
        <f>IF(H10="","",(H10/$O$23))</f>
        <v>1.6332203758727146</v>
      </c>
      <c r="I33" s="11">
        <f>IF(I10="","",(I10/$O$23))</f>
        <v>0.16695820336089329</v>
      </c>
      <c r="J33" s="11">
        <f>IF(J10="","",(J10/$O$23))</f>
        <v>3.9654937109246426E-2</v>
      </c>
      <c r="K33" s="11">
        <f>IF(K10="","",(K10/$O$23))</f>
        <v>1.6473532898451569E-2</v>
      </c>
      <c r="L33" s="11">
        <f>IF(L10="","",(L10/$O$23))</f>
        <v>8.6774165061802508E-3</v>
      </c>
      <c r="M33" s="11">
        <f>IF(M10="","",(M10/$O$23))</f>
        <v>0.77965802344365343</v>
      </c>
      <c r="N33" s="6"/>
      <c r="O33" s="11">
        <f t="shared" ref="O33:AK33" si="17">IF(O10="","",(O10/$O$23))</f>
        <v>1.2078771103703512</v>
      </c>
      <c r="P33" s="11">
        <f t="shared" si="17"/>
        <v>0.94491071484321687</v>
      </c>
      <c r="Q33" s="11">
        <f t="shared" si="17"/>
        <v>0.24832325517295514</v>
      </c>
      <c r="R33" s="11">
        <f t="shared" si="17"/>
        <v>1.3396760776079302</v>
      </c>
      <c r="S33" s="11">
        <f t="shared" si="17"/>
        <v>0.42715938598001374</v>
      </c>
      <c r="T33" s="11">
        <f t="shared" si="17"/>
        <v>0.73980327740169893</v>
      </c>
      <c r="U33" s="11">
        <f t="shared" si="17"/>
        <v>1.3133262746070498</v>
      </c>
      <c r="V33" s="11">
        <f t="shared" si="17"/>
        <v>1.3681203063855902</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153"/>
      <c r="B34" s="11">
        <f>IF(B11="","",(B11/$O$23))</f>
        <v>4.0029578858074108E-2</v>
      </c>
      <c r="C34" s="11">
        <f>IF(C11="","",(C11/$O$23))</f>
        <v>1.0272319951189532E-2</v>
      </c>
      <c r="D34" s="11">
        <f>IF(D11="","",(D11/$O$23))</f>
        <v>0.17926786082237431</v>
      </c>
      <c r="E34" s="11">
        <f>IF(E11="","",(E11/$O$23))</f>
        <v>0.59639755198377264</v>
      </c>
      <c r="F34" s="11">
        <f>IF(F11="","",(F11/$O$23))</f>
        <v>0.7121226041883163</v>
      </c>
      <c r="G34" s="11">
        <f>IF(G11="","",(G11/$O$23))</f>
        <v>0.87712196640533913</v>
      </c>
      <c r="H34" s="11">
        <f>IF(H11="","",(H11/$O$23))</f>
        <v>1.3999684230525988</v>
      </c>
      <c r="I34" s="11">
        <f>IF(I11="","",(I11/$O$23))</f>
        <v>2.7616448913583527E-3</v>
      </c>
      <c r="J34" s="11">
        <f>IF(J11="","",(J11/$O$23))</f>
        <v>8.8130011390893173E-3</v>
      </c>
      <c r="K34" s="11">
        <f>IF(K11="","",(K11/$O$23))</f>
        <v>2.304581957788579E-2</v>
      </c>
      <c r="L34" s="11">
        <f>IF(L11="","",(L11/$O$23))</f>
        <v>5.2770966334870851E-3</v>
      </c>
      <c r="M34" s="11">
        <f>IF(M11="","",(M11/$O$23))</f>
        <v>1.5428104018389557E-2</v>
      </c>
      <c r="N34" s="6"/>
      <c r="O34" s="11">
        <f t="shared" ref="O34:AK34" si="18">IF(O11="","",(O11/$O$23))</f>
        <v>0.81486007576683372</v>
      </c>
      <c r="P34" s="11">
        <f t="shared" si="18"/>
        <v>1.3165303535636905</v>
      </c>
      <c r="Q34" s="11">
        <f t="shared" si="18"/>
        <v>5.4915344344827401E-2</v>
      </c>
      <c r="R34" s="11">
        <f t="shared" si="18"/>
        <v>0.85870029641298362</v>
      </c>
      <c r="S34" s="11">
        <f t="shared" si="18"/>
        <v>1.0857902844690479</v>
      </c>
      <c r="T34" s="11">
        <f t="shared" si="18"/>
        <v>1.2063143190752414</v>
      </c>
      <c r="U34" s="11">
        <f t="shared" si="18"/>
        <v>0.18592934791819607</v>
      </c>
      <c r="V34" s="11">
        <f t="shared" si="18"/>
        <v>1.2288784564046344</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153"/>
      <c r="B35" s="11">
        <f>IF(B12="","",(B12/$O$23))</f>
        <v>6.125570994165401E-2</v>
      </c>
      <c r="C35" s="11">
        <f>IF(C12="","",(C12/$O$23))</f>
        <v>8.8308412223668253E-3</v>
      </c>
      <c r="D35" s="11">
        <f>IF(D12="","",(D12/$O$23))</f>
        <v>9.8530779941680774E-2</v>
      </c>
      <c r="E35" s="11">
        <f>IF(E12="","",(E12/$O$23))</f>
        <v>5.1093998506785032E-2</v>
      </c>
      <c r="F35" s="11">
        <f>IF(F12="","",(F12/$O$23))</f>
        <v>0.64283528875512785</v>
      </c>
      <c r="G35" s="11">
        <f>IF(G12="","",(G12/$O$23))</f>
        <v>0.93246190473217128</v>
      </c>
      <c r="H35" s="11">
        <f>IF(H12="","",(H12/$O$23))</f>
        <v>1.3206335727175174</v>
      </c>
      <c r="I35" s="11" t="str">
        <f>IF(I12="","",(I12/$O$23))</f>
        <v/>
      </c>
      <c r="J35" s="11">
        <f>IF(J12="","",(J12/$O$23))</f>
        <v>0.14812621145315508</v>
      </c>
      <c r="K35" s="11">
        <f>IF(K12="","",(K12/$O$23))</f>
        <v>0.10045750893565171</v>
      </c>
      <c r="L35" s="11" t="str">
        <f>IF(L12="","",(L12/$O$23))</f>
        <v/>
      </c>
      <c r="M35" s="11">
        <f>IF(M12="","",(M12/$O$23))</f>
        <v>8.4972316650774121E-2</v>
      </c>
      <c r="N35" s="6"/>
      <c r="O35" s="11">
        <f t="shared" ref="O35:AK35" si="19">IF(O12="","",(O12/$O$23))</f>
        <v>1.2200690232822007</v>
      </c>
      <c r="P35" s="11" t="str">
        <f t="shared" si="19"/>
        <v/>
      </c>
      <c r="Q35" s="11">
        <f t="shared" si="19"/>
        <v>4.6205815688747636E-3</v>
      </c>
      <c r="R35" s="11">
        <f t="shared" si="19"/>
        <v>1.4372149489193815</v>
      </c>
      <c r="S35" s="11">
        <f t="shared" si="19"/>
        <v>1.0354919536764398</v>
      </c>
      <c r="T35" s="11">
        <f t="shared" si="19"/>
        <v>0.8270662607453052</v>
      </c>
      <c r="U35" s="11" t="str">
        <f t="shared" si="19"/>
        <v/>
      </c>
      <c r="V35" s="11">
        <f t="shared" si="19"/>
        <v>1.449278413231633</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153"/>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1.0780298482433317</v>
      </c>
      <c r="P36" s="11" t="str">
        <f t="shared" si="20"/>
        <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153"/>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1.1425645654913916</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153"/>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0.96196940247317075</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153"/>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4">IF(O16="","",(O16/$O$23))</f>
        <v>0.91378333754061969</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153"/>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1.0633938439224635</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153"/>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1.1826690726992313</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153"/>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0.85415107517721889</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153"/>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0.89035574018059516</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56" customFormat="1" x14ac:dyDescent="0.25">
      <c r="A45" s="57" t="str">
        <f t="shared" ref="A45:M45" si="34">A4</f>
        <v>Noms des groupes</v>
      </c>
      <c r="B45" s="57" t="str">
        <f t="shared" si="34"/>
        <v>Solvent control</v>
      </c>
      <c r="C45" s="57" t="str">
        <f t="shared" si="34"/>
        <v>EE2-33.8ng/L</v>
      </c>
      <c r="D45" s="57" t="str">
        <f t="shared" si="34"/>
        <v>EE2-50.6ng/L</v>
      </c>
      <c r="E45" s="57" t="str">
        <f t="shared" si="34"/>
        <v>EE2-76ng/L</v>
      </c>
      <c r="F45" s="57" t="str">
        <f t="shared" si="34"/>
        <v>EE2-114ng/L</v>
      </c>
      <c r="G45" s="57" t="str">
        <f t="shared" si="34"/>
        <v>EE2-170.9ng/L</v>
      </c>
      <c r="H45" s="57" t="str">
        <f t="shared" si="34"/>
        <v>EE2-488ng/L</v>
      </c>
      <c r="I45" s="57" t="str">
        <f t="shared" si="34"/>
        <v>BPA-1mg/L</v>
      </c>
      <c r="J45" s="57" t="str">
        <f t="shared" si="34"/>
        <v>BPA-2mg/L</v>
      </c>
      <c r="K45" s="57" t="str">
        <f t="shared" si="34"/>
        <v>BPA-3mg/L</v>
      </c>
      <c r="L45" s="57" t="str">
        <f t="shared" si="34"/>
        <v>BPA-4mg/L</v>
      </c>
      <c r="M45" s="57" t="str">
        <f t="shared" si="34"/>
        <v>BPA-5mg/L</v>
      </c>
      <c r="N45" s="57" t="str">
        <f>N22</f>
        <v>Nom des groupes</v>
      </c>
      <c r="O45" s="57" t="str">
        <f t="shared" ref="O45:AD45" si="35">O4</f>
        <v>Testo -30µg/L</v>
      </c>
      <c r="P45" s="57" t="str">
        <f t="shared" si="35"/>
        <v>Testo 30µg/L + EE2 -64ng/L</v>
      </c>
      <c r="Q45" s="57" t="str">
        <f t="shared" si="35"/>
        <v>Testo 30µg/L + FAD-10mg/L</v>
      </c>
      <c r="R45" s="57" t="str">
        <f t="shared" si="35"/>
        <v>BPA-1mg/L + Testostérone</v>
      </c>
      <c r="S45" s="57" t="str">
        <f t="shared" si="35"/>
        <v>BPA-2mg/L + Testostérone</v>
      </c>
      <c r="T45" s="57" t="str">
        <f t="shared" si="35"/>
        <v>BPA-3mg/L + Testostérone</v>
      </c>
      <c r="U45" s="57" t="str">
        <f t="shared" si="35"/>
        <v>BPA-4mg/L + Testostérone</v>
      </c>
      <c r="V45" s="57" t="str">
        <f t="shared" si="35"/>
        <v>BPA-5mg/L + Testostérone</v>
      </c>
      <c r="W45" s="57" t="str">
        <f t="shared" si="35"/>
        <v>0-00 + Testostérone</v>
      </c>
      <c r="X45" s="57" t="str">
        <f t="shared" si="35"/>
        <v>0-00 + Testostérone</v>
      </c>
      <c r="Y45" s="57" t="str">
        <f t="shared" si="35"/>
        <v>0-00 + Testostérone</v>
      </c>
      <c r="Z45" s="57" t="str">
        <f t="shared" si="35"/>
        <v>0-00 + Testostérone</v>
      </c>
      <c r="AA45" s="57" t="str">
        <f t="shared" si="35"/>
        <v>0-00 + Testostérone</v>
      </c>
      <c r="AB45" s="57" t="str">
        <f t="shared" si="35"/>
        <v>0-00 + Testostérone</v>
      </c>
      <c r="AC45" s="57" t="str">
        <f t="shared" si="35"/>
        <v>0-00 + Testostérone</v>
      </c>
      <c r="AD45" s="57" t="str">
        <f t="shared" si="35"/>
        <v>0-00 + Testostérone</v>
      </c>
      <c r="AE45" s="57" t="str">
        <f t="shared" ref="AE45:AK45" si="36">AE4</f>
        <v>0-00 + Testostérone</v>
      </c>
      <c r="AF45" s="57" t="str">
        <f t="shared" si="36"/>
        <v>0-00 + Testostérone</v>
      </c>
      <c r="AG45" s="57" t="str">
        <f t="shared" si="36"/>
        <v>0-00 + Testostérone</v>
      </c>
      <c r="AH45" s="57" t="str">
        <f t="shared" si="36"/>
        <v>0-00 + Testostérone</v>
      </c>
      <c r="AI45" s="57" t="str">
        <f t="shared" si="36"/>
        <v>0-00 + Testostérone</v>
      </c>
      <c r="AJ45" s="57" t="str">
        <f t="shared" si="36"/>
        <v>0-00 + Testostérone</v>
      </c>
      <c r="AK45" s="57" t="str">
        <f t="shared" si="36"/>
        <v>0-00 + Testostérone</v>
      </c>
    </row>
    <row r="46" spans="1:37" x14ac:dyDescent="0.25">
      <c r="A46" s="8" t="s">
        <v>0</v>
      </c>
      <c r="B46" s="10">
        <f t="shared" ref="B46:H46" si="37">AVERAGE(B28:B43)</f>
        <v>4.3510625107598004E-2</v>
      </c>
      <c r="C46" s="10">
        <f t="shared" si="37"/>
        <v>5.7849592041895645E-2</v>
      </c>
      <c r="D46" s="10">
        <f t="shared" si="37"/>
        <v>8.4180216953252743E-2</v>
      </c>
      <c r="E46" s="10">
        <f t="shared" si="37"/>
        <v>0.27136283072169382</v>
      </c>
      <c r="F46" s="10">
        <f t="shared" si="37"/>
        <v>0.6146693652765971</v>
      </c>
      <c r="G46" s="10">
        <f t="shared" si="37"/>
        <v>0.98385115661719913</v>
      </c>
      <c r="H46" s="10">
        <f t="shared" si="37"/>
        <v>1.3378108969012668</v>
      </c>
      <c r="I46" s="10">
        <f>AVERAGE(I28:I43)</f>
        <v>5.8478263833678427E-2</v>
      </c>
      <c r="J46" s="9">
        <f>AVERAGE(J28:J43)</f>
        <v>3.8770514980763934E-2</v>
      </c>
      <c r="K46" s="9">
        <f>AVERAGE(K28:K43)</f>
        <v>4.1299792787432732E-2</v>
      </c>
      <c r="L46" s="9">
        <f t="shared" ref="L46:M46" si="38">AVERAGE(L28:L43)</f>
        <v>3.7755732815189354E-2</v>
      </c>
      <c r="M46" s="9">
        <f t="shared" si="38"/>
        <v>0.19314789161435802</v>
      </c>
      <c r="N46" s="8" t="s">
        <v>0</v>
      </c>
      <c r="O46" s="10">
        <f>AVERAGE(O28:O43)</f>
        <v>1</v>
      </c>
      <c r="P46" s="10">
        <f>AVERAGE(P28:P43)</f>
        <v>1.0385354718835826</v>
      </c>
      <c r="Q46" s="10">
        <f>AVERAGE(Q28:Q43)</f>
        <v>8.7363779814124173E-2</v>
      </c>
      <c r="R46" s="10">
        <f>AVERAGE(R28:R43)</f>
        <v>1.1776065030671563</v>
      </c>
      <c r="S46" s="10">
        <f t="shared" ref="S46:AD46" si="39">AVERAGE(S28:S43)</f>
        <v>0.89546335602294591</v>
      </c>
      <c r="T46" s="10">
        <f t="shared" si="39"/>
        <v>0.94296703777013247</v>
      </c>
      <c r="U46" s="10">
        <f t="shared" si="39"/>
        <v>0.88424576651638098</v>
      </c>
      <c r="V46" s="10">
        <f t="shared" si="39"/>
        <v>1.3875847292455163</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2.8580101735500664E-2</v>
      </c>
      <c r="C47" s="8">
        <f t="shared" si="41"/>
        <v>7.8155388271645448E-2</v>
      </c>
      <c r="D47" s="8">
        <f t="shared" si="41"/>
        <v>6.5767995870336771E-2</v>
      </c>
      <c r="E47" s="8">
        <f t="shared" si="41"/>
        <v>0.25102272901341777</v>
      </c>
      <c r="F47" s="8">
        <f t="shared" si="41"/>
        <v>0.3932672754910167</v>
      </c>
      <c r="G47" s="8">
        <f t="shared" si="41"/>
        <v>0.20226081081434377</v>
      </c>
      <c r="H47" s="8">
        <f t="shared" si="41"/>
        <v>0.23497245717827575</v>
      </c>
      <c r="I47" s="8">
        <f>STDEV(I28:I43)</f>
        <v>6.5801872405596401E-2</v>
      </c>
      <c r="J47" s="8">
        <f t="shared" si="41"/>
        <v>4.5716609297309155E-2</v>
      </c>
      <c r="K47" s="8">
        <f t="shared" si="41"/>
        <v>3.2260541680004091E-2</v>
      </c>
      <c r="L47" s="8">
        <f t="shared" ref="L47:M47" si="42">STDEV(L28:L43)</f>
        <v>4.8467855234191566E-2</v>
      </c>
      <c r="M47" s="8">
        <f t="shared" si="42"/>
        <v>0.26565604556550654</v>
      </c>
      <c r="N47" s="8" t="s">
        <v>1</v>
      </c>
      <c r="O47" s="8">
        <f>STDEV(O28:O43)</f>
        <v>0.29106865747079286</v>
      </c>
      <c r="P47" s="8">
        <f>STDEV(P28:P43)</f>
        <v>0.44586858234057314</v>
      </c>
      <c r="Q47" s="8">
        <f>STDEV(Q28:Q43)</f>
        <v>9.6614491550527981E-2</v>
      </c>
      <c r="R47" s="8">
        <f>STDEV(R28:R43)</f>
        <v>0.20426697771756699</v>
      </c>
      <c r="S47" s="8">
        <f t="shared" ref="S47:AD47" si="43">STDEV(S28:S43)</f>
        <v>0.23381458129021102</v>
      </c>
      <c r="T47" s="8">
        <f t="shared" si="43"/>
        <v>0.14204144052245365</v>
      </c>
      <c r="U47" s="8">
        <f t="shared" si="43"/>
        <v>0.36544292478054946</v>
      </c>
      <c r="V47" s="8">
        <f t="shared" si="43"/>
        <v>0.20224044229135454</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1.0104591872086966E-2</v>
      </c>
      <c r="C48" s="8">
        <f t="shared" si="45"/>
        <v>2.7632102516574029E-2</v>
      </c>
      <c r="D48" s="8">
        <f t="shared" si="45"/>
        <v>2.3252497932481991E-2</v>
      </c>
      <c r="E48" s="8">
        <f t="shared" si="45"/>
        <v>8.8749936958670395E-2</v>
      </c>
      <c r="F48" s="8">
        <f t="shared" si="45"/>
        <v>0.13904097865922802</v>
      </c>
      <c r="G48" s="8">
        <f t="shared" si="45"/>
        <v>7.150999544755593E-2</v>
      </c>
      <c r="H48" s="8">
        <f t="shared" si="45"/>
        <v>8.3075308931412212E-2</v>
      </c>
      <c r="I48" s="8">
        <f xml:space="preserve"> I47/SQRT(COUNT(I28:I43))</f>
        <v>2.4870770026801655E-2</v>
      </c>
      <c r="J48" s="8">
        <f t="shared" si="45"/>
        <v>1.6163262223491633E-2</v>
      </c>
      <c r="K48" s="8">
        <f t="shared" si="45"/>
        <v>1.1405823893341074E-2</v>
      </c>
      <c r="L48" s="8">
        <f t="shared" ref="L48:M48" si="46" xml:space="preserve"> L47/SQRT(COUNT(L28:L43))</f>
        <v>1.831912736147873E-2</v>
      </c>
      <c r="M48" s="8">
        <f t="shared" si="46"/>
        <v>9.3923595641286065E-2</v>
      </c>
      <c r="N48" s="8" t="s">
        <v>2</v>
      </c>
      <c r="O48" s="8">
        <f xml:space="preserve"> O47/SQRT(COUNT(O28:O43))</f>
        <v>7.2767164367698214E-2</v>
      </c>
      <c r="P48" s="8">
        <f xml:space="preserve"> P47/SQRT(COUNT(P28:P43))</f>
        <v>0.16852248375572595</v>
      </c>
      <c r="Q48" s="8">
        <f xml:space="preserve"> Q47/SQRT(COUNT(Q28:Q43))</f>
        <v>3.4158381068134368E-2</v>
      </c>
      <c r="R48" s="8">
        <f xml:space="preserve"> R47/SQRT(COUNT(R28:R43))</f>
        <v>7.221928255828651E-2</v>
      </c>
      <c r="S48" s="8">
        <f t="shared" ref="S48:AD48" si="47" xml:space="preserve"> S47/SQRT(COUNT(S28:S43))</f>
        <v>8.2665937985300725E-2</v>
      </c>
      <c r="T48" s="8">
        <f t="shared" si="47"/>
        <v>5.0219232901466314E-2</v>
      </c>
      <c r="U48" s="8">
        <f t="shared" si="47"/>
        <v>0.13812444247963104</v>
      </c>
      <c r="V48" s="8">
        <f t="shared" si="47"/>
        <v>7.1502794087191707E-2</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19</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29" t="str">
        <f t="shared" ref="A52:H52" si="49">A27</f>
        <v>Noms des groupes</v>
      </c>
      <c r="B52" s="30" t="str">
        <f t="shared" si="49"/>
        <v>Solvent control</v>
      </c>
      <c r="C52" s="30" t="str">
        <f t="shared" si="49"/>
        <v>EE2-33.8ng/L</v>
      </c>
      <c r="D52" s="30" t="str">
        <f t="shared" si="49"/>
        <v>EE2-50.6ng/L</v>
      </c>
      <c r="E52" s="30" t="str">
        <f t="shared" si="49"/>
        <v>EE2-76ng/L</v>
      </c>
      <c r="F52" s="30" t="str">
        <f t="shared" si="49"/>
        <v>EE2-114ng/L</v>
      </c>
      <c r="G52" s="30" t="str">
        <f t="shared" si="49"/>
        <v>EE2-170.9ng/L</v>
      </c>
      <c r="H52" s="30" t="str">
        <f t="shared" si="49"/>
        <v>EE2-488ng/L</v>
      </c>
      <c r="I52" s="30" t="str">
        <f>I4</f>
        <v>BPA-1mg/L</v>
      </c>
      <c r="J52" s="30" t="str">
        <f>J4</f>
        <v>BPA-2mg/L</v>
      </c>
      <c r="K52" s="30" t="str">
        <f>K27</f>
        <v>BPA-3mg/L</v>
      </c>
      <c r="L52" s="30" t="str">
        <f t="shared" ref="L52:M52" si="50">L27</f>
        <v>BPA-4mg/L</v>
      </c>
      <c r="M52" s="30" t="str">
        <f t="shared" si="50"/>
        <v>BPA-5mg/L</v>
      </c>
      <c r="N52" s="31"/>
      <c r="O52" s="30" t="str">
        <f>O27</f>
        <v>Testo -30µg/L</v>
      </c>
      <c r="P52" s="30" t="str">
        <f>P27</f>
        <v>Testo 30µg/L + EE2 -64ng/L</v>
      </c>
      <c r="Q52" s="30" t="str">
        <f>Q27</f>
        <v>Testo 30µg/L + FAD-10mg/L</v>
      </c>
      <c r="R52" s="30" t="str">
        <f>R27</f>
        <v>BPA-1mg/L + Testostérone</v>
      </c>
      <c r="S52" s="30" t="str">
        <f t="shared" ref="S52:AD52" si="51">S27</f>
        <v>BPA-2mg/L + Testostérone</v>
      </c>
      <c r="T52" s="30" t="str">
        <f t="shared" si="51"/>
        <v>BPA-3mg/L + Testostérone</v>
      </c>
      <c r="U52" s="30" t="str">
        <f t="shared" si="51"/>
        <v>BPA-4mg/L + Testostérone</v>
      </c>
      <c r="V52" s="30" t="str">
        <f t="shared" si="51"/>
        <v>BPA-5mg/L + Testostérone</v>
      </c>
      <c r="W52" s="30" t="str">
        <f t="shared" si="51"/>
        <v>0-00 + Testostérone</v>
      </c>
      <c r="X52" s="30" t="str">
        <f t="shared" si="51"/>
        <v>0-00 + Testostérone</v>
      </c>
      <c r="Y52" s="30" t="str">
        <f t="shared" si="51"/>
        <v>0-00 + Testostérone</v>
      </c>
      <c r="Z52" s="30" t="str">
        <f t="shared" si="51"/>
        <v>0-00 + Testostérone</v>
      </c>
      <c r="AA52" s="30" t="str">
        <f t="shared" si="51"/>
        <v>0-00 + Testostérone</v>
      </c>
      <c r="AB52" s="30" t="str">
        <f t="shared" si="51"/>
        <v>0-00 + Testostérone</v>
      </c>
      <c r="AC52" s="30" t="str">
        <f t="shared" si="51"/>
        <v>0-00 + Testostérone</v>
      </c>
      <c r="AD52" s="30" t="str">
        <f t="shared" si="51"/>
        <v>0-00 + Testostérone</v>
      </c>
      <c r="AE52" s="30" t="str">
        <f t="shared" ref="AE52:AK52" si="52">AE27</f>
        <v>0-00 + Testostérone</v>
      </c>
      <c r="AF52" s="30" t="str">
        <f t="shared" si="52"/>
        <v>0-00 + Testostérone</v>
      </c>
      <c r="AG52" s="30" t="str">
        <f t="shared" si="52"/>
        <v>0-00 + Testostérone</v>
      </c>
      <c r="AH52" s="30" t="str">
        <f t="shared" si="52"/>
        <v>0-00 + Testostérone</v>
      </c>
      <c r="AI52" s="30" t="str">
        <f t="shared" si="52"/>
        <v>0-00 + Testostérone</v>
      </c>
      <c r="AJ52" s="30" t="str">
        <f t="shared" si="52"/>
        <v>0-00 + Testostérone</v>
      </c>
      <c r="AK52" s="32" t="str">
        <f t="shared" si="52"/>
        <v>0-00 + Testostérone</v>
      </c>
    </row>
    <row r="53" spans="1:37" s="3" customFormat="1" x14ac:dyDescent="0.25">
      <c r="A53" s="49" t="s">
        <v>15</v>
      </c>
      <c r="B53" s="84">
        <f t="shared" ref="B53:M53" si="53">B46</f>
        <v>4.3510625107598004E-2</v>
      </c>
      <c r="C53" s="84">
        <f t="shared" si="53"/>
        <v>5.7849592041895645E-2</v>
      </c>
      <c r="D53" s="84">
        <f t="shared" si="53"/>
        <v>8.4180216953252743E-2</v>
      </c>
      <c r="E53" s="84">
        <f t="shared" si="53"/>
        <v>0.27136283072169382</v>
      </c>
      <c r="F53" s="84">
        <f t="shared" si="53"/>
        <v>0.6146693652765971</v>
      </c>
      <c r="G53" s="84">
        <f t="shared" si="53"/>
        <v>0.98385115661719913</v>
      </c>
      <c r="H53" s="84">
        <f t="shared" si="53"/>
        <v>1.3378108969012668</v>
      </c>
      <c r="I53" s="84">
        <f t="shared" si="53"/>
        <v>5.8478263833678427E-2</v>
      </c>
      <c r="J53" s="84">
        <f t="shared" si="53"/>
        <v>3.8770514980763934E-2</v>
      </c>
      <c r="K53" s="84">
        <f t="shared" si="53"/>
        <v>4.1299792787432732E-2</v>
      </c>
      <c r="L53" s="84">
        <f t="shared" si="53"/>
        <v>3.7755732815189354E-2</v>
      </c>
      <c r="M53" s="84">
        <f t="shared" si="53"/>
        <v>0.19314789161435802</v>
      </c>
      <c r="N53" s="84"/>
      <c r="O53" s="84">
        <f t="shared" ref="O53:AK53" si="54">O46</f>
        <v>1</v>
      </c>
      <c r="P53" s="84">
        <f t="shared" si="54"/>
        <v>1.0385354718835826</v>
      </c>
      <c r="Q53" s="84">
        <f t="shared" si="54"/>
        <v>8.7363779814124173E-2</v>
      </c>
      <c r="R53" s="84">
        <f t="shared" si="54"/>
        <v>1.1776065030671563</v>
      </c>
      <c r="S53" s="84">
        <f t="shared" si="54"/>
        <v>0.89546335602294591</v>
      </c>
      <c r="T53" s="84">
        <f t="shared" si="54"/>
        <v>0.94296703777013247</v>
      </c>
      <c r="U53" s="84">
        <f t="shared" si="54"/>
        <v>0.88424576651638098</v>
      </c>
      <c r="V53" s="84">
        <f t="shared" si="54"/>
        <v>1.3875847292455163</v>
      </c>
      <c r="W53" s="84" t="e">
        <f t="shared" si="54"/>
        <v>#DIV/0!</v>
      </c>
      <c r="X53" s="84" t="e">
        <f t="shared" si="54"/>
        <v>#DIV/0!</v>
      </c>
      <c r="Y53" s="84" t="e">
        <f t="shared" si="54"/>
        <v>#DIV/0!</v>
      </c>
      <c r="Z53" s="84" t="e">
        <f t="shared" si="54"/>
        <v>#DIV/0!</v>
      </c>
      <c r="AA53" s="84" t="e">
        <f t="shared" si="54"/>
        <v>#DIV/0!</v>
      </c>
      <c r="AB53" s="84" t="e">
        <f t="shared" si="54"/>
        <v>#DIV/0!</v>
      </c>
      <c r="AC53" s="84" t="e">
        <f t="shared" si="54"/>
        <v>#DIV/0!</v>
      </c>
      <c r="AD53" s="84" t="e">
        <f t="shared" si="54"/>
        <v>#DIV/0!</v>
      </c>
      <c r="AE53" s="84" t="e">
        <f t="shared" si="54"/>
        <v>#DIV/0!</v>
      </c>
      <c r="AF53" s="84" t="e">
        <f t="shared" si="54"/>
        <v>#DIV/0!</v>
      </c>
      <c r="AG53" s="84" t="e">
        <f t="shared" si="54"/>
        <v>#DIV/0!</v>
      </c>
      <c r="AH53" s="84" t="e">
        <f t="shared" si="54"/>
        <v>#DIV/0!</v>
      </c>
      <c r="AI53" s="84" t="e">
        <f t="shared" si="54"/>
        <v>#DIV/0!</v>
      </c>
      <c r="AJ53" s="84" t="e">
        <f t="shared" si="54"/>
        <v>#DIV/0!</v>
      </c>
      <c r="AK53" s="84" t="e">
        <f t="shared" si="54"/>
        <v>#DIV/0!</v>
      </c>
    </row>
    <row r="54" spans="1:37" s="3" customFormat="1" x14ac:dyDescent="0.25">
      <c r="A54" s="49" t="s">
        <v>2</v>
      </c>
      <c r="B54" s="84">
        <f t="shared" ref="B54:M54" si="55">B48</f>
        <v>1.0104591872086966E-2</v>
      </c>
      <c r="C54" s="84">
        <f t="shared" si="55"/>
        <v>2.7632102516574029E-2</v>
      </c>
      <c r="D54" s="84">
        <f t="shared" si="55"/>
        <v>2.3252497932481991E-2</v>
      </c>
      <c r="E54" s="84">
        <f t="shared" si="55"/>
        <v>8.8749936958670395E-2</v>
      </c>
      <c r="F54" s="84">
        <f t="shared" si="55"/>
        <v>0.13904097865922802</v>
      </c>
      <c r="G54" s="84">
        <f t="shared" si="55"/>
        <v>7.150999544755593E-2</v>
      </c>
      <c r="H54" s="84">
        <f t="shared" si="55"/>
        <v>8.3075308931412212E-2</v>
      </c>
      <c r="I54" s="84">
        <f t="shared" si="55"/>
        <v>2.4870770026801655E-2</v>
      </c>
      <c r="J54" s="84">
        <f t="shared" si="55"/>
        <v>1.6163262223491633E-2</v>
      </c>
      <c r="K54" s="84">
        <f t="shared" si="55"/>
        <v>1.1405823893341074E-2</v>
      </c>
      <c r="L54" s="84">
        <f t="shared" si="55"/>
        <v>1.831912736147873E-2</v>
      </c>
      <c r="M54" s="84">
        <f t="shared" si="55"/>
        <v>9.3923595641286065E-2</v>
      </c>
      <c r="N54" s="84"/>
      <c r="O54" s="84">
        <f t="shared" ref="O54:AK54" si="56">O48</f>
        <v>7.2767164367698214E-2</v>
      </c>
      <c r="P54" s="84">
        <f t="shared" si="56"/>
        <v>0.16852248375572595</v>
      </c>
      <c r="Q54" s="84">
        <f t="shared" si="56"/>
        <v>3.4158381068134368E-2</v>
      </c>
      <c r="R54" s="84">
        <f t="shared" si="56"/>
        <v>7.221928255828651E-2</v>
      </c>
      <c r="S54" s="84">
        <f t="shared" si="56"/>
        <v>8.2665937985300725E-2</v>
      </c>
      <c r="T54" s="84">
        <f t="shared" si="56"/>
        <v>5.0219232901466314E-2</v>
      </c>
      <c r="U54" s="84">
        <f t="shared" si="56"/>
        <v>0.13812444247963104</v>
      </c>
      <c r="V54" s="84">
        <f t="shared" si="56"/>
        <v>7.1502794087191707E-2</v>
      </c>
      <c r="W54" s="84" t="e">
        <f t="shared" si="56"/>
        <v>#DIV/0!</v>
      </c>
      <c r="X54" s="84" t="e">
        <f t="shared" si="56"/>
        <v>#DIV/0!</v>
      </c>
      <c r="Y54" s="84" t="e">
        <f t="shared" si="56"/>
        <v>#DIV/0!</v>
      </c>
      <c r="Z54" s="84" t="e">
        <f t="shared" si="56"/>
        <v>#DIV/0!</v>
      </c>
      <c r="AA54" s="84" t="e">
        <f t="shared" si="56"/>
        <v>#DIV/0!</v>
      </c>
      <c r="AB54" s="84" t="e">
        <f t="shared" si="56"/>
        <v>#DIV/0!</v>
      </c>
      <c r="AC54" s="84" t="e">
        <f t="shared" si="56"/>
        <v>#DIV/0!</v>
      </c>
      <c r="AD54" s="84" t="e">
        <f t="shared" si="56"/>
        <v>#DIV/0!</v>
      </c>
      <c r="AE54" s="84" t="e">
        <f t="shared" si="56"/>
        <v>#DIV/0!</v>
      </c>
      <c r="AF54" s="84" t="e">
        <f t="shared" si="56"/>
        <v>#DIV/0!</v>
      </c>
      <c r="AG54" s="84" t="e">
        <f t="shared" si="56"/>
        <v>#DIV/0!</v>
      </c>
      <c r="AH54" s="84" t="e">
        <f t="shared" si="56"/>
        <v>#DIV/0!</v>
      </c>
      <c r="AI54" s="84" t="e">
        <f t="shared" si="56"/>
        <v>#DIV/0!</v>
      </c>
      <c r="AJ54" s="84" t="e">
        <f t="shared" si="56"/>
        <v>#DIV/0!</v>
      </c>
      <c r="AK54" s="84" t="e">
        <f t="shared" si="56"/>
        <v>#DIV/0!</v>
      </c>
    </row>
    <row r="55" spans="1:37" s="3" customFormat="1" x14ac:dyDescent="0.25">
      <c r="A55" s="49" t="s">
        <v>42</v>
      </c>
      <c r="B55" s="84">
        <f t="shared" ref="B55:M55" si="57">(B53*100/$B$53)-100</f>
        <v>0</v>
      </c>
      <c r="C55" s="84">
        <f t="shared" si="57"/>
        <v>32.955092920036464</v>
      </c>
      <c r="D55" s="84">
        <f t="shared" si="57"/>
        <v>93.470483922219842</v>
      </c>
      <c r="E55" s="84">
        <f t="shared" si="57"/>
        <v>523.67026456328097</v>
      </c>
      <c r="F55" s="84">
        <f t="shared" si="57"/>
        <v>1312.6879670346566</v>
      </c>
      <c r="G55" s="84">
        <f t="shared" si="57"/>
        <v>2161.174492860584</v>
      </c>
      <c r="H55" s="84">
        <f t="shared" si="57"/>
        <v>2974.6763430609794</v>
      </c>
      <c r="I55" s="84">
        <f t="shared" si="57"/>
        <v>34.399962512758094</v>
      </c>
      <c r="J55" s="84">
        <f t="shared" si="57"/>
        <v>-10.89414393636541</v>
      </c>
      <c r="K55" s="84">
        <f t="shared" si="57"/>
        <v>-5.0811320561312812</v>
      </c>
      <c r="L55" s="84">
        <f t="shared" si="57"/>
        <v>-13.226406833221318</v>
      </c>
      <c r="M55" s="84">
        <f t="shared" si="57"/>
        <v>343.90971432085843</v>
      </c>
      <c r="N55" s="84"/>
      <c r="O55" s="84">
        <f>(O53*100/$O$53)-100</f>
        <v>0</v>
      </c>
      <c r="P55" s="84">
        <f t="shared" ref="P55:AK55" si="58">(P53*100/$O$53)-100</f>
        <v>3.853547188358263</v>
      </c>
      <c r="Q55" s="84">
        <f t="shared" si="58"/>
        <v>-91.263622018587583</v>
      </c>
      <c r="R55" s="84">
        <f t="shared" si="58"/>
        <v>17.760650306715632</v>
      </c>
      <c r="S55" s="84">
        <f t="shared" si="58"/>
        <v>-10.45366439770541</v>
      </c>
      <c r="T55" s="84">
        <f t="shared" si="58"/>
        <v>-5.7032962229867508</v>
      </c>
      <c r="U55" s="84">
        <f t="shared" si="58"/>
        <v>-11.575423348361909</v>
      </c>
      <c r="V55" s="84">
        <f t="shared" si="58"/>
        <v>38.758472924551626</v>
      </c>
      <c r="W55" s="84" t="e">
        <f t="shared" si="58"/>
        <v>#DIV/0!</v>
      </c>
      <c r="X55" s="84" t="e">
        <f t="shared" si="58"/>
        <v>#DIV/0!</v>
      </c>
      <c r="Y55" s="84" t="e">
        <f t="shared" si="58"/>
        <v>#DIV/0!</v>
      </c>
      <c r="Z55" s="84" t="e">
        <f t="shared" si="58"/>
        <v>#DIV/0!</v>
      </c>
      <c r="AA55" s="84" t="e">
        <f t="shared" si="58"/>
        <v>#DIV/0!</v>
      </c>
      <c r="AB55" s="84" t="e">
        <f t="shared" si="58"/>
        <v>#DIV/0!</v>
      </c>
      <c r="AC55" s="84" t="e">
        <f t="shared" si="58"/>
        <v>#DIV/0!</v>
      </c>
      <c r="AD55" s="84" t="e">
        <f t="shared" si="58"/>
        <v>#DIV/0!</v>
      </c>
      <c r="AE55" s="84" t="e">
        <f t="shared" si="58"/>
        <v>#DIV/0!</v>
      </c>
      <c r="AF55" s="84" t="e">
        <f t="shared" si="58"/>
        <v>#DIV/0!</v>
      </c>
      <c r="AG55" s="84" t="e">
        <f t="shared" si="58"/>
        <v>#DIV/0!</v>
      </c>
      <c r="AH55" s="84" t="e">
        <f t="shared" si="58"/>
        <v>#DIV/0!</v>
      </c>
      <c r="AI55" s="84" t="e">
        <f t="shared" si="58"/>
        <v>#DIV/0!</v>
      </c>
      <c r="AJ55" s="84" t="e">
        <f t="shared" si="58"/>
        <v>#DIV/0!</v>
      </c>
      <c r="AK55" s="84" t="e">
        <f t="shared" si="58"/>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t="shared" ref="B57:M57" ca="1" si="59">IF(B56&gt;0.05,"Oui","Non")</f>
        <v>#NAME?</v>
      </c>
      <c r="C57" s="84" t="e">
        <f t="shared" ca="1" si="59"/>
        <v>#NAME?</v>
      </c>
      <c r="D57" s="84" t="e">
        <f t="shared" ca="1" si="59"/>
        <v>#NAME?</v>
      </c>
      <c r="E57" s="84" t="e">
        <f t="shared" ca="1" si="59"/>
        <v>#NAME?</v>
      </c>
      <c r="F57" s="84" t="e">
        <f t="shared" ca="1" si="59"/>
        <v>#NAME?</v>
      </c>
      <c r="G57" s="84" t="e">
        <f t="shared" ca="1" si="59"/>
        <v>#NAME?</v>
      </c>
      <c r="H57" s="84" t="e">
        <f t="shared" ca="1" si="59"/>
        <v>#NAME?</v>
      </c>
      <c r="I57" s="84" t="e">
        <f t="shared" ca="1" si="59"/>
        <v>#NAME?</v>
      </c>
      <c r="J57" s="84" t="e">
        <f t="shared" ca="1" si="59"/>
        <v>#NAME?</v>
      </c>
      <c r="K57" s="84" t="e">
        <f t="shared" ca="1" si="59"/>
        <v>#NAME?</v>
      </c>
      <c r="L57" s="84" t="e">
        <f t="shared" ca="1" si="59"/>
        <v>#NAME?</v>
      </c>
      <c r="M57" s="84" t="e">
        <f t="shared" ca="1" si="59"/>
        <v>#NAME?</v>
      </c>
      <c r="N57" s="84"/>
      <c r="O57" s="84" t="e">
        <f t="shared" ref="O57:AK57" ca="1" si="60">IF(O56&gt;0.05,"Oui","Non")</f>
        <v>#NAME?</v>
      </c>
      <c r="P57" s="84" t="e">
        <f t="shared" ca="1" si="60"/>
        <v>#NAME?</v>
      </c>
      <c r="Q57" s="84" t="e">
        <f t="shared" ca="1" si="60"/>
        <v>#NAME?</v>
      </c>
      <c r="R57" s="84" t="e">
        <f t="shared" ca="1" si="60"/>
        <v>#NAME?</v>
      </c>
      <c r="S57" s="84" t="e">
        <f t="shared" ca="1" si="60"/>
        <v>#NAME?</v>
      </c>
      <c r="T57" s="84" t="e">
        <f t="shared" ca="1" si="60"/>
        <v>#NAME?</v>
      </c>
      <c r="U57" s="84" t="e">
        <f t="shared" ca="1" si="60"/>
        <v>#NAME?</v>
      </c>
      <c r="V57" s="84" t="e">
        <f t="shared" ca="1" si="60"/>
        <v>#NAME?</v>
      </c>
      <c r="W57" s="84" t="e">
        <f t="shared" ca="1" si="60"/>
        <v>#NAME?</v>
      </c>
      <c r="X57" s="84" t="e">
        <f t="shared" ca="1" si="60"/>
        <v>#NAME?</v>
      </c>
      <c r="Y57" s="84" t="e">
        <f t="shared" ca="1" si="60"/>
        <v>#NAME?</v>
      </c>
      <c r="Z57" s="84" t="e">
        <f t="shared" ca="1" si="60"/>
        <v>#NAME?</v>
      </c>
      <c r="AA57" s="84" t="e">
        <f t="shared" ca="1" si="60"/>
        <v>#NAME?</v>
      </c>
      <c r="AB57" s="84" t="e">
        <f t="shared" ca="1" si="60"/>
        <v>#NAME?</v>
      </c>
      <c r="AC57" s="84" t="e">
        <f t="shared" ca="1" si="60"/>
        <v>#NAME?</v>
      </c>
      <c r="AD57" s="84" t="e">
        <f t="shared" ca="1" si="60"/>
        <v>#NAME?</v>
      </c>
      <c r="AE57" s="84" t="e">
        <f t="shared" ca="1" si="60"/>
        <v>#NAME?</v>
      </c>
      <c r="AF57" s="84" t="e">
        <f t="shared" ca="1" si="60"/>
        <v>#NAME?</v>
      </c>
      <c r="AG57" s="84" t="e">
        <f t="shared" ca="1" si="60"/>
        <v>#NAME?</v>
      </c>
      <c r="AH57" s="84" t="e">
        <f t="shared" ca="1" si="60"/>
        <v>#NAME?</v>
      </c>
      <c r="AI57" s="84" t="e">
        <f t="shared" ca="1" si="60"/>
        <v>#NAME?</v>
      </c>
      <c r="AJ57" s="84" t="e">
        <f t="shared" ca="1" si="60"/>
        <v>#NAME?</v>
      </c>
      <c r="AK57" s="84" t="e">
        <f t="shared" ca="1" si="60"/>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M59" ca="1" si="61">IF($B57="Non",IF(C$57="Non","Mann Withney",IF(C$57="Oui","Mann Withney","")),IF($B$57="Oui",IF(C$57="Oui","T-Test Welch",IF(C$57="Non","Mann Withney",""))))</f>
        <v>#NAME?</v>
      </c>
      <c r="D59" s="90" t="e">
        <f t="shared" ca="1" si="61"/>
        <v>#NAME?</v>
      </c>
      <c r="E59" s="90" t="e">
        <f t="shared" ca="1" si="61"/>
        <v>#NAME?</v>
      </c>
      <c r="F59" s="90" t="e">
        <f t="shared" ca="1" si="61"/>
        <v>#NAME?</v>
      </c>
      <c r="G59" s="90" t="e">
        <f t="shared" ca="1" si="61"/>
        <v>#NAME?</v>
      </c>
      <c r="H59" s="90" t="e">
        <f t="shared" ca="1" si="61"/>
        <v>#NAME?</v>
      </c>
      <c r="I59" s="90" t="e">
        <f t="shared" ca="1" si="61"/>
        <v>#NAME?</v>
      </c>
      <c r="J59" s="90" t="e">
        <f t="shared" ca="1" si="61"/>
        <v>#NAME?</v>
      </c>
      <c r="K59" s="90" t="e">
        <f t="shared" ca="1" si="61"/>
        <v>#NAME?</v>
      </c>
      <c r="L59" s="90" t="e">
        <f t="shared" ca="1" si="61"/>
        <v>#NAME?</v>
      </c>
      <c r="M59" s="90" t="e">
        <f t="shared" ca="1" si="61"/>
        <v>#NAME?</v>
      </c>
      <c r="N59" s="90"/>
      <c r="O59" s="90" t="e">
        <f ca="1">IF($B57="Non",IF(O$57="Non","Mann Withney",IF(O$57="Oui","Mann Withney","")),IF($B$57="Oui",IF(O$57="Oui","T-Test Welch",IF(O$57="Non","Mann Withney",""))))</f>
        <v>#NAME?</v>
      </c>
      <c r="P59" s="90" t="e">
        <f ca="1">IF($O57="Non",IF(P$57="Non","Mann Withney",IF(P$57="Oui","Mann Withney","")),IF($O$57="Oui",IF(P$57="Oui","T-Test Welch",IF(P$57="Non","Mann Withney",""))))</f>
        <v>#NAME?</v>
      </c>
      <c r="Q59" s="90" t="e">
        <f t="shared" ref="Q59:AK59" ca="1" si="62">IF($O57="Non",IF(Q$57="Non","Mann Withney",IF(Q$57="Oui","Mann Withney","")),IF($O$57="Oui",IF(Q$57="Oui","T-Test Welch",IF(Q$57="Non","Mann Withney",""))))</f>
        <v>#NAME?</v>
      </c>
      <c r="R59" s="90" t="e">
        <f t="shared" ca="1" si="62"/>
        <v>#NAME?</v>
      </c>
      <c r="S59" s="90" t="e">
        <f t="shared" ca="1" si="62"/>
        <v>#NAME?</v>
      </c>
      <c r="T59" s="90" t="e">
        <f t="shared" ca="1" si="62"/>
        <v>#NAME?</v>
      </c>
      <c r="U59" s="90" t="e">
        <f t="shared" ca="1" si="62"/>
        <v>#NAME?</v>
      </c>
      <c r="V59" s="90" t="e">
        <f t="shared" ca="1" si="62"/>
        <v>#NAME?</v>
      </c>
      <c r="W59" s="90" t="e">
        <f t="shared" ca="1" si="62"/>
        <v>#NAME?</v>
      </c>
      <c r="X59" s="90" t="e">
        <f t="shared" ca="1" si="62"/>
        <v>#NAME?</v>
      </c>
      <c r="Y59" s="90" t="e">
        <f t="shared" ca="1" si="62"/>
        <v>#NAME?</v>
      </c>
      <c r="Z59" s="90" t="e">
        <f t="shared" ca="1" si="62"/>
        <v>#NAME?</v>
      </c>
      <c r="AA59" s="90" t="e">
        <f t="shared" ca="1" si="62"/>
        <v>#NAME?</v>
      </c>
      <c r="AB59" s="90" t="e">
        <f t="shared" ca="1" si="62"/>
        <v>#NAME?</v>
      </c>
      <c r="AC59" s="90" t="e">
        <f t="shared" ca="1" si="62"/>
        <v>#NAME?</v>
      </c>
      <c r="AD59" s="90" t="e">
        <f t="shared" ca="1" si="62"/>
        <v>#NAME?</v>
      </c>
      <c r="AE59" s="90" t="e">
        <f t="shared" ca="1" si="62"/>
        <v>#NAME?</v>
      </c>
      <c r="AF59" s="90" t="e">
        <f t="shared" ca="1" si="62"/>
        <v>#NAME?</v>
      </c>
      <c r="AG59" s="90" t="e">
        <f t="shared" ca="1" si="62"/>
        <v>#NAME?</v>
      </c>
      <c r="AH59" s="90" t="e">
        <f t="shared" ca="1" si="62"/>
        <v>#NAME?</v>
      </c>
      <c r="AI59" s="90" t="e">
        <f t="shared" ca="1" si="62"/>
        <v>#NAME?</v>
      </c>
      <c r="AJ59" s="90" t="e">
        <f t="shared" ca="1" si="62"/>
        <v>#NAME?</v>
      </c>
      <c r="AK59" s="90" t="e">
        <f t="shared" ca="1" si="62"/>
        <v>#NAME?</v>
      </c>
    </row>
    <row r="60" spans="1:37" s="3" customFormat="1" x14ac:dyDescent="0.25">
      <c r="A60" s="49" t="s">
        <v>45</v>
      </c>
      <c r="B60" s="91"/>
      <c r="C60" s="91" t="e">
        <f ca="1">IF(C59="Mann Withney",[1]!MTEST($B28:$B43,C28:C43,2), IF(C59="T-Test Welch",_xlfn.T.TEST($B28:$B43,C28:C43,2,3),""))</f>
        <v>#NAME?</v>
      </c>
      <c r="D60" s="91" t="e">
        <f ca="1">IF(D59="Mann Withney",[1]!MTEST($B28:$B43,D28:D43,2), IF(D59="T-Test Welch",_xlfn.T.TEST($B28:$B43,D28:D43,2,3),""))</f>
        <v>#NAME?</v>
      </c>
      <c r="E60" s="91" t="e">
        <f ca="1">IF(E59="Mann Withney",[1]!MTEST($B28:$B43,E28:E43,2), IF(E59="T-Test Welch",_xlfn.T.TEST($B28:$B43,E28:E43,2,3),""))</f>
        <v>#NAME?</v>
      </c>
      <c r="F60" s="91" t="e">
        <f ca="1">IF(F59="Mann Withney",[1]!MTEST($B28:$B43,F28:F43,2), IF(F59="T-Test Welch",_xlfn.T.TEST($B28:$B43,F28:F43,2,3),""))</f>
        <v>#NAME?</v>
      </c>
      <c r="G60" s="91" t="e">
        <f ca="1">IF(G59="Mann Withney",[1]!MTEST($B28:$B43,G28:G43,2), IF(G59="T-Test Welch",_xlfn.T.TEST($B28:$B43,G28:G43,2,3),""))</f>
        <v>#NAME?</v>
      </c>
      <c r="H60" s="91" t="e">
        <f ca="1">IF(H59="Mann Withney",[1]!MTEST($B28:$B43,H28:H43,2), IF(H59="T-Test Welch",_xlfn.T.TEST($B28:$B43,H28:H43,2,3),""))</f>
        <v>#NAME?</v>
      </c>
      <c r="I60" s="91" t="e">
        <f ca="1">IF(I59="Mann Withney",[1]!MTEST($B28:$B43,I28:I43,2), IF(I59="T-Test Welch",_xlfn.T.TEST($B28:$B43,I28:I43,2,3),""))</f>
        <v>#NAME?</v>
      </c>
      <c r="J60" s="91" t="e">
        <f ca="1">IF(J59="Mann Withney",[1]!MTEST($B28:$B43,J28:J43,2), IF(J59="T-Test Welch",_xlfn.T.TEST($B28:$B43,J28:J43,2,3),""))</f>
        <v>#NAME?</v>
      </c>
      <c r="K60" s="91" t="e">
        <f ca="1">IF(K59="Mann Withney",[1]!MTEST($B28:$B43,K28:K43,2), IF(K59="T-Test Welch",_xlfn.T.TEST($B28:$B43,K28:K43,2,3),""))</f>
        <v>#NAME?</v>
      </c>
      <c r="L60" s="91" t="e">
        <f ca="1">IF(L59="Mann Withney",[1]!MTEST($B28:$B43,L28:L43,2), IF(L59="T-Test Welch",_xlfn.T.TEST($B28:$B43,L28:L43,2,3),""))</f>
        <v>#NAME?</v>
      </c>
      <c r="M60" s="91" t="e">
        <f ca="1">IF(M59="Mann Withney",[1]!MTEST($B28:$B43,M28:M43,2), IF(M59="T-Test Welch",_xlfn.T.TEST($B28:$B43,M28:M43,2,3),""))</f>
        <v>#NAME?</v>
      </c>
      <c r="N60" s="91"/>
      <c r="O60" s="91" t="e">
        <f ca="1">IF(O59="Mann Withney",[1]!MTEST($B28:$B43,O28:O43,2), IF(O59="T-Test Welch",_xlfn.T.TEST($B28:$B43,O28:O43,2,3),""))</f>
        <v>#NAME?</v>
      </c>
      <c r="P60" s="91" t="e">
        <f ca="1">IF(P59="Mann Withney",[1]!MTEST($O28:$O43,P28:P43,2), IF(P59="T-Test Welch",_xlfn.T.TEST($O28:$O43,P28:P43,2,3),""))</f>
        <v>#NAME?</v>
      </c>
      <c r="Q60" s="91" t="e">
        <f ca="1">IF(Q59="Mann Withney",[1]!MTEST($O28:$O43,Q28:Q43,2), IF(Q59="T-Test Welch",_xlfn.T.TEST($O28:$O43,Q28:Q43,2,3),""))</f>
        <v>#NAME?</v>
      </c>
      <c r="R60" s="91" t="e">
        <f ca="1">IF(R59="Mann Withney",[1]!MTEST($O28:$O43,R28:R43,2), IF(R59="T-Test Welch",_xlfn.T.TEST($O28:$O43,R28:R43,2,3),""))</f>
        <v>#NAME?</v>
      </c>
      <c r="S60" s="91" t="e">
        <f ca="1">IF(S59="Mann Withney",[1]!MTEST($O28:$O43,S28:S43,2), IF(S59="T-Test Welch",_xlfn.T.TEST($O28:$O43,S28:S43,2,3),""))</f>
        <v>#NAME?</v>
      </c>
      <c r="T60" s="91" t="e">
        <f ca="1">IF(T59="Mann Withney",[1]!MTEST($O28:$O43,T28:T43,2), IF(T59="T-Test Welch",_xlfn.T.TEST($O28:$O43,T28:T43,2,3),""))</f>
        <v>#NAME?</v>
      </c>
      <c r="U60" s="91" t="e">
        <f ca="1">IF(U59="Mann Withney",[1]!MTEST($O28:$O43,U28:U43,2), IF(U59="T-Test Welch",_xlfn.T.TEST($O28:$O43,U28:U43,2,3),""))</f>
        <v>#NAME?</v>
      </c>
      <c r="V60" s="91" t="e">
        <f ca="1">IF(V59="Mann Withney",[1]!MTEST($O28:$O43,V28:V43,2), IF(V59="T-Test Welch",_xlfn.T.TEST($O28:$O43,V28:V43,2,3),""))</f>
        <v>#NAME?</v>
      </c>
      <c r="W60" s="91" t="e">
        <f ca="1">IF(W59="Mann Withney",[1]!MTEST($O28:$O43,W28:W43,2), IF(W59="T-Test Welch",_xlfn.T.TEST($O28:$O43,W28:W43,2,3),""))</f>
        <v>#NAME?</v>
      </c>
      <c r="X60" s="91" t="e">
        <f ca="1">IF(X59="Mann Withney",[1]!MTEST($O28:$O43,X28:X43,2), IF(X59="T-Test Welch",_xlfn.T.TEST($O28:$O43,X28:X43,2,3),""))</f>
        <v>#NAME?</v>
      </c>
      <c r="Y60" s="91" t="e">
        <f ca="1">IF(Y59="Mann Withney",[1]!MTEST($O28:$O43,Y28:Y43,2), IF(Y59="T-Test Welch",_xlfn.T.TEST($O28:$O43,Y28:Y43,2,3),""))</f>
        <v>#NAME?</v>
      </c>
      <c r="Z60" s="91" t="e">
        <f ca="1">IF(Z59="Mann Withney",[1]!MTEST($O28:$O43,Z28:Z43,2), IF(Z59="T-Test Welch",_xlfn.T.TEST($O28:$O43,Z28:Z43,2,3),""))</f>
        <v>#NAME?</v>
      </c>
      <c r="AA60" s="91" t="e">
        <f ca="1">IF(AA59="Mann Withney",[1]!MTEST($O28:$O43,AA28:AA43,2), IF(AA59="T-Test Welch",_xlfn.T.TEST($O28:$O43,AA28:AA43,2,3),""))</f>
        <v>#NAME?</v>
      </c>
      <c r="AB60" s="91" t="e">
        <f ca="1">IF(AB59="Mann Withney",[1]!MTEST($O28:$O43,AB28:AB43,2), IF(AB59="T-Test Welch",_xlfn.T.TEST($O28:$O43,AB28:AB43,2,3),""))</f>
        <v>#NAME?</v>
      </c>
      <c r="AC60" s="91" t="e">
        <f ca="1">IF(AC59="Mann Withney",[1]!MTEST($O28:$O43,AC28:AC43,2), IF(AC59="T-Test Welch",_xlfn.T.TEST($O28:$O43,AC28:AC43,2,3),""))</f>
        <v>#NAME?</v>
      </c>
      <c r="AD60" s="91" t="e">
        <f ca="1">IF(AD59="Mann Withney",[1]!MTEST($O28:$O43,AD28:AD43,2), IF(AD59="T-Test Welch",_xlfn.T.TEST($O28:$O43,AD28:AD43,2,3),""))</f>
        <v>#NAME?</v>
      </c>
      <c r="AE60" s="91" t="e">
        <f ca="1">IF(AE59="Mann Withney",[1]!MTEST($O28:$O43,AE28:AE43,2), IF(AE59="T-Test Welch",_xlfn.T.TEST($O28:$O43,AE28:AE43,2,3),""))</f>
        <v>#NAME?</v>
      </c>
      <c r="AF60" s="91" t="e">
        <f ca="1">IF(AF59="Mann Withney",[1]!MTEST($O28:$O43,AF28:AF43,2), IF(AF59="T-Test Welch",_xlfn.T.TEST($O28:$O43,AF28:AF43,2,3),""))</f>
        <v>#NAME?</v>
      </c>
      <c r="AG60" s="91" t="e">
        <f ca="1">IF(AG59="Mann Withney",[1]!MTEST($O28:$O43,AG28:AG43,2), IF(AG59="T-Test Welch",_xlfn.T.TEST($O28:$O43,AG28:AG43,2,3),""))</f>
        <v>#NAME?</v>
      </c>
      <c r="AH60" s="91" t="e">
        <f ca="1">IF(AH59="Mann Withney",[1]!MTEST($O28:$O43,AH28:AH43,2), IF(AH59="T-Test Welch",_xlfn.T.TEST($O28:$O43,AH28:AH43,2,3),""))</f>
        <v>#NAME?</v>
      </c>
      <c r="AI60" s="91" t="e">
        <f ca="1">IF(AI59="Mann Withney",[1]!MTEST($O28:$O43,AI28:AI43,2), IF(AI59="T-Test Welch",_xlfn.T.TEST($O28:$O43,AI28:AI43,2,3),""))</f>
        <v>#NAME?</v>
      </c>
      <c r="AJ60" s="91" t="e">
        <f ca="1">IF(AJ59="Mann Withney",[1]!MTEST($O28:$O43,AJ28:AJ43,2), IF(AJ59="T-Test Welch",_xlfn.T.TEST($O28:$O43,AJ28:AJ43,2,3),""))</f>
        <v>#NAME?</v>
      </c>
      <c r="AK60" s="91" t="e">
        <f ca="1">IF(AK59="Mann Withney",[1]!MTEST($O28:$O43,AK28:AK43,2), IF(AK59="T-Test Welch",_xlfn.T.TEST($O28:$O43,AK28:AK43,2,3),""))</f>
        <v>#NAME?</v>
      </c>
    </row>
    <row r="61" spans="1:37" s="3" customFormat="1" ht="15.75" thickBot="1" x14ac:dyDescent="0.3">
      <c r="A61" s="50" t="s">
        <v>46</v>
      </c>
      <c r="B61" s="85"/>
      <c r="C61" s="85" t="e">
        <f t="shared" ref="C61:M61" ca="1" si="63">IF(C60&gt;0.05,"NS",IF(C60&gt;0.01,"*",IF(C60&gt;0.001,"**","***")))</f>
        <v>#NAME?</v>
      </c>
      <c r="D61" s="85" t="e">
        <f t="shared" ca="1" si="63"/>
        <v>#NAME?</v>
      </c>
      <c r="E61" s="85" t="e">
        <f t="shared" ca="1" si="63"/>
        <v>#NAME?</v>
      </c>
      <c r="F61" s="85" t="e">
        <f t="shared" ca="1" si="63"/>
        <v>#NAME?</v>
      </c>
      <c r="G61" s="85" t="e">
        <f t="shared" ca="1" si="63"/>
        <v>#NAME?</v>
      </c>
      <c r="H61" s="85" t="e">
        <f t="shared" ca="1" si="63"/>
        <v>#NAME?</v>
      </c>
      <c r="I61" s="85" t="e">
        <f t="shared" ca="1" si="63"/>
        <v>#NAME?</v>
      </c>
      <c r="J61" s="85" t="e">
        <f t="shared" ca="1" si="63"/>
        <v>#NAME?</v>
      </c>
      <c r="K61" s="85" t="e">
        <f t="shared" ca="1" si="63"/>
        <v>#NAME?</v>
      </c>
      <c r="L61" s="85" t="e">
        <f t="shared" ca="1" si="63"/>
        <v>#NAME?</v>
      </c>
      <c r="M61" s="85" t="e">
        <f t="shared" ca="1" si="63"/>
        <v>#NAME?</v>
      </c>
      <c r="N61" s="85"/>
      <c r="O61" s="85" t="e">
        <f ca="1">IF(O60&gt;0.05,"NS",IF(O60&gt;0.01,"*",IF(O60&gt;0.001,"**","***")))</f>
        <v>#NAME?</v>
      </c>
      <c r="P61" s="85" t="e">
        <f ca="1">IF(P60&gt;0.05,"NS",IF(P60&gt;0.01,"*",IF(P60&gt;0.001,"**","***")))</f>
        <v>#NAME?</v>
      </c>
      <c r="Q61" s="85" t="e">
        <f t="shared" ref="Q61" ca="1" si="64">IF(Q60&gt;0.05,"NS",IF(Q60&gt;0.01,"*",IF(Q60&gt;0.001,"**","***")))</f>
        <v>#NAME?</v>
      </c>
      <c r="R61" s="85" t="e">
        <f t="shared" ref="R61" ca="1" si="65">IF(R60&gt;0.05,"NS",IF(R60&gt;0.01,"*",IF(R60&gt;0.001,"**","***")))</f>
        <v>#NAME?</v>
      </c>
      <c r="S61" s="85" t="e">
        <f t="shared" ref="S61" ca="1" si="66">IF(S60&gt;0.05,"NS",IF(S60&gt;0.01,"*",IF(S60&gt;0.001,"**","***")))</f>
        <v>#NAME?</v>
      </c>
      <c r="T61" s="85" t="e">
        <f t="shared" ref="T61" ca="1" si="67">IF(T60&gt;0.05,"NS",IF(T60&gt;0.01,"*",IF(T60&gt;0.001,"**","***")))</f>
        <v>#NAME?</v>
      </c>
      <c r="U61" s="85" t="e">
        <f t="shared" ref="U61" ca="1" si="68">IF(U60&gt;0.05,"NS",IF(U60&gt;0.01,"*",IF(U60&gt;0.001,"**","***")))</f>
        <v>#NAME?</v>
      </c>
      <c r="V61" s="85" t="e">
        <f t="shared" ref="V61" ca="1" si="69">IF(V60&gt;0.05,"NS",IF(V60&gt;0.01,"*",IF(V60&gt;0.001,"**","***")))</f>
        <v>#NAME?</v>
      </c>
      <c r="W61" s="85" t="e">
        <f t="shared" ref="W61" ca="1" si="70">IF(W60&gt;0.05,"NS",IF(W60&gt;0.01,"*",IF(W60&gt;0.001,"**","***")))</f>
        <v>#NAME?</v>
      </c>
      <c r="X61" s="85" t="e">
        <f t="shared" ref="X61" ca="1" si="71">IF(X60&gt;0.05,"NS",IF(X60&gt;0.01,"*",IF(X60&gt;0.001,"**","***")))</f>
        <v>#NAME?</v>
      </c>
      <c r="Y61" s="85" t="e">
        <f t="shared" ref="Y61" ca="1" si="72">IF(Y60&gt;0.05,"NS",IF(Y60&gt;0.01,"*",IF(Y60&gt;0.001,"**","***")))</f>
        <v>#NAME?</v>
      </c>
      <c r="Z61" s="85" t="e">
        <f t="shared" ref="Z61" ca="1" si="73">IF(Z60&gt;0.05,"NS",IF(Z60&gt;0.01,"*",IF(Z60&gt;0.001,"**","***")))</f>
        <v>#NAME?</v>
      </c>
      <c r="AA61" s="85" t="e">
        <f t="shared" ref="AA61" ca="1" si="74">IF(AA60&gt;0.05,"NS",IF(AA60&gt;0.01,"*",IF(AA60&gt;0.001,"**","***")))</f>
        <v>#NAME?</v>
      </c>
      <c r="AB61" s="85" t="e">
        <f t="shared" ref="AB61" ca="1" si="75">IF(AB60&gt;0.05,"NS",IF(AB60&gt;0.01,"*",IF(AB60&gt;0.001,"**","***")))</f>
        <v>#NAME?</v>
      </c>
      <c r="AC61" s="85" t="e">
        <f t="shared" ref="AC61" ca="1" si="76">IF(AC60&gt;0.05,"NS",IF(AC60&gt;0.01,"*",IF(AC60&gt;0.001,"**","***")))</f>
        <v>#NAME?</v>
      </c>
      <c r="AD61" s="85" t="e">
        <f t="shared" ref="AD61" ca="1" si="77">IF(AD60&gt;0.05,"NS",IF(AD60&gt;0.01,"*",IF(AD60&gt;0.001,"**","***")))</f>
        <v>#NAME?</v>
      </c>
      <c r="AE61" s="85" t="e">
        <f t="shared" ref="AE61" ca="1" si="78">IF(AE60&gt;0.05,"NS",IF(AE60&gt;0.01,"*",IF(AE60&gt;0.001,"**","***")))</f>
        <v>#NAME?</v>
      </c>
      <c r="AF61" s="85" t="e">
        <f t="shared" ref="AF61" ca="1" si="79">IF(AF60&gt;0.05,"NS",IF(AF60&gt;0.01,"*",IF(AF60&gt;0.001,"**","***")))</f>
        <v>#NAME?</v>
      </c>
      <c r="AG61" s="85" t="e">
        <f t="shared" ref="AG61" ca="1" si="80">IF(AG60&gt;0.05,"NS",IF(AG60&gt;0.01,"*",IF(AG60&gt;0.001,"**","***")))</f>
        <v>#NAME?</v>
      </c>
      <c r="AH61" s="85" t="e">
        <f t="shared" ref="AH61" ca="1" si="81">IF(AH60&gt;0.05,"NS",IF(AH60&gt;0.01,"*",IF(AH60&gt;0.001,"**","***")))</f>
        <v>#NAME?</v>
      </c>
      <c r="AI61" s="85" t="e">
        <f t="shared" ref="AI61" ca="1" si="82">IF(AI60&gt;0.05,"NS",IF(AI60&gt;0.01,"*",IF(AI60&gt;0.001,"**","***")))</f>
        <v>#NAME?</v>
      </c>
      <c r="AJ61" s="85" t="e">
        <f t="shared" ref="AJ61" ca="1" si="83">IF(AJ60&gt;0.05,"NS",IF(AJ60&gt;0.01,"*",IF(AJ60&gt;0.001,"**","***")))</f>
        <v>#NAME?</v>
      </c>
      <c r="AK61" s="85" t="e">
        <f t="shared" ref="AK61" ca="1" si="84">IF(AK60&gt;0.05,"NS",IF(AK60&gt;0.01,"*",IF(AK60&gt;0.001,"**","***")))</f>
        <v>#NAME?</v>
      </c>
    </row>
    <row r="63" spans="1:37" x14ac:dyDescent="0.25">
      <c r="A63" s="2" t="s">
        <v>20</v>
      </c>
    </row>
    <row r="64" spans="1:37" x14ac:dyDescent="0.25">
      <c r="A64" s="1" t="s">
        <v>13</v>
      </c>
      <c r="B64" s="1">
        <f>B46+(3*B47)</f>
        <v>0.12925093031410001</v>
      </c>
    </row>
    <row r="65" spans="1:37" x14ac:dyDescent="0.25">
      <c r="A65" s="1" t="s">
        <v>14</v>
      </c>
      <c r="B65" s="1">
        <f>B46+(10*B47)</f>
        <v>0.32931164246260464</v>
      </c>
    </row>
    <row r="66" spans="1:37" ht="15.75" thickBot="1" x14ac:dyDescent="0.3"/>
    <row r="67" spans="1:37" s="1" customFormat="1" ht="27" thickBot="1" x14ac:dyDescent="0.45">
      <c r="A67" s="147" t="s">
        <v>31</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B5:I12" name="Plage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L1" zoomScale="70" zoomScaleNormal="70" zoomScaleSheetLayoutView="40" zoomScalePageLayoutView="30" workbookViewId="0">
      <selection activeCell="S25" sqref="S25"/>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4" t="s">
        <v>23</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customFormat="1" ht="15.75" thickBot="1" x14ac:dyDescent="0.3">
      <c r="AE2" s="1"/>
      <c r="AF2" s="1"/>
      <c r="AG2" s="1"/>
      <c r="AH2" s="1"/>
      <c r="AI2" s="1"/>
      <c r="AJ2" s="1"/>
    </row>
    <row r="3" spans="1:37" ht="15.75" thickBot="1" x14ac:dyDescent="0.3">
      <c r="A3" s="37" t="s">
        <v>9</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BPA-1mg/L</v>
      </c>
      <c r="J4" s="20" t="str">
        <f>'Front page'!A15</f>
        <v>BPA-2mg/L</v>
      </c>
      <c r="K4" s="20" t="str">
        <f>'Front page'!A16</f>
        <v>BPA-3mg/L</v>
      </c>
      <c r="L4" s="20" t="str">
        <f>'Front page'!A17</f>
        <v>BPA-4mg/L</v>
      </c>
      <c r="M4" s="20" t="str">
        <f>'Front page'!A18</f>
        <v>BPA-5mg/L</v>
      </c>
      <c r="N4" s="3"/>
      <c r="O4" s="21" t="str">
        <f>'Front page'!A35</f>
        <v>Testo -30µg/L</v>
      </c>
      <c r="P4" s="21" t="str">
        <f>'Front page'!A36</f>
        <v>Testo 30µg/L + EE2 -64ng/L</v>
      </c>
      <c r="Q4" s="21" t="str">
        <f>'Front page'!A37</f>
        <v>Testo 30µg/L + FAD-10mg/L</v>
      </c>
      <c r="R4" s="21" t="str">
        <f>'Front page'!A38</f>
        <v>BPA-1mg/L + Testostérone</v>
      </c>
      <c r="S4" s="21" t="str">
        <f>'Front page'!A39</f>
        <v>BPA-2mg/L + Testostérone</v>
      </c>
      <c r="T4" s="21" t="str">
        <f>'Front page'!A40</f>
        <v>BPA-3mg/L + Testostérone</v>
      </c>
      <c r="U4" s="21" t="str">
        <f>'Front page'!A41</f>
        <v>BPA-4mg/L + Testostérone</v>
      </c>
      <c r="V4" s="21" t="str">
        <f>'Front page'!A42</f>
        <v>BPA-5mg/L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7" t="s">
        <v>16</v>
      </c>
      <c r="B5" s="1">
        <v>0</v>
      </c>
      <c r="C5" s="1">
        <v>492</v>
      </c>
      <c r="D5" s="1">
        <v>327</v>
      </c>
      <c r="E5" s="1">
        <v>0</v>
      </c>
      <c r="F5" s="17">
        <v>0</v>
      </c>
      <c r="G5" s="17">
        <v>154028</v>
      </c>
      <c r="H5" s="17">
        <v>285607</v>
      </c>
      <c r="I5" s="1">
        <v>0</v>
      </c>
      <c r="J5" s="17">
        <v>0</v>
      </c>
      <c r="K5" s="13">
        <v>9297</v>
      </c>
      <c r="L5" s="13">
        <v>0</v>
      </c>
      <c r="M5" s="13">
        <v>0</v>
      </c>
      <c r="N5" s="3"/>
      <c r="O5" s="1">
        <v>96324</v>
      </c>
      <c r="P5" s="13">
        <v>286900</v>
      </c>
      <c r="Q5" s="13">
        <v>0</v>
      </c>
      <c r="R5" s="17">
        <v>61369</v>
      </c>
      <c r="S5" s="17">
        <v>148770</v>
      </c>
      <c r="T5" s="17">
        <v>130308</v>
      </c>
      <c r="U5" s="17">
        <v>219220</v>
      </c>
      <c r="V5" s="17">
        <v>287243</v>
      </c>
      <c r="W5" s="17"/>
      <c r="X5" s="17"/>
      <c r="Y5" s="17"/>
      <c r="Z5" s="17"/>
      <c r="AA5" s="17"/>
      <c r="AB5" s="17"/>
      <c r="AC5" s="17"/>
      <c r="AD5" s="17"/>
      <c r="AE5" s="17"/>
      <c r="AF5" s="17"/>
      <c r="AG5" s="17"/>
      <c r="AH5" s="17"/>
      <c r="AI5" s="17"/>
      <c r="AJ5" s="17"/>
      <c r="AK5" s="17"/>
    </row>
    <row r="6" spans="1:37" x14ac:dyDescent="0.25">
      <c r="A6" s="157"/>
      <c r="B6" s="1">
        <v>402</v>
      </c>
      <c r="C6" s="1">
        <v>165</v>
      </c>
      <c r="D6" s="1">
        <v>584</v>
      </c>
      <c r="E6" s="1">
        <v>240</v>
      </c>
      <c r="F6" s="17">
        <v>62377</v>
      </c>
      <c r="G6" s="17">
        <v>58050</v>
      </c>
      <c r="H6" s="17">
        <v>286993</v>
      </c>
      <c r="I6" s="1">
        <v>0</v>
      </c>
      <c r="J6" s="17">
        <v>0</v>
      </c>
      <c r="K6" s="13">
        <v>160</v>
      </c>
      <c r="L6" s="13">
        <v>0</v>
      </c>
      <c r="M6" s="13">
        <v>1792</v>
      </c>
      <c r="N6" s="3"/>
      <c r="O6" s="1">
        <v>144480</v>
      </c>
      <c r="P6" s="13">
        <v>240388</v>
      </c>
      <c r="Q6" s="13">
        <v>0</v>
      </c>
      <c r="R6" s="17">
        <v>107508</v>
      </c>
      <c r="S6" s="17">
        <v>55740</v>
      </c>
      <c r="T6" s="17">
        <v>222365</v>
      </c>
      <c r="U6" s="17">
        <v>194307</v>
      </c>
      <c r="V6" s="17">
        <v>149045</v>
      </c>
      <c r="W6" s="17"/>
      <c r="X6" s="17"/>
      <c r="Y6" s="17"/>
      <c r="Z6" s="17"/>
      <c r="AA6" s="17"/>
      <c r="AB6" s="17"/>
      <c r="AC6" s="17"/>
      <c r="AD6" s="17"/>
      <c r="AE6" s="17"/>
      <c r="AF6" s="17"/>
      <c r="AG6" s="17"/>
      <c r="AH6" s="17"/>
      <c r="AI6" s="17"/>
      <c r="AJ6" s="17"/>
      <c r="AK6" s="17"/>
    </row>
    <row r="7" spans="1:37" x14ac:dyDescent="0.25">
      <c r="A7" s="157"/>
      <c r="B7" s="1">
        <v>736</v>
      </c>
      <c r="C7" s="1">
        <v>572</v>
      </c>
      <c r="D7" s="1">
        <v>0</v>
      </c>
      <c r="E7" s="1">
        <v>0</v>
      </c>
      <c r="F7" s="17">
        <v>1774</v>
      </c>
      <c r="G7" s="17">
        <v>197126</v>
      </c>
      <c r="H7" s="17">
        <v>275377</v>
      </c>
      <c r="I7" s="1">
        <v>3021</v>
      </c>
      <c r="J7" s="17">
        <v>420</v>
      </c>
      <c r="K7" s="13">
        <v>80</v>
      </c>
      <c r="L7" s="13">
        <v>1713</v>
      </c>
      <c r="M7" s="13">
        <v>0</v>
      </c>
      <c r="N7" s="3"/>
      <c r="O7" s="1">
        <v>132670</v>
      </c>
      <c r="P7" s="13">
        <v>169200</v>
      </c>
      <c r="Q7" s="13">
        <v>81</v>
      </c>
      <c r="R7" s="17">
        <v>35544</v>
      </c>
      <c r="S7" s="17">
        <v>181718</v>
      </c>
      <c r="T7" s="17">
        <v>122911</v>
      </c>
      <c r="U7" s="17">
        <v>193648</v>
      </c>
      <c r="V7" s="17">
        <v>57087</v>
      </c>
      <c r="W7" s="17"/>
      <c r="X7" s="17"/>
      <c r="Y7" s="17"/>
      <c r="Z7" s="17"/>
      <c r="AA7" s="17"/>
      <c r="AB7" s="17"/>
      <c r="AC7" s="17"/>
      <c r="AD7" s="17"/>
      <c r="AE7" s="17"/>
      <c r="AF7" s="17"/>
      <c r="AG7" s="17"/>
      <c r="AH7" s="17"/>
      <c r="AI7" s="17"/>
      <c r="AJ7" s="17"/>
      <c r="AK7" s="17"/>
    </row>
    <row r="8" spans="1:37" x14ac:dyDescent="0.25">
      <c r="A8" s="157"/>
      <c r="B8" s="1">
        <v>1054</v>
      </c>
      <c r="C8" s="1">
        <v>0</v>
      </c>
      <c r="D8" s="1">
        <v>0</v>
      </c>
      <c r="E8" s="1">
        <v>82</v>
      </c>
      <c r="F8" s="17">
        <v>140277</v>
      </c>
      <c r="G8" s="17">
        <v>171948</v>
      </c>
      <c r="H8" s="17">
        <v>358056</v>
      </c>
      <c r="I8" s="1">
        <v>0</v>
      </c>
      <c r="J8" s="17">
        <v>84</v>
      </c>
      <c r="K8" s="13">
        <v>8347</v>
      </c>
      <c r="L8" s="13">
        <v>0</v>
      </c>
      <c r="M8" s="13">
        <v>323</v>
      </c>
      <c r="N8" s="3"/>
      <c r="O8" s="1">
        <v>205067</v>
      </c>
      <c r="P8" s="13">
        <v>212279</v>
      </c>
      <c r="Q8" s="13">
        <v>0</v>
      </c>
      <c r="R8" s="17">
        <v>203207</v>
      </c>
      <c r="S8" s="17">
        <v>142869</v>
      </c>
      <c r="T8" s="17">
        <v>81588</v>
      </c>
      <c r="U8" s="17">
        <v>272435</v>
      </c>
      <c r="V8" s="17">
        <v>209948</v>
      </c>
      <c r="W8" s="17"/>
      <c r="X8" s="17"/>
      <c r="Y8" s="17"/>
      <c r="Z8" s="17"/>
      <c r="AA8" s="17"/>
      <c r="AB8" s="17"/>
      <c r="AC8" s="17"/>
      <c r="AD8" s="17"/>
      <c r="AE8" s="17"/>
      <c r="AF8" s="17"/>
      <c r="AG8" s="17"/>
      <c r="AH8" s="17"/>
      <c r="AI8" s="17"/>
      <c r="AJ8" s="17"/>
      <c r="AK8" s="17"/>
    </row>
    <row r="9" spans="1:37" x14ac:dyDescent="0.25">
      <c r="A9" s="157"/>
      <c r="B9" s="1">
        <v>2520</v>
      </c>
      <c r="C9" s="1">
        <v>3116</v>
      </c>
      <c r="D9" s="1">
        <v>0</v>
      </c>
      <c r="E9" s="1">
        <v>0</v>
      </c>
      <c r="F9" s="17">
        <v>146162</v>
      </c>
      <c r="G9" s="17">
        <v>95693</v>
      </c>
      <c r="H9" s="17">
        <v>244418</v>
      </c>
      <c r="I9" s="1">
        <v>0</v>
      </c>
      <c r="J9" s="17">
        <v>0</v>
      </c>
      <c r="K9" s="13">
        <v>7720</v>
      </c>
      <c r="L9" s="13">
        <v>0</v>
      </c>
      <c r="M9" s="13">
        <v>0</v>
      </c>
      <c r="N9" s="3"/>
      <c r="O9" s="1">
        <v>33919</v>
      </c>
      <c r="P9" s="13">
        <v>271981</v>
      </c>
      <c r="Q9" s="13">
        <v>0</v>
      </c>
      <c r="R9" s="17">
        <v>239708</v>
      </c>
      <c r="S9" s="17">
        <v>119008</v>
      </c>
      <c r="T9" s="17">
        <v>182946</v>
      </c>
      <c r="U9" s="17">
        <v>173607</v>
      </c>
      <c r="V9" s="17">
        <v>263861</v>
      </c>
      <c r="W9" s="17"/>
      <c r="X9" s="17"/>
      <c r="Y9" s="17"/>
      <c r="Z9" s="17"/>
      <c r="AA9" s="17"/>
      <c r="AB9" s="17"/>
      <c r="AC9" s="17"/>
      <c r="AD9" s="17"/>
      <c r="AE9" s="17"/>
      <c r="AF9" s="17"/>
      <c r="AG9" s="17"/>
      <c r="AH9" s="17"/>
      <c r="AI9" s="17"/>
      <c r="AJ9" s="17"/>
      <c r="AK9" s="17"/>
    </row>
    <row r="10" spans="1:37" x14ac:dyDescent="0.25">
      <c r="A10" s="157"/>
      <c r="B10" s="1">
        <v>0</v>
      </c>
      <c r="C10" s="1">
        <v>166</v>
      </c>
      <c r="D10" s="1">
        <v>0</v>
      </c>
      <c r="E10" s="1">
        <v>209417</v>
      </c>
      <c r="F10" s="17">
        <v>1167</v>
      </c>
      <c r="G10" s="17">
        <v>116411</v>
      </c>
      <c r="H10" s="17">
        <v>276798</v>
      </c>
      <c r="I10" s="1">
        <v>1216</v>
      </c>
      <c r="J10" s="17">
        <v>486</v>
      </c>
      <c r="K10" s="13">
        <v>0</v>
      </c>
      <c r="L10" s="13">
        <v>0</v>
      </c>
      <c r="M10" s="13">
        <v>7930</v>
      </c>
      <c r="N10" s="3"/>
      <c r="O10" s="1">
        <v>35123</v>
      </c>
      <c r="P10" s="13">
        <v>165571</v>
      </c>
      <c r="Q10" s="13">
        <v>0</v>
      </c>
      <c r="R10" s="17">
        <v>3906</v>
      </c>
      <c r="S10" s="17">
        <v>644</v>
      </c>
      <c r="T10" s="17">
        <v>170852</v>
      </c>
      <c r="U10" s="17">
        <v>156150</v>
      </c>
      <c r="V10" s="17">
        <v>304914</v>
      </c>
      <c r="W10" s="17"/>
      <c r="X10" s="17"/>
      <c r="Y10" s="17"/>
      <c r="Z10" s="17"/>
      <c r="AA10" s="17"/>
      <c r="AB10" s="17"/>
      <c r="AC10" s="17"/>
      <c r="AD10" s="17"/>
      <c r="AE10" s="17"/>
      <c r="AF10" s="17"/>
      <c r="AG10" s="17"/>
      <c r="AH10" s="17"/>
      <c r="AI10" s="17"/>
      <c r="AJ10" s="17"/>
      <c r="AK10" s="17"/>
    </row>
    <row r="11" spans="1:37" x14ac:dyDescent="0.25">
      <c r="A11" s="157"/>
      <c r="B11" s="1">
        <v>80</v>
      </c>
      <c r="C11" s="1">
        <v>0</v>
      </c>
      <c r="D11" s="1">
        <v>0</v>
      </c>
      <c r="E11" s="1">
        <v>1115</v>
      </c>
      <c r="F11" s="17">
        <v>84491</v>
      </c>
      <c r="G11" s="17">
        <v>140725</v>
      </c>
      <c r="H11" s="17">
        <v>230147</v>
      </c>
      <c r="I11" s="1">
        <v>0</v>
      </c>
      <c r="J11" s="17">
        <v>7255</v>
      </c>
      <c r="K11" s="13">
        <v>0</v>
      </c>
      <c r="L11" s="13">
        <v>0</v>
      </c>
      <c r="M11" s="13">
        <v>6825</v>
      </c>
      <c r="N11" s="3"/>
      <c r="O11" s="1">
        <v>20067</v>
      </c>
      <c r="P11" s="13">
        <v>277910</v>
      </c>
      <c r="Q11" s="13">
        <v>739</v>
      </c>
      <c r="R11" s="17">
        <v>166488</v>
      </c>
      <c r="S11" s="17">
        <v>151439</v>
      </c>
      <c r="T11" s="17">
        <v>184740</v>
      </c>
      <c r="U11" s="17">
        <v>169584</v>
      </c>
      <c r="V11" s="17">
        <v>241293</v>
      </c>
      <c r="W11" s="17"/>
      <c r="X11" s="17"/>
      <c r="Y11" s="17"/>
      <c r="Z11" s="17"/>
      <c r="AA11" s="17"/>
      <c r="AB11" s="17"/>
      <c r="AC11" s="17"/>
      <c r="AD11" s="17"/>
      <c r="AE11" s="17"/>
      <c r="AF11" s="17"/>
      <c r="AG11" s="17"/>
      <c r="AH11" s="17"/>
      <c r="AI11" s="17"/>
      <c r="AJ11" s="17"/>
      <c r="AK11" s="17"/>
    </row>
    <row r="12" spans="1:37" x14ac:dyDescent="0.25">
      <c r="A12" s="157"/>
      <c r="B12" s="1">
        <v>326</v>
      </c>
      <c r="C12" s="1">
        <v>0</v>
      </c>
      <c r="D12" s="1">
        <v>498</v>
      </c>
      <c r="E12" s="1">
        <v>161</v>
      </c>
      <c r="F12" s="17">
        <v>0</v>
      </c>
      <c r="G12" s="17">
        <v>96099</v>
      </c>
      <c r="H12" s="17">
        <v>306814</v>
      </c>
      <c r="I12" s="1">
        <v>0</v>
      </c>
      <c r="J12" s="17">
        <v>0</v>
      </c>
      <c r="K12" s="13">
        <v>0</v>
      </c>
      <c r="L12" s="13">
        <v>0</v>
      </c>
      <c r="M12" s="13"/>
      <c r="N12" s="3"/>
      <c r="O12" s="1">
        <v>151337</v>
      </c>
      <c r="P12" s="13">
        <v>218935</v>
      </c>
      <c r="Q12" s="13">
        <v>0</v>
      </c>
      <c r="R12" s="17">
        <v>148808</v>
      </c>
      <c r="S12" s="17">
        <v>0</v>
      </c>
      <c r="T12" s="17">
        <v>85406</v>
      </c>
      <c r="U12" s="17"/>
      <c r="V12" s="17">
        <v>162469</v>
      </c>
      <c r="W12" s="17"/>
      <c r="X12" s="17"/>
      <c r="Y12" s="17"/>
      <c r="Z12" s="17"/>
      <c r="AA12" s="17"/>
      <c r="AB12" s="17"/>
      <c r="AC12" s="17"/>
      <c r="AD12" s="17"/>
      <c r="AE12" s="17"/>
      <c r="AF12" s="17"/>
      <c r="AG12" s="17"/>
      <c r="AH12" s="17"/>
      <c r="AI12" s="17"/>
      <c r="AJ12" s="17"/>
      <c r="AK12" s="17"/>
    </row>
    <row r="13" spans="1:37" ht="16.5" x14ac:dyDescent="0.25">
      <c r="A13" s="157"/>
      <c r="B13" s="14"/>
      <c r="C13" s="13"/>
      <c r="D13" s="17"/>
      <c r="E13" s="17"/>
      <c r="F13" s="17"/>
      <c r="G13" s="17"/>
      <c r="H13" s="17"/>
      <c r="I13" s="17"/>
      <c r="J13" s="17"/>
      <c r="K13" s="13"/>
      <c r="L13" s="13"/>
      <c r="M13" s="13"/>
      <c r="N13" s="3"/>
      <c r="O13" s="1">
        <v>30290</v>
      </c>
      <c r="P13" s="13"/>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7"/>
      <c r="B14" s="14"/>
      <c r="C14" s="17"/>
      <c r="D14" s="17"/>
      <c r="E14" s="17"/>
      <c r="F14" s="17"/>
      <c r="G14" s="17"/>
      <c r="H14" s="17"/>
      <c r="I14" s="17"/>
      <c r="J14" s="17"/>
      <c r="K14" s="13"/>
      <c r="L14" s="13"/>
      <c r="M14" s="13"/>
      <c r="N14" s="3"/>
      <c r="O14" s="1">
        <v>153269</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7"/>
      <c r="B15" s="14"/>
      <c r="C15" s="17"/>
      <c r="D15" s="17"/>
      <c r="E15" s="17"/>
      <c r="F15" s="17"/>
      <c r="G15" s="17"/>
      <c r="H15" s="17"/>
      <c r="I15" s="17"/>
      <c r="J15" s="17"/>
      <c r="K15" s="13"/>
      <c r="L15" s="13"/>
      <c r="M15" s="13"/>
      <c r="N15" s="3"/>
      <c r="O15" s="1">
        <v>161086</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7"/>
      <c r="B16" s="14"/>
      <c r="C16" s="17"/>
      <c r="D16" s="17"/>
      <c r="E16" s="17"/>
      <c r="F16" s="17"/>
      <c r="G16" s="17"/>
      <c r="H16" s="17"/>
      <c r="I16" s="17"/>
      <c r="J16" s="17"/>
      <c r="K16" s="13"/>
      <c r="L16" s="13"/>
      <c r="M16" s="13"/>
      <c r="N16" s="3"/>
      <c r="O16" s="1">
        <v>0</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7"/>
      <c r="B17" s="14"/>
      <c r="C17" s="17"/>
      <c r="D17" s="17"/>
      <c r="E17" s="17"/>
      <c r="F17" s="17"/>
      <c r="G17" s="17"/>
      <c r="H17" s="17"/>
      <c r="I17" s="17"/>
      <c r="J17" s="17"/>
      <c r="K17" s="13"/>
      <c r="L17" s="13"/>
      <c r="M17" s="13"/>
      <c r="N17" s="3"/>
      <c r="O17" s="1">
        <v>56685</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7"/>
      <c r="B18" s="14"/>
      <c r="C18" s="17"/>
      <c r="D18" s="17"/>
      <c r="E18" s="17"/>
      <c r="F18" s="17"/>
      <c r="G18" s="17"/>
      <c r="H18" s="17"/>
      <c r="I18" s="17"/>
      <c r="J18" s="17"/>
      <c r="K18" s="13"/>
      <c r="L18" s="13"/>
      <c r="M18" s="13"/>
      <c r="N18" s="3"/>
      <c r="O18" s="1">
        <v>238027</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7"/>
      <c r="B19" s="14"/>
      <c r="C19" s="17"/>
      <c r="D19" s="17"/>
      <c r="E19" s="17"/>
      <c r="F19" s="17"/>
      <c r="G19" s="17"/>
      <c r="H19" s="17"/>
      <c r="I19" s="17"/>
      <c r="J19" s="17"/>
      <c r="K19" s="13"/>
      <c r="L19" s="13"/>
      <c r="M19" s="13"/>
      <c r="N19" s="3"/>
      <c r="O19" s="1">
        <v>0</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7"/>
      <c r="B20" s="14"/>
      <c r="C20" s="17"/>
      <c r="D20" s="17"/>
      <c r="E20" s="17"/>
      <c r="F20" s="17"/>
      <c r="G20" s="17"/>
      <c r="H20" s="17"/>
      <c r="I20" s="17"/>
      <c r="J20" s="17"/>
      <c r="K20" s="13"/>
      <c r="L20" s="13"/>
      <c r="M20" s="13"/>
      <c r="N20" s="3"/>
      <c r="O20" s="1">
        <v>111294</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22</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639.75</v>
      </c>
      <c r="C23" s="5">
        <f t="shared" si="2"/>
        <v>563.875</v>
      </c>
      <c r="D23" s="5">
        <f t="shared" si="2"/>
        <v>176.125</v>
      </c>
      <c r="E23" s="5">
        <f t="shared" si="2"/>
        <v>26376.875</v>
      </c>
      <c r="F23" s="5">
        <f t="shared" si="2"/>
        <v>54531</v>
      </c>
      <c r="G23" s="5">
        <f t="shared" si="2"/>
        <v>128760</v>
      </c>
      <c r="H23" s="5">
        <f t="shared" si="2"/>
        <v>283026.25</v>
      </c>
      <c r="I23" s="5">
        <f t="shared" si="2"/>
        <v>529.625</v>
      </c>
      <c r="J23" s="5">
        <f t="shared" si="2"/>
        <v>1030.625</v>
      </c>
      <c r="K23" s="5">
        <f t="shared" ref="K23" si="3">AVERAGE(K5:K20)</f>
        <v>3200.5</v>
      </c>
      <c r="L23" s="5">
        <f>AVERAGE(L5:L20)</f>
        <v>214.125</v>
      </c>
      <c r="M23" s="5">
        <f>AVERAGE(M5:M20)</f>
        <v>2410</v>
      </c>
      <c r="N23" s="5" t="s">
        <v>0</v>
      </c>
      <c r="O23" s="5">
        <f>AVERAGE(O5:O20)</f>
        <v>98102.375</v>
      </c>
      <c r="P23" s="5">
        <f>AVERAGE(P5:P20)</f>
        <v>230395.5</v>
      </c>
      <c r="Q23" s="5">
        <f>AVERAGE(Q5:Q20)</f>
        <v>102.5</v>
      </c>
      <c r="R23" s="5">
        <f>AVERAGE(R5:R20)</f>
        <v>120817.25</v>
      </c>
      <c r="S23" s="5">
        <f>AVERAGE(S5:S20)</f>
        <v>100023.5</v>
      </c>
      <c r="T23" s="5">
        <f t="shared" ref="T23:AD23" si="4">AVERAGE(T5:T20)</f>
        <v>147639.5</v>
      </c>
      <c r="U23" s="5">
        <f t="shared" si="4"/>
        <v>196993</v>
      </c>
      <c r="V23" s="5">
        <f t="shared" si="4"/>
        <v>209482.5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ref="AE23:AK23" si="5">AVERAGE(AE5:AE20)</f>
        <v>#DIV/0!</v>
      </c>
      <c r="AF23" s="5" t="e">
        <f t="shared" si="5"/>
        <v>#DIV/0!</v>
      </c>
      <c r="AG23" s="5" t="e">
        <f t="shared" si="5"/>
        <v>#DIV/0!</v>
      </c>
      <c r="AH23" s="5" t="e">
        <f t="shared" si="5"/>
        <v>#DIV/0!</v>
      </c>
      <c r="AI23" s="5" t="e">
        <f t="shared" si="5"/>
        <v>#DIV/0!</v>
      </c>
      <c r="AJ23" s="5" t="e">
        <f t="shared" si="5"/>
        <v>#DIV/0!</v>
      </c>
      <c r="AK23" s="5" t="e">
        <f t="shared" si="5"/>
        <v>#DIV/0!</v>
      </c>
    </row>
    <row r="24" spans="1:37" x14ac:dyDescent="0.25">
      <c r="A24" s="3" t="s">
        <v>1</v>
      </c>
      <c r="B24" s="3">
        <f t="shared" ref="B24:J24" si="6">STDEV(B5:B20)</f>
        <v>845.41211421243713</v>
      </c>
      <c r="C24" s="3">
        <f t="shared" si="6"/>
        <v>1054.9099402995769</v>
      </c>
      <c r="D24" s="3">
        <f t="shared" si="6"/>
        <v>252.93389170182112</v>
      </c>
      <c r="E24" s="3">
        <f t="shared" si="6"/>
        <v>73960.314726282188</v>
      </c>
      <c r="F24" s="3">
        <f t="shared" si="6"/>
        <v>63567.79896861528</v>
      </c>
      <c r="G24" s="3">
        <f t="shared" si="6"/>
        <v>45721.697974969014</v>
      </c>
      <c r="H24" s="3">
        <f t="shared" si="6"/>
        <v>38917.18310078467</v>
      </c>
      <c r="I24" s="3">
        <f t="shared" si="6"/>
        <v>1092.9041178046159</v>
      </c>
      <c r="J24" s="3">
        <f t="shared" si="6"/>
        <v>2522.9567086201514</v>
      </c>
      <c r="K24" s="3">
        <f t="shared" ref="K24" si="7">STDEV(K5:K20)</f>
        <v>4371.8485139093546</v>
      </c>
      <c r="L24" s="3">
        <f>STDEV(L5:L20)</f>
        <v>605.6369580862779</v>
      </c>
      <c r="M24" s="3">
        <f>STDEV(M5:M20)</f>
        <v>3467.0933551511607</v>
      </c>
      <c r="N24" s="3" t="s">
        <v>1</v>
      </c>
      <c r="O24" s="3">
        <f>STDEV(O5:O20)</f>
        <v>74888.821181691281</v>
      </c>
      <c r="P24" s="3">
        <f>STDEV(P5:P20)</f>
        <v>47338.063437365076</v>
      </c>
      <c r="Q24" s="3">
        <f>STDEV(Q5:Q20)</f>
        <v>258.7420116089163</v>
      </c>
      <c r="R24" s="3">
        <f>STDEV(R5:R20)</f>
        <v>83189.438664755653</v>
      </c>
      <c r="S24" s="3">
        <f>STDEV(S5:S20)</f>
        <v>71446.211824000857</v>
      </c>
      <c r="T24" s="3">
        <f t="shared" ref="T24:AD24" si="8">STDEV(T5:T20)</f>
        <v>50558.884097088783</v>
      </c>
      <c r="U24" s="3">
        <f t="shared" si="8"/>
        <v>39094.431487531998</v>
      </c>
      <c r="V24" s="3">
        <f t="shared" si="8"/>
        <v>82989.122715828591</v>
      </c>
      <c r="W24" s="3" t="e">
        <f t="shared" si="8"/>
        <v>#DIV/0!</v>
      </c>
      <c r="X24" s="3" t="e">
        <f t="shared" si="8"/>
        <v>#DIV/0!</v>
      </c>
      <c r="Y24" s="3" t="e">
        <f t="shared" si="8"/>
        <v>#DIV/0!</v>
      </c>
      <c r="Z24" s="3" t="e">
        <f t="shared" si="8"/>
        <v>#DIV/0!</v>
      </c>
      <c r="AA24" s="3" t="e">
        <f t="shared" si="8"/>
        <v>#DIV/0!</v>
      </c>
      <c r="AB24" s="3" t="e">
        <f t="shared" si="8"/>
        <v>#DIV/0!</v>
      </c>
      <c r="AC24" s="3" t="e">
        <f t="shared" si="8"/>
        <v>#DIV/0!</v>
      </c>
      <c r="AD24" s="3" t="e">
        <f t="shared" si="8"/>
        <v>#DIV/0!</v>
      </c>
      <c r="AE24" s="3" t="e">
        <f t="shared" ref="AE24:AK24" si="9">STDEV(AE5:AE20)</f>
        <v>#DIV/0!</v>
      </c>
      <c r="AF24" s="3" t="e">
        <f t="shared" si="9"/>
        <v>#DIV/0!</v>
      </c>
      <c r="AG24" s="3" t="e">
        <f t="shared" si="9"/>
        <v>#DIV/0!</v>
      </c>
      <c r="AH24" s="3" t="e">
        <f t="shared" si="9"/>
        <v>#DIV/0!</v>
      </c>
      <c r="AI24" s="3" t="e">
        <f t="shared" si="9"/>
        <v>#DIV/0!</v>
      </c>
      <c r="AJ24" s="3" t="e">
        <f t="shared" si="9"/>
        <v>#DIV/0!</v>
      </c>
      <c r="AK24" s="3" t="e">
        <f t="shared" si="9"/>
        <v>#DIV/0!</v>
      </c>
    </row>
    <row r="25" spans="1:37" ht="15.75" thickBot="1" x14ac:dyDescent="0.3"/>
    <row r="26" spans="1:37" ht="15.75" thickBot="1" x14ac:dyDescent="0.3">
      <c r="B26" s="154" t="s">
        <v>6</v>
      </c>
      <c r="C26" s="155"/>
      <c r="D26" s="155"/>
      <c r="E26" s="155"/>
      <c r="F26" s="155"/>
      <c r="G26" s="155"/>
      <c r="H26" s="155"/>
      <c r="I26" s="155"/>
      <c r="J26" s="155"/>
      <c r="K26" s="155"/>
      <c r="L26" s="155"/>
      <c r="M26" s="155"/>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x14ac:dyDescent="0.25">
      <c r="A27" s="19" t="s">
        <v>22</v>
      </c>
      <c r="B27" s="20" t="str">
        <f>B4</f>
        <v>Solvent control</v>
      </c>
      <c r="C27" s="20" t="str">
        <f t="shared" ref="C27:M27" si="10">C4</f>
        <v>EE2-33.8ng/L</v>
      </c>
      <c r="D27" s="20" t="str">
        <f t="shared" si="10"/>
        <v>EE2-50.6ng/L</v>
      </c>
      <c r="E27" s="20" t="str">
        <f t="shared" si="10"/>
        <v>EE2-76ng/L</v>
      </c>
      <c r="F27" s="20" t="str">
        <f t="shared" si="10"/>
        <v>EE2-114ng/L</v>
      </c>
      <c r="G27" s="20" t="str">
        <f t="shared" si="10"/>
        <v>EE2-170.9ng/L</v>
      </c>
      <c r="H27" s="20" t="str">
        <f t="shared" si="10"/>
        <v>EE2-488ng/L</v>
      </c>
      <c r="I27" s="20" t="str">
        <f t="shared" si="10"/>
        <v>BPA-1mg/L</v>
      </c>
      <c r="J27" s="20" t="str">
        <f t="shared" si="10"/>
        <v>BPA-2mg/L</v>
      </c>
      <c r="K27" s="20" t="str">
        <f t="shared" si="10"/>
        <v>BPA-3mg/L</v>
      </c>
      <c r="L27" s="20" t="str">
        <f t="shared" si="10"/>
        <v>BPA-4mg/L</v>
      </c>
      <c r="M27" s="20" t="str">
        <f t="shared" si="10"/>
        <v>BPA-5mg/L</v>
      </c>
      <c r="N27" s="3"/>
      <c r="O27" s="21" t="str">
        <f>O4</f>
        <v>Testo -30µg/L</v>
      </c>
      <c r="P27" s="21" t="str">
        <f t="shared" ref="P27:R27" si="11">P4</f>
        <v>Testo 30µg/L + EE2 -64ng/L</v>
      </c>
      <c r="Q27" s="21" t="str">
        <f t="shared" si="11"/>
        <v>Testo 30µg/L + FAD-10mg/L</v>
      </c>
      <c r="R27" s="21" t="str">
        <f t="shared" si="11"/>
        <v>BPA-1mg/L + Testostérone</v>
      </c>
      <c r="S27" s="21" t="str">
        <f t="shared" ref="S27:AK27" si="12">S4</f>
        <v>BPA-2mg/L + Testostérone</v>
      </c>
      <c r="T27" s="21" t="str">
        <f t="shared" si="12"/>
        <v>BPA-3mg/L + Testostérone</v>
      </c>
      <c r="U27" s="21" t="str">
        <f t="shared" si="12"/>
        <v>BPA-4mg/L + Testostérone</v>
      </c>
      <c r="V27" s="21" t="str">
        <f t="shared" si="12"/>
        <v>BPA-5mg/L + Testostérone</v>
      </c>
      <c r="W27" s="21" t="str">
        <f t="shared" si="12"/>
        <v>0-00 + Testostérone</v>
      </c>
      <c r="X27" s="21" t="str">
        <f t="shared" si="12"/>
        <v>0-00 + Testostérone</v>
      </c>
      <c r="Y27" s="21" t="str">
        <f t="shared" si="12"/>
        <v>0-00 + Testostérone</v>
      </c>
      <c r="Z27" s="21" t="str">
        <f t="shared" si="12"/>
        <v>0-00 + Testostérone</v>
      </c>
      <c r="AA27" s="21" t="str">
        <f t="shared" si="12"/>
        <v>0-00 + Testostérone</v>
      </c>
      <c r="AB27" s="21" t="str">
        <f t="shared" si="12"/>
        <v>0-00 + Testostérone</v>
      </c>
      <c r="AC27" s="21" t="str">
        <f t="shared" si="12"/>
        <v>0-00 + Testostérone</v>
      </c>
      <c r="AD27" s="21" t="str">
        <f t="shared" si="12"/>
        <v>0-00 + Testostérone</v>
      </c>
      <c r="AE27" s="21" t="str">
        <f t="shared" si="12"/>
        <v>0-00 + Testostérone</v>
      </c>
      <c r="AF27" s="21" t="str">
        <f t="shared" si="12"/>
        <v>0-00 + Testostérone</v>
      </c>
      <c r="AG27" s="21" t="str">
        <f t="shared" si="12"/>
        <v>0-00 + Testostérone</v>
      </c>
      <c r="AH27" s="21" t="str">
        <f t="shared" si="12"/>
        <v>0-00 + Testostérone</v>
      </c>
      <c r="AI27" s="21" t="str">
        <f t="shared" si="12"/>
        <v>0-00 + Testostérone</v>
      </c>
      <c r="AJ27" s="21" t="str">
        <f t="shared" si="12"/>
        <v>0-00 + Testostérone</v>
      </c>
      <c r="AK27" s="21" t="str">
        <f t="shared" si="12"/>
        <v>0-00 + Testostérone</v>
      </c>
    </row>
    <row r="28" spans="1:37" x14ac:dyDescent="0.25">
      <c r="A28" s="158" t="s">
        <v>17</v>
      </c>
      <c r="B28" s="11">
        <f>IF(B5="","",(B5/$O$23))</f>
        <v>0</v>
      </c>
      <c r="C28" s="11">
        <f>IF(C5="","",(C5/$O$23))</f>
        <v>5.0151691026848232E-3</v>
      </c>
      <c r="D28" s="11">
        <f>IF(D5="","",(D5/$O$23))</f>
        <v>3.3332526353210103E-3</v>
      </c>
      <c r="E28" s="11">
        <f>IF(E5="","",(E5/$O$23))</f>
        <v>0</v>
      </c>
      <c r="F28" s="11">
        <f>IF(F5="","",(F5/$O$23))</f>
        <v>0</v>
      </c>
      <c r="G28" s="11">
        <f>IF(G5="","",(G5/$O$23))</f>
        <v>1.5700741190006868</v>
      </c>
      <c r="H28" s="11">
        <f>IF(H5="","",(H5/$O$23))</f>
        <v>2.9113158575416751</v>
      </c>
      <c r="I28" s="11">
        <f>IF(I5="","",(I5/$O$23))</f>
        <v>0</v>
      </c>
      <c r="J28" s="11">
        <f>IF(J5="","",(J5/$O$23))</f>
        <v>0</v>
      </c>
      <c r="K28" s="11">
        <f>IF(K5="","",(K5/$O$23))</f>
        <v>9.4768347861099181E-2</v>
      </c>
      <c r="L28" s="11">
        <f>IF(L5="","",(L5/$O$23))</f>
        <v>0</v>
      </c>
      <c r="M28" s="11">
        <f>IF(M5="","",(M5/$O$23))</f>
        <v>0</v>
      </c>
      <c r="N28" s="6"/>
      <c r="O28" s="11">
        <f t="shared" ref="O28:S37" si="13">IF(O5="","",(O5/$O$23))</f>
        <v>0.9818722533475871</v>
      </c>
      <c r="P28" s="11">
        <f t="shared" si="13"/>
        <v>2.9244959665859263</v>
      </c>
      <c r="Q28" s="11">
        <f t="shared" si="13"/>
        <v>0</v>
      </c>
      <c r="R28" s="11">
        <f t="shared" si="13"/>
        <v>0.62556079809484733</v>
      </c>
      <c r="S28" s="11">
        <f t="shared" si="13"/>
        <v>1.5164770475740266</v>
      </c>
      <c r="T28" s="11">
        <f t="shared" ref="T28:AK28" si="14">IF(T5="","",(T5/$O$23))</f>
        <v>1.3282858850257193</v>
      </c>
      <c r="U28" s="11">
        <f t="shared" si="14"/>
        <v>2.2346044119726969</v>
      </c>
      <c r="V28" s="11">
        <f t="shared" si="14"/>
        <v>2.9279923141514157</v>
      </c>
      <c r="W28" s="11" t="str">
        <f t="shared" si="14"/>
        <v/>
      </c>
      <c r="X28" s="11" t="str">
        <f t="shared" si="14"/>
        <v/>
      </c>
      <c r="Y28" s="11" t="str">
        <f t="shared" si="14"/>
        <v/>
      </c>
      <c r="Z28" s="11" t="str">
        <f t="shared" si="14"/>
        <v/>
      </c>
      <c r="AA28" s="11" t="str">
        <f t="shared" si="14"/>
        <v/>
      </c>
      <c r="AB28" s="11" t="str">
        <f t="shared" si="14"/>
        <v/>
      </c>
      <c r="AC28" s="11" t="str">
        <f t="shared" si="14"/>
        <v/>
      </c>
      <c r="AD28" s="11" t="str">
        <f t="shared" si="14"/>
        <v/>
      </c>
      <c r="AE28" s="11" t="str">
        <f t="shared" si="14"/>
        <v/>
      </c>
      <c r="AF28" s="11" t="str">
        <f t="shared" si="14"/>
        <v/>
      </c>
      <c r="AG28" s="11" t="str">
        <f t="shared" si="14"/>
        <v/>
      </c>
      <c r="AH28" s="11" t="str">
        <f t="shared" si="14"/>
        <v/>
      </c>
      <c r="AI28" s="11" t="str">
        <f t="shared" si="14"/>
        <v/>
      </c>
      <c r="AJ28" s="11" t="str">
        <f t="shared" si="14"/>
        <v/>
      </c>
      <c r="AK28" s="11" t="str">
        <f t="shared" si="14"/>
        <v/>
      </c>
    </row>
    <row r="29" spans="1:37" x14ac:dyDescent="0.25">
      <c r="A29" s="158"/>
      <c r="B29" s="11">
        <f>IF(B6="","",(B6/$O$23))</f>
        <v>4.0977601204863793E-3</v>
      </c>
      <c r="C29" s="11">
        <f>IF(C6="","",(C6/$O$23))</f>
        <v>1.6819164673638125E-3</v>
      </c>
      <c r="D29" s="11">
        <f>IF(D6="","",(D6/$O$23))</f>
        <v>5.9529649511543426E-3</v>
      </c>
      <c r="E29" s="11">
        <f>IF(E6="","",(E6/$O$23))</f>
        <v>2.4464239525291819E-3</v>
      </c>
      <c r="F29" s="11">
        <f>IF(F6="","",(F6/$O$23))</f>
        <v>0.63583577869546992</v>
      </c>
      <c r="G29" s="11">
        <f>IF(G6="","",(G6/$O$23))</f>
        <v>0.5917287935179959</v>
      </c>
      <c r="H29" s="11">
        <f>IF(H6="","",(H6/$O$23))</f>
        <v>2.9254439558675314</v>
      </c>
      <c r="I29" s="11">
        <f>IF(I6="","",(I6/$O$23))</f>
        <v>0</v>
      </c>
      <c r="J29" s="11">
        <f>IF(J6="","",(J6/$O$23))</f>
        <v>0</v>
      </c>
      <c r="K29" s="11">
        <f>IF(K6="","",(K6/$O$23))</f>
        <v>1.6309493016861212E-3</v>
      </c>
      <c r="L29" s="11">
        <f>IF(L6="","",(L6/$O$23))</f>
        <v>0</v>
      </c>
      <c r="M29" s="11">
        <f>IF(M6="","",(M6/$O$23))</f>
        <v>1.8266632178884558E-2</v>
      </c>
      <c r="N29" s="6"/>
      <c r="O29" s="11">
        <f t="shared" si="13"/>
        <v>1.4727472194225675</v>
      </c>
      <c r="P29" s="11">
        <f t="shared" si="13"/>
        <v>2.4503790045857707</v>
      </c>
      <c r="Q29" s="11">
        <f t="shared" si="13"/>
        <v>0</v>
      </c>
      <c r="R29" s="11">
        <f t="shared" si="13"/>
        <v>1.0958756095354469</v>
      </c>
      <c r="S29" s="11">
        <f t="shared" si="13"/>
        <v>0.56818196297490253</v>
      </c>
      <c r="T29" s="11">
        <f t="shared" ref="T29:AK29" si="15">IF(T6="","",(T6/$O$23))</f>
        <v>2.2666627591839648</v>
      </c>
      <c r="U29" s="11">
        <f t="shared" si="15"/>
        <v>1.9806554122670323</v>
      </c>
      <c r="V29" s="11">
        <f t="shared" si="15"/>
        <v>1.5192802416862996</v>
      </c>
      <c r="W29" s="11" t="str">
        <f t="shared" si="15"/>
        <v/>
      </c>
      <c r="X29" s="11" t="str">
        <f t="shared" si="15"/>
        <v/>
      </c>
      <c r="Y29" s="11" t="str">
        <f t="shared" si="15"/>
        <v/>
      </c>
      <c r="Z29" s="11" t="str">
        <f t="shared" si="15"/>
        <v/>
      </c>
      <c r="AA29" s="11" t="str">
        <f t="shared" si="15"/>
        <v/>
      </c>
      <c r="AB29" s="11" t="str">
        <f t="shared" si="15"/>
        <v/>
      </c>
      <c r="AC29" s="11" t="str">
        <f t="shared" si="15"/>
        <v/>
      </c>
      <c r="AD29" s="11" t="str">
        <f t="shared" si="15"/>
        <v/>
      </c>
      <c r="AE29" s="11" t="str">
        <f t="shared" si="15"/>
        <v/>
      </c>
      <c r="AF29" s="11" t="str">
        <f t="shared" si="15"/>
        <v/>
      </c>
      <c r="AG29" s="11" t="str">
        <f t="shared" si="15"/>
        <v/>
      </c>
      <c r="AH29" s="11" t="str">
        <f t="shared" si="15"/>
        <v/>
      </c>
      <c r="AI29" s="11" t="str">
        <f t="shared" si="15"/>
        <v/>
      </c>
      <c r="AJ29" s="11" t="str">
        <f t="shared" si="15"/>
        <v/>
      </c>
      <c r="AK29" s="11" t="str">
        <f t="shared" si="15"/>
        <v/>
      </c>
    </row>
    <row r="30" spans="1:37" x14ac:dyDescent="0.25">
      <c r="A30" s="158"/>
      <c r="B30" s="11">
        <f>IF(B7="","",(B7/$O$23))</f>
        <v>7.5023667877561579E-3</v>
      </c>
      <c r="C30" s="11">
        <f>IF(C7="","",(C7/$O$23))</f>
        <v>5.8306437535278833E-3</v>
      </c>
      <c r="D30" s="11">
        <f>IF(D7="","",(D7/$O$23))</f>
        <v>0</v>
      </c>
      <c r="E30" s="11">
        <f>IF(E7="","",(E7/$O$23))</f>
        <v>0</v>
      </c>
      <c r="F30" s="11">
        <f>IF(F7="","",(F7/$O$23))</f>
        <v>1.808315038244487E-2</v>
      </c>
      <c r="G30" s="11">
        <f>IF(G7="","",(G7/$O$23))</f>
        <v>2.0093907002761147</v>
      </c>
      <c r="H30" s="11">
        <f>IF(H7="","",(H7/$O$23))</f>
        <v>2.8070370365651187</v>
      </c>
      <c r="I30" s="11">
        <f>IF(I7="","",(I7/$O$23))</f>
        <v>3.0794361502461075E-2</v>
      </c>
      <c r="J30" s="11">
        <f>IF(J7="","",(J7/$O$23))</f>
        <v>4.2812419169260679E-3</v>
      </c>
      <c r="K30" s="11">
        <f>IF(K7="","",(K7/$O$23))</f>
        <v>8.154746508430606E-4</v>
      </c>
      <c r="L30" s="11">
        <f>IF(L7="","",(L7/$O$23))</f>
        <v>1.7461350961177034E-2</v>
      </c>
      <c r="M30" s="11">
        <f>IF(M7="","",(M7/$O$23))</f>
        <v>0</v>
      </c>
      <c r="N30" s="6"/>
      <c r="O30" s="11">
        <f t="shared" si="13"/>
        <v>1.3523627740918607</v>
      </c>
      <c r="P30" s="11">
        <f t="shared" si="13"/>
        <v>1.7247288865330732</v>
      </c>
      <c r="Q30" s="11">
        <f t="shared" si="13"/>
        <v>8.2566808397859892E-4</v>
      </c>
      <c r="R30" s="11">
        <f t="shared" si="13"/>
        <v>0.36231538736957186</v>
      </c>
      <c r="S30" s="11">
        <f t="shared" si="13"/>
        <v>1.8523302825237411</v>
      </c>
      <c r="T30" s="11">
        <f t="shared" ref="T30:AK30" si="16">IF(T7="","",(T7/$O$23))</f>
        <v>1.2528850601221428</v>
      </c>
      <c r="U30" s="11">
        <f t="shared" si="16"/>
        <v>1.9739379398307126</v>
      </c>
      <c r="V30" s="11">
        <f t="shared" si="16"/>
        <v>0.5819125174084725</v>
      </c>
      <c r="W30" s="11" t="str">
        <f t="shared" si="16"/>
        <v/>
      </c>
      <c r="X30" s="11" t="str">
        <f t="shared" si="16"/>
        <v/>
      </c>
      <c r="Y30" s="11" t="str">
        <f t="shared" si="16"/>
        <v/>
      </c>
      <c r="Z30" s="11" t="str">
        <f t="shared" si="16"/>
        <v/>
      </c>
      <c r="AA30" s="11" t="str">
        <f t="shared" si="16"/>
        <v/>
      </c>
      <c r="AB30" s="11" t="str">
        <f t="shared" si="16"/>
        <v/>
      </c>
      <c r="AC30" s="11" t="str">
        <f t="shared" si="16"/>
        <v/>
      </c>
      <c r="AD30" s="11" t="str">
        <f t="shared" si="16"/>
        <v/>
      </c>
      <c r="AE30" s="11" t="str">
        <f t="shared" si="16"/>
        <v/>
      </c>
      <c r="AF30" s="11" t="str">
        <f t="shared" si="16"/>
        <v/>
      </c>
      <c r="AG30" s="11" t="str">
        <f t="shared" si="16"/>
        <v/>
      </c>
      <c r="AH30" s="11" t="str">
        <f t="shared" si="16"/>
        <v/>
      </c>
      <c r="AI30" s="11" t="str">
        <f t="shared" si="16"/>
        <v/>
      </c>
      <c r="AJ30" s="11" t="str">
        <f t="shared" si="16"/>
        <v/>
      </c>
      <c r="AK30" s="11" t="str">
        <f t="shared" si="16"/>
        <v/>
      </c>
    </row>
    <row r="31" spans="1:37" x14ac:dyDescent="0.25">
      <c r="A31" s="158"/>
      <c r="B31" s="11">
        <f>IF(B8="","",(B8/$O$23))</f>
        <v>1.0743878524857324E-2</v>
      </c>
      <c r="C31" s="11">
        <f>IF(C8="","",(C8/$O$23))</f>
        <v>0</v>
      </c>
      <c r="D31" s="11">
        <f>IF(D8="","",(D8/$O$23))</f>
        <v>0</v>
      </c>
      <c r="E31" s="11">
        <f>IF(E8="","",(E8/$O$23))</f>
        <v>8.3586151711413713E-4</v>
      </c>
      <c r="F31" s="11">
        <f>IF(F8="","",(F8/$O$23))</f>
        <v>1.4299042199539003</v>
      </c>
      <c r="G31" s="11">
        <f>IF(G8="","",(G8/$O$23))</f>
        <v>1.7527404407895324</v>
      </c>
      <c r="H31" s="11">
        <f>IF(H8="","",(H8/$O$23))</f>
        <v>3.6498198947782865</v>
      </c>
      <c r="I31" s="11">
        <f>IF(I8="","",(I8/$O$23))</f>
        <v>0</v>
      </c>
      <c r="J31" s="11">
        <f>IF(J8="","",(J8/$O$23))</f>
        <v>8.5624838338521365E-4</v>
      </c>
      <c r="K31" s="11">
        <f>IF(K8="","",(K8/$O$23))</f>
        <v>8.5084586382337832E-2</v>
      </c>
      <c r="L31" s="11">
        <f>IF(L8="","",(L8/$O$23))</f>
        <v>0</v>
      </c>
      <c r="M31" s="11">
        <f>IF(M8="","",(M8/$O$23))</f>
        <v>3.2924789027788575E-3</v>
      </c>
      <c r="N31" s="6"/>
      <c r="O31" s="11">
        <f t="shared" si="13"/>
        <v>2.090336752805424</v>
      </c>
      <c r="P31" s="11">
        <f t="shared" si="13"/>
        <v>2.1638517925789258</v>
      </c>
      <c r="Q31" s="11">
        <f t="shared" si="13"/>
        <v>0</v>
      </c>
      <c r="R31" s="11">
        <f t="shared" si="13"/>
        <v>2.0713769671733226</v>
      </c>
      <c r="S31" s="11">
        <f t="shared" si="13"/>
        <v>1.4563255986412154</v>
      </c>
      <c r="T31" s="11">
        <f t="shared" ref="T31:AK31" si="17">IF(T8="","",(T8/$O$23))</f>
        <v>0.83166182266229538</v>
      </c>
      <c r="U31" s="11">
        <f t="shared" si="17"/>
        <v>2.7770479562803652</v>
      </c>
      <c r="V31" s="11">
        <f t="shared" si="17"/>
        <v>2.1400908999399864</v>
      </c>
      <c r="W31" s="11" t="str">
        <f t="shared" si="17"/>
        <v/>
      </c>
      <c r="X31" s="11" t="str">
        <f t="shared" si="17"/>
        <v/>
      </c>
      <c r="Y31" s="11" t="str">
        <f t="shared" si="17"/>
        <v/>
      </c>
      <c r="Z31" s="11" t="str">
        <f t="shared" si="17"/>
        <v/>
      </c>
      <c r="AA31" s="11" t="str">
        <f t="shared" si="17"/>
        <v/>
      </c>
      <c r="AB31" s="11" t="str">
        <f t="shared" si="17"/>
        <v/>
      </c>
      <c r="AC31" s="11" t="str">
        <f t="shared" si="17"/>
        <v/>
      </c>
      <c r="AD31" s="11" t="str">
        <f t="shared" si="17"/>
        <v/>
      </c>
      <c r="AE31" s="11" t="str">
        <f t="shared" si="17"/>
        <v/>
      </c>
      <c r="AF31" s="11" t="str">
        <f t="shared" si="17"/>
        <v/>
      </c>
      <c r="AG31" s="11" t="str">
        <f t="shared" si="17"/>
        <v/>
      </c>
      <c r="AH31" s="11" t="str">
        <f t="shared" si="17"/>
        <v/>
      </c>
      <c r="AI31" s="11" t="str">
        <f t="shared" si="17"/>
        <v/>
      </c>
      <c r="AJ31" s="11" t="str">
        <f t="shared" si="17"/>
        <v/>
      </c>
      <c r="AK31" s="11" t="str">
        <f t="shared" si="17"/>
        <v/>
      </c>
    </row>
    <row r="32" spans="1:37" x14ac:dyDescent="0.25">
      <c r="A32" s="158"/>
      <c r="B32" s="11">
        <f>IF(B9="","",(B9/$O$23))</f>
        <v>2.5687451501556411E-2</v>
      </c>
      <c r="C32" s="11">
        <f>IF(C9="","",(C9/$O$23))</f>
        <v>3.1762737650337214E-2</v>
      </c>
      <c r="D32" s="11">
        <f>IF(D9="","",(D9/$O$23))</f>
        <v>0</v>
      </c>
      <c r="E32" s="11">
        <f>IF(E9="","",(E9/$O$23))</f>
        <v>0</v>
      </c>
      <c r="F32" s="11">
        <f>IF(F9="","",(F9/$O$23))</f>
        <v>1.489892573956543</v>
      </c>
      <c r="G32" s="11">
        <f>IF(G9="","",(G9/$O$23))</f>
        <v>0.97544019703906248</v>
      </c>
      <c r="H32" s="11">
        <f>IF(H9="","",(H9/$O$23))</f>
        <v>2.49145854012199</v>
      </c>
      <c r="I32" s="11">
        <f>IF(I9="","",(I9/$O$23))</f>
        <v>0</v>
      </c>
      <c r="J32" s="11">
        <f>IF(J9="","",(J9/$O$23))</f>
        <v>0</v>
      </c>
      <c r="K32" s="11">
        <f>IF(K9="","",(K9/$O$23))</f>
        <v>7.869330380635535E-2</v>
      </c>
      <c r="L32" s="11">
        <f>IF(L9="","",(L9/$O$23))</f>
        <v>0</v>
      </c>
      <c r="M32" s="11">
        <f>IF(M9="","",(M9/$O$23))</f>
        <v>0</v>
      </c>
      <c r="N32" s="6"/>
      <c r="O32" s="11">
        <f t="shared" si="13"/>
        <v>0.34575105852432214</v>
      </c>
      <c r="P32" s="11">
        <f t="shared" si="13"/>
        <v>2.7724201376368307</v>
      </c>
      <c r="Q32" s="11">
        <f t="shared" si="13"/>
        <v>0</v>
      </c>
      <c r="R32" s="11">
        <f t="shared" si="13"/>
        <v>2.4434474700536049</v>
      </c>
      <c r="S32" s="11">
        <f t="shared" si="13"/>
        <v>1.2131000905941369</v>
      </c>
      <c r="T32" s="11">
        <f t="shared" ref="T32:AK32" si="18">IF(T9="","",(T9/$O$23))</f>
        <v>1.8648478184141821</v>
      </c>
      <c r="U32" s="11">
        <f t="shared" si="18"/>
        <v>1.7696513463613903</v>
      </c>
      <c r="V32" s="11">
        <f t="shared" si="18"/>
        <v>2.6896494605762604</v>
      </c>
      <c r="W32" s="11" t="str">
        <f t="shared" si="18"/>
        <v/>
      </c>
      <c r="X32" s="11" t="str">
        <f t="shared" si="18"/>
        <v/>
      </c>
      <c r="Y32" s="11" t="str">
        <f t="shared" si="18"/>
        <v/>
      </c>
      <c r="Z32" s="11" t="str">
        <f t="shared" si="18"/>
        <v/>
      </c>
      <c r="AA32" s="11" t="str">
        <f t="shared" si="18"/>
        <v/>
      </c>
      <c r="AB32" s="11" t="str">
        <f t="shared" si="18"/>
        <v/>
      </c>
      <c r="AC32" s="11" t="str">
        <f t="shared" si="18"/>
        <v/>
      </c>
      <c r="AD32" s="11" t="str">
        <f t="shared" si="18"/>
        <v/>
      </c>
      <c r="AE32" s="11" t="str">
        <f t="shared" si="18"/>
        <v/>
      </c>
      <c r="AF32" s="11" t="str">
        <f t="shared" si="18"/>
        <v/>
      </c>
      <c r="AG32" s="11" t="str">
        <f t="shared" si="18"/>
        <v/>
      </c>
      <c r="AH32" s="11" t="str">
        <f t="shared" si="18"/>
        <v/>
      </c>
      <c r="AI32" s="11" t="str">
        <f t="shared" si="18"/>
        <v/>
      </c>
      <c r="AJ32" s="11" t="str">
        <f t="shared" si="18"/>
        <v/>
      </c>
      <c r="AK32" s="11" t="str">
        <f t="shared" si="18"/>
        <v/>
      </c>
    </row>
    <row r="33" spans="1:37" x14ac:dyDescent="0.25">
      <c r="A33" s="158"/>
      <c r="B33" s="11">
        <f>IF(B10="","",(B10/$O$23))</f>
        <v>0</v>
      </c>
      <c r="C33" s="11">
        <f>IF(C10="","",(C10/$O$23))</f>
        <v>1.6921099004993509E-3</v>
      </c>
      <c r="D33" s="11">
        <f>IF(D10="","",(D10/$O$23))</f>
        <v>0</v>
      </c>
      <c r="E33" s="11">
        <f>IF(E10="","",(E10/$O$23))</f>
        <v>2.1346781869450155</v>
      </c>
      <c r="F33" s="11">
        <f>IF(F10="","",(F10/$O$23))</f>
        <v>1.1895736469173147E-2</v>
      </c>
      <c r="G33" s="11">
        <f>IF(G10="","",(G10/$O$23))</f>
        <v>1.1866277447411442</v>
      </c>
      <c r="H33" s="11">
        <f>IF(H10="","",(H10/$O$23))</f>
        <v>2.8215219050507185</v>
      </c>
      <c r="I33" s="11">
        <f>IF(I10="","",(I10/$O$23))</f>
        <v>1.2395214692814521E-2</v>
      </c>
      <c r="J33" s="11">
        <f>IF(J10="","",(J10/$O$23))</f>
        <v>4.9540085038715931E-3</v>
      </c>
      <c r="K33" s="11">
        <f>IF(K10="","",(K10/$O$23))</f>
        <v>0</v>
      </c>
      <c r="L33" s="11">
        <f>IF(L10="","",(L10/$O$23))</f>
        <v>0</v>
      </c>
      <c r="M33" s="11">
        <f>IF(M10="","",(M10/$O$23))</f>
        <v>8.0833924764818391E-2</v>
      </c>
      <c r="N33" s="6"/>
      <c r="O33" s="11">
        <f t="shared" si="13"/>
        <v>0.35802395201951021</v>
      </c>
      <c r="P33" s="11">
        <f t="shared" si="13"/>
        <v>1.687736917684205</v>
      </c>
      <c r="Q33" s="11">
        <f t="shared" si="13"/>
        <v>0</v>
      </c>
      <c r="R33" s="11">
        <f t="shared" si="13"/>
        <v>3.9815549827412436E-2</v>
      </c>
      <c r="S33" s="11">
        <f t="shared" si="13"/>
        <v>6.5645709392866377E-3</v>
      </c>
      <c r="T33" s="11">
        <f t="shared" ref="T33:AK33" si="19">IF(T10="","",(T10/$O$23))</f>
        <v>1.7415684380729823</v>
      </c>
      <c r="U33" s="11">
        <f t="shared" si="19"/>
        <v>1.5917045841142989</v>
      </c>
      <c r="V33" s="11">
        <f t="shared" si="19"/>
        <v>3.1081204710895123</v>
      </c>
      <c r="W33" s="11" t="str">
        <f t="shared" si="19"/>
        <v/>
      </c>
      <c r="X33" s="11" t="str">
        <f t="shared" si="19"/>
        <v/>
      </c>
      <c r="Y33" s="11" t="str">
        <f t="shared" si="19"/>
        <v/>
      </c>
      <c r="Z33" s="11" t="str">
        <f t="shared" si="19"/>
        <v/>
      </c>
      <c r="AA33" s="11" t="str">
        <f t="shared" si="19"/>
        <v/>
      </c>
      <c r="AB33" s="11" t="str">
        <f t="shared" si="19"/>
        <v/>
      </c>
      <c r="AC33" s="11" t="str">
        <f t="shared" si="19"/>
        <v/>
      </c>
      <c r="AD33" s="11" t="str">
        <f t="shared" si="19"/>
        <v/>
      </c>
      <c r="AE33" s="11" t="str">
        <f t="shared" si="19"/>
        <v/>
      </c>
      <c r="AF33" s="11" t="str">
        <f t="shared" si="19"/>
        <v/>
      </c>
      <c r="AG33" s="11" t="str">
        <f t="shared" si="19"/>
        <v/>
      </c>
      <c r="AH33" s="11" t="str">
        <f t="shared" si="19"/>
        <v/>
      </c>
      <c r="AI33" s="11" t="str">
        <f t="shared" si="19"/>
        <v/>
      </c>
      <c r="AJ33" s="11" t="str">
        <f t="shared" si="19"/>
        <v/>
      </c>
      <c r="AK33" s="11" t="str">
        <f t="shared" si="19"/>
        <v/>
      </c>
    </row>
    <row r="34" spans="1:37" x14ac:dyDescent="0.25">
      <c r="A34" s="158"/>
      <c r="B34" s="11">
        <f>IF(B11="","",(B11/$O$23))</f>
        <v>8.154746508430606E-4</v>
      </c>
      <c r="C34" s="11">
        <f>IF(C11="","",(C11/$O$23))</f>
        <v>0</v>
      </c>
      <c r="D34" s="11">
        <f>IF(D11="","",(D11/$O$23))</f>
        <v>0</v>
      </c>
      <c r="E34" s="11">
        <f>IF(E11="","",(E11/$O$23))</f>
        <v>1.1365677946125157E-2</v>
      </c>
      <c r="F34" s="11">
        <f>IF(F11="","",(F11/$O$23))</f>
        <v>0.86125335905476297</v>
      </c>
      <c r="G34" s="11">
        <f>IF(G11="","",(G11/$O$23))</f>
        <v>1.4344708779986213</v>
      </c>
      <c r="H34" s="11">
        <f>IF(H11="","",(H11/$O$23))</f>
        <v>2.3459880558447233</v>
      </c>
      <c r="I34" s="11">
        <f>IF(I11="","",(I11/$O$23))</f>
        <v>0</v>
      </c>
      <c r="J34" s="11">
        <f>IF(J11="","",(J11/$O$23))</f>
        <v>7.3953357398330061E-2</v>
      </c>
      <c r="K34" s="11">
        <f>IF(K11="","",(K11/$O$23))</f>
        <v>0</v>
      </c>
      <c r="L34" s="11">
        <f>IF(L11="","",(L11/$O$23))</f>
        <v>0</v>
      </c>
      <c r="M34" s="11">
        <f>IF(M11="","",(M11/$O$23))</f>
        <v>6.9570181150048607E-2</v>
      </c>
      <c r="N34" s="6"/>
      <c r="O34" s="11">
        <f t="shared" si="13"/>
        <v>0.20455162273084623</v>
      </c>
      <c r="P34" s="11">
        <f t="shared" si="13"/>
        <v>2.8328570026974371</v>
      </c>
      <c r="Q34" s="11">
        <f t="shared" si="13"/>
        <v>7.5329470871627726E-3</v>
      </c>
      <c r="R34" s="11">
        <f t="shared" si="13"/>
        <v>1.6970842958694934</v>
      </c>
      <c r="S34" s="11">
        <f t="shared" si="13"/>
        <v>1.5436833206127782</v>
      </c>
      <c r="T34" s="11">
        <f t="shared" ref="T34:AK34" si="20">IF(T11="","",(T11/$O$23))</f>
        <v>1.8831348374593377</v>
      </c>
      <c r="U34" s="11">
        <f t="shared" si="20"/>
        <v>1.7286431648571199</v>
      </c>
      <c r="V34" s="11">
        <f t="shared" si="20"/>
        <v>2.4596040615734327</v>
      </c>
      <c r="W34" s="11" t="str">
        <f t="shared" si="20"/>
        <v/>
      </c>
      <c r="X34" s="11" t="str">
        <f t="shared" si="20"/>
        <v/>
      </c>
      <c r="Y34" s="11" t="str">
        <f t="shared" si="20"/>
        <v/>
      </c>
      <c r="Z34" s="11" t="str">
        <f t="shared" si="20"/>
        <v/>
      </c>
      <c r="AA34" s="11" t="str">
        <f t="shared" si="20"/>
        <v/>
      </c>
      <c r="AB34" s="11" t="str">
        <f t="shared" si="20"/>
        <v/>
      </c>
      <c r="AC34" s="11" t="str">
        <f t="shared" si="20"/>
        <v/>
      </c>
      <c r="AD34" s="11" t="str">
        <f t="shared" si="20"/>
        <v/>
      </c>
      <c r="AE34" s="11" t="str">
        <f t="shared" si="20"/>
        <v/>
      </c>
      <c r="AF34" s="11" t="str">
        <f t="shared" si="20"/>
        <v/>
      </c>
      <c r="AG34" s="11" t="str">
        <f t="shared" si="20"/>
        <v/>
      </c>
      <c r="AH34" s="11" t="str">
        <f t="shared" si="20"/>
        <v/>
      </c>
      <c r="AI34" s="11" t="str">
        <f t="shared" si="20"/>
        <v/>
      </c>
      <c r="AJ34" s="11" t="str">
        <f t="shared" si="20"/>
        <v/>
      </c>
      <c r="AK34" s="11" t="str">
        <f t="shared" si="20"/>
        <v/>
      </c>
    </row>
    <row r="35" spans="1:37" x14ac:dyDescent="0.25">
      <c r="A35" s="158"/>
      <c r="B35" s="11">
        <f>IF(B12="","",(B12/$O$23))</f>
        <v>3.3230592021854721E-3</v>
      </c>
      <c r="C35" s="11">
        <f>IF(C12="","",(C12/$O$23))</f>
        <v>0</v>
      </c>
      <c r="D35" s="11">
        <f>IF(D12="","",(D12/$O$23))</f>
        <v>5.0763297014980524E-3</v>
      </c>
      <c r="E35" s="11">
        <f>IF(E12="","",(E12/$O$23))</f>
        <v>1.6411427348216594E-3</v>
      </c>
      <c r="F35" s="11">
        <f>IF(F12="","",(F12/$O$23))</f>
        <v>0</v>
      </c>
      <c r="G35" s="11">
        <f>IF(G12="","",(G12/$O$23))</f>
        <v>0.97957873089209102</v>
      </c>
      <c r="H35" s="11">
        <f>IF(H12="","",(H12/$O$23))</f>
        <v>3.1274879940470353</v>
      </c>
      <c r="I35" s="11">
        <f>IF(I12="","",(I12/$O$23))</f>
        <v>0</v>
      </c>
      <c r="J35" s="11">
        <f>IF(J12="","",(J12/$O$23))</f>
        <v>0</v>
      </c>
      <c r="K35" s="11">
        <f>IF(K12="","",(K12/$O$23))</f>
        <v>0</v>
      </c>
      <c r="L35" s="11">
        <f>IF(L12="","",(L12/$O$23))</f>
        <v>0</v>
      </c>
      <c r="M35" s="11" t="str">
        <f>IF(M12="","",(M12/$O$23))</f>
        <v/>
      </c>
      <c r="N35" s="6"/>
      <c r="O35" s="11">
        <f t="shared" si="13"/>
        <v>1.5426435904329534</v>
      </c>
      <c r="P35" s="11">
        <f t="shared" si="13"/>
        <v>2.2316992835290685</v>
      </c>
      <c r="Q35" s="11">
        <f t="shared" si="13"/>
        <v>0</v>
      </c>
      <c r="R35" s="11">
        <f t="shared" si="13"/>
        <v>1.5168643980331771</v>
      </c>
      <c r="S35" s="11">
        <f t="shared" si="13"/>
        <v>0</v>
      </c>
      <c r="T35" s="11">
        <f t="shared" ref="T35:AK35" si="21">IF(T12="","",(T12/$O$23))</f>
        <v>0.87058035037378045</v>
      </c>
      <c r="U35" s="11" t="str">
        <f t="shared" si="21"/>
        <v/>
      </c>
      <c r="V35" s="11">
        <f t="shared" si="21"/>
        <v>1.6561168880977652</v>
      </c>
      <c r="W35" s="11" t="str">
        <f t="shared" si="21"/>
        <v/>
      </c>
      <c r="X35" s="11" t="str">
        <f t="shared" si="21"/>
        <v/>
      </c>
      <c r="Y35" s="11" t="str">
        <f t="shared" si="21"/>
        <v/>
      </c>
      <c r="Z35" s="11" t="str">
        <f t="shared" si="21"/>
        <v/>
      </c>
      <c r="AA35" s="11" t="str">
        <f t="shared" si="21"/>
        <v/>
      </c>
      <c r="AB35" s="11" t="str">
        <f t="shared" si="21"/>
        <v/>
      </c>
      <c r="AC35" s="11" t="str">
        <f t="shared" si="21"/>
        <v/>
      </c>
      <c r="AD35" s="11" t="str">
        <f t="shared" si="21"/>
        <v/>
      </c>
      <c r="AE35" s="11" t="str">
        <f t="shared" si="21"/>
        <v/>
      </c>
      <c r="AF35" s="11" t="str">
        <f t="shared" si="21"/>
        <v/>
      </c>
      <c r="AG35" s="11" t="str">
        <f t="shared" si="21"/>
        <v/>
      </c>
      <c r="AH35" s="11" t="str">
        <f t="shared" si="21"/>
        <v/>
      </c>
      <c r="AI35" s="11" t="str">
        <f t="shared" si="21"/>
        <v/>
      </c>
      <c r="AJ35" s="11" t="str">
        <f t="shared" si="21"/>
        <v/>
      </c>
      <c r="AK35" s="11" t="str">
        <f t="shared" si="21"/>
        <v/>
      </c>
    </row>
    <row r="36" spans="1:37" x14ac:dyDescent="0.25">
      <c r="A36" s="15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13"/>
        <v>0.30875908967545385</v>
      </c>
      <c r="P36" s="11" t="str">
        <f t="shared" si="13"/>
        <v/>
      </c>
      <c r="Q36" s="11" t="str">
        <f t="shared" si="13"/>
        <v/>
      </c>
      <c r="R36" s="11" t="str">
        <f t="shared" si="13"/>
        <v/>
      </c>
      <c r="S36" s="11" t="str">
        <f t="shared" si="13"/>
        <v/>
      </c>
      <c r="T36" s="11" t="str">
        <f t="shared" ref="T36:AK36" si="22">IF(T13="","",(T13/$O$23))</f>
        <v/>
      </c>
      <c r="U36" s="11" t="str">
        <f t="shared" si="22"/>
        <v/>
      </c>
      <c r="V36" s="11" t="str">
        <f t="shared" si="22"/>
        <v/>
      </c>
      <c r="W36" s="11" t="str">
        <f t="shared" si="22"/>
        <v/>
      </c>
      <c r="X36" s="11" t="str">
        <f t="shared" si="22"/>
        <v/>
      </c>
      <c r="Y36" s="11" t="str">
        <f t="shared" si="22"/>
        <v/>
      </c>
      <c r="Z36" s="11" t="str">
        <f t="shared" si="22"/>
        <v/>
      </c>
      <c r="AA36" s="11" t="str">
        <f t="shared" si="22"/>
        <v/>
      </c>
      <c r="AB36" s="11" t="str">
        <f t="shared" si="22"/>
        <v/>
      </c>
      <c r="AC36" s="11" t="str">
        <f t="shared" si="22"/>
        <v/>
      </c>
      <c r="AD36" s="11" t="str">
        <f t="shared" si="22"/>
        <v/>
      </c>
      <c r="AE36" s="11" t="str">
        <f t="shared" si="22"/>
        <v/>
      </c>
      <c r="AF36" s="11" t="str">
        <f t="shared" si="22"/>
        <v/>
      </c>
      <c r="AG36" s="11" t="str">
        <f t="shared" si="22"/>
        <v/>
      </c>
      <c r="AH36" s="11" t="str">
        <f t="shared" si="22"/>
        <v/>
      </c>
      <c r="AI36" s="11" t="str">
        <f t="shared" si="22"/>
        <v/>
      </c>
      <c r="AJ36" s="11" t="str">
        <f t="shared" si="22"/>
        <v/>
      </c>
      <c r="AK36" s="11" t="str">
        <f t="shared" si="22"/>
        <v/>
      </c>
    </row>
    <row r="37" spans="1:37" x14ac:dyDescent="0.25">
      <c r="A37" s="15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3"/>
        <v>1.5623373032508132</v>
      </c>
      <c r="P37" s="11" t="str">
        <f t="shared" si="13"/>
        <v/>
      </c>
      <c r="Q37" s="11" t="str">
        <f t="shared" si="13"/>
        <v/>
      </c>
      <c r="R37" s="11" t="str">
        <f t="shared" si="13"/>
        <v/>
      </c>
      <c r="S37" s="11" t="str">
        <f t="shared" si="13"/>
        <v/>
      </c>
      <c r="T37" s="11" t="str">
        <f t="shared" ref="T37:AK37" si="23">IF(T14="","",(T14/$O$23))</f>
        <v/>
      </c>
      <c r="U37" s="11" t="str">
        <f t="shared" si="23"/>
        <v/>
      </c>
      <c r="V37" s="11" t="str">
        <f t="shared" si="23"/>
        <v/>
      </c>
      <c r="W37" s="11" t="str">
        <f t="shared" si="23"/>
        <v/>
      </c>
      <c r="X37" s="11" t="str">
        <f t="shared" si="23"/>
        <v/>
      </c>
      <c r="Y37" s="11" t="str">
        <f t="shared" si="23"/>
        <v/>
      </c>
      <c r="Z37" s="11" t="str">
        <f t="shared" si="23"/>
        <v/>
      </c>
      <c r="AA37" s="11" t="str">
        <f t="shared" si="23"/>
        <v/>
      </c>
      <c r="AB37" s="11" t="str">
        <f t="shared" si="23"/>
        <v/>
      </c>
      <c r="AC37" s="11" t="str">
        <f t="shared" si="23"/>
        <v/>
      </c>
      <c r="AD37" s="11" t="str">
        <f t="shared" si="23"/>
        <v/>
      </c>
      <c r="AE37" s="11" t="str">
        <f t="shared" si="23"/>
        <v/>
      </c>
      <c r="AF37" s="11" t="str">
        <f t="shared" si="23"/>
        <v/>
      </c>
      <c r="AG37" s="11" t="str">
        <f t="shared" si="23"/>
        <v/>
      </c>
      <c r="AH37" s="11" t="str">
        <f t="shared" si="23"/>
        <v/>
      </c>
      <c r="AI37" s="11" t="str">
        <f t="shared" si="23"/>
        <v/>
      </c>
      <c r="AJ37" s="11" t="str">
        <f t="shared" si="23"/>
        <v/>
      </c>
      <c r="AK37" s="11" t="str">
        <f t="shared" si="23"/>
        <v/>
      </c>
    </row>
    <row r="38" spans="1:37" x14ac:dyDescent="0.25">
      <c r="A38" s="15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4">IF(O15="","",(O15/$O$23))</f>
        <v>1.6420193700713157</v>
      </c>
      <c r="P38" s="11" t="str">
        <f t="shared" si="24"/>
        <v/>
      </c>
      <c r="Q38" s="11" t="str">
        <f t="shared" si="24"/>
        <v/>
      </c>
      <c r="R38" s="11" t="str">
        <f t="shared" si="24"/>
        <v/>
      </c>
      <c r="S38" s="11" t="str">
        <f t="shared" si="24"/>
        <v/>
      </c>
      <c r="T38" s="11" t="str">
        <f t="shared" si="24"/>
        <v/>
      </c>
      <c r="U38" s="11" t="str">
        <f t="shared" si="24"/>
        <v/>
      </c>
      <c r="V38" s="11" t="str">
        <f t="shared" si="24"/>
        <v/>
      </c>
      <c r="W38" s="11" t="str">
        <f t="shared" si="24"/>
        <v/>
      </c>
      <c r="X38" s="11" t="str">
        <f t="shared" si="24"/>
        <v/>
      </c>
      <c r="Y38" s="11" t="str">
        <f t="shared" si="24"/>
        <v/>
      </c>
      <c r="Z38" s="11" t="str">
        <f t="shared" si="24"/>
        <v/>
      </c>
      <c r="AA38" s="11" t="str">
        <f t="shared" si="24"/>
        <v/>
      </c>
      <c r="AB38" s="11" t="str">
        <f t="shared" si="24"/>
        <v/>
      </c>
      <c r="AC38" s="11" t="str">
        <f t="shared" si="24"/>
        <v/>
      </c>
      <c r="AD38" s="11" t="str">
        <f t="shared" si="24"/>
        <v/>
      </c>
      <c r="AE38" s="11" t="str">
        <f t="shared" si="24"/>
        <v/>
      </c>
      <c r="AF38" s="11" t="str">
        <f t="shared" si="24"/>
        <v/>
      </c>
      <c r="AG38" s="11" t="str">
        <f t="shared" si="24"/>
        <v/>
      </c>
      <c r="AH38" s="11" t="str">
        <f t="shared" si="24"/>
        <v/>
      </c>
      <c r="AI38" s="11" t="str">
        <f t="shared" si="24"/>
        <v/>
      </c>
      <c r="AJ38" s="11" t="str">
        <f t="shared" si="24"/>
        <v/>
      </c>
      <c r="AK38" s="11" t="str">
        <f t="shared" si="24"/>
        <v/>
      </c>
    </row>
    <row r="39" spans="1:37" x14ac:dyDescent="0.25">
      <c r="A39" s="15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5">IF(O16="","",(O16/$O$23))</f>
        <v>0</v>
      </c>
      <c r="P39" s="11" t="str">
        <f t="shared" si="25"/>
        <v/>
      </c>
      <c r="Q39" s="11" t="str">
        <f t="shared" si="25"/>
        <v/>
      </c>
      <c r="R39" s="11" t="str">
        <f t="shared" si="25"/>
        <v/>
      </c>
      <c r="S39" s="11" t="str">
        <f t="shared" si="25"/>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x14ac:dyDescent="0.25">
      <c r="A40" s="15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6">IF(O17="","",(O17/$O$23))</f>
        <v>0.57781475728798615</v>
      </c>
      <c r="P40" s="11" t="str">
        <f t="shared" si="26"/>
        <v/>
      </c>
      <c r="Q40" s="11" t="str">
        <f t="shared" si="26"/>
        <v/>
      </c>
      <c r="R40" s="11" t="str">
        <f t="shared" si="26"/>
        <v/>
      </c>
      <c r="S40" s="11" t="str">
        <f t="shared" si="26"/>
        <v/>
      </c>
      <c r="T40" s="11" t="str">
        <f t="shared" si="26"/>
        <v/>
      </c>
      <c r="U40" s="11" t="str">
        <f t="shared" si="26"/>
        <v/>
      </c>
      <c r="V40" s="11" t="str">
        <f t="shared" si="26"/>
        <v/>
      </c>
      <c r="W40" s="11" t="str">
        <f t="shared" si="26"/>
        <v/>
      </c>
      <c r="X40" s="11" t="str">
        <f t="shared" si="26"/>
        <v/>
      </c>
      <c r="Y40" s="11" t="str">
        <f t="shared" si="26"/>
        <v/>
      </c>
      <c r="Z40" s="11" t="str">
        <f t="shared" si="26"/>
        <v/>
      </c>
      <c r="AA40" s="11" t="str">
        <f t="shared" si="26"/>
        <v/>
      </c>
      <c r="AB40" s="11" t="str">
        <f t="shared" si="26"/>
        <v/>
      </c>
      <c r="AC40" s="11" t="str">
        <f t="shared" si="26"/>
        <v/>
      </c>
      <c r="AD40" s="11" t="str">
        <f t="shared" si="26"/>
        <v/>
      </c>
      <c r="AE40" s="11" t="str">
        <f t="shared" si="26"/>
        <v/>
      </c>
      <c r="AF40" s="11" t="str">
        <f t="shared" si="26"/>
        <v/>
      </c>
      <c r="AG40" s="11" t="str">
        <f t="shared" si="26"/>
        <v/>
      </c>
      <c r="AH40" s="11" t="str">
        <f t="shared" si="26"/>
        <v/>
      </c>
      <c r="AI40" s="11" t="str">
        <f t="shared" si="26"/>
        <v/>
      </c>
      <c r="AJ40" s="11" t="str">
        <f t="shared" si="26"/>
        <v/>
      </c>
      <c r="AK40" s="11" t="str">
        <f t="shared" si="26"/>
        <v/>
      </c>
    </row>
    <row r="41" spans="1:37" x14ac:dyDescent="0.25">
      <c r="A41" s="15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7">IF(O18="","",(O18/$O$23))</f>
        <v>2.426312308952765</v>
      </c>
      <c r="P41" s="11" t="str">
        <f t="shared" si="27"/>
        <v/>
      </c>
      <c r="Q41" s="11" t="str">
        <f t="shared" si="27"/>
        <v/>
      </c>
      <c r="R41" s="11" t="str">
        <f t="shared" si="27"/>
        <v/>
      </c>
      <c r="S41" s="11" t="str">
        <f t="shared" si="27"/>
        <v/>
      </c>
      <c r="T41" s="11" t="str">
        <f t="shared" si="27"/>
        <v/>
      </c>
      <c r="U41" s="11" t="str">
        <f t="shared" si="27"/>
        <v/>
      </c>
      <c r="V41" s="11" t="str">
        <f t="shared" si="27"/>
        <v/>
      </c>
      <c r="W41" s="11" t="str">
        <f t="shared" si="27"/>
        <v/>
      </c>
      <c r="X41" s="11" t="str">
        <f t="shared" si="27"/>
        <v/>
      </c>
      <c r="Y41" s="11" t="str">
        <f t="shared" si="27"/>
        <v/>
      </c>
      <c r="Z41" s="11" t="str">
        <f t="shared" si="27"/>
        <v/>
      </c>
      <c r="AA41" s="11" t="str">
        <f t="shared" si="27"/>
        <v/>
      </c>
      <c r="AB41" s="11" t="str">
        <f t="shared" si="27"/>
        <v/>
      </c>
      <c r="AC41" s="11" t="str">
        <f t="shared" si="27"/>
        <v/>
      </c>
      <c r="AD41" s="11" t="str">
        <f t="shared" si="27"/>
        <v/>
      </c>
      <c r="AE41" s="11" t="str">
        <f t="shared" si="27"/>
        <v/>
      </c>
      <c r="AF41" s="11" t="str">
        <f t="shared" si="27"/>
        <v/>
      </c>
      <c r="AG41" s="11" t="str">
        <f t="shared" si="27"/>
        <v/>
      </c>
      <c r="AH41" s="11" t="str">
        <f t="shared" si="27"/>
        <v/>
      </c>
      <c r="AI41" s="11" t="str">
        <f t="shared" si="27"/>
        <v/>
      </c>
      <c r="AJ41" s="11" t="str">
        <f t="shared" si="27"/>
        <v/>
      </c>
      <c r="AK41" s="11" t="str">
        <f t="shared" si="27"/>
        <v/>
      </c>
    </row>
    <row r="42" spans="1:37" x14ac:dyDescent="0.25">
      <c r="A42" s="15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8">IF(O19="","",(O19/$O$23))</f>
        <v>0</v>
      </c>
      <c r="P42" s="11" t="str">
        <f t="shared" si="28"/>
        <v/>
      </c>
      <c r="Q42" s="11" t="str">
        <f t="shared" si="28"/>
        <v/>
      </c>
      <c r="R42" s="11" t="str">
        <f t="shared" si="28"/>
        <v/>
      </c>
      <c r="S42" s="11" t="str">
        <f t="shared" si="28"/>
        <v/>
      </c>
      <c r="T42" s="11" t="str">
        <f t="shared" si="28"/>
        <v/>
      </c>
      <c r="U42" s="11" t="str">
        <f t="shared" si="28"/>
        <v/>
      </c>
      <c r="V42" s="11" t="str">
        <f t="shared" si="28"/>
        <v/>
      </c>
      <c r="W42" s="11" t="str">
        <f t="shared" si="28"/>
        <v/>
      </c>
      <c r="X42" s="11" t="str">
        <f t="shared" si="28"/>
        <v/>
      </c>
      <c r="Y42" s="11" t="str">
        <f t="shared" si="28"/>
        <v/>
      </c>
      <c r="Z42" s="11" t="str">
        <f t="shared" si="28"/>
        <v/>
      </c>
      <c r="AA42" s="11" t="str">
        <f t="shared" si="28"/>
        <v/>
      </c>
      <c r="AB42" s="11" t="str">
        <f t="shared" si="28"/>
        <v/>
      </c>
      <c r="AC42" s="11" t="str">
        <f t="shared" si="28"/>
        <v/>
      </c>
      <c r="AD42" s="11" t="str">
        <f t="shared" si="28"/>
        <v/>
      </c>
      <c r="AE42" s="11" t="str">
        <f t="shared" si="28"/>
        <v/>
      </c>
      <c r="AF42" s="11" t="str">
        <f t="shared" si="28"/>
        <v/>
      </c>
      <c r="AG42" s="11" t="str">
        <f t="shared" si="28"/>
        <v/>
      </c>
      <c r="AH42" s="11" t="str">
        <f t="shared" si="28"/>
        <v/>
      </c>
      <c r="AI42" s="11" t="str">
        <f t="shared" si="28"/>
        <v/>
      </c>
      <c r="AJ42" s="11" t="str">
        <f t="shared" si="28"/>
        <v/>
      </c>
      <c r="AK42" s="11" t="str">
        <f t="shared" si="28"/>
        <v/>
      </c>
    </row>
    <row r="43" spans="1:37" x14ac:dyDescent="0.25">
      <c r="A43" s="15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AK43" si="29">IF(O20="","",(O20/$O$23))</f>
        <v>1.1344679473865948</v>
      </c>
      <c r="P43" s="11" t="str">
        <f t="shared" si="29"/>
        <v/>
      </c>
      <c r="Q43" s="11" t="str">
        <f t="shared" si="29"/>
        <v/>
      </c>
      <c r="R43" s="11" t="str">
        <f t="shared" si="29"/>
        <v/>
      </c>
      <c r="S43" s="11" t="str">
        <f t="shared" si="29"/>
        <v/>
      </c>
      <c r="T43" s="11" t="str">
        <f t="shared" si="29"/>
        <v/>
      </c>
      <c r="U43" s="11" t="str">
        <f t="shared" si="29"/>
        <v/>
      </c>
      <c r="V43" s="11" t="str">
        <f t="shared" si="29"/>
        <v/>
      </c>
      <c r="W43" s="11" t="str">
        <f t="shared" si="29"/>
        <v/>
      </c>
      <c r="X43" s="11" t="str">
        <f t="shared" si="29"/>
        <v/>
      </c>
      <c r="Y43" s="11" t="str">
        <f t="shared" si="29"/>
        <v/>
      </c>
      <c r="Z43" s="11" t="str">
        <f t="shared" si="29"/>
        <v/>
      </c>
      <c r="AA43" s="11" t="str">
        <f t="shared" si="29"/>
        <v/>
      </c>
      <c r="AB43" s="11" t="str">
        <f t="shared" si="29"/>
        <v/>
      </c>
      <c r="AC43" s="11" t="str">
        <f t="shared" si="29"/>
        <v/>
      </c>
      <c r="AD43" s="11" t="str">
        <f t="shared" si="29"/>
        <v/>
      </c>
      <c r="AE43" s="11" t="str">
        <f t="shared" si="29"/>
        <v/>
      </c>
      <c r="AF43" s="11" t="str">
        <f t="shared" si="29"/>
        <v/>
      </c>
      <c r="AG43" s="11" t="str">
        <f t="shared" si="29"/>
        <v/>
      </c>
      <c r="AH43" s="11" t="str">
        <f t="shared" si="29"/>
        <v/>
      </c>
      <c r="AI43" s="11" t="str">
        <f t="shared" si="29"/>
        <v/>
      </c>
      <c r="AJ43" s="11" t="str">
        <f t="shared" si="29"/>
        <v/>
      </c>
      <c r="AK43" s="11" t="str">
        <f t="shared" si="29"/>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30">B4</f>
        <v>Solvent control</v>
      </c>
      <c r="C45" s="7" t="str">
        <f t="shared" si="30"/>
        <v>EE2-33.8ng/L</v>
      </c>
      <c r="D45" s="7" t="str">
        <f t="shared" si="30"/>
        <v>EE2-50.6ng/L</v>
      </c>
      <c r="E45" s="7" t="str">
        <f t="shared" si="30"/>
        <v>EE2-76ng/L</v>
      </c>
      <c r="F45" s="7" t="str">
        <f t="shared" si="30"/>
        <v>EE2-114ng/L</v>
      </c>
      <c r="G45" s="7" t="str">
        <f t="shared" si="30"/>
        <v>EE2-170.9ng/L</v>
      </c>
      <c r="H45" s="7" t="str">
        <f t="shared" si="30"/>
        <v>EE2-488ng/L</v>
      </c>
      <c r="I45" s="7" t="str">
        <f t="shared" si="30"/>
        <v>BPA-1mg/L</v>
      </c>
      <c r="J45" s="7" t="str">
        <f t="shared" si="30"/>
        <v>BPA-2mg/L</v>
      </c>
      <c r="K45" s="7" t="str">
        <f t="shared" ref="K45:M45" si="31">K4</f>
        <v>BPA-3mg/L</v>
      </c>
      <c r="L45" s="7" t="str">
        <f t="shared" si="31"/>
        <v>BPA-4mg/L</v>
      </c>
      <c r="M45" s="7" t="str">
        <f t="shared" si="31"/>
        <v>BPA-5mg/L</v>
      </c>
      <c r="N45" s="7"/>
      <c r="O45" s="7" t="str">
        <f t="shared" si="30"/>
        <v>Testo -30µg/L</v>
      </c>
      <c r="P45" s="7" t="str">
        <f t="shared" si="30"/>
        <v>Testo 30µg/L + EE2 -64ng/L</v>
      </c>
      <c r="Q45" s="7" t="str">
        <f t="shared" si="30"/>
        <v>Testo 30µg/L + FAD-10mg/L</v>
      </c>
      <c r="R45" s="7" t="str">
        <f t="shared" si="30"/>
        <v>BPA-1mg/L + Testostérone</v>
      </c>
      <c r="S45" s="7" t="str">
        <f t="shared" ref="S45:AK45" si="32">S4</f>
        <v>BPA-2mg/L + Testostérone</v>
      </c>
      <c r="T45" s="7" t="str">
        <f t="shared" si="32"/>
        <v>BPA-3mg/L + Testostérone</v>
      </c>
      <c r="U45" s="7" t="str">
        <f t="shared" si="32"/>
        <v>BPA-4mg/L + Testostérone</v>
      </c>
      <c r="V45" s="7" t="str">
        <f t="shared" si="32"/>
        <v>BPA-5mg/L + Testostérone</v>
      </c>
      <c r="W45" s="7" t="str">
        <f t="shared" si="32"/>
        <v>0-00 + Testostérone</v>
      </c>
      <c r="X45" s="7" t="str">
        <f t="shared" si="32"/>
        <v>0-00 + Testostérone</v>
      </c>
      <c r="Y45" s="7" t="str">
        <f t="shared" si="32"/>
        <v>0-00 + Testostérone</v>
      </c>
      <c r="Z45" s="7" t="str">
        <f t="shared" si="32"/>
        <v>0-00 + Testostérone</v>
      </c>
      <c r="AA45" s="7" t="str">
        <f t="shared" si="32"/>
        <v>0-00 + Testostérone</v>
      </c>
      <c r="AB45" s="7" t="str">
        <f t="shared" si="32"/>
        <v>0-00 + Testostérone</v>
      </c>
      <c r="AC45" s="7" t="str">
        <f t="shared" si="32"/>
        <v>0-00 + Testostérone</v>
      </c>
      <c r="AD45" s="7" t="str">
        <f t="shared" si="32"/>
        <v>0-00 + Testostérone</v>
      </c>
      <c r="AE45" s="7" t="str">
        <f t="shared" si="32"/>
        <v>0-00 + Testostérone</v>
      </c>
      <c r="AF45" s="7" t="str">
        <f t="shared" si="32"/>
        <v>0-00 + Testostérone</v>
      </c>
      <c r="AG45" s="7" t="str">
        <f t="shared" si="32"/>
        <v>0-00 + Testostérone</v>
      </c>
      <c r="AH45" s="7" t="str">
        <f t="shared" si="32"/>
        <v>0-00 + Testostérone</v>
      </c>
      <c r="AI45" s="7" t="str">
        <f t="shared" si="32"/>
        <v>0-00 + Testostérone</v>
      </c>
      <c r="AJ45" s="7" t="str">
        <f t="shared" si="32"/>
        <v>0-00 + Testostérone</v>
      </c>
      <c r="AK45" s="7" t="str">
        <f t="shared" si="32"/>
        <v>0-00 + Testostérone</v>
      </c>
    </row>
    <row r="46" spans="1:37" x14ac:dyDescent="0.25">
      <c r="A46" s="8" t="s">
        <v>0</v>
      </c>
      <c r="B46" s="10">
        <f t="shared" ref="B46:H46" si="33">AVERAGE(B28:B43)</f>
        <v>6.5212488484606007E-3</v>
      </c>
      <c r="C46" s="10">
        <f t="shared" si="33"/>
        <v>5.7478221093016351E-3</v>
      </c>
      <c r="D46" s="10">
        <f t="shared" si="33"/>
        <v>1.7953184109966757E-3</v>
      </c>
      <c r="E46" s="10">
        <f t="shared" si="33"/>
        <v>0.2688709116369507</v>
      </c>
      <c r="F46" s="10">
        <f t="shared" si="33"/>
        <v>0.55585810231403676</v>
      </c>
      <c r="G46" s="10">
        <f t="shared" si="33"/>
        <v>1.312506450531906</v>
      </c>
      <c r="H46" s="10">
        <f t="shared" si="33"/>
        <v>2.8850091549771353</v>
      </c>
      <c r="I46" s="10">
        <f>AVERAGE(I28:I43)</f>
        <v>5.3986970244094493E-3</v>
      </c>
      <c r="J46" s="9">
        <f>AVERAGE(J28:J43)</f>
        <v>1.0505607025314117E-2</v>
      </c>
      <c r="K46" s="9">
        <f t="shared" ref="K46:M46" si="34">AVERAGE(K28:K43)</f>
        <v>3.2624082750290197E-2</v>
      </c>
      <c r="L46" s="9">
        <f t="shared" si="34"/>
        <v>2.1826688701471293E-3</v>
      </c>
      <c r="M46" s="9">
        <f t="shared" si="34"/>
        <v>2.4566173856647201E-2</v>
      </c>
      <c r="N46" s="8" t="s">
        <v>0</v>
      </c>
      <c r="O46" s="10">
        <f t="shared" ref="O46:R46" si="35">AVERAGE(O28:O43)</f>
        <v>1</v>
      </c>
      <c r="P46" s="10">
        <f t="shared" si="35"/>
        <v>2.3485211239789043</v>
      </c>
      <c r="Q46" s="10">
        <f t="shared" si="35"/>
        <v>1.0448268963926715E-3</v>
      </c>
      <c r="R46" s="10">
        <f t="shared" si="35"/>
        <v>1.2315425594946094</v>
      </c>
      <c r="S46" s="10">
        <f t="shared" ref="S46:AK46" si="36">AVERAGE(S28:S43)</f>
        <v>1.0195828592325109</v>
      </c>
      <c r="T46" s="10">
        <f t="shared" si="36"/>
        <v>1.5049533714143004</v>
      </c>
      <c r="U46" s="10">
        <f t="shared" si="36"/>
        <v>2.0080349736690879</v>
      </c>
      <c r="V46" s="10">
        <f t="shared" si="36"/>
        <v>2.1353458568153934</v>
      </c>
      <c r="W46" s="10" t="e">
        <f t="shared" si="36"/>
        <v>#DIV/0!</v>
      </c>
      <c r="X46" s="10" t="e">
        <f t="shared" si="36"/>
        <v>#DIV/0!</v>
      </c>
      <c r="Y46" s="10" t="e">
        <f t="shared" si="36"/>
        <v>#DIV/0!</v>
      </c>
      <c r="Z46" s="10" t="e">
        <f t="shared" si="36"/>
        <v>#DIV/0!</v>
      </c>
      <c r="AA46" s="10" t="e">
        <f t="shared" si="36"/>
        <v>#DIV/0!</v>
      </c>
      <c r="AB46" s="10" t="e">
        <f t="shared" si="36"/>
        <v>#DIV/0!</v>
      </c>
      <c r="AC46" s="10" t="e">
        <f t="shared" si="36"/>
        <v>#DIV/0!</v>
      </c>
      <c r="AD46" s="10" t="e">
        <f t="shared" si="36"/>
        <v>#DIV/0!</v>
      </c>
      <c r="AE46" s="10" t="e">
        <f t="shared" si="36"/>
        <v>#DIV/0!</v>
      </c>
      <c r="AF46" s="10" t="e">
        <f t="shared" si="36"/>
        <v>#DIV/0!</v>
      </c>
      <c r="AG46" s="10" t="e">
        <f t="shared" si="36"/>
        <v>#DIV/0!</v>
      </c>
      <c r="AH46" s="10" t="e">
        <f t="shared" si="36"/>
        <v>#DIV/0!</v>
      </c>
      <c r="AI46" s="10" t="e">
        <f t="shared" si="36"/>
        <v>#DIV/0!</v>
      </c>
      <c r="AJ46" s="10" t="e">
        <f t="shared" si="36"/>
        <v>#DIV/0!</v>
      </c>
      <c r="AK46" s="10" t="e">
        <f t="shared" si="36"/>
        <v>#DIV/0!</v>
      </c>
    </row>
    <row r="47" spans="1:37" x14ac:dyDescent="0.25">
      <c r="A47" s="8" t="s">
        <v>1</v>
      </c>
      <c r="B47" s="8">
        <f t="shared" ref="B47:J47" si="37">STDEV(B28:B43)</f>
        <v>8.617651858198511E-3</v>
      </c>
      <c r="C47" s="8">
        <f t="shared" si="37"/>
        <v>1.0753153940458395E-2</v>
      </c>
      <c r="D47" s="8">
        <f t="shared" si="37"/>
        <v>2.5782647127739881E-3</v>
      </c>
      <c r="E47" s="8">
        <f t="shared" si="37"/>
        <v>0.75390952284572321</v>
      </c>
      <c r="F47" s="8">
        <f t="shared" si="37"/>
        <v>0.64797410835991764</v>
      </c>
      <c r="G47" s="8">
        <f t="shared" si="37"/>
        <v>0.466061071151122</v>
      </c>
      <c r="H47" s="8">
        <f t="shared" si="37"/>
        <v>0.39669970376134261</v>
      </c>
      <c r="I47" s="8">
        <f t="shared" si="37"/>
        <v>1.1140445048395779E-2</v>
      </c>
      <c r="J47" s="8">
        <f t="shared" si="37"/>
        <v>2.5717590513177194E-2</v>
      </c>
      <c r="K47" s="8">
        <f t="shared" ref="K47:M47" si="38">STDEV(K28:K43)</f>
        <v>4.4564145505237289E-2</v>
      </c>
      <c r="L47" s="8">
        <f t="shared" si="38"/>
        <v>6.1735198366632601E-3</v>
      </c>
      <c r="M47" s="8">
        <f t="shared" si="38"/>
        <v>3.5341584290402357E-2</v>
      </c>
      <c r="N47" s="8" t="s">
        <v>1</v>
      </c>
      <c r="O47" s="8">
        <f t="shared" ref="O47:R47" si="39">STDEV(O28:O43)</f>
        <v>0.76337419131485129</v>
      </c>
      <c r="P47" s="8">
        <f t="shared" si="39"/>
        <v>0.48253738441465038</v>
      </c>
      <c r="Q47" s="8">
        <f t="shared" si="39"/>
        <v>2.637469394690152E-3</v>
      </c>
      <c r="R47" s="8">
        <f t="shared" si="39"/>
        <v>0.84798598061214814</v>
      </c>
      <c r="S47" s="8">
        <f t="shared" ref="S47:AK47" si="40">STDEV(S28:S43)</f>
        <v>0.72828218301545578</v>
      </c>
      <c r="T47" s="8">
        <f t="shared" si="40"/>
        <v>0.51536860445110322</v>
      </c>
      <c r="U47" s="8">
        <f t="shared" si="40"/>
        <v>0.39850647334003947</v>
      </c>
      <c r="V47" s="8">
        <f t="shared" si="40"/>
        <v>0.84594407338077726</v>
      </c>
      <c r="W47" s="8" t="e">
        <f t="shared" si="40"/>
        <v>#DIV/0!</v>
      </c>
      <c r="X47" s="8" t="e">
        <f t="shared" si="40"/>
        <v>#DIV/0!</v>
      </c>
      <c r="Y47" s="8" t="e">
        <f t="shared" si="40"/>
        <v>#DIV/0!</v>
      </c>
      <c r="Z47" s="8" t="e">
        <f t="shared" si="40"/>
        <v>#DIV/0!</v>
      </c>
      <c r="AA47" s="8" t="e">
        <f t="shared" si="40"/>
        <v>#DIV/0!</v>
      </c>
      <c r="AB47" s="8" t="e">
        <f t="shared" si="40"/>
        <v>#DIV/0!</v>
      </c>
      <c r="AC47" s="8" t="e">
        <f t="shared" si="40"/>
        <v>#DIV/0!</v>
      </c>
      <c r="AD47" s="8" t="e">
        <f t="shared" si="40"/>
        <v>#DIV/0!</v>
      </c>
      <c r="AE47" s="8" t="e">
        <f t="shared" si="40"/>
        <v>#DIV/0!</v>
      </c>
      <c r="AF47" s="8" t="e">
        <f t="shared" si="40"/>
        <v>#DIV/0!</v>
      </c>
      <c r="AG47" s="8" t="e">
        <f t="shared" si="40"/>
        <v>#DIV/0!</v>
      </c>
      <c r="AH47" s="8" t="e">
        <f t="shared" si="40"/>
        <v>#DIV/0!</v>
      </c>
      <c r="AI47" s="8" t="e">
        <f t="shared" si="40"/>
        <v>#DIV/0!</v>
      </c>
      <c r="AJ47" s="8" t="e">
        <f t="shared" si="40"/>
        <v>#DIV/0!</v>
      </c>
      <c r="AK47" s="8" t="e">
        <f t="shared" si="40"/>
        <v>#DIV/0!</v>
      </c>
    </row>
    <row r="48" spans="1:37" x14ac:dyDescent="0.25">
      <c r="A48" s="8" t="s">
        <v>2</v>
      </c>
      <c r="B48" s="8">
        <f t="shared" ref="B48:J48" si="41" xml:space="preserve"> B47/SQRT(COUNT(B28:B43))</f>
        <v>3.0468000334185094E-3</v>
      </c>
      <c r="C48" s="8">
        <f t="shared" si="41"/>
        <v>3.8018140352204877E-3</v>
      </c>
      <c r="D48" s="8">
        <f t="shared" si="41"/>
        <v>9.115542310482365E-4</v>
      </c>
      <c r="E48" s="8">
        <f t="shared" si="41"/>
        <v>0.2665472680026626</v>
      </c>
      <c r="F48" s="8">
        <f t="shared" si="41"/>
        <v>0.22909344302730225</v>
      </c>
      <c r="G48" s="8">
        <f t="shared" si="41"/>
        <v>0.16477747192901218</v>
      </c>
      <c r="H48" s="8">
        <f t="shared" si="41"/>
        <v>0.14025452531216995</v>
      </c>
      <c r="I48" s="8">
        <f t="shared" si="41"/>
        <v>3.9387421195783753E-3</v>
      </c>
      <c r="J48" s="8">
        <f t="shared" si="41"/>
        <v>9.092541323823207E-3</v>
      </c>
      <c r="K48" s="8">
        <f t="shared" ref="K48:M48" si="42" xml:space="preserve"> K47/SQRT(COUNT(K28:K43))</f>
        <v>1.5755804742268644E-2</v>
      </c>
      <c r="L48" s="8">
        <f t="shared" si="42"/>
        <v>2.1826688701471293E-3</v>
      </c>
      <c r="M48" s="8">
        <f t="shared" si="42"/>
        <v>1.335786328163311E-2</v>
      </c>
      <c r="N48" s="8" t="s">
        <v>2</v>
      </c>
      <c r="O48" s="8">
        <f t="shared" ref="O48:R48" si="43" xml:space="preserve"> O47/SQRT(COUNT(O28:O43))</f>
        <v>0.19084354782871282</v>
      </c>
      <c r="P48" s="8">
        <f t="shared" si="43"/>
        <v>0.17060272834780957</v>
      </c>
      <c r="Q48" s="8">
        <f t="shared" si="43"/>
        <v>9.3248624707869252E-4</v>
      </c>
      <c r="R48" s="8">
        <f t="shared" si="43"/>
        <v>0.29980831862098706</v>
      </c>
      <c r="S48" s="8">
        <f t="shared" ref="S48:AK48" si="44" xml:space="preserve"> S47/SQRT(COUNT(S28:S43))</f>
        <v>0.2574866351137855</v>
      </c>
      <c r="T48" s="8">
        <f t="shared" si="44"/>
        <v>0.18221031750901129</v>
      </c>
      <c r="U48" s="8">
        <f t="shared" si="44"/>
        <v>0.15062128918673368</v>
      </c>
      <c r="V48" s="8">
        <f t="shared" si="44"/>
        <v>0.29908639539605897</v>
      </c>
      <c r="W48" s="8" t="e">
        <f t="shared" si="44"/>
        <v>#DIV/0!</v>
      </c>
      <c r="X48" s="8" t="e">
        <f t="shared" si="44"/>
        <v>#DIV/0!</v>
      </c>
      <c r="Y48" s="8" t="e">
        <f t="shared" si="44"/>
        <v>#DIV/0!</v>
      </c>
      <c r="Z48" s="8" t="e">
        <f t="shared" si="44"/>
        <v>#DIV/0!</v>
      </c>
      <c r="AA48" s="8" t="e">
        <f t="shared" si="44"/>
        <v>#DIV/0!</v>
      </c>
      <c r="AB48" s="8" t="e">
        <f t="shared" si="44"/>
        <v>#DIV/0!</v>
      </c>
      <c r="AC48" s="8" t="e">
        <f t="shared" si="44"/>
        <v>#DIV/0!</v>
      </c>
      <c r="AD48" s="8" t="e">
        <f t="shared" si="44"/>
        <v>#DIV/0!</v>
      </c>
      <c r="AE48" s="8" t="e">
        <f t="shared" si="44"/>
        <v>#DIV/0!</v>
      </c>
      <c r="AF48" s="8" t="e">
        <f t="shared" si="44"/>
        <v>#DIV/0!</v>
      </c>
      <c r="AG48" s="8" t="e">
        <f t="shared" si="44"/>
        <v>#DIV/0!</v>
      </c>
      <c r="AH48" s="8" t="e">
        <f t="shared" si="44"/>
        <v>#DIV/0!</v>
      </c>
      <c r="AI48" s="8" t="e">
        <f t="shared" si="44"/>
        <v>#DIV/0!</v>
      </c>
      <c r="AJ48" s="8" t="e">
        <f t="shared" si="44"/>
        <v>#DIV/0!</v>
      </c>
      <c r="AK48" s="8" t="e">
        <f t="shared" si="44"/>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24</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customFormat="1" ht="15.75" thickBot="1" x14ac:dyDescent="0.3">
      <c r="AE51" s="1"/>
      <c r="AF51" s="1"/>
      <c r="AG51" s="1"/>
      <c r="AH51" s="1"/>
      <c r="AI51" s="1"/>
      <c r="AJ51" s="1"/>
    </row>
    <row r="52" spans="1:37" x14ac:dyDescent="0.25">
      <c r="A52" s="29" t="str">
        <f t="shared" ref="A52:H52" si="45">A27</f>
        <v>Noms des groupes</v>
      </c>
      <c r="B52" s="30" t="str">
        <f t="shared" si="45"/>
        <v>Solvent control</v>
      </c>
      <c r="C52" s="30" t="str">
        <f t="shared" si="45"/>
        <v>EE2-33.8ng/L</v>
      </c>
      <c r="D52" s="30" t="str">
        <f t="shared" si="45"/>
        <v>EE2-50.6ng/L</v>
      </c>
      <c r="E52" s="30" t="str">
        <f t="shared" si="45"/>
        <v>EE2-76ng/L</v>
      </c>
      <c r="F52" s="30" t="str">
        <f t="shared" si="45"/>
        <v>EE2-114ng/L</v>
      </c>
      <c r="G52" s="30" t="str">
        <f t="shared" si="45"/>
        <v>EE2-170.9ng/L</v>
      </c>
      <c r="H52" s="30" t="str">
        <f t="shared" si="45"/>
        <v>EE2-488ng/L</v>
      </c>
      <c r="I52" s="30" t="str">
        <f>I4</f>
        <v>BPA-1mg/L</v>
      </c>
      <c r="J52" s="30" t="str">
        <f>J4</f>
        <v>BPA-2mg/L</v>
      </c>
      <c r="K52" s="30" t="str">
        <f t="shared" ref="K52:M52" si="46">K4</f>
        <v>BPA-3mg/L</v>
      </c>
      <c r="L52" s="30" t="str">
        <f t="shared" si="46"/>
        <v>BPA-4mg/L</v>
      </c>
      <c r="M52" s="30" t="str">
        <f t="shared" si="46"/>
        <v>BPA-5mg/L</v>
      </c>
      <c r="N52" s="31"/>
      <c r="O52" s="30" t="str">
        <f>O27</f>
        <v>Testo -30µg/L</v>
      </c>
      <c r="P52" s="30" t="str">
        <f>P27</f>
        <v>Testo 30µg/L + EE2 -64ng/L</v>
      </c>
      <c r="Q52" s="30" t="str">
        <f>Q27</f>
        <v>Testo 30µg/L + FAD-10mg/L</v>
      </c>
      <c r="R52" s="30" t="str">
        <f>R27</f>
        <v>BPA-1mg/L + Testostérone</v>
      </c>
      <c r="S52" s="30" t="str">
        <f t="shared" ref="S52:AC52" si="47">S27</f>
        <v>BPA-2mg/L + Testostérone</v>
      </c>
      <c r="T52" s="30" t="str">
        <f t="shared" si="47"/>
        <v>BPA-3mg/L + Testostérone</v>
      </c>
      <c r="U52" s="30" t="str">
        <f t="shared" si="47"/>
        <v>BPA-4mg/L + Testostérone</v>
      </c>
      <c r="V52" s="30" t="str">
        <f t="shared" si="47"/>
        <v>BPA-5mg/L + Testostérone</v>
      </c>
      <c r="W52" s="30" t="str">
        <f t="shared" si="47"/>
        <v>0-00 + Testostérone</v>
      </c>
      <c r="X52" s="30" t="str">
        <f t="shared" si="47"/>
        <v>0-00 + Testostérone</v>
      </c>
      <c r="Y52" s="30" t="str">
        <f t="shared" si="47"/>
        <v>0-00 + Testostérone</v>
      </c>
      <c r="Z52" s="30" t="str">
        <f t="shared" si="47"/>
        <v>0-00 + Testostérone</v>
      </c>
      <c r="AA52" s="30" t="str">
        <f t="shared" si="47"/>
        <v>0-00 + Testostérone</v>
      </c>
      <c r="AB52" s="30" t="str">
        <f t="shared" si="47"/>
        <v>0-00 + Testostérone</v>
      </c>
      <c r="AC52" s="30" t="str">
        <f t="shared" si="47"/>
        <v>0-00 + Testostérone</v>
      </c>
      <c r="AD52" s="30" t="str">
        <f t="shared" ref="AD52:AK52" si="48">AD27</f>
        <v>0-00 + Testostérone</v>
      </c>
      <c r="AE52" s="30" t="str">
        <f t="shared" si="48"/>
        <v>0-00 + Testostérone</v>
      </c>
      <c r="AF52" s="30" t="str">
        <f t="shared" si="48"/>
        <v>0-00 + Testostérone</v>
      </c>
      <c r="AG52" s="30" t="str">
        <f t="shared" si="48"/>
        <v>0-00 + Testostérone</v>
      </c>
      <c r="AH52" s="30" t="str">
        <f t="shared" si="48"/>
        <v>0-00 + Testostérone</v>
      </c>
      <c r="AI52" s="30" t="str">
        <f t="shared" si="48"/>
        <v>0-00 + Testostérone</v>
      </c>
      <c r="AJ52" s="30" t="str">
        <f t="shared" si="48"/>
        <v>0-00 + Testostérone</v>
      </c>
      <c r="AK52" s="30" t="str">
        <f t="shared" si="48"/>
        <v>0-00 + Testostérone</v>
      </c>
    </row>
    <row r="53" spans="1:37" s="3" customFormat="1" x14ac:dyDescent="0.25">
      <c r="A53" s="49" t="s">
        <v>15</v>
      </c>
      <c r="B53" s="84">
        <f t="shared" ref="B53" si="49">B46</f>
        <v>6.5212488484606007E-3</v>
      </c>
      <c r="C53" s="84">
        <f t="shared" ref="C53:AK53" si="50">C46</f>
        <v>5.7478221093016351E-3</v>
      </c>
      <c r="D53" s="84">
        <f t="shared" si="50"/>
        <v>1.7953184109966757E-3</v>
      </c>
      <c r="E53" s="84">
        <f t="shared" si="50"/>
        <v>0.2688709116369507</v>
      </c>
      <c r="F53" s="84">
        <f t="shared" si="50"/>
        <v>0.55585810231403676</v>
      </c>
      <c r="G53" s="84">
        <f t="shared" si="50"/>
        <v>1.312506450531906</v>
      </c>
      <c r="H53" s="84">
        <f t="shared" si="50"/>
        <v>2.8850091549771353</v>
      </c>
      <c r="I53" s="84">
        <f t="shared" si="50"/>
        <v>5.3986970244094493E-3</v>
      </c>
      <c r="J53" s="84">
        <f t="shared" si="50"/>
        <v>1.0505607025314117E-2</v>
      </c>
      <c r="K53" s="84">
        <f t="shared" si="50"/>
        <v>3.2624082750290197E-2</v>
      </c>
      <c r="L53" s="84">
        <f t="shared" si="50"/>
        <v>2.1826688701471293E-3</v>
      </c>
      <c r="M53" s="84">
        <f t="shared" si="50"/>
        <v>2.4566173856647201E-2</v>
      </c>
      <c r="N53" s="84"/>
      <c r="O53" s="84">
        <f t="shared" si="50"/>
        <v>1</v>
      </c>
      <c r="P53" s="84">
        <f t="shared" si="50"/>
        <v>2.3485211239789043</v>
      </c>
      <c r="Q53" s="84">
        <f t="shared" si="50"/>
        <v>1.0448268963926715E-3</v>
      </c>
      <c r="R53" s="84">
        <f t="shared" si="50"/>
        <v>1.2315425594946094</v>
      </c>
      <c r="S53" s="84">
        <f t="shared" si="50"/>
        <v>1.0195828592325109</v>
      </c>
      <c r="T53" s="84">
        <f t="shared" si="50"/>
        <v>1.5049533714143004</v>
      </c>
      <c r="U53" s="84">
        <f t="shared" si="50"/>
        <v>2.0080349736690879</v>
      </c>
      <c r="V53" s="84">
        <f t="shared" si="50"/>
        <v>2.1353458568153934</v>
      </c>
      <c r="W53" s="84" t="e">
        <f t="shared" si="50"/>
        <v>#DIV/0!</v>
      </c>
      <c r="X53" s="84" t="e">
        <f t="shared" si="50"/>
        <v>#DIV/0!</v>
      </c>
      <c r="Y53" s="84" t="e">
        <f t="shared" si="50"/>
        <v>#DIV/0!</v>
      </c>
      <c r="Z53" s="84" t="e">
        <f t="shared" si="50"/>
        <v>#DIV/0!</v>
      </c>
      <c r="AA53" s="84" t="e">
        <f t="shared" si="50"/>
        <v>#DIV/0!</v>
      </c>
      <c r="AB53" s="84" t="e">
        <f t="shared" si="50"/>
        <v>#DIV/0!</v>
      </c>
      <c r="AC53" s="84" t="e">
        <f t="shared" si="50"/>
        <v>#DIV/0!</v>
      </c>
      <c r="AD53" s="84" t="e">
        <f t="shared" si="50"/>
        <v>#DIV/0!</v>
      </c>
      <c r="AE53" s="84" t="e">
        <f t="shared" si="50"/>
        <v>#DIV/0!</v>
      </c>
      <c r="AF53" s="84" t="e">
        <f t="shared" si="50"/>
        <v>#DIV/0!</v>
      </c>
      <c r="AG53" s="84" t="e">
        <f t="shared" si="50"/>
        <v>#DIV/0!</v>
      </c>
      <c r="AH53" s="84" t="e">
        <f t="shared" si="50"/>
        <v>#DIV/0!</v>
      </c>
      <c r="AI53" s="84" t="e">
        <f t="shared" si="50"/>
        <v>#DIV/0!</v>
      </c>
      <c r="AJ53" s="84" t="e">
        <f t="shared" si="50"/>
        <v>#DIV/0!</v>
      </c>
      <c r="AK53" s="84" t="e">
        <f t="shared" si="50"/>
        <v>#DIV/0!</v>
      </c>
    </row>
    <row r="54" spans="1:37" s="3" customFormat="1" x14ac:dyDescent="0.25">
      <c r="A54" s="49" t="s">
        <v>2</v>
      </c>
      <c r="B54" s="84">
        <f t="shared" ref="B54" si="51">B48</f>
        <v>3.0468000334185094E-3</v>
      </c>
      <c r="C54" s="84">
        <f t="shared" ref="C54:AK54" si="52">C48</f>
        <v>3.8018140352204877E-3</v>
      </c>
      <c r="D54" s="84">
        <f t="shared" si="52"/>
        <v>9.115542310482365E-4</v>
      </c>
      <c r="E54" s="84">
        <f t="shared" si="52"/>
        <v>0.2665472680026626</v>
      </c>
      <c r="F54" s="84">
        <f t="shared" si="52"/>
        <v>0.22909344302730225</v>
      </c>
      <c r="G54" s="84">
        <f t="shared" si="52"/>
        <v>0.16477747192901218</v>
      </c>
      <c r="H54" s="84">
        <f t="shared" si="52"/>
        <v>0.14025452531216995</v>
      </c>
      <c r="I54" s="84">
        <f t="shared" si="52"/>
        <v>3.9387421195783753E-3</v>
      </c>
      <c r="J54" s="84">
        <f t="shared" si="52"/>
        <v>9.092541323823207E-3</v>
      </c>
      <c r="K54" s="84">
        <f t="shared" si="52"/>
        <v>1.5755804742268644E-2</v>
      </c>
      <c r="L54" s="84">
        <f t="shared" si="52"/>
        <v>2.1826688701471293E-3</v>
      </c>
      <c r="M54" s="84">
        <f t="shared" si="52"/>
        <v>1.335786328163311E-2</v>
      </c>
      <c r="N54" s="84"/>
      <c r="O54" s="84">
        <f t="shared" si="52"/>
        <v>0.19084354782871282</v>
      </c>
      <c r="P54" s="84">
        <f t="shared" si="52"/>
        <v>0.17060272834780957</v>
      </c>
      <c r="Q54" s="84">
        <f t="shared" si="52"/>
        <v>9.3248624707869252E-4</v>
      </c>
      <c r="R54" s="84">
        <f t="shared" si="52"/>
        <v>0.29980831862098706</v>
      </c>
      <c r="S54" s="84">
        <f t="shared" si="52"/>
        <v>0.2574866351137855</v>
      </c>
      <c r="T54" s="84">
        <f t="shared" si="52"/>
        <v>0.18221031750901129</v>
      </c>
      <c r="U54" s="84">
        <f t="shared" si="52"/>
        <v>0.15062128918673368</v>
      </c>
      <c r="V54" s="84">
        <f t="shared" si="52"/>
        <v>0.29908639539605897</v>
      </c>
      <c r="W54" s="84" t="e">
        <f t="shared" si="52"/>
        <v>#DIV/0!</v>
      </c>
      <c r="X54" s="84" t="e">
        <f t="shared" si="52"/>
        <v>#DIV/0!</v>
      </c>
      <c r="Y54" s="84" t="e">
        <f t="shared" si="52"/>
        <v>#DIV/0!</v>
      </c>
      <c r="Z54" s="84" t="e">
        <f t="shared" si="52"/>
        <v>#DIV/0!</v>
      </c>
      <c r="AA54" s="84" t="e">
        <f t="shared" si="52"/>
        <v>#DIV/0!</v>
      </c>
      <c r="AB54" s="84" t="e">
        <f t="shared" si="52"/>
        <v>#DIV/0!</v>
      </c>
      <c r="AC54" s="84" t="e">
        <f t="shared" si="52"/>
        <v>#DIV/0!</v>
      </c>
      <c r="AD54" s="84" t="e">
        <f t="shared" si="52"/>
        <v>#DIV/0!</v>
      </c>
      <c r="AE54" s="84" t="e">
        <f t="shared" si="52"/>
        <v>#DIV/0!</v>
      </c>
      <c r="AF54" s="84" t="e">
        <f t="shared" si="52"/>
        <v>#DIV/0!</v>
      </c>
      <c r="AG54" s="84" t="e">
        <f t="shared" si="52"/>
        <v>#DIV/0!</v>
      </c>
      <c r="AH54" s="84" t="e">
        <f t="shared" si="52"/>
        <v>#DIV/0!</v>
      </c>
      <c r="AI54" s="84" t="e">
        <f t="shared" si="52"/>
        <v>#DIV/0!</v>
      </c>
      <c r="AJ54" s="84" t="e">
        <f t="shared" si="52"/>
        <v>#DIV/0!</v>
      </c>
      <c r="AK54" s="84" t="e">
        <f t="shared" si="52"/>
        <v>#DIV/0!</v>
      </c>
    </row>
    <row r="55" spans="1:37" s="3" customFormat="1" x14ac:dyDescent="0.25">
      <c r="A55" s="49" t="s">
        <v>42</v>
      </c>
      <c r="B55" s="84">
        <f>(B53*100/$B53)-100</f>
        <v>0</v>
      </c>
      <c r="C55" s="84">
        <f t="shared" ref="C55:M55" si="53">(C53*100/$B53)-100</f>
        <v>-11.860101602188365</v>
      </c>
      <c r="D55" s="84">
        <f t="shared" si="53"/>
        <v>-72.469714732317314</v>
      </c>
      <c r="E55" s="84">
        <f t="shared" si="53"/>
        <v>4022.9972645564676</v>
      </c>
      <c r="F55" s="84">
        <f t="shared" si="53"/>
        <v>8423.7983587338804</v>
      </c>
      <c r="G55" s="84">
        <f t="shared" si="53"/>
        <v>20026.611957796013</v>
      </c>
      <c r="H55" s="84">
        <f t="shared" si="53"/>
        <v>44140.132864400162</v>
      </c>
      <c r="I55" s="84">
        <f t="shared" si="53"/>
        <v>-17.213755373192669</v>
      </c>
      <c r="J55" s="84">
        <f t="shared" si="53"/>
        <v>61.098085189527154</v>
      </c>
      <c r="K55" s="84">
        <f t="shared" si="53"/>
        <v>400.27354435326305</v>
      </c>
      <c r="L55" s="84">
        <f t="shared" si="53"/>
        <v>-66.529894490035176</v>
      </c>
      <c r="M55" s="84">
        <f t="shared" si="53"/>
        <v>276.70965220789373</v>
      </c>
      <c r="N55" s="84"/>
      <c r="O55" s="84">
        <f>(O53*100/$O53)-100</f>
        <v>0</v>
      </c>
      <c r="P55" s="84">
        <f t="shared" ref="P55:AK55" si="54">(P53*100/$O53)-100</f>
        <v>134.85211239789044</v>
      </c>
      <c r="Q55" s="84">
        <f t="shared" si="54"/>
        <v>-99.895517310360731</v>
      </c>
      <c r="R55" s="84">
        <f t="shared" si="54"/>
        <v>23.154255949460946</v>
      </c>
      <c r="S55" s="84">
        <f t="shared" si="54"/>
        <v>1.958285923251097</v>
      </c>
      <c r="T55" s="84">
        <f t="shared" si="54"/>
        <v>50.495337141430042</v>
      </c>
      <c r="U55" s="84">
        <f t="shared" si="54"/>
        <v>100.8034973669088</v>
      </c>
      <c r="V55" s="84">
        <f t="shared" si="54"/>
        <v>113.53458568153934</v>
      </c>
      <c r="W55" s="84" t="e">
        <f t="shared" si="54"/>
        <v>#DIV/0!</v>
      </c>
      <c r="X55" s="84" t="e">
        <f t="shared" si="54"/>
        <v>#DIV/0!</v>
      </c>
      <c r="Y55" s="84" t="e">
        <f t="shared" si="54"/>
        <v>#DIV/0!</v>
      </c>
      <c r="Z55" s="84" t="e">
        <f t="shared" si="54"/>
        <v>#DIV/0!</v>
      </c>
      <c r="AA55" s="84" t="e">
        <f t="shared" si="54"/>
        <v>#DIV/0!</v>
      </c>
      <c r="AB55" s="84" t="e">
        <f t="shared" si="54"/>
        <v>#DIV/0!</v>
      </c>
      <c r="AC55" s="84" t="e">
        <f t="shared" si="54"/>
        <v>#DIV/0!</v>
      </c>
      <c r="AD55" s="84" t="e">
        <f t="shared" si="54"/>
        <v>#DIV/0!</v>
      </c>
      <c r="AE55" s="84" t="e">
        <f t="shared" si="54"/>
        <v>#DIV/0!</v>
      </c>
      <c r="AF55" s="84" t="e">
        <f t="shared" si="54"/>
        <v>#DIV/0!</v>
      </c>
      <c r="AG55" s="84" t="e">
        <f t="shared" si="54"/>
        <v>#DIV/0!</v>
      </c>
      <c r="AH55" s="84" t="e">
        <f t="shared" si="54"/>
        <v>#DIV/0!</v>
      </c>
      <c r="AI55" s="84" t="e">
        <f t="shared" si="54"/>
        <v>#DIV/0!</v>
      </c>
      <c r="AJ55" s="84" t="e">
        <f t="shared" si="54"/>
        <v>#DIV/0!</v>
      </c>
      <c r="AK55" s="84" t="e">
        <f t="shared" si="54"/>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ca="1">IF(B56&gt;0.05,"Oui","Non")</f>
        <v>#NAME?</v>
      </c>
      <c r="C57" s="84" t="e">
        <f t="shared" ref="C57:AK57" ca="1" si="55">IF(C56&gt;0.05,"Oui","Non")</f>
        <v>#NAME?</v>
      </c>
      <c r="D57" s="84" t="e">
        <f t="shared" ca="1" si="55"/>
        <v>#NAME?</v>
      </c>
      <c r="E57" s="84" t="e">
        <f t="shared" ca="1" si="55"/>
        <v>#NAME?</v>
      </c>
      <c r="F57" s="84" t="e">
        <f t="shared" ca="1" si="55"/>
        <v>#NAME?</v>
      </c>
      <c r="G57" s="84" t="e">
        <f t="shared" ca="1" si="55"/>
        <v>#NAME?</v>
      </c>
      <c r="H57" s="84" t="e">
        <f t="shared" ca="1" si="55"/>
        <v>#NAME?</v>
      </c>
      <c r="I57" s="84" t="e">
        <f t="shared" ca="1" si="55"/>
        <v>#NAME?</v>
      </c>
      <c r="J57" s="84" t="e">
        <f t="shared" ca="1" si="55"/>
        <v>#NAME?</v>
      </c>
      <c r="K57" s="84" t="e">
        <f t="shared" ca="1" si="55"/>
        <v>#NAME?</v>
      </c>
      <c r="L57" s="84" t="e">
        <f t="shared" ca="1" si="55"/>
        <v>#NAME?</v>
      </c>
      <c r="M57" s="84" t="e">
        <f t="shared" ca="1" si="55"/>
        <v>#NAME?</v>
      </c>
      <c r="N57" s="84"/>
      <c r="O57" s="84" t="e">
        <f t="shared" ca="1" si="55"/>
        <v>#NAME?</v>
      </c>
      <c r="P57" s="84" t="e">
        <f t="shared" ca="1" si="55"/>
        <v>#NAME?</v>
      </c>
      <c r="Q57" s="84" t="e">
        <f t="shared" ca="1" si="55"/>
        <v>#NAME?</v>
      </c>
      <c r="R57" s="84" t="e">
        <f t="shared" ca="1" si="55"/>
        <v>#NAME?</v>
      </c>
      <c r="S57" s="84" t="e">
        <f t="shared" ca="1" si="55"/>
        <v>#NAME?</v>
      </c>
      <c r="T57" s="84" t="e">
        <f t="shared" ca="1" si="55"/>
        <v>#NAME?</v>
      </c>
      <c r="U57" s="84" t="e">
        <f t="shared" ca="1" si="55"/>
        <v>#NAME?</v>
      </c>
      <c r="V57" s="84" t="e">
        <f t="shared" ca="1" si="55"/>
        <v>#NAME?</v>
      </c>
      <c r="W57" s="84" t="e">
        <f t="shared" ca="1" si="55"/>
        <v>#NAME?</v>
      </c>
      <c r="X57" s="84" t="e">
        <f t="shared" ca="1" si="55"/>
        <v>#NAME?</v>
      </c>
      <c r="Y57" s="84" t="e">
        <f t="shared" ca="1" si="55"/>
        <v>#NAME?</v>
      </c>
      <c r="Z57" s="84" t="e">
        <f t="shared" ca="1" si="55"/>
        <v>#NAME?</v>
      </c>
      <c r="AA57" s="84" t="e">
        <f t="shared" ca="1" si="55"/>
        <v>#NAME?</v>
      </c>
      <c r="AB57" s="84" t="e">
        <f t="shared" ca="1" si="55"/>
        <v>#NAME?</v>
      </c>
      <c r="AC57" s="84" t="e">
        <f t="shared" ca="1" si="55"/>
        <v>#NAME?</v>
      </c>
      <c r="AD57" s="84" t="e">
        <f t="shared" ca="1" si="55"/>
        <v>#NAME?</v>
      </c>
      <c r="AE57" s="84" t="e">
        <f t="shared" ca="1" si="55"/>
        <v>#NAME?</v>
      </c>
      <c r="AF57" s="84" t="e">
        <f t="shared" ca="1" si="55"/>
        <v>#NAME?</v>
      </c>
      <c r="AG57" s="84" t="e">
        <f t="shared" ca="1" si="55"/>
        <v>#NAME?</v>
      </c>
      <c r="AH57" s="84" t="e">
        <f t="shared" ca="1" si="55"/>
        <v>#NAME?</v>
      </c>
      <c r="AI57" s="84" t="e">
        <f t="shared" ca="1" si="55"/>
        <v>#NAME?</v>
      </c>
      <c r="AJ57" s="84" t="e">
        <f t="shared" ca="1" si="55"/>
        <v>#NAME?</v>
      </c>
      <c r="AK57" s="84" t="e">
        <f t="shared" ca="1" si="55"/>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O59" ca="1" si="56">IF($B57="Non",IF(C57="Non","MW",IF(C57="Oui","MW","")),IF($B57="Oui",IF(C57="Oui","T-Test Welch",IF(C57="Non","MW",""))))</f>
        <v>#NAME?</v>
      </c>
      <c r="D59" s="90" t="e">
        <f t="shared" ca="1" si="56"/>
        <v>#NAME?</v>
      </c>
      <c r="E59" s="90" t="e">
        <f t="shared" ca="1" si="56"/>
        <v>#NAME?</v>
      </c>
      <c r="F59" s="90" t="e">
        <f t="shared" ca="1" si="56"/>
        <v>#NAME?</v>
      </c>
      <c r="G59" s="90" t="e">
        <f t="shared" ca="1" si="56"/>
        <v>#NAME?</v>
      </c>
      <c r="H59" s="90" t="e">
        <f t="shared" ca="1" si="56"/>
        <v>#NAME?</v>
      </c>
      <c r="I59" s="90" t="e">
        <f t="shared" ca="1" si="56"/>
        <v>#NAME?</v>
      </c>
      <c r="J59" s="90" t="e">
        <f t="shared" ca="1" si="56"/>
        <v>#NAME?</v>
      </c>
      <c r="K59" s="90" t="e">
        <f t="shared" ca="1" si="56"/>
        <v>#NAME?</v>
      </c>
      <c r="L59" s="90" t="e">
        <f t="shared" ca="1" si="56"/>
        <v>#NAME?</v>
      </c>
      <c r="M59" s="90" t="e">
        <f t="shared" ca="1" si="56"/>
        <v>#NAME?</v>
      </c>
      <c r="N59" s="90"/>
      <c r="O59" s="90" t="e">
        <f t="shared" ca="1" si="56"/>
        <v>#NAME?</v>
      </c>
      <c r="P59" s="90" t="e">
        <f ca="1">IF($O57="Non",IF(P57="Non","MW",IF(P57="Oui","MW","")),IF($O57="Oui",IF(P57="Oui","T-Test Welch",IF(P57="Non","MW",""))))</f>
        <v>#NAME?</v>
      </c>
      <c r="Q59" s="90" t="e">
        <f t="shared" ref="Q59:AK59" ca="1" si="57">IF($O57="Non",IF(Q57="Non","MW",IF(Q57="Oui","MW","")),IF($O57="Oui",IF(Q57="Oui","T-Test Welch",IF(Q57="Non","MW",""))))</f>
        <v>#NAME?</v>
      </c>
      <c r="R59" s="90" t="e">
        <f t="shared" ca="1" si="57"/>
        <v>#NAME?</v>
      </c>
      <c r="S59" s="90" t="e">
        <f t="shared" ca="1" si="57"/>
        <v>#NAME?</v>
      </c>
      <c r="T59" s="90" t="e">
        <f t="shared" ca="1" si="57"/>
        <v>#NAME?</v>
      </c>
      <c r="U59" s="90" t="e">
        <f t="shared" ca="1" si="57"/>
        <v>#NAME?</v>
      </c>
      <c r="V59" s="90" t="e">
        <f t="shared" ca="1" si="57"/>
        <v>#NAME?</v>
      </c>
      <c r="W59" s="90" t="e">
        <f t="shared" ca="1" si="57"/>
        <v>#NAME?</v>
      </c>
      <c r="X59" s="90" t="e">
        <f t="shared" ca="1" si="57"/>
        <v>#NAME?</v>
      </c>
      <c r="Y59" s="90" t="e">
        <f t="shared" ca="1" si="57"/>
        <v>#NAME?</v>
      </c>
      <c r="Z59" s="90" t="e">
        <f t="shared" ca="1" si="57"/>
        <v>#NAME?</v>
      </c>
      <c r="AA59" s="90" t="e">
        <f t="shared" ca="1" si="57"/>
        <v>#NAME?</v>
      </c>
      <c r="AB59" s="90" t="e">
        <f t="shared" ca="1" si="57"/>
        <v>#NAME?</v>
      </c>
      <c r="AC59" s="90" t="e">
        <f t="shared" ca="1" si="57"/>
        <v>#NAME?</v>
      </c>
      <c r="AD59" s="90" t="e">
        <f t="shared" ca="1" si="57"/>
        <v>#NAME?</v>
      </c>
      <c r="AE59" s="90" t="e">
        <f t="shared" ca="1" si="57"/>
        <v>#NAME?</v>
      </c>
      <c r="AF59" s="90" t="e">
        <f t="shared" ca="1" si="57"/>
        <v>#NAME?</v>
      </c>
      <c r="AG59" s="90" t="e">
        <f t="shared" ca="1" si="57"/>
        <v>#NAME?</v>
      </c>
      <c r="AH59" s="90" t="e">
        <f t="shared" ca="1" si="57"/>
        <v>#NAME?</v>
      </c>
      <c r="AI59" s="90" t="e">
        <f t="shared" ca="1" si="57"/>
        <v>#NAME?</v>
      </c>
      <c r="AJ59" s="90" t="e">
        <f t="shared" ca="1" si="57"/>
        <v>#NAME?</v>
      </c>
      <c r="AK59" s="90" t="e">
        <f t="shared" ca="1" si="57"/>
        <v>#NAME?</v>
      </c>
    </row>
    <row r="60" spans="1:37" s="3" customFormat="1" x14ac:dyDescent="0.25">
      <c r="A60" s="49" t="s">
        <v>45</v>
      </c>
      <c r="B60" s="91"/>
      <c r="C60" s="91" t="e">
        <f ca="1">IF(C59="MW",[1]!MTEST($B28:$B43,C28:C43,2), IF(C59="T-Test Welch",_xlfn.T.TEST($B28:$B43,C28:C43,2,3),""))</f>
        <v>#NAME?</v>
      </c>
      <c r="D60" s="91" t="e">
        <f ca="1">IF(D59="MW",[1]!MTEST($B28:$B43,D28:D43,2), IF(D59="T-Test Welch",_xlfn.T.TEST($B28:$B43,D28:D43,2,3),""))</f>
        <v>#NAME?</v>
      </c>
      <c r="E60" s="91" t="e">
        <f ca="1">IF(E59="MW",[1]!MTEST($B28:$B43,E28:E43,2), IF(E59="T-Test Welch",_xlfn.T.TEST($B28:$B43,E28:E43,2,3),""))</f>
        <v>#NAME?</v>
      </c>
      <c r="F60" s="91" t="e">
        <f ca="1">IF(F59="MW",[1]!MTEST($B28:$B43,F28:F43,2), IF(F59="T-Test Welch",_xlfn.T.TEST($B28:$B43,F28:F43,2,3),""))</f>
        <v>#NAME?</v>
      </c>
      <c r="G60" s="91" t="e">
        <f ca="1">IF(G59="MW",[1]!MTEST($B28:$B43,G28:G43,2), IF(G59="T-Test Welch",_xlfn.T.TEST($B28:$B43,G28:G43,2,3),""))</f>
        <v>#NAME?</v>
      </c>
      <c r="H60" s="91" t="e">
        <f ca="1">IF(H59="MW",[1]!MTEST($B28:$B43,H28:H43,2), IF(H59="T-Test Welch",_xlfn.T.TEST($B28:$B43,H28:H43,2,3),""))</f>
        <v>#NAME?</v>
      </c>
      <c r="I60" s="91" t="e">
        <f ca="1">IF(I59="MW",[1]!MTEST($B28:$B43,I28:I43,2), IF(I59="T-Test Welch",_xlfn.T.TEST($B28:$B43,I28:I43,2,3),""))</f>
        <v>#NAME?</v>
      </c>
      <c r="J60" s="91" t="e">
        <f ca="1">IF(J59="MW",[1]!MTEST($B28:$B43,J28:J43,2), IF(J59="T-Test Welch",_xlfn.T.TEST($B28:$B43,J28:J43,2,3),""))</f>
        <v>#NAME?</v>
      </c>
      <c r="K60" s="91" t="e">
        <f ca="1">IF(K59="MW",[1]!MTEST($B28:$B43,K28:K43,2), IF(K59="T-Test Welch",_xlfn.T.TEST($B28:$B43,K28:K43,2,3),""))</f>
        <v>#NAME?</v>
      </c>
      <c r="L60" s="91" t="e">
        <f ca="1">IF(L59="MW",[1]!MTEST($B28:$B43,L28:L43,2), IF(L59="T-Test Welch",_xlfn.T.TEST($B28:$B43,L28:L43,2,3),""))</f>
        <v>#NAME?</v>
      </c>
      <c r="M60" s="91" t="e">
        <f ca="1">IF(M59="MW",[1]!MTEST($B28:$B43,M28:M43,2), IF(M59="T-Test Welch",_xlfn.T.TEST($B28:$B43,M28:M43,2,3),""))</f>
        <v>#NAME?</v>
      </c>
      <c r="N60" s="91"/>
      <c r="O60" s="91" t="e">
        <f ca="1">IF(O59="MW",[1]!MTEST($B28:$B43,O28:O43,2), IF(O59="T-Test Welch",_xlfn.T.TEST($B28:$B43,O28:O43,2,3),""))</f>
        <v>#NAME?</v>
      </c>
      <c r="P60" s="91" t="e">
        <f ca="1">IF(P59="MW",[1]!MTEST($O28:$O43,P28:P43,2), IF(P59="T-Test Welch",_xlfn.T.TEST($O28:$O43,P28:P43,2,3),""))</f>
        <v>#NAME?</v>
      </c>
      <c r="Q60" s="91" t="e">
        <f ca="1">IF(Q59="MW",[1]!MTEST($O28:$O43,Q28:Q43,2), IF(Q59="T-Test Welch",_xlfn.T.TEST($O28:$O43,Q28:Q43,2,3),""))</f>
        <v>#NAME?</v>
      </c>
      <c r="R60" s="91" t="e">
        <f ca="1">IF(R59="MW",[1]!MTEST($O28:$O43,R28:R43,2), IF(R59="T-Test Welch",_xlfn.T.TEST($O28:$O43,R28:R43,2,3),""))</f>
        <v>#NAME?</v>
      </c>
      <c r="S60" s="91" t="e">
        <f ca="1">IF(S59="MW",[1]!MTEST($O28:$O43,S28:S43,2), IF(S59="T-Test Welch",_xlfn.T.TEST($O28:$O43,S28:S43,2,3),""))</f>
        <v>#NAME?</v>
      </c>
      <c r="T60" s="91" t="e">
        <f ca="1">IF(T59="MW",[1]!MTEST($O28:$O43,T28:T43,2), IF(T59="T-Test Welch",_xlfn.T.TEST($O28:$O43,T28:T43,2,3),""))</f>
        <v>#NAME?</v>
      </c>
      <c r="U60" s="91" t="e">
        <f ca="1">IF(U59="MW",[1]!MTEST($O28:$O43,U28:U43,2), IF(U59="T-Test Welch",_xlfn.T.TEST($O28:$O43,U28:U43,2,3),""))</f>
        <v>#NAME?</v>
      </c>
      <c r="V60" s="91" t="e">
        <f ca="1">IF(V59="MW",[1]!MTEST($O28:$O43,V28:V43,2), IF(V59="T-Test Welch",_xlfn.T.TEST($O28:$O43,V28:V43,2,3),""))</f>
        <v>#NAME?</v>
      </c>
      <c r="W60" s="91" t="e">
        <f ca="1">IF(W59="MW",[1]!MTEST($O28:$O43,W28:W43,2), IF(W59="T-Test Welch",_xlfn.T.TEST($O28:$O43,W28:W43,2,3),""))</f>
        <v>#NAME?</v>
      </c>
      <c r="X60" s="91" t="e">
        <f ca="1">IF(X59="MW",[1]!MTEST($O28:$O43,X28:X43,2), IF(X59="T-Test Welch",_xlfn.T.TEST($O28:$O43,X28:X43,2,3),""))</f>
        <v>#NAME?</v>
      </c>
      <c r="Y60" s="91" t="e">
        <f ca="1">IF(Y59="MW",[1]!MTEST($O28:$O43,Y28:Y43,2), IF(Y59="T-Test Welch",_xlfn.T.TEST($O28:$O43,Y28:Y43,2,3),""))</f>
        <v>#NAME?</v>
      </c>
      <c r="Z60" s="91" t="e">
        <f ca="1">IF(Z59="MW",[1]!MTEST($O28:$O43,Z28:Z43,2), IF(Z59="T-Test Welch",_xlfn.T.TEST($O28:$O43,Z28:Z43,2,3),""))</f>
        <v>#NAME?</v>
      </c>
      <c r="AA60" s="91" t="e">
        <f ca="1">IF(AA59="MW",[1]!MTEST($O28:$O43,AA28:AA43,2), IF(AA59="T-Test Welch",_xlfn.T.TEST($O28:$O43,AA28:AA43,2,3),""))</f>
        <v>#NAME?</v>
      </c>
      <c r="AB60" s="91" t="e">
        <f ca="1">IF(AB59="MW",[1]!MTEST($O28:$O43,AB28:AB43,2), IF(AB59="T-Test Welch",_xlfn.T.TEST($O28:$O43,AB28:AB43,2,3),""))</f>
        <v>#NAME?</v>
      </c>
      <c r="AC60" s="91" t="e">
        <f ca="1">IF(AC59="MW",[1]!MTEST($O28:$O43,AC28:AC43,2), IF(AC59="T-Test Welch",_xlfn.T.TEST($O28:$O43,AC28:AC43,2,3),""))</f>
        <v>#NAME?</v>
      </c>
      <c r="AD60" s="91" t="e">
        <f ca="1">IF(AD59="MW",[1]!MTEST($O28:$O43,AD28:AD43,2), IF(AD59="T-Test Welch",_xlfn.T.TEST($O28:$O43,AD28:AD43,2,3),""))</f>
        <v>#NAME?</v>
      </c>
      <c r="AE60" s="91" t="e">
        <f ca="1">IF(AE59="MW",[1]!MTEST($O28:$O43,AE28:AE43,2), IF(AE59="T-Test Welch",_xlfn.T.TEST($O28:$O43,AE28:AE43,2,3),""))</f>
        <v>#NAME?</v>
      </c>
      <c r="AF60" s="91" t="e">
        <f ca="1">IF(AF59="MW",[1]!MTEST($O28:$O43,AF28:AF43,2), IF(AF59="T-Test Welch",_xlfn.T.TEST($O28:$O43,AF28:AF43,2,3),""))</f>
        <v>#NAME?</v>
      </c>
      <c r="AG60" s="91" t="e">
        <f ca="1">IF(AG59="MW",[1]!MTEST($O28:$O43,AG28:AG43,2), IF(AG59="T-Test Welch",_xlfn.T.TEST($O28:$O43,AG28:AG43,2,3),""))</f>
        <v>#NAME?</v>
      </c>
      <c r="AH60" s="91" t="e">
        <f ca="1">IF(AH59="MW",[1]!MTEST($O28:$O43,AH28:AH43,2), IF(AH59="T-Test Welch",_xlfn.T.TEST($O28:$O43,AH28:AH43,2,3),""))</f>
        <v>#NAME?</v>
      </c>
      <c r="AI60" s="91" t="e">
        <f ca="1">IF(AI59="MW",[1]!MTEST($O28:$O43,AI28:AI43,2), IF(AI59="T-Test Welch",_xlfn.T.TEST($O28:$O43,AI28:AI43,2,3),""))</f>
        <v>#NAME?</v>
      </c>
      <c r="AJ60" s="91" t="e">
        <f ca="1">IF(AJ59="MW",[1]!MTEST($O28:$O43,AJ28:AJ43,2), IF(AJ59="T-Test Welch",_xlfn.T.TEST($O28:$O43,AJ28:AJ43,2,3),""))</f>
        <v>#NAME?</v>
      </c>
      <c r="AK60" s="91" t="e">
        <f ca="1">IF(AK59="MW",[1]!MTEST($O28:$O43,AK28:AK43,2), IF(AK59="T-Test Welch",_xlfn.T.TEST($O28:$O43,AK28:AK43,2,3),""))</f>
        <v>#NAME?</v>
      </c>
    </row>
    <row r="61" spans="1:37" s="3" customFormat="1" ht="15.75" thickBot="1" x14ac:dyDescent="0.3">
      <c r="A61" s="50" t="s">
        <v>46</v>
      </c>
      <c r="B61" s="85"/>
      <c r="C61" s="85" t="e">
        <f t="shared" ref="C61:O61" ca="1" si="58">IF(C60&gt;0.05,"NS",IF(C60&gt;0.01,"*",IF(C60&gt;0.001,"**","***")))</f>
        <v>#NAME?</v>
      </c>
      <c r="D61" s="85" t="e">
        <f t="shared" ca="1" si="58"/>
        <v>#NAME?</v>
      </c>
      <c r="E61" s="85" t="e">
        <f t="shared" ca="1" si="58"/>
        <v>#NAME?</v>
      </c>
      <c r="F61" s="85" t="e">
        <f t="shared" ca="1" si="58"/>
        <v>#NAME?</v>
      </c>
      <c r="G61" s="85" t="e">
        <f t="shared" ca="1" si="58"/>
        <v>#NAME?</v>
      </c>
      <c r="H61" s="85" t="e">
        <f t="shared" ca="1" si="58"/>
        <v>#NAME?</v>
      </c>
      <c r="I61" s="85" t="e">
        <f t="shared" ca="1" si="58"/>
        <v>#NAME?</v>
      </c>
      <c r="J61" s="85" t="e">
        <f t="shared" ca="1" si="58"/>
        <v>#NAME?</v>
      </c>
      <c r="K61" s="85" t="e">
        <f t="shared" ca="1" si="58"/>
        <v>#NAME?</v>
      </c>
      <c r="L61" s="85" t="e">
        <f t="shared" ca="1" si="58"/>
        <v>#NAME?</v>
      </c>
      <c r="M61" s="85" t="e">
        <f t="shared" ca="1" si="58"/>
        <v>#NAME?</v>
      </c>
      <c r="N61" s="85"/>
      <c r="O61" s="85" t="e">
        <f t="shared" ca="1" si="58"/>
        <v>#NAME?</v>
      </c>
      <c r="P61" s="85" t="e">
        <f ca="1">IF(P60&gt;0.05,"NS",IF(P60&gt;0.01,"*",IF(P60&gt;0.001,"**","***")))</f>
        <v>#NAME?</v>
      </c>
      <c r="Q61" s="85" t="e">
        <f t="shared" ref="Q61:AK61" ca="1" si="59">IF(Q60&gt;0.05,"NS",IF(Q60&gt;0.01,"*",IF(Q60&gt;0.001,"**","***")))</f>
        <v>#NAME?</v>
      </c>
      <c r="R61" s="85" t="e">
        <f t="shared" ca="1" si="59"/>
        <v>#NAME?</v>
      </c>
      <c r="S61" s="85" t="e">
        <f t="shared" ca="1" si="59"/>
        <v>#NAME?</v>
      </c>
      <c r="T61" s="85" t="e">
        <f t="shared" ca="1" si="59"/>
        <v>#NAME?</v>
      </c>
      <c r="U61" s="85" t="e">
        <f t="shared" ca="1" si="59"/>
        <v>#NAME?</v>
      </c>
      <c r="V61" s="85" t="e">
        <f t="shared" ca="1" si="59"/>
        <v>#NAME?</v>
      </c>
      <c r="W61" s="85" t="e">
        <f t="shared" ca="1" si="59"/>
        <v>#NAME?</v>
      </c>
      <c r="X61" s="85" t="e">
        <f t="shared" ca="1" si="59"/>
        <v>#NAME?</v>
      </c>
      <c r="Y61" s="85" t="e">
        <f t="shared" ca="1" si="59"/>
        <v>#NAME?</v>
      </c>
      <c r="Z61" s="85" t="e">
        <f t="shared" ca="1" si="59"/>
        <v>#NAME?</v>
      </c>
      <c r="AA61" s="85" t="e">
        <f t="shared" ca="1" si="59"/>
        <v>#NAME?</v>
      </c>
      <c r="AB61" s="85" t="e">
        <f t="shared" ca="1" si="59"/>
        <v>#NAME?</v>
      </c>
      <c r="AC61" s="85" t="e">
        <f t="shared" ca="1" si="59"/>
        <v>#NAME?</v>
      </c>
      <c r="AD61" s="85" t="e">
        <f t="shared" ca="1" si="59"/>
        <v>#NAME?</v>
      </c>
      <c r="AE61" s="85" t="e">
        <f t="shared" ca="1" si="59"/>
        <v>#NAME?</v>
      </c>
      <c r="AF61" s="85" t="e">
        <f t="shared" ca="1" si="59"/>
        <v>#NAME?</v>
      </c>
      <c r="AG61" s="85" t="e">
        <f t="shared" ca="1" si="59"/>
        <v>#NAME?</v>
      </c>
      <c r="AH61" s="85" t="e">
        <f t="shared" ca="1" si="59"/>
        <v>#NAME?</v>
      </c>
      <c r="AI61" s="85" t="e">
        <f t="shared" ca="1" si="59"/>
        <v>#NAME?</v>
      </c>
      <c r="AJ61" s="85" t="e">
        <f t="shared" ca="1" si="59"/>
        <v>#NAME?</v>
      </c>
      <c r="AK61" s="85" t="e">
        <f t="shared" ca="1" si="59"/>
        <v>#NAME?</v>
      </c>
    </row>
    <row r="63" spans="1:37" x14ac:dyDescent="0.25">
      <c r="A63" s="2" t="s">
        <v>20</v>
      </c>
    </row>
    <row r="64" spans="1:37" x14ac:dyDescent="0.25">
      <c r="A64" s="1" t="s">
        <v>13</v>
      </c>
      <c r="B64" s="1">
        <f>B46+(3*B47)</f>
        <v>3.2374204423056135E-2</v>
      </c>
    </row>
    <row r="65" spans="1:37" x14ac:dyDescent="0.25">
      <c r="A65" s="1" t="s">
        <v>14</v>
      </c>
      <c r="B65" s="1">
        <f>B46+(10*B47)</f>
        <v>9.2697767430445707E-2</v>
      </c>
    </row>
    <row r="66" spans="1:37" ht="15.75" thickBot="1" x14ac:dyDescent="0.3"/>
    <row r="67" spans="1:37" ht="27" thickBot="1" x14ac:dyDescent="0.45">
      <c r="A67" s="147" t="s">
        <v>25</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L1" zoomScale="70" zoomScaleNormal="70" zoomScaleSheetLayoutView="40" zoomScalePageLayoutView="30" workbookViewId="0">
      <selection activeCell="N2" sqref="N1:AC1048576"/>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144" t="s">
        <v>23</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6"/>
    </row>
    <row r="2" spans="1:37" ht="15.75" thickBot="1" x14ac:dyDescent="0.3"/>
    <row r="3" spans="1:37" ht="15.75" thickBot="1" x14ac:dyDescent="0.3">
      <c r="A3" s="92" t="s">
        <v>12</v>
      </c>
      <c r="B3" s="154" t="s">
        <v>6</v>
      </c>
      <c r="C3" s="155"/>
      <c r="D3" s="155"/>
      <c r="E3" s="155"/>
      <c r="F3" s="155"/>
      <c r="G3" s="155"/>
      <c r="H3" s="155"/>
      <c r="I3" s="155"/>
      <c r="J3" s="155"/>
      <c r="K3" s="155"/>
      <c r="L3" s="155"/>
      <c r="M3" s="155"/>
      <c r="O3" s="154" t="s">
        <v>3</v>
      </c>
      <c r="P3" s="155"/>
      <c r="Q3" s="155"/>
      <c r="R3" s="155"/>
      <c r="S3" s="155"/>
      <c r="T3" s="155"/>
      <c r="U3" s="155"/>
      <c r="V3" s="155"/>
      <c r="W3" s="155"/>
      <c r="X3" s="155"/>
      <c r="Y3" s="155"/>
      <c r="Z3" s="155"/>
      <c r="AA3" s="155"/>
      <c r="AB3" s="155"/>
      <c r="AC3" s="155"/>
      <c r="AD3" s="155"/>
      <c r="AE3" s="155"/>
      <c r="AF3" s="155"/>
      <c r="AG3" s="155"/>
      <c r="AH3" s="155"/>
      <c r="AI3" s="155"/>
      <c r="AJ3" s="155"/>
      <c r="AK3" s="156"/>
    </row>
    <row r="4" spans="1:37" x14ac:dyDescent="0.25">
      <c r="A4" s="19" t="s">
        <v>22</v>
      </c>
      <c r="B4" s="20" t="str">
        <f>'Front page'!A7</f>
        <v>Solvent control</v>
      </c>
      <c r="C4" s="20" t="str">
        <f>'Front page'!A8</f>
        <v>EE2-33.8ng/L</v>
      </c>
      <c r="D4" s="20" t="str">
        <f>'Front page'!A9</f>
        <v>EE2-50.6ng/L</v>
      </c>
      <c r="E4" s="20" t="str">
        <f>'Front page'!A10</f>
        <v>EE2-76ng/L</v>
      </c>
      <c r="F4" s="20" t="str">
        <f>'Front page'!A11</f>
        <v>EE2-114ng/L</v>
      </c>
      <c r="G4" s="20" t="str">
        <f>'Front page'!A12</f>
        <v>EE2-170.9ng/L</v>
      </c>
      <c r="H4" s="20" t="str">
        <f>'Front page'!A13</f>
        <v>EE2-488ng/L</v>
      </c>
      <c r="I4" s="20" t="str">
        <f>'Front page'!A14</f>
        <v>BPA-1mg/L</v>
      </c>
      <c r="J4" s="20" t="str">
        <f>'Front page'!A15</f>
        <v>BPA-2mg/L</v>
      </c>
      <c r="K4" s="20" t="str">
        <f>'Front page'!A16</f>
        <v>BPA-3mg/L</v>
      </c>
      <c r="L4" s="20" t="str">
        <f>'Front page'!A17</f>
        <v>BPA-4mg/L</v>
      </c>
      <c r="M4" s="20" t="str">
        <f>'Front page'!A18</f>
        <v>BPA-5mg/L</v>
      </c>
      <c r="N4" s="3"/>
      <c r="O4" s="21" t="str">
        <f>'Front page'!A35</f>
        <v>Testo -30µg/L</v>
      </c>
      <c r="P4" s="21" t="str">
        <f>'Front page'!A36</f>
        <v>Testo 30µg/L + EE2 -64ng/L</v>
      </c>
      <c r="Q4" s="21" t="str">
        <f>'Front page'!A37</f>
        <v>Testo 30µg/L + FAD-10mg/L</v>
      </c>
      <c r="R4" s="21" t="str">
        <f>'Front page'!A38</f>
        <v>BPA-1mg/L + Testostérone</v>
      </c>
      <c r="S4" s="21" t="str">
        <f>'Front page'!A39</f>
        <v>BPA-2mg/L + Testostérone</v>
      </c>
      <c r="T4" s="21" t="str">
        <f>'Front page'!A40</f>
        <v>BPA-3mg/L + Testostérone</v>
      </c>
      <c r="U4" s="21" t="str">
        <f>'Front page'!A41</f>
        <v>BPA-4mg/L + Testostérone</v>
      </c>
      <c r="V4" s="21" t="str">
        <f>'Front page'!A42</f>
        <v>BPA-5mg/L + Testostérone</v>
      </c>
      <c r="W4" s="21" t="str">
        <f>'Front page'!A43</f>
        <v>0-00 + Testostérone</v>
      </c>
      <c r="X4" s="21" t="str">
        <f>'Front page'!A44</f>
        <v>0-00 + Testostérone</v>
      </c>
      <c r="Y4" s="21" t="str">
        <f>'Front page'!A45</f>
        <v>0-00 + Testostérone</v>
      </c>
      <c r="Z4" s="21" t="str">
        <f>'Front page'!A46</f>
        <v>0-00 + Testostérone</v>
      </c>
      <c r="AA4" s="21" t="str">
        <f>'Front page'!A47</f>
        <v>0-00 + Testostérone</v>
      </c>
      <c r="AB4" s="21" t="str">
        <f>'Front page'!A48</f>
        <v>0-00 + Testostérone</v>
      </c>
      <c r="AC4" s="21" t="str">
        <f>'Front page'!A49</f>
        <v>0-00 + Testostérone</v>
      </c>
      <c r="AD4" s="21" t="str">
        <f>'Front page'!A50</f>
        <v>0-00 + Testostérone</v>
      </c>
      <c r="AE4" s="21" t="str">
        <f>'Front page'!A51</f>
        <v>0-00 + Testostérone</v>
      </c>
      <c r="AF4" s="21" t="str">
        <f>'Front page'!A52</f>
        <v>0-00 + Testostérone</v>
      </c>
      <c r="AG4" s="21" t="str">
        <f>'Front page'!A53</f>
        <v>0-00 + Testostérone</v>
      </c>
      <c r="AH4" s="21" t="str">
        <f>'Front page'!A54</f>
        <v>0-00 + Testostérone</v>
      </c>
      <c r="AI4" s="21" t="str">
        <f>'Front page'!A55</f>
        <v>0-00 + Testostérone</v>
      </c>
      <c r="AJ4" s="21" t="str">
        <f>'Front page'!A56</f>
        <v>0-00 + Testostérone</v>
      </c>
      <c r="AK4" s="21" t="str">
        <f>'Front page'!A57</f>
        <v>0-00 + Testostérone</v>
      </c>
    </row>
    <row r="5" spans="1:37" x14ac:dyDescent="0.25">
      <c r="A5" s="157" t="s">
        <v>16</v>
      </c>
      <c r="B5" s="17">
        <v>160</v>
      </c>
      <c r="C5" s="17">
        <v>411</v>
      </c>
      <c r="D5" s="17">
        <v>1129</v>
      </c>
      <c r="E5" s="17">
        <v>12251</v>
      </c>
      <c r="F5" s="17">
        <v>91403</v>
      </c>
      <c r="G5" s="17">
        <v>50345</v>
      </c>
      <c r="H5" s="17">
        <v>200232</v>
      </c>
      <c r="I5" s="17">
        <v>0</v>
      </c>
      <c r="J5" s="17">
        <v>1379</v>
      </c>
      <c r="K5" s="13">
        <v>3450</v>
      </c>
      <c r="L5" s="13">
        <v>166</v>
      </c>
      <c r="M5" s="13">
        <v>80</v>
      </c>
      <c r="N5" s="3"/>
      <c r="O5" s="17">
        <v>60796</v>
      </c>
      <c r="P5" s="13">
        <v>215900</v>
      </c>
      <c r="Q5" s="13">
        <v>0</v>
      </c>
      <c r="R5" s="17">
        <v>52032</v>
      </c>
      <c r="S5" s="1">
        <v>42447</v>
      </c>
      <c r="T5" s="17">
        <v>141769</v>
      </c>
      <c r="U5" s="17">
        <v>244045</v>
      </c>
      <c r="V5" s="17">
        <v>306714</v>
      </c>
      <c r="W5" s="17"/>
      <c r="X5" s="17"/>
      <c r="Y5" s="17"/>
      <c r="Z5" s="17"/>
      <c r="AA5" s="17"/>
      <c r="AB5" s="17"/>
      <c r="AC5" s="17"/>
      <c r="AD5" s="17"/>
      <c r="AE5" s="17"/>
      <c r="AF5" s="17"/>
      <c r="AG5" s="17"/>
      <c r="AH5" s="17"/>
      <c r="AI5" s="17"/>
      <c r="AJ5" s="17"/>
      <c r="AK5" s="17"/>
    </row>
    <row r="6" spans="1:37" ht="16.5" x14ac:dyDescent="0.25">
      <c r="A6" s="157"/>
      <c r="B6" s="14">
        <v>2461</v>
      </c>
      <c r="C6" s="13">
        <v>491</v>
      </c>
      <c r="D6" s="17">
        <v>81</v>
      </c>
      <c r="E6" s="17">
        <v>4648</v>
      </c>
      <c r="F6" s="17">
        <v>50602</v>
      </c>
      <c r="G6" s="17">
        <v>0</v>
      </c>
      <c r="H6" s="17">
        <v>298992</v>
      </c>
      <c r="I6" s="17">
        <v>9666</v>
      </c>
      <c r="J6" s="17">
        <v>654</v>
      </c>
      <c r="K6" s="13">
        <v>1768</v>
      </c>
      <c r="L6" s="13">
        <v>653</v>
      </c>
      <c r="M6" s="13">
        <v>0</v>
      </c>
      <c r="N6" s="3"/>
      <c r="O6" s="17">
        <v>101188</v>
      </c>
      <c r="P6" s="13">
        <v>254188</v>
      </c>
      <c r="Q6" s="13">
        <v>9659</v>
      </c>
      <c r="R6" s="17">
        <v>20727</v>
      </c>
      <c r="S6" s="1">
        <v>126769</v>
      </c>
      <c r="T6" s="17">
        <v>116380</v>
      </c>
      <c r="U6" s="17">
        <v>217269</v>
      </c>
      <c r="V6" s="17">
        <v>174035</v>
      </c>
      <c r="W6" s="17"/>
      <c r="X6" s="17"/>
      <c r="Y6" s="17"/>
      <c r="Z6" s="17"/>
      <c r="AA6" s="17"/>
      <c r="AB6" s="17"/>
      <c r="AC6" s="17"/>
      <c r="AD6" s="17"/>
      <c r="AE6" s="17"/>
      <c r="AF6" s="17"/>
      <c r="AG6" s="17"/>
      <c r="AH6" s="17"/>
      <c r="AI6" s="17"/>
      <c r="AJ6" s="17"/>
      <c r="AK6" s="17"/>
    </row>
    <row r="7" spans="1:37" ht="16.5" x14ac:dyDescent="0.25">
      <c r="A7" s="157"/>
      <c r="B7" s="14">
        <v>16375</v>
      </c>
      <c r="C7" s="13">
        <v>0</v>
      </c>
      <c r="D7" s="17">
        <v>1066</v>
      </c>
      <c r="E7" s="17">
        <v>115390</v>
      </c>
      <c r="F7" s="17">
        <v>75644</v>
      </c>
      <c r="G7" s="17">
        <v>171140</v>
      </c>
      <c r="H7" s="17">
        <v>196289</v>
      </c>
      <c r="I7" s="17">
        <v>0</v>
      </c>
      <c r="J7" s="17">
        <v>0</v>
      </c>
      <c r="K7" s="13">
        <v>82</v>
      </c>
      <c r="L7" s="13">
        <v>160</v>
      </c>
      <c r="M7" s="13">
        <v>0</v>
      </c>
      <c r="N7" s="3"/>
      <c r="O7" s="17">
        <v>135480</v>
      </c>
      <c r="P7" s="13">
        <v>176217</v>
      </c>
      <c r="Q7" s="13">
        <v>0</v>
      </c>
      <c r="R7" s="17">
        <v>174740</v>
      </c>
      <c r="S7" s="1">
        <v>132370</v>
      </c>
      <c r="T7" s="17">
        <v>144781</v>
      </c>
      <c r="U7" s="17">
        <v>191144</v>
      </c>
      <c r="V7" s="17">
        <v>310926</v>
      </c>
      <c r="W7" s="17"/>
      <c r="X7" s="17"/>
      <c r="Y7" s="17"/>
      <c r="Z7" s="17"/>
      <c r="AA7" s="17"/>
      <c r="AB7" s="17"/>
      <c r="AC7" s="17"/>
      <c r="AD7" s="17"/>
      <c r="AE7" s="17"/>
      <c r="AF7" s="17"/>
      <c r="AG7" s="17"/>
      <c r="AH7" s="17"/>
      <c r="AI7" s="17"/>
      <c r="AJ7" s="17"/>
      <c r="AK7" s="17"/>
    </row>
    <row r="8" spans="1:37" ht="16.5" x14ac:dyDescent="0.25">
      <c r="A8" s="157"/>
      <c r="B8" s="14">
        <v>3259</v>
      </c>
      <c r="C8" s="13">
        <v>0</v>
      </c>
      <c r="D8" s="17">
        <v>11005</v>
      </c>
      <c r="E8" s="17">
        <v>12992</v>
      </c>
      <c r="F8" s="17">
        <v>80</v>
      </c>
      <c r="G8" s="17">
        <v>17579</v>
      </c>
      <c r="H8" s="17">
        <v>256400</v>
      </c>
      <c r="I8" s="17">
        <v>11061</v>
      </c>
      <c r="J8" s="17">
        <v>0</v>
      </c>
      <c r="K8" s="13">
        <v>20962</v>
      </c>
      <c r="L8" s="13">
        <v>81</v>
      </c>
      <c r="M8" s="13">
        <v>918</v>
      </c>
      <c r="N8" s="3"/>
      <c r="O8" s="17">
        <v>3745</v>
      </c>
      <c r="P8" s="13">
        <v>150865</v>
      </c>
      <c r="Q8" s="13">
        <v>8813</v>
      </c>
      <c r="R8" s="17">
        <v>152106</v>
      </c>
      <c r="S8" s="1">
        <v>62784</v>
      </c>
      <c r="T8" s="17">
        <v>59539</v>
      </c>
      <c r="U8" s="17">
        <v>189009</v>
      </c>
      <c r="V8" s="17">
        <v>171150</v>
      </c>
      <c r="W8" s="17"/>
      <c r="X8" s="17"/>
      <c r="Y8" s="17"/>
      <c r="Z8" s="17"/>
      <c r="AA8" s="17"/>
      <c r="AB8" s="17"/>
      <c r="AC8" s="17"/>
      <c r="AD8" s="17"/>
      <c r="AE8" s="17"/>
      <c r="AF8" s="17"/>
      <c r="AG8" s="17"/>
      <c r="AH8" s="17"/>
      <c r="AI8" s="17"/>
      <c r="AJ8" s="17"/>
      <c r="AK8" s="17"/>
    </row>
    <row r="9" spans="1:37" ht="16.5" x14ac:dyDescent="0.25">
      <c r="A9" s="157"/>
      <c r="B9" s="14">
        <v>88</v>
      </c>
      <c r="C9" s="13">
        <v>247</v>
      </c>
      <c r="D9" s="17">
        <v>0</v>
      </c>
      <c r="E9" s="17">
        <v>8876</v>
      </c>
      <c r="F9" s="17">
        <v>5880</v>
      </c>
      <c r="G9" s="17">
        <v>175805</v>
      </c>
      <c r="H9" s="17">
        <v>239598</v>
      </c>
      <c r="I9" s="17">
        <v>332</v>
      </c>
      <c r="J9" s="17">
        <v>80</v>
      </c>
      <c r="K9" s="13">
        <v>0</v>
      </c>
      <c r="L9" s="13">
        <v>13224</v>
      </c>
      <c r="M9" s="13">
        <v>0</v>
      </c>
      <c r="N9" s="3"/>
      <c r="O9" s="17">
        <v>132911</v>
      </c>
      <c r="P9" s="13">
        <v>72697</v>
      </c>
      <c r="Q9" s="13">
        <v>11010</v>
      </c>
      <c r="R9" s="17">
        <v>295073</v>
      </c>
      <c r="S9" s="1">
        <v>165446</v>
      </c>
      <c r="T9" s="17">
        <v>13397</v>
      </c>
      <c r="U9" s="17">
        <v>177695</v>
      </c>
      <c r="V9" s="17">
        <v>199145</v>
      </c>
      <c r="W9" s="17"/>
      <c r="X9" s="17"/>
      <c r="Y9" s="17"/>
      <c r="Z9" s="17"/>
      <c r="AA9" s="17"/>
      <c r="AB9" s="17"/>
      <c r="AC9" s="17"/>
      <c r="AD9" s="17"/>
      <c r="AE9" s="17"/>
      <c r="AF9" s="17"/>
      <c r="AG9" s="17"/>
      <c r="AH9" s="17"/>
      <c r="AI9" s="17"/>
      <c r="AJ9" s="17"/>
      <c r="AK9" s="17"/>
    </row>
    <row r="10" spans="1:37" ht="16.5" x14ac:dyDescent="0.25">
      <c r="A10" s="157"/>
      <c r="B10" s="14">
        <v>0</v>
      </c>
      <c r="C10" s="13">
        <v>0</v>
      </c>
      <c r="D10" s="17">
        <v>0</v>
      </c>
      <c r="E10" s="17">
        <v>80</v>
      </c>
      <c r="F10" s="17">
        <v>24217</v>
      </c>
      <c r="G10" s="17">
        <v>117427</v>
      </c>
      <c r="H10" s="17">
        <v>351293</v>
      </c>
      <c r="I10" s="17">
        <v>0</v>
      </c>
      <c r="J10" s="17">
        <v>0</v>
      </c>
      <c r="K10" s="13">
        <v>423</v>
      </c>
      <c r="L10" s="13">
        <v>0</v>
      </c>
      <c r="M10" s="13">
        <v>0</v>
      </c>
      <c r="N10" s="3"/>
      <c r="O10" s="17">
        <v>200037</v>
      </c>
      <c r="P10" s="13">
        <v>56811</v>
      </c>
      <c r="Q10" s="13">
        <v>0</v>
      </c>
      <c r="R10" s="17">
        <v>41309</v>
      </c>
      <c r="S10" s="1">
        <v>168655</v>
      </c>
      <c r="T10" s="17">
        <v>61761</v>
      </c>
      <c r="U10" s="17">
        <v>126822</v>
      </c>
      <c r="V10" s="17">
        <v>265578</v>
      </c>
      <c r="W10" s="17"/>
      <c r="X10" s="17"/>
      <c r="Y10" s="17"/>
      <c r="Z10" s="17"/>
      <c r="AA10" s="17"/>
      <c r="AB10" s="17"/>
      <c r="AC10" s="17"/>
      <c r="AD10" s="17"/>
      <c r="AE10" s="17"/>
      <c r="AF10" s="17"/>
      <c r="AG10" s="17"/>
      <c r="AH10" s="17"/>
      <c r="AI10" s="17"/>
      <c r="AJ10" s="17"/>
      <c r="AK10" s="17"/>
    </row>
    <row r="11" spans="1:37" ht="16.5" x14ac:dyDescent="0.25">
      <c r="A11" s="157"/>
      <c r="B11" s="14">
        <v>81</v>
      </c>
      <c r="C11" s="13">
        <v>0</v>
      </c>
      <c r="D11" s="17">
        <v>0</v>
      </c>
      <c r="E11" s="17">
        <v>0</v>
      </c>
      <c r="F11" s="17">
        <v>0</v>
      </c>
      <c r="G11" s="17">
        <v>83556</v>
      </c>
      <c r="H11" s="17">
        <v>319422</v>
      </c>
      <c r="I11" s="17">
        <v>0</v>
      </c>
      <c r="J11" s="17">
        <v>1245</v>
      </c>
      <c r="K11" s="13">
        <v>0</v>
      </c>
      <c r="L11" s="13">
        <v>508</v>
      </c>
      <c r="M11" s="13">
        <v>0</v>
      </c>
      <c r="N11" s="3"/>
      <c r="O11" s="17">
        <v>148352</v>
      </c>
      <c r="P11" s="13">
        <v>149535</v>
      </c>
      <c r="Q11" s="13">
        <v>80</v>
      </c>
      <c r="R11" s="17">
        <v>55439</v>
      </c>
      <c r="S11" s="1">
        <v>127857</v>
      </c>
      <c r="T11" s="17">
        <v>60304</v>
      </c>
      <c r="U11" s="17">
        <v>175228</v>
      </c>
      <c r="V11" s="17">
        <v>231041</v>
      </c>
      <c r="W11" s="17"/>
      <c r="X11" s="17"/>
      <c r="Y11" s="17"/>
      <c r="Z11" s="17"/>
      <c r="AA11" s="17"/>
      <c r="AB11" s="17"/>
      <c r="AC11" s="17"/>
      <c r="AD11" s="17"/>
      <c r="AE11" s="17"/>
      <c r="AF11" s="17"/>
      <c r="AG11" s="17"/>
      <c r="AH11" s="17"/>
      <c r="AI11" s="17"/>
      <c r="AJ11" s="17"/>
      <c r="AK11" s="17"/>
    </row>
    <row r="12" spans="1:37" ht="16.5" x14ac:dyDescent="0.25">
      <c r="A12" s="157"/>
      <c r="B12" s="14">
        <v>2204</v>
      </c>
      <c r="C12" s="13">
        <v>7763</v>
      </c>
      <c r="D12" s="17">
        <v>166</v>
      </c>
      <c r="E12" s="17">
        <v>0</v>
      </c>
      <c r="F12" s="17">
        <v>8882</v>
      </c>
      <c r="G12" s="17">
        <v>9454</v>
      </c>
      <c r="H12" s="17">
        <v>242036</v>
      </c>
      <c r="I12" s="17">
        <v>929</v>
      </c>
      <c r="J12" s="17">
        <v>0</v>
      </c>
      <c r="K12" s="13">
        <v>0</v>
      </c>
      <c r="L12" s="13">
        <v>403</v>
      </c>
      <c r="M12" s="13">
        <v>6788</v>
      </c>
      <c r="N12" s="3"/>
      <c r="O12" s="17">
        <v>15190</v>
      </c>
      <c r="P12" s="13">
        <v>150877</v>
      </c>
      <c r="Q12" s="13">
        <v>169</v>
      </c>
      <c r="R12" s="17">
        <v>158652</v>
      </c>
      <c r="S12" s="1">
        <v>130762</v>
      </c>
      <c r="T12" s="17">
        <v>220527</v>
      </c>
      <c r="U12" s="17">
        <v>262890</v>
      </c>
      <c r="V12" s="17">
        <v>228084</v>
      </c>
      <c r="W12" s="17"/>
      <c r="X12" s="17"/>
      <c r="Y12" s="17"/>
      <c r="Z12" s="17"/>
      <c r="AA12" s="17"/>
      <c r="AB12" s="17"/>
      <c r="AC12" s="17"/>
      <c r="AD12" s="17"/>
      <c r="AE12" s="17"/>
      <c r="AF12" s="17"/>
      <c r="AG12" s="17"/>
      <c r="AH12" s="17"/>
      <c r="AI12" s="17"/>
      <c r="AJ12" s="17"/>
      <c r="AK12" s="17"/>
    </row>
    <row r="13" spans="1:37" ht="16.5" x14ac:dyDescent="0.25">
      <c r="A13" s="157"/>
      <c r="B13" s="14"/>
      <c r="C13" s="13"/>
      <c r="D13" s="17"/>
      <c r="E13" s="17"/>
      <c r="F13" s="17"/>
      <c r="G13" s="17"/>
      <c r="H13" s="17"/>
      <c r="I13" s="17"/>
      <c r="J13" s="17"/>
      <c r="K13" s="13"/>
      <c r="L13" s="13"/>
      <c r="M13" s="13"/>
      <c r="N13" s="3"/>
      <c r="O13" s="17">
        <v>219257</v>
      </c>
      <c r="P13" s="13">
        <v>248264</v>
      </c>
      <c r="Q13" s="13"/>
      <c r="R13" s="17"/>
      <c r="S13" s="17"/>
      <c r="T13" s="17"/>
      <c r="U13" s="17"/>
      <c r="V13" s="17"/>
      <c r="W13" s="17"/>
      <c r="X13" s="17"/>
      <c r="Y13" s="17"/>
      <c r="Z13" s="17"/>
      <c r="AA13" s="17"/>
      <c r="AB13" s="17"/>
      <c r="AC13" s="17"/>
      <c r="AD13" s="17"/>
      <c r="AE13" s="17"/>
      <c r="AF13" s="17"/>
      <c r="AG13" s="17"/>
      <c r="AH13" s="17"/>
      <c r="AI13" s="17"/>
      <c r="AJ13" s="17"/>
      <c r="AK13" s="17"/>
    </row>
    <row r="14" spans="1:37" ht="16.5" x14ac:dyDescent="0.25">
      <c r="A14" s="157"/>
      <c r="B14" s="14"/>
      <c r="C14" s="17"/>
      <c r="D14" s="17"/>
      <c r="E14" s="17"/>
      <c r="F14" s="17"/>
      <c r="G14" s="17"/>
      <c r="H14" s="17"/>
      <c r="I14" s="17"/>
      <c r="J14" s="17"/>
      <c r="K14" s="13"/>
      <c r="L14" s="13"/>
      <c r="M14" s="13"/>
      <c r="N14" s="3"/>
      <c r="O14" s="17">
        <v>4391</v>
      </c>
      <c r="P14" s="13"/>
      <c r="Q14" s="13"/>
      <c r="R14" s="17"/>
      <c r="S14" s="17"/>
      <c r="T14" s="17"/>
      <c r="U14" s="17"/>
      <c r="V14" s="17"/>
      <c r="W14" s="17"/>
      <c r="X14" s="17"/>
      <c r="Y14" s="17"/>
      <c r="Z14" s="17"/>
      <c r="AA14" s="17"/>
      <c r="AB14" s="17"/>
      <c r="AC14" s="17"/>
      <c r="AD14" s="17"/>
      <c r="AE14" s="17"/>
      <c r="AF14" s="17"/>
      <c r="AG14" s="17"/>
      <c r="AH14" s="17"/>
      <c r="AI14" s="17"/>
      <c r="AJ14" s="17"/>
      <c r="AK14" s="17"/>
    </row>
    <row r="15" spans="1:37" ht="16.5" x14ac:dyDescent="0.25">
      <c r="A15" s="157"/>
      <c r="B15" s="14"/>
      <c r="C15" s="17"/>
      <c r="D15" s="17"/>
      <c r="E15" s="17"/>
      <c r="F15" s="17"/>
      <c r="G15" s="17"/>
      <c r="H15" s="17"/>
      <c r="I15" s="17"/>
      <c r="J15" s="17"/>
      <c r="K15" s="13"/>
      <c r="L15" s="13"/>
      <c r="M15" s="13"/>
      <c r="N15" s="3"/>
      <c r="O15" s="17">
        <v>177437</v>
      </c>
      <c r="P15" s="13"/>
      <c r="Q15" s="13"/>
      <c r="R15" s="17"/>
      <c r="S15" s="17"/>
      <c r="T15" s="17"/>
      <c r="U15" s="17"/>
      <c r="V15" s="17"/>
      <c r="W15" s="17"/>
      <c r="X15" s="17"/>
      <c r="Y15" s="17"/>
      <c r="Z15" s="17"/>
      <c r="AA15" s="17"/>
      <c r="AB15" s="17"/>
      <c r="AC15" s="17"/>
      <c r="AD15" s="17"/>
      <c r="AE15" s="17"/>
      <c r="AF15" s="17"/>
      <c r="AG15" s="17"/>
      <c r="AH15" s="17"/>
      <c r="AI15" s="17"/>
      <c r="AJ15" s="17"/>
      <c r="AK15" s="17"/>
    </row>
    <row r="16" spans="1:37" ht="16.5" x14ac:dyDescent="0.25">
      <c r="A16" s="157"/>
      <c r="B16" s="14"/>
      <c r="C16" s="17"/>
      <c r="D16" s="17"/>
      <c r="E16" s="17"/>
      <c r="F16" s="17"/>
      <c r="G16" s="17"/>
      <c r="H16" s="17"/>
      <c r="I16" s="17"/>
      <c r="J16" s="17"/>
      <c r="K16" s="13"/>
      <c r="L16" s="13"/>
      <c r="M16" s="13"/>
      <c r="N16" s="3"/>
      <c r="O16" s="17">
        <v>68115</v>
      </c>
      <c r="P16" s="13"/>
      <c r="Q16" s="13"/>
      <c r="R16" s="17"/>
      <c r="S16" s="17"/>
      <c r="T16" s="17"/>
      <c r="U16" s="17"/>
      <c r="V16" s="17"/>
      <c r="W16" s="17"/>
      <c r="X16" s="17"/>
      <c r="Y16" s="17"/>
      <c r="Z16" s="17"/>
      <c r="AA16" s="17"/>
      <c r="AB16" s="17"/>
      <c r="AC16" s="17"/>
      <c r="AD16" s="17"/>
      <c r="AE16" s="17"/>
      <c r="AF16" s="17"/>
      <c r="AG16" s="17"/>
      <c r="AH16" s="17"/>
      <c r="AI16" s="17"/>
      <c r="AJ16" s="17"/>
      <c r="AK16" s="17"/>
    </row>
    <row r="17" spans="1:37" ht="16.5" x14ac:dyDescent="0.25">
      <c r="A17" s="157"/>
      <c r="B17" s="14"/>
      <c r="C17" s="17"/>
      <c r="D17" s="17"/>
      <c r="E17" s="17"/>
      <c r="F17" s="17"/>
      <c r="G17" s="17"/>
      <c r="H17" s="17"/>
      <c r="I17" s="17"/>
      <c r="J17" s="17"/>
      <c r="K17" s="13"/>
      <c r="L17" s="13"/>
      <c r="M17" s="13"/>
      <c r="N17" s="3"/>
      <c r="O17" s="17">
        <v>170789</v>
      </c>
      <c r="P17" s="13"/>
      <c r="Q17" s="13"/>
      <c r="R17" s="17"/>
      <c r="S17" s="17"/>
      <c r="T17" s="17"/>
      <c r="U17" s="17"/>
      <c r="V17" s="17"/>
      <c r="W17" s="17"/>
      <c r="X17" s="17"/>
      <c r="Y17" s="17"/>
      <c r="Z17" s="17"/>
      <c r="AA17" s="17"/>
      <c r="AB17" s="17"/>
      <c r="AC17" s="17"/>
      <c r="AD17" s="17"/>
      <c r="AE17" s="17"/>
      <c r="AF17" s="17"/>
      <c r="AG17" s="17"/>
      <c r="AH17" s="17"/>
      <c r="AI17" s="17"/>
      <c r="AJ17" s="17"/>
      <c r="AK17" s="17"/>
    </row>
    <row r="18" spans="1:37" ht="16.5" x14ac:dyDescent="0.25">
      <c r="A18" s="157"/>
      <c r="B18" s="14"/>
      <c r="C18" s="17"/>
      <c r="D18" s="17"/>
      <c r="E18" s="17"/>
      <c r="F18" s="17"/>
      <c r="G18" s="17"/>
      <c r="H18" s="17"/>
      <c r="I18" s="17"/>
      <c r="J18" s="17"/>
      <c r="K18" s="13"/>
      <c r="L18" s="13"/>
      <c r="M18" s="13"/>
      <c r="N18" s="3"/>
      <c r="O18" s="17">
        <v>149192</v>
      </c>
      <c r="P18" s="13"/>
      <c r="Q18" s="13"/>
      <c r="R18" s="17"/>
      <c r="S18" s="17"/>
      <c r="T18" s="17"/>
      <c r="U18" s="17"/>
      <c r="V18" s="17"/>
      <c r="W18" s="17"/>
      <c r="X18" s="17"/>
      <c r="Y18" s="17"/>
      <c r="Z18" s="17"/>
      <c r="AA18" s="17"/>
      <c r="AB18" s="17"/>
      <c r="AC18" s="17"/>
      <c r="AD18" s="17"/>
      <c r="AE18" s="17"/>
      <c r="AF18" s="17"/>
      <c r="AG18" s="17"/>
      <c r="AH18" s="17"/>
      <c r="AI18" s="17"/>
      <c r="AJ18" s="17"/>
      <c r="AK18" s="17"/>
    </row>
    <row r="19" spans="1:37" ht="16.5" x14ac:dyDescent="0.25">
      <c r="A19" s="157"/>
      <c r="B19" s="14"/>
      <c r="C19" s="17"/>
      <c r="D19" s="17"/>
      <c r="E19" s="17"/>
      <c r="F19" s="17"/>
      <c r="G19" s="17"/>
      <c r="H19" s="17"/>
      <c r="I19" s="17"/>
      <c r="J19" s="17"/>
      <c r="K19" s="13"/>
      <c r="L19" s="13"/>
      <c r="M19" s="13"/>
      <c r="N19" s="3"/>
      <c r="O19" s="17">
        <v>87298</v>
      </c>
      <c r="P19" s="13"/>
      <c r="Q19" s="13"/>
      <c r="R19" s="17"/>
      <c r="S19" s="17"/>
      <c r="T19" s="17"/>
      <c r="U19" s="17"/>
      <c r="V19" s="17"/>
      <c r="W19" s="17"/>
      <c r="X19" s="17"/>
      <c r="Y19" s="17"/>
      <c r="Z19" s="17"/>
      <c r="AA19" s="17"/>
      <c r="AB19" s="17"/>
      <c r="AC19" s="17"/>
      <c r="AD19" s="17"/>
      <c r="AE19" s="17"/>
      <c r="AF19" s="17"/>
      <c r="AG19" s="17"/>
      <c r="AH19" s="17"/>
      <c r="AI19" s="17"/>
      <c r="AJ19" s="17"/>
      <c r="AK19" s="17"/>
    </row>
    <row r="20" spans="1:37" ht="16.5" x14ac:dyDescent="0.25">
      <c r="A20" s="157"/>
      <c r="B20" s="14"/>
      <c r="C20" s="17"/>
      <c r="D20" s="17"/>
      <c r="E20" s="17"/>
      <c r="F20" s="17"/>
      <c r="G20" s="17"/>
      <c r="H20" s="17"/>
      <c r="I20" s="17"/>
      <c r="J20" s="17"/>
      <c r="K20" s="13"/>
      <c r="L20" s="13"/>
      <c r="M20" s="13"/>
      <c r="N20" s="3"/>
      <c r="O20" s="17">
        <v>172227</v>
      </c>
      <c r="P20" s="13"/>
      <c r="Q20" s="13"/>
      <c r="R20" s="17"/>
      <c r="S20" s="17"/>
      <c r="T20" s="17"/>
      <c r="U20" s="17"/>
      <c r="V20" s="17"/>
      <c r="W20" s="17"/>
      <c r="X20" s="17"/>
      <c r="Y20" s="17"/>
      <c r="Z20" s="17"/>
      <c r="AA20" s="17"/>
      <c r="AB20" s="17"/>
      <c r="AC20" s="17"/>
      <c r="AD20" s="17"/>
      <c r="AE20" s="17"/>
      <c r="AF20" s="17"/>
      <c r="AG20" s="17"/>
      <c r="AH20" s="17"/>
      <c r="AI20" s="17"/>
      <c r="AJ20" s="17"/>
      <c r="AK20" s="17"/>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BPA-1mg/L</v>
      </c>
      <c r="J22" s="3" t="str">
        <f t="shared" si="0"/>
        <v>BPA-2mg/L</v>
      </c>
      <c r="K22" s="3" t="str">
        <f t="shared" si="0"/>
        <v>BPA-3mg/L</v>
      </c>
      <c r="L22" s="3" t="str">
        <f t="shared" si="0"/>
        <v>BPA-4mg/L</v>
      </c>
      <c r="M22" s="3" t="str">
        <f t="shared" si="0"/>
        <v>BPA-5mg/L</v>
      </c>
      <c r="N22" s="3" t="s">
        <v>22</v>
      </c>
      <c r="O22" s="3" t="str">
        <f t="shared" si="0"/>
        <v>Testo -30µg/L</v>
      </c>
      <c r="P22" s="3" t="str">
        <f t="shared" si="0"/>
        <v>Testo 30µg/L + EE2 -64ng/L</v>
      </c>
      <c r="Q22" s="3" t="str">
        <f t="shared" si="0"/>
        <v>Testo 30µg/L + FAD-10mg/L</v>
      </c>
      <c r="R22" s="3" t="str">
        <f t="shared" si="0"/>
        <v>BPA-1mg/L + Testostérone</v>
      </c>
      <c r="S22" s="3" t="str">
        <f t="shared" si="0"/>
        <v>BPA-2mg/L + Testostérone</v>
      </c>
      <c r="T22" s="3" t="str">
        <f t="shared" si="0"/>
        <v>BPA-3mg/L + Testostérone</v>
      </c>
      <c r="U22" s="3" t="str">
        <f t="shared" si="0"/>
        <v>BPA-4mg/L + Testostérone</v>
      </c>
      <c r="V22" s="3" t="str">
        <f t="shared" si="0"/>
        <v>BPA-5mg/L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3078.5</v>
      </c>
      <c r="C23" s="5">
        <f t="shared" si="1"/>
        <v>1114</v>
      </c>
      <c r="D23" s="5">
        <f t="shared" si="1"/>
        <v>1680.875</v>
      </c>
      <c r="E23" s="5">
        <f t="shared" si="1"/>
        <v>19279.625</v>
      </c>
      <c r="F23" s="5">
        <f t="shared" si="1"/>
        <v>32088.5</v>
      </c>
      <c r="G23" s="5">
        <f t="shared" si="1"/>
        <v>78163.25</v>
      </c>
      <c r="H23" s="5">
        <f t="shared" si="1"/>
        <v>263032.75</v>
      </c>
      <c r="I23" s="5">
        <f t="shared" si="1"/>
        <v>2748.5</v>
      </c>
      <c r="J23" s="5">
        <f t="shared" si="1"/>
        <v>419.75</v>
      </c>
      <c r="K23" s="5">
        <f t="shared" ref="K23" si="2">AVERAGE(K5:K20)</f>
        <v>3335.625</v>
      </c>
      <c r="L23" s="5">
        <f>AVERAGE(L5:L20)</f>
        <v>1899.375</v>
      </c>
      <c r="M23" s="5">
        <f>AVERAGE(M5:M20)</f>
        <v>973.25</v>
      </c>
      <c r="N23" s="5" t="s">
        <v>0</v>
      </c>
      <c r="O23" s="5">
        <f>AVERAGE(O5:O20)</f>
        <v>115400.3125</v>
      </c>
      <c r="P23" s="5">
        <f>AVERAGE(P5:P20)</f>
        <v>163928.22222222222</v>
      </c>
      <c r="Q23" s="5">
        <f>AVERAGE(Q5:Q20)</f>
        <v>3716.375</v>
      </c>
      <c r="R23" s="5">
        <f>AVERAGE(R5:R20)</f>
        <v>118759.75</v>
      </c>
      <c r="S23" s="5">
        <f>AVERAGE(S5:S20)</f>
        <v>119636.25</v>
      </c>
      <c r="T23" s="5">
        <f t="shared" ref="T23:AK23" si="3">AVERAGE(T5:T20)</f>
        <v>102307.25</v>
      </c>
      <c r="U23" s="5">
        <f t="shared" si="3"/>
        <v>198012.75</v>
      </c>
      <c r="V23" s="5">
        <f t="shared" si="3"/>
        <v>235834.125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si="3"/>
        <v>#DIV/0!</v>
      </c>
      <c r="AF23" s="5" t="e">
        <f t="shared" si="3"/>
        <v>#DIV/0!</v>
      </c>
      <c r="AG23" s="5" t="e">
        <f t="shared" si="3"/>
        <v>#DIV/0!</v>
      </c>
      <c r="AH23" s="5" t="e">
        <f t="shared" si="3"/>
        <v>#DIV/0!</v>
      </c>
      <c r="AI23" s="5" t="e">
        <f t="shared" si="3"/>
        <v>#DIV/0!</v>
      </c>
      <c r="AJ23" s="5" t="e">
        <f t="shared" si="3"/>
        <v>#DIV/0!</v>
      </c>
      <c r="AK23" s="5" t="e">
        <f t="shared" si="3"/>
        <v>#DIV/0!</v>
      </c>
    </row>
    <row r="24" spans="1:37" x14ac:dyDescent="0.25">
      <c r="A24" s="3" t="s">
        <v>1</v>
      </c>
      <c r="B24" s="3">
        <f t="shared" ref="B24:J24" si="4">STDEV(B5:B20)</f>
        <v>5527.8315304078715</v>
      </c>
      <c r="C24" s="3">
        <f t="shared" si="4"/>
        <v>2694.0996905937136</v>
      </c>
      <c r="D24" s="3">
        <f t="shared" si="4"/>
        <v>3797.6009885001272</v>
      </c>
      <c r="E24" s="3">
        <f t="shared" si="4"/>
        <v>39207.312225937436</v>
      </c>
      <c r="F24" s="3">
        <f t="shared" si="4"/>
        <v>36054.808880766119</v>
      </c>
      <c r="G24" s="3">
        <f t="shared" si="4"/>
        <v>70734.990601237398</v>
      </c>
      <c r="H24" s="3">
        <f t="shared" si="4"/>
        <v>55671.733865965201</v>
      </c>
      <c r="I24" s="3">
        <f t="shared" si="4"/>
        <v>4725.561553931977</v>
      </c>
      <c r="J24" s="3">
        <f t="shared" si="4"/>
        <v>594.77024375563951</v>
      </c>
      <c r="K24" s="3">
        <f t="shared" ref="K24" si="5">STDEV(K5:K20)</f>
        <v>7227.0154665374439</v>
      </c>
      <c r="L24" s="3">
        <f>STDEV(L5:L20)</f>
        <v>4581.3250091306245</v>
      </c>
      <c r="M24" s="3">
        <f>STDEV(M5:M20)</f>
        <v>2370.9052972591353</v>
      </c>
      <c r="N24" s="3" t="s">
        <v>1</v>
      </c>
      <c r="O24" s="3">
        <f>STDEV(O5:O20)</f>
        <v>69317.705539752496</v>
      </c>
      <c r="P24" s="3">
        <f>STDEV(P5:P20)</f>
        <v>69333.264806256193</v>
      </c>
      <c r="Q24" s="3">
        <f>STDEV(Q5:Q20)</f>
        <v>5095.218569193783</v>
      </c>
      <c r="R24" s="3">
        <f>STDEV(R5:R20)</f>
        <v>93346.255004457154</v>
      </c>
      <c r="S24" s="3">
        <f>STDEV(S5:S20)</f>
        <v>44874.61459842461</v>
      </c>
      <c r="T24" s="3">
        <f t="shared" ref="T24:AK24" si="6">STDEV(T5:T20)</f>
        <v>66200.591168594779</v>
      </c>
      <c r="U24" s="3">
        <f t="shared" si="6"/>
        <v>42807.13341004878</v>
      </c>
      <c r="V24" s="3">
        <f t="shared" si="6"/>
        <v>54745.83183986965</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si="6"/>
        <v>#DIV/0!</v>
      </c>
      <c r="AF24" s="3" t="e">
        <f t="shared" si="6"/>
        <v>#DIV/0!</v>
      </c>
      <c r="AG24" s="3" t="e">
        <f t="shared" si="6"/>
        <v>#DIV/0!</v>
      </c>
      <c r="AH24" s="3" t="e">
        <f t="shared" si="6"/>
        <v>#DIV/0!</v>
      </c>
      <c r="AI24" s="3" t="e">
        <f t="shared" si="6"/>
        <v>#DIV/0!</v>
      </c>
      <c r="AJ24" s="3" t="e">
        <f t="shared" si="6"/>
        <v>#DIV/0!</v>
      </c>
      <c r="AK24" s="3" t="e">
        <f t="shared" si="6"/>
        <v>#DIV/0!</v>
      </c>
    </row>
    <row r="25" spans="1:37" ht="15.75" thickBot="1" x14ac:dyDescent="0.3"/>
    <row r="26" spans="1:37" ht="15.75" thickBot="1" x14ac:dyDescent="0.3">
      <c r="B26" s="154" t="s">
        <v>6</v>
      </c>
      <c r="C26" s="155"/>
      <c r="D26" s="155"/>
      <c r="E26" s="155"/>
      <c r="F26" s="155"/>
      <c r="G26" s="155"/>
      <c r="H26" s="155"/>
      <c r="I26" s="155"/>
      <c r="J26" s="155"/>
      <c r="K26" s="155"/>
      <c r="L26" s="155"/>
      <c r="M26" s="155"/>
      <c r="O26" s="154" t="s">
        <v>3</v>
      </c>
      <c r="P26" s="155"/>
      <c r="Q26" s="155"/>
      <c r="R26" s="155"/>
      <c r="S26" s="155"/>
      <c r="T26" s="155"/>
      <c r="U26" s="155"/>
      <c r="V26" s="155"/>
      <c r="W26" s="155"/>
      <c r="X26" s="155"/>
      <c r="Y26" s="155"/>
      <c r="Z26" s="155"/>
      <c r="AA26" s="155"/>
      <c r="AB26" s="155"/>
      <c r="AC26" s="155"/>
      <c r="AD26" s="155"/>
      <c r="AE26" s="155"/>
      <c r="AF26" s="155"/>
      <c r="AG26" s="155"/>
      <c r="AH26" s="155"/>
      <c r="AI26" s="155"/>
      <c r="AJ26" s="155"/>
      <c r="AK26" s="156"/>
    </row>
    <row r="27" spans="1:37" x14ac:dyDescent="0.25">
      <c r="A27" s="19" t="s">
        <v>22</v>
      </c>
      <c r="B27" s="20" t="str">
        <f>B4</f>
        <v>Solvent control</v>
      </c>
      <c r="C27" s="20" t="str">
        <f t="shared" ref="C27:M27" si="7">C4</f>
        <v>EE2-33.8ng/L</v>
      </c>
      <c r="D27" s="20" t="str">
        <f t="shared" si="7"/>
        <v>EE2-50.6ng/L</v>
      </c>
      <c r="E27" s="20" t="str">
        <f t="shared" si="7"/>
        <v>EE2-76ng/L</v>
      </c>
      <c r="F27" s="20" t="str">
        <f t="shared" si="7"/>
        <v>EE2-114ng/L</v>
      </c>
      <c r="G27" s="20" t="str">
        <f t="shared" si="7"/>
        <v>EE2-170.9ng/L</v>
      </c>
      <c r="H27" s="20" t="str">
        <f t="shared" si="7"/>
        <v>EE2-488ng/L</v>
      </c>
      <c r="I27" s="20" t="str">
        <f t="shared" si="7"/>
        <v>BPA-1mg/L</v>
      </c>
      <c r="J27" s="20" t="str">
        <f t="shared" si="7"/>
        <v>BPA-2mg/L</v>
      </c>
      <c r="K27" s="20" t="str">
        <f t="shared" si="7"/>
        <v>BPA-3mg/L</v>
      </c>
      <c r="L27" s="20" t="str">
        <f t="shared" si="7"/>
        <v>BPA-4mg/L</v>
      </c>
      <c r="M27" s="20" t="str">
        <f t="shared" si="7"/>
        <v>BPA-5mg/L</v>
      </c>
      <c r="N27" s="3"/>
      <c r="O27" s="21" t="str">
        <f>O4</f>
        <v>Testo -30µg/L</v>
      </c>
      <c r="P27" s="21" t="str">
        <f t="shared" ref="P27:AK27" si="8">P4</f>
        <v>Testo 30µg/L + EE2 -64ng/L</v>
      </c>
      <c r="Q27" s="21" t="str">
        <f t="shared" si="8"/>
        <v>Testo 30µg/L + FAD-10mg/L</v>
      </c>
      <c r="R27" s="21" t="str">
        <f t="shared" si="8"/>
        <v>BPA-1mg/L + Testostérone</v>
      </c>
      <c r="S27" s="21" t="str">
        <f t="shared" si="8"/>
        <v>BPA-2mg/L + Testostérone</v>
      </c>
      <c r="T27" s="21" t="str">
        <f t="shared" si="8"/>
        <v>BPA-3mg/L + Testostérone</v>
      </c>
      <c r="U27" s="21" t="str">
        <f t="shared" si="8"/>
        <v>BPA-4mg/L + Testostérone</v>
      </c>
      <c r="V27" s="21" t="str">
        <f t="shared" si="8"/>
        <v>BPA-5mg/L + Testostérone</v>
      </c>
      <c r="W27" s="21" t="str">
        <f t="shared" si="8"/>
        <v>0-00 + Testostérone</v>
      </c>
      <c r="X27" s="21" t="str">
        <f t="shared" si="8"/>
        <v>0-00 + Testostérone</v>
      </c>
      <c r="Y27" s="21" t="str">
        <f t="shared" si="8"/>
        <v>0-00 + Testostérone</v>
      </c>
      <c r="Z27" s="21" t="str">
        <f t="shared" si="8"/>
        <v>0-00 + Testostérone</v>
      </c>
      <c r="AA27" s="21" t="str">
        <f t="shared" si="8"/>
        <v>0-00 + Testostérone</v>
      </c>
      <c r="AB27" s="21" t="str">
        <f t="shared" si="8"/>
        <v>0-00 + Testostérone</v>
      </c>
      <c r="AC27" s="21" t="str">
        <f t="shared" si="8"/>
        <v>0-00 + Testostérone</v>
      </c>
      <c r="AD27" s="21" t="str">
        <f t="shared" si="8"/>
        <v>0-00 + Testostérone</v>
      </c>
      <c r="AE27" s="21" t="str">
        <f t="shared" si="8"/>
        <v>0-00 + Testostérone</v>
      </c>
      <c r="AF27" s="21" t="str">
        <f t="shared" si="8"/>
        <v>0-00 + Testostérone</v>
      </c>
      <c r="AG27" s="21" t="str">
        <f t="shared" si="8"/>
        <v>0-00 + Testostérone</v>
      </c>
      <c r="AH27" s="21" t="str">
        <f t="shared" si="8"/>
        <v>0-00 + Testostérone</v>
      </c>
      <c r="AI27" s="21" t="str">
        <f t="shared" si="8"/>
        <v>0-00 + Testostérone</v>
      </c>
      <c r="AJ27" s="21" t="str">
        <f t="shared" si="8"/>
        <v>0-00 + Testostérone</v>
      </c>
      <c r="AK27" s="21" t="str">
        <f t="shared" si="8"/>
        <v>0-00 + Testostérone</v>
      </c>
    </row>
    <row r="28" spans="1:37" x14ac:dyDescent="0.25">
      <c r="A28" s="158" t="s">
        <v>17</v>
      </c>
      <c r="B28" s="11">
        <f>IF(B5="","",(B5/$O$23))</f>
        <v>1.386478047882236E-3</v>
      </c>
      <c r="C28" s="11">
        <f>IF(C5="","",(C5/$O$23))</f>
        <v>3.5615154854974937E-3</v>
      </c>
      <c r="D28" s="11">
        <f>IF(D5="","",(D5/$O$23))</f>
        <v>9.7833357253690276E-3</v>
      </c>
      <c r="E28" s="11">
        <f>IF(E5="","",(E5/$O$23))</f>
        <v>0.10616089102878296</v>
      </c>
      <c r="F28" s="11">
        <f>IF(F5="","",(F5/$O$23))</f>
        <v>0.79205158131612508</v>
      </c>
      <c r="G28" s="11">
        <f>IF(G5="","",(G5/$O$23))</f>
        <v>0.43626398325394483</v>
      </c>
      <c r="H28" s="11">
        <f>IF(H5="","",(H5/$O$23))</f>
        <v>1.7351079530222242</v>
      </c>
      <c r="I28" s="11">
        <f>IF(I5="","",(I5/$O$23))</f>
        <v>0</v>
      </c>
      <c r="J28" s="11">
        <f>IF(J5="","",(J5/$O$23))</f>
        <v>1.1949707675185021E-2</v>
      </c>
      <c r="K28" s="11">
        <f>IF(K5="","",(K5/$O$23))</f>
        <v>2.9895932907460714E-2</v>
      </c>
      <c r="L28" s="11">
        <f>IF(L5="","",(L5/$O$23))</f>
        <v>1.4384709746778199E-3</v>
      </c>
      <c r="M28" s="11">
        <f>IF(M5="","",(M5/$O$23))</f>
        <v>6.9323902394111798E-4</v>
      </c>
      <c r="N28" s="6"/>
      <c r="O28" s="11">
        <f t="shared" ref="O28:AK39" si="9">IF(O5="","",(O5/$O$23))</f>
        <v>0.5268269962440526</v>
      </c>
      <c r="P28" s="11">
        <f t="shared" si="9"/>
        <v>1.8708788158610923</v>
      </c>
      <c r="Q28" s="11">
        <f t="shared" si="9"/>
        <v>0</v>
      </c>
      <c r="R28" s="11">
        <f t="shared" si="9"/>
        <v>0.45088266117130316</v>
      </c>
      <c r="S28" s="11">
        <f t="shared" si="9"/>
        <v>0.36782396061535794</v>
      </c>
      <c r="T28" s="11">
        <f t="shared" si="9"/>
        <v>1.2284975398138545</v>
      </c>
      <c r="U28" s="11">
        <f t="shared" si="9"/>
        <v>2.1147689699713768</v>
      </c>
      <c r="V28" s="11">
        <f t="shared" si="9"/>
        <v>2.6578264248634507</v>
      </c>
      <c r="W28" s="11" t="str">
        <f t="shared" si="9"/>
        <v/>
      </c>
      <c r="X28" s="11" t="str">
        <f t="shared" si="9"/>
        <v/>
      </c>
      <c r="Y28" s="11" t="str">
        <f t="shared" si="9"/>
        <v/>
      </c>
      <c r="Z28" s="11" t="str">
        <f t="shared" si="9"/>
        <v/>
      </c>
      <c r="AA28" s="11" t="str">
        <f t="shared" si="9"/>
        <v/>
      </c>
      <c r="AB28" s="11" t="str">
        <f t="shared" si="9"/>
        <v/>
      </c>
      <c r="AC28" s="11" t="str">
        <f t="shared" si="9"/>
        <v/>
      </c>
      <c r="AD28" s="11" t="str">
        <f t="shared" si="9"/>
        <v/>
      </c>
      <c r="AE28" s="11" t="str">
        <f t="shared" si="9"/>
        <v/>
      </c>
      <c r="AF28" s="11" t="str">
        <f t="shared" si="9"/>
        <v/>
      </c>
      <c r="AG28" s="11" t="str">
        <f t="shared" si="9"/>
        <v/>
      </c>
      <c r="AH28" s="11" t="str">
        <f t="shared" si="9"/>
        <v/>
      </c>
      <c r="AI28" s="11" t="str">
        <f t="shared" si="9"/>
        <v/>
      </c>
      <c r="AJ28" s="11" t="str">
        <f t="shared" si="9"/>
        <v/>
      </c>
      <c r="AK28" s="11" t="str">
        <f t="shared" si="9"/>
        <v/>
      </c>
    </row>
    <row r="29" spans="1:37" x14ac:dyDescent="0.25">
      <c r="A29" s="158"/>
      <c r="B29" s="11">
        <f>IF(B6="","",(B6/$O$23))</f>
        <v>2.1325765473988643E-2</v>
      </c>
      <c r="C29" s="11">
        <f>IF(C6="","",(C6/$O$23))</f>
        <v>4.2547545094386114E-3</v>
      </c>
      <c r="D29" s="11">
        <f>IF(D6="","",(D6/$O$23))</f>
        <v>7.01904511740382E-4</v>
      </c>
      <c r="E29" s="11">
        <f>IF(E6="","",(E6/$O$23))</f>
        <v>4.0277187290978955E-2</v>
      </c>
      <c r="F29" s="11">
        <f>IF(F6="","",(F6/$O$23))</f>
        <v>0.43849101361835569</v>
      </c>
      <c r="G29" s="11">
        <f>IF(G6="","",(G6/$O$23))</f>
        <v>0</v>
      </c>
      <c r="H29" s="11">
        <f>IF(H6="","",(H6/$O$23))</f>
        <v>2.5909115280775343</v>
      </c>
      <c r="I29" s="11">
        <f>IF(I6="","",(I6/$O$23))</f>
        <v>8.3760605067685581E-2</v>
      </c>
      <c r="J29" s="11">
        <f>IF(J6="","",(J6/$O$23))</f>
        <v>5.6672290207186397E-3</v>
      </c>
      <c r="K29" s="11">
        <f>IF(K6="","",(K6/$O$23))</f>
        <v>1.5320582429098707E-2</v>
      </c>
      <c r="L29" s="11">
        <f>IF(L6="","",(L6/$O$23))</f>
        <v>5.6585635329193754E-3</v>
      </c>
      <c r="M29" s="11">
        <f>IF(M6="","",(M6/$O$23))</f>
        <v>0</v>
      </c>
      <c r="N29" s="6"/>
      <c r="O29" s="11">
        <f t="shared" si="9"/>
        <v>0.87684337943192314</v>
      </c>
      <c r="P29" s="11">
        <f t="shared" si="9"/>
        <v>2.2026630127193112</v>
      </c>
      <c r="Q29" s="11">
        <f t="shared" si="9"/>
        <v>8.3699946653090732E-2</v>
      </c>
      <c r="R29" s="11">
        <f t="shared" si="9"/>
        <v>0.17960956561534441</v>
      </c>
      <c r="S29" s="11">
        <f t="shared" si="9"/>
        <v>1.0985152228248949</v>
      </c>
      <c r="T29" s="11">
        <f t="shared" si="9"/>
        <v>1.0084894700783413</v>
      </c>
      <c r="U29" s="11">
        <f t="shared" si="9"/>
        <v>1.8827418686582846</v>
      </c>
      <c r="V29" s="11">
        <f t="shared" si="9"/>
        <v>1.508098169144906</v>
      </c>
      <c r="W29" s="11" t="str">
        <f t="shared" si="9"/>
        <v/>
      </c>
      <c r="X29" s="11" t="str">
        <f t="shared" si="9"/>
        <v/>
      </c>
      <c r="Y29" s="11" t="str">
        <f t="shared" si="9"/>
        <v/>
      </c>
      <c r="Z29" s="11" t="str">
        <f t="shared" si="9"/>
        <v/>
      </c>
      <c r="AA29" s="11" t="str">
        <f t="shared" si="9"/>
        <v/>
      </c>
      <c r="AB29" s="11" t="str">
        <f t="shared" si="9"/>
        <v/>
      </c>
      <c r="AC29" s="11" t="str">
        <f t="shared" si="9"/>
        <v/>
      </c>
      <c r="AD29" s="11" t="str">
        <f t="shared" si="9"/>
        <v/>
      </c>
      <c r="AE29" s="11" t="str">
        <f t="shared" si="9"/>
        <v/>
      </c>
      <c r="AF29" s="11" t="str">
        <f t="shared" si="9"/>
        <v/>
      </c>
      <c r="AG29" s="11" t="str">
        <f t="shared" si="9"/>
        <v/>
      </c>
      <c r="AH29" s="11" t="str">
        <f t="shared" si="9"/>
        <v/>
      </c>
      <c r="AI29" s="11" t="str">
        <f t="shared" si="9"/>
        <v/>
      </c>
      <c r="AJ29" s="11" t="str">
        <f t="shared" si="9"/>
        <v/>
      </c>
      <c r="AK29" s="11" t="str">
        <f t="shared" si="9"/>
        <v/>
      </c>
    </row>
    <row r="30" spans="1:37" x14ac:dyDescent="0.25">
      <c r="A30" s="158"/>
      <c r="B30" s="11">
        <f>IF(B7="","",(B7/$O$23))</f>
        <v>0.14189736271294759</v>
      </c>
      <c r="C30" s="11">
        <f>IF(C7="","",(C7/$O$23))</f>
        <v>0</v>
      </c>
      <c r="D30" s="11">
        <f>IF(D7="","",(D7/$O$23))</f>
        <v>9.237409994015398E-3</v>
      </c>
      <c r="E30" s="11">
        <f>IF(E7="","",(E7/$O$23))</f>
        <v>0.99991063715707007</v>
      </c>
      <c r="F30" s="11">
        <f>IF(F7="","",(F7/$O$23))</f>
        <v>0.65549215908752412</v>
      </c>
      <c r="G30" s="11">
        <f>IF(G7="","",(G7/$O$23))</f>
        <v>1.4830115819660368</v>
      </c>
      <c r="H30" s="11">
        <f>IF(H7="","",(H7/$O$23))</f>
        <v>1.7009399346297265</v>
      </c>
      <c r="I30" s="11">
        <f>IF(I7="","",(I7/$O$23))</f>
        <v>0</v>
      </c>
      <c r="J30" s="11">
        <f>IF(J7="","",(J7/$O$23))</f>
        <v>0</v>
      </c>
      <c r="K30" s="11">
        <f>IF(K7="","",(K7/$O$23))</f>
        <v>7.1056999953964591E-4</v>
      </c>
      <c r="L30" s="11">
        <f>IF(L7="","",(L7/$O$23))</f>
        <v>1.386478047882236E-3</v>
      </c>
      <c r="M30" s="11">
        <f>IF(M7="","",(M7/$O$23))</f>
        <v>0</v>
      </c>
      <c r="N30" s="6"/>
      <c r="O30" s="11">
        <f t="shared" si="9"/>
        <v>1.1740002870442834</v>
      </c>
      <c r="P30" s="11">
        <f t="shared" si="9"/>
        <v>1.5270062635228998</v>
      </c>
      <c r="Q30" s="11">
        <f t="shared" si="9"/>
        <v>0</v>
      </c>
      <c r="R30" s="11">
        <f t="shared" si="9"/>
        <v>1.5142073380433869</v>
      </c>
      <c r="S30" s="11">
        <f t="shared" si="9"/>
        <v>1.1470506199885724</v>
      </c>
      <c r="T30" s="11">
        <f t="shared" si="9"/>
        <v>1.2545979890652377</v>
      </c>
      <c r="U30" s="11">
        <f t="shared" si="9"/>
        <v>1.6563559999025133</v>
      </c>
      <c r="V30" s="11">
        <f t="shared" si="9"/>
        <v>2.6943254594739505</v>
      </c>
      <c r="W30" s="11" t="str">
        <f t="shared" si="9"/>
        <v/>
      </c>
      <c r="X30" s="11" t="str">
        <f t="shared" si="9"/>
        <v/>
      </c>
      <c r="Y30" s="11" t="str">
        <f t="shared" si="9"/>
        <v/>
      </c>
      <c r="Z30" s="11" t="str">
        <f t="shared" si="9"/>
        <v/>
      </c>
      <c r="AA30" s="11" t="str">
        <f t="shared" si="9"/>
        <v/>
      </c>
      <c r="AB30" s="11" t="str">
        <f t="shared" si="9"/>
        <v/>
      </c>
      <c r="AC30" s="11" t="str">
        <f t="shared" si="9"/>
        <v/>
      </c>
      <c r="AD30" s="11" t="str">
        <f t="shared" si="9"/>
        <v/>
      </c>
      <c r="AE30" s="11" t="str">
        <f t="shared" si="9"/>
        <v/>
      </c>
      <c r="AF30" s="11" t="str">
        <f t="shared" si="9"/>
        <v/>
      </c>
      <c r="AG30" s="11" t="str">
        <f t="shared" si="9"/>
        <v/>
      </c>
      <c r="AH30" s="11" t="str">
        <f t="shared" si="9"/>
        <v/>
      </c>
      <c r="AI30" s="11" t="str">
        <f t="shared" si="9"/>
        <v/>
      </c>
      <c r="AJ30" s="11" t="str">
        <f t="shared" si="9"/>
        <v/>
      </c>
      <c r="AK30" s="11" t="str">
        <f t="shared" si="9"/>
        <v/>
      </c>
    </row>
    <row r="31" spans="1:37" x14ac:dyDescent="0.25">
      <c r="A31" s="158"/>
      <c r="B31" s="11">
        <f>IF(B8="","",(B8/$O$23))</f>
        <v>2.8240824737801293E-2</v>
      </c>
      <c r="C31" s="11">
        <f>IF(C8="","",(C8/$O$23))</f>
        <v>0</v>
      </c>
      <c r="D31" s="11">
        <f>IF(D8="","",(D8/$O$23))</f>
        <v>9.5363693230900048E-2</v>
      </c>
      <c r="E31" s="11">
        <f>IF(E8="","",(E8/$O$23))</f>
        <v>0.11258201748803756</v>
      </c>
      <c r="F31" s="11">
        <f>IF(F8="","",(F8/$O$23))</f>
        <v>6.9323902394111798E-4</v>
      </c>
      <c r="G31" s="11">
        <f>IF(G8="","",(G8/$O$23))</f>
        <v>0.15233061002326143</v>
      </c>
      <c r="H31" s="11">
        <f>IF(H8="","",(H8/$O$23))</f>
        <v>2.221831071731283</v>
      </c>
      <c r="I31" s="11">
        <f>IF(I8="","",(I8/$O$23))</f>
        <v>9.5848960547658832E-2</v>
      </c>
      <c r="J31" s="11">
        <f>IF(J8="","",(J8/$O$23))</f>
        <v>0</v>
      </c>
      <c r="K31" s="11">
        <f>IF(K8="","",(K8/$O$23))</f>
        <v>0.18164595524817145</v>
      </c>
      <c r="L31" s="11">
        <f>IF(L8="","",(L8/$O$23))</f>
        <v>7.01904511740382E-4</v>
      </c>
      <c r="M31" s="11">
        <f>IF(M8="","",(M8/$O$23))</f>
        <v>7.954917799724329E-3</v>
      </c>
      <c r="N31" s="6"/>
      <c r="O31" s="11">
        <f t="shared" si="9"/>
        <v>3.2452251808243585E-2</v>
      </c>
      <c r="P31" s="11">
        <f t="shared" si="9"/>
        <v>1.3073188168359595</v>
      </c>
      <c r="Q31" s="11">
        <f t="shared" si="9"/>
        <v>7.6368943974913409E-2</v>
      </c>
      <c r="R31" s="11">
        <f t="shared" si="9"/>
        <v>1.3180726871948463</v>
      </c>
      <c r="S31" s="11">
        <f t="shared" si="9"/>
        <v>0.54405398598898946</v>
      </c>
      <c r="T31" s="11">
        <f t="shared" si="9"/>
        <v>0.51593447808037785</v>
      </c>
      <c r="U31" s="11">
        <f t="shared" si="9"/>
        <v>1.6378551834510846</v>
      </c>
      <c r="V31" s="11">
        <f t="shared" si="9"/>
        <v>1.4830982368440293</v>
      </c>
      <c r="W31" s="11" t="str">
        <f t="shared" si="9"/>
        <v/>
      </c>
      <c r="X31" s="11" t="str">
        <f t="shared" si="9"/>
        <v/>
      </c>
      <c r="Y31" s="11" t="str">
        <f t="shared" si="9"/>
        <v/>
      </c>
      <c r="Z31" s="11" t="str">
        <f t="shared" si="9"/>
        <v/>
      </c>
      <c r="AA31" s="11" t="str">
        <f t="shared" si="9"/>
        <v/>
      </c>
      <c r="AB31" s="11" t="str">
        <f t="shared" si="9"/>
        <v/>
      </c>
      <c r="AC31" s="11" t="str">
        <f t="shared" si="9"/>
        <v/>
      </c>
      <c r="AD31" s="11" t="str">
        <f t="shared" si="9"/>
        <v/>
      </c>
      <c r="AE31" s="11" t="str">
        <f t="shared" si="9"/>
        <v/>
      </c>
      <c r="AF31" s="11" t="str">
        <f t="shared" si="9"/>
        <v/>
      </c>
      <c r="AG31" s="11" t="str">
        <f t="shared" si="9"/>
        <v/>
      </c>
      <c r="AH31" s="11" t="str">
        <f t="shared" si="9"/>
        <v/>
      </c>
      <c r="AI31" s="11" t="str">
        <f t="shared" si="9"/>
        <v/>
      </c>
      <c r="AJ31" s="11" t="str">
        <f t="shared" si="9"/>
        <v/>
      </c>
      <c r="AK31" s="11" t="str">
        <f t="shared" si="9"/>
        <v/>
      </c>
    </row>
    <row r="32" spans="1:37" x14ac:dyDescent="0.25">
      <c r="A32" s="158"/>
      <c r="B32" s="11">
        <f>IF(B9="","",(B9/$O$23))</f>
        <v>7.6256292633522982E-4</v>
      </c>
      <c r="C32" s="11">
        <f>IF(C9="","",(C9/$O$23))</f>
        <v>2.1403754864182016E-3</v>
      </c>
      <c r="D32" s="11">
        <f>IF(D9="","",(D9/$O$23))</f>
        <v>0</v>
      </c>
      <c r="E32" s="11">
        <f>IF(E9="","",(E9/$O$23))</f>
        <v>7.6914869706267042E-2</v>
      </c>
      <c r="F32" s="11">
        <f>IF(F9="","",(F9/$O$23))</f>
        <v>5.0953068259672177E-2</v>
      </c>
      <c r="G32" s="11">
        <f>IF(G9="","",(G9/$O$23))</f>
        <v>1.5234360825496032</v>
      </c>
      <c r="H32" s="11">
        <f>IF(H9="","",(H9/$O$23))</f>
        <v>2.0762335457280501</v>
      </c>
      <c r="I32" s="11">
        <f>IF(I9="","",(I9/$O$23))</f>
        <v>2.8769419493556397E-3</v>
      </c>
      <c r="J32" s="11">
        <f>IF(J9="","",(J9/$O$23))</f>
        <v>6.9323902394111798E-4</v>
      </c>
      <c r="K32" s="11">
        <f>IF(K9="","",(K9/$O$23))</f>
        <v>0</v>
      </c>
      <c r="L32" s="11">
        <f>IF(L9="","",(L9/$O$23))</f>
        <v>0.11459241065746681</v>
      </c>
      <c r="M32" s="11">
        <f>IF(M9="","",(M9/$O$23))</f>
        <v>0</v>
      </c>
      <c r="N32" s="6"/>
      <c r="O32" s="11">
        <f t="shared" si="9"/>
        <v>1.1517386488879742</v>
      </c>
      <c r="P32" s="11">
        <f t="shared" si="9"/>
        <v>0.62995496654309324</v>
      </c>
      <c r="Q32" s="11">
        <f t="shared" si="9"/>
        <v>9.540702066989637E-2</v>
      </c>
      <c r="R32" s="11">
        <f t="shared" si="9"/>
        <v>2.5569514813922187</v>
      </c>
      <c r="S32" s="11">
        <f t="shared" si="9"/>
        <v>1.4336702944370276</v>
      </c>
      <c r="T32" s="11">
        <f t="shared" si="9"/>
        <v>0.11609154004673948</v>
      </c>
      <c r="U32" s="11">
        <f t="shared" si="9"/>
        <v>1.539813854490212</v>
      </c>
      <c r="V32" s="11">
        <f t="shared" si="9"/>
        <v>1.7256885677844243</v>
      </c>
      <c r="W32" s="11" t="str">
        <f t="shared" si="9"/>
        <v/>
      </c>
      <c r="X32" s="11" t="str">
        <f t="shared" si="9"/>
        <v/>
      </c>
      <c r="Y32" s="11" t="str">
        <f t="shared" si="9"/>
        <v/>
      </c>
      <c r="Z32" s="11" t="str">
        <f t="shared" si="9"/>
        <v/>
      </c>
      <c r="AA32" s="11" t="str">
        <f t="shared" si="9"/>
        <v/>
      </c>
      <c r="AB32" s="11" t="str">
        <f t="shared" si="9"/>
        <v/>
      </c>
      <c r="AC32" s="11" t="str">
        <f t="shared" si="9"/>
        <v/>
      </c>
      <c r="AD32" s="11" t="str">
        <f t="shared" si="9"/>
        <v/>
      </c>
      <c r="AE32" s="11" t="str">
        <f t="shared" si="9"/>
        <v/>
      </c>
      <c r="AF32" s="11" t="str">
        <f t="shared" si="9"/>
        <v/>
      </c>
      <c r="AG32" s="11" t="str">
        <f t="shared" si="9"/>
        <v/>
      </c>
      <c r="AH32" s="11" t="str">
        <f t="shared" si="9"/>
        <v/>
      </c>
      <c r="AI32" s="11" t="str">
        <f t="shared" si="9"/>
        <v/>
      </c>
      <c r="AJ32" s="11" t="str">
        <f t="shared" si="9"/>
        <v/>
      </c>
      <c r="AK32" s="11" t="str">
        <f t="shared" si="9"/>
        <v/>
      </c>
    </row>
    <row r="33" spans="1:37" x14ac:dyDescent="0.25">
      <c r="A33" s="158"/>
      <c r="B33" s="11">
        <f>IF(B10="","",(B10/$O$23))</f>
        <v>0</v>
      </c>
      <c r="C33" s="11">
        <f>IF(C10="","",(C10/$O$23))</f>
        <v>0</v>
      </c>
      <c r="D33" s="11">
        <f>IF(D10="","",(D10/$O$23))</f>
        <v>0</v>
      </c>
      <c r="E33" s="11">
        <f>IF(E10="","",(E10/$O$23))</f>
        <v>6.9323902394111798E-4</v>
      </c>
      <c r="F33" s="11">
        <f>IF(F10="","",(F10/$O$23))</f>
        <v>0.20985211803477569</v>
      </c>
      <c r="G33" s="11">
        <f>IF(G10="","",(G10/$O$23))</f>
        <v>1.0175622358041707</v>
      </c>
      <c r="H33" s="11">
        <f>IF(H10="","",(H10/$O$23))</f>
        <v>3.0441252054668397</v>
      </c>
      <c r="I33" s="11">
        <f>IF(I10="","",(I10/$O$23))</f>
        <v>0</v>
      </c>
      <c r="J33" s="11">
        <f>IF(J10="","",(J10/$O$23))</f>
        <v>0</v>
      </c>
      <c r="K33" s="11">
        <f>IF(K10="","",(K10/$O$23))</f>
        <v>3.6655013390886615E-3</v>
      </c>
      <c r="L33" s="11">
        <f>IF(L10="","",(L10/$O$23))</f>
        <v>0</v>
      </c>
      <c r="M33" s="11">
        <f>IF(M10="","",(M10/$O$23))</f>
        <v>0</v>
      </c>
      <c r="N33" s="6"/>
      <c r="O33" s="11">
        <f t="shared" si="9"/>
        <v>1.7334181829013677</v>
      </c>
      <c r="P33" s="11">
        <f t="shared" si="9"/>
        <v>0.49229502736398567</v>
      </c>
      <c r="Q33" s="11">
        <f t="shared" si="9"/>
        <v>0</v>
      </c>
      <c r="R33" s="11">
        <f t="shared" si="9"/>
        <v>0.35796263549979557</v>
      </c>
      <c r="S33" s="11">
        <f t="shared" si="9"/>
        <v>1.4614778447848658</v>
      </c>
      <c r="T33" s="11">
        <f t="shared" si="9"/>
        <v>0.53518919197034232</v>
      </c>
      <c r="U33" s="11">
        <f t="shared" si="9"/>
        <v>1.0989744936782559</v>
      </c>
      <c r="V33" s="11">
        <f t="shared" si="9"/>
        <v>2.3013629187529281</v>
      </c>
      <c r="W33" s="11" t="str">
        <f t="shared" si="9"/>
        <v/>
      </c>
      <c r="X33" s="11" t="str">
        <f t="shared" si="9"/>
        <v/>
      </c>
      <c r="Y33" s="11" t="str">
        <f t="shared" si="9"/>
        <v/>
      </c>
      <c r="Z33" s="11" t="str">
        <f t="shared" si="9"/>
        <v/>
      </c>
      <c r="AA33" s="11" t="str">
        <f t="shared" si="9"/>
        <v/>
      </c>
      <c r="AB33" s="11" t="str">
        <f t="shared" si="9"/>
        <v/>
      </c>
      <c r="AC33" s="11" t="str">
        <f t="shared" si="9"/>
        <v/>
      </c>
      <c r="AD33" s="11" t="str">
        <f t="shared" si="9"/>
        <v/>
      </c>
      <c r="AE33" s="11" t="str">
        <f t="shared" si="9"/>
        <v/>
      </c>
      <c r="AF33" s="11" t="str">
        <f t="shared" si="9"/>
        <v/>
      </c>
      <c r="AG33" s="11" t="str">
        <f t="shared" si="9"/>
        <v/>
      </c>
      <c r="AH33" s="11" t="str">
        <f t="shared" si="9"/>
        <v/>
      </c>
      <c r="AI33" s="11" t="str">
        <f t="shared" si="9"/>
        <v/>
      </c>
      <c r="AJ33" s="11" t="str">
        <f t="shared" si="9"/>
        <v/>
      </c>
      <c r="AK33" s="11" t="str">
        <f t="shared" si="9"/>
        <v/>
      </c>
    </row>
    <row r="34" spans="1:37" x14ac:dyDescent="0.25">
      <c r="A34" s="158"/>
      <c r="B34" s="11">
        <f>IF(B11="","",(B11/$O$23))</f>
        <v>7.01904511740382E-4</v>
      </c>
      <c r="C34" s="11">
        <f>IF(C11="","",(C11/$O$23))</f>
        <v>0</v>
      </c>
      <c r="D34" s="11">
        <f>IF(D11="","",(D11/$O$23))</f>
        <v>0</v>
      </c>
      <c r="E34" s="11">
        <f>IF(E11="","",(E11/$O$23))</f>
        <v>0</v>
      </c>
      <c r="F34" s="11">
        <f>IF(F11="","",(F11/$O$23))</f>
        <v>0</v>
      </c>
      <c r="G34" s="11">
        <f>IF(G11="","",(G11/$O$23))</f>
        <v>0.72405349855530066</v>
      </c>
      <c r="H34" s="11">
        <f>IF(H11="","",(H11/$O$23))</f>
        <v>2.7679474438164973</v>
      </c>
      <c r="I34" s="11">
        <f>IF(I11="","",(I11/$O$23))</f>
        <v>0</v>
      </c>
      <c r="J34" s="11">
        <f>IF(J11="","",(J11/$O$23))</f>
        <v>1.078853231008365E-2</v>
      </c>
      <c r="K34" s="11">
        <f>IF(K11="","",(K11/$O$23))</f>
        <v>0</v>
      </c>
      <c r="L34" s="11">
        <f>IF(L11="","",(L11/$O$23))</f>
        <v>4.4020678020260991E-3</v>
      </c>
      <c r="M34" s="11">
        <f>IF(M11="","",(M11/$O$23))</f>
        <v>0</v>
      </c>
      <c r="N34" s="6"/>
      <c r="O34" s="11">
        <f t="shared" si="9"/>
        <v>1.2855424459964093</v>
      </c>
      <c r="P34" s="11">
        <f t="shared" si="9"/>
        <v>1.2957937180629384</v>
      </c>
      <c r="Q34" s="11">
        <f t="shared" si="9"/>
        <v>6.9323902394111798E-4</v>
      </c>
      <c r="R34" s="11">
        <f t="shared" si="9"/>
        <v>0.48040597810339553</v>
      </c>
      <c r="S34" s="11">
        <f t="shared" si="9"/>
        <v>1.1079432735504942</v>
      </c>
      <c r="T34" s="11">
        <f t="shared" si="9"/>
        <v>0.52256357624681471</v>
      </c>
      <c r="U34" s="11">
        <f t="shared" si="9"/>
        <v>1.5184360960894279</v>
      </c>
      <c r="V34" s="11">
        <f t="shared" si="9"/>
        <v>2.0020829666297479</v>
      </c>
      <c r="W34" s="11" t="str">
        <f t="shared" si="9"/>
        <v/>
      </c>
      <c r="X34" s="11" t="str">
        <f t="shared" si="9"/>
        <v/>
      </c>
      <c r="Y34" s="11" t="str">
        <f t="shared" si="9"/>
        <v/>
      </c>
      <c r="Z34" s="11" t="str">
        <f t="shared" si="9"/>
        <v/>
      </c>
      <c r="AA34" s="11" t="str">
        <f t="shared" si="9"/>
        <v/>
      </c>
      <c r="AB34" s="11" t="str">
        <f t="shared" si="9"/>
        <v/>
      </c>
      <c r="AC34" s="11" t="str">
        <f t="shared" si="9"/>
        <v/>
      </c>
      <c r="AD34" s="11" t="str">
        <f t="shared" si="9"/>
        <v/>
      </c>
      <c r="AE34" s="11" t="str">
        <f t="shared" si="9"/>
        <v/>
      </c>
      <c r="AF34" s="11" t="str">
        <f t="shared" si="9"/>
        <v/>
      </c>
      <c r="AG34" s="11" t="str">
        <f t="shared" si="9"/>
        <v/>
      </c>
      <c r="AH34" s="11" t="str">
        <f t="shared" si="9"/>
        <v/>
      </c>
      <c r="AI34" s="11" t="str">
        <f t="shared" si="9"/>
        <v/>
      </c>
      <c r="AJ34" s="11" t="str">
        <f t="shared" si="9"/>
        <v/>
      </c>
      <c r="AK34" s="11" t="str">
        <f t="shared" si="9"/>
        <v/>
      </c>
    </row>
    <row r="35" spans="1:37" x14ac:dyDescent="0.25">
      <c r="A35" s="158"/>
      <c r="B35" s="11">
        <f>IF(B12="","",(B12/$O$23))</f>
        <v>1.90987351095778E-2</v>
      </c>
      <c r="C35" s="11">
        <f>IF(C12="","",(C12/$O$23))</f>
        <v>6.7270181785686237E-2</v>
      </c>
      <c r="D35" s="11">
        <f>IF(D12="","",(D12/$O$23))</f>
        <v>1.4384709746778199E-3</v>
      </c>
      <c r="E35" s="11">
        <f>IF(E12="","",(E12/$O$23))</f>
        <v>0</v>
      </c>
      <c r="F35" s="11">
        <f>IF(F12="","",(F12/$O$23))</f>
        <v>7.6966862633062627E-2</v>
      </c>
      <c r="G35" s="11">
        <f>IF(G12="","",(G12/$O$23))</f>
        <v>8.1923521654241618E-2</v>
      </c>
      <c r="H35" s="11">
        <f>IF(H12="","",(H12/$O$23))</f>
        <v>2.0973600049826553</v>
      </c>
      <c r="I35" s="11">
        <f>IF(I12="","",(I12/$O$23))</f>
        <v>8.0502381655162322E-3</v>
      </c>
      <c r="J35" s="11">
        <f>IF(J12="","",(J12/$O$23))</f>
        <v>0</v>
      </c>
      <c r="K35" s="11">
        <f>IF(K12="","",(K12/$O$23))</f>
        <v>0</v>
      </c>
      <c r="L35" s="11">
        <f>IF(L12="","",(L12/$O$23))</f>
        <v>3.4921915831033819E-3</v>
      </c>
      <c r="M35" s="11">
        <f>IF(M12="","",(M12/$O$23))</f>
        <v>5.8821331181403862E-2</v>
      </c>
      <c r="N35" s="6"/>
      <c r="O35" s="11">
        <f t="shared" si="9"/>
        <v>0.13162875967081977</v>
      </c>
      <c r="P35" s="11">
        <f t="shared" si="9"/>
        <v>1.3074228026895507</v>
      </c>
      <c r="Q35" s="11">
        <f t="shared" si="9"/>
        <v>1.4644674380756117E-3</v>
      </c>
      <c r="R35" s="11">
        <f t="shared" si="9"/>
        <v>1.3747969703288281</v>
      </c>
      <c r="S35" s="11">
        <f t="shared" si="9"/>
        <v>1.1331165156073559</v>
      </c>
      <c r="T35" s="11">
        <f t="shared" si="9"/>
        <v>1.9109740279082867</v>
      </c>
      <c r="U35" s="11">
        <f t="shared" si="9"/>
        <v>2.2780700875485063</v>
      </c>
      <c r="V35" s="11">
        <f t="shared" si="9"/>
        <v>1.9764591192073244</v>
      </c>
      <c r="W35" s="11" t="str">
        <f t="shared" si="9"/>
        <v/>
      </c>
      <c r="X35" s="11" t="str">
        <f t="shared" si="9"/>
        <v/>
      </c>
      <c r="Y35" s="11" t="str">
        <f t="shared" si="9"/>
        <v/>
      </c>
      <c r="Z35" s="11" t="str">
        <f t="shared" si="9"/>
        <v/>
      </c>
      <c r="AA35" s="11" t="str">
        <f t="shared" si="9"/>
        <v/>
      </c>
      <c r="AB35" s="11" t="str">
        <f t="shared" si="9"/>
        <v/>
      </c>
      <c r="AC35" s="11" t="str">
        <f t="shared" si="9"/>
        <v/>
      </c>
      <c r="AD35" s="11" t="str">
        <f t="shared" si="9"/>
        <v/>
      </c>
      <c r="AE35" s="11" t="str">
        <f t="shared" si="9"/>
        <v/>
      </c>
      <c r="AF35" s="11" t="str">
        <f t="shared" si="9"/>
        <v/>
      </c>
      <c r="AG35" s="11" t="str">
        <f t="shared" si="9"/>
        <v/>
      </c>
      <c r="AH35" s="11" t="str">
        <f t="shared" si="9"/>
        <v/>
      </c>
      <c r="AI35" s="11" t="str">
        <f t="shared" si="9"/>
        <v/>
      </c>
      <c r="AJ35" s="11" t="str">
        <f t="shared" si="9"/>
        <v/>
      </c>
      <c r="AK35" s="11" t="str">
        <f t="shared" si="9"/>
        <v/>
      </c>
    </row>
    <row r="36" spans="1:37" x14ac:dyDescent="0.25">
      <c r="A36" s="158"/>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9"/>
        <v>1.8999688584032215</v>
      </c>
      <c r="P36" s="11">
        <f t="shared" si="9"/>
        <v>2.1513286629964714</v>
      </c>
      <c r="Q36" s="11" t="str">
        <f t="shared" si="9"/>
        <v/>
      </c>
      <c r="R36" s="11" t="str">
        <f t="shared" si="9"/>
        <v/>
      </c>
      <c r="S36" s="11" t="str">
        <f t="shared" si="9"/>
        <v/>
      </c>
      <c r="T36" s="11" t="str">
        <f t="shared" si="9"/>
        <v/>
      </c>
      <c r="U36" s="11" t="str">
        <f t="shared" si="9"/>
        <v/>
      </c>
      <c r="V36" s="11" t="str">
        <f t="shared" si="9"/>
        <v/>
      </c>
      <c r="W36" s="11" t="str">
        <f t="shared" si="9"/>
        <v/>
      </c>
      <c r="X36" s="11" t="str">
        <f t="shared" si="9"/>
        <v/>
      </c>
      <c r="Y36" s="11" t="str">
        <f t="shared" si="9"/>
        <v/>
      </c>
      <c r="Z36" s="11" t="str">
        <f t="shared" si="9"/>
        <v/>
      </c>
      <c r="AA36" s="11" t="str">
        <f t="shared" si="9"/>
        <v/>
      </c>
      <c r="AB36" s="11" t="str">
        <f t="shared" si="9"/>
        <v/>
      </c>
      <c r="AC36" s="11" t="str">
        <f t="shared" si="9"/>
        <v/>
      </c>
      <c r="AD36" s="11" t="str">
        <f t="shared" si="9"/>
        <v/>
      </c>
      <c r="AE36" s="11" t="str">
        <f t="shared" si="9"/>
        <v/>
      </c>
      <c r="AF36" s="11" t="str">
        <f t="shared" si="9"/>
        <v/>
      </c>
      <c r="AG36" s="11" t="str">
        <f t="shared" si="9"/>
        <v/>
      </c>
      <c r="AH36" s="11" t="str">
        <f t="shared" si="9"/>
        <v/>
      </c>
      <c r="AI36" s="11" t="str">
        <f t="shared" si="9"/>
        <v/>
      </c>
      <c r="AJ36" s="11" t="str">
        <f t="shared" si="9"/>
        <v/>
      </c>
      <c r="AK36" s="11" t="str">
        <f t="shared" si="9"/>
        <v/>
      </c>
    </row>
    <row r="37" spans="1:37" x14ac:dyDescent="0.25">
      <c r="A37" s="158"/>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9"/>
        <v>3.8050156926568116E-2</v>
      </c>
      <c r="P37" s="11" t="str">
        <f t="shared" si="9"/>
        <v/>
      </c>
      <c r="Q37" s="11" t="str">
        <f t="shared" si="9"/>
        <v/>
      </c>
      <c r="R37" s="11" t="str">
        <f t="shared" si="9"/>
        <v/>
      </c>
      <c r="S37" s="11" t="str">
        <f t="shared" si="9"/>
        <v/>
      </c>
      <c r="T37" s="11" t="str">
        <f t="shared" si="9"/>
        <v/>
      </c>
      <c r="U37" s="11" t="str">
        <f t="shared" si="9"/>
        <v/>
      </c>
      <c r="V37" s="11" t="str">
        <f t="shared" si="9"/>
        <v/>
      </c>
      <c r="W37" s="11" t="str">
        <f t="shared" si="9"/>
        <v/>
      </c>
      <c r="X37" s="11" t="str">
        <f t="shared" si="9"/>
        <v/>
      </c>
      <c r="Y37" s="11" t="str">
        <f t="shared" si="9"/>
        <v/>
      </c>
      <c r="Z37" s="11" t="str">
        <f t="shared" si="9"/>
        <v/>
      </c>
      <c r="AA37" s="11" t="str">
        <f t="shared" si="9"/>
        <v/>
      </c>
      <c r="AB37" s="11" t="str">
        <f t="shared" si="9"/>
        <v/>
      </c>
      <c r="AC37" s="11" t="str">
        <f t="shared" si="9"/>
        <v/>
      </c>
      <c r="AD37" s="11" t="str">
        <f t="shared" si="9"/>
        <v/>
      </c>
      <c r="AE37" s="11" t="str">
        <f t="shared" si="9"/>
        <v/>
      </c>
      <c r="AF37" s="11" t="str">
        <f t="shared" si="9"/>
        <v/>
      </c>
      <c r="AG37" s="11" t="str">
        <f t="shared" si="9"/>
        <v/>
      </c>
      <c r="AH37" s="11" t="str">
        <f t="shared" si="9"/>
        <v/>
      </c>
      <c r="AI37" s="11" t="str">
        <f t="shared" si="9"/>
        <v/>
      </c>
      <c r="AJ37" s="11" t="str">
        <f t="shared" si="9"/>
        <v/>
      </c>
      <c r="AK37" s="11" t="str">
        <f t="shared" si="9"/>
        <v/>
      </c>
    </row>
    <row r="38" spans="1:37" x14ac:dyDescent="0.25">
      <c r="A38" s="158"/>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si="9"/>
        <v>1.537578158638002</v>
      </c>
      <c r="P38" s="11" t="str">
        <f t="shared" si="9"/>
        <v/>
      </c>
      <c r="Q38" s="11" t="str">
        <f t="shared" si="9"/>
        <v/>
      </c>
      <c r="R38" s="11" t="str">
        <f t="shared" si="9"/>
        <v/>
      </c>
      <c r="S38" s="11" t="str">
        <f t="shared" si="9"/>
        <v/>
      </c>
      <c r="T38" s="11" t="str">
        <f t="shared" si="9"/>
        <v/>
      </c>
      <c r="U38" s="11" t="str">
        <f t="shared" si="9"/>
        <v/>
      </c>
      <c r="V38" s="11" t="str">
        <f t="shared" si="9"/>
        <v/>
      </c>
      <c r="W38" s="11" t="str">
        <f t="shared" si="9"/>
        <v/>
      </c>
      <c r="X38" s="11" t="str">
        <f t="shared" si="9"/>
        <v/>
      </c>
      <c r="Y38" s="11" t="str">
        <f t="shared" si="9"/>
        <v/>
      </c>
      <c r="Z38" s="11" t="str">
        <f t="shared" si="9"/>
        <v/>
      </c>
      <c r="AA38" s="11" t="str">
        <f t="shared" si="9"/>
        <v/>
      </c>
      <c r="AB38" s="11" t="str">
        <f t="shared" si="9"/>
        <v/>
      </c>
      <c r="AC38" s="11" t="str">
        <f t="shared" si="9"/>
        <v/>
      </c>
      <c r="AD38" s="11" t="str">
        <f t="shared" si="9"/>
        <v/>
      </c>
      <c r="AE38" s="11" t="str">
        <f t="shared" si="9"/>
        <v/>
      </c>
      <c r="AF38" s="11" t="str">
        <f t="shared" si="9"/>
        <v/>
      </c>
      <c r="AG38" s="11" t="str">
        <f t="shared" si="9"/>
        <v/>
      </c>
      <c r="AH38" s="11" t="str">
        <f t="shared" si="9"/>
        <v/>
      </c>
      <c r="AI38" s="11" t="str">
        <f t="shared" si="9"/>
        <v/>
      </c>
      <c r="AJ38" s="11" t="str">
        <f t="shared" si="9"/>
        <v/>
      </c>
      <c r="AK38" s="11" t="str">
        <f t="shared" si="9"/>
        <v/>
      </c>
    </row>
    <row r="39" spans="1:37" x14ac:dyDescent="0.25">
      <c r="A39" s="158"/>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9"/>
        <v>0.59024970144686562</v>
      </c>
      <c r="P39" s="11" t="str">
        <f t="shared" si="9"/>
        <v/>
      </c>
      <c r="Q39" s="11" t="str">
        <f t="shared" ref="Q39:AK39" si="10">IF(Q16="","",(Q16/$O$23))</f>
        <v/>
      </c>
      <c r="R39" s="11" t="str">
        <f t="shared" si="10"/>
        <v/>
      </c>
      <c r="S39" s="11" t="str">
        <f t="shared" si="10"/>
        <v/>
      </c>
      <c r="T39" s="11" t="str">
        <f t="shared" si="10"/>
        <v/>
      </c>
      <c r="U39" s="11" t="str">
        <f t="shared" si="10"/>
        <v/>
      </c>
      <c r="V39" s="11" t="str">
        <f t="shared" si="10"/>
        <v/>
      </c>
      <c r="W39" s="11" t="str">
        <f t="shared" si="10"/>
        <v/>
      </c>
      <c r="X39" s="11" t="str">
        <f t="shared" si="10"/>
        <v/>
      </c>
      <c r="Y39" s="11" t="str">
        <f t="shared" si="10"/>
        <v/>
      </c>
      <c r="Z39" s="11" t="str">
        <f t="shared" si="10"/>
        <v/>
      </c>
      <c r="AA39" s="11" t="str">
        <f t="shared" si="10"/>
        <v/>
      </c>
      <c r="AB39" s="11" t="str">
        <f t="shared" si="10"/>
        <v/>
      </c>
      <c r="AC39" s="11" t="str">
        <f t="shared" si="10"/>
        <v/>
      </c>
      <c r="AD39" s="11" t="str">
        <f t="shared" si="10"/>
        <v/>
      </c>
      <c r="AE39" s="11" t="str">
        <f t="shared" si="10"/>
        <v/>
      </c>
      <c r="AF39" s="11" t="str">
        <f t="shared" si="10"/>
        <v/>
      </c>
      <c r="AG39" s="11" t="str">
        <f t="shared" si="10"/>
        <v/>
      </c>
      <c r="AH39" s="11" t="str">
        <f t="shared" si="10"/>
        <v/>
      </c>
      <c r="AI39" s="11" t="str">
        <f t="shared" si="10"/>
        <v/>
      </c>
      <c r="AJ39" s="11" t="str">
        <f t="shared" si="10"/>
        <v/>
      </c>
      <c r="AK39" s="11" t="str">
        <f t="shared" si="10"/>
        <v/>
      </c>
    </row>
    <row r="40" spans="1:37" x14ac:dyDescent="0.25">
      <c r="A40" s="158"/>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11">IF(O17="","",(O17/$O$23))</f>
        <v>1.4799699957484951</v>
      </c>
      <c r="P40" s="11" t="str">
        <f t="shared" si="11"/>
        <v/>
      </c>
      <c r="Q40" s="11" t="str">
        <f t="shared" si="11"/>
        <v/>
      </c>
      <c r="R40" s="11" t="str">
        <f t="shared" si="11"/>
        <v/>
      </c>
      <c r="S40" s="11" t="str">
        <f t="shared" si="11"/>
        <v/>
      </c>
      <c r="T40" s="11" t="str">
        <f t="shared" si="11"/>
        <v/>
      </c>
      <c r="U40" s="11" t="str">
        <f t="shared" si="11"/>
        <v/>
      </c>
      <c r="V40" s="11" t="str">
        <f t="shared" si="11"/>
        <v/>
      </c>
      <c r="W40" s="11" t="str">
        <f t="shared" si="11"/>
        <v/>
      </c>
      <c r="X40" s="11" t="str">
        <f t="shared" si="11"/>
        <v/>
      </c>
      <c r="Y40" s="11" t="str">
        <f t="shared" si="11"/>
        <v/>
      </c>
      <c r="Z40" s="11" t="str">
        <f t="shared" si="11"/>
        <v/>
      </c>
      <c r="AA40" s="11" t="str">
        <f t="shared" si="11"/>
        <v/>
      </c>
      <c r="AB40" s="11" t="str">
        <f t="shared" si="11"/>
        <v/>
      </c>
      <c r="AC40" s="11" t="str">
        <f t="shared" si="11"/>
        <v/>
      </c>
      <c r="AD40" s="11" t="str">
        <f t="shared" si="11"/>
        <v/>
      </c>
      <c r="AE40" s="11" t="str">
        <f t="shared" si="11"/>
        <v/>
      </c>
      <c r="AF40" s="11" t="str">
        <f t="shared" si="11"/>
        <v/>
      </c>
      <c r="AG40" s="11" t="str">
        <f t="shared" si="11"/>
        <v/>
      </c>
      <c r="AH40" s="11" t="str">
        <f t="shared" si="11"/>
        <v/>
      </c>
      <c r="AI40" s="11" t="str">
        <f t="shared" si="11"/>
        <v/>
      </c>
      <c r="AJ40" s="11" t="str">
        <f t="shared" si="11"/>
        <v/>
      </c>
      <c r="AK40" s="11" t="str">
        <f t="shared" si="11"/>
        <v/>
      </c>
    </row>
    <row r="41" spans="1:37" x14ac:dyDescent="0.25">
      <c r="A41" s="158"/>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11"/>
        <v>1.2928214557477911</v>
      </c>
      <c r="P41" s="11" t="str">
        <f t="shared" si="11"/>
        <v/>
      </c>
      <c r="Q41" s="11" t="str">
        <f t="shared" si="11"/>
        <v/>
      </c>
      <c r="R41" s="11" t="str">
        <f t="shared" si="11"/>
        <v/>
      </c>
      <c r="S41" s="11" t="str">
        <f t="shared" si="11"/>
        <v/>
      </c>
      <c r="T41" s="11" t="str">
        <f t="shared" si="11"/>
        <v/>
      </c>
      <c r="U41" s="11" t="str">
        <f t="shared" si="11"/>
        <v/>
      </c>
      <c r="V41" s="11" t="str">
        <f t="shared" si="11"/>
        <v/>
      </c>
      <c r="W41" s="11" t="str">
        <f t="shared" si="11"/>
        <v/>
      </c>
      <c r="X41" s="11" t="str">
        <f t="shared" si="11"/>
        <v/>
      </c>
      <c r="Y41" s="11" t="str">
        <f t="shared" si="11"/>
        <v/>
      </c>
      <c r="Z41" s="11" t="str">
        <f t="shared" si="11"/>
        <v/>
      </c>
      <c r="AA41" s="11" t="str">
        <f t="shared" si="11"/>
        <v/>
      </c>
      <c r="AB41" s="11" t="str">
        <f t="shared" si="11"/>
        <v/>
      </c>
      <c r="AC41" s="11" t="str">
        <f t="shared" si="11"/>
        <v/>
      </c>
      <c r="AD41" s="11" t="str">
        <f t="shared" si="11"/>
        <v/>
      </c>
      <c r="AE41" s="11" t="str">
        <f t="shared" si="11"/>
        <v/>
      </c>
      <c r="AF41" s="11" t="str">
        <f t="shared" si="11"/>
        <v/>
      </c>
      <c r="AG41" s="11" t="str">
        <f t="shared" si="11"/>
        <v/>
      </c>
      <c r="AH41" s="11" t="str">
        <f t="shared" si="11"/>
        <v/>
      </c>
      <c r="AI41" s="11" t="str">
        <f t="shared" si="11"/>
        <v/>
      </c>
      <c r="AJ41" s="11" t="str">
        <f t="shared" si="11"/>
        <v/>
      </c>
      <c r="AK41" s="11" t="str">
        <f t="shared" si="11"/>
        <v/>
      </c>
    </row>
    <row r="42" spans="1:37" x14ac:dyDescent="0.25">
      <c r="A42" s="158"/>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11"/>
        <v>0.75647975390014655</v>
      </c>
      <c r="P42" s="11" t="str">
        <f t="shared" si="11"/>
        <v/>
      </c>
      <c r="Q42" s="11" t="str">
        <f t="shared" si="11"/>
        <v/>
      </c>
      <c r="R42" s="11" t="str">
        <f t="shared" si="11"/>
        <v/>
      </c>
      <c r="S42" s="11" t="str">
        <f t="shared" si="11"/>
        <v/>
      </c>
      <c r="T42" s="11" t="str">
        <f t="shared" si="11"/>
        <v/>
      </c>
      <c r="U42" s="11" t="str">
        <f t="shared" si="11"/>
        <v/>
      </c>
      <c r="V42" s="11" t="str">
        <f t="shared" si="11"/>
        <v/>
      </c>
      <c r="W42" s="11" t="str">
        <f t="shared" si="11"/>
        <v/>
      </c>
      <c r="X42" s="11" t="str">
        <f t="shared" si="11"/>
        <v/>
      </c>
      <c r="Y42" s="11" t="str">
        <f t="shared" si="11"/>
        <v/>
      </c>
      <c r="Z42" s="11" t="str">
        <f t="shared" si="11"/>
        <v/>
      </c>
      <c r="AA42" s="11" t="str">
        <f t="shared" si="11"/>
        <v/>
      </c>
      <c r="AB42" s="11" t="str">
        <f t="shared" si="11"/>
        <v/>
      </c>
      <c r="AC42" s="11" t="str">
        <f t="shared" si="11"/>
        <v/>
      </c>
      <c r="AD42" s="11" t="str">
        <f t="shared" si="11"/>
        <v/>
      </c>
      <c r="AE42" s="11" t="str">
        <f t="shared" si="11"/>
        <v/>
      </c>
      <c r="AF42" s="11" t="str">
        <f t="shared" si="11"/>
        <v/>
      </c>
      <c r="AG42" s="11" t="str">
        <f t="shared" si="11"/>
        <v/>
      </c>
      <c r="AH42" s="11" t="str">
        <f t="shared" si="11"/>
        <v/>
      </c>
      <c r="AI42" s="11" t="str">
        <f t="shared" si="11"/>
        <v/>
      </c>
      <c r="AJ42" s="11" t="str">
        <f t="shared" si="11"/>
        <v/>
      </c>
      <c r="AK42" s="11" t="str">
        <f t="shared" si="11"/>
        <v/>
      </c>
    </row>
    <row r="43" spans="1:37" x14ac:dyDescent="0.25">
      <c r="A43" s="158"/>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11"/>
        <v>1.4924309672038367</v>
      </c>
      <c r="P43" s="11" t="str">
        <f t="shared" si="11"/>
        <v/>
      </c>
      <c r="Q43" s="11" t="str">
        <f t="shared" si="11"/>
        <v/>
      </c>
      <c r="R43" s="11" t="str">
        <f t="shared" si="11"/>
        <v/>
      </c>
      <c r="S43" s="11" t="str">
        <f t="shared" si="11"/>
        <v/>
      </c>
      <c r="T43" s="11" t="str">
        <f t="shared" si="11"/>
        <v/>
      </c>
      <c r="U43" s="11" t="str">
        <f t="shared" si="11"/>
        <v/>
      </c>
      <c r="V43" s="11" t="str">
        <f t="shared" si="11"/>
        <v/>
      </c>
      <c r="W43" s="11" t="str">
        <f t="shared" si="11"/>
        <v/>
      </c>
      <c r="X43" s="11" t="str">
        <f t="shared" si="11"/>
        <v/>
      </c>
      <c r="Y43" s="11" t="str">
        <f t="shared" si="11"/>
        <v/>
      </c>
      <c r="Z43" s="11" t="str">
        <f t="shared" si="11"/>
        <v/>
      </c>
      <c r="AA43" s="11" t="str">
        <f t="shared" si="11"/>
        <v/>
      </c>
      <c r="AB43" s="11" t="str">
        <f t="shared" si="11"/>
        <v/>
      </c>
      <c r="AC43" s="11" t="str">
        <f t="shared" si="11"/>
        <v/>
      </c>
      <c r="AD43" s="11" t="str">
        <f t="shared" si="11"/>
        <v/>
      </c>
      <c r="AE43" s="11" t="str">
        <f t="shared" si="11"/>
        <v/>
      </c>
      <c r="AF43" s="11" t="str">
        <f t="shared" si="11"/>
        <v/>
      </c>
      <c r="AG43" s="11" t="str">
        <f t="shared" si="11"/>
        <v/>
      </c>
      <c r="AH43" s="11" t="str">
        <f t="shared" si="11"/>
        <v/>
      </c>
      <c r="AI43" s="11" t="str">
        <f t="shared" si="11"/>
        <v/>
      </c>
      <c r="AJ43" s="11" t="str">
        <f t="shared" si="11"/>
        <v/>
      </c>
      <c r="AK43" s="11" t="str">
        <f t="shared" si="11"/>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2">B4</f>
        <v>Solvent control</v>
      </c>
      <c r="C45" s="7" t="str">
        <f t="shared" si="12"/>
        <v>EE2-33.8ng/L</v>
      </c>
      <c r="D45" s="7" t="str">
        <f t="shared" si="12"/>
        <v>EE2-50.6ng/L</v>
      </c>
      <c r="E45" s="7" t="str">
        <f t="shared" si="12"/>
        <v>EE2-76ng/L</v>
      </c>
      <c r="F45" s="7" t="str">
        <f t="shared" si="12"/>
        <v>EE2-114ng/L</v>
      </c>
      <c r="G45" s="7" t="str">
        <f t="shared" si="12"/>
        <v>EE2-170.9ng/L</v>
      </c>
      <c r="H45" s="7" t="str">
        <f t="shared" si="12"/>
        <v>EE2-488ng/L</v>
      </c>
      <c r="I45" s="7" t="str">
        <f t="shared" si="12"/>
        <v>BPA-1mg/L</v>
      </c>
      <c r="J45" s="7" t="str">
        <f t="shared" si="12"/>
        <v>BPA-2mg/L</v>
      </c>
      <c r="K45" s="7" t="str">
        <f t="shared" si="12"/>
        <v>BPA-3mg/L</v>
      </c>
      <c r="L45" s="7" t="str">
        <f t="shared" si="12"/>
        <v>BPA-4mg/L</v>
      </c>
      <c r="M45" s="7" t="str">
        <f t="shared" si="12"/>
        <v>BPA-5mg/L</v>
      </c>
      <c r="N45" s="7"/>
      <c r="O45" s="7" t="str">
        <f t="shared" si="12"/>
        <v>Testo -30µg/L</v>
      </c>
      <c r="P45" s="7" t="str">
        <f t="shared" si="12"/>
        <v>Testo 30µg/L + EE2 -64ng/L</v>
      </c>
      <c r="Q45" s="7" t="str">
        <f t="shared" si="12"/>
        <v>Testo 30µg/L + FAD-10mg/L</v>
      </c>
      <c r="R45" s="7" t="str">
        <f t="shared" si="12"/>
        <v>BPA-1mg/L + Testostérone</v>
      </c>
      <c r="S45" s="7" t="str">
        <f t="shared" si="12"/>
        <v>BPA-2mg/L + Testostérone</v>
      </c>
      <c r="T45" s="7" t="str">
        <f t="shared" si="12"/>
        <v>BPA-3mg/L + Testostérone</v>
      </c>
      <c r="U45" s="7" t="str">
        <f t="shared" si="12"/>
        <v>BPA-4mg/L + Testostérone</v>
      </c>
      <c r="V45" s="7" t="str">
        <f t="shared" si="12"/>
        <v>BPA-5mg/L + Testostérone</v>
      </c>
      <c r="W45" s="7" t="str">
        <f t="shared" si="12"/>
        <v>0-00 + Testostérone</v>
      </c>
      <c r="X45" s="7" t="str">
        <f t="shared" si="12"/>
        <v>0-00 + Testostérone</v>
      </c>
      <c r="Y45" s="7" t="str">
        <f t="shared" si="12"/>
        <v>0-00 + Testostérone</v>
      </c>
      <c r="Z45" s="7" t="str">
        <f t="shared" si="12"/>
        <v>0-00 + Testostérone</v>
      </c>
      <c r="AA45" s="7" t="str">
        <f t="shared" si="12"/>
        <v>0-00 + Testostérone</v>
      </c>
      <c r="AB45" s="7" t="str">
        <f t="shared" si="12"/>
        <v>0-00 + Testostérone</v>
      </c>
      <c r="AC45" s="7" t="str">
        <f t="shared" si="12"/>
        <v>0-00 + Testostérone</v>
      </c>
      <c r="AD45" s="7" t="str">
        <f t="shared" si="12"/>
        <v>0-00 + Testostérone</v>
      </c>
      <c r="AE45" s="7" t="str">
        <f t="shared" si="12"/>
        <v>0-00 + Testostérone</v>
      </c>
      <c r="AF45" s="7" t="str">
        <f t="shared" si="12"/>
        <v>0-00 + Testostérone</v>
      </c>
      <c r="AG45" s="7" t="str">
        <f t="shared" si="12"/>
        <v>0-00 + Testostérone</v>
      </c>
      <c r="AH45" s="7" t="str">
        <f t="shared" si="12"/>
        <v>0-00 + Testostérone</v>
      </c>
      <c r="AI45" s="7" t="str">
        <f t="shared" si="12"/>
        <v>0-00 + Testostérone</v>
      </c>
      <c r="AJ45" s="7" t="str">
        <f t="shared" si="12"/>
        <v>0-00 + Testostérone</v>
      </c>
      <c r="AK45" s="7" t="str">
        <f t="shared" si="12"/>
        <v>0-00 + Testostérone</v>
      </c>
    </row>
    <row r="46" spans="1:37" x14ac:dyDescent="0.25">
      <c r="A46" s="8" t="s">
        <v>0</v>
      </c>
      <c r="B46" s="10">
        <f t="shared" ref="B46:H46" si="13">AVERAGE(B28:B43)</f>
        <v>2.6676704190034144E-2</v>
      </c>
      <c r="C46" s="10">
        <f t="shared" si="13"/>
        <v>9.6533534083800675E-3</v>
      </c>
      <c r="D46" s="10">
        <f t="shared" si="13"/>
        <v>1.4565601804587835E-2</v>
      </c>
      <c r="E46" s="10">
        <f t="shared" si="13"/>
        <v>0.1670673552118847</v>
      </c>
      <c r="F46" s="10">
        <f t="shared" si="13"/>
        <v>0.27806250524668208</v>
      </c>
      <c r="G46" s="10">
        <f t="shared" si="13"/>
        <v>0.67732268922581984</v>
      </c>
      <c r="H46" s="10">
        <f t="shared" si="13"/>
        <v>2.2793070859318512</v>
      </c>
      <c r="I46" s="10">
        <f>AVERAGE(I28:I43)</f>
        <v>2.3817093216277035E-2</v>
      </c>
      <c r="J46" s="9">
        <f>AVERAGE(J28:J43)</f>
        <v>3.6373385037410536E-3</v>
      </c>
      <c r="K46" s="9">
        <f t="shared" ref="K46:M46" si="14">AVERAGE(K28:K43)</f>
        <v>2.8904817740419898E-2</v>
      </c>
      <c r="L46" s="9">
        <f t="shared" si="14"/>
        <v>1.6459010888727012E-2</v>
      </c>
      <c r="M46" s="9">
        <f t="shared" si="14"/>
        <v>8.4336860006336643E-3</v>
      </c>
      <c r="N46" s="8" t="s">
        <v>0</v>
      </c>
      <c r="O46" s="10">
        <f t="shared" ref="O46:AK46" si="15">AVERAGE(O28:O43)</f>
        <v>1</v>
      </c>
      <c r="P46" s="10">
        <f t="shared" si="15"/>
        <v>1.4205180096217003</v>
      </c>
      <c r="Q46" s="10">
        <f t="shared" si="15"/>
        <v>3.2204202219989653E-2</v>
      </c>
      <c r="R46" s="10">
        <f t="shared" si="15"/>
        <v>1.0291111646686399</v>
      </c>
      <c r="S46" s="10">
        <f t="shared" si="15"/>
        <v>1.0367064647246946</v>
      </c>
      <c r="T46" s="10">
        <f t="shared" si="15"/>
        <v>0.88654222665124938</v>
      </c>
      <c r="U46" s="10">
        <f t="shared" si="15"/>
        <v>1.7158770692237075</v>
      </c>
      <c r="V46" s="10">
        <f t="shared" si="15"/>
        <v>2.0436177328375953</v>
      </c>
      <c r="W46" s="10" t="e">
        <f t="shared" si="15"/>
        <v>#DIV/0!</v>
      </c>
      <c r="X46" s="10" t="e">
        <f t="shared" si="15"/>
        <v>#DIV/0!</v>
      </c>
      <c r="Y46" s="10" t="e">
        <f t="shared" si="15"/>
        <v>#DIV/0!</v>
      </c>
      <c r="Z46" s="10" t="e">
        <f t="shared" si="15"/>
        <v>#DIV/0!</v>
      </c>
      <c r="AA46" s="10" t="e">
        <f t="shared" si="15"/>
        <v>#DIV/0!</v>
      </c>
      <c r="AB46" s="10" t="e">
        <f t="shared" si="15"/>
        <v>#DIV/0!</v>
      </c>
      <c r="AC46" s="10" t="e">
        <f t="shared" si="15"/>
        <v>#DIV/0!</v>
      </c>
      <c r="AD46" s="10" t="e">
        <f t="shared" si="15"/>
        <v>#DIV/0!</v>
      </c>
      <c r="AE46" s="10" t="e">
        <f t="shared" si="15"/>
        <v>#DIV/0!</v>
      </c>
      <c r="AF46" s="10" t="e">
        <f t="shared" si="15"/>
        <v>#DIV/0!</v>
      </c>
      <c r="AG46" s="10" t="e">
        <f t="shared" si="15"/>
        <v>#DIV/0!</v>
      </c>
      <c r="AH46" s="10" t="e">
        <f t="shared" si="15"/>
        <v>#DIV/0!</v>
      </c>
      <c r="AI46" s="10" t="e">
        <f t="shared" si="15"/>
        <v>#DIV/0!</v>
      </c>
      <c r="AJ46" s="10" t="e">
        <f t="shared" si="15"/>
        <v>#DIV/0!</v>
      </c>
      <c r="AK46" s="10" t="e">
        <f t="shared" si="15"/>
        <v>#DIV/0!</v>
      </c>
    </row>
    <row r="47" spans="1:37" x14ac:dyDescent="0.25">
      <c r="A47" s="8" t="s">
        <v>1</v>
      </c>
      <c r="B47" s="8">
        <f t="shared" ref="B47:M47" si="16">STDEV(B28:B43)</f>
        <v>4.7901356683136116E-2</v>
      </c>
      <c r="C47" s="8">
        <f t="shared" si="16"/>
        <v>2.334568799884067E-2</v>
      </c>
      <c r="D47" s="8">
        <f t="shared" si="16"/>
        <v>3.2908065032320667E-2</v>
      </c>
      <c r="E47" s="8">
        <f t="shared" si="16"/>
        <v>0.33975048573579408</v>
      </c>
      <c r="F47" s="8">
        <f t="shared" si="16"/>
        <v>0.31243250646107323</v>
      </c>
      <c r="G47" s="8">
        <f t="shared" si="16"/>
        <v>0.61295319803607484</v>
      </c>
      <c r="H47" s="8">
        <f t="shared" si="16"/>
        <v>0.48242273057939383</v>
      </c>
      <c r="I47" s="8">
        <f t="shared" si="16"/>
        <v>4.0949295990268454E-2</v>
      </c>
      <c r="J47" s="8">
        <f t="shared" si="16"/>
        <v>5.153974290629755E-3</v>
      </c>
      <c r="K47" s="8">
        <f t="shared" si="16"/>
        <v>6.2625614350372269E-2</v>
      </c>
      <c r="L47" s="8">
        <f t="shared" si="16"/>
        <v>3.9699415971084347E-2</v>
      </c>
      <c r="M47" s="8">
        <f t="shared" si="16"/>
        <v>2.0545050926609364E-2</v>
      </c>
      <c r="N47" s="8" t="s">
        <v>1</v>
      </c>
      <c r="O47" s="8">
        <f t="shared" ref="O47:AK47" si="17">STDEV(O28:O43)</f>
        <v>0.60067173162769794</v>
      </c>
      <c r="P47" s="8">
        <f t="shared" si="17"/>
        <v>0.60080656026175139</v>
      </c>
      <c r="Q47" s="8">
        <f t="shared" si="17"/>
        <v>4.4152554345931981E-2</v>
      </c>
      <c r="R47" s="8">
        <f t="shared" si="17"/>
        <v>0.80889083384810712</v>
      </c>
      <c r="S47" s="8">
        <f t="shared" si="17"/>
        <v>0.38886042529932185</v>
      </c>
      <c r="T47" s="8">
        <f t="shared" si="17"/>
        <v>0.57366041507552035</v>
      </c>
      <c r="U47" s="8">
        <f t="shared" si="17"/>
        <v>0.37094469228624327</v>
      </c>
      <c r="V47" s="8">
        <f t="shared" si="17"/>
        <v>0.47439933786894711</v>
      </c>
      <c r="W47" s="8" t="e">
        <f t="shared" si="17"/>
        <v>#DIV/0!</v>
      </c>
      <c r="X47" s="8" t="e">
        <f t="shared" si="17"/>
        <v>#DIV/0!</v>
      </c>
      <c r="Y47" s="8" t="e">
        <f t="shared" si="17"/>
        <v>#DIV/0!</v>
      </c>
      <c r="Z47" s="8" t="e">
        <f t="shared" si="17"/>
        <v>#DIV/0!</v>
      </c>
      <c r="AA47" s="8" t="e">
        <f t="shared" si="17"/>
        <v>#DIV/0!</v>
      </c>
      <c r="AB47" s="8" t="e">
        <f t="shared" si="17"/>
        <v>#DIV/0!</v>
      </c>
      <c r="AC47" s="8" t="e">
        <f t="shared" si="17"/>
        <v>#DIV/0!</v>
      </c>
      <c r="AD47" s="8" t="e">
        <f t="shared" si="17"/>
        <v>#DIV/0!</v>
      </c>
      <c r="AE47" s="8" t="e">
        <f t="shared" si="17"/>
        <v>#DIV/0!</v>
      </c>
      <c r="AF47" s="8" t="e">
        <f t="shared" si="17"/>
        <v>#DIV/0!</v>
      </c>
      <c r="AG47" s="8" t="e">
        <f t="shared" si="17"/>
        <v>#DIV/0!</v>
      </c>
      <c r="AH47" s="8" t="e">
        <f t="shared" si="17"/>
        <v>#DIV/0!</v>
      </c>
      <c r="AI47" s="8" t="e">
        <f t="shared" si="17"/>
        <v>#DIV/0!</v>
      </c>
      <c r="AJ47" s="8" t="e">
        <f t="shared" si="17"/>
        <v>#DIV/0!</v>
      </c>
      <c r="AK47" s="8" t="e">
        <f t="shared" si="17"/>
        <v>#DIV/0!</v>
      </c>
    </row>
    <row r="48" spans="1:37" x14ac:dyDescent="0.25">
      <c r="A48" s="8" t="s">
        <v>2</v>
      </c>
      <c r="B48" s="8">
        <f t="shared" ref="B48:M48" si="18" xml:space="preserve"> B47/SQRT(COUNT(B28:B43))</f>
        <v>1.6935687069340545E-2</v>
      </c>
      <c r="C48" s="8">
        <f t="shared" si="18"/>
        <v>8.2539471477228194E-3</v>
      </c>
      <c r="D48" s="8">
        <f t="shared" si="18"/>
        <v>1.1634757970040922E-2</v>
      </c>
      <c r="E48" s="8">
        <f t="shared" si="18"/>
        <v>0.12011993618760168</v>
      </c>
      <c r="F48" s="8">
        <f t="shared" si="18"/>
        <v>0.11046157199086734</v>
      </c>
      <c r="G48" s="8">
        <f t="shared" si="18"/>
        <v>0.21671168144064465</v>
      </c>
      <c r="H48" s="8">
        <f t="shared" si="18"/>
        <v>0.17056219209561008</v>
      </c>
      <c r="I48" s="8">
        <f t="shared" si="18"/>
        <v>1.4477762439766961E-2</v>
      </c>
      <c r="J48" s="8">
        <f t="shared" si="18"/>
        <v>1.8222050854827126E-3</v>
      </c>
      <c r="K48" s="8">
        <f t="shared" si="18"/>
        <v>2.2141498291560896E-2</v>
      </c>
      <c r="L48" s="8">
        <f t="shared" si="18"/>
        <v>1.4035863121149633E-2</v>
      </c>
      <c r="M48" s="8">
        <f t="shared" si="18"/>
        <v>7.2637724150142208E-3</v>
      </c>
      <c r="N48" s="8" t="s">
        <v>2</v>
      </c>
      <c r="O48" s="8">
        <f t="shared" ref="O48:AK48" si="19" xml:space="preserve"> O47/SQRT(COUNT(O28:O43))</f>
        <v>0.15016793290692448</v>
      </c>
      <c r="P48" s="8">
        <f t="shared" si="19"/>
        <v>0.20026885342058379</v>
      </c>
      <c r="Q48" s="8">
        <f t="shared" si="19"/>
        <v>1.5610285292358035E-2</v>
      </c>
      <c r="R48" s="8">
        <f t="shared" si="19"/>
        <v>0.2859860969268187</v>
      </c>
      <c r="S48" s="8">
        <f t="shared" si="19"/>
        <v>0.13748292183211769</v>
      </c>
      <c r="T48" s="8">
        <f t="shared" si="19"/>
        <v>0.20281958479909498</v>
      </c>
      <c r="U48" s="8">
        <f t="shared" si="19"/>
        <v>0.1311487536803799</v>
      </c>
      <c r="V48" s="8">
        <f t="shared" si="19"/>
        <v>0.1677254943987703</v>
      </c>
      <c r="W48" s="8" t="e">
        <f t="shared" si="19"/>
        <v>#DIV/0!</v>
      </c>
      <c r="X48" s="8" t="e">
        <f t="shared" si="19"/>
        <v>#DIV/0!</v>
      </c>
      <c r="Y48" s="8" t="e">
        <f t="shared" si="19"/>
        <v>#DIV/0!</v>
      </c>
      <c r="Z48" s="8" t="e">
        <f t="shared" si="19"/>
        <v>#DIV/0!</v>
      </c>
      <c r="AA48" s="8" t="e">
        <f t="shared" si="19"/>
        <v>#DIV/0!</v>
      </c>
      <c r="AB48" s="8" t="e">
        <f t="shared" si="19"/>
        <v>#DIV/0!</v>
      </c>
      <c r="AC48" s="8" t="e">
        <f t="shared" si="19"/>
        <v>#DIV/0!</v>
      </c>
      <c r="AD48" s="8" t="e">
        <f t="shared" si="19"/>
        <v>#DIV/0!</v>
      </c>
      <c r="AE48" s="8" t="e">
        <f t="shared" si="19"/>
        <v>#DIV/0!</v>
      </c>
      <c r="AF48" s="8" t="e">
        <f t="shared" si="19"/>
        <v>#DIV/0!</v>
      </c>
      <c r="AG48" s="8" t="e">
        <f t="shared" si="19"/>
        <v>#DIV/0!</v>
      </c>
      <c r="AH48" s="8" t="e">
        <f t="shared" si="19"/>
        <v>#DIV/0!</v>
      </c>
      <c r="AI48" s="8" t="e">
        <f t="shared" si="19"/>
        <v>#DIV/0!</v>
      </c>
      <c r="AJ48" s="8" t="e">
        <f t="shared" si="19"/>
        <v>#DIV/0!</v>
      </c>
      <c r="AK48" s="8" t="e">
        <f t="shared" si="19"/>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147" t="s">
        <v>24</v>
      </c>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9"/>
    </row>
    <row r="51" spans="1:37" ht="15.75" thickBot="1" x14ac:dyDescent="0.3"/>
    <row r="52" spans="1:37" x14ac:dyDescent="0.25">
      <c r="A52" s="29" t="str">
        <f t="shared" ref="A52:H52" si="20">A27</f>
        <v>Noms des groupes</v>
      </c>
      <c r="B52" s="30" t="str">
        <f t="shared" si="20"/>
        <v>Solvent control</v>
      </c>
      <c r="C52" s="30" t="str">
        <f t="shared" si="20"/>
        <v>EE2-33.8ng/L</v>
      </c>
      <c r="D52" s="30" t="str">
        <f t="shared" si="20"/>
        <v>EE2-50.6ng/L</v>
      </c>
      <c r="E52" s="30" t="str">
        <f t="shared" si="20"/>
        <v>EE2-76ng/L</v>
      </c>
      <c r="F52" s="30" t="str">
        <f t="shared" si="20"/>
        <v>EE2-114ng/L</v>
      </c>
      <c r="G52" s="30" t="str">
        <f t="shared" si="20"/>
        <v>EE2-170.9ng/L</v>
      </c>
      <c r="H52" s="30" t="str">
        <f t="shared" si="20"/>
        <v>EE2-488ng/L</v>
      </c>
      <c r="I52" s="30" t="str">
        <f>I4</f>
        <v>BPA-1mg/L</v>
      </c>
      <c r="J52" s="30" t="str">
        <f>J4</f>
        <v>BPA-2mg/L</v>
      </c>
      <c r="K52" s="30" t="str">
        <f t="shared" ref="K52:M52" si="21">K4</f>
        <v>BPA-3mg/L</v>
      </c>
      <c r="L52" s="30" t="str">
        <f t="shared" si="21"/>
        <v>BPA-4mg/L</v>
      </c>
      <c r="M52" s="30" t="str">
        <f t="shared" si="21"/>
        <v>BPA-5mg/L</v>
      </c>
      <c r="N52" s="31"/>
      <c r="O52" s="30" t="str">
        <f>O27</f>
        <v>Testo -30µg/L</v>
      </c>
      <c r="P52" s="30" t="str">
        <f>P27</f>
        <v>Testo 30µg/L + EE2 -64ng/L</v>
      </c>
      <c r="Q52" s="30" t="str">
        <f>Q27</f>
        <v>Testo 30µg/L + FAD-10mg/L</v>
      </c>
      <c r="R52" s="30" t="str">
        <f>R27</f>
        <v>BPA-1mg/L + Testostérone</v>
      </c>
      <c r="S52" s="30" t="str">
        <f t="shared" ref="S52:AK52" si="22">S27</f>
        <v>BPA-2mg/L + Testostérone</v>
      </c>
      <c r="T52" s="30" t="str">
        <f t="shared" si="22"/>
        <v>BPA-3mg/L + Testostérone</v>
      </c>
      <c r="U52" s="30" t="str">
        <f t="shared" si="22"/>
        <v>BPA-4mg/L + Testostérone</v>
      </c>
      <c r="V52" s="30" t="str">
        <f t="shared" si="22"/>
        <v>BPA-5mg/L + Testostérone</v>
      </c>
      <c r="W52" s="30" t="str">
        <f t="shared" si="22"/>
        <v>0-00 + Testostérone</v>
      </c>
      <c r="X52" s="30" t="str">
        <f t="shared" si="22"/>
        <v>0-00 + Testostérone</v>
      </c>
      <c r="Y52" s="30" t="str">
        <f t="shared" si="22"/>
        <v>0-00 + Testostérone</v>
      </c>
      <c r="Z52" s="30" t="str">
        <f t="shared" si="22"/>
        <v>0-00 + Testostérone</v>
      </c>
      <c r="AA52" s="30" t="str">
        <f t="shared" si="22"/>
        <v>0-00 + Testostérone</v>
      </c>
      <c r="AB52" s="30" t="str">
        <f t="shared" si="22"/>
        <v>0-00 + Testostérone</v>
      </c>
      <c r="AC52" s="30" t="str">
        <f t="shared" si="22"/>
        <v>0-00 + Testostérone</v>
      </c>
      <c r="AD52" s="30" t="str">
        <f t="shared" si="22"/>
        <v>0-00 + Testostérone</v>
      </c>
      <c r="AE52" s="30" t="str">
        <f t="shared" si="22"/>
        <v>0-00 + Testostérone</v>
      </c>
      <c r="AF52" s="30" t="str">
        <f t="shared" si="22"/>
        <v>0-00 + Testostérone</v>
      </c>
      <c r="AG52" s="30" t="str">
        <f t="shared" si="22"/>
        <v>0-00 + Testostérone</v>
      </c>
      <c r="AH52" s="30" t="str">
        <f t="shared" si="22"/>
        <v>0-00 + Testostérone</v>
      </c>
      <c r="AI52" s="30" t="str">
        <f t="shared" si="22"/>
        <v>0-00 + Testostérone</v>
      </c>
      <c r="AJ52" s="30" t="str">
        <f t="shared" si="22"/>
        <v>0-00 + Testostérone</v>
      </c>
      <c r="AK52" s="30" t="str">
        <f t="shared" si="22"/>
        <v>0-00 + Testostérone</v>
      </c>
    </row>
    <row r="53" spans="1:37" s="3" customFormat="1" x14ac:dyDescent="0.25">
      <c r="A53" s="49" t="s">
        <v>15</v>
      </c>
      <c r="B53" s="84">
        <f t="shared" ref="B53:AK53" si="23">B46</f>
        <v>2.6676704190034144E-2</v>
      </c>
      <c r="C53" s="84">
        <f t="shared" si="23"/>
        <v>9.6533534083800675E-3</v>
      </c>
      <c r="D53" s="84">
        <f t="shared" si="23"/>
        <v>1.4565601804587835E-2</v>
      </c>
      <c r="E53" s="84">
        <f t="shared" si="23"/>
        <v>0.1670673552118847</v>
      </c>
      <c r="F53" s="84">
        <f t="shared" si="23"/>
        <v>0.27806250524668208</v>
      </c>
      <c r="G53" s="84">
        <f t="shared" si="23"/>
        <v>0.67732268922581984</v>
      </c>
      <c r="H53" s="84">
        <f t="shared" si="23"/>
        <v>2.2793070859318512</v>
      </c>
      <c r="I53" s="84">
        <f t="shared" si="23"/>
        <v>2.3817093216277035E-2</v>
      </c>
      <c r="J53" s="84">
        <f t="shared" si="23"/>
        <v>3.6373385037410536E-3</v>
      </c>
      <c r="K53" s="84">
        <f t="shared" si="23"/>
        <v>2.8904817740419898E-2</v>
      </c>
      <c r="L53" s="84">
        <f t="shared" si="23"/>
        <v>1.6459010888727012E-2</v>
      </c>
      <c r="M53" s="84">
        <f t="shared" si="23"/>
        <v>8.4336860006336643E-3</v>
      </c>
      <c r="N53" s="84"/>
      <c r="O53" s="84">
        <f t="shared" si="23"/>
        <v>1</v>
      </c>
      <c r="P53" s="84">
        <f t="shared" si="23"/>
        <v>1.4205180096217003</v>
      </c>
      <c r="Q53" s="84">
        <f t="shared" si="23"/>
        <v>3.2204202219989653E-2</v>
      </c>
      <c r="R53" s="84">
        <f t="shared" si="23"/>
        <v>1.0291111646686399</v>
      </c>
      <c r="S53" s="84">
        <f t="shared" si="23"/>
        <v>1.0367064647246946</v>
      </c>
      <c r="T53" s="84">
        <f t="shared" si="23"/>
        <v>0.88654222665124938</v>
      </c>
      <c r="U53" s="84">
        <f t="shared" si="23"/>
        <v>1.7158770692237075</v>
      </c>
      <c r="V53" s="84">
        <f t="shared" si="23"/>
        <v>2.0436177328375953</v>
      </c>
      <c r="W53" s="84" t="e">
        <f t="shared" si="23"/>
        <v>#DIV/0!</v>
      </c>
      <c r="X53" s="84" t="e">
        <f t="shared" si="23"/>
        <v>#DIV/0!</v>
      </c>
      <c r="Y53" s="84" t="e">
        <f t="shared" si="23"/>
        <v>#DIV/0!</v>
      </c>
      <c r="Z53" s="84" t="e">
        <f t="shared" si="23"/>
        <v>#DIV/0!</v>
      </c>
      <c r="AA53" s="84" t="e">
        <f t="shared" si="23"/>
        <v>#DIV/0!</v>
      </c>
      <c r="AB53" s="84" t="e">
        <f t="shared" si="23"/>
        <v>#DIV/0!</v>
      </c>
      <c r="AC53" s="84" t="e">
        <f t="shared" si="23"/>
        <v>#DIV/0!</v>
      </c>
      <c r="AD53" s="84" t="e">
        <f t="shared" si="23"/>
        <v>#DIV/0!</v>
      </c>
      <c r="AE53" s="84" t="e">
        <f t="shared" si="23"/>
        <v>#DIV/0!</v>
      </c>
      <c r="AF53" s="84" t="e">
        <f t="shared" si="23"/>
        <v>#DIV/0!</v>
      </c>
      <c r="AG53" s="84" t="e">
        <f t="shared" si="23"/>
        <v>#DIV/0!</v>
      </c>
      <c r="AH53" s="84" t="e">
        <f t="shared" si="23"/>
        <v>#DIV/0!</v>
      </c>
      <c r="AI53" s="84" t="e">
        <f t="shared" si="23"/>
        <v>#DIV/0!</v>
      </c>
      <c r="AJ53" s="84" t="e">
        <f t="shared" si="23"/>
        <v>#DIV/0!</v>
      </c>
      <c r="AK53" s="84" t="e">
        <f t="shared" si="23"/>
        <v>#DIV/0!</v>
      </c>
    </row>
    <row r="54" spans="1:37" s="3" customFormat="1" x14ac:dyDescent="0.25">
      <c r="A54" s="49" t="s">
        <v>2</v>
      </c>
      <c r="B54" s="84">
        <f t="shared" ref="B54:AK54" si="24">B48</f>
        <v>1.6935687069340545E-2</v>
      </c>
      <c r="C54" s="84">
        <f t="shared" si="24"/>
        <v>8.2539471477228194E-3</v>
      </c>
      <c r="D54" s="84">
        <f t="shared" si="24"/>
        <v>1.1634757970040922E-2</v>
      </c>
      <c r="E54" s="84">
        <f t="shared" si="24"/>
        <v>0.12011993618760168</v>
      </c>
      <c r="F54" s="84">
        <f t="shared" si="24"/>
        <v>0.11046157199086734</v>
      </c>
      <c r="G54" s="84">
        <f t="shared" si="24"/>
        <v>0.21671168144064465</v>
      </c>
      <c r="H54" s="84">
        <f t="shared" si="24"/>
        <v>0.17056219209561008</v>
      </c>
      <c r="I54" s="84">
        <f t="shared" si="24"/>
        <v>1.4477762439766961E-2</v>
      </c>
      <c r="J54" s="84">
        <f t="shared" si="24"/>
        <v>1.8222050854827126E-3</v>
      </c>
      <c r="K54" s="84">
        <f t="shared" si="24"/>
        <v>2.2141498291560896E-2</v>
      </c>
      <c r="L54" s="84">
        <f t="shared" si="24"/>
        <v>1.4035863121149633E-2</v>
      </c>
      <c r="M54" s="84">
        <f t="shared" si="24"/>
        <v>7.2637724150142208E-3</v>
      </c>
      <c r="N54" s="84"/>
      <c r="O54" s="84">
        <f t="shared" si="24"/>
        <v>0.15016793290692448</v>
      </c>
      <c r="P54" s="84">
        <f t="shared" si="24"/>
        <v>0.20026885342058379</v>
      </c>
      <c r="Q54" s="84">
        <f t="shared" si="24"/>
        <v>1.5610285292358035E-2</v>
      </c>
      <c r="R54" s="84">
        <f t="shared" si="24"/>
        <v>0.2859860969268187</v>
      </c>
      <c r="S54" s="84">
        <f t="shared" si="24"/>
        <v>0.13748292183211769</v>
      </c>
      <c r="T54" s="84">
        <f t="shared" si="24"/>
        <v>0.20281958479909498</v>
      </c>
      <c r="U54" s="84">
        <f t="shared" si="24"/>
        <v>0.1311487536803799</v>
      </c>
      <c r="V54" s="84">
        <f t="shared" si="24"/>
        <v>0.1677254943987703</v>
      </c>
      <c r="W54" s="84" t="e">
        <f t="shared" si="24"/>
        <v>#DIV/0!</v>
      </c>
      <c r="X54" s="84" t="e">
        <f t="shared" si="24"/>
        <v>#DIV/0!</v>
      </c>
      <c r="Y54" s="84" t="e">
        <f t="shared" si="24"/>
        <v>#DIV/0!</v>
      </c>
      <c r="Z54" s="84" t="e">
        <f t="shared" si="24"/>
        <v>#DIV/0!</v>
      </c>
      <c r="AA54" s="84" t="e">
        <f t="shared" si="24"/>
        <v>#DIV/0!</v>
      </c>
      <c r="AB54" s="84" t="e">
        <f t="shared" si="24"/>
        <v>#DIV/0!</v>
      </c>
      <c r="AC54" s="84" t="e">
        <f t="shared" si="24"/>
        <v>#DIV/0!</v>
      </c>
      <c r="AD54" s="84" t="e">
        <f t="shared" si="24"/>
        <v>#DIV/0!</v>
      </c>
      <c r="AE54" s="84" t="e">
        <f t="shared" si="24"/>
        <v>#DIV/0!</v>
      </c>
      <c r="AF54" s="84" t="e">
        <f t="shared" si="24"/>
        <v>#DIV/0!</v>
      </c>
      <c r="AG54" s="84" t="e">
        <f t="shared" si="24"/>
        <v>#DIV/0!</v>
      </c>
      <c r="AH54" s="84" t="e">
        <f t="shared" si="24"/>
        <v>#DIV/0!</v>
      </c>
      <c r="AI54" s="84" t="e">
        <f t="shared" si="24"/>
        <v>#DIV/0!</v>
      </c>
      <c r="AJ54" s="84" t="e">
        <f t="shared" si="24"/>
        <v>#DIV/0!</v>
      </c>
      <c r="AK54" s="84" t="e">
        <f t="shared" si="24"/>
        <v>#DIV/0!</v>
      </c>
    </row>
    <row r="55" spans="1:37" s="3" customFormat="1" x14ac:dyDescent="0.25">
      <c r="A55" s="49" t="s">
        <v>42</v>
      </c>
      <c r="B55" s="84">
        <f>(B53*100/$B53)-100</f>
        <v>0</v>
      </c>
      <c r="C55" s="84">
        <f t="shared" ref="C55:M55" si="25">(C53*100/$B53)-100</f>
        <v>-63.81354555790157</v>
      </c>
      <c r="D55" s="84">
        <f t="shared" si="25"/>
        <v>-45.399545233068039</v>
      </c>
      <c r="E55" s="84">
        <f t="shared" si="25"/>
        <v>526.26685073899625</v>
      </c>
      <c r="F55" s="84">
        <f t="shared" si="25"/>
        <v>942.3420496995293</v>
      </c>
      <c r="G55" s="84">
        <f t="shared" si="25"/>
        <v>2439.0043852525582</v>
      </c>
      <c r="H55" s="84">
        <f t="shared" si="25"/>
        <v>8444.1854799415305</v>
      </c>
      <c r="I55" s="84">
        <f t="shared" si="25"/>
        <v>-10.71950625304531</v>
      </c>
      <c r="J55" s="84">
        <f t="shared" si="25"/>
        <v>-86.365112879649175</v>
      </c>
      <c r="K55" s="84">
        <f t="shared" si="25"/>
        <v>8.3522819554978298</v>
      </c>
      <c r="L55" s="84">
        <f t="shared" si="25"/>
        <v>-38.301932759460769</v>
      </c>
      <c r="M55" s="84">
        <f t="shared" si="25"/>
        <v>-68.385577391586807</v>
      </c>
      <c r="N55" s="84"/>
      <c r="O55" s="84">
        <f>(O53*100/$O53)-100</f>
        <v>0</v>
      </c>
      <c r="P55" s="84">
        <f t="shared" ref="P55:AK55" si="26">(P53*100/$O53)-100</f>
        <v>42.051800962170034</v>
      </c>
      <c r="Q55" s="84">
        <f t="shared" si="26"/>
        <v>-96.779579778001036</v>
      </c>
      <c r="R55" s="84">
        <f t="shared" si="26"/>
        <v>2.9111164668640015</v>
      </c>
      <c r="S55" s="84">
        <f t="shared" si="26"/>
        <v>3.670646472469457</v>
      </c>
      <c r="T55" s="84">
        <f t="shared" si="26"/>
        <v>-11.345777334875066</v>
      </c>
      <c r="U55" s="84">
        <f t="shared" si="26"/>
        <v>71.587706922370757</v>
      </c>
      <c r="V55" s="84">
        <f t="shared" si="26"/>
        <v>104.36177328375953</v>
      </c>
      <c r="W55" s="84" t="e">
        <f t="shared" si="26"/>
        <v>#DIV/0!</v>
      </c>
      <c r="X55" s="84" t="e">
        <f t="shared" si="26"/>
        <v>#DIV/0!</v>
      </c>
      <c r="Y55" s="84" t="e">
        <f t="shared" si="26"/>
        <v>#DIV/0!</v>
      </c>
      <c r="Z55" s="84" t="e">
        <f t="shared" si="26"/>
        <v>#DIV/0!</v>
      </c>
      <c r="AA55" s="84" t="e">
        <f t="shared" si="26"/>
        <v>#DIV/0!</v>
      </c>
      <c r="AB55" s="84" t="e">
        <f t="shared" si="26"/>
        <v>#DIV/0!</v>
      </c>
      <c r="AC55" s="84" t="e">
        <f t="shared" si="26"/>
        <v>#DIV/0!</v>
      </c>
      <c r="AD55" s="84" t="e">
        <f t="shared" si="26"/>
        <v>#DIV/0!</v>
      </c>
      <c r="AE55" s="84" t="e">
        <f t="shared" si="26"/>
        <v>#DIV/0!</v>
      </c>
      <c r="AF55" s="84" t="e">
        <f t="shared" si="26"/>
        <v>#DIV/0!</v>
      </c>
      <c r="AG55" s="84" t="e">
        <f t="shared" si="26"/>
        <v>#DIV/0!</v>
      </c>
      <c r="AH55" s="84" t="e">
        <f t="shared" si="26"/>
        <v>#DIV/0!</v>
      </c>
      <c r="AI55" s="84" t="e">
        <f t="shared" si="26"/>
        <v>#DIV/0!</v>
      </c>
      <c r="AJ55" s="84" t="e">
        <f t="shared" si="26"/>
        <v>#DIV/0!</v>
      </c>
      <c r="AK55" s="84" t="e">
        <f t="shared" si="26"/>
        <v>#DIV/0!</v>
      </c>
    </row>
    <row r="56" spans="1:37" s="3" customFormat="1" x14ac:dyDescent="0.25">
      <c r="A56" s="49" t="s">
        <v>43</v>
      </c>
      <c r="B56" s="84" t="e">
        <f ca="1">[1]!SWTEST(B28:B43)</f>
        <v>#NAME?</v>
      </c>
      <c r="C56" s="84" t="e">
        <f ca="1">[1]!SWTEST(C28:C43)</f>
        <v>#NAME?</v>
      </c>
      <c r="D56" s="84" t="e">
        <f ca="1">[1]!SWTEST(D28:D43)</f>
        <v>#NAME?</v>
      </c>
      <c r="E56" s="84" t="e">
        <f ca="1">[1]!SWTEST(E28:E43)</f>
        <v>#NAME?</v>
      </c>
      <c r="F56" s="84" t="e">
        <f ca="1">[1]!SWTEST(F28:F43)</f>
        <v>#NAME?</v>
      </c>
      <c r="G56" s="84" t="e">
        <f ca="1">[1]!SWTEST(G28:G43)</f>
        <v>#NAME?</v>
      </c>
      <c r="H56" s="84" t="e">
        <f ca="1">[1]!SWTEST(H28:H43)</f>
        <v>#NAME?</v>
      </c>
      <c r="I56" s="84" t="e">
        <f ca="1">[1]!SWTEST(I28:I43)</f>
        <v>#NAME?</v>
      </c>
      <c r="J56" s="84" t="e">
        <f ca="1">[1]!SWTEST(J28:J43)</f>
        <v>#NAME?</v>
      </c>
      <c r="K56" s="84" t="e">
        <f ca="1">[1]!SWTEST(K28:K43)</f>
        <v>#NAME?</v>
      </c>
      <c r="L56" s="84" t="e">
        <f ca="1">[1]!SWTEST(L28:L43)</f>
        <v>#NAME?</v>
      </c>
      <c r="M56" s="84" t="e">
        <f ca="1">[1]!SWTEST(M28:M43)</f>
        <v>#NAME?</v>
      </c>
      <c r="N56" s="84"/>
      <c r="O56" s="84" t="e">
        <f ca="1">[1]!SWTEST(O28:O43)</f>
        <v>#NAME?</v>
      </c>
      <c r="P56" s="84" t="e">
        <f ca="1">[1]!SWTEST(P28:P43)</f>
        <v>#NAME?</v>
      </c>
      <c r="Q56" s="84" t="e">
        <f ca="1">[1]!SWTEST(Q28:Q43)</f>
        <v>#NAME?</v>
      </c>
      <c r="R56" s="84" t="e">
        <f ca="1">[1]!SWTEST(R28:R43)</f>
        <v>#NAME?</v>
      </c>
      <c r="S56" s="84" t="e">
        <f ca="1">[1]!SWTEST(S28:S43)</f>
        <v>#NAME?</v>
      </c>
      <c r="T56" s="84" t="e">
        <f ca="1">[1]!SWTEST(T28:T43)</f>
        <v>#NAME?</v>
      </c>
      <c r="U56" s="84" t="e">
        <f ca="1">[1]!SWTEST(U28:U43)</f>
        <v>#NAME?</v>
      </c>
      <c r="V56" s="84" t="e">
        <f ca="1">[1]!SWTEST(V28:V43)</f>
        <v>#NAME?</v>
      </c>
      <c r="W56" s="84" t="e">
        <f ca="1">[1]!SWTEST(W28:W43)</f>
        <v>#NAME?</v>
      </c>
      <c r="X56" s="84" t="e">
        <f ca="1">[1]!SWTEST(X28:X43)</f>
        <v>#NAME?</v>
      </c>
      <c r="Y56" s="84" t="e">
        <f ca="1">[1]!SWTEST(Y28:Y43)</f>
        <v>#NAME?</v>
      </c>
      <c r="Z56" s="84" t="e">
        <f ca="1">[1]!SWTEST(Z28:Z43)</f>
        <v>#NAME?</v>
      </c>
      <c r="AA56" s="84" t="e">
        <f ca="1">[1]!SWTEST(AA28:AA43)</f>
        <v>#NAME?</v>
      </c>
      <c r="AB56" s="84" t="e">
        <f ca="1">[1]!SWTEST(AB28:AB43)</f>
        <v>#NAME?</v>
      </c>
      <c r="AC56" s="84" t="e">
        <f ca="1">[1]!SWTEST(AC28:AC43)</f>
        <v>#NAME?</v>
      </c>
      <c r="AD56" s="84" t="e">
        <f ca="1">[1]!SWTEST(AD28:AD43)</f>
        <v>#NAME?</v>
      </c>
      <c r="AE56" s="84" t="e">
        <f ca="1">[1]!SWTEST(AE28:AE43)</f>
        <v>#NAME?</v>
      </c>
      <c r="AF56" s="84" t="e">
        <f ca="1">[1]!SWTEST(AF28:AF43)</f>
        <v>#NAME?</v>
      </c>
      <c r="AG56" s="84" t="e">
        <f ca="1">[1]!SWTEST(AG28:AG43)</f>
        <v>#NAME?</v>
      </c>
      <c r="AH56" s="84" t="e">
        <f ca="1">[1]!SWTEST(AH28:AH43)</f>
        <v>#NAME?</v>
      </c>
      <c r="AI56" s="84" t="e">
        <f ca="1">[1]!SWTEST(AI28:AI43)</f>
        <v>#NAME?</v>
      </c>
      <c r="AJ56" s="84" t="e">
        <f ca="1">[1]!SWTEST(AJ28:AJ43)</f>
        <v>#NAME?</v>
      </c>
      <c r="AK56" s="84" t="e">
        <f ca="1">[1]!SWTEST(AK28:AK43)</f>
        <v>#NAME?</v>
      </c>
    </row>
    <row r="57" spans="1:37" s="3" customFormat="1" x14ac:dyDescent="0.25">
      <c r="A57" s="49" t="s">
        <v>47</v>
      </c>
      <c r="B57" s="84" t="e">
        <f ca="1">IF(B56&gt;0.05,"Oui","Non")</f>
        <v>#NAME?</v>
      </c>
      <c r="C57" s="84" t="e">
        <f t="shared" ref="C57:AK57" ca="1" si="27">IF(C56&gt;0.05,"Oui","Non")</f>
        <v>#NAME?</v>
      </c>
      <c r="D57" s="84" t="e">
        <f t="shared" ca="1" si="27"/>
        <v>#NAME?</v>
      </c>
      <c r="E57" s="84" t="e">
        <f t="shared" ca="1" si="27"/>
        <v>#NAME?</v>
      </c>
      <c r="F57" s="84" t="e">
        <f t="shared" ca="1" si="27"/>
        <v>#NAME?</v>
      </c>
      <c r="G57" s="84" t="e">
        <f t="shared" ca="1" si="27"/>
        <v>#NAME?</v>
      </c>
      <c r="H57" s="84" t="e">
        <f t="shared" ca="1" si="27"/>
        <v>#NAME?</v>
      </c>
      <c r="I57" s="84" t="e">
        <f t="shared" ca="1" si="27"/>
        <v>#NAME?</v>
      </c>
      <c r="J57" s="84" t="e">
        <f t="shared" ca="1" si="27"/>
        <v>#NAME?</v>
      </c>
      <c r="K57" s="84" t="e">
        <f t="shared" ca="1" si="27"/>
        <v>#NAME?</v>
      </c>
      <c r="L57" s="84" t="e">
        <f t="shared" ca="1" si="27"/>
        <v>#NAME?</v>
      </c>
      <c r="M57" s="84" t="e">
        <f t="shared" ca="1" si="27"/>
        <v>#NAME?</v>
      </c>
      <c r="N57" s="84"/>
      <c r="O57" s="84" t="e">
        <f t="shared" ca="1" si="27"/>
        <v>#NAME?</v>
      </c>
      <c r="P57" s="84" t="e">
        <f t="shared" ca="1" si="27"/>
        <v>#NAME?</v>
      </c>
      <c r="Q57" s="84" t="e">
        <f t="shared" ca="1" si="27"/>
        <v>#NAME?</v>
      </c>
      <c r="R57" s="84" t="e">
        <f t="shared" ca="1" si="27"/>
        <v>#NAME?</v>
      </c>
      <c r="S57" s="84" t="e">
        <f t="shared" ca="1" si="27"/>
        <v>#NAME?</v>
      </c>
      <c r="T57" s="84" t="e">
        <f t="shared" ca="1" si="27"/>
        <v>#NAME?</v>
      </c>
      <c r="U57" s="84" t="e">
        <f t="shared" ca="1" si="27"/>
        <v>#NAME?</v>
      </c>
      <c r="V57" s="84" t="e">
        <f t="shared" ca="1" si="27"/>
        <v>#NAME?</v>
      </c>
      <c r="W57" s="84" t="e">
        <f t="shared" ca="1" si="27"/>
        <v>#NAME?</v>
      </c>
      <c r="X57" s="84" t="e">
        <f t="shared" ca="1" si="27"/>
        <v>#NAME?</v>
      </c>
      <c r="Y57" s="84" t="e">
        <f t="shared" ca="1" si="27"/>
        <v>#NAME?</v>
      </c>
      <c r="Z57" s="84" t="e">
        <f t="shared" ca="1" si="27"/>
        <v>#NAME?</v>
      </c>
      <c r="AA57" s="84" t="e">
        <f t="shared" ca="1" si="27"/>
        <v>#NAME?</v>
      </c>
      <c r="AB57" s="84" t="e">
        <f t="shared" ca="1" si="27"/>
        <v>#NAME?</v>
      </c>
      <c r="AC57" s="84" t="e">
        <f t="shared" ca="1" si="27"/>
        <v>#NAME?</v>
      </c>
      <c r="AD57" s="84" t="e">
        <f t="shared" ca="1" si="27"/>
        <v>#NAME?</v>
      </c>
      <c r="AE57" s="84" t="e">
        <f t="shared" ca="1" si="27"/>
        <v>#NAME?</v>
      </c>
      <c r="AF57" s="84" t="e">
        <f t="shared" ca="1" si="27"/>
        <v>#NAME?</v>
      </c>
      <c r="AG57" s="84" t="e">
        <f t="shared" ca="1" si="27"/>
        <v>#NAME?</v>
      </c>
      <c r="AH57" s="84" t="e">
        <f t="shared" ca="1" si="27"/>
        <v>#NAME?</v>
      </c>
      <c r="AI57" s="84" t="e">
        <f t="shared" ca="1" si="27"/>
        <v>#NAME?</v>
      </c>
      <c r="AJ57" s="84" t="e">
        <f t="shared" ca="1" si="27"/>
        <v>#NAME?</v>
      </c>
      <c r="AK57" s="84" t="e">
        <f t="shared" ca="1" si="27"/>
        <v>#NAME?</v>
      </c>
    </row>
    <row r="58" spans="1:37" s="3" customFormat="1" x14ac:dyDescent="0.25">
      <c r="A58" s="49"/>
      <c r="B58" s="84"/>
      <c r="C58" s="84"/>
      <c r="D58" s="84"/>
      <c r="E58" s="84"/>
      <c r="F58" s="84"/>
      <c r="G58" s="84"/>
      <c r="H58" s="84"/>
      <c r="I58" s="84"/>
      <c r="J58" s="84"/>
      <c r="K58" s="84"/>
      <c r="L58" s="84"/>
      <c r="M58" s="84"/>
      <c r="N58" s="86"/>
      <c r="O58" s="87"/>
      <c r="P58" s="84"/>
      <c r="Q58" s="84"/>
      <c r="R58" s="84"/>
      <c r="S58" s="84"/>
      <c r="T58" s="84"/>
      <c r="U58" s="84"/>
      <c r="V58" s="84"/>
      <c r="W58" s="84"/>
      <c r="X58" s="84"/>
      <c r="Y58" s="84"/>
      <c r="Z58" s="84"/>
      <c r="AA58" s="84"/>
      <c r="AB58" s="84"/>
      <c r="AC58" s="84"/>
      <c r="AD58" s="84"/>
      <c r="AE58" s="88"/>
      <c r="AF58" s="88"/>
      <c r="AG58" s="88"/>
      <c r="AH58" s="88"/>
      <c r="AI58" s="88"/>
      <c r="AJ58" s="88"/>
      <c r="AK58" s="89"/>
    </row>
    <row r="59" spans="1:37" s="3" customFormat="1" x14ac:dyDescent="0.25">
      <c r="A59" s="49" t="s">
        <v>44</v>
      </c>
      <c r="B59" s="90"/>
      <c r="C59" s="90" t="e">
        <f t="shared" ref="C59:O59" ca="1" si="28">IF($B57="Non",IF(C57="Non","MW",IF(C57="Oui","MW","")),IF($B57="Oui",IF(C57="Oui","T-Test Welch",IF(C57="Non","MW",""))))</f>
        <v>#NAME?</v>
      </c>
      <c r="D59" s="90" t="e">
        <f t="shared" ca="1" si="28"/>
        <v>#NAME?</v>
      </c>
      <c r="E59" s="90" t="e">
        <f t="shared" ca="1" si="28"/>
        <v>#NAME?</v>
      </c>
      <c r="F59" s="90" t="e">
        <f t="shared" ca="1" si="28"/>
        <v>#NAME?</v>
      </c>
      <c r="G59" s="90" t="e">
        <f t="shared" ca="1" si="28"/>
        <v>#NAME?</v>
      </c>
      <c r="H59" s="90" t="e">
        <f t="shared" ca="1" si="28"/>
        <v>#NAME?</v>
      </c>
      <c r="I59" s="90" t="e">
        <f t="shared" ca="1" si="28"/>
        <v>#NAME?</v>
      </c>
      <c r="J59" s="90" t="e">
        <f t="shared" ca="1" si="28"/>
        <v>#NAME?</v>
      </c>
      <c r="K59" s="90" t="e">
        <f t="shared" ca="1" si="28"/>
        <v>#NAME?</v>
      </c>
      <c r="L59" s="90" t="e">
        <f t="shared" ca="1" si="28"/>
        <v>#NAME?</v>
      </c>
      <c r="M59" s="90" t="e">
        <f t="shared" ca="1" si="28"/>
        <v>#NAME?</v>
      </c>
      <c r="N59" s="90"/>
      <c r="O59" s="90" t="e">
        <f t="shared" ca="1" si="28"/>
        <v>#NAME?</v>
      </c>
      <c r="P59" s="90" t="e">
        <f ca="1">IF($O57="Non",IF(P57="Non","MW",IF(P57="Oui","MW","")),IF($O57="Oui",IF(P57="Oui","T-Test Welch",IF(P57="Non","MW",""))))</f>
        <v>#NAME?</v>
      </c>
      <c r="Q59" s="90" t="e">
        <f t="shared" ref="Q59:AK59" ca="1" si="29">IF($O57="Non",IF(Q57="Non","MW",IF(Q57="Oui","MW","")),IF($O57="Oui",IF(Q57="Oui","T-Test Welch",IF(Q57="Non","MW",""))))</f>
        <v>#NAME?</v>
      </c>
      <c r="R59" s="90" t="e">
        <f t="shared" ca="1" si="29"/>
        <v>#NAME?</v>
      </c>
      <c r="S59" s="90" t="e">
        <f t="shared" ca="1" si="29"/>
        <v>#NAME?</v>
      </c>
      <c r="T59" s="90" t="e">
        <f t="shared" ca="1" si="29"/>
        <v>#NAME?</v>
      </c>
      <c r="U59" s="90" t="e">
        <f t="shared" ca="1" si="29"/>
        <v>#NAME?</v>
      </c>
      <c r="V59" s="90" t="e">
        <f t="shared" ca="1" si="29"/>
        <v>#NAME?</v>
      </c>
      <c r="W59" s="90" t="e">
        <f t="shared" ca="1" si="29"/>
        <v>#NAME?</v>
      </c>
      <c r="X59" s="90" t="e">
        <f t="shared" ca="1" si="29"/>
        <v>#NAME?</v>
      </c>
      <c r="Y59" s="90" t="e">
        <f t="shared" ca="1" si="29"/>
        <v>#NAME?</v>
      </c>
      <c r="Z59" s="90" t="e">
        <f t="shared" ca="1" si="29"/>
        <v>#NAME?</v>
      </c>
      <c r="AA59" s="90" t="e">
        <f t="shared" ca="1" si="29"/>
        <v>#NAME?</v>
      </c>
      <c r="AB59" s="90" t="e">
        <f t="shared" ca="1" si="29"/>
        <v>#NAME?</v>
      </c>
      <c r="AC59" s="90" t="e">
        <f t="shared" ca="1" si="29"/>
        <v>#NAME?</v>
      </c>
      <c r="AD59" s="90" t="e">
        <f t="shared" ca="1" si="29"/>
        <v>#NAME?</v>
      </c>
      <c r="AE59" s="90" t="e">
        <f t="shared" ca="1" si="29"/>
        <v>#NAME?</v>
      </c>
      <c r="AF59" s="90" t="e">
        <f t="shared" ca="1" si="29"/>
        <v>#NAME?</v>
      </c>
      <c r="AG59" s="90" t="e">
        <f t="shared" ca="1" si="29"/>
        <v>#NAME?</v>
      </c>
      <c r="AH59" s="90" t="e">
        <f t="shared" ca="1" si="29"/>
        <v>#NAME?</v>
      </c>
      <c r="AI59" s="90" t="e">
        <f t="shared" ca="1" si="29"/>
        <v>#NAME?</v>
      </c>
      <c r="AJ59" s="90" t="e">
        <f t="shared" ca="1" si="29"/>
        <v>#NAME?</v>
      </c>
      <c r="AK59" s="90" t="e">
        <f t="shared" ca="1" si="29"/>
        <v>#NAME?</v>
      </c>
    </row>
    <row r="60" spans="1:37" s="3" customFormat="1" x14ac:dyDescent="0.25">
      <c r="A60" s="49" t="s">
        <v>45</v>
      </c>
      <c r="B60" s="91"/>
      <c r="C60" s="91" t="e">
        <f ca="1">IF(C59="MW",[1]!MTEST($B28:$B43,C28:C43,2), IF(C59="T-Test Welch",_xlfn.T.TEST($B28:$B43,C28:C43,2,3),""))</f>
        <v>#NAME?</v>
      </c>
      <c r="D60" s="91" t="e">
        <f ca="1">IF(D59="MW",[1]!MTEST($B28:$B43,D28:D43,2), IF(D59="T-Test Welch",_xlfn.T.TEST($B28:$B43,D28:D43,2,3),""))</f>
        <v>#NAME?</v>
      </c>
      <c r="E60" s="91" t="e">
        <f ca="1">IF(E59="MW",[1]!MTEST($B28:$B43,E28:E43,2), IF(E59="T-Test Welch",_xlfn.T.TEST($B28:$B43,E28:E43,2,3),""))</f>
        <v>#NAME?</v>
      </c>
      <c r="F60" s="91" t="e">
        <f ca="1">IF(F59="MW",[1]!MTEST($B28:$B43,F28:F43,2), IF(F59="T-Test Welch",_xlfn.T.TEST($B28:$B43,F28:F43,2,3),""))</f>
        <v>#NAME?</v>
      </c>
      <c r="G60" s="91" t="e">
        <f ca="1">IF(G59="MW",[1]!MTEST($B28:$B43,G28:G43,2), IF(G59="T-Test Welch",_xlfn.T.TEST($B28:$B43,G28:G43,2,3),""))</f>
        <v>#NAME?</v>
      </c>
      <c r="H60" s="91" t="e">
        <f ca="1">IF(H59="MW",[1]!MTEST($B28:$B43,H28:H43,2), IF(H59="T-Test Welch",_xlfn.T.TEST($B28:$B43,H28:H43,2,3),""))</f>
        <v>#NAME?</v>
      </c>
      <c r="I60" s="91" t="e">
        <f ca="1">IF(I59="MW",[1]!MTEST($B28:$B43,I28:I43,2), IF(I59="T-Test Welch",_xlfn.T.TEST($B28:$B43,I28:I43,2,3),""))</f>
        <v>#NAME?</v>
      </c>
      <c r="J60" s="91" t="e">
        <f ca="1">IF(J59="MW",[1]!MTEST($B28:$B43,J28:J43,2), IF(J59="T-Test Welch",_xlfn.T.TEST($B28:$B43,J28:J43,2,3),""))</f>
        <v>#NAME?</v>
      </c>
      <c r="K60" s="91" t="e">
        <f ca="1">IF(K59="MW",[1]!MTEST($B28:$B43,K28:K43,2), IF(K59="T-Test Welch",_xlfn.T.TEST($B28:$B43,K28:K43,2,3),""))</f>
        <v>#NAME?</v>
      </c>
      <c r="L60" s="91" t="e">
        <f ca="1">IF(L59="MW",[1]!MTEST($B28:$B43,L28:L43,2), IF(L59="T-Test Welch",_xlfn.T.TEST($B28:$B43,L28:L43,2,3),""))</f>
        <v>#NAME?</v>
      </c>
      <c r="M60" s="91" t="e">
        <f ca="1">IF(M59="MW",[1]!MTEST($B28:$B43,M28:M43,2), IF(M59="T-Test Welch",_xlfn.T.TEST($B28:$B43,M28:M43,2,3),""))</f>
        <v>#NAME?</v>
      </c>
      <c r="N60" s="91"/>
      <c r="O60" s="91" t="e">
        <f ca="1">IF(O59="MW",[1]!MTEST($B28:$B43,O28:O43,2), IF(O59="T-Test Welch",_xlfn.T.TEST($B28:$B43,O28:O43,2,3),""))</f>
        <v>#NAME?</v>
      </c>
      <c r="P60" s="91" t="e">
        <f ca="1">IF(P59="MW",[1]!MTEST($O28:$O43,P28:P43,2), IF(P59="T-Test Welch",_xlfn.T.TEST($O28:$O43,P28:P43,2,3),""))</f>
        <v>#NAME?</v>
      </c>
      <c r="Q60" s="91" t="e">
        <f ca="1">IF(Q59="MW",[1]!MTEST($O28:$O43,Q28:Q43,2), IF(Q59="T-Test Welch",_xlfn.T.TEST($O28:$O43,Q28:Q43,2,3),""))</f>
        <v>#NAME?</v>
      </c>
      <c r="R60" s="91" t="e">
        <f ca="1">IF(R59="MW",[1]!MTEST($O28:$O43,R28:R43,2), IF(R59="T-Test Welch",_xlfn.T.TEST($O28:$O43,R28:R43,2,3),""))</f>
        <v>#NAME?</v>
      </c>
      <c r="S60" s="91" t="e">
        <f ca="1">IF(S59="MW",[1]!MTEST($O28:$O43,S28:S43,2), IF(S59="T-Test Welch",_xlfn.T.TEST($O28:$O43,S28:S43,2,3),""))</f>
        <v>#NAME?</v>
      </c>
      <c r="T60" s="91" t="e">
        <f ca="1">IF(T59="MW",[1]!MTEST($O28:$O43,T28:T43,2), IF(T59="T-Test Welch",_xlfn.T.TEST($O28:$O43,T28:T43,2,3),""))</f>
        <v>#NAME?</v>
      </c>
      <c r="U60" s="91" t="e">
        <f ca="1">IF(U59="MW",[1]!MTEST($O28:$O43,U28:U43,2), IF(U59="T-Test Welch",_xlfn.T.TEST($O28:$O43,U28:U43,2,3),""))</f>
        <v>#NAME?</v>
      </c>
      <c r="V60" s="91" t="e">
        <f ca="1">IF(V59="MW",[1]!MTEST($O28:$O43,V28:V43,2), IF(V59="T-Test Welch",_xlfn.T.TEST($O28:$O43,V28:V43,2,3),""))</f>
        <v>#NAME?</v>
      </c>
      <c r="W60" s="91" t="e">
        <f ca="1">IF(W59="MW",[1]!MTEST($O28:$O43,W28:W43,2), IF(W59="T-Test Welch",_xlfn.T.TEST($O28:$O43,W28:W43,2,3),""))</f>
        <v>#NAME?</v>
      </c>
      <c r="X60" s="91" t="e">
        <f ca="1">IF(X59="MW",[1]!MTEST($O28:$O43,X28:X43,2), IF(X59="T-Test Welch",_xlfn.T.TEST($O28:$O43,X28:X43,2,3),""))</f>
        <v>#NAME?</v>
      </c>
      <c r="Y60" s="91" t="e">
        <f ca="1">IF(Y59="MW",[1]!MTEST($O28:$O43,Y28:Y43,2), IF(Y59="T-Test Welch",_xlfn.T.TEST($O28:$O43,Y28:Y43,2,3),""))</f>
        <v>#NAME?</v>
      </c>
      <c r="Z60" s="91" t="e">
        <f ca="1">IF(Z59="MW",[1]!MTEST($O28:$O43,Z28:Z43,2), IF(Z59="T-Test Welch",_xlfn.T.TEST($O28:$O43,Z28:Z43,2,3),""))</f>
        <v>#NAME?</v>
      </c>
      <c r="AA60" s="91" t="e">
        <f ca="1">IF(AA59="MW",[1]!MTEST($O28:$O43,AA28:AA43,2), IF(AA59="T-Test Welch",_xlfn.T.TEST($O28:$O43,AA28:AA43,2,3),""))</f>
        <v>#NAME?</v>
      </c>
      <c r="AB60" s="91" t="e">
        <f ca="1">IF(AB59="MW",[1]!MTEST($O28:$O43,AB28:AB43,2), IF(AB59="T-Test Welch",_xlfn.T.TEST($O28:$O43,AB28:AB43,2,3),""))</f>
        <v>#NAME?</v>
      </c>
      <c r="AC60" s="91" t="e">
        <f ca="1">IF(AC59="MW",[1]!MTEST($O28:$O43,AC28:AC43,2), IF(AC59="T-Test Welch",_xlfn.T.TEST($O28:$O43,AC28:AC43,2,3),""))</f>
        <v>#NAME?</v>
      </c>
      <c r="AD60" s="91" t="e">
        <f ca="1">IF(AD59="MW",[1]!MTEST($O28:$O43,AD28:AD43,2), IF(AD59="T-Test Welch",_xlfn.T.TEST($O28:$O43,AD28:AD43,2,3),""))</f>
        <v>#NAME?</v>
      </c>
      <c r="AE60" s="91" t="e">
        <f ca="1">IF(AE59="MW",[1]!MTEST($O28:$O43,AE28:AE43,2), IF(AE59="T-Test Welch",_xlfn.T.TEST($O28:$O43,AE28:AE43,2,3),""))</f>
        <v>#NAME?</v>
      </c>
      <c r="AF60" s="91" t="e">
        <f ca="1">IF(AF59="MW",[1]!MTEST($O28:$O43,AF28:AF43,2), IF(AF59="T-Test Welch",_xlfn.T.TEST($O28:$O43,AF28:AF43,2,3),""))</f>
        <v>#NAME?</v>
      </c>
      <c r="AG60" s="91" t="e">
        <f ca="1">IF(AG59="MW",[1]!MTEST($O28:$O43,AG28:AG43,2), IF(AG59="T-Test Welch",_xlfn.T.TEST($O28:$O43,AG28:AG43,2,3),""))</f>
        <v>#NAME?</v>
      </c>
      <c r="AH60" s="91" t="e">
        <f ca="1">IF(AH59="MW",[1]!MTEST($O28:$O43,AH28:AH43,2), IF(AH59="T-Test Welch",_xlfn.T.TEST($O28:$O43,AH28:AH43,2,3),""))</f>
        <v>#NAME?</v>
      </c>
      <c r="AI60" s="91" t="e">
        <f ca="1">IF(AI59="MW",[1]!MTEST($O28:$O43,AI28:AI43,2), IF(AI59="T-Test Welch",_xlfn.T.TEST($O28:$O43,AI28:AI43,2,3),""))</f>
        <v>#NAME?</v>
      </c>
      <c r="AJ60" s="91" t="e">
        <f ca="1">IF(AJ59="MW",[1]!MTEST($O28:$O43,AJ28:AJ43,2), IF(AJ59="T-Test Welch",_xlfn.T.TEST($O28:$O43,AJ28:AJ43,2,3),""))</f>
        <v>#NAME?</v>
      </c>
      <c r="AK60" s="91" t="e">
        <f ca="1">IF(AK59="MW",[1]!MTEST($O28:$O43,AK28:AK43,2), IF(AK59="T-Test Welch",_xlfn.T.TEST($O28:$O43,AK28:AK43,2,3),""))</f>
        <v>#NAME?</v>
      </c>
    </row>
    <row r="61" spans="1:37" s="3" customFormat="1" ht="15.75" thickBot="1" x14ac:dyDescent="0.3">
      <c r="A61" s="50" t="s">
        <v>46</v>
      </c>
      <c r="B61" s="85"/>
      <c r="C61" s="85" t="e">
        <f t="shared" ref="C61:O61" ca="1" si="30">IF(C60&gt;0.05,"NS",IF(C60&gt;0.01,"*",IF(C60&gt;0.001,"**","***")))</f>
        <v>#NAME?</v>
      </c>
      <c r="D61" s="85" t="e">
        <f t="shared" ca="1" si="30"/>
        <v>#NAME?</v>
      </c>
      <c r="E61" s="85" t="e">
        <f t="shared" ca="1" si="30"/>
        <v>#NAME?</v>
      </c>
      <c r="F61" s="85" t="e">
        <f t="shared" ca="1" si="30"/>
        <v>#NAME?</v>
      </c>
      <c r="G61" s="85" t="e">
        <f t="shared" ca="1" si="30"/>
        <v>#NAME?</v>
      </c>
      <c r="H61" s="85" t="e">
        <f t="shared" ca="1" si="30"/>
        <v>#NAME?</v>
      </c>
      <c r="I61" s="85" t="e">
        <f t="shared" ca="1" si="30"/>
        <v>#NAME?</v>
      </c>
      <c r="J61" s="85" t="e">
        <f t="shared" ca="1" si="30"/>
        <v>#NAME?</v>
      </c>
      <c r="K61" s="85" t="e">
        <f t="shared" ca="1" si="30"/>
        <v>#NAME?</v>
      </c>
      <c r="L61" s="85" t="e">
        <f t="shared" ca="1" si="30"/>
        <v>#NAME?</v>
      </c>
      <c r="M61" s="85" t="e">
        <f t="shared" ca="1" si="30"/>
        <v>#NAME?</v>
      </c>
      <c r="N61" s="85"/>
      <c r="O61" s="85" t="e">
        <f t="shared" ca="1" si="30"/>
        <v>#NAME?</v>
      </c>
      <c r="P61" s="85" t="e">
        <f ca="1">IF(P60&gt;0.05,"NS",IF(P60&gt;0.01,"*",IF(P60&gt;0.001,"**","***")))</f>
        <v>#NAME?</v>
      </c>
      <c r="Q61" s="85" t="e">
        <f t="shared" ref="Q61:AK61" ca="1" si="31">IF(Q60&gt;0.05,"NS",IF(Q60&gt;0.01,"*",IF(Q60&gt;0.001,"**","***")))</f>
        <v>#NAME?</v>
      </c>
      <c r="R61" s="85" t="e">
        <f t="shared" ca="1" si="31"/>
        <v>#NAME?</v>
      </c>
      <c r="S61" s="85" t="e">
        <f t="shared" ca="1" si="31"/>
        <v>#NAME?</v>
      </c>
      <c r="T61" s="85" t="e">
        <f t="shared" ca="1" si="31"/>
        <v>#NAME?</v>
      </c>
      <c r="U61" s="85" t="e">
        <f t="shared" ca="1" si="31"/>
        <v>#NAME?</v>
      </c>
      <c r="V61" s="85" t="e">
        <f t="shared" ca="1" si="31"/>
        <v>#NAME?</v>
      </c>
      <c r="W61" s="85" t="e">
        <f t="shared" ca="1" si="31"/>
        <v>#NAME?</v>
      </c>
      <c r="X61" s="85" t="e">
        <f t="shared" ca="1" si="31"/>
        <v>#NAME?</v>
      </c>
      <c r="Y61" s="85" t="e">
        <f t="shared" ca="1" si="31"/>
        <v>#NAME?</v>
      </c>
      <c r="Z61" s="85" t="e">
        <f t="shared" ca="1" si="31"/>
        <v>#NAME?</v>
      </c>
      <c r="AA61" s="85" t="e">
        <f t="shared" ca="1" si="31"/>
        <v>#NAME?</v>
      </c>
      <c r="AB61" s="85" t="e">
        <f t="shared" ca="1" si="31"/>
        <v>#NAME?</v>
      </c>
      <c r="AC61" s="85" t="e">
        <f t="shared" ca="1" si="31"/>
        <v>#NAME?</v>
      </c>
      <c r="AD61" s="85" t="e">
        <f t="shared" ca="1" si="31"/>
        <v>#NAME?</v>
      </c>
      <c r="AE61" s="85" t="e">
        <f t="shared" ca="1" si="31"/>
        <v>#NAME?</v>
      </c>
      <c r="AF61" s="85" t="e">
        <f t="shared" ca="1" si="31"/>
        <v>#NAME?</v>
      </c>
      <c r="AG61" s="85" t="e">
        <f t="shared" ca="1" si="31"/>
        <v>#NAME?</v>
      </c>
      <c r="AH61" s="85" t="e">
        <f t="shared" ca="1" si="31"/>
        <v>#NAME?</v>
      </c>
      <c r="AI61" s="85" t="e">
        <f t="shared" ca="1" si="31"/>
        <v>#NAME?</v>
      </c>
      <c r="AJ61" s="85" t="e">
        <f t="shared" ca="1" si="31"/>
        <v>#NAME?</v>
      </c>
      <c r="AK61" s="85" t="e">
        <f t="shared" ca="1" si="31"/>
        <v>#NAME?</v>
      </c>
    </row>
    <row r="63" spans="1:37" x14ac:dyDescent="0.25">
      <c r="A63" s="2" t="s">
        <v>20</v>
      </c>
    </row>
    <row r="64" spans="1:37" x14ac:dyDescent="0.25">
      <c r="A64" s="1" t="s">
        <v>13</v>
      </c>
      <c r="B64" s="1">
        <f>B46+(3*B47)</f>
        <v>0.17038077423944251</v>
      </c>
    </row>
    <row r="65" spans="1:37" x14ac:dyDescent="0.25">
      <c r="A65" s="1" t="s">
        <v>14</v>
      </c>
      <c r="B65" s="1">
        <f>B46+(10*B47)</f>
        <v>0.5056902710213953</v>
      </c>
    </row>
    <row r="66" spans="1:37" ht="15.75" thickBot="1" x14ac:dyDescent="0.3"/>
    <row r="67" spans="1:37" ht="27" thickBot="1" x14ac:dyDescent="0.45">
      <c r="A67" s="147" t="s">
        <v>25</v>
      </c>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9"/>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C94"/>
  <sheetViews>
    <sheetView showGridLines="0" topLeftCell="Z58" zoomScale="70" zoomScaleNormal="70" workbookViewId="0">
      <selection activeCell="AG96" sqref="AG96"/>
    </sheetView>
  </sheetViews>
  <sheetFormatPr defaultColWidth="11.42578125" defaultRowHeight="15" x14ac:dyDescent="0.25"/>
  <cols>
    <col min="1" max="1" width="42.85546875" customWidth="1"/>
    <col min="2" max="2" width="14" bestFit="1" customWidth="1"/>
    <col min="3" max="20" width="22.7109375" bestFit="1" customWidth="1"/>
    <col min="21" max="23" width="22.7109375" customWidth="1"/>
    <col min="24" max="28" width="22.7109375" style="1" customWidth="1"/>
    <col min="29" max="29" width="22.7109375" customWidth="1"/>
    <col min="30" max="30" width="8.42578125" customWidth="1"/>
    <col min="31" max="31" width="22.7109375" customWidth="1"/>
    <col min="34" max="46" width="29.140625" customWidth="1"/>
    <col min="47" max="52" width="29.140625" style="1" customWidth="1"/>
    <col min="53" max="53" width="29.140625" customWidth="1"/>
  </cols>
  <sheetData>
    <row r="1" spans="1:53" s="1" customFormat="1" ht="21.75" thickBot="1" x14ac:dyDescent="0.3">
      <c r="A1" s="22" t="s">
        <v>7</v>
      </c>
      <c r="B1" s="41" t="e">
        <f>'Front page'!#REF!</f>
        <v>#REF!</v>
      </c>
      <c r="C1" s="23"/>
      <c r="D1" s="23"/>
      <c r="E1" s="23"/>
      <c r="F1" s="23"/>
      <c r="G1" s="23"/>
      <c r="H1" s="42"/>
      <c r="I1" s="41"/>
      <c r="J1" s="43"/>
      <c r="K1" s="43"/>
      <c r="L1" s="43"/>
      <c r="M1" s="43"/>
      <c r="N1" s="43"/>
      <c r="O1" s="43"/>
      <c r="P1" s="43"/>
      <c r="Q1" s="43"/>
      <c r="R1" s="43"/>
      <c r="S1" s="43"/>
      <c r="T1" s="43"/>
      <c r="U1" s="43"/>
      <c r="V1" s="44"/>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5"/>
    </row>
    <row r="2" spans="1:53" ht="15.75" thickBot="1" x14ac:dyDescent="0.3">
      <c r="A2" s="1"/>
      <c r="B2" s="1"/>
      <c r="C2" s="1"/>
      <c r="D2" s="1"/>
      <c r="E2" s="1"/>
      <c r="F2" s="1"/>
      <c r="G2" s="1"/>
      <c r="H2" s="1"/>
      <c r="I2" s="1"/>
      <c r="J2" s="1"/>
      <c r="K2" s="1"/>
      <c r="L2" s="1"/>
      <c r="M2" s="1"/>
      <c r="N2" s="1"/>
      <c r="O2" s="1"/>
      <c r="P2" s="1"/>
    </row>
    <row r="3" spans="1:53" s="18" customFormat="1" ht="15.75" thickBot="1" x14ac:dyDescent="0.3">
      <c r="B3" s="154" t="s">
        <v>6</v>
      </c>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6"/>
      <c r="AD3" s="59"/>
      <c r="AE3" s="154" t="s">
        <v>3</v>
      </c>
      <c r="AF3" s="155"/>
      <c r="AG3" s="155"/>
      <c r="AH3" s="155"/>
      <c r="AI3" s="155"/>
      <c r="AJ3" s="155"/>
      <c r="AK3" s="155"/>
      <c r="AL3" s="155"/>
      <c r="AM3" s="155"/>
      <c r="AN3" s="155"/>
      <c r="AO3" s="155"/>
      <c r="AP3" s="155"/>
      <c r="AQ3" s="155"/>
      <c r="AR3" s="155"/>
      <c r="AS3" s="155"/>
      <c r="AT3" s="155"/>
      <c r="AU3" s="155"/>
      <c r="AV3" s="155"/>
      <c r="AW3" s="155"/>
      <c r="AX3" s="155"/>
      <c r="AY3" s="155"/>
      <c r="AZ3" s="155"/>
      <c r="BA3" s="156"/>
    </row>
    <row r="4" spans="1:53" x14ac:dyDescent="0.25">
      <c r="A4" s="19" t="s">
        <v>22</v>
      </c>
      <c r="B4" s="20" t="str">
        <f>'R1'!B4</f>
        <v>Solvent control</v>
      </c>
      <c r="C4" s="20" t="str">
        <f>'R1'!C4</f>
        <v>EE2-33.8ng/L</v>
      </c>
      <c r="D4" s="20" t="str">
        <f>'R1'!D4</f>
        <v>EE2-50.6ng/L</v>
      </c>
      <c r="E4" s="20" t="str">
        <f>'R1'!E4</f>
        <v>EE2-76ng/L</v>
      </c>
      <c r="F4" s="20" t="str">
        <f>'R1'!F4</f>
        <v>EE2-114ng/L</v>
      </c>
      <c r="G4" s="20" t="str">
        <f>'R1'!G4</f>
        <v>EE2-170.9ng/L</v>
      </c>
      <c r="H4" s="20" t="str">
        <f>'R1'!H4</f>
        <v>EE2-488ng/L</v>
      </c>
      <c r="I4" s="20" t="str">
        <f>'R1'!I4</f>
        <v>BPA-1mg/L</v>
      </c>
      <c r="J4" s="20" t="str">
        <f>'R1'!J4</f>
        <v>BPA-2mg/L</v>
      </c>
      <c r="K4" s="20" t="str">
        <f>'R1'!K4</f>
        <v>BPA-3mg/L</v>
      </c>
      <c r="L4" s="20" t="str">
        <f>'R1'!L4</f>
        <v>BPA-4mg/L</v>
      </c>
      <c r="M4" s="20" t="str">
        <f>'R1'!M4</f>
        <v>BPA-5mg/L</v>
      </c>
      <c r="N4" s="20" t="e">
        <f>'R1'!#REF!</f>
        <v>#REF!</v>
      </c>
      <c r="O4" s="20" t="e">
        <f>'R1'!#REF!</f>
        <v>#REF!</v>
      </c>
      <c r="P4" s="20" t="e">
        <f>'R1'!#REF!</f>
        <v>#REF!</v>
      </c>
      <c r="Q4" s="20" t="e">
        <f>'R1'!#REF!</f>
        <v>#REF!</v>
      </c>
      <c r="R4" s="20" t="e">
        <f>'R1'!#REF!</f>
        <v>#REF!</v>
      </c>
      <c r="S4" s="20" t="e">
        <f>'R1'!#REF!</f>
        <v>#REF!</v>
      </c>
      <c r="T4" s="20" t="e">
        <f>'R1'!#REF!</f>
        <v>#REF!</v>
      </c>
      <c r="U4" s="20" t="e">
        <f>'R1'!#REF!</f>
        <v>#REF!</v>
      </c>
      <c r="V4" s="20" t="e">
        <f>'R1'!#REF!</f>
        <v>#REF!</v>
      </c>
      <c r="W4" s="20" t="e">
        <f>'R1'!#REF!</f>
        <v>#REF!</v>
      </c>
      <c r="X4" s="20" t="e">
        <f>'R1'!#REF!</f>
        <v>#REF!</v>
      </c>
      <c r="Y4" s="20" t="e">
        <f>'R1'!#REF!</f>
        <v>#REF!</v>
      </c>
      <c r="Z4" s="20" t="e">
        <f>'R1'!#REF!</f>
        <v>#REF!</v>
      </c>
      <c r="AA4" s="20" t="e">
        <f>'R1'!#REF!</f>
        <v>#REF!</v>
      </c>
      <c r="AB4" s="20" t="e">
        <f>'R1'!#REF!</f>
        <v>#REF!</v>
      </c>
      <c r="AC4" s="20" t="e">
        <f>'R1'!#REF!</f>
        <v>#REF!</v>
      </c>
      <c r="AE4" s="20" t="str">
        <f>'R1'!O4</f>
        <v>Testo -30µg/L</v>
      </c>
      <c r="AF4" s="20" t="str">
        <f>'R1'!P4</f>
        <v>Testo 30µg/L + EE2 -64ng/L</v>
      </c>
      <c r="AG4" s="20" t="str">
        <f>'R1'!Q4</f>
        <v>Testo 30µg/L + FAD-10mg/L</v>
      </c>
      <c r="AH4" s="20" t="str">
        <f>'R1'!R4</f>
        <v>BPA-1mg/L + Testostérone</v>
      </c>
      <c r="AI4" s="20" t="str">
        <f>'R1'!S4</f>
        <v>BPA-2mg/L + Testostérone</v>
      </c>
      <c r="AJ4" s="20" t="str">
        <f>'R1'!T4</f>
        <v>BPA-3mg/L + Testostérone</v>
      </c>
      <c r="AK4" s="20" t="str">
        <f>'R1'!U4</f>
        <v>BPA-4mg/L + Testostérone</v>
      </c>
      <c r="AL4" s="20" t="str">
        <f>'R1'!V4</f>
        <v>BPA-5mg/L + Testostérone</v>
      </c>
      <c r="AM4" s="20" t="str">
        <f>'R1'!W4</f>
        <v>0-00 + Testostérone</v>
      </c>
      <c r="AN4" s="20" t="str">
        <f>'R1'!X4</f>
        <v>0-00 + Testostérone</v>
      </c>
      <c r="AO4" s="20" t="str">
        <f>'R1'!Y4</f>
        <v>0-00 + Testostérone</v>
      </c>
      <c r="AP4" s="20" t="str">
        <f>'R1'!Z4</f>
        <v>0-00 + Testostérone</v>
      </c>
      <c r="AQ4" s="20" t="str">
        <f>'R1'!AA4</f>
        <v>0-00 + Testostérone</v>
      </c>
      <c r="AR4" s="20" t="str">
        <f>'R1'!AB4</f>
        <v>0-00 + Testostérone</v>
      </c>
      <c r="AS4" s="20" t="str">
        <f>'R1'!AC4</f>
        <v>0-00 + Testostérone</v>
      </c>
      <c r="AT4" s="20" t="str">
        <f>'R1'!AD4</f>
        <v>0-00 + Testostérone</v>
      </c>
      <c r="AU4" s="20" t="str">
        <f>'R1'!AE4</f>
        <v>0-00 + Testostérone</v>
      </c>
      <c r="AV4" s="20" t="str">
        <f>'R1'!AF4</f>
        <v>0-00 + Testostérone</v>
      </c>
      <c r="AW4" s="20" t="str">
        <f>'R1'!AG4</f>
        <v>0-00 + Testostérone</v>
      </c>
      <c r="AX4" s="20" t="str">
        <f>'R1'!AH4</f>
        <v>0-00 + Testostérone</v>
      </c>
      <c r="AY4" s="20" t="str">
        <f>'R1'!AI4</f>
        <v>0-00 + Testostérone</v>
      </c>
      <c r="AZ4" s="20" t="str">
        <f>'R1'!AJ4</f>
        <v>0-00 + Testostérone</v>
      </c>
      <c r="BA4" s="20" t="str">
        <f>'R1'!AK4</f>
        <v>0-00 + Testostérone</v>
      </c>
    </row>
    <row r="5" spans="1:53" s="1" customFormat="1" x14ac:dyDescent="0.25">
      <c r="A5" s="19"/>
      <c r="B5" s="20"/>
      <c r="C5" s="123"/>
      <c r="D5" s="20"/>
      <c r="E5" s="20"/>
      <c r="F5" s="20"/>
      <c r="G5" s="20"/>
      <c r="H5" s="20"/>
      <c r="I5" s="20"/>
      <c r="J5" s="20"/>
      <c r="K5" s="20"/>
      <c r="L5" s="20"/>
      <c r="M5" s="20"/>
      <c r="N5" s="20"/>
      <c r="O5" s="20"/>
      <c r="P5" s="20"/>
      <c r="Q5" s="20"/>
      <c r="R5" s="20"/>
      <c r="S5" s="20"/>
      <c r="T5" s="20"/>
      <c r="U5" s="20"/>
      <c r="V5" s="20"/>
      <c r="W5" s="20"/>
      <c r="X5" s="20"/>
      <c r="Y5" s="20"/>
      <c r="Z5" s="20"/>
      <c r="AA5" s="20"/>
      <c r="AB5" s="20"/>
      <c r="AC5" s="20"/>
      <c r="AE5" s="20"/>
      <c r="AF5" s="20"/>
      <c r="AG5" s="20"/>
      <c r="AH5" s="20"/>
      <c r="AI5" s="20"/>
      <c r="AJ5" s="20"/>
      <c r="AK5" s="20"/>
      <c r="AL5" s="20"/>
      <c r="AM5" s="20"/>
      <c r="AN5" s="20"/>
      <c r="AO5" s="20"/>
      <c r="AP5" s="20"/>
      <c r="AQ5" s="20"/>
      <c r="AR5" s="20"/>
      <c r="AS5" s="20"/>
      <c r="AT5" s="20"/>
      <c r="AU5" s="20"/>
      <c r="AV5" s="20"/>
      <c r="AW5" s="20"/>
      <c r="AX5" s="20"/>
      <c r="AY5" s="20"/>
      <c r="AZ5" s="20"/>
      <c r="BA5" s="20"/>
    </row>
    <row r="6" spans="1:53" s="1" customFormat="1" x14ac:dyDescent="0.25">
      <c r="A6" s="58" t="s">
        <v>4</v>
      </c>
      <c r="B6" s="39">
        <f>'R1'!B28</f>
        <v>5.8907954982333859E-3</v>
      </c>
      <c r="C6" s="39">
        <f>'R1'!C28</f>
        <v>7.5641953096637057E-2</v>
      </c>
      <c r="D6" s="39">
        <f>'R1'!D28</f>
        <v>3.4938019090673116E-2</v>
      </c>
      <c r="E6" s="39">
        <f>'R1'!E28</f>
        <v>1.3219501708633976E-2</v>
      </c>
      <c r="F6" s="39">
        <f>'R1'!F28</f>
        <v>1.1874359429509818</v>
      </c>
      <c r="G6" s="39">
        <f>'R1'!G28</f>
        <v>1.1955531808422482</v>
      </c>
      <c r="H6" s="39">
        <f>'R1'!H28</f>
        <v>1.5665948008645305</v>
      </c>
      <c r="I6" s="39">
        <f>'R1'!I28</f>
        <v>1.0786114349581783E-2</v>
      </c>
      <c r="J6" s="39">
        <f>'R1'!J28</f>
        <v>3.0403069921530395E-2</v>
      </c>
      <c r="K6" s="39">
        <f>'R1'!K28</f>
        <v>5.1629201005110294E-2</v>
      </c>
      <c r="L6" s="39">
        <f>'R1'!L28</f>
        <v>4.3486986997255304E-2</v>
      </c>
      <c r="M6" s="39">
        <f>'R1'!M28</f>
        <v>0.39511146038029704</v>
      </c>
      <c r="N6" s="39" t="e">
        <f>'R1'!#REF!</f>
        <v>#REF!</v>
      </c>
      <c r="O6" s="39" t="e">
        <f>'R1'!#REF!</f>
        <v>#REF!</v>
      </c>
      <c r="P6" s="39" t="e">
        <f>'R1'!#REF!</f>
        <v>#REF!</v>
      </c>
      <c r="Q6" s="39" t="e">
        <f>'R1'!#REF!</f>
        <v>#REF!</v>
      </c>
      <c r="R6" s="39" t="e">
        <f>'R1'!#REF!</f>
        <v>#REF!</v>
      </c>
      <c r="S6" s="39" t="e">
        <f>'R1'!#REF!</f>
        <v>#REF!</v>
      </c>
      <c r="T6" s="39" t="e">
        <f>'R1'!#REF!</f>
        <v>#REF!</v>
      </c>
      <c r="U6" s="39" t="e">
        <f>'R1'!#REF!</f>
        <v>#REF!</v>
      </c>
      <c r="V6" s="39" t="e">
        <f>'R1'!#REF!</f>
        <v>#REF!</v>
      </c>
      <c r="W6" s="39" t="e">
        <f>'R1'!#REF!</f>
        <v>#REF!</v>
      </c>
      <c r="X6" s="39" t="e">
        <f>'R1'!#REF!</f>
        <v>#REF!</v>
      </c>
      <c r="Y6" s="39" t="e">
        <f>'R1'!#REF!</f>
        <v>#REF!</v>
      </c>
      <c r="Z6" s="39" t="e">
        <f>'R1'!#REF!</f>
        <v>#REF!</v>
      </c>
      <c r="AA6" s="39" t="e">
        <f>'R1'!#REF!</f>
        <v>#REF!</v>
      </c>
      <c r="AB6" s="39" t="e">
        <f>'R1'!#REF!</f>
        <v>#REF!</v>
      </c>
      <c r="AC6" s="39" t="e">
        <f>'R1'!#REF!</f>
        <v>#REF!</v>
      </c>
      <c r="AD6"/>
      <c r="AE6" s="39">
        <f>'R1'!O28</f>
        <v>7.6266356011349859E-2</v>
      </c>
      <c r="AF6" s="39">
        <f>'R1'!P28</f>
        <v>0.45337360434798507</v>
      </c>
      <c r="AG6" s="39">
        <f>'R1'!Q28</f>
        <v>0.13175615103771304</v>
      </c>
      <c r="AH6" s="39">
        <f>'R1'!R28</f>
        <v>1.2020434031386058</v>
      </c>
      <c r="AI6" s="39">
        <f>'R1'!S28</f>
        <v>1.0531322280212405</v>
      </c>
      <c r="AJ6" s="39">
        <f>'R1'!T28</f>
        <v>0.96313614391951985</v>
      </c>
      <c r="AK6" s="39">
        <f>'R1'!U28</f>
        <v>1.0268966015533361</v>
      </c>
      <c r="AL6" s="39">
        <f>'R1'!V28</f>
        <v>1.202528653403754</v>
      </c>
      <c r="AM6" s="39" t="str">
        <f>'R1'!W28</f>
        <v/>
      </c>
      <c r="AN6" s="39" t="str">
        <f>'R1'!X28</f>
        <v/>
      </c>
      <c r="AO6" s="39" t="str">
        <f>'R1'!Y28</f>
        <v/>
      </c>
      <c r="AP6" s="39" t="str">
        <f>'R1'!Z28</f>
        <v/>
      </c>
      <c r="AQ6" s="39" t="str">
        <f>'R1'!AA28</f>
        <v/>
      </c>
      <c r="AR6" s="39" t="str">
        <f>'R1'!AB28</f>
        <v/>
      </c>
      <c r="AS6" s="39" t="str">
        <f>'R1'!AC28</f>
        <v/>
      </c>
      <c r="AT6" s="39" t="str">
        <f>'R1'!AD28</f>
        <v/>
      </c>
      <c r="AU6" s="39" t="str">
        <f>'R1'!AE28</f>
        <v/>
      </c>
      <c r="AV6" s="39" t="str">
        <f>'R1'!AF28</f>
        <v/>
      </c>
      <c r="AW6" s="39" t="str">
        <f>'R1'!AG28</f>
        <v/>
      </c>
      <c r="AX6" s="39" t="str">
        <f>'R1'!AH28</f>
        <v/>
      </c>
      <c r="AY6" s="39" t="str">
        <f>'R1'!AI28</f>
        <v/>
      </c>
      <c r="AZ6" s="39" t="str">
        <f>'R1'!AJ28</f>
        <v/>
      </c>
      <c r="BA6" s="39" t="str">
        <f>'R1'!AK28</f>
        <v/>
      </c>
    </row>
    <row r="7" spans="1:53" s="1" customFormat="1" x14ac:dyDescent="0.25">
      <c r="A7" s="159" t="s">
        <v>17</v>
      </c>
      <c r="B7" s="39">
        <f>'R1'!B29</f>
        <v>8.1646925127846492E-2</v>
      </c>
      <c r="C7" s="39">
        <f>'R1'!C29</f>
        <v>0.23527501826378525</v>
      </c>
      <c r="D7" s="39">
        <f>'R1'!D29</f>
        <v>4.9452710845254225E-3</v>
      </c>
      <c r="E7" s="39">
        <f>'R1'!E29</f>
        <v>0.50991596428772135</v>
      </c>
      <c r="F7" s="39">
        <f>'R1'!F29</f>
        <v>6.0581354793764176E-2</v>
      </c>
      <c r="G7" s="39">
        <f>'R1'!G29</f>
        <v>0.89838377765547406</v>
      </c>
      <c r="H7" s="39">
        <f>'R1'!H29</f>
        <v>1.0652599166332908</v>
      </c>
      <c r="I7" s="39">
        <f>'R1'!I29</f>
        <v>1.7365537062327008E-2</v>
      </c>
      <c r="J7" s="39">
        <f>'R1'!J29</f>
        <v>4.8953188513483981E-3</v>
      </c>
      <c r="K7" s="39">
        <f>'R1'!K29</f>
        <v>6.7192889656408919E-2</v>
      </c>
      <c r="L7" s="39">
        <f>'R1'!L29</f>
        <v>0.14089027367579751</v>
      </c>
      <c r="M7" s="39">
        <f>'R1'!M29</f>
        <v>9.5555054050992308E-2</v>
      </c>
      <c r="N7" s="39" t="e">
        <f>'R1'!#REF!</f>
        <v>#REF!</v>
      </c>
      <c r="O7" s="39" t="e">
        <f>'R1'!#REF!</f>
        <v>#REF!</v>
      </c>
      <c r="P7" s="39" t="e">
        <f>'R1'!#REF!</f>
        <v>#REF!</v>
      </c>
      <c r="Q7" s="39" t="e">
        <f>'R1'!#REF!</f>
        <v>#REF!</v>
      </c>
      <c r="R7" s="39" t="e">
        <f>'R1'!#REF!</f>
        <v>#REF!</v>
      </c>
      <c r="S7" s="39" t="e">
        <f>'R1'!#REF!</f>
        <v>#REF!</v>
      </c>
      <c r="T7" s="39" t="e">
        <f>'R1'!#REF!</f>
        <v>#REF!</v>
      </c>
      <c r="U7" s="39" t="e">
        <f>'R1'!#REF!</f>
        <v>#REF!</v>
      </c>
      <c r="V7" s="39" t="e">
        <f>'R1'!#REF!</f>
        <v>#REF!</v>
      </c>
      <c r="W7" s="39" t="e">
        <f>'R1'!#REF!</f>
        <v>#REF!</v>
      </c>
      <c r="X7" s="39" t="e">
        <f>'R1'!#REF!</f>
        <v>#REF!</v>
      </c>
      <c r="Y7" s="39" t="e">
        <f>'R1'!#REF!</f>
        <v>#REF!</v>
      </c>
      <c r="Z7" s="39" t="e">
        <f>'R1'!#REF!</f>
        <v>#REF!</v>
      </c>
      <c r="AA7" s="39" t="e">
        <f>'R1'!#REF!</f>
        <v>#REF!</v>
      </c>
      <c r="AB7" s="39" t="e">
        <f>'R1'!#REF!</f>
        <v>#REF!</v>
      </c>
      <c r="AC7" s="39" t="e">
        <f>'R1'!#REF!</f>
        <v>#REF!</v>
      </c>
      <c r="AD7"/>
      <c r="AE7" s="39">
        <f>'R1'!O29</f>
        <v>1.248031569811368</v>
      </c>
      <c r="AF7" s="39">
        <f>'R1'!P29</f>
        <v>1.2873974975715186</v>
      </c>
      <c r="AG7" s="39">
        <f>'R1'!Q29</f>
        <v>0</v>
      </c>
      <c r="AH7" s="39">
        <f>'R1'!R29</f>
        <v>1.3354408418378496</v>
      </c>
      <c r="AI7" s="39">
        <f>'R1'!S29</f>
        <v>1.0889158670592674</v>
      </c>
      <c r="AJ7" s="39">
        <f>'R1'!T29</f>
        <v>0.89983239241760782</v>
      </c>
      <c r="AK7" s="39">
        <f>'R1'!U29</f>
        <v>0.96819915955367675</v>
      </c>
      <c r="AL7" s="39">
        <f>'R1'!V29</f>
        <v>1.5368339739409904</v>
      </c>
      <c r="AM7" s="39" t="str">
        <f>'R1'!W29</f>
        <v/>
      </c>
      <c r="AN7" s="39" t="str">
        <f>'R1'!X29</f>
        <v/>
      </c>
      <c r="AO7" s="39" t="str">
        <f>'R1'!Y29</f>
        <v/>
      </c>
      <c r="AP7" s="39" t="str">
        <f>'R1'!Z29</f>
        <v/>
      </c>
      <c r="AQ7" s="39" t="str">
        <f>'R1'!AA29</f>
        <v/>
      </c>
      <c r="AR7" s="39" t="str">
        <f>'R1'!AB29</f>
        <v/>
      </c>
      <c r="AS7" s="39" t="str">
        <f>'R1'!AC29</f>
        <v/>
      </c>
      <c r="AT7" s="39" t="str">
        <f>'R1'!AD29</f>
        <v/>
      </c>
      <c r="AU7" s="39" t="str">
        <f>'R1'!AE29</f>
        <v/>
      </c>
      <c r="AV7" s="39" t="str">
        <f>'R1'!AF29</f>
        <v/>
      </c>
      <c r="AW7" s="39" t="str">
        <f>'R1'!AG29</f>
        <v/>
      </c>
      <c r="AX7" s="39" t="str">
        <f>'R1'!AH29</f>
        <v/>
      </c>
      <c r="AY7" s="39" t="str">
        <f>'R1'!AI29</f>
        <v/>
      </c>
      <c r="AZ7" s="39" t="str">
        <f>'R1'!AJ29</f>
        <v/>
      </c>
      <c r="BA7" s="39" t="str">
        <f>'R1'!AK29</f>
        <v/>
      </c>
    </row>
    <row r="8" spans="1:53" s="1" customFormat="1" x14ac:dyDescent="0.25">
      <c r="A8" s="160"/>
      <c r="B8" s="39">
        <f>'R1'!B30</f>
        <v>1.7693794594633168E-2</v>
      </c>
      <c r="C8" s="39">
        <f>'R1'!C30</f>
        <v>8.4383593902616332E-3</v>
      </c>
      <c r="D8" s="39">
        <f>'R1'!D30</f>
        <v>0.11638870330246702</v>
      </c>
      <c r="E8" s="39">
        <f>'R1'!E30</f>
        <v>0.11200717884951086</v>
      </c>
      <c r="F8" s="39">
        <f>'R1'!F30</f>
        <v>0.70527914824306404</v>
      </c>
      <c r="G8" s="39">
        <f>'R1'!G30</f>
        <v>1.0557761283629672</v>
      </c>
      <c r="H8" s="39">
        <f>'R1'!H30</f>
        <v>0.95567185307621016</v>
      </c>
      <c r="I8" s="39">
        <f>'R1'!I30</f>
        <v>0.13219501708633977</v>
      </c>
      <c r="J8" s="39">
        <f>'R1'!J30</f>
        <v>2.1729221432005643E-2</v>
      </c>
      <c r="K8" s="39">
        <f>'R1'!K30</f>
        <v>8.8130011390893177E-4</v>
      </c>
      <c r="L8" s="39">
        <f>'R1'!L30</f>
        <v>0</v>
      </c>
      <c r="M8" s="39">
        <f>'R1'!M30</f>
        <v>2.9553881957520976E-2</v>
      </c>
      <c r="N8" s="39" t="e">
        <f>'R1'!#REF!</f>
        <v>#REF!</v>
      </c>
      <c r="O8" s="39" t="e">
        <f>'R1'!#REF!</f>
        <v>#REF!</v>
      </c>
      <c r="P8" s="39" t="e">
        <f>'R1'!#REF!</f>
        <v>#REF!</v>
      </c>
      <c r="Q8" s="39" t="e">
        <f>'R1'!#REF!</f>
        <v>#REF!</v>
      </c>
      <c r="R8" s="39" t="e">
        <f>'R1'!#REF!</f>
        <v>#REF!</v>
      </c>
      <c r="S8" s="39" t="e">
        <f>'R1'!#REF!</f>
        <v>#REF!</v>
      </c>
      <c r="T8" s="39" t="e">
        <f>'R1'!#REF!</f>
        <v>#REF!</v>
      </c>
      <c r="U8" s="39" t="e">
        <f>'R1'!#REF!</f>
        <v>#REF!</v>
      </c>
      <c r="V8" s="39" t="e">
        <f>'R1'!#REF!</f>
        <v>#REF!</v>
      </c>
      <c r="W8" s="39" t="e">
        <f>'R1'!#REF!</f>
        <v>#REF!</v>
      </c>
      <c r="X8" s="39" t="e">
        <f>'R1'!#REF!</f>
        <v>#REF!</v>
      </c>
      <c r="Y8" s="39" t="e">
        <f>'R1'!#REF!</f>
        <v>#REF!</v>
      </c>
      <c r="Z8" s="39" t="e">
        <f>'R1'!#REF!</f>
        <v>#REF!</v>
      </c>
      <c r="AA8" s="39" t="e">
        <f>'R1'!#REF!</f>
        <v>#REF!</v>
      </c>
      <c r="AB8" s="39" t="e">
        <f>'R1'!#REF!</f>
        <v>#REF!</v>
      </c>
      <c r="AC8" s="39" t="e">
        <f>'R1'!#REF!</f>
        <v>#REF!</v>
      </c>
      <c r="AD8"/>
      <c r="AE8" s="39">
        <f>'R1'!O30</f>
        <v>1.2011371269081084</v>
      </c>
      <c r="AF8" s="39">
        <f>'R1'!P30</f>
        <v>0.47852455375261693</v>
      </c>
      <c r="AG8" s="39">
        <f>'R1'!Q30</f>
        <v>0.2045294187433267</v>
      </c>
      <c r="AH8" s="39">
        <f>'R1'!R30</f>
        <v>1.1441023806699129</v>
      </c>
      <c r="AI8" s="39">
        <f>'R1'!S30</f>
        <v>0.96474531943115105</v>
      </c>
      <c r="AJ8" s="39">
        <f>'R1'!T30</f>
        <v>0.90705049011168781</v>
      </c>
      <c r="AK8" s="39">
        <f>'R1'!U30</f>
        <v>0.65172321824398272</v>
      </c>
      <c r="AL8" s="39">
        <f>'R1'!V30</f>
        <v>1.5887236401619522</v>
      </c>
      <c r="AM8" s="39" t="str">
        <f>'R1'!W30</f>
        <v/>
      </c>
      <c r="AN8" s="39" t="str">
        <f>'R1'!X30</f>
        <v/>
      </c>
      <c r="AO8" s="39" t="str">
        <f>'R1'!Y30</f>
        <v/>
      </c>
      <c r="AP8" s="39" t="str">
        <f>'R1'!Z30</f>
        <v/>
      </c>
      <c r="AQ8" s="39" t="str">
        <f>'R1'!AA30</f>
        <v/>
      </c>
      <c r="AR8" s="39" t="str">
        <f>'R1'!AB30</f>
        <v/>
      </c>
      <c r="AS8" s="39" t="str">
        <f>'R1'!AC30</f>
        <v/>
      </c>
      <c r="AT8" s="39" t="str">
        <f>'R1'!AD30</f>
        <v/>
      </c>
      <c r="AU8" s="39" t="str">
        <f>'R1'!AE30</f>
        <v/>
      </c>
      <c r="AV8" s="39" t="str">
        <f>'R1'!AF30</f>
        <v/>
      </c>
      <c r="AW8" s="39" t="str">
        <f>'R1'!AG30</f>
        <v/>
      </c>
      <c r="AX8" s="39" t="str">
        <f>'R1'!AH30</f>
        <v/>
      </c>
      <c r="AY8" s="39" t="str">
        <f>'R1'!AI30</f>
        <v/>
      </c>
      <c r="AZ8" s="39" t="str">
        <f>'R1'!AJ30</f>
        <v/>
      </c>
      <c r="BA8" s="39" t="str">
        <f>'R1'!AK30</f>
        <v/>
      </c>
    </row>
    <row r="9" spans="1:53" s="1" customFormat="1" x14ac:dyDescent="0.25">
      <c r="A9" s="160"/>
      <c r="B9" s="39">
        <f>'R1'!B31</f>
        <v>1.247378622763411E-2</v>
      </c>
      <c r="C9" s="39">
        <f>'R1'!C31</f>
        <v>1.6216635699255445E-2</v>
      </c>
      <c r="D9" s="39">
        <f>'R1'!D31</f>
        <v>1.8264677259513449E-2</v>
      </c>
      <c r="E9" s="39">
        <f>'R1'!E31</f>
        <v>0.39594994429433994</v>
      </c>
      <c r="F9" s="39">
        <f>'R1'!F31</f>
        <v>0.74392076862214795</v>
      </c>
      <c r="G9" s="39">
        <f>'R1'!G31</f>
        <v>0.6826186744639724</v>
      </c>
      <c r="H9" s="39">
        <f>'R1'!H31</f>
        <v>1.2837545525662515</v>
      </c>
      <c r="I9" s="39">
        <f>'R1'!I31</f>
        <v>1.7297744745872475E-2</v>
      </c>
      <c r="J9" s="39">
        <f>'R1'!J31</f>
        <v>3.3000586046735669E-2</v>
      </c>
      <c r="K9" s="39">
        <f>'R1'!K31</f>
        <v>4.8674883214354842E-2</v>
      </c>
      <c r="L9" s="39">
        <f>'R1'!L31</f>
        <v>2.7798417763014116E-2</v>
      </c>
      <c r="M9" s="39">
        <f>'R1'!M31</f>
        <v>5.6328278940406096E-2</v>
      </c>
      <c r="N9" s="39" t="e">
        <f>'R1'!#REF!</f>
        <v>#REF!</v>
      </c>
      <c r="O9" s="39" t="e">
        <f>'R1'!#REF!</f>
        <v>#REF!</v>
      </c>
      <c r="P9" s="39" t="e">
        <f>'R1'!#REF!</f>
        <v>#REF!</v>
      </c>
      <c r="Q9" s="39" t="e">
        <f>'R1'!#REF!</f>
        <v>#REF!</v>
      </c>
      <c r="R9" s="39" t="e">
        <f>'R1'!#REF!</f>
        <v>#REF!</v>
      </c>
      <c r="S9" s="39" t="e">
        <f>'R1'!#REF!</f>
        <v>#REF!</v>
      </c>
      <c r="T9" s="39" t="e">
        <f>'R1'!#REF!</f>
        <v>#REF!</v>
      </c>
      <c r="U9" s="39" t="e">
        <f>'R1'!#REF!</f>
        <v>#REF!</v>
      </c>
      <c r="V9" s="39" t="e">
        <f>'R1'!#REF!</f>
        <v>#REF!</v>
      </c>
      <c r="W9" s="39" t="e">
        <f>'R1'!#REF!</f>
        <v>#REF!</v>
      </c>
      <c r="X9" s="39" t="e">
        <f>'R1'!#REF!</f>
        <v>#REF!</v>
      </c>
      <c r="Y9" s="39" t="e">
        <f>'R1'!#REF!</f>
        <v>#REF!</v>
      </c>
      <c r="Z9" s="39" t="e">
        <f>'R1'!#REF!</f>
        <v>#REF!</v>
      </c>
      <c r="AA9" s="39" t="e">
        <f>'R1'!#REF!</f>
        <v>#REF!</v>
      </c>
      <c r="AB9" s="39" t="e">
        <f>'R1'!#REF!</f>
        <v>#REF!</v>
      </c>
      <c r="AC9" s="39" t="e">
        <f>'R1'!#REF!</f>
        <v>#REF!</v>
      </c>
      <c r="AD9"/>
      <c r="AE9" s="39">
        <f>'R1'!O31</f>
        <v>0.88114668919274519</v>
      </c>
      <c r="AF9" s="39">
        <f>'R1'!P31</f>
        <v>1.1343545591670823</v>
      </c>
      <c r="AG9" s="39">
        <f>'R1'!Q31</f>
        <v>4.9820216560770902E-2</v>
      </c>
      <c r="AH9" s="39">
        <f>'R1'!R31</f>
        <v>1.1904794611581246</v>
      </c>
      <c r="AI9" s="39">
        <f>'R1'!S31</f>
        <v>0.77111975958703771</v>
      </c>
      <c r="AJ9" s="39">
        <f>'R1'!T31</f>
        <v>1.0596224503175982</v>
      </c>
      <c r="AK9" s="39">
        <f>'R1'!U31</f>
        <v>1.093293823495568</v>
      </c>
      <c r="AL9" s="39">
        <f>'R1'!V31</f>
        <v>1.6449056304194829</v>
      </c>
      <c r="AM9" s="39" t="str">
        <f>'R1'!W31</f>
        <v/>
      </c>
      <c r="AN9" s="39" t="str">
        <f>'R1'!X31</f>
        <v/>
      </c>
      <c r="AO9" s="39" t="str">
        <f>'R1'!Y31</f>
        <v/>
      </c>
      <c r="AP9" s="39" t="str">
        <f>'R1'!Z31</f>
        <v/>
      </c>
      <c r="AQ9" s="39" t="str">
        <f>'R1'!AA31</f>
        <v/>
      </c>
      <c r="AR9" s="39" t="str">
        <f>'R1'!AB31</f>
        <v/>
      </c>
      <c r="AS9" s="39" t="str">
        <f>'R1'!AC31</f>
        <v/>
      </c>
      <c r="AT9" s="39" t="str">
        <f>'R1'!AD31</f>
        <v/>
      </c>
      <c r="AU9" s="39" t="str">
        <f>'R1'!AE31</f>
        <v/>
      </c>
      <c r="AV9" s="39" t="str">
        <f>'R1'!AF31</f>
        <v/>
      </c>
      <c r="AW9" s="39" t="str">
        <f>'R1'!AG31</f>
        <v/>
      </c>
      <c r="AX9" s="39" t="str">
        <f>'R1'!AH31</f>
        <v/>
      </c>
      <c r="AY9" s="39" t="str">
        <f>'R1'!AI31</f>
        <v/>
      </c>
      <c r="AZ9" s="39" t="str">
        <f>'R1'!AJ31</f>
        <v/>
      </c>
      <c r="BA9" s="39" t="str">
        <f>'R1'!AK31</f>
        <v/>
      </c>
    </row>
    <row r="10" spans="1:53" s="1" customFormat="1" x14ac:dyDescent="0.25">
      <c r="A10" s="160"/>
      <c r="B10" s="39">
        <f>'R1'!B32</f>
        <v>6.6315157559155485E-2</v>
      </c>
      <c r="C10" s="39">
        <f>'R1'!C32</f>
        <v>2.1722085398694642E-2</v>
      </c>
      <c r="D10" s="39">
        <f>'R1'!D32</f>
        <v>0.16325103405582697</v>
      </c>
      <c r="E10" s="39">
        <f>'R1'!E32</f>
        <v>0.49231850614278666</v>
      </c>
      <c r="F10" s="39">
        <f>'R1'!F32</f>
        <v>1.6641229681260153E-2</v>
      </c>
      <c r="G10" s="39">
        <f>'R1'!G32</f>
        <v>1.3267991054982244</v>
      </c>
      <c r="H10" s="39">
        <f>'R1'!H32</f>
        <v>1.4773836804270202</v>
      </c>
      <c r="I10" s="39">
        <f>'R1'!I32</f>
        <v>6.1983585339376361E-2</v>
      </c>
      <c r="J10" s="39">
        <f>'R1'!J32</f>
        <v>2.3541773893000533E-2</v>
      </c>
      <c r="K10" s="39">
        <f>'R1'!K32</f>
        <v>2.2043206897689797E-2</v>
      </c>
      <c r="L10" s="39">
        <f>'R1'!L32</f>
        <v>3.8159938130591195E-2</v>
      </c>
      <c r="M10" s="39">
        <f>'R1'!M32</f>
        <v>8.8576013472830895E-2</v>
      </c>
      <c r="N10" s="39" t="e">
        <f>'R1'!#REF!</f>
        <v>#REF!</v>
      </c>
      <c r="O10" s="39" t="e">
        <f>'R1'!#REF!</f>
        <v>#REF!</v>
      </c>
      <c r="P10" s="39" t="e">
        <f>'R1'!#REF!</f>
        <v>#REF!</v>
      </c>
      <c r="Q10" s="39" t="e">
        <f>'R1'!#REF!</f>
        <v>#REF!</v>
      </c>
      <c r="R10" s="39" t="e">
        <f>'R1'!#REF!</f>
        <v>#REF!</v>
      </c>
      <c r="S10" s="39" t="e">
        <f>'R1'!#REF!</f>
        <v>#REF!</v>
      </c>
      <c r="T10" s="39" t="e">
        <f>'R1'!#REF!</f>
        <v>#REF!</v>
      </c>
      <c r="U10" s="39" t="e">
        <f>'R1'!#REF!</f>
        <v>#REF!</v>
      </c>
      <c r="V10" s="39" t="e">
        <f>'R1'!#REF!</f>
        <v>#REF!</v>
      </c>
      <c r="W10" s="39" t="e">
        <f>'R1'!#REF!</f>
        <v>#REF!</v>
      </c>
      <c r="X10" s="39" t="e">
        <f>'R1'!#REF!</f>
        <v>#REF!</v>
      </c>
      <c r="Y10" s="39" t="e">
        <f>'R1'!#REF!</f>
        <v>#REF!</v>
      </c>
      <c r="Z10" s="39" t="e">
        <f>'R1'!#REF!</f>
        <v>#REF!</v>
      </c>
      <c r="AA10" s="39" t="e">
        <f>'R1'!#REF!</f>
        <v>#REF!</v>
      </c>
      <c r="AB10" s="39" t="e">
        <f>'R1'!#REF!</f>
        <v>#REF!</v>
      </c>
      <c r="AC10" s="39" t="e">
        <f>'R1'!#REF!</f>
        <v>#REF!</v>
      </c>
      <c r="AD10"/>
      <c r="AE10" s="39">
        <f>'R1'!O32</f>
        <v>1.2636951629290205</v>
      </c>
      <c r="AF10" s="39">
        <f>'R1'!P32</f>
        <v>1.654657019938969</v>
      </c>
      <c r="AG10" s="39">
        <f>'R1'!Q32</f>
        <v>4.9452710845254225E-3</v>
      </c>
      <c r="AH10" s="39">
        <f>'R1'!R32</f>
        <v>0.91319461479246189</v>
      </c>
      <c r="AI10" s="39">
        <f>'R1'!S32</f>
        <v>0.7373520499593692</v>
      </c>
      <c r="AJ10" s="39">
        <f>'R1'!T32</f>
        <v>0.94091096817239939</v>
      </c>
      <c r="AK10" s="39">
        <f>'R1'!U32</f>
        <v>0.95035194024285707</v>
      </c>
      <c r="AL10" s="39">
        <f>'R1'!V32</f>
        <v>1.0814087600160918</v>
      </c>
      <c r="AM10" s="39" t="str">
        <f>'R1'!W32</f>
        <v/>
      </c>
      <c r="AN10" s="39" t="str">
        <f>'R1'!X32</f>
        <v/>
      </c>
      <c r="AO10" s="39" t="str">
        <f>'R1'!Y32</f>
        <v/>
      </c>
      <c r="AP10" s="39" t="str">
        <f>'R1'!Z32</f>
        <v/>
      </c>
      <c r="AQ10" s="39" t="str">
        <f>'R1'!AA32</f>
        <v/>
      </c>
      <c r="AR10" s="39" t="str">
        <f>'R1'!AB32</f>
        <v/>
      </c>
      <c r="AS10" s="39" t="str">
        <f>'R1'!AC32</f>
        <v/>
      </c>
      <c r="AT10" s="39" t="str">
        <f>'R1'!AD32</f>
        <v/>
      </c>
      <c r="AU10" s="39" t="str">
        <f>'R1'!AE32</f>
        <v/>
      </c>
      <c r="AV10" s="39" t="str">
        <f>'R1'!AF32</f>
        <v/>
      </c>
      <c r="AW10" s="39" t="str">
        <f>'R1'!AG32</f>
        <v/>
      </c>
      <c r="AX10" s="39" t="str">
        <f>'R1'!AH32</f>
        <v/>
      </c>
      <c r="AY10" s="39" t="str">
        <f>'R1'!AI32</f>
        <v/>
      </c>
      <c r="AZ10" s="39" t="str">
        <f>'R1'!AJ32</f>
        <v/>
      </c>
      <c r="BA10" s="39" t="str">
        <f>'R1'!AK32</f>
        <v/>
      </c>
    </row>
    <row r="11" spans="1:53" s="1" customFormat="1" x14ac:dyDescent="0.25">
      <c r="A11" s="160"/>
      <c r="B11" s="39">
        <f>'R1'!B33</f>
        <v>6.2779253053553252E-2</v>
      </c>
      <c r="C11" s="39">
        <f>'R1'!C33</f>
        <v>8.6399523312974819E-2</v>
      </c>
      <c r="D11" s="39">
        <f>'R1'!D33</f>
        <v>5.7855390068960844E-2</v>
      </c>
      <c r="E11" s="39">
        <f>'R1'!E33</f>
        <v>0</v>
      </c>
      <c r="F11" s="39">
        <f>'R1'!F33</f>
        <v>0.84853858497811463</v>
      </c>
      <c r="G11" s="39">
        <f>'R1'!G33</f>
        <v>0.90209451497719595</v>
      </c>
      <c r="H11" s="39">
        <f>'R1'!H33</f>
        <v>1.6332203758727146</v>
      </c>
      <c r="I11" s="39">
        <f>'R1'!I33</f>
        <v>0.16695820336089329</v>
      </c>
      <c r="J11" s="39">
        <f>'R1'!J33</f>
        <v>3.9654937109246426E-2</v>
      </c>
      <c r="K11" s="39">
        <f>'R1'!K33</f>
        <v>1.6473532898451569E-2</v>
      </c>
      <c r="L11" s="39">
        <f>'R1'!L33</f>
        <v>8.6774165061802508E-3</v>
      </c>
      <c r="M11" s="39">
        <f>'R1'!M33</f>
        <v>0.77965802344365343</v>
      </c>
      <c r="N11" s="39" t="e">
        <f>'R1'!#REF!</f>
        <v>#REF!</v>
      </c>
      <c r="O11" s="39" t="e">
        <f>'R1'!#REF!</f>
        <v>#REF!</v>
      </c>
      <c r="P11" s="39" t="e">
        <f>'R1'!#REF!</f>
        <v>#REF!</v>
      </c>
      <c r="Q11" s="39" t="e">
        <f>'R1'!#REF!</f>
        <v>#REF!</v>
      </c>
      <c r="R11" s="39" t="e">
        <f>'R1'!#REF!</f>
        <v>#REF!</v>
      </c>
      <c r="S11" s="39" t="e">
        <f>'R1'!#REF!</f>
        <v>#REF!</v>
      </c>
      <c r="T11" s="39" t="e">
        <f>'R1'!#REF!</f>
        <v>#REF!</v>
      </c>
      <c r="U11" s="39" t="e">
        <f>'R1'!#REF!</f>
        <v>#REF!</v>
      </c>
      <c r="V11" s="39" t="e">
        <f>'R1'!#REF!</f>
        <v>#REF!</v>
      </c>
      <c r="W11" s="39" t="e">
        <f>'R1'!#REF!</f>
        <v>#REF!</v>
      </c>
      <c r="X11" s="39" t="e">
        <f>'R1'!#REF!</f>
        <v>#REF!</v>
      </c>
      <c r="Y11" s="39" t="e">
        <f>'R1'!#REF!</f>
        <v>#REF!</v>
      </c>
      <c r="Z11" s="39" t="e">
        <f>'R1'!#REF!</f>
        <v>#REF!</v>
      </c>
      <c r="AA11" s="39" t="e">
        <f>'R1'!#REF!</f>
        <v>#REF!</v>
      </c>
      <c r="AB11" s="39" t="e">
        <f>'R1'!#REF!</f>
        <v>#REF!</v>
      </c>
      <c r="AC11" s="39" t="e">
        <f>'R1'!#REF!</f>
        <v>#REF!</v>
      </c>
      <c r="AD11"/>
      <c r="AE11" s="39">
        <f>'R1'!O33</f>
        <v>1.2078771103703512</v>
      </c>
      <c r="AF11" s="39">
        <f>'R1'!P33</f>
        <v>0.94491071484321687</v>
      </c>
      <c r="AG11" s="39">
        <f>'R1'!Q33</f>
        <v>0.24832325517295514</v>
      </c>
      <c r="AH11" s="39">
        <f>'R1'!R33</f>
        <v>1.3396760776079302</v>
      </c>
      <c r="AI11" s="39">
        <f>'R1'!S33</f>
        <v>0.42715938598001374</v>
      </c>
      <c r="AJ11" s="39">
        <f>'R1'!T33</f>
        <v>0.73980327740169893</v>
      </c>
      <c r="AK11" s="39">
        <f>'R1'!U33</f>
        <v>1.3133262746070498</v>
      </c>
      <c r="AL11" s="39">
        <f>'R1'!V33</f>
        <v>1.3681203063855902</v>
      </c>
      <c r="AM11" s="39" t="str">
        <f>'R1'!W33</f>
        <v/>
      </c>
      <c r="AN11" s="39" t="str">
        <f>'R1'!X33</f>
        <v/>
      </c>
      <c r="AO11" s="39" t="str">
        <f>'R1'!Y33</f>
        <v/>
      </c>
      <c r="AP11" s="39" t="str">
        <f>'R1'!Z33</f>
        <v/>
      </c>
      <c r="AQ11" s="39" t="str">
        <f>'R1'!AA33</f>
        <v/>
      </c>
      <c r="AR11" s="39" t="str">
        <f>'R1'!AB33</f>
        <v/>
      </c>
      <c r="AS11" s="39" t="str">
        <f>'R1'!AC33</f>
        <v/>
      </c>
      <c r="AT11" s="39" t="str">
        <f>'R1'!AD33</f>
        <v/>
      </c>
      <c r="AU11" s="39" t="str">
        <f>'R1'!AE33</f>
        <v/>
      </c>
      <c r="AV11" s="39" t="str">
        <f>'R1'!AF33</f>
        <v/>
      </c>
      <c r="AW11" s="39" t="str">
        <f>'R1'!AG33</f>
        <v/>
      </c>
      <c r="AX11" s="39" t="str">
        <f>'R1'!AH33</f>
        <v/>
      </c>
      <c r="AY11" s="39" t="str">
        <f>'R1'!AI33</f>
        <v/>
      </c>
      <c r="AZ11" s="39" t="str">
        <f>'R1'!AJ33</f>
        <v/>
      </c>
      <c r="BA11" s="39" t="str">
        <f>'R1'!AK33</f>
        <v/>
      </c>
    </row>
    <row r="12" spans="1:53" s="1" customFormat="1" x14ac:dyDescent="0.25">
      <c r="A12" s="160"/>
      <c r="B12" s="39">
        <f>'R1'!B34</f>
        <v>4.0029578858074108E-2</v>
      </c>
      <c r="C12" s="39">
        <f>'R1'!C34</f>
        <v>1.0272319951189532E-2</v>
      </c>
      <c r="D12" s="39">
        <f>'R1'!D34</f>
        <v>0.17926786082237431</v>
      </c>
      <c r="E12" s="39">
        <f>'R1'!E34</f>
        <v>0.59639755198377264</v>
      </c>
      <c r="F12" s="39">
        <f>'R1'!F34</f>
        <v>0.7121226041883163</v>
      </c>
      <c r="G12" s="39">
        <f>'R1'!G34</f>
        <v>0.87712196640533913</v>
      </c>
      <c r="H12" s="39">
        <f>'R1'!H34</f>
        <v>1.3999684230525988</v>
      </c>
      <c r="I12" s="39">
        <f>'R1'!I34</f>
        <v>2.7616448913583527E-3</v>
      </c>
      <c r="J12" s="39">
        <f>'R1'!J34</f>
        <v>8.8130011390893173E-3</v>
      </c>
      <c r="K12" s="39">
        <f>'R1'!K34</f>
        <v>2.304581957788579E-2</v>
      </c>
      <c r="L12" s="39">
        <f>'R1'!L34</f>
        <v>5.2770966334870851E-3</v>
      </c>
      <c r="M12" s="39">
        <f>'R1'!M34</f>
        <v>1.5428104018389557E-2</v>
      </c>
      <c r="N12" s="39" t="e">
        <f>'R1'!#REF!</f>
        <v>#REF!</v>
      </c>
      <c r="O12" s="39" t="e">
        <f>'R1'!#REF!</f>
        <v>#REF!</v>
      </c>
      <c r="P12" s="39" t="e">
        <f>'R1'!#REF!</f>
        <v>#REF!</v>
      </c>
      <c r="Q12" s="39" t="e">
        <f>'R1'!#REF!</f>
        <v>#REF!</v>
      </c>
      <c r="R12" s="39" t="e">
        <f>'R1'!#REF!</f>
        <v>#REF!</v>
      </c>
      <c r="S12" s="39" t="e">
        <f>'R1'!#REF!</f>
        <v>#REF!</v>
      </c>
      <c r="T12" s="39" t="e">
        <f>'R1'!#REF!</f>
        <v>#REF!</v>
      </c>
      <c r="U12" s="39" t="e">
        <f>'R1'!#REF!</f>
        <v>#REF!</v>
      </c>
      <c r="V12" s="39" t="e">
        <f>'R1'!#REF!</f>
        <v>#REF!</v>
      </c>
      <c r="W12" s="39" t="e">
        <f>'R1'!#REF!</f>
        <v>#REF!</v>
      </c>
      <c r="X12" s="39" t="e">
        <f>'R1'!#REF!</f>
        <v>#REF!</v>
      </c>
      <c r="Y12" s="39" t="e">
        <f>'R1'!#REF!</f>
        <v>#REF!</v>
      </c>
      <c r="Z12" s="39" t="e">
        <f>'R1'!#REF!</f>
        <v>#REF!</v>
      </c>
      <c r="AA12" s="39" t="e">
        <f>'R1'!#REF!</f>
        <v>#REF!</v>
      </c>
      <c r="AB12" s="39" t="e">
        <f>'R1'!#REF!</f>
        <v>#REF!</v>
      </c>
      <c r="AC12" s="39" t="e">
        <f>'R1'!#REF!</f>
        <v>#REF!</v>
      </c>
      <c r="AD12"/>
      <c r="AE12" s="39">
        <f>'R1'!O34</f>
        <v>0.81486007576683372</v>
      </c>
      <c r="AF12" s="39">
        <f>'R1'!P34</f>
        <v>1.3165303535636905</v>
      </c>
      <c r="AG12" s="39">
        <f>'R1'!Q34</f>
        <v>5.4915344344827401E-2</v>
      </c>
      <c r="AH12" s="39">
        <f>'R1'!R34</f>
        <v>0.85870029641298362</v>
      </c>
      <c r="AI12" s="39">
        <f>'R1'!S34</f>
        <v>1.0857902844690479</v>
      </c>
      <c r="AJ12" s="39">
        <f>'R1'!T34</f>
        <v>1.2063143190752414</v>
      </c>
      <c r="AK12" s="39">
        <f>'R1'!U34</f>
        <v>0.18592934791819607</v>
      </c>
      <c r="AL12" s="39">
        <f>'R1'!V34</f>
        <v>1.2288784564046344</v>
      </c>
      <c r="AM12" s="39" t="str">
        <f>'R1'!W34</f>
        <v/>
      </c>
      <c r="AN12" s="39" t="str">
        <f>'R1'!X34</f>
        <v/>
      </c>
      <c r="AO12" s="39" t="str">
        <f>'R1'!Y34</f>
        <v/>
      </c>
      <c r="AP12" s="39" t="str">
        <f>'R1'!Z34</f>
        <v/>
      </c>
      <c r="AQ12" s="39" t="str">
        <f>'R1'!AA34</f>
        <v/>
      </c>
      <c r="AR12" s="39" t="str">
        <f>'R1'!AB34</f>
        <v/>
      </c>
      <c r="AS12" s="39" t="str">
        <f>'R1'!AC34</f>
        <v/>
      </c>
      <c r="AT12" s="39" t="str">
        <f>'R1'!AD34</f>
        <v/>
      </c>
      <c r="AU12" s="39" t="str">
        <f>'R1'!AE34</f>
        <v/>
      </c>
      <c r="AV12" s="39" t="str">
        <f>'R1'!AF34</f>
        <v/>
      </c>
      <c r="AW12" s="39" t="str">
        <f>'R1'!AG34</f>
        <v/>
      </c>
      <c r="AX12" s="39" t="str">
        <f>'R1'!AH34</f>
        <v/>
      </c>
      <c r="AY12" s="39" t="str">
        <f>'R1'!AI34</f>
        <v/>
      </c>
      <c r="AZ12" s="39" t="str">
        <f>'R1'!AJ34</f>
        <v/>
      </c>
      <c r="BA12" s="39" t="str">
        <f>'R1'!AK34</f>
        <v/>
      </c>
    </row>
    <row r="13" spans="1:53" s="1" customFormat="1" x14ac:dyDescent="0.25">
      <c r="A13" s="160"/>
      <c r="B13" s="39">
        <f>'R1'!B35</f>
        <v>6.125570994165401E-2</v>
      </c>
      <c r="C13" s="39">
        <f>'R1'!C35</f>
        <v>8.8308412223668253E-3</v>
      </c>
      <c r="D13" s="39">
        <f>'R1'!D35</f>
        <v>9.8530779941680774E-2</v>
      </c>
      <c r="E13" s="39">
        <f>'R1'!E35</f>
        <v>5.1093998506785032E-2</v>
      </c>
      <c r="F13" s="39">
        <f>'R1'!F35</f>
        <v>0.64283528875512785</v>
      </c>
      <c r="G13" s="39">
        <f>'R1'!G35</f>
        <v>0.93246190473217128</v>
      </c>
      <c r="H13" s="39">
        <f>'R1'!H35</f>
        <v>1.3206335727175174</v>
      </c>
      <c r="I13" s="39" t="str">
        <f>'R1'!I35</f>
        <v/>
      </c>
      <c r="J13" s="39">
        <f>'R1'!J35</f>
        <v>0.14812621145315508</v>
      </c>
      <c r="K13" s="39">
        <f>'R1'!K35</f>
        <v>0.10045750893565171</v>
      </c>
      <c r="L13" s="39" t="str">
        <f>'R1'!L35</f>
        <v/>
      </c>
      <c r="M13" s="39">
        <f>'R1'!M35</f>
        <v>8.4972316650774121E-2</v>
      </c>
      <c r="N13" s="39" t="e">
        <f>'R1'!#REF!</f>
        <v>#REF!</v>
      </c>
      <c r="O13" s="39" t="e">
        <f>'R1'!#REF!</f>
        <v>#REF!</v>
      </c>
      <c r="P13" s="39" t="e">
        <f>'R1'!#REF!</f>
        <v>#REF!</v>
      </c>
      <c r="Q13" s="39" t="e">
        <f>'R1'!#REF!</f>
        <v>#REF!</v>
      </c>
      <c r="R13" s="39" t="e">
        <f>'R1'!#REF!</f>
        <v>#REF!</v>
      </c>
      <c r="S13" s="39" t="e">
        <f>'R1'!#REF!</f>
        <v>#REF!</v>
      </c>
      <c r="T13" s="39" t="e">
        <f>'R1'!#REF!</f>
        <v>#REF!</v>
      </c>
      <c r="U13" s="39" t="e">
        <f>'R1'!#REF!</f>
        <v>#REF!</v>
      </c>
      <c r="V13" s="39" t="e">
        <f>'R1'!#REF!</f>
        <v>#REF!</v>
      </c>
      <c r="W13" s="39" t="e">
        <f>'R1'!#REF!</f>
        <v>#REF!</v>
      </c>
      <c r="X13" s="39" t="e">
        <f>'R1'!#REF!</f>
        <v>#REF!</v>
      </c>
      <c r="Y13" s="39" t="e">
        <f>'R1'!#REF!</f>
        <v>#REF!</v>
      </c>
      <c r="Z13" s="39" t="e">
        <f>'R1'!#REF!</f>
        <v>#REF!</v>
      </c>
      <c r="AA13" s="39" t="e">
        <f>'R1'!#REF!</f>
        <v>#REF!</v>
      </c>
      <c r="AB13" s="39" t="e">
        <f>'R1'!#REF!</f>
        <v>#REF!</v>
      </c>
      <c r="AC13" s="39" t="e">
        <f>'R1'!#REF!</f>
        <v>#REF!</v>
      </c>
      <c r="AD13"/>
      <c r="AE13" s="39">
        <f>'R1'!O35</f>
        <v>1.2200690232822007</v>
      </c>
      <c r="AF13" s="39" t="str">
        <f>'R1'!P35</f>
        <v/>
      </c>
      <c r="AG13" s="39">
        <f>'R1'!Q35</f>
        <v>4.6205815688747636E-3</v>
      </c>
      <c r="AH13" s="39">
        <f>'R1'!R35</f>
        <v>1.4372149489193815</v>
      </c>
      <c r="AI13" s="39">
        <f>'R1'!S35</f>
        <v>1.0354919536764398</v>
      </c>
      <c r="AJ13" s="39">
        <f>'R1'!T35</f>
        <v>0.8270662607453052</v>
      </c>
      <c r="AK13" s="39" t="str">
        <f>'R1'!U35</f>
        <v/>
      </c>
      <c r="AL13" s="39">
        <f>'R1'!V35</f>
        <v>1.449278413231633</v>
      </c>
      <c r="AM13" s="39" t="str">
        <f>'R1'!W35</f>
        <v/>
      </c>
      <c r="AN13" s="39" t="str">
        <f>'R1'!X35</f>
        <v/>
      </c>
      <c r="AO13" s="39" t="str">
        <f>'R1'!Y35</f>
        <v/>
      </c>
      <c r="AP13" s="39" t="str">
        <f>'R1'!Z35</f>
        <v/>
      </c>
      <c r="AQ13" s="39" t="str">
        <f>'R1'!AA35</f>
        <v/>
      </c>
      <c r="AR13" s="39" t="str">
        <f>'R1'!AB35</f>
        <v/>
      </c>
      <c r="AS13" s="39" t="str">
        <f>'R1'!AC35</f>
        <v/>
      </c>
      <c r="AT13" s="39" t="str">
        <f>'R1'!AD35</f>
        <v/>
      </c>
      <c r="AU13" s="39" t="str">
        <f>'R1'!AE35</f>
        <v/>
      </c>
      <c r="AV13" s="39" t="str">
        <f>'R1'!AF35</f>
        <v/>
      </c>
      <c r="AW13" s="39" t="str">
        <f>'R1'!AG35</f>
        <v/>
      </c>
      <c r="AX13" s="39" t="str">
        <f>'R1'!AH35</f>
        <v/>
      </c>
      <c r="AY13" s="39" t="str">
        <f>'R1'!AI35</f>
        <v/>
      </c>
      <c r="AZ13" s="39" t="str">
        <f>'R1'!AJ35</f>
        <v/>
      </c>
      <c r="BA13" s="39" t="str">
        <f>'R1'!AK35</f>
        <v/>
      </c>
    </row>
    <row r="14" spans="1:53" s="1" customFormat="1" x14ac:dyDescent="0.25">
      <c r="A14" s="160"/>
      <c r="B14" s="39" t="str">
        <f>'R1'!B36</f>
        <v/>
      </c>
      <c r="C14" s="39" t="str">
        <f>'R1'!C36</f>
        <v/>
      </c>
      <c r="D14" s="39" t="str">
        <f>'R1'!D36</f>
        <v/>
      </c>
      <c r="E14" s="39" t="str">
        <f>'R1'!E36</f>
        <v/>
      </c>
      <c r="F14" s="39" t="str">
        <f>'R1'!F36</f>
        <v/>
      </c>
      <c r="G14" s="39" t="str">
        <f>'R1'!G36</f>
        <v/>
      </c>
      <c r="H14" s="39" t="str">
        <f>'R1'!H36</f>
        <v/>
      </c>
      <c r="I14" s="39" t="str">
        <f>'R1'!I36</f>
        <v/>
      </c>
      <c r="J14" s="39" t="str">
        <f>'R1'!J36</f>
        <v/>
      </c>
      <c r="K14" s="39" t="str">
        <f>'R1'!K36</f>
        <v/>
      </c>
      <c r="L14" s="39" t="str">
        <f>'R1'!L36</f>
        <v/>
      </c>
      <c r="M14" s="39" t="str">
        <f>'R1'!M36</f>
        <v/>
      </c>
      <c r="N14" s="39" t="e">
        <f>'R1'!#REF!</f>
        <v>#REF!</v>
      </c>
      <c r="O14" s="39" t="e">
        <f>'R1'!#REF!</f>
        <v>#REF!</v>
      </c>
      <c r="P14" s="39" t="e">
        <f>'R1'!#REF!</f>
        <v>#REF!</v>
      </c>
      <c r="Q14" s="39" t="e">
        <f>'R1'!#REF!</f>
        <v>#REF!</v>
      </c>
      <c r="R14" s="39" t="e">
        <f>'R1'!#REF!</f>
        <v>#REF!</v>
      </c>
      <c r="S14" s="39" t="e">
        <f>'R1'!#REF!</f>
        <v>#REF!</v>
      </c>
      <c r="T14" s="39" t="e">
        <f>'R1'!#REF!</f>
        <v>#REF!</v>
      </c>
      <c r="U14" s="39" t="e">
        <f>'R1'!#REF!</f>
        <v>#REF!</v>
      </c>
      <c r="V14" s="39" t="e">
        <f>'R1'!#REF!</f>
        <v>#REF!</v>
      </c>
      <c r="W14" s="39" t="e">
        <f>'R1'!#REF!</f>
        <v>#REF!</v>
      </c>
      <c r="X14" s="39" t="e">
        <f>'R1'!#REF!</f>
        <v>#REF!</v>
      </c>
      <c r="Y14" s="39" t="e">
        <f>'R1'!#REF!</f>
        <v>#REF!</v>
      </c>
      <c r="Z14" s="39" t="e">
        <f>'R1'!#REF!</f>
        <v>#REF!</v>
      </c>
      <c r="AA14" s="39" t="e">
        <f>'R1'!#REF!</f>
        <v>#REF!</v>
      </c>
      <c r="AB14" s="39" t="e">
        <f>'R1'!#REF!</f>
        <v>#REF!</v>
      </c>
      <c r="AC14" s="39" t="e">
        <f>'R1'!#REF!</f>
        <v>#REF!</v>
      </c>
      <c r="AD14"/>
      <c r="AE14" s="39">
        <f>'R1'!O36</f>
        <v>1.0780298482433317</v>
      </c>
      <c r="AF14" s="39" t="str">
        <f>'R1'!P36</f>
        <v/>
      </c>
      <c r="AG14" s="39" t="str">
        <f>'R1'!Q36</f>
        <v/>
      </c>
      <c r="AH14" s="39" t="str">
        <f>'R1'!R36</f>
        <v/>
      </c>
      <c r="AI14" s="39" t="str">
        <f>'R1'!S36</f>
        <v/>
      </c>
      <c r="AJ14" s="39" t="str">
        <f>'R1'!T36</f>
        <v/>
      </c>
      <c r="AK14" s="39" t="str">
        <f>'R1'!U36</f>
        <v/>
      </c>
      <c r="AL14" s="39" t="str">
        <f>'R1'!V36</f>
        <v/>
      </c>
      <c r="AM14" s="39" t="str">
        <f>'R1'!W36</f>
        <v/>
      </c>
      <c r="AN14" s="39" t="str">
        <f>'R1'!X36</f>
        <v/>
      </c>
      <c r="AO14" s="39" t="str">
        <f>'R1'!Y36</f>
        <v/>
      </c>
      <c r="AP14" s="39" t="str">
        <f>'R1'!Z36</f>
        <v/>
      </c>
      <c r="AQ14" s="39" t="str">
        <f>'R1'!AA36</f>
        <v/>
      </c>
      <c r="AR14" s="39" t="str">
        <f>'R1'!AB36</f>
        <v/>
      </c>
      <c r="AS14" s="39" t="str">
        <f>'R1'!AC36</f>
        <v/>
      </c>
      <c r="AT14" s="39" t="str">
        <f>'R1'!AD36</f>
        <v/>
      </c>
      <c r="AU14" s="39" t="str">
        <f>'R1'!AE36</f>
        <v/>
      </c>
      <c r="AV14" s="39" t="str">
        <f>'R1'!AF36</f>
        <v/>
      </c>
      <c r="AW14" s="39" t="str">
        <f>'R1'!AG36</f>
        <v/>
      </c>
      <c r="AX14" s="39" t="str">
        <f>'R1'!AH36</f>
        <v/>
      </c>
      <c r="AY14" s="39" t="str">
        <f>'R1'!AI36</f>
        <v/>
      </c>
      <c r="AZ14" s="39" t="str">
        <f>'R1'!AJ36</f>
        <v/>
      </c>
      <c r="BA14" s="39" t="str">
        <f>'R1'!AK36</f>
        <v/>
      </c>
    </row>
    <row r="15" spans="1:53" s="1" customFormat="1" x14ac:dyDescent="0.25">
      <c r="A15" s="160"/>
      <c r="B15" s="39" t="str">
        <f>'R1'!B37</f>
        <v/>
      </c>
      <c r="C15" s="39" t="str">
        <f>'R1'!C37</f>
        <v/>
      </c>
      <c r="D15" s="39" t="str">
        <f>'R1'!D37</f>
        <v/>
      </c>
      <c r="E15" s="39" t="str">
        <f>'R1'!E37</f>
        <v/>
      </c>
      <c r="F15" s="39" t="str">
        <f>'R1'!F37</f>
        <v/>
      </c>
      <c r="G15" s="39" t="str">
        <f>'R1'!G37</f>
        <v/>
      </c>
      <c r="H15" s="39" t="str">
        <f>'R1'!H37</f>
        <v/>
      </c>
      <c r="I15" s="39" t="str">
        <f>'R1'!I37</f>
        <v/>
      </c>
      <c r="J15" s="39" t="str">
        <f>'R1'!J37</f>
        <v/>
      </c>
      <c r="K15" s="39" t="str">
        <f>'R1'!K37</f>
        <v/>
      </c>
      <c r="L15" s="39" t="str">
        <f>'R1'!L37</f>
        <v/>
      </c>
      <c r="M15" s="39" t="str">
        <f>'R1'!M37</f>
        <v/>
      </c>
      <c r="N15" s="39" t="e">
        <f>'R1'!#REF!</f>
        <v>#REF!</v>
      </c>
      <c r="O15" s="39" t="e">
        <f>'R1'!#REF!</f>
        <v>#REF!</v>
      </c>
      <c r="P15" s="39" t="e">
        <f>'R1'!#REF!</f>
        <v>#REF!</v>
      </c>
      <c r="Q15" s="39" t="e">
        <f>'R1'!#REF!</f>
        <v>#REF!</v>
      </c>
      <c r="R15" s="39" t="e">
        <f>'R1'!#REF!</f>
        <v>#REF!</v>
      </c>
      <c r="S15" s="39" t="e">
        <f>'R1'!#REF!</f>
        <v>#REF!</v>
      </c>
      <c r="T15" s="39" t="e">
        <f>'R1'!#REF!</f>
        <v>#REF!</v>
      </c>
      <c r="U15" s="39" t="e">
        <f>'R1'!#REF!</f>
        <v>#REF!</v>
      </c>
      <c r="V15" s="39" t="e">
        <f>'R1'!#REF!</f>
        <v>#REF!</v>
      </c>
      <c r="W15" s="39" t="e">
        <f>'R1'!#REF!</f>
        <v>#REF!</v>
      </c>
      <c r="X15" s="39" t="e">
        <f>'R1'!#REF!</f>
        <v>#REF!</v>
      </c>
      <c r="Y15" s="39" t="e">
        <f>'R1'!#REF!</f>
        <v>#REF!</v>
      </c>
      <c r="Z15" s="39" t="e">
        <f>'R1'!#REF!</f>
        <v>#REF!</v>
      </c>
      <c r="AA15" s="39" t="e">
        <f>'R1'!#REF!</f>
        <v>#REF!</v>
      </c>
      <c r="AB15" s="39" t="e">
        <f>'R1'!#REF!</f>
        <v>#REF!</v>
      </c>
      <c r="AC15" s="39" t="e">
        <f>'R1'!#REF!</f>
        <v>#REF!</v>
      </c>
      <c r="AD15"/>
      <c r="AE15" s="39">
        <f>'R1'!O37</f>
        <v>1.1425645654913916</v>
      </c>
      <c r="AF15" s="39" t="str">
        <f>'R1'!P37</f>
        <v/>
      </c>
      <c r="AG15" s="39" t="str">
        <f>'R1'!Q37</f>
        <v/>
      </c>
      <c r="AH15" s="39" t="str">
        <f>'R1'!R37</f>
        <v/>
      </c>
      <c r="AI15" s="39" t="str">
        <f>'R1'!S37</f>
        <v/>
      </c>
      <c r="AJ15" s="39" t="str">
        <f>'R1'!T37</f>
        <v/>
      </c>
      <c r="AK15" s="39" t="str">
        <f>'R1'!U37</f>
        <v/>
      </c>
      <c r="AL15" s="39" t="str">
        <f>'R1'!V37</f>
        <v/>
      </c>
      <c r="AM15" s="39" t="str">
        <f>'R1'!W37</f>
        <v/>
      </c>
      <c r="AN15" s="39" t="str">
        <f>'R1'!X37</f>
        <v/>
      </c>
      <c r="AO15" s="39" t="str">
        <f>'R1'!Y37</f>
        <v/>
      </c>
      <c r="AP15" s="39" t="str">
        <f>'R1'!Z37</f>
        <v/>
      </c>
      <c r="AQ15" s="39" t="str">
        <f>'R1'!AA37</f>
        <v/>
      </c>
      <c r="AR15" s="39" t="str">
        <f>'R1'!AB37</f>
        <v/>
      </c>
      <c r="AS15" s="39" t="str">
        <f>'R1'!AC37</f>
        <v/>
      </c>
      <c r="AT15" s="39" t="str">
        <f>'R1'!AD37</f>
        <v/>
      </c>
      <c r="AU15" s="39" t="str">
        <f>'R1'!AE37</f>
        <v/>
      </c>
      <c r="AV15" s="39" t="str">
        <f>'R1'!AF37</f>
        <v/>
      </c>
      <c r="AW15" s="39" t="str">
        <f>'R1'!AG37</f>
        <v/>
      </c>
      <c r="AX15" s="39" t="str">
        <f>'R1'!AH37</f>
        <v/>
      </c>
      <c r="AY15" s="39" t="str">
        <f>'R1'!AI37</f>
        <v/>
      </c>
      <c r="AZ15" s="39" t="str">
        <f>'R1'!AJ37</f>
        <v/>
      </c>
      <c r="BA15" s="39" t="str">
        <f>'R1'!AK37</f>
        <v/>
      </c>
    </row>
    <row r="16" spans="1:53" s="1" customFormat="1" x14ac:dyDescent="0.25">
      <c r="A16" s="160"/>
      <c r="B16" s="39" t="str">
        <f>'R1'!B38</f>
        <v/>
      </c>
      <c r="C16" s="39" t="str">
        <f>'R1'!C38</f>
        <v/>
      </c>
      <c r="D16" s="39" t="str">
        <f>'R1'!D38</f>
        <v/>
      </c>
      <c r="E16" s="39" t="str">
        <f>'R1'!E38</f>
        <v/>
      </c>
      <c r="F16" s="39" t="str">
        <f>'R1'!F38</f>
        <v/>
      </c>
      <c r="G16" s="39" t="str">
        <f>'R1'!G38</f>
        <v/>
      </c>
      <c r="H16" s="39" t="str">
        <f>'R1'!H38</f>
        <v/>
      </c>
      <c r="I16" s="39" t="str">
        <f>'R1'!I38</f>
        <v/>
      </c>
      <c r="J16" s="39" t="str">
        <f>'R1'!J38</f>
        <v/>
      </c>
      <c r="K16" s="39" t="str">
        <f>'R1'!K38</f>
        <v/>
      </c>
      <c r="L16" s="39" t="str">
        <f>'R1'!L38</f>
        <v/>
      </c>
      <c r="M16" s="39" t="str">
        <f>'R1'!M38</f>
        <v/>
      </c>
      <c r="N16" s="39" t="e">
        <f>'R1'!#REF!</f>
        <v>#REF!</v>
      </c>
      <c r="O16" s="39" t="e">
        <f>'R1'!#REF!</f>
        <v>#REF!</v>
      </c>
      <c r="P16" s="39" t="e">
        <f>'R1'!#REF!</f>
        <v>#REF!</v>
      </c>
      <c r="Q16" s="39" t="e">
        <f>'R1'!#REF!</f>
        <v>#REF!</v>
      </c>
      <c r="R16" s="39" t="e">
        <f>'R1'!#REF!</f>
        <v>#REF!</v>
      </c>
      <c r="S16" s="39" t="e">
        <f>'R1'!#REF!</f>
        <v>#REF!</v>
      </c>
      <c r="T16" s="39" t="e">
        <f>'R1'!#REF!</f>
        <v>#REF!</v>
      </c>
      <c r="U16" s="39" t="e">
        <f>'R1'!#REF!</f>
        <v>#REF!</v>
      </c>
      <c r="V16" s="39" t="e">
        <f>'R1'!#REF!</f>
        <v>#REF!</v>
      </c>
      <c r="W16" s="39" t="e">
        <f>'R1'!#REF!</f>
        <v>#REF!</v>
      </c>
      <c r="X16" s="39" t="e">
        <f>'R1'!#REF!</f>
        <v>#REF!</v>
      </c>
      <c r="Y16" s="39" t="e">
        <f>'R1'!#REF!</f>
        <v>#REF!</v>
      </c>
      <c r="Z16" s="39" t="e">
        <f>'R1'!#REF!</f>
        <v>#REF!</v>
      </c>
      <c r="AA16" s="39" t="e">
        <f>'R1'!#REF!</f>
        <v>#REF!</v>
      </c>
      <c r="AB16" s="39" t="e">
        <f>'R1'!#REF!</f>
        <v>#REF!</v>
      </c>
      <c r="AC16" s="39" t="e">
        <f>'R1'!#REF!</f>
        <v>#REF!</v>
      </c>
      <c r="AD16"/>
      <c r="AE16" s="39">
        <f>'R1'!O38</f>
        <v>0.96196940247317075</v>
      </c>
      <c r="AF16" s="39" t="str">
        <f>'R1'!P38</f>
        <v/>
      </c>
      <c r="AG16" s="39" t="str">
        <f>'R1'!Q38</f>
        <v/>
      </c>
      <c r="AH16" s="39" t="str">
        <f>'R1'!R38</f>
        <v/>
      </c>
      <c r="AI16" s="39" t="str">
        <f>'R1'!S38</f>
        <v/>
      </c>
      <c r="AJ16" s="39" t="str">
        <f>'R1'!T38</f>
        <v/>
      </c>
      <c r="AK16" s="39" t="str">
        <f>'R1'!U38</f>
        <v/>
      </c>
      <c r="AL16" s="39" t="str">
        <f>'R1'!V38</f>
        <v/>
      </c>
      <c r="AM16" s="39" t="str">
        <f>'R1'!W38</f>
        <v/>
      </c>
      <c r="AN16" s="39" t="str">
        <f>'R1'!X38</f>
        <v/>
      </c>
      <c r="AO16" s="39" t="str">
        <f>'R1'!Y38</f>
        <v/>
      </c>
      <c r="AP16" s="39" t="str">
        <f>'R1'!Z38</f>
        <v/>
      </c>
      <c r="AQ16" s="39" t="str">
        <f>'R1'!AA38</f>
        <v/>
      </c>
      <c r="AR16" s="39" t="str">
        <f>'R1'!AB38</f>
        <v/>
      </c>
      <c r="AS16" s="39" t="str">
        <f>'R1'!AC38</f>
        <v/>
      </c>
      <c r="AT16" s="39" t="str">
        <f>'R1'!AD38</f>
        <v/>
      </c>
      <c r="AU16" s="39" t="str">
        <f>'R1'!AE38</f>
        <v/>
      </c>
      <c r="AV16" s="39" t="str">
        <f>'R1'!AF38</f>
        <v/>
      </c>
      <c r="AW16" s="39" t="str">
        <f>'R1'!AG38</f>
        <v/>
      </c>
      <c r="AX16" s="39" t="str">
        <f>'R1'!AH38</f>
        <v/>
      </c>
      <c r="AY16" s="39" t="str">
        <f>'R1'!AI38</f>
        <v/>
      </c>
      <c r="AZ16" s="39" t="str">
        <f>'R1'!AJ38</f>
        <v/>
      </c>
      <c r="BA16" s="39" t="str">
        <f>'R1'!AK38</f>
        <v/>
      </c>
    </row>
    <row r="17" spans="1:53" s="1" customFormat="1" x14ac:dyDescent="0.25">
      <c r="A17" s="160"/>
      <c r="B17" s="39" t="str">
        <f>'R1'!B39</f>
        <v/>
      </c>
      <c r="C17" s="39" t="str">
        <f>'R1'!C39</f>
        <v/>
      </c>
      <c r="D17" s="39" t="str">
        <f>'R1'!D39</f>
        <v/>
      </c>
      <c r="E17" s="39" t="str">
        <f>'R1'!E39</f>
        <v/>
      </c>
      <c r="F17" s="39" t="str">
        <f>'R1'!F39</f>
        <v/>
      </c>
      <c r="G17" s="39" t="str">
        <f>'R1'!G39</f>
        <v/>
      </c>
      <c r="H17" s="39" t="str">
        <f>'R1'!H39</f>
        <v/>
      </c>
      <c r="I17" s="39" t="str">
        <f>'R1'!I39</f>
        <v/>
      </c>
      <c r="J17" s="39" t="str">
        <f>'R1'!J39</f>
        <v/>
      </c>
      <c r="K17" s="39" t="str">
        <f>'R1'!K39</f>
        <v/>
      </c>
      <c r="L17" s="39" t="str">
        <f>'R1'!L39</f>
        <v/>
      </c>
      <c r="M17" s="39" t="str">
        <f>'R1'!M39</f>
        <v/>
      </c>
      <c r="N17" s="39" t="e">
        <f>'R1'!#REF!</f>
        <v>#REF!</v>
      </c>
      <c r="O17" s="39" t="e">
        <f>'R1'!#REF!</f>
        <v>#REF!</v>
      </c>
      <c r="P17" s="39" t="e">
        <f>'R1'!#REF!</f>
        <v>#REF!</v>
      </c>
      <c r="Q17" s="39" t="e">
        <f>'R1'!#REF!</f>
        <v>#REF!</v>
      </c>
      <c r="R17" s="39" t="e">
        <f>'R1'!#REF!</f>
        <v>#REF!</v>
      </c>
      <c r="S17" s="39" t="e">
        <f>'R1'!#REF!</f>
        <v>#REF!</v>
      </c>
      <c r="T17" s="39" t="e">
        <f>'R1'!#REF!</f>
        <v>#REF!</v>
      </c>
      <c r="U17" s="39" t="e">
        <f>'R1'!#REF!</f>
        <v>#REF!</v>
      </c>
      <c r="V17" s="39" t="e">
        <f>'R1'!#REF!</f>
        <v>#REF!</v>
      </c>
      <c r="W17" s="39" t="e">
        <f>'R1'!#REF!</f>
        <v>#REF!</v>
      </c>
      <c r="X17" s="39" t="e">
        <f>'R1'!#REF!</f>
        <v>#REF!</v>
      </c>
      <c r="Y17" s="39" t="e">
        <f>'R1'!#REF!</f>
        <v>#REF!</v>
      </c>
      <c r="Z17" s="39" t="e">
        <f>'R1'!#REF!</f>
        <v>#REF!</v>
      </c>
      <c r="AA17" s="39" t="e">
        <f>'R1'!#REF!</f>
        <v>#REF!</v>
      </c>
      <c r="AB17" s="39" t="e">
        <f>'R1'!#REF!</f>
        <v>#REF!</v>
      </c>
      <c r="AC17" s="39" t="e">
        <f>'R1'!#REF!</f>
        <v>#REF!</v>
      </c>
      <c r="AD17"/>
      <c r="AE17" s="39">
        <f>'R1'!O39</f>
        <v>0.91378333754061969</v>
      </c>
      <c r="AF17" s="39" t="str">
        <f>'R1'!P39</f>
        <v/>
      </c>
      <c r="AG17" s="39" t="str">
        <f>'R1'!Q39</f>
        <v/>
      </c>
      <c r="AH17" s="39" t="str">
        <f>'R1'!R39</f>
        <v/>
      </c>
      <c r="AI17" s="39" t="str">
        <f>'R1'!S39</f>
        <v/>
      </c>
      <c r="AJ17" s="39" t="str">
        <f>'R1'!T39</f>
        <v/>
      </c>
      <c r="AK17" s="39" t="str">
        <f>'R1'!U39</f>
        <v/>
      </c>
      <c r="AL17" s="39" t="str">
        <f>'R1'!V39</f>
        <v/>
      </c>
      <c r="AM17" s="39" t="str">
        <f>'R1'!W39</f>
        <v/>
      </c>
      <c r="AN17" s="39" t="str">
        <f>'R1'!X39</f>
        <v/>
      </c>
      <c r="AO17" s="39" t="str">
        <f>'R1'!Y39</f>
        <v/>
      </c>
      <c r="AP17" s="39" t="str">
        <f>'R1'!Z39</f>
        <v/>
      </c>
      <c r="AQ17" s="39" t="str">
        <f>'R1'!AA39</f>
        <v/>
      </c>
      <c r="AR17" s="39" t="str">
        <f>'R1'!AB39</f>
        <v/>
      </c>
      <c r="AS17" s="39" t="str">
        <f>'R1'!AC39</f>
        <v/>
      </c>
      <c r="AT17" s="39" t="str">
        <f>'R1'!AD39</f>
        <v/>
      </c>
      <c r="AU17" s="39" t="str">
        <f>'R1'!AE39</f>
        <v/>
      </c>
      <c r="AV17" s="39" t="str">
        <f>'R1'!AF39</f>
        <v/>
      </c>
      <c r="AW17" s="39" t="str">
        <f>'R1'!AG39</f>
        <v/>
      </c>
      <c r="AX17" s="39" t="str">
        <f>'R1'!AH39</f>
        <v/>
      </c>
      <c r="AY17" s="39" t="str">
        <f>'R1'!AI39</f>
        <v/>
      </c>
      <c r="AZ17" s="39" t="str">
        <f>'R1'!AJ39</f>
        <v/>
      </c>
      <c r="BA17" s="39" t="str">
        <f>'R1'!AK39</f>
        <v/>
      </c>
    </row>
    <row r="18" spans="1:53" s="1" customFormat="1" x14ac:dyDescent="0.25">
      <c r="A18" s="160"/>
      <c r="B18" s="39" t="str">
        <f>'R1'!B40</f>
        <v/>
      </c>
      <c r="C18" s="39" t="str">
        <f>'R1'!C40</f>
        <v/>
      </c>
      <c r="D18" s="39" t="str">
        <f>'R1'!D40</f>
        <v/>
      </c>
      <c r="E18" s="39" t="str">
        <f>'R1'!E40</f>
        <v/>
      </c>
      <c r="F18" s="39" t="str">
        <f>'R1'!F40</f>
        <v/>
      </c>
      <c r="G18" s="39" t="str">
        <f>'R1'!G40</f>
        <v/>
      </c>
      <c r="H18" s="39" t="str">
        <f>'R1'!H40</f>
        <v/>
      </c>
      <c r="I18" s="39" t="str">
        <f>'R1'!I40</f>
        <v/>
      </c>
      <c r="J18" s="39" t="str">
        <f>'R1'!J40</f>
        <v/>
      </c>
      <c r="K18" s="39" t="str">
        <f>'R1'!K40</f>
        <v/>
      </c>
      <c r="L18" s="39" t="str">
        <f>'R1'!L40</f>
        <v/>
      </c>
      <c r="M18" s="39" t="str">
        <f>'R1'!M40</f>
        <v/>
      </c>
      <c r="N18" s="39" t="e">
        <f>'R1'!#REF!</f>
        <v>#REF!</v>
      </c>
      <c r="O18" s="39" t="e">
        <f>'R1'!#REF!</f>
        <v>#REF!</v>
      </c>
      <c r="P18" s="39" t="e">
        <f>'R1'!#REF!</f>
        <v>#REF!</v>
      </c>
      <c r="Q18" s="39" t="e">
        <f>'R1'!#REF!</f>
        <v>#REF!</v>
      </c>
      <c r="R18" s="39" t="e">
        <f>'R1'!#REF!</f>
        <v>#REF!</v>
      </c>
      <c r="S18" s="39" t="e">
        <f>'R1'!#REF!</f>
        <v>#REF!</v>
      </c>
      <c r="T18" s="39" t="e">
        <f>'R1'!#REF!</f>
        <v>#REF!</v>
      </c>
      <c r="U18" s="39" t="e">
        <f>'R1'!#REF!</f>
        <v>#REF!</v>
      </c>
      <c r="V18" s="39" t="e">
        <f>'R1'!#REF!</f>
        <v>#REF!</v>
      </c>
      <c r="W18" s="39" t="e">
        <f>'R1'!#REF!</f>
        <v>#REF!</v>
      </c>
      <c r="X18" s="39" t="e">
        <f>'R1'!#REF!</f>
        <v>#REF!</v>
      </c>
      <c r="Y18" s="39" t="e">
        <f>'R1'!#REF!</f>
        <v>#REF!</v>
      </c>
      <c r="Z18" s="39" t="e">
        <f>'R1'!#REF!</f>
        <v>#REF!</v>
      </c>
      <c r="AA18" s="39" t="e">
        <f>'R1'!#REF!</f>
        <v>#REF!</v>
      </c>
      <c r="AB18" s="39" t="e">
        <f>'R1'!#REF!</f>
        <v>#REF!</v>
      </c>
      <c r="AC18" s="39" t="e">
        <f>'R1'!#REF!</f>
        <v>#REF!</v>
      </c>
      <c r="AD18"/>
      <c r="AE18" s="39">
        <f>'R1'!O40</f>
        <v>1.0633938439224635</v>
      </c>
      <c r="AF18" s="39" t="str">
        <f>'R1'!P40</f>
        <v/>
      </c>
      <c r="AG18" s="39" t="str">
        <f>'R1'!Q40</f>
        <v/>
      </c>
      <c r="AH18" s="39" t="str">
        <f>'R1'!R40</f>
        <v/>
      </c>
      <c r="AI18" s="39" t="str">
        <f>'R1'!S40</f>
        <v/>
      </c>
      <c r="AJ18" s="39" t="str">
        <f>'R1'!T40</f>
        <v/>
      </c>
      <c r="AK18" s="39" t="str">
        <f>'R1'!U40</f>
        <v/>
      </c>
      <c r="AL18" s="39" t="str">
        <f>'R1'!V40</f>
        <v/>
      </c>
      <c r="AM18" s="39" t="str">
        <f>'R1'!W40</f>
        <v/>
      </c>
      <c r="AN18" s="39" t="str">
        <f>'R1'!X40</f>
        <v/>
      </c>
      <c r="AO18" s="39" t="str">
        <f>'R1'!Y40</f>
        <v/>
      </c>
      <c r="AP18" s="39" t="str">
        <f>'R1'!Z40</f>
        <v/>
      </c>
      <c r="AQ18" s="39" t="str">
        <f>'R1'!AA40</f>
        <v/>
      </c>
      <c r="AR18" s="39" t="str">
        <f>'R1'!AB40</f>
        <v/>
      </c>
      <c r="AS18" s="39" t="str">
        <f>'R1'!AC40</f>
        <v/>
      </c>
      <c r="AT18" s="39" t="str">
        <f>'R1'!AD40</f>
        <v/>
      </c>
      <c r="AU18" s="39" t="str">
        <f>'R1'!AE40</f>
        <v/>
      </c>
      <c r="AV18" s="39" t="str">
        <f>'R1'!AF40</f>
        <v/>
      </c>
      <c r="AW18" s="39" t="str">
        <f>'R1'!AG40</f>
        <v/>
      </c>
      <c r="AX18" s="39" t="str">
        <f>'R1'!AH40</f>
        <v/>
      </c>
      <c r="AY18" s="39" t="str">
        <f>'R1'!AI40</f>
        <v/>
      </c>
      <c r="AZ18" s="39" t="str">
        <f>'R1'!AJ40</f>
        <v/>
      </c>
      <c r="BA18" s="39" t="str">
        <f>'R1'!AK40</f>
        <v/>
      </c>
    </row>
    <row r="19" spans="1:53" s="1" customFormat="1" x14ac:dyDescent="0.25">
      <c r="A19" s="160"/>
      <c r="B19" s="39" t="str">
        <f>'R1'!B41</f>
        <v/>
      </c>
      <c r="C19" s="39" t="str">
        <f>'R1'!C41</f>
        <v/>
      </c>
      <c r="D19" s="39" t="str">
        <f>'R1'!D41</f>
        <v/>
      </c>
      <c r="E19" s="39" t="str">
        <f>'R1'!E41</f>
        <v/>
      </c>
      <c r="F19" s="39" t="str">
        <f>'R1'!F41</f>
        <v/>
      </c>
      <c r="G19" s="39" t="str">
        <f>'R1'!G41</f>
        <v/>
      </c>
      <c r="H19" s="39" t="str">
        <f>'R1'!H41</f>
        <v/>
      </c>
      <c r="I19" s="39" t="str">
        <f>'R1'!I41</f>
        <v/>
      </c>
      <c r="J19" s="39" t="str">
        <f>'R1'!J41</f>
        <v/>
      </c>
      <c r="K19" s="39" t="str">
        <f>'R1'!K41</f>
        <v/>
      </c>
      <c r="L19" s="39" t="str">
        <f>'R1'!L41</f>
        <v/>
      </c>
      <c r="M19" s="39" t="str">
        <f>'R1'!M41</f>
        <v/>
      </c>
      <c r="N19" s="39" t="e">
        <f>'R1'!#REF!</f>
        <v>#REF!</v>
      </c>
      <c r="O19" s="39" t="e">
        <f>'R1'!#REF!</f>
        <v>#REF!</v>
      </c>
      <c r="P19" s="39" t="e">
        <f>'R1'!#REF!</f>
        <v>#REF!</v>
      </c>
      <c r="Q19" s="39" t="e">
        <f>'R1'!#REF!</f>
        <v>#REF!</v>
      </c>
      <c r="R19" s="39" t="e">
        <f>'R1'!#REF!</f>
        <v>#REF!</v>
      </c>
      <c r="S19" s="39" t="e">
        <f>'R1'!#REF!</f>
        <v>#REF!</v>
      </c>
      <c r="T19" s="39" t="e">
        <f>'R1'!#REF!</f>
        <v>#REF!</v>
      </c>
      <c r="U19" s="39" t="e">
        <f>'R1'!#REF!</f>
        <v>#REF!</v>
      </c>
      <c r="V19" s="39" t="e">
        <f>'R1'!#REF!</f>
        <v>#REF!</v>
      </c>
      <c r="W19" s="39" t="e">
        <f>'R1'!#REF!</f>
        <v>#REF!</v>
      </c>
      <c r="X19" s="39" t="e">
        <f>'R1'!#REF!</f>
        <v>#REF!</v>
      </c>
      <c r="Y19" s="39" t="e">
        <f>'R1'!#REF!</f>
        <v>#REF!</v>
      </c>
      <c r="Z19" s="39" t="e">
        <f>'R1'!#REF!</f>
        <v>#REF!</v>
      </c>
      <c r="AA19" s="39" t="e">
        <f>'R1'!#REF!</f>
        <v>#REF!</v>
      </c>
      <c r="AB19" s="39" t="e">
        <f>'R1'!#REF!</f>
        <v>#REF!</v>
      </c>
      <c r="AC19" s="39" t="e">
        <f>'R1'!#REF!</f>
        <v>#REF!</v>
      </c>
      <c r="AD19"/>
      <c r="AE19" s="39">
        <f>'R1'!O41</f>
        <v>1.1826690726992313</v>
      </c>
      <c r="AF19" s="39" t="str">
        <f>'R1'!P41</f>
        <v/>
      </c>
      <c r="AG19" s="39" t="str">
        <f>'R1'!Q41</f>
        <v/>
      </c>
      <c r="AH19" s="39" t="str">
        <f>'R1'!R41</f>
        <v/>
      </c>
      <c r="AI19" s="39" t="str">
        <f>'R1'!S41</f>
        <v/>
      </c>
      <c r="AJ19" s="39" t="str">
        <f>'R1'!T41</f>
        <v/>
      </c>
      <c r="AK19" s="39" t="str">
        <f>'R1'!U41</f>
        <v/>
      </c>
      <c r="AL19" s="39" t="str">
        <f>'R1'!V41</f>
        <v/>
      </c>
      <c r="AM19" s="39" t="str">
        <f>'R1'!W41</f>
        <v/>
      </c>
      <c r="AN19" s="39" t="str">
        <f>'R1'!X41</f>
        <v/>
      </c>
      <c r="AO19" s="39" t="str">
        <f>'R1'!Y41</f>
        <v/>
      </c>
      <c r="AP19" s="39" t="str">
        <f>'R1'!Z41</f>
        <v/>
      </c>
      <c r="AQ19" s="39" t="str">
        <f>'R1'!AA41</f>
        <v/>
      </c>
      <c r="AR19" s="39" t="str">
        <f>'R1'!AB41</f>
        <v/>
      </c>
      <c r="AS19" s="39" t="str">
        <f>'R1'!AC41</f>
        <v/>
      </c>
      <c r="AT19" s="39" t="str">
        <f>'R1'!AD41</f>
        <v/>
      </c>
      <c r="AU19" s="39" t="str">
        <f>'R1'!AE41</f>
        <v/>
      </c>
      <c r="AV19" s="39" t="str">
        <f>'R1'!AF41</f>
        <v/>
      </c>
      <c r="AW19" s="39" t="str">
        <f>'R1'!AG41</f>
        <v/>
      </c>
      <c r="AX19" s="39" t="str">
        <f>'R1'!AH41</f>
        <v/>
      </c>
      <c r="AY19" s="39" t="str">
        <f>'R1'!AI41</f>
        <v/>
      </c>
      <c r="AZ19" s="39" t="str">
        <f>'R1'!AJ41</f>
        <v/>
      </c>
      <c r="BA19" s="39" t="str">
        <f>'R1'!AK41</f>
        <v/>
      </c>
    </row>
    <row r="20" spans="1:53" s="1" customFormat="1" x14ac:dyDescent="0.25">
      <c r="A20" s="160"/>
      <c r="B20" s="39" t="str">
        <f>'R1'!B42</f>
        <v/>
      </c>
      <c r="C20" s="39" t="str">
        <f>'R1'!C42</f>
        <v/>
      </c>
      <c r="D20" s="39" t="str">
        <f>'R1'!D42</f>
        <v/>
      </c>
      <c r="E20" s="39" t="str">
        <f>'R1'!E42</f>
        <v/>
      </c>
      <c r="F20" s="39" t="str">
        <f>'R1'!F42</f>
        <v/>
      </c>
      <c r="G20" s="39" t="str">
        <f>'R1'!G42</f>
        <v/>
      </c>
      <c r="H20" s="39" t="str">
        <f>'R1'!H42</f>
        <v/>
      </c>
      <c r="I20" s="39" t="str">
        <f>'R1'!I42</f>
        <v/>
      </c>
      <c r="J20" s="39" t="str">
        <f>'R1'!J42</f>
        <v/>
      </c>
      <c r="K20" s="39" t="str">
        <f>'R1'!K42</f>
        <v/>
      </c>
      <c r="L20" s="39" t="str">
        <f>'R1'!L42</f>
        <v/>
      </c>
      <c r="M20" s="39" t="str">
        <f>'R1'!M42</f>
        <v/>
      </c>
      <c r="N20" s="39" t="e">
        <f>'R1'!#REF!</f>
        <v>#REF!</v>
      </c>
      <c r="O20" s="39" t="e">
        <f>'R1'!#REF!</f>
        <v>#REF!</v>
      </c>
      <c r="P20" s="39" t="e">
        <f>'R1'!#REF!</f>
        <v>#REF!</v>
      </c>
      <c r="Q20" s="39" t="e">
        <f>'R1'!#REF!</f>
        <v>#REF!</v>
      </c>
      <c r="R20" s="39" t="e">
        <f>'R1'!#REF!</f>
        <v>#REF!</v>
      </c>
      <c r="S20" s="39" t="e">
        <f>'R1'!#REF!</f>
        <v>#REF!</v>
      </c>
      <c r="T20" s="39" t="e">
        <f>'R1'!#REF!</f>
        <v>#REF!</v>
      </c>
      <c r="U20" s="39" t="e">
        <f>'R1'!#REF!</f>
        <v>#REF!</v>
      </c>
      <c r="V20" s="39" t="e">
        <f>'R1'!#REF!</f>
        <v>#REF!</v>
      </c>
      <c r="W20" s="39" t="e">
        <f>'R1'!#REF!</f>
        <v>#REF!</v>
      </c>
      <c r="X20" s="39" t="e">
        <f>'R1'!#REF!</f>
        <v>#REF!</v>
      </c>
      <c r="Y20" s="39" t="e">
        <f>'R1'!#REF!</f>
        <v>#REF!</v>
      </c>
      <c r="Z20" s="39" t="e">
        <f>'R1'!#REF!</f>
        <v>#REF!</v>
      </c>
      <c r="AA20" s="39" t="e">
        <f>'R1'!#REF!</f>
        <v>#REF!</v>
      </c>
      <c r="AB20" s="39" t="e">
        <f>'R1'!#REF!</f>
        <v>#REF!</v>
      </c>
      <c r="AC20" s="39" t="e">
        <f>'R1'!#REF!</f>
        <v>#REF!</v>
      </c>
      <c r="AD20"/>
      <c r="AE20" s="39">
        <f>'R1'!O42</f>
        <v>0.85415107517721889</v>
      </c>
      <c r="AF20" s="39" t="str">
        <f>'R1'!P42</f>
        <v/>
      </c>
      <c r="AG20" s="39" t="str">
        <f>'R1'!Q42</f>
        <v/>
      </c>
      <c r="AH20" s="39" t="str">
        <f>'R1'!R42</f>
        <v/>
      </c>
      <c r="AI20" s="39" t="str">
        <f>'R1'!S42</f>
        <v/>
      </c>
      <c r="AJ20" s="39" t="str">
        <f>'R1'!T42</f>
        <v/>
      </c>
      <c r="AK20" s="39" t="str">
        <f>'R1'!U42</f>
        <v/>
      </c>
      <c r="AL20" s="39" t="str">
        <f>'R1'!V42</f>
        <v/>
      </c>
      <c r="AM20" s="39" t="str">
        <f>'R1'!W42</f>
        <v/>
      </c>
      <c r="AN20" s="39" t="str">
        <f>'R1'!X42</f>
        <v/>
      </c>
      <c r="AO20" s="39" t="str">
        <f>'R1'!Y42</f>
        <v/>
      </c>
      <c r="AP20" s="39" t="str">
        <f>'R1'!Z42</f>
        <v/>
      </c>
      <c r="AQ20" s="39" t="str">
        <f>'R1'!AA42</f>
        <v/>
      </c>
      <c r="AR20" s="39" t="str">
        <f>'R1'!AB42</f>
        <v/>
      </c>
      <c r="AS20" s="39" t="str">
        <f>'R1'!AC42</f>
        <v/>
      </c>
      <c r="AT20" s="39" t="str">
        <f>'R1'!AD42</f>
        <v/>
      </c>
      <c r="AU20" s="39" t="str">
        <f>'R1'!AE42</f>
        <v/>
      </c>
      <c r="AV20" s="39" t="str">
        <f>'R1'!AF42</f>
        <v/>
      </c>
      <c r="AW20" s="39" t="str">
        <f>'R1'!AG42</f>
        <v/>
      </c>
      <c r="AX20" s="39" t="str">
        <f>'R1'!AH42</f>
        <v/>
      </c>
      <c r="AY20" s="39" t="str">
        <f>'R1'!AI42</f>
        <v/>
      </c>
      <c r="AZ20" s="39" t="str">
        <f>'R1'!AJ42</f>
        <v/>
      </c>
      <c r="BA20" s="39" t="str">
        <f>'R1'!AK42</f>
        <v/>
      </c>
    </row>
    <row r="21" spans="1:53" s="1" customFormat="1" x14ac:dyDescent="0.25">
      <c r="A21" s="161"/>
      <c r="B21" s="39" t="str">
        <f>'R1'!B43</f>
        <v/>
      </c>
      <c r="C21" s="39" t="str">
        <f>'R1'!C43</f>
        <v/>
      </c>
      <c r="D21" s="39" t="str">
        <f>'R1'!D43</f>
        <v/>
      </c>
      <c r="E21" s="39" t="str">
        <f>'R1'!E43</f>
        <v/>
      </c>
      <c r="F21" s="39" t="str">
        <f>'R1'!F43</f>
        <v/>
      </c>
      <c r="G21" s="39" t="str">
        <f>'R1'!G43</f>
        <v/>
      </c>
      <c r="H21" s="39" t="str">
        <f>'R1'!H43</f>
        <v/>
      </c>
      <c r="I21" s="39" t="str">
        <f>'R1'!I43</f>
        <v/>
      </c>
      <c r="J21" s="39" t="str">
        <f>'R1'!J43</f>
        <v/>
      </c>
      <c r="K21" s="39" t="str">
        <f>'R1'!K43</f>
        <v/>
      </c>
      <c r="L21" s="39" t="str">
        <f>'R1'!L43</f>
        <v/>
      </c>
      <c r="M21" s="39" t="str">
        <f>'R1'!M43</f>
        <v/>
      </c>
      <c r="N21" s="39" t="e">
        <f>'R1'!#REF!</f>
        <v>#REF!</v>
      </c>
      <c r="O21" s="39" t="e">
        <f>'R1'!#REF!</f>
        <v>#REF!</v>
      </c>
      <c r="P21" s="39" t="e">
        <f>'R1'!#REF!</f>
        <v>#REF!</v>
      </c>
      <c r="Q21" s="39" t="e">
        <f>'R1'!#REF!</f>
        <v>#REF!</v>
      </c>
      <c r="R21" s="39" t="e">
        <f>'R1'!#REF!</f>
        <v>#REF!</v>
      </c>
      <c r="S21" s="39" t="e">
        <f>'R1'!#REF!</f>
        <v>#REF!</v>
      </c>
      <c r="T21" s="39" t="e">
        <f>'R1'!#REF!</f>
        <v>#REF!</v>
      </c>
      <c r="U21" s="39" t="e">
        <f>'R1'!#REF!</f>
        <v>#REF!</v>
      </c>
      <c r="V21" s="39" t="e">
        <f>'R1'!#REF!</f>
        <v>#REF!</v>
      </c>
      <c r="W21" s="39" t="e">
        <f>'R1'!#REF!</f>
        <v>#REF!</v>
      </c>
      <c r="X21" s="39" t="e">
        <f>'R1'!#REF!</f>
        <v>#REF!</v>
      </c>
      <c r="Y21" s="39" t="e">
        <f>'R1'!#REF!</f>
        <v>#REF!</v>
      </c>
      <c r="Z21" s="39" t="e">
        <f>'R1'!#REF!</f>
        <v>#REF!</v>
      </c>
      <c r="AA21" s="39" t="e">
        <f>'R1'!#REF!</f>
        <v>#REF!</v>
      </c>
      <c r="AB21" s="39" t="e">
        <f>'R1'!#REF!</f>
        <v>#REF!</v>
      </c>
      <c r="AC21" s="39" t="e">
        <f>'R1'!#REF!</f>
        <v>#REF!</v>
      </c>
      <c r="AD21"/>
      <c r="AE21" s="39">
        <f>'R1'!O43</f>
        <v>0.89035574018059516</v>
      </c>
      <c r="AF21" s="39" t="str">
        <f>'R1'!P43</f>
        <v/>
      </c>
      <c r="AG21" s="39" t="str">
        <f>'R1'!Q43</f>
        <v/>
      </c>
      <c r="AH21" s="39" t="str">
        <f>'R1'!R43</f>
        <v/>
      </c>
      <c r="AI21" s="39" t="str">
        <f>'R1'!S43</f>
        <v/>
      </c>
      <c r="AJ21" s="39" t="str">
        <f>'R1'!T43</f>
        <v/>
      </c>
      <c r="AK21" s="39" t="str">
        <f>'R1'!U43</f>
        <v/>
      </c>
      <c r="AL21" s="39" t="str">
        <f>'R1'!V43</f>
        <v/>
      </c>
      <c r="AM21" s="39" t="str">
        <f>'R1'!W43</f>
        <v/>
      </c>
      <c r="AN21" s="39" t="str">
        <f>'R1'!X43</f>
        <v/>
      </c>
      <c r="AO21" s="39" t="str">
        <f>'R1'!Y43</f>
        <v/>
      </c>
      <c r="AP21" s="39" t="str">
        <f>'R1'!Z43</f>
        <v/>
      </c>
      <c r="AQ21" s="39" t="str">
        <f>'R1'!AA43</f>
        <v/>
      </c>
      <c r="AR21" s="39" t="str">
        <f>'R1'!AB43</f>
        <v/>
      </c>
      <c r="AS21" s="39" t="str">
        <f>'R1'!AC43</f>
        <v/>
      </c>
      <c r="AT21" s="39" t="str">
        <f>'R1'!AD43</f>
        <v/>
      </c>
      <c r="AU21" s="39" t="str">
        <f>'R1'!AE43</f>
        <v/>
      </c>
      <c r="AV21" s="39" t="str">
        <f>'R1'!AF43</f>
        <v/>
      </c>
      <c r="AW21" s="39" t="str">
        <f>'R1'!AG43</f>
        <v/>
      </c>
      <c r="AX21" s="39" t="str">
        <f>'R1'!AH43</f>
        <v/>
      </c>
      <c r="AY21" s="39" t="str">
        <f>'R1'!AI43</f>
        <v/>
      </c>
      <c r="AZ21" s="39" t="str">
        <f>'R1'!AJ43</f>
        <v/>
      </c>
      <c r="BA21" s="39" t="str">
        <f>'R1'!AK43</f>
        <v/>
      </c>
    </row>
    <row r="22" spans="1:53" x14ac:dyDescent="0.25">
      <c r="A22" s="24" t="s">
        <v>5</v>
      </c>
      <c r="B22" s="40">
        <f>'R2'!B28</f>
        <v>0</v>
      </c>
      <c r="C22" s="40">
        <f>'R2'!C28</f>
        <v>5.0151691026848232E-3</v>
      </c>
      <c r="D22" s="40">
        <f>'R2'!D28</f>
        <v>3.3332526353210103E-3</v>
      </c>
      <c r="E22" s="40">
        <f>'R2'!E28</f>
        <v>0</v>
      </c>
      <c r="F22" s="40">
        <f>'R2'!F28</f>
        <v>0</v>
      </c>
      <c r="G22" s="40">
        <f>'R2'!G28</f>
        <v>1.5700741190006868</v>
      </c>
      <c r="H22" s="40">
        <f>'R2'!H28</f>
        <v>2.9113158575416751</v>
      </c>
      <c r="I22" s="40">
        <f>'R2'!I28</f>
        <v>0</v>
      </c>
      <c r="J22" s="40">
        <f>'R2'!J28</f>
        <v>0</v>
      </c>
      <c r="K22" s="40">
        <f>'R2'!K28</f>
        <v>9.4768347861099181E-2</v>
      </c>
      <c r="L22" s="40">
        <f>'R2'!L28</f>
        <v>0</v>
      </c>
      <c r="M22" s="40">
        <f>'R2'!M28</f>
        <v>0</v>
      </c>
      <c r="N22" s="40" t="e">
        <f>'R2'!#REF!</f>
        <v>#REF!</v>
      </c>
      <c r="O22" s="40" t="e">
        <f>'R2'!#REF!</f>
        <v>#REF!</v>
      </c>
      <c r="P22" s="40" t="e">
        <f>'R2'!#REF!</f>
        <v>#REF!</v>
      </c>
      <c r="Q22" s="40" t="e">
        <f>'R2'!#REF!</f>
        <v>#REF!</v>
      </c>
      <c r="R22" s="40" t="e">
        <f>'R2'!#REF!</f>
        <v>#REF!</v>
      </c>
      <c r="S22" s="40" t="e">
        <f>'R2'!#REF!</f>
        <v>#REF!</v>
      </c>
      <c r="T22" s="40" t="e">
        <f>'R2'!#REF!</f>
        <v>#REF!</v>
      </c>
      <c r="U22" s="40" t="e">
        <f>'R2'!#REF!</f>
        <v>#REF!</v>
      </c>
      <c r="V22" s="40" t="e">
        <f>'R2'!#REF!</f>
        <v>#REF!</v>
      </c>
      <c r="W22" s="40" t="e">
        <f>'R2'!#REF!</f>
        <v>#REF!</v>
      </c>
      <c r="X22" s="40" t="e">
        <f>'R2'!#REF!</f>
        <v>#REF!</v>
      </c>
      <c r="Y22" s="40" t="e">
        <f>'R2'!#REF!</f>
        <v>#REF!</v>
      </c>
      <c r="Z22" s="40" t="e">
        <f>'R2'!#REF!</f>
        <v>#REF!</v>
      </c>
      <c r="AA22" s="40" t="e">
        <f>'R2'!#REF!</f>
        <v>#REF!</v>
      </c>
      <c r="AB22" s="40" t="e">
        <f>'R2'!#REF!</f>
        <v>#REF!</v>
      </c>
      <c r="AC22" s="40" t="e">
        <f>'R2'!#REF!</f>
        <v>#REF!</v>
      </c>
      <c r="AE22" s="40">
        <f>'R2'!O28</f>
        <v>0.9818722533475871</v>
      </c>
      <c r="AF22" s="40">
        <f>'R2'!P28</f>
        <v>2.9244959665859263</v>
      </c>
      <c r="AG22" s="40">
        <f>'R2'!Q28</f>
        <v>0</v>
      </c>
      <c r="AH22" s="40">
        <f>'R2'!R28</f>
        <v>0.62556079809484733</v>
      </c>
      <c r="AI22" s="40">
        <f>'R2'!S28</f>
        <v>1.5164770475740266</v>
      </c>
      <c r="AJ22" s="40">
        <f>'R2'!T28</f>
        <v>1.3282858850257193</v>
      </c>
      <c r="AK22" s="40">
        <f>'R2'!U28</f>
        <v>2.2346044119726969</v>
      </c>
      <c r="AL22" s="40">
        <f>'R2'!V28</f>
        <v>2.9279923141514157</v>
      </c>
      <c r="AM22" s="40" t="str">
        <f>'R2'!W28</f>
        <v/>
      </c>
      <c r="AN22" s="40" t="str">
        <f>'R2'!X28</f>
        <v/>
      </c>
      <c r="AO22" s="40" t="str">
        <f>'R2'!Y28</f>
        <v/>
      </c>
      <c r="AP22" s="40" t="str">
        <f>'R2'!Z28</f>
        <v/>
      </c>
      <c r="AQ22" s="40" t="str">
        <f>'R2'!AA28</f>
        <v/>
      </c>
      <c r="AR22" s="40" t="str">
        <f>'R2'!AB28</f>
        <v/>
      </c>
      <c r="AS22" s="40" t="str">
        <f>'R2'!AC28</f>
        <v/>
      </c>
      <c r="AT22" s="40" t="str">
        <f>'R2'!AD28</f>
        <v/>
      </c>
      <c r="AU22" s="40" t="str">
        <f>'R2'!AE28</f>
        <v/>
      </c>
      <c r="AV22" s="40" t="str">
        <f>'R2'!AF28</f>
        <v/>
      </c>
      <c r="AW22" s="40" t="str">
        <f>'R2'!AG28</f>
        <v/>
      </c>
      <c r="AX22" s="40" t="str">
        <f>'R2'!AH28</f>
        <v/>
      </c>
      <c r="AY22" s="40" t="str">
        <f>'R2'!AI28</f>
        <v/>
      </c>
      <c r="AZ22" s="40" t="str">
        <f>'R2'!AJ28</f>
        <v/>
      </c>
      <c r="BA22" s="40" t="str">
        <f>'R2'!AK28</f>
        <v/>
      </c>
    </row>
    <row r="23" spans="1:53" x14ac:dyDescent="0.25">
      <c r="A23" s="159" t="s">
        <v>17</v>
      </c>
      <c r="B23" s="40">
        <f>'R2'!B29</f>
        <v>4.0977601204863793E-3</v>
      </c>
      <c r="C23" s="40">
        <f>'R2'!C29</f>
        <v>1.6819164673638125E-3</v>
      </c>
      <c r="D23" s="40">
        <f>'R2'!D29</f>
        <v>5.9529649511543426E-3</v>
      </c>
      <c r="E23" s="40">
        <f>'R2'!E29</f>
        <v>2.4464239525291819E-3</v>
      </c>
      <c r="F23" s="40">
        <f>'R2'!F29</f>
        <v>0.63583577869546992</v>
      </c>
      <c r="G23" s="40">
        <f>'R2'!G29</f>
        <v>0.5917287935179959</v>
      </c>
      <c r="H23" s="40">
        <f>'R2'!H29</f>
        <v>2.9254439558675314</v>
      </c>
      <c r="I23" s="40">
        <f>'R2'!I29</f>
        <v>0</v>
      </c>
      <c r="J23" s="40">
        <f>'R2'!J29</f>
        <v>0</v>
      </c>
      <c r="K23" s="40">
        <f>'R2'!K29</f>
        <v>1.6309493016861212E-3</v>
      </c>
      <c r="L23" s="40">
        <f>'R2'!L29</f>
        <v>0</v>
      </c>
      <c r="M23" s="40">
        <f>'R2'!M29</f>
        <v>1.8266632178884558E-2</v>
      </c>
      <c r="N23" s="40" t="e">
        <f>'R2'!#REF!</f>
        <v>#REF!</v>
      </c>
      <c r="O23" s="40" t="e">
        <f>'R2'!#REF!</f>
        <v>#REF!</v>
      </c>
      <c r="P23" s="40" t="e">
        <f>'R2'!#REF!</f>
        <v>#REF!</v>
      </c>
      <c r="Q23" s="40" t="e">
        <f>'R2'!#REF!</f>
        <v>#REF!</v>
      </c>
      <c r="R23" s="40" t="e">
        <f>'R2'!#REF!</f>
        <v>#REF!</v>
      </c>
      <c r="S23" s="40" t="e">
        <f>'R2'!#REF!</f>
        <v>#REF!</v>
      </c>
      <c r="T23" s="40" t="e">
        <f>'R2'!#REF!</f>
        <v>#REF!</v>
      </c>
      <c r="U23" s="40" t="e">
        <f>'R2'!#REF!</f>
        <v>#REF!</v>
      </c>
      <c r="V23" s="40" t="e">
        <f>'R2'!#REF!</f>
        <v>#REF!</v>
      </c>
      <c r="W23" s="40" t="e">
        <f>'R2'!#REF!</f>
        <v>#REF!</v>
      </c>
      <c r="X23" s="40" t="e">
        <f>'R2'!#REF!</f>
        <v>#REF!</v>
      </c>
      <c r="Y23" s="40" t="e">
        <f>'R2'!#REF!</f>
        <v>#REF!</v>
      </c>
      <c r="Z23" s="40" t="e">
        <f>'R2'!#REF!</f>
        <v>#REF!</v>
      </c>
      <c r="AA23" s="40" t="e">
        <f>'R2'!#REF!</f>
        <v>#REF!</v>
      </c>
      <c r="AB23" s="40" t="e">
        <f>'R2'!#REF!</f>
        <v>#REF!</v>
      </c>
      <c r="AC23" s="40" t="e">
        <f>'R2'!#REF!</f>
        <v>#REF!</v>
      </c>
      <c r="AE23" s="40">
        <f>'R2'!O29</f>
        <v>1.4727472194225675</v>
      </c>
      <c r="AF23" s="40">
        <f>'R2'!P29</f>
        <v>2.4503790045857707</v>
      </c>
      <c r="AG23" s="40">
        <f>'R2'!Q29</f>
        <v>0</v>
      </c>
      <c r="AH23" s="40">
        <f>'R2'!R29</f>
        <v>1.0958756095354469</v>
      </c>
      <c r="AI23" s="40">
        <f>'R2'!S29</f>
        <v>0.56818196297490253</v>
      </c>
      <c r="AJ23" s="40">
        <f>'R2'!T29</f>
        <v>2.2666627591839648</v>
      </c>
      <c r="AK23" s="40">
        <f>'R2'!U29</f>
        <v>1.9806554122670323</v>
      </c>
      <c r="AL23" s="40">
        <f>'R2'!V29</f>
        <v>1.5192802416862996</v>
      </c>
      <c r="AM23" s="40" t="str">
        <f>'R2'!W29</f>
        <v/>
      </c>
      <c r="AN23" s="40" t="str">
        <f>'R2'!X29</f>
        <v/>
      </c>
      <c r="AO23" s="40" t="str">
        <f>'R2'!Y29</f>
        <v/>
      </c>
      <c r="AP23" s="40" t="str">
        <f>'R2'!Z29</f>
        <v/>
      </c>
      <c r="AQ23" s="40" t="str">
        <f>'R2'!AA29</f>
        <v/>
      </c>
      <c r="AR23" s="40" t="str">
        <f>'R2'!AB29</f>
        <v/>
      </c>
      <c r="AS23" s="40" t="str">
        <f>'R2'!AC29</f>
        <v/>
      </c>
      <c r="AT23" s="40" t="str">
        <f>'R2'!AD29</f>
        <v/>
      </c>
      <c r="AU23" s="40" t="str">
        <f>'R2'!AE29</f>
        <v/>
      </c>
      <c r="AV23" s="40" t="str">
        <f>'R2'!AF29</f>
        <v/>
      </c>
      <c r="AW23" s="40" t="str">
        <f>'R2'!AG29</f>
        <v/>
      </c>
      <c r="AX23" s="40" t="str">
        <f>'R2'!AH29</f>
        <v/>
      </c>
      <c r="AY23" s="40" t="str">
        <f>'R2'!AI29</f>
        <v/>
      </c>
      <c r="AZ23" s="40" t="str">
        <f>'R2'!AJ29</f>
        <v/>
      </c>
      <c r="BA23" s="40" t="str">
        <f>'R2'!AK29</f>
        <v/>
      </c>
    </row>
    <row r="24" spans="1:53" x14ac:dyDescent="0.25">
      <c r="A24" s="160"/>
      <c r="B24" s="40">
        <f>'R2'!B30</f>
        <v>7.5023667877561579E-3</v>
      </c>
      <c r="C24" s="40">
        <f>'R2'!C30</f>
        <v>5.8306437535278833E-3</v>
      </c>
      <c r="D24" s="40">
        <f>'R2'!D30</f>
        <v>0</v>
      </c>
      <c r="E24" s="40">
        <f>'R2'!E30</f>
        <v>0</v>
      </c>
      <c r="F24" s="40">
        <f>'R2'!F30</f>
        <v>1.808315038244487E-2</v>
      </c>
      <c r="G24" s="40">
        <f>'R2'!G30</f>
        <v>2.0093907002761147</v>
      </c>
      <c r="H24" s="40">
        <f>'R2'!H30</f>
        <v>2.8070370365651187</v>
      </c>
      <c r="I24" s="40">
        <f>'R2'!I30</f>
        <v>3.0794361502461075E-2</v>
      </c>
      <c r="J24" s="40">
        <f>'R2'!J30</f>
        <v>4.2812419169260679E-3</v>
      </c>
      <c r="K24" s="40">
        <f>'R2'!K30</f>
        <v>8.154746508430606E-4</v>
      </c>
      <c r="L24" s="40">
        <f>'R2'!L30</f>
        <v>1.7461350961177034E-2</v>
      </c>
      <c r="M24" s="40">
        <f>'R2'!M30</f>
        <v>0</v>
      </c>
      <c r="N24" s="40" t="e">
        <f>'R2'!#REF!</f>
        <v>#REF!</v>
      </c>
      <c r="O24" s="40" t="e">
        <f>'R2'!#REF!</f>
        <v>#REF!</v>
      </c>
      <c r="P24" s="40" t="e">
        <f>'R2'!#REF!</f>
        <v>#REF!</v>
      </c>
      <c r="Q24" s="40" t="e">
        <f>'R2'!#REF!</f>
        <v>#REF!</v>
      </c>
      <c r="R24" s="40" t="e">
        <f>'R2'!#REF!</f>
        <v>#REF!</v>
      </c>
      <c r="S24" s="40" t="e">
        <f>'R2'!#REF!</f>
        <v>#REF!</v>
      </c>
      <c r="T24" s="40" t="e">
        <f>'R2'!#REF!</f>
        <v>#REF!</v>
      </c>
      <c r="U24" s="40" t="e">
        <f>'R2'!#REF!</f>
        <v>#REF!</v>
      </c>
      <c r="V24" s="40" t="e">
        <f>'R2'!#REF!</f>
        <v>#REF!</v>
      </c>
      <c r="W24" s="40" t="e">
        <f>'R2'!#REF!</f>
        <v>#REF!</v>
      </c>
      <c r="X24" s="40" t="e">
        <f>'R2'!#REF!</f>
        <v>#REF!</v>
      </c>
      <c r="Y24" s="40" t="e">
        <f>'R2'!#REF!</f>
        <v>#REF!</v>
      </c>
      <c r="Z24" s="40" t="e">
        <f>'R2'!#REF!</f>
        <v>#REF!</v>
      </c>
      <c r="AA24" s="40" t="e">
        <f>'R2'!#REF!</f>
        <v>#REF!</v>
      </c>
      <c r="AB24" s="40" t="e">
        <f>'R2'!#REF!</f>
        <v>#REF!</v>
      </c>
      <c r="AC24" s="40" t="e">
        <f>'R2'!#REF!</f>
        <v>#REF!</v>
      </c>
      <c r="AE24" s="40">
        <f>'R2'!O30</f>
        <v>1.3523627740918607</v>
      </c>
      <c r="AF24" s="40">
        <f>'R2'!P30</f>
        <v>1.7247288865330732</v>
      </c>
      <c r="AG24" s="40">
        <f>'R2'!Q30</f>
        <v>8.2566808397859892E-4</v>
      </c>
      <c r="AH24" s="40">
        <f>'R2'!R30</f>
        <v>0.36231538736957186</v>
      </c>
      <c r="AI24" s="40">
        <f>'R2'!S30</f>
        <v>1.8523302825237411</v>
      </c>
      <c r="AJ24" s="40">
        <f>'R2'!T30</f>
        <v>1.2528850601221428</v>
      </c>
      <c r="AK24" s="40">
        <f>'R2'!U30</f>
        <v>1.9739379398307126</v>
      </c>
      <c r="AL24" s="40">
        <f>'R2'!V30</f>
        <v>0.5819125174084725</v>
      </c>
      <c r="AM24" s="40" t="str">
        <f>'R2'!W30</f>
        <v/>
      </c>
      <c r="AN24" s="40" t="str">
        <f>'R2'!X30</f>
        <v/>
      </c>
      <c r="AO24" s="40" t="str">
        <f>'R2'!Y30</f>
        <v/>
      </c>
      <c r="AP24" s="40" t="str">
        <f>'R2'!Z30</f>
        <v/>
      </c>
      <c r="AQ24" s="40" t="str">
        <f>'R2'!AA30</f>
        <v/>
      </c>
      <c r="AR24" s="40" t="str">
        <f>'R2'!AB30</f>
        <v/>
      </c>
      <c r="AS24" s="40" t="str">
        <f>'R2'!AC30</f>
        <v/>
      </c>
      <c r="AT24" s="40" t="str">
        <f>'R2'!AD30</f>
        <v/>
      </c>
      <c r="AU24" s="40" t="str">
        <f>'R2'!AE30</f>
        <v/>
      </c>
      <c r="AV24" s="40" t="str">
        <f>'R2'!AF30</f>
        <v/>
      </c>
      <c r="AW24" s="40" t="str">
        <f>'R2'!AG30</f>
        <v/>
      </c>
      <c r="AX24" s="40" t="str">
        <f>'R2'!AH30</f>
        <v/>
      </c>
      <c r="AY24" s="40" t="str">
        <f>'R2'!AI30</f>
        <v/>
      </c>
      <c r="AZ24" s="40" t="str">
        <f>'R2'!AJ30</f>
        <v/>
      </c>
      <c r="BA24" s="40" t="str">
        <f>'R2'!AK30</f>
        <v/>
      </c>
    </row>
    <row r="25" spans="1:53" x14ac:dyDescent="0.25">
      <c r="A25" s="160"/>
      <c r="B25" s="40">
        <f>'R2'!B31</f>
        <v>1.0743878524857324E-2</v>
      </c>
      <c r="C25" s="40">
        <f>'R2'!C31</f>
        <v>0</v>
      </c>
      <c r="D25" s="40">
        <f>'R2'!D31</f>
        <v>0</v>
      </c>
      <c r="E25" s="40">
        <f>'R2'!E31</f>
        <v>8.3586151711413713E-4</v>
      </c>
      <c r="F25" s="40">
        <f>'R2'!F31</f>
        <v>1.4299042199539003</v>
      </c>
      <c r="G25" s="40">
        <f>'R2'!G31</f>
        <v>1.7527404407895324</v>
      </c>
      <c r="H25" s="40">
        <f>'R2'!H31</f>
        <v>3.6498198947782865</v>
      </c>
      <c r="I25" s="40">
        <f>'R2'!I31</f>
        <v>0</v>
      </c>
      <c r="J25" s="40">
        <f>'R2'!J31</f>
        <v>8.5624838338521365E-4</v>
      </c>
      <c r="K25" s="40">
        <f>'R2'!K31</f>
        <v>8.5084586382337832E-2</v>
      </c>
      <c r="L25" s="40">
        <f>'R2'!L31</f>
        <v>0</v>
      </c>
      <c r="M25" s="40">
        <f>'R2'!M31</f>
        <v>3.2924789027788575E-3</v>
      </c>
      <c r="N25" s="40" t="e">
        <f>'R2'!#REF!</f>
        <v>#REF!</v>
      </c>
      <c r="O25" s="40" t="e">
        <f>'R2'!#REF!</f>
        <v>#REF!</v>
      </c>
      <c r="P25" s="40" t="e">
        <f>'R2'!#REF!</f>
        <v>#REF!</v>
      </c>
      <c r="Q25" s="40" t="e">
        <f>'R2'!#REF!</f>
        <v>#REF!</v>
      </c>
      <c r="R25" s="40" t="e">
        <f>'R2'!#REF!</f>
        <v>#REF!</v>
      </c>
      <c r="S25" s="40" t="e">
        <f>'R2'!#REF!</f>
        <v>#REF!</v>
      </c>
      <c r="T25" s="40" t="e">
        <f>'R2'!#REF!</f>
        <v>#REF!</v>
      </c>
      <c r="U25" s="40" t="e">
        <f>'R2'!#REF!</f>
        <v>#REF!</v>
      </c>
      <c r="V25" s="40" t="e">
        <f>'R2'!#REF!</f>
        <v>#REF!</v>
      </c>
      <c r="W25" s="40" t="e">
        <f>'R2'!#REF!</f>
        <v>#REF!</v>
      </c>
      <c r="X25" s="40" t="e">
        <f>'R2'!#REF!</f>
        <v>#REF!</v>
      </c>
      <c r="Y25" s="40" t="e">
        <f>'R2'!#REF!</f>
        <v>#REF!</v>
      </c>
      <c r="Z25" s="40" t="e">
        <f>'R2'!#REF!</f>
        <v>#REF!</v>
      </c>
      <c r="AA25" s="40" t="e">
        <f>'R2'!#REF!</f>
        <v>#REF!</v>
      </c>
      <c r="AB25" s="40" t="e">
        <f>'R2'!#REF!</f>
        <v>#REF!</v>
      </c>
      <c r="AC25" s="40" t="e">
        <f>'R2'!#REF!</f>
        <v>#REF!</v>
      </c>
      <c r="AE25" s="40">
        <f>'R2'!O31</f>
        <v>2.090336752805424</v>
      </c>
      <c r="AF25" s="40">
        <f>'R2'!P31</f>
        <v>2.1638517925789258</v>
      </c>
      <c r="AG25" s="40">
        <f>'R2'!Q31</f>
        <v>0</v>
      </c>
      <c r="AH25" s="40">
        <f>'R2'!R31</f>
        <v>2.0713769671733226</v>
      </c>
      <c r="AI25" s="40">
        <f>'R2'!S31</f>
        <v>1.4563255986412154</v>
      </c>
      <c r="AJ25" s="40">
        <f>'R2'!T31</f>
        <v>0.83166182266229538</v>
      </c>
      <c r="AK25" s="40">
        <f>'R2'!U31</f>
        <v>2.7770479562803652</v>
      </c>
      <c r="AL25" s="40">
        <f>'R2'!V31</f>
        <v>2.1400908999399864</v>
      </c>
      <c r="AM25" s="40" t="str">
        <f>'R2'!W31</f>
        <v/>
      </c>
      <c r="AN25" s="40" t="str">
        <f>'R2'!X31</f>
        <v/>
      </c>
      <c r="AO25" s="40" t="str">
        <f>'R2'!Y31</f>
        <v/>
      </c>
      <c r="AP25" s="40" t="str">
        <f>'R2'!Z31</f>
        <v/>
      </c>
      <c r="AQ25" s="40" t="str">
        <f>'R2'!AA31</f>
        <v/>
      </c>
      <c r="AR25" s="40" t="str">
        <f>'R2'!AB31</f>
        <v/>
      </c>
      <c r="AS25" s="40" t="str">
        <f>'R2'!AC31</f>
        <v/>
      </c>
      <c r="AT25" s="40" t="str">
        <f>'R2'!AD31</f>
        <v/>
      </c>
      <c r="AU25" s="40" t="str">
        <f>'R2'!AE31</f>
        <v/>
      </c>
      <c r="AV25" s="40" t="str">
        <f>'R2'!AF31</f>
        <v/>
      </c>
      <c r="AW25" s="40" t="str">
        <f>'R2'!AG31</f>
        <v/>
      </c>
      <c r="AX25" s="40" t="str">
        <f>'R2'!AH31</f>
        <v/>
      </c>
      <c r="AY25" s="40" t="str">
        <f>'R2'!AI31</f>
        <v/>
      </c>
      <c r="AZ25" s="40" t="str">
        <f>'R2'!AJ31</f>
        <v/>
      </c>
      <c r="BA25" s="40" t="str">
        <f>'R2'!AK31</f>
        <v/>
      </c>
    </row>
    <row r="26" spans="1:53" x14ac:dyDescent="0.25">
      <c r="A26" s="160"/>
      <c r="B26" s="40">
        <f>'R2'!B32</f>
        <v>2.5687451501556411E-2</v>
      </c>
      <c r="C26" s="40">
        <f>'R2'!C32</f>
        <v>3.1762737650337214E-2</v>
      </c>
      <c r="D26" s="40">
        <f>'R2'!D32</f>
        <v>0</v>
      </c>
      <c r="E26" s="40">
        <f>'R2'!E32</f>
        <v>0</v>
      </c>
      <c r="F26" s="40">
        <f>'R2'!F32</f>
        <v>1.489892573956543</v>
      </c>
      <c r="G26" s="40">
        <f>'R2'!G32</f>
        <v>0.97544019703906248</v>
      </c>
      <c r="H26" s="40">
        <f>'R2'!H32</f>
        <v>2.49145854012199</v>
      </c>
      <c r="I26" s="40">
        <f>'R2'!I32</f>
        <v>0</v>
      </c>
      <c r="J26" s="40">
        <f>'R2'!J32</f>
        <v>0</v>
      </c>
      <c r="K26" s="40">
        <f>'R2'!K32</f>
        <v>7.869330380635535E-2</v>
      </c>
      <c r="L26" s="40">
        <f>'R2'!L32</f>
        <v>0</v>
      </c>
      <c r="M26" s="40">
        <f>'R2'!M32</f>
        <v>0</v>
      </c>
      <c r="N26" s="40" t="e">
        <f>'R2'!#REF!</f>
        <v>#REF!</v>
      </c>
      <c r="O26" s="40" t="e">
        <f>'R2'!#REF!</f>
        <v>#REF!</v>
      </c>
      <c r="P26" s="40" t="e">
        <f>'R2'!#REF!</f>
        <v>#REF!</v>
      </c>
      <c r="Q26" s="40" t="e">
        <f>'R2'!#REF!</f>
        <v>#REF!</v>
      </c>
      <c r="R26" s="40" t="e">
        <f>'R2'!#REF!</f>
        <v>#REF!</v>
      </c>
      <c r="S26" s="40" t="e">
        <f>'R2'!#REF!</f>
        <v>#REF!</v>
      </c>
      <c r="T26" s="40" t="e">
        <f>'R2'!#REF!</f>
        <v>#REF!</v>
      </c>
      <c r="U26" s="40" t="e">
        <f>'R2'!#REF!</f>
        <v>#REF!</v>
      </c>
      <c r="V26" s="40" t="e">
        <f>'R2'!#REF!</f>
        <v>#REF!</v>
      </c>
      <c r="W26" s="40" t="e">
        <f>'R2'!#REF!</f>
        <v>#REF!</v>
      </c>
      <c r="X26" s="40" t="e">
        <f>'R2'!#REF!</f>
        <v>#REF!</v>
      </c>
      <c r="Y26" s="40" t="e">
        <f>'R2'!#REF!</f>
        <v>#REF!</v>
      </c>
      <c r="Z26" s="40" t="e">
        <f>'R2'!#REF!</f>
        <v>#REF!</v>
      </c>
      <c r="AA26" s="40" t="e">
        <f>'R2'!#REF!</f>
        <v>#REF!</v>
      </c>
      <c r="AB26" s="40" t="e">
        <f>'R2'!#REF!</f>
        <v>#REF!</v>
      </c>
      <c r="AC26" s="40" t="e">
        <f>'R2'!#REF!</f>
        <v>#REF!</v>
      </c>
      <c r="AE26" s="40">
        <f>'R2'!O32</f>
        <v>0.34575105852432214</v>
      </c>
      <c r="AF26" s="40">
        <f>'R2'!P32</f>
        <v>2.7724201376368307</v>
      </c>
      <c r="AG26" s="40">
        <f>'R2'!Q32</f>
        <v>0</v>
      </c>
      <c r="AH26" s="40">
        <f>'R2'!R32</f>
        <v>2.4434474700536049</v>
      </c>
      <c r="AI26" s="40">
        <f>'R2'!S32</f>
        <v>1.2131000905941369</v>
      </c>
      <c r="AJ26" s="40">
        <f>'R2'!T32</f>
        <v>1.8648478184141821</v>
      </c>
      <c r="AK26" s="40">
        <f>'R2'!U32</f>
        <v>1.7696513463613903</v>
      </c>
      <c r="AL26" s="40">
        <f>'R2'!V32</f>
        <v>2.6896494605762604</v>
      </c>
      <c r="AM26" s="40" t="str">
        <f>'R2'!W32</f>
        <v/>
      </c>
      <c r="AN26" s="40" t="str">
        <f>'R2'!X32</f>
        <v/>
      </c>
      <c r="AO26" s="40" t="str">
        <f>'R2'!Y32</f>
        <v/>
      </c>
      <c r="AP26" s="40" t="str">
        <f>'R2'!Z32</f>
        <v/>
      </c>
      <c r="AQ26" s="40" t="str">
        <f>'R2'!AA32</f>
        <v/>
      </c>
      <c r="AR26" s="40" t="str">
        <f>'R2'!AB32</f>
        <v/>
      </c>
      <c r="AS26" s="40" t="str">
        <f>'R2'!AC32</f>
        <v/>
      </c>
      <c r="AT26" s="40" t="str">
        <f>'R2'!AD32</f>
        <v/>
      </c>
      <c r="AU26" s="40" t="str">
        <f>'R2'!AE32</f>
        <v/>
      </c>
      <c r="AV26" s="40" t="str">
        <f>'R2'!AF32</f>
        <v/>
      </c>
      <c r="AW26" s="40" t="str">
        <f>'R2'!AG32</f>
        <v/>
      </c>
      <c r="AX26" s="40" t="str">
        <f>'R2'!AH32</f>
        <v/>
      </c>
      <c r="AY26" s="40" t="str">
        <f>'R2'!AI32</f>
        <v/>
      </c>
      <c r="AZ26" s="40" t="str">
        <f>'R2'!AJ32</f>
        <v/>
      </c>
      <c r="BA26" s="40" t="str">
        <f>'R2'!AK32</f>
        <v/>
      </c>
    </row>
    <row r="27" spans="1:53" x14ac:dyDescent="0.25">
      <c r="A27" s="160"/>
      <c r="B27" s="40">
        <f>'R2'!B33</f>
        <v>0</v>
      </c>
      <c r="C27" s="40">
        <f>'R2'!C33</f>
        <v>1.6921099004993509E-3</v>
      </c>
      <c r="D27" s="40">
        <f>'R2'!D33</f>
        <v>0</v>
      </c>
      <c r="E27" s="40">
        <f>'R2'!E33</f>
        <v>2.1346781869450155</v>
      </c>
      <c r="F27" s="40">
        <f>'R2'!F33</f>
        <v>1.1895736469173147E-2</v>
      </c>
      <c r="G27" s="40">
        <f>'R2'!G33</f>
        <v>1.1866277447411442</v>
      </c>
      <c r="H27" s="40">
        <f>'R2'!H33</f>
        <v>2.8215219050507185</v>
      </c>
      <c r="I27" s="40">
        <f>'R2'!I33</f>
        <v>1.2395214692814521E-2</v>
      </c>
      <c r="J27" s="40">
        <f>'R2'!J33</f>
        <v>4.9540085038715931E-3</v>
      </c>
      <c r="K27" s="40">
        <f>'R2'!K33</f>
        <v>0</v>
      </c>
      <c r="L27" s="40">
        <f>'R2'!L33</f>
        <v>0</v>
      </c>
      <c r="M27" s="40">
        <f>'R2'!M33</f>
        <v>8.0833924764818391E-2</v>
      </c>
      <c r="N27" s="40" t="e">
        <f>'R2'!#REF!</f>
        <v>#REF!</v>
      </c>
      <c r="O27" s="40" t="e">
        <f>'R2'!#REF!</f>
        <v>#REF!</v>
      </c>
      <c r="P27" s="40" t="e">
        <f>'R2'!#REF!</f>
        <v>#REF!</v>
      </c>
      <c r="Q27" s="40" t="e">
        <f>'R2'!#REF!</f>
        <v>#REF!</v>
      </c>
      <c r="R27" s="40" t="e">
        <f>'R2'!#REF!</f>
        <v>#REF!</v>
      </c>
      <c r="S27" s="40" t="e">
        <f>'R2'!#REF!</f>
        <v>#REF!</v>
      </c>
      <c r="T27" s="40" t="e">
        <f>'R2'!#REF!</f>
        <v>#REF!</v>
      </c>
      <c r="U27" s="40" t="e">
        <f>'R2'!#REF!</f>
        <v>#REF!</v>
      </c>
      <c r="V27" s="40" t="e">
        <f>'R2'!#REF!</f>
        <v>#REF!</v>
      </c>
      <c r="W27" s="40" t="e">
        <f>'R2'!#REF!</f>
        <v>#REF!</v>
      </c>
      <c r="X27" s="40" t="e">
        <f>'R2'!#REF!</f>
        <v>#REF!</v>
      </c>
      <c r="Y27" s="40" t="e">
        <f>'R2'!#REF!</f>
        <v>#REF!</v>
      </c>
      <c r="Z27" s="40" t="e">
        <f>'R2'!#REF!</f>
        <v>#REF!</v>
      </c>
      <c r="AA27" s="40" t="e">
        <f>'R2'!#REF!</f>
        <v>#REF!</v>
      </c>
      <c r="AB27" s="40" t="e">
        <f>'R2'!#REF!</f>
        <v>#REF!</v>
      </c>
      <c r="AC27" s="40" t="e">
        <f>'R2'!#REF!</f>
        <v>#REF!</v>
      </c>
      <c r="AE27" s="40">
        <f>'R2'!O33</f>
        <v>0.35802395201951021</v>
      </c>
      <c r="AF27" s="40">
        <f>'R2'!P33</f>
        <v>1.687736917684205</v>
      </c>
      <c r="AG27" s="40">
        <f>'R2'!Q33</f>
        <v>0</v>
      </c>
      <c r="AH27" s="40">
        <f>'R2'!R33</f>
        <v>3.9815549827412436E-2</v>
      </c>
      <c r="AI27" s="40">
        <f>'R2'!S33</f>
        <v>6.5645709392866377E-3</v>
      </c>
      <c r="AJ27" s="40">
        <f>'R2'!T33</f>
        <v>1.7415684380729823</v>
      </c>
      <c r="AK27" s="40">
        <f>'R2'!U33</f>
        <v>1.5917045841142989</v>
      </c>
      <c r="AL27" s="40">
        <f>'R2'!V33</f>
        <v>3.1081204710895123</v>
      </c>
      <c r="AM27" s="40" t="str">
        <f>'R2'!W33</f>
        <v/>
      </c>
      <c r="AN27" s="40" t="str">
        <f>'R2'!X33</f>
        <v/>
      </c>
      <c r="AO27" s="40" t="str">
        <f>'R2'!Y33</f>
        <v/>
      </c>
      <c r="AP27" s="40" t="str">
        <f>'R2'!Z33</f>
        <v/>
      </c>
      <c r="AQ27" s="40" t="str">
        <f>'R2'!AA33</f>
        <v/>
      </c>
      <c r="AR27" s="40" t="str">
        <f>'R2'!AB33</f>
        <v/>
      </c>
      <c r="AS27" s="40" t="str">
        <f>'R2'!AC33</f>
        <v/>
      </c>
      <c r="AT27" s="40" t="str">
        <f>'R2'!AD33</f>
        <v/>
      </c>
      <c r="AU27" s="40" t="str">
        <f>'R2'!AE33</f>
        <v/>
      </c>
      <c r="AV27" s="40" t="str">
        <f>'R2'!AF33</f>
        <v/>
      </c>
      <c r="AW27" s="40" t="str">
        <f>'R2'!AG33</f>
        <v/>
      </c>
      <c r="AX27" s="40" t="str">
        <f>'R2'!AH33</f>
        <v/>
      </c>
      <c r="AY27" s="40" t="str">
        <f>'R2'!AI33</f>
        <v/>
      </c>
      <c r="AZ27" s="40" t="str">
        <f>'R2'!AJ33</f>
        <v/>
      </c>
      <c r="BA27" s="40" t="str">
        <f>'R2'!AK33</f>
        <v/>
      </c>
    </row>
    <row r="28" spans="1:53" x14ac:dyDescent="0.25">
      <c r="A28" s="160"/>
      <c r="B28" s="40">
        <f>'R2'!B34</f>
        <v>8.154746508430606E-4</v>
      </c>
      <c r="C28" s="40">
        <f>'R2'!C34</f>
        <v>0</v>
      </c>
      <c r="D28" s="40">
        <f>'R2'!D34</f>
        <v>0</v>
      </c>
      <c r="E28" s="40">
        <f>'R2'!E34</f>
        <v>1.1365677946125157E-2</v>
      </c>
      <c r="F28" s="40">
        <f>'R2'!F34</f>
        <v>0.86125335905476297</v>
      </c>
      <c r="G28" s="40">
        <f>'R2'!G34</f>
        <v>1.4344708779986213</v>
      </c>
      <c r="H28" s="40">
        <f>'R2'!H34</f>
        <v>2.3459880558447233</v>
      </c>
      <c r="I28" s="40">
        <f>'R2'!I34</f>
        <v>0</v>
      </c>
      <c r="J28" s="40">
        <f>'R2'!J34</f>
        <v>7.3953357398330061E-2</v>
      </c>
      <c r="K28" s="40">
        <f>'R2'!K34</f>
        <v>0</v>
      </c>
      <c r="L28" s="40">
        <f>'R2'!L34</f>
        <v>0</v>
      </c>
      <c r="M28" s="40">
        <f>'R2'!M34</f>
        <v>6.9570181150048607E-2</v>
      </c>
      <c r="N28" s="40" t="e">
        <f>'R2'!#REF!</f>
        <v>#REF!</v>
      </c>
      <c r="O28" s="40" t="e">
        <f>'R2'!#REF!</f>
        <v>#REF!</v>
      </c>
      <c r="P28" s="40" t="e">
        <f>'R2'!#REF!</f>
        <v>#REF!</v>
      </c>
      <c r="Q28" s="40" t="e">
        <f>'R2'!#REF!</f>
        <v>#REF!</v>
      </c>
      <c r="R28" s="40" t="e">
        <f>'R2'!#REF!</f>
        <v>#REF!</v>
      </c>
      <c r="S28" s="40" t="e">
        <f>'R2'!#REF!</f>
        <v>#REF!</v>
      </c>
      <c r="T28" s="40" t="e">
        <f>'R2'!#REF!</f>
        <v>#REF!</v>
      </c>
      <c r="U28" s="40" t="e">
        <f>'R2'!#REF!</f>
        <v>#REF!</v>
      </c>
      <c r="V28" s="40" t="e">
        <f>'R2'!#REF!</f>
        <v>#REF!</v>
      </c>
      <c r="W28" s="40" t="e">
        <f>'R2'!#REF!</f>
        <v>#REF!</v>
      </c>
      <c r="X28" s="40" t="e">
        <f>'R2'!#REF!</f>
        <v>#REF!</v>
      </c>
      <c r="Y28" s="40" t="e">
        <f>'R2'!#REF!</f>
        <v>#REF!</v>
      </c>
      <c r="Z28" s="40" t="e">
        <f>'R2'!#REF!</f>
        <v>#REF!</v>
      </c>
      <c r="AA28" s="40" t="e">
        <f>'R2'!#REF!</f>
        <v>#REF!</v>
      </c>
      <c r="AB28" s="40" t="e">
        <f>'R2'!#REF!</f>
        <v>#REF!</v>
      </c>
      <c r="AC28" s="40" t="e">
        <f>'R2'!#REF!</f>
        <v>#REF!</v>
      </c>
      <c r="AE28" s="40">
        <f>'R2'!O34</f>
        <v>0.20455162273084623</v>
      </c>
      <c r="AF28" s="40">
        <f>'R2'!P34</f>
        <v>2.8328570026974371</v>
      </c>
      <c r="AG28" s="40">
        <f>'R2'!Q34</f>
        <v>7.5329470871627726E-3</v>
      </c>
      <c r="AH28" s="40">
        <f>'R2'!R34</f>
        <v>1.6970842958694934</v>
      </c>
      <c r="AI28" s="40">
        <f>'R2'!S34</f>
        <v>1.5436833206127782</v>
      </c>
      <c r="AJ28" s="40">
        <f>'R2'!T34</f>
        <v>1.8831348374593377</v>
      </c>
      <c r="AK28" s="40">
        <f>'R2'!U34</f>
        <v>1.7286431648571199</v>
      </c>
      <c r="AL28" s="40">
        <f>'R2'!V34</f>
        <v>2.4596040615734327</v>
      </c>
      <c r="AM28" s="40" t="str">
        <f>'R2'!W34</f>
        <v/>
      </c>
      <c r="AN28" s="40" t="str">
        <f>'R2'!X34</f>
        <v/>
      </c>
      <c r="AO28" s="40" t="str">
        <f>'R2'!Y34</f>
        <v/>
      </c>
      <c r="AP28" s="40" t="str">
        <f>'R2'!Z34</f>
        <v/>
      </c>
      <c r="AQ28" s="40" t="str">
        <f>'R2'!AA34</f>
        <v/>
      </c>
      <c r="AR28" s="40" t="str">
        <f>'R2'!AB34</f>
        <v/>
      </c>
      <c r="AS28" s="40" t="str">
        <f>'R2'!AC34</f>
        <v/>
      </c>
      <c r="AT28" s="40" t="str">
        <f>'R2'!AD34</f>
        <v/>
      </c>
      <c r="AU28" s="40" t="str">
        <f>'R2'!AE34</f>
        <v/>
      </c>
      <c r="AV28" s="40" t="str">
        <f>'R2'!AF34</f>
        <v/>
      </c>
      <c r="AW28" s="40" t="str">
        <f>'R2'!AG34</f>
        <v/>
      </c>
      <c r="AX28" s="40" t="str">
        <f>'R2'!AH34</f>
        <v/>
      </c>
      <c r="AY28" s="40" t="str">
        <f>'R2'!AI34</f>
        <v/>
      </c>
      <c r="AZ28" s="40" t="str">
        <f>'R2'!AJ34</f>
        <v/>
      </c>
      <c r="BA28" s="40" t="str">
        <f>'R2'!AK34</f>
        <v/>
      </c>
    </row>
    <row r="29" spans="1:53" x14ac:dyDescent="0.25">
      <c r="A29" s="160"/>
      <c r="B29" s="40">
        <f>'R2'!B35</f>
        <v>3.3230592021854721E-3</v>
      </c>
      <c r="C29" s="40">
        <f>'R2'!C35</f>
        <v>0</v>
      </c>
      <c r="D29" s="40">
        <f>'R2'!D35</f>
        <v>5.0763297014980524E-3</v>
      </c>
      <c r="E29" s="40">
        <f>'R2'!E35</f>
        <v>1.6411427348216594E-3</v>
      </c>
      <c r="F29" s="40">
        <f>'R2'!F35</f>
        <v>0</v>
      </c>
      <c r="G29" s="40">
        <f>'R2'!G35</f>
        <v>0.97957873089209102</v>
      </c>
      <c r="H29" s="40">
        <f>'R2'!H35</f>
        <v>3.1274879940470353</v>
      </c>
      <c r="I29" s="40">
        <f>'R2'!I35</f>
        <v>0</v>
      </c>
      <c r="J29" s="40">
        <f>'R2'!J35</f>
        <v>0</v>
      </c>
      <c r="K29" s="40">
        <f>'R2'!K35</f>
        <v>0</v>
      </c>
      <c r="L29" s="40">
        <f>'R2'!L35</f>
        <v>0</v>
      </c>
      <c r="M29" s="40" t="str">
        <f>'R2'!M35</f>
        <v/>
      </c>
      <c r="N29" s="40" t="e">
        <f>'R2'!#REF!</f>
        <v>#REF!</v>
      </c>
      <c r="O29" s="40" t="e">
        <f>'R2'!#REF!</f>
        <v>#REF!</v>
      </c>
      <c r="P29" s="40" t="e">
        <f>'R2'!#REF!</f>
        <v>#REF!</v>
      </c>
      <c r="Q29" s="40" t="e">
        <f>'R2'!#REF!</f>
        <v>#REF!</v>
      </c>
      <c r="R29" s="40" t="e">
        <f>'R2'!#REF!</f>
        <v>#REF!</v>
      </c>
      <c r="S29" s="40" t="e">
        <f>'R2'!#REF!</f>
        <v>#REF!</v>
      </c>
      <c r="T29" s="40" t="e">
        <f>'R2'!#REF!</f>
        <v>#REF!</v>
      </c>
      <c r="U29" s="40" t="e">
        <f>'R2'!#REF!</f>
        <v>#REF!</v>
      </c>
      <c r="V29" s="40" t="e">
        <f>'R2'!#REF!</f>
        <v>#REF!</v>
      </c>
      <c r="W29" s="40" t="e">
        <f>'R2'!#REF!</f>
        <v>#REF!</v>
      </c>
      <c r="X29" s="40" t="e">
        <f>'R2'!#REF!</f>
        <v>#REF!</v>
      </c>
      <c r="Y29" s="40" t="e">
        <f>'R2'!#REF!</f>
        <v>#REF!</v>
      </c>
      <c r="Z29" s="40" t="e">
        <f>'R2'!#REF!</f>
        <v>#REF!</v>
      </c>
      <c r="AA29" s="40" t="e">
        <f>'R2'!#REF!</f>
        <v>#REF!</v>
      </c>
      <c r="AB29" s="40" t="e">
        <f>'R2'!#REF!</f>
        <v>#REF!</v>
      </c>
      <c r="AC29" s="40" t="e">
        <f>'R2'!#REF!</f>
        <v>#REF!</v>
      </c>
      <c r="AE29" s="40">
        <f>'R2'!O35</f>
        <v>1.5426435904329534</v>
      </c>
      <c r="AF29" s="40">
        <f>'R2'!P35</f>
        <v>2.2316992835290685</v>
      </c>
      <c r="AG29" s="40">
        <f>'R2'!Q35</f>
        <v>0</v>
      </c>
      <c r="AH29" s="40">
        <f>'R2'!R35</f>
        <v>1.5168643980331771</v>
      </c>
      <c r="AI29" s="40">
        <f>'R2'!S35</f>
        <v>0</v>
      </c>
      <c r="AJ29" s="40">
        <f>'R2'!T35</f>
        <v>0.87058035037378045</v>
      </c>
      <c r="AK29" s="40" t="str">
        <f>'R2'!U35</f>
        <v/>
      </c>
      <c r="AL29" s="40">
        <f>'R2'!V35</f>
        <v>1.6561168880977652</v>
      </c>
      <c r="AM29" s="40" t="str">
        <f>'R2'!W35</f>
        <v/>
      </c>
      <c r="AN29" s="40" t="str">
        <f>'R2'!X35</f>
        <v/>
      </c>
      <c r="AO29" s="40" t="str">
        <f>'R2'!Y35</f>
        <v/>
      </c>
      <c r="AP29" s="40" t="str">
        <f>'R2'!Z35</f>
        <v/>
      </c>
      <c r="AQ29" s="40" t="str">
        <f>'R2'!AA35</f>
        <v/>
      </c>
      <c r="AR29" s="40" t="str">
        <f>'R2'!AB35</f>
        <v/>
      </c>
      <c r="AS29" s="40" t="str">
        <f>'R2'!AC35</f>
        <v/>
      </c>
      <c r="AT29" s="40" t="str">
        <f>'R2'!AD35</f>
        <v/>
      </c>
      <c r="AU29" s="40" t="str">
        <f>'R2'!AE35</f>
        <v/>
      </c>
      <c r="AV29" s="40" t="str">
        <f>'R2'!AF35</f>
        <v/>
      </c>
      <c r="AW29" s="40" t="str">
        <f>'R2'!AG35</f>
        <v/>
      </c>
      <c r="AX29" s="40" t="str">
        <f>'R2'!AH35</f>
        <v/>
      </c>
      <c r="AY29" s="40" t="str">
        <f>'R2'!AI35</f>
        <v/>
      </c>
      <c r="AZ29" s="40" t="str">
        <f>'R2'!AJ35</f>
        <v/>
      </c>
      <c r="BA29" s="40" t="str">
        <f>'R2'!AK35</f>
        <v/>
      </c>
    </row>
    <row r="30" spans="1:53" x14ac:dyDescent="0.25">
      <c r="A30" s="160"/>
      <c r="B30" s="40" t="str">
        <f>'R2'!B36</f>
        <v/>
      </c>
      <c r="C30" s="40" t="str">
        <f>'R2'!C36</f>
        <v/>
      </c>
      <c r="D30" s="40" t="str">
        <f>'R2'!D36</f>
        <v/>
      </c>
      <c r="E30" s="40" t="str">
        <f>'R2'!E36</f>
        <v/>
      </c>
      <c r="F30" s="40" t="str">
        <f>'R2'!F36</f>
        <v/>
      </c>
      <c r="G30" s="40" t="str">
        <f>'R2'!G36</f>
        <v/>
      </c>
      <c r="H30" s="40" t="str">
        <f>'R2'!H36</f>
        <v/>
      </c>
      <c r="I30" s="40" t="str">
        <f>'R2'!I36</f>
        <v/>
      </c>
      <c r="J30" s="40" t="str">
        <f>'R2'!J36</f>
        <v/>
      </c>
      <c r="K30" s="40" t="str">
        <f>'R2'!K36</f>
        <v/>
      </c>
      <c r="L30" s="40" t="str">
        <f>'R2'!L36</f>
        <v/>
      </c>
      <c r="M30" s="40" t="str">
        <f>'R2'!M36</f>
        <v/>
      </c>
      <c r="N30" s="40" t="e">
        <f>'R2'!#REF!</f>
        <v>#REF!</v>
      </c>
      <c r="O30" s="40" t="e">
        <f>'R2'!#REF!</f>
        <v>#REF!</v>
      </c>
      <c r="P30" s="40" t="e">
        <f>'R2'!#REF!</f>
        <v>#REF!</v>
      </c>
      <c r="Q30" s="40" t="e">
        <f>'R2'!#REF!</f>
        <v>#REF!</v>
      </c>
      <c r="R30" s="40" t="e">
        <f>'R2'!#REF!</f>
        <v>#REF!</v>
      </c>
      <c r="S30" s="40" t="e">
        <f>'R2'!#REF!</f>
        <v>#REF!</v>
      </c>
      <c r="T30" s="40" t="e">
        <f>'R2'!#REF!</f>
        <v>#REF!</v>
      </c>
      <c r="U30" s="40" t="e">
        <f>'R2'!#REF!</f>
        <v>#REF!</v>
      </c>
      <c r="V30" s="40" t="e">
        <f>'R2'!#REF!</f>
        <v>#REF!</v>
      </c>
      <c r="W30" s="40" t="e">
        <f>'R2'!#REF!</f>
        <v>#REF!</v>
      </c>
      <c r="X30" s="40" t="e">
        <f>'R2'!#REF!</f>
        <v>#REF!</v>
      </c>
      <c r="Y30" s="40" t="e">
        <f>'R2'!#REF!</f>
        <v>#REF!</v>
      </c>
      <c r="Z30" s="40" t="e">
        <f>'R2'!#REF!</f>
        <v>#REF!</v>
      </c>
      <c r="AA30" s="40" t="e">
        <f>'R2'!#REF!</f>
        <v>#REF!</v>
      </c>
      <c r="AB30" s="40" t="e">
        <f>'R2'!#REF!</f>
        <v>#REF!</v>
      </c>
      <c r="AC30" s="40" t="e">
        <f>'R2'!#REF!</f>
        <v>#REF!</v>
      </c>
      <c r="AE30" s="40">
        <f>'R2'!O36</f>
        <v>0.30875908967545385</v>
      </c>
      <c r="AF30" s="40" t="str">
        <f>'R2'!P36</f>
        <v/>
      </c>
      <c r="AG30" s="40" t="str">
        <f>'R2'!Q36</f>
        <v/>
      </c>
      <c r="AH30" s="40" t="str">
        <f>'R2'!R36</f>
        <v/>
      </c>
      <c r="AI30" s="40" t="str">
        <f>'R2'!S36</f>
        <v/>
      </c>
      <c r="AJ30" s="40" t="str">
        <f>'R2'!T36</f>
        <v/>
      </c>
      <c r="AK30" s="40" t="str">
        <f>'R2'!U36</f>
        <v/>
      </c>
      <c r="AL30" s="40" t="str">
        <f>'R2'!V36</f>
        <v/>
      </c>
      <c r="AM30" s="40" t="str">
        <f>'R2'!W36</f>
        <v/>
      </c>
      <c r="AN30" s="40" t="str">
        <f>'R2'!X36</f>
        <v/>
      </c>
      <c r="AO30" s="40" t="str">
        <f>'R2'!Y36</f>
        <v/>
      </c>
      <c r="AP30" s="40" t="str">
        <f>'R2'!Z36</f>
        <v/>
      </c>
      <c r="AQ30" s="40" t="str">
        <f>'R2'!AA36</f>
        <v/>
      </c>
      <c r="AR30" s="40" t="str">
        <f>'R2'!AB36</f>
        <v/>
      </c>
      <c r="AS30" s="40" t="str">
        <f>'R2'!AC36</f>
        <v/>
      </c>
      <c r="AT30" s="40" t="str">
        <f>'R2'!AD36</f>
        <v/>
      </c>
      <c r="AU30" s="40" t="str">
        <f>'R2'!AE36</f>
        <v/>
      </c>
      <c r="AV30" s="40" t="str">
        <f>'R2'!AF36</f>
        <v/>
      </c>
      <c r="AW30" s="40" t="str">
        <f>'R2'!AG36</f>
        <v/>
      </c>
      <c r="AX30" s="40" t="str">
        <f>'R2'!AH36</f>
        <v/>
      </c>
      <c r="AY30" s="40" t="str">
        <f>'R2'!AI36</f>
        <v/>
      </c>
      <c r="AZ30" s="40" t="str">
        <f>'R2'!AJ36</f>
        <v/>
      </c>
      <c r="BA30" s="40" t="str">
        <f>'R2'!AK36</f>
        <v/>
      </c>
    </row>
    <row r="31" spans="1:53" s="1" customFormat="1" x14ac:dyDescent="0.25">
      <c r="A31" s="160"/>
      <c r="B31" s="40" t="str">
        <f>'R2'!B37</f>
        <v/>
      </c>
      <c r="C31" s="40" t="str">
        <f>'R2'!C37</f>
        <v/>
      </c>
      <c r="D31" s="40" t="str">
        <f>'R2'!D37</f>
        <v/>
      </c>
      <c r="E31" s="40" t="str">
        <f>'R2'!E37</f>
        <v/>
      </c>
      <c r="F31" s="40" t="str">
        <f>'R2'!F37</f>
        <v/>
      </c>
      <c r="G31" s="40" t="str">
        <f>'R2'!G37</f>
        <v/>
      </c>
      <c r="H31" s="40" t="str">
        <f>'R2'!H37</f>
        <v/>
      </c>
      <c r="I31" s="40" t="str">
        <f>'R2'!I37</f>
        <v/>
      </c>
      <c r="J31" s="40" t="str">
        <f>'R2'!J37</f>
        <v/>
      </c>
      <c r="K31" s="40" t="str">
        <f>'R2'!K37</f>
        <v/>
      </c>
      <c r="L31" s="40" t="str">
        <f>'R2'!L37</f>
        <v/>
      </c>
      <c r="M31" s="40" t="str">
        <f>'R2'!M37</f>
        <v/>
      </c>
      <c r="N31" s="40" t="e">
        <f>'R2'!#REF!</f>
        <v>#REF!</v>
      </c>
      <c r="O31" s="40" t="e">
        <f>'R2'!#REF!</f>
        <v>#REF!</v>
      </c>
      <c r="P31" s="40" t="e">
        <f>'R2'!#REF!</f>
        <v>#REF!</v>
      </c>
      <c r="Q31" s="40" t="e">
        <f>'R2'!#REF!</f>
        <v>#REF!</v>
      </c>
      <c r="R31" s="40" t="e">
        <f>'R2'!#REF!</f>
        <v>#REF!</v>
      </c>
      <c r="S31" s="40" t="e">
        <f>'R2'!#REF!</f>
        <v>#REF!</v>
      </c>
      <c r="T31" s="40" t="e">
        <f>'R2'!#REF!</f>
        <v>#REF!</v>
      </c>
      <c r="U31" s="40" t="e">
        <f>'R2'!#REF!</f>
        <v>#REF!</v>
      </c>
      <c r="V31" s="40" t="e">
        <f>'R2'!#REF!</f>
        <v>#REF!</v>
      </c>
      <c r="W31" s="40" t="e">
        <f>'R2'!#REF!</f>
        <v>#REF!</v>
      </c>
      <c r="X31" s="40" t="e">
        <f>'R2'!#REF!</f>
        <v>#REF!</v>
      </c>
      <c r="Y31" s="40" t="e">
        <f>'R2'!#REF!</f>
        <v>#REF!</v>
      </c>
      <c r="Z31" s="40" t="e">
        <f>'R2'!#REF!</f>
        <v>#REF!</v>
      </c>
      <c r="AA31" s="40" t="e">
        <f>'R2'!#REF!</f>
        <v>#REF!</v>
      </c>
      <c r="AB31" s="40" t="e">
        <f>'R2'!#REF!</f>
        <v>#REF!</v>
      </c>
      <c r="AC31" s="40" t="e">
        <f>'R2'!#REF!</f>
        <v>#REF!</v>
      </c>
      <c r="AD31"/>
      <c r="AE31" s="40">
        <f>'R2'!O37</f>
        <v>1.5623373032508132</v>
      </c>
      <c r="AF31" s="40" t="str">
        <f>'R2'!P37</f>
        <v/>
      </c>
      <c r="AG31" s="40" t="str">
        <f>'R2'!Q37</f>
        <v/>
      </c>
      <c r="AH31" s="40" t="str">
        <f>'R2'!R37</f>
        <v/>
      </c>
      <c r="AI31" s="40" t="str">
        <f>'R2'!S37</f>
        <v/>
      </c>
      <c r="AJ31" s="40" t="str">
        <f>'R2'!T37</f>
        <v/>
      </c>
      <c r="AK31" s="40" t="str">
        <f>'R2'!U37</f>
        <v/>
      </c>
      <c r="AL31" s="40" t="str">
        <f>'R2'!V37</f>
        <v/>
      </c>
      <c r="AM31" s="40" t="str">
        <f>'R2'!W37</f>
        <v/>
      </c>
      <c r="AN31" s="40" t="str">
        <f>'R2'!X37</f>
        <v/>
      </c>
      <c r="AO31" s="40" t="str">
        <f>'R2'!Y37</f>
        <v/>
      </c>
      <c r="AP31" s="40" t="str">
        <f>'R2'!Z37</f>
        <v/>
      </c>
      <c r="AQ31" s="40" t="str">
        <f>'R2'!AA37</f>
        <v/>
      </c>
      <c r="AR31" s="40" t="str">
        <f>'R2'!AB37</f>
        <v/>
      </c>
      <c r="AS31" s="40" t="str">
        <f>'R2'!AC37</f>
        <v/>
      </c>
      <c r="AT31" s="40" t="str">
        <f>'R2'!AD37</f>
        <v/>
      </c>
      <c r="AU31" s="40" t="str">
        <f>'R2'!AE37</f>
        <v/>
      </c>
      <c r="AV31" s="40" t="str">
        <f>'R2'!AF37</f>
        <v/>
      </c>
      <c r="AW31" s="40" t="str">
        <f>'R2'!AG37</f>
        <v/>
      </c>
      <c r="AX31" s="40" t="str">
        <f>'R2'!AH37</f>
        <v/>
      </c>
      <c r="AY31" s="40" t="str">
        <f>'R2'!AI37</f>
        <v/>
      </c>
      <c r="AZ31" s="40" t="str">
        <f>'R2'!AJ37</f>
        <v/>
      </c>
      <c r="BA31" s="40" t="str">
        <f>'R2'!AK37</f>
        <v/>
      </c>
    </row>
    <row r="32" spans="1:53" s="1" customFormat="1" x14ac:dyDescent="0.25">
      <c r="A32" s="160"/>
      <c r="B32" s="40" t="str">
        <f>'R2'!B38</f>
        <v/>
      </c>
      <c r="C32" s="40" t="str">
        <f>'R2'!C38</f>
        <v/>
      </c>
      <c r="D32" s="40" t="str">
        <f>'R2'!D38</f>
        <v/>
      </c>
      <c r="E32" s="40" t="str">
        <f>'R2'!E38</f>
        <v/>
      </c>
      <c r="F32" s="40" t="str">
        <f>'R2'!F38</f>
        <v/>
      </c>
      <c r="G32" s="40" t="str">
        <f>'R2'!G38</f>
        <v/>
      </c>
      <c r="H32" s="40" t="str">
        <f>'R2'!H38</f>
        <v/>
      </c>
      <c r="I32" s="40" t="str">
        <f>'R2'!I38</f>
        <v/>
      </c>
      <c r="J32" s="40" t="str">
        <f>'R2'!J38</f>
        <v/>
      </c>
      <c r="K32" s="40" t="str">
        <f>'R2'!K38</f>
        <v/>
      </c>
      <c r="L32" s="40" t="str">
        <f>'R2'!L38</f>
        <v/>
      </c>
      <c r="M32" s="40" t="str">
        <f>'R2'!M38</f>
        <v/>
      </c>
      <c r="N32" s="40" t="e">
        <f>'R2'!#REF!</f>
        <v>#REF!</v>
      </c>
      <c r="O32" s="40" t="e">
        <f>'R2'!#REF!</f>
        <v>#REF!</v>
      </c>
      <c r="P32" s="40" t="e">
        <f>'R2'!#REF!</f>
        <v>#REF!</v>
      </c>
      <c r="Q32" s="40" t="e">
        <f>'R2'!#REF!</f>
        <v>#REF!</v>
      </c>
      <c r="R32" s="40" t="e">
        <f>'R2'!#REF!</f>
        <v>#REF!</v>
      </c>
      <c r="S32" s="40" t="e">
        <f>'R2'!#REF!</f>
        <v>#REF!</v>
      </c>
      <c r="T32" s="40" t="e">
        <f>'R2'!#REF!</f>
        <v>#REF!</v>
      </c>
      <c r="U32" s="40" t="e">
        <f>'R2'!#REF!</f>
        <v>#REF!</v>
      </c>
      <c r="V32" s="40" t="e">
        <f>'R2'!#REF!</f>
        <v>#REF!</v>
      </c>
      <c r="W32" s="40" t="e">
        <f>'R2'!#REF!</f>
        <v>#REF!</v>
      </c>
      <c r="X32" s="40" t="e">
        <f>'R2'!#REF!</f>
        <v>#REF!</v>
      </c>
      <c r="Y32" s="40" t="e">
        <f>'R2'!#REF!</f>
        <v>#REF!</v>
      </c>
      <c r="Z32" s="40" t="e">
        <f>'R2'!#REF!</f>
        <v>#REF!</v>
      </c>
      <c r="AA32" s="40" t="e">
        <f>'R2'!#REF!</f>
        <v>#REF!</v>
      </c>
      <c r="AB32" s="40" t="e">
        <f>'R2'!#REF!</f>
        <v>#REF!</v>
      </c>
      <c r="AC32" s="40" t="e">
        <f>'R2'!#REF!</f>
        <v>#REF!</v>
      </c>
      <c r="AD32"/>
      <c r="AE32" s="40">
        <f>'R2'!O38</f>
        <v>1.6420193700713157</v>
      </c>
      <c r="AF32" s="40" t="str">
        <f>'R2'!P38</f>
        <v/>
      </c>
      <c r="AG32" s="40" t="str">
        <f>'R2'!Q38</f>
        <v/>
      </c>
      <c r="AH32" s="40" t="str">
        <f>'R2'!R38</f>
        <v/>
      </c>
      <c r="AI32" s="40" t="str">
        <f>'R2'!S38</f>
        <v/>
      </c>
      <c r="AJ32" s="40" t="str">
        <f>'R2'!T38</f>
        <v/>
      </c>
      <c r="AK32" s="40" t="str">
        <f>'R2'!U38</f>
        <v/>
      </c>
      <c r="AL32" s="40" t="str">
        <f>'R2'!V38</f>
        <v/>
      </c>
      <c r="AM32" s="40" t="str">
        <f>'R2'!W38</f>
        <v/>
      </c>
      <c r="AN32" s="40" t="str">
        <f>'R2'!X38</f>
        <v/>
      </c>
      <c r="AO32" s="40" t="str">
        <f>'R2'!Y38</f>
        <v/>
      </c>
      <c r="AP32" s="40" t="str">
        <f>'R2'!Z38</f>
        <v/>
      </c>
      <c r="AQ32" s="40" t="str">
        <f>'R2'!AA38</f>
        <v/>
      </c>
      <c r="AR32" s="40" t="str">
        <f>'R2'!AB38</f>
        <v/>
      </c>
      <c r="AS32" s="40" t="str">
        <f>'R2'!AC38</f>
        <v/>
      </c>
      <c r="AT32" s="40" t="str">
        <f>'R2'!AD38</f>
        <v/>
      </c>
      <c r="AU32" s="40" t="str">
        <f>'R2'!AE38</f>
        <v/>
      </c>
      <c r="AV32" s="40" t="str">
        <f>'R2'!AF38</f>
        <v/>
      </c>
      <c r="AW32" s="40" t="str">
        <f>'R2'!AG38</f>
        <v/>
      </c>
      <c r="AX32" s="40" t="str">
        <f>'R2'!AH38</f>
        <v/>
      </c>
      <c r="AY32" s="40" t="str">
        <f>'R2'!AI38</f>
        <v/>
      </c>
      <c r="AZ32" s="40" t="str">
        <f>'R2'!AJ38</f>
        <v/>
      </c>
      <c r="BA32" s="40" t="str">
        <f>'R2'!AK38</f>
        <v/>
      </c>
    </row>
    <row r="33" spans="1:53" s="1" customFormat="1" x14ac:dyDescent="0.25">
      <c r="A33" s="160"/>
      <c r="B33" s="40" t="str">
        <f>'R2'!B39</f>
        <v/>
      </c>
      <c r="C33" s="40" t="str">
        <f>'R2'!C39</f>
        <v/>
      </c>
      <c r="D33" s="40" t="str">
        <f>'R2'!D39</f>
        <v/>
      </c>
      <c r="E33" s="40" t="str">
        <f>'R2'!E39</f>
        <v/>
      </c>
      <c r="F33" s="40" t="str">
        <f>'R2'!F39</f>
        <v/>
      </c>
      <c r="G33" s="40" t="str">
        <f>'R2'!G39</f>
        <v/>
      </c>
      <c r="H33" s="40" t="str">
        <f>'R2'!H39</f>
        <v/>
      </c>
      <c r="I33" s="40" t="str">
        <f>'R2'!I39</f>
        <v/>
      </c>
      <c r="J33" s="40" t="str">
        <f>'R2'!J39</f>
        <v/>
      </c>
      <c r="K33" s="40" t="str">
        <f>'R2'!K39</f>
        <v/>
      </c>
      <c r="L33" s="40" t="str">
        <f>'R2'!L39</f>
        <v/>
      </c>
      <c r="M33" s="40" t="str">
        <f>'R2'!M39</f>
        <v/>
      </c>
      <c r="N33" s="40" t="e">
        <f>'R2'!#REF!</f>
        <v>#REF!</v>
      </c>
      <c r="O33" s="40" t="e">
        <f>'R2'!#REF!</f>
        <v>#REF!</v>
      </c>
      <c r="P33" s="40" t="e">
        <f>'R2'!#REF!</f>
        <v>#REF!</v>
      </c>
      <c r="Q33" s="40" t="e">
        <f>'R2'!#REF!</f>
        <v>#REF!</v>
      </c>
      <c r="R33" s="40" t="e">
        <f>'R2'!#REF!</f>
        <v>#REF!</v>
      </c>
      <c r="S33" s="40" t="e">
        <f>'R2'!#REF!</f>
        <v>#REF!</v>
      </c>
      <c r="T33" s="40" t="e">
        <f>'R2'!#REF!</f>
        <v>#REF!</v>
      </c>
      <c r="U33" s="40" t="e">
        <f>'R2'!#REF!</f>
        <v>#REF!</v>
      </c>
      <c r="V33" s="40" t="e">
        <f>'R2'!#REF!</f>
        <v>#REF!</v>
      </c>
      <c r="W33" s="40" t="e">
        <f>'R2'!#REF!</f>
        <v>#REF!</v>
      </c>
      <c r="X33" s="40" t="e">
        <f>'R2'!#REF!</f>
        <v>#REF!</v>
      </c>
      <c r="Y33" s="40" t="e">
        <f>'R2'!#REF!</f>
        <v>#REF!</v>
      </c>
      <c r="Z33" s="40" t="e">
        <f>'R2'!#REF!</f>
        <v>#REF!</v>
      </c>
      <c r="AA33" s="40" t="e">
        <f>'R2'!#REF!</f>
        <v>#REF!</v>
      </c>
      <c r="AB33" s="40" t="e">
        <f>'R2'!#REF!</f>
        <v>#REF!</v>
      </c>
      <c r="AC33" s="40" t="e">
        <f>'R2'!#REF!</f>
        <v>#REF!</v>
      </c>
      <c r="AD33"/>
      <c r="AE33" s="40">
        <f>'R2'!O39</f>
        <v>0</v>
      </c>
      <c r="AF33" s="40" t="str">
        <f>'R2'!P39</f>
        <v/>
      </c>
      <c r="AG33" s="40" t="str">
        <f>'R2'!Q39</f>
        <v/>
      </c>
      <c r="AH33" s="40" t="str">
        <f>'R2'!R39</f>
        <v/>
      </c>
      <c r="AI33" s="40" t="str">
        <f>'R2'!S39</f>
        <v/>
      </c>
      <c r="AJ33" s="40" t="str">
        <f>'R2'!T39</f>
        <v/>
      </c>
      <c r="AK33" s="40" t="str">
        <f>'R2'!U39</f>
        <v/>
      </c>
      <c r="AL33" s="40" t="str">
        <f>'R2'!V39</f>
        <v/>
      </c>
      <c r="AM33" s="40" t="str">
        <f>'R2'!W39</f>
        <v/>
      </c>
      <c r="AN33" s="40" t="str">
        <f>'R2'!X39</f>
        <v/>
      </c>
      <c r="AO33" s="40" t="str">
        <f>'R2'!Y39</f>
        <v/>
      </c>
      <c r="AP33" s="40" t="str">
        <f>'R2'!Z39</f>
        <v/>
      </c>
      <c r="AQ33" s="40" t="str">
        <f>'R2'!AA39</f>
        <v/>
      </c>
      <c r="AR33" s="40" t="str">
        <f>'R2'!AB39</f>
        <v/>
      </c>
      <c r="AS33" s="40" t="str">
        <f>'R2'!AC39</f>
        <v/>
      </c>
      <c r="AT33" s="40" t="str">
        <f>'R2'!AD39</f>
        <v/>
      </c>
      <c r="AU33" s="40" t="str">
        <f>'R2'!AE39</f>
        <v/>
      </c>
      <c r="AV33" s="40" t="str">
        <f>'R2'!AF39</f>
        <v/>
      </c>
      <c r="AW33" s="40" t="str">
        <f>'R2'!AG39</f>
        <v/>
      </c>
      <c r="AX33" s="40" t="str">
        <f>'R2'!AH39</f>
        <v/>
      </c>
      <c r="AY33" s="40" t="str">
        <f>'R2'!AI39</f>
        <v/>
      </c>
      <c r="AZ33" s="40" t="str">
        <f>'R2'!AJ39</f>
        <v/>
      </c>
      <c r="BA33" s="40" t="str">
        <f>'R2'!AK39</f>
        <v/>
      </c>
    </row>
    <row r="34" spans="1:53" s="1" customFormat="1" x14ac:dyDescent="0.25">
      <c r="A34" s="160"/>
      <c r="B34" s="40" t="str">
        <f>'R2'!B40</f>
        <v/>
      </c>
      <c r="C34" s="40" t="str">
        <f>'R2'!C40</f>
        <v/>
      </c>
      <c r="D34" s="40" t="str">
        <f>'R2'!D40</f>
        <v/>
      </c>
      <c r="E34" s="40" t="str">
        <f>'R2'!E40</f>
        <v/>
      </c>
      <c r="F34" s="40" t="str">
        <f>'R2'!F40</f>
        <v/>
      </c>
      <c r="G34" s="40" t="str">
        <f>'R2'!G40</f>
        <v/>
      </c>
      <c r="H34" s="40" t="str">
        <f>'R2'!H40</f>
        <v/>
      </c>
      <c r="I34" s="40" t="str">
        <f>'R2'!I40</f>
        <v/>
      </c>
      <c r="J34" s="40" t="str">
        <f>'R2'!J40</f>
        <v/>
      </c>
      <c r="K34" s="40" t="str">
        <f>'R2'!K40</f>
        <v/>
      </c>
      <c r="L34" s="40" t="str">
        <f>'R2'!L40</f>
        <v/>
      </c>
      <c r="M34" s="40" t="str">
        <f>'R2'!M40</f>
        <v/>
      </c>
      <c r="N34" s="40" t="e">
        <f>'R2'!#REF!</f>
        <v>#REF!</v>
      </c>
      <c r="O34" s="40" t="e">
        <f>'R2'!#REF!</f>
        <v>#REF!</v>
      </c>
      <c r="P34" s="40" t="e">
        <f>'R2'!#REF!</f>
        <v>#REF!</v>
      </c>
      <c r="Q34" s="40" t="e">
        <f>'R2'!#REF!</f>
        <v>#REF!</v>
      </c>
      <c r="R34" s="40" t="e">
        <f>'R2'!#REF!</f>
        <v>#REF!</v>
      </c>
      <c r="S34" s="40" t="e">
        <f>'R2'!#REF!</f>
        <v>#REF!</v>
      </c>
      <c r="T34" s="40" t="e">
        <f>'R2'!#REF!</f>
        <v>#REF!</v>
      </c>
      <c r="U34" s="40" t="e">
        <f>'R2'!#REF!</f>
        <v>#REF!</v>
      </c>
      <c r="V34" s="40" t="e">
        <f>'R2'!#REF!</f>
        <v>#REF!</v>
      </c>
      <c r="W34" s="40" t="e">
        <f>'R2'!#REF!</f>
        <v>#REF!</v>
      </c>
      <c r="X34" s="40" t="e">
        <f>'R2'!#REF!</f>
        <v>#REF!</v>
      </c>
      <c r="Y34" s="40" t="e">
        <f>'R2'!#REF!</f>
        <v>#REF!</v>
      </c>
      <c r="Z34" s="40" t="e">
        <f>'R2'!#REF!</f>
        <v>#REF!</v>
      </c>
      <c r="AA34" s="40" t="e">
        <f>'R2'!#REF!</f>
        <v>#REF!</v>
      </c>
      <c r="AB34" s="40" t="e">
        <f>'R2'!#REF!</f>
        <v>#REF!</v>
      </c>
      <c r="AC34" s="40" t="e">
        <f>'R2'!#REF!</f>
        <v>#REF!</v>
      </c>
      <c r="AD34"/>
      <c r="AE34" s="40">
        <f>'R2'!O40</f>
        <v>0.57781475728798615</v>
      </c>
      <c r="AF34" s="40" t="str">
        <f>'R2'!P40</f>
        <v/>
      </c>
      <c r="AG34" s="40" t="str">
        <f>'R2'!Q40</f>
        <v/>
      </c>
      <c r="AH34" s="40" t="str">
        <f>'R2'!R40</f>
        <v/>
      </c>
      <c r="AI34" s="40" t="str">
        <f>'R2'!S40</f>
        <v/>
      </c>
      <c r="AJ34" s="40" t="str">
        <f>'R2'!T40</f>
        <v/>
      </c>
      <c r="AK34" s="40" t="str">
        <f>'R2'!U40</f>
        <v/>
      </c>
      <c r="AL34" s="40" t="str">
        <f>'R2'!V40</f>
        <v/>
      </c>
      <c r="AM34" s="40" t="str">
        <f>'R2'!W40</f>
        <v/>
      </c>
      <c r="AN34" s="40" t="str">
        <f>'R2'!X40</f>
        <v/>
      </c>
      <c r="AO34" s="40" t="str">
        <f>'R2'!Y40</f>
        <v/>
      </c>
      <c r="AP34" s="40" t="str">
        <f>'R2'!Z40</f>
        <v/>
      </c>
      <c r="AQ34" s="40" t="str">
        <f>'R2'!AA40</f>
        <v/>
      </c>
      <c r="AR34" s="40" t="str">
        <f>'R2'!AB40</f>
        <v/>
      </c>
      <c r="AS34" s="40" t="str">
        <f>'R2'!AC40</f>
        <v/>
      </c>
      <c r="AT34" s="40" t="str">
        <f>'R2'!AD40</f>
        <v/>
      </c>
      <c r="AU34" s="40" t="str">
        <f>'R2'!AE40</f>
        <v/>
      </c>
      <c r="AV34" s="40" t="str">
        <f>'R2'!AF40</f>
        <v/>
      </c>
      <c r="AW34" s="40" t="str">
        <f>'R2'!AG40</f>
        <v/>
      </c>
      <c r="AX34" s="40" t="str">
        <f>'R2'!AH40</f>
        <v/>
      </c>
      <c r="AY34" s="40" t="str">
        <f>'R2'!AI40</f>
        <v/>
      </c>
      <c r="AZ34" s="40" t="str">
        <f>'R2'!AJ40</f>
        <v/>
      </c>
      <c r="BA34" s="40" t="str">
        <f>'R2'!AK40</f>
        <v/>
      </c>
    </row>
    <row r="35" spans="1:53" s="1" customFormat="1" x14ac:dyDescent="0.25">
      <c r="A35" s="160"/>
      <c r="B35" s="40" t="str">
        <f>'R2'!B41</f>
        <v/>
      </c>
      <c r="C35" s="40" t="str">
        <f>'R2'!C41</f>
        <v/>
      </c>
      <c r="D35" s="40" t="str">
        <f>'R2'!D41</f>
        <v/>
      </c>
      <c r="E35" s="40" t="str">
        <f>'R2'!E41</f>
        <v/>
      </c>
      <c r="F35" s="40" t="str">
        <f>'R2'!F41</f>
        <v/>
      </c>
      <c r="G35" s="40" t="str">
        <f>'R2'!G41</f>
        <v/>
      </c>
      <c r="H35" s="40" t="str">
        <f>'R2'!H41</f>
        <v/>
      </c>
      <c r="I35" s="40" t="str">
        <f>'R2'!I41</f>
        <v/>
      </c>
      <c r="J35" s="40" t="str">
        <f>'R2'!J41</f>
        <v/>
      </c>
      <c r="K35" s="40" t="str">
        <f>'R2'!K41</f>
        <v/>
      </c>
      <c r="L35" s="40" t="str">
        <f>'R2'!L41</f>
        <v/>
      </c>
      <c r="M35" s="40" t="str">
        <f>'R2'!M41</f>
        <v/>
      </c>
      <c r="N35" s="40" t="e">
        <f>'R2'!#REF!</f>
        <v>#REF!</v>
      </c>
      <c r="O35" s="40" t="e">
        <f>'R2'!#REF!</f>
        <v>#REF!</v>
      </c>
      <c r="P35" s="40" t="e">
        <f>'R2'!#REF!</f>
        <v>#REF!</v>
      </c>
      <c r="Q35" s="40" t="e">
        <f>'R2'!#REF!</f>
        <v>#REF!</v>
      </c>
      <c r="R35" s="40" t="e">
        <f>'R2'!#REF!</f>
        <v>#REF!</v>
      </c>
      <c r="S35" s="40" t="e">
        <f>'R2'!#REF!</f>
        <v>#REF!</v>
      </c>
      <c r="T35" s="40" t="e">
        <f>'R2'!#REF!</f>
        <v>#REF!</v>
      </c>
      <c r="U35" s="40" t="e">
        <f>'R2'!#REF!</f>
        <v>#REF!</v>
      </c>
      <c r="V35" s="40" t="e">
        <f>'R2'!#REF!</f>
        <v>#REF!</v>
      </c>
      <c r="W35" s="40" t="e">
        <f>'R2'!#REF!</f>
        <v>#REF!</v>
      </c>
      <c r="X35" s="40" t="e">
        <f>'R2'!#REF!</f>
        <v>#REF!</v>
      </c>
      <c r="Y35" s="40" t="e">
        <f>'R2'!#REF!</f>
        <v>#REF!</v>
      </c>
      <c r="Z35" s="40" t="e">
        <f>'R2'!#REF!</f>
        <v>#REF!</v>
      </c>
      <c r="AA35" s="40" t="e">
        <f>'R2'!#REF!</f>
        <v>#REF!</v>
      </c>
      <c r="AB35" s="40" t="e">
        <f>'R2'!#REF!</f>
        <v>#REF!</v>
      </c>
      <c r="AC35" s="40" t="e">
        <f>'R2'!#REF!</f>
        <v>#REF!</v>
      </c>
      <c r="AD35"/>
      <c r="AE35" s="40">
        <f>'R2'!O41</f>
        <v>2.426312308952765</v>
      </c>
      <c r="AF35" s="40" t="str">
        <f>'R2'!P41</f>
        <v/>
      </c>
      <c r="AG35" s="40" t="str">
        <f>'R2'!Q41</f>
        <v/>
      </c>
      <c r="AH35" s="40" t="str">
        <f>'R2'!R41</f>
        <v/>
      </c>
      <c r="AI35" s="40" t="str">
        <f>'R2'!S41</f>
        <v/>
      </c>
      <c r="AJ35" s="40" t="str">
        <f>'R2'!T41</f>
        <v/>
      </c>
      <c r="AK35" s="40" t="str">
        <f>'R2'!U41</f>
        <v/>
      </c>
      <c r="AL35" s="40" t="str">
        <f>'R2'!V41</f>
        <v/>
      </c>
      <c r="AM35" s="40" t="str">
        <f>'R2'!W41</f>
        <v/>
      </c>
      <c r="AN35" s="40" t="str">
        <f>'R2'!X41</f>
        <v/>
      </c>
      <c r="AO35" s="40" t="str">
        <f>'R2'!Y41</f>
        <v/>
      </c>
      <c r="AP35" s="40" t="str">
        <f>'R2'!Z41</f>
        <v/>
      </c>
      <c r="AQ35" s="40" t="str">
        <f>'R2'!AA41</f>
        <v/>
      </c>
      <c r="AR35" s="40" t="str">
        <f>'R2'!AB41</f>
        <v/>
      </c>
      <c r="AS35" s="40" t="str">
        <f>'R2'!AC41</f>
        <v/>
      </c>
      <c r="AT35" s="40" t="str">
        <f>'R2'!AD41</f>
        <v/>
      </c>
      <c r="AU35" s="40" t="str">
        <f>'R2'!AE41</f>
        <v/>
      </c>
      <c r="AV35" s="40" t="str">
        <f>'R2'!AF41</f>
        <v/>
      </c>
      <c r="AW35" s="40" t="str">
        <f>'R2'!AG41</f>
        <v/>
      </c>
      <c r="AX35" s="40" t="str">
        <f>'R2'!AH41</f>
        <v/>
      </c>
      <c r="AY35" s="40" t="str">
        <f>'R2'!AI41</f>
        <v/>
      </c>
      <c r="AZ35" s="40" t="str">
        <f>'R2'!AJ41</f>
        <v/>
      </c>
      <c r="BA35" s="40" t="str">
        <f>'R2'!AK41</f>
        <v/>
      </c>
    </row>
    <row r="36" spans="1:53" x14ac:dyDescent="0.25">
      <c r="A36" s="160"/>
      <c r="B36" s="40" t="str">
        <f>'R2'!B42</f>
        <v/>
      </c>
      <c r="C36" s="40" t="str">
        <f>'R2'!C42</f>
        <v/>
      </c>
      <c r="D36" s="40" t="str">
        <f>'R2'!D42</f>
        <v/>
      </c>
      <c r="E36" s="40" t="str">
        <f>'R2'!E42</f>
        <v/>
      </c>
      <c r="F36" s="40" t="str">
        <f>'R2'!F42</f>
        <v/>
      </c>
      <c r="G36" s="40" t="str">
        <f>'R2'!G42</f>
        <v/>
      </c>
      <c r="H36" s="40" t="str">
        <f>'R2'!H42</f>
        <v/>
      </c>
      <c r="I36" s="40" t="str">
        <f>'R2'!I42</f>
        <v/>
      </c>
      <c r="J36" s="40" t="str">
        <f>'R2'!J42</f>
        <v/>
      </c>
      <c r="K36" s="40" t="str">
        <f>'R2'!K42</f>
        <v/>
      </c>
      <c r="L36" s="40" t="str">
        <f>'R2'!L42</f>
        <v/>
      </c>
      <c r="M36" s="40" t="str">
        <f>'R2'!M42</f>
        <v/>
      </c>
      <c r="N36" s="40" t="e">
        <f>'R2'!#REF!</f>
        <v>#REF!</v>
      </c>
      <c r="O36" s="40" t="e">
        <f>'R2'!#REF!</f>
        <v>#REF!</v>
      </c>
      <c r="P36" s="40" t="e">
        <f>'R2'!#REF!</f>
        <v>#REF!</v>
      </c>
      <c r="Q36" s="40" t="e">
        <f>'R2'!#REF!</f>
        <v>#REF!</v>
      </c>
      <c r="R36" s="40" t="e">
        <f>'R2'!#REF!</f>
        <v>#REF!</v>
      </c>
      <c r="S36" s="40" t="e">
        <f>'R2'!#REF!</f>
        <v>#REF!</v>
      </c>
      <c r="T36" s="40" t="e">
        <f>'R2'!#REF!</f>
        <v>#REF!</v>
      </c>
      <c r="U36" s="40" t="e">
        <f>'R2'!#REF!</f>
        <v>#REF!</v>
      </c>
      <c r="V36" s="40" t="e">
        <f>'R2'!#REF!</f>
        <v>#REF!</v>
      </c>
      <c r="W36" s="40" t="e">
        <f>'R2'!#REF!</f>
        <v>#REF!</v>
      </c>
      <c r="X36" s="40" t="e">
        <f>'R2'!#REF!</f>
        <v>#REF!</v>
      </c>
      <c r="Y36" s="40" t="e">
        <f>'R2'!#REF!</f>
        <v>#REF!</v>
      </c>
      <c r="Z36" s="40" t="e">
        <f>'R2'!#REF!</f>
        <v>#REF!</v>
      </c>
      <c r="AA36" s="40" t="e">
        <f>'R2'!#REF!</f>
        <v>#REF!</v>
      </c>
      <c r="AB36" s="40" t="e">
        <f>'R2'!#REF!</f>
        <v>#REF!</v>
      </c>
      <c r="AC36" s="40" t="e">
        <f>'R2'!#REF!</f>
        <v>#REF!</v>
      </c>
      <c r="AE36" s="40">
        <f>'R2'!O42</f>
        <v>0</v>
      </c>
      <c r="AF36" s="40" t="str">
        <f>'R2'!P42</f>
        <v/>
      </c>
      <c r="AG36" s="40" t="str">
        <f>'R2'!Q42</f>
        <v/>
      </c>
      <c r="AH36" s="40" t="str">
        <f>'R2'!R42</f>
        <v/>
      </c>
      <c r="AI36" s="40" t="str">
        <f>'R2'!S42</f>
        <v/>
      </c>
      <c r="AJ36" s="40" t="str">
        <f>'R2'!T42</f>
        <v/>
      </c>
      <c r="AK36" s="40" t="str">
        <f>'R2'!U42</f>
        <v/>
      </c>
      <c r="AL36" s="40" t="str">
        <f>'R2'!V42</f>
        <v/>
      </c>
      <c r="AM36" s="40" t="str">
        <f>'R2'!W42</f>
        <v/>
      </c>
      <c r="AN36" s="40" t="str">
        <f>'R2'!X42</f>
        <v/>
      </c>
      <c r="AO36" s="40" t="str">
        <f>'R2'!Y42</f>
        <v/>
      </c>
      <c r="AP36" s="40" t="str">
        <f>'R2'!Z42</f>
        <v/>
      </c>
      <c r="AQ36" s="40" t="str">
        <f>'R2'!AA42</f>
        <v/>
      </c>
      <c r="AR36" s="40" t="str">
        <f>'R2'!AB42</f>
        <v/>
      </c>
      <c r="AS36" s="40" t="str">
        <f>'R2'!AC42</f>
        <v/>
      </c>
      <c r="AT36" s="40" t="str">
        <f>'R2'!AD42</f>
        <v/>
      </c>
      <c r="AU36" s="40" t="str">
        <f>'R2'!AE42</f>
        <v/>
      </c>
      <c r="AV36" s="40" t="str">
        <f>'R2'!AF42</f>
        <v/>
      </c>
      <c r="AW36" s="40" t="str">
        <f>'R2'!AG42</f>
        <v/>
      </c>
      <c r="AX36" s="40" t="str">
        <f>'R2'!AH42</f>
        <v/>
      </c>
      <c r="AY36" s="40" t="str">
        <f>'R2'!AI42</f>
        <v/>
      </c>
      <c r="AZ36" s="40" t="str">
        <f>'R2'!AJ42</f>
        <v/>
      </c>
      <c r="BA36" s="40" t="str">
        <f>'R2'!AK42</f>
        <v/>
      </c>
    </row>
    <row r="37" spans="1:53" x14ac:dyDescent="0.25">
      <c r="A37" s="161"/>
      <c r="B37" s="40" t="str">
        <f>'R2'!B43</f>
        <v/>
      </c>
      <c r="C37" s="40" t="str">
        <f>'R2'!C43</f>
        <v/>
      </c>
      <c r="D37" s="40" t="str">
        <f>'R2'!D43</f>
        <v/>
      </c>
      <c r="E37" s="40" t="str">
        <f>'R2'!E43</f>
        <v/>
      </c>
      <c r="F37" s="40" t="str">
        <f>'R2'!F43</f>
        <v/>
      </c>
      <c r="G37" s="40" t="str">
        <f>'R2'!G43</f>
        <v/>
      </c>
      <c r="H37" s="40" t="str">
        <f>'R2'!H43</f>
        <v/>
      </c>
      <c r="I37" s="40" t="str">
        <f>'R2'!I43</f>
        <v/>
      </c>
      <c r="J37" s="40" t="str">
        <f>'R2'!J43</f>
        <v/>
      </c>
      <c r="K37" s="40" t="str">
        <f>'R2'!K43</f>
        <v/>
      </c>
      <c r="L37" s="40" t="str">
        <f>'R2'!L43</f>
        <v/>
      </c>
      <c r="M37" s="40" t="str">
        <f>'R2'!M43</f>
        <v/>
      </c>
      <c r="N37" s="40" t="e">
        <f>'R2'!#REF!</f>
        <v>#REF!</v>
      </c>
      <c r="O37" s="40" t="e">
        <f>'R2'!#REF!</f>
        <v>#REF!</v>
      </c>
      <c r="P37" s="40" t="e">
        <f>'R2'!#REF!</f>
        <v>#REF!</v>
      </c>
      <c r="Q37" s="40" t="e">
        <f>'R2'!#REF!</f>
        <v>#REF!</v>
      </c>
      <c r="R37" s="40" t="e">
        <f>'R2'!#REF!</f>
        <v>#REF!</v>
      </c>
      <c r="S37" s="40" t="e">
        <f>'R2'!#REF!</f>
        <v>#REF!</v>
      </c>
      <c r="T37" s="40" t="e">
        <f>'R2'!#REF!</f>
        <v>#REF!</v>
      </c>
      <c r="U37" s="40" t="e">
        <f>'R2'!#REF!</f>
        <v>#REF!</v>
      </c>
      <c r="V37" s="40" t="e">
        <f>'R2'!#REF!</f>
        <v>#REF!</v>
      </c>
      <c r="W37" s="40" t="e">
        <f>'R2'!#REF!</f>
        <v>#REF!</v>
      </c>
      <c r="X37" s="40" t="e">
        <f>'R2'!#REF!</f>
        <v>#REF!</v>
      </c>
      <c r="Y37" s="40" t="e">
        <f>'R2'!#REF!</f>
        <v>#REF!</v>
      </c>
      <c r="Z37" s="40" t="e">
        <f>'R2'!#REF!</f>
        <v>#REF!</v>
      </c>
      <c r="AA37" s="40" t="e">
        <f>'R2'!#REF!</f>
        <v>#REF!</v>
      </c>
      <c r="AB37" s="40" t="e">
        <f>'R2'!#REF!</f>
        <v>#REF!</v>
      </c>
      <c r="AC37" s="40" t="e">
        <f>'R2'!#REF!</f>
        <v>#REF!</v>
      </c>
      <c r="AE37" s="40">
        <f>'R2'!O43</f>
        <v>1.1344679473865948</v>
      </c>
      <c r="AF37" s="40" t="str">
        <f>'R2'!P43</f>
        <v/>
      </c>
      <c r="AG37" s="40" t="str">
        <f>'R2'!Q43</f>
        <v/>
      </c>
      <c r="AH37" s="40" t="str">
        <f>'R2'!R43</f>
        <v/>
      </c>
      <c r="AI37" s="40" t="str">
        <f>'R2'!S43</f>
        <v/>
      </c>
      <c r="AJ37" s="40" t="str">
        <f>'R2'!T43</f>
        <v/>
      </c>
      <c r="AK37" s="40" t="str">
        <f>'R2'!U43</f>
        <v/>
      </c>
      <c r="AL37" s="40" t="str">
        <f>'R2'!V43</f>
        <v/>
      </c>
      <c r="AM37" s="40" t="str">
        <f>'R2'!W43</f>
        <v/>
      </c>
      <c r="AN37" s="40" t="str">
        <f>'R2'!X43</f>
        <v/>
      </c>
      <c r="AO37" s="40" t="str">
        <f>'R2'!Y43</f>
        <v/>
      </c>
      <c r="AP37" s="40" t="str">
        <f>'R2'!Z43</f>
        <v/>
      </c>
      <c r="AQ37" s="40" t="str">
        <f>'R2'!AA43</f>
        <v/>
      </c>
      <c r="AR37" s="40" t="str">
        <f>'R2'!AB43</f>
        <v/>
      </c>
      <c r="AS37" s="40" t="str">
        <f>'R2'!AC43</f>
        <v/>
      </c>
      <c r="AT37" s="40" t="str">
        <f>'R2'!AD43</f>
        <v/>
      </c>
      <c r="AU37" s="40" t="str">
        <f>'R2'!AE43</f>
        <v/>
      </c>
      <c r="AV37" s="40" t="str">
        <f>'R2'!AF43</f>
        <v/>
      </c>
      <c r="AW37" s="40" t="str">
        <f>'R2'!AG43</f>
        <v/>
      </c>
      <c r="AX37" s="40" t="str">
        <f>'R2'!AH43</f>
        <v/>
      </c>
      <c r="AY37" s="40" t="str">
        <f>'R2'!AI43</f>
        <v/>
      </c>
      <c r="AZ37" s="40" t="str">
        <f>'R2'!AJ43</f>
        <v/>
      </c>
      <c r="BA37" s="40" t="str">
        <f>'R2'!AK43</f>
        <v/>
      </c>
    </row>
    <row r="38" spans="1:53" s="1" customFormat="1" x14ac:dyDescent="0.25">
      <c r="A38" s="93" t="s">
        <v>48</v>
      </c>
      <c r="B38" s="94">
        <f>'R3'!B28</f>
        <v>1.386478047882236E-3</v>
      </c>
      <c r="C38" s="94">
        <f>'R3'!C28</f>
        <v>3.5615154854974937E-3</v>
      </c>
      <c r="D38" s="94">
        <f>'R3'!D28</f>
        <v>9.7833357253690276E-3</v>
      </c>
      <c r="E38" s="94">
        <f>'R3'!E28</f>
        <v>0.10616089102878296</v>
      </c>
      <c r="F38" s="94">
        <f>'R3'!F28</f>
        <v>0.79205158131612508</v>
      </c>
      <c r="G38" s="94">
        <f>'R3'!G28</f>
        <v>0.43626398325394483</v>
      </c>
      <c r="H38" s="94">
        <f>'R3'!H28</f>
        <v>1.7351079530222242</v>
      </c>
      <c r="I38" s="94">
        <f>'R3'!I28</f>
        <v>0</v>
      </c>
      <c r="J38" s="94">
        <f>'R3'!J28</f>
        <v>1.1949707675185021E-2</v>
      </c>
      <c r="K38" s="94">
        <f>'R3'!K28</f>
        <v>2.9895932907460714E-2</v>
      </c>
      <c r="L38" s="94">
        <f>'R3'!L28</f>
        <v>1.4384709746778199E-3</v>
      </c>
      <c r="M38" s="94">
        <f>'R3'!M28</f>
        <v>6.9323902394111798E-4</v>
      </c>
      <c r="N38" s="94" t="e">
        <f>'R3'!#REF!</f>
        <v>#REF!</v>
      </c>
      <c r="O38" s="94" t="e">
        <f>'R3'!#REF!</f>
        <v>#REF!</v>
      </c>
      <c r="P38" s="94" t="e">
        <f>'R3'!#REF!</f>
        <v>#REF!</v>
      </c>
      <c r="Q38" s="94" t="e">
        <f>'R3'!#REF!</f>
        <v>#REF!</v>
      </c>
      <c r="R38" s="94" t="e">
        <f>'R3'!#REF!</f>
        <v>#REF!</v>
      </c>
      <c r="S38" s="94" t="e">
        <f>'R3'!#REF!</f>
        <v>#REF!</v>
      </c>
      <c r="T38" s="94" t="e">
        <f>'R3'!#REF!</f>
        <v>#REF!</v>
      </c>
      <c r="U38" s="94" t="e">
        <f>'R3'!#REF!</f>
        <v>#REF!</v>
      </c>
      <c r="V38" s="94" t="e">
        <f>'R3'!#REF!</f>
        <v>#REF!</v>
      </c>
      <c r="W38" s="94" t="e">
        <f>'R3'!#REF!</f>
        <v>#REF!</v>
      </c>
      <c r="X38" s="94" t="e">
        <f>'R3'!#REF!</f>
        <v>#REF!</v>
      </c>
      <c r="Y38" s="94" t="e">
        <f>'R3'!#REF!</f>
        <v>#REF!</v>
      </c>
      <c r="Z38" s="94" t="e">
        <f>'R3'!#REF!</f>
        <v>#REF!</v>
      </c>
      <c r="AA38" s="94" t="e">
        <f>'R3'!#REF!</f>
        <v>#REF!</v>
      </c>
      <c r="AB38" s="94" t="e">
        <f>'R3'!#REF!</f>
        <v>#REF!</v>
      </c>
      <c r="AC38" s="94" t="e">
        <f>'R3'!#REF!</f>
        <v>#REF!</v>
      </c>
      <c r="AD38"/>
      <c r="AE38" s="94">
        <f>'R3'!O28</f>
        <v>0.5268269962440526</v>
      </c>
      <c r="AF38" s="94">
        <f>'R3'!P28</f>
        <v>1.8708788158610923</v>
      </c>
      <c r="AG38" s="94">
        <f>'R3'!Q28</f>
        <v>0</v>
      </c>
      <c r="AH38" s="94">
        <f>'R3'!R28</f>
        <v>0.45088266117130316</v>
      </c>
      <c r="AI38" s="94">
        <f>'R3'!S28</f>
        <v>0.36782396061535794</v>
      </c>
      <c r="AJ38" s="94">
        <f>'R3'!T28</f>
        <v>1.2284975398138545</v>
      </c>
      <c r="AK38" s="94">
        <f>'R3'!U28</f>
        <v>2.1147689699713768</v>
      </c>
      <c r="AL38" s="94">
        <f>'R3'!V28</f>
        <v>2.6578264248634507</v>
      </c>
      <c r="AM38" s="94" t="str">
        <f>'R3'!W28</f>
        <v/>
      </c>
      <c r="AN38" s="94" t="str">
        <f>'R3'!X28</f>
        <v/>
      </c>
      <c r="AO38" s="94" t="str">
        <f>'R3'!Y28</f>
        <v/>
      </c>
      <c r="AP38" s="94" t="str">
        <f>'R3'!Z28</f>
        <v/>
      </c>
      <c r="AQ38" s="94" t="str">
        <f>'R3'!AA28</f>
        <v/>
      </c>
      <c r="AR38" s="94" t="str">
        <f>'R3'!AB28</f>
        <v/>
      </c>
      <c r="AS38" s="94" t="str">
        <f>'R3'!AC28</f>
        <v/>
      </c>
      <c r="AT38" s="94" t="str">
        <f>'R3'!AD28</f>
        <v/>
      </c>
      <c r="AU38" s="94" t="str">
        <f>'R3'!AE28</f>
        <v/>
      </c>
      <c r="AV38" s="94" t="str">
        <f>'R3'!AF28</f>
        <v/>
      </c>
      <c r="AW38" s="94" t="str">
        <f>'R3'!AG28</f>
        <v/>
      </c>
      <c r="AX38" s="94" t="str">
        <f>'R3'!AH28</f>
        <v/>
      </c>
      <c r="AY38" s="94" t="str">
        <f>'R3'!AI28</f>
        <v/>
      </c>
      <c r="AZ38" s="94" t="str">
        <f>'R3'!AJ28</f>
        <v/>
      </c>
      <c r="BA38" s="94" t="str">
        <f>'R3'!AK28</f>
        <v/>
      </c>
    </row>
    <row r="39" spans="1:53" s="1" customFormat="1" x14ac:dyDescent="0.25">
      <c r="A39" s="159" t="s">
        <v>17</v>
      </c>
      <c r="B39" s="94">
        <f>'R3'!B29</f>
        <v>2.1325765473988643E-2</v>
      </c>
      <c r="C39" s="94">
        <f>'R3'!C29</f>
        <v>4.2547545094386114E-3</v>
      </c>
      <c r="D39" s="94">
        <f>'R3'!D29</f>
        <v>7.01904511740382E-4</v>
      </c>
      <c r="E39" s="94">
        <f>'R3'!E29</f>
        <v>4.0277187290978955E-2</v>
      </c>
      <c r="F39" s="94">
        <f>'R3'!F29</f>
        <v>0.43849101361835569</v>
      </c>
      <c r="G39" s="94">
        <f>'R3'!G29</f>
        <v>0</v>
      </c>
      <c r="H39" s="94">
        <f>'R3'!H29</f>
        <v>2.5909115280775343</v>
      </c>
      <c r="I39" s="94">
        <f>'R3'!I29</f>
        <v>8.3760605067685581E-2</v>
      </c>
      <c r="J39" s="94">
        <f>'R3'!J29</f>
        <v>5.6672290207186397E-3</v>
      </c>
      <c r="K39" s="94">
        <f>'R3'!K29</f>
        <v>1.5320582429098707E-2</v>
      </c>
      <c r="L39" s="94">
        <f>'R3'!L29</f>
        <v>5.6585635329193754E-3</v>
      </c>
      <c r="M39" s="94">
        <f>'R3'!M29</f>
        <v>0</v>
      </c>
      <c r="N39" s="94" t="e">
        <f>'R3'!#REF!</f>
        <v>#REF!</v>
      </c>
      <c r="O39" s="94" t="e">
        <f>'R3'!#REF!</f>
        <v>#REF!</v>
      </c>
      <c r="P39" s="94" t="e">
        <f>'R3'!#REF!</f>
        <v>#REF!</v>
      </c>
      <c r="Q39" s="94" t="e">
        <f>'R3'!#REF!</f>
        <v>#REF!</v>
      </c>
      <c r="R39" s="94" t="e">
        <f>'R3'!#REF!</f>
        <v>#REF!</v>
      </c>
      <c r="S39" s="94" t="e">
        <f>'R3'!#REF!</f>
        <v>#REF!</v>
      </c>
      <c r="T39" s="94" t="e">
        <f>'R3'!#REF!</f>
        <v>#REF!</v>
      </c>
      <c r="U39" s="94" t="e">
        <f>'R3'!#REF!</f>
        <v>#REF!</v>
      </c>
      <c r="V39" s="94" t="e">
        <f>'R3'!#REF!</f>
        <v>#REF!</v>
      </c>
      <c r="W39" s="94" t="e">
        <f>'R3'!#REF!</f>
        <v>#REF!</v>
      </c>
      <c r="X39" s="94" t="e">
        <f>'R3'!#REF!</f>
        <v>#REF!</v>
      </c>
      <c r="Y39" s="94" t="e">
        <f>'R3'!#REF!</f>
        <v>#REF!</v>
      </c>
      <c r="Z39" s="94" t="e">
        <f>'R3'!#REF!</f>
        <v>#REF!</v>
      </c>
      <c r="AA39" s="94" t="e">
        <f>'R3'!#REF!</f>
        <v>#REF!</v>
      </c>
      <c r="AB39" s="94" t="e">
        <f>'R3'!#REF!</f>
        <v>#REF!</v>
      </c>
      <c r="AC39" s="94" t="e">
        <f>'R3'!#REF!</f>
        <v>#REF!</v>
      </c>
      <c r="AD39"/>
      <c r="AE39" s="94">
        <f>'R3'!O29</f>
        <v>0.87684337943192314</v>
      </c>
      <c r="AF39" s="94">
        <f>'R3'!P29</f>
        <v>2.2026630127193112</v>
      </c>
      <c r="AG39" s="94">
        <f>'R3'!Q29</f>
        <v>8.3699946653090732E-2</v>
      </c>
      <c r="AH39" s="94">
        <f>'R3'!R29</f>
        <v>0.17960956561534441</v>
      </c>
      <c r="AI39" s="94">
        <f>'R3'!S29</f>
        <v>1.0985152228248949</v>
      </c>
      <c r="AJ39" s="94">
        <f>'R3'!T29</f>
        <v>1.0084894700783413</v>
      </c>
      <c r="AK39" s="94">
        <f>'R3'!U29</f>
        <v>1.8827418686582846</v>
      </c>
      <c r="AL39" s="94">
        <f>'R3'!V29</f>
        <v>1.508098169144906</v>
      </c>
      <c r="AM39" s="94" t="str">
        <f>'R3'!W29</f>
        <v/>
      </c>
      <c r="AN39" s="94" t="str">
        <f>'R3'!X29</f>
        <v/>
      </c>
      <c r="AO39" s="94" t="str">
        <f>'R3'!Y29</f>
        <v/>
      </c>
      <c r="AP39" s="94" t="str">
        <f>'R3'!Z29</f>
        <v/>
      </c>
      <c r="AQ39" s="94" t="str">
        <f>'R3'!AA29</f>
        <v/>
      </c>
      <c r="AR39" s="94" t="str">
        <f>'R3'!AB29</f>
        <v/>
      </c>
      <c r="AS39" s="94" t="str">
        <f>'R3'!AC29</f>
        <v/>
      </c>
      <c r="AT39" s="94" t="str">
        <f>'R3'!AD29</f>
        <v/>
      </c>
      <c r="AU39" s="94" t="str">
        <f>'R3'!AE29</f>
        <v/>
      </c>
      <c r="AV39" s="94" t="str">
        <f>'R3'!AF29</f>
        <v/>
      </c>
      <c r="AW39" s="94" t="str">
        <f>'R3'!AG29</f>
        <v/>
      </c>
      <c r="AX39" s="94" t="str">
        <f>'R3'!AH29</f>
        <v/>
      </c>
      <c r="AY39" s="94" t="str">
        <f>'R3'!AI29</f>
        <v/>
      </c>
      <c r="AZ39" s="94" t="str">
        <f>'R3'!AJ29</f>
        <v/>
      </c>
      <c r="BA39" s="94" t="str">
        <f>'R3'!AK29</f>
        <v/>
      </c>
    </row>
    <row r="40" spans="1:53" s="1" customFormat="1" x14ac:dyDescent="0.25">
      <c r="A40" s="160"/>
      <c r="B40" s="94">
        <f>'R3'!B30</f>
        <v>0.14189736271294759</v>
      </c>
      <c r="C40" s="94">
        <f>'R3'!C30</f>
        <v>0</v>
      </c>
      <c r="D40" s="94">
        <f>'R3'!D30</f>
        <v>9.237409994015398E-3</v>
      </c>
      <c r="E40" s="94">
        <f>'R3'!E30</f>
        <v>0.99991063715707007</v>
      </c>
      <c r="F40" s="94">
        <f>'R3'!F30</f>
        <v>0.65549215908752412</v>
      </c>
      <c r="G40" s="94">
        <f>'R3'!G30</f>
        <v>1.4830115819660368</v>
      </c>
      <c r="H40" s="94">
        <f>'R3'!H30</f>
        <v>1.7009399346297265</v>
      </c>
      <c r="I40" s="94">
        <f>'R3'!I30</f>
        <v>0</v>
      </c>
      <c r="J40" s="94">
        <f>'R3'!J30</f>
        <v>0</v>
      </c>
      <c r="K40" s="94">
        <f>'R3'!K30</f>
        <v>7.1056999953964591E-4</v>
      </c>
      <c r="L40" s="94">
        <f>'R3'!L30</f>
        <v>1.386478047882236E-3</v>
      </c>
      <c r="M40" s="94">
        <f>'R3'!M30</f>
        <v>0</v>
      </c>
      <c r="N40" s="94" t="e">
        <f>'R3'!#REF!</f>
        <v>#REF!</v>
      </c>
      <c r="O40" s="94" t="e">
        <f>'R3'!#REF!</f>
        <v>#REF!</v>
      </c>
      <c r="P40" s="94" t="e">
        <f>'R3'!#REF!</f>
        <v>#REF!</v>
      </c>
      <c r="Q40" s="94" t="e">
        <f>'R3'!#REF!</f>
        <v>#REF!</v>
      </c>
      <c r="R40" s="94" t="e">
        <f>'R3'!#REF!</f>
        <v>#REF!</v>
      </c>
      <c r="S40" s="94" t="e">
        <f>'R3'!#REF!</f>
        <v>#REF!</v>
      </c>
      <c r="T40" s="94" t="e">
        <f>'R3'!#REF!</f>
        <v>#REF!</v>
      </c>
      <c r="U40" s="94" t="e">
        <f>'R3'!#REF!</f>
        <v>#REF!</v>
      </c>
      <c r="V40" s="94" t="e">
        <f>'R3'!#REF!</f>
        <v>#REF!</v>
      </c>
      <c r="W40" s="94" t="e">
        <f>'R3'!#REF!</f>
        <v>#REF!</v>
      </c>
      <c r="X40" s="94" t="e">
        <f>'R3'!#REF!</f>
        <v>#REF!</v>
      </c>
      <c r="Y40" s="94" t="e">
        <f>'R3'!#REF!</f>
        <v>#REF!</v>
      </c>
      <c r="Z40" s="94" t="e">
        <f>'R3'!#REF!</f>
        <v>#REF!</v>
      </c>
      <c r="AA40" s="94" t="e">
        <f>'R3'!#REF!</f>
        <v>#REF!</v>
      </c>
      <c r="AB40" s="94" t="e">
        <f>'R3'!#REF!</f>
        <v>#REF!</v>
      </c>
      <c r="AC40" s="94" t="e">
        <f>'R3'!#REF!</f>
        <v>#REF!</v>
      </c>
      <c r="AD40"/>
      <c r="AE40" s="94">
        <f>'R3'!O30</f>
        <v>1.1740002870442834</v>
      </c>
      <c r="AF40" s="94">
        <f>'R3'!P30</f>
        <v>1.5270062635228998</v>
      </c>
      <c r="AG40" s="94">
        <f>'R3'!Q30</f>
        <v>0</v>
      </c>
      <c r="AH40" s="94">
        <f>'R3'!R30</f>
        <v>1.5142073380433869</v>
      </c>
      <c r="AI40" s="94">
        <f>'R3'!S30</f>
        <v>1.1470506199885724</v>
      </c>
      <c r="AJ40" s="94">
        <f>'R3'!T30</f>
        <v>1.2545979890652377</v>
      </c>
      <c r="AK40" s="94">
        <f>'R3'!U30</f>
        <v>1.6563559999025133</v>
      </c>
      <c r="AL40" s="94">
        <f>'R3'!V30</f>
        <v>2.6943254594739505</v>
      </c>
      <c r="AM40" s="94" t="str">
        <f>'R3'!W30</f>
        <v/>
      </c>
      <c r="AN40" s="94" t="str">
        <f>'R3'!X30</f>
        <v/>
      </c>
      <c r="AO40" s="94" t="str">
        <f>'R3'!Y30</f>
        <v/>
      </c>
      <c r="AP40" s="94" t="str">
        <f>'R3'!Z30</f>
        <v/>
      </c>
      <c r="AQ40" s="94" t="str">
        <f>'R3'!AA30</f>
        <v/>
      </c>
      <c r="AR40" s="94" t="str">
        <f>'R3'!AB30</f>
        <v/>
      </c>
      <c r="AS40" s="94" t="str">
        <f>'R3'!AC30</f>
        <v/>
      </c>
      <c r="AT40" s="94" t="str">
        <f>'R3'!AD30</f>
        <v/>
      </c>
      <c r="AU40" s="94" t="str">
        <f>'R3'!AE30</f>
        <v/>
      </c>
      <c r="AV40" s="94" t="str">
        <f>'R3'!AF30</f>
        <v/>
      </c>
      <c r="AW40" s="94" t="str">
        <f>'R3'!AG30</f>
        <v/>
      </c>
      <c r="AX40" s="94" t="str">
        <f>'R3'!AH30</f>
        <v/>
      </c>
      <c r="AY40" s="94" t="str">
        <f>'R3'!AI30</f>
        <v/>
      </c>
      <c r="AZ40" s="94" t="str">
        <f>'R3'!AJ30</f>
        <v/>
      </c>
      <c r="BA40" s="94" t="str">
        <f>'R3'!AK30</f>
        <v/>
      </c>
    </row>
    <row r="41" spans="1:53" s="1" customFormat="1" x14ac:dyDescent="0.25">
      <c r="A41" s="160"/>
      <c r="B41" s="94">
        <f>'R3'!B31</f>
        <v>2.8240824737801293E-2</v>
      </c>
      <c r="C41" s="94">
        <f>'R3'!C31</f>
        <v>0</v>
      </c>
      <c r="D41" s="94">
        <f>'R3'!D31</f>
        <v>9.5363693230900048E-2</v>
      </c>
      <c r="E41" s="94">
        <f>'R3'!E31</f>
        <v>0.11258201748803756</v>
      </c>
      <c r="F41" s="94">
        <f>'R3'!F31</f>
        <v>6.9323902394111798E-4</v>
      </c>
      <c r="G41" s="94">
        <f>'R3'!G31</f>
        <v>0.15233061002326143</v>
      </c>
      <c r="H41" s="94">
        <f>'R3'!H31</f>
        <v>2.221831071731283</v>
      </c>
      <c r="I41" s="94">
        <f>'R3'!I31</f>
        <v>9.5848960547658832E-2</v>
      </c>
      <c r="J41" s="94">
        <f>'R3'!J31</f>
        <v>0</v>
      </c>
      <c r="K41" s="94">
        <f>'R3'!K31</f>
        <v>0.18164595524817145</v>
      </c>
      <c r="L41" s="94">
        <f>'R3'!L31</f>
        <v>7.01904511740382E-4</v>
      </c>
      <c r="M41" s="94">
        <f>'R3'!M31</f>
        <v>7.954917799724329E-3</v>
      </c>
      <c r="N41" s="94" t="e">
        <f>'R3'!#REF!</f>
        <v>#REF!</v>
      </c>
      <c r="O41" s="94" t="e">
        <f>'R3'!#REF!</f>
        <v>#REF!</v>
      </c>
      <c r="P41" s="94" t="e">
        <f>'R3'!#REF!</f>
        <v>#REF!</v>
      </c>
      <c r="Q41" s="94" t="e">
        <f>'R3'!#REF!</f>
        <v>#REF!</v>
      </c>
      <c r="R41" s="94" t="e">
        <f>'R3'!#REF!</f>
        <v>#REF!</v>
      </c>
      <c r="S41" s="94" t="e">
        <f>'R3'!#REF!</f>
        <v>#REF!</v>
      </c>
      <c r="T41" s="94" t="e">
        <f>'R3'!#REF!</f>
        <v>#REF!</v>
      </c>
      <c r="U41" s="94" t="e">
        <f>'R3'!#REF!</f>
        <v>#REF!</v>
      </c>
      <c r="V41" s="94" t="e">
        <f>'R3'!#REF!</f>
        <v>#REF!</v>
      </c>
      <c r="W41" s="94" t="e">
        <f>'R3'!#REF!</f>
        <v>#REF!</v>
      </c>
      <c r="X41" s="94" t="e">
        <f>'R3'!#REF!</f>
        <v>#REF!</v>
      </c>
      <c r="Y41" s="94" t="e">
        <f>'R3'!#REF!</f>
        <v>#REF!</v>
      </c>
      <c r="Z41" s="94" t="e">
        <f>'R3'!#REF!</f>
        <v>#REF!</v>
      </c>
      <c r="AA41" s="94" t="e">
        <f>'R3'!#REF!</f>
        <v>#REF!</v>
      </c>
      <c r="AB41" s="94" t="e">
        <f>'R3'!#REF!</f>
        <v>#REF!</v>
      </c>
      <c r="AC41" s="94" t="e">
        <f>'R3'!#REF!</f>
        <v>#REF!</v>
      </c>
      <c r="AD41"/>
      <c r="AE41" s="94">
        <f>'R3'!O31</f>
        <v>3.2452251808243585E-2</v>
      </c>
      <c r="AF41" s="94">
        <f>'R3'!P31</f>
        <v>1.3073188168359595</v>
      </c>
      <c r="AG41" s="94">
        <f>'R3'!Q31</f>
        <v>7.6368943974913409E-2</v>
      </c>
      <c r="AH41" s="94">
        <f>'R3'!R31</f>
        <v>1.3180726871948463</v>
      </c>
      <c r="AI41" s="94">
        <f>'R3'!S31</f>
        <v>0.54405398598898946</v>
      </c>
      <c r="AJ41" s="94">
        <f>'R3'!T31</f>
        <v>0.51593447808037785</v>
      </c>
      <c r="AK41" s="94">
        <f>'R3'!U31</f>
        <v>1.6378551834510846</v>
      </c>
      <c r="AL41" s="94">
        <f>'R3'!V31</f>
        <v>1.4830982368440293</v>
      </c>
      <c r="AM41" s="94" t="str">
        <f>'R3'!W31</f>
        <v/>
      </c>
      <c r="AN41" s="94" t="str">
        <f>'R3'!X31</f>
        <v/>
      </c>
      <c r="AO41" s="94" t="str">
        <f>'R3'!Y31</f>
        <v/>
      </c>
      <c r="AP41" s="94" t="str">
        <f>'R3'!Z31</f>
        <v/>
      </c>
      <c r="AQ41" s="94" t="str">
        <f>'R3'!AA31</f>
        <v/>
      </c>
      <c r="AR41" s="94" t="str">
        <f>'R3'!AB31</f>
        <v/>
      </c>
      <c r="AS41" s="94" t="str">
        <f>'R3'!AC31</f>
        <v/>
      </c>
      <c r="AT41" s="94" t="str">
        <f>'R3'!AD31</f>
        <v/>
      </c>
      <c r="AU41" s="94" t="str">
        <f>'R3'!AE31</f>
        <v/>
      </c>
      <c r="AV41" s="94" t="str">
        <f>'R3'!AF31</f>
        <v/>
      </c>
      <c r="AW41" s="94" t="str">
        <f>'R3'!AG31</f>
        <v/>
      </c>
      <c r="AX41" s="94" t="str">
        <f>'R3'!AH31</f>
        <v/>
      </c>
      <c r="AY41" s="94" t="str">
        <f>'R3'!AI31</f>
        <v/>
      </c>
      <c r="AZ41" s="94" t="str">
        <f>'R3'!AJ31</f>
        <v/>
      </c>
      <c r="BA41" s="94" t="str">
        <f>'R3'!AK31</f>
        <v/>
      </c>
    </row>
    <row r="42" spans="1:53" s="1" customFormat="1" x14ac:dyDescent="0.25">
      <c r="A42" s="160"/>
      <c r="B42" s="94">
        <f>'R3'!B32</f>
        <v>7.6256292633522982E-4</v>
      </c>
      <c r="C42" s="94">
        <f>'R3'!C32</f>
        <v>2.1403754864182016E-3</v>
      </c>
      <c r="D42" s="94">
        <f>'R3'!D32</f>
        <v>0</v>
      </c>
      <c r="E42" s="94">
        <f>'R3'!E32</f>
        <v>7.6914869706267042E-2</v>
      </c>
      <c r="F42" s="94">
        <f>'R3'!F32</f>
        <v>5.0953068259672177E-2</v>
      </c>
      <c r="G42" s="94">
        <f>'R3'!G32</f>
        <v>1.5234360825496032</v>
      </c>
      <c r="H42" s="94">
        <f>'R3'!H32</f>
        <v>2.0762335457280501</v>
      </c>
      <c r="I42" s="94">
        <f>'R3'!I32</f>
        <v>2.8769419493556397E-3</v>
      </c>
      <c r="J42" s="94">
        <f>'R3'!J32</f>
        <v>6.9323902394111798E-4</v>
      </c>
      <c r="K42" s="94">
        <f>'R3'!K32</f>
        <v>0</v>
      </c>
      <c r="L42" s="94">
        <f>'R3'!L32</f>
        <v>0.11459241065746681</v>
      </c>
      <c r="M42" s="94">
        <f>'R3'!M32</f>
        <v>0</v>
      </c>
      <c r="N42" s="94" t="e">
        <f>'R3'!#REF!</f>
        <v>#REF!</v>
      </c>
      <c r="O42" s="94" t="e">
        <f>'R3'!#REF!</f>
        <v>#REF!</v>
      </c>
      <c r="P42" s="94" t="e">
        <f>'R3'!#REF!</f>
        <v>#REF!</v>
      </c>
      <c r="Q42" s="94" t="e">
        <f>'R3'!#REF!</f>
        <v>#REF!</v>
      </c>
      <c r="R42" s="94" t="e">
        <f>'R3'!#REF!</f>
        <v>#REF!</v>
      </c>
      <c r="S42" s="94" t="e">
        <f>'R3'!#REF!</f>
        <v>#REF!</v>
      </c>
      <c r="T42" s="94" t="e">
        <f>'R3'!#REF!</f>
        <v>#REF!</v>
      </c>
      <c r="U42" s="94" t="e">
        <f>'R3'!#REF!</f>
        <v>#REF!</v>
      </c>
      <c r="V42" s="94" t="e">
        <f>'R3'!#REF!</f>
        <v>#REF!</v>
      </c>
      <c r="W42" s="94" t="e">
        <f>'R3'!#REF!</f>
        <v>#REF!</v>
      </c>
      <c r="X42" s="94" t="e">
        <f>'R3'!#REF!</f>
        <v>#REF!</v>
      </c>
      <c r="Y42" s="94" t="e">
        <f>'R3'!#REF!</f>
        <v>#REF!</v>
      </c>
      <c r="Z42" s="94" t="e">
        <f>'R3'!#REF!</f>
        <v>#REF!</v>
      </c>
      <c r="AA42" s="94" t="e">
        <f>'R3'!#REF!</f>
        <v>#REF!</v>
      </c>
      <c r="AB42" s="94" t="e">
        <f>'R3'!#REF!</f>
        <v>#REF!</v>
      </c>
      <c r="AC42" s="94" t="e">
        <f>'R3'!#REF!</f>
        <v>#REF!</v>
      </c>
      <c r="AD42"/>
      <c r="AE42" s="94">
        <f>'R3'!O32</f>
        <v>1.1517386488879742</v>
      </c>
      <c r="AF42" s="94">
        <f>'R3'!P32</f>
        <v>0.62995496654309324</v>
      </c>
      <c r="AG42" s="94">
        <f>'R3'!Q32</f>
        <v>9.540702066989637E-2</v>
      </c>
      <c r="AH42" s="94">
        <f>'R3'!R32</f>
        <v>2.5569514813922187</v>
      </c>
      <c r="AI42" s="94">
        <f>'R3'!S32</f>
        <v>1.4336702944370276</v>
      </c>
      <c r="AJ42" s="94">
        <f>'R3'!T32</f>
        <v>0.11609154004673948</v>
      </c>
      <c r="AK42" s="94">
        <f>'R3'!U32</f>
        <v>1.539813854490212</v>
      </c>
      <c r="AL42" s="94">
        <f>'R3'!V32</f>
        <v>1.7256885677844243</v>
      </c>
      <c r="AM42" s="94" t="str">
        <f>'R3'!W32</f>
        <v/>
      </c>
      <c r="AN42" s="94" t="str">
        <f>'R3'!X32</f>
        <v/>
      </c>
      <c r="AO42" s="94" t="str">
        <f>'R3'!Y32</f>
        <v/>
      </c>
      <c r="AP42" s="94" t="str">
        <f>'R3'!Z32</f>
        <v/>
      </c>
      <c r="AQ42" s="94" t="str">
        <f>'R3'!AA32</f>
        <v/>
      </c>
      <c r="AR42" s="94" t="str">
        <f>'R3'!AB32</f>
        <v/>
      </c>
      <c r="AS42" s="94" t="str">
        <f>'R3'!AC32</f>
        <v/>
      </c>
      <c r="AT42" s="94" t="str">
        <f>'R3'!AD32</f>
        <v/>
      </c>
      <c r="AU42" s="94" t="str">
        <f>'R3'!AE32</f>
        <v/>
      </c>
      <c r="AV42" s="94" t="str">
        <f>'R3'!AF32</f>
        <v/>
      </c>
      <c r="AW42" s="94" t="str">
        <f>'R3'!AG32</f>
        <v/>
      </c>
      <c r="AX42" s="94" t="str">
        <f>'R3'!AH32</f>
        <v/>
      </c>
      <c r="AY42" s="94" t="str">
        <f>'R3'!AI32</f>
        <v/>
      </c>
      <c r="AZ42" s="94" t="str">
        <f>'R3'!AJ32</f>
        <v/>
      </c>
      <c r="BA42" s="94" t="str">
        <f>'R3'!AK32</f>
        <v/>
      </c>
    </row>
    <row r="43" spans="1:53" s="1" customFormat="1" x14ac:dyDescent="0.25">
      <c r="A43" s="160"/>
      <c r="B43" s="94">
        <f>'R3'!B33</f>
        <v>0</v>
      </c>
      <c r="C43" s="94">
        <f>'R3'!C33</f>
        <v>0</v>
      </c>
      <c r="D43" s="94">
        <f>'R3'!D33</f>
        <v>0</v>
      </c>
      <c r="E43" s="94">
        <f>'R3'!E33</f>
        <v>6.9323902394111798E-4</v>
      </c>
      <c r="F43" s="94">
        <f>'R3'!F33</f>
        <v>0.20985211803477569</v>
      </c>
      <c r="G43" s="94">
        <f>'R3'!G33</f>
        <v>1.0175622358041707</v>
      </c>
      <c r="H43" s="94">
        <f>'R3'!H33</f>
        <v>3.0441252054668397</v>
      </c>
      <c r="I43" s="94">
        <f>'R3'!I33</f>
        <v>0</v>
      </c>
      <c r="J43" s="94">
        <f>'R3'!J33</f>
        <v>0</v>
      </c>
      <c r="K43" s="94">
        <f>'R3'!K33</f>
        <v>3.6655013390886615E-3</v>
      </c>
      <c r="L43" s="94">
        <f>'R3'!L33</f>
        <v>0</v>
      </c>
      <c r="M43" s="94">
        <f>'R3'!M33</f>
        <v>0</v>
      </c>
      <c r="N43" s="94" t="e">
        <f>'R3'!#REF!</f>
        <v>#REF!</v>
      </c>
      <c r="O43" s="94" t="e">
        <f>'R3'!#REF!</f>
        <v>#REF!</v>
      </c>
      <c r="P43" s="94" t="e">
        <f>'R3'!#REF!</f>
        <v>#REF!</v>
      </c>
      <c r="Q43" s="94" t="e">
        <f>'R3'!#REF!</f>
        <v>#REF!</v>
      </c>
      <c r="R43" s="94" t="e">
        <f>'R3'!#REF!</f>
        <v>#REF!</v>
      </c>
      <c r="S43" s="94" t="e">
        <f>'R3'!#REF!</f>
        <v>#REF!</v>
      </c>
      <c r="T43" s="94" t="e">
        <f>'R3'!#REF!</f>
        <v>#REF!</v>
      </c>
      <c r="U43" s="94" t="e">
        <f>'R3'!#REF!</f>
        <v>#REF!</v>
      </c>
      <c r="V43" s="94" t="e">
        <f>'R3'!#REF!</f>
        <v>#REF!</v>
      </c>
      <c r="W43" s="94" t="e">
        <f>'R3'!#REF!</f>
        <v>#REF!</v>
      </c>
      <c r="X43" s="94" t="e">
        <f>'R3'!#REF!</f>
        <v>#REF!</v>
      </c>
      <c r="Y43" s="94" t="e">
        <f>'R3'!#REF!</f>
        <v>#REF!</v>
      </c>
      <c r="Z43" s="94" t="e">
        <f>'R3'!#REF!</f>
        <v>#REF!</v>
      </c>
      <c r="AA43" s="94" t="e">
        <f>'R3'!#REF!</f>
        <v>#REF!</v>
      </c>
      <c r="AB43" s="94" t="e">
        <f>'R3'!#REF!</f>
        <v>#REF!</v>
      </c>
      <c r="AC43" s="94" t="e">
        <f>'R3'!#REF!</f>
        <v>#REF!</v>
      </c>
      <c r="AD43"/>
      <c r="AE43" s="94">
        <f>'R3'!O33</f>
        <v>1.7334181829013677</v>
      </c>
      <c r="AF43" s="94">
        <f>'R3'!P33</f>
        <v>0.49229502736398567</v>
      </c>
      <c r="AG43" s="94">
        <f>'R3'!Q33</f>
        <v>0</v>
      </c>
      <c r="AH43" s="94">
        <f>'R3'!R33</f>
        <v>0.35796263549979557</v>
      </c>
      <c r="AI43" s="94">
        <f>'R3'!S33</f>
        <v>1.4614778447848658</v>
      </c>
      <c r="AJ43" s="94">
        <f>'R3'!T33</f>
        <v>0.53518919197034232</v>
      </c>
      <c r="AK43" s="94">
        <f>'R3'!U33</f>
        <v>1.0989744936782559</v>
      </c>
      <c r="AL43" s="94">
        <f>'R3'!V33</f>
        <v>2.3013629187529281</v>
      </c>
      <c r="AM43" s="94" t="str">
        <f>'R3'!W33</f>
        <v/>
      </c>
      <c r="AN43" s="94" t="str">
        <f>'R3'!X33</f>
        <v/>
      </c>
      <c r="AO43" s="94" t="str">
        <f>'R3'!Y33</f>
        <v/>
      </c>
      <c r="AP43" s="94" t="str">
        <f>'R3'!Z33</f>
        <v/>
      </c>
      <c r="AQ43" s="94" t="str">
        <f>'R3'!AA33</f>
        <v/>
      </c>
      <c r="AR43" s="94" t="str">
        <f>'R3'!AB33</f>
        <v/>
      </c>
      <c r="AS43" s="94" t="str">
        <f>'R3'!AC33</f>
        <v/>
      </c>
      <c r="AT43" s="94" t="str">
        <f>'R3'!AD33</f>
        <v/>
      </c>
      <c r="AU43" s="94" t="str">
        <f>'R3'!AE33</f>
        <v/>
      </c>
      <c r="AV43" s="94" t="str">
        <f>'R3'!AF33</f>
        <v/>
      </c>
      <c r="AW43" s="94" t="str">
        <f>'R3'!AG33</f>
        <v/>
      </c>
      <c r="AX43" s="94" t="str">
        <f>'R3'!AH33</f>
        <v/>
      </c>
      <c r="AY43" s="94" t="str">
        <f>'R3'!AI33</f>
        <v/>
      </c>
      <c r="AZ43" s="94" t="str">
        <f>'R3'!AJ33</f>
        <v/>
      </c>
      <c r="BA43" s="94" t="str">
        <f>'R3'!AK33</f>
        <v/>
      </c>
    </row>
    <row r="44" spans="1:53" s="1" customFormat="1" x14ac:dyDescent="0.25">
      <c r="A44" s="160"/>
      <c r="B44" s="94">
        <f>'R3'!B34</f>
        <v>7.01904511740382E-4</v>
      </c>
      <c r="C44" s="94">
        <f>'R3'!C34</f>
        <v>0</v>
      </c>
      <c r="D44" s="94">
        <f>'R3'!D34</f>
        <v>0</v>
      </c>
      <c r="E44" s="94">
        <f>'R3'!E34</f>
        <v>0</v>
      </c>
      <c r="F44" s="94">
        <f>'R3'!F34</f>
        <v>0</v>
      </c>
      <c r="G44" s="94">
        <f>'R3'!G34</f>
        <v>0.72405349855530066</v>
      </c>
      <c r="H44" s="94">
        <f>'R3'!H34</f>
        <v>2.7679474438164973</v>
      </c>
      <c r="I44" s="94">
        <f>'R3'!I34</f>
        <v>0</v>
      </c>
      <c r="J44" s="94">
        <f>'R3'!J34</f>
        <v>1.078853231008365E-2</v>
      </c>
      <c r="K44" s="94">
        <f>'R3'!K34</f>
        <v>0</v>
      </c>
      <c r="L44" s="94">
        <f>'R3'!L34</f>
        <v>4.4020678020260991E-3</v>
      </c>
      <c r="M44" s="94">
        <f>'R3'!M34</f>
        <v>0</v>
      </c>
      <c r="N44" s="94" t="e">
        <f>'R3'!#REF!</f>
        <v>#REF!</v>
      </c>
      <c r="O44" s="94" t="e">
        <f>'R3'!#REF!</f>
        <v>#REF!</v>
      </c>
      <c r="P44" s="94" t="e">
        <f>'R3'!#REF!</f>
        <v>#REF!</v>
      </c>
      <c r="Q44" s="94" t="e">
        <f>'R3'!#REF!</f>
        <v>#REF!</v>
      </c>
      <c r="R44" s="94" t="e">
        <f>'R3'!#REF!</f>
        <v>#REF!</v>
      </c>
      <c r="S44" s="94" t="e">
        <f>'R3'!#REF!</f>
        <v>#REF!</v>
      </c>
      <c r="T44" s="94" t="e">
        <f>'R3'!#REF!</f>
        <v>#REF!</v>
      </c>
      <c r="U44" s="94" t="e">
        <f>'R3'!#REF!</f>
        <v>#REF!</v>
      </c>
      <c r="V44" s="94" t="e">
        <f>'R3'!#REF!</f>
        <v>#REF!</v>
      </c>
      <c r="W44" s="94" t="e">
        <f>'R3'!#REF!</f>
        <v>#REF!</v>
      </c>
      <c r="X44" s="94" t="e">
        <f>'R3'!#REF!</f>
        <v>#REF!</v>
      </c>
      <c r="Y44" s="94" t="e">
        <f>'R3'!#REF!</f>
        <v>#REF!</v>
      </c>
      <c r="Z44" s="94" t="e">
        <f>'R3'!#REF!</f>
        <v>#REF!</v>
      </c>
      <c r="AA44" s="94" t="e">
        <f>'R3'!#REF!</f>
        <v>#REF!</v>
      </c>
      <c r="AB44" s="94" t="e">
        <f>'R3'!#REF!</f>
        <v>#REF!</v>
      </c>
      <c r="AC44" s="94" t="e">
        <f>'R3'!#REF!</f>
        <v>#REF!</v>
      </c>
      <c r="AD44"/>
      <c r="AE44" s="94">
        <f>'R3'!O34</f>
        <v>1.2855424459964093</v>
      </c>
      <c r="AF44" s="94">
        <f>'R3'!P34</f>
        <v>1.2957937180629384</v>
      </c>
      <c r="AG44" s="94">
        <f>'R3'!Q34</f>
        <v>6.9323902394111798E-4</v>
      </c>
      <c r="AH44" s="94">
        <f>'R3'!R34</f>
        <v>0.48040597810339553</v>
      </c>
      <c r="AI44" s="94">
        <f>'R3'!S34</f>
        <v>1.1079432735504942</v>
      </c>
      <c r="AJ44" s="94">
        <f>'R3'!T34</f>
        <v>0.52256357624681471</v>
      </c>
      <c r="AK44" s="94">
        <f>'R3'!U34</f>
        <v>1.5184360960894279</v>
      </c>
      <c r="AL44" s="94">
        <f>'R3'!V34</f>
        <v>2.0020829666297479</v>
      </c>
      <c r="AM44" s="94" t="str">
        <f>'R3'!W34</f>
        <v/>
      </c>
      <c r="AN44" s="94" t="str">
        <f>'R3'!X34</f>
        <v/>
      </c>
      <c r="AO44" s="94" t="str">
        <f>'R3'!Y34</f>
        <v/>
      </c>
      <c r="AP44" s="94" t="str">
        <f>'R3'!Z34</f>
        <v/>
      </c>
      <c r="AQ44" s="94" t="str">
        <f>'R3'!AA34</f>
        <v/>
      </c>
      <c r="AR44" s="94" t="str">
        <f>'R3'!AB34</f>
        <v/>
      </c>
      <c r="AS44" s="94" t="str">
        <f>'R3'!AC34</f>
        <v/>
      </c>
      <c r="AT44" s="94" t="str">
        <f>'R3'!AD34</f>
        <v/>
      </c>
      <c r="AU44" s="94" t="str">
        <f>'R3'!AE34</f>
        <v/>
      </c>
      <c r="AV44" s="94" t="str">
        <f>'R3'!AF34</f>
        <v/>
      </c>
      <c r="AW44" s="94" t="str">
        <f>'R3'!AG34</f>
        <v/>
      </c>
      <c r="AX44" s="94" t="str">
        <f>'R3'!AH34</f>
        <v/>
      </c>
      <c r="AY44" s="94" t="str">
        <f>'R3'!AI34</f>
        <v/>
      </c>
      <c r="AZ44" s="94" t="str">
        <f>'R3'!AJ34</f>
        <v/>
      </c>
      <c r="BA44" s="94" t="str">
        <f>'R3'!AK34</f>
        <v/>
      </c>
    </row>
    <row r="45" spans="1:53" s="1" customFormat="1" x14ac:dyDescent="0.25">
      <c r="A45" s="160"/>
      <c r="B45" s="94">
        <f>'R3'!B35</f>
        <v>1.90987351095778E-2</v>
      </c>
      <c r="C45" s="94">
        <f>'R3'!C35</f>
        <v>6.7270181785686237E-2</v>
      </c>
      <c r="D45" s="94">
        <f>'R3'!D35</f>
        <v>1.4384709746778199E-3</v>
      </c>
      <c r="E45" s="94">
        <f>'R3'!E35</f>
        <v>0</v>
      </c>
      <c r="F45" s="94">
        <f>'R3'!F35</f>
        <v>7.6966862633062627E-2</v>
      </c>
      <c r="G45" s="94">
        <f>'R3'!G35</f>
        <v>8.1923521654241618E-2</v>
      </c>
      <c r="H45" s="94">
        <f>'R3'!H35</f>
        <v>2.0973600049826553</v>
      </c>
      <c r="I45" s="94">
        <f>'R3'!I35</f>
        <v>8.0502381655162322E-3</v>
      </c>
      <c r="J45" s="94">
        <f>'R3'!J35</f>
        <v>0</v>
      </c>
      <c r="K45" s="94">
        <f>'R3'!K35</f>
        <v>0</v>
      </c>
      <c r="L45" s="94">
        <f>'R3'!L35</f>
        <v>3.4921915831033819E-3</v>
      </c>
      <c r="M45" s="94">
        <f>'R3'!M35</f>
        <v>5.8821331181403862E-2</v>
      </c>
      <c r="N45" s="94" t="e">
        <f>'R3'!#REF!</f>
        <v>#REF!</v>
      </c>
      <c r="O45" s="94" t="e">
        <f>'R3'!#REF!</f>
        <v>#REF!</v>
      </c>
      <c r="P45" s="94" t="e">
        <f>'R3'!#REF!</f>
        <v>#REF!</v>
      </c>
      <c r="Q45" s="94" t="e">
        <f>'R3'!#REF!</f>
        <v>#REF!</v>
      </c>
      <c r="R45" s="94" t="e">
        <f>'R3'!#REF!</f>
        <v>#REF!</v>
      </c>
      <c r="S45" s="94" t="e">
        <f>'R3'!#REF!</f>
        <v>#REF!</v>
      </c>
      <c r="T45" s="94" t="e">
        <f>'R3'!#REF!</f>
        <v>#REF!</v>
      </c>
      <c r="U45" s="94" t="e">
        <f>'R3'!#REF!</f>
        <v>#REF!</v>
      </c>
      <c r="V45" s="94" t="e">
        <f>'R3'!#REF!</f>
        <v>#REF!</v>
      </c>
      <c r="W45" s="94" t="e">
        <f>'R3'!#REF!</f>
        <v>#REF!</v>
      </c>
      <c r="X45" s="94" t="e">
        <f>'R3'!#REF!</f>
        <v>#REF!</v>
      </c>
      <c r="Y45" s="94" t="e">
        <f>'R3'!#REF!</f>
        <v>#REF!</v>
      </c>
      <c r="Z45" s="94" t="e">
        <f>'R3'!#REF!</f>
        <v>#REF!</v>
      </c>
      <c r="AA45" s="94" t="e">
        <f>'R3'!#REF!</f>
        <v>#REF!</v>
      </c>
      <c r="AB45" s="94" t="e">
        <f>'R3'!#REF!</f>
        <v>#REF!</v>
      </c>
      <c r="AC45" s="94" t="e">
        <f>'R3'!#REF!</f>
        <v>#REF!</v>
      </c>
      <c r="AD45"/>
      <c r="AE45" s="94">
        <f>'R3'!O35</f>
        <v>0.13162875967081977</v>
      </c>
      <c r="AF45" s="94">
        <f>'R3'!P35</f>
        <v>1.3074228026895507</v>
      </c>
      <c r="AG45" s="94">
        <f>'R3'!Q35</f>
        <v>1.4644674380756117E-3</v>
      </c>
      <c r="AH45" s="94">
        <f>'R3'!R35</f>
        <v>1.3747969703288281</v>
      </c>
      <c r="AI45" s="94">
        <f>'R3'!S35</f>
        <v>1.1331165156073559</v>
      </c>
      <c r="AJ45" s="94">
        <f>'R3'!T35</f>
        <v>1.9109740279082867</v>
      </c>
      <c r="AK45" s="94">
        <f>'R3'!U35</f>
        <v>2.2780700875485063</v>
      </c>
      <c r="AL45" s="94">
        <f>'R3'!V35</f>
        <v>1.9764591192073244</v>
      </c>
      <c r="AM45" s="94" t="str">
        <f>'R3'!W35</f>
        <v/>
      </c>
      <c r="AN45" s="94" t="str">
        <f>'R3'!X35</f>
        <v/>
      </c>
      <c r="AO45" s="94" t="str">
        <f>'R3'!Y35</f>
        <v/>
      </c>
      <c r="AP45" s="94" t="str">
        <f>'R3'!Z35</f>
        <v/>
      </c>
      <c r="AQ45" s="94" t="str">
        <f>'R3'!AA35</f>
        <v/>
      </c>
      <c r="AR45" s="94" t="str">
        <f>'R3'!AB35</f>
        <v/>
      </c>
      <c r="AS45" s="94" t="str">
        <f>'R3'!AC35</f>
        <v/>
      </c>
      <c r="AT45" s="94" t="str">
        <f>'R3'!AD35</f>
        <v/>
      </c>
      <c r="AU45" s="94" t="str">
        <f>'R3'!AE35</f>
        <v/>
      </c>
      <c r="AV45" s="94" t="str">
        <f>'R3'!AF35</f>
        <v/>
      </c>
      <c r="AW45" s="94" t="str">
        <f>'R3'!AG35</f>
        <v/>
      </c>
      <c r="AX45" s="94" t="str">
        <f>'R3'!AH35</f>
        <v/>
      </c>
      <c r="AY45" s="94" t="str">
        <f>'R3'!AI35</f>
        <v/>
      </c>
      <c r="AZ45" s="94" t="str">
        <f>'R3'!AJ35</f>
        <v/>
      </c>
      <c r="BA45" s="94" t="str">
        <f>'R3'!AK35</f>
        <v/>
      </c>
    </row>
    <row r="46" spans="1:53" s="1" customFormat="1" x14ac:dyDescent="0.25">
      <c r="A46" s="160"/>
      <c r="B46" s="94" t="str">
        <f>'R3'!B36</f>
        <v/>
      </c>
      <c r="C46" s="94" t="str">
        <f>'R3'!C36</f>
        <v/>
      </c>
      <c r="D46" s="94" t="str">
        <f>'R3'!D36</f>
        <v/>
      </c>
      <c r="E46" s="94" t="str">
        <f>'R3'!E36</f>
        <v/>
      </c>
      <c r="F46" s="94" t="str">
        <f>'R3'!F36</f>
        <v/>
      </c>
      <c r="G46" s="94" t="str">
        <f>'R3'!G36</f>
        <v/>
      </c>
      <c r="H46" s="94" t="str">
        <f>'R3'!H36</f>
        <v/>
      </c>
      <c r="I46" s="94" t="str">
        <f>'R3'!I36</f>
        <v/>
      </c>
      <c r="J46" s="94" t="str">
        <f>'R3'!J36</f>
        <v/>
      </c>
      <c r="K46" s="94" t="str">
        <f>'R3'!K36</f>
        <v/>
      </c>
      <c r="L46" s="94" t="str">
        <f>'R3'!L36</f>
        <v/>
      </c>
      <c r="M46" s="94" t="str">
        <f>'R3'!M36</f>
        <v/>
      </c>
      <c r="N46" s="94" t="e">
        <f>'R3'!#REF!</f>
        <v>#REF!</v>
      </c>
      <c r="O46" s="94" t="e">
        <f>'R3'!#REF!</f>
        <v>#REF!</v>
      </c>
      <c r="P46" s="94" t="e">
        <f>'R3'!#REF!</f>
        <v>#REF!</v>
      </c>
      <c r="Q46" s="94" t="e">
        <f>'R3'!#REF!</f>
        <v>#REF!</v>
      </c>
      <c r="R46" s="94" t="e">
        <f>'R3'!#REF!</f>
        <v>#REF!</v>
      </c>
      <c r="S46" s="94" t="e">
        <f>'R3'!#REF!</f>
        <v>#REF!</v>
      </c>
      <c r="T46" s="94" t="e">
        <f>'R3'!#REF!</f>
        <v>#REF!</v>
      </c>
      <c r="U46" s="94" t="e">
        <f>'R3'!#REF!</f>
        <v>#REF!</v>
      </c>
      <c r="V46" s="94" t="e">
        <f>'R3'!#REF!</f>
        <v>#REF!</v>
      </c>
      <c r="W46" s="94" t="e">
        <f>'R3'!#REF!</f>
        <v>#REF!</v>
      </c>
      <c r="X46" s="94" t="e">
        <f>'R3'!#REF!</f>
        <v>#REF!</v>
      </c>
      <c r="Y46" s="94" t="e">
        <f>'R3'!#REF!</f>
        <v>#REF!</v>
      </c>
      <c r="Z46" s="94" t="e">
        <f>'R3'!#REF!</f>
        <v>#REF!</v>
      </c>
      <c r="AA46" s="94" t="e">
        <f>'R3'!#REF!</f>
        <v>#REF!</v>
      </c>
      <c r="AB46" s="94" t="e">
        <f>'R3'!#REF!</f>
        <v>#REF!</v>
      </c>
      <c r="AC46" s="94" t="e">
        <f>'R3'!#REF!</f>
        <v>#REF!</v>
      </c>
      <c r="AD46"/>
      <c r="AE46" s="94">
        <f>'R3'!O36</f>
        <v>1.8999688584032215</v>
      </c>
      <c r="AF46" s="94">
        <f>'R3'!P36</f>
        <v>2.1513286629964714</v>
      </c>
      <c r="AG46" s="94" t="str">
        <f>'R3'!Q36</f>
        <v/>
      </c>
      <c r="AH46" s="94" t="str">
        <f>'R3'!R36</f>
        <v/>
      </c>
      <c r="AI46" s="94" t="str">
        <f>'R3'!S36</f>
        <v/>
      </c>
      <c r="AJ46" s="94" t="str">
        <f>'R3'!T36</f>
        <v/>
      </c>
      <c r="AK46" s="94" t="str">
        <f>'R3'!U36</f>
        <v/>
      </c>
      <c r="AL46" s="94" t="str">
        <f>'R3'!V36</f>
        <v/>
      </c>
      <c r="AM46" s="94" t="str">
        <f>'R3'!W36</f>
        <v/>
      </c>
      <c r="AN46" s="94" t="str">
        <f>'R3'!X36</f>
        <v/>
      </c>
      <c r="AO46" s="94" t="str">
        <f>'R3'!Y36</f>
        <v/>
      </c>
      <c r="AP46" s="94" t="str">
        <f>'R3'!Z36</f>
        <v/>
      </c>
      <c r="AQ46" s="94" t="str">
        <f>'R3'!AA36</f>
        <v/>
      </c>
      <c r="AR46" s="94" t="str">
        <f>'R3'!AB36</f>
        <v/>
      </c>
      <c r="AS46" s="94" t="str">
        <f>'R3'!AC36</f>
        <v/>
      </c>
      <c r="AT46" s="94" t="str">
        <f>'R3'!AD36</f>
        <v/>
      </c>
      <c r="AU46" s="94" t="str">
        <f>'R3'!AE36</f>
        <v/>
      </c>
      <c r="AV46" s="94" t="str">
        <f>'R3'!AF36</f>
        <v/>
      </c>
      <c r="AW46" s="94" t="str">
        <f>'R3'!AG36</f>
        <v/>
      </c>
      <c r="AX46" s="94" t="str">
        <f>'R3'!AH36</f>
        <v/>
      </c>
      <c r="AY46" s="94" t="str">
        <f>'R3'!AI36</f>
        <v/>
      </c>
      <c r="AZ46" s="94" t="str">
        <f>'R3'!AJ36</f>
        <v/>
      </c>
      <c r="BA46" s="94" t="str">
        <f>'R3'!AK36</f>
        <v/>
      </c>
    </row>
    <row r="47" spans="1:53" s="1" customFormat="1" x14ac:dyDescent="0.25">
      <c r="A47" s="160"/>
      <c r="B47" s="94" t="str">
        <f>'R3'!B37</f>
        <v/>
      </c>
      <c r="C47" s="94" t="str">
        <f>'R3'!C37</f>
        <v/>
      </c>
      <c r="D47" s="94" t="str">
        <f>'R3'!D37</f>
        <v/>
      </c>
      <c r="E47" s="94" t="str">
        <f>'R3'!E37</f>
        <v/>
      </c>
      <c r="F47" s="94" t="str">
        <f>'R3'!F37</f>
        <v/>
      </c>
      <c r="G47" s="94" t="str">
        <f>'R3'!G37</f>
        <v/>
      </c>
      <c r="H47" s="94" t="str">
        <f>'R3'!H37</f>
        <v/>
      </c>
      <c r="I47" s="94" t="str">
        <f>'R3'!I37</f>
        <v/>
      </c>
      <c r="J47" s="94" t="str">
        <f>'R3'!J37</f>
        <v/>
      </c>
      <c r="K47" s="94" t="str">
        <f>'R3'!K37</f>
        <v/>
      </c>
      <c r="L47" s="94" t="str">
        <f>'R3'!L37</f>
        <v/>
      </c>
      <c r="M47" s="94" t="str">
        <f>'R3'!M37</f>
        <v/>
      </c>
      <c r="N47" s="94" t="e">
        <f>'R3'!#REF!</f>
        <v>#REF!</v>
      </c>
      <c r="O47" s="94" t="e">
        <f>'R3'!#REF!</f>
        <v>#REF!</v>
      </c>
      <c r="P47" s="94" t="e">
        <f>'R3'!#REF!</f>
        <v>#REF!</v>
      </c>
      <c r="Q47" s="94" t="e">
        <f>'R3'!#REF!</f>
        <v>#REF!</v>
      </c>
      <c r="R47" s="94" t="e">
        <f>'R3'!#REF!</f>
        <v>#REF!</v>
      </c>
      <c r="S47" s="94" t="e">
        <f>'R3'!#REF!</f>
        <v>#REF!</v>
      </c>
      <c r="T47" s="94" t="e">
        <f>'R3'!#REF!</f>
        <v>#REF!</v>
      </c>
      <c r="U47" s="94" t="e">
        <f>'R3'!#REF!</f>
        <v>#REF!</v>
      </c>
      <c r="V47" s="94" t="e">
        <f>'R3'!#REF!</f>
        <v>#REF!</v>
      </c>
      <c r="W47" s="94" t="e">
        <f>'R3'!#REF!</f>
        <v>#REF!</v>
      </c>
      <c r="X47" s="94" t="e">
        <f>'R3'!#REF!</f>
        <v>#REF!</v>
      </c>
      <c r="Y47" s="94" t="e">
        <f>'R3'!#REF!</f>
        <v>#REF!</v>
      </c>
      <c r="Z47" s="94" t="e">
        <f>'R3'!#REF!</f>
        <v>#REF!</v>
      </c>
      <c r="AA47" s="94" t="e">
        <f>'R3'!#REF!</f>
        <v>#REF!</v>
      </c>
      <c r="AB47" s="94" t="e">
        <f>'R3'!#REF!</f>
        <v>#REF!</v>
      </c>
      <c r="AC47" s="94" t="e">
        <f>'R3'!#REF!</f>
        <v>#REF!</v>
      </c>
      <c r="AD47"/>
      <c r="AE47" s="94">
        <f>'R3'!O37</f>
        <v>3.8050156926568116E-2</v>
      </c>
      <c r="AF47" s="94" t="str">
        <f>'R3'!P37</f>
        <v/>
      </c>
      <c r="AG47" s="94" t="str">
        <f>'R3'!Q37</f>
        <v/>
      </c>
      <c r="AH47" s="94" t="str">
        <f>'R3'!R37</f>
        <v/>
      </c>
      <c r="AI47" s="94" t="str">
        <f>'R3'!S37</f>
        <v/>
      </c>
      <c r="AJ47" s="94" t="str">
        <f>'R3'!T37</f>
        <v/>
      </c>
      <c r="AK47" s="94" t="str">
        <f>'R3'!U37</f>
        <v/>
      </c>
      <c r="AL47" s="94" t="str">
        <f>'R3'!V37</f>
        <v/>
      </c>
      <c r="AM47" s="94" t="str">
        <f>'R3'!W37</f>
        <v/>
      </c>
      <c r="AN47" s="94" t="str">
        <f>'R3'!X37</f>
        <v/>
      </c>
      <c r="AO47" s="94" t="str">
        <f>'R3'!Y37</f>
        <v/>
      </c>
      <c r="AP47" s="94" t="str">
        <f>'R3'!Z37</f>
        <v/>
      </c>
      <c r="AQ47" s="94" t="str">
        <f>'R3'!AA37</f>
        <v/>
      </c>
      <c r="AR47" s="94" t="str">
        <f>'R3'!AB37</f>
        <v/>
      </c>
      <c r="AS47" s="94" t="str">
        <f>'R3'!AC37</f>
        <v/>
      </c>
      <c r="AT47" s="94" t="str">
        <f>'R3'!AD37</f>
        <v/>
      </c>
      <c r="AU47" s="94" t="str">
        <f>'R3'!AE37</f>
        <v/>
      </c>
      <c r="AV47" s="94" t="str">
        <f>'R3'!AF37</f>
        <v/>
      </c>
      <c r="AW47" s="94" t="str">
        <f>'R3'!AG37</f>
        <v/>
      </c>
      <c r="AX47" s="94" t="str">
        <f>'R3'!AH37</f>
        <v/>
      </c>
      <c r="AY47" s="94" t="str">
        <f>'R3'!AI37</f>
        <v/>
      </c>
      <c r="AZ47" s="94" t="str">
        <f>'R3'!AJ37</f>
        <v/>
      </c>
      <c r="BA47" s="94" t="str">
        <f>'R3'!AK37</f>
        <v/>
      </c>
    </row>
    <row r="48" spans="1:53" s="1" customFormat="1" x14ac:dyDescent="0.25">
      <c r="A48" s="160"/>
      <c r="B48" s="94" t="str">
        <f>'R3'!B38</f>
        <v/>
      </c>
      <c r="C48" s="94" t="str">
        <f>'R3'!C38</f>
        <v/>
      </c>
      <c r="D48" s="94" t="str">
        <f>'R3'!D38</f>
        <v/>
      </c>
      <c r="E48" s="94" t="str">
        <f>'R3'!E38</f>
        <v/>
      </c>
      <c r="F48" s="94" t="str">
        <f>'R3'!F38</f>
        <v/>
      </c>
      <c r="G48" s="94" t="str">
        <f>'R3'!G38</f>
        <v/>
      </c>
      <c r="H48" s="94" t="str">
        <f>'R3'!H38</f>
        <v/>
      </c>
      <c r="I48" s="94" t="str">
        <f>'R3'!I38</f>
        <v/>
      </c>
      <c r="J48" s="94" t="str">
        <f>'R3'!J38</f>
        <v/>
      </c>
      <c r="K48" s="94" t="str">
        <f>'R3'!K38</f>
        <v/>
      </c>
      <c r="L48" s="94" t="str">
        <f>'R3'!L38</f>
        <v/>
      </c>
      <c r="M48" s="94" t="str">
        <f>'R3'!M38</f>
        <v/>
      </c>
      <c r="N48" s="94" t="e">
        <f>'R3'!#REF!</f>
        <v>#REF!</v>
      </c>
      <c r="O48" s="94" t="e">
        <f>'R3'!#REF!</f>
        <v>#REF!</v>
      </c>
      <c r="P48" s="94" t="e">
        <f>'R3'!#REF!</f>
        <v>#REF!</v>
      </c>
      <c r="Q48" s="94" t="e">
        <f>'R3'!#REF!</f>
        <v>#REF!</v>
      </c>
      <c r="R48" s="94" t="e">
        <f>'R3'!#REF!</f>
        <v>#REF!</v>
      </c>
      <c r="S48" s="94" t="e">
        <f>'R3'!#REF!</f>
        <v>#REF!</v>
      </c>
      <c r="T48" s="94" t="e">
        <f>'R3'!#REF!</f>
        <v>#REF!</v>
      </c>
      <c r="U48" s="94" t="e">
        <f>'R3'!#REF!</f>
        <v>#REF!</v>
      </c>
      <c r="V48" s="94" t="e">
        <f>'R3'!#REF!</f>
        <v>#REF!</v>
      </c>
      <c r="W48" s="94" t="e">
        <f>'R3'!#REF!</f>
        <v>#REF!</v>
      </c>
      <c r="X48" s="94" t="e">
        <f>'R3'!#REF!</f>
        <v>#REF!</v>
      </c>
      <c r="Y48" s="94" t="e">
        <f>'R3'!#REF!</f>
        <v>#REF!</v>
      </c>
      <c r="Z48" s="94" t="e">
        <f>'R3'!#REF!</f>
        <v>#REF!</v>
      </c>
      <c r="AA48" s="94" t="e">
        <f>'R3'!#REF!</f>
        <v>#REF!</v>
      </c>
      <c r="AB48" s="94" t="e">
        <f>'R3'!#REF!</f>
        <v>#REF!</v>
      </c>
      <c r="AC48" s="94" t="e">
        <f>'R3'!#REF!</f>
        <v>#REF!</v>
      </c>
      <c r="AD48"/>
      <c r="AE48" s="94">
        <f>'R3'!O38</f>
        <v>1.537578158638002</v>
      </c>
      <c r="AF48" s="94" t="str">
        <f>'R3'!P38</f>
        <v/>
      </c>
      <c r="AG48" s="94" t="str">
        <f>'R3'!Q38</f>
        <v/>
      </c>
      <c r="AH48" s="94" t="str">
        <f>'R3'!R38</f>
        <v/>
      </c>
      <c r="AI48" s="94" t="str">
        <f>'R3'!S38</f>
        <v/>
      </c>
      <c r="AJ48" s="94" t="str">
        <f>'R3'!T38</f>
        <v/>
      </c>
      <c r="AK48" s="94" t="str">
        <f>'R3'!U38</f>
        <v/>
      </c>
      <c r="AL48" s="94" t="str">
        <f>'R3'!V38</f>
        <v/>
      </c>
      <c r="AM48" s="94" t="str">
        <f>'R3'!W38</f>
        <v/>
      </c>
      <c r="AN48" s="94" t="str">
        <f>'R3'!X38</f>
        <v/>
      </c>
      <c r="AO48" s="94" t="str">
        <f>'R3'!Y38</f>
        <v/>
      </c>
      <c r="AP48" s="94" t="str">
        <f>'R3'!Z38</f>
        <v/>
      </c>
      <c r="AQ48" s="94" t="str">
        <f>'R3'!AA38</f>
        <v/>
      </c>
      <c r="AR48" s="94" t="str">
        <f>'R3'!AB38</f>
        <v/>
      </c>
      <c r="AS48" s="94" t="str">
        <f>'R3'!AC38</f>
        <v/>
      </c>
      <c r="AT48" s="94" t="str">
        <f>'R3'!AD38</f>
        <v/>
      </c>
      <c r="AU48" s="94" t="str">
        <f>'R3'!AE38</f>
        <v/>
      </c>
      <c r="AV48" s="94" t="str">
        <f>'R3'!AF38</f>
        <v/>
      </c>
      <c r="AW48" s="94" t="str">
        <f>'R3'!AG38</f>
        <v/>
      </c>
      <c r="AX48" s="94" t="str">
        <f>'R3'!AH38</f>
        <v/>
      </c>
      <c r="AY48" s="94" t="str">
        <f>'R3'!AI38</f>
        <v/>
      </c>
      <c r="AZ48" s="94" t="str">
        <f>'R3'!AJ38</f>
        <v/>
      </c>
      <c r="BA48" s="94" t="str">
        <f>'R3'!AK38</f>
        <v/>
      </c>
    </row>
    <row r="49" spans="1:55" s="1" customFormat="1" x14ac:dyDescent="0.25">
      <c r="A49" s="160"/>
      <c r="B49" s="94" t="str">
        <f>'R3'!B39</f>
        <v/>
      </c>
      <c r="C49" s="94" t="str">
        <f>'R3'!C39</f>
        <v/>
      </c>
      <c r="D49" s="94" t="str">
        <f>'R3'!D39</f>
        <v/>
      </c>
      <c r="E49" s="94" t="str">
        <f>'R3'!E39</f>
        <v/>
      </c>
      <c r="F49" s="94" t="str">
        <f>'R3'!F39</f>
        <v/>
      </c>
      <c r="G49" s="94" t="str">
        <f>'R3'!G39</f>
        <v/>
      </c>
      <c r="H49" s="94" t="str">
        <f>'R3'!H39</f>
        <v/>
      </c>
      <c r="I49" s="94" t="str">
        <f>'R3'!I39</f>
        <v/>
      </c>
      <c r="J49" s="94" t="str">
        <f>'R3'!J39</f>
        <v/>
      </c>
      <c r="K49" s="94" t="str">
        <f>'R3'!K39</f>
        <v/>
      </c>
      <c r="L49" s="94" t="str">
        <f>'R3'!L39</f>
        <v/>
      </c>
      <c r="M49" s="94" t="str">
        <f>'R3'!M39</f>
        <v/>
      </c>
      <c r="N49" s="94" t="e">
        <f>'R3'!#REF!</f>
        <v>#REF!</v>
      </c>
      <c r="O49" s="94" t="e">
        <f>'R3'!#REF!</f>
        <v>#REF!</v>
      </c>
      <c r="P49" s="94" t="e">
        <f>'R3'!#REF!</f>
        <v>#REF!</v>
      </c>
      <c r="Q49" s="94" t="e">
        <f>'R3'!#REF!</f>
        <v>#REF!</v>
      </c>
      <c r="R49" s="94" t="e">
        <f>'R3'!#REF!</f>
        <v>#REF!</v>
      </c>
      <c r="S49" s="94" t="e">
        <f>'R3'!#REF!</f>
        <v>#REF!</v>
      </c>
      <c r="T49" s="94" t="e">
        <f>'R3'!#REF!</f>
        <v>#REF!</v>
      </c>
      <c r="U49" s="94" t="e">
        <f>'R3'!#REF!</f>
        <v>#REF!</v>
      </c>
      <c r="V49" s="94" t="e">
        <f>'R3'!#REF!</f>
        <v>#REF!</v>
      </c>
      <c r="W49" s="94" t="e">
        <f>'R3'!#REF!</f>
        <v>#REF!</v>
      </c>
      <c r="X49" s="94" t="e">
        <f>'R3'!#REF!</f>
        <v>#REF!</v>
      </c>
      <c r="Y49" s="94" t="e">
        <f>'R3'!#REF!</f>
        <v>#REF!</v>
      </c>
      <c r="Z49" s="94" t="e">
        <f>'R3'!#REF!</f>
        <v>#REF!</v>
      </c>
      <c r="AA49" s="94" t="e">
        <f>'R3'!#REF!</f>
        <v>#REF!</v>
      </c>
      <c r="AB49" s="94" t="e">
        <f>'R3'!#REF!</f>
        <v>#REF!</v>
      </c>
      <c r="AC49" s="94" t="e">
        <f>'R3'!#REF!</f>
        <v>#REF!</v>
      </c>
      <c r="AD49"/>
      <c r="AE49" s="94">
        <f>'R3'!O39</f>
        <v>0.59024970144686562</v>
      </c>
      <c r="AF49" s="94" t="str">
        <f>'R3'!P39</f>
        <v/>
      </c>
      <c r="AG49" s="94" t="str">
        <f>'R3'!Q39</f>
        <v/>
      </c>
      <c r="AH49" s="94" t="str">
        <f>'R3'!R39</f>
        <v/>
      </c>
      <c r="AI49" s="94" t="str">
        <f>'R3'!S39</f>
        <v/>
      </c>
      <c r="AJ49" s="94" t="str">
        <f>'R3'!T39</f>
        <v/>
      </c>
      <c r="AK49" s="94" t="str">
        <f>'R3'!U39</f>
        <v/>
      </c>
      <c r="AL49" s="94" t="str">
        <f>'R3'!V39</f>
        <v/>
      </c>
      <c r="AM49" s="94" t="str">
        <f>'R3'!W39</f>
        <v/>
      </c>
      <c r="AN49" s="94" t="str">
        <f>'R3'!X39</f>
        <v/>
      </c>
      <c r="AO49" s="94" t="str">
        <f>'R3'!Y39</f>
        <v/>
      </c>
      <c r="AP49" s="94" t="str">
        <f>'R3'!Z39</f>
        <v/>
      </c>
      <c r="AQ49" s="94" t="str">
        <f>'R3'!AA39</f>
        <v/>
      </c>
      <c r="AR49" s="94" t="str">
        <f>'R3'!AB39</f>
        <v/>
      </c>
      <c r="AS49" s="94" t="str">
        <f>'R3'!AC39</f>
        <v/>
      </c>
      <c r="AT49" s="94" t="str">
        <f>'R3'!AD39</f>
        <v/>
      </c>
      <c r="AU49" s="94" t="str">
        <f>'R3'!AE39</f>
        <v/>
      </c>
      <c r="AV49" s="94" t="str">
        <f>'R3'!AF39</f>
        <v/>
      </c>
      <c r="AW49" s="94" t="str">
        <f>'R3'!AG39</f>
        <v/>
      </c>
      <c r="AX49" s="94" t="str">
        <f>'R3'!AH39</f>
        <v/>
      </c>
      <c r="AY49" s="94" t="str">
        <f>'R3'!AI39</f>
        <v/>
      </c>
      <c r="AZ49" s="94" t="str">
        <f>'R3'!AJ39</f>
        <v/>
      </c>
      <c r="BA49" s="94" t="str">
        <f>'R3'!AK39</f>
        <v/>
      </c>
    </row>
    <row r="50" spans="1:55" s="1" customFormat="1" x14ac:dyDescent="0.25">
      <c r="A50" s="160"/>
      <c r="B50" s="94" t="str">
        <f>'R3'!B40</f>
        <v/>
      </c>
      <c r="C50" s="94" t="str">
        <f>'R3'!C40</f>
        <v/>
      </c>
      <c r="D50" s="94" t="str">
        <f>'R3'!D40</f>
        <v/>
      </c>
      <c r="E50" s="94" t="str">
        <f>'R3'!E40</f>
        <v/>
      </c>
      <c r="F50" s="94" t="str">
        <f>'R3'!F40</f>
        <v/>
      </c>
      <c r="G50" s="94" t="str">
        <f>'R3'!G40</f>
        <v/>
      </c>
      <c r="H50" s="94" t="str">
        <f>'R3'!H40</f>
        <v/>
      </c>
      <c r="I50" s="94" t="str">
        <f>'R3'!I40</f>
        <v/>
      </c>
      <c r="J50" s="94" t="str">
        <f>'R3'!J40</f>
        <v/>
      </c>
      <c r="K50" s="94" t="str">
        <f>'R3'!K40</f>
        <v/>
      </c>
      <c r="L50" s="94" t="str">
        <f>'R3'!L40</f>
        <v/>
      </c>
      <c r="M50" s="94" t="str">
        <f>'R3'!M40</f>
        <v/>
      </c>
      <c r="N50" s="94" t="e">
        <f>'R3'!#REF!</f>
        <v>#REF!</v>
      </c>
      <c r="O50" s="94" t="e">
        <f>'R3'!#REF!</f>
        <v>#REF!</v>
      </c>
      <c r="P50" s="94" t="e">
        <f>'R3'!#REF!</f>
        <v>#REF!</v>
      </c>
      <c r="Q50" s="94" t="e">
        <f>'R3'!#REF!</f>
        <v>#REF!</v>
      </c>
      <c r="R50" s="94" t="e">
        <f>'R3'!#REF!</f>
        <v>#REF!</v>
      </c>
      <c r="S50" s="94" t="e">
        <f>'R3'!#REF!</f>
        <v>#REF!</v>
      </c>
      <c r="T50" s="94" t="e">
        <f>'R3'!#REF!</f>
        <v>#REF!</v>
      </c>
      <c r="U50" s="94" t="e">
        <f>'R3'!#REF!</f>
        <v>#REF!</v>
      </c>
      <c r="V50" s="94" t="e">
        <f>'R3'!#REF!</f>
        <v>#REF!</v>
      </c>
      <c r="W50" s="94" t="e">
        <f>'R3'!#REF!</f>
        <v>#REF!</v>
      </c>
      <c r="X50" s="94" t="e">
        <f>'R3'!#REF!</f>
        <v>#REF!</v>
      </c>
      <c r="Y50" s="94" t="e">
        <f>'R3'!#REF!</f>
        <v>#REF!</v>
      </c>
      <c r="Z50" s="94" t="e">
        <f>'R3'!#REF!</f>
        <v>#REF!</v>
      </c>
      <c r="AA50" s="94" t="e">
        <f>'R3'!#REF!</f>
        <v>#REF!</v>
      </c>
      <c r="AB50" s="94" t="e">
        <f>'R3'!#REF!</f>
        <v>#REF!</v>
      </c>
      <c r="AC50" s="94" t="e">
        <f>'R3'!#REF!</f>
        <v>#REF!</v>
      </c>
      <c r="AD50"/>
      <c r="AE50" s="94">
        <f>'R3'!O40</f>
        <v>1.4799699957484951</v>
      </c>
      <c r="AF50" s="94" t="str">
        <f>'R3'!P40</f>
        <v/>
      </c>
      <c r="AG50" s="94" t="str">
        <f>'R3'!Q40</f>
        <v/>
      </c>
      <c r="AH50" s="94" t="str">
        <f>'R3'!R40</f>
        <v/>
      </c>
      <c r="AI50" s="94" t="str">
        <f>'R3'!S40</f>
        <v/>
      </c>
      <c r="AJ50" s="94" t="str">
        <f>'R3'!T40</f>
        <v/>
      </c>
      <c r="AK50" s="94" t="str">
        <f>'R3'!U40</f>
        <v/>
      </c>
      <c r="AL50" s="94" t="str">
        <f>'R3'!V40</f>
        <v/>
      </c>
      <c r="AM50" s="94" t="str">
        <f>'R3'!W40</f>
        <v/>
      </c>
      <c r="AN50" s="94" t="str">
        <f>'R3'!X40</f>
        <v/>
      </c>
      <c r="AO50" s="94" t="str">
        <f>'R3'!Y40</f>
        <v/>
      </c>
      <c r="AP50" s="94" t="str">
        <f>'R3'!Z40</f>
        <v/>
      </c>
      <c r="AQ50" s="94" t="str">
        <f>'R3'!AA40</f>
        <v/>
      </c>
      <c r="AR50" s="94" t="str">
        <f>'R3'!AB40</f>
        <v/>
      </c>
      <c r="AS50" s="94" t="str">
        <f>'R3'!AC40</f>
        <v/>
      </c>
      <c r="AT50" s="94" t="str">
        <f>'R3'!AD40</f>
        <v/>
      </c>
      <c r="AU50" s="94" t="str">
        <f>'R3'!AE40</f>
        <v/>
      </c>
      <c r="AV50" s="94" t="str">
        <f>'R3'!AF40</f>
        <v/>
      </c>
      <c r="AW50" s="94" t="str">
        <f>'R3'!AG40</f>
        <v/>
      </c>
      <c r="AX50" s="94" t="str">
        <f>'R3'!AH40</f>
        <v/>
      </c>
      <c r="AY50" s="94" t="str">
        <f>'R3'!AI40</f>
        <v/>
      </c>
      <c r="AZ50" s="94" t="str">
        <f>'R3'!AJ40</f>
        <v/>
      </c>
      <c r="BA50" s="94" t="str">
        <f>'R3'!AK40</f>
        <v/>
      </c>
    </row>
    <row r="51" spans="1:55" s="1" customFormat="1" x14ac:dyDescent="0.25">
      <c r="A51" s="160"/>
      <c r="B51" s="94" t="str">
        <f>'R3'!B41</f>
        <v/>
      </c>
      <c r="C51" s="94" t="str">
        <f>'R3'!C41</f>
        <v/>
      </c>
      <c r="D51" s="94" t="str">
        <f>'R3'!D41</f>
        <v/>
      </c>
      <c r="E51" s="94" t="str">
        <f>'R3'!E41</f>
        <v/>
      </c>
      <c r="F51" s="94" t="str">
        <f>'R3'!F41</f>
        <v/>
      </c>
      <c r="G51" s="94" t="str">
        <f>'R3'!G41</f>
        <v/>
      </c>
      <c r="H51" s="94" t="str">
        <f>'R3'!H41</f>
        <v/>
      </c>
      <c r="I51" s="94" t="str">
        <f>'R3'!I41</f>
        <v/>
      </c>
      <c r="J51" s="94" t="str">
        <f>'R3'!J41</f>
        <v/>
      </c>
      <c r="K51" s="94" t="str">
        <f>'R3'!K41</f>
        <v/>
      </c>
      <c r="L51" s="94" t="str">
        <f>'R3'!L41</f>
        <v/>
      </c>
      <c r="M51" s="94" t="str">
        <f>'R3'!M41</f>
        <v/>
      </c>
      <c r="N51" s="94" t="e">
        <f>'R3'!#REF!</f>
        <v>#REF!</v>
      </c>
      <c r="O51" s="94" t="e">
        <f>'R3'!#REF!</f>
        <v>#REF!</v>
      </c>
      <c r="P51" s="94" t="e">
        <f>'R3'!#REF!</f>
        <v>#REF!</v>
      </c>
      <c r="Q51" s="94" t="e">
        <f>'R3'!#REF!</f>
        <v>#REF!</v>
      </c>
      <c r="R51" s="94" t="e">
        <f>'R3'!#REF!</f>
        <v>#REF!</v>
      </c>
      <c r="S51" s="94" t="e">
        <f>'R3'!#REF!</f>
        <v>#REF!</v>
      </c>
      <c r="T51" s="94" t="e">
        <f>'R3'!#REF!</f>
        <v>#REF!</v>
      </c>
      <c r="U51" s="94" t="e">
        <f>'R3'!#REF!</f>
        <v>#REF!</v>
      </c>
      <c r="V51" s="94" t="e">
        <f>'R3'!#REF!</f>
        <v>#REF!</v>
      </c>
      <c r="W51" s="94" t="e">
        <f>'R3'!#REF!</f>
        <v>#REF!</v>
      </c>
      <c r="X51" s="94" t="e">
        <f>'R3'!#REF!</f>
        <v>#REF!</v>
      </c>
      <c r="Y51" s="94" t="e">
        <f>'R3'!#REF!</f>
        <v>#REF!</v>
      </c>
      <c r="Z51" s="94" t="e">
        <f>'R3'!#REF!</f>
        <v>#REF!</v>
      </c>
      <c r="AA51" s="94" t="e">
        <f>'R3'!#REF!</f>
        <v>#REF!</v>
      </c>
      <c r="AB51" s="94" t="e">
        <f>'R3'!#REF!</f>
        <v>#REF!</v>
      </c>
      <c r="AC51" s="94" t="e">
        <f>'R3'!#REF!</f>
        <v>#REF!</v>
      </c>
      <c r="AD51"/>
      <c r="AE51" s="94">
        <f>'R3'!O41</f>
        <v>1.2928214557477911</v>
      </c>
      <c r="AF51" s="94" t="str">
        <f>'R3'!P41</f>
        <v/>
      </c>
      <c r="AG51" s="94" t="str">
        <f>'R3'!Q41</f>
        <v/>
      </c>
      <c r="AH51" s="94" t="str">
        <f>'R3'!R41</f>
        <v/>
      </c>
      <c r="AI51" s="94" t="str">
        <f>'R3'!S41</f>
        <v/>
      </c>
      <c r="AJ51" s="94" t="str">
        <f>'R3'!T41</f>
        <v/>
      </c>
      <c r="AK51" s="94" t="str">
        <f>'R3'!U41</f>
        <v/>
      </c>
      <c r="AL51" s="94" t="str">
        <f>'R3'!V41</f>
        <v/>
      </c>
      <c r="AM51" s="94" t="str">
        <f>'R3'!W41</f>
        <v/>
      </c>
      <c r="AN51" s="94" t="str">
        <f>'R3'!X41</f>
        <v/>
      </c>
      <c r="AO51" s="94" t="str">
        <f>'R3'!Y41</f>
        <v/>
      </c>
      <c r="AP51" s="94" t="str">
        <f>'R3'!Z41</f>
        <v/>
      </c>
      <c r="AQ51" s="94" t="str">
        <f>'R3'!AA41</f>
        <v/>
      </c>
      <c r="AR51" s="94" t="str">
        <f>'R3'!AB41</f>
        <v/>
      </c>
      <c r="AS51" s="94" t="str">
        <f>'R3'!AC41</f>
        <v/>
      </c>
      <c r="AT51" s="94" t="str">
        <f>'R3'!AD41</f>
        <v/>
      </c>
      <c r="AU51" s="94" t="str">
        <f>'R3'!AE41</f>
        <v/>
      </c>
      <c r="AV51" s="94" t="str">
        <f>'R3'!AF41</f>
        <v/>
      </c>
      <c r="AW51" s="94" t="str">
        <f>'R3'!AG41</f>
        <v/>
      </c>
      <c r="AX51" s="94" t="str">
        <f>'R3'!AH41</f>
        <v/>
      </c>
      <c r="AY51" s="94" t="str">
        <f>'R3'!AI41</f>
        <v/>
      </c>
      <c r="AZ51" s="94" t="str">
        <f>'R3'!AJ41</f>
        <v/>
      </c>
      <c r="BA51" s="94" t="str">
        <f>'R3'!AK41</f>
        <v/>
      </c>
    </row>
    <row r="52" spans="1:55" s="1" customFormat="1" x14ac:dyDescent="0.25">
      <c r="A52" s="160"/>
      <c r="B52" s="94" t="str">
        <f>'R3'!B42</f>
        <v/>
      </c>
      <c r="C52" s="94" t="str">
        <f>'R3'!C42</f>
        <v/>
      </c>
      <c r="D52" s="94" t="str">
        <f>'R3'!D42</f>
        <v/>
      </c>
      <c r="E52" s="94" t="str">
        <f>'R3'!E42</f>
        <v/>
      </c>
      <c r="F52" s="94" t="str">
        <f>'R3'!F42</f>
        <v/>
      </c>
      <c r="G52" s="94" t="str">
        <f>'R3'!G42</f>
        <v/>
      </c>
      <c r="H52" s="94" t="str">
        <f>'R3'!H42</f>
        <v/>
      </c>
      <c r="I52" s="94" t="str">
        <f>'R3'!I42</f>
        <v/>
      </c>
      <c r="J52" s="94" t="str">
        <f>'R3'!J42</f>
        <v/>
      </c>
      <c r="K52" s="94" t="str">
        <f>'R3'!K42</f>
        <v/>
      </c>
      <c r="L52" s="94" t="str">
        <f>'R3'!L42</f>
        <v/>
      </c>
      <c r="M52" s="94" t="str">
        <f>'R3'!M42</f>
        <v/>
      </c>
      <c r="N52" s="94" t="e">
        <f>'R3'!#REF!</f>
        <v>#REF!</v>
      </c>
      <c r="O52" s="94" t="e">
        <f>'R3'!#REF!</f>
        <v>#REF!</v>
      </c>
      <c r="P52" s="94" t="e">
        <f>'R3'!#REF!</f>
        <v>#REF!</v>
      </c>
      <c r="Q52" s="94" t="e">
        <f>'R3'!#REF!</f>
        <v>#REF!</v>
      </c>
      <c r="R52" s="94" t="e">
        <f>'R3'!#REF!</f>
        <v>#REF!</v>
      </c>
      <c r="S52" s="94" t="e">
        <f>'R3'!#REF!</f>
        <v>#REF!</v>
      </c>
      <c r="T52" s="94" t="e">
        <f>'R3'!#REF!</f>
        <v>#REF!</v>
      </c>
      <c r="U52" s="94" t="e">
        <f>'R3'!#REF!</f>
        <v>#REF!</v>
      </c>
      <c r="V52" s="94" t="e">
        <f>'R3'!#REF!</f>
        <v>#REF!</v>
      </c>
      <c r="W52" s="94" t="e">
        <f>'R3'!#REF!</f>
        <v>#REF!</v>
      </c>
      <c r="X52" s="94" t="e">
        <f>'R3'!#REF!</f>
        <v>#REF!</v>
      </c>
      <c r="Y52" s="94" t="e">
        <f>'R3'!#REF!</f>
        <v>#REF!</v>
      </c>
      <c r="Z52" s="94" t="e">
        <f>'R3'!#REF!</f>
        <v>#REF!</v>
      </c>
      <c r="AA52" s="94" t="e">
        <f>'R3'!#REF!</f>
        <v>#REF!</v>
      </c>
      <c r="AB52" s="94" t="e">
        <f>'R3'!#REF!</f>
        <v>#REF!</v>
      </c>
      <c r="AC52" s="94" t="e">
        <f>'R3'!#REF!</f>
        <v>#REF!</v>
      </c>
      <c r="AD52"/>
      <c r="AE52" s="94">
        <f>'R3'!O42</f>
        <v>0.75647975390014655</v>
      </c>
      <c r="AF52" s="94" t="str">
        <f>'R3'!P42</f>
        <v/>
      </c>
      <c r="AG52" s="94" t="str">
        <f>'R3'!Q42</f>
        <v/>
      </c>
      <c r="AH52" s="94" t="str">
        <f>'R3'!R42</f>
        <v/>
      </c>
      <c r="AI52" s="94" t="str">
        <f>'R3'!S42</f>
        <v/>
      </c>
      <c r="AJ52" s="94" t="str">
        <f>'R3'!T42</f>
        <v/>
      </c>
      <c r="AK52" s="94" t="str">
        <f>'R3'!U42</f>
        <v/>
      </c>
      <c r="AL52" s="94" t="str">
        <f>'R3'!V42</f>
        <v/>
      </c>
      <c r="AM52" s="94" t="str">
        <f>'R3'!W42</f>
        <v/>
      </c>
      <c r="AN52" s="94" t="str">
        <f>'R3'!X42</f>
        <v/>
      </c>
      <c r="AO52" s="94" t="str">
        <f>'R3'!Y42</f>
        <v/>
      </c>
      <c r="AP52" s="94" t="str">
        <f>'R3'!Z42</f>
        <v/>
      </c>
      <c r="AQ52" s="94" t="str">
        <f>'R3'!AA42</f>
        <v/>
      </c>
      <c r="AR52" s="94" t="str">
        <f>'R3'!AB42</f>
        <v/>
      </c>
      <c r="AS52" s="94" t="str">
        <f>'R3'!AC42</f>
        <v/>
      </c>
      <c r="AT52" s="94" t="str">
        <f>'R3'!AD42</f>
        <v/>
      </c>
      <c r="AU52" s="94" t="str">
        <f>'R3'!AE42</f>
        <v/>
      </c>
      <c r="AV52" s="94" t="str">
        <f>'R3'!AF42</f>
        <v/>
      </c>
      <c r="AW52" s="94" t="str">
        <f>'R3'!AG42</f>
        <v/>
      </c>
      <c r="AX52" s="94" t="str">
        <f>'R3'!AH42</f>
        <v/>
      </c>
      <c r="AY52" s="94" t="str">
        <f>'R3'!AI42</f>
        <v/>
      </c>
      <c r="AZ52" s="94" t="str">
        <f>'R3'!AJ42</f>
        <v/>
      </c>
      <c r="BA52" s="94" t="str">
        <f>'R3'!AK42</f>
        <v/>
      </c>
    </row>
    <row r="53" spans="1:55" s="1" customFormat="1" x14ac:dyDescent="0.25">
      <c r="A53" s="161"/>
      <c r="B53" s="94" t="str">
        <f>'R3'!B43</f>
        <v/>
      </c>
      <c r="C53" s="94" t="str">
        <f>'R3'!C43</f>
        <v/>
      </c>
      <c r="D53" s="94" t="str">
        <f>'R3'!D43</f>
        <v/>
      </c>
      <c r="E53" s="94" t="str">
        <f>'R3'!E43</f>
        <v/>
      </c>
      <c r="F53" s="94" t="str">
        <f>'R3'!F43</f>
        <v/>
      </c>
      <c r="G53" s="94" t="str">
        <f>'R3'!G43</f>
        <v/>
      </c>
      <c r="H53" s="94" t="str">
        <f>'R3'!H43</f>
        <v/>
      </c>
      <c r="I53" s="94" t="str">
        <f>'R3'!I43</f>
        <v/>
      </c>
      <c r="J53" s="94" t="str">
        <f>'R3'!J43</f>
        <v/>
      </c>
      <c r="K53" s="94" t="str">
        <f>'R3'!K43</f>
        <v/>
      </c>
      <c r="L53" s="94" t="str">
        <f>'R3'!L43</f>
        <v/>
      </c>
      <c r="M53" s="94" t="str">
        <f>'R3'!M43</f>
        <v/>
      </c>
      <c r="N53" s="94" t="e">
        <f>'R3'!#REF!</f>
        <v>#REF!</v>
      </c>
      <c r="O53" s="94" t="e">
        <f>'R3'!#REF!</f>
        <v>#REF!</v>
      </c>
      <c r="P53" s="94" t="e">
        <f>'R3'!#REF!</f>
        <v>#REF!</v>
      </c>
      <c r="Q53" s="94" t="e">
        <f>'R3'!#REF!</f>
        <v>#REF!</v>
      </c>
      <c r="R53" s="94" t="e">
        <f>'R3'!#REF!</f>
        <v>#REF!</v>
      </c>
      <c r="S53" s="94" t="e">
        <f>'R3'!#REF!</f>
        <v>#REF!</v>
      </c>
      <c r="T53" s="94" t="e">
        <f>'R3'!#REF!</f>
        <v>#REF!</v>
      </c>
      <c r="U53" s="94" t="e">
        <f>'R3'!#REF!</f>
        <v>#REF!</v>
      </c>
      <c r="V53" s="94" t="e">
        <f>'R3'!#REF!</f>
        <v>#REF!</v>
      </c>
      <c r="W53" s="94" t="e">
        <f>'R3'!#REF!</f>
        <v>#REF!</v>
      </c>
      <c r="X53" s="94" t="e">
        <f>'R3'!#REF!</f>
        <v>#REF!</v>
      </c>
      <c r="Y53" s="94" t="e">
        <f>'R3'!#REF!</f>
        <v>#REF!</v>
      </c>
      <c r="Z53" s="94" t="e">
        <f>'R3'!#REF!</f>
        <v>#REF!</v>
      </c>
      <c r="AA53" s="94" t="e">
        <f>'R3'!#REF!</f>
        <v>#REF!</v>
      </c>
      <c r="AB53" s="94" t="e">
        <f>'R3'!#REF!</f>
        <v>#REF!</v>
      </c>
      <c r="AC53" s="94" t="e">
        <f>'R3'!#REF!</f>
        <v>#REF!</v>
      </c>
      <c r="AD53"/>
      <c r="AE53" s="94">
        <f>'R3'!O43</f>
        <v>1.4924309672038367</v>
      </c>
      <c r="AF53" s="94" t="str">
        <f>'R3'!P43</f>
        <v/>
      </c>
      <c r="AG53" s="94" t="str">
        <f>'R3'!Q43</f>
        <v/>
      </c>
      <c r="AH53" s="94" t="str">
        <f>'R3'!R43</f>
        <v/>
      </c>
      <c r="AI53" s="94" t="str">
        <f>'R3'!S43</f>
        <v/>
      </c>
      <c r="AJ53" s="94" t="str">
        <f>'R3'!T43</f>
        <v/>
      </c>
      <c r="AK53" s="94" t="str">
        <f>'R3'!U43</f>
        <v/>
      </c>
      <c r="AL53" s="94" t="str">
        <f>'R3'!V43</f>
        <v/>
      </c>
      <c r="AM53" s="94" t="str">
        <f>'R3'!W43</f>
        <v/>
      </c>
      <c r="AN53" s="94" t="str">
        <f>'R3'!X43</f>
        <v/>
      </c>
      <c r="AO53" s="94" t="str">
        <f>'R3'!Y43</f>
        <v/>
      </c>
      <c r="AP53" s="94" t="str">
        <f>'R3'!Z43</f>
        <v/>
      </c>
      <c r="AQ53" s="94" t="str">
        <f>'R3'!AA43</f>
        <v/>
      </c>
      <c r="AR53" s="94" t="str">
        <f>'R3'!AB43</f>
        <v/>
      </c>
      <c r="AS53" s="94" t="str">
        <f>'R3'!AC43</f>
        <v/>
      </c>
      <c r="AT53" s="94" t="str">
        <f>'R3'!AD43</f>
        <v/>
      </c>
      <c r="AU53" s="94" t="str">
        <f>'R3'!AE43</f>
        <v/>
      </c>
      <c r="AV53" s="94" t="str">
        <f>'R3'!AF43</f>
        <v/>
      </c>
      <c r="AW53" s="94" t="str">
        <f>'R3'!AG43</f>
        <v/>
      </c>
      <c r="AX53" s="94" t="str">
        <f>'R3'!AH43</f>
        <v/>
      </c>
      <c r="AY53" s="94" t="str">
        <f>'R3'!AI43</f>
        <v/>
      </c>
      <c r="AZ53" s="94" t="str">
        <f>'R3'!AJ43</f>
        <v/>
      </c>
      <c r="BA53" s="94" t="str">
        <f>'R3'!AK43</f>
        <v/>
      </c>
    </row>
    <row r="54" spans="1:55" s="48" customFormat="1" x14ac:dyDescent="0.25">
      <c r="A54" s="46"/>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c r="AE54" s="47"/>
      <c r="AF54" s="47"/>
      <c r="AG54" s="47"/>
      <c r="AH54" s="47"/>
      <c r="AI54" s="47"/>
      <c r="AJ54" s="47"/>
      <c r="AK54" s="47"/>
      <c r="AL54" s="47"/>
      <c r="AM54" s="47"/>
      <c r="AN54" s="47"/>
      <c r="AO54" s="47"/>
      <c r="AP54" s="47"/>
      <c r="AQ54" s="47"/>
      <c r="AR54" s="47"/>
      <c r="AS54" s="47"/>
      <c r="AT54" s="47"/>
      <c r="AU54" s="47"/>
      <c r="AV54" s="47"/>
      <c r="AW54" s="47"/>
      <c r="AX54" s="47"/>
      <c r="AY54" s="47"/>
      <c r="AZ54" s="47"/>
      <c r="BA54" s="47"/>
    </row>
    <row r="55" spans="1:55" s="26" customFormat="1" x14ac:dyDescent="0.25">
      <c r="A55" s="26" t="s">
        <v>27</v>
      </c>
      <c r="B55" s="15" t="str">
        <f t="shared" ref="B55:AC55" si="0">B4</f>
        <v>Solvent control</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BPA-1mg/L</v>
      </c>
      <c r="J55" s="15" t="str">
        <f t="shared" si="0"/>
        <v>BPA-2mg/L</v>
      </c>
      <c r="K55" s="15" t="str">
        <f t="shared" si="0"/>
        <v>BPA-3mg/L</v>
      </c>
      <c r="L55" s="15" t="str">
        <f t="shared" si="0"/>
        <v>BPA-4mg/L</v>
      </c>
      <c r="M55" s="15" t="str">
        <f t="shared" si="0"/>
        <v>BPA-5mg/L</v>
      </c>
      <c r="N55" s="15" t="e">
        <f t="shared" si="0"/>
        <v>#REF!</v>
      </c>
      <c r="O55" s="15" t="e">
        <f t="shared" si="0"/>
        <v>#REF!</v>
      </c>
      <c r="P55" s="15" t="e">
        <f t="shared" si="0"/>
        <v>#REF!</v>
      </c>
      <c r="Q55" s="15" t="e">
        <f t="shared" si="0"/>
        <v>#REF!</v>
      </c>
      <c r="R55" s="15" t="e">
        <f t="shared" si="0"/>
        <v>#REF!</v>
      </c>
      <c r="S55" s="15" t="e">
        <f t="shared" si="0"/>
        <v>#REF!</v>
      </c>
      <c r="T55" s="15" t="e">
        <f t="shared" si="0"/>
        <v>#REF!</v>
      </c>
      <c r="U55" s="15" t="e">
        <f t="shared" si="0"/>
        <v>#REF!</v>
      </c>
      <c r="V55" s="15" t="e">
        <f t="shared" si="0"/>
        <v>#REF!</v>
      </c>
      <c r="W55" s="15" t="e">
        <f t="shared" si="0"/>
        <v>#REF!</v>
      </c>
      <c r="X55" s="15" t="e">
        <f t="shared" si="0"/>
        <v>#REF!</v>
      </c>
      <c r="Y55" s="15" t="e">
        <f t="shared" si="0"/>
        <v>#REF!</v>
      </c>
      <c r="Z55" s="15" t="e">
        <f t="shared" si="0"/>
        <v>#REF!</v>
      </c>
      <c r="AA55" s="15" t="e">
        <f t="shared" si="0"/>
        <v>#REF!</v>
      </c>
      <c r="AB55" s="15" t="e">
        <f t="shared" si="0"/>
        <v>#REF!</v>
      </c>
      <c r="AC55" s="15" t="e">
        <f t="shared" si="0"/>
        <v>#REF!</v>
      </c>
      <c r="AE55" s="15" t="str">
        <f t="shared" ref="AE55:AT55" si="1">AE4</f>
        <v>Testo -30µg/L</v>
      </c>
      <c r="AF55" s="15" t="str">
        <f t="shared" si="1"/>
        <v>Testo 30µg/L + EE2 -64ng/L</v>
      </c>
      <c r="AG55" s="15" t="str">
        <f t="shared" si="1"/>
        <v>Testo 30µg/L + FAD-10mg/L</v>
      </c>
      <c r="AH55" s="15" t="str">
        <f t="shared" si="1"/>
        <v>BPA-1mg/L + Testostérone</v>
      </c>
      <c r="AI55" s="15" t="str">
        <f t="shared" si="1"/>
        <v>BPA-2mg/L + Testostérone</v>
      </c>
      <c r="AJ55" s="15" t="str">
        <f t="shared" si="1"/>
        <v>BPA-3mg/L + Testostérone</v>
      </c>
      <c r="AK55" s="15" t="str">
        <f t="shared" si="1"/>
        <v>BPA-4mg/L + Testostérone</v>
      </c>
      <c r="AL55" s="15" t="str">
        <f t="shared" si="1"/>
        <v>BPA-5mg/L + Testostérone</v>
      </c>
      <c r="AM55" s="15" t="str">
        <f t="shared" si="1"/>
        <v>0-00 + Testostérone</v>
      </c>
      <c r="AN55" s="15" t="str">
        <f t="shared" si="1"/>
        <v>0-00 + Testostérone</v>
      </c>
      <c r="AO55" s="15" t="str">
        <f t="shared" si="1"/>
        <v>0-00 + Testostérone</v>
      </c>
      <c r="AP55" s="15" t="str">
        <f t="shared" si="1"/>
        <v>0-00 + Testostérone</v>
      </c>
      <c r="AQ55" s="15" t="str">
        <f t="shared" si="1"/>
        <v>0-00 + Testostérone</v>
      </c>
      <c r="AR55" s="15" t="str">
        <f t="shared" si="1"/>
        <v>0-00 + Testostérone</v>
      </c>
      <c r="AS55" s="15" t="str">
        <f t="shared" si="1"/>
        <v>0-00 + Testostérone</v>
      </c>
      <c r="AT55" s="15" t="str">
        <f t="shared" si="1"/>
        <v>0-00 + Testostérone</v>
      </c>
      <c r="AU55" s="15" t="str">
        <f t="shared" ref="AU55:BA55" si="2">AU4</f>
        <v>0-00 + Testostérone</v>
      </c>
      <c r="AV55" s="15" t="str">
        <f t="shared" si="2"/>
        <v>0-00 + Testostérone</v>
      </c>
      <c r="AW55" s="15" t="str">
        <f t="shared" si="2"/>
        <v>0-00 + Testostérone</v>
      </c>
      <c r="AX55" s="15" t="str">
        <f t="shared" si="2"/>
        <v>0-00 + Testostérone</v>
      </c>
      <c r="AY55" s="15" t="str">
        <f t="shared" si="2"/>
        <v>0-00 + Testostérone</v>
      </c>
      <c r="AZ55" s="15" t="str">
        <f t="shared" si="2"/>
        <v>0-00 + Testostérone</v>
      </c>
      <c r="BA55" s="15" t="str">
        <f t="shared" si="2"/>
        <v>0-00 + Testostérone</v>
      </c>
    </row>
    <row r="56" spans="1:55" x14ac:dyDescent="0.25">
      <c r="A56" t="s">
        <v>28</v>
      </c>
      <c r="B56" s="9">
        <f t="shared" ref="B56:AZ56" si="3">AVERAGE(B6:B53)</f>
        <v>2.5569526048697586E-2</v>
      </c>
      <c r="C56" s="9">
        <f t="shared" si="3"/>
        <v>2.4416922519859122E-2</v>
      </c>
      <c r="D56" s="9">
        <f t="shared" si="3"/>
        <v>3.351371238961242E-2</v>
      </c>
      <c r="E56" s="9">
        <f t="shared" si="3"/>
        <v>0.23576703252350975</v>
      </c>
      <c r="F56" s="9">
        <f t="shared" si="3"/>
        <v>0.48286332427910517</v>
      </c>
      <c r="G56" s="9">
        <f t="shared" si="3"/>
        <v>0.99122676545830846</v>
      </c>
      <c r="H56" s="9">
        <f t="shared" si="3"/>
        <v>2.1673757126034174</v>
      </c>
      <c r="I56" s="9">
        <f t="shared" si="3"/>
        <v>2.7959746467880034E-2</v>
      </c>
      <c r="J56" s="9">
        <f t="shared" si="3"/>
        <v>1.7637820169939703E-2</v>
      </c>
      <c r="K56" s="9">
        <f t="shared" si="3"/>
        <v>3.4276231092714278E-2</v>
      </c>
      <c r="L56" s="9">
        <f t="shared" si="3"/>
        <v>1.7974937729448637E-2</v>
      </c>
      <c r="M56" s="9">
        <f t="shared" si="3"/>
        <v>7.7591992952889738E-2</v>
      </c>
      <c r="N56" s="9" t="e">
        <f t="shared" si="3"/>
        <v>#REF!</v>
      </c>
      <c r="O56" s="9" t="e">
        <f t="shared" si="3"/>
        <v>#REF!</v>
      </c>
      <c r="P56" s="9" t="e">
        <f t="shared" si="3"/>
        <v>#REF!</v>
      </c>
      <c r="Q56" s="9" t="e">
        <f t="shared" si="3"/>
        <v>#REF!</v>
      </c>
      <c r="R56" s="9" t="e">
        <f t="shared" si="3"/>
        <v>#REF!</v>
      </c>
      <c r="S56" s="9" t="e">
        <f t="shared" si="3"/>
        <v>#REF!</v>
      </c>
      <c r="T56" s="9" t="e">
        <f t="shared" si="3"/>
        <v>#REF!</v>
      </c>
      <c r="U56" s="9" t="e">
        <f t="shared" si="3"/>
        <v>#REF!</v>
      </c>
      <c r="V56" s="9" t="e">
        <f t="shared" si="3"/>
        <v>#REF!</v>
      </c>
      <c r="W56" s="9" t="e">
        <f t="shared" si="3"/>
        <v>#REF!</v>
      </c>
      <c r="X56" s="9" t="e">
        <f t="shared" si="3"/>
        <v>#REF!</v>
      </c>
      <c r="Y56" s="9" t="e">
        <f t="shared" si="3"/>
        <v>#REF!</v>
      </c>
      <c r="Z56" s="9" t="e">
        <f t="shared" si="3"/>
        <v>#REF!</v>
      </c>
      <c r="AA56" s="9" t="e">
        <f t="shared" si="3"/>
        <v>#REF!</v>
      </c>
      <c r="AB56" s="9" t="e">
        <f t="shared" si="3"/>
        <v>#REF!</v>
      </c>
      <c r="AC56" s="9" t="e">
        <f t="shared" si="3"/>
        <v>#REF!</v>
      </c>
      <c r="AD56" s="9"/>
      <c r="AE56" s="9">
        <f t="shared" si="3"/>
        <v>1.0000000000000002</v>
      </c>
      <c r="AF56" s="9">
        <f t="shared" si="3"/>
        <v>1.6184408075671508</v>
      </c>
      <c r="AG56" s="9">
        <f t="shared" si="3"/>
        <v>4.0204269643502169E-2</v>
      </c>
      <c r="AH56" s="9">
        <f t="shared" si="3"/>
        <v>1.1460867424101353</v>
      </c>
      <c r="AI56" s="9">
        <f t="shared" si="3"/>
        <v>0.98391755999338393</v>
      </c>
      <c r="AJ56" s="9">
        <f t="shared" si="3"/>
        <v>1.1114875452785611</v>
      </c>
      <c r="AK56" s="9">
        <f t="shared" si="3"/>
        <v>1.5442264425039973</v>
      </c>
      <c r="AL56" s="9">
        <f t="shared" si="3"/>
        <v>1.8555161062995016</v>
      </c>
      <c r="AM56" s="9" t="e">
        <f t="shared" si="3"/>
        <v>#DIV/0!</v>
      </c>
      <c r="AN56" s="9" t="e">
        <f t="shared" si="3"/>
        <v>#DIV/0!</v>
      </c>
      <c r="AO56" s="9" t="e">
        <f t="shared" si="3"/>
        <v>#DIV/0!</v>
      </c>
      <c r="AP56" s="9" t="e">
        <f t="shared" si="3"/>
        <v>#DIV/0!</v>
      </c>
      <c r="AQ56" s="9" t="e">
        <f t="shared" si="3"/>
        <v>#DIV/0!</v>
      </c>
      <c r="AR56" s="9" t="e">
        <f t="shared" si="3"/>
        <v>#DIV/0!</v>
      </c>
      <c r="AS56" s="9" t="e">
        <f t="shared" si="3"/>
        <v>#DIV/0!</v>
      </c>
      <c r="AT56" s="9" t="e">
        <f t="shared" si="3"/>
        <v>#DIV/0!</v>
      </c>
      <c r="AU56" s="9" t="e">
        <f t="shared" si="3"/>
        <v>#DIV/0!</v>
      </c>
      <c r="AV56" s="9" t="e">
        <f t="shared" si="3"/>
        <v>#DIV/0!</v>
      </c>
      <c r="AW56" s="9" t="e">
        <f t="shared" si="3"/>
        <v>#DIV/0!</v>
      </c>
      <c r="AX56" s="9" t="e">
        <f t="shared" si="3"/>
        <v>#DIV/0!</v>
      </c>
      <c r="AY56" s="9" t="e">
        <f t="shared" si="3"/>
        <v>#DIV/0!</v>
      </c>
      <c r="AZ56" s="9" t="e">
        <f t="shared" si="3"/>
        <v>#DIV/0!</v>
      </c>
      <c r="BA56" s="9" t="e">
        <f>AVERAGE(BA6:BA53)</f>
        <v>#DIV/0!</v>
      </c>
    </row>
    <row r="57" spans="1:55" x14ac:dyDescent="0.25">
      <c r="A57" t="s">
        <v>1</v>
      </c>
      <c r="B57" s="3">
        <f>STDEV(B6:B53)</f>
        <v>3.4758138691172474E-2</v>
      </c>
      <c r="C57" s="3">
        <f t="shared" ref="C57:BA57" si="4">STDEV(C6:C53)</f>
        <v>5.1438585872625293E-2</v>
      </c>
      <c r="D57" s="3">
        <f t="shared" si="4"/>
        <v>5.4915974980552604E-2</v>
      </c>
      <c r="E57" s="3">
        <f t="shared" si="4"/>
        <v>0.4793300210271389</v>
      </c>
      <c r="F57" s="3">
        <f t="shared" si="4"/>
        <v>0.47649815125854988</v>
      </c>
      <c r="G57" s="3">
        <f t="shared" si="4"/>
        <v>0.51293377410023333</v>
      </c>
      <c r="H57" s="3">
        <f t="shared" si="4"/>
        <v>0.74725102581072611</v>
      </c>
      <c r="I57" s="3">
        <f t="shared" si="4"/>
        <v>4.7345422413554807E-2</v>
      </c>
      <c r="J57" s="3">
        <f t="shared" si="4"/>
        <v>3.2964767673453903E-2</v>
      </c>
      <c r="K57" s="3">
        <f t="shared" si="4"/>
        <v>4.6292082647052001E-2</v>
      </c>
      <c r="L57" s="3">
        <f t="shared" si="4"/>
        <v>3.7017440038571291E-2</v>
      </c>
      <c r="M57" s="3">
        <f t="shared" si="4"/>
        <v>0.17441216344233379</v>
      </c>
      <c r="N57" s="3" t="e">
        <f t="shared" si="4"/>
        <v>#REF!</v>
      </c>
      <c r="O57" s="3" t="e">
        <f t="shared" si="4"/>
        <v>#REF!</v>
      </c>
      <c r="P57" s="3" t="e">
        <f t="shared" si="4"/>
        <v>#REF!</v>
      </c>
      <c r="Q57" s="3" t="e">
        <f t="shared" si="4"/>
        <v>#REF!</v>
      </c>
      <c r="R57" s="3" t="e">
        <f t="shared" si="4"/>
        <v>#REF!</v>
      </c>
      <c r="S57" s="3" t="e">
        <f t="shared" si="4"/>
        <v>#REF!</v>
      </c>
      <c r="T57" s="3" t="e">
        <f t="shared" si="4"/>
        <v>#REF!</v>
      </c>
      <c r="U57" s="3" t="e">
        <f t="shared" si="4"/>
        <v>#REF!</v>
      </c>
      <c r="V57" s="3" t="e">
        <f t="shared" si="4"/>
        <v>#REF!</v>
      </c>
      <c r="W57" s="3" t="e">
        <f t="shared" si="4"/>
        <v>#REF!</v>
      </c>
      <c r="X57" s="3" t="e">
        <f t="shared" si="4"/>
        <v>#REF!</v>
      </c>
      <c r="Y57" s="3" t="e">
        <f t="shared" si="4"/>
        <v>#REF!</v>
      </c>
      <c r="Z57" s="3" t="e">
        <f t="shared" si="4"/>
        <v>#REF!</v>
      </c>
      <c r="AA57" s="3" t="e">
        <f t="shared" si="4"/>
        <v>#REF!</v>
      </c>
      <c r="AB57" s="3" t="e">
        <f t="shared" si="4"/>
        <v>#REF!</v>
      </c>
      <c r="AC57" s="3" t="e">
        <f t="shared" si="4"/>
        <v>#REF!</v>
      </c>
      <c r="AD57" s="3"/>
      <c r="AE57" s="3">
        <f t="shared" si="4"/>
        <v>0.57286169894514682</v>
      </c>
      <c r="AF57" s="3">
        <f t="shared" si="4"/>
        <v>0.74253290578342013</v>
      </c>
      <c r="AG57" s="3">
        <f t="shared" si="4"/>
        <v>6.9032824397919329E-2</v>
      </c>
      <c r="AH57" s="3">
        <f t="shared" si="4"/>
        <v>0.66206537967826118</v>
      </c>
      <c r="AI57" s="3">
        <f t="shared" si="4"/>
        <v>0.47772099434439941</v>
      </c>
      <c r="AJ57" s="3">
        <f t="shared" si="4"/>
        <v>0.51813155963262258</v>
      </c>
      <c r="AK57" s="3">
        <f t="shared" si="4"/>
        <v>0.59792883879749403</v>
      </c>
      <c r="AL57" s="3">
        <f t="shared" si="4"/>
        <v>0.64377333991934604</v>
      </c>
      <c r="AM57" s="3" t="e">
        <f t="shared" si="4"/>
        <v>#DIV/0!</v>
      </c>
      <c r="AN57" s="3" t="e">
        <f t="shared" si="4"/>
        <v>#DIV/0!</v>
      </c>
      <c r="AO57" s="3" t="e">
        <f t="shared" si="4"/>
        <v>#DIV/0!</v>
      </c>
      <c r="AP57" s="3" t="e">
        <f t="shared" si="4"/>
        <v>#DIV/0!</v>
      </c>
      <c r="AQ57" s="3" t="e">
        <f t="shared" si="4"/>
        <v>#DIV/0!</v>
      </c>
      <c r="AR57" s="3" t="e">
        <f t="shared" si="4"/>
        <v>#DIV/0!</v>
      </c>
      <c r="AS57" s="3" t="e">
        <f t="shared" si="4"/>
        <v>#DIV/0!</v>
      </c>
      <c r="AT57" s="3" t="e">
        <f t="shared" si="4"/>
        <v>#DIV/0!</v>
      </c>
      <c r="AU57" s="3" t="e">
        <f t="shared" si="4"/>
        <v>#DIV/0!</v>
      </c>
      <c r="AV57" s="3" t="e">
        <f t="shared" si="4"/>
        <v>#DIV/0!</v>
      </c>
      <c r="AW57" s="3" t="e">
        <f t="shared" si="4"/>
        <v>#DIV/0!</v>
      </c>
      <c r="AX57" s="3" t="e">
        <f t="shared" si="4"/>
        <v>#DIV/0!</v>
      </c>
      <c r="AY57" s="3" t="e">
        <f t="shared" si="4"/>
        <v>#DIV/0!</v>
      </c>
      <c r="AZ57" s="3" t="e">
        <f t="shared" si="4"/>
        <v>#DIV/0!</v>
      </c>
      <c r="BA57" s="3" t="e">
        <f t="shared" si="4"/>
        <v>#DIV/0!</v>
      </c>
      <c r="BB57" s="3"/>
      <c r="BC57" s="3"/>
    </row>
    <row r="58" spans="1:55" x14ac:dyDescent="0.25">
      <c r="A58" t="s">
        <v>2</v>
      </c>
      <c r="B58" s="3">
        <f xml:space="preserve"> B57/SQRT(COUNT(B6:B53))</f>
        <v>7.0949753501885083E-3</v>
      </c>
      <c r="C58" s="3">
        <f t="shared" ref="C58:BA58" si="5" xml:space="preserve"> C57/SQRT(COUNT(C6:C53))</f>
        <v>1.0499857373188946E-2</v>
      </c>
      <c r="D58" s="3">
        <f t="shared" si="5"/>
        <v>1.1209676452483438E-2</v>
      </c>
      <c r="E58" s="3">
        <f t="shared" si="5"/>
        <v>9.7842830826168486E-2</v>
      </c>
      <c r="F58" s="3">
        <f t="shared" si="5"/>
        <v>9.7264777830247118E-2</v>
      </c>
      <c r="G58" s="3">
        <f t="shared" si="5"/>
        <v>0.10470216819879878</v>
      </c>
      <c r="H58" s="3">
        <f t="shared" si="5"/>
        <v>0.15253197691729847</v>
      </c>
      <c r="I58" s="3">
        <f t="shared" si="5"/>
        <v>9.8722030128470754E-3</v>
      </c>
      <c r="J58" s="3">
        <f t="shared" si="5"/>
        <v>6.7289050241129862E-3</v>
      </c>
      <c r="K58" s="3">
        <f t="shared" si="5"/>
        <v>9.4493318013354199E-3</v>
      </c>
      <c r="L58" s="3">
        <f t="shared" si="5"/>
        <v>7.7186698195355922E-3</v>
      </c>
      <c r="M58" s="3">
        <f t="shared" si="5"/>
        <v>3.6367450064604991E-2</v>
      </c>
      <c r="N58" s="3" t="e">
        <f t="shared" si="5"/>
        <v>#REF!</v>
      </c>
      <c r="O58" s="3" t="e">
        <f t="shared" si="5"/>
        <v>#REF!</v>
      </c>
      <c r="P58" s="3" t="e">
        <f t="shared" si="5"/>
        <v>#REF!</v>
      </c>
      <c r="Q58" s="3" t="e">
        <f t="shared" si="5"/>
        <v>#REF!</v>
      </c>
      <c r="R58" s="3" t="e">
        <f t="shared" si="5"/>
        <v>#REF!</v>
      </c>
      <c r="S58" s="3" t="e">
        <f t="shared" si="5"/>
        <v>#REF!</v>
      </c>
      <c r="T58" s="3" t="e">
        <f t="shared" si="5"/>
        <v>#REF!</v>
      </c>
      <c r="U58" s="3" t="e">
        <f t="shared" si="5"/>
        <v>#REF!</v>
      </c>
      <c r="V58" s="3" t="e">
        <f t="shared" si="5"/>
        <v>#REF!</v>
      </c>
      <c r="W58" s="3" t="e">
        <f t="shared" si="5"/>
        <v>#REF!</v>
      </c>
      <c r="X58" s="3" t="e">
        <f t="shared" si="5"/>
        <v>#REF!</v>
      </c>
      <c r="Y58" s="3" t="e">
        <f t="shared" si="5"/>
        <v>#REF!</v>
      </c>
      <c r="Z58" s="3" t="e">
        <f t="shared" si="5"/>
        <v>#REF!</v>
      </c>
      <c r="AA58" s="3" t="e">
        <f t="shared" si="5"/>
        <v>#REF!</v>
      </c>
      <c r="AB58" s="3" t="e">
        <f t="shared" si="5"/>
        <v>#REF!</v>
      </c>
      <c r="AC58" s="3" t="e">
        <f t="shared" si="5"/>
        <v>#REF!</v>
      </c>
      <c r="AD58" s="3"/>
      <c r="AE58" s="3">
        <f t="shared" si="5"/>
        <v>8.2685464023601718E-2</v>
      </c>
      <c r="AF58" s="3">
        <f t="shared" si="5"/>
        <v>0.15156889469962298</v>
      </c>
      <c r="AG58" s="3">
        <f t="shared" si="5"/>
        <v>1.4091266273171312E-2</v>
      </c>
      <c r="AH58" s="3">
        <f t="shared" si="5"/>
        <v>0.13514352971447927</v>
      </c>
      <c r="AI58" s="3">
        <f t="shared" si="5"/>
        <v>9.7514389629898918E-2</v>
      </c>
      <c r="AJ58" s="3">
        <f t="shared" si="5"/>
        <v>0.10576316172769665</v>
      </c>
      <c r="AK58" s="3">
        <f t="shared" si="5"/>
        <v>0.12747885676130405</v>
      </c>
      <c r="AL58" s="3">
        <f t="shared" si="5"/>
        <v>0.13140968273414222</v>
      </c>
      <c r="AM58" s="3" t="e">
        <f t="shared" si="5"/>
        <v>#DIV/0!</v>
      </c>
      <c r="AN58" s="3" t="e">
        <f t="shared" si="5"/>
        <v>#DIV/0!</v>
      </c>
      <c r="AO58" s="3" t="e">
        <f t="shared" si="5"/>
        <v>#DIV/0!</v>
      </c>
      <c r="AP58" s="3" t="e">
        <f t="shared" si="5"/>
        <v>#DIV/0!</v>
      </c>
      <c r="AQ58" s="3" t="e">
        <f t="shared" si="5"/>
        <v>#DIV/0!</v>
      </c>
      <c r="AR58" s="3" t="e">
        <f t="shared" si="5"/>
        <v>#DIV/0!</v>
      </c>
      <c r="AS58" s="3" t="e">
        <f t="shared" si="5"/>
        <v>#DIV/0!</v>
      </c>
      <c r="AT58" s="3" t="e">
        <f t="shared" si="5"/>
        <v>#DIV/0!</v>
      </c>
      <c r="AU58" s="3" t="e">
        <f t="shared" si="5"/>
        <v>#DIV/0!</v>
      </c>
      <c r="AV58" s="3" t="e">
        <f t="shared" si="5"/>
        <v>#DIV/0!</v>
      </c>
      <c r="AW58" s="3" t="e">
        <f t="shared" si="5"/>
        <v>#DIV/0!</v>
      </c>
      <c r="AX58" s="3" t="e">
        <f t="shared" si="5"/>
        <v>#DIV/0!</v>
      </c>
      <c r="AY58" s="3" t="e">
        <f t="shared" si="5"/>
        <v>#DIV/0!</v>
      </c>
      <c r="AZ58" s="3" t="e">
        <f t="shared" si="5"/>
        <v>#DIV/0!</v>
      </c>
      <c r="BA58" s="3" t="e">
        <f t="shared" si="5"/>
        <v>#DIV/0!</v>
      </c>
      <c r="BB58" s="3"/>
      <c r="BC58" s="3"/>
    </row>
    <row r="59" spans="1:55" s="1" customFormat="1" ht="15.75" thickBot="1" x14ac:dyDescent="0.3">
      <c r="B59" s="3"/>
      <c r="C59" s="3"/>
      <c r="D59" s="3"/>
      <c r="E59" s="3"/>
      <c r="F59" s="3"/>
      <c r="G59" s="3"/>
      <c r="H59" s="3"/>
      <c r="I59" s="3"/>
      <c r="J59" s="3"/>
      <c r="K59" s="3"/>
      <c r="L59" s="3"/>
      <c r="M59" s="3"/>
      <c r="N59" s="3"/>
      <c r="O59" s="3"/>
      <c r="P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row>
    <row r="60" spans="1:55" s="33" customFormat="1" ht="27" thickBot="1" x14ac:dyDescent="0.3">
      <c r="A60" s="162" t="s">
        <v>26</v>
      </c>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4"/>
    </row>
    <row r="61" spans="1:55" s="1" customFormat="1" x14ac:dyDescent="0.25">
      <c r="B61" s="3"/>
      <c r="C61" s="3"/>
      <c r="D61" s="3"/>
      <c r="E61" s="3"/>
      <c r="F61" s="3"/>
      <c r="G61" s="3"/>
      <c r="H61" s="3"/>
      <c r="I61" s="3"/>
      <c r="J61" s="3"/>
      <c r="K61" s="3"/>
      <c r="L61" s="3"/>
      <c r="M61" s="3"/>
      <c r="N61" s="3"/>
      <c r="O61" s="3"/>
      <c r="P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row>
    <row r="62" spans="1:55" s="1" customFormat="1" x14ac:dyDescent="0.25">
      <c r="A62" s="1" t="s">
        <v>27</v>
      </c>
      <c r="B62" s="3" t="str">
        <f t="shared" ref="B62" si="6">B4</f>
        <v>Solvent control</v>
      </c>
      <c r="C62" s="3" t="str">
        <f t="shared" ref="C62:BA62" si="7">C4</f>
        <v>EE2-33.8ng/L</v>
      </c>
      <c r="D62" s="3" t="str">
        <f t="shared" si="7"/>
        <v>EE2-50.6ng/L</v>
      </c>
      <c r="E62" s="3" t="str">
        <f t="shared" si="7"/>
        <v>EE2-76ng/L</v>
      </c>
      <c r="F62" s="3" t="str">
        <f t="shared" si="7"/>
        <v>EE2-114ng/L</v>
      </c>
      <c r="G62" s="3" t="str">
        <f t="shared" si="7"/>
        <v>EE2-170.9ng/L</v>
      </c>
      <c r="H62" s="3" t="str">
        <f t="shared" si="7"/>
        <v>EE2-488ng/L</v>
      </c>
      <c r="I62" s="3" t="str">
        <f t="shared" si="7"/>
        <v>BPA-1mg/L</v>
      </c>
      <c r="J62" s="3" t="str">
        <f t="shared" si="7"/>
        <v>BPA-2mg/L</v>
      </c>
      <c r="K62" s="3" t="str">
        <f t="shared" si="7"/>
        <v>BPA-3mg/L</v>
      </c>
      <c r="L62" s="3" t="str">
        <f t="shared" si="7"/>
        <v>BPA-4mg/L</v>
      </c>
      <c r="M62" s="3" t="str">
        <f t="shared" si="7"/>
        <v>BPA-5mg/L</v>
      </c>
      <c r="N62" s="3" t="e">
        <f t="shared" si="7"/>
        <v>#REF!</v>
      </c>
      <c r="O62" s="3" t="e">
        <f t="shared" si="7"/>
        <v>#REF!</v>
      </c>
      <c r="P62" s="3" t="e">
        <f t="shared" si="7"/>
        <v>#REF!</v>
      </c>
      <c r="Q62" s="3" t="e">
        <f t="shared" si="7"/>
        <v>#REF!</v>
      </c>
      <c r="R62" s="3" t="e">
        <f t="shared" si="7"/>
        <v>#REF!</v>
      </c>
      <c r="S62" s="3" t="e">
        <f t="shared" si="7"/>
        <v>#REF!</v>
      </c>
      <c r="T62" s="3" t="e">
        <f t="shared" si="7"/>
        <v>#REF!</v>
      </c>
      <c r="U62" s="3" t="e">
        <f t="shared" si="7"/>
        <v>#REF!</v>
      </c>
      <c r="V62" s="3" t="e">
        <f t="shared" si="7"/>
        <v>#REF!</v>
      </c>
      <c r="W62" s="3" t="e">
        <f t="shared" si="7"/>
        <v>#REF!</v>
      </c>
      <c r="X62" s="3" t="e">
        <f t="shared" si="7"/>
        <v>#REF!</v>
      </c>
      <c r="Y62" s="3" t="e">
        <f t="shared" si="7"/>
        <v>#REF!</v>
      </c>
      <c r="Z62" s="3" t="e">
        <f t="shared" si="7"/>
        <v>#REF!</v>
      </c>
      <c r="AA62" s="3" t="e">
        <f t="shared" si="7"/>
        <v>#REF!</v>
      </c>
      <c r="AB62" s="3" t="e">
        <f t="shared" si="7"/>
        <v>#REF!</v>
      </c>
      <c r="AC62" s="3" t="e">
        <f t="shared" si="7"/>
        <v>#REF!</v>
      </c>
      <c r="AD62" s="3"/>
      <c r="AE62" s="3" t="str">
        <f t="shared" si="7"/>
        <v>Testo -30µg/L</v>
      </c>
      <c r="AF62" s="3" t="str">
        <f t="shared" si="7"/>
        <v>Testo 30µg/L + EE2 -64ng/L</v>
      </c>
      <c r="AG62" s="3" t="str">
        <f t="shared" si="7"/>
        <v>Testo 30µg/L + FAD-10mg/L</v>
      </c>
      <c r="AH62" s="3" t="str">
        <f t="shared" si="7"/>
        <v>BPA-1mg/L + Testostérone</v>
      </c>
      <c r="AI62" s="3" t="str">
        <f t="shared" si="7"/>
        <v>BPA-2mg/L + Testostérone</v>
      </c>
      <c r="AJ62" s="3" t="str">
        <f t="shared" si="7"/>
        <v>BPA-3mg/L + Testostérone</v>
      </c>
      <c r="AK62" s="3" t="str">
        <f t="shared" si="7"/>
        <v>BPA-4mg/L + Testostérone</v>
      </c>
      <c r="AL62" s="3" t="str">
        <f t="shared" si="7"/>
        <v>BPA-5mg/L + Testostérone</v>
      </c>
      <c r="AM62" s="3" t="str">
        <f t="shared" si="7"/>
        <v>0-00 + Testostérone</v>
      </c>
      <c r="AN62" s="3" t="str">
        <f t="shared" si="7"/>
        <v>0-00 + Testostérone</v>
      </c>
      <c r="AO62" s="3" t="str">
        <f t="shared" si="7"/>
        <v>0-00 + Testostérone</v>
      </c>
      <c r="AP62" s="3" t="str">
        <f t="shared" si="7"/>
        <v>0-00 + Testostérone</v>
      </c>
      <c r="AQ62" s="3" t="str">
        <f t="shared" si="7"/>
        <v>0-00 + Testostérone</v>
      </c>
      <c r="AR62" s="3" t="str">
        <f t="shared" si="7"/>
        <v>0-00 + Testostérone</v>
      </c>
      <c r="AS62" s="3" t="str">
        <f t="shared" si="7"/>
        <v>0-00 + Testostérone</v>
      </c>
      <c r="AT62" s="3" t="str">
        <f t="shared" si="7"/>
        <v>0-00 + Testostérone</v>
      </c>
      <c r="AU62" s="3" t="str">
        <f t="shared" si="7"/>
        <v>0-00 + Testostérone</v>
      </c>
      <c r="AV62" s="3" t="str">
        <f t="shared" si="7"/>
        <v>0-00 + Testostérone</v>
      </c>
      <c r="AW62" s="3" t="str">
        <f t="shared" si="7"/>
        <v>0-00 + Testostérone</v>
      </c>
      <c r="AX62" s="3" t="str">
        <f t="shared" si="7"/>
        <v>0-00 + Testostérone</v>
      </c>
      <c r="AY62" s="3" t="str">
        <f t="shared" si="7"/>
        <v>0-00 + Testostérone</v>
      </c>
      <c r="AZ62" s="3" t="str">
        <f t="shared" si="7"/>
        <v>0-00 + Testostérone</v>
      </c>
      <c r="BA62" s="3" t="str">
        <f t="shared" si="7"/>
        <v>0-00 + Testostérone</v>
      </c>
    </row>
    <row r="63" spans="1:55" s="1" customFormat="1" x14ac:dyDescent="0.25">
      <c r="A63" s="1" t="s">
        <v>29</v>
      </c>
      <c r="B63" s="3">
        <f>COUNT(B6:B53)</f>
        <v>24</v>
      </c>
      <c r="C63" s="3">
        <f t="shared" ref="C63:AZ63" si="8">COUNT(C6:C53)</f>
        <v>24</v>
      </c>
      <c r="D63" s="3">
        <f t="shared" si="8"/>
        <v>24</v>
      </c>
      <c r="E63" s="3">
        <f t="shared" si="8"/>
        <v>24</v>
      </c>
      <c r="F63" s="3">
        <f t="shared" si="8"/>
        <v>24</v>
      </c>
      <c r="G63" s="3">
        <f t="shared" si="8"/>
        <v>24</v>
      </c>
      <c r="H63" s="3">
        <f t="shared" si="8"/>
        <v>24</v>
      </c>
      <c r="I63" s="3">
        <f t="shared" si="8"/>
        <v>23</v>
      </c>
      <c r="J63" s="3">
        <f t="shared" si="8"/>
        <v>24</v>
      </c>
      <c r="K63" s="3">
        <f t="shared" si="8"/>
        <v>24</v>
      </c>
      <c r="L63" s="3">
        <f t="shared" si="8"/>
        <v>23</v>
      </c>
      <c r="M63" s="3">
        <f t="shared" si="8"/>
        <v>23</v>
      </c>
      <c r="N63" s="3">
        <f t="shared" si="8"/>
        <v>0</v>
      </c>
      <c r="O63" s="3">
        <f t="shared" si="8"/>
        <v>0</v>
      </c>
      <c r="P63" s="3">
        <f t="shared" si="8"/>
        <v>0</v>
      </c>
      <c r="Q63" s="3">
        <f t="shared" si="8"/>
        <v>0</v>
      </c>
      <c r="R63" s="3">
        <f t="shared" si="8"/>
        <v>0</v>
      </c>
      <c r="S63" s="3">
        <f t="shared" si="8"/>
        <v>0</v>
      </c>
      <c r="T63" s="3">
        <f t="shared" si="8"/>
        <v>0</v>
      </c>
      <c r="U63" s="3">
        <f t="shared" si="8"/>
        <v>0</v>
      </c>
      <c r="V63" s="3">
        <f t="shared" si="8"/>
        <v>0</v>
      </c>
      <c r="W63" s="3">
        <f t="shared" si="8"/>
        <v>0</v>
      </c>
      <c r="X63" s="3">
        <f t="shared" si="8"/>
        <v>0</v>
      </c>
      <c r="Y63" s="3">
        <f t="shared" si="8"/>
        <v>0</v>
      </c>
      <c r="Z63" s="3">
        <f t="shared" si="8"/>
        <v>0</v>
      </c>
      <c r="AA63" s="3">
        <f t="shared" si="8"/>
        <v>0</v>
      </c>
      <c r="AB63" s="3">
        <f t="shared" si="8"/>
        <v>0</v>
      </c>
      <c r="AC63" s="3">
        <f t="shared" si="8"/>
        <v>0</v>
      </c>
      <c r="AD63" s="3"/>
      <c r="AE63" s="3">
        <f t="shared" si="8"/>
        <v>48</v>
      </c>
      <c r="AF63" s="3">
        <f t="shared" si="8"/>
        <v>24</v>
      </c>
      <c r="AG63" s="3">
        <f t="shared" si="8"/>
        <v>24</v>
      </c>
      <c r="AH63" s="3">
        <f t="shared" si="8"/>
        <v>24</v>
      </c>
      <c r="AI63" s="3">
        <f t="shared" si="8"/>
        <v>24</v>
      </c>
      <c r="AJ63" s="3">
        <f t="shared" si="8"/>
        <v>24</v>
      </c>
      <c r="AK63" s="3">
        <f t="shared" si="8"/>
        <v>22</v>
      </c>
      <c r="AL63" s="3">
        <f t="shared" si="8"/>
        <v>24</v>
      </c>
      <c r="AM63" s="3">
        <f t="shared" si="8"/>
        <v>0</v>
      </c>
      <c r="AN63" s="3">
        <f t="shared" si="8"/>
        <v>0</v>
      </c>
      <c r="AO63" s="3">
        <f t="shared" si="8"/>
        <v>0</v>
      </c>
      <c r="AP63" s="3">
        <f t="shared" si="8"/>
        <v>0</v>
      </c>
      <c r="AQ63" s="3">
        <f t="shared" si="8"/>
        <v>0</v>
      </c>
      <c r="AR63" s="3">
        <f t="shared" si="8"/>
        <v>0</v>
      </c>
      <c r="AS63" s="3">
        <f t="shared" si="8"/>
        <v>0</v>
      </c>
      <c r="AT63" s="3">
        <f t="shared" si="8"/>
        <v>0</v>
      </c>
      <c r="AU63" s="3">
        <f t="shared" si="8"/>
        <v>0</v>
      </c>
      <c r="AV63" s="3">
        <f t="shared" si="8"/>
        <v>0</v>
      </c>
      <c r="AW63" s="3">
        <f t="shared" si="8"/>
        <v>0</v>
      </c>
      <c r="AX63" s="3">
        <f t="shared" si="8"/>
        <v>0</v>
      </c>
      <c r="AY63" s="3">
        <f t="shared" si="8"/>
        <v>0</v>
      </c>
      <c r="AZ63" s="3">
        <f t="shared" si="8"/>
        <v>0</v>
      </c>
      <c r="BA63" s="3">
        <f>COUNT(BA6:BA53)</f>
        <v>0</v>
      </c>
    </row>
    <row r="64" spans="1:55" s="1" customFormat="1" ht="15.75" thickBot="1" x14ac:dyDescent="0.3">
      <c r="B64" s="3" t="str">
        <f>IF(B63&gt;=21,"OK","ATTENTION")</f>
        <v>OK</v>
      </c>
      <c r="C64" s="3" t="str">
        <f t="shared" ref="C64:BA64" si="9">IF(C63&gt;=21,"OK","ATTENTION")</f>
        <v>OK</v>
      </c>
      <c r="D64" s="3" t="str">
        <f t="shared" si="9"/>
        <v>OK</v>
      </c>
      <c r="E64" s="3" t="str">
        <f t="shared" si="9"/>
        <v>OK</v>
      </c>
      <c r="F64" s="3" t="str">
        <f t="shared" si="9"/>
        <v>OK</v>
      </c>
      <c r="G64" s="3" t="str">
        <f t="shared" si="9"/>
        <v>OK</v>
      </c>
      <c r="H64" s="3" t="str">
        <f t="shared" si="9"/>
        <v>OK</v>
      </c>
      <c r="I64" s="3" t="str">
        <f t="shared" si="9"/>
        <v>OK</v>
      </c>
      <c r="J64" s="3" t="str">
        <f t="shared" si="9"/>
        <v>OK</v>
      </c>
      <c r="K64" s="3" t="str">
        <f t="shared" si="9"/>
        <v>OK</v>
      </c>
      <c r="L64" s="3" t="str">
        <f t="shared" si="9"/>
        <v>OK</v>
      </c>
      <c r="M64" s="3" t="str">
        <f t="shared" si="9"/>
        <v>OK</v>
      </c>
      <c r="N64" s="3" t="str">
        <f t="shared" si="9"/>
        <v>ATTENTION</v>
      </c>
      <c r="O64" s="3" t="str">
        <f t="shared" si="9"/>
        <v>ATTENTION</v>
      </c>
      <c r="P64" s="3" t="str">
        <f t="shared" si="9"/>
        <v>ATTENTION</v>
      </c>
      <c r="Q64" s="3" t="str">
        <f t="shared" si="9"/>
        <v>ATTENTION</v>
      </c>
      <c r="R64" s="3" t="str">
        <f t="shared" si="9"/>
        <v>ATTENTION</v>
      </c>
      <c r="S64" s="3" t="str">
        <f t="shared" si="9"/>
        <v>ATTENTION</v>
      </c>
      <c r="T64" s="3" t="str">
        <f t="shared" si="9"/>
        <v>ATTENTION</v>
      </c>
      <c r="U64" s="3" t="str">
        <f t="shared" si="9"/>
        <v>ATTENTION</v>
      </c>
      <c r="V64" s="3" t="str">
        <f t="shared" si="9"/>
        <v>ATTENTION</v>
      </c>
      <c r="W64" s="3" t="str">
        <f t="shared" si="9"/>
        <v>ATTENTION</v>
      </c>
      <c r="X64" s="3" t="str">
        <f t="shared" si="9"/>
        <v>ATTENTION</v>
      </c>
      <c r="Y64" s="3" t="str">
        <f t="shared" si="9"/>
        <v>ATTENTION</v>
      </c>
      <c r="Z64" s="3" t="str">
        <f t="shared" si="9"/>
        <v>ATTENTION</v>
      </c>
      <c r="AA64" s="3" t="str">
        <f t="shared" si="9"/>
        <v>ATTENTION</v>
      </c>
      <c r="AB64" s="3" t="str">
        <f t="shared" si="9"/>
        <v>ATTENTION</v>
      </c>
      <c r="AC64" s="3" t="str">
        <f t="shared" si="9"/>
        <v>ATTENTION</v>
      </c>
      <c r="AD64" s="3"/>
      <c r="AE64" s="3" t="str">
        <f>IF(AE63&gt;=41,"OK","ATTENTION")</f>
        <v>OK</v>
      </c>
      <c r="AF64" s="3" t="str">
        <f t="shared" si="9"/>
        <v>OK</v>
      </c>
      <c r="AG64" s="3" t="str">
        <f t="shared" si="9"/>
        <v>OK</v>
      </c>
      <c r="AH64" s="3" t="str">
        <f t="shared" si="9"/>
        <v>OK</v>
      </c>
      <c r="AI64" s="3" t="str">
        <f t="shared" si="9"/>
        <v>OK</v>
      </c>
      <c r="AJ64" s="3" t="str">
        <f t="shared" si="9"/>
        <v>OK</v>
      </c>
      <c r="AK64" s="3" t="str">
        <f t="shared" si="9"/>
        <v>OK</v>
      </c>
      <c r="AL64" s="3" t="str">
        <f t="shared" si="9"/>
        <v>OK</v>
      </c>
      <c r="AM64" s="3" t="str">
        <f t="shared" si="9"/>
        <v>ATTENTION</v>
      </c>
      <c r="AN64" s="3" t="str">
        <f t="shared" si="9"/>
        <v>ATTENTION</v>
      </c>
      <c r="AO64" s="3" t="str">
        <f t="shared" si="9"/>
        <v>ATTENTION</v>
      </c>
      <c r="AP64" s="3" t="str">
        <f t="shared" si="9"/>
        <v>ATTENTION</v>
      </c>
      <c r="AQ64" s="3" t="str">
        <f t="shared" si="9"/>
        <v>ATTENTION</v>
      </c>
      <c r="AR64" s="3" t="str">
        <f t="shared" si="9"/>
        <v>ATTENTION</v>
      </c>
      <c r="AS64" s="3" t="str">
        <f t="shared" si="9"/>
        <v>ATTENTION</v>
      </c>
      <c r="AT64" s="3" t="str">
        <f t="shared" si="9"/>
        <v>ATTENTION</v>
      </c>
      <c r="AU64" s="3" t="str">
        <f t="shared" si="9"/>
        <v>ATTENTION</v>
      </c>
      <c r="AV64" s="3" t="str">
        <f t="shared" si="9"/>
        <v>ATTENTION</v>
      </c>
      <c r="AW64" s="3" t="str">
        <f t="shared" si="9"/>
        <v>ATTENTION</v>
      </c>
      <c r="AX64" s="3" t="str">
        <f t="shared" si="9"/>
        <v>ATTENTION</v>
      </c>
      <c r="AY64" s="3" t="str">
        <f t="shared" si="9"/>
        <v>ATTENTION</v>
      </c>
      <c r="AZ64" s="3" t="str">
        <f t="shared" si="9"/>
        <v>ATTENTION</v>
      </c>
      <c r="BA64" s="3" t="str">
        <f t="shared" si="9"/>
        <v>ATTENTION</v>
      </c>
    </row>
    <row r="65" spans="1:53" s="33" customFormat="1" ht="27" thickBot="1" x14ac:dyDescent="0.3">
      <c r="A65" s="162" t="s">
        <v>37</v>
      </c>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4"/>
    </row>
    <row r="66" spans="1:53" s="1" customFormat="1" x14ac:dyDescent="0.25">
      <c r="B66" s="1" t="s">
        <v>39</v>
      </c>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row>
    <row r="67" spans="1:53" s="1" customFormat="1" x14ac:dyDescent="0.25">
      <c r="A67" s="1" t="s">
        <v>38</v>
      </c>
      <c r="B67" s="3">
        <v>3.5</v>
      </c>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row>
    <row r="68" spans="1:53" s="1" customFormat="1" x14ac:dyDescent="0.25">
      <c r="A68" s="1" t="s">
        <v>40</v>
      </c>
      <c r="B68" s="3">
        <v>2</v>
      </c>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row>
    <row r="69" spans="1:53" s="1" customFormat="1" ht="15.75" thickBot="1" x14ac:dyDescent="0.3">
      <c r="A69" s="1" t="s">
        <v>41</v>
      </c>
      <c r="B69" s="3">
        <v>0.5</v>
      </c>
      <c r="C69" s="3"/>
      <c r="D69" s="3"/>
      <c r="E69" s="3"/>
      <c r="F69" s="3"/>
      <c r="G69" s="3"/>
      <c r="H69" s="3"/>
      <c r="I69" s="3"/>
      <c r="J69" s="3"/>
      <c r="K69" s="3"/>
      <c r="L69" s="3"/>
      <c r="M69" s="3"/>
      <c r="N69" s="3"/>
      <c r="O69" s="3"/>
      <c r="P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row>
    <row r="70" spans="1:53" s="33" customFormat="1" ht="27" thickBot="1" x14ac:dyDescent="0.3">
      <c r="A70" s="162" t="s">
        <v>32</v>
      </c>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c r="AA70" s="163"/>
      <c r="AB70" s="163"/>
      <c r="AC70" s="163"/>
      <c r="AD70" s="163"/>
      <c r="AE70" s="163"/>
      <c r="AF70" s="163"/>
      <c r="AG70" s="163"/>
      <c r="AH70" s="163"/>
      <c r="AI70" s="163"/>
      <c r="AJ70" s="163"/>
      <c r="AK70" s="163"/>
      <c r="AL70" s="163"/>
      <c r="AM70" s="163"/>
      <c r="AN70" s="163"/>
      <c r="AO70" s="163"/>
      <c r="AP70" s="163"/>
      <c r="AQ70" s="163"/>
      <c r="AR70" s="163"/>
      <c r="AS70" s="163"/>
      <c r="AT70" s="163"/>
      <c r="AU70" s="163"/>
      <c r="AV70" s="163"/>
      <c r="AW70" s="163"/>
      <c r="AX70" s="163"/>
      <c r="AY70" s="163"/>
      <c r="AZ70" s="163"/>
      <c r="BA70" s="164"/>
    </row>
    <row r="71" spans="1:53" ht="15.75" thickBot="1" x14ac:dyDescent="0.3"/>
    <row r="72" spans="1:53" s="33" customFormat="1" ht="27" thickBot="1" x14ac:dyDescent="0.3">
      <c r="A72" s="162" t="s">
        <v>33</v>
      </c>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c r="AA72" s="163"/>
      <c r="AB72" s="163"/>
      <c r="AC72" s="163"/>
      <c r="AD72" s="163"/>
      <c r="AE72" s="163"/>
      <c r="AF72" s="163"/>
      <c r="AG72" s="163"/>
      <c r="AH72" s="163"/>
      <c r="AI72" s="163"/>
      <c r="AJ72" s="163"/>
      <c r="AK72" s="163"/>
      <c r="AL72" s="163"/>
      <c r="AM72" s="163"/>
      <c r="AN72" s="163"/>
      <c r="AO72" s="163"/>
      <c r="AP72" s="163"/>
      <c r="AQ72" s="163"/>
      <c r="AR72" s="163"/>
      <c r="AS72" s="163"/>
      <c r="AT72" s="163"/>
      <c r="AU72" s="163"/>
      <c r="AV72" s="163"/>
      <c r="AW72" s="163"/>
      <c r="AX72" s="163"/>
      <c r="AY72" s="163"/>
      <c r="AZ72" s="163"/>
      <c r="BA72" s="164"/>
    </row>
    <row r="73" spans="1:53" ht="15.75" thickBot="1" x14ac:dyDescent="0.3">
      <c r="J73" s="3">
        <v>1</v>
      </c>
      <c r="K73" s="3">
        <v>2</v>
      </c>
      <c r="L73" s="3">
        <v>3</v>
      </c>
      <c r="M73" s="3">
        <v>4</v>
      </c>
      <c r="N73" s="3">
        <v>5</v>
      </c>
      <c r="O73" s="3">
        <v>1</v>
      </c>
      <c r="P73" s="3">
        <v>2</v>
      </c>
      <c r="Q73" s="3">
        <v>3</v>
      </c>
      <c r="R73" s="3">
        <v>4</v>
      </c>
      <c r="S73" s="3">
        <v>5</v>
      </c>
      <c r="T73" s="3">
        <v>1</v>
      </c>
      <c r="U73" s="3">
        <v>2</v>
      </c>
      <c r="V73" s="3">
        <v>3</v>
      </c>
      <c r="W73" s="3">
        <v>4</v>
      </c>
      <c r="X73" s="3">
        <v>5</v>
      </c>
      <c r="Y73" s="3">
        <v>1</v>
      </c>
      <c r="Z73" s="3">
        <v>2</v>
      </c>
      <c r="AA73" s="3">
        <v>3</v>
      </c>
      <c r="AB73" s="3">
        <v>4</v>
      </c>
      <c r="AC73" s="3">
        <v>5</v>
      </c>
      <c r="AH73" s="3">
        <v>1</v>
      </c>
      <c r="AI73" s="3">
        <v>2</v>
      </c>
      <c r="AJ73" s="3">
        <v>3</v>
      </c>
      <c r="AK73" s="3">
        <v>4</v>
      </c>
      <c r="AL73" s="3">
        <v>5</v>
      </c>
      <c r="AM73" s="3">
        <v>1</v>
      </c>
      <c r="AN73" s="3">
        <v>2</v>
      </c>
      <c r="AO73" s="3">
        <v>3</v>
      </c>
      <c r="AP73" s="3">
        <v>4</v>
      </c>
      <c r="AQ73" s="3">
        <v>5</v>
      </c>
      <c r="AR73" s="3">
        <v>1</v>
      </c>
      <c r="AS73" s="3">
        <v>2</v>
      </c>
      <c r="AT73" s="3">
        <v>3</v>
      </c>
      <c r="AU73" s="3">
        <v>4</v>
      </c>
      <c r="AV73" s="3">
        <v>5</v>
      </c>
      <c r="AW73" s="3">
        <v>1</v>
      </c>
      <c r="AX73" s="3">
        <v>2</v>
      </c>
      <c r="AY73" s="3">
        <v>3</v>
      </c>
      <c r="AZ73" s="3">
        <v>4</v>
      </c>
      <c r="BA73" s="3">
        <v>5</v>
      </c>
    </row>
    <row r="74" spans="1:53" s="1" customFormat="1" x14ac:dyDescent="0.25">
      <c r="A74" s="29" t="s">
        <v>22</v>
      </c>
      <c r="B74" s="30" t="str">
        <f t="shared" ref="B74:W74" si="10">B4</f>
        <v>Solvent control</v>
      </c>
      <c r="C74" s="30" t="str">
        <f t="shared" si="10"/>
        <v>EE2-33.8ng/L</v>
      </c>
      <c r="D74" s="30" t="str">
        <f t="shared" si="10"/>
        <v>EE2-50.6ng/L</v>
      </c>
      <c r="E74" s="30" t="str">
        <f t="shared" si="10"/>
        <v>EE2-76ng/L</v>
      </c>
      <c r="F74" s="30" t="str">
        <f t="shared" si="10"/>
        <v>EE2-114ng/L</v>
      </c>
      <c r="G74" s="30" t="str">
        <f t="shared" si="10"/>
        <v>EE2-170.9ng/L</v>
      </c>
      <c r="H74" s="30" t="str">
        <f t="shared" si="10"/>
        <v>EE2-488ng/L</v>
      </c>
      <c r="I74" s="30" t="str">
        <f t="shared" si="10"/>
        <v>BPA-1mg/L</v>
      </c>
      <c r="J74" s="30" t="str">
        <f t="shared" si="10"/>
        <v>BPA-2mg/L</v>
      </c>
      <c r="K74" s="30" t="str">
        <f t="shared" si="10"/>
        <v>BPA-3mg/L</v>
      </c>
      <c r="L74" s="30" t="str">
        <f t="shared" si="10"/>
        <v>BPA-4mg/L</v>
      </c>
      <c r="M74" s="30" t="str">
        <f t="shared" si="10"/>
        <v>BPA-5mg/L</v>
      </c>
      <c r="N74" s="30" t="e">
        <f t="shared" si="10"/>
        <v>#REF!</v>
      </c>
      <c r="O74" s="30" t="e">
        <f t="shared" si="10"/>
        <v>#REF!</v>
      </c>
      <c r="P74" s="30" t="e">
        <f t="shared" si="10"/>
        <v>#REF!</v>
      </c>
      <c r="Q74" s="30" t="e">
        <f t="shared" si="10"/>
        <v>#REF!</v>
      </c>
      <c r="R74" s="30" t="e">
        <f t="shared" si="10"/>
        <v>#REF!</v>
      </c>
      <c r="S74" s="30" t="e">
        <f t="shared" si="10"/>
        <v>#REF!</v>
      </c>
      <c r="T74" s="30" t="e">
        <f t="shared" si="10"/>
        <v>#REF!</v>
      </c>
      <c r="U74" s="30" t="e">
        <f t="shared" si="10"/>
        <v>#REF!</v>
      </c>
      <c r="V74" s="30" t="e">
        <f t="shared" si="10"/>
        <v>#REF!</v>
      </c>
      <c r="W74" s="30" t="e">
        <f t="shared" si="10"/>
        <v>#REF!</v>
      </c>
      <c r="X74" s="30" t="e">
        <f t="shared" ref="X74:AC74" si="11">X4</f>
        <v>#REF!</v>
      </c>
      <c r="Y74" s="30" t="e">
        <f t="shared" si="11"/>
        <v>#REF!</v>
      </c>
      <c r="Z74" s="30" t="e">
        <f t="shared" si="11"/>
        <v>#REF!</v>
      </c>
      <c r="AA74" s="30" t="e">
        <f t="shared" si="11"/>
        <v>#REF!</v>
      </c>
      <c r="AB74" s="30" t="e">
        <f t="shared" si="11"/>
        <v>#REF!</v>
      </c>
      <c r="AC74" s="30" t="e">
        <f t="shared" si="11"/>
        <v>#REF!</v>
      </c>
      <c r="AD74" s="30"/>
      <c r="AE74" s="30" t="str">
        <f t="shared" ref="AE74:AT74" si="12">AE4</f>
        <v>Testo -30µg/L</v>
      </c>
      <c r="AF74" s="30" t="str">
        <f t="shared" si="12"/>
        <v>Testo 30µg/L + EE2 -64ng/L</v>
      </c>
      <c r="AG74" s="30" t="str">
        <f t="shared" si="12"/>
        <v>Testo 30µg/L + FAD-10mg/L</v>
      </c>
      <c r="AH74" s="30" t="str">
        <f t="shared" si="12"/>
        <v>BPA-1mg/L + Testostérone</v>
      </c>
      <c r="AI74" s="30" t="str">
        <f t="shared" si="12"/>
        <v>BPA-2mg/L + Testostérone</v>
      </c>
      <c r="AJ74" s="30" t="str">
        <f t="shared" si="12"/>
        <v>BPA-3mg/L + Testostérone</v>
      </c>
      <c r="AK74" s="30" t="str">
        <f t="shared" si="12"/>
        <v>BPA-4mg/L + Testostérone</v>
      </c>
      <c r="AL74" s="30" t="str">
        <f t="shared" si="12"/>
        <v>BPA-5mg/L + Testostérone</v>
      </c>
      <c r="AM74" s="30" t="str">
        <f t="shared" si="12"/>
        <v>0-00 + Testostérone</v>
      </c>
      <c r="AN74" s="30" t="str">
        <f t="shared" si="12"/>
        <v>0-00 + Testostérone</v>
      </c>
      <c r="AO74" s="30" t="str">
        <f t="shared" si="12"/>
        <v>0-00 + Testostérone</v>
      </c>
      <c r="AP74" s="30" t="str">
        <f t="shared" si="12"/>
        <v>0-00 + Testostérone</v>
      </c>
      <c r="AQ74" s="30" t="str">
        <f t="shared" si="12"/>
        <v>0-00 + Testostérone</v>
      </c>
      <c r="AR74" s="30" t="str">
        <f t="shared" si="12"/>
        <v>0-00 + Testostérone</v>
      </c>
      <c r="AS74" s="30" t="str">
        <f t="shared" si="12"/>
        <v>0-00 + Testostérone</v>
      </c>
      <c r="AT74" s="30" t="str">
        <f t="shared" si="12"/>
        <v>0-00 + Testostérone</v>
      </c>
      <c r="AU74" s="30" t="str">
        <f t="shared" ref="AU74:BA74" si="13">AU4</f>
        <v>0-00 + Testostérone</v>
      </c>
      <c r="AV74" s="30" t="str">
        <f t="shared" si="13"/>
        <v>0-00 + Testostérone</v>
      </c>
      <c r="AW74" s="30" t="str">
        <f t="shared" si="13"/>
        <v>0-00 + Testostérone</v>
      </c>
      <c r="AX74" s="30" t="str">
        <f t="shared" si="13"/>
        <v>0-00 + Testostérone</v>
      </c>
      <c r="AY74" s="30" t="str">
        <f t="shared" si="13"/>
        <v>0-00 + Testostérone</v>
      </c>
      <c r="AZ74" s="30" t="str">
        <f t="shared" si="13"/>
        <v>0-00 + Testostérone</v>
      </c>
      <c r="BA74" s="30" t="str">
        <f t="shared" si="13"/>
        <v>0-00 + Testostérone</v>
      </c>
    </row>
    <row r="75" spans="1:53" s="3" customFormat="1" x14ac:dyDescent="0.25">
      <c r="A75" s="49" t="s">
        <v>15</v>
      </c>
      <c r="B75" s="84">
        <f>B56</f>
        <v>2.5569526048697586E-2</v>
      </c>
      <c r="C75" s="84">
        <f t="shared" ref="C75:BA75" si="14">C56</f>
        <v>2.4416922519859122E-2</v>
      </c>
      <c r="D75" s="84">
        <f t="shared" si="14"/>
        <v>3.351371238961242E-2</v>
      </c>
      <c r="E75" s="84">
        <f t="shared" si="14"/>
        <v>0.23576703252350975</v>
      </c>
      <c r="F75" s="84">
        <f t="shared" si="14"/>
        <v>0.48286332427910517</v>
      </c>
      <c r="G75" s="84">
        <f t="shared" si="14"/>
        <v>0.99122676545830846</v>
      </c>
      <c r="H75" s="84">
        <f t="shared" si="14"/>
        <v>2.1673757126034174</v>
      </c>
      <c r="I75" s="84">
        <f t="shared" si="14"/>
        <v>2.7959746467880034E-2</v>
      </c>
      <c r="J75" s="84">
        <f t="shared" si="14"/>
        <v>1.7637820169939703E-2</v>
      </c>
      <c r="K75" s="84">
        <f t="shared" si="14"/>
        <v>3.4276231092714278E-2</v>
      </c>
      <c r="L75" s="84">
        <f t="shared" si="14"/>
        <v>1.7974937729448637E-2</v>
      </c>
      <c r="M75" s="84">
        <f t="shared" si="14"/>
        <v>7.7591992952889738E-2</v>
      </c>
      <c r="N75" s="84" t="e">
        <f t="shared" si="14"/>
        <v>#REF!</v>
      </c>
      <c r="O75" s="84" t="e">
        <f t="shared" si="14"/>
        <v>#REF!</v>
      </c>
      <c r="P75" s="84" t="e">
        <f t="shared" si="14"/>
        <v>#REF!</v>
      </c>
      <c r="Q75" s="84" t="e">
        <f t="shared" si="14"/>
        <v>#REF!</v>
      </c>
      <c r="R75" s="84" t="e">
        <f t="shared" si="14"/>
        <v>#REF!</v>
      </c>
      <c r="S75" s="84" t="e">
        <f t="shared" si="14"/>
        <v>#REF!</v>
      </c>
      <c r="T75" s="84" t="e">
        <f t="shared" si="14"/>
        <v>#REF!</v>
      </c>
      <c r="U75" s="84" t="e">
        <f t="shared" si="14"/>
        <v>#REF!</v>
      </c>
      <c r="V75" s="84" t="e">
        <f t="shared" si="14"/>
        <v>#REF!</v>
      </c>
      <c r="W75" s="84" t="e">
        <f t="shared" si="14"/>
        <v>#REF!</v>
      </c>
      <c r="X75" s="84" t="e">
        <f t="shared" si="14"/>
        <v>#REF!</v>
      </c>
      <c r="Y75" s="84" t="e">
        <f t="shared" si="14"/>
        <v>#REF!</v>
      </c>
      <c r="Z75" s="84" t="e">
        <f t="shared" si="14"/>
        <v>#REF!</v>
      </c>
      <c r="AA75" s="84" t="e">
        <f t="shared" si="14"/>
        <v>#REF!</v>
      </c>
      <c r="AB75" s="84" t="e">
        <f t="shared" si="14"/>
        <v>#REF!</v>
      </c>
      <c r="AC75" s="84" t="e">
        <f t="shared" si="14"/>
        <v>#REF!</v>
      </c>
      <c r="AD75" s="84"/>
      <c r="AE75" s="84">
        <f t="shared" si="14"/>
        <v>1.0000000000000002</v>
      </c>
      <c r="AF75" s="84">
        <f t="shared" si="14"/>
        <v>1.6184408075671508</v>
      </c>
      <c r="AG75" s="84">
        <f t="shared" si="14"/>
        <v>4.0204269643502169E-2</v>
      </c>
      <c r="AH75" s="84">
        <f t="shared" si="14"/>
        <v>1.1460867424101353</v>
      </c>
      <c r="AI75" s="84">
        <f t="shared" si="14"/>
        <v>0.98391755999338393</v>
      </c>
      <c r="AJ75" s="84">
        <f t="shared" si="14"/>
        <v>1.1114875452785611</v>
      </c>
      <c r="AK75" s="84">
        <f t="shared" si="14"/>
        <v>1.5442264425039973</v>
      </c>
      <c r="AL75" s="84">
        <f t="shared" si="14"/>
        <v>1.8555161062995016</v>
      </c>
      <c r="AM75" s="84" t="e">
        <f t="shared" si="14"/>
        <v>#DIV/0!</v>
      </c>
      <c r="AN75" s="84" t="e">
        <f t="shared" si="14"/>
        <v>#DIV/0!</v>
      </c>
      <c r="AO75" s="84" t="e">
        <f t="shared" si="14"/>
        <v>#DIV/0!</v>
      </c>
      <c r="AP75" s="84" t="e">
        <f t="shared" si="14"/>
        <v>#DIV/0!</v>
      </c>
      <c r="AQ75" s="84" t="e">
        <f t="shared" si="14"/>
        <v>#DIV/0!</v>
      </c>
      <c r="AR75" s="84" t="e">
        <f t="shared" si="14"/>
        <v>#DIV/0!</v>
      </c>
      <c r="AS75" s="84" t="e">
        <f t="shared" si="14"/>
        <v>#DIV/0!</v>
      </c>
      <c r="AT75" s="84" t="e">
        <f t="shared" si="14"/>
        <v>#DIV/0!</v>
      </c>
      <c r="AU75" s="84" t="e">
        <f t="shared" si="14"/>
        <v>#DIV/0!</v>
      </c>
      <c r="AV75" s="84" t="e">
        <f t="shared" si="14"/>
        <v>#DIV/0!</v>
      </c>
      <c r="AW75" s="84" t="e">
        <f t="shared" si="14"/>
        <v>#DIV/0!</v>
      </c>
      <c r="AX75" s="84" t="e">
        <f t="shared" si="14"/>
        <v>#DIV/0!</v>
      </c>
      <c r="AY75" s="84" t="e">
        <f t="shared" si="14"/>
        <v>#DIV/0!</v>
      </c>
      <c r="AZ75" s="84" t="e">
        <f t="shared" si="14"/>
        <v>#DIV/0!</v>
      </c>
      <c r="BA75" s="84" t="e">
        <f t="shared" si="14"/>
        <v>#DIV/0!</v>
      </c>
    </row>
    <row r="76" spans="1:53" s="3" customFormat="1" x14ac:dyDescent="0.25">
      <c r="A76" s="49" t="s">
        <v>2</v>
      </c>
      <c r="B76" s="84">
        <f>B58</f>
        <v>7.0949753501885083E-3</v>
      </c>
      <c r="C76" s="84">
        <f t="shared" ref="C76:BA76" si="15">C58</f>
        <v>1.0499857373188946E-2</v>
      </c>
      <c r="D76" s="84">
        <f t="shared" si="15"/>
        <v>1.1209676452483438E-2</v>
      </c>
      <c r="E76" s="84">
        <f t="shared" si="15"/>
        <v>9.7842830826168486E-2</v>
      </c>
      <c r="F76" s="84">
        <f t="shared" si="15"/>
        <v>9.7264777830247118E-2</v>
      </c>
      <c r="G76" s="84">
        <f t="shared" si="15"/>
        <v>0.10470216819879878</v>
      </c>
      <c r="H76" s="84">
        <f t="shared" si="15"/>
        <v>0.15253197691729847</v>
      </c>
      <c r="I76" s="84">
        <f t="shared" si="15"/>
        <v>9.8722030128470754E-3</v>
      </c>
      <c r="J76" s="84">
        <f t="shared" si="15"/>
        <v>6.7289050241129862E-3</v>
      </c>
      <c r="K76" s="84">
        <f t="shared" si="15"/>
        <v>9.4493318013354199E-3</v>
      </c>
      <c r="L76" s="84">
        <f t="shared" si="15"/>
        <v>7.7186698195355922E-3</v>
      </c>
      <c r="M76" s="84">
        <f t="shared" si="15"/>
        <v>3.6367450064604991E-2</v>
      </c>
      <c r="N76" s="84" t="e">
        <f t="shared" si="15"/>
        <v>#REF!</v>
      </c>
      <c r="O76" s="84" t="e">
        <f t="shared" si="15"/>
        <v>#REF!</v>
      </c>
      <c r="P76" s="84" t="e">
        <f t="shared" si="15"/>
        <v>#REF!</v>
      </c>
      <c r="Q76" s="84" t="e">
        <f t="shared" si="15"/>
        <v>#REF!</v>
      </c>
      <c r="R76" s="84" t="e">
        <f t="shared" si="15"/>
        <v>#REF!</v>
      </c>
      <c r="S76" s="84" t="e">
        <f t="shared" si="15"/>
        <v>#REF!</v>
      </c>
      <c r="T76" s="84" t="e">
        <f t="shared" si="15"/>
        <v>#REF!</v>
      </c>
      <c r="U76" s="84" t="e">
        <f t="shared" si="15"/>
        <v>#REF!</v>
      </c>
      <c r="V76" s="84" t="e">
        <f t="shared" si="15"/>
        <v>#REF!</v>
      </c>
      <c r="W76" s="84" t="e">
        <f t="shared" si="15"/>
        <v>#REF!</v>
      </c>
      <c r="X76" s="84" t="e">
        <f t="shared" si="15"/>
        <v>#REF!</v>
      </c>
      <c r="Y76" s="84" t="e">
        <f t="shared" si="15"/>
        <v>#REF!</v>
      </c>
      <c r="Z76" s="84" t="e">
        <f t="shared" si="15"/>
        <v>#REF!</v>
      </c>
      <c r="AA76" s="84" t="e">
        <f t="shared" si="15"/>
        <v>#REF!</v>
      </c>
      <c r="AB76" s="84" t="e">
        <f t="shared" si="15"/>
        <v>#REF!</v>
      </c>
      <c r="AC76" s="84" t="e">
        <f t="shared" si="15"/>
        <v>#REF!</v>
      </c>
      <c r="AD76" s="84"/>
      <c r="AE76" s="84">
        <f t="shared" si="15"/>
        <v>8.2685464023601718E-2</v>
      </c>
      <c r="AF76" s="84">
        <f t="shared" si="15"/>
        <v>0.15156889469962298</v>
      </c>
      <c r="AG76" s="84">
        <f t="shared" si="15"/>
        <v>1.4091266273171312E-2</v>
      </c>
      <c r="AH76" s="84">
        <f t="shared" si="15"/>
        <v>0.13514352971447927</v>
      </c>
      <c r="AI76" s="84">
        <f t="shared" si="15"/>
        <v>9.7514389629898918E-2</v>
      </c>
      <c r="AJ76" s="84">
        <f t="shared" si="15"/>
        <v>0.10576316172769665</v>
      </c>
      <c r="AK76" s="84">
        <f t="shared" si="15"/>
        <v>0.12747885676130405</v>
      </c>
      <c r="AL76" s="84">
        <f t="shared" si="15"/>
        <v>0.13140968273414222</v>
      </c>
      <c r="AM76" s="84" t="e">
        <f t="shared" si="15"/>
        <v>#DIV/0!</v>
      </c>
      <c r="AN76" s="84" t="e">
        <f t="shared" si="15"/>
        <v>#DIV/0!</v>
      </c>
      <c r="AO76" s="84" t="e">
        <f t="shared" si="15"/>
        <v>#DIV/0!</v>
      </c>
      <c r="AP76" s="84" t="e">
        <f t="shared" si="15"/>
        <v>#DIV/0!</v>
      </c>
      <c r="AQ76" s="84" t="e">
        <f t="shared" si="15"/>
        <v>#DIV/0!</v>
      </c>
      <c r="AR76" s="84" t="e">
        <f t="shared" si="15"/>
        <v>#DIV/0!</v>
      </c>
      <c r="AS76" s="84" t="e">
        <f t="shared" si="15"/>
        <v>#DIV/0!</v>
      </c>
      <c r="AT76" s="84" t="e">
        <f t="shared" si="15"/>
        <v>#DIV/0!</v>
      </c>
      <c r="AU76" s="84" t="e">
        <f t="shared" si="15"/>
        <v>#DIV/0!</v>
      </c>
      <c r="AV76" s="84" t="e">
        <f t="shared" si="15"/>
        <v>#DIV/0!</v>
      </c>
      <c r="AW76" s="84" t="e">
        <f t="shared" si="15"/>
        <v>#DIV/0!</v>
      </c>
      <c r="AX76" s="84" t="e">
        <f t="shared" si="15"/>
        <v>#DIV/0!</v>
      </c>
      <c r="AY76" s="84" t="e">
        <f t="shared" si="15"/>
        <v>#DIV/0!</v>
      </c>
      <c r="AZ76" s="84" t="e">
        <f t="shared" si="15"/>
        <v>#DIV/0!</v>
      </c>
      <c r="BA76" s="84" t="e">
        <f t="shared" si="15"/>
        <v>#DIV/0!</v>
      </c>
    </row>
    <row r="77" spans="1:53" s="3" customFormat="1" x14ac:dyDescent="0.25">
      <c r="A77" s="49" t="s">
        <v>42</v>
      </c>
      <c r="B77" s="84">
        <f>(B75*100/$B$75)-100</f>
        <v>0</v>
      </c>
      <c r="C77" s="84">
        <f t="shared" ref="C77:AC77" si="16">(C75*100/$B$75)-100</f>
        <v>-4.5077234777184003</v>
      </c>
      <c r="D77" s="84">
        <f t="shared" si="16"/>
        <v>31.068962036234069</v>
      </c>
      <c r="E77" s="84">
        <f t="shared" si="16"/>
        <v>822.06258369626221</v>
      </c>
      <c r="F77" s="84">
        <f t="shared" si="16"/>
        <v>1788.4328296092933</v>
      </c>
      <c r="G77" s="84">
        <f t="shared" si="16"/>
        <v>3776.594206597731</v>
      </c>
      <c r="H77" s="84">
        <f t="shared" si="16"/>
        <v>8376.4015902196024</v>
      </c>
      <c r="I77" s="84">
        <f t="shared" si="16"/>
        <v>9.3479261783352285</v>
      </c>
      <c r="J77" s="84">
        <f t="shared" si="16"/>
        <v>-31.020152128169357</v>
      </c>
      <c r="K77" s="84">
        <f t="shared" si="16"/>
        <v>34.05110062437069</v>
      </c>
      <c r="L77" s="84">
        <f t="shared" si="16"/>
        <v>-29.701717211280837</v>
      </c>
      <c r="M77" s="84">
        <f t="shared" si="16"/>
        <v>203.45495182474048</v>
      </c>
      <c r="N77" s="84" t="e">
        <f t="shared" si="16"/>
        <v>#REF!</v>
      </c>
      <c r="O77" s="84" t="e">
        <f t="shared" si="16"/>
        <v>#REF!</v>
      </c>
      <c r="P77" s="84" t="e">
        <f t="shared" si="16"/>
        <v>#REF!</v>
      </c>
      <c r="Q77" s="84" t="e">
        <f t="shared" si="16"/>
        <v>#REF!</v>
      </c>
      <c r="R77" s="84" t="e">
        <f t="shared" si="16"/>
        <v>#REF!</v>
      </c>
      <c r="S77" s="84" t="e">
        <f t="shared" si="16"/>
        <v>#REF!</v>
      </c>
      <c r="T77" s="84" t="e">
        <f t="shared" si="16"/>
        <v>#REF!</v>
      </c>
      <c r="U77" s="84" t="e">
        <f t="shared" si="16"/>
        <v>#REF!</v>
      </c>
      <c r="V77" s="84" t="e">
        <f t="shared" si="16"/>
        <v>#REF!</v>
      </c>
      <c r="W77" s="84" t="e">
        <f t="shared" si="16"/>
        <v>#REF!</v>
      </c>
      <c r="X77" s="84" t="e">
        <f t="shared" si="16"/>
        <v>#REF!</v>
      </c>
      <c r="Y77" s="84" t="e">
        <f t="shared" si="16"/>
        <v>#REF!</v>
      </c>
      <c r="Z77" s="84" t="e">
        <f t="shared" si="16"/>
        <v>#REF!</v>
      </c>
      <c r="AA77" s="84" t="e">
        <f t="shared" si="16"/>
        <v>#REF!</v>
      </c>
      <c r="AB77" s="84" t="e">
        <f t="shared" si="16"/>
        <v>#REF!</v>
      </c>
      <c r="AC77" s="84" t="e">
        <f t="shared" si="16"/>
        <v>#REF!</v>
      </c>
      <c r="AD77" s="84"/>
      <c r="AE77" s="84">
        <f>(AE75*100/$AE$75)-100</f>
        <v>0</v>
      </c>
      <c r="AF77" s="84">
        <f t="shared" ref="AF77:BA77" si="17">(AF75*100/$AE$75)-100</f>
        <v>61.844080756715044</v>
      </c>
      <c r="AG77" s="84">
        <f t="shared" si="17"/>
        <v>-95.979573035649778</v>
      </c>
      <c r="AH77" s="84">
        <f t="shared" si="17"/>
        <v>14.608674241013503</v>
      </c>
      <c r="AI77" s="84">
        <f t="shared" si="17"/>
        <v>-1.6082440006616423</v>
      </c>
      <c r="AJ77" s="84">
        <f t="shared" si="17"/>
        <v>11.148754527856084</v>
      </c>
      <c r="AK77" s="84">
        <f t="shared" si="17"/>
        <v>54.422644250399713</v>
      </c>
      <c r="AL77" s="84">
        <f t="shared" si="17"/>
        <v>85.551610629950119</v>
      </c>
      <c r="AM77" s="84" t="e">
        <f t="shared" si="17"/>
        <v>#DIV/0!</v>
      </c>
      <c r="AN77" s="84" t="e">
        <f t="shared" si="17"/>
        <v>#DIV/0!</v>
      </c>
      <c r="AO77" s="84" t="e">
        <f t="shared" si="17"/>
        <v>#DIV/0!</v>
      </c>
      <c r="AP77" s="84" t="e">
        <f t="shared" si="17"/>
        <v>#DIV/0!</v>
      </c>
      <c r="AQ77" s="84" t="e">
        <f t="shared" si="17"/>
        <v>#DIV/0!</v>
      </c>
      <c r="AR77" s="84" t="e">
        <f t="shared" si="17"/>
        <v>#DIV/0!</v>
      </c>
      <c r="AS77" s="84" t="e">
        <f t="shared" si="17"/>
        <v>#DIV/0!</v>
      </c>
      <c r="AT77" s="84" t="e">
        <f t="shared" si="17"/>
        <v>#DIV/0!</v>
      </c>
      <c r="AU77" s="84" t="e">
        <f t="shared" si="17"/>
        <v>#DIV/0!</v>
      </c>
      <c r="AV77" s="84" t="e">
        <f t="shared" si="17"/>
        <v>#DIV/0!</v>
      </c>
      <c r="AW77" s="84" t="e">
        <f t="shared" si="17"/>
        <v>#DIV/0!</v>
      </c>
      <c r="AX77" s="84" t="e">
        <f t="shared" si="17"/>
        <v>#DIV/0!</v>
      </c>
      <c r="AY77" s="84" t="e">
        <f t="shared" si="17"/>
        <v>#DIV/0!</v>
      </c>
      <c r="AZ77" s="84" t="e">
        <f t="shared" si="17"/>
        <v>#DIV/0!</v>
      </c>
      <c r="BA77" s="84" t="e">
        <f t="shared" si="17"/>
        <v>#DIV/0!</v>
      </c>
    </row>
    <row r="78" spans="1:53" s="3" customFormat="1" x14ac:dyDescent="0.25">
      <c r="A78" s="49" t="s">
        <v>43</v>
      </c>
      <c r="B78" s="84" t="e">
        <f ca="1">[1]!DPTEST(B6:B53)</f>
        <v>#NAME?</v>
      </c>
      <c r="C78" s="84" t="e">
        <f ca="1">[1]!DPTEST(C6:C53)</f>
        <v>#NAME?</v>
      </c>
      <c r="D78" s="84" t="e">
        <f ca="1">[1]!DPTEST(D6:D53)</f>
        <v>#NAME?</v>
      </c>
      <c r="E78" s="84" t="e">
        <f ca="1">[1]!DPTEST(E6:E53)</f>
        <v>#NAME?</v>
      </c>
      <c r="F78" s="84" t="e">
        <f ca="1">[1]!DPTEST(F6:F53)</f>
        <v>#NAME?</v>
      </c>
      <c r="G78" s="84" t="e">
        <f ca="1">[1]!DPTEST(G6:G53)</f>
        <v>#NAME?</v>
      </c>
      <c r="H78" s="84" t="e">
        <f ca="1">[1]!DPTEST(H6:H53)</f>
        <v>#NAME?</v>
      </c>
      <c r="I78" s="84" t="e">
        <f ca="1">[1]!DPTEST(I6:I53)</f>
        <v>#NAME?</v>
      </c>
      <c r="J78" s="84" t="e">
        <f ca="1">[1]!DPTEST(J6:J53)</f>
        <v>#NAME?</v>
      </c>
      <c r="K78" s="84" t="e">
        <f ca="1">[1]!DPTEST(K6:K53)</f>
        <v>#NAME?</v>
      </c>
      <c r="L78" s="84" t="e">
        <f ca="1">[1]!DPTEST(L6:L53)</f>
        <v>#NAME?</v>
      </c>
      <c r="M78" s="84" t="e">
        <f ca="1">[1]!DPTEST(M6:M53)</f>
        <v>#NAME?</v>
      </c>
      <c r="N78" s="84" t="e">
        <f ca="1">[1]!DPTEST(N6:N53)</f>
        <v>#NAME?</v>
      </c>
      <c r="O78" s="84" t="e">
        <f ca="1">[1]!DPTEST(O6:O53)</f>
        <v>#NAME?</v>
      </c>
      <c r="P78" s="84" t="e">
        <f ca="1">[1]!DPTEST(P6:P53)</f>
        <v>#NAME?</v>
      </c>
      <c r="Q78" s="84" t="e">
        <f ca="1">[1]!DPTEST(Q6:Q53)</f>
        <v>#NAME?</v>
      </c>
      <c r="R78" s="84" t="e">
        <f ca="1">[1]!DPTEST(R6:R53)</f>
        <v>#NAME?</v>
      </c>
      <c r="S78" s="84" t="e">
        <f ca="1">[1]!DPTEST(S6:S53)</f>
        <v>#NAME?</v>
      </c>
      <c r="T78" s="84" t="e">
        <f ca="1">[1]!DPTEST(T6:T53)</f>
        <v>#NAME?</v>
      </c>
      <c r="U78" s="84" t="e">
        <f ca="1">[1]!DPTEST(U6:U53)</f>
        <v>#NAME?</v>
      </c>
      <c r="V78" s="84" t="e">
        <f ca="1">[1]!DPTEST(V6:V53)</f>
        <v>#NAME?</v>
      </c>
      <c r="W78" s="84" t="e">
        <f ca="1">[1]!DPTEST(W6:W53)</f>
        <v>#NAME?</v>
      </c>
      <c r="X78" s="84" t="e">
        <f ca="1">[1]!DPTEST(X6:X53)</f>
        <v>#NAME?</v>
      </c>
      <c r="Y78" s="84" t="e">
        <f ca="1">[1]!DPTEST(Y6:Y53)</f>
        <v>#NAME?</v>
      </c>
      <c r="Z78" s="84" t="e">
        <f ca="1">[1]!DPTEST(Z6:Z53)</f>
        <v>#NAME?</v>
      </c>
      <c r="AA78" s="84" t="e">
        <f ca="1">[1]!DPTEST(AA6:AA53)</f>
        <v>#NAME?</v>
      </c>
      <c r="AB78" s="84" t="e">
        <f ca="1">[1]!DPTEST(AB6:AB53)</f>
        <v>#NAME?</v>
      </c>
      <c r="AC78" s="84" t="e">
        <f ca="1">[1]!DPTEST(AC6:AC53)</f>
        <v>#NAME?</v>
      </c>
      <c r="AD78" s="84"/>
      <c r="AE78" s="84" t="e">
        <f ca="1">[1]!DPTEST(AE6:AE53)</f>
        <v>#NAME?</v>
      </c>
      <c r="AF78" s="84" t="e">
        <f ca="1">[1]!DPTEST(AF6:AF53)</f>
        <v>#NAME?</v>
      </c>
      <c r="AG78" s="84" t="e">
        <f ca="1">[1]!DPTEST(AG6:AG53)</f>
        <v>#NAME?</v>
      </c>
      <c r="AH78" s="84" t="e">
        <f ca="1">[1]!DPTEST(AH6:AH53)</f>
        <v>#NAME?</v>
      </c>
      <c r="AI78" s="84" t="e">
        <f ca="1">[1]!DPTEST(AI6:AI53)</f>
        <v>#NAME?</v>
      </c>
      <c r="AJ78" s="84" t="e">
        <f ca="1">[1]!DPTEST(AJ6:AJ53)</f>
        <v>#NAME?</v>
      </c>
      <c r="AK78" s="84" t="e">
        <f ca="1">[1]!DPTEST(AK6:AK53)</f>
        <v>#NAME?</v>
      </c>
      <c r="AL78" s="84" t="e">
        <f ca="1">[1]!DPTEST(AL6:AL53)</f>
        <v>#NAME?</v>
      </c>
      <c r="AM78" s="84" t="e">
        <f ca="1">[1]!DPTEST(AM6:AM53)</f>
        <v>#NAME?</v>
      </c>
      <c r="AN78" s="84" t="e">
        <f ca="1">[1]!DPTEST(AN6:AN53)</f>
        <v>#NAME?</v>
      </c>
      <c r="AO78" s="84" t="e">
        <f ca="1">[1]!DPTEST(AO6:AO53)</f>
        <v>#NAME?</v>
      </c>
      <c r="AP78" s="84" t="e">
        <f ca="1">[1]!DPTEST(AP6:AP53)</f>
        <v>#NAME?</v>
      </c>
      <c r="AQ78" s="84" t="e">
        <f ca="1">[1]!DPTEST(AQ6:AQ53)</f>
        <v>#NAME?</v>
      </c>
      <c r="AR78" s="84" t="e">
        <f ca="1">[1]!DPTEST(AR6:AR53)</f>
        <v>#NAME?</v>
      </c>
      <c r="AS78" s="84" t="e">
        <f ca="1">[1]!DPTEST(AS6:AS53)</f>
        <v>#NAME?</v>
      </c>
      <c r="AT78" s="84" t="e">
        <f ca="1">[1]!DPTEST(AT6:AT53)</f>
        <v>#NAME?</v>
      </c>
      <c r="AU78" s="84" t="e">
        <f ca="1">[1]!DPTEST(AU6:AU53)</f>
        <v>#NAME?</v>
      </c>
      <c r="AV78" s="84" t="e">
        <f ca="1">[1]!DPTEST(AV6:AV53)</f>
        <v>#NAME?</v>
      </c>
      <c r="AW78" s="84" t="e">
        <f ca="1">[1]!DPTEST(AW6:AW53)</f>
        <v>#NAME?</v>
      </c>
      <c r="AX78" s="84" t="e">
        <f ca="1">[1]!DPTEST(AX6:AX53)</f>
        <v>#NAME?</v>
      </c>
      <c r="AY78" s="84" t="e">
        <f ca="1">[1]!DPTEST(AY6:AY53)</f>
        <v>#NAME?</v>
      </c>
      <c r="AZ78" s="84" t="e">
        <f ca="1">[1]!DPTEST(AZ6:AZ53)</f>
        <v>#NAME?</v>
      </c>
      <c r="BA78" s="84" t="e">
        <f ca="1">[1]!DPTEST(BA6:BA53)</f>
        <v>#NAME?</v>
      </c>
    </row>
    <row r="79" spans="1:53" s="3" customFormat="1" x14ac:dyDescent="0.25">
      <c r="A79" s="49" t="s">
        <v>47</v>
      </c>
      <c r="B79" s="84" t="e">
        <f ca="1">IF(B78&gt;0.05,"Oui","Non")</f>
        <v>#NAME?</v>
      </c>
      <c r="C79" s="84" t="e">
        <f t="shared" ref="C79:BA79" ca="1" si="18">IF(C78&gt;0.05,"Oui","Non")</f>
        <v>#NAME?</v>
      </c>
      <c r="D79" s="84" t="e">
        <f t="shared" ca="1" si="18"/>
        <v>#NAME?</v>
      </c>
      <c r="E79" s="84" t="e">
        <f t="shared" ca="1" si="18"/>
        <v>#NAME?</v>
      </c>
      <c r="F79" s="84" t="e">
        <f t="shared" ca="1" si="18"/>
        <v>#NAME?</v>
      </c>
      <c r="G79" s="84" t="e">
        <f t="shared" ca="1" si="18"/>
        <v>#NAME?</v>
      </c>
      <c r="H79" s="84" t="e">
        <f t="shared" ca="1" si="18"/>
        <v>#NAME?</v>
      </c>
      <c r="I79" s="84" t="e">
        <f t="shared" ca="1" si="18"/>
        <v>#NAME?</v>
      </c>
      <c r="J79" s="84" t="e">
        <f t="shared" ca="1" si="18"/>
        <v>#NAME?</v>
      </c>
      <c r="K79" s="84" t="e">
        <f t="shared" ca="1" si="18"/>
        <v>#NAME?</v>
      </c>
      <c r="L79" s="84" t="e">
        <f t="shared" ca="1" si="18"/>
        <v>#NAME?</v>
      </c>
      <c r="M79" s="84" t="e">
        <f t="shared" ca="1" si="18"/>
        <v>#NAME?</v>
      </c>
      <c r="N79" s="84" t="e">
        <f t="shared" ca="1" si="18"/>
        <v>#NAME?</v>
      </c>
      <c r="O79" s="84" t="e">
        <f t="shared" ca="1" si="18"/>
        <v>#NAME?</v>
      </c>
      <c r="P79" s="84" t="e">
        <f t="shared" ca="1" si="18"/>
        <v>#NAME?</v>
      </c>
      <c r="Q79" s="84" t="e">
        <f t="shared" ca="1" si="18"/>
        <v>#NAME?</v>
      </c>
      <c r="R79" s="84" t="e">
        <f t="shared" ca="1" si="18"/>
        <v>#NAME?</v>
      </c>
      <c r="S79" s="84" t="e">
        <f t="shared" ca="1" si="18"/>
        <v>#NAME?</v>
      </c>
      <c r="T79" s="84" t="e">
        <f t="shared" ca="1" si="18"/>
        <v>#NAME?</v>
      </c>
      <c r="U79" s="84" t="e">
        <f t="shared" ca="1" si="18"/>
        <v>#NAME?</v>
      </c>
      <c r="V79" s="84" t="e">
        <f t="shared" ca="1" si="18"/>
        <v>#NAME?</v>
      </c>
      <c r="W79" s="84" t="e">
        <f t="shared" ca="1" si="18"/>
        <v>#NAME?</v>
      </c>
      <c r="X79" s="84" t="e">
        <f t="shared" ca="1" si="18"/>
        <v>#NAME?</v>
      </c>
      <c r="Y79" s="84" t="e">
        <f t="shared" ca="1" si="18"/>
        <v>#NAME?</v>
      </c>
      <c r="Z79" s="84" t="e">
        <f t="shared" ca="1" si="18"/>
        <v>#NAME?</v>
      </c>
      <c r="AA79" s="84" t="e">
        <f t="shared" ca="1" si="18"/>
        <v>#NAME?</v>
      </c>
      <c r="AB79" s="84" t="e">
        <f t="shared" ca="1" si="18"/>
        <v>#NAME?</v>
      </c>
      <c r="AC79" s="84" t="e">
        <f t="shared" ca="1" si="18"/>
        <v>#NAME?</v>
      </c>
      <c r="AD79" s="84"/>
      <c r="AE79" s="84" t="e">
        <f t="shared" ca="1" si="18"/>
        <v>#NAME?</v>
      </c>
      <c r="AF79" s="84" t="e">
        <f t="shared" ca="1" si="18"/>
        <v>#NAME?</v>
      </c>
      <c r="AG79" s="84" t="e">
        <f t="shared" ca="1" si="18"/>
        <v>#NAME?</v>
      </c>
      <c r="AH79" s="84" t="e">
        <f t="shared" ca="1" si="18"/>
        <v>#NAME?</v>
      </c>
      <c r="AI79" s="84" t="e">
        <f t="shared" ca="1" si="18"/>
        <v>#NAME?</v>
      </c>
      <c r="AJ79" s="84" t="e">
        <f t="shared" ca="1" si="18"/>
        <v>#NAME?</v>
      </c>
      <c r="AK79" s="84" t="e">
        <f t="shared" ca="1" si="18"/>
        <v>#NAME?</v>
      </c>
      <c r="AL79" s="84" t="e">
        <f t="shared" ca="1" si="18"/>
        <v>#NAME?</v>
      </c>
      <c r="AM79" s="84" t="e">
        <f t="shared" ca="1" si="18"/>
        <v>#NAME?</v>
      </c>
      <c r="AN79" s="84" t="e">
        <f t="shared" ca="1" si="18"/>
        <v>#NAME?</v>
      </c>
      <c r="AO79" s="84" t="e">
        <f t="shared" ca="1" si="18"/>
        <v>#NAME?</v>
      </c>
      <c r="AP79" s="84" t="e">
        <f t="shared" ca="1" si="18"/>
        <v>#NAME?</v>
      </c>
      <c r="AQ79" s="84" t="e">
        <f t="shared" ca="1" si="18"/>
        <v>#NAME?</v>
      </c>
      <c r="AR79" s="84" t="e">
        <f t="shared" ca="1" si="18"/>
        <v>#NAME?</v>
      </c>
      <c r="AS79" s="84" t="e">
        <f t="shared" ca="1" si="18"/>
        <v>#NAME?</v>
      </c>
      <c r="AT79" s="84" t="e">
        <f t="shared" ca="1" si="18"/>
        <v>#NAME?</v>
      </c>
      <c r="AU79" s="84" t="e">
        <f t="shared" ca="1" si="18"/>
        <v>#NAME?</v>
      </c>
      <c r="AV79" s="84" t="e">
        <f t="shared" ca="1" si="18"/>
        <v>#NAME?</v>
      </c>
      <c r="AW79" s="84" t="e">
        <f t="shared" ca="1" si="18"/>
        <v>#NAME?</v>
      </c>
      <c r="AX79" s="84" t="e">
        <f t="shared" ca="1" si="18"/>
        <v>#NAME?</v>
      </c>
      <c r="AY79" s="84" t="e">
        <f t="shared" ca="1" si="18"/>
        <v>#NAME?</v>
      </c>
      <c r="AZ79" s="84" t="e">
        <f t="shared" ca="1" si="18"/>
        <v>#NAME?</v>
      </c>
      <c r="BA79" s="84" t="e">
        <f t="shared" ca="1" si="18"/>
        <v>#NAME?</v>
      </c>
    </row>
    <row r="80" spans="1:53" s="3" customFormat="1" x14ac:dyDescent="0.25">
      <c r="A80" s="49" t="s">
        <v>49</v>
      </c>
      <c r="B80" s="84" t="str">
        <f ca="1">IF(COUNTIF(B79:I79, "Non")=0, "Oui","Non")</f>
        <v>Oui</v>
      </c>
      <c r="C80" s="84"/>
      <c r="D80" s="84"/>
      <c r="E80" s="84"/>
      <c r="F80" s="84"/>
      <c r="G80" s="84"/>
      <c r="H80" s="84"/>
      <c r="I80" s="84"/>
      <c r="J80" s="84" t="str">
        <f ca="1">IF(COUNTIF(J79:N79, "Non")&gt;0, "Oui","Non")</f>
        <v>Non</v>
      </c>
      <c r="K80" s="84"/>
      <c r="L80" s="84"/>
      <c r="M80" s="84"/>
      <c r="N80" s="84"/>
      <c r="O80" s="84" t="str">
        <f ca="1">IF(COUNTIF(O79:S79, "Non")&gt;0, "Oui","Non")</f>
        <v>Non</v>
      </c>
      <c r="P80" s="84"/>
      <c r="Q80" s="84"/>
      <c r="R80" s="84"/>
      <c r="S80" s="84"/>
      <c r="T80" s="84" t="str">
        <f ca="1">IF(COUNTIF(T79:X79, "Non")&gt;0, "Oui","Non")</f>
        <v>Non</v>
      </c>
      <c r="U80" s="84"/>
      <c r="V80" s="84"/>
      <c r="W80" s="84"/>
      <c r="X80" s="84"/>
      <c r="Y80" s="84" t="str">
        <f ca="1">IF(COUNTIF(Y79:AC79, "Non")&gt;0, "Oui","Non")</f>
        <v>Non</v>
      </c>
      <c r="Z80" s="84"/>
      <c r="AA80" s="84"/>
      <c r="AB80" s="84"/>
      <c r="AC80" s="84"/>
      <c r="AD80" s="84"/>
      <c r="AE80" s="84"/>
      <c r="AF80" s="84"/>
      <c r="AG80" s="84"/>
      <c r="AH80" s="84" t="str">
        <f ca="1">IF(COUNTIF(AH79:AL79, "Non")&gt;0, "Oui","Non")</f>
        <v>Non</v>
      </c>
      <c r="AI80" s="84"/>
      <c r="AJ80" s="84"/>
      <c r="AK80" s="84"/>
      <c r="AL80" s="84"/>
      <c r="AM80" s="84" t="str">
        <f ca="1">IF(COUNTIF(AM79:AQ79, "Non")&gt;0, "Oui","Non")</f>
        <v>Non</v>
      </c>
      <c r="AN80" s="84"/>
      <c r="AO80" s="84"/>
      <c r="AP80" s="84"/>
      <c r="AQ80" s="84"/>
      <c r="AR80" s="84" t="str">
        <f ca="1">IF(COUNTIF(AR79:AV79, "Non")&gt;0, "Oui","Non")</f>
        <v>Non</v>
      </c>
      <c r="AS80" s="84"/>
      <c r="AT80" s="84"/>
      <c r="AU80" s="84"/>
      <c r="AV80" s="84"/>
      <c r="AW80" s="84" t="str">
        <f ca="1">IF(COUNTIF(AW79:BA79, "Non")&gt;0, "Oui","Non")</f>
        <v>Non</v>
      </c>
      <c r="AX80" s="84"/>
      <c r="AY80" s="84"/>
      <c r="AZ80" s="84"/>
      <c r="BA80" s="84"/>
    </row>
    <row r="81" spans="1:53" s="3" customFormat="1" x14ac:dyDescent="0.25">
      <c r="A81" s="49" t="s">
        <v>44</v>
      </c>
      <c r="B81" s="84"/>
      <c r="C81" s="84" t="str">
        <f t="shared" ref="C81:I81" ca="1" si="19">IF($B80="Non","Kruskal-Wallis","ANOVA")</f>
        <v>ANOVA</v>
      </c>
      <c r="D81" s="84" t="str">
        <f t="shared" ca="1" si="19"/>
        <v>ANOVA</v>
      </c>
      <c r="E81" s="84" t="str">
        <f t="shared" ca="1" si="19"/>
        <v>ANOVA</v>
      </c>
      <c r="F81" s="84" t="str">
        <f t="shared" ca="1" si="19"/>
        <v>ANOVA</v>
      </c>
      <c r="G81" s="84" t="str">
        <f t="shared" ca="1" si="19"/>
        <v>ANOVA</v>
      </c>
      <c r="H81" s="84" t="str">
        <f t="shared" ca="1" si="19"/>
        <v>ANOVA</v>
      </c>
      <c r="I81" s="84" t="str">
        <f t="shared" ca="1" si="19"/>
        <v>ANOVA</v>
      </c>
      <c r="J81" s="84" t="e">
        <f t="shared" ref="J81:AC81" ca="1" si="20">IF($B79="Non",IF(J79="Non","Mann Withney",IF(J79="Oui","Mann Withney","")),IF($B79="Oui",IF(J79="Oui","T-Test Welch",IF(J79="Non","Mann Withney",""))))</f>
        <v>#NAME?</v>
      </c>
      <c r="K81" s="84" t="e">
        <f t="shared" ca="1" si="20"/>
        <v>#NAME?</v>
      </c>
      <c r="L81" s="84" t="e">
        <f t="shared" ca="1" si="20"/>
        <v>#NAME?</v>
      </c>
      <c r="M81" s="84" t="e">
        <f t="shared" ca="1" si="20"/>
        <v>#NAME?</v>
      </c>
      <c r="N81" s="84" t="e">
        <f t="shared" ca="1" si="20"/>
        <v>#NAME?</v>
      </c>
      <c r="O81" s="84" t="e">
        <f t="shared" ca="1" si="20"/>
        <v>#NAME?</v>
      </c>
      <c r="P81" s="84" t="e">
        <f t="shared" ca="1" si="20"/>
        <v>#NAME?</v>
      </c>
      <c r="Q81" s="84" t="e">
        <f t="shared" ca="1" si="20"/>
        <v>#NAME?</v>
      </c>
      <c r="R81" s="84" t="e">
        <f t="shared" ca="1" si="20"/>
        <v>#NAME?</v>
      </c>
      <c r="S81" s="84" t="e">
        <f t="shared" ca="1" si="20"/>
        <v>#NAME?</v>
      </c>
      <c r="T81" s="84" t="e">
        <f t="shared" ca="1" si="20"/>
        <v>#NAME?</v>
      </c>
      <c r="U81" s="84" t="e">
        <f t="shared" ca="1" si="20"/>
        <v>#NAME?</v>
      </c>
      <c r="V81" s="84" t="e">
        <f t="shared" ca="1" si="20"/>
        <v>#NAME?</v>
      </c>
      <c r="W81" s="84" t="e">
        <f t="shared" ca="1" si="20"/>
        <v>#NAME?</v>
      </c>
      <c r="X81" s="84" t="e">
        <f t="shared" ca="1" si="20"/>
        <v>#NAME?</v>
      </c>
      <c r="Y81" s="84" t="e">
        <f t="shared" ca="1" si="20"/>
        <v>#NAME?</v>
      </c>
      <c r="Z81" s="84" t="e">
        <f t="shared" ca="1" si="20"/>
        <v>#NAME?</v>
      </c>
      <c r="AA81" s="84" t="e">
        <f t="shared" ca="1" si="20"/>
        <v>#NAME?</v>
      </c>
      <c r="AB81" s="84" t="e">
        <f t="shared" ca="1" si="20"/>
        <v>#NAME?</v>
      </c>
      <c r="AC81" s="84" t="e">
        <f t="shared" ca="1" si="20"/>
        <v>#NAME?</v>
      </c>
      <c r="AD81" s="84"/>
      <c r="AE81" s="84" t="e">
        <f ca="1">IF($B79="Non",IF(AE79="Non","Mann Withney",IF(AE79="Oui","Mann Withney","")),IF($B79="Oui",IF(AE79="Oui","T-Test Welch",IF(AE79="Non","Mann Withney",""))))</f>
        <v>#NAME?</v>
      </c>
      <c r="AF81" s="84" t="e">
        <f t="shared" ref="AF81:BA81" ca="1" si="21">IF($AE79="Non",IF(AF79="Non","Mann Withney",IF(AF$79="Oui","Mann Withney","")),IF($AE79="Oui",IF(AF79="Oui","T-Test Welch",IF(AF79="Non","Mann Withney",""))))</f>
        <v>#NAME?</v>
      </c>
      <c r="AG81" s="84" t="e">
        <f t="shared" ca="1" si="21"/>
        <v>#NAME?</v>
      </c>
      <c r="AH81" s="84" t="e">
        <f t="shared" ca="1" si="21"/>
        <v>#NAME?</v>
      </c>
      <c r="AI81" s="84" t="e">
        <f t="shared" ca="1" si="21"/>
        <v>#NAME?</v>
      </c>
      <c r="AJ81" s="84" t="e">
        <f t="shared" ca="1" si="21"/>
        <v>#NAME?</v>
      </c>
      <c r="AK81" s="84" t="e">
        <f t="shared" ca="1" si="21"/>
        <v>#NAME?</v>
      </c>
      <c r="AL81" s="84" t="e">
        <f t="shared" ca="1" si="21"/>
        <v>#NAME?</v>
      </c>
      <c r="AM81" s="84" t="e">
        <f t="shared" ca="1" si="21"/>
        <v>#NAME?</v>
      </c>
      <c r="AN81" s="84" t="e">
        <f t="shared" ca="1" si="21"/>
        <v>#NAME?</v>
      </c>
      <c r="AO81" s="84" t="e">
        <f t="shared" ca="1" si="21"/>
        <v>#NAME?</v>
      </c>
      <c r="AP81" s="84" t="e">
        <f t="shared" ca="1" si="21"/>
        <v>#NAME?</v>
      </c>
      <c r="AQ81" s="84" t="e">
        <f t="shared" ca="1" si="21"/>
        <v>#NAME?</v>
      </c>
      <c r="AR81" s="84" t="e">
        <f t="shared" ca="1" si="21"/>
        <v>#NAME?</v>
      </c>
      <c r="AS81" s="84" t="e">
        <f t="shared" ca="1" si="21"/>
        <v>#NAME?</v>
      </c>
      <c r="AT81" s="84" t="e">
        <f t="shared" ca="1" si="21"/>
        <v>#NAME?</v>
      </c>
      <c r="AU81" s="84" t="e">
        <f t="shared" ca="1" si="21"/>
        <v>#NAME?</v>
      </c>
      <c r="AV81" s="84" t="e">
        <f t="shared" ca="1" si="21"/>
        <v>#NAME?</v>
      </c>
      <c r="AW81" s="84" t="e">
        <f t="shared" ca="1" si="21"/>
        <v>#NAME?</v>
      </c>
      <c r="AX81" s="84" t="e">
        <f t="shared" ca="1" si="21"/>
        <v>#NAME?</v>
      </c>
      <c r="AY81" s="84" t="e">
        <f t="shared" ca="1" si="21"/>
        <v>#NAME?</v>
      </c>
      <c r="AZ81" s="84" t="e">
        <f t="shared" ca="1" si="21"/>
        <v>#NAME?</v>
      </c>
      <c r="BA81" s="84" t="e">
        <f t="shared" ca="1" si="21"/>
        <v>#NAME?</v>
      </c>
    </row>
    <row r="82" spans="1:53" s="3" customFormat="1" x14ac:dyDescent="0.25">
      <c r="A82" s="49" t="s">
        <v>45</v>
      </c>
      <c r="B82" s="84"/>
      <c r="C82" s="124" t="s">
        <v>74</v>
      </c>
      <c r="D82" s="124" t="s">
        <v>74</v>
      </c>
      <c r="E82" s="124" t="s">
        <v>74</v>
      </c>
      <c r="F82" s="124">
        <v>7.8100000000000003E-2</v>
      </c>
      <c r="G82" s="124" t="s">
        <v>75</v>
      </c>
      <c r="H82" s="124" t="s">
        <v>75</v>
      </c>
      <c r="I82" s="124" t="s">
        <v>74</v>
      </c>
      <c r="J82" s="124" t="s">
        <v>74</v>
      </c>
      <c r="K82" s="124" t="s">
        <v>74</v>
      </c>
      <c r="L82" s="124">
        <v>0.50929999999999997</v>
      </c>
      <c r="M82" s="124" t="s">
        <v>74</v>
      </c>
      <c r="N82" s="84" t="e">
        <f ca="1">IF(N81="Mann Withney",[1]!MTEST($B6:$B53,N6:N53,2), IF(N81="T-Test Welch",_xlfn.T.TEST($B6:$B53,N6:N53,2,3),""))</f>
        <v>#NAME?</v>
      </c>
      <c r="O82" s="84" t="e">
        <f ca="1">IF(O81="Mann Withney",[1]!MTEST($B6:$B53,O6:O53,2), IF(O81="T-Test Welch",_xlfn.T.TEST($B6:$B53,O6:O53,2,3),""))</f>
        <v>#NAME?</v>
      </c>
      <c r="P82" s="84" t="e">
        <f ca="1">IF(P81="Mann Withney",[1]!MTEST($B6:$B53,P6:P53,2), IF(P81="T-Test Welch",_xlfn.T.TEST($B6:$B53,P6:P53,2,3),""))</f>
        <v>#NAME?</v>
      </c>
      <c r="Q82" s="84" t="e">
        <f ca="1">IF(Q81="Mann Withney",[1]!MTEST($B6:$B53,Q6:Q53,2), IF(Q81="T-Test Welch",_xlfn.T.TEST($B6:$B53,Q6:Q53,2,3),""))</f>
        <v>#NAME?</v>
      </c>
      <c r="R82" s="84" t="e">
        <f ca="1">IF(R81="Mann Withney",[1]!MTEST($B6:$B53,R6:R53,2), IF(R81="T-Test Welch",_xlfn.T.TEST($B6:$B53,R6:R53,2,3),""))</f>
        <v>#NAME?</v>
      </c>
      <c r="S82" s="84" t="e">
        <f ca="1">IF(S81="Mann Withney",[1]!MTEST($B6:$B53,S6:S53,2), IF(S81="T-Test Welch",_xlfn.T.TEST($B6:$B53,S6:S53,2,3),""))</f>
        <v>#NAME?</v>
      </c>
      <c r="T82" s="84" t="e">
        <f ca="1">IF(T81="Mann Withney",[1]!MTEST($B6:$B53,T6:T53,2), IF(T81="T-Test Welch",_xlfn.T.TEST($B6:$B53,T6:T53,2,3),""))</f>
        <v>#NAME?</v>
      </c>
      <c r="U82" s="84" t="e">
        <f ca="1">IF(U81="Mann Withney",[1]!MTEST($B6:$B53,U6:U53,2), IF(U81="T-Test Welch",_xlfn.T.TEST($B6:$B53,U6:U53,2,3),""))</f>
        <v>#NAME?</v>
      </c>
      <c r="V82" s="84" t="e">
        <f ca="1">IF(V81="Mann Withney",[1]!MTEST($B6:$B53,V6:V53,2), IF(V81="T-Test Welch",_xlfn.T.TEST($B6:$B53,V6:V53,2,3),""))</f>
        <v>#NAME?</v>
      </c>
      <c r="W82" s="84" t="e">
        <f ca="1">IF(W81="Mann Withney",[1]!MTEST($B6:$B53,W6:W53,2), IF(W81="T-Test Welch",_xlfn.T.TEST($B6:$B53,W6:W53,2,3),""))</f>
        <v>#NAME?</v>
      </c>
      <c r="X82" s="84" t="e">
        <f ca="1">IF(X81="Mann Withney",[1]!MTEST($B6:$B53,X6:X53,2), IF(X81="T-Test Welch",_xlfn.T.TEST($B6:$B53,X6:X53,2,3),""))</f>
        <v>#NAME?</v>
      </c>
      <c r="Y82" s="84" t="e">
        <f ca="1">IF(Y81="Mann Withney",[1]!MTEST($B6:$B53,Y6:Y53,2), IF(Y81="T-Test Welch",_xlfn.T.TEST($B6:$B53,Y6:Y53,2,3),""))</f>
        <v>#NAME?</v>
      </c>
      <c r="Z82" s="84" t="e">
        <f ca="1">IF(Z81="Mann Withney",[1]!MTEST($B6:$B53,Z6:Z53,2), IF(Z81="T-Test Welch",_xlfn.T.TEST($B6:$B53,Z6:Z53,2,3),""))</f>
        <v>#NAME?</v>
      </c>
      <c r="AA82" s="84" t="e">
        <f ca="1">IF(AA81="Mann Withney",[1]!MTEST($B6:$B53,AA6:AA53,2), IF(AA81="T-Test Welch",_xlfn.T.TEST($B6:$B53,AA6:AA53,2,3),""))</f>
        <v>#NAME?</v>
      </c>
      <c r="AB82" s="84" t="e">
        <f ca="1">IF(AB81="Mann Withney",[1]!MTEST($B6:$B53,AB6:AB53,2), IF(AB81="T-Test Welch",_xlfn.T.TEST($B6:$B53,AB6:AB53,2,3),""))</f>
        <v>#NAME?</v>
      </c>
      <c r="AC82" s="84" t="e">
        <f ca="1">IF(AC81="Mann Withney",[1]!MTEST($B6:$B53,AC6:AC53,2), IF(AC81="T-Test Welch",_xlfn.T.TEST($B6:$B53,AC6:AC53,2,3),""))</f>
        <v>#NAME?</v>
      </c>
      <c r="AD82" s="84"/>
      <c r="AE82" s="124" t="s">
        <v>75</v>
      </c>
      <c r="AF82" s="84" t="e">
        <f ca="1">IF(AF81="Mann Withney",[1]!MTEST($AE6:$AE53,AF6:AF53,2), IF(AF81="T-Test Welch",_xlfn.T.TEST($AE6:$AE53,AF6:AF53,2,3),""))</f>
        <v>#NAME?</v>
      </c>
      <c r="AG82" s="124" t="s">
        <v>75</v>
      </c>
      <c r="AH82" s="124">
        <v>0.77</v>
      </c>
      <c r="AI82" s="124">
        <v>0.99990000000000001</v>
      </c>
      <c r="AJ82" s="124">
        <v>0.90510000000000002</v>
      </c>
      <c r="AK82" s="124">
        <v>1.6999999999999999E-3</v>
      </c>
      <c r="AL82" s="124">
        <v>1E-4</v>
      </c>
      <c r="AM82" s="84" t="e">
        <f ca="1">IF(AM81="Mann Withney",[1]!MTEST($AE6:$AE53,AM6:AM53,2), IF(AM81="T-Test Welch",_xlfn.T.TEST($AE6:$AE53,AM6:AM53,2,3),""))</f>
        <v>#NAME?</v>
      </c>
      <c r="AN82" s="84" t="e">
        <f ca="1">IF(AN81="Mann Withney",[1]!MTEST($AE6:$AE53,AN6:AN53,2), IF(AN81="T-Test Welch",_xlfn.T.TEST($AE6:$AE53,AN6:AN53,2,3),""))</f>
        <v>#NAME?</v>
      </c>
      <c r="AO82" s="84" t="e">
        <f ca="1">IF(AO81="Mann Withney",[1]!MTEST($AE6:$AE53,AO6:AO53,2), IF(AO81="T-Test Welch",_xlfn.T.TEST($AE6:$AE53,AO6:AO53,2,3),""))</f>
        <v>#NAME?</v>
      </c>
      <c r="AP82" s="84" t="e">
        <f ca="1">IF(AP81="Mann Withney",[1]!MTEST($AE6:$AE53,AP6:AP53,2), IF(AP81="T-Test Welch",_xlfn.T.TEST($AE6:$AE53,AP6:AP53,2,3),""))</f>
        <v>#NAME?</v>
      </c>
      <c r="AQ82" s="84" t="e">
        <f ca="1">IF(AQ81="Mann Withney",[1]!MTEST($AE6:$AE53,AQ6:AQ53,2), IF(AQ81="T-Test Welch",_xlfn.T.TEST($AE6:$AE53,AQ6:AQ53,2,3),""))</f>
        <v>#NAME?</v>
      </c>
      <c r="AR82" s="84" t="e">
        <f ca="1">IF(AR81="Mann Withney",[1]!MTEST($AE6:$AE53,AR6:AR53,2), IF(AR81="T-Test Welch",_xlfn.T.TEST($AE6:$AE53,AR6:AR53,2,3),""))</f>
        <v>#NAME?</v>
      </c>
      <c r="AS82" s="84" t="e">
        <f ca="1">IF(AS81="Mann Withney",[1]!MTEST($AE6:$AE53,AS6:AS53,2), IF(AS81="T-Test Welch",_xlfn.T.TEST($AE6:$AE53,AS6:AS53,2,3),""))</f>
        <v>#NAME?</v>
      </c>
      <c r="AT82" s="84" t="e">
        <f ca="1">IF(AT81="Mann Withney",[1]!MTEST($AE6:$AE53,AT6:AT53,2), IF(AT81="T-Test Welch",_xlfn.T.TEST($AE6:$AE53,AT6:AT53,2,3),""))</f>
        <v>#NAME?</v>
      </c>
      <c r="AU82" s="84" t="e">
        <f ca="1">IF(AU81="Mann Withney",[1]!MTEST($AE6:$AE53,AU6:AU53,2), IF(AU81="T-Test Welch",_xlfn.T.TEST($AE6:$AE53,AU6:AU53,2,3),""))</f>
        <v>#NAME?</v>
      </c>
      <c r="AV82" s="84" t="e">
        <f ca="1">IF(AV81="Mann Withney",[1]!MTEST($AE6:$AE53,AV6:AV53,2), IF(AV81="T-Test Welch",_xlfn.T.TEST($AE6:$AE53,AV6:AV53,2,3),""))</f>
        <v>#NAME?</v>
      </c>
      <c r="AW82" s="84" t="e">
        <f ca="1">IF(AW81="Mann Withney",[1]!MTEST($AE6:$AE53,AW6:AW53,2), IF(AW81="T-Test Welch",_xlfn.T.TEST($AE6:$AE53,AW6:AW53,2,3),""))</f>
        <v>#NAME?</v>
      </c>
      <c r="AX82" s="84" t="e">
        <f ca="1">IF(AX81="Mann Withney",[1]!MTEST($AE6:$AE53,AX6:AX53,2), IF(AX81="T-Test Welch",_xlfn.T.TEST($AE6:$AE53,AX6:AX53,2,3),""))</f>
        <v>#NAME?</v>
      </c>
      <c r="AY82" s="84" t="e">
        <f ca="1">IF(AY81="Mann Withney",[1]!MTEST($AE6:$AE53,AY6:AY53,2), IF(AY81="T-Test Welch",_xlfn.T.TEST($AE6:$AE53,AY6:AY53,2,3),""))</f>
        <v>#NAME?</v>
      </c>
      <c r="AZ82" s="84" t="e">
        <f ca="1">IF(AZ81="Mann Withney",[1]!MTEST($AE6:$AE53,AZ6:AZ53,2), IF(AZ81="T-Test Welch",_xlfn.T.TEST($AE6:$AE53,AZ6:AZ53,2,3),""))</f>
        <v>#NAME?</v>
      </c>
      <c r="BA82" s="84" t="e">
        <f ca="1">IF(BA81="Mann Withney",[1]!MTEST($AE6:$AE53,BA6:BA53,2), IF(BA81="T-Test Welch",_xlfn.T.TEST($AE6:$AE53,BA6:BA53,2,3),""))</f>
        <v>#NAME?</v>
      </c>
    </row>
    <row r="83" spans="1:53" s="3" customFormat="1" ht="15.75" thickBot="1" x14ac:dyDescent="0.3">
      <c r="A83" s="50" t="s">
        <v>46</v>
      </c>
      <c r="B83" s="85"/>
      <c r="C83" s="85" t="str">
        <f t="shared" ref="C83:AC83" si="22">IF(C82&gt;0.05,"NS",IF(C82&gt;0.01,"*",IF(C82&gt;0.001,"**","***")))</f>
        <v>NS</v>
      </c>
      <c r="D83" s="85" t="str">
        <f t="shared" si="22"/>
        <v>NS</v>
      </c>
      <c r="E83" s="85" t="str">
        <f t="shared" si="22"/>
        <v>NS</v>
      </c>
      <c r="F83" s="85" t="str">
        <f t="shared" si="22"/>
        <v>NS</v>
      </c>
      <c r="G83" s="85" t="s">
        <v>76</v>
      </c>
      <c r="H83" s="85" t="s">
        <v>76</v>
      </c>
      <c r="I83" s="85" t="str">
        <f t="shared" si="22"/>
        <v>NS</v>
      </c>
      <c r="J83" s="85" t="str">
        <f t="shared" si="22"/>
        <v>NS</v>
      </c>
      <c r="K83" s="85" t="str">
        <f t="shared" si="22"/>
        <v>NS</v>
      </c>
      <c r="L83" s="85" t="str">
        <f t="shared" si="22"/>
        <v>NS</v>
      </c>
      <c r="M83" s="85" t="str">
        <f t="shared" si="22"/>
        <v>NS</v>
      </c>
      <c r="N83" s="85" t="e">
        <f t="shared" ca="1" si="22"/>
        <v>#NAME?</v>
      </c>
      <c r="O83" s="85" t="e">
        <f t="shared" ca="1" si="22"/>
        <v>#NAME?</v>
      </c>
      <c r="P83" s="85" t="e">
        <f t="shared" ca="1" si="22"/>
        <v>#NAME?</v>
      </c>
      <c r="Q83" s="85" t="e">
        <f t="shared" ca="1" si="22"/>
        <v>#NAME?</v>
      </c>
      <c r="R83" s="85" t="e">
        <f t="shared" ca="1" si="22"/>
        <v>#NAME?</v>
      </c>
      <c r="S83" s="85" t="e">
        <f t="shared" ca="1" si="22"/>
        <v>#NAME?</v>
      </c>
      <c r="T83" s="85" t="e">
        <f t="shared" ca="1" si="22"/>
        <v>#NAME?</v>
      </c>
      <c r="U83" s="85" t="e">
        <f t="shared" ca="1" si="22"/>
        <v>#NAME?</v>
      </c>
      <c r="V83" s="85" t="e">
        <f t="shared" ca="1" si="22"/>
        <v>#NAME?</v>
      </c>
      <c r="W83" s="85" t="e">
        <f t="shared" ca="1" si="22"/>
        <v>#NAME?</v>
      </c>
      <c r="X83" s="85" t="e">
        <f t="shared" ca="1" si="22"/>
        <v>#NAME?</v>
      </c>
      <c r="Y83" s="85" t="e">
        <f t="shared" ca="1" si="22"/>
        <v>#NAME?</v>
      </c>
      <c r="Z83" s="85" t="e">
        <f t="shared" ca="1" si="22"/>
        <v>#NAME?</v>
      </c>
      <c r="AA83" s="85" t="e">
        <f t="shared" ca="1" si="22"/>
        <v>#NAME?</v>
      </c>
      <c r="AB83" s="85" t="e">
        <f t="shared" ca="1" si="22"/>
        <v>#NAME?</v>
      </c>
      <c r="AC83" s="85" t="e">
        <f t="shared" ca="1" si="22"/>
        <v>#NAME?</v>
      </c>
      <c r="AD83" s="85"/>
      <c r="AE83" s="85" t="s">
        <v>76</v>
      </c>
      <c r="AF83" s="85" t="e">
        <f t="shared" ref="AF83" ca="1" si="23">IF(AF82&gt;0.05,"NS",IF(AF82&gt;0.01,"*",IF(AF82&gt;0.001,"**","***")))</f>
        <v>#NAME?</v>
      </c>
      <c r="AG83" s="85" t="str">
        <f t="shared" ref="AG83:BA83" si="24">IF(AG82&gt;0.05,"NS",IF(AG82&gt;0.01,"*",IF(AG82&gt;0.001,"**","***")))</f>
        <v>NS</v>
      </c>
      <c r="AH83" s="85" t="str">
        <f t="shared" si="24"/>
        <v>NS</v>
      </c>
      <c r="AI83" s="85" t="str">
        <f t="shared" si="24"/>
        <v>NS</v>
      </c>
      <c r="AJ83" s="85" t="str">
        <f t="shared" si="24"/>
        <v>NS</v>
      </c>
      <c r="AK83" s="85" t="str">
        <f t="shared" si="24"/>
        <v>**</v>
      </c>
      <c r="AL83" s="85" t="str">
        <f t="shared" si="24"/>
        <v>***</v>
      </c>
      <c r="AM83" s="85" t="e">
        <f t="shared" ca="1" si="24"/>
        <v>#NAME?</v>
      </c>
      <c r="AN83" s="85" t="e">
        <f t="shared" ca="1" si="24"/>
        <v>#NAME?</v>
      </c>
      <c r="AO83" s="85" t="e">
        <f t="shared" ca="1" si="24"/>
        <v>#NAME?</v>
      </c>
      <c r="AP83" s="85" t="e">
        <f t="shared" ca="1" si="24"/>
        <v>#NAME?</v>
      </c>
      <c r="AQ83" s="85" t="e">
        <f t="shared" ca="1" si="24"/>
        <v>#NAME?</v>
      </c>
      <c r="AR83" s="85" t="e">
        <f t="shared" ca="1" si="24"/>
        <v>#NAME?</v>
      </c>
      <c r="AS83" s="85" t="e">
        <f t="shared" ca="1" si="24"/>
        <v>#NAME?</v>
      </c>
      <c r="AT83" s="85" t="e">
        <f t="shared" ca="1" si="24"/>
        <v>#NAME?</v>
      </c>
      <c r="AU83" s="85" t="e">
        <f t="shared" ca="1" si="24"/>
        <v>#NAME?</v>
      </c>
      <c r="AV83" s="85" t="e">
        <f t="shared" ca="1" si="24"/>
        <v>#NAME?</v>
      </c>
      <c r="AW83" s="85" t="e">
        <f t="shared" ca="1" si="24"/>
        <v>#NAME?</v>
      </c>
      <c r="AX83" s="85" t="e">
        <f t="shared" ca="1" si="24"/>
        <v>#NAME?</v>
      </c>
      <c r="AY83" s="85" t="e">
        <f t="shared" ca="1" si="24"/>
        <v>#NAME?</v>
      </c>
      <c r="AZ83" s="85" t="e">
        <f t="shared" ca="1" si="24"/>
        <v>#NAME?</v>
      </c>
      <c r="BA83" s="85" t="e">
        <f t="shared" ca="1" si="24"/>
        <v>#NAME?</v>
      </c>
    </row>
    <row r="84" spans="1:53" s="1" customFormat="1" x14ac:dyDescent="0.25"/>
    <row r="85" spans="1:53" s="1" customFormat="1" x14ac:dyDescent="0.25">
      <c r="A85" s="2" t="s">
        <v>20</v>
      </c>
    </row>
    <row r="86" spans="1:53" x14ac:dyDescent="0.25">
      <c r="A86" s="1" t="s">
        <v>13</v>
      </c>
      <c r="B86" s="1">
        <f>B56+(3*B57)</f>
        <v>0.12984394212221501</v>
      </c>
    </row>
    <row r="87" spans="1:53" x14ac:dyDescent="0.25">
      <c r="A87" s="1" t="s">
        <v>14</v>
      </c>
      <c r="B87" s="1">
        <f>B56+(10*B57)</f>
        <v>0.37315091296042235</v>
      </c>
    </row>
    <row r="88" spans="1:53" ht="15.75" thickBot="1" x14ac:dyDescent="0.3"/>
    <row r="89" spans="1:53" s="33" customFormat="1" ht="27" thickBot="1" x14ac:dyDescent="0.3">
      <c r="A89" s="34" t="s">
        <v>34</v>
      </c>
      <c r="B89" s="35"/>
      <c r="C89" s="35"/>
      <c r="D89" s="35"/>
      <c r="E89" s="35"/>
      <c r="F89" s="35"/>
      <c r="G89" s="35"/>
      <c r="H89" s="35"/>
      <c r="I89" s="35"/>
      <c r="J89" s="35"/>
      <c r="K89" s="35"/>
      <c r="L89" s="35"/>
      <c r="M89" s="35"/>
      <c r="N89" s="35"/>
      <c r="O89" s="35"/>
      <c r="P89" s="35"/>
      <c r="Q89" s="35"/>
      <c r="R89" s="35"/>
      <c r="S89" s="35"/>
      <c r="T89" s="35"/>
      <c r="U89" s="35"/>
      <c r="V89" s="35"/>
      <c r="W89" s="35"/>
      <c r="X89" s="63"/>
      <c r="Y89" s="63"/>
      <c r="Z89" s="63"/>
      <c r="AA89" s="63"/>
      <c r="AB89" s="63"/>
      <c r="AC89" s="35"/>
      <c r="AD89" s="35"/>
      <c r="AE89" s="35"/>
      <c r="AF89" s="35"/>
      <c r="AG89" s="35"/>
      <c r="AH89" s="35"/>
      <c r="AI89" s="35"/>
      <c r="AJ89" s="35"/>
      <c r="AK89" s="35"/>
      <c r="AL89" s="35"/>
      <c r="AM89" s="35"/>
      <c r="AN89" s="35"/>
      <c r="AO89" s="35"/>
      <c r="AP89" s="35"/>
      <c r="AQ89" s="35"/>
      <c r="AR89" s="35"/>
      <c r="AS89" s="35"/>
      <c r="AT89" s="35"/>
      <c r="AU89" s="64"/>
      <c r="AV89" s="64"/>
      <c r="AW89" s="64"/>
      <c r="AX89" s="64"/>
      <c r="AY89" s="64"/>
      <c r="AZ89" s="64"/>
      <c r="BA89" s="36"/>
    </row>
    <row r="90" spans="1:53" ht="15.75" thickBot="1" x14ac:dyDescent="0.3"/>
    <row r="91" spans="1:53" s="33" customFormat="1" ht="27" thickBot="1" x14ac:dyDescent="0.3">
      <c r="A91" s="34" t="s">
        <v>35</v>
      </c>
      <c r="B91" s="35"/>
      <c r="C91" s="35"/>
      <c r="D91" s="35"/>
      <c r="E91" s="35"/>
      <c r="F91" s="35"/>
      <c r="G91" s="35"/>
      <c r="H91" s="35"/>
      <c r="I91" s="35"/>
      <c r="J91" s="35"/>
      <c r="K91" s="35"/>
      <c r="L91" s="35"/>
      <c r="M91" s="35"/>
      <c r="N91" s="35"/>
      <c r="O91" s="35"/>
      <c r="P91" s="35"/>
      <c r="Q91" s="35"/>
      <c r="R91" s="35"/>
      <c r="S91" s="35"/>
      <c r="T91" s="35"/>
      <c r="U91" s="35"/>
      <c r="V91" s="35"/>
      <c r="W91" s="35"/>
      <c r="X91" s="63"/>
      <c r="Y91" s="63"/>
      <c r="Z91" s="63"/>
      <c r="AA91" s="63"/>
      <c r="AB91" s="63"/>
      <c r="AC91" s="35"/>
      <c r="AD91" s="35"/>
      <c r="AE91" s="35"/>
      <c r="AF91" s="35"/>
      <c r="AG91" s="35"/>
      <c r="AH91" s="35"/>
      <c r="AI91" s="35"/>
      <c r="AJ91" s="35"/>
      <c r="AK91" s="35"/>
      <c r="AL91" s="35"/>
      <c r="AM91" s="35"/>
      <c r="AN91" s="35"/>
      <c r="AO91" s="35"/>
      <c r="AP91" s="35"/>
      <c r="AQ91" s="35"/>
      <c r="AR91" s="35"/>
      <c r="AS91" s="35"/>
      <c r="AT91" s="35"/>
      <c r="AU91" s="64"/>
      <c r="AV91" s="64"/>
      <c r="AW91" s="64"/>
      <c r="AX91" s="64"/>
      <c r="AY91" s="64"/>
      <c r="AZ91" s="64"/>
      <c r="BA91" s="36"/>
    </row>
    <row r="92" spans="1:53" ht="15.75" thickBot="1" x14ac:dyDescent="0.3"/>
    <row r="93" spans="1:53" s="33" customFormat="1" ht="27" thickBot="1" x14ac:dyDescent="0.3">
      <c r="A93" s="162" t="s">
        <v>36</v>
      </c>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4"/>
    </row>
    <row r="94" spans="1:53" x14ac:dyDescent="0.25">
      <c r="B94" s="1">
        <f t="shared" ref="B94:BA94" si="25">B75/$B$75</f>
        <v>1</v>
      </c>
      <c r="C94" s="1">
        <f t="shared" si="25"/>
        <v>0.95492276522281594</v>
      </c>
      <c r="D94" s="1">
        <f t="shared" si="25"/>
        <v>1.3106896203623406</v>
      </c>
      <c r="E94" s="1">
        <f t="shared" si="25"/>
        <v>9.2206258369626219</v>
      </c>
      <c r="F94" s="1">
        <f t="shared" si="25"/>
        <v>18.884328296092935</v>
      </c>
      <c r="G94" s="1">
        <f t="shared" si="25"/>
        <v>38.765942065977313</v>
      </c>
      <c r="H94" s="1">
        <f>H75/$B$75</f>
        <v>84.764015902196022</v>
      </c>
      <c r="I94" s="1">
        <f t="shared" si="25"/>
        <v>1.0934792617833524</v>
      </c>
      <c r="J94" s="1">
        <f t="shared" si="25"/>
        <v>0.68979847871830635</v>
      </c>
      <c r="K94" s="1">
        <f t="shared" si="25"/>
        <v>1.3405110062437069</v>
      </c>
      <c r="L94" s="1">
        <f t="shared" si="25"/>
        <v>0.70298282788719157</v>
      </c>
      <c r="M94" s="1">
        <f t="shared" si="25"/>
        <v>3.0345495182474052</v>
      </c>
      <c r="N94" s="1" t="e">
        <f t="shared" si="25"/>
        <v>#REF!</v>
      </c>
      <c r="O94" s="1" t="e">
        <f t="shared" si="25"/>
        <v>#REF!</v>
      </c>
      <c r="P94" s="1" t="e">
        <f t="shared" si="25"/>
        <v>#REF!</v>
      </c>
      <c r="Q94" s="1" t="e">
        <f t="shared" si="25"/>
        <v>#REF!</v>
      </c>
      <c r="R94" s="1" t="e">
        <f t="shared" si="25"/>
        <v>#REF!</v>
      </c>
      <c r="S94" s="1" t="e">
        <f t="shared" si="25"/>
        <v>#REF!</v>
      </c>
      <c r="T94" s="1" t="e">
        <f t="shared" si="25"/>
        <v>#REF!</v>
      </c>
      <c r="U94" s="1" t="e">
        <f t="shared" si="25"/>
        <v>#REF!</v>
      </c>
      <c r="V94" s="1" t="e">
        <f t="shared" si="25"/>
        <v>#REF!</v>
      </c>
      <c r="W94" s="1" t="e">
        <f t="shared" si="25"/>
        <v>#REF!</v>
      </c>
      <c r="X94" s="1" t="e">
        <f t="shared" si="25"/>
        <v>#REF!</v>
      </c>
      <c r="Y94" s="1" t="e">
        <f t="shared" si="25"/>
        <v>#REF!</v>
      </c>
      <c r="Z94" s="1" t="e">
        <f t="shared" si="25"/>
        <v>#REF!</v>
      </c>
      <c r="AA94" s="1" t="e">
        <f t="shared" si="25"/>
        <v>#REF!</v>
      </c>
      <c r="AB94" s="1" t="e">
        <f t="shared" si="25"/>
        <v>#REF!</v>
      </c>
      <c r="AC94" s="1" t="e">
        <f t="shared" si="25"/>
        <v>#REF!</v>
      </c>
      <c r="AD94" s="1">
        <f t="shared" si="25"/>
        <v>0</v>
      </c>
      <c r="AE94" s="1">
        <f t="shared" si="25"/>
        <v>39.109054978003257</v>
      </c>
      <c r="AF94" s="1">
        <f t="shared" si="25"/>
        <v>63.29569052178767</v>
      </c>
      <c r="AG94" s="1">
        <f t="shared" si="25"/>
        <v>1.5723509918381933</v>
      </c>
      <c r="AH94" s="1">
        <f t="shared" si="25"/>
        <v>44.822369418478623</v>
      </c>
      <c r="AI94" s="1">
        <f t="shared" si="25"/>
        <v>38.48008594760406</v>
      </c>
      <c r="AJ94" s="1">
        <f t="shared" si="25"/>
        <v>43.469227515665118</v>
      </c>
      <c r="AK94" s="1">
        <f t="shared" si="25"/>
        <v>60.393236838375202</v>
      </c>
      <c r="AL94" s="1">
        <f t="shared" si="25"/>
        <v>72.567481413837726</v>
      </c>
      <c r="AM94" s="1" t="e">
        <f t="shared" si="25"/>
        <v>#DIV/0!</v>
      </c>
      <c r="AN94" s="1" t="e">
        <f t="shared" si="25"/>
        <v>#DIV/0!</v>
      </c>
      <c r="AO94" s="1" t="e">
        <f t="shared" si="25"/>
        <v>#DIV/0!</v>
      </c>
      <c r="AP94" s="1" t="e">
        <f t="shared" si="25"/>
        <v>#DIV/0!</v>
      </c>
      <c r="AQ94" s="1" t="e">
        <f t="shared" si="25"/>
        <v>#DIV/0!</v>
      </c>
      <c r="AR94" s="1" t="e">
        <f t="shared" si="25"/>
        <v>#DIV/0!</v>
      </c>
      <c r="AS94" s="1" t="e">
        <f t="shared" si="25"/>
        <v>#DIV/0!</v>
      </c>
      <c r="AT94" s="1" t="e">
        <f t="shared" si="25"/>
        <v>#DIV/0!</v>
      </c>
      <c r="AU94" s="1" t="e">
        <f t="shared" si="25"/>
        <v>#DIV/0!</v>
      </c>
      <c r="AV94" s="1" t="e">
        <f t="shared" si="25"/>
        <v>#DIV/0!</v>
      </c>
      <c r="AW94" s="1" t="e">
        <f t="shared" si="25"/>
        <v>#DIV/0!</v>
      </c>
      <c r="AX94" s="1" t="e">
        <f t="shared" si="25"/>
        <v>#DIV/0!</v>
      </c>
      <c r="AY94" s="1" t="e">
        <f t="shared" si="25"/>
        <v>#DIV/0!</v>
      </c>
      <c r="AZ94" s="1" t="e">
        <f t="shared" si="25"/>
        <v>#DIV/0!</v>
      </c>
      <c r="BA94" s="1" t="e">
        <f t="shared" si="25"/>
        <v>#DIV/0!</v>
      </c>
    </row>
  </sheetData>
  <mergeCells count="10">
    <mergeCell ref="A7:A21"/>
    <mergeCell ref="A23:A37"/>
    <mergeCell ref="A93:BA93"/>
    <mergeCell ref="AE3:BA3"/>
    <mergeCell ref="B3:AC3"/>
    <mergeCell ref="A60:BA60"/>
    <mergeCell ref="A72:BA72"/>
    <mergeCell ref="A70:BA70"/>
    <mergeCell ref="A65:BA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0EABBC-63C1-4B71-AD65-7A1BDC4BC162}">
  <ds:schemaRefs>
    <ds:schemaRef ds:uri="http://schemas.microsoft.com/sharepoint/v3/contenttype/forms"/>
  </ds:schemaRefs>
</ds:datastoreItem>
</file>

<file path=customXml/itemProps2.xml><?xml version="1.0" encoding="utf-8"?>
<ds:datastoreItem xmlns:ds="http://schemas.openxmlformats.org/officeDocument/2006/customXml" ds:itemID="{61569B6D-1467-40B0-A8B5-1D68B67072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2023-01-11T15:07:39Z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2023-01-11T15:07:39Z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c754079c-c7f6-4112-a49f-18c8cc671e59</vt:lpwstr>
  </property>
  <property fmtid="{D5CDD505-2E9C-101B-9397-08002B2CF9AE}" pid="8" name="MSIP_Label_06530cf4-8573-4c29-a912-bbcdac835909_ContentBits">
    <vt:lpwstr>2</vt:lpwstr>
  </property>
</Properties>
</file>