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6.xml" ContentType="application/vnd.openxmlformats-officedocument.drawingml.chartshapes+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3.xml" ContentType="application/vnd.openxmlformats-officedocument.spreadsheetml.chartsheet+xml"/>
  <Override PartName="/xl/worksheets/sheet10.xml" ContentType="application/vnd.openxmlformats-officedocument.spreadsheetml.worksheet+xml"/>
  <Override PartName="/xl/chartsheets/sheet4.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4.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0" documentId="13_ncr:1_{F5796778-D851-4808-83EF-996376D85B3A}" xr6:coauthVersionLast="47" xr6:coauthVersionMax="47" xr10:uidLastSave="{00000000-0000-0000-0000-000000000000}"/>
  <bookViews>
    <workbookView xWindow="-110" yWindow="-110" windowWidth="19420" windowHeight="10420" firstSheet="9" activeTab="12" xr2:uid="{00000000-000D-0000-FFFF-FFFF00000000}"/>
  </bookViews>
  <sheets>
    <sheet name="Page de garde" sheetId="10" r:id="rId1"/>
    <sheet name="Feuil1" sheetId="39" r:id="rId2"/>
    <sheet name="Raw data R1" sheetId="35" r:id="rId3"/>
    <sheet name="Feuil2" sheetId="40" r:id="rId4"/>
    <sheet name="R1" sheetId="1" r:id="rId5"/>
    <sheet name="Graph R1" sheetId="8" r:id="rId6"/>
    <sheet name="Raw data R2" sheetId="36" r:id="rId7"/>
    <sheet name="R2" sheetId="23" r:id="rId8"/>
    <sheet name="Graph R2" sheetId="19" r:id="rId9"/>
    <sheet name="Raw data R3" sheetId="37" r:id="rId10"/>
    <sheet name="R3" sheetId="33" r:id="rId11"/>
    <sheet name="Graph R3" sheetId="34" r:id="rId12"/>
    <sheet name="pooled normalised values" sheetId="4" r:id="rId13"/>
    <sheet name="pooled normalised graphe" sheetId="5" r:id="rId14"/>
    <sheet name="summary results" sheetId="22" r:id="rId15"/>
    <sheet name="Notice" sheetId="38" r:id="rId16"/>
    <sheet name="Graph format rapport CHG" sheetId="12" r:id="rId17"/>
    <sheet name="Graph format rapport CHG 1éch" sheetId="27" r:id="rId18"/>
    <sheet name="Récap" sheetId="28" r:id="rId19"/>
  </sheets>
  <externalReferences>
    <externalReference r:id="rId20"/>
    <externalReference r:id="rId21"/>
  </externalReferences>
  <definedNames>
    <definedName name="_xlnm.Print_Area" localSheetId="0">'Page de garde'!$A$1:$I$52</definedName>
  </definedNames>
  <calcPr calcId="181029"/>
  <pivotCaches>
    <pivotCache cacheId="4" r:id="rId22"/>
    <pivotCache cacheId="5" r:id="rId23"/>
    <pivotCache cacheId="6" r:id="rId24"/>
    <pivotCache cacheId="7" r:id="rId25"/>
  </pivotCache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L6" i="33" l="1"/>
  <c r="L7" i="33"/>
  <c r="L8" i="33"/>
  <c r="L9" i="33"/>
  <c r="L10" i="33"/>
  <c r="L11" i="33"/>
  <c r="L12" i="33"/>
  <c r="L5" i="33"/>
  <c r="K6" i="33"/>
  <c r="K7" i="33"/>
  <c r="K8" i="33"/>
  <c r="K9" i="33"/>
  <c r="K10" i="33"/>
  <c r="K11" i="33"/>
  <c r="K12" i="33"/>
  <c r="K5" i="33"/>
  <c r="J6" i="33"/>
  <c r="J7" i="33"/>
  <c r="J8" i="33"/>
  <c r="J9" i="33"/>
  <c r="J10" i="33"/>
  <c r="J11" i="33"/>
  <c r="J12" i="33"/>
  <c r="J5" i="33"/>
  <c r="H6" i="33"/>
  <c r="H7" i="33"/>
  <c r="H8" i="33"/>
  <c r="H9" i="33"/>
  <c r="H10" i="33"/>
  <c r="H11" i="33"/>
  <c r="H12" i="33"/>
  <c r="H5" i="33"/>
  <c r="G6" i="33"/>
  <c r="G7" i="33"/>
  <c r="G8" i="33"/>
  <c r="G9" i="33"/>
  <c r="G10" i="33"/>
  <c r="G11" i="33"/>
  <c r="G12" i="33"/>
  <c r="G5" i="33"/>
  <c r="F6" i="33"/>
  <c r="F7" i="33"/>
  <c r="F8" i="33"/>
  <c r="F9" i="33"/>
  <c r="F10" i="33"/>
  <c r="F11" i="33"/>
  <c r="F12" i="33"/>
  <c r="F5" i="33"/>
  <c r="E7" i="33"/>
  <c r="E8" i="33"/>
  <c r="E9" i="33"/>
  <c r="E10" i="33"/>
  <c r="E11" i="33"/>
  <c r="E12" i="33"/>
  <c r="E5" i="33"/>
  <c r="D6" i="33"/>
  <c r="D7" i="33"/>
  <c r="D8" i="33"/>
  <c r="D9" i="33"/>
  <c r="D10" i="33"/>
  <c r="D11" i="33"/>
  <c r="D12" i="33"/>
  <c r="D5" i="33"/>
  <c r="C6" i="33"/>
  <c r="C7" i="33"/>
  <c r="C8" i="33"/>
  <c r="C9" i="33"/>
  <c r="C10" i="33"/>
  <c r="C11" i="33"/>
  <c r="C12" i="33"/>
  <c r="C5" i="33"/>
  <c r="B6" i="33"/>
  <c r="B7" i="33"/>
  <c r="B8" i="33"/>
  <c r="B9" i="33"/>
  <c r="B10" i="33"/>
  <c r="B11" i="33"/>
  <c r="B12" i="33"/>
  <c r="B5" i="33"/>
  <c r="L6" i="23"/>
  <c r="L7" i="23"/>
  <c r="L8" i="23"/>
  <c r="L9" i="23"/>
  <c r="L10" i="23"/>
  <c r="L11" i="23"/>
  <c r="L12" i="23"/>
  <c r="L5" i="23"/>
  <c r="K6" i="23"/>
  <c r="K7" i="23"/>
  <c r="K8" i="23"/>
  <c r="K9" i="23"/>
  <c r="K10" i="23"/>
  <c r="K11" i="23"/>
  <c r="K12" i="23"/>
  <c r="K5" i="23"/>
  <c r="J6" i="23"/>
  <c r="J7" i="23"/>
  <c r="J8" i="23"/>
  <c r="J9" i="23"/>
  <c r="J10" i="23"/>
  <c r="J11" i="23"/>
  <c r="J12" i="23"/>
  <c r="J5" i="23"/>
  <c r="H6" i="23"/>
  <c r="H7" i="23"/>
  <c r="H8" i="23"/>
  <c r="H9" i="23"/>
  <c r="H10" i="23"/>
  <c r="H11" i="23"/>
  <c r="H12" i="23"/>
  <c r="H5" i="23"/>
  <c r="G6" i="23"/>
  <c r="G7" i="23"/>
  <c r="G8" i="23"/>
  <c r="G9" i="23"/>
  <c r="G10" i="23"/>
  <c r="G11" i="23"/>
  <c r="G12" i="23"/>
  <c r="G5" i="23"/>
  <c r="F6" i="23"/>
  <c r="F7" i="23"/>
  <c r="F8" i="23"/>
  <c r="F10" i="23"/>
  <c r="F11" i="23"/>
  <c r="F12" i="23"/>
  <c r="F5" i="23"/>
  <c r="E6" i="23"/>
  <c r="E7" i="23"/>
  <c r="E8" i="23"/>
  <c r="E9" i="23"/>
  <c r="E10" i="23"/>
  <c r="E11" i="23"/>
  <c r="E12" i="23"/>
  <c r="E5" i="23"/>
  <c r="D6" i="23"/>
  <c r="D7" i="23"/>
  <c r="D8" i="23"/>
  <c r="D9" i="23"/>
  <c r="D10" i="23"/>
  <c r="D11" i="23"/>
  <c r="D12" i="23"/>
  <c r="D5" i="23"/>
  <c r="C6" i="23"/>
  <c r="C7" i="23"/>
  <c r="C8" i="23"/>
  <c r="C9" i="23"/>
  <c r="C10" i="23"/>
  <c r="C11" i="23"/>
  <c r="C12" i="23"/>
  <c r="C5" i="23"/>
  <c r="B12" i="23"/>
  <c r="B6" i="23"/>
  <c r="B7" i="23"/>
  <c r="B8" i="23"/>
  <c r="B9" i="23"/>
  <c r="B10" i="23"/>
  <c r="B11" i="23"/>
  <c r="B5" i="23"/>
  <c r="L6" i="1"/>
  <c r="L7" i="1"/>
  <c r="L8" i="1"/>
  <c r="L9" i="1"/>
  <c r="L10" i="1"/>
  <c r="L11" i="1"/>
  <c r="L12" i="1"/>
  <c r="L5" i="1"/>
  <c r="J6" i="1"/>
  <c r="J7" i="1"/>
  <c r="J8" i="1"/>
  <c r="J9" i="1"/>
  <c r="J10" i="1"/>
  <c r="J11" i="1"/>
  <c r="J12" i="1"/>
  <c r="J5" i="1"/>
  <c r="H6" i="1"/>
  <c r="H7" i="1"/>
  <c r="H8" i="1"/>
  <c r="H9" i="1"/>
  <c r="H10" i="1"/>
  <c r="H11" i="1"/>
  <c r="H12" i="1"/>
  <c r="H5" i="1"/>
  <c r="G6" i="1"/>
  <c r="G7" i="1"/>
  <c r="G8" i="1"/>
  <c r="G10" i="1"/>
  <c r="G11" i="1"/>
  <c r="G12" i="1"/>
  <c r="G5" i="1"/>
  <c r="F6" i="1"/>
  <c r="F7" i="1"/>
  <c r="F8" i="1"/>
  <c r="F9" i="1"/>
  <c r="F10" i="1"/>
  <c r="F11" i="1"/>
  <c r="F12" i="1"/>
  <c r="F5" i="1"/>
  <c r="E6" i="1"/>
  <c r="E7" i="1"/>
  <c r="E8" i="1"/>
  <c r="E9" i="1"/>
  <c r="E10" i="1"/>
  <c r="E11" i="1"/>
  <c r="E12" i="1"/>
  <c r="E5" i="1"/>
  <c r="D6" i="1"/>
  <c r="D7" i="1"/>
  <c r="D8" i="1"/>
  <c r="D9" i="1"/>
  <c r="D10" i="1"/>
  <c r="D11" i="1"/>
  <c r="D12" i="1"/>
  <c r="D5" i="1"/>
  <c r="C6" i="1"/>
  <c r="C7" i="1"/>
  <c r="C10" i="1"/>
  <c r="C11" i="1"/>
  <c r="C12" i="1"/>
  <c r="C5" i="1"/>
  <c r="B7" i="1"/>
  <c r="B8" i="1"/>
  <c r="B5" i="1"/>
  <c r="B78" i="4"/>
  <c r="H78" i="4"/>
  <c r="D78" i="4"/>
  <c r="L78" i="4"/>
  <c r="G78" i="4"/>
  <c r="C78" i="4"/>
  <c r="F78" i="4"/>
  <c r="K78" i="4"/>
  <c r="J78" i="4"/>
  <c r="E78" i="4"/>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L43" i="33"/>
  <c r="L53" i="4" s="1"/>
  <c r="K43" i="33"/>
  <c r="K53" i="4" s="1"/>
  <c r="J43" i="33"/>
  <c r="J53" i="4" s="1"/>
  <c r="H43" i="33"/>
  <c r="H53" i="4" s="1"/>
  <c r="G43" i="33"/>
  <c r="G53" i="4" s="1"/>
  <c r="F43" i="33"/>
  <c r="F53" i="4" s="1"/>
  <c r="E43" i="33"/>
  <c r="E53" i="4" s="1"/>
  <c r="D43" i="33"/>
  <c r="D53" i="4" s="1"/>
  <c r="C43" i="33"/>
  <c r="C53" i="4" s="1"/>
  <c r="B43" i="33"/>
  <c r="B53" i="4" s="1"/>
  <c r="L42" i="33"/>
  <c r="L52" i="4" s="1"/>
  <c r="K42" i="33"/>
  <c r="K52" i="4" s="1"/>
  <c r="J42" i="33"/>
  <c r="J52" i="4" s="1"/>
  <c r="H42" i="33"/>
  <c r="H52" i="4" s="1"/>
  <c r="G42" i="33"/>
  <c r="G52" i="4" s="1"/>
  <c r="F42" i="33"/>
  <c r="F52" i="4" s="1"/>
  <c r="E42" i="33"/>
  <c r="E52" i="4" s="1"/>
  <c r="D42" i="33"/>
  <c r="D52" i="4" s="1"/>
  <c r="C42" i="33"/>
  <c r="C52" i="4" s="1"/>
  <c r="B42" i="33"/>
  <c r="B52" i="4" s="1"/>
  <c r="L41" i="33"/>
  <c r="L51" i="4" s="1"/>
  <c r="K41" i="33"/>
  <c r="K51" i="4" s="1"/>
  <c r="J41" i="33"/>
  <c r="J51" i="4" s="1"/>
  <c r="H41" i="33"/>
  <c r="H51" i="4" s="1"/>
  <c r="G41" i="33"/>
  <c r="G51" i="4" s="1"/>
  <c r="F41" i="33"/>
  <c r="F51" i="4" s="1"/>
  <c r="E41" i="33"/>
  <c r="E51" i="4" s="1"/>
  <c r="D41" i="33"/>
  <c r="D51" i="4" s="1"/>
  <c r="C41" i="33"/>
  <c r="C51" i="4" s="1"/>
  <c r="B41" i="33"/>
  <c r="B51" i="4" s="1"/>
  <c r="L40" i="33"/>
  <c r="L50" i="4" s="1"/>
  <c r="K40" i="33"/>
  <c r="K50" i="4" s="1"/>
  <c r="J40" i="33"/>
  <c r="J50" i="4" s="1"/>
  <c r="H40" i="33"/>
  <c r="H50" i="4" s="1"/>
  <c r="G40" i="33"/>
  <c r="G50" i="4" s="1"/>
  <c r="F40" i="33"/>
  <c r="F50" i="4" s="1"/>
  <c r="E40" i="33"/>
  <c r="E50" i="4" s="1"/>
  <c r="D40" i="33"/>
  <c r="D50" i="4" s="1"/>
  <c r="C40" i="33"/>
  <c r="C50" i="4" s="1"/>
  <c r="B40" i="33"/>
  <c r="B50" i="4" s="1"/>
  <c r="L39" i="33"/>
  <c r="L49" i="4" s="1"/>
  <c r="K39" i="33"/>
  <c r="K49" i="4" s="1"/>
  <c r="J39" i="33"/>
  <c r="J49" i="4" s="1"/>
  <c r="H39" i="33"/>
  <c r="H49" i="4" s="1"/>
  <c r="G39" i="33"/>
  <c r="G49" i="4" s="1"/>
  <c r="F39" i="33"/>
  <c r="F49" i="4" s="1"/>
  <c r="E39" i="33"/>
  <c r="E49" i="4" s="1"/>
  <c r="D39" i="33"/>
  <c r="D49" i="4" s="1"/>
  <c r="C39" i="33"/>
  <c r="C49" i="4" s="1"/>
  <c r="B39" i="33"/>
  <c r="B49" i="4" s="1"/>
  <c r="L38" i="33"/>
  <c r="L48" i="4" s="1"/>
  <c r="K38" i="33"/>
  <c r="K48" i="4" s="1"/>
  <c r="J38" i="33"/>
  <c r="J48" i="4" s="1"/>
  <c r="H38" i="33"/>
  <c r="H48" i="4" s="1"/>
  <c r="G38" i="33"/>
  <c r="G48" i="4" s="1"/>
  <c r="F38" i="33"/>
  <c r="F48" i="4" s="1"/>
  <c r="E38" i="33"/>
  <c r="E48" i="4" s="1"/>
  <c r="D38" i="33"/>
  <c r="D48" i="4" s="1"/>
  <c r="C38" i="33"/>
  <c r="C48" i="4" s="1"/>
  <c r="B38" i="33"/>
  <c r="B48" i="4" s="1"/>
  <c r="L37" i="33"/>
  <c r="L47" i="4" s="1"/>
  <c r="K37" i="33"/>
  <c r="K47" i="4" s="1"/>
  <c r="J37" i="33"/>
  <c r="J47" i="4" s="1"/>
  <c r="H37" i="33"/>
  <c r="H47" i="4" s="1"/>
  <c r="G37" i="33"/>
  <c r="G47" i="4" s="1"/>
  <c r="F37" i="33"/>
  <c r="F47" i="4" s="1"/>
  <c r="E37" i="33"/>
  <c r="E47" i="4" s="1"/>
  <c r="D37" i="33"/>
  <c r="D47" i="4" s="1"/>
  <c r="C37" i="33"/>
  <c r="C47" i="4" s="1"/>
  <c r="B37" i="33"/>
  <c r="B47" i="4" s="1"/>
  <c r="L36" i="33"/>
  <c r="L46" i="4" s="1"/>
  <c r="K36" i="33"/>
  <c r="K46" i="4" s="1"/>
  <c r="J36" i="33"/>
  <c r="J46" i="4" s="1"/>
  <c r="H36" i="33"/>
  <c r="H46" i="4" s="1"/>
  <c r="G36" i="33"/>
  <c r="G46" i="4" s="1"/>
  <c r="F36" i="33"/>
  <c r="F46" i="4" s="1"/>
  <c r="D36" i="33"/>
  <c r="D46" i="4" s="1"/>
  <c r="C36" i="33"/>
  <c r="C46" i="4" s="1"/>
  <c r="L24" i="33"/>
  <c r="K24" i="33"/>
  <c r="J24" i="33"/>
  <c r="H24" i="33"/>
  <c r="G24" i="33"/>
  <c r="F24" i="33"/>
  <c r="E24" i="33"/>
  <c r="D24" i="33"/>
  <c r="C24" i="33"/>
  <c r="B24" i="33"/>
  <c r="L23" i="33"/>
  <c r="K23" i="33"/>
  <c r="J23" i="33"/>
  <c r="F35" i="33" s="1"/>
  <c r="F45" i="4" s="1"/>
  <c r="H23" i="33"/>
  <c r="G23" i="33"/>
  <c r="F23" i="33"/>
  <c r="E23" i="33"/>
  <c r="D23" i="33"/>
  <c r="C23" i="33"/>
  <c r="B23" i="33"/>
  <c r="A22" i="33"/>
  <c r="H22" i="33"/>
  <c r="G45" i="33"/>
  <c r="F27" i="33"/>
  <c r="F52" i="33" s="1"/>
  <c r="E45" i="33"/>
  <c r="D22" i="33"/>
  <c r="C45" i="33"/>
  <c r="B45" i="33"/>
  <c r="L30" i="33" l="1"/>
  <c r="L40" i="4" s="1"/>
  <c r="K32" i="33"/>
  <c r="K42" i="4" s="1"/>
  <c r="F28" i="33"/>
  <c r="K33" i="33"/>
  <c r="K43" i="4" s="1"/>
  <c r="G30" i="33"/>
  <c r="G40" i="4" s="1"/>
  <c r="G34" i="33"/>
  <c r="G44" i="4" s="1"/>
  <c r="K28" i="33"/>
  <c r="C29" i="33"/>
  <c r="C39" i="4" s="1"/>
  <c r="L31" i="33"/>
  <c r="L41" i="4" s="1"/>
  <c r="L32" i="33"/>
  <c r="L42" i="4" s="1"/>
  <c r="L28" i="33"/>
  <c r="K29" i="33"/>
  <c r="L33" i="33"/>
  <c r="L43" i="4" s="1"/>
  <c r="K34" i="33"/>
  <c r="K44" i="4" s="1"/>
  <c r="K35" i="33"/>
  <c r="K45" i="4" s="1"/>
  <c r="L29" i="33"/>
  <c r="L39" i="4" s="1"/>
  <c r="K30" i="33"/>
  <c r="K40" i="4" s="1"/>
  <c r="K31" i="33"/>
  <c r="K41" i="4" s="1"/>
  <c r="J32" i="33"/>
  <c r="J42" i="4" s="1"/>
  <c r="C33" i="33"/>
  <c r="C43" i="4" s="1"/>
  <c r="L34" i="33"/>
  <c r="L44" i="4" s="1"/>
  <c r="L35" i="33"/>
  <c r="L45" i="4" s="1"/>
  <c r="G29" i="33"/>
  <c r="G39" i="4" s="1"/>
  <c r="J31" i="33"/>
  <c r="J41" i="4" s="1"/>
  <c r="C32" i="33"/>
  <c r="C42" i="4" s="1"/>
  <c r="G33" i="33"/>
  <c r="G43" i="4" s="1"/>
  <c r="J35" i="33"/>
  <c r="J45" i="4" s="1"/>
  <c r="J30" i="33"/>
  <c r="J40" i="4" s="1"/>
  <c r="C31" i="33"/>
  <c r="C41" i="4" s="1"/>
  <c r="G32" i="33"/>
  <c r="G42" i="4" s="1"/>
  <c r="J34" i="33"/>
  <c r="J44" i="4" s="1"/>
  <c r="C35" i="33"/>
  <c r="C45" i="4" s="1"/>
  <c r="B28" i="33"/>
  <c r="J29" i="33"/>
  <c r="J39" i="4" s="1"/>
  <c r="C30" i="33"/>
  <c r="C40" i="4" s="1"/>
  <c r="G31" i="33"/>
  <c r="G41" i="4" s="1"/>
  <c r="J33" i="33"/>
  <c r="J43" i="4" s="1"/>
  <c r="C34" i="33"/>
  <c r="C44" i="4" s="1"/>
  <c r="G35" i="33"/>
  <c r="G45" i="4" s="1"/>
  <c r="G28" i="33"/>
  <c r="G38" i="4" s="1"/>
  <c r="D29" i="33"/>
  <c r="D39" i="4" s="1"/>
  <c r="D30" i="33"/>
  <c r="D40" i="4" s="1"/>
  <c r="H30" i="33"/>
  <c r="H40" i="4" s="1"/>
  <c r="D31" i="33"/>
  <c r="D41" i="4" s="1"/>
  <c r="H31" i="33"/>
  <c r="H41" i="4" s="1"/>
  <c r="D32" i="33"/>
  <c r="D42" i="4" s="1"/>
  <c r="H32" i="33"/>
  <c r="H42" i="4" s="1"/>
  <c r="D33" i="33"/>
  <c r="D43" i="4" s="1"/>
  <c r="H33" i="33"/>
  <c r="H43" i="4" s="1"/>
  <c r="D34" i="33"/>
  <c r="D44" i="4" s="1"/>
  <c r="H34" i="33"/>
  <c r="H44" i="4" s="1"/>
  <c r="D35" i="33"/>
  <c r="D45" i="4" s="1"/>
  <c r="H35" i="33"/>
  <c r="H45" i="4" s="1"/>
  <c r="C28" i="33"/>
  <c r="C38" i="4" s="1"/>
  <c r="H29" i="33"/>
  <c r="H39" i="4" s="1"/>
  <c r="D28" i="33"/>
  <c r="D38" i="4" s="1"/>
  <c r="H28" i="33"/>
  <c r="B29" i="33"/>
  <c r="E39" i="4"/>
  <c r="B30" i="33"/>
  <c r="B40" i="4" s="1"/>
  <c r="E30" i="33"/>
  <c r="E40" i="4" s="1"/>
  <c r="B31" i="33"/>
  <c r="B41" i="4" s="1"/>
  <c r="E31" i="33"/>
  <c r="E41" i="4" s="1"/>
  <c r="B32" i="33"/>
  <c r="B42" i="4" s="1"/>
  <c r="E32" i="33"/>
  <c r="E42" i="4" s="1"/>
  <c r="B33" i="33"/>
  <c r="B43" i="4" s="1"/>
  <c r="E33" i="33"/>
  <c r="E43" i="4" s="1"/>
  <c r="B34" i="33"/>
  <c r="B44" i="4" s="1"/>
  <c r="E34" i="33"/>
  <c r="E44" i="4" s="1"/>
  <c r="B35" i="33"/>
  <c r="B45" i="4" s="1"/>
  <c r="E35" i="33"/>
  <c r="E45" i="4" s="1"/>
  <c r="B46" i="4"/>
  <c r="E46" i="4"/>
  <c r="E28" i="33"/>
  <c r="E38" i="4" s="1"/>
  <c r="J28" i="33"/>
  <c r="J38" i="4" s="1"/>
  <c r="F29" i="33"/>
  <c r="F30" i="33"/>
  <c r="F40" i="4" s="1"/>
  <c r="F31" i="33"/>
  <c r="F41" i="4" s="1"/>
  <c r="F32" i="33"/>
  <c r="F42" i="4" s="1"/>
  <c r="F33" i="33"/>
  <c r="F43" i="4" s="1"/>
  <c r="F34" i="33"/>
  <c r="F44" i="4" s="1"/>
  <c r="H38" i="4"/>
  <c r="B38" i="4"/>
  <c r="B22" i="33"/>
  <c r="E22" i="33"/>
  <c r="K38" i="4"/>
  <c r="B27" i="33"/>
  <c r="B52" i="33" s="1"/>
  <c r="L38" i="4"/>
  <c r="D27" i="33"/>
  <c r="D52" i="33" s="1"/>
  <c r="E27" i="33"/>
  <c r="E52" i="33" s="1"/>
  <c r="F38" i="4"/>
  <c r="D45" i="33"/>
  <c r="H46" i="33"/>
  <c r="H53" i="33" s="1"/>
  <c r="F22" i="33"/>
  <c r="F45" i="33"/>
  <c r="G22" i="33"/>
  <c r="G27" i="33"/>
  <c r="G52" i="33" s="1"/>
  <c r="C22" i="33"/>
  <c r="C27" i="33"/>
  <c r="C52" i="33" s="1"/>
  <c r="H27" i="33"/>
  <c r="H52" i="33" s="1"/>
  <c r="H45" i="33"/>
  <c r="K56" i="33"/>
  <c r="B56" i="33"/>
  <c r="D56" i="33"/>
  <c r="C56" i="33"/>
  <c r="F56" i="33"/>
  <c r="J56" i="33"/>
  <c r="E56" i="33"/>
  <c r="G56" i="33"/>
  <c r="H56" i="33"/>
  <c r="L56" i="33"/>
  <c r="D47" i="33" l="1"/>
  <c r="B47" i="33"/>
  <c r="B48" i="33" s="1"/>
  <c r="B54" i="33" s="1"/>
  <c r="D48" i="33"/>
  <c r="D54" i="33" s="1"/>
  <c r="K57" i="33"/>
  <c r="L57" i="33"/>
  <c r="J47" i="33"/>
  <c r="J48" i="33" s="1"/>
  <c r="J54" i="33" s="1"/>
  <c r="K47" i="33"/>
  <c r="K48" i="33" s="1"/>
  <c r="K54" i="33" s="1"/>
  <c r="L46" i="33"/>
  <c r="L53" i="33" s="1"/>
  <c r="C46" i="33"/>
  <c r="C53" i="33" s="1"/>
  <c r="K39" i="4"/>
  <c r="G46" i="33"/>
  <c r="G53" i="33" s="1"/>
  <c r="L47" i="33"/>
  <c r="L48" i="33" s="1"/>
  <c r="L54" i="33" s="1"/>
  <c r="K46" i="33"/>
  <c r="K53" i="33" s="1"/>
  <c r="D46" i="33"/>
  <c r="D53" i="33" s="1"/>
  <c r="C47" i="33"/>
  <c r="C48" i="33" s="1"/>
  <c r="C54" i="33" s="1"/>
  <c r="G47" i="33"/>
  <c r="G48" i="33" s="1"/>
  <c r="G54" i="33" s="1"/>
  <c r="F46" i="33"/>
  <c r="F53" i="33" s="1"/>
  <c r="B46" i="33"/>
  <c r="B65" i="33" s="1"/>
  <c r="E57" i="33"/>
  <c r="B57" i="33"/>
  <c r="C57" i="33"/>
  <c r="J57" i="33"/>
  <c r="H57" i="33"/>
  <c r="F57" i="33"/>
  <c r="D57" i="33"/>
  <c r="G57" i="33"/>
  <c r="E46" i="33"/>
  <c r="E53" i="33" s="1"/>
  <c r="B39" i="4"/>
  <c r="E47" i="33"/>
  <c r="E48" i="33" s="1"/>
  <c r="E54" i="33" s="1"/>
  <c r="H47" i="33"/>
  <c r="H48" i="33" s="1"/>
  <c r="H54" i="33" s="1"/>
  <c r="J46" i="33"/>
  <c r="J53" i="33" s="1"/>
  <c r="J55" i="33" s="1"/>
  <c r="F47" i="33"/>
  <c r="F48" i="33" s="1"/>
  <c r="F54" i="33" s="1"/>
  <c r="F39" i="4"/>
  <c r="B53" i="33"/>
  <c r="K59" i="33" l="1"/>
  <c r="K60" i="33" s="1"/>
  <c r="K61" i="33" s="1"/>
  <c r="F59" i="33"/>
  <c r="F60" i="33" s="1"/>
  <c r="B64" i="33"/>
  <c r="H59" i="33"/>
  <c r="H60" i="33" s="1"/>
  <c r="G59" i="33"/>
  <c r="G60" i="33" s="1"/>
  <c r="D59" i="33"/>
  <c r="D60" i="33" s="1"/>
  <c r="C59" i="33"/>
  <c r="C60" i="33" s="1"/>
  <c r="J59" i="33"/>
  <c r="J60" i="33" s="1"/>
  <c r="E59" i="33"/>
  <c r="E60" i="33" s="1"/>
  <c r="K55" i="33"/>
  <c r="L55" i="33"/>
  <c r="L59" i="33"/>
  <c r="L60" i="33" s="1"/>
  <c r="L61" i="33" s="1"/>
  <c r="D55" i="33"/>
  <c r="B55" i="33"/>
  <c r="G55" i="33"/>
  <c r="F55" i="33"/>
  <c r="C55" i="33"/>
  <c r="H55" i="33"/>
  <c r="E55" i="33"/>
  <c r="E61" i="33" l="1"/>
  <c r="G61" i="33"/>
  <c r="H61" i="33"/>
  <c r="J61" i="33"/>
  <c r="C61" i="33"/>
  <c r="D61" i="33"/>
  <c r="F61" i="33"/>
  <c r="J4" i="33"/>
  <c r="J4" i="23"/>
  <c r="J4" i="1"/>
  <c r="L4" i="1"/>
  <c r="L4" i="33"/>
  <c r="L4" i="23"/>
  <c r="K4" i="33"/>
  <c r="K4" i="23"/>
  <c r="K4" i="1"/>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L22" i="33" l="1"/>
  <c r="L45" i="33"/>
  <c r="L27" i="33"/>
  <c r="L52" i="33" s="1"/>
  <c r="J27" i="33"/>
  <c r="J52" i="33" s="1"/>
  <c r="J22" i="33"/>
  <c r="J45" i="33"/>
  <c r="K22" i="33"/>
  <c r="K45" i="33"/>
  <c r="K27" i="33"/>
  <c r="K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K22" i="1"/>
  <c r="L45" i="1"/>
  <c r="K36" i="23"/>
  <c r="K30" i="4" s="1"/>
  <c r="L36" i="23"/>
  <c r="L30" i="4" s="1"/>
  <c r="K37" i="23"/>
  <c r="K31" i="4" s="1"/>
  <c r="L37" i="23"/>
  <c r="L31" i="4" s="1"/>
  <c r="K38" i="23"/>
  <c r="K32" i="4" s="1"/>
  <c r="L38" i="23"/>
  <c r="L32" i="4" s="1"/>
  <c r="K39" i="23"/>
  <c r="K33" i="4" s="1"/>
  <c r="L39" i="23"/>
  <c r="L33" i="4" s="1"/>
  <c r="K40" i="23"/>
  <c r="K34" i="4" s="1"/>
  <c r="L40" i="23"/>
  <c r="L34" i="4" s="1"/>
  <c r="K41" i="23"/>
  <c r="K35" i="4" s="1"/>
  <c r="L41" i="23"/>
  <c r="L35" i="4" s="1"/>
  <c r="K42" i="23"/>
  <c r="K36" i="4" s="1"/>
  <c r="L42" i="23"/>
  <c r="L36" i="4" s="1"/>
  <c r="K43" i="23"/>
  <c r="L43" i="23"/>
  <c r="L37" i="4" s="1"/>
  <c r="J36" i="23"/>
  <c r="J30" i="4" s="1"/>
  <c r="J39" i="23"/>
  <c r="J33" i="4" s="1"/>
  <c r="J40" i="23"/>
  <c r="J34" i="4" s="1"/>
  <c r="J41" i="23"/>
  <c r="J35" i="4" s="1"/>
  <c r="J42" i="23"/>
  <c r="J36" i="4" s="1"/>
  <c r="J43" i="23"/>
  <c r="I45" i="1"/>
  <c r="A45" i="1"/>
  <c r="A45" i="23"/>
  <c r="A22" i="23"/>
  <c r="A22" i="1"/>
  <c r="B1" i="4"/>
  <c r="A52" i="23"/>
  <c r="H43" i="23"/>
  <c r="G43" i="23"/>
  <c r="F43" i="23"/>
  <c r="E43" i="23"/>
  <c r="D43" i="23"/>
  <c r="C43" i="23"/>
  <c r="B43" i="23"/>
  <c r="H42" i="23"/>
  <c r="H36" i="4" s="1"/>
  <c r="G42" i="23"/>
  <c r="G36" i="4" s="1"/>
  <c r="F42" i="23"/>
  <c r="F36" i="4" s="1"/>
  <c r="E42" i="23"/>
  <c r="E36" i="4" s="1"/>
  <c r="D42" i="23"/>
  <c r="D36" i="4" s="1"/>
  <c r="C42" i="23"/>
  <c r="C36" i="4" s="1"/>
  <c r="B42" i="23"/>
  <c r="B36" i="4" s="1"/>
  <c r="H41" i="23"/>
  <c r="H35" i="4" s="1"/>
  <c r="G41" i="23"/>
  <c r="G35" i="4" s="1"/>
  <c r="F41" i="23"/>
  <c r="F35" i="4" s="1"/>
  <c r="E41" i="23"/>
  <c r="E35" i="4" s="1"/>
  <c r="D41" i="23"/>
  <c r="D35" i="4" s="1"/>
  <c r="C41" i="23"/>
  <c r="C35" i="4" s="1"/>
  <c r="B41" i="23"/>
  <c r="B35" i="4" s="1"/>
  <c r="H40" i="23"/>
  <c r="H34" i="4" s="1"/>
  <c r="G40" i="23"/>
  <c r="G34" i="4" s="1"/>
  <c r="F40" i="23"/>
  <c r="F34" i="4" s="1"/>
  <c r="E40" i="23"/>
  <c r="E34" i="4" s="1"/>
  <c r="D40" i="23"/>
  <c r="D34" i="4" s="1"/>
  <c r="C40" i="23"/>
  <c r="C34" i="4" s="1"/>
  <c r="B40" i="23"/>
  <c r="B34" i="4" s="1"/>
  <c r="H39" i="23"/>
  <c r="H33" i="4" s="1"/>
  <c r="G39" i="23"/>
  <c r="G33" i="4" s="1"/>
  <c r="F39" i="23"/>
  <c r="F33" i="4" s="1"/>
  <c r="E39" i="23"/>
  <c r="E33" i="4" s="1"/>
  <c r="D39" i="23"/>
  <c r="D33" i="4" s="1"/>
  <c r="C39" i="23"/>
  <c r="C33" i="4" s="1"/>
  <c r="B39" i="23"/>
  <c r="B33" i="4" s="1"/>
  <c r="H38" i="23"/>
  <c r="H32" i="4" s="1"/>
  <c r="G38" i="23"/>
  <c r="G32" i="4" s="1"/>
  <c r="F38" i="23"/>
  <c r="F32" i="4" s="1"/>
  <c r="E38" i="23"/>
  <c r="E32" i="4" s="1"/>
  <c r="D38" i="23"/>
  <c r="D32" i="4" s="1"/>
  <c r="C38" i="23"/>
  <c r="C32" i="4" s="1"/>
  <c r="H37" i="23"/>
  <c r="H31" i="4" s="1"/>
  <c r="G37" i="23"/>
  <c r="G31" i="4" s="1"/>
  <c r="F37" i="23"/>
  <c r="F31" i="4" s="1"/>
  <c r="E37" i="23"/>
  <c r="E31" i="4" s="1"/>
  <c r="D37" i="23"/>
  <c r="D31" i="4" s="1"/>
  <c r="C37" i="23"/>
  <c r="C31" i="4" s="1"/>
  <c r="B37" i="23"/>
  <c r="B31" i="4" s="1"/>
  <c r="H36" i="23"/>
  <c r="H30" i="4" s="1"/>
  <c r="G36" i="23"/>
  <c r="G30" i="4" s="1"/>
  <c r="F36" i="23"/>
  <c r="F30" i="4" s="1"/>
  <c r="E36" i="23"/>
  <c r="E30" i="4" s="1"/>
  <c r="D36" i="23"/>
  <c r="D30" i="4" s="1"/>
  <c r="C36" i="23"/>
  <c r="C30" i="4" s="1"/>
  <c r="L24" i="23"/>
  <c r="K24" i="23"/>
  <c r="J24" i="23"/>
  <c r="H24" i="23"/>
  <c r="G24" i="23"/>
  <c r="F24" i="23"/>
  <c r="E24" i="23"/>
  <c r="D24" i="23"/>
  <c r="C24" i="23"/>
  <c r="B24" i="23"/>
  <c r="L23" i="23"/>
  <c r="K23" i="23"/>
  <c r="J23" i="23"/>
  <c r="B32" i="23" s="1"/>
  <c r="B26" i="4" s="1"/>
  <c r="H23" i="23"/>
  <c r="G23" i="23"/>
  <c r="F23" i="23"/>
  <c r="E23" i="23"/>
  <c r="D23" i="23"/>
  <c r="C23" i="23"/>
  <c r="B23" i="23"/>
  <c r="L45" i="23"/>
  <c r="K45" i="23"/>
  <c r="J45" i="23"/>
  <c r="H27" i="23"/>
  <c r="H52" i="23" s="1"/>
  <c r="G45" i="23"/>
  <c r="F27" i="23"/>
  <c r="F52" i="23" s="1"/>
  <c r="E45" i="23"/>
  <c r="C45" i="23"/>
  <c r="B45" i="23"/>
  <c r="C28" i="23"/>
  <c r="H34" i="23"/>
  <c r="H28" i="4" s="1"/>
  <c r="F26" i="4"/>
  <c r="C31" i="23"/>
  <c r="C25" i="4" s="1"/>
  <c r="F28" i="23"/>
  <c r="F34" i="23"/>
  <c r="F28" i="4" s="1"/>
  <c r="F30" i="23"/>
  <c r="F24" i="4" s="1"/>
  <c r="D28" i="23"/>
  <c r="H35" i="23"/>
  <c r="H29" i="4" s="1"/>
  <c r="E34" i="23"/>
  <c r="E28" i="4" s="1"/>
  <c r="C32" i="23"/>
  <c r="C26" i="4" s="1"/>
  <c r="G34" i="23"/>
  <c r="G28" i="4" s="1"/>
  <c r="C34" i="23"/>
  <c r="C28" i="4" s="1"/>
  <c r="H33" i="23"/>
  <c r="H27" i="4" s="1"/>
  <c r="D33" i="23"/>
  <c r="D27" i="4" s="1"/>
  <c r="E32" i="23"/>
  <c r="E26" i="4" s="1"/>
  <c r="F31" i="23"/>
  <c r="F25" i="4" s="1"/>
  <c r="G30" i="23"/>
  <c r="G24" i="4" s="1"/>
  <c r="C30" i="23"/>
  <c r="C24" i="4" s="1"/>
  <c r="H29" i="23"/>
  <c r="H23" i="4" s="1"/>
  <c r="D29" i="23"/>
  <c r="D23" i="4" s="1"/>
  <c r="E28" i="23"/>
  <c r="E35" i="23"/>
  <c r="E29" i="4" s="1"/>
  <c r="G33" i="23"/>
  <c r="G27" i="4" s="1"/>
  <c r="D32" i="23"/>
  <c r="D26" i="4" s="1"/>
  <c r="G29" i="23"/>
  <c r="G23" i="4" s="1"/>
  <c r="H28" i="23"/>
  <c r="D35" i="23"/>
  <c r="D29" i="4" s="1"/>
  <c r="F33" i="23"/>
  <c r="F27" i="4" s="1"/>
  <c r="G32" i="23"/>
  <c r="G26" i="4" s="1"/>
  <c r="H31" i="23"/>
  <c r="H25" i="4" s="1"/>
  <c r="G28" i="23"/>
  <c r="K22" i="23"/>
  <c r="G36" i="1"/>
  <c r="G14" i="4" s="1"/>
  <c r="H36" i="1"/>
  <c r="H14" i="4" s="1"/>
  <c r="E37" i="1"/>
  <c r="E15" i="4" s="1"/>
  <c r="F37" i="1"/>
  <c r="F15" i="4" s="1"/>
  <c r="G37" i="1"/>
  <c r="G15" i="4" s="1"/>
  <c r="H37" i="1"/>
  <c r="H15" i="4" s="1"/>
  <c r="C38" i="1"/>
  <c r="C16" i="4" s="1"/>
  <c r="E38" i="1"/>
  <c r="E16" i="4" s="1"/>
  <c r="F38" i="1"/>
  <c r="F16" i="4" s="1"/>
  <c r="G38" i="1"/>
  <c r="G16" i="4" s="1"/>
  <c r="H38" i="1"/>
  <c r="H16" i="4" s="1"/>
  <c r="C39" i="1"/>
  <c r="C17" i="4" s="1"/>
  <c r="E39" i="1"/>
  <c r="E17" i="4" s="1"/>
  <c r="F39" i="1"/>
  <c r="F17" i="4" s="1"/>
  <c r="G39" i="1"/>
  <c r="G17" i="4" s="1"/>
  <c r="H39" i="1"/>
  <c r="H17" i="4" s="1"/>
  <c r="C40" i="1"/>
  <c r="C18" i="4" s="1"/>
  <c r="E40" i="1"/>
  <c r="E18" i="4" s="1"/>
  <c r="F40" i="1"/>
  <c r="F18" i="4" s="1"/>
  <c r="G40" i="1"/>
  <c r="G18" i="4" s="1"/>
  <c r="H40" i="1"/>
  <c r="H18" i="4" s="1"/>
  <c r="C41" i="1"/>
  <c r="C19" i="4" s="1"/>
  <c r="D41" i="1"/>
  <c r="D19" i="4" s="1"/>
  <c r="E41" i="1"/>
  <c r="E19" i="4" s="1"/>
  <c r="F41" i="1"/>
  <c r="F19" i="4" s="1"/>
  <c r="G41" i="1"/>
  <c r="G19" i="4" s="1"/>
  <c r="H41" i="1"/>
  <c r="H19" i="4" s="1"/>
  <c r="C42" i="1"/>
  <c r="C20" i="4" s="1"/>
  <c r="D42" i="1"/>
  <c r="D20" i="4" s="1"/>
  <c r="E42" i="1"/>
  <c r="E20" i="4" s="1"/>
  <c r="F42" i="1"/>
  <c r="F20" i="4" s="1"/>
  <c r="G42" i="1"/>
  <c r="G20" i="4" s="1"/>
  <c r="H42" i="1"/>
  <c r="H20" i="4" s="1"/>
  <c r="C43" i="1"/>
  <c r="D43" i="1"/>
  <c r="E43" i="1"/>
  <c r="F43" i="1"/>
  <c r="G43" i="1"/>
  <c r="H43" i="1"/>
  <c r="L14" i="4"/>
  <c r="L37" i="1"/>
  <c r="L15" i="4" s="1"/>
  <c r="K38" i="1"/>
  <c r="K16" i="4" s="1"/>
  <c r="L38" i="1"/>
  <c r="L16" i="4" s="1"/>
  <c r="K39" i="1"/>
  <c r="K17" i="4" s="1"/>
  <c r="L39" i="1"/>
  <c r="L17" i="4" s="1"/>
  <c r="K40" i="1"/>
  <c r="K18" i="4" s="1"/>
  <c r="L40" i="1"/>
  <c r="L18" i="4" s="1"/>
  <c r="K41" i="1"/>
  <c r="K19" i="4" s="1"/>
  <c r="L41" i="1"/>
  <c r="L19" i="4" s="1"/>
  <c r="K42" i="1"/>
  <c r="K20" i="4" s="1"/>
  <c r="L42" i="1"/>
  <c r="L20" i="4" s="1"/>
  <c r="K43" i="1"/>
  <c r="L43" i="1"/>
  <c r="B40" i="1"/>
  <c r="B18" i="4" s="1"/>
  <c r="B41" i="1"/>
  <c r="B19" i="4" s="1"/>
  <c r="B42" i="1"/>
  <c r="B20" i="4" s="1"/>
  <c r="B43" i="1"/>
  <c r="B23" i="1"/>
  <c r="B4" i="4"/>
  <c r="B62" i="4" s="1"/>
  <c r="A52" i="1"/>
  <c r="J22" i="1"/>
  <c r="L24" i="1"/>
  <c r="K24" i="1"/>
  <c r="J24" i="1"/>
  <c r="L23" i="1"/>
  <c r="K23" i="1"/>
  <c r="J23" i="1"/>
  <c r="C29" i="1" s="1"/>
  <c r="C7" i="4" s="1"/>
  <c r="H27" i="1"/>
  <c r="H52" i="1" s="1"/>
  <c r="G27" i="1"/>
  <c r="G52" i="1" s="1"/>
  <c r="F27" i="1"/>
  <c r="F52" i="1" s="1"/>
  <c r="E4" i="4"/>
  <c r="D22" i="1"/>
  <c r="C45" i="1"/>
  <c r="J39" i="1"/>
  <c r="J17" i="4" s="1"/>
  <c r="J43" i="1"/>
  <c r="J42" i="1"/>
  <c r="J20" i="4" s="1"/>
  <c r="J40" i="1"/>
  <c r="J18" i="4" s="1"/>
  <c r="K28" i="1"/>
  <c r="K30" i="1"/>
  <c r="K8" i="4" s="1"/>
  <c r="K33" i="1"/>
  <c r="K11" i="4" s="1"/>
  <c r="K34" i="1"/>
  <c r="K12" i="4" s="1"/>
  <c r="J41" i="1"/>
  <c r="J19" i="4" s="1"/>
  <c r="L35" i="1"/>
  <c r="L13" i="4" s="1"/>
  <c r="J38" i="1"/>
  <c r="J16" i="4" s="1"/>
  <c r="L27" i="1"/>
  <c r="L52" i="1" s="1"/>
  <c r="H24" i="1"/>
  <c r="G24" i="1"/>
  <c r="F24" i="1"/>
  <c r="E24" i="1"/>
  <c r="D24" i="1"/>
  <c r="C24" i="1"/>
  <c r="B24" i="1"/>
  <c r="H23" i="1"/>
  <c r="G23" i="1"/>
  <c r="F23" i="1"/>
  <c r="E23" i="1"/>
  <c r="D23" i="1"/>
  <c r="C23" i="1"/>
  <c r="G35" i="23" l="1"/>
  <c r="G29" i="4" s="1"/>
  <c r="L33" i="1"/>
  <c r="L11" i="4" s="1"/>
  <c r="F33" i="1"/>
  <c r="F11" i="4" s="1"/>
  <c r="L28" i="1"/>
  <c r="L6" i="4" s="1"/>
  <c r="L34" i="1"/>
  <c r="L12" i="4" s="1"/>
  <c r="O9" i="12"/>
  <c r="O10" i="12" s="1"/>
  <c r="L31" i="1"/>
  <c r="L9" i="4" s="1"/>
  <c r="C35" i="1"/>
  <c r="C13" i="4" s="1"/>
  <c r="F35" i="23"/>
  <c r="F29" i="4" s="1"/>
  <c r="C33" i="23"/>
  <c r="C27" i="4" s="1"/>
  <c r="D30" i="23"/>
  <c r="D24" i="4" s="1"/>
  <c r="L35" i="23"/>
  <c r="L29" i="4" s="1"/>
  <c r="L33" i="23"/>
  <c r="L27" i="4" s="1"/>
  <c r="L32" i="23"/>
  <c r="L26" i="4" s="1"/>
  <c r="K31" i="23"/>
  <c r="K25" i="4" s="1"/>
  <c r="L28" i="23"/>
  <c r="K35" i="23"/>
  <c r="K29" i="4" s="1"/>
  <c r="K33" i="23"/>
  <c r="K27" i="4" s="1"/>
  <c r="K32" i="23"/>
  <c r="K26" i="4" s="1"/>
  <c r="L29" i="23"/>
  <c r="L23" i="4" s="1"/>
  <c r="K28" i="23"/>
  <c r="L34" i="23"/>
  <c r="L28" i="4" s="1"/>
  <c r="L30" i="23"/>
  <c r="L24" i="4" s="1"/>
  <c r="K29" i="23"/>
  <c r="K34" i="23"/>
  <c r="K28" i="4" s="1"/>
  <c r="L31" i="23"/>
  <c r="L25" i="4" s="1"/>
  <c r="K30" i="23"/>
  <c r="K24" i="4" s="1"/>
  <c r="C29" i="23"/>
  <c r="E31" i="23"/>
  <c r="E25" i="4" s="1"/>
  <c r="G31" i="23"/>
  <c r="G46" i="23" s="1"/>
  <c r="G53" i="23" s="1"/>
  <c r="E33" i="23"/>
  <c r="E27" i="4" s="1"/>
  <c r="C35" i="23"/>
  <c r="C29" i="4" s="1"/>
  <c r="E30" i="23"/>
  <c r="E24" i="4" s="1"/>
  <c r="J35" i="23"/>
  <c r="J29" i="4" s="1"/>
  <c r="J33" i="23"/>
  <c r="J27" i="4" s="1"/>
  <c r="H32" i="23"/>
  <c r="H26" i="4" s="1"/>
  <c r="E29" i="23"/>
  <c r="E46" i="23" s="1"/>
  <c r="E53" i="23" s="1"/>
  <c r="H30" i="23"/>
  <c r="D34" i="23"/>
  <c r="D28" i="4" s="1"/>
  <c r="D31" i="23"/>
  <c r="J29" i="23"/>
  <c r="J23" i="4" s="1"/>
  <c r="F29" i="23"/>
  <c r="B30" i="4"/>
  <c r="F30" i="1"/>
  <c r="F8" i="4" s="1"/>
  <c r="H33" i="1"/>
  <c r="H11" i="4" s="1"/>
  <c r="F32" i="1"/>
  <c r="F10" i="4" s="1"/>
  <c r="J32" i="1"/>
  <c r="J10" i="4" s="1"/>
  <c r="G30" i="1"/>
  <c r="G8" i="4" s="1"/>
  <c r="F34" i="1"/>
  <c r="F12" i="4" s="1"/>
  <c r="E29" i="1"/>
  <c r="E7" i="4" s="1"/>
  <c r="H31" i="1"/>
  <c r="H30" i="1"/>
  <c r="H8" i="4" s="1"/>
  <c r="C14" i="4"/>
  <c r="E32" i="1"/>
  <c r="E10" i="4" s="1"/>
  <c r="D18" i="4"/>
  <c r="B11" i="4"/>
  <c r="F29" i="1"/>
  <c r="F7" i="4" s="1"/>
  <c r="E30" i="1"/>
  <c r="E8" i="4" s="1"/>
  <c r="E35" i="1"/>
  <c r="E13" i="4" s="1"/>
  <c r="B17" i="4"/>
  <c r="C15" i="4"/>
  <c r="D14" i="4"/>
  <c r="G34" i="1"/>
  <c r="G12" i="4" s="1"/>
  <c r="G35" i="1"/>
  <c r="G13" i="4" s="1"/>
  <c r="H32" i="1"/>
  <c r="H10" i="4" s="1"/>
  <c r="H35" i="1"/>
  <c r="H13" i="4" s="1"/>
  <c r="C33" i="1"/>
  <c r="C11" i="4" s="1"/>
  <c r="B16" i="4"/>
  <c r="B15" i="4"/>
  <c r="D16" i="4"/>
  <c r="F14" i="4"/>
  <c r="E33" i="1"/>
  <c r="E11" i="4" s="1"/>
  <c r="F35" i="1"/>
  <c r="F13" i="4" s="1"/>
  <c r="D33" i="1"/>
  <c r="D11" i="4" s="1"/>
  <c r="D35" i="1"/>
  <c r="D13" i="4" s="1"/>
  <c r="H34" i="1"/>
  <c r="H12" i="4" s="1"/>
  <c r="G29" i="1"/>
  <c r="G7" i="4" s="1"/>
  <c r="B14" i="4"/>
  <c r="D15" i="4"/>
  <c r="E14" i="4"/>
  <c r="E22" i="4"/>
  <c r="C22" i="4"/>
  <c r="G22" i="4"/>
  <c r="L22" i="4"/>
  <c r="F22" i="4"/>
  <c r="H22" i="4"/>
  <c r="D22" i="4"/>
  <c r="K6" i="4"/>
  <c r="L22" i="1"/>
  <c r="S9" i="12"/>
  <c r="S10" i="12" s="1"/>
  <c r="N9" i="12"/>
  <c r="N10" i="12" s="1"/>
  <c r="M9" i="12"/>
  <c r="M10" i="12" s="1"/>
  <c r="I9" i="12"/>
  <c r="I10" i="12" s="1"/>
  <c r="P9" i="12"/>
  <c r="P10" i="12" s="1"/>
  <c r="G10" i="4"/>
  <c r="H29" i="1"/>
  <c r="E28" i="1"/>
  <c r="D34" i="1"/>
  <c r="D12" i="4" s="1"/>
  <c r="F28" i="1"/>
  <c r="L29" i="1"/>
  <c r="J37" i="1"/>
  <c r="J15" i="4" s="1"/>
  <c r="K29" i="1"/>
  <c r="B12" i="4"/>
  <c r="B13" i="4"/>
  <c r="C34" i="1"/>
  <c r="C12" i="4" s="1"/>
  <c r="G31" i="1"/>
  <c r="G9" i="4" s="1"/>
  <c r="H28" i="1"/>
  <c r="E34" i="1"/>
  <c r="F31" i="1"/>
  <c r="G28" i="1"/>
  <c r="G33" i="1"/>
  <c r="E31" i="1"/>
  <c r="E9" i="4" s="1"/>
  <c r="H2" i="12"/>
  <c r="E55" i="4"/>
  <c r="E62" i="4"/>
  <c r="K9" i="12"/>
  <c r="K10" i="12" s="1"/>
  <c r="K21" i="4"/>
  <c r="J21" i="4"/>
  <c r="L21" i="4"/>
  <c r="C27" i="23"/>
  <c r="C52" i="23" s="1"/>
  <c r="B21" i="4"/>
  <c r="J37" i="23"/>
  <c r="J31" i="4" s="1"/>
  <c r="J34" i="23"/>
  <c r="J28" i="4" s="1"/>
  <c r="J38" i="23"/>
  <c r="B38" i="23"/>
  <c r="F37" i="4"/>
  <c r="K37" i="4"/>
  <c r="H37" i="4"/>
  <c r="J37" i="4"/>
  <c r="L4" i="4"/>
  <c r="L62" i="4" s="1"/>
  <c r="H7" i="22"/>
  <c r="A44" i="22"/>
  <c r="H22" i="22"/>
  <c r="H19" i="22"/>
  <c r="H15" i="22"/>
  <c r="H25" i="22"/>
  <c r="H21" i="22"/>
  <c r="H18" i="22"/>
  <c r="K27" i="23"/>
  <c r="K52" i="23" s="1"/>
  <c r="H20" i="22"/>
  <c r="H17" i="22"/>
  <c r="H23" i="22"/>
  <c r="H16" i="22"/>
  <c r="A49" i="22"/>
  <c r="H10" i="22"/>
  <c r="H13" i="22"/>
  <c r="H12" i="22"/>
  <c r="H11" i="22"/>
  <c r="H9" i="22"/>
  <c r="H8" i="22"/>
  <c r="J32" i="23"/>
  <c r="J31" i="23"/>
  <c r="J25" i="4" s="1"/>
  <c r="J30" i="23"/>
  <c r="J24" i="4" s="1"/>
  <c r="B33" i="23"/>
  <c r="B27" i="4" s="1"/>
  <c r="B28" i="23"/>
  <c r="B30" i="23"/>
  <c r="B24" i="4" s="1"/>
  <c r="B34" i="23"/>
  <c r="B28" i="4" s="1"/>
  <c r="B35" i="23"/>
  <c r="J28" i="23"/>
  <c r="B31" i="23"/>
  <c r="B25" i="4" s="1"/>
  <c r="B29" i="23"/>
  <c r="B23" i="4" s="1"/>
  <c r="L32" i="1"/>
  <c r="K32" i="1"/>
  <c r="K10" i="4" s="1"/>
  <c r="D4" i="4"/>
  <c r="K23" i="4"/>
  <c r="J29" i="1"/>
  <c r="J7" i="4" s="1"/>
  <c r="B27" i="23"/>
  <c r="B52" i="23" s="1"/>
  <c r="E27" i="23"/>
  <c r="E52" i="23" s="1"/>
  <c r="L30" i="1"/>
  <c r="L8" i="4" s="1"/>
  <c r="B7" i="4"/>
  <c r="K35" i="1"/>
  <c r="K13" i="4" s="1"/>
  <c r="K31" i="1"/>
  <c r="K9" i="4" s="1"/>
  <c r="H22" i="23"/>
  <c r="K37" i="1"/>
  <c r="F22" i="23"/>
  <c r="J36" i="1"/>
  <c r="H45" i="23"/>
  <c r="H46" i="23"/>
  <c r="H53" i="23" s="1"/>
  <c r="E37" i="4"/>
  <c r="D21" i="4"/>
  <c r="C37" i="4"/>
  <c r="K36" i="1"/>
  <c r="K14" i="4" s="1"/>
  <c r="C21" i="4"/>
  <c r="B37" i="4"/>
  <c r="D37" i="4"/>
  <c r="G37" i="4"/>
  <c r="J34" i="1"/>
  <c r="J12" i="4" s="1"/>
  <c r="J35" i="1"/>
  <c r="J13" i="4" s="1"/>
  <c r="J33" i="1"/>
  <c r="J11" i="4" s="1"/>
  <c r="J30" i="1"/>
  <c r="J8" i="4" s="1"/>
  <c r="B31" i="1"/>
  <c r="B9" i="4" s="1"/>
  <c r="J31" i="1"/>
  <c r="J9" i="4" s="1"/>
  <c r="D28" i="1"/>
  <c r="B28" i="1"/>
  <c r="D32" i="1"/>
  <c r="B30" i="1"/>
  <c r="B8" i="4" s="1"/>
  <c r="C28" i="1"/>
  <c r="D31" i="1"/>
  <c r="D9" i="4" s="1"/>
  <c r="J28" i="1"/>
  <c r="C30" i="1"/>
  <c r="C8" i="4" s="1"/>
  <c r="C9" i="4"/>
  <c r="D29" i="1"/>
  <c r="D7" i="4" s="1"/>
  <c r="D30" i="1"/>
  <c r="G21" i="4"/>
  <c r="F21" i="4"/>
  <c r="H21" i="4"/>
  <c r="E21" i="4"/>
  <c r="D17" i="4"/>
  <c r="H9" i="4"/>
  <c r="C4" i="4"/>
  <c r="C47" i="23"/>
  <c r="C48" i="23" s="1"/>
  <c r="C54" i="23" s="1"/>
  <c r="A47" i="22"/>
  <c r="G27" i="23"/>
  <c r="G52" i="23" s="1"/>
  <c r="A50" i="22"/>
  <c r="H50" i="22" s="1"/>
  <c r="D27" i="1"/>
  <c r="D52" i="1" s="1"/>
  <c r="D45" i="1"/>
  <c r="D22" i="23"/>
  <c r="D45" i="23"/>
  <c r="D27" i="23"/>
  <c r="D52" i="23" s="1"/>
  <c r="F45" i="23"/>
  <c r="E22" i="23"/>
  <c r="G22" i="23"/>
  <c r="J22" i="23"/>
  <c r="L22" i="23"/>
  <c r="B22" i="23"/>
  <c r="C22" i="23"/>
  <c r="L27" i="23"/>
  <c r="L52" i="23" s="1"/>
  <c r="J27" i="23"/>
  <c r="J52" i="23" s="1"/>
  <c r="E45" i="1"/>
  <c r="B27" i="1"/>
  <c r="B52" i="1" s="1"/>
  <c r="F4" i="4"/>
  <c r="G22" i="1"/>
  <c r="F45" i="1"/>
  <c r="C22" i="1"/>
  <c r="B22" i="1"/>
  <c r="G45" i="1"/>
  <c r="E27" i="1"/>
  <c r="E52" i="1" s="1"/>
  <c r="E22" i="1"/>
  <c r="K27" i="1"/>
  <c r="K52" i="1" s="1"/>
  <c r="H4" i="4"/>
  <c r="F22" i="1"/>
  <c r="G4" i="4"/>
  <c r="C27" i="1"/>
  <c r="C52" i="1" s="1"/>
  <c r="B45" i="1"/>
  <c r="G2" i="12"/>
  <c r="H22" i="1"/>
  <c r="J4" i="4"/>
  <c r="H45" i="1"/>
  <c r="J45" i="1"/>
  <c r="K4" i="4"/>
  <c r="K45" i="1"/>
  <c r="J27" i="1"/>
  <c r="J52" i="1" s="1"/>
  <c r="B55" i="4"/>
  <c r="H9" i="12"/>
  <c r="H10" i="12" s="1"/>
  <c r="G9" i="12"/>
  <c r="G10" i="12" s="1"/>
  <c r="E9" i="12"/>
  <c r="E10" i="12" s="1"/>
  <c r="E74" i="4"/>
  <c r="B74" i="4"/>
  <c r="T9" i="12"/>
  <c r="T10" i="12" s="1"/>
  <c r="F9" i="12"/>
  <c r="F10" i="12" s="1"/>
  <c r="L9" i="12"/>
  <c r="L10" i="12" s="1"/>
  <c r="J9" i="12"/>
  <c r="J10" i="12" s="1"/>
  <c r="R9" i="12"/>
  <c r="R10" i="12" s="1"/>
  <c r="K56" i="1"/>
  <c r="L56" i="23"/>
  <c r="B56" i="23"/>
  <c r="J56" i="1"/>
  <c r="B56" i="1"/>
  <c r="D56" i="23"/>
  <c r="H56" i="1"/>
  <c r="E56" i="23"/>
  <c r="F56" i="1"/>
  <c r="L56" i="1"/>
  <c r="K56" i="23"/>
  <c r="F56" i="23"/>
  <c r="G56" i="1"/>
  <c r="D56" i="1"/>
  <c r="J56" i="23"/>
  <c r="G56" i="23"/>
  <c r="H56" i="23"/>
  <c r="C56" i="23"/>
  <c r="C56" i="1"/>
  <c r="E56" i="1"/>
  <c r="F46" i="23" l="1"/>
  <c r="F53" i="23" s="1"/>
  <c r="L46" i="23"/>
  <c r="L53" i="23" s="1"/>
  <c r="F47" i="23"/>
  <c r="F48" i="23" s="1"/>
  <c r="F54" i="23" s="1"/>
  <c r="H47" i="23"/>
  <c r="H48" i="23" s="1"/>
  <c r="H54" i="23" s="1"/>
  <c r="K57" i="23"/>
  <c r="L57" i="23"/>
  <c r="L47" i="23"/>
  <c r="L48" i="23" s="1"/>
  <c r="L54" i="23" s="1"/>
  <c r="G47" i="23"/>
  <c r="G48" i="23" s="1"/>
  <c r="G54" i="23" s="1"/>
  <c r="K46" i="23"/>
  <c r="K53" i="23" s="1"/>
  <c r="K22" i="4"/>
  <c r="C46" i="23"/>
  <c r="C53" i="23" s="1"/>
  <c r="K47" i="23"/>
  <c r="K48" i="23" s="1"/>
  <c r="K54" i="23" s="1"/>
  <c r="F46" i="1"/>
  <c r="F53" i="1" s="1"/>
  <c r="H57" i="23"/>
  <c r="G57" i="23"/>
  <c r="E57" i="23"/>
  <c r="D57" i="23"/>
  <c r="C57" i="23"/>
  <c r="D47" i="23"/>
  <c r="D48" i="23" s="1"/>
  <c r="D54" i="23" s="1"/>
  <c r="H24" i="4"/>
  <c r="G25" i="4"/>
  <c r="E47" i="23"/>
  <c r="E48" i="23" s="1"/>
  <c r="E54" i="23" s="1"/>
  <c r="E23" i="4"/>
  <c r="D46" i="23"/>
  <c r="D53" i="23" s="1"/>
  <c r="D25" i="4"/>
  <c r="C23" i="4"/>
  <c r="F57" i="23"/>
  <c r="F23" i="4"/>
  <c r="K47" i="1"/>
  <c r="K48" i="1" s="1"/>
  <c r="K54" i="1" s="1"/>
  <c r="J6" i="4"/>
  <c r="B6" i="4"/>
  <c r="G6" i="4"/>
  <c r="L7" i="4"/>
  <c r="D6" i="4"/>
  <c r="C6" i="4"/>
  <c r="B22" i="4"/>
  <c r="K7" i="4"/>
  <c r="E6" i="4"/>
  <c r="H6" i="4"/>
  <c r="F6" i="4"/>
  <c r="H47" i="22"/>
  <c r="H49" i="22"/>
  <c r="H44" i="22"/>
  <c r="A46" i="22"/>
  <c r="H46" i="22" s="1"/>
  <c r="A34" i="22"/>
  <c r="H34" i="22" s="1"/>
  <c r="A35" i="22"/>
  <c r="H35" i="22" s="1"/>
  <c r="A38" i="22"/>
  <c r="H38" i="22" s="1"/>
  <c r="A42" i="22"/>
  <c r="H42" i="22" s="1"/>
  <c r="A40" i="22"/>
  <c r="H40" i="22" s="1"/>
  <c r="F47" i="1"/>
  <c r="F48" i="1" s="1"/>
  <c r="F54" i="1" s="1"/>
  <c r="G47" i="1"/>
  <c r="G48" i="1" s="1"/>
  <c r="G54" i="1" s="1"/>
  <c r="E47" i="1"/>
  <c r="E48" i="1" s="1"/>
  <c r="E54" i="1" s="1"/>
  <c r="L46" i="1"/>
  <c r="L53" i="1" s="1"/>
  <c r="E46" i="1"/>
  <c r="E53" i="1" s="1"/>
  <c r="L47" i="1"/>
  <c r="L48" i="1" s="1"/>
  <c r="L54" i="1" s="1"/>
  <c r="L74" i="4"/>
  <c r="A51" i="22"/>
  <c r="H51" i="22" s="1"/>
  <c r="A45" i="22"/>
  <c r="H45" i="22" s="1"/>
  <c r="H57" i="1"/>
  <c r="G57" i="1"/>
  <c r="F57" i="1"/>
  <c r="E57" i="1"/>
  <c r="H7" i="4"/>
  <c r="G46" i="1"/>
  <c r="G53" i="1" s="1"/>
  <c r="H46" i="1"/>
  <c r="H53" i="1" s="1"/>
  <c r="H47" i="1"/>
  <c r="H48" i="1" s="1"/>
  <c r="H54" i="1" s="1"/>
  <c r="G11" i="4"/>
  <c r="F9" i="4"/>
  <c r="E12" i="4"/>
  <c r="J55" i="4"/>
  <c r="J62" i="4"/>
  <c r="F55" i="4"/>
  <c r="F62" i="4"/>
  <c r="K55" i="4"/>
  <c r="K62" i="4"/>
  <c r="G55" i="4"/>
  <c r="G62" i="4"/>
  <c r="H74" i="4"/>
  <c r="H62" i="4"/>
  <c r="C74" i="4"/>
  <c r="C62" i="4"/>
  <c r="D55" i="4"/>
  <c r="D62" i="4"/>
  <c r="A36" i="22"/>
  <c r="H36" i="22" s="1"/>
  <c r="L55" i="4"/>
  <c r="J32" i="4"/>
  <c r="L10" i="4"/>
  <c r="B32" i="4"/>
  <c r="H55" i="4"/>
  <c r="J14" i="4"/>
  <c r="K15" i="4"/>
  <c r="B10" i="4"/>
  <c r="A32" i="22"/>
  <c r="H32" i="22" s="1"/>
  <c r="D13" i="28"/>
  <c r="D9" i="28"/>
  <c r="D5" i="28"/>
  <c r="D14" i="28"/>
  <c r="D10" i="28"/>
  <c r="D6" i="28"/>
  <c r="D15" i="28"/>
  <c r="D11" i="28"/>
  <c r="D7" i="28"/>
  <c r="D3" i="28"/>
  <c r="D12" i="28"/>
  <c r="D8" i="28"/>
  <c r="D4" i="28"/>
  <c r="J26" i="4"/>
  <c r="K46" i="1"/>
  <c r="K53" i="1" s="1"/>
  <c r="A37" i="22"/>
  <c r="H37" i="22" s="1"/>
  <c r="I2" i="12"/>
  <c r="F2" i="12"/>
  <c r="A48" i="22"/>
  <c r="H48" i="22" s="1"/>
  <c r="A33" i="22"/>
  <c r="H33" i="22" s="1"/>
  <c r="A43" i="22"/>
  <c r="H43" i="22" s="1"/>
  <c r="A41" i="22"/>
  <c r="H41" i="22" s="1"/>
  <c r="A39" i="22"/>
  <c r="H39" i="22" s="1"/>
  <c r="C55" i="4"/>
  <c r="L2" i="12"/>
  <c r="B46" i="23"/>
  <c r="B53" i="23" s="1"/>
  <c r="B55" i="23" s="1"/>
  <c r="J46" i="23"/>
  <c r="J53" i="23" s="1"/>
  <c r="J55" i="23" s="1"/>
  <c r="J47" i="23"/>
  <c r="J48" i="23" s="1"/>
  <c r="J54" i="23" s="1"/>
  <c r="B47" i="23"/>
  <c r="B48" i="23" s="1"/>
  <c r="B54" i="23" s="1"/>
  <c r="B57" i="23"/>
  <c r="J57" i="23"/>
  <c r="B29" i="4"/>
  <c r="J22" i="4"/>
  <c r="L57" i="1"/>
  <c r="D74" i="4"/>
  <c r="M2" i="12"/>
  <c r="J2" i="12"/>
  <c r="C47" i="1"/>
  <c r="C48" i="1" s="1"/>
  <c r="C54" i="1" s="1"/>
  <c r="G74" i="4"/>
  <c r="D57" i="1"/>
  <c r="K57" i="1"/>
  <c r="J57" i="1"/>
  <c r="C57" i="1"/>
  <c r="D10" i="4"/>
  <c r="C10" i="4"/>
  <c r="C63" i="4" s="1"/>
  <c r="C64" i="4" s="1"/>
  <c r="B57" i="1"/>
  <c r="C46" i="1"/>
  <c r="C53" i="1" s="1"/>
  <c r="B46" i="1"/>
  <c r="B53" i="1" s="1"/>
  <c r="B47" i="1"/>
  <c r="B48" i="1" s="1"/>
  <c r="B54" i="1" s="1"/>
  <c r="D46" i="1"/>
  <c r="D53" i="1" s="1"/>
  <c r="J47" i="1"/>
  <c r="J48" i="1" s="1"/>
  <c r="J54" i="1" s="1"/>
  <c r="J46" i="1"/>
  <c r="J53" i="1" s="1"/>
  <c r="J55" i="1" s="1"/>
  <c r="D47" i="1"/>
  <c r="D48" i="1" s="1"/>
  <c r="D54" i="1" s="1"/>
  <c r="D8" i="4"/>
  <c r="F74" i="4"/>
  <c r="J74" i="4"/>
  <c r="K74" i="4"/>
  <c r="AD2" i="12"/>
  <c r="B79" i="4" l="1"/>
  <c r="B56" i="4"/>
  <c r="C55" i="23"/>
  <c r="F55" i="23"/>
  <c r="G55" i="1"/>
  <c r="H56" i="4"/>
  <c r="H75" i="4" s="1"/>
  <c r="F63" i="4"/>
  <c r="F64" i="4" s="1"/>
  <c r="L55" i="23"/>
  <c r="K55" i="23"/>
  <c r="K55" i="1"/>
  <c r="L55" i="1"/>
  <c r="D63" i="4"/>
  <c r="D64" i="4" s="1"/>
  <c r="B63" i="4"/>
  <c r="B64" i="4" s="1"/>
  <c r="J63" i="4"/>
  <c r="J64" i="4" s="1"/>
  <c r="G56" i="4"/>
  <c r="G75" i="4" s="1"/>
  <c r="H57" i="4"/>
  <c r="H58" i="4" s="1"/>
  <c r="H76" i="4" s="1"/>
  <c r="H63" i="4"/>
  <c r="H64" i="4" s="1"/>
  <c r="K63" i="4"/>
  <c r="K64" i="4" s="1"/>
  <c r="G63" i="4"/>
  <c r="G64" i="4" s="1"/>
  <c r="E63" i="4"/>
  <c r="E64" i="4" s="1"/>
  <c r="L63" i="4"/>
  <c r="L64" i="4" s="1"/>
  <c r="J4" i="12"/>
  <c r="M4" i="12"/>
  <c r="G4" i="12"/>
  <c r="H4" i="12"/>
  <c r="F4" i="12"/>
  <c r="I4" i="12"/>
  <c r="L4" i="12"/>
  <c r="G57" i="4"/>
  <c r="G58" i="4" s="1"/>
  <c r="G76" i="4" s="1"/>
  <c r="F57" i="4"/>
  <c r="F58" i="4" s="1"/>
  <c r="F76" i="4" s="1"/>
  <c r="E79" i="4"/>
  <c r="G79" i="4"/>
  <c r="H79" i="4"/>
  <c r="F79" i="4"/>
  <c r="E57" i="4"/>
  <c r="E58" i="4" s="1"/>
  <c r="E76" i="4" s="1"/>
  <c r="E56" i="4"/>
  <c r="E75" i="4" s="1"/>
  <c r="F56" i="4"/>
  <c r="F75" i="4" s="1"/>
  <c r="K57" i="4"/>
  <c r="K58" i="4" s="1"/>
  <c r="K76" i="4" s="1"/>
  <c r="D56" i="4"/>
  <c r="D75" i="4" s="1"/>
  <c r="B57" i="4"/>
  <c r="B58" i="4" s="1"/>
  <c r="B76" i="4" s="1"/>
  <c r="D57" i="4"/>
  <c r="D58" i="4" s="1"/>
  <c r="D76" i="4" s="1"/>
  <c r="J57" i="4"/>
  <c r="J58" i="4" s="1"/>
  <c r="J76" i="4" s="1"/>
  <c r="C57" i="4"/>
  <c r="C58" i="4" s="1"/>
  <c r="C76" i="4" s="1"/>
  <c r="Q2" i="12"/>
  <c r="Q4" i="12" s="1"/>
  <c r="P2" i="12"/>
  <c r="P4" i="12" s="1"/>
  <c r="L56" i="4"/>
  <c r="L75" i="4" s="1"/>
  <c r="J56" i="4"/>
  <c r="J75" i="4" s="1"/>
  <c r="C56" i="4"/>
  <c r="C75" i="4" s="1"/>
  <c r="R2" i="12"/>
  <c r="R4" i="12" s="1"/>
  <c r="Z2" i="12"/>
  <c r="K56" i="4"/>
  <c r="L57" i="4"/>
  <c r="L58" i="4" s="1"/>
  <c r="L76" i="4" s="1"/>
  <c r="L79" i="4"/>
  <c r="K79" i="4"/>
  <c r="F2" i="27"/>
  <c r="F4" i="27" s="1"/>
  <c r="O2" i="12"/>
  <c r="O4" i="12" s="1"/>
  <c r="C79" i="4"/>
  <c r="D79" i="4"/>
  <c r="K15" i="28"/>
  <c r="K13" i="28"/>
  <c r="K11" i="28"/>
  <c r="K9" i="28"/>
  <c r="K7" i="28"/>
  <c r="K5" i="28"/>
  <c r="L14" i="28"/>
  <c r="L12" i="28"/>
  <c r="L10" i="28"/>
  <c r="L8" i="28"/>
  <c r="L6" i="28"/>
  <c r="L4" i="28"/>
  <c r="L15" i="28"/>
  <c r="L13" i="28"/>
  <c r="L11" i="28"/>
  <c r="L9" i="28"/>
  <c r="L7" i="28"/>
  <c r="L5" i="28"/>
  <c r="K14" i="28"/>
  <c r="K12" i="28"/>
  <c r="K10" i="28"/>
  <c r="K8" i="28"/>
  <c r="K6" i="28"/>
  <c r="K4" i="28"/>
  <c r="D55" i="23"/>
  <c r="H55" i="23"/>
  <c r="G55" i="23"/>
  <c r="E55" i="23"/>
  <c r="J79" i="4"/>
  <c r="B64" i="23"/>
  <c r="F59" i="23"/>
  <c r="F60" i="23" s="1"/>
  <c r="L59" i="23"/>
  <c r="L60" i="23" s="1"/>
  <c r="K59" i="23"/>
  <c r="K60" i="23" s="1"/>
  <c r="B65" i="23"/>
  <c r="N2" i="12"/>
  <c r="N4" i="12" s="1"/>
  <c r="S2" i="12"/>
  <c r="S4" i="12" s="1"/>
  <c r="C59" i="23"/>
  <c r="C60" i="23" s="1"/>
  <c r="E59" i="23"/>
  <c r="E60" i="23" s="1"/>
  <c r="D59" i="23"/>
  <c r="D60" i="23" s="1"/>
  <c r="J59" i="23"/>
  <c r="J60" i="23" s="1"/>
  <c r="G59" i="23"/>
  <c r="G60" i="23" s="1"/>
  <c r="H59" i="23"/>
  <c r="H60" i="23" s="1"/>
  <c r="C55" i="1"/>
  <c r="H55" i="1"/>
  <c r="F55" i="1"/>
  <c r="D55" i="1"/>
  <c r="E55" i="1"/>
  <c r="H3" i="12"/>
  <c r="J59" i="1"/>
  <c r="J60" i="1" s="1"/>
  <c r="F59" i="1"/>
  <c r="F60" i="1" s="1"/>
  <c r="E59" i="1"/>
  <c r="E60" i="1" s="1"/>
  <c r="H59" i="1"/>
  <c r="H60" i="1" s="1"/>
  <c r="D59" i="1"/>
  <c r="D60" i="1" s="1"/>
  <c r="C59" i="1"/>
  <c r="C60" i="1" s="1"/>
  <c r="G59" i="1"/>
  <c r="G60" i="1" s="1"/>
  <c r="K59" i="1"/>
  <c r="K60" i="1" s="1"/>
  <c r="L59" i="1"/>
  <c r="L60" i="1" s="1"/>
  <c r="B65" i="1"/>
  <c r="B64" i="1"/>
  <c r="B55" i="1"/>
  <c r="G3" i="12"/>
  <c r="F3" i="12"/>
  <c r="J3" i="12"/>
  <c r="I3" i="12"/>
  <c r="AA2" i="12" l="1"/>
  <c r="AH2" i="12"/>
  <c r="B80" i="4"/>
  <c r="K75" i="4"/>
  <c r="B5" i="27" s="1"/>
  <c r="AE2" i="12"/>
  <c r="Y2" i="12"/>
  <c r="B5" i="12"/>
  <c r="B6" i="12"/>
  <c r="B6" i="27"/>
  <c r="F3" i="27"/>
  <c r="J77" i="4"/>
  <c r="L77" i="4"/>
  <c r="B86" i="4"/>
  <c r="B87" i="4"/>
  <c r="B75" i="4"/>
  <c r="E61" i="23"/>
  <c r="D61" i="23"/>
  <c r="C61" i="23"/>
  <c r="L61" i="23"/>
  <c r="K61" i="23"/>
  <c r="F61" i="23"/>
  <c r="H61" i="23"/>
  <c r="G61" i="23"/>
  <c r="D61" i="1"/>
  <c r="G61" i="1"/>
  <c r="E61" i="1"/>
  <c r="F61" i="1"/>
  <c r="H61" i="1"/>
  <c r="O3" i="12"/>
  <c r="R3" i="12"/>
  <c r="S3" i="12"/>
  <c r="N3" i="12"/>
  <c r="M3" i="12"/>
  <c r="L3" i="12"/>
  <c r="AC2" i="12"/>
  <c r="W2" i="12"/>
  <c r="AG2" i="12"/>
  <c r="AD4" i="12"/>
  <c r="P3" i="12"/>
  <c r="Q3" i="12"/>
  <c r="K2" i="12"/>
  <c r="K4" i="12" s="1"/>
  <c r="B4" i="27"/>
  <c r="B4" i="12"/>
  <c r="J61" i="1"/>
  <c r="L61" i="1"/>
  <c r="K61" i="1"/>
  <c r="C61" i="1"/>
  <c r="AB2" i="12"/>
  <c r="AB4" i="12" s="1"/>
  <c r="AF2" i="12"/>
  <c r="K77" i="4" l="1"/>
  <c r="AE4" i="12"/>
  <c r="Z4" i="12"/>
  <c r="W4" i="12"/>
  <c r="AG4" i="12"/>
  <c r="AC4" i="12"/>
  <c r="AH4" i="12"/>
  <c r="AF4" i="12"/>
  <c r="Y4" i="12"/>
  <c r="AA4" i="12"/>
  <c r="G77" i="4"/>
  <c r="F77" i="4"/>
  <c r="B77" i="4"/>
  <c r="B2" i="27"/>
  <c r="G6" i="27" s="1"/>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H9" i="27" s="1"/>
  <c r="H10" i="27" s="1"/>
  <c r="J8" i="27"/>
  <c r="J9" i="27" s="1"/>
  <c r="J10" i="27" s="1"/>
  <c r="I8" i="27"/>
  <c r="I9" i="27" s="1"/>
  <c r="I10" i="27" s="1"/>
  <c r="Q5" i="12"/>
  <c r="R5" i="12"/>
  <c r="S5" i="12"/>
  <c r="P5" i="12"/>
  <c r="J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E2" i="28" l="1"/>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I9" i="22" s="1"/>
  <c r="F12" i="22"/>
  <c r="K12" i="22" s="1"/>
  <c r="M12" i="22" s="1"/>
  <c r="F16" i="22"/>
  <c r="G16" i="22" s="1"/>
  <c r="F22" i="22"/>
  <c r="I22" i="22" s="1"/>
  <c r="J5" i="12"/>
  <c r="F15" i="22"/>
  <c r="I15" i="22" s="1"/>
  <c r="L5" i="12"/>
  <c r="F21" i="22"/>
  <c r="G21" i="22" s="1"/>
  <c r="F5" i="12"/>
  <c r="F24" i="22"/>
  <c r="K24" i="22" s="1"/>
  <c r="M24" i="22" s="1"/>
  <c r="F10" i="22"/>
  <c r="K10" i="22" s="1"/>
  <c r="F11" i="22"/>
  <c r="I11" i="22" s="1"/>
  <c r="F13" i="22"/>
  <c r="I13" i="22" s="1"/>
  <c r="F14" i="22"/>
  <c r="G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I33" i="22"/>
  <c r="M33" i="22" s="1"/>
  <c r="K33" i="22"/>
  <c r="N33" i="22" s="1"/>
  <c r="G46" i="22"/>
  <c r="J46" i="22" s="1"/>
  <c r="I46" i="22"/>
  <c r="M46" i="22" s="1"/>
  <c r="K46" i="22"/>
  <c r="N46" i="22" s="1"/>
  <c r="G37" i="22"/>
  <c r="J37" i="22" s="1"/>
  <c r="I37" i="22"/>
  <c r="M37" i="22" s="1"/>
  <c r="K37" i="22"/>
  <c r="N37" i="22" s="1"/>
  <c r="G40" i="22"/>
  <c r="J40" i="22" s="1"/>
  <c r="I40" i="22"/>
  <c r="M40" i="22" s="1"/>
  <c r="K40" i="22"/>
  <c r="N40" i="22" s="1"/>
  <c r="K26" i="22"/>
  <c r="M26" i="22" s="1"/>
  <c r="G41" i="22"/>
  <c r="J41" i="22" s="1"/>
  <c r="I41" i="22"/>
  <c r="M41" i="22" s="1"/>
  <c r="K41" i="22"/>
  <c r="N41" i="22" s="1"/>
  <c r="G13" i="22"/>
  <c r="G50" i="22"/>
  <c r="J50" i="22" s="1"/>
  <c r="I50" i="22"/>
  <c r="M50" i="22" s="1"/>
  <c r="K50" i="22"/>
  <c r="N50" i="22" s="1"/>
  <c r="G35" i="22"/>
  <c r="J35" i="22" s="1"/>
  <c r="I35" i="22"/>
  <c r="M35" i="22" s="1"/>
  <c r="K35" i="22"/>
  <c r="N35" i="22" s="1"/>
  <c r="G42" i="22"/>
  <c r="J42" i="22" s="1"/>
  <c r="I42" i="22"/>
  <c r="M42" i="22" s="1"/>
  <c r="K42" i="22"/>
  <c r="N42" i="22" s="1"/>
  <c r="G47" i="22"/>
  <c r="J47" i="22" s="1"/>
  <c r="I47" i="22"/>
  <c r="M47" i="22" s="1"/>
  <c r="K47" i="22"/>
  <c r="N47" i="22" s="1"/>
  <c r="G49" i="22"/>
  <c r="J49" i="22" s="1"/>
  <c r="I49" i="22"/>
  <c r="M49" i="22" s="1"/>
  <c r="K49" i="22"/>
  <c r="N49" i="22" s="1"/>
  <c r="G34" i="22"/>
  <c r="J34" i="22" s="1"/>
  <c r="I34" i="22"/>
  <c r="M34" i="22" s="1"/>
  <c r="K34" i="22"/>
  <c r="N34" i="22" s="1"/>
  <c r="K15" i="22"/>
  <c r="M15" i="22" s="1"/>
  <c r="G39" i="22"/>
  <c r="J39" i="22" s="1"/>
  <c r="I39" i="22"/>
  <c r="M39" i="22" s="1"/>
  <c r="K39" i="22"/>
  <c r="N39" i="22" s="1"/>
  <c r="G32" i="22"/>
  <c r="J32" i="22" s="1"/>
  <c r="I32" i="22"/>
  <c r="M32" i="22" s="1"/>
  <c r="K32" i="22"/>
  <c r="G45" i="22"/>
  <c r="J45" i="22" s="1"/>
  <c r="I45" i="22"/>
  <c r="M45" i="22" s="1"/>
  <c r="K45" i="22"/>
  <c r="N45" i="22" s="1"/>
  <c r="G36" i="22"/>
  <c r="J36" i="22" s="1"/>
  <c r="I36" i="22"/>
  <c r="M36" i="22" s="1"/>
  <c r="K36" i="22"/>
  <c r="N36" i="22" s="1"/>
  <c r="G48" i="22"/>
  <c r="J48" i="22" s="1"/>
  <c r="I48" i="22"/>
  <c r="M48" i="22" s="1"/>
  <c r="K48" i="22"/>
  <c r="N48" i="22" s="1"/>
  <c r="G43" i="22"/>
  <c r="J43" i="22" s="1"/>
  <c r="I43" i="22"/>
  <c r="M43" i="22" s="1"/>
  <c r="K43" i="22"/>
  <c r="N43" i="22" s="1"/>
  <c r="L3" i="28"/>
  <c r="G12" i="22" l="1"/>
  <c r="G15" i="22"/>
  <c r="I14" i="22"/>
  <c r="I12" i="22"/>
  <c r="I18" i="22"/>
  <c r="I25" i="22"/>
  <c r="I10" i="22"/>
  <c r="K19" i="22"/>
  <c r="M19" i="22" s="1"/>
  <c r="G11" i="22"/>
  <c r="I24" i="22"/>
  <c r="I7" i="22"/>
  <c r="G3" i="28" s="1"/>
  <c r="K14" i="22"/>
  <c r="M14" i="22" s="1"/>
  <c r="K25" i="22"/>
  <c r="M25" i="22" s="1"/>
  <c r="G24" i="22"/>
  <c r="G7" i="22"/>
  <c r="K16" i="22"/>
  <c r="M16" i="22" s="1"/>
  <c r="I19" i="22"/>
  <c r="K18" i="22"/>
  <c r="M18" i="22" s="1"/>
  <c r="G10" i="22"/>
  <c r="G22" i="22"/>
  <c r="K21" i="22"/>
  <c r="M21" i="22" s="1"/>
  <c r="I17" i="22"/>
  <c r="I26" i="22"/>
  <c r="G17" i="22"/>
  <c r="K13" i="22"/>
  <c r="M13" i="22" s="1"/>
  <c r="K9" i="22"/>
  <c r="M9" i="22" s="1"/>
  <c r="M10" i="22"/>
  <c r="N10" i="22"/>
  <c r="I16" i="22"/>
  <c r="G20" i="22"/>
  <c r="K8" i="22"/>
  <c r="M8" i="22" s="1"/>
  <c r="K23" i="22"/>
  <c r="M23" i="22" s="1"/>
  <c r="I21" i="22"/>
  <c r="K22" i="22"/>
  <c r="M22" i="22" s="1"/>
  <c r="I8" i="22"/>
  <c r="I23" i="22"/>
  <c r="K20" i="22"/>
  <c r="M20" i="22" s="1"/>
  <c r="K11" i="22"/>
  <c r="M11" i="22" s="1"/>
  <c r="M7" i="22"/>
  <c r="H3" i="28"/>
  <c r="N15" i="22"/>
  <c r="N12" i="22"/>
  <c r="N7" i="22"/>
  <c r="N24" i="22"/>
  <c r="N17" i="22"/>
  <c r="N26"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H2" i="28"/>
  <c r="N19" i="22" l="1"/>
  <c r="N13" i="22"/>
  <c r="N18" i="22"/>
  <c r="G2" i="28"/>
  <c r="N16" i="22"/>
  <c r="N14" i="22"/>
  <c r="N20" i="22"/>
  <c r="N25" i="22"/>
  <c r="N21" i="22"/>
  <c r="N8" i="22"/>
  <c r="N11" i="22"/>
  <c r="N9" i="22"/>
  <c r="N23" i="22"/>
  <c r="N22"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<sst xmlns="http://schemas.openxmlformats.org/spreadsheetml/2006/main" count="1896" uniqueCount="764">
  <si>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</si>
  <si>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</si>
  <si>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</si>
  <si>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</si>
  <si>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</si>
  <si>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</si>
  <si>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</si>
  <si>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</si>
  <si>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</si>
  <si>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</si>
  <si>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</si>
  <si>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</si>
  <si>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</si>
  <si>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</si>
  <si>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</si>
  <si>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</si>
  <si>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</si>
  <si>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</si>
  <si>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</si>
  <si>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</si>
  <si>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</si>
  <si>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</si>
  <si>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</si>
  <si>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</si>
  <si>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</si>
  <si>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</si>
  <si>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</si>
  <si>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</si>
  <si>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</si>
  <si>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</si>
  <si>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</si>
  <si>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</si>
  <si>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</si>
  <si>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</si>
  <si>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</si>
  <si>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</si>
  <si>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</si>
  <si>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</si>
  <si>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</si>
  <si>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</si>
  <si>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</si>
  <si>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</si>
  <si>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</si>
  <si>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</si>
  <si>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</si>
  <si>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</si>
  <si>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</si>
  <si>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</si>
  <si>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</si>
  <si>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</si>
  <si>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</si>
  <si>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</si>
  <si>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</si>
  <si>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</si>
  <si>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</si>
  <si>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</si>
  <si>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</si>
  <si>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</si>
  <si>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</si>
  <si>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</si>
  <si>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</si>
  <si>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</si>
  <si>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</si>
  <si>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</si>
  <si>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</si>
  <si>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</si>
  <si>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</si>
  <si>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</si>
  <si>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</si>
  <si>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</si>
  <si>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</si>
  <si>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</si>
  <si>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</si>
  <si>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</si>
  <si>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</si>
  <si>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</si>
  <si>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</si>
  <si>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</si>
  <si>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</si>
  <si>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</si>
  <si>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</si>
  <si>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</si>
  <si>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</si>
  <si>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</si>
  <si>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</si>
  <si>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</si>
  <si>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</si>
  <si>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</si>
  <si>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</si>
  <si>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</si>
  <si>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</si>
  <si>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</si>
  <si>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</si>
  <si>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</si>
  <si>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</si>
  <si>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</si>
  <si>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</si>
  <si>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</si>
  <si>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</si>
  <si>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</si>
  <si>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</si>
  <si>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</si>
  <si>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</si>
  <si>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</si>
  <si>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</si>
  <si>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</si>
  <si>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</si>
  <si>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</si>
  <si>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</si>
  <si>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</si>
  <si>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</si>
  <si>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</si>
  <si>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</si>
  <si>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</si>
  <si>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</si>
  <si>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</si>
  <si>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</si>
  <si>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</si>
  <si>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</si>
  <si>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</si>
  <si>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</si>
  <si>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</si>
  <si>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</si>
  <si>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</si>
  <si>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</si>
  <si>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</si>
  <si>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</si>
  <si>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</si>
  <si>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</si>
  <si>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</si>
  <si>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</si>
  <si>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</si>
  <si>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</si>
  <si>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</si>
  <si>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</si>
  <si>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</si>
  <si>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</si>
  <si>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</si>
  <si>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</si>
  <si>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</si>
  <si>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</si>
  <si>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</si>
  <si>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</si>
  <si>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</si>
  <si>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</si>
  <si>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</si>
  <si>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</si>
  <si>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</si>
  <si>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</si>
  <si>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</si>
  <si>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</si>
  <si>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</si>
  <si>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</si>
  <si>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</si>
  <si>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</si>
  <si>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</si>
  <si>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</si>
  <si>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</si>
  <si>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</si>
  <si>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</si>
  <si>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</si>
  <si>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</si>
  <si>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</si>
  <si>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</si>
  <si>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</si>
  <si>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</si>
  <si>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</si>
  <si>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raw data</t>
  </si>
  <si>
    <t>analysed:</t>
  </si>
  <si>
    <t xml:space="preserve">start date of exposure: </t>
  </si>
  <si>
    <t xml:space="preserve">date of read: </t>
  </si>
  <si>
    <t xml:space="preserve">line: </t>
  </si>
  <si>
    <t xml:space="preserve">crossed with: </t>
  </si>
  <si>
    <t xml:space="preserve">generation of embryos: </t>
  </si>
  <si>
    <t xml:space="preserve">exposure length in hours: </t>
  </si>
  <si>
    <t xml:space="preserve">file name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</si>
  <si>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</si>
  <si>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</si>
  <si>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</si>
  <si>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</si>
  <si>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</si>
  <si>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</si>
  <si>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</si>
  <si>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 n total analysed</t>
  </si>
  <si>
    <t xml:space="preserve">  </t>
  </si>
  <si>
    <t>Version 4.0, Macro for Choriogenin Analysis.  80-255,  green - red jpg</t>
  </si>
  <si>
    <t>Date: Wed 30-Jun-2021</t>
  </si>
  <si>
    <t>Time: 09:38:00</t>
  </si>
  <si>
    <t xml:space="preserve"> ChgH homozygous</t>
  </si>
  <si>
    <t>C:\Users\achikhaoui\Desktop\Calibration exp danemark\80-255\R1 Danemark/@01 Solvent control/Solvent_control__20210617_001- exclu.jpg</t>
  </si>
  <si>
    <t>C:\Users\achikhaoui\Desktop\Calibration exp danemark\80-255\R1 Danemark/@01 Solvent control/Solvent_control__20210617_003- exclu.jpg</t>
  </si>
  <si>
    <t>C:\Users\achikhaoui\Desktop\Calibration exp danemark\80-255\R1 Danemark/@01 Solvent control/Solvent_control__20210617_004- exclu.jpg</t>
  </si>
  <si>
    <t>C:\Users\achikhaoui\Desktop\Calibration exp danemark\80-255\R1 Danemark/@01 Solvent control/Solvent_control__20210617_005- exclu.jpg</t>
  </si>
  <si>
    <t xml:space="preserve">C:\Users\achikhaoui\Desktop\Calibration exp danemark\80-255\R1 Danemark/@01 Solvent control/Solvent_control__20210617_007.jpg </t>
  </si>
  <si>
    <t xml:space="preserve"> 85.6082 </t>
  </si>
  <si>
    <t>C:\Users\achikhaoui\Desktop\Calibration exp danemark\80-255\R1 Danemark/@01 Solvent control/Solvent_control__20210617_008- exclu.jpg</t>
  </si>
  <si>
    <t xml:space="preserve">C:\Users\achikhaoui\Desktop\Calibration exp danemark\80-255\R1 Danemark/@01 Solvent control/Solvent_control__20210617_011.jpg </t>
  </si>
  <si>
    <t xml:space="preserve">C:\Users\achikhaoui\Desktop\Calibration exp danemark\80-255\R1 Danemark/@01 Solvent control/Solvent_control__20210617_012.jpg </t>
  </si>
  <si>
    <t xml:space="preserve">C:\Users\achikhaoui\Desktop\Calibration exp danemark\80-255\R1 Danemark/@01 Solvent control/ </t>
  </si>
  <si>
    <t xml:space="preserve"> 41.1698 </t>
  </si>
  <si>
    <t xml:space="preserve"> 44.0381 </t>
  </si>
  <si>
    <t xml:space="preserve"> 1109.375 </t>
  </si>
  <si>
    <t xml:space="preserve"> 2909.3798 </t>
  </si>
  <si>
    <t xml:space="preserve">C:\Users\achikhaoui\Desktop\Calibration exp danemark\80-255\R1 Danemark/@02 EE2 34ngL/EE2_34ngL__20210617_002.jpg </t>
  </si>
  <si>
    <t xml:space="preserve">C:\Users\achikhaoui\Desktop\Calibration exp danemark\80-255\R1 Danemark/@02 EE2 34ngL/EE2_34ngL__20210617_003.jpg </t>
  </si>
  <si>
    <t xml:space="preserve"> 84.4194 </t>
  </si>
  <si>
    <t xml:space="preserve">C:\Users\achikhaoui\Desktop\Calibration exp danemark\80-255\R1 Danemark/@02 EE2 34ngL/EE2_34ngL__20210617_005.jpg </t>
  </si>
  <si>
    <t xml:space="preserve"> 83.3333 </t>
  </si>
  <si>
    <t>C:\Users\achikhaoui\Desktop\Calibration exp danemark\80-255\R1 Danemark/@02 EE2 34ngL/EE2_34ngL__20210617_006- exclu.jpg</t>
  </si>
  <si>
    <t>C:\Users\achikhaoui\Desktop\Calibration exp danemark\80-255\R1 Danemark/@02 EE2 34ngL/EE2_34ngL__20210617_007- exclu.jpg</t>
  </si>
  <si>
    <t xml:space="preserve">C:\Users\achikhaoui\Desktop\Calibration exp danemark\80-255\R1 Danemark/@02 EE2 34ngL/EE2_34ngL__20210617_008.jpg </t>
  </si>
  <si>
    <t xml:space="preserve"> 90.6212 </t>
  </si>
  <si>
    <t xml:space="preserve">C:\Users\achikhaoui\Desktop\Calibration exp danemark\80-255\R1 Danemark/@02 EE2 34ngL/EE2_34ngL__20210617_009.jpg </t>
  </si>
  <si>
    <t xml:space="preserve">C:\Users\achikhaoui\Desktop\Calibration exp danemark\80-255\R1 Danemark/@02 EE2 34ngL/EE2_34ngL__20210617_013.jpg </t>
  </si>
  <si>
    <t xml:space="preserve"> 89.1379 </t>
  </si>
  <si>
    <t xml:space="preserve">C:\Users\achikhaoui\Desktop\Calibration exp danemark\80-255\R1 Danemark/@02 EE2 34ngL/ </t>
  </si>
  <si>
    <t xml:space="preserve"> 64.2723 </t>
  </si>
  <si>
    <t xml:space="preserve"> 39.7681 </t>
  </si>
  <si>
    <t xml:space="preserve"> 3982.7531 </t>
  </si>
  <si>
    <t xml:space="preserve">C:\Users\achikhaoui\Desktop\Calibration exp danemark\80-255\R1 Danemark/@03 EE2 51ngL/EE2_51ngL__20210617_001.jpg </t>
  </si>
  <si>
    <t xml:space="preserve"> 82.4643 </t>
  </si>
  <si>
    <t xml:space="preserve">C:\Users\achikhaoui\Desktop\Calibration exp danemark\80-255\R1 Danemark/@03 EE2 51ngL/EE2_51ngL__20210617_004.jpg </t>
  </si>
  <si>
    <t xml:space="preserve">C:\Users\achikhaoui\Desktop\Calibration exp danemark\80-255\R1 Danemark/@03 EE2 51ngL/EE2_51ngL__20210617_010.jpg </t>
  </si>
  <si>
    <t xml:space="preserve"> 84.7651 </t>
  </si>
  <si>
    <t xml:space="preserve">C:\Users\achikhaoui\Desktop\Calibration exp danemark\80-255\R1 Danemark/@03 EE2 51ngL/EE2_51ngL__20210617_011.jpg </t>
  </si>
  <si>
    <t xml:space="preserve"> 94.6763 </t>
  </si>
  <si>
    <t xml:space="preserve">C:\Users\achikhaoui\Desktop\Calibration exp danemark\80-255\R1 Danemark/@03 EE2 51ngL/EE2_51ngL__20210617_012.jpg </t>
  </si>
  <si>
    <t xml:space="preserve"> 93.2825 </t>
  </si>
  <si>
    <t xml:space="preserve">C:\Users\achikhaoui\Desktop\Calibration exp danemark\80-255\R1 Danemark/@03 EE2 51ngL/EE2_51ngL__20210617_013.jpg </t>
  </si>
  <si>
    <t xml:space="preserve"> 83.7927 </t>
  </si>
  <si>
    <t xml:space="preserve">C:\Users\achikhaoui\Desktop\Calibration exp danemark\80-255\R1 Danemark/@03 EE2 51ngL/EE2_51ngL__20210617_014.jpg </t>
  </si>
  <si>
    <t xml:space="preserve"> 91.5952 </t>
  </si>
  <si>
    <t xml:space="preserve">C:\Users\achikhaoui\Desktop\Calibration exp danemark\80-255\R1 Danemark/@03 EE2 51ngL/EE2_51ngL__20210617_015.jpg </t>
  </si>
  <si>
    <t xml:space="preserve">C:\Users\achikhaoui\Desktop\Calibration exp danemark\80-255\R1 Danemark/@03 EE2 51ngL/ </t>
  </si>
  <si>
    <t xml:space="preserve"> 66.322 </t>
  </si>
  <si>
    <t xml:space="preserve"> 41.1838 </t>
  </si>
  <si>
    <t xml:space="preserve"> 26816.25 </t>
  </si>
  <si>
    <t xml:space="preserve"> 49994.5257 </t>
  </si>
  <si>
    <t xml:space="preserve">C:\Users\achikhaoui\Desktop\Calibration exp danemark\80-255\R1 Danemark/@04 EE2 76ngL/EE2_76ngL__20210617_002.jpg </t>
  </si>
  <si>
    <t xml:space="preserve">C:\Users\achikhaoui\Desktop\Calibration exp danemark\80-255\R1 Danemark/@04 EE2 76ngL/EE2_76ngL__20210617_006.jpg </t>
  </si>
  <si>
    <t xml:space="preserve"> 88.4141 </t>
  </si>
  <si>
    <t xml:space="preserve">C:\Users\achikhaoui\Desktop\Calibration exp danemark\80-255\R1 Danemark/@04 EE2 76ngL/EE2_76ngL__20210617_007.jpg </t>
  </si>
  <si>
    <t xml:space="preserve"> 84.4021 </t>
  </si>
  <si>
    <t xml:space="preserve">C:\Users\achikhaoui\Desktop\Calibration exp danemark\80-255\R1 Danemark/@04 EE2 76ngL/EE2_76ngL__20210617_008.jpg </t>
  </si>
  <si>
    <t xml:space="preserve">C:\Users\achikhaoui\Desktop\Calibration exp danemark\80-255\R1 Danemark/@04 EE2 76ngL/EE2_76ngL__20210617_011.jpg </t>
  </si>
  <si>
    <t xml:space="preserve"> 89.75 </t>
  </si>
  <si>
    <t xml:space="preserve">C:\Users\achikhaoui\Desktop\Calibration exp danemark\80-255\R1 Danemark/@04 EE2 76ngL/EE2_76ngL__20210617_013.jpg </t>
  </si>
  <si>
    <t xml:space="preserve"> 113.8517 </t>
  </si>
  <si>
    <t xml:space="preserve">C:\Users\achikhaoui\Desktop\Calibration exp danemark\80-255\R1 Danemark/@04 EE2 76ngL/EE2_76ngL__20210617_016.jpg </t>
  </si>
  <si>
    <t xml:space="preserve"> 84.287 </t>
  </si>
  <si>
    <t xml:space="preserve">C:\Users\achikhaoui\Desktop\Calibration exp danemark\80-255\R1 Danemark/@04 EE2 76ngL/EE2_76ngL__20210617_017.jpg </t>
  </si>
  <si>
    <t xml:space="preserve"> 113.9508 </t>
  </si>
  <si>
    <t xml:space="preserve">C:\Users\achikhaoui\Desktop\Calibration exp danemark\80-255\R1 Danemark/@04 EE2 76ngL/ </t>
  </si>
  <si>
    <t xml:space="preserve"> 82.207 </t>
  </si>
  <si>
    <t xml:space="preserve"> 35.6015 </t>
  </si>
  <si>
    <t xml:space="preserve"> 119113.857 </t>
  </si>
  <si>
    <t xml:space="preserve">C:\Users\achikhaoui\Desktop\Calibration exp danemark\80-255\R1 Danemark/@05 EE2 114ngL/EE2_114ngL__20210617_001.jpg </t>
  </si>
  <si>
    <t xml:space="preserve"> 83.5609 </t>
  </si>
  <si>
    <t xml:space="preserve">C:\Users\achikhaoui\Desktop\Calibration exp danemark\80-255\R1 Danemark/@05 EE2 114ngL/EE2_114ngL__20210617_002.jpg </t>
  </si>
  <si>
    <t xml:space="preserve"> 93.1645 </t>
  </si>
  <si>
    <t xml:space="preserve">C:\Users\achikhaoui\Desktop\Calibration exp danemark\80-255\R1 Danemark/@05 EE2 114ngL/EE2_114ngL__20210617_004.jpg </t>
  </si>
  <si>
    <t xml:space="preserve"> 110.8993 </t>
  </si>
  <si>
    <t xml:space="preserve">C:\Users\achikhaoui\Desktop\Calibration exp danemark\80-255\R1 Danemark/@05 EE2 114ngL/EE2_114ngL__20210617_005.jpg </t>
  </si>
  <si>
    <t xml:space="preserve"> 102.9528 </t>
  </si>
  <si>
    <t xml:space="preserve">C:\Users\achikhaoui\Desktop\Calibration exp danemark\80-255\R1 Danemark/@05 EE2 114ngL/EE2_114ngL__20210617_006.jpg </t>
  </si>
  <si>
    <t xml:space="preserve"> 94.6524 </t>
  </si>
  <si>
    <t xml:space="preserve">C:\Users\achikhaoui\Desktop\Calibration exp danemark\80-255\R1 Danemark/@05 EE2 114ngL/EE2_114ngL__20210617_007.jpg </t>
  </si>
  <si>
    <t xml:space="preserve"> 90.6114 </t>
  </si>
  <si>
    <t xml:space="preserve">C:\Users\achikhaoui\Desktop\Calibration exp danemark\80-255\R1 Danemark/@05 EE2 114ngL/EE2_114ngL__20210617_009.jpg </t>
  </si>
  <si>
    <t xml:space="preserve"> 94.8335 </t>
  </si>
  <si>
    <t xml:space="preserve">C:\Users\achikhaoui\Desktop\Calibration exp danemark\80-255\R1 Danemark/@05 EE2 114ngL/EE2_114ngL__20210617_011.jpg </t>
  </si>
  <si>
    <t xml:space="preserve"> 85.402 </t>
  </si>
  <si>
    <t xml:space="preserve">C:\Users\achikhaoui\Desktop\Calibration exp danemark\80-255\R1 Danemark/@05 EE2 114ngL/ </t>
  </si>
  <si>
    <t xml:space="preserve"> 94.5096 </t>
  </si>
  <si>
    <t xml:space="preserve"> 8.9432 </t>
  </si>
  <si>
    <t xml:space="preserve"> 86073.9888 </t>
  </si>
  <si>
    <t xml:space="preserve">C:\Users\achikhaoui\Desktop\Calibration exp danemark\80-255\R1 Danemark/@06 EE2 171 ngL/EE2_171ngL__20210617_018.jpg </t>
  </si>
  <si>
    <t xml:space="preserve"> 116.3119 </t>
  </si>
  <si>
    <t xml:space="preserve">C:\Users\achikhaoui\Desktop\Calibration exp danemark\80-255\R1 Danemark/@06 EE2 171 ngL/EE2_171ngL__20210617_024.jpg </t>
  </si>
  <si>
    <t xml:space="preserve"> 129.1118 </t>
  </si>
  <si>
    <t xml:space="preserve">C:\Users\achikhaoui\Desktop\Calibration exp danemark\80-255\R1 Danemark/@06 EE2 171 ngL/EE2_171ngL__20210617_028.jpg </t>
  </si>
  <si>
    <t xml:space="preserve"> 107.625 </t>
  </si>
  <si>
    <t xml:space="preserve">C:\Users\achikhaoui\Desktop\Calibration exp danemark\80-255\R1 Danemark/@06 EE2 171 ngL/EE2_171ngL__20210617_029.jpg </t>
  </si>
  <si>
    <t xml:space="preserve"> 112.7984 </t>
  </si>
  <si>
    <t>C:\Users\achikhaoui\Desktop\Calibration exp danemark\80-255\R1 Danemark/@06 EE2 171 ngL/EE2_171ngL__20210617_030- exclu.jpg</t>
  </si>
  <si>
    <t xml:space="preserve">C:\Users\achikhaoui\Desktop\Calibration exp danemark\80-255\R1 Danemark/@06 EE2 171 ngL/EE2_171ngL__20210617_031.jpg </t>
  </si>
  <si>
    <t xml:space="preserve"> 111.599 </t>
  </si>
  <si>
    <t xml:space="preserve">C:\Users\achikhaoui\Desktop\Calibration exp danemark\80-255\R1 Danemark/@06 EE2 171 ngL/EE2_171ngL__20210617_032.jpg </t>
  </si>
  <si>
    <t xml:space="preserve"> 109.058 </t>
  </si>
  <si>
    <t xml:space="preserve">C:\Users\achikhaoui\Desktop\Calibration exp danemark\80-255\R1 Danemark/@06 EE2 171 ngL/EE2_171ngL__20210617_036.jpg </t>
  </si>
  <si>
    <t xml:space="preserve"> 102.1618 </t>
  </si>
  <si>
    <t xml:space="preserve">C:\Users\achikhaoui\Desktop\Calibration exp danemark\80-255\R1 Danemark/@06 EE2 171 ngL/ </t>
  </si>
  <si>
    <t xml:space="preserve"> 108.9551 </t>
  </si>
  <si>
    <t xml:space="preserve"> 13.1206 </t>
  </si>
  <si>
    <t xml:space="preserve"> 264343.375 </t>
  </si>
  <si>
    <t xml:space="preserve"> 111890.853 </t>
  </si>
  <si>
    <t xml:space="preserve">C:\Users\achikhaoui\Desktop\Calibration exp danemark\80-255\R1 Danemark/@07 EE2 488ngL/EE2_488ngL__20210617_002.jpg </t>
  </si>
  <si>
    <t xml:space="preserve"> 130.328 </t>
  </si>
  <si>
    <t xml:space="preserve">C:\Users\achikhaoui\Desktop\Calibration exp danemark\80-255\R1 Danemark/@07 EE2 488ngL/EE2_488ngL__20210617_003.jpg </t>
  </si>
  <si>
    <t xml:space="preserve"> 126.0298 </t>
  </si>
  <si>
    <t xml:space="preserve">C:\Users\achikhaoui\Desktop\Calibration exp danemark\80-255\R1 Danemark/@07 EE2 488ngL/EE2_488ngL__20210617_004.jpg </t>
  </si>
  <si>
    <t xml:space="preserve"> 137.8548 </t>
  </si>
  <si>
    <t xml:space="preserve">C:\Users\achikhaoui\Desktop\Calibration exp danemark\80-255\R1 Danemark/@07 EE2 488ngL/EE2_488ngL__20210617_005.jpg </t>
  </si>
  <si>
    <t xml:space="preserve"> 127.3893 </t>
  </si>
  <si>
    <t xml:space="preserve">C:\Users\achikhaoui\Desktop\Calibration exp danemark\80-255\R1 Danemark/@07 EE2 488ngL/EE2_488ngL__20210617_007.jpg </t>
  </si>
  <si>
    <t xml:space="preserve"> 128.9542 </t>
  </si>
  <si>
    <t xml:space="preserve">C:\Users\achikhaoui\Desktop\Calibration exp danemark\80-255\R1 Danemark/@07 EE2 488ngL/EE2_488ngL__20210617_011.jpg </t>
  </si>
  <si>
    <t xml:space="preserve"> 122.4347 </t>
  </si>
  <si>
    <t xml:space="preserve">C:\Users\achikhaoui\Desktop\Calibration exp danemark\80-255\R1 Danemark/@07 EE2 488ngL/EE2_488ngL__20210617_013.jpg </t>
  </si>
  <si>
    <t xml:space="preserve"> 130.1784 </t>
  </si>
  <si>
    <t xml:space="preserve">C:\Users\achikhaoui\Desktop\Calibration exp danemark\80-255\R1 Danemark/@07 EE2 488ngL/EE2_488ngL__20210617_014.jpg </t>
  </si>
  <si>
    <t xml:space="preserve"> 127.1876 </t>
  </si>
  <si>
    <t xml:space="preserve">C:\Users\achikhaoui\Desktop\Calibration exp danemark\80-255\R1 Danemark/@07 EE2 488ngL/ </t>
  </si>
  <si>
    <t xml:space="preserve"> 128.7946 </t>
  </si>
  <si>
    <t xml:space="preserve"> 4.4566 </t>
  </si>
  <si>
    <t xml:space="preserve"> 83136.221 </t>
  </si>
  <si>
    <t xml:space="preserve">C:\Users\achikhaoui\Desktop\Calibration exp danemark\80-255\R1 Danemark/@Testo 30µgL+0.2% DMSO/Testo 30µgL__20210617_005.jpg </t>
  </si>
  <si>
    <t xml:space="preserve"> 89.9867 </t>
  </si>
  <si>
    <t xml:space="preserve">C:\Users\achikhaoui\Desktop\Calibration exp danemark\80-255\R1 Danemark/@Testo 30µgL+0.2% DMSO/Testo 30µgL__20210617_006.jpg </t>
  </si>
  <si>
    <t xml:space="preserve"> 119.2826 </t>
  </si>
  <si>
    <t xml:space="preserve">C:\Users\achikhaoui\Desktop\Calibration exp danemark\80-255\R1 Danemark/@Testo 30µgL+0.2% DMSO/Testo 30µgL__20210617_009.jpg </t>
  </si>
  <si>
    <t xml:space="preserve"> 111.7791 </t>
  </si>
  <si>
    <t xml:space="preserve">C:\Users\achikhaoui\Desktop\Calibration exp danemark\80-255\R1 Danemark/@Testo 30µgL+0.2% DMSO/Testo 30µgL__20210617_013.jpg </t>
  </si>
  <si>
    <t xml:space="preserve"> 103.9621 </t>
  </si>
  <si>
    <t xml:space="preserve">C:\Users\achikhaoui\Desktop\Calibration exp danemark\80-255\R1 Danemark/@Testo 30µgL+0.2% DMSO/Testo 30µgL__20210617_014.jpg </t>
  </si>
  <si>
    <t xml:space="preserve"> 117.3291 </t>
  </si>
  <si>
    <t xml:space="preserve">C:\Users\achikhaoui\Desktop\Calibration exp danemark\80-255\R1 Danemark/@Testo 30µgL+0.2% DMSO/Testo 30µgL__20210617_015.jpg </t>
  </si>
  <si>
    <t xml:space="preserve"> 94.0479 </t>
  </si>
  <si>
    <t xml:space="preserve">C:\Users\achikhaoui\Desktop\Calibration exp danemark\80-255\R1 Danemark/@Testo 30µgL+0.2% DMSO/Testo 30µgL__20210617_024.jpg </t>
  </si>
  <si>
    <t xml:space="preserve"> 115.7532 </t>
  </si>
  <si>
    <t xml:space="preserve">C:\Users\achikhaoui\Desktop\Calibration exp danemark\80-255\R1 Danemark/@Testo 30µgL+0.2% DMSO/Testo 30µgL__20210617_035.jpg </t>
  </si>
  <si>
    <t xml:space="preserve"> 117.4513 </t>
  </si>
  <si>
    <t xml:space="preserve">C:\Users\achikhaoui\Desktop\Calibration exp danemark\80-255\R1 Danemark/@Testo 30µgL+0.2% DMSO/ </t>
  </si>
  <si>
    <t xml:space="preserve"> 108.699 </t>
  </si>
  <si>
    <t xml:space="preserve"> 11.3992 </t>
  </si>
  <si>
    <t xml:space="preserve"> 235442.875 </t>
  </si>
  <si>
    <t xml:space="preserve"> 114950.807 </t>
  </si>
  <si>
    <t xml:space="preserve">C:\Users\achikhaoui\Desktop\Calibration exp danemark\80-255\R1 Danemark/@Testo 30µgL+FAD 10µgL/Testo 30µgL+FAD 10µgL_20210617_000.jpg </t>
  </si>
  <si>
    <t xml:space="preserve"> 90.6389 </t>
  </si>
  <si>
    <t xml:space="preserve">C:\Users\achikhaoui\Desktop\Calibration exp danemark\80-255\R1 Danemark/@Testo 30µgL+FAD 10µgL/Testo 30µgL+FAD 10µgL_20210617_001.jpg </t>
  </si>
  <si>
    <t xml:space="preserve">C:\Users\achikhaoui\Desktop\Calibration exp danemark\80-255\R1 Danemark/@Testo 30µgL+FAD 10µgL/Testo 30µgL+FAD 10µgL_20210617_002.jpg </t>
  </si>
  <si>
    <t xml:space="preserve"> 113.8194 </t>
  </si>
  <si>
    <t xml:space="preserve">C:\Users\achikhaoui\Desktop\Calibration exp danemark\80-255\R1 Danemark/@Testo 30µgL+FAD 10µgL/Testo 30µgL+FAD 10µgL_20210617_003.jpg </t>
  </si>
  <si>
    <t xml:space="preserve"> 82.4839 </t>
  </si>
  <si>
    <t xml:space="preserve">C:\Users\achikhaoui\Desktop\Calibration exp danemark\80-255\R1 Danemark/@Testo 30µgL+FAD 10µgL/Testo 30µgL+FAD 10µgL_20210617_004.jpg </t>
  </si>
  <si>
    <t xml:space="preserve"> 96.5459 </t>
  </si>
  <si>
    <t xml:space="preserve">C:\Users\achikhaoui\Desktop\Calibration exp danemark\80-255\R1 Danemark/@Testo 30µgL+FAD 10µgL/Testo 30µgL+FAD 10µgL_20210617_005.jpg </t>
  </si>
  <si>
    <t xml:space="preserve"> 88.9972 </t>
  </si>
  <si>
    <t xml:space="preserve">C:\Users\achikhaoui\Desktop\Calibration exp danemark\80-255\R1 Danemark/@Testo 30µgL+FAD 10µgL/Testo 30µgL+FAD 10µgL_20210617_006.jpg </t>
  </si>
  <si>
    <t xml:space="preserve"> 86.474 </t>
  </si>
  <si>
    <t xml:space="preserve">C:\Users\achikhaoui\Desktop\Calibration exp danemark\80-255\R1 Danemark/@Testo 30µgL+FAD 10µgL/Testo 30µgL+FAD 10µgL_20210617_008.jpg </t>
  </si>
  <si>
    <t xml:space="preserve"> 82.8571 </t>
  </si>
  <si>
    <t xml:space="preserve">C:\Users\achikhaoui\Desktop\Calibration exp danemark\80-255\R1 Danemark/@Testo 30µgL+FAD 10µgL/ </t>
  </si>
  <si>
    <t xml:space="preserve"> 90.3521 </t>
  </si>
  <si>
    <t xml:space="preserve"> 10.7675 </t>
  </si>
  <si>
    <t xml:space="preserve"> 15544.5 </t>
  </si>
  <si>
    <t xml:space="preserve"> 18748.9555 </t>
  </si>
  <si>
    <t xml:space="preserve">C:\Users\achikhaoui\Desktop\Calibration exp danemark\80-255\R2 Danemark/@01 Solvent control/Solvent control__005.jpg </t>
  </si>
  <si>
    <t xml:space="preserve"> 104.4514 </t>
  </si>
  <si>
    <t xml:space="preserve">C:\Users\achikhaoui\Desktop\Calibration exp danemark\80-255\R2 Danemark/@01 Solvent control/Solvent control__006.jpg </t>
  </si>
  <si>
    <t xml:space="preserve"> 82.569 </t>
  </si>
  <si>
    <t xml:space="preserve">C:\Users\achikhaoui\Desktop\Calibration exp danemark\80-255\R2 Danemark/@01 Solvent control/Solvent control__008.jpg </t>
  </si>
  <si>
    <t xml:space="preserve"> 97.5966 </t>
  </si>
  <si>
    <t xml:space="preserve">C:\Users\achikhaoui\Desktop\Calibration exp danemark\80-255\R2 Danemark/@01 Solvent control/Solvent control__010.jpg </t>
  </si>
  <si>
    <t xml:space="preserve"> 83.5 </t>
  </si>
  <si>
    <t xml:space="preserve">C:\Users\achikhaoui\Desktop\Calibration exp danemark\80-255\R2 Danemark/@01 Solvent control/Solvent control__011.jpg </t>
  </si>
  <si>
    <t xml:space="preserve"> 84.3696 </t>
  </si>
  <si>
    <t xml:space="preserve">C:\Users\achikhaoui\Desktop\Calibration exp danemark\80-255\R2 Danemark/@01 Solvent control/Solvent control__012.jpg </t>
  </si>
  <si>
    <t xml:space="preserve"> 86.9714 </t>
  </si>
  <si>
    <t xml:space="preserve">C:\Users\achikhaoui\Desktop\Calibration exp danemark\80-255\R2 Danemark/@01 Solvent control/Solvent control__013.jpg </t>
  </si>
  <si>
    <t xml:space="preserve"> 83.3735 </t>
  </si>
  <si>
    <t xml:space="preserve">C:\Users\achikhaoui\Desktop\Calibration exp danemark\80-255\R2 Danemark/@01 Solvent control/Solvent control__014.jpg </t>
  </si>
  <si>
    <t xml:space="preserve"> 90.2605 </t>
  </si>
  <si>
    <t xml:space="preserve">C:\Users\achikhaoui\Desktop\Calibration exp danemark\80-255\R2 Danemark/@01 Solvent control/ </t>
  </si>
  <si>
    <t xml:space="preserve"> 89.1365 </t>
  </si>
  <si>
    <t xml:space="preserve"> 7.9544 </t>
  </si>
  <si>
    <t xml:space="preserve"> 11132.5 </t>
  </si>
  <si>
    <t xml:space="preserve"> 10314.2339 </t>
  </si>
  <si>
    <t xml:space="preserve">C:\Users\achikhaoui\Desktop\Calibration exp danemark\80-255\R2 Danemark/@02 EE2 34ngL/EE2 34ngLl__001.jpg </t>
  </si>
  <si>
    <t xml:space="preserve"> 96.9318 </t>
  </si>
  <si>
    <t xml:space="preserve">C:\Users\achikhaoui\Desktop\Calibration exp danemark\80-255\R2 Danemark/@02 EE2 34ngL/EE2 34ngLl__002.jpg </t>
  </si>
  <si>
    <t xml:space="preserve"> 89.6129 </t>
  </si>
  <si>
    <t xml:space="preserve">C:\Users\achikhaoui\Desktop\Calibration exp danemark\80-255\R2 Danemark/@02 EE2 34ngL/EE2 34ngLl__003.jpg </t>
  </si>
  <si>
    <t xml:space="preserve"> 120.1502 </t>
  </si>
  <si>
    <t xml:space="preserve">C:\Users\achikhaoui\Desktop\Calibration exp danemark\80-255\R2 Danemark/@02 EE2 34ngL/EE2 34ngLl__005.jpg </t>
  </si>
  <si>
    <t xml:space="preserve"> 85.8205 </t>
  </si>
  <si>
    <t xml:space="preserve">C:\Users\achikhaoui\Desktop\Calibration exp danemark\80-255\R2 Danemark/@02 EE2 34ngL/EE2 34ngLl__006.jpg </t>
  </si>
  <si>
    <t xml:space="preserve"> 84.8764 </t>
  </si>
  <si>
    <t xml:space="preserve">C:\Users\achikhaoui\Desktop\Calibration exp danemark\80-255\R2 Danemark/@02 EE2 34ngL/EE2 34ngLl__007.jpg </t>
  </si>
  <si>
    <t xml:space="preserve"> 90.5767 </t>
  </si>
  <si>
    <t xml:space="preserve">C:\Users\achikhaoui\Desktop\Calibration exp danemark\80-255\R2 Danemark/@02 EE2 34ngL/EE2 34ngLl__008.jpg </t>
  </si>
  <si>
    <t xml:space="preserve"> 91.4457 </t>
  </si>
  <si>
    <t xml:space="preserve">C:\Users\achikhaoui\Desktop\Calibration exp danemark\80-255\R2 Danemark/@02 EE2 34ngL/EE2 34ngLl__009.jpg </t>
  </si>
  <si>
    <t xml:space="preserve"> 90.3626 </t>
  </si>
  <si>
    <t xml:space="preserve">C:\Users\achikhaoui\Desktop\Calibration exp danemark\80-255\R2 Danemark/@02 EE2 34ngL/ </t>
  </si>
  <si>
    <t xml:space="preserve"> 93.7221 </t>
  </si>
  <si>
    <t xml:space="preserve"> 11.2927 </t>
  </si>
  <si>
    <t xml:space="preserve"> 23100.75 </t>
  </si>
  <si>
    <t xml:space="preserve"> 20405.2834 </t>
  </si>
  <si>
    <t xml:space="preserve">C:\Users\achikhaoui\Desktop\Calibration exp danemark\80-255\R2 Danemark/@03 EE2 51ngL/EE2 51ngLl__001.jpg </t>
  </si>
  <si>
    <t xml:space="preserve"> 91.9432 </t>
  </si>
  <si>
    <t xml:space="preserve">C:\Users\achikhaoui\Desktop\Calibration exp danemark\80-255\R2 Danemark/@03 EE2 51ngL/EE2 51ngLl__002.jpg </t>
  </si>
  <si>
    <t xml:space="preserve"> 85.9091 </t>
  </si>
  <si>
    <t xml:space="preserve">C:\Users\achikhaoui\Desktop\Calibration exp danemark\80-255\R2 Danemark/@03 EE2 51ngL/EE2 51ngLl__006.jpg </t>
  </si>
  <si>
    <t xml:space="preserve"> 81.4 </t>
  </si>
  <si>
    <t xml:space="preserve">C:\Users\achikhaoui\Desktop\Calibration exp danemark\80-255\R2 Danemark/@03 EE2 51ngL/EE2 51ngLl__007.jpg </t>
  </si>
  <si>
    <t xml:space="preserve"> 98.0447 </t>
  </si>
  <si>
    <t xml:space="preserve">C:\Users\achikhaoui\Desktop\Calibration exp danemark\80-255\R2 Danemark/@03 EE2 51ngL/EE2 51ngLl__009.jpg </t>
  </si>
  <si>
    <t xml:space="preserve"> 93.0548 </t>
  </si>
  <si>
    <t xml:space="preserve">C:\Users\achikhaoui\Desktop\Calibration exp danemark\80-255\R2 Danemark/@03 EE2 51ngL/EE2 51ngLl__012.jpg </t>
  </si>
  <si>
    <t xml:space="preserve"> 98.0065 </t>
  </si>
  <si>
    <t xml:space="preserve">C:\Users\achikhaoui\Desktop\Calibration exp danemark\80-255\R2 Danemark/@03 EE2 51ngL/EE2 51ngLl__015.jpg </t>
  </si>
  <si>
    <t xml:space="preserve">C:\Users\achikhaoui\Desktop\Calibration exp danemark\80-255\R2 Danemark/@03 EE2 51ngL/EE2 51ngLl__016.jpg </t>
  </si>
  <si>
    <t xml:space="preserve"> 86.4839 </t>
  </si>
  <si>
    <t xml:space="preserve">C:\Users\achikhaoui\Desktop\Calibration exp danemark\80-255\R2 Danemark/@03 EE2 51ngL/ </t>
  </si>
  <si>
    <t xml:space="preserve"> 79.3553 </t>
  </si>
  <si>
    <t xml:space="preserve"> 32.5982 </t>
  </si>
  <si>
    <t xml:space="preserve"> 13476.875 </t>
  </si>
  <si>
    <t xml:space="preserve"> 13385.3785 </t>
  </si>
  <si>
    <t xml:space="preserve">C:\Users\achikhaoui\Desktop\Calibration exp danemark\80-255\R2 Danemark/@04 EE2 76ngL/EE2 76ngLl__001.jpg </t>
  </si>
  <si>
    <t xml:space="preserve"> 98.6634 </t>
  </si>
  <si>
    <t xml:space="preserve">C:\Users\achikhaoui\Desktop\Calibration exp danemark\80-255\R2 Danemark/@04 EE2 76ngL/EE2 76ngLl__002.jpg </t>
  </si>
  <si>
    <t xml:space="preserve"> 84.1552 </t>
  </si>
  <si>
    <t xml:space="preserve">C:\Users\achikhaoui\Desktop\Calibration exp danemark\80-255\R2 Danemark/@04 EE2 76ngL/EE2 76ngLl__003.jpg </t>
  </si>
  <si>
    <t xml:space="preserve"> 85.9679 </t>
  </si>
  <si>
    <t xml:space="preserve">C:\Users\achikhaoui\Desktop\Calibration exp danemark\80-255\R2 Danemark/@04 EE2 76ngL/EE2 76ngLl__004.jpg </t>
  </si>
  <si>
    <t xml:space="preserve"> 94.0596 </t>
  </si>
  <si>
    <t xml:space="preserve">C:\Users\achikhaoui\Desktop\Calibration exp danemark\80-255\R2 Danemark/@04 EE2 76ngL/EE2 76ngLl__005.jpg </t>
  </si>
  <si>
    <t xml:space="preserve"> 83.0182 </t>
  </si>
  <si>
    <t xml:space="preserve">C:\Users\achikhaoui\Desktop\Calibration exp danemark\80-255\R2 Danemark/@04 EE2 76ngL/EE2 76ngLl__006.jpg </t>
  </si>
  <si>
    <t xml:space="preserve"> 86.3704 </t>
  </si>
  <si>
    <t xml:space="preserve">C:\Users\achikhaoui\Desktop\Calibration exp danemark\80-255\R2 Danemark/@04 EE2 76ngL/EE2 76ngLl__007.jpg </t>
  </si>
  <si>
    <t xml:space="preserve"> 85.5321 </t>
  </si>
  <si>
    <t xml:space="preserve">C:\Users\achikhaoui\Desktop\Calibration exp danemark\80-255\R2 Danemark/@04 EE2 76ngL/EE2 76ngLl__012.jpg </t>
  </si>
  <si>
    <t xml:space="preserve"> 95.4265 </t>
  </si>
  <si>
    <t xml:space="preserve">C:\Users\achikhaoui\Desktop\Calibration exp danemark\80-255\R2 Danemark/@04 EE2 76ngL/ </t>
  </si>
  <si>
    <t xml:space="preserve"> 89.1492 </t>
  </si>
  <si>
    <t xml:space="preserve"> 5.9461 </t>
  </si>
  <si>
    <t xml:space="preserve"> 52947.5 </t>
  </si>
  <si>
    <t xml:space="preserve"> 64263.1174 </t>
  </si>
  <si>
    <t xml:space="preserve">C:\Users\achikhaoui\Desktop\Calibration exp danemark\80-255\R2 Danemark/@05 EE2 114ngL/EE2 114ngLl__001.jpg </t>
  </si>
  <si>
    <t xml:space="preserve"> 90.5114 </t>
  </si>
  <si>
    <t xml:space="preserve">C:\Users\achikhaoui\Desktop\Calibration exp danemark\80-255\R2 Danemark/@05 EE2 114ngL/EE2 114ngLl__002.jpg </t>
  </si>
  <si>
    <t xml:space="preserve"> 87.9635 </t>
  </si>
  <si>
    <t xml:space="preserve">C:\Users\achikhaoui\Desktop\Calibration exp danemark\80-255\R2 Danemark/@05 EE2 114ngL/EE2 114ngLl__003.jpg </t>
  </si>
  <si>
    <t xml:space="preserve"> 84.3209 </t>
  </si>
  <si>
    <t xml:space="preserve">C:\Users\achikhaoui\Desktop\Calibration exp danemark\80-255\R2 Danemark/@05 EE2 114ngL/EE2 114ngLl__004.jpg </t>
  </si>
  <si>
    <t xml:space="preserve"> 81.8333 </t>
  </si>
  <si>
    <t>C:\Users\achikhaoui\Desktop\Calibration exp danemark\80-255\R2 Danemark/@05 EE2 114ngL/EE2 114ngLl__005- exclu.jpg</t>
  </si>
  <si>
    <t xml:space="preserve">C:\Users\achikhaoui\Desktop\Calibration exp danemark\80-255\R2 Danemark/@05 EE2 114ngL/EE2 114ngLl__007.jpg </t>
  </si>
  <si>
    <t xml:space="preserve"> 85.3313 </t>
  </si>
  <si>
    <t xml:space="preserve">C:\Users\achikhaoui\Desktop\Calibration exp danemark\80-255\R2 Danemark/@05 EE2 114ngL/EE2 114ngLl__008.jpg </t>
  </si>
  <si>
    <t xml:space="preserve"> 87.4498 </t>
  </si>
  <si>
    <t xml:space="preserve">C:\Users\achikhaoui\Desktop\Calibration exp danemark\80-255\R2 Danemark/@05 EE2 114ngL/EE2 114ngLl__010.jpg </t>
  </si>
  <si>
    <t xml:space="preserve">C:\Users\achikhaoui\Desktop\Calibration exp danemark\80-255\R2 Danemark/@05 EE2 114ngL/ </t>
  </si>
  <si>
    <t xml:space="preserve"> 75.0356 </t>
  </si>
  <si>
    <t xml:space="preserve"> 30.4513 </t>
  </si>
  <si>
    <t xml:space="preserve"> 17554.5 </t>
  </si>
  <si>
    <t xml:space="preserve"> 16177.1605 </t>
  </si>
  <si>
    <t xml:space="preserve">C:\Users\achikhaoui\Desktop\Calibration exp danemark\80-255\R2 Danemark/@06 EE2 171 ngL/EE2 171ngLl__001.jpg </t>
  </si>
  <si>
    <t xml:space="preserve"> 115.4843 </t>
  </si>
  <si>
    <t xml:space="preserve">C:\Users\achikhaoui\Desktop\Calibration exp danemark\80-255\R2 Danemark/@06 EE2 171 ngL/EE2 171ngLl__002.jpg </t>
  </si>
  <si>
    <t xml:space="preserve"> 95.5023 </t>
  </si>
  <si>
    <t xml:space="preserve">C:\Users\achikhaoui\Desktop\Calibration exp danemark\80-255\R2 Danemark/@06 EE2 171 ngL/EE2 171ngLl__003.jpg </t>
  </si>
  <si>
    <t xml:space="preserve"> 114.3213 </t>
  </si>
  <si>
    <t xml:space="preserve">C:\Users\achikhaoui\Desktop\Calibration exp danemark\80-255\R2 Danemark/@06 EE2 171 ngL/EE2 171ngLl__004.jpg </t>
  </si>
  <si>
    <t xml:space="preserve"> 127.589 </t>
  </si>
  <si>
    <t xml:space="preserve">C:\Users\achikhaoui\Desktop\Calibration exp danemark\80-255\R2 Danemark/@06 EE2 171 ngL/EE2 171ngLl__005.jpg </t>
  </si>
  <si>
    <t xml:space="preserve"> 108.5517 </t>
  </si>
  <si>
    <t xml:space="preserve">C:\Users\achikhaoui\Desktop\Calibration exp danemark\80-255\R2 Danemark/@06 EE2 171 ngL/EE2 171ngLl__006.jpg </t>
  </si>
  <si>
    <t xml:space="preserve"> 109.2841 </t>
  </si>
  <si>
    <t xml:space="preserve">C:\Users\achikhaoui\Desktop\Calibration exp danemark\80-255\R2 Danemark/@06 EE2 171 ngL/EE2 171ngLl__009.jpg </t>
  </si>
  <si>
    <t xml:space="preserve"> 112.3069 </t>
  </si>
  <si>
    <t xml:space="preserve">C:\Users\achikhaoui\Desktop\Calibration exp danemark\80-255\R2 Danemark/@06 EE2 171 ngL/EE2 171ngLl__012.jpg </t>
  </si>
  <si>
    <t xml:space="preserve"> 114.761 </t>
  </si>
  <si>
    <t xml:space="preserve">C:\Users\achikhaoui\Desktop\Calibration exp danemark\80-255\R2 Danemark/@06 EE2 171 ngL/ </t>
  </si>
  <si>
    <t xml:space="preserve"> 112.2251 </t>
  </si>
  <si>
    <t xml:space="preserve"> 8.9387 </t>
  </si>
  <si>
    <t xml:space="preserve"> 268085.625 </t>
  </si>
  <si>
    <t xml:space="preserve"> 75155.0865 </t>
  </si>
  <si>
    <t xml:space="preserve">C:\Users\achikhaoui\Desktop\Calibration exp danemark\80-255\R2 Danemark/@07 EE2 488ngL/EE2 488ngLl__013.jpg </t>
  </si>
  <si>
    <t xml:space="preserve"> 132.5564 </t>
  </si>
  <si>
    <t xml:space="preserve">C:\Users\achikhaoui\Desktop\Calibration exp danemark\80-255\R2 Danemark/@07 EE2 488ngL/EE2 488ngLl__014.jpg </t>
  </si>
  <si>
    <t xml:space="preserve"> 95.7992 </t>
  </si>
  <si>
    <t xml:space="preserve">C:\Users\achikhaoui\Desktop\Calibration exp danemark\80-255\R2 Danemark/@07 EE2 488ngL/EE2 488ngLl__015.jpg </t>
  </si>
  <si>
    <t xml:space="preserve"> 133.1185 </t>
  </si>
  <si>
    <t xml:space="preserve">C:\Users\achikhaoui\Desktop\Calibration exp danemark\80-255\R2 Danemark/@07 EE2 488ngL/EE2 488ngLl__016.jpg </t>
  </si>
  <si>
    <t xml:space="preserve"> 131.7524 </t>
  </si>
  <si>
    <t xml:space="preserve">C:\Users\achikhaoui\Desktop\Calibration exp danemark\80-255\R2 Danemark/@07 EE2 488ngL/EE2 488ngLl__017.jpg </t>
  </si>
  <si>
    <t xml:space="preserve"> 130.3261 </t>
  </si>
  <si>
    <t xml:space="preserve">C:\Users\achikhaoui\Desktop\Calibration exp danemark\80-255\R2 Danemark/@07 EE2 488ngL/EE2 488ngLl__018.jpg </t>
  </si>
  <si>
    <t xml:space="preserve"> 128.7498 </t>
  </si>
  <si>
    <t xml:space="preserve">C:\Users\achikhaoui\Desktop\Calibration exp danemark\80-255\R2 Danemark/@07 EE2 488ngL/EE2 488ngLl__019.jpg </t>
  </si>
  <si>
    <t xml:space="preserve"> 111.1573 </t>
  </si>
  <si>
    <t xml:space="preserve">C:\Users\achikhaoui\Desktop\Calibration exp danemark\80-255\R2 Danemark/@07 EE2 488ngL/EE2 488ngLl__020.jpg </t>
  </si>
  <si>
    <t xml:space="preserve"> 134.7317 </t>
  </si>
  <si>
    <t xml:space="preserve">C:\Users\achikhaoui\Desktop\Calibration exp danemark\80-255\R2 Danemark/@07 EE2 488ngL/ </t>
  </si>
  <si>
    <t xml:space="preserve"> 124.7739 </t>
  </si>
  <si>
    <t xml:space="preserve"> 13.8855 </t>
  </si>
  <si>
    <t xml:space="preserve"> 346901.125 </t>
  </si>
  <si>
    <t xml:space="preserve"> 145952.422 </t>
  </si>
  <si>
    <t xml:space="preserve">C:\Users\achikhaoui\Desktop\Calibration exp danemark\80-255\R2 Danemark/@08 Testo 30µgL/EE2 30ngLl__001.jpg </t>
  </si>
  <si>
    <t xml:space="preserve"> 104.7251 </t>
  </si>
  <si>
    <t xml:space="preserve">C:\Users\achikhaoui\Desktop\Calibration exp danemark\80-255\R2 Danemark/@08 Testo 30µgL/EE2 30ngLl__003.jpg </t>
  </si>
  <si>
    <t xml:space="preserve"> 120.2637 </t>
  </si>
  <si>
    <t xml:space="preserve">C:\Users\achikhaoui\Desktop\Calibration exp danemark\80-255\R2 Danemark/@08 Testo 30µgL/EE2 30ngLl__004.jpg </t>
  </si>
  <si>
    <t xml:space="preserve"> 122.0234 </t>
  </si>
  <si>
    <t xml:space="preserve">C:\Users\achikhaoui\Desktop\Calibration exp danemark\80-255\R2 Danemark/@08 Testo 30µgL/EE2 30ngLl__005.jpg </t>
  </si>
  <si>
    <t xml:space="preserve"> 109.8251 </t>
  </si>
  <si>
    <t xml:space="preserve">C:\Users\achikhaoui\Desktop\Calibration exp danemark\80-255\R2 Danemark/@08 Testo 30µgL/EE2 30ngLl__006.jpg </t>
  </si>
  <si>
    <t xml:space="preserve"> 105.9402 </t>
  </si>
  <si>
    <t xml:space="preserve">C:\Users\achikhaoui\Desktop\Calibration exp danemark\80-255\R2 Danemark/@08 Testo 30µgL/EE2 30ngLl__007.jpg </t>
  </si>
  <si>
    <t xml:space="preserve"> 118.1428 </t>
  </si>
  <si>
    <t xml:space="preserve">C:\Users\achikhaoui\Desktop\Calibration exp danemark\80-255\R2 Danemark/@08 Testo 30µgL/EE2 30ngLl__008.jpg </t>
  </si>
  <si>
    <t xml:space="preserve"> 111.7344 </t>
  </si>
  <si>
    <t xml:space="preserve">C:\Users\achikhaoui\Desktop\Calibration exp danemark\80-255\R2 Danemark/@08 Testo 30µgL/EE2 30ngLl__009.jpg </t>
  </si>
  <si>
    <t xml:space="preserve"> 104.7117 </t>
  </si>
  <si>
    <t xml:space="preserve">C:\Users\achikhaoui\Desktop\Calibration exp danemark\80-255\R2 Danemark/@08 Testo 30µgL/ </t>
  </si>
  <si>
    <t xml:space="preserve"> 112.1708 </t>
  </si>
  <si>
    <t xml:space="preserve"> 7.1096 </t>
  </si>
  <si>
    <t xml:space="preserve"> 84189.3231 </t>
  </si>
  <si>
    <t xml:space="preserve">C:\Users\achikhaoui\Desktop\Calibration exp danemark\80-255\R2 Danemark/@09 Testo 30µgL + EE2 64 ngL/Testo 30ngLl 64 EE2__001.jpg </t>
  </si>
  <si>
    <t xml:space="preserve"> 105.5281 </t>
  </si>
  <si>
    <t xml:space="preserve">C:\Users\achikhaoui\Desktop\Calibration exp danemark\80-255\R2 Danemark/@09 Testo 30µgL + EE2 64 ngL/Testo 30ngLl 64 EE2__002.jpg </t>
  </si>
  <si>
    <t xml:space="preserve"> 122.0678 </t>
  </si>
  <si>
    <t xml:space="preserve">C:\Users\achikhaoui\Desktop\Calibration exp danemark\80-255\R2 Danemark/@09 Testo 30µgL + EE2 64 ngL/Testo 30ngLl 64 EE2__003.jpg </t>
  </si>
  <si>
    <t xml:space="preserve"> 119.5737 </t>
  </si>
  <si>
    <t xml:space="preserve">C:\Users\achikhaoui\Desktop\Calibration exp danemark\80-255\R2 Danemark/@09 Testo 30µgL + EE2 64 ngL/Testo 30ngLl 64 EE2__004.jpg </t>
  </si>
  <si>
    <t xml:space="preserve"> 116.416 </t>
  </si>
  <si>
    <t xml:space="preserve">C:\Users\achikhaoui\Desktop\Calibration exp danemark\80-255\R2 Danemark/@09 Testo 30µgL + EE2 64 ngL/Testo 30ngLl 64 EE2__006.jpg </t>
  </si>
  <si>
    <t xml:space="preserve"> 104.0322 </t>
  </si>
  <si>
    <t xml:space="preserve">C:\Users\achikhaoui\Desktop\Calibration exp danemark\80-255\R2 Danemark/@09 Testo 30µgL + EE2 64 ngL/Testo 30ngLl 64 EE2__007.jpg </t>
  </si>
  <si>
    <t xml:space="preserve"> 100.3027 </t>
  </si>
  <si>
    <t xml:space="preserve">C:\Users\achikhaoui\Desktop\Calibration exp danemark\80-255\R2 Danemark/@09 Testo 30µgL + EE2 64 ngL/Testo 30ngLl 64 EE2__008.jpg </t>
  </si>
  <si>
    <t xml:space="preserve"> 124.7686 </t>
  </si>
  <si>
    <t xml:space="preserve">C:\Users\achikhaoui\Desktop\Calibration exp danemark\80-255\R2 Danemark/@09 Testo 30µgL + EE2 64 ngL/Testo 30ngLl 64 EE2__009.jpg </t>
  </si>
  <si>
    <t xml:space="preserve"> 119.779 </t>
  </si>
  <si>
    <t xml:space="preserve">C:\Users\achikhaoui\Desktop\Calibration exp danemark\80-255\R2 Danemark/@09 Testo 30µgL + EE2 64 ngL/ </t>
  </si>
  <si>
    <t xml:space="preserve"> 114.0585 </t>
  </si>
  <si>
    <t xml:space="preserve"> 9.3356 </t>
  </si>
  <si>
    <t xml:space="preserve"> 275849.25 </t>
  </si>
  <si>
    <t xml:space="preserve"> 62452.5393 </t>
  </si>
  <si>
    <t xml:space="preserve">C:\Users\achikhaoui\Desktop\Calibration exp danemark\80-255\R2 Danemark/@10 Testo 30µgL + FAD 10 µgL/Testo 30ngLl FAD 10__002.jpg </t>
  </si>
  <si>
    <t xml:space="preserve"> 91.4667 </t>
  </si>
  <si>
    <t xml:space="preserve">C:\Users\achikhaoui\Desktop\Calibration exp danemark\80-255\R2 Danemark/@10 Testo 30µgL + FAD 10 µgL/Testo 30ngLl FAD 10__003.jpg </t>
  </si>
  <si>
    <t xml:space="preserve"> 91.1098 </t>
  </si>
  <si>
    <t xml:space="preserve">C:\Users\achikhaoui\Desktop\Calibration exp danemark\80-255\R2 Danemark/@10 Testo 30µgL + FAD 10 µgL/Testo 30ngLl FAD 10__005.jpg </t>
  </si>
  <si>
    <t xml:space="preserve"> 86.2911 </t>
  </si>
  <si>
    <t xml:space="preserve">C:\Users\achikhaoui\Desktop\Calibration exp danemark\80-255\R2 Danemark/@10 Testo 30µgL + FAD 10 µgL/Testo 30ngLl FAD 10__006.jpg </t>
  </si>
  <si>
    <t xml:space="preserve"> 92.874 </t>
  </si>
  <si>
    <t xml:space="preserve">C:\Users\achikhaoui\Desktop\Calibration exp danemark\80-255\R2 Danemark/@10 Testo 30µgL + FAD 10 µgL/Testo 30ngLl FAD 10__008.jpg </t>
  </si>
  <si>
    <t xml:space="preserve"> 89.4245 </t>
  </si>
  <si>
    <t xml:space="preserve">C:\Users\achikhaoui\Desktop\Calibration exp danemark\80-255\R2 Danemark/@10 Testo 30µgL + FAD 10 µgL/Testo 30ngLl FAD 10__009.jpg </t>
  </si>
  <si>
    <t xml:space="preserve"> 94.5539 </t>
  </si>
  <si>
    <t xml:space="preserve">C:\Users\achikhaoui\Desktop\Calibration exp danemark\80-255\R2 Danemark/@10 Testo 30µgL + FAD 10 µgL/Testo 30ngLl FAD 10__010.jpg </t>
  </si>
  <si>
    <t xml:space="preserve"> 97.3672 </t>
  </si>
  <si>
    <t xml:space="preserve">C:\Users\achikhaoui\Desktop\Calibration exp danemark\80-255\R2 Danemark/@10 Testo 30µgL + FAD 10 µgL/Testo 30ngLl FAD 10__011.jpg </t>
  </si>
  <si>
    <t xml:space="preserve"> 103.0132 </t>
  </si>
  <si>
    <t xml:space="preserve">C:\Users\achikhaoui\Desktop\Calibration exp danemark\80-255\R2 Danemark/@10 Testo 30µgL + FAD 10 µgL/ </t>
  </si>
  <si>
    <t xml:space="preserve"> 93.2625 </t>
  </si>
  <si>
    <t xml:space="preserve"> 5.1399 </t>
  </si>
  <si>
    <t xml:space="preserve"> 22182.75 </t>
  </si>
  <si>
    <t xml:space="preserve"> 18305.8469 </t>
  </si>
  <si>
    <t xml:space="preserve">C:\Users\achikhaoui\Desktop\Calibration exp danemark\80-255\R3 Danemark/@01 Solvent control/Solvent control__001.jpg </t>
  </si>
  <si>
    <t xml:space="preserve">C:\Users\achikhaoui\Desktop\Calibration exp danemark\80-255\R3 Danemark/@01 Solvent control/Solvent control__002.jpg </t>
  </si>
  <si>
    <t xml:space="preserve">C:\Users\achikhaoui\Desktop\Calibration exp danemark\80-255\R3 Danemark/@01 Solvent control/Solvent control__005.jpg </t>
  </si>
  <si>
    <t xml:space="preserve">C:\Users\achikhaoui\Desktop\Calibration exp danemark\80-255\R3 Danemark/@01 Solvent control/Solvent control__006.jpg </t>
  </si>
  <si>
    <t xml:space="preserve">C:\Users\achikhaoui\Desktop\Calibration exp danemark\80-255\R3 Danemark/@01 Solvent control/Solvent control__007.jpg </t>
  </si>
  <si>
    <t xml:space="preserve">C:\Users\achikhaoui\Desktop\Calibration exp danemark\80-255\R3 Danemark/@01 Solvent control/Solvent control__008.jpg </t>
  </si>
  <si>
    <t xml:space="preserve">C:\Users\achikhaoui\Desktop\Calibration exp danemark\80-255\R3 Danemark/@01 Solvent control/Solvent control__010.jpg </t>
  </si>
  <si>
    <t xml:space="preserve"> 80.5 </t>
  </si>
  <si>
    <t xml:space="preserve">C:\Users\achikhaoui\Desktop\Calibration exp danemark\80-255\R3 Danemark/@01 Solvent control/Solvent control__011.jpg </t>
  </si>
  <si>
    <t xml:space="preserve">C:\Users\achikhaoui\Desktop\Calibration exp danemark\80-255\R3 Danemark/@01 Solvent control/ </t>
  </si>
  <si>
    <t xml:space="preserve"> 10.0625 </t>
  </si>
  <si>
    <t xml:space="preserve"> 28.461 </t>
  </si>
  <si>
    <t xml:space="preserve"> 20.125 </t>
  </si>
  <si>
    <t xml:space="preserve"> 56.9221 </t>
  </si>
  <si>
    <t xml:space="preserve">C:\Users\achikhaoui\Desktop\Calibration exp danemark\80-255\R3 Danemark/@02 EE2 34ngL/EE2 34ngL__014.jpg </t>
  </si>
  <si>
    <t xml:space="preserve">C:\Users\achikhaoui\Desktop\Calibration exp danemark\80-255\R3 Danemark/@02 EE2 34ngL/EE2 34ngL__017.jpg </t>
  </si>
  <si>
    <t xml:space="preserve"> 87.16 </t>
  </si>
  <si>
    <t xml:space="preserve">C:\Users\achikhaoui\Desktop\Calibration exp danemark\80-255\R3 Danemark/@02 EE2 34ngL/EE2 34ngL__018.jpg </t>
  </si>
  <si>
    <t xml:space="preserve"> 87.4712 </t>
  </si>
  <si>
    <t xml:space="preserve">C:\Users\achikhaoui\Desktop\Calibration exp danemark\80-255\R3 Danemark/@02 EE2 34ngL/EE2 34ngL__022.jpg </t>
  </si>
  <si>
    <t xml:space="preserve">C:\Users\achikhaoui\Desktop\Calibration exp danemark\80-255\R3 Danemark/@02 EE2 34ngL/EE2 34ngL__023.jpg </t>
  </si>
  <si>
    <t xml:space="preserve">C:\Users\achikhaoui\Desktop\Calibration exp danemark\80-255\R3 Danemark/@02 EE2 34ngL/EE2 34ngL__025.jpg </t>
  </si>
  <si>
    <t xml:space="preserve"> 83.7091 </t>
  </si>
  <si>
    <t xml:space="preserve">C:\Users\achikhaoui\Desktop\Calibration exp danemark\80-255\R3 Danemark/@02 EE2 34ngL/EE2 34ngL__026.jpg </t>
  </si>
  <si>
    <t xml:space="preserve"> 83.0645 </t>
  </si>
  <si>
    <t xml:space="preserve">C:\Users\achikhaoui\Desktop\Calibration exp danemark\80-255\R3 Danemark/@02 EE2 34ngL/EE2 34ngL__027.jpg </t>
  </si>
  <si>
    <t xml:space="preserve"> 91.9128 </t>
  </si>
  <si>
    <t xml:space="preserve">C:\Users\achikhaoui\Desktop\Calibration exp danemark\80-255\R3 Danemark/@02 EE2 34ngL/ </t>
  </si>
  <si>
    <t xml:space="preserve"> 64.5397 </t>
  </si>
  <si>
    <t xml:space="preserve"> 39.9446 </t>
  </si>
  <si>
    <t xml:space="preserve"> 4314.125 </t>
  </si>
  <si>
    <t xml:space="preserve"> 5560.3697 </t>
  </si>
  <si>
    <t xml:space="preserve">C:\Users\achikhaoui\Desktop\Calibration exp danemark\80-255\R3 Danemark/@03 EE2 51ngL/EE2 51ngL__028.jpg </t>
  </si>
  <si>
    <t xml:space="preserve"> 86.3134 </t>
  </si>
  <si>
    <t xml:space="preserve">C:\Users\achikhaoui\Desktop\Calibration exp danemark\80-255\R3 Danemark/@03 EE2 51ngL/EE2 51ngL__029.jpg </t>
  </si>
  <si>
    <t xml:space="preserve">C:\Users\achikhaoui\Desktop\Calibration exp danemark\80-255\R3 Danemark/@03 EE2 51ngL/EE2 51ngL__030.jpg </t>
  </si>
  <si>
    <t xml:space="preserve"> 91.1839 </t>
  </si>
  <si>
    <t xml:space="preserve">C:\Users\achikhaoui\Desktop\Calibration exp danemark\80-255\R3 Danemark/@03 EE2 51ngL/EE2 51ngL__031.jpg </t>
  </si>
  <si>
    <t xml:space="preserve"> 82.4286 </t>
  </si>
  <si>
    <t xml:space="preserve">C:\Users\achikhaoui\Desktop\Calibration exp danemark\80-255\R3 Danemark/@03 EE2 51ngL/EE2 51ngL__032.jpg </t>
  </si>
  <si>
    <t xml:space="preserve"> 85.9612 </t>
  </si>
  <si>
    <t xml:space="preserve">C:\Users\achikhaoui\Desktop\Calibration exp danemark\80-255\R3 Danemark/@03 EE2 51ngL/EE2 51ngL__033.jpg </t>
  </si>
  <si>
    <t xml:space="preserve">C:\Users\achikhaoui\Desktop\Calibration exp danemark\80-255\R3 Danemark/@03 EE2 51ngL/EE2 51ngL__035.jpg </t>
  </si>
  <si>
    <t xml:space="preserve">C:\Users\achikhaoui\Desktop\Calibration exp danemark\80-255\R3 Danemark/@03 EE2 51ngL/EE2 51ngL__036.jpg </t>
  </si>
  <si>
    <t xml:space="preserve"> 89.2685 </t>
  </si>
  <si>
    <t xml:space="preserve">C:\Users\achikhaoui\Desktop\Calibration exp danemark\80-255\R3 Danemark/@03 EE2 51ngL/ </t>
  </si>
  <si>
    <t xml:space="preserve"> 74.7694 </t>
  </si>
  <si>
    <t xml:space="preserve"> 30.4218 </t>
  </si>
  <si>
    <t xml:space="preserve"> 4648.125 </t>
  </si>
  <si>
    <t xml:space="preserve"> 5065.4966 </t>
  </si>
  <si>
    <t xml:space="preserve">C:\Users\achikhaoui\Desktop\Calibration exp danemark\80-255\R3 Danemark/@04 EE2 76ngL/EE2 76ngL__003.jpg </t>
  </si>
  <si>
    <t xml:space="preserve"> 107.6533 </t>
  </si>
  <si>
    <t>C:\Users\achikhaoui\Desktop\Calibration exp danemark\80-255\R3 Danemark/@04 EE2 76ngL/EE2 76ngL__006- exclu.jpg</t>
  </si>
  <si>
    <t xml:space="preserve">C:\Users\achikhaoui\Desktop\Calibration exp danemark\80-255\R3 Danemark/@04 EE2 76ngL/EE2 76ngL__007.jpg </t>
  </si>
  <si>
    <t xml:space="preserve"> 83.2829 </t>
  </si>
  <si>
    <t xml:space="preserve">C:\Users\achikhaoui\Desktop\Calibration exp danemark\80-255\R3 Danemark/@04 EE2 76ngL/EE2 76ngL__008.jpg </t>
  </si>
  <si>
    <t xml:space="preserve"> 92.2058 </t>
  </si>
  <si>
    <t xml:space="preserve">C:\Users\achikhaoui\Desktop\Calibration exp danemark\80-255\R3 Danemark/@04 EE2 76ngL/EE2 76ngL__010.jpg </t>
  </si>
  <si>
    <t xml:space="preserve">C:\Users\achikhaoui\Desktop\Calibration exp danemark\80-255\R3 Danemark/@04 EE2 76ngL/EE2 76ngL__011.jpg </t>
  </si>
  <si>
    <t xml:space="preserve">C:\Users\achikhaoui\Desktop\Calibration exp danemark\80-255\R3 Danemark/@04 EE2 76ngL/EE2 76ngL__013.jpg </t>
  </si>
  <si>
    <t xml:space="preserve"> 81.2 </t>
  </si>
  <si>
    <t xml:space="preserve">C:\Users\achikhaoui\Desktop\Calibration exp danemark\80-255\R3 Danemark/@04 EE2 76ngL/EE2 76ngL__014.jpg </t>
  </si>
  <si>
    <t xml:space="preserve">C:\Users\achikhaoui\Desktop\Calibration exp danemark\80-255\R3 Danemark/@04 EE2 76ngL/ </t>
  </si>
  <si>
    <t xml:space="preserve"> 65.7302 </t>
  </si>
  <si>
    <t xml:space="preserve"> 41.5746 </t>
  </si>
  <si>
    <t xml:space="preserve"> 54087.375 </t>
  </si>
  <si>
    <t xml:space="preserve"> 99812.1556 </t>
  </si>
  <si>
    <t xml:space="preserve">C:\Users\achikhaoui\Desktop\Calibration exp danemark\80-255\R3 Danemark/@05 EE2 114ngL/EE2 114ngL__015.jpg </t>
  </si>
  <si>
    <t xml:space="preserve">C:\Users\achikhaoui\Desktop\Calibration exp danemark\80-255\R3 Danemark/@05 EE2 114ngL/EE2 114ngL__016.jpg </t>
  </si>
  <si>
    <t xml:space="preserve"> 84.4891 </t>
  </si>
  <si>
    <t xml:space="preserve">C:\Users\achikhaoui\Desktop\Calibration exp danemark\80-255\R3 Danemark/@05 EE2 114ngL/EE2 114ngL__017.jpg </t>
  </si>
  <si>
    <t xml:space="preserve"> 85.3103 </t>
  </si>
  <si>
    <t xml:space="preserve">C:\Users\achikhaoui\Desktop\Calibration exp danemark\80-255\R3 Danemark/@05 EE2 114ngL/EE2 114ngL__018.jpg </t>
  </si>
  <si>
    <t xml:space="preserve"> 84.2639 </t>
  </si>
  <si>
    <t xml:space="preserve">C:\Users\achikhaoui\Desktop\Calibration exp danemark\80-255\R3 Danemark/@05 EE2 114ngL/EE2 114ngL__021.jpg </t>
  </si>
  <si>
    <t xml:space="preserve"> 82.7626 </t>
  </si>
  <si>
    <t xml:space="preserve">C:\Users\achikhaoui\Desktop\Calibration exp danemark\80-255\R3 Danemark/@05 EE2 114ngL/EE2 114ngL__022.jpg </t>
  </si>
  <si>
    <t xml:space="preserve"> 89.2708 </t>
  </si>
  <si>
    <t xml:space="preserve">C:\Users\achikhaoui\Desktop\Calibration exp danemark\80-255\R3 Danemark/@05 EE2 114ngL/EE2 114ngL__024.jpg </t>
  </si>
  <si>
    <t xml:space="preserve"> 82.5882 </t>
  </si>
  <si>
    <t xml:space="preserve">C:\Users\achikhaoui\Desktop\Calibration exp danemark\80-255\R3 Danemark/@05 EE2 114ngL/EE2 114ngL__025.jpg </t>
  </si>
  <si>
    <t xml:space="preserve"> 85.431 </t>
  </si>
  <si>
    <t xml:space="preserve">C:\Users\achikhaoui\Desktop\Calibration exp danemark\80-255\R3 Danemark/@05 EE2 114ngL/ </t>
  </si>
  <si>
    <t xml:space="preserve"> 84.3895 </t>
  </si>
  <si>
    <t xml:space="preserve"> 2.4833 </t>
  </si>
  <si>
    <t xml:space="preserve"> 10302.25 </t>
  </si>
  <si>
    <t xml:space="preserve"> 10640.7828 </t>
  </si>
  <si>
    <t xml:space="preserve">C:\Users\achikhaoui\Desktop\Calibration exp danemark\80-255\R3 Danemark/@06 EE2 171 ngL/EE2 171ngL__027.jpg </t>
  </si>
  <si>
    <t xml:space="preserve"> 101.7419 </t>
  </si>
  <si>
    <t xml:space="preserve">C:\Users\achikhaoui\Desktop\Calibration exp danemark\80-255\R3 Danemark/@06 EE2 171 ngL/EE2 171ngL__029.jpg </t>
  </si>
  <si>
    <t xml:space="preserve"> 91.3928 </t>
  </si>
  <si>
    <t xml:space="preserve">C:\Users\achikhaoui\Desktop\Calibration exp danemark\80-255\R3 Danemark/@06 EE2 171 ngL/EE2 171ngL__031.jpg </t>
  </si>
  <si>
    <t xml:space="preserve">C:\Users\achikhaoui\Desktop\Calibration exp danemark\80-255\R3 Danemark/@06 EE2 171 ngL/EE2 171ngL__032.jpg </t>
  </si>
  <si>
    <t xml:space="preserve"> 111.4632 </t>
  </si>
  <si>
    <t xml:space="preserve">C:\Users\achikhaoui\Desktop\Calibration exp danemark\80-255\R3 Danemark/@06 EE2 171 ngL/EE2 171ngL__033.jpg </t>
  </si>
  <si>
    <t xml:space="preserve"> 102.6817 </t>
  </si>
  <si>
    <t xml:space="preserve">C:\Users\achikhaoui\Desktop\Calibration exp danemark\80-255\R3 Danemark/@06 EE2 171 ngL/EE2 171ngL__034.jpg </t>
  </si>
  <si>
    <t xml:space="preserve"> 101.2524 </t>
  </si>
  <si>
    <t xml:space="preserve">C:\Users\achikhaoui\Desktop\Calibration exp danemark\80-255\R3 Danemark/@06 EE2 171 ngL/EE2 171ngL__035.jpg </t>
  </si>
  <si>
    <t xml:space="preserve"> 113.0564 </t>
  </si>
  <si>
    <t xml:space="preserve">C:\Users\achikhaoui\Desktop\Calibration exp danemark\80-255\R3 Danemark/@06 EE2 171 ngL/EE2 171ngL__036.jpg </t>
  </si>
  <si>
    <t xml:space="preserve"> 98.1005 </t>
  </si>
  <si>
    <t xml:space="preserve">C:\Users\achikhaoui\Desktop\Calibration exp danemark\80-255\R3 Danemark/@06 EE2 171 ngL/ </t>
  </si>
  <si>
    <t xml:space="preserve"> 100.0861 </t>
  </si>
  <si>
    <t xml:space="preserve"> 10.3669 </t>
  </si>
  <si>
    <t xml:space="preserve"> 181101.75 </t>
  </si>
  <si>
    <t xml:space="preserve"> 84783.2212 </t>
  </si>
  <si>
    <t xml:space="preserve">C:\Users\achikhaoui\Desktop\Calibration exp danemark\80-255\R3 Danemark/@07 EE2 488ngL/EE2 488ngL__001.jpg </t>
  </si>
  <si>
    <t xml:space="preserve"> 131.7429 </t>
  </si>
  <si>
    <t xml:space="preserve">C:\Users\achikhaoui\Desktop\Calibration exp danemark\80-255\R3 Danemark/@07 EE2 488ngL/EE2 488ngL__005.jpg </t>
  </si>
  <si>
    <t xml:space="preserve"> 125.768 </t>
  </si>
  <si>
    <t xml:space="preserve">C:\Users\achikhaoui\Desktop\Calibration exp danemark\80-255\R3 Danemark/@07 EE2 488ngL/EE2 488ngL__006.jpg </t>
  </si>
  <si>
    <t xml:space="preserve"> 134.5254 </t>
  </si>
  <si>
    <t xml:space="preserve">C:\Users\achikhaoui\Desktop\Calibration exp danemark\80-255\R3 Danemark/@07 EE2 488ngL/EE2 488ngL__007.jpg </t>
  </si>
  <si>
    <t xml:space="preserve"> 126.9343 </t>
  </si>
  <si>
    <t xml:space="preserve">C:\Users\achikhaoui\Desktop\Calibration exp danemark\80-255\R3 Danemark/@07 EE2 488ngL/EE2 488ngL__008.jpg </t>
  </si>
  <si>
    <t xml:space="preserve"> 128.0855 </t>
  </si>
  <si>
    <t xml:space="preserve">C:\Users\achikhaoui\Desktop\Calibration exp danemark\80-255\R3 Danemark/@07 EE2 488ngL/EE2 488ngL__009.jpg </t>
  </si>
  <si>
    <t xml:space="preserve"> 116.7867 </t>
  </si>
  <si>
    <t xml:space="preserve">C:\Users\achikhaoui\Desktop\Calibration exp danemark\80-255\R3 Danemark/@07 EE2 488ngL/EE2 488ngL__010.jpg </t>
  </si>
  <si>
    <t xml:space="preserve"> 117.9062 </t>
  </si>
  <si>
    <t xml:space="preserve">C:\Users\achikhaoui\Desktop\Calibration exp danemark\80-255\R3 Danemark/@07 EE2 488ngL/EE2 488ngL__011.jpg </t>
  </si>
  <si>
    <t xml:space="preserve"> 120.1021 </t>
  </si>
  <si>
    <t xml:space="preserve">C:\Users\achikhaoui\Desktop\Calibration exp danemark\80-255\R3 Danemark/@07 EE2 488ngL/ </t>
  </si>
  <si>
    <t xml:space="preserve"> 125.2314 </t>
  </si>
  <si>
    <t xml:space="preserve"> 6.452 </t>
  </si>
  <si>
    <t xml:space="preserve"> 309469.5 </t>
  </si>
  <si>
    <t xml:space="preserve"> 33658.5368 </t>
  </si>
  <si>
    <t xml:space="preserve">C:\Users\achikhaoui\Desktop\Calibration exp danemark\80-255\R3 Danemark/@08 Testo 30µgL/Testo 30 ngL__001.jpg </t>
  </si>
  <si>
    <t xml:space="preserve"> 94.7272 </t>
  </si>
  <si>
    <t xml:space="preserve">C:\Users\achikhaoui\Desktop\Calibration exp danemark\80-255\R3 Danemark/@08 Testo 30µgL/Testo 30 ngL__002.jpg </t>
  </si>
  <si>
    <t xml:space="preserve"> 100.3208 </t>
  </si>
  <si>
    <t xml:space="preserve">C:\Users\achikhaoui\Desktop\Calibration exp danemark\80-255\R3 Danemark/@08 Testo 30µgL/Testo 30 ngL__003.jpg </t>
  </si>
  <si>
    <t xml:space="preserve"> 89.9472 </t>
  </si>
  <si>
    <t xml:space="preserve">C:\Users\achikhaoui\Desktop\Calibration exp danemark\80-255\R3 Danemark/@08 Testo 30µgL/Testo 30 ngL__004.jpg </t>
  </si>
  <si>
    <t xml:space="preserve"> 93.9008 </t>
  </si>
  <si>
    <t xml:space="preserve">C:\Users\achikhaoui\Desktop\Calibration exp danemark\80-255\R3 Danemark/@08 Testo 30µgL/Testo 30 ngL__006.jpg </t>
  </si>
  <si>
    <t xml:space="preserve"> 103.3364 </t>
  </si>
  <si>
    <t xml:space="preserve">C:\Users\achikhaoui\Desktop\Calibration exp danemark\80-255\R3 Danemark/@08 Testo 30µgL/Testo 30 ngL__007.jpg </t>
  </si>
  <si>
    <t xml:space="preserve"> 103.4443 </t>
  </si>
  <si>
    <t xml:space="preserve">C:\Users\achikhaoui\Desktop\Calibration exp danemark\80-255\R3 Danemark/@08 Testo 30µgL/Testo 30 ngL__008.jpg </t>
  </si>
  <si>
    <t xml:space="preserve"> 94.0371 </t>
  </si>
  <si>
    <t xml:space="preserve">C:\Users\achikhaoui\Desktop\Calibration exp danemark\80-255\R3 Danemark/@08 Testo 30µgL/Testo 30 ngL__009.jpg </t>
  </si>
  <si>
    <t xml:space="preserve"> 101.0654 </t>
  </si>
  <si>
    <t xml:space="preserve">C:\Users\achikhaoui\Desktop\Calibration exp danemark\80-255\R3 Danemark/@08 Testo 30µgL/ </t>
  </si>
  <si>
    <t xml:space="preserve"> 97.5974 </t>
  </si>
  <si>
    <t xml:space="preserve"> 5.0663 </t>
  </si>
  <si>
    <t xml:space="preserve"> 160453.25 </t>
  </si>
  <si>
    <t xml:space="preserve"> 28844.6494 </t>
  </si>
  <si>
    <t xml:space="preserve">C:\Users\achikhaoui\Desktop\Calibration exp danemark\80-255\R3 Danemark/@09 Testo 30µgL + EE2 64 ngL/Testo 30 ngL + EE2 64__001.jpg </t>
  </si>
  <si>
    <t xml:space="preserve"> 111.8896 </t>
  </si>
  <si>
    <t xml:space="preserve">C:\Users\achikhaoui\Desktop\Calibration exp danemark\80-255\R3 Danemark/@09 Testo 30µgL + EE2 64 ngL/Testo 30 ngL + EE2 64__003.jpg </t>
  </si>
  <si>
    <t xml:space="preserve"> 107.7089 </t>
  </si>
  <si>
    <t xml:space="preserve">C:\Users\achikhaoui\Desktop\Calibration exp danemark\80-255\R3 Danemark/@09 Testo 30µgL + EE2 64 ngL/Testo 30 ngL + EE2 64__004.jpg </t>
  </si>
  <si>
    <t xml:space="preserve"> 111.7854 </t>
  </si>
  <si>
    <t xml:space="preserve">C:\Users\achikhaoui\Desktop\Calibration exp danemark\80-255\R3 Danemark/@09 Testo 30µgL + EE2 64 ngL/Testo 30 ngL + EE2 64__005.jpg </t>
  </si>
  <si>
    <t xml:space="preserve"> 114.9862 </t>
  </si>
  <si>
    <t xml:space="preserve">C:\Users\achikhaoui\Desktop\Calibration exp danemark\80-255\R3 Danemark/@09 Testo 30µgL + EE2 64 ngL/Testo 30 ngL + EE2 64__006.jpg </t>
  </si>
  <si>
    <t xml:space="preserve"> 120.4978 </t>
  </si>
  <si>
    <t xml:space="preserve">C:\Users\achikhaoui\Desktop\Calibration exp danemark\80-255\R3 Danemark/@09 Testo 30µgL + EE2 64 ngL/Testo 30 ngL + EE2 64__007.jpg </t>
  </si>
  <si>
    <t xml:space="preserve"> 91.9832 </t>
  </si>
  <si>
    <t xml:space="preserve">C:\Users\achikhaoui\Desktop\Calibration exp danemark\80-255\R3 Danemark/@09 Testo 30µgL + EE2 64 ngL/Testo 30 ngL + EE2 64__008.jpg </t>
  </si>
  <si>
    <t xml:space="preserve"> 118.1783 </t>
  </si>
  <si>
    <t xml:space="preserve">C:\Users\achikhaoui\Desktop\Calibration exp danemark\80-255\R3 Danemark/@09 Testo 30µgL + EE2 64 ngL/Testo 30 ngL + EE2 64__017.jpg </t>
  </si>
  <si>
    <t xml:space="preserve"> 98.935 </t>
  </si>
  <si>
    <t xml:space="preserve">C:\Users\achikhaoui\Desktop\Calibration exp danemark\80-255\R3 Danemark/@09 Testo 30µgL + EE2 64 ngL/ </t>
  </si>
  <si>
    <t xml:space="preserve"> 109.4955 </t>
  </si>
  <si>
    <t xml:space="preserve"> 9.7025 </t>
  </si>
  <si>
    <t xml:space="preserve"> 220212.125 </t>
  </si>
  <si>
    <t xml:space="preserve"> 78387.1552 </t>
  </si>
  <si>
    <t xml:space="preserve">C:\Users\achikhaoui\Desktop\Calibration exp danemark\80-255\R3 Danemark/@10 Testo 30µgL + FAD 10 µgL/Testo 30 ngL + FAD__001.jpg </t>
  </si>
  <si>
    <t xml:space="preserve"> 83.5093 </t>
  </si>
  <si>
    <t xml:space="preserve">C:\Users\achikhaoui\Desktop\Calibration exp danemark\80-255\R3 Danemark/@10 Testo 30µgL + FAD 10 µgL/Testo 30 ngL + FAD__003.jpg </t>
  </si>
  <si>
    <t xml:space="preserve"> 85.5312 </t>
  </si>
  <si>
    <t xml:space="preserve">C:\Users\achikhaoui\Desktop\Calibration exp danemark\80-255\R3 Danemark/@10 Testo 30µgL + FAD 10 µgL/Testo 30 ngL + FAD__004.jpg </t>
  </si>
  <si>
    <t xml:space="preserve"> 83.4348 </t>
  </si>
  <si>
    <t xml:space="preserve">C:\Users\achikhaoui\Desktop\Calibration exp danemark\80-255\R3 Danemark/@10 Testo 30µgL + FAD 10 µgL/Testo 30 ngL + FAD__005.jpg </t>
  </si>
  <si>
    <t xml:space="preserve"> 83.9023 </t>
  </si>
  <si>
    <t xml:space="preserve">C:\Users\achikhaoui\Desktop\Calibration exp danemark\80-255\R3 Danemark/@10 Testo 30µgL + FAD 10 µgL/Testo 30 ngL + FAD__006.jpg </t>
  </si>
  <si>
    <t xml:space="preserve"> 84.4718 </t>
  </si>
  <si>
    <t xml:space="preserve">C:\Users\achikhaoui\Desktop\Calibration exp danemark\80-255\R3 Danemark/@10 Testo 30µgL + FAD 10 µgL/Testo 30 ngL + FAD__007.jpg </t>
  </si>
  <si>
    <t xml:space="preserve"> 84.9474 </t>
  </si>
  <si>
    <t xml:space="preserve">C:\Users\achikhaoui\Desktop\Calibration exp danemark\80-255\R3 Danemark/@10 Testo 30µgL + FAD 10 µgL/Testo 30 ngL + FAD__009.jpg </t>
  </si>
  <si>
    <t xml:space="preserve"> 88.9444 </t>
  </si>
  <si>
    <t xml:space="preserve">C:\Users\achikhaoui\Desktop\Calibration exp danemark\80-255\R3 Danemark/@10 Testo 30µgL + FAD 10 µgL/Testo 30 ngL + FAD__010.jpg </t>
  </si>
  <si>
    <t xml:space="preserve"> 85.1912 </t>
  </si>
  <si>
    <t xml:space="preserve">C:\Users\achikhaoui\Desktop\Calibration exp danemark\80-255\R3 Danemark/@10 Testo 30µgL + FAD 10 µgL/ </t>
  </si>
  <si>
    <t xml:space="preserve"> 84.9915 </t>
  </si>
  <si>
    <t xml:space="preserve"> 1.7743 </t>
  </si>
  <si>
    <t xml:space="preserve"> 7796.5 </t>
  </si>
  <si>
    <t xml:space="preserve"> 4246.431 </t>
  </si>
  <si>
    <t>ns</t>
  </si>
  <si>
    <t>&gt;0,99</t>
  </si>
  <si>
    <t>*</t>
  </si>
  <si>
    <t>**</t>
  </si>
  <si>
    <t>***</t>
  </si>
  <si>
    <t>&lt;0,001</t>
  </si>
  <si>
    <t>NS</t>
  </si>
  <si>
    <t>Kruskal-Wallis</t>
  </si>
  <si>
    <t>MW</t>
  </si>
  <si>
    <t>T-Test Welch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</si>
</sst>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3">
    <xf numFmtId="0" fontId="0" fillId="0" borderId="0" xfId="0"/>
    <xf numFmtId="0" fontId="0" fillId="0" borderId="0" xfId="0"/>
    <xf numFmtId="0" fontId="1" fillId="0" borderId="0" xfId="0" applyFont="1"/>
    <xf numFmtId="0" fontId="0" fillId="0" borderId="0" xfId="0"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0.xml"/><Relationship Id="rId18" Type="http://schemas.openxmlformats.org/officeDocument/2006/relationships/worksheet" Target="worksheets/sheet14.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6.xml"/><Relationship Id="rId12" Type="http://schemas.openxmlformats.org/officeDocument/2006/relationships/chartsheet" Target="chartsheets/sheet3.xml"/><Relationship Id="rId17" Type="http://schemas.openxmlformats.org/officeDocument/2006/relationships/worksheet" Target="worksheets/sheet13.xml"/><Relationship Id="rId25"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9.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1.xml"/><Relationship Id="rId23" Type="http://schemas.openxmlformats.org/officeDocument/2006/relationships/pivotCacheDefinition" Target="pivotCache/pivotCacheDefinition2.xml"/><Relationship Id="rId28" Type="http://schemas.openxmlformats.org/officeDocument/2006/relationships/sharedStrings" Target="sharedStrings.xml"/><Relationship Id="rId10" Type="http://schemas.openxmlformats.org/officeDocument/2006/relationships/worksheet" Target="worksheets/sheet8.xml"/><Relationship Id="rId19" Type="http://schemas.openxmlformats.org/officeDocument/2006/relationships/worksheet" Target="worksheets/sheet15.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hartsheet" Target="chartsheets/sheet4.xml"/><Relationship Id="rId22" Type="http://schemas.openxmlformats.org/officeDocument/2006/relationships/pivotCacheDefinition" Target="pivotCache/pivotCacheDefinition1.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'R1'!$I$48:$L$48</c:f>
                <c:numCache>
                  <c:formatCode>General</c:formatCode>
                  <c:ptCount val="4"/>
                  <c:pt idx="0">
                    <c:v>0</c:v>
                  </c:pt>
                  <c:pt idx="1">
                    <c:v>0.17261617145574157</c:v>
                  </c:pt>
                  <c:pt idx="2">
                    <c:v>0</c:v>
                  </c:pt>
                  <c:pt idx="3">
                    <c:v>2.8154416547159326E-2</c:v>
                  </c:pt>
                </c:numCache>
              </c:numRef>
            </c:plus>
            <c:minus>
              <c:numRef>
                <c:f>'R1'!$I$48:$L$48</c:f>
                <c:numCache>
                  <c:formatCode>General</c:formatCode>
                  <c:ptCount val="4"/>
                  <c:pt idx="0">
                    <c:v>0</c:v>
                  </c:pt>
                  <c:pt idx="1">
                    <c:v>0.17261617145574157</c:v>
                  </c:pt>
                  <c:pt idx="2">
                    <c:v>0</c:v>
                  </c:pt>
                  <c:pt idx="3">
                    <c:v>2.8154416547159326E-2</c:v>
                  </c:pt>
                </c:numCache>
              </c:numRef>
            </c:minus>
          </c:errBars>
          <c:cat>
            <c:strRef>
              <c:f>'R1'!$B$52:$L$52</c:f>
              <c:strCache>
                <c:ptCount val="11"/>
                <c:pt idx="0">
                  <c:v>Témoin solvant</c:v>
                </c:pt>
                <c:pt idx="1">
                  <c:v>EE2-33,8ng/L</c:v>
                </c:pt>
                <c:pt idx="2">
                  <c:v>EE2-50,6ng/L</c:v>
                </c:pt>
                <c:pt idx="3">
                  <c:v>EE2-76ng/L</c:v>
                </c:pt>
                <c:pt idx="4">
                  <c:v>EE2-114ng/L</c:v>
                </c:pt>
                <c:pt idx="5">
                  <c:v>EE2-170,9ng/L</c:v>
                </c:pt>
                <c:pt idx="6">
                  <c:v>EE2-488ng/L</c:v>
                </c:pt>
                <c:pt idx="8">
                  <c:v>Testo -30µg/L</c:v>
                </c:pt>
                <c:pt idx="9">
                  <c:v>Testo 30µg/L + EE2 -64ng/L</c:v>
                </c:pt>
                <c:pt idx="10">
                  <c:v>Testo 30µg/L + FAD-10mg/L</c:v>
                </c:pt>
              </c:strCache>
            </c:strRef>
          </c:cat>
          <c:val>
            <c:numRef>
              <c:f>'R1'!$B$53:$L$53</c:f>
              <c:numCache>
                <c:formatCode>0.0000</c:formatCode>
                <c:ptCount val="11"/>
                <c:pt idx="0">
                  <c:v>1.1871244776466477E-2</c:v>
                </c:pt>
                <c:pt idx="1">
                  <c:v>1.3211980471554583E-2</c:v>
                </c:pt>
                <c:pt idx="2">
                  <c:v>0.11389705464648271</c:v>
                </c:pt>
                <c:pt idx="3">
                  <c:v>0.37994354256844676</c:v>
                </c:pt>
                <c:pt idx="4">
                  <c:v>0.63307076079494862</c:v>
                </c:pt>
                <c:pt idx="5">
                  <c:v>1.2709585832960237</c:v>
                </c:pt>
                <c:pt idx="6">
                  <c:v>1.5728401209847613</c:v>
                </c:pt>
                <c:pt idx="8">
                  <c:v>0.99999999999999989</c:v>
                </c:pt>
                <c:pt idx="9">
                  <c:v>0</c:v>
                </c:pt>
                <c:pt idx="10">
                  <c:v>6.6022384410655874E-2</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'R2'!$B$54:$L$54</c:f>
                <c:numCache>
                  <c:formatCode>General</c:formatCode>
                  <c:ptCount val="11"/>
                  <c:pt idx="0">
                    <c:v>1.3943243957688053E-2</c:v>
                  </c:pt>
                  <c:pt idx="1">
                    <c:v>2.758477721251295E-2</c:v>
                  </c:pt>
                  <c:pt idx="2">
                    <c:v>1.8094954967962699E-2</c:v>
                  </c:pt>
                  <c:pt idx="3">
                    <c:v>8.6873764262679551E-2</c:v>
                  </c:pt>
                  <c:pt idx="4">
                    <c:v>2.2894638990295344E-2</c:v>
                  </c:pt>
                  <c:pt idx="5">
                    <c:v>0.1015980165581758</c:v>
                  </c:pt>
                  <c:pt idx="6">
                    <c:v>0.19730502978902031</c:v>
                  </c:pt>
                  <c:pt idx="8">
                    <c:v>0.11381090277011899</c:v>
                  </c:pt>
                  <c:pt idx="9">
                    <c:v>8.4426143457575945E-2</c:v>
                  </c:pt>
                  <c:pt idx="10">
                    <c:v>2.4746664851487393E-2</c:v>
                  </c:pt>
                </c:numCache>
              </c:numRef>
            </c:plus>
            <c:minus>
              <c:numRef>
                <c:f>'R1'!$I$48:$L$48</c:f>
                <c:numCache>
                  <c:formatCode>General</c:formatCode>
                  <c:ptCount val="4"/>
                  <c:pt idx="0">
                    <c:v>0</c:v>
                  </c:pt>
                  <c:pt idx="1">
                    <c:v>0.17261617145574157</c:v>
                  </c:pt>
                  <c:pt idx="2">
                    <c:v>0</c:v>
                  </c:pt>
                  <c:pt idx="3">
                    <c:v>2.8154416547159326E-2</c:v>
                  </c:pt>
                </c:numCache>
              </c:numRef>
            </c:minus>
          </c:errBars>
          <c:cat>
            <c:strRef>
              <c:f>'R2'!$B$52:$L$52</c:f>
              <c:strCache>
                <c:ptCount val="11"/>
                <c:pt idx="0">
                  <c:v>Témoin solvant</c:v>
                </c:pt>
                <c:pt idx="1">
                  <c:v>EE2-33,8ng/L</c:v>
                </c:pt>
                <c:pt idx="2">
                  <c:v>EE2-50,6ng/L</c:v>
                </c:pt>
                <c:pt idx="3">
                  <c:v>EE2-76ng/L</c:v>
                </c:pt>
                <c:pt idx="4">
                  <c:v>EE2-114ng/L</c:v>
                </c:pt>
                <c:pt idx="5">
                  <c:v>EE2-170,9ng/L</c:v>
                </c:pt>
                <c:pt idx="6">
                  <c:v>EE2-488ng/L</c:v>
                </c:pt>
                <c:pt idx="8">
                  <c:v>Testo -30µg/L</c:v>
                </c:pt>
                <c:pt idx="9">
                  <c:v>Testo 30µg/L + EE2 -64ng/L</c:v>
                </c:pt>
                <c:pt idx="10">
                  <c:v>Testo 30µg/L + FAD-10mg/L</c:v>
                </c:pt>
              </c:strCache>
            </c:strRef>
          </c:cat>
          <c:val>
            <c:numRef>
              <c:f>'R2'!$B$53:$L$53</c:f>
              <c:numCache>
                <c:formatCode>0.0000</c:formatCode>
                <c:ptCount val="11"/>
                <c:pt idx="0">
                  <c:v>4.2566167305206973E-2</c:v>
                </c:pt>
                <c:pt idx="1">
                  <c:v>8.8327903828947674E-2</c:v>
                </c:pt>
                <c:pt idx="2">
                  <c:v>5.1530106984177967E-2</c:v>
                </c:pt>
                <c:pt idx="3">
                  <c:v>0.20244977708443262</c:v>
                </c:pt>
                <c:pt idx="4">
                  <c:v>7.6347899043992098E-2</c:v>
                </c:pt>
                <c:pt idx="5">
                  <c:v>1.0250507582188166</c:v>
                </c:pt>
                <c:pt idx="6">
                  <c:v>1.3264092813936239</c:v>
                </c:pt>
                <c:pt idx="8">
                  <c:v>0.99999999999999989</c:v>
                </c:pt>
                <c:pt idx="9">
                  <c:v>1.0547357131386357</c:v>
                </c:pt>
                <c:pt idx="10">
                  <c:v>8.481784395145564E-2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'R3'!$B$54:$L$54</c:f>
                <c:numCache>
                  <c:formatCode>General</c:formatCode>
                  <c:ptCount val="11"/>
                  <c:pt idx="0">
                    <c:v>1.2542594182417621E-4</c:v>
                  </c:pt>
                  <c:pt idx="1">
                    <c:v>1.2252089337170648E-2</c:v>
                  </c:pt>
                  <c:pt idx="2">
                    <c:v>1.1161653061871162E-2</c:v>
                  </c:pt>
                  <c:pt idx="3">
                    <c:v>0.24783162520616631</c:v>
                  </c:pt>
                  <c:pt idx="4">
                    <c:v>2.3446610491749287E-2</c:v>
                  </c:pt>
                  <c:pt idx="5">
                    <c:v>0.18681700319036093</c:v>
                  </c:pt>
                  <c:pt idx="6">
                    <c:v>7.4165464358490946E-2</c:v>
                  </c:pt>
                  <c:pt idx="8">
                    <c:v>6.355822389058631E-2</c:v>
                  </c:pt>
                  <c:pt idx="9">
                    <c:v>0.17272348485427735</c:v>
                  </c:pt>
                  <c:pt idx="10">
                    <c:v>9.3568692436373571E-3</c:v>
                  </c:pt>
                </c:numCache>
              </c:numRef>
            </c:plus>
            <c:minus>
              <c:numRef>
                <c:f>'R1'!$I$48:$L$48</c:f>
                <c:numCache>
                  <c:formatCode>General</c:formatCode>
                  <c:ptCount val="4"/>
                  <c:pt idx="0">
                    <c:v>0</c:v>
                  </c:pt>
                  <c:pt idx="1">
                    <c:v>0.17261617145574157</c:v>
                  </c:pt>
                  <c:pt idx="2">
                    <c:v>0</c:v>
                  </c:pt>
                  <c:pt idx="3">
                    <c:v>2.8154416547159326E-2</c:v>
                  </c:pt>
                </c:numCache>
              </c:numRef>
            </c:minus>
          </c:errBars>
          <c:cat>
            <c:strRef>
              <c:f>'R3'!$B$52:$L$52</c:f>
              <c:strCache>
                <c:ptCount val="11"/>
                <c:pt idx="0">
                  <c:v>Témoin solvant</c:v>
                </c:pt>
                <c:pt idx="1">
                  <c:v>EE2-33,8ng/L</c:v>
                </c:pt>
                <c:pt idx="2">
                  <c:v>EE2-50,6ng/L</c:v>
                </c:pt>
                <c:pt idx="3">
                  <c:v>EE2-76ng/L</c:v>
                </c:pt>
                <c:pt idx="4">
                  <c:v>EE2-114ng/L</c:v>
                </c:pt>
                <c:pt idx="5">
                  <c:v>EE2-170,9ng/L</c:v>
                </c:pt>
                <c:pt idx="6">
                  <c:v>EE2-488ng/L</c:v>
                </c:pt>
                <c:pt idx="8">
                  <c:v>Testo -30µg/L</c:v>
                </c:pt>
                <c:pt idx="9">
                  <c:v>Testo 30µg/L + EE2 -64ng/L</c:v>
                </c:pt>
                <c:pt idx="10">
                  <c:v>Testo 30µg/L + FAD-10mg/L</c:v>
                </c:pt>
              </c:strCache>
            </c:strRef>
          </c:cat>
          <c:val>
            <c:numRef>
              <c:f>'R3'!$B$53:$L$53</c:f>
              <c:numCache>
                <c:formatCode>0.0000</c:formatCode>
                <c:ptCount val="11"/>
                <c:pt idx="0">
                  <c:v>1.2542594182417621E-4</c:v>
                </c:pt>
                <c:pt idx="1">
                  <c:v>2.6887115094272006E-2</c:v>
                </c:pt>
                <c:pt idx="2">
                  <c:v>2.8968718302683182E-2</c:v>
                </c:pt>
                <c:pt idx="3">
                  <c:v>0.38510193556601152</c:v>
                </c:pt>
                <c:pt idx="4">
                  <c:v>6.4207175610341338E-2</c:v>
                </c:pt>
                <c:pt idx="5">
                  <c:v>1.1286885743978385</c:v>
                </c:pt>
                <c:pt idx="6">
                  <c:v>1.9287206709742557</c:v>
                </c:pt>
                <c:pt idx="8">
                  <c:v>1</c:v>
                </c:pt>
                <c:pt idx="9">
                  <c:v>1.3724379219492282</c:v>
                </c:pt>
                <c:pt idx="10">
                  <c:v>4.8590477288556012E-2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D0AC8D59-38FD-45A7-A653-B76E7065D68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32A2ACE7-CABA-4BE8-8AF5-AC28D3C0C4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1DD553FB-04D7-43E5-975F-3600B0A65C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CCC3B3D7-8925-401B-98DF-33CE6773F2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9952916B-E279-418D-818F-FBDBE2460DB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6AF92BFD-1D67-44F9-AE5E-EE4AE2C4840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7211FDA9-DD23-4270-8EEF-FA2814FF426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033C-4530-84A9-991A3866ABD4}"/>
                </c:ext>
              </c:extLst>
            </c:dLbl>
            <c:dLbl>
              <c:idx val="8"/>
              <c:tx>
                <c:rich>
                  <a:bodyPr/>
                  <a:lstStyle/>
                  <a:p>
                    <a:fld id="{ACDA7B73-2DB0-4B3E-954F-F0AC78800F2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F3CCE742-20B6-4695-A86A-02ECF7B09A5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426D0C55-DF84-43D3-B3F1-DF48A17BD1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values'!$B$76:$L$76</c:f>
                <c:numCache>
                  <c:formatCode>General</c:formatCode>
                  <c:ptCount val="11"/>
                  <c:pt idx="0">
                    <c:v>7.1663172991313666E-3</c:v>
                  </c:pt>
                  <c:pt idx="1">
                    <c:v>1.2871069212345447E-2</c:v>
                  </c:pt>
                  <c:pt idx="2">
                    <c:v>2.595640889419585E-2</c:v>
                  </c:pt>
                  <c:pt idx="3">
                    <c:v>9.9035831526258167E-2</c:v>
                  </c:pt>
                  <c:pt idx="4">
                    <c:v>7.2283795227338035E-2</c:v>
                  </c:pt>
                  <c:pt idx="5">
                    <c:v>7.8394548983383244E-2</c:v>
                  </c:pt>
                  <c:pt idx="6">
                    <c:v>9.3521505049329948E-2</c:v>
                  </c:pt>
                  <c:pt idx="8">
                    <c:v>6.8896307764870629E-2</c:v>
                  </c:pt>
                  <c:pt idx="9">
                    <c:v>0.10152102872095672</c:v>
                  </c:pt>
                  <c:pt idx="10">
                    <c:v>1.2686211896683456E-2</c:v>
                  </c:pt>
                </c:numCache>
              </c:numRef>
            </c:plus>
            <c:minus>
              <c:numRef>
                <c:f>'pooled normalised values'!$B$76:$L$76</c:f>
                <c:numCache>
                  <c:formatCode>General</c:formatCode>
                  <c:ptCount val="11"/>
                  <c:pt idx="0">
                    <c:v>7.1663172991313666E-3</c:v>
                  </c:pt>
                  <c:pt idx="1">
                    <c:v>1.2871069212345447E-2</c:v>
                  </c:pt>
                  <c:pt idx="2">
                    <c:v>2.595640889419585E-2</c:v>
                  </c:pt>
                  <c:pt idx="3">
                    <c:v>9.9035831526258167E-2</c:v>
                  </c:pt>
                  <c:pt idx="4">
                    <c:v>7.2283795227338035E-2</c:v>
                  </c:pt>
                  <c:pt idx="5">
                    <c:v>7.8394548983383244E-2</c:v>
                  </c:pt>
                  <c:pt idx="6">
                    <c:v>9.3521505049329948E-2</c:v>
                  </c:pt>
                  <c:pt idx="8">
                    <c:v>6.8896307764870629E-2</c:v>
                  </c:pt>
                  <c:pt idx="9">
                    <c:v>0.10152102872095672</c:v>
                  </c:pt>
                  <c:pt idx="10">
                    <c:v>1.2686211896683456E-2</c:v>
                  </c:pt>
                </c:numCache>
              </c:numRef>
            </c:minus>
          </c:errBars>
          <c:cat>
            <c:strRef>
              <c:f>'pooled normalised values'!$B$74:$L$74</c:f>
              <c:strCache>
                <c:ptCount val="11"/>
                <c:pt idx="0">
                  <c:v>Témoin solvant</c:v>
                </c:pt>
                <c:pt idx="1">
                  <c:v>EE2-33,8ng/L</c:v>
                </c:pt>
                <c:pt idx="2">
                  <c:v>EE2-50,6ng/L</c:v>
                </c:pt>
                <c:pt idx="3">
                  <c:v>EE2-76ng/L</c:v>
                </c:pt>
                <c:pt idx="4">
                  <c:v>EE2-114ng/L</c:v>
                </c:pt>
                <c:pt idx="5">
                  <c:v>EE2-170,9ng/L</c:v>
                </c:pt>
                <c:pt idx="6">
                  <c:v>EE2-488ng/L</c:v>
                </c:pt>
                <c:pt idx="8">
                  <c:v>Testo -30µg/L</c:v>
                </c:pt>
                <c:pt idx="9">
                  <c:v>Testo 30µg/L + EE2 -64ng/L</c:v>
                </c:pt>
                <c:pt idx="10">
                  <c:v>Testo 30µg/L + FAD-10mg/L</c:v>
                </c:pt>
              </c:strCache>
            </c:strRef>
          </c:cat>
          <c:val>
            <c:numRef>
              <c:f>'pooled normalised values'!$B$75:$L$75</c:f>
              <c:numCache>
                <c:formatCode>0.0000</c:formatCode>
                <c:ptCount val="11"/>
                <c:pt idx="0">
                  <c:v>1.885732401528243E-2</c:v>
                </c:pt>
                <c:pt idx="1">
                  <c:v>4.5499637918867492E-2</c:v>
                </c:pt>
                <c:pt idx="2">
                  <c:v>6.4798626644447951E-2</c:v>
                </c:pt>
                <c:pt idx="3">
                  <c:v>0.31977652635587456</c:v>
                </c:pt>
                <c:pt idx="4">
                  <c:v>0.26576777324131579</c:v>
                </c:pt>
                <c:pt idx="5">
                  <c:v>1.1359402062611048</c:v>
                </c:pt>
                <c:pt idx="6">
                  <c:v>1.6093233577842139</c:v>
                </c:pt>
                <c:pt idx="8">
                  <c:v>1</c:v>
                </c:pt>
                <c:pt idx="9">
                  <c:v>1.2135868175439319</c:v>
                </c:pt>
                <c:pt idx="10">
                  <c:v>6.6476901883555831E-2</c:v>
                </c:pt>
              </c:numCache>
            </c:numRef>
          </c:val>
          <c:extLst>
            <c:ext xmlns:c15="http://schemas.microsoft.com/office/drawing/2012/chart" uri="{02D57815-91ED-43cb-92C2-25804820EDAC}">
              <c15:datalabelsRange>
                <c15:f>'pooled normalised values'!$B$83:$L$83</c15:f>
                <c15:dlblRangeCache>
                  <c:ptCount val="11"/>
                  <c:pt idx="1">
                    <c:v>ns</c:v>
                  </c:pt>
                  <c:pt idx="2">
                    <c:v>ns</c:v>
                  </c:pt>
                  <c:pt idx="3">
                    <c:v>*</c:v>
                  </c:pt>
                  <c:pt idx="4">
                    <c:v>**</c:v>
                  </c:pt>
                  <c:pt idx="5">
                    <c:v>***</c:v>
                  </c:pt>
                  <c:pt idx="6">
                    <c:v>***</c:v>
                  </c:pt>
                  <c:pt idx="8">
                    <c:v>***</c:v>
                  </c:pt>
                  <c:pt idx="9">
                    <c:v>NS</c:v>
                  </c:pt>
                  <c:pt idx="10">
                    <c:v>***</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819333EA-12EC-4CFB-B203-8151584AA6D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E9336146-6F3F-42ED-B7F1-711ABB3F58A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329E3A6-7A8A-4BB1-9125-4CFBE7B2398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F6F334D0-85EF-4498-A5C3-F4F0A91F9A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3051F119-0220-42FA-89B4-A301822392F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F53194DB-F70E-4889-8658-EED0A82EF27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F813EEFD-F3A9-4601-AFA5-962ABBE27DB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8A28E342-19D1-475A-BDA3-7878A7F2BF4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C2D0934D-D99D-4A34-8F19-E03154B510C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36FFBC57-405D-42D8-8D84-E4995FD838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C9626FE7-FE8A-4B39-BD12-CFE751512F0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ACEAB904-FA4A-47E5-8FEF-B26A25F8414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068407A1-BB5E-4285-82D7-29F874A851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2CBECE28-B381-46D3-B64D-55786919EC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CHG'!$E$3:$T$3</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#REF!</c:v>
                  </c:pt>
                  <c:pt idx="2">
                    <c:v>#REF!</c:v>
                  </c:pt>
                  <c:pt idx="3">
                    <c:v>#REF!</c:v>
                  </c:pt>
                  <c:pt idx="4">
                    <c:v>#REF!</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1.885732401528243E-2</c:v>
                </c:pt>
                <c:pt idx="1">
                  <c:v>1.885732401528243E-2</c:v>
                </c:pt>
                <c:pt idx="2">
                  <c:v>1.885732401528243E-2</c:v>
                </c:pt>
                <c:pt idx="3">
                  <c:v>1.885732401528243E-2</c:v>
                </c:pt>
                <c:pt idx="4">
                  <c:v>1.885732401528243E-2</c:v>
                </c:pt>
                <c:pt idx="5">
                  <c:v>1.885732401528243E-2</c:v>
                </c:pt>
                <c:pt idx="6">
                  <c:v>1.885732401528243E-2</c:v>
                </c:pt>
                <c:pt idx="7">
                  <c:v>1.885732401528243E-2</c:v>
                </c:pt>
                <c:pt idx="8">
                  <c:v>1.885732401528243E-2</c:v>
                </c:pt>
                <c:pt idx="9">
                  <c:v>1.885732401528243E-2</c:v>
                </c:pt>
                <c:pt idx="10">
                  <c:v>1.885732401528243E-2</c:v>
                </c:pt>
                <c:pt idx="11">
                  <c:v>1.885732401528243E-2</c:v>
                </c:pt>
                <c:pt idx="12">
                  <c:v>1.885732401528243E-2</c:v>
                </c:pt>
                <c:pt idx="13">
                  <c:v>1.885732401528243E-2</c:v>
                </c:pt>
                <c:pt idx="14">
                  <c:v>1.885732401528243E-2</c:v>
                </c:pt>
                <c:pt idx="15">
                  <c:v>1.885732401528243E-2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CHG'!$U$8:$AJ$8</c:f>
              <c:numCache>
                <c:formatCode>General</c:formatCode>
                <c:ptCount val="16"/>
                <c:pt idx="0">
                  <c:v>6.6476901883555831E-2</c:v>
                </c:pt>
                <c:pt idx="1">
                  <c:v>6.6476901883555831E-2</c:v>
                </c:pt>
                <c:pt idx="2">
                  <c:v>6.6476901883555831E-2</c:v>
                </c:pt>
                <c:pt idx="3">
                  <c:v>6.6476901883555831E-2</c:v>
                </c:pt>
                <c:pt idx="4">
                  <c:v>6.6476901883555831E-2</c:v>
                </c:pt>
                <c:pt idx="5">
                  <c:v>6.6476901883555831E-2</c:v>
                </c:pt>
                <c:pt idx="6">
                  <c:v>6.6476901883555831E-2</c:v>
                </c:pt>
                <c:pt idx="7">
                  <c:v>6.6476901883555831E-2</c:v>
                </c:pt>
                <c:pt idx="8">
                  <c:v>6.6476901883555831E-2</c:v>
                </c:pt>
                <c:pt idx="9">
                  <c:v>6.6476901883555831E-2</c:v>
                </c:pt>
                <c:pt idx="10">
                  <c:v>6.6476901883555831E-2</c:v>
                </c:pt>
                <c:pt idx="11">
                  <c:v>6.6476901883555831E-2</c:v>
                </c:pt>
                <c:pt idx="12">
                  <c:v>6.6476901883555831E-2</c:v>
                </c:pt>
                <c:pt idx="13">
                  <c:v>6.6476901883555831E-2</c:v>
                </c:pt>
                <c:pt idx="14">
                  <c:v>6.6476901883555831E-2</c:v>
                </c:pt>
                <c:pt idx="15">
                  <c:v>6.6476901883555831E-2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CHG'!$U$9:$AJ$9</c:f>
              <c:numCache>
                <c:formatCode>General</c:formatCode>
                <c:ptCount val="16"/>
                <c:pt idx="0">
                  <c:v>1.1471099156603761</c:v>
                </c:pt>
                <c:pt idx="1">
                  <c:v>1.1471099156603761</c:v>
                </c:pt>
                <c:pt idx="2">
                  <c:v>1.1471099156603761</c:v>
                </c:pt>
                <c:pt idx="3">
                  <c:v>1.1471099156603761</c:v>
                </c:pt>
                <c:pt idx="4">
                  <c:v>1.1471099156603761</c:v>
                </c:pt>
                <c:pt idx="5">
                  <c:v>1.1471099156603761</c:v>
                </c:pt>
                <c:pt idx="6">
                  <c:v>1.1471099156603761</c:v>
                </c:pt>
                <c:pt idx="7">
                  <c:v>1.1471099156603761</c:v>
                </c:pt>
                <c:pt idx="8">
                  <c:v>1.1471099156603761</c:v>
                </c:pt>
                <c:pt idx="9">
                  <c:v>1.1471099156603761</c:v>
                </c:pt>
                <c:pt idx="10">
                  <c:v>1.1471099156603761</c:v>
                </c:pt>
                <c:pt idx="11">
                  <c:v>1.1471099156603761</c:v>
                </c:pt>
                <c:pt idx="12">
                  <c:v>1.1471099156603761</c:v>
                </c:pt>
                <c:pt idx="13">
                  <c:v>1.1471099156603761</c:v>
                </c:pt>
                <c:pt idx="14">
                  <c:v>1.1471099156603761</c:v>
                </c:pt>
                <c:pt idx="15">
                  <c:v>1.1471099156603761</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CHG'!$U$10:$AJ$10</c:f>
              <c:numCache>
                <c:formatCode>General</c:formatCode>
                <c:ptCount val="16"/>
                <c:pt idx="0">
                  <c:v>1.3528900843396239</c:v>
                </c:pt>
                <c:pt idx="1">
                  <c:v>1.3528900843396239</c:v>
                </c:pt>
                <c:pt idx="2">
                  <c:v>1.3528900843396239</c:v>
                </c:pt>
                <c:pt idx="3">
                  <c:v>1.3528900843396239</c:v>
                </c:pt>
                <c:pt idx="4">
                  <c:v>1.3528900843396239</c:v>
                </c:pt>
                <c:pt idx="5">
                  <c:v>1.3528900843396239</c:v>
                </c:pt>
                <c:pt idx="6">
                  <c:v>1.3528900843396239</c:v>
                </c:pt>
                <c:pt idx="7">
                  <c:v>1.3528900843396239</c:v>
                </c:pt>
                <c:pt idx="8">
                  <c:v>1.3528900843396239</c:v>
                </c:pt>
                <c:pt idx="9">
                  <c:v>1.3528900843396239</c:v>
                </c:pt>
                <c:pt idx="10">
                  <c:v>1.3528900843396239</c:v>
                </c:pt>
                <c:pt idx="11">
                  <c:v>1.3528900843396239</c:v>
                </c:pt>
                <c:pt idx="12">
                  <c:v>1.3528900843396239</c:v>
                </c:pt>
                <c:pt idx="13">
                  <c:v>1.3528900843396239</c:v>
                </c:pt>
                <c:pt idx="14">
                  <c:v>1.3528900843396239</c:v>
                </c:pt>
                <c:pt idx="15">
                  <c:v>1.3528900843396239</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FCCF4EB5-EB61-4CF6-80A9-E245ECEA34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E475B7D9-70C0-4D6C-9055-65CEC35CF45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C37CA2A6-6A16-4CB0-9952-397A3EEE9C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26ECA86F-A3F8-43AE-9247-3E344354AE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43F7CA3E-9A5D-47D7-AFD2-0EF0934782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36D12E4E-B764-4528-9555-8710CD765C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2BF358A6-AD77-4819-8DA8-03BA92B7E5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27832D7F-6B66-4042-9B0A-637E6AD69C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DBCF5D1B-B837-48BF-8768-F3DB1C6C98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3F0C9369-17FF-4721-858E-AFD05A67931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E31F4424-DCA0-46A8-AF9A-E9401087234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DDA2D41D-958B-4A2D-BBF6-51708001ABC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270E4E81-9047-4D0D-9614-90B4C589E98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6E7C471D-34EE-45BD-9D01-7F2C2F9C29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CHG'!$U$3:$AJ$3</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#REF!</c:v>
                  </c:pt>
                  <c:pt idx="2">
                    <c:v>#REF!</c:v>
                  </c:pt>
                  <c:pt idx="3">
                    <c:v>#REF!</c:v>
                  </c:pt>
                  <c:pt idx="4">
                    <c:v>#REF!</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A15CD1D9-15D6-46B0-BA6F-C21C9793CF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C12979AC-4461-4418-BD1C-A3C9938DA0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CAA2766D-6896-41DF-98AA-90DB287B05D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EDA54A14-3B6F-4738-9739-94426F67E23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04C3CD46-0DB7-4D0E-AFC6-F31CBCBC938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A570AEBD-58B4-412C-BD37-BC13F55B7D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E6FC83D8-A582-4689-8266-FE62611575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5643DE1C-84C3-432D-9568-166448D868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E96ECC30-8462-4984-A0EB-DDE4D6E07A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CD6DD95D-DCB0-48B5-88B9-DE24A5C4117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15B20736-146F-4F1A-88E2-BF856352695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B0BE4212-B35D-4A4F-8487-2D51FD83402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E0405343-54D9-496C-9F8D-4FB7CC2B6AA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2C96EA92-4E47-4ADA-82E8-C640F0DE4A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numRef>
              <c:f>'Graph format rapport CHG'!$E$2:$T$2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CHG'!$E$3:$T$3</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#REF!</c:v>
                  </c:pt>
                  <c:pt idx="2">
                    <c:v>#REF!</c:v>
                  </c:pt>
                  <c:pt idx="3">
                    <c:v>#REF!</c:v>
                  </c:pt>
                  <c:pt idx="4">
                    <c:v>#REF!</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1.885732401528243E-2</c:v>
                </c:pt>
                <c:pt idx="1">
                  <c:v>1.885732401528243E-2</c:v>
                </c:pt>
                <c:pt idx="2">
                  <c:v>1.885732401528243E-2</c:v>
                </c:pt>
                <c:pt idx="3">
                  <c:v>1.885732401528243E-2</c:v>
                </c:pt>
                <c:pt idx="4">
                  <c:v>1.885732401528243E-2</c:v>
                </c:pt>
                <c:pt idx="5">
                  <c:v>1.885732401528243E-2</c:v>
                </c:pt>
                <c:pt idx="6">
                  <c:v>1.885732401528243E-2</c:v>
                </c:pt>
                <c:pt idx="7">
                  <c:v>1.885732401528243E-2</c:v>
                </c:pt>
                <c:pt idx="8">
                  <c:v>1.885732401528243E-2</c:v>
                </c:pt>
                <c:pt idx="9">
                  <c:v>1.885732401528243E-2</c:v>
                </c:pt>
                <c:pt idx="10">
                  <c:v>1.885732401528243E-2</c:v>
                </c:pt>
                <c:pt idx="11">
                  <c:v>1.885732401528243E-2</c:v>
                </c:pt>
                <c:pt idx="12">
                  <c:v>1.885732401528243E-2</c:v>
                </c:pt>
                <c:pt idx="13">
                  <c:v>1.885732401528243E-2</c:v>
                </c:pt>
                <c:pt idx="14">
                  <c:v>1.885732401528243E-2</c:v>
                </c:pt>
                <c:pt idx="15">
                  <c:v>1.885732401528243E-2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CHG'!$U$8:$AJ$8</c:f>
              <c:numCache>
                <c:formatCode>General</c:formatCode>
                <c:ptCount val="16"/>
                <c:pt idx="0">
                  <c:v>6.6476901883555831E-2</c:v>
                </c:pt>
                <c:pt idx="1">
                  <c:v>6.6476901883555831E-2</c:v>
                </c:pt>
                <c:pt idx="2">
                  <c:v>6.6476901883555831E-2</c:v>
                </c:pt>
                <c:pt idx="3">
                  <c:v>6.6476901883555831E-2</c:v>
                </c:pt>
                <c:pt idx="4">
                  <c:v>6.6476901883555831E-2</c:v>
                </c:pt>
                <c:pt idx="5">
                  <c:v>6.6476901883555831E-2</c:v>
                </c:pt>
                <c:pt idx="6">
                  <c:v>6.6476901883555831E-2</c:v>
                </c:pt>
                <c:pt idx="7">
                  <c:v>6.6476901883555831E-2</c:v>
                </c:pt>
                <c:pt idx="8">
                  <c:v>6.6476901883555831E-2</c:v>
                </c:pt>
                <c:pt idx="9">
                  <c:v>6.6476901883555831E-2</c:v>
                </c:pt>
                <c:pt idx="10">
                  <c:v>6.6476901883555831E-2</c:v>
                </c:pt>
                <c:pt idx="11">
                  <c:v>6.6476901883555831E-2</c:v>
                </c:pt>
                <c:pt idx="12">
                  <c:v>6.6476901883555831E-2</c:v>
                </c:pt>
                <c:pt idx="13">
                  <c:v>6.6476901883555831E-2</c:v>
                </c:pt>
                <c:pt idx="14">
                  <c:v>6.6476901883555831E-2</c:v>
                </c:pt>
                <c:pt idx="15">
                  <c:v>6.6476901883555831E-2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CHG'!$U$9:$AJ$9</c:f>
              <c:numCache>
                <c:formatCode>General</c:formatCode>
                <c:ptCount val="16"/>
                <c:pt idx="0">
                  <c:v>1.1471099156603761</c:v>
                </c:pt>
                <c:pt idx="1">
                  <c:v>1.1471099156603761</c:v>
                </c:pt>
                <c:pt idx="2">
                  <c:v>1.1471099156603761</c:v>
                </c:pt>
                <c:pt idx="3">
                  <c:v>1.1471099156603761</c:v>
                </c:pt>
                <c:pt idx="4">
                  <c:v>1.1471099156603761</c:v>
                </c:pt>
                <c:pt idx="5">
                  <c:v>1.1471099156603761</c:v>
                </c:pt>
                <c:pt idx="6">
                  <c:v>1.1471099156603761</c:v>
                </c:pt>
                <c:pt idx="7">
                  <c:v>1.1471099156603761</c:v>
                </c:pt>
                <c:pt idx="8">
                  <c:v>1.1471099156603761</c:v>
                </c:pt>
                <c:pt idx="9">
                  <c:v>1.1471099156603761</c:v>
                </c:pt>
                <c:pt idx="10">
                  <c:v>1.1471099156603761</c:v>
                </c:pt>
                <c:pt idx="11">
                  <c:v>1.1471099156603761</c:v>
                </c:pt>
                <c:pt idx="12">
                  <c:v>1.1471099156603761</c:v>
                </c:pt>
                <c:pt idx="13">
                  <c:v>1.1471099156603761</c:v>
                </c:pt>
                <c:pt idx="14">
                  <c:v>1.1471099156603761</c:v>
                </c:pt>
                <c:pt idx="15">
                  <c:v>1.1471099156603761</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CHG'!$U$10:$AJ$10</c:f>
              <c:numCache>
                <c:formatCode>General</c:formatCode>
                <c:ptCount val="16"/>
                <c:pt idx="0">
                  <c:v>1.3528900843396239</c:v>
                </c:pt>
                <c:pt idx="1">
                  <c:v>1.3528900843396239</c:v>
                </c:pt>
                <c:pt idx="2">
                  <c:v>1.3528900843396239</c:v>
                </c:pt>
                <c:pt idx="3">
                  <c:v>1.3528900843396239</c:v>
                </c:pt>
                <c:pt idx="4">
                  <c:v>1.3528900843396239</c:v>
                </c:pt>
                <c:pt idx="5">
                  <c:v>1.3528900843396239</c:v>
                </c:pt>
                <c:pt idx="6">
                  <c:v>1.3528900843396239</c:v>
                </c:pt>
                <c:pt idx="7">
                  <c:v>1.3528900843396239</c:v>
                </c:pt>
                <c:pt idx="8">
                  <c:v>1.3528900843396239</c:v>
                </c:pt>
                <c:pt idx="9">
                  <c:v>1.3528900843396239</c:v>
                </c:pt>
                <c:pt idx="10">
                  <c:v>1.3528900843396239</c:v>
                </c:pt>
                <c:pt idx="11">
                  <c:v>1.3528900843396239</c:v>
                </c:pt>
                <c:pt idx="12">
                  <c:v>1.3528900843396239</c:v>
                </c:pt>
                <c:pt idx="13">
                  <c:v>1.3528900843396239</c:v>
                </c:pt>
                <c:pt idx="14">
                  <c:v>1.3528900843396239</c:v>
                </c:pt>
                <c:pt idx="15">
                  <c:v>1.3528900843396239</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2BAE07C0-7D21-43AA-9930-4E497081430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36E13F50-2BCF-4B03-B9B5-6C3675CC31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76AEA984-45A0-46D0-8718-9246992F21A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1D1A1619-ACEE-4142-AFB5-DFDFF225F8F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3A437F12-39C4-4DD3-9676-7C3891024D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A5A897C6-93B1-46BB-A319-1EEF0EFA33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0212AA94-ADD0-4410-A9FC-3F1ABBD48F3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11B84DFB-51FE-4863-AA09-CE9001E557C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B04BA084-0DC1-42FB-BB9F-FE308CCFF67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5ACC1076-F055-4257-821A-4FE67010C4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B677B7B9-857B-4D27-A05A-26AA390EB5B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A1B0E739-3D3E-429B-ADE0-F5FB99F285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B6E1B0D1-A4D4-482F-87E4-C8D94AC300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68139C66-E807-4B43-BFCE-FC743FF4B28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minus>
          </c:errBars>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CHG'!$U$3:$AJ$3</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#REF!</c:v>
                  </c:pt>
                  <c:pt idx="2">
                    <c:v>#REF!</c:v>
                  </c:pt>
                  <c:pt idx="3">
                    <c:v>#REF!</c:v>
                  </c:pt>
                  <c:pt idx="4">
                    <c:v>#REF!</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numRef>
              <c:f>'Graph format rapport CHG'!$U$2:$AJ$2</c:f>
              <c:numCache>
                <c:formatCode>General</c:formatCode>
                <c:ptCount val="16"/>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numRef>
              <c:f>'Graph format rapport CHG 1éch'!$E$2:$G$2</c:f>
              <c:numCache>
                <c:formatCode>General</c:formatCode>
                <c:ptCount val="3"/>
                <c:pt idx="1">
                  <c:v>0</c:v>
                </c:pt>
              </c:numCache>
            </c:num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numRef>
              <c:f>'Graph format rapport CHG 1éch'!$E$2:$G$2</c:f>
              <c:numCache>
                <c:formatCode>General</c:formatCode>
                <c:ptCount val="3"/>
                <c:pt idx="1">
                  <c:v>0</c:v>
                </c:pt>
              </c:numCache>
            </c:num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numRef>
              <c:f>'Graph format rapport CHG 1éch'!$E$2:$G$2</c:f>
              <c:numCache>
                <c:formatCode>General</c:formatCode>
                <c:ptCount val="3"/>
                <c:pt idx="1">
                  <c:v>0</c:v>
                </c:pt>
              </c:numCache>
            </c:num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CE18F6E-C535-4F0E-A2C6-9728697667E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7426B399-40EB-4C5B-9C82-E39AC7D15B5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0</c:v>
                  </c:pt>
                </c:numCache>
              </c:numRef>
            </c:plus>
            <c:minus>
              <c:numRef>
                <c:f>'Graph format rapport CHG 1éch'!$E$4:$G$4</c:f>
                <c:numCache>
                  <c:formatCode>General</c:formatCode>
                  <c:ptCount val="3"/>
                  <c:pt idx="1">
                    <c:v>0</c:v>
                  </c:pt>
                </c:numCache>
              </c:numRef>
            </c:minus>
          </c:errBars>
          <c:cat>
            <c:numRef>
              <c:f>'Graph format rapport CHG 1éch'!$E$2:$G$2</c:f>
              <c:numCache>
                <c:formatCode>General</c:formatCode>
                <c:ptCount val="3"/>
                <c:pt idx="1">
                  <c:v>0</c:v>
                </c:pt>
              </c:numCache>
            </c:numRef>
          </c:cat>
          <c:val>
            <c:numRef>
              <c:f>'Graph format rapport CHG 1éch'!$E$3:$G$3</c:f>
              <c:numCache>
                <c:formatCode>General</c:formatCode>
                <c:ptCount val="3"/>
                <c:pt idx="1">
                  <c:v>0</c:v>
                </c:pt>
              </c:numCache>
            </c:numRef>
          </c:val>
          <c:extLst>
            <c:ext xmlns:c15="http://schemas.microsoft.com/office/drawing/2012/chart" uri="{02D57815-91ED-43cb-92C2-25804820EDAC}">
              <c15:datalabelsRange>
                <c15:f>'Graph format rapport CHG 1éch'!$E$5:$G$5</c15:f>
                <c15:dlblRangeCache>
                  <c:ptCount val="3"/>
                  <c:pt idx="1">
                    <c:v>#REF!</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1.885732401528243E-2</c:v>
                </c:pt>
                <c:pt idx="1">
                  <c:v>1.885732401528243E-2</c:v>
                </c:pt>
                <c:pt idx="2">
                  <c:v>1.885732401528243E-2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numRef>
              <c:f>'Graph format rapport CHG 1éch'!$H$2:$J$2</c:f>
              <c:numCache>
                <c:formatCode>General</c:formatCode>
                <c:ptCount val="3"/>
                <c:pt idx="1">
                  <c:v>0</c:v>
                </c:pt>
              </c:numCache>
            </c:numRef>
          </c:cat>
          <c:val>
            <c:numRef>
              <c:f>'Graph format rapport CHG 1éch'!$H$8:$J$8</c:f>
              <c:numCache>
                <c:formatCode>General</c:formatCode>
                <c:ptCount val="3"/>
                <c:pt idx="0">
                  <c:v>6.6476901883555831E-2</c:v>
                </c:pt>
                <c:pt idx="1">
                  <c:v>6.6476901883555831E-2</c:v>
                </c:pt>
                <c:pt idx="2">
                  <c:v>6.6476901883555831E-2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numRef>
              <c:f>'Graph format rapport CHG 1éch'!$H$2:$J$2</c:f>
              <c:numCache>
                <c:formatCode>General</c:formatCode>
                <c:ptCount val="3"/>
                <c:pt idx="1">
                  <c:v>0</c:v>
                </c:pt>
              </c:numCache>
            </c:numRef>
          </c:cat>
          <c:val>
            <c:numRef>
              <c:f>'Graph format rapport CHG 1éch'!$H$9:$J$9</c:f>
              <c:numCache>
                <c:formatCode>General</c:formatCode>
                <c:ptCount val="3"/>
                <c:pt idx="0">
                  <c:v>1.1471099156603761</c:v>
                </c:pt>
                <c:pt idx="1">
                  <c:v>1.1471099156603761</c:v>
                </c:pt>
                <c:pt idx="2">
                  <c:v>1.1471099156603761</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numRef>
              <c:f>'Graph format rapport CHG 1éch'!$H$2:$J$2</c:f>
              <c:numCache>
                <c:formatCode>General</c:formatCode>
                <c:ptCount val="3"/>
                <c:pt idx="1">
                  <c:v>0</c:v>
                </c:pt>
              </c:numCache>
            </c:numRef>
          </c:cat>
          <c:val>
            <c:numRef>
              <c:f>'Graph format rapport CHG 1éch'!$H$10:$J$10</c:f>
              <c:numCache>
                <c:formatCode>General</c:formatCode>
                <c:ptCount val="3"/>
                <c:pt idx="0">
                  <c:v>1.3528900843396239</c:v>
                </c:pt>
                <c:pt idx="1">
                  <c:v>1.3528900843396239</c:v>
                </c:pt>
                <c:pt idx="2">
                  <c:v>1.3528900843396239</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09231AB6-1560-43D3-8CC5-F841AB5C158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31AE8604-87F8-4789-9742-82A7C49F1B7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c:v>
                  </c:pt>
                </c:numCache>
              </c:numRef>
            </c:plus>
            <c:minus>
              <c:numRef>
                <c:f>'Graph format rapport CHG 1éch'!$H$4:$J$4</c:f>
                <c:numCache>
                  <c:formatCode>General</c:formatCode>
                  <c:ptCount val="3"/>
                  <c:pt idx="1">
                    <c:v>0</c:v>
                  </c:pt>
                </c:numCache>
              </c:numRef>
            </c:minus>
          </c:errBars>
          <c:cat>
            <c:numRef>
              <c:f>'Graph format rapport CHG 1éch'!$H$2:$J$2</c:f>
              <c:numCache>
                <c:formatCode>General</c:formatCode>
                <c:ptCount val="3"/>
                <c:pt idx="1">
                  <c:v>0</c:v>
                </c:pt>
              </c:numCache>
            </c:numRef>
          </c:cat>
          <c:val>
            <c:numRef>
              <c:f>'Graph format rapport CHG 1éch'!$H$3:$J$3</c:f>
              <c:numCache>
                <c:formatCode>General</c:formatCode>
                <c:ptCount val="3"/>
                <c:pt idx="1">
                  <c:v>0</c:v>
                </c:pt>
              </c:numCache>
            </c:numRef>
          </c:val>
          <c:extLst>
            <c:ext xmlns:c15="http://schemas.microsoft.com/office/drawing/2012/chart" uri="{02D57815-91ED-43cb-92C2-25804820EDAC}">
              <c15:datalabelsRange>
                <c15:f>'Graph format rapport CHG 1éch'!$H$5:$J$5</c15:f>
                <c15:dlblRangeCache>
                  <c:ptCount val="3"/>
                  <c:pt idx="1">
                    <c:v>#REF!</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numRef>
              <c:f>'Graph format rapport CHG 1éch'!$H$2:$J$2</c:f>
              <c:numCache>
                <c:formatCode>General</c:formatCode>
                <c:ptCount val="3"/>
                <c:pt idx="1">
                  <c:v>0</c:v>
                </c:pt>
              </c:numCache>
            </c:num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numRef>
              <c:f>'Graph format rapport CHG 1éch'!$E$2:$G$2</c:f>
              <c:numCache>
                <c:formatCode>General</c:formatCode>
                <c:ptCount val="3"/>
                <c:pt idx="1">
                  <c:v>0</c:v>
                </c:pt>
              </c:numCache>
            </c:num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numRef>
              <c:f>'Graph format rapport CHG 1éch'!$E$2:$G$2</c:f>
              <c:numCache>
                <c:formatCode>General</c:formatCode>
                <c:ptCount val="3"/>
                <c:pt idx="1">
                  <c:v>0</c:v>
                </c:pt>
              </c:numCache>
            </c:num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numRef>
              <c:f>'Graph format rapport CHG 1éch'!$E$2:$G$2</c:f>
              <c:numCache>
                <c:formatCode>General</c:formatCode>
                <c:ptCount val="3"/>
                <c:pt idx="1">
                  <c:v>0</c:v>
                </c:pt>
              </c:numCache>
            </c:num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50D37E69-5BD0-47F2-AD62-18EF7D085C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7402BEF5-FA05-459A-8DC7-89D785B5045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0</c:v>
                  </c:pt>
                </c:numCache>
              </c:numRef>
            </c:plus>
            <c:minus>
              <c:numRef>
                <c:f>'Graph format rapport CHG 1éch'!$E$4:$G$4</c:f>
                <c:numCache>
                  <c:formatCode>General</c:formatCode>
                  <c:ptCount val="3"/>
                  <c:pt idx="1">
                    <c:v>0</c:v>
                  </c:pt>
                </c:numCache>
              </c:numRef>
            </c:minus>
          </c:errBars>
          <c:cat>
            <c:numRef>
              <c:f>'Graph format rapport CHG 1éch'!$E$2:$G$2</c:f>
              <c:numCache>
                <c:formatCode>General</c:formatCode>
                <c:ptCount val="3"/>
                <c:pt idx="1">
                  <c:v>0</c:v>
                </c:pt>
              </c:numCache>
            </c:numRef>
          </c:cat>
          <c:val>
            <c:numRef>
              <c:f>'Graph format rapport CHG 1éch'!$E$3:$G$3</c:f>
              <c:numCache>
                <c:formatCode>General</c:formatCode>
                <c:ptCount val="3"/>
                <c:pt idx="1">
                  <c:v>0</c:v>
                </c:pt>
              </c:numCache>
            </c:numRef>
          </c:val>
          <c:extLst>
            <c:ext xmlns:c15="http://schemas.microsoft.com/office/drawing/2012/chart" uri="{02D57815-91ED-43cb-92C2-25804820EDAC}">
              <c15:datalabelsRange>
                <c15:f>'Graph format rapport CHG 1éch'!$E$5:$G$5</c15:f>
                <c15:dlblRangeCache>
                  <c:ptCount val="3"/>
                  <c:pt idx="1">
                    <c:v>#REF!</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1.885732401528243E-2</c:v>
                </c:pt>
                <c:pt idx="1">
                  <c:v>1.885732401528243E-2</c:v>
                </c:pt>
                <c:pt idx="2">
                  <c:v>1.885732401528243E-2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numRef>
              <c:f>'Graph format rapport CHG 1éch'!$H$2:$J$2</c:f>
              <c:numCache>
                <c:formatCode>General</c:formatCode>
                <c:ptCount val="3"/>
                <c:pt idx="1">
                  <c:v>0</c:v>
                </c:pt>
              </c:numCache>
            </c:numRef>
          </c:cat>
          <c:val>
            <c:numRef>
              <c:f>'Graph format rapport CHG 1éch'!$H$8:$J$8</c:f>
              <c:numCache>
                <c:formatCode>General</c:formatCode>
                <c:ptCount val="3"/>
                <c:pt idx="0">
                  <c:v>6.6476901883555831E-2</c:v>
                </c:pt>
                <c:pt idx="1">
                  <c:v>6.6476901883555831E-2</c:v>
                </c:pt>
                <c:pt idx="2">
                  <c:v>6.6476901883555831E-2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numRef>
              <c:f>'Graph format rapport CHG 1éch'!$H$2:$J$2</c:f>
              <c:numCache>
                <c:formatCode>General</c:formatCode>
                <c:ptCount val="3"/>
                <c:pt idx="1">
                  <c:v>0</c:v>
                </c:pt>
              </c:numCache>
            </c:numRef>
          </c:cat>
          <c:val>
            <c:numRef>
              <c:f>'Graph format rapport CHG 1éch'!$H$9:$J$9</c:f>
              <c:numCache>
                <c:formatCode>General</c:formatCode>
                <c:ptCount val="3"/>
                <c:pt idx="0">
                  <c:v>1.1471099156603761</c:v>
                </c:pt>
                <c:pt idx="1">
                  <c:v>1.1471099156603761</c:v>
                </c:pt>
                <c:pt idx="2">
                  <c:v>1.1471099156603761</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numRef>
              <c:f>'Graph format rapport CHG 1éch'!$H$2:$J$2</c:f>
              <c:numCache>
                <c:formatCode>General</c:formatCode>
                <c:ptCount val="3"/>
                <c:pt idx="1">
                  <c:v>0</c:v>
                </c:pt>
              </c:numCache>
            </c:numRef>
          </c:cat>
          <c:val>
            <c:numRef>
              <c:f>'Graph format rapport CHG 1éch'!$H$10:$J$10</c:f>
              <c:numCache>
                <c:formatCode>General</c:formatCode>
                <c:ptCount val="3"/>
                <c:pt idx="0">
                  <c:v>1.3528900843396239</c:v>
                </c:pt>
                <c:pt idx="1">
                  <c:v>1.3528900843396239</c:v>
                </c:pt>
                <c:pt idx="2">
                  <c:v>1.3528900843396239</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D4BA33E0-D4EA-4E94-AFA6-B925F63ED5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0ECA93EA-3AD5-46F5-8201-16BF1306F36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c:v>
                  </c:pt>
                </c:numCache>
              </c:numRef>
            </c:plus>
            <c:minus>
              <c:numRef>
                <c:f>'Graph format rapport CHG 1éch'!$H$4:$J$4</c:f>
                <c:numCache>
                  <c:formatCode>General</c:formatCode>
                  <c:ptCount val="3"/>
                  <c:pt idx="1">
                    <c:v>0</c:v>
                  </c:pt>
                </c:numCache>
              </c:numRef>
            </c:minus>
          </c:errBars>
          <c:cat>
            <c:numRef>
              <c:f>'Graph format rapport CHG 1éch'!$H$2:$J$2</c:f>
              <c:numCache>
                <c:formatCode>General</c:formatCode>
                <c:ptCount val="3"/>
                <c:pt idx="1">
                  <c:v>0</c:v>
                </c:pt>
              </c:numCache>
            </c:numRef>
          </c:cat>
          <c:val>
            <c:numRef>
              <c:f>'Graph format rapport CHG 1éch'!$H$3:$J$3</c:f>
              <c:numCache>
                <c:formatCode>General</c:formatCode>
                <c:ptCount val="3"/>
                <c:pt idx="1">
                  <c:v>0</c:v>
                </c:pt>
              </c:numCache>
            </c:numRef>
          </c:val>
          <c:extLst>
            <c:ext xmlns:c15="http://schemas.microsoft.com/office/drawing/2012/chart" uri="{02D57815-91ED-43cb-92C2-25804820EDAC}">
              <c15:datalabelsRange>
                <c15:f>'Graph format rapport CHG 1éch'!$H$5:$J$5</c15:f>
                <c15:dlblRangeCache>
                  <c:ptCount val="3"/>
                  <c:pt idx="1">
                    <c:v>#REF!</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numRef>
              <c:f>'Graph format rapport CHG 1éch'!$H$2:$J$2</c:f>
              <c:numCache>
                <c:formatCode>General</c:formatCode>
                <c:ptCount val="3"/>
                <c:pt idx="1">
                  <c:v>0</c:v>
                </c:pt>
              </c:numCache>
            </c:num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76.615836574078" createdVersion="6" refreshedVersion="7"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76.615836921294" createdVersion="5" refreshedVersion="7"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76.615837152778" createdVersion="5" refreshedVersion="7"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376.615837268517" createdVersion="5" refreshedVersion="7"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7"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6"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5"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4"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4"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2">
      <calculatedColumnFormula>IFERROR(LEFT(RIGHT(C2,LEN(C2)-SEARCH("@",C2)),SEARCH("/",RIGHT(C2,LEN(C2)-SEARCH("@",C2)-1))),"")</calculatedColumnFormula>
    </tableColumn>
    <tableColumn id="2" xr3:uid="{00000000-0010-0000-0200-000002000000}" name="N° de valeur" dataDxfId="31">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30">
      <calculatedColumnFormula>IFERROR(LEFT(RIGHT(C2,LEN(C2)-SEARCH("@",C2)),SEARCH("/",RIGHT(C2,LEN(C2)-SEARCH("@",C2)-1))),"")</calculatedColumnFormula>
    </tableColumn>
    <tableColumn id="2" xr3:uid="{00000000-0010-0000-0300-000002000000}" name="N° de valeur" dataDxfId="29">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8">
      <calculatedColumnFormula>IFERROR(LEFT(RIGHT(C2,LEN(C2)-SEARCH("@",C2)),SEARCH("/",RIGHT(C2,LEN(C2)-SEARCH("@",C2)-1))),"")</calculatedColumnFormula>
    </tableColumn>
    <tableColumn id="2" xr3:uid="{00000000-0010-0000-0400-000002000000}" name="N° de valeur" dataDxfId="27">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6" dataDxfId="25" tableBorderDxfId="24">
  <autoFilter ref="A1:G2" xr:uid="{00000000-0009-0000-0100-000002000000}"/>
  <tableColumns count="7">
    <tableColumn id="1" xr3:uid="{00000000-0010-0000-0500-000001000000}" name="Description" dataDxfId="23"/>
    <tableColumn id="2" xr3:uid="{00000000-0010-0000-0500-000002000000}" name="Problème" dataDxfId="22"/>
    <tableColumn id="3" xr3:uid="{00000000-0010-0000-0500-000003000000}" name="EqH RAPPORT" dataDxfId="21"/>
    <tableColumn id="4" xr3:uid="{00000000-0010-0000-0500-000004000000}" name="% atteinte du seuil RAPPORT" dataDxfId="20"/>
    <tableColumn id="5" xr3:uid="{00000000-0010-0000-0500-000005000000}" name="Valeur échelle sur graphique RAPPORT" dataDxfId="19"/>
    <tableColumn id="6" xr3:uid="{00000000-0010-0000-0500-000006000000}" name="EqH BASE DE DONNEES" dataDxfId="18"/>
    <tableColumn id="7" xr3:uid="{00000000-0010-0000-0500-000007000000}" name="% BASE DE DONNEES" dataDxfId="17"/>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6">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15">
      <calculatedColumnFormula>U6</calculatedColumnFormula>
    </tableColumn>
    <tableColumn id="3" xr3:uid="{00000000-0010-0000-0600-000003000000}" name="CHG-protocole"/>
    <tableColumn id="4" xr3:uid="{00000000-0010-0000-0600-000004000000}" name="CHG-dilution" dataDxfId="14">
      <calculatedColumnFormula>CONCATENATE(VLOOKUP(Tableau3[[#This Row],[Nom ND]],liste_groupe[],3,FALSE),VLOOKUP(Tableau3[[#This Row],[Nom ND]],liste_groupe[],4,FALSE))</calculatedColumnFormula>
    </tableColumn>
    <tableColumn id="5" xr3:uid="{00000000-0010-0000-0600-000005000000}" name="CHG-induction ND" dataDxfId="13">
      <calculatedColumnFormula>HLOOKUP(Tableau3[[#This Row],[Nom ND]],'pooled normalised values'!$B$74:$L$83,4,FALSE)</calculatedColumnFormula>
    </tableColumn>
    <tableColumn id="6" xr3:uid="{00000000-0010-0000-0600-000006000000}" name="CHG-test ND" dataDxfId="12">
      <calculatedColumnFormula>HLOOKUP(Tableau3[[#This Row],[Nom ND]],'pooled normalised values'!$B$74:$L$83,8,FALSE)</calculatedColumnFormula>
    </tableColumn>
    <tableColumn id="8" xr3:uid="{00000000-0010-0000-0600-000008000000}" name="CHG-EQH ND" dataDxfId="11">
      <calculatedColumnFormula>VLOOKUP(Tableau3[[#This Row],[Nom ND]],'summary results'!$A$6:$N$26,9,FALSE)</calculatedColumnFormula>
    </tableColumn>
    <tableColumn id="9" xr3:uid="{00000000-0010-0000-0600-000009000000}" name="CHG-% atteinte du seuil ND" dataDxfId="10">
      <calculatedColumnFormula>VLOOKUP(Tableau3[[#This Row],[Nom ND]],'summary results'!$A$6:$N$26,11,FALSE)</calculatedColumnFormula>
    </tableColumn>
    <tableColumn id="10" xr3:uid="{00000000-0010-0000-0600-00000A000000}" name="CHG-induction D" dataDxfId="9">
      <calculatedColumnFormula>HLOOKUP(Tableau3[[#This Row],[Nom D]],'pooled normalised values'!$B$74:$L$83,4,FALSE)</calculatedColumnFormula>
    </tableColumn>
    <tableColumn id="11" xr3:uid="{00000000-0010-0000-0600-00000B000000}" name="CHG-test D" dataDxfId="8">
      <calculatedColumnFormula>HLOOKUP(Tableau3[[#This Row],[Nom D]],'pooled normalised values'!$B$74:$L$83,8,FALSE)</calculatedColumnFormula>
    </tableColumn>
    <tableColumn id="13" xr3:uid="{00000000-0010-0000-0600-00000D000000}" name="CHG-EQH D" dataDxfId="7">
      <calculatedColumnFormula>VLOOKUP(Tableau3[[#This Row],[Nom D]],'summary results'!$A$29:$N$51,9,FALSE)</calculatedColumnFormula>
    </tableColumn>
    <tableColumn id="14" xr3:uid="{00000000-0010-0000-0600-00000E000000}" name="CHG-% atteinte seuil D" dataDxfId="6">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D16" sqref="D16"/>
    </sheetView>
  </sheetViews>
  <sheetFormatPr baseColWidth="10" defaultRowHeight="39" customHeight="1" x14ac:dyDescent="0.35"/>
  <cols>
    <col min="1" max="1" width="42" bestFit="1" customWidth="1"/>
    <col min="2" max="2" width="33.81640625" style="43" bestFit="1" customWidth="1"/>
    <col min="3" max="3" width="21.26953125" customWidth="1"/>
    <col min="4" max="4" width="30.453125" customWidth="1"/>
    <col min="5" max="5" width="62.26953125" style="160"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6" t="s">
        <v>36</v>
      </c>
      <c r="B1" s="197"/>
      <c r="C1" s="197"/>
      <c r="D1" s="197"/>
      <c r="E1" s="197"/>
      <c r="F1" s="197"/>
      <c r="G1" s="197"/>
      <c r="H1" s="197"/>
      <c r="I1" s="198"/>
    </row>
    <row r="2" spans="1:9" ht="21" x14ac:dyDescent="0.5">
      <c r="A2" s="189" t="s">
        <v>17</v>
      </c>
      <c r="B2" s="41" t="s">
        <v>115</v>
      </c>
      <c r="C2" s="199"/>
      <c r="D2" s="200"/>
      <c r="E2" s="41" t="s">
        <v>21</v>
      </c>
      <c r="F2" s="211"/>
      <c r="G2" s="212"/>
      <c r="H2" s="212"/>
      <c r="I2" s="213"/>
    </row>
    <row r="3" spans="1:9" ht="21" x14ac:dyDescent="0.5">
      <c r="A3" s="190" t="s">
        <v>18</v>
      </c>
      <c r="B3" s="42" t="s">
        <v>115</v>
      </c>
      <c r="C3" s="201"/>
      <c r="D3" s="202"/>
      <c r="E3" s="42" t="s">
        <v>21</v>
      </c>
      <c r="F3" s="208"/>
      <c r="G3" s="209"/>
      <c r="H3" s="209"/>
      <c r="I3" s="210"/>
    </row>
    <row r="4" spans="1:9" ht="21.5" thickBot="1" x14ac:dyDescent="0.55000000000000004">
      <c r="A4" s="191" t="s">
        <v>22</v>
      </c>
      <c r="B4" s="179" t="s">
        <v>115</v>
      </c>
      <c r="C4" s="203"/>
      <c r="D4" s="204"/>
      <c r="E4" s="179" t="s">
        <v>21</v>
      </c>
      <c r="F4" s="205"/>
      <c r="G4" s="206"/>
      <c r="H4" s="206"/>
      <c r="I4" s="207"/>
    </row>
    <row r="5" spans="1:9" s="1" customFormat="1" ht="65.25" customHeight="1" thickBot="1" x14ac:dyDescent="0.4">
      <c r="A5" s="196" t="s">
        <v>37</v>
      </c>
      <c r="B5" s="197"/>
      <c r="C5" s="197"/>
      <c r="D5" s="197"/>
      <c r="E5" s="197"/>
      <c r="F5" s="197"/>
      <c r="G5" s="197"/>
      <c r="H5" s="197"/>
      <c r="I5" s="198"/>
    </row>
    <row r="6" spans="1:9" s="109" customFormat="1" ht="39" customHeight="1" x14ac:dyDescent="0.5">
      <c r="A6" s="75" t="s">
        <v>35</v>
      </c>
      <c r="B6" s="100" t="s">
        <v>7</v>
      </c>
      <c r="C6" s="63" t="s">
        <v>19</v>
      </c>
      <c r="D6" s="63" t="s">
        <v>75</v>
      </c>
      <c r="E6" s="157" t="s">
        <v>51</v>
      </c>
      <c r="F6" s="108" t="s">
        <v>78</v>
      </c>
    </row>
    <row r="7" spans="1:9" s="166" customFormat="1" ht="39" customHeight="1" x14ac:dyDescent="0.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5">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5" s="162"/>
      <c r="C15" s="163"/>
      <c r="D15" s="164"/>
      <c r="E15" s="165"/>
      <c r="F15" s="110"/>
    </row>
    <row r="16" spans="1:9" s="111" customFormat="1" ht="39" customHeight="1" x14ac:dyDescent="0.35">
      <c r="A16"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6" s="39"/>
      <c r="C16" s="105"/>
      <c r="D16" s="105"/>
      <c r="E16" s="39"/>
      <c r="F16" s="110"/>
    </row>
    <row r="17" spans="1:6" s="111" customFormat="1" ht="39" customHeight="1" x14ac:dyDescent="0.35">
      <c r="A17"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7" s="101"/>
      <c r="C17" s="105"/>
      <c r="D17" s="105"/>
      <c r="E17" s="101"/>
      <c r="F17" s="110"/>
    </row>
    <row r="18" spans="1:6" s="111" customFormat="1" ht="39" customHeight="1" x14ac:dyDescent="0.35">
      <c r="A18"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8" s="39"/>
      <c r="C18" s="105"/>
      <c r="D18" s="105"/>
      <c r="E18" s="39"/>
      <c r="F18" s="110"/>
    </row>
    <row r="19" spans="1:6" s="111" customFormat="1" ht="39" customHeight="1" x14ac:dyDescent="0.35">
      <c r="A19"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9" s="101"/>
      <c r="C19" s="105"/>
      <c r="D19" s="105"/>
      <c r="E19" s="101"/>
      <c r="F19" s="110"/>
    </row>
    <row r="20" spans="1:6" s="111" customFormat="1" ht="39" customHeight="1" x14ac:dyDescent="0.35">
      <c r="A20"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39"/>
      <c r="C20" s="105"/>
      <c r="D20" s="105"/>
      <c r="E20" s="39"/>
      <c r="F20" s="110"/>
    </row>
    <row r="21" spans="1:6" s="111" customFormat="1" ht="39" customHeight="1" x14ac:dyDescent="0.35">
      <c r="A21"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5">
      <c r="A22"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39"/>
      <c r="C22" s="105"/>
      <c r="D22" s="105"/>
      <c r="E22" s="39"/>
      <c r="F22" s="110"/>
    </row>
    <row r="23" spans="1:6" s="111" customFormat="1" ht="39" customHeight="1" x14ac:dyDescent="0.35">
      <c r="A23"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5">
      <c r="A24"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39"/>
      <c r="C24" s="105"/>
      <c r="D24" s="105"/>
      <c r="E24" s="39"/>
      <c r="F24" s="110"/>
    </row>
    <row r="25" spans="1:6" s="111" customFormat="1" ht="39" customHeight="1" x14ac:dyDescent="0.35">
      <c r="A25"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5">
      <c r="A26"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39"/>
      <c r="C26" s="105"/>
      <c r="D26" s="105"/>
      <c r="E26" s="39"/>
      <c r="F26" s="110"/>
    </row>
    <row r="27" spans="1:6" s="111" customFormat="1" ht="39" customHeight="1" x14ac:dyDescent="0.35">
      <c r="A27"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5">
      <c r="A28"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39"/>
      <c r="C28" s="105"/>
      <c r="D28" s="105"/>
      <c r="E28" s="39"/>
      <c r="F28" s="110"/>
    </row>
    <row r="29" spans="1:6" s="111" customFormat="1" ht="39" customHeight="1" x14ac:dyDescent="0.35">
      <c r="A29"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5">
      <c r="A30"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39"/>
      <c r="C30" s="105"/>
      <c r="D30" s="114"/>
      <c r="E30" s="39"/>
      <c r="F30" s="110"/>
    </row>
    <row r="31" spans="1:6" s="111" customFormat="1" ht="39" customHeight="1" x14ac:dyDescent="0.35">
      <c r="A31"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5">
      <c r="A32"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39"/>
      <c r="C32" s="105"/>
      <c r="D32" s="114"/>
      <c r="E32" s="39"/>
      <c r="F32" s="110"/>
    </row>
    <row r="33" spans="1:6" s="111" customFormat="1" ht="39" customHeight="1" x14ac:dyDescent="0.35">
      <c r="A33"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5">
      <c r="A34" s="6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39"/>
      <c r="C34" s="105"/>
      <c r="D34" s="114"/>
      <c r="E34" s="39"/>
      <c r="F34" s="110"/>
    </row>
    <row r="35" spans="1:6" s="111" customFormat="1" ht="39" customHeight="1" thickBot="1" x14ac:dyDescent="0.4">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5">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x14ac:dyDescent="0.35">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4">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4" t="s">
        <v>123</v>
      </c>
      <c r="C38" s="175">
        <v>10</v>
      </c>
      <c r="D38" s="176" t="s">
        <v>129</v>
      </c>
      <c r="E38" s="177" t="s">
        <v>130</v>
      </c>
      <c r="F38" s="178"/>
    </row>
    <row r="39" spans="1:6" s="111" customFormat="1" ht="39" customHeight="1" x14ac:dyDescent="0.35">
      <c r="A39" s="5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39" s="192">
        <f>B15</f>
        <v>0</v>
      </c>
      <c r="C39" s="192">
        <f t="shared" ref="C39:E39" si="0">C15</f>
        <v>0</v>
      </c>
      <c r="D39" s="192">
        <f t="shared" si="0"/>
        <v>0</v>
      </c>
      <c r="E39" s="192">
        <f t="shared" si="0"/>
        <v>0</v>
      </c>
      <c r="F39" s="112" t="s">
        <v>50</v>
      </c>
    </row>
    <row r="40" spans="1:6" s="111" customFormat="1" ht="39" customHeight="1" x14ac:dyDescent="0.35">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0" s="194">
        <f t="shared" ref="B40:E40" si="1">B16</f>
        <v>0</v>
      </c>
      <c r="C40" s="194">
        <f t="shared" si="1"/>
        <v>0</v>
      </c>
      <c r="D40" s="194">
        <f t="shared" si="1"/>
        <v>0</v>
      </c>
      <c r="E40" s="194">
        <f t="shared" si="1"/>
        <v>0</v>
      </c>
      <c r="F40" s="113" t="s">
        <v>50</v>
      </c>
    </row>
    <row r="41" spans="1:6" s="111" customFormat="1" ht="39" customHeight="1" x14ac:dyDescent="0.35">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1" s="194">
        <f t="shared" ref="B41:E41" si="2">B17</f>
        <v>0</v>
      </c>
      <c r="C41" s="194">
        <f t="shared" si="2"/>
        <v>0</v>
      </c>
      <c r="D41" s="194">
        <f t="shared" si="2"/>
        <v>0</v>
      </c>
      <c r="E41" s="194">
        <f t="shared" si="2"/>
        <v>0</v>
      </c>
      <c r="F41" s="113" t="s">
        <v>50</v>
      </c>
    </row>
    <row r="42" spans="1:6" s="111" customFormat="1" ht="39" customHeight="1" x14ac:dyDescent="0.35">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2" s="194">
        <f t="shared" ref="B42:E42" si="3">B18</f>
        <v>0</v>
      </c>
      <c r="C42" s="194">
        <f t="shared" si="3"/>
        <v>0</v>
      </c>
      <c r="D42" s="194">
        <f t="shared" si="3"/>
        <v>0</v>
      </c>
      <c r="E42" s="194">
        <f t="shared" si="3"/>
        <v>0</v>
      </c>
      <c r="F42" s="113" t="s">
        <v>50</v>
      </c>
    </row>
    <row r="43" spans="1:6" s="111" customFormat="1" ht="39" customHeight="1" x14ac:dyDescent="0.35">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3" s="194">
        <f t="shared" ref="B43:E43" si="4">B19</f>
        <v>0</v>
      </c>
      <c r="C43" s="194">
        <f t="shared" si="4"/>
        <v>0</v>
      </c>
      <c r="D43" s="194">
        <f t="shared" si="4"/>
        <v>0</v>
      </c>
      <c r="E43" s="194">
        <f t="shared" si="4"/>
        <v>0</v>
      </c>
      <c r="F43" s="113" t="s">
        <v>50</v>
      </c>
    </row>
    <row r="44" spans="1:6" s="111" customFormat="1" ht="39" customHeight="1" x14ac:dyDescent="0.35">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4">
        <f t="shared" ref="B44:E44" si="5">B20</f>
        <v>0</v>
      </c>
      <c r="C44" s="194">
        <f t="shared" si="5"/>
        <v>0</v>
      </c>
      <c r="D44" s="194">
        <f t="shared" si="5"/>
        <v>0</v>
      </c>
      <c r="E44" s="194">
        <f t="shared" si="5"/>
        <v>0</v>
      </c>
      <c r="F44" s="113" t="s">
        <v>50</v>
      </c>
    </row>
    <row r="45" spans="1:6" s="111" customFormat="1" ht="39" customHeight="1" x14ac:dyDescent="0.35">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4">
        <f t="shared" ref="B45:E45" si="6">B21</f>
        <v>0</v>
      </c>
      <c r="C45" s="194">
        <f t="shared" si="6"/>
        <v>0</v>
      </c>
      <c r="D45" s="194">
        <f t="shared" si="6"/>
        <v>0</v>
      </c>
      <c r="E45" s="194">
        <f t="shared" si="6"/>
        <v>0</v>
      </c>
      <c r="F45" s="113" t="s">
        <v>50</v>
      </c>
    </row>
    <row r="46" spans="1:6" s="111" customFormat="1" ht="39" customHeight="1" x14ac:dyDescent="0.35">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4">
        <f t="shared" ref="B46:E46" si="7">B22</f>
        <v>0</v>
      </c>
      <c r="C46" s="194">
        <f t="shared" si="7"/>
        <v>0</v>
      </c>
      <c r="D46" s="194">
        <f t="shared" si="7"/>
        <v>0</v>
      </c>
      <c r="E46" s="194">
        <f t="shared" si="7"/>
        <v>0</v>
      </c>
      <c r="F46" s="113" t="s">
        <v>50</v>
      </c>
    </row>
    <row r="47" spans="1:6" s="111" customFormat="1" ht="39" customHeight="1" x14ac:dyDescent="0.35">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4">
        <f t="shared" ref="B47:E47" si="8">B23</f>
        <v>0</v>
      </c>
      <c r="C47" s="194">
        <f t="shared" si="8"/>
        <v>0</v>
      </c>
      <c r="D47" s="194">
        <f t="shared" si="8"/>
        <v>0</v>
      </c>
      <c r="E47" s="194">
        <f t="shared" si="8"/>
        <v>0</v>
      </c>
      <c r="F47" s="113" t="s">
        <v>50</v>
      </c>
    </row>
    <row r="48" spans="1:6" s="111" customFormat="1" ht="39" customHeight="1" x14ac:dyDescent="0.35">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4">
        <f t="shared" ref="B48:E48" si="9">B24</f>
        <v>0</v>
      </c>
      <c r="C48" s="194">
        <f t="shared" si="9"/>
        <v>0</v>
      </c>
      <c r="D48" s="194">
        <f t="shared" si="9"/>
        <v>0</v>
      </c>
      <c r="E48" s="194">
        <f t="shared" si="9"/>
        <v>0</v>
      </c>
      <c r="F48" s="113" t="s">
        <v>50</v>
      </c>
    </row>
    <row r="49" spans="1:6" s="111" customFormat="1" ht="39" customHeight="1" x14ac:dyDescent="0.35">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4">
        <f t="shared" ref="B49:E49" si="10">B25</f>
        <v>0</v>
      </c>
      <c r="C49" s="194">
        <f t="shared" si="10"/>
        <v>0</v>
      </c>
      <c r="D49" s="194">
        <f t="shared" si="10"/>
        <v>0</v>
      </c>
      <c r="E49" s="194">
        <f t="shared" si="10"/>
        <v>0</v>
      </c>
      <c r="F49" s="113" t="s">
        <v>50</v>
      </c>
    </row>
    <row r="50" spans="1:6" s="111" customFormat="1" ht="39" customHeight="1" x14ac:dyDescent="0.35">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4">
        <f t="shared" ref="B50:E50" si="11">B26</f>
        <v>0</v>
      </c>
      <c r="C50" s="194">
        <f t="shared" si="11"/>
        <v>0</v>
      </c>
      <c r="D50" s="194">
        <f t="shared" si="11"/>
        <v>0</v>
      </c>
      <c r="E50" s="194">
        <f t="shared" si="11"/>
        <v>0</v>
      </c>
      <c r="F50" s="113" t="s">
        <v>50</v>
      </c>
    </row>
    <row r="51" spans="1:6" s="111" customFormat="1" ht="39" customHeight="1" x14ac:dyDescent="0.35">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4">
        <f t="shared" ref="B51:E51" si="12">B27</f>
        <v>0</v>
      </c>
      <c r="C51" s="194">
        <f t="shared" si="12"/>
        <v>0</v>
      </c>
      <c r="D51" s="194">
        <f t="shared" si="12"/>
        <v>0</v>
      </c>
      <c r="E51" s="194">
        <f t="shared" si="12"/>
        <v>0</v>
      </c>
      <c r="F51" s="113" t="s">
        <v>50</v>
      </c>
    </row>
    <row r="52" spans="1:6" s="111" customFormat="1" ht="39" customHeight="1" x14ac:dyDescent="0.35">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4">
        <f t="shared" ref="B52:E52" si="13">B28</f>
        <v>0</v>
      </c>
      <c r="C52" s="194">
        <f t="shared" si="13"/>
        <v>0</v>
      </c>
      <c r="D52" s="194">
        <f t="shared" si="13"/>
        <v>0</v>
      </c>
      <c r="E52" s="194">
        <f t="shared" si="13"/>
        <v>0</v>
      </c>
      <c r="F52" s="113" t="s">
        <v>50</v>
      </c>
    </row>
    <row r="53" spans="1:6" s="111" customFormat="1" ht="39" customHeight="1" x14ac:dyDescent="0.35">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4">
        <f t="shared" ref="B53:E53" si="14">B29</f>
        <v>0</v>
      </c>
      <c r="C53" s="194">
        <f t="shared" si="14"/>
        <v>0</v>
      </c>
      <c r="D53" s="194">
        <f t="shared" si="14"/>
        <v>0</v>
      </c>
      <c r="E53" s="194">
        <f t="shared" si="14"/>
        <v>0</v>
      </c>
      <c r="F53" s="113" t="s">
        <v>50</v>
      </c>
    </row>
    <row r="54" spans="1:6" s="111" customFormat="1" ht="39" customHeight="1" x14ac:dyDescent="0.35">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4">
        <f t="shared" ref="B54:E54" si="15">B30</f>
        <v>0</v>
      </c>
      <c r="C54" s="194">
        <f t="shared" si="15"/>
        <v>0</v>
      </c>
      <c r="D54" s="194">
        <f t="shared" si="15"/>
        <v>0</v>
      </c>
      <c r="E54" s="194">
        <f t="shared" si="15"/>
        <v>0</v>
      </c>
      <c r="F54" s="113" t="s">
        <v>50</v>
      </c>
    </row>
    <row r="55" spans="1:6" s="111" customFormat="1" ht="39" customHeight="1" x14ac:dyDescent="0.35">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4">
        <f t="shared" ref="B55:E55" si="16">B31</f>
        <v>0</v>
      </c>
      <c r="C55" s="194">
        <f t="shared" si="16"/>
        <v>0</v>
      </c>
      <c r="D55" s="194">
        <f t="shared" si="16"/>
        <v>0</v>
      </c>
      <c r="E55" s="194">
        <f t="shared" si="16"/>
        <v>0</v>
      </c>
      <c r="F55" s="113" t="s">
        <v>50</v>
      </c>
    </row>
    <row r="56" spans="1:6" s="111" customFormat="1" ht="39" customHeight="1" x14ac:dyDescent="0.35">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4">
        <f t="shared" ref="B56:E56" si="17">B32</f>
        <v>0</v>
      </c>
      <c r="C56" s="194">
        <f t="shared" si="17"/>
        <v>0</v>
      </c>
      <c r="D56" s="194">
        <f t="shared" si="17"/>
        <v>0</v>
      </c>
      <c r="E56" s="194">
        <f t="shared" si="17"/>
        <v>0</v>
      </c>
      <c r="F56" s="113" t="s">
        <v>50</v>
      </c>
    </row>
    <row r="57" spans="1:6" s="111" customFormat="1" ht="39" customHeight="1" x14ac:dyDescent="0.35">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4">
        <f t="shared" ref="B57:E57" si="18">B33</f>
        <v>0</v>
      </c>
      <c r="C57" s="194">
        <f t="shared" si="18"/>
        <v>0</v>
      </c>
      <c r="D57" s="194">
        <f t="shared" si="18"/>
        <v>0</v>
      </c>
      <c r="E57" s="194">
        <f t="shared" si="18"/>
        <v>0</v>
      </c>
      <c r="F57" s="113" t="s">
        <v>50</v>
      </c>
    </row>
    <row r="58" spans="1:6" s="111" customFormat="1" ht="39" customHeight="1" x14ac:dyDescent="0.35">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3">
        <f t="shared" ref="B58:E58" si="19">B34</f>
        <v>0</v>
      </c>
      <c r="C58" s="193">
        <f t="shared" si="19"/>
        <v>0</v>
      </c>
      <c r="D58" s="193">
        <f t="shared" si="19"/>
        <v>0</v>
      </c>
      <c r="E58" s="193">
        <f t="shared" si="19"/>
        <v>0</v>
      </c>
      <c r="F58" s="113"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107</v>
      </c>
      <c r="B1" t="s">
        <v>108</v>
      </c>
      <c r="C1" t="s">
        <v>109</v>
      </c>
      <c r="D1" t="s">
        <v>110</v>
      </c>
      <c r="E1" t="s">
        <v>111</v>
      </c>
      <c r="F1" t="s">
        <v>112</v>
      </c>
      <c r="G1" t="s">
        <v>113</v>
      </c>
      <c r="H1" t="s">
        <v>117</v>
      </c>
      <c r="I1" t="s">
        <v>118</v>
      </c>
    </row>
    <row r="2" spans="1:9" x14ac:dyDescent="0.35">
      <c r="A2" t="s">
        <v>153</v>
      </c>
      <c r="B2" t="s">
        <v>164</v>
      </c>
      <c r="C2" t="s">
        <v>144</v>
      </c>
      <c r="D2" t="s">
        <v>147</v>
      </c>
      <c r="E2" t="s">
        <v>148</v>
      </c>
      <c r="F2" t="s">
        <v>112</v>
      </c>
      <c r="G2">
        <v>360268</v>
      </c>
    </row>
    <row r="3" spans="1:9" x14ac:dyDescent="0.35">
      <c r="A3" t="s">
        <v>153</v>
      </c>
      <c r="B3" t="s">
        <v>164</v>
      </c>
      <c r="C3" t="s">
        <v>145</v>
      </c>
      <c r="D3" t="s">
        <v>149</v>
      </c>
      <c r="E3" t="s">
        <v>150</v>
      </c>
      <c r="F3" t="s">
        <v>112</v>
      </c>
      <c r="G3">
        <v>372315</v>
      </c>
    </row>
    <row r="4" spans="1:9" x14ac:dyDescent="0.35">
      <c r="A4" t="s">
        <v>153</v>
      </c>
      <c r="B4" t="s">
        <v>164</v>
      </c>
      <c r="C4" t="s">
        <v>146</v>
      </c>
      <c r="D4" t="s">
        <v>151</v>
      </c>
      <c r="E4" t="s">
        <v>152</v>
      </c>
      <c r="F4" t="s">
        <v>112</v>
      </c>
      <c r="G4">
        <v>237626</v>
      </c>
    </row>
    <row r="5" spans="1:9" x14ac:dyDescent="0.35">
      <c r="A5" t="s">
        <v>153</v>
      </c>
      <c r="B5" t="s">
        <v>164</v>
      </c>
      <c r="C5" t="s">
        <v>161</v>
      </c>
      <c r="D5" t="s">
        <v>162</v>
      </c>
      <c r="E5" t="s">
        <v>163</v>
      </c>
      <c r="F5" t="s">
        <v>112</v>
      </c>
      <c r="G5">
        <v>1439015</v>
      </c>
    </row>
    <row r="6" spans="1:9" x14ac:dyDescent="0.35">
      <c r="A6" t="s">
        <v>153</v>
      </c>
      <c r="B6" t="s">
        <v>164</v>
      </c>
      <c r="C6" t="s">
        <v>158</v>
      </c>
      <c r="D6" t="s">
        <v>159</v>
      </c>
      <c r="E6" t="s">
        <v>160</v>
      </c>
      <c r="F6" t="s">
        <v>112</v>
      </c>
      <c r="G6">
        <v>1433586</v>
      </c>
    </row>
    <row r="7" spans="1:9" x14ac:dyDescent="0.3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5.4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165</v>
      </c>
      <c r="L5" s="43"/>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5">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5">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5">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5">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5">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5">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5">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5">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5">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5">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5">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5">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5">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5">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5">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5">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5">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5">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5">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5">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5">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5">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5">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5">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5">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5">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5">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5">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5">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5">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5">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5">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5">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5">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5">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5">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5">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5">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5">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5">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5">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5">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5">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5">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5">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5">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5">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5">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5">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5">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5">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5">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5">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5">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5">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5">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5">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5">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5">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5">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5">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5">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5">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5">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5">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5">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5">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5">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5">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5">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5">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5">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5">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5">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5">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5">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5">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5">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5">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5">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5">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5">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5">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5">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5">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5">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5">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5">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5">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5">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5">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5">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5">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5">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5">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5">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5">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5">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5">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5">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5">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5">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5">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5">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5">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5">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5">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5">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5">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5">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5">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5">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5">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5">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5">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5">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5">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5">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5">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5">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5">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5">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5">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5">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5">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5">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5">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5">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5">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5">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5">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5">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5">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5">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5">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5">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5">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5">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5">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5">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5">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5">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5">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5">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5">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5">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5">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5">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5">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5">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5">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5">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5">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5">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5">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5">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5">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5">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5">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5">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5">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5">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5">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5">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5">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5">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5">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5">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5">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5">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5">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5">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5">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5">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5">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5">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5">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5">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5">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5">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5">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5">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5">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5">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5">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5">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5">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5">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5">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5">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5">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5">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5">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5">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5">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5">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5">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5">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5">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5">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5">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5">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5">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5">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5">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5">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5">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5">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5">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5">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5">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5">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5">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5">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5">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5">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5">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5">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5">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5">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5">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5">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5">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5">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5">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5">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5">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5">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5">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5">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5">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5">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5">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5">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5">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5">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5">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5">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5">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5">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5">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5">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5">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5">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5">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5">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5">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5">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5">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5">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5">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5">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5">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5">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5">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5">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5">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5">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5">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5">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5">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5">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5">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5">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5">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5">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5">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5">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5">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5">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5">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5">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5">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5">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5">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5">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5">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5">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5">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5">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5">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5">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5">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5">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5">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5">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5">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5">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5">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5">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5">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5">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5">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5">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5">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5">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5">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5">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5">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5">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5">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5">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5">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5">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5">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5">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5">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5">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5">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5">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5">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5">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5">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5">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5">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5">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5">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5">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5">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5">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5">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5">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5">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5">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5">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5">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5">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5">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5">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5">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5">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5">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5">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5">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5">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5">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5">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5">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5">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5">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5">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5">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5">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5">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5">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5">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5">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5">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5">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5">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5">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5">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5">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5">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5">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5">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5">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5">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5">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5">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5">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5">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5">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5">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5">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5">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5">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5">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5">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5">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5">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5">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5">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5">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5">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5">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5">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5">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5">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5">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5">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5">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5">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5">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5">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5">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5">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5">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5">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5">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5">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5">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5">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5">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5">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5">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5">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5">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5">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5">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5">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5">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5">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5">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5">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5">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5">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5">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5">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5">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5">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5">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5">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5">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5">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5">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5">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5">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5">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5">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5">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5">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5">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5">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5">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5">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5">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5">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5">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5">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5">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5">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5">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5">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5">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5">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5">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5">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5">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5">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5">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5">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5">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5">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5">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5">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5">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5">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5">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5">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5">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5">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5">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5">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5">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5">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5">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5">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5">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5">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5">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5">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5">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5">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5">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5">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5">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5">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5">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5">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5">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5">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5">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5">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5">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5">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5">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5">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5">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5">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5">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5">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5">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5">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5">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5">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5">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5">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5">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5">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5">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5">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5">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5">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5">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5">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5">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5">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5">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5">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5">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5">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5">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5">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5">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5">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5">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5">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5">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5">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5">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5">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5">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5">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5">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5" priority="1" operator="containsText" text="ERREUR">
      <formula>NOT(ISERROR(SEARCH("ERREUR",A1)))</formula>
    </cfRule>
    <cfRule type="containsText" dxfId="4"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E6FC-46F6-43F4-9E6C-4EC8369FCA5F}">
  <dimension ref="A1:H513"/>
  <sheetViews>
    <sheetView workbookViewId="0">
      <selection sqref="A1:H513"/>
    </sheetView>
  </sheetViews>
  <sheetFormatPr baseColWidth="10" defaultRowHeight="14.5" x14ac:dyDescent="0.35"/>
  <cols>
    <col min="1" max="1" width="135.54296875" customWidth="1"/>
  </cols>
  <sheetData>
    <row r="1" spans="1:8" x14ac:dyDescent="0.35">
      <c r="A1" s="1" t="s">
        <v>167</v>
      </c>
      <c r="B1" s="1"/>
      <c r="C1" s="1"/>
      <c r="D1" s="1"/>
      <c r="E1" s="1"/>
      <c r="F1" s="1"/>
      <c r="G1" s="1"/>
      <c r="H1" s="1"/>
    </row>
    <row r="2" spans="1:8" x14ac:dyDescent="0.35">
      <c r="A2" s="1" t="s">
        <v>112</v>
      </c>
      <c r="B2" s="1"/>
      <c r="C2" s="1"/>
      <c r="D2" s="1"/>
      <c r="E2" s="1"/>
      <c r="F2" s="1"/>
      <c r="G2" s="1"/>
      <c r="H2" s="1"/>
    </row>
    <row r="3" spans="1:8" x14ac:dyDescent="0.35">
      <c r="A3" s="1" t="s">
        <v>185</v>
      </c>
      <c r="B3" s="1"/>
      <c r="C3" s="1"/>
      <c r="D3" s="1"/>
      <c r="E3" s="1"/>
      <c r="F3" s="1"/>
      <c r="G3" s="1"/>
      <c r="H3" s="1"/>
    </row>
    <row r="4" spans="1:8" x14ac:dyDescent="0.35">
      <c r="A4" s="1" t="s">
        <v>112</v>
      </c>
      <c r="B4" s="1"/>
      <c r="C4" s="1"/>
      <c r="D4" s="1"/>
      <c r="E4" s="1"/>
      <c r="F4" s="1"/>
      <c r="G4" s="1"/>
      <c r="H4" s="1"/>
    </row>
    <row r="5" spans="1:8" x14ac:dyDescent="0.35">
      <c r="A5" s="1" t="s">
        <v>112</v>
      </c>
      <c r="B5" s="1"/>
      <c r="C5" s="1"/>
      <c r="D5" s="1"/>
      <c r="E5" s="1"/>
      <c r="F5" s="1"/>
      <c r="G5" s="1"/>
      <c r="H5" s="1"/>
    </row>
    <row r="6" spans="1:8" x14ac:dyDescent="0.35">
      <c r="A6" s="1" t="s">
        <v>168</v>
      </c>
      <c r="B6" s="1"/>
      <c r="C6" s="1"/>
      <c r="D6" s="1"/>
      <c r="E6" s="1"/>
      <c r="F6" s="1"/>
      <c r="G6" s="1"/>
      <c r="H6" s="1"/>
    </row>
    <row r="7" spans="1:8" x14ac:dyDescent="0.35">
      <c r="A7" s="1" t="s">
        <v>186</v>
      </c>
      <c r="B7" s="1"/>
      <c r="C7" s="1"/>
      <c r="D7" s="1"/>
      <c r="E7" s="1"/>
      <c r="F7" s="1"/>
      <c r="G7" s="1"/>
      <c r="H7" s="1"/>
    </row>
    <row r="8" spans="1:8" x14ac:dyDescent="0.35">
      <c r="A8" s="1" t="s">
        <v>187</v>
      </c>
      <c r="B8" s="1"/>
      <c r="C8" s="1"/>
      <c r="D8" s="1"/>
      <c r="E8" s="1"/>
      <c r="F8" s="1"/>
      <c r="G8" s="1"/>
      <c r="H8" s="1"/>
    </row>
    <row r="9" spans="1:8" x14ac:dyDescent="0.35">
      <c r="A9" s="1" t="s">
        <v>112</v>
      </c>
      <c r="B9" s="1"/>
      <c r="C9" s="1"/>
      <c r="D9" s="1"/>
      <c r="E9" s="1"/>
      <c r="F9" s="1"/>
      <c r="G9" s="1"/>
      <c r="H9" s="1"/>
    </row>
    <row r="10" spans="1:8" x14ac:dyDescent="0.35">
      <c r="A10" s="1" t="s">
        <v>169</v>
      </c>
      <c r="B10" s="1" t="s">
        <v>112</v>
      </c>
      <c r="C10" s="1"/>
      <c r="D10" s="1"/>
      <c r="E10" s="1"/>
      <c r="F10" s="1"/>
      <c r="G10" s="1"/>
      <c r="H10" s="1"/>
    </row>
    <row r="11" spans="1:8" x14ac:dyDescent="0.35">
      <c r="A11" s="1" t="s">
        <v>170</v>
      </c>
      <c r="B11" s="1" t="s">
        <v>112</v>
      </c>
      <c r="C11" s="1"/>
      <c r="D11" s="1"/>
      <c r="E11" s="1"/>
      <c r="F11" s="1"/>
      <c r="G11" s="1"/>
      <c r="H11" s="1"/>
    </row>
    <row r="12" spans="1:8" x14ac:dyDescent="0.35">
      <c r="A12" s="1" t="s">
        <v>171</v>
      </c>
      <c r="B12" s="1" t="s">
        <v>188</v>
      </c>
      <c r="C12" s="1"/>
      <c r="D12" s="1"/>
      <c r="E12" s="1"/>
      <c r="F12" s="1"/>
      <c r="G12" s="1"/>
      <c r="H12" s="1"/>
    </row>
    <row r="13" spans="1:8" x14ac:dyDescent="0.35">
      <c r="A13" s="1" t="s">
        <v>172</v>
      </c>
      <c r="B13" s="1" t="s">
        <v>188</v>
      </c>
      <c r="C13" s="1"/>
      <c r="D13" s="1"/>
      <c r="E13" s="1"/>
      <c r="F13" s="1"/>
      <c r="G13" s="1"/>
      <c r="H13" s="1"/>
    </row>
    <row r="14" spans="1:8" x14ac:dyDescent="0.35">
      <c r="A14" s="1" t="s">
        <v>173</v>
      </c>
      <c r="B14" s="1" t="s">
        <v>112</v>
      </c>
      <c r="C14" s="1"/>
      <c r="D14" s="1"/>
      <c r="E14" s="1"/>
      <c r="F14" s="1"/>
      <c r="G14" s="1"/>
      <c r="H14" s="1"/>
    </row>
    <row r="15" spans="1:8" x14ac:dyDescent="0.35">
      <c r="A15" s="1" t="s">
        <v>174</v>
      </c>
      <c r="B15" s="1">
        <v>24</v>
      </c>
      <c r="C15" s="1"/>
      <c r="D15" s="1"/>
      <c r="E15" s="1"/>
      <c r="F15" s="1"/>
      <c r="G15" s="1"/>
      <c r="H15" s="1"/>
    </row>
    <row r="16" spans="1:8" x14ac:dyDescent="0.35">
      <c r="A16" s="1" t="s">
        <v>112</v>
      </c>
      <c r="B16" s="1"/>
      <c r="C16" s="1"/>
      <c r="D16" s="1"/>
      <c r="E16" s="1"/>
      <c r="F16" s="1"/>
      <c r="G16" s="1"/>
      <c r="H16" s="1"/>
    </row>
    <row r="17" spans="1:8" x14ac:dyDescent="0.35">
      <c r="A17" s="1" t="s">
        <v>112</v>
      </c>
      <c r="B17" s="1"/>
      <c r="C17" s="1"/>
      <c r="D17" s="1"/>
      <c r="E17" s="1"/>
      <c r="F17" s="1"/>
      <c r="G17" s="1"/>
      <c r="H17" s="1"/>
    </row>
    <row r="18" spans="1:8" x14ac:dyDescent="0.35">
      <c r="A18" s="1" t="s">
        <v>175</v>
      </c>
      <c r="B18" s="1" t="s">
        <v>110</v>
      </c>
      <c r="C18" s="1" t="s">
        <v>111</v>
      </c>
      <c r="D18" s="1" t="s">
        <v>112</v>
      </c>
      <c r="E18" s="1" t="s">
        <v>113</v>
      </c>
      <c r="F18" s="1"/>
      <c r="G18" s="1"/>
      <c r="H18" s="1"/>
    </row>
    <row r="19" spans="1:8" x14ac:dyDescent="0.35">
      <c r="A19" s="1" t="s">
        <v>189</v>
      </c>
      <c r="B19" s="1"/>
      <c r="C19" s="1"/>
      <c r="D19" s="1"/>
      <c r="E19" s="1"/>
      <c r="F19" s="1"/>
      <c r="G19" s="1"/>
      <c r="H19" s="1"/>
    </row>
    <row r="20" spans="1:8" x14ac:dyDescent="0.35">
      <c r="A20" s="1" t="s">
        <v>190</v>
      </c>
      <c r="B20" s="1"/>
      <c r="C20" s="1"/>
      <c r="D20" s="1"/>
      <c r="E20" s="1"/>
      <c r="F20" s="1"/>
      <c r="G20" s="1"/>
      <c r="H20" s="1"/>
    </row>
    <row r="21" spans="1:8" x14ac:dyDescent="0.35">
      <c r="A21" s="1" t="s">
        <v>191</v>
      </c>
      <c r="B21" s="1"/>
      <c r="C21" s="1"/>
      <c r="D21" s="1"/>
      <c r="E21" s="1"/>
      <c r="F21" s="1"/>
      <c r="G21" s="1"/>
      <c r="H21" s="1"/>
    </row>
    <row r="22" spans="1:8" x14ac:dyDescent="0.35">
      <c r="A22" s="1" t="s">
        <v>192</v>
      </c>
      <c r="B22" s="1"/>
      <c r="C22" s="1"/>
      <c r="D22" s="1"/>
      <c r="E22" s="1"/>
      <c r="F22" s="1"/>
      <c r="G22" s="1"/>
      <c r="H22" s="1"/>
    </row>
    <row r="23" spans="1:8" x14ac:dyDescent="0.35">
      <c r="A23" s="1" t="s">
        <v>193</v>
      </c>
      <c r="B23" s="1">
        <v>97</v>
      </c>
      <c r="C23" s="1" t="s">
        <v>194</v>
      </c>
      <c r="D23" s="1" t="s">
        <v>112</v>
      </c>
      <c r="E23" s="1">
        <v>8304</v>
      </c>
      <c r="F23" s="1"/>
      <c r="G23" s="1"/>
      <c r="H23" s="1"/>
    </row>
    <row r="24" spans="1:8" x14ac:dyDescent="0.35">
      <c r="A24" s="1" t="s">
        <v>195</v>
      </c>
      <c r="B24" s="1"/>
      <c r="C24" s="1"/>
      <c r="D24" s="1"/>
      <c r="E24" s="1"/>
      <c r="F24" s="1"/>
      <c r="G24" s="1"/>
      <c r="H24" s="1"/>
    </row>
    <row r="25" spans="1:8" x14ac:dyDescent="0.35">
      <c r="A25" s="1" t="s">
        <v>196</v>
      </c>
      <c r="B25" s="1">
        <v>1</v>
      </c>
      <c r="C25" s="1">
        <v>81</v>
      </c>
      <c r="D25" s="1" t="s">
        <v>112</v>
      </c>
      <c r="E25" s="1">
        <v>81</v>
      </c>
      <c r="F25" s="1"/>
      <c r="G25" s="1"/>
      <c r="H25" s="1"/>
    </row>
    <row r="26" spans="1:8" x14ac:dyDescent="0.35">
      <c r="A26" s="1" t="s">
        <v>197</v>
      </c>
      <c r="B26" s="1">
        <v>0</v>
      </c>
      <c r="C26" s="1">
        <v>0</v>
      </c>
      <c r="D26" s="1" t="s">
        <v>112</v>
      </c>
      <c r="E26" s="1">
        <v>0</v>
      </c>
      <c r="F26" s="1"/>
      <c r="G26" s="1"/>
      <c r="H26" s="1"/>
    </row>
    <row r="27" spans="1:8" x14ac:dyDescent="0.35">
      <c r="A27" s="1" t="s">
        <v>112</v>
      </c>
      <c r="B27" s="1"/>
      <c r="C27" s="1"/>
      <c r="D27" s="1"/>
      <c r="E27" s="1"/>
      <c r="F27" s="1"/>
      <c r="G27" s="1"/>
      <c r="H27" s="1"/>
    </row>
    <row r="28" spans="1:8" x14ac:dyDescent="0.35">
      <c r="A28" s="1" t="s">
        <v>176</v>
      </c>
      <c r="B28" s="1" t="s">
        <v>112</v>
      </c>
      <c r="C28" s="1" t="s">
        <v>177</v>
      </c>
      <c r="D28" s="1" t="s">
        <v>178</v>
      </c>
      <c r="E28" s="1" t="s">
        <v>179</v>
      </c>
      <c r="F28" s="1" t="s">
        <v>180</v>
      </c>
      <c r="G28" s="1" t="s">
        <v>181</v>
      </c>
      <c r="H28" s="1" t="s">
        <v>182</v>
      </c>
    </row>
    <row r="29" spans="1:8" x14ac:dyDescent="0.35">
      <c r="A29" s="1" t="s">
        <v>198</v>
      </c>
      <c r="B29" s="1" t="s">
        <v>112</v>
      </c>
      <c r="C29" s="1" t="s">
        <v>199</v>
      </c>
      <c r="D29" s="1" t="s">
        <v>200</v>
      </c>
      <c r="E29" s="1" t="s">
        <v>201</v>
      </c>
      <c r="F29" s="1" t="s">
        <v>202</v>
      </c>
      <c r="G29" s="1">
        <v>4</v>
      </c>
      <c r="H29" s="1">
        <v>8</v>
      </c>
    </row>
    <row r="30" spans="1:8" x14ac:dyDescent="0.35">
      <c r="A30" s="1" t="s">
        <v>112</v>
      </c>
      <c r="B30" s="1"/>
      <c r="C30" s="1"/>
      <c r="D30" s="1"/>
      <c r="E30" s="1"/>
      <c r="F30" s="1"/>
      <c r="G30" s="1"/>
      <c r="H30" s="1"/>
    </row>
    <row r="31" spans="1:8" x14ac:dyDescent="0.35">
      <c r="A31" s="1" t="s">
        <v>112</v>
      </c>
      <c r="B31" s="1"/>
      <c r="C31" s="1"/>
      <c r="D31" s="1"/>
      <c r="E31" s="1"/>
      <c r="F31" s="1"/>
      <c r="G31" s="1"/>
      <c r="H31" s="1"/>
    </row>
    <row r="32" spans="1:8" x14ac:dyDescent="0.35">
      <c r="A32" s="1" t="s">
        <v>112</v>
      </c>
      <c r="B32" s="1"/>
      <c r="C32" s="1"/>
      <c r="D32" s="1"/>
      <c r="E32" s="1"/>
      <c r="F32" s="1"/>
      <c r="G32" s="1"/>
      <c r="H32" s="1"/>
    </row>
    <row r="33" spans="1:8" x14ac:dyDescent="0.35">
      <c r="A33" s="1" t="s">
        <v>112</v>
      </c>
      <c r="B33" s="1"/>
      <c r="C33" s="1"/>
      <c r="D33" s="1"/>
      <c r="E33" s="1"/>
      <c r="F33" s="1"/>
      <c r="G33" s="1"/>
      <c r="H33" s="1"/>
    </row>
    <row r="34" spans="1:8" x14ac:dyDescent="0.35">
      <c r="A34" s="1" t="s">
        <v>112</v>
      </c>
      <c r="B34" s="1"/>
      <c r="C34" s="1"/>
      <c r="D34" s="1"/>
      <c r="E34" s="1"/>
      <c r="F34" s="1"/>
      <c r="G34" s="1"/>
      <c r="H34" s="1"/>
    </row>
    <row r="35" spans="1:8" x14ac:dyDescent="0.35">
      <c r="A35" s="1" t="s">
        <v>175</v>
      </c>
      <c r="B35" s="1" t="s">
        <v>110</v>
      </c>
      <c r="C35" s="1" t="s">
        <v>111</v>
      </c>
      <c r="D35" s="1" t="s">
        <v>112</v>
      </c>
      <c r="E35" s="1" t="s">
        <v>113</v>
      </c>
      <c r="F35" s="1"/>
      <c r="G35" s="1"/>
      <c r="H35" s="1"/>
    </row>
    <row r="36" spans="1:8" x14ac:dyDescent="0.35">
      <c r="A36" s="1" t="s">
        <v>203</v>
      </c>
      <c r="B36" s="1">
        <v>0</v>
      </c>
      <c r="C36" s="1">
        <v>0</v>
      </c>
      <c r="D36" s="1" t="s">
        <v>112</v>
      </c>
      <c r="E36" s="1">
        <v>0</v>
      </c>
      <c r="F36" s="1"/>
      <c r="G36" s="1"/>
      <c r="H36" s="1"/>
    </row>
    <row r="37" spans="1:8" x14ac:dyDescent="0.35">
      <c r="A37" s="1" t="s">
        <v>204</v>
      </c>
      <c r="B37" s="1">
        <v>31</v>
      </c>
      <c r="C37" s="1" t="s">
        <v>205</v>
      </c>
      <c r="D37" s="1" t="s">
        <v>112</v>
      </c>
      <c r="E37" s="1">
        <v>2617</v>
      </c>
      <c r="F37" s="1"/>
      <c r="G37" s="1"/>
      <c r="H37" s="1"/>
    </row>
    <row r="38" spans="1:8" x14ac:dyDescent="0.35">
      <c r="A38" s="1" t="s">
        <v>206</v>
      </c>
      <c r="B38" s="1">
        <v>18</v>
      </c>
      <c r="C38" s="1" t="s">
        <v>207</v>
      </c>
      <c r="D38" s="1" t="s">
        <v>112</v>
      </c>
      <c r="E38" s="1">
        <v>1500</v>
      </c>
      <c r="F38" s="1"/>
      <c r="G38" s="1"/>
      <c r="H38" s="1"/>
    </row>
    <row r="39" spans="1:8" x14ac:dyDescent="0.35">
      <c r="A39" s="1" t="s">
        <v>208</v>
      </c>
      <c r="B39" s="1"/>
      <c r="C39" s="1"/>
      <c r="D39" s="1"/>
      <c r="E39" s="1"/>
      <c r="F39" s="1"/>
      <c r="G39" s="1"/>
      <c r="H39" s="1"/>
    </row>
    <row r="40" spans="1:8" x14ac:dyDescent="0.35">
      <c r="A40" s="1" t="s">
        <v>209</v>
      </c>
      <c r="B40" s="1"/>
      <c r="C40" s="1"/>
      <c r="D40" s="1"/>
      <c r="E40" s="1"/>
      <c r="F40" s="1"/>
      <c r="G40" s="1"/>
      <c r="H40" s="1"/>
    </row>
    <row r="41" spans="1:8" x14ac:dyDescent="0.35">
      <c r="A41" s="1" t="s">
        <v>210</v>
      </c>
      <c r="B41" s="1">
        <v>132</v>
      </c>
      <c r="C41" s="1" t="s">
        <v>211</v>
      </c>
      <c r="D41" s="1" t="s">
        <v>112</v>
      </c>
      <c r="E41" s="1">
        <v>11962</v>
      </c>
      <c r="F41" s="1"/>
      <c r="G41" s="1"/>
      <c r="H41" s="1"/>
    </row>
    <row r="42" spans="1:8" x14ac:dyDescent="0.35">
      <c r="A42" s="1" t="s">
        <v>212</v>
      </c>
      <c r="B42" s="1">
        <v>0</v>
      </c>
      <c r="C42" s="1">
        <v>0</v>
      </c>
      <c r="D42" s="1" t="s">
        <v>112</v>
      </c>
      <c r="E42" s="1">
        <v>0</v>
      </c>
      <c r="F42" s="1"/>
      <c r="G42" s="1"/>
      <c r="H42" s="1"/>
    </row>
    <row r="43" spans="1:8" x14ac:dyDescent="0.35">
      <c r="A43" s="1" t="s">
        <v>213</v>
      </c>
      <c r="B43" s="1">
        <v>29</v>
      </c>
      <c r="C43" s="1" t="s">
        <v>214</v>
      </c>
      <c r="D43" s="1" t="s">
        <v>112</v>
      </c>
      <c r="E43" s="1">
        <v>2585</v>
      </c>
      <c r="F43" s="1"/>
      <c r="G43" s="1"/>
      <c r="H43" s="1"/>
    </row>
    <row r="44" spans="1:8" x14ac:dyDescent="0.35">
      <c r="A44" s="1" t="s">
        <v>112</v>
      </c>
      <c r="B44" s="1"/>
      <c r="C44" s="1"/>
      <c r="D44" s="1"/>
      <c r="E44" s="1"/>
      <c r="F44" s="1"/>
      <c r="G44" s="1"/>
      <c r="H44" s="1"/>
    </row>
    <row r="45" spans="1:8" x14ac:dyDescent="0.35">
      <c r="A45" s="1" t="s">
        <v>176</v>
      </c>
      <c r="B45" s="1" t="s">
        <v>112</v>
      </c>
      <c r="C45" s="1" t="s">
        <v>177</v>
      </c>
      <c r="D45" s="1" t="s">
        <v>178</v>
      </c>
      <c r="E45" s="1" t="s">
        <v>179</v>
      </c>
      <c r="F45" s="1" t="s">
        <v>180</v>
      </c>
      <c r="G45" s="1" t="s">
        <v>181</v>
      </c>
      <c r="H45" s="1" t="s">
        <v>182</v>
      </c>
    </row>
    <row r="46" spans="1:8" x14ac:dyDescent="0.35">
      <c r="A46" s="1" t="s">
        <v>215</v>
      </c>
      <c r="B46" s="1" t="s">
        <v>112</v>
      </c>
      <c r="C46" s="1" t="s">
        <v>216</v>
      </c>
      <c r="D46" s="1" t="s">
        <v>217</v>
      </c>
      <c r="E46" s="1">
        <v>2458</v>
      </c>
      <c r="F46" s="1" t="s">
        <v>218</v>
      </c>
      <c r="G46" s="1">
        <v>6</v>
      </c>
      <c r="H46" s="1">
        <v>8</v>
      </c>
    </row>
    <row r="47" spans="1:8" x14ac:dyDescent="0.35">
      <c r="A47" s="1" t="s">
        <v>112</v>
      </c>
      <c r="B47" s="1"/>
      <c r="C47" s="1"/>
      <c r="D47" s="1"/>
      <c r="E47" s="1"/>
      <c r="F47" s="1"/>
      <c r="G47" s="1"/>
      <c r="H47" s="1"/>
    </row>
    <row r="48" spans="1:8" x14ac:dyDescent="0.35">
      <c r="A48" s="1" t="s">
        <v>112</v>
      </c>
      <c r="B48" s="1"/>
      <c r="C48" s="1"/>
      <c r="D48" s="1"/>
      <c r="E48" s="1"/>
      <c r="F48" s="1"/>
      <c r="G48" s="1"/>
      <c r="H48" s="1"/>
    </row>
    <row r="49" spans="1:8" x14ac:dyDescent="0.35">
      <c r="A49" s="1" t="s">
        <v>112</v>
      </c>
      <c r="B49" s="1"/>
      <c r="C49" s="1"/>
      <c r="D49" s="1"/>
      <c r="E49" s="1"/>
      <c r="F49" s="1"/>
      <c r="G49" s="1"/>
      <c r="H49" s="1"/>
    </row>
    <row r="50" spans="1:8" x14ac:dyDescent="0.35">
      <c r="A50" s="1" t="s">
        <v>112</v>
      </c>
      <c r="B50" s="1"/>
      <c r="C50" s="1"/>
      <c r="D50" s="1"/>
      <c r="E50" s="1"/>
      <c r="F50" s="1"/>
      <c r="G50" s="1"/>
      <c r="H50" s="1"/>
    </row>
    <row r="51" spans="1:8" x14ac:dyDescent="0.35">
      <c r="A51" s="1" t="s">
        <v>112</v>
      </c>
      <c r="B51" s="1"/>
      <c r="C51" s="1"/>
      <c r="D51" s="1"/>
      <c r="E51" s="1"/>
      <c r="F51" s="1"/>
      <c r="G51" s="1"/>
      <c r="H51" s="1"/>
    </row>
    <row r="52" spans="1:8" x14ac:dyDescent="0.35">
      <c r="A52" s="1" t="s">
        <v>175</v>
      </c>
      <c r="B52" s="1" t="s">
        <v>110</v>
      </c>
      <c r="C52" s="1" t="s">
        <v>111</v>
      </c>
      <c r="D52" s="1" t="s">
        <v>112</v>
      </c>
      <c r="E52" s="1" t="s">
        <v>113</v>
      </c>
      <c r="F52" s="1"/>
      <c r="G52" s="1"/>
      <c r="H52" s="1"/>
    </row>
    <row r="53" spans="1:8" x14ac:dyDescent="0.35">
      <c r="A53" s="1" t="s">
        <v>219</v>
      </c>
      <c r="B53" s="1">
        <v>28</v>
      </c>
      <c r="C53" s="1" t="s">
        <v>220</v>
      </c>
      <c r="D53" s="1" t="s">
        <v>112</v>
      </c>
      <c r="E53" s="1">
        <v>2309</v>
      </c>
      <c r="F53" s="1"/>
      <c r="G53" s="1"/>
      <c r="H53" s="1"/>
    </row>
    <row r="54" spans="1:8" x14ac:dyDescent="0.35">
      <c r="A54" s="1" t="s">
        <v>221</v>
      </c>
      <c r="B54" s="1">
        <v>0</v>
      </c>
      <c r="C54" s="1">
        <v>0</v>
      </c>
      <c r="D54" s="1" t="s">
        <v>112</v>
      </c>
      <c r="E54" s="1">
        <v>0</v>
      </c>
      <c r="F54" s="1"/>
      <c r="G54" s="1"/>
      <c r="H54" s="1"/>
    </row>
    <row r="55" spans="1:8" x14ac:dyDescent="0.35">
      <c r="A55" s="1" t="s">
        <v>222</v>
      </c>
      <c r="B55" s="1">
        <v>166</v>
      </c>
      <c r="C55" s="1" t="s">
        <v>223</v>
      </c>
      <c r="D55" s="1" t="s">
        <v>112</v>
      </c>
      <c r="E55" s="1">
        <v>14071</v>
      </c>
      <c r="F55" s="1"/>
      <c r="G55" s="1"/>
      <c r="H55" s="1"/>
    </row>
    <row r="56" spans="1:8" x14ac:dyDescent="0.35">
      <c r="A56" s="1" t="s">
        <v>224</v>
      </c>
      <c r="B56" s="1">
        <v>207</v>
      </c>
      <c r="C56" s="1" t="s">
        <v>225</v>
      </c>
      <c r="D56" s="1" t="s">
        <v>112</v>
      </c>
      <c r="E56" s="1">
        <v>19598</v>
      </c>
      <c r="F56" s="1"/>
      <c r="G56" s="1"/>
      <c r="H56" s="1"/>
    </row>
    <row r="57" spans="1:8" x14ac:dyDescent="0.35">
      <c r="A57" s="1" t="s">
        <v>226</v>
      </c>
      <c r="B57" s="1">
        <v>1593</v>
      </c>
      <c r="C57" s="1" t="s">
        <v>227</v>
      </c>
      <c r="D57" s="1" t="s">
        <v>112</v>
      </c>
      <c r="E57" s="1">
        <v>148599</v>
      </c>
      <c r="F57" s="1"/>
      <c r="G57" s="1"/>
      <c r="H57" s="1"/>
    </row>
    <row r="58" spans="1:8" x14ac:dyDescent="0.35">
      <c r="A58" s="1" t="s">
        <v>228</v>
      </c>
      <c r="B58" s="1">
        <v>82</v>
      </c>
      <c r="C58" s="1" t="s">
        <v>229</v>
      </c>
      <c r="D58" s="1" t="s">
        <v>112</v>
      </c>
      <c r="E58" s="1">
        <v>6871</v>
      </c>
      <c r="F58" s="1"/>
      <c r="G58" s="1"/>
      <c r="H58" s="1"/>
    </row>
    <row r="59" spans="1:8" x14ac:dyDescent="0.35">
      <c r="A59" s="1" t="s">
        <v>230</v>
      </c>
      <c r="B59" s="1">
        <v>252</v>
      </c>
      <c r="C59" s="1" t="s">
        <v>231</v>
      </c>
      <c r="D59" s="1" t="s">
        <v>112</v>
      </c>
      <c r="E59" s="1">
        <v>23082</v>
      </c>
      <c r="F59" s="1"/>
      <c r="G59" s="1"/>
      <c r="H59" s="1"/>
    </row>
    <row r="60" spans="1:8" x14ac:dyDescent="0.35">
      <c r="A60" s="1" t="s">
        <v>232</v>
      </c>
      <c r="B60" s="1">
        <v>0</v>
      </c>
      <c r="C60" s="1">
        <v>0</v>
      </c>
      <c r="D60" s="1" t="s">
        <v>112</v>
      </c>
      <c r="E60" s="1">
        <v>0</v>
      </c>
      <c r="F60" s="1"/>
      <c r="G60" s="1"/>
      <c r="H60" s="1"/>
    </row>
    <row r="61" spans="1:8" x14ac:dyDescent="0.35">
      <c r="A61" s="1" t="s">
        <v>112</v>
      </c>
      <c r="B61" s="1"/>
      <c r="C61" s="1"/>
      <c r="D61" s="1"/>
      <c r="E61" s="1"/>
      <c r="F61" s="1"/>
      <c r="G61" s="1"/>
      <c r="H61" s="1"/>
    </row>
    <row r="62" spans="1:8" x14ac:dyDescent="0.35">
      <c r="A62" s="1" t="s">
        <v>176</v>
      </c>
      <c r="B62" s="1" t="s">
        <v>112</v>
      </c>
      <c r="C62" s="1" t="s">
        <v>177</v>
      </c>
      <c r="D62" s="1" t="s">
        <v>178</v>
      </c>
      <c r="E62" s="1" t="s">
        <v>179</v>
      </c>
      <c r="F62" s="1" t="s">
        <v>180</v>
      </c>
      <c r="G62" s="1" t="s">
        <v>181</v>
      </c>
      <c r="H62" s="1" t="s">
        <v>182</v>
      </c>
    </row>
    <row r="63" spans="1:8" x14ac:dyDescent="0.35">
      <c r="A63" s="1" t="s">
        <v>233</v>
      </c>
      <c r="B63" s="1" t="s">
        <v>112</v>
      </c>
      <c r="C63" s="1" t="s">
        <v>234</v>
      </c>
      <c r="D63" s="1" t="s">
        <v>235</v>
      </c>
      <c r="E63" s="1" t="s">
        <v>236</v>
      </c>
      <c r="F63" s="1" t="s">
        <v>237</v>
      </c>
      <c r="G63" s="1">
        <v>6</v>
      </c>
      <c r="H63" s="1">
        <v>8</v>
      </c>
    </row>
    <row r="64" spans="1:8" x14ac:dyDescent="0.35">
      <c r="A64" s="1" t="s">
        <v>112</v>
      </c>
      <c r="B64" s="1"/>
      <c r="C64" s="1"/>
      <c r="D64" s="1"/>
      <c r="E64" s="1"/>
      <c r="F64" s="1"/>
      <c r="G64" s="1"/>
      <c r="H64" s="1"/>
    </row>
    <row r="65" spans="1:8" x14ac:dyDescent="0.35">
      <c r="A65" s="1" t="s">
        <v>112</v>
      </c>
      <c r="B65" s="1"/>
      <c r="C65" s="1"/>
      <c r="D65" s="1"/>
      <c r="E65" s="1"/>
      <c r="F65" s="1"/>
      <c r="G65" s="1"/>
      <c r="H65" s="1"/>
    </row>
    <row r="66" spans="1:8" x14ac:dyDescent="0.35">
      <c r="A66" s="1" t="s">
        <v>112</v>
      </c>
      <c r="B66" s="1"/>
      <c r="C66" s="1"/>
      <c r="D66" s="1"/>
      <c r="E66" s="1"/>
      <c r="F66" s="1"/>
      <c r="G66" s="1"/>
      <c r="H66" s="1"/>
    </row>
    <row r="67" spans="1:8" x14ac:dyDescent="0.35">
      <c r="A67" s="1" t="s">
        <v>112</v>
      </c>
      <c r="B67" s="1"/>
      <c r="C67" s="1"/>
      <c r="D67" s="1"/>
      <c r="E67" s="1"/>
      <c r="F67" s="1"/>
      <c r="G67" s="1"/>
      <c r="H67" s="1"/>
    </row>
    <row r="68" spans="1:8" x14ac:dyDescent="0.35">
      <c r="A68" s="1" t="s">
        <v>112</v>
      </c>
      <c r="B68" s="1"/>
      <c r="C68" s="1"/>
      <c r="D68" s="1"/>
      <c r="E68" s="1"/>
      <c r="F68" s="1"/>
      <c r="G68" s="1"/>
      <c r="H68" s="1"/>
    </row>
    <row r="69" spans="1:8" x14ac:dyDescent="0.35">
      <c r="A69" s="1" t="s">
        <v>175</v>
      </c>
      <c r="B69" s="1" t="s">
        <v>110</v>
      </c>
      <c r="C69" s="1" t="s">
        <v>111</v>
      </c>
      <c r="D69" s="1" t="s">
        <v>112</v>
      </c>
      <c r="E69" s="1" t="s">
        <v>113</v>
      </c>
      <c r="F69" s="1"/>
      <c r="G69" s="1"/>
      <c r="H69" s="1"/>
    </row>
    <row r="70" spans="1:8" x14ac:dyDescent="0.35">
      <c r="A70" s="1" t="s">
        <v>238</v>
      </c>
      <c r="B70" s="1">
        <v>0</v>
      </c>
      <c r="C70" s="1">
        <v>0</v>
      </c>
      <c r="D70" s="1" t="s">
        <v>112</v>
      </c>
      <c r="E70" s="1">
        <v>0</v>
      </c>
      <c r="F70" s="1"/>
      <c r="G70" s="1"/>
      <c r="H70" s="1"/>
    </row>
    <row r="71" spans="1:8" x14ac:dyDescent="0.35">
      <c r="A71" s="1" t="s">
        <v>239</v>
      </c>
      <c r="B71" s="1">
        <v>821</v>
      </c>
      <c r="C71" s="1" t="s">
        <v>240</v>
      </c>
      <c r="D71" s="1" t="s">
        <v>112</v>
      </c>
      <c r="E71" s="1">
        <v>72588</v>
      </c>
      <c r="F71" s="1"/>
      <c r="G71" s="1"/>
      <c r="H71" s="1"/>
    </row>
    <row r="72" spans="1:8" x14ac:dyDescent="0.35">
      <c r="A72" s="1" t="s">
        <v>241</v>
      </c>
      <c r="B72" s="1">
        <v>388</v>
      </c>
      <c r="C72" s="1" t="s">
        <v>242</v>
      </c>
      <c r="D72" s="1" t="s">
        <v>112</v>
      </c>
      <c r="E72" s="1">
        <v>32748</v>
      </c>
      <c r="F72" s="1"/>
      <c r="G72" s="1"/>
      <c r="H72" s="1"/>
    </row>
    <row r="73" spans="1:8" x14ac:dyDescent="0.35">
      <c r="A73" s="1" t="s">
        <v>243</v>
      </c>
      <c r="B73" s="1">
        <v>36</v>
      </c>
      <c r="C73" s="1">
        <v>83</v>
      </c>
      <c r="D73" s="1" t="s">
        <v>112</v>
      </c>
      <c r="E73" s="1">
        <v>2988</v>
      </c>
      <c r="F73" s="1"/>
      <c r="G73" s="1"/>
      <c r="H73" s="1"/>
    </row>
    <row r="74" spans="1:8" x14ac:dyDescent="0.35">
      <c r="A74" s="1" t="s">
        <v>244</v>
      </c>
      <c r="B74" s="1">
        <v>156</v>
      </c>
      <c r="C74" s="1" t="s">
        <v>245</v>
      </c>
      <c r="D74" s="1" t="s">
        <v>112</v>
      </c>
      <c r="E74" s="1">
        <v>14001</v>
      </c>
      <c r="F74" s="1"/>
      <c r="G74" s="1"/>
      <c r="H74" s="1"/>
    </row>
    <row r="75" spans="1:8" x14ac:dyDescent="0.35">
      <c r="A75" s="1" t="s">
        <v>246</v>
      </c>
      <c r="B75" s="1">
        <v>2657</v>
      </c>
      <c r="C75" s="1" t="s">
        <v>247</v>
      </c>
      <c r="D75" s="1" t="s">
        <v>112</v>
      </c>
      <c r="E75" s="1">
        <v>302504</v>
      </c>
      <c r="F75" s="1"/>
      <c r="G75" s="1"/>
      <c r="H75" s="1"/>
    </row>
    <row r="76" spans="1:8" x14ac:dyDescent="0.35">
      <c r="A76" s="1" t="s">
        <v>248</v>
      </c>
      <c r="B76" s="1">
        <v>453</v>
      </c>
      <c r="C76" s="1" t="s">
        <v>249</v>
      </c>
      <c r="D76" s="1" t="s">
        <v>112</v>
      </c>
      <c r="E76" s="1">
        <v>38182</v>
      </c>
      <c r="F76" s="1"/>
      <c r="G76" s="1"/>
      <c r="H76" s="1"/>
    </row>
    <row r="77" spans="1:8" x14ac:dyDescent="0.35">
      <c r="A77" s="1" t="s">
        <v>250</v>
      </c>
      <c r="B77" s="1">
        <v>2217</v>
      </c>
      <c r="C77" s="1" t="s">
        <v>251</v>
      </c>
      <c r="D77" s="1" t="s">
        <v>112</v>
      </c>
      <c r="E77" s="1">
        <v>252629</v>
      </c>
      <c r="F77" s="1"/>
      <c r="G77" s="1"/>
      <c r="H77" s="1"/>
    </row>
    <row r="78" spans="1:8" x14ac:dyDescent="0.35">
      <c r="A78" s="1" t="s">
        <v>112</v>
      </c>
      <c r="B78" s="1"/>
      <c r="C78" s="1"/>
      <c r="D78" s="1"/>
      <c r="E78" s="1"/>
      <c r="F78" s="1"/>
      <c r="G78" s="1"/>
      <c r="H78" s="1"/>
    </row>
    <row r="79" spans="1:8" x14ac:dyDescent="0.35">
      <c r="A79" s="1" t="s">
        <v>176</v>
      </c>
      <c r="B79" s="1" t="s">
        <v>112</v>
      </c>
      <c r="C79" s="1" t="s">
        <v>177</v>
      </c>
      <c r="D79" s="1" t="s">
        <v>178</v>
      </c>
      <c r="E79" s="1" t="s">
        <v>179</v>
      </c>
      <c r="F79" s="1" t="s">
        <v>180</v>
      </c>
      <c r="G79" s="1" t="s">
        <v>181</v>
      </c>
      <c r="H79" s="1" t="s">
        <v>182</v>
      </c>
    </row>
    <row r="80" spans="1:8" x14ac:dyDescent="0.35">
      <c r="A80" s="1" t="s">
        <v>252</v>
      </c>
      <c r="B80" s="1" t="s">
        <v>112</v>
      </c>
      <c r="C80" s="1" t="s">
        <v>253</v>
      </c>
      <c r="D80" s="1" t="s">
        <v>254</v>
      </c>
      <c r="E80" s="1">
        <v>89455</v>
      </c>
      <c r="F80" s="1" t="s">
        <v>255</v>
      </c>
      <c r="G80" s="1">
        <v>7</v>
      </c>
      <c r="H80" s="1">
        <v>8</v>
      </c>
    </row>
    <row r="81" spans="1:8" x14ac:dyDescent="0.35">
      <c r="A81" s="1" t="s">
        <v>112</v>
      </c>
      <c r="B81" s="1"/>
      <c r="C81" s="1"/>
      <c r="D81" s="1"/>
      <c r="E81" s="1"/>
      <c r="F81" s="1"/>
      <c r="G81" s="1"/>
      <c r="H81" s="1"/>
    </row>
    <row r="82" spans="1:8" x14ac:dyDescent="0.35">
      <c r="A82" s="1" t="s">
        <v>112</v>
      </c>
      <c r="B82" s="1"/>
      <c r="C82" s="1"/>
      <c r="D82" s="1"/>
      <c r="E82" s="1"/>
      <c r="F82" s="1"/>
      <c r="G82" s="1"/>
      <c r="H82" s="1"/>
    </row>
    <row r="83" spans="1:8" x14ac:dyDescent="0.35">
      <c r="A83" s="1" t="s">
        <v>112</v>
      </c>
      <c r="B83" s="1"/>
      <c r="C83" s="1"/>
      <c r="D83" s="1"/>
      <c r="E83" s="1"/>
      <c r="F83" s="1"/>
      <c r="G83" s="1"/>
      <c r="H83" s="1"/>
    </row>
    <row r="84" spans="1:8" x14ac:dyDescent="0.35">
      <c r="A84" s="1" t="s">
        <v>112</v>
      </c>
      <c r="B84" s="1"/>
      <c r="C84" s="1"/>
      <c r="D84" s="1"/>
      <c r="E84" s="1"/>
      <c r="F84" s="1"/>
      <c r="G84" s="1"/>
      <c r="H84" s="1"/>
    </row>
    <row r="85" spans="1:8" x14ac:dyDescent="0.35">
      <c r="A85" s="1" t="s">
        <v>112</v>
      </c>
      <c r="B85" s="1"/>
      <c r="C85" s="1"/>
      <c r="D85" s="1"/>
      <c r="E85" s="1"/>
      <c r="F85" s="1"/>
      <c r="G85" s="1"/>
      <c r="H85" s="1"/>
    </row>
    <row r="86" spans="1:8" x14ac:dyDescent="0.35">
      <c r="A86" s="1" t="s">
        <v>175</v>
      </c>
      <c r="B86" s="1" t="s">
        <v>110</v>
      </c>
      <c r="C86" s="1" t="s">
        <v>111</v>
      </c>
      <c r="D86" s="1" t="s">
        <v>112</v>
      </c>
      <c r="E86" s="1" t="s">
        <v>113</v>
      </c>
      <c r="F86" s="1"/>
      <c r="G86" s="1"/>
      <c r="H86" s="1"/>
    </row>
    <row r="87" spans="1:8" x14ac:dyDescent="0.35">
      <c r="A87" s="1" t="s">
        <v>256</v>
      </c>
      <c r="B87" s="1">
        <v>813</v>
      </c>
      <c r="C87" s="1" t="s">
        <v>257</v>
      </c>
      <c r="D87" s="1" t="s">
        <v>112</v>
      </c>
      <c r="E87" s="1">
        <v>67935</v>
      </c>
      <c r="F87" s="1"/>
      <c r="G87" s="1"/>
      <c r="H87" s="1"/>
    </row>
    <row r="88" spans="1:8" x14ac:dyDescent="0.35">
      <c r="A88" s="1" t="s">
        <v>258</v>
      </c>
      <c r="B88" s="1">
        <v>1173</v>
      </c>
      <c r="C88" s="1" t="s">
        <v>259</v>
      </c>
      <c r="D88" s="1" t="s">
        <v>112</v>
      </c>
      <c r="E88" s="1">
        <v>109282</v>
      </c>
      <c r="F88" s="1"/>
      <c r="G88" s="1"/>
      <c r="H88" s="1"/>
    </row>
    <row r="89" spans="1:8" x14ac:dyDescent="0.35">
      <c r="A89" s="1" t="s">
        <v>260</v>
      </c>
      <c r="B89" s="1">
        <v>2175</v>
      </c>
      <c r="C89" s="1" t="s">
        <v>261</v>
      </c>
      <c r="D89" s="1" t="s">
        <v>112</v>
      </c>
      <c r="E89" s="1">
        <v>241206</v>
      </c>
      <c r="F89" s="1"/>
      <c r="G89" s="1"/>
      <c r="H89" s="1"/>
    </row>
    <row r="90" spans="1:8" x14ac:dyDescent="0.35">
      <c r="A90" s="1" t="s">
        <v>262</v>
      </c>
      <c r="B90" s="1">
        <v>2520</v>
      </c>
      <c r="C90" s="1" t="s">
        <v>263</v>
      </c>
      <c r="D90" s="1" t="s">
        <v>112</v>
      </c>
      <c r="E90" s="1">
        <v>259441</v>
      </c>
      <c r="F90" s="1"/>
      <c r="G90" s="1"/>
      <c r="H90" s="1"/>
    </row>
    <row r="91" spans="1:8" x14ac:dyDescent="0.35">
      <c r="A91" s="1" t="s">
        <v>264</v>
      </c>
      <c r="B91" s="1">
        <v>1677</v>
      </c>
      <c r="C91" s="1" t="s">
        <v>265</v>
      </c>
      <c r="D91" s="1" t="s">
        <v>112</v>
      </c>
      <c r="E91" s="1">
        <v>158732</v>
      </c>
      <c r="F91" s="1"/>
      <c r="G91" s="1"/>
      <c r="H91" s="1"/>
    </row>
    <row r="92" spans="1:8" x14ac:dyDescent="0.35">
      <c r="A92" s="1" t="s">
        <v>266</v>
      </c>
      <c r="B92" s="1">
        <v>1019</v>
      </c>
      <c r="C92" s="1" t="s">
        <v>267</v>
      </c>
      <c r="D92" s="1" t="s">
        <v>112</v>
      </c>
      <c r="E92" s="1">
        <v>92333</v>
      </c>
      <c r="F92" s="1"/>
      <c r="G92" s="1"/>
      <c r="H92" s="1"/>
    </row>
    <row r="93" spans="1:8" x14ac:dyDescent="0.35">
      <c r="A93" s="1" t="s">
        <v>268</v>
      </c>
      <c r="B93" s="1">
        <v>2420</v>
      </c>
      <c r="C93" s="1" t="s">
        <v>269</v>
      </c>
      <c r="D93" s="1" t="s">
        <v>112</v>
      </c>
      <c r="E93" s="1">
        <v>229497</v>
      </c>
      <c r="F93" s="1"/>
      <c r="G93" s="1"/>
      <c r="H93" s="1"/>
    </row>
    <row r="94" spans="1:8" x14ac:dyDescent="0.35">
      <c r="A94" s="1" t="s">
        <v>270</v>
      </c>
      <c r="B94" s="1">
        <v>398</v>
      </c>
      <c r="C94" s="1" t="s">
        <v>271</v>
      </c>
      <c r="D94" s="1" t="s">
        <v>112</v>
      </c>
      <c r="E94" s="1">
        <v>33990</v>
      </c>
      <c r="F94" s="1"/>
      <c r="G94" s="1"/>
      <c r="H94" s="1"/>
    </row>
    <row r="95" spans="1:8" x14ac:dyDescent="0.35">
      <c r="A95" s="1" t="s">
        <v>112</v>
      </c>
      <c r="B95" s="1"/>
      <c r="C95" s="1"/>
      <c r="D95" s="1"/>
      <c r="E95" s="1"/>
      <c r="F95" s="1"/>
      <c r="G95" s="1"/>
      <c r="H95" s="1"/>
    </row>
    <row r="96" spans="1:8" x14ac:dyDescent="0.35">
      <c r="A96" s="1" t="s">
        <v>176</v>
      </c>
      <c r="B96" s="1" t="s">
        <v>112</v>
      </c>
      <c r="C96" s="1" t="s">
        <v>177</v>
      </c>
      <c r="D96" s="1" t="s">
        <v>178</v>
      </c>
      <c r="E96" s="1" t="s">
        <v>179</v>
      </c>
      <c r="F96" s="1" t="s">
        <v>180</v>
      </c>
      <c r="G96" s="1" t="s">
        <v>181</v>
      </c>
      <c r="H96" s="1" t="s">
        <v>182</v>
      </c>
    </row>
    <row r="97" spans="1:8" x14ac:dyDescent="0.35">
      <c r="A97" s="1" t="s">
        <v>272</v>
      </c>
      <c r="B97" s="1" t="s">
        <v>112</v>
      </c>
      <c r="C97" s="1" t="s">
        <v>273</v>
      </c>
      <c r="D97" s="1" t="s">
        <v>274</v>
      </c>
      <c r="E97" s="1">
        <v>149052</v>
      </c>
      <c r="F97" s="1" t="s">
        <v>275</v>
      </c>
      <c r="G97" s="1">
        <v>8</v>
      </c>
      <c r="H97" s="1">
        <v>8</v>
      </c>
    </row>
    <row r="98" spans="1:8" x14ac:dyDescent="0.35">
      <c r="A98" s="1" t="s">
        <v>112</v>
      </c>
      <c r="B98" s="1"/>
      <c r="C98" s="1"/>
      <c r="D98" s="1"/>
      <c r="E98" s="1"/>
      <c r="F98" s="1"/>
      <c r="G98" s="1"/>
      <c r="H98" s="1"/>
    </row>
    <row r="99" spans="1:8" x14ac:dyDescent="0.35">
      <c r="A99" s="1" t="s">
        <v>112</v>
      </c>
      <c r="B99" s="1"/>
      <c r="C99" s="1"/>
      <c r="D99" s="1"/>
      <c r="E99" s="1"/>
      <c r="F99" s="1"/>
      <c r="G99" s="1"/>
      <c r="H99" s="1"/>
    </row>
    <row r="100" spans="1:8" x14ac:dyDescent="0.35">
      <c r="A100" s="1" t="s">
        <v>112</v>
      </c>
      <c r="B100" s="1"/>
      <c r="C100" s="1"/>
      <c r="D100" s="1"/>
      <c r="E100" s="1"/>
      <c r="F100" s="1"/>
      <c r="G100" s="1"/>
      <c r="H100" s="1"/>
    </row>
    <row r="101" spans="1:8" x14ac:dyDescent="0.35">
      <c r="A101" s="1" t="s">
        <v>112</v>
      </c>
      <c r="B101" s="1"/>
      <c r="C101" s="1"/>
      <c r="D101" s="1"/>
      <c r="E101" s="1"/>
      <c r="F101" s="1"/>
      <c r="G101" s="1"/>
      <c r="H101" s="1"/>
    </row>
    <row r="102" spans="1:8" x14ac:dyDescent="0.35">
      <c r="A102" s="1" t="s">
        <v>112</v>
      </c>
      <c r="B102" s="1"/>
      <c r="C102" s="1"/>
      <c r="D102" s="1"/>
      <c r="E102" s="1"/>
      <c r="F102" s="1"/>
      <c r="G102" s="1"/>
      <c r="H102" s="1"/>
    </row>
    <row r="103" spans="1:8" x14ac:dyDescent="0.35">
      <c r="A103" s="1" t="s">
        <v>175</v>
      </c>
      <c r="B103" s="1" t="s">
        <v>110</v>
      </c>
      <c r="C103" s="1" t="s">
        <v>111</v>
      </c>
      <c r="D103" s="1" t="s">
        <v>112</v>
      </c>
      <c r="E103" s="1" t="s">
        <v>113</v>
      </c>
      <c r="F103" s="1"/>
      <c r="G103" s="1"/>
      <c r="H103" s="1"/>
    </row>
    <row r="104" spans="1:8" x14ac:dyDescent="0.35">
      <c r="A104" s="1" t="s">
        <v>276</v>
      </c>
      <c r="B104" s="1">
        <v>3062</v>
      </c>
      <c r="C104" s="1" t="s">
        <v>277</v>
      </c>
      <c r="D104" s="1" t="s">
        <v>112</v>
      </c>
      <c r="E104" s="1">
        <v>356147</v>
      </c>
      <c r="F104" s="1"/>
      <c r="G104" s="1"/>
      <c r="H104" s="1"/>
    </row>
    <row r="105" spans="1:8" x14ac:dyDescent="0.35">
      <c r="A105" s="1" t="s">
        <v>278</v>
      </c>
      <c r="B105" s="1">
        <v>2836</v>
      </c>
      <c r="C105" s="1" t="s">
        <v>279</v>
      </c>
      <c r="D105" s="1" t="s">
        <v>112</v>
      </c>
      <c r="E105" s="1">
        <v>366161</v>
      </c>
      <c r="F105" s="1"/>
      <c r="G105" s="1"/>
      <c r="H105" s="1"/>
    </row>
    <row r="106" spans="1:8" x14ac:dyDescent="0.35">
      <c r="A106" s="1" t="s">
        <v>280</v>
      </c>
      <c r="B106" s="1">
        <v>2557</v>
      </c>
      <c r="C106" s="1" t="s">
        <v>281</v>
      </c>
      <c r="D106" s="1" t="s">
        <v>112</v>
      </c>
      <c r="E106" s="1">
        <v>275197</v>
      </c>
      <c r="F106" s="1"/>
      <c r="G106" s="1"/>
      <c r="H106" s="1"/>
    </row>
    <row r="107" spans="1:8" x14ac:dyDescent="0.35">
      <c r="A107" s="1" t="s">
        <v>282</v>
      </c>
      <c r="B107" s="1">
        <v>2936</v>
      </c>
      <c r="C107" s="1" t="s">
        <v>283</v>
      </c>
      <c r="D107" s="1" t="s">
        <v>112</v>
      </c>
      <c r="E107" s="1">
        <v>331176</v>
      </c>
      <c r="F107" s="1"/>
      <c r="G107" s="1"/>
      <c r="H107" s="1"/>
    </row>
    <row r="108" spans="1:8" x14ac:dyDescent="0.35">
      <c r="A108" s="1" t="s">
        <v>284</v>
      </c>
      <c r="B108" s="1"/>
      <c r="C108" s="1"/>
      <c r="D108" s="1"/>
      <c r="E108" s="1"/>
      <c r="F108" s="1"/>
      <c r="G108" s="1"/>
      <c r="H108" s="1"/>
    </row>
    <row r="109" spans="1:8" x14ac:dyDescent="0.35">
      <c r="A109" s="1" t="s">
        <v>285</v>
      </c>
      <c r="B109" s="1">
        <v>2187</v>
      </c>
      <c r="C109" s="1" t="s">
        <v>286</v>
      </c>
      <c r="D109" s="1" t="s">
        <v>112</v>
      </c>
      <c r="E109" s="1">
        <v>244067</v>
      </c>
      <c r="F109" s="1"/>
      <c r="G109" s="1"/>
      <c r="H109" s="1"/>
    </row>
    <row r="110" spans="1:8" x14ac:dyDescent="0.35">
      <c r="A110" s="1" t="s">
        <v>287</v>
      </c>
      <c r="B110" s="1">
        <v>2811</v>
      </c>
      <c r="C110" s="1" t="s">
        <v>288</v>
      </c>
      <c r="D110" s="1" t="s">
        <v>112</v>
      </c>
      <c r="E110" s="1">
        <v>306562</v>
      </c>
      <c r="F110" s="1"/>
      <c r="G110" s="1"/>
      <c r="H110" s="1"/>
    </row>
    <row r="111" spans="1:8" x14ac:dyDescent="0.35">
      <c r="A111" s="1" t="s">
        <v>289</v>
      </c>
      <c r="B111" s="1">
        <v>2108</v>
      </c>
      <c r="C111" s="1" t="s">
        <v>290</v>
      </c>
      <c r="D111" s="1" t="s">
        <v>112</v>
      </c>
      <c r="E111" s="1">
        <v>215357</v>
      </c>
      <c r="F111" s="1"/>
      <c r="G111" s="1"/>
      <c r="H111" s="1"/>
    </row>
    <row r="112" spans="1:8" x14ac:dyDescent="0.35">
      <c r="A112" s="1" t="s">
        <v>112</v>
      </c>
      <c r="B112" s="1"/>
      <c r="C112" s="1"/>
      <c r="D112" s="1"/>
      <c r="E112" s="1"/>
      <c r="F112" s="1"/>
      <c r="G112" s="1"/>
      <c r="H112" s="1"/>
    </row>
    <row r="113" spans="1:8" x14ac:dyDescent="0.35">
      <c r="A113" s="1" t="s">
        <v>176</v>
      </c>
      <c r="B113" s="1" t="s">
        <v>112</v>
      </c>
      <c r="C113" s="1" t="s">
        <v>177</v>
      </c>
      <c r="D113" s="1" t="s">
        <v>178</v>
      </c>
      <c r="E113" s="1" t="s">
        <v>179</v>
      </c>
      <c r="F113" s="1" t="s">
        <v>180</v>
      </c>
      <c r="G113" s="1" t="s">
        <v>181</v>
      </c>
      <c r="H113" s="1" t="s">
        <v>182</v>
      </c>
    </row>
    <row r="114" spans="1:8" x14ac:dyDescent="0.35">
      <c r="A114" s="1" t="s">
        <v>291</v>
      </c>
      <c r="B114" s="1" t="s">
        <v>112</v>
      </c>
      <c r="C114" s="1" t="s">
        <v>292</v>
      </c>
      <c r="D114" s="1" t="s">
        <v>293</v>
      </c>
      <c r="E114" s="1" t="s">
        <v>294</v>
      </c>
      <c r="F114" s="1" t="s">
        <v>295</v>
      </c>
      <c r="G114" s="1">
        <v>8</v>
      </c>
      <c r="H114" s="1">
        <v>8</v>
      </c>
    </row>
    <row r="115" spans="1:8" x14ac:dyDescent="0.35">
      <c r="A115" s="1" t="s">
        <v>112</v>
      </c>
      <c r="B115" s="1"/>
      <c r="C115" s="1"/>
      <c r="D115" s="1"/>
      <c r="E115" s="1"/>
      <c r="F115" s="1"/>
      <c r="G115" s="1"/>
      <c r="H115" s="1"/>
    </row>
    <row r="116" spans="1:8" x14ac:dyDescent="0.35">
      <c r="A116" s="1" t="s">
        <v>112</v>
      </c>
      <c r="B116" s="1"/>
      <c r="C116" s="1"/>
      <c r="D116" s="1"/>
      <c r="E116" s="1"/>
      <c r="F116" s="1"/>
      <c r="G116" s="1"/>
      <c r="H116" s="1"/>
    </row>
    <row r="117" spans="1:8" x14ac:dyDescent="0.35">
      <c r="A117" s="1" t="s">
        <v>112</v>
      </c>
      <c r="B117" s="1"/>
      <c r="C117" s="1"/>
      <c r="D117" s="1"/>
      <c r="E117" s="1"/>
      <c r="F117" s="1"/>
      <c r="G117" s="1"/>
      <c r="H117" s="1"/>
    </row>
    <row r="118" spans="1:8" x14ac:dyDescent="0.35">
      <c r="A118" s="1" t="s">
        <v>112</v>
      </c>
      <c r="B118" s="1"/>
      <c r="C118" s="1"/>
      <c r="D118" s="1"/>
      <c r="E118" s="1"/>
      <c r="F118" s="1"/>
      <c r="G118" s="1"/>
      <c r="H118" s="1"/>
    </row>
    <row r="119" spans="1:8" x14ac:dyDescent="0.35">
      <c r="A119" s="1" t="s">
        <v>112</v>
      </c>
      <c r="B119" s="1"/>
      <c r="C119" s="1"/>
      <c r="D119" s="1"/>
      <c r="E119" s="1"/>
      <c r="F119" s="1"/>
      <c r="G119" s="1"/>
      <c r="H119" s="1"/>
    </row>
    <row r="120" spans="1:8" x14ac:dyDescent="0.35">
      <c r="A120" s="1" t="s">
        <v>175</v>
      </c>
      <c r="B120" s="1" t="s">
        <v>110</v>
      </c>
      <c r="C120" s="1" t="s">
        <v>111</v>
      </c>
      <c r="D120" s="1" t="s">
        <v>112</v>
      </c>
      <c r="E120" s="1" t="s">
        <v>113</v>
      </c>
      <c r="F120" s="1"/>
      <c r="G120" s="1"/>
      <c r="H120" s="1"/>
    </row>
    <row r="121" spans="1:8" x14ac:dyDescent="0.35">
      <c r="A121" s="1" t="s">
        <v>296</v>
      </c>
      <c r="B121" s="1">
        <v>2204</v>
      </c>
      <c r="C121" s="1" t="s">
        <v>297</v>
      </c>
      <c r="D121" s="1" t="s">
        <v>112</v>
      </c>
      <c r="E121" s="1">
        <v>287243</v>
      </c>
      <c r="F121" s="1"/>
      <c r="G121" s="1"/>
      <c r="H121" s="1"/>
    </row>
    <row r="122" spans="1:8" x14ac:dyDescent="0.35">
      <c r="A122" s="1" t="s">
        <v>298</v>
      </c>
      <c r="B122" s="1">
        <v>2212</v>
      </c>
      <c r="C122" s="1" t="s">
        <v>299</v>
      </c>
      <c r="D122" s="1" t="s">
        <v>112</v>
      </c>
      <c r="E122" s="1">
        <v>278778</v>
      </c>
      <c r="F122" s="1"/>
      <c r="G122" s="1"/>
      <c r="H122" s="1"/>
    </row>
    <row r="123" spans="1:8" x14ac:dyDescent="0.35">
      <c r="A123" s="1" t="s">
        <v>300</v>
      </c>
      <c r="B123" s="1">
        <v>3112</v>
      </c>
      <c r="C123" s="1" t="s">
        <v>301</v>
      </c>
      <c r="D123" s="1" t="s">
        <v>112</v>
      </c>
      <c r="E123" s="1">
        <v>429004</v>
      </c>
      <c r="F123" s="1"/>
      <c r="G123" s="1"/>
      <c r="H123" s="1"/>
    </row>
    <row r="124" spans="1:8" x14ac:dyDescent="0.35">
      <c r="A124" s="1" t="s">
        <v>302</v>
      </c>
      <c r="B124" s="1">
        <v>4220</v>
      </c>
      <c r="C124" s="1" t="s">
        <v>303</v>
      </c>
      <c r="D124" s="1" t="s">
        <v>112</v>
      </c>
      <c r="E124" s="1">
        <v>537583</v>
      </c>
      <c r="F124" s="1"/>
      <c r="G124" s="1"/>
      <c r="H124" s="1"/>
    </row>
    <row r="125" spans="1:8" x14ac:dyDescent="0.35">
      <c r="A125" s="1" t="s">
        <v>304</v>
      </c>
      <c r="B125" s="1">
        <v>2619</v>
      </c>
      <c r="C125" s="1" t="s">
        <v>305</v>
      </c>
      <c r="D125" s="1" t="s">
        <v>112</v>
      </c>
      <c r="E125" s="1">
        <v>337731</v>
      </c>
      <c r="F125" s="1"/>
      <c r="G125" s="1"/>
      <c r="H125" s="1"/>
    </row>
    <row r="126" spans="1:8" x14ac:dyDescent="0.35">
      <c r="A126" s="1" t="s">
        <v>306</v>
      </c>
      <c r="B126" s="1">
        <v>3099</v>
      </c>
      <c r="C126" s="1" t="s">
        <v>307</v>
      </c>
      <c r="D126" s="1" t="s">
        <v>112</v>
      </c>
      <c r="E126" s="1">
        <v>379425</v>
      </c>
      <c r="F126" s="1"/>
      <c r="G126" s="1"/>
      <c r="H126" s="1"/>
    </row>
    <row r="127" spans="1:8" x14ac:dyDescent="0.35">
      <c r="A127" s="1" t="s">
        <v>308</v>
      </c>
      <c r="B127" s="1">
        <v>2803</v>
      </c>
      <c r="C127" s="1" t="s">
        <v>309</v>
      </c>
      <c r="D127" s="1" t="s">
        <v>112</v>
      </c>
      <c r="E127" s="1">
        <v>364890</v>
      </c>
      <c r="F127" s="1"/>
      <c r="G127" s="1"/>
      <c r="H127" s="1"/>
    </row>
    <row r="128" spans="1:8" x14ac:dyDescent="0.35">
      <c r="A128" s="1" t="s">
        <v>310</v>
      </c>
      <c r="B128" s="1">
        <v>2735</v>
      </c>
      <c r="C128" s="1" t="s">
        <v>311</v>
      </c>
      <c r="D128" s="1" t="s">
        <v>112</v>
      </c>
      <c r="E128" s="1">
        <v>347858</v>
      </c>
      <c r="F128" s="1"/>
      <c r="G128" s="1"/>
      <c r="H128" s="1"/>
    </row>
    <row r="129" spans="1:8" x14ac:dyDescent="0.35">
      <c r="A129" s="1" t="s">
        <v>112</v>
      </c>
      <c r="B129" s="1"/>
      <c r="C129" s="1"/>
      <c r="D129" s="1"/>
      <c r="E129" s="1"/>
      <c r="F129" s="1"/>
      <c r="G129" s="1"/>
      <c r="H129" s="1"/>
    </row>
    <row r="130" spans="1:8" x14ac:dyDescent="0.35">
      <c r="A130" s="1" t="s">
        <v>176</v>
      </c>
      <c r="B130" s="1" t="s">
        <v>112</v>
      </c>
      <c r="C130" s="1" t="s">
        <v>177</v>
      </c>
      <c r="D130" s="1" t="s">
        <v>178</v>
      </c>
      <c r="E130" s="1" t="s">
        <v>179</v>
      </c>
      <c r="F130" s="1" t="s">
        <v>180</v>
      </c>
      <c r="G130" s="1" t="s">
        <v>181</v>
      </c>
      <c r="H130" s="1" t="s">
        <v>182</v>
      </c>
    </row>
    <row r="131" spans="1:8" x14ac:dyDescent="0.35">
      <c r="A131" s="1" t="s">
        <v>312</v>
      </c>
      <c r="B131" s="1" t="s">
        <v>112</v>
      </c>
      <c r="C131" s="1" t="s">
        <v>313</v>
      </c>
      <c r="D131" s="1" t="s">
        <v>314</v>
      </c>
      <c r="E131" s="1">
        <v>370314</v>
      </c>
      <c r="F131" s="1" t="s">
        <v>315</v>
      </c>
      <c r="G131" s="1">
        <v>8</v>
      </c>
      <c r="H131" s="1">
        <v>8</v>
      </c>
    </row>
    <row r="132" spans="1:8" x14ac:dyDescent="0.35">
      <c r="A132" s="1" t="s">
        <v>112</v>
      </c>
      <c r="B132" s="1"/>
      <c r="C132" s="1"/>
      <c r="D132" s="1"/>
      <c r="E132" s="1"/>
      <c r="F132" s="1"/>
      <c r="G132" s="1"/>
      <c r="H132" s="1"/>
    </row>
    <row r="133" spans="1:8" x14ac:dyDescent="0.35">
      <c r="A133" s="1" t="s">
        <v>112</v>
      </c>
      <c r="B133" s="1"/>
      <c r="C133" s="1"/>
      <c r="D133" s="1"/>
      <c r="E133" s="1"/>
      <c r="F133" s="1"/>
      <c r="G133" s="1"/>
      <c r="H133" s="1"/>
    </row>
    <row r="134" spans="1:8" x14ac:dyDescent="0.35">
      <c r="A134" s="1" t="s">
        <v>112</v>
      </c>
      <c r="B134" s="1"/>
      <c r="C134" s="1"/>
      <c r="D134" s="1"/>
      <c r="E134" s="1"/>
      <c r="F134" s="1"/>
      <c r="G134" s="1"/>
      <c r="H134" s="1"/>
    </row>
    <row r="135" spans="1:8" x14ac:dyDescent="0.35">
      <c r="A135" s="1" t="s">
        <v>112</v>
      </c>
      <c r="B135" s="1"/>
      <c r="C135" s="1"/>
      <c r="D135" s="1"/>
      <c r="E135" s="1"/>
      <c r="F135" s="1"/>
      <c r="G135" s="1"/>
      <c r="H135" s="1"/>
    </row>
    <row r="136" spans="1:8" x14ac:dyDescent="0.35">
      <c r="A136" s="1" t="s">
        <v>112</v>
      </c>
      <c r="B136" s="1"/>
      <c r="C136" s="1"/>
      <c r="D136" s="1"/>
      <c r="E136" s="1"/>
      <c r="F136" s="1"/>
      <c r="G136" s="1"/>
      <c r="H136" s="1"/>
    </row>
    <row r="137" spans="1:8" x14ac:dyDescent="0.35">
      <c r="A137" s="1" t="s">
        <v>175</v>
      </c>
      <c r="B137" s="1" t="s">
        <v>110</v>
      </c>
      <c r="C137" s="1" t="s">
        <v>111</v>
      </c>
      <c r="D137" s="1" t="s">
        <v>112</v>
      </c>
      <c r="E137" s="1" t="s">
        <v>113</v>
      </c>
      <c r="F137" s="1"/>
      <c r="G137" s="1"/>
      <c r="H137" s="1"/>
    </row>
    <row r="138" spans="1:8" x14ac:dyDescent="0.35">
      <c r="A138" s="1" t="s">
        <v>316</v>
      </c>
      <c r="B138" s="1">
        <v>601</v>
      </c>
      <c r="C138" s="1" t="s">
        <v>317</v>
      </c>
      <c r="D138" s="1" t="s">
        <v>112</v>
      </c>
      <c r="E138" s="1">
        <v>54082</v>
      </c>
      <c r="F138" s="1"/>
      <c r="G138" s="1"/>
      <c r="H138" s="1"/>
    </row>
    <row r="139" spans="1:8" x14ac:dyDescent="0.35">
      <c r="A139" s="1" t="s">
        <v>318</v>
      </c>
      <c r="B139" s="1">
        <v>2215</v>
      </c>
      <c r="C139" s="1" t="s">
        <v>319</v>
      </c>
      <c r="D139" s="1" t="s">
        <v>112</v>
      </c>
      <c r="E139" s="1">
        <v>264211</v>
      </c>
      <c r="F139" s="1"/>
      <c r="G139" s="1"/>
      <c r="H139" s="1"/>
    </row>
    <row r="140" spans="1:8" x14ac:dyDescent="0.35">
      <c r="A140" s="1" t="s">
        <v>320</v>
      </c>
      <c r="B140" s="1">
        <v>2585</v>
      </c>
      <c r="C140" s="1" t="s">
        <v>321</v>
      </c>
      <c r="D140" s="1" t="s">
        <v>112</v>
      </c>
      <c r="E140" s="1">
        <v>288949</v>
      </c>
      <c r="F140" s="1"/>
      <c r="G140" s="1"/>
      <c r="H140" s="1"/>
    </row>
    <row r="141" spans="1:8" x14ac:dyDescent="0.35">
      <c r="A141" s="1" t="s">
        <v>322</v>
      </c>
      <c r="B141" s="1">
        <v>1978</v>
      </c>
      <c r="C141" s="1" t="s">
        <v>323</v>
      </c>
      <c r="D141" s="1" t="s">
        <v>112</v>
      </c>
      <c r="E141" s="1">
        <v>205637</v>
      </c>
      <c r="F141" s="1"/>
      <c r="G141" s="1"/>
      <c r="H141" s="1"/>
    </row>
    <row r="142" spans="1:8" x14ac:dyDescent="0.35">
      <c r="A142" s="1" t="s">
        <v>324</v>
      </c>
      <c r="B142" s="1">
        <v>2911</v>
      </c>
      <c r="C142" s="1" t="s">
        <v>325</v>
      </c>
      <c r="D142" s="1" t="s">
        <v>112</v>
      </c>
      <c r="E142" s="1">
        <v>341545</v>
      </c>
      <c r="F142" s="1"/>
      <c r="G142" s="1"/>
      <c r="H142" s="1"/>
    </row>
    <row r="143" spans="1:8" x14ac:dyDescent="0.35">
      <c r="A143" s="1" t="s">
        <v>326</v>
      </c>
      <c r="B143" s="1">
        <v>815</v>
      </c>
      <c r="C143" s="1" t="s">
        <v>327</v>
      </c>
      <c r="D143" s="1" t="s">
        <v>112</v>
      </c>
      <c r="E143" s="1">
        <v>76649</v>
      </c>
      <c r="F143" s="1"/>
      <c r="G143" s="1"/>
      <c r="H143" s="1"/>
    </row>
    <row r="144" spans="1:8" x14ac:dyDescent="0.35">
      <c r="A144" s="1" t="s">
        <v>328</v>
      </c>
      <c r="B144" s="1">
        <v>3096</v>
      </c>
      <c r="C144" s="1" t="s">
        <v>329</v>
      </c>
      <c r="D144" s="1" t="s">
        <v>112</v>
      </c>
      <c r="E144" s="1">
        <v>358372</v>
      </c>
      <c r="F144" s="1"/>
      <c r="G144" s="1"/>
      <c r="H144" s="1"/>
    </row>
    <row r="145" spans="1:8" x14ac:dyDescent="0.35">
      <c r="A145" s="1" t="s">
        <v>330</v>
      </c>
      <c r="B145" s="1">
        <v>2504</v>
      </c>
      <c r="C145" s="1" t="s">
        <v>331</v>
      </c>
      <c r="D145" s="1" t="s">
        <v>112</v>
      </c>
      <c r="E145" s="1">
        <v>294098</v>
      </c>
      <c r="F145" s="1"/>
      <c r="G145" s="1"/>
      <c r="H145" s="1"/>
    </row>
    <row r="146" spans="1:8" x14ac:dyDescent="0.35">
      <c r="A146" s="1" t="s">
        <v>112</v>
      </c>
      <c r="B146" s="1"/>
      <c r="C146" s="1"/>
      <c r="D146" s="1"/>
      <c r="E146" s="1"/>
      <c r="F146" s="1"/>
      <c r="G146" s="1"/>
      <c r="H146" s="1"/>
    </row>
    <row r="147" spans="1:8" x14ac:dyDescent="0.35">
      <c r="A147" s="1" t="s">
        <v>176</v>
      </c>
      <c r="B147" s="1" t="s">
        <v>112</v>
      </c>
      <c r="C147" s="1" t="s">
        <v>177</v>
      </c>
      <c r="D147" s="1" t="s">
        <v>178</v>
      </c>
      <c r="E147" s="1" t="s">
        <v>179</v>
      </c>
      <c r="F147" s="1" t="s">
        <v>180</v>
      </c>
      <c r="G147" s="1" t="s">
        <v>181</v>
      </c>
      <c r="H147" s="1" t="s">
        <v>182</v>
      </c>
    </row>
    <row r="148" spans="1:8" x14ac:dyDescent="0.35">
      <c r="A148" s="1" t="s">
        <v>332</v>
      </c>
      <c r="B148" s="1" t="s">
        <v>112</v>
      </c>
      <c r="C148" s="1" t="s">
        <v>333</v>
      </c>
      <c r="D148" s="1" t="s">
        <v>334</v>
      </c>
      <c r="E148" s="1" t="s">
        <v>335</v>
      </c>
      <c r="F148" s="1" t="s">
        <v>336</v>
      </c>
      <c r="G148" s="1">
        <v>8</v>
      </c>
      <c r="H148" s="1">
        <v>8</v>
      </c>
    </row>
    <row r="149" spans="1:8" x14ac:dyDescent="0.35">
      <c r="A149" s="1" t="s">
        <v>112</v>
      </c>
      <c r="B149" s="1"/>
      <c r="C149" s="1"/>
      <c r="D149" s="1"/>
      <c r="E149" s="1"/>
      <c r="F149" s="1"/>
      <c r="G149" s="1"/>
      <c r="H149" s="1"/>
    </row>
    <row r="150" spans="1:8" x14ac:dyDescent="0.35">
      <c r="A150" s="1" t="s">
        <v>112</v>
      </c>
      <c r="B150" s="1"/>
      <c r="C150" s="1"/>
      <c r="D150" s="1"/>
      <c r="E150" s="1"/>
      <c r="F150" s="1"/>
      <c r="G150" s="1"/>
      <c r="H150" s="1"/>
    </row>
    <row r="151" spans="1:8" x14ac:dyDescent="0.35">
      <c r="A151" s="1" t="s">
        <v>112</v>
      </c>
      <c r="B151" s="1"/>
      <c r="C151" s="1"/>
      <c r="D151" s="1"/>
      <c r="E151" s="1"/>
      <c r="F151" s="1"/>
      <c r="G151" s="1"/>
      <c r="H151" s="1"/>
    </row>
    <row r="152" spans="1:8" x14ac:dyDescent="0.35">
      <c r="A152" s="1" t="s">
        <v>112</v>
      </c>
      <c r="B152" s="1"/>
      <c r="C152" s="1"/>
      <c r="D152" s="1"/>
      <c r="E152" s="1"/>
      <c r="F152" s="1"/>
      <c r="G152" s="1"/>
      <c r="H152" s="1"/>
    </row>
    <row r="153" spans="1:8" x14ac:dyDescent="0.35">
      <c r="A153" s="1" t="s">
        <v>112</v>
      </c>
      <c r="B153" s="1"/>
      <c r="C153" s="1"/>
      <c r="D153" s="1"/>
      <c r="E153" s="1"/>
      <c r="F153" s="1"/>
      <c r="G153" s="1"/>
      <c r="H153" s="1"/>
    </row>
    <row r="154" spans="1:8" x14ac:dyDescent="0.35">
      <c r="A154" s="1" t="s">
        <v>175</v>
      </c>
      <c r="B154" s="1" t="s">
        <v>110</v>
      </c>
      <c r="C154" s="1" t="s">
        <v>111</v>
      </c>
      <c r="D154" s="1" t="s">
        <v>112</v>
      </c>
      <c r="E154" s="1" t="s">
        <v>113</v>
      </c>
      <c r="F154" s="1"/>
      <c r="G154" s="1"/>
      <c r="H154" s="1"/>
    </row>
    <row r="155" spans="1:8" x14ac:dyDescent="0.35">
      <c r="A155" s="1" t="s">
        <v>337</v>
      </c>
      <c r="B155" s="1">
        <v>36</v>
      </c>
      <c r="C155" s="1" t="s">
        <v>338</v>
      </c>
      <c r="D155" s="1" t="s">
        <v>112</v>
      </c>
      <c r="E155" s="1">
        <v>3263</v>
      </c>
      <c r="F155" s="1"/>
      <c r="G155" s="1"/>
      <c r="H155" s="1"/>
    </row>
    <row r="156" spans="1:8" x14ac:dyDescent="0.35">
      <c r="A156" s="1" t="s">
        <v>339</v>
      </c>
      <c r="B156" s="1">
        <v>1</v>
      </c>
      <c r="C156" s="1">
        <v>81</v>
      </c>
      <c r="D156" s="1" t="s">
        <v>112</v>
      </c>
      <c r="E156" s="1">
        <v>81</v>
      </c>
      <c r="F156" s="1"/>
      <c r="G156" s="1"/>
      <c r="H156" s="1"/>
    </row>
    <row r="157" spans="1:8" x14ac:dyDescent="0.35">
      <c r="A157" s="1" t="s">
        <v>340</v>
      </c>
      <c r="B157" s="1">
        <v>465</v>
      </c>
      <c r="C157" s="1" t="s">
        <v>341</v>
      </c>
      <c r="D157" s="1" t="s">
        <v>112</v>
      </c>
      <c r="E157" s="1">
        <v>52926</v>
      </c>
      <c r="F157" s="1"/>
      <c r="G157" s="1"/>
      <c r="H157" s="1"/>
    </row>
    <row r="158" spans="1:8" x14ac:dyDescent="0.35">
      <c r="A158" s="1" t="s">
        <v>342</v>
      </c>
      <c r="B158" s="1">
        <v>31</v>
      </c>
      <c r="C158" s="1" t="s">
        <v>343</v>
      </c>
      <c r="D158" s="1" t="s">
        <v>112</v>
      </c>
      <c r="E158" s="1">
        <v>2557</v>
      </c>
      <c r="F158" s="1"/>
      <c r="G158" s="1"/>
      <c r="H158" s="1"/>
    </row>
    <row r="159" spans="1:8" x14ac:dyDescent="0.35">
      <c r="A159" s="1" t="s">
        <v>344</v>
      </c>
      <c r="B159" s="1">
        <v>185</v>
      </c>
      <c r="C159" s="1" t="s">
        <v>345</v>
      </c>
      <c r="D159" s="1" t="s">
        <v>112</v>
      </c>
      <c r="E159" s="1">
        <v>17861</v>
      </c>
      <c r="F159" s="1"/>
      <c r="G159" s="1"/>
      <c r="H159" s="1"/>
    </row>
    <row r="160" spans="1:8" x14ac:dyDescent="0.35">
      <c r="A160" s="1" t="s">
        <v>346</v>
      </c>
      <c r="B160" s="1">
        <v>361</v>
      </c>
      <c r="C160" s="1" t="s">
        <v>347</v>
      </c>
      <c r="D160" s="1" t="s">
        <v>112</v>
      </c>
      <c r="E160" s="1">
        <v>32128</v>
      </c>
      <c r="F160" s="1"/>
      <c r="G160" s="1"/>
      <c r="H160" s="1"/>
    </row>
    <row r="161" spans="1:8" x14ac:dyDescent="0.35">
      <c r="A161" s="1" t="s">
        <v>348</v>
      </c>
      <c r="B161" s="1">
        <v>173</v>
      </c>
      <c r="C161" s="1" t="s">
        <v>349</v>
      </c>
      <c r="D161" s="1" t="s">
        <v>112</v>
      </c>
      <c r="E161" s="1">
        <v>14960</v>
      </c>
      <c r="F161" s="1"/>
      <c r="G161" s="1"/>
      <c r="H161" s="1"/>
    </row>
    <row r="162" spans="1:8" x14ac:dyDescent="0.35">
      <c r="A162" s="1" t="s">
        <v>350</v>
      </c>
      <c r="B162" s="1">
        <v>7</v>
      </c>
      <c r="C162" s="1" t="s">
        <v>351</v>
      </c>
      <c r="D162" s="1" t="s">
        <v>112</v>
      </c>
      <c r="E162" s="1">
        <v>580</v>
      </c>
      <c r="F162" s="1"/>
      <c r="G162" s="1"/>
      <c r="H162" s="1"/>
    </row>
    <row r="163" spans="1:8" x14ac:dyDescent="0.35">
      <c r="A163" s="1" t="s">
        <v>112</v>
      </c>
      <c r="B163" s="1"/>
      <c r="C163" s="1"/>
      <c r="D163" s="1"/>
      <c r="E163" s="1"/>
      <c r="F163" s="1"/>
      <c r="G163" s="1"/>
      <c r="H163" s="1"/>
    </row>
    <row r="164" spans="1:8" x14ac:dyDescent="0.35">
      <c r="A164" s="1" t="s">
        <v>176</v>
      </c>
      <c r="B164" s="1" t="s">
        <v>112</v>
      </c>
      <c r="C164" s="1" t="s">
        <v>177</v>
      </c>
      <c r="D164" s="1" t="s">
        <v>178</v>
      </c>
      <c r="E164" s="1" t="s">
        <v>179</v>
      </c>
      <c r="F164" s="1" t="s">
        <v>180</v>
      </c>
      <c r="G164" s="1" t="s">
        <v>181</v>
      </c>
      <c r="H164" s="1" t="s">
        <v>182</v>
      </c>
    </row>
    <row r="165" spans="1:8" x14ac:dyDescent="0.35">
      <c r="A165" s="1" t="s">
        <v>352</v>
      </c>
      <c r="B165" s="1" t="s">
        <v>112</v>
      </c>
      <c r="C165" s="1" t="s">
        <v>353</v>
      </c>
      <c r="D165" s="1" t="s">
        <v>354</v>
      </c>
      <c r="E165" s="1" t="s">
        <v>355</v>
      </c>
      <c r="F165" s="1" t="s">
        <v>356</v>
      </c>
      <c r="G165" s="1">
        <v>8</v>
      </c>
      <c r="H165" s="1">
        <v>8</v>
      </c>
    </row>
    <row r="166" spans="1:8" x14ac:dyDescent="0.35">
      <c r="A166" s="1" t="s">
        <v>112</v>
      </c>
      <c r="B166" s="1"/>
      <c r="C166" s="1"/>
      <c r="D166" s="1"/>
      <c r="E166" s="1"/>
      <c r="F166" s="1"/>
      <c r="G166" s="1"/>
      <c r="H166" s="1"/>
    </row>
    <row r="167" spans="1:8" x14ac:dyDescent="0.35">
      <c r="A167" s="1" t="s">
        <v>112</v>
      </c>
      <c r="B167" s="1"/>
      <c r="C167" s="1"/>
      <c r="D167" s="1"/>
      <c r="E167" s="1"/>
      <c r="F167" s="1"/>
      <c r="G167" s="1"/>
      <c r="H167" s="1"/>
    </row>
    <row r="168" spans="1:8" x14ac:dyDescent="0.35">
      <c r="A168" s="1" t="s">
        <v>112</v>
      </c>
      <c r="B168" s="1"/>
      <c r="C168" s="1"/>
      <c r="D168" s="1"/>
      <c r="E168" s="1"/>
      <c r="F168" s="1"/>
      <c r="G168" s="1"/>
      <c r="H168" s="1"/>
    </row>
    <row r="169" spans="1:8" x14ac:dyDescent="0.35">
      <c r="A169" s="1" t="s">
        <v>112</v>
      </c>
      <c r="B169" s="1"/>
      <c r="C169" s="1"/>
      <c r="D169" s="1"/>
      <c r="E169" s="1"/>
      <c r="F169" s="1"/>
      <c r="G169" s="1"/>
      <c r="H169" s="1"/>
    </row>
    <row r="170" spans="1:8" x14ac:dyDescent="0.35">
      <c r="A170" s="1" t="s">
        <v>112</v>
      </c>
      <c r="B170" s="1"/>
      <c r="C170" s="1"/>
      <c r="D170" s="1"/>
      <c r="E170" s="1"/>
      <c r="F170" s="1"/>
      <c r="G170" s="1"/>
      <c r="H170" s="1"/>
    </row>
    <row r="171" spans="1:8" x14ac:dyDescent="0.35">
      <c r="A171" s="1" t="s">
        <v>175</v>
      </c>
      <c r="B171" s="1" t="s">
        <v>110</v>
      </c>
      <c r="C171" s="1" t="s">
        <v>111</v>
      </c>
      <c r="D171" s="1" t="s">
        <v>112</v>
      </c>
      <c r="E171" s="1" t="s">
        <v>113</v>
      </c>
      <c r="F171" s="1"/>
      <c r="G171" s="1"/>
      <c r="H171" s="1"/>
    </row>
    <row r="172" spans="1:8" x14ac:dyDescent="0.35">
      <c r="A172" s="1" t="s">
        <v>357</v>
      </c>
      <c r="B172" s="1">
        <v>175</v>
      </c>
      <c r="C172" s="1" t="s">
        <v>358</v>
      </c>
      <c r="D172" s="1" t="s">
        <v>112</v>
      </c>
      <c r="E172" s="1">
        <v>18279</v>
      </c>
      <c r="F172" s="1"/>
      <c r="G172" s="1"/>
      <c r="H172" s="1"/>
    </row>
    <row r="173" spans="1:8" x14ac:dyDescent="0.35">
      <c r="A173" s="1" t="s">
        <v>359</v>
      </c>
      <c r="B173" s="1">
        <v>58</v>
      </c>
      <c r="C173" s="1" t="s">
        <v>360</v>
      </c>
      <c r="D173" s="1" t="s">
        <v>112</v>
      </c>
      <c r="E173" s="1">
        <v>4789</v>
      </c>
      <c r="F173" s="1"/>
      <c r="G173" s="1"/>
      <c r="H173" s="1"/>
    </row>
    <row r="174" spans="1:8" x14ac:dyDescent="0.35">
      <c r="A174" s="1" t="s">
        <v>361</v>
      </c>
      <c r="B174" s="1">
        <v>233</v>
      </c>
      <c r="C174" s="1" t="s">
        <v>362</v>
      </c>
      <c r="D174" s="1" t="s">
        <v>112</v>
      </c>
      <c r="E174" s="1">
        <v>22740</v>
      </c>
      <c r="F174" s="1"/>
      <c r="G174" s="1"/>
      <c r="H174" s="1"/>
    </row>
    <row r="175" spans="1:8" x14ac:dyDescent="0.35">
      <c r="A175" s="1" t="s">
        <v>363</v>
      </c>
      <c r="B175" s="1">
        <v>16</v>
      </c>
      <c r="C175" s="1" t="s">
        <v>364</v>
      </c>
      <c r="D175" s="1" t="s">
        <v>112</v>
      </c>
      <c r="E175" s="1">
        <v>1336</v>
      </c>
      <c r="F175" s="1"/>
      <c r="G175" s="1"/>
      <c r="H175" s="1"/>
    </row>
    <row r="176" spans="1:8" x14ac:dyDescent="0.35">
      <c r="A176" s="1" t="s">
        <v>365</v>
      </c>
      <c r="B176" s="1">
        <v>46</v>
      </c>
      <c r="C176" s="1" t="s">
        <v>366</v>
      </c>
      <c r="D176" s="1" t="s">
        <v>112</v>
      </c>
      <c r="E176" s="1">
        <v>3881</v>
      </c>
      <c r="F176" s="1"/>
      <c r="G176" s="1"/>
      <c r="H176" s="1"/>
    </row>
    <row r="177" spans="1:8" x14ac:dyDescent="0.35">
      <c r="A177" s="1" t="s">
        <v>367</v>
      </c>
      <c r="B177" s="1">
        <v>35</v>
      </c>
      <c r="C177" s="1" t="s">
        <v>368</v>
      </c>
      <c r="D177" s="1" t="s">
        <v>112</v>
      </c>
      <c r="E177" s="1">
        <v>3044</v>
      </c>
      <c r="F177" s="1"/>
      <c r="G177" s="1"/>
      <c r="H177" s="1"/>
    </row>
    <row r="178" spans="1:8" x14ac:dyDescent="0.35">
      <c r="A178" s="1" t="s">
        <v>369</v>
      </c>
      <c r="B178" s="1">
        <v>83</v>
      </c>
      <c r="C178" s="1" t="s">
        <v>370</v>
      </c>
      <c r="D178" s="1" t="s">
        <v>112</v>
      </c>
      <c r="E178" s="1">
        <v>6920</v>
      </c>
      <c r="F178" s="1"/>
      <c r="G178" s="1"/>
      <c r="H178" s="1"/>
    </row>
    <row r="179" spans="1:8" x14ac:dyDescent="0.35">
      <c r="A179" s="1" t="s">
        <v>371</v>
      </c>
      <c r="B179" s="1">
        <v>311</v>
      </c>
      <c r="C179" s="1" t="s">
        <v>372</v>
      </c>
      <c r="D179" s="1" t="s">
        <v>112</v>
      </c>
      <c r="E179" s="1">
        <v>28071</v>
      </c>
      <c r="F179" s="1"/>
      <c r="G179" s="1"/>
      <c r="H179" s="1"/>
    </row>
    <row r="180" spans="1:8" x14ac:dyDescent="0.35">
      <c r="A180" s="1" t="s">
        <v>112</v>
      </c>
      <c r="B180" s="1"/>
      <c r="C180" s="1"/>
      <c r="D180" s="1"/>
      <c r="E180" s="1"/>
      <c r="F180" s="1"/>
      <c r="G180" s="1"/>
      <c r="H180" s="1"/>
    </row>
    <row r="181" spans="1:8" x14ac:dyDescent="0.35">
      <c r="A181" s="1" t="s">
        <v>176</v>
      </c>
      <c r="B181" s="1" t="s">
        <v>112</v>
      </c>
      <c r="C181" s="1" t="s">
        <v>177</v>
      </c>
      <c r="D181" s="1" t="s">
        <v>178</v>
      </c>
      <c r="E181" s="1" t="s">
        <v>179</v>
      </c>
      <c r="F181" s="1" t="s">
        <v>180</v>
      </c>
      <c r="G181" s="1" t="s">
        <v>181</v>
      </c>
      <c r="H181" s="1" t="s">
        <v>182</v>
      </c>
    </row>
    <row r="182" spans="1:8" x14ac:dyDescent="0.35">
      <c r="A182" s="1" t="s">
        <v>373</v>
      </c>
      <c r="B182" s="1" t="s">
        <v>112</v>
      </c>
      <c r="C182" s="1" t="s">
        <v>374</v>
      </c>
      <c r="D182" s="1" t="s">
        <v>375</v>
      </c>
      <c r="E182" s="1" t="s">
        <v>376</v>
      </c>
      <c r="F182" s="1" t="s">
        <v>377</v>
      </c>
      <c r="G182" s="1">
        <v>8</v>
      </c>
      <c r="H182" s="1">
        <v>8</v>
      </c>
    </row>
    <row r="183" spans="1:8" x14ac:dyDescent="0.35">
      <c r="A183" s="1" t="s">
        <v>112</v>
      </c>
      <c r="B183" s="1"/>
      <c r="C183" s="1"/>
      <c r="D183" s="1"/>
      <c r="E183" s="1"/>
      <c r="F183" s="1"/>
      <c r="G183" s="1"/>
      <c r="H183" s="1"/>
    </row>
    <row r="184" spans="1:8" x14ac:dyDescent="0.35">
      <c r="A184" s="1" t="s">
        <v>112</v>
      </c>
      <c r="B184" s="1"/>
      <c r="C184" s="1"/>
      <c r="D184" s="1"/>
      <c r="E184" s="1"/>
      <c r="F184" s="1"/>
      <c r="G184" s="1"/>
      <c r="H184" s="1"/>
    </row>
    <row r="185" spans="1:8" x14ac:dyDescent="0.35">
      <c r="A185" s="1" t="s">
        <v>112</v>
      </c>
      <c r="B185" s="1"/>
      <c r="C185" s="1"/>
      <c r="D185" s="1"/>
      <c r="E185" s="1"/>
      <c r="F185" s="1"/>
      <c r="G185" s="1"/>
      <c r="H185" s="1"/>
    </row>
    <row r="186" spans="1:8" x14ac:dyDescent="0.35">
      <c r="A186" s="1" t="s">
        <v>112</v>
      </c>
      <c r="B186" s="1"/>
      <c r="C186" s="1"/>
      <c r="D186" s="1"/>
      <c r="E186" s="1"/>
      <c r="F186" s="1"/>
      <c r="G186" s="1"/>
      <c r="H186" s="1"/>
    </row>
    <row r="187" spans="1:8" x14ac:dyDescent="0.35">
      <c r="A187" s="1" t="s">
        <v>112</v>
      </c>
      <c r="B187" s="1"/>
      <c r="C187" s="1"/>
      <c r="D187" s="1"/>
      <c r="E187" s="1"/>
      <c r="F187" s="1"/>
      <c r="G187" s="1"/>
      <c r="H187" s="1"/>
    </row>
    <row r="188" spans="1:8" x14ac:dyDescent="0.35">
      <c r="A188" s="1" t="s">
        <v>175</v>
      </c>
      <c r="B188" s="1" t="s">
        <v>110</v>
      </c>
      <c r="C188" s="1" t="s">
        <v>111</v>
      </c>
      <c r="D188" s="1" t="s">
        <v>112</v>
      </c>
      <c r="E188" s="1" t="s">
        <v>113</v>
      </c>
      <c r="F188" s="1"/>
      <c r="G188" s="1"/>
      <c r="H188" s="1"/>
    </row>
    <row r="189" spans="1:8" x14ac:dyDescent="0.35">
      <c r="A189" s="1" t="s">
        <v>378</v>
      </c>
      <c r="B189" s="1">
        <v>352</v>
      </c>
      <c r="C189" s="1" t="s">
        <v>379</v>
      </c>
      <c r="D189" s="1" t="s">
        <v>112</v>
      </c>
      <c r="E189" s="1">
        <v>34120</v>
      </c>
      <c r="F189" s="1"/>
      <c r="G189" s="1"/>
      <c r="H189" s="1"/>
    </row>
    <row r="190" spans="1:8" x14ac:dyDescent="0.35">
      <c r="A190" s="1" t="s">
        <v>380</v>
      </c>
      <c r="B190" s="1">
        <v>31</v>
      </c>
      <c r="C190" s="1" t="s">
        <v>381</v>
      </c>
      <c r="D190" s="1" t="s">
        <v>112</v>
      </c>
      <c r="E190" s="1">
        <v>2778</v>
      </c>
      <c r="F190" s="1"/>
      <c r="G190" s="1"/>
      <c r="H190" s="1"/>
    </row>
    <row r="191" spans="1:8" x14ac:dyDescent="0.35">
      <c r="A191" s="1" t="s">
        <v>382</v>
      </c>
      <c r="B191" s="1">
        <v>526</v>
      </c>
      <c r="C191" s="1" t="s">
        <v>383</v>
      </c>
      <c r="D191" s="1" t="s">
        <v>112</v>
      </c>
      <c r="E191" s="1">
        <v>63199</v>
      </c>
      <c r="F191" s="1"/>
      <c r="G191" s="1"/>
      <c r="H191" s="1"/>
    </row>
    <row r="192" spans="1:8" x14ac:dyDescent="0.35">
      <c r="A192" s="1" t="s">
        <v>384</v>
      </c>
      <c r="B192" s="1">
        <v>39</v>
      </c>
      <c r="C192" s="1" t="s">
        <v>385</v>
      </c>
      <c r="D192" s="1" t="s">
        <v>112</v>
      </c>
      <c r="E192" s="1">
        <v>3347</v>
      </c>
      <c r="F192" s="1"/>
      <c r="G192" s="1"/>
      <c r="H192" s="1"/>
    </row>
    <row r="193" spans="1:8" x14ac:dyDescent="0.35">
      <c r="A193" s="1" t="s">
        <v>386</v>
      </c>
      <c r="B193" s="1">
        <v>89</v>
      </c>
      <c r="C193" s="1" t="s">
        <v>387</v>
      </c>
      <c r="D193" s="1" t="s">
        <v>112</v>
      </c>
      <c r="E193" s="1">
        <v>7554</v>
      </c>
      <c r="F193" s="1"/>
      <c r="G193" s="1"/>
      <c r="H193" s="1"/>
    </row>
    <row r="194" spans="1:8" x14ac:dyDescent="0.35">
      <c r="A194" s="1" t="s">
        <v>388</v>
      </c>
      <c r="B194" s="1">
        <v>300</v>
      </c>
      <c r="C194" s="1" t="s">
        <v>389</v>
      </c>
      <c r="D194" s="1" t="s">
        <v>112</v>
      </c>
      <c r="E194" s="1">
        <v>27173</v>
      </c>
      <c r="F194" s="1"/>
      <c r="G194" s="1"/>
      <c r="H194" s="1"/>
    </row>
    <row r="195" spans="1:8" x14ac:dyDescent="0.35">
      <c r="A195" s="1" t="s">
        <v>390</v>
      </c>
      <c r="B195" s="1">
        <v>341</v>
      </c>
      <c r="C195" s="1" t="s">
        <v>391</v>
      </c>
      <c r="D195" s="1" t="s">
        <v>112</v>
      </c>
      <c r="E195" s="1">
        <v>31183</v>
      </c>
      <c r="F195" s="1"/>
      <c r="G195" s="1"/>
      <c r="H195" s="1"/>
    </row>
    <row r="196" spans="1:8" x14ac:dyDescent="0.35">
      <c r="A196" s="1" t="s">
        <v>392</v>
      </c>
      <c r="B196" s="1">
        <v>171</v>
      </c>
      <c r="C196" s="1" t="s">
        <v>393</v>
      </c>
      <c r="D196" s="1" t="s">
        <v>112</v>
      </c>
      <c r="E196" s="1">
        <v>15452</v>
      </c>
      <c r="F196" s="1"/>
      <c r="G196" s="1"/>
      <c r="H196" s="1"/>
    </row>
    <row r="197" spans="1:8" x14ac:dyDescent="0.35">
      <c r="A197" s="1" t="s">
        <v>112</v>
      </c>
      <c r="B197" s="1"/>
      <c r="C197" s="1"/>
      <c r="D197" s="1"/>
      <c r="E197" s="1"/>
      <c r="F197" s="1"/>
      <c r="G197" s="1"/>
      <c r="H197" s="1"/>
    </row>
    <row r="198" spans="1:8" x14ac:dyDescent="0.35">
      <c r="A198" s="1" t="s">
        <v>176</v>
      </c>
      <c r="B198" s="1" t="s">
        <v>112</v>
      </c>
      <c r="C198" s="1" t="s">
        <v>177</v>
      </c>
      <c r="D198" s="1" t="s">
        <v>178</v>
      </c>
      <c r="E198" s="1" t="s">
        <v>179</v>
      </c>
      <c r="F198" s="1" t="s">
        <v>180</v>
      </c>
      <c r="G198" s="1" t="s">
        <v>181</v>
      </c>
      <c r="H198" s="1" t="s">
        <v>182</v>
      </c>
    </row>
    <row r="199" spans="1:8" x14ac:dyDescent="0.35">
      <c r="A199" s="1" t="s">
        <v>394</v>
      </c>
      <c r="B199" s="1" t="s">
        <v>112</v>
      </c>
      <c r="C199" s="1" t="s">
        <v>395</v>
      </c>
      <c r="D199" s="1" t="s">
        <v>396</v>
      </c>
      <c r="E199" s="1" t="s">
        <v>397</v>
      </c>
      <c r="F199" s="1" t="s">
        <v>398</v>
      </c>
      <c r="G199" s="1">
        <v>8</v>
      </c>
      <c r="H199" s="1">
        <v>8</v>
      </c>
    </row>
    <row r="200" spans="1:8" x14ac:dyDescent="0.35">
      <c r="A200" s="1" t="s">
        <v>112</v>
      </c>
      <c r="B200" s="1"/>
      <c r="C200" s="1"/>
      <c r="D200" s="1"/>
      <c r="E200" s="1"/>
      <c r="F200" s="1"/>
      <c r="G200" s="1"/>
      <c r="H200" s="1"/>
    </row>
    <row r="201" spans="1:8" x14ac:dyDescent="0.35">
      <c r="A201" s="1" t="s">
        <v>112</v>
      </c>
      <c r="B201" s="1"/>
      <c r="C201" s="1"/>
      <c r="D201" s="1"/>
      <c r="E201" s="1"/>
      <c r="F201" s="1"/>
      <c r="G201" s="1"/>
      <c r="H201" s="1"/>
    </row>
    <row r="202" spans="1:8" x14ac:dyDescent="0.35">
      <c r="A202" s="1" t="s">
        <v>112</v>
      </c>
      <c r="B202" s="1"/>
      <c r="C202" s="1"/>
      <c r="D202" s="1"/>
      <c r="E202" s="1"/>
      <c r="F202" s="1"/>
      <c r="G202" s="1"/>
      <c r="H202" s="1"/>
    </row>
    <row r="203" spans="1:8" x14ac:dyDescent="0.35">
      <c r="A203" s="1" t="s">
        <v>112</v>
      </c>
      <c r="B203" s="1"/>
      <c r="C203" s="1"/>
      <c r="D203" s="1"/>
      <c r="E203" s="1"/>
      <c r="F203" s="1"/>
      <c r="G203" s="1"/>
      <c r="H203" s="1"/>
    </row>
    <row r="204" spans="1:8" x14ac:dyDescent="0.35">
      <c r="A204" s="1" t="s">
        <v>112</v>
      </c>
      <c r="B204" s="1"/>
      <c r="C204" s="1"/>
      <c r="D204" s="1"/>
      <c r="E204" s="1"/>
      <c r="F204" s="1"/>
      <c r="G204" s="1"/>
      <c r="H204" s="1"/>
    </row>
    <row r="205" spans="1:8" x14ac:dyDescent="0.35">
      <c r="A205" s="1" t="s">
        <v>175</v>
      </c>
      <c r="B205" s="1" t="s">
        <v>110</v>
      </c>
      <c r="C205" s="1" t="s">
        <v>111</v>
      </c>
      <c r="D205" s="1" t="s">
        <v>112</v>
      </c>
      <c r="E205" s="1" t="s">
        <v>113</v>
      </c>
      <c r="F205" s="1"/>
      <c r="G205" s="1"/>
      <c r="H205" s="1"/>
    </row>
    <row r="206" spans="1:8" x14ac:dyDescent="0.35">
      <c r="A206" s="1" t="s">
        <v>399</v>
      </c>
      <c r="B206" s="1">
        <v>229</v>
      </c>
      <c r="C206" s="1" t="s">
        <v>400</v>
      </c>
      <c r="D206" s="1" t="s">
        <v>112</v>
      </c>
      <c r="E206" s="1">
        <v>21055</v>
      </c>
      <c r="F206" s="1"/>
      <c r="G206" s="1"/>
      <c r="H206" s="1"/>
    </row>
    <row r="207" spans="1:8" x14ac:dyDescent="0.35">
      <c r="A207" s="1" t="s">
        <v>401</v>
      </c>
      <c r="B207" s="1">
        <v>11</v>
      </c>
      <c r="C207" s="1" t="s">
        <v>402</v>
      </c>
      <c r="D207" s="1" t="s">
        <v>112</v>
      </c>
      <c r="E207" s="1">
        <v>945</v>
      </c>
      <c r="F207" s="1"/>
      <c r="G207" s="1"/>
      <c r="H207" s="1"/>
    </row>
    <row r="208" spans="1:8" x14ac:dyDescent="0.35">
      <c r="A208" s="1" t="s">
        <v>403</v>
      </c>
      <c r="B208" s="1">
        <v>5</v>
      </c>
      <c r="C208" s="1" t="s">
        <v>404</v>
      </c>
      <c r="D208" s="1" t="s">
        <v>112</v>
      </c>
      <c r="E208" s="1">
        <v>407</v>
      </c>
      <c r="F208" s="1"/>
      <c r="G208" s="1"/>
      <c r="H208" s="1"/>
    </row>
    <row r="209" spans="1:8" x14ac:dyDescent="0.35">
      <c r="A209" s="1" t="s">
        <v>405</v>
      </c>
      <c r="B209" s="1">
        <v>358</v>
      </c>
      <c r="C209" s="1" t="s">
        <v>406</v>
      </c>
      <c r="D209" s="1" t="s">
        <v>112</v>
      </c>
      <c r="E209" s="1">
        <v>35100</v>
      </c>
      <c r="F209" s="1"/>
      <c r="G209" s="1"/>
      <c r="H209" s="1"/>
    </row>
    <row r="210" spans="1:8" x14ac:dyDescent="0.35">
      <c r="A210" s="1" t="s">
        <v>407</v>
      </c>
      <c r="B210" s="1">
        <v>292</v>
      </c>
      <c r="C210" s="1" t="s">
        <v>408</v>
      </c>
      <c r="D210" s="1" t="s">
        <v>112</v>
      </c>
      <c r="E210" s="1">
        <v>27172</v>
      </c>
      <c r="F210" s="1"/>
      <c r="G210" s="1"/>
      <c r="H210" s="1"/>
    </row>
    <row r="211" spans="1:8" x14ac:dyDescent="0.35">
      <c r="A211" s="1" t="s">
        <v>409</v>
      </c>
      <c r="B211" s="1">
        <v>154</v>
      </c>
      <c r="C211" s="1" t="s">
        <v>410</v>
      </c>
      <c r="D211" s="1" t="s">
        <v>112</v>
      </c>
      <c r="E211" s="1">
        <v>15093</v>
      </c>
      <c r="F211" s="1"/>
      <c r="G211" s="1"/>
      <c r="H211" s="1"/>
    </row>
    <row r="212" spans="1:8" x14ac:dyDescent="0.35">
      <c r="A212" s="1" t="s">
        <v>411</v>
      </c>
      <c r="B212" s="1">
        <v>0</v>
      </c>
      <c r="C212" s="1">
        <v>0</v>
      </c>
      <c r="D212" s="1" t="s">
        <v>112</v>
      </c>
      <c r="E212" s="1">
        <v>0</v>
      </c>
      <c r="F212" s="1"/>
      <c r="G212" s="1"/>
      <c r="H212" s="1"/>
    </row>
    <row r="213" spans="1:8" x14ac:dyDescent="0.35">
      <c r="A213" s="1" t="s">
        <v>412</v>
      </c>
      <c r="B213" s="1">
        <v>93</v>
      </c>
      <c r="C213" s="1" t="s">
        <v>413</v>
      </c>
      <c r="D213" s="1" t="s">
        <v>112</v>
      </c>
      <c r="E213" s="1">
        <v>8043</v>
      </c>
      <c r="F213" s="1"/>
      <c r="G213" s="1"/>
      <c r="H213" s="1"/>
    </row>
    <row r="214" spans="1:8" x14ac:dyDescent="0.35">
      <c r="A214" s="1" t="s">
        <v>112</v>
      </c>
      <c r="B214" s="1"/>
      <c r="C214" s="1"/>
      <c r="D214" s="1"/>
      <c r="E214" s="1"/>
      <c r="F214" s="1"/>
      <c r="G214" s="1"/>
      <c r="H214" s="1"/>
    </row>
    <row r="215" spans="1:8" x14ac:dyDescent="0.35">
      <c r="A215" s="1" t="s">
        <v>176</v>
      </c>
      <c r="B215" s="1" t="s">
        <v>112</v>
      </c>
      <c r="C215" s="1" t="s">
        <v>177</v>
      </c>
      <c r="D215" s="1" t="s">
        <v>178</v>
      </c>
      <c r="E215" s="1" t="s">
        <v>179</v>
      </c>
      <c r="F215" s="1" t="s">
        <v>180</v>
      </c>
      <c r="G215" s="1" t="s">
        <v>181</v>
      </c>
      <c r="H215" s="1" t="s">
        <v>182</v>
      </c>
    </row>
    <row r="216" spans="1:8" x14ac:dyDescent="0.35">
      <c r="A216" s="1" t="s">
        <v>414</v>
      </c>
      <c r="B216" s="1" t="s">
        <v>112</v>
      </c>
      <c r="C216" s="1" t="s">
        <v>415</v>
      </c>
      <c r="D216" s="1" t="s">
        <v>416</v>
      </c>
      <c r="E216" s="1" t="s">
        <v>417</v>
      </c>
      <c r="F216" s="1" t="s">
        <v>418</v>
      </c>
      <c r="G216" s="1">
        <v>7</v>
      </c>
      <c r="H216" s="1">
        <v>8</v>
      </c>
    </row>
    <row r="217" spans="1:8" x14ac:dyDescent="0.35">
      <c r="A217" s="1" t="s">
        <v>112</v>
      </c>
      <c r="B217" s="1"/>
      <c r="C217" s="1"/>
      <c r="D217" s="1"/>
      <c r="E217" s="1"/>
      <c r="F217" s="1"/>
      <c r="G217" s="1"/>
      <c r="H217" s="1"/>
    </row>
    <row r="218" spans="1:8" x14ac:dyDescent="0.35">
      <c r="A218" s="1" t="s">
        <v>112</v>
      </c>
      <c r="B218" s="1"/>
      <c r="C218" s="1"/>
      <c r="D218" s="1"/>
      <c r="E218" s="1"/>
      <c r="F218" s="1"/>
      <c r="G218" s="1"/>
      <c r="H218" s="1"/>
    </row>
    <row r="219" spans="1:8" x14ac:dyDescent="0.35">
      <c r="A219" s="1" t="s">
        <v>112</v>
      </c>
      <c r="B219" s="1"/>
      <c r="C219" s="1"/>
      <c r="D219" s="1"/>
      <c r="E219" s="1"/>
      <c r="F219" s="1"/>
      <c r="G219" s="1"/>
      <c r="H219" s="1"/>
    </row>
    <row r="220" spans="1:8" x14ac:dyDescent="0.35">
      <c r="A220" s="1" t="s">
        <v>112</v>
      </c>
      <c r="B220" s="1"/>
      <c r="C220" s="1"/>
      <c r="D220" s="1"/>
      <c r="E220" s="1"/>
      <c r="F220" s="1"/>
      <c r="G220" s="1"/>
      <c r="H220" s="1"/>
    </row>
    <row r="221" spans="1:8" x14ac:dyDescent="0.35">
      <c r="A221" s="1" t="s">
        <v>112</v>
      </c>
      <c r="B221" s="1"/>
      <c r="C221" s="1"/>
      <c r="D221" s="1"/>
      <c r="E221" s="1"/>
      <c r="F221" s="1"/>
      <c r="G221" s="1"/>
      <c r="H221" s="1"/>
    </row>
    <row r="222" spans="1:8" x14ac:dyDescent="0.35">
      <c r="A222" s="1" t="s">
        <v>175</v>
      </c>
      <c r="B222" s="1" t="s">
        <v>110</v>
      </c>
      <c r="C222" s="1" t="s">
        <v>111</v>
      </c>
      <c r="D222" s="1" t="s">
        <v>112</v>
      </c>
      <c r="E222" s="1" t="s">
        <v>113</v>
      </c>
      <c r="F222" s="1"/>
      <c r="G222" s="1"/>
      <c r="H222" s="1"/>
    </row>
    <row r="223" spans="1:8" x14ac:dyDescent="0.35">
      <c r="A223" s="1" t="s">
        <v>419</v>
      </c>
      <c r="B223" s="1">
        <v>205</v>
      </c>
      <c r="C223" s="1" t="s">
        <v>420</v>
      </c>
      <c r="D223" s="1" t="s">
        <v>112</v>
      </c>
      <c r="E223" s="1">
        <v>20226</v>
      </c>
      <c r="F223" s="1"/>
      <c r="G223" s="1"/>
      <c r="H223" s="1"/>
    </row>
    <row r="224" spans="1:8" x14ac:dyDescent="0.35">
      <c r="A224" s="1" t="s">
        <v>421</v>
      </c>
      <c r="B224" s="1">
        <v>1398</v>
      </c>
      <c r="C224" s="1" t="s">
        <v>422</v>
      </c>
      <c r="D224" s="1" t="s">
        <v>112</v>
      </c>
      <c r="E224" s="1">
        <v>117649</v>
      </c>
      <c r="F224" s="1"/>
      <c r="G224" s="1"/>
      <c r="H224" s="1"/>
    </row>
    <row r="225" spans="1:8" x14ac:dyDescent="0.35">
      <c r="A225" s="1" t="s">
        <v>423</v>
      </c>
      <c r="B225" s="1">
        <v>187</v>
      </c>
      <c r="C225" s="1" t="s">
        <v>424</v>
      </c>
      <c r="D225" s="1" t="s">
        <v>112</v>
      </c>
      <c r="E225" s="1">
        <v>16076</v>
      </c>
      <c r="F225" s="1"/>
      <c r="G225" s="1"/>
      <c r="H225" s="1"/>
    </row>
    <row r="226" spans="1:8" x14ac:dyDescent="0.35">
      <c r="A226" s="1" t="s">
        <v>425</v>
      </c>
      <c r="B226" s="1">
        <v>1929</v>
      </c>
      <c r="C226" s="1" t="s">
        <v>426</v>
      </c>
      <c r="D226" s="1" t="s">
        <v>112</v>
      </c>
      <c r="E226" s="1">
        <v>181441</v>
      </c>
      <c r="F226" s="1"/>
      <c r="G226" s="1"/>
      <c r="H226" s="1"/>
    </row>
    <row r="227" spans="1:8" x14ac:dyDescent="0.35">
      <c r="A227" s="1" t="s">
        <v>427</v>
      </c>
      <c r="B227" s="1">
        <v>110</v>
      </c>
      <c r="C227" s="1" t="s">
        <v>428</v>
      </c>
      <c r="D227" s="1" t="s">
        <v>112</v>
      </c>
      <c r="E227" s="1">
        <v>9132</v>
      </c>
      <c r="F227" s="1"/>
      <c r="G227" s="1"/>
      <c r="H227" s="1"/>
    </row>
    <row r="228" spans="1:8" x14ac:dyDescent="0.35">
      <c r="A228" s="1" t="s">
        <v>429</v>
      </c>
      <c r="B228" s="1">
        <v>108</v>
      </c>
      <c r="C228" s="1" t="s">
        <v>430</v>
      </c>
      <c r="D228" s="1" t="s">
        <v>112</v>
      </c>
      <c r="E228" s="1">
        <v>9328</v>
      </c>
      <c r="F228" s="1"/>
      <c r="G228" s="1"/>
      <c r="H228" s="1"/>
    </row>
    <row r="229" spans="1:8" x14ac:dyDescent="0.35">
      <c r="A229" s="1" t="s">
        <v>431</v>
      </c>
      <c r="B229" s="1">
        <v>109</v>
      </c>
      <c r="C229" s="1" t="s">
        <v>432</v>
      </c>
      <c r="D229" s="1" t="s">
        <v>112</v>
      </c>
      <c r="E229" s="1">
        <v>9323</v>
      </c>
      <c r="F229" s="1"/>
      <c r="G229" s="1"/>
      <c r="H229" s="1"/>
    </row>
    <row r="230" spans="1:8" x14ac:dyDescent="0.35">
      <c r="A230" s="1" t="s">
        <v>433</v>
      </c>
      <c r="B230" s="1">
        <v>633</v>
      </c>
      <c r="C230" s="1" t="s">
        <v>434</v>
      </c>
      <c r="D230" s="1" t="s">
        <v>112</v>
      </c>
      <c r="E230" s="1">
        <v>60405</v>
      </c>
      <c r="F230" s="1"/>
      <c r="G230" s="1"/>
      <c r="H230" s="1"/>
    </row>
    <row r="231" spans="1:8" x14ac:dyDescent="0.35">
      <c r="A231" s="1" t="s">
        <v>112</v>
      </c>
      <c r="B231" s="1"/>
      <c r="C231" s="1"/>
      <c r="D231" s="1"/>
      <c r="E231" s="1"/>
      <c r="F231" s="1"/>
      <c r="G231" s="1"/>
      <c r="H231" s="1"/>
    </row>
    <row r="232" spans="1:8" x14ac:dyDescent="0.35">
      <c r="A232" s="1" t="s">
        <v>176</v>
      </c>
      <c r="B232" s="1" t="s">
        <v>112</v>
      </c>
      <c r="C232" s="1" t="s">
        <v>177</v>
      </c>
      <c r="D232" s="1" t="s">
        <v>178</v>
      </c>
      <c r="E232" s="1" t="s">
        <v>179</v>
      </c>
      <c r="F232" s="1" t="s">
        <v>180</v>
      </c>
      <c r="G232" s="1" t="s">
        <v>181</v>
      </c>
      <c r="H232" s="1" t="s">
        <v>182</v>
      </c>
    </row>
    <row r="233" spans="1:8" x14ac:dyDescent="0.35">
      <c r="A233" s="1" t="s">
        <v>435</v>
      </c>
      <c r="B233" s="1" t="s">
        <v>112</v>
      </c>
      <c r="C233" s="1" t="s">
        <v>436</v>
      </c>
      <c r="D233" s="1" t="s">
        <v>437</v>
      </c>
      <c r="E233" s="1" t="s">
        <v>438</v>
      </c>
      <c r="F233" s="1" t="s">
        <v>439</v>
      </c>
      <c r="G233" s="1">
        <v>8</v>
      </c>
      <c r="H233" s="1">
        <v>8</v>
      </c>
    </row>
    <row r="234" spans="1:8" x14ac:dyDescent="0.35">
      <c r="A234" s="1" t="s">
        <v>112</v>
      </c>
      <c r="B234" s="1"/>
      <c r="C234" s="1"/>
      <c r="D234" s="1"/>
      <c r="E234" s="1"/>
      <c r="F234" s="1"/>
      <c r="G234" s="1"/>
      <c r="H234" s="1"/>
    </row>
    <row r="235" spans="1:8" x14ac:dyDescent="0.35">
      <c r="A235" s="1" t="s">
        <v>112</v>
      </c>
      <c r="B235" s="1"/>
      <c r="C235" s="1"/>
      <c r="D235" s="1"/>
      <c r="E235" s="1"/>
      <c r="F235" s="1"/>
      <c r="G235" s="1"/>
      <c r="H235" s="1"/>
    </row>
    <row r="236" spans="1:8" x14ac:dyDescent="0.35">
      <c r="A236" s="1" t="s">
        <v>112</v>
      </c>
      <c r="B236" s="1"/>
      <c r="C236" s="1"/>
      <c r="D236" s="1"/>
      <c r="E236" s="1"/>
      <c r="F236" s="1"/>
      <c r="G236" s="1"/>
      <c r="H236" s="1"/>
    </row>
    <row r="237" spans="1:8" x14ac:dyDescent="0.35">
      <c r="A237" s="1" t="s">
        <v>112</v>
      </c>
      <c r="B237" s="1"/>
      <c r="C237" s="1"/>
      <c r="D237" s="1"/>
      <c r="E237" s="1"/>
      <c r="F237" s="1"/>
      <c r="G237" s="1"/>
      <c r="H237" s="1"/>
    </row>
    <row r="238" spans="1:8" x14ac:dyDescent="0.35">
      <c r="A238" s="1" t="s">
        <v>112</v>
      </c>
      <c r="B238" s="1"/>
      <c r="C238" s="1"/>
      <c r="D238" s="1"/>
      <c r="E238" s="1"/>
      <c r="F238" s="1"/>
      <c r="G238" s="1"/>
      <c r="H238" s="1"/>
    </row>
    <row r="239" spans="1:8" x14ac:dyDescent="0.35">
      <c r="A239" s="1" t="s">
        <v>175</v>
      </c>
      <c r="B239" s="1" t="s">
        <v>110</v>
      </c>
      <c r="C239" s="1" t="s">
        <v>111</v>
      </c>
      <c r="D239" s="1" t="s">
        <v>112</v>
      </c>
      <c r="E239" s="1" t="s">
        <v>113</v>
      </c>
      <c r="F239" s="1"/>
      <c r="G239" s="1"/>
      <c r="H239" s="1"/>
    </row>
    <row r="240" spans="1:8" x14ac:dyDescent="0.35">
      <c r="A240" s="1" t="s">
        <v>440</v>
      </c>
      <c r="B240" s="1">
        <v>438</v>
      </c>
      <c r="C240" s="1" t="s">
        <v>441</v>
      </c>
      <c r="D240" s="1" t="s">
        <v>112</v>
      </c>
      <c r="E240" s="1">
        <v>39644</v>
      </c>
      <c r="F240" s="1"/>
      <c r="G240" s="1"/>
      <c r="H240" s="1"/>
    </row>
    <row r="241" spans="1:8" x14ac:dyDescent="0.35">
      <c r="A241" s="1" t="s">
        <v>442</v>
      </c>
      <c r="B241" s="1">
        <v>356</v>
      </c>
      <c r="C241" s="1" t="s">
        <v>443</v>
      </c>
      <c r="D241" s="1" t="s">
        <v>112</v>
      </c>
      <c r="E241" s="1">
        <v>31315</v>
      </c>
      <c r="F241" s="1"/>
      <c r="G241" s="1"/>
      <c r="H241" s="1"/>
    </row>
    <row r="242" spans="1:8" x14ac:dyDescent="0.35">
      <c r="A242" s="1" t="s">
        <v>444</v>
      </c>
      <c r="B242" s="1">
        <v>402</v>
      </c>
      <c r="C242" s="1" t="s">
        <v>445</v>
      </c>
      <c r="D242" s="1" t="s">
        <v>112</v>
      </c>
      <c r="E242" s="1">
        <v>33897</v>
      </c>
      <c r="F242" s="1"/>
      <c r="G242" s="1"/>
      <c r="H242" s="1"/>
    </row>
    <row r="243" spans="1:8" x14ac:dyDescent="0.35">
      <c r="A243" s="1" t="s">
        <v>446</v>
      </c>
      <c r="B243" s="1">
        <v>12</v>
      </c>
      <c r="C243" s="1" t="s">
        <v>447</v>
      </c>
      <c r="D243" s="1" t="s">
        <v>112</v>
      </c>
      <c r="E243" s="1">
        <v>982</v>
      </c>
      <c r="F243" s="1"/>
      <c r="G243" s="1"/>
      <c r="H243" s="1"/>
    </row>
    <row r="244" spans="1:8" x14ac:dyDescent="0.35">
      <c r="A244" s="1" t="s">
        <v>448</v>
      </c>
      <c r="B244" s="1"/>
      <c r="C244" s="1"/>
      <c r="D244" s="1"/>
      <c r="E244" s="1"/>
      <c r="F244" s="1"/>
      <c r="G244" s="1"/>
      <c r="H244" s="1"/>
    </row>
    <row r="245" spans="1:8" x14ac:dyDescent="0.35">
      <c r="A245" s="1" t="s">
        <v>449</v>
      </c>
      <c r="B245" s="1">
        <v>163</v>
      </c>
      <c r="C245" s="1" t="s">
        <v>450</v>
      </c>
      <c r="D245" s="1" t="s">
        <v>112</v>
      </c>
      <c r="E245" s="1">
        <v>13909</v>
      </c>
      <c r="F245" s="1"/>
      <c r="G245" s="1"/>
      <c r="H245" s="1"/>
    </row>
    <row r="246" spans="1:8" x14ac:dyDescent="0.35">
      <c r="A246" s="1" t="s">
        <v>451</v>
      </c>
      <c r="B246" s="1">
        <v>229</v>
      </c>
      <c r="C246" s="1" t="s">
        <v>452</v>
      </c>
      <c r="D246" s="1" t="s">
        <v>112</v>
      </c>
      <c r="E246" s="1">
        <v>20026</v>
      </c>
      <c r="F246" s="1"/>
      <c r="G246" s="1"/>
      <c r="H246" s="1"/>
    </row>
    <row r="247" spans="1:8" x14ac:dyDescent="0.35">
      <c r="A247" s="1" t="s">
        <v>453</v>
      </c>
      <c r="B247" s="1">
        <v>0</v>
      </c>
      <c r="C247" s="1">
        <v>0</v>
      </c>
      <c r="D247" s="1" t="s">
        <v>112</v>
      </c>
      <c r="E247" s="1">
        <v>0</v>
      </c>
      <c r="F247" s="1"/>
      <c r="G247" s="1"/>
      <c r="H247" s="1"/>
    </row>
    <row r="248" spans="1:8" x14ac:dyDescent="0.35">
      <c r="A248" s="1" t="s">
        <v>112</v>
      </c>
      <c r="B248" s="1"/>
      <c r="C248" s="1"/>
      <c r="D248" s="1"/>
      <c r="E248" s="1"/>
      <c r="F248" s="1"/>
      <c r="G248" s="1"/>
      <c r="H248" s="1"/>
    </row>
    <row r="249" spans="1:8" x14ac:dyDescent="0.35">
      <c r="A249" s="1" t="s">
        <v>176</v>
      </c>
      <c r="B249" s="1" t="s">
        <v>112</v>
      </c>
      <c r="C249" s="1" t="s">
        <v>177</v>
      </c>
      <c r="D249" s="1" t="s">
        <v>178</v>
      </c>
      <c r="E249" s="1" t="s">
        <v>179</v>
      </c>
      <c r="F249" s="1" t="s">
        <v>180</v>
      </c>
      <c r="G249" s="1" t="s">
        <v>181</v>
      </c>
      <c r="H249" s="1" t="s">
        <v>182</v>
      </c>
    </row>
    <row r="250" spans="1:8" x14ac:dyDescent="0.35">
      <c r="A250" s="1" t="s">
        <v>454</v>
      </c>
      <c r="B250" s="1" t="s">
        <v>112</v>
      </c>
      <c r="C250" s="1" t="s">
        <v>455</v>
      </c>
      <c r="D250" s="1" t="s">
        <v>456</v>
      </c>
      <c r="E250" s="1" t="s">
        <v>457</v>
      </c>
      <c r="F250" s="1" t="s">
        <v>458</v>
      </c>
      <c r="G250" s="1">
        <v>7</v>
      </c>
      <c r="H250" s="1">
        <v>8</v>
      </c>
    </row>
    <row r="251" spans="1:8" x14ac:dyDescent="0.35">
      <c r="A251" s="1" t="s">
        <v>112</v>
      </c>
      <c r="B251" s="1"/>
      <c r="C251" s="1"/>
      <c r="D251" s="1"/>
      <c r="E251" s="1"/>
      <c r="F251" s="1"/>
      <c r="G251" s="1"/>
      <c r="H251" s="1"/>
    </row>
    <row r="252" spans="1:8" x14ac:dyDescent="0.35">
      <c r="A252" s="1" t="s">
        <v>112</v>
      </c>
      <c r="B252" s="1"/>
      <c r="C252" s="1"/>
      <c r="D252" s="1"/>
      <c r="E252" s="1"/>
      <c r="F252" s="1"/>
      <c r="G252" s="1"/>
      <c r="H252" s="1"/>
    </row>
    <row r="253" spans="1:8" x14ac:dyDescent="0.35">
      <c r="A253" s="1" t="s">
        <v>112</v>
      </c>
      <c r="B253" s="1"/>
      <c r="C253" s="1"/>
      <c r="D253" s="1"/>
      <c r="E253" s="1"/>
      <c r="F253" s="1"/>
      <c r="G253" s="1"/>
      <c r="H253" s="1"/>
    </row>
    <row r="254" spans="1:8" x14ac:dyDescent="0.35">
      <c r="A254" s="1" t="s">
        <v>112</v>
      </c>
      <c r="B254" s="1"/>
      <c r="C254" s="1"/>
      <c r="D254" s="1"/>
      <c r="E254" s="1"/>
      <c r="F254" s="1"/>
      <c r="G254" s="1"/>
      <c r="H254" s="1"/>
    </row>
    <row r="255" spans="1:8" x14ac:dyDescent="0.35">
      <c r="A255" s="1" t="s">
        <v>112</v>
      </c>
      <c r="B255" s="1"/>
      <c r="C255" s="1"/>
      <c r="D255" s="1"/>
      <c r="E255" s="1"/>
      <c r="F255" s="1"/>
      <c r="G255" s="1"/>
      <c r="H255" s="1"/>
    </row>
    <row r="256" spans="1:8" x14ac:dyDescent="0.35">
      <c r="A256" s="1" t="s">
        <v>175</v>
      </c>
      <c r="B256" s="1" t="s">
        <v>110</v>
      </c>
      <c r="C256" s="1" t="s">
        <v>111</v>
      </c>
      <c r="D256" s="1" t="s">
        <v>112</v>
      </c>
      <c r="E256" s="1" t="s">
        <v>113</v>
      </c>
      <c r="F256" s="1"/>
      <c r="G256" s="1"/>
      <c r="H256" s="1"/>
    </row>
    <row r="257" spans="1:8" x14ac:dyDescent="0.35">
      <c r="A257" s="1" t="s">
        <v>459</v>
      </c>
      <c r="B257" s="1">
        <v>3378</v>
      </c>
      <c r="C257" s="1" t="s">
        <v>460</v>
      </c>
      <c r="D257" s="1" t="s">
        <v>112</v>
      </c>
      <c r="E257" s="1">
        <v>390106</v>
      </c>
      <c r="F257" s="1"/>
      <c r="G257" s="1"/>
      <c r="H257" s="1"/>
    </row>
    <row r="258" spans="1:8" x14ac:dyDescent="0.35">
      <c r="A258" s="1" t="s">
        <v>461</v>
      </c>
      <c r="B258" s="1">
        <v>1776</v>
      </c>
      <c r="C258" s="1" t="s">
        <v>462</v>
      </c>
      <c r="D258" s="1" t="s">
        <v>112</v>
      </c>
      <c r="E258" s="1">
        <v>169612</v>
      </c>
      <c r="F258" s="1"/>
      <c r="G258" s="1"/>
      <c r="H258" s="1"/>
    </row>
    <row r="259" spans="1:8" x14ac:dyDescent="0.35">
      <c r="A259" s="1" t="s">
        <v>463</v>
      </c>
      <c r="B259" s="1">
        <v>2113</v>
      </c>
      <c r="C259" s="1" t="s">
        <v>464</v>
      </c>
      <c r="D259" s="1" t="s">
        <v>112</v>
      </c>
      <c r="E259" s="1">
        <v>241561</v>
      </c>
      <c r="F259" s="1"/>
      <c r="G259" s="1"/>
      <c r="H259" s="1"/>
    </row>
    <row r="260" spans="1:8" x14ac:dyDescent="0.35">
      <c r="A260" s="1" t="s">
        <v>465</v>
      </c>
      <c r="B260" s="1">
        <v>2601</v>
      </c>
      <c r="C260" s="1" t="s">
        <v>466</v>
      </c>
      <c r="D260" s="1" t="s">
        <v>112</v>
      </c>
      <c r="E260" s="1">
        <v>331859</v>
      </c>
      <c r="F260" s="1"/>
      <c r="G260" s="1"/>
      <c r="H260" s="1"/>
    </row>
    <row r="261" spans="1:8" x14ac:dyDescent="0.35">
      <c r="A261" s="1" t="s">
        <v>467</v>
      </c>
      <c r="B261" s="1">
        <v>2389</v>
      </c>
      <c r="C261" s="1" t="s">
        <v>468</v>
      </c>
      <c r="D261" s="1" t="s">
        <v>112</v>
      </c>
      <c r="E261" s="1">
        <v>259330</v>
      </c>
      <c r="F261" s="1"/>
      <c r="G261" s="1"/>
      <c r="H261" s="1"/>
    </row>
    <row r="262" spans="1:8" x14ac:dyDescent="0.35">
      <c r="A262" s="1" t="s">
        <v>469</v>
      </c>
      <c r="B262" s="1">
        <v>2805</v>
      </c>
      <c r="C262" s="1" t="s">
        <v>470</v>
      </c>
      <c r="D262" s="1" t="s">
        <v>112</v>
      </c>
      <c r="E262" s="1">
        <v>306542</v>
      </c>
      <c r="F262" s="1"/>
      <c r="G262" s="1"/>
      <c r="H262" s="1"/>
    </row>
    <row r="263" spans="1:8" x14ac:dyDescent="0.35">
      <c r="A263" s="1" t="s">
        <v>471</v>
      </c>
      <c r="B263" s="1">
        <v>2408</v>
      </c>
      <c r="C263" s="1" t="s">
        <v>472</v>
      </c>
      <c r="D263" s="1" t="s">
        <v>112</v>
      </c>
      <c r="E263" s="1">
        <v>270435</v>
      </c>
      <c r="F263" s="1"/>
      <c r="G263" s="1"/>
      <c r="H263" s="1"/>
    </row>
    <row r="264" spans="1:8" x14ac:dyDescent="0.35">
      <c r="A264" s="1" t="s">
        <v>473</v>
      </c>
      <c r="B264" s="1">
        <v>1527</v>
      </c>
      <c r="C264" s="1" t="s">
        <v>474</v>
      </c>
      <c r="D264" s="1" t="s">
        <v>112</v>
      </c>
      <c r="E264" s="1">
        <v>175240</v>
      </c>
      <c r="F264" s="1"/>
      <c r="G264" s="1"/>
      <c r="H264" s="1"/>
    </row>
    <row r="265" spans="1:8" x14ac:dyDescent="0.35">
      <c r="A265" s="1" t="s">
        <v>112</v>
      </c>
      <c r="B265" s="1"/>
      <c r="C265" s="1"/>
      <c r="D265" s="1"/>
      <c r="E265" s="1"/>
      <c r="F265" s="1"/>
      <c r="G265" s="1"/>
      <c r="H265" s="1"/>
    </row>
    <row r="266" spans="1:8" x14ac:dyDescent="0.35">
      <c r="A266" s="1" t="s">
        <v>176</v>
      </c>
      <c r="B266" s="1" t="s">
        <v>112</v>
      </c>
      <c r="C266" s="1" t="s">
        <v>177</v>
      </c>
      <c r="D266" s="1" t="s">
        <v>178</v>
      </c>
      <c r="E266" s="1" t="s">
        <v>179</v>
      </c>
      <c r="F266" s="1" t="s">
        <v>180</v>
      </c>
      <c r="G266" s="1" t="s">
        <v>181</v>
      </c>
      <c r="H266" s="1" t="s">
        <v>182</v>
      </c>
    </row>
    <row r="267" spans="1:8" x14ac:dyDescent="0.35">
      <c r="A267" s="1" t="s">
        <v>475</v>
      </c>
      <c r="B267" s="1" t="s">
        <v>112</v>
      </c>
      <c r="C267" s="1" t="s">
        <v>476</v>
      </c>
      <c r="D267" s="1" t="s">
        <v>477</v>
      </c>
      <c r="E267" s="1" t="s">
        <v>478</v>
      </c>
      <c r="F267" s="1" t="s">
        <v>479</v>
      </c>
      <c r="G267" s="1">
        <v>8</v>
      </c>
      <c r="H267" s="1">
        <v>8</v>
      </c>
    </row>
    <row r="268" spans="1:8" x14ac:dyDescent="0.35">
      <c r="A268" s="1" t="s">
        <v>112</v>
      </c>
      <c r="B268" s="1"/>
      <c r="C268" s="1"/>
      <c r="D268" s="1"/>
      <c r="E268" s="1"/>
      <c r="F268" s="1"/>
      <c r="G268" s="1"/>
      <c r="H268" s="1"/>
    </row>
    <row r="269" spans="1:8" x14ac:dyDescent="0.35">
      <c r="A269" s="1" t="s">
        <v>112</v>
      </c>
      <c r="B269" s="1"/>
      <c r="C269" s="1"/>
      <c r="D269" s="1"/>
      <c r="E269" s="1"/>
      <c r="F269" s="1"/>
      <c r="G269" s="1"/>
      <c r="H269" s="1"/>
    </row>
    <row r="270" spans="1:8" x14ac:dyDescent="0.35">
      <c r="A270" s="1" t="s">
        <v>112</v>
      </c>
      <c r="B270" s="1"/>
      <c r="C270" s="1"/>
      <c r="D270" s="1"/>
      <c r="E270" s="1"/>
      <c r="F270" s="1"/>
      <c r="G270" s="1"/>
      <c r="H270" s="1"/>
    </row>
    <row r="271" spans="1:8" x14ac:dyDescent="0.35">
      <c r="A271" s="1" t="s">
        <v>112</v>
      </c>
      <c r="B271" s="1"/>
      <c r="C271" s="1"/>
      <c r="D271" s="1"/>
      <c r="E271" s="1"/>
      <c r="F271" s="1"/>
      <c r="G271" s="1"/>
      <c r="H271" s="1"/>
    </row>
    <row r="272" spans="1:8" x14ac:dyDescent="0.35">
      <c r="A272" s="1" t="s">
        <v>112</v>
      </c>
      <c r="B272" s="1"/>
      <c r="C272" s="1"/>
      <c r="D272" s="1"/>
      <c r="E272" s="1"/>
      <c r="F272" s="1"/>
      <c r="G272" s="1"/>
      <c r="H272" s="1"/>
    </row>
    <row r="273" spans="1:8" x14ac:dyDescent="0.35">
      <c r="A273" s="1" t="s">
        <v>175</v>
      </c>
      <c r="B273" s="1" t="s">
        <v>110</v>
      </c>
      <c r="C273" s="1" t="s">
        <v>111</v>
      </c>
      <c r="D273" s="1" t="s">
        <v>112</v>
      </c>
      <c r="E273" s="1" t="s">
        <v>113</v>
      </c>
      <c r="F273" s="1"/>
      <c r="G273" s="1"/>
      <c r="H273" s="1"/>
    </row>
    <row r="274" spans="1:8" x14ac:dyDescent="0.35">
      <c r="A274" s="1" t="s">
        <v>480</v>
      </c>
      <c r="B274" s="1">
        <v>2863</v>
      </c>
      <c r="C274" s="1" t="s">
        <v>481</v>
      </c>
      <c r="D274" s="1" t="s">
        <v>112</v>
      </c>
      <c r="E274" s="1">
        <v>379509</v>
      </c>
      <c r="F274" s="1"/>
      <c r="G274" s="1"/>
      <c r="H274" s="1"/>
    </row>
    <row r="275" spans="1:8" x14ac:dyDescent="0.35">
      <c r="A275" s="1" t="s">
        <v>482</v>
      </c>
      <c r="B275" s="1">
        <v>249</v>
      </c>
      <c r="C275" s="1" t="s">
        <v>483</v>
      </c>
      <c r="D275" s="1" t="s">
        <v>112</v>
      </c>
      <c r="E275" s="1">
        <v>23854</v>
      </c>
      <c r="F275" s="1"/>
      <c r="G275" s="1"/>
      <c r="H275" s="1"/>
    </row>
    <row r="276" spans="1:8" x14ac:dyDescent="0.35">
      <c r="A276" s="1" t="s">
        <v>484</v>
      </c>
      <c r="B276" s="1">
        <v>2708</v>
      </c>
      <c r="C276" s="1" t="s">
        <v>485</v>
      </c>
      <c r="D276" s="1" t="s">
        <v>112</v>
      </c>
      <c r="E276" s="1">
        <v>360485</v>
      </c>
      <c r="F276" s="1"/>
      <c r="G276" s="1"/>
      <c r="H276" s="1"/>
    </row>
    <row r="277" spans="1:8" x14ac:dyDescent="0.35">
      <c r="A277" s="1" t="s">
        <v>486</v>
      </c>
      <c r="B277" s="1">
        <v>3789</v>
      </c>
      <c r="C277" s="1" t="s">
        <v>487</v>
      </c>
      <c r="D277" s="1" t="s">
        <v>112</v>
      </c>
      <c r="E277" s="1">
        <v>499210</v>
      </c>
      <c r="F277" s="1"/>
      <c r="G277" s="1"/>
      <c r="H277" s="1"/>
    </row>
    <row r="278" spans="1:8" x14ac:dyDescent="0.35">
      <c r="A278" s="1" t="s">
        <v>488</v>
      </c>
      <c r="B278" s="1">
        <v>3241</v>
      </c>
      <c r="C278" s="1" t="s">
        <v>489</v>
      </c>
      <c r="D278" s="1" t="s">
        <v>112</v>
      </c>
      <c r="E278" s="1">
        <v>422387</v>
      </c>
      <c r="F278" s="1"/>
      <c r="G278" s="1"/>
      <c r="H278" s="1"/>
    </row>
    <row r="279" spans="1:8" x14ac:dyDescent="0.35">
      <c r="A279" s="1" t="s">
        <v>490</v>
      </c>
      <c r="B279" s="1">
        <v>2898</v>
      </c>
      <c r="C279" s="1" t="s">
        <v>491</v>
      </c>
      <c r="D279" s="1" t="s">
        <v>112</v>
      </c>
      <c r="E279" s="1">
        <v>373117</v>
      </c>
      <c r="F279" s="1"/>
      <c r="G279" s="1"/>
      <c r="H279" s="1"/>
    </row>
    <row r="280" spans="1:8" x14ac:dyDescent="0.35">
      <c r="A280" s="1" t="s">
        <v>492</v>
      </c>
      <c r="B280" s="1">
        <v>2480</v>
      </c>
      <c r="C280" s="1" t="s">
        <v>493</v>
      </c>
      <c r="D280" s="1" t="s">
        <v>112</v>
      </c>
      <c r="E280" s="1">
        <v>275670</v>
      </c>
      <c r="F280" s="1"/>
      <c r="G280" s="1"/>
      <c r="H280" s="1"/>
    </row>
    <row r="281" spans="1:8" x14ac:dyDescent="0.35">
      <c r="A281" s="1" t="s">
        <v>494</v>
      </c>
      <c r="B281" s="1">
        <v>3273</v>
      </c>
      <c r="C281" s="1" t="s">
        <v>495</v>
      </c>
      <c r="D281" s="1" t="s">
        <v>112</v>
      </c>
      <c r="E281" s="1">
        <v>440977</v>
      </c>
      <c r="F281" s="1"/>
      <c r="G281" s="1"/>
      <c r="H281" s="1"/>
    </row>
    <row r="282" spans="1:8" x14ac:dyDescent="0.35">
      <c r="A282" s="1" t="s">
        <v>112</v>
      </c>
      <c r="B282" s="1"/>
      <c r="C282" s="1"/>
      <c r="D282" s="1"/>
      <c r="E282" s="1"/>
      <c r="F282" s="1"/>
      <c r="G282" s="1"/>
      <c r="H282" s="1"/>
    </row>
    <row r="283" spans="1:8" x14ac:dyDescent="0.35">
      <c r="A283" s="1" t="s">
        <v>176</v>
      </c>
      <c r="B283" s="1" t="s">
        <v>112</v>
      </c>
      <c r="C283" s="1" t="s">
        <v>177</v>
      </c>
      <c r="D283" s="1" t="s">
        <v>178</v>
      </c>
      <c r="E283" s="1" t="s">
        <v>179</v>
      </c>
      <c r="F283" s="1" t="s">
        <v>180</v>
      </c>
      <c r="G283" s="1" t="s">
        <v>181</v>
      </c>
      <c r="H283" s="1" t="s">
        <v>182</v>
      </c>
    </row>
    <row r="284" spans="1:8" x14ac:dyDescent="0.35">
      <c r="A284" s="1" t="s">
        <v>496</v>
      </c>
      <c r="B284" s="1" t="s">
        <v>112</v>
      </c>
      <c r="C284" s="1" t="s">
        <v>497</v>
      </c>
      <c r="D284" s="1" t="s">
        <v>498</v>
      </c>
      <c r="E284" s="1" t="s">
        <v>499</v>
      </c>
      <c r="F284" s="1" t="s">
        <v>500</v>
      </c>
      <c r="G284" s="1">
        <v>8</v>
      </c>
      <c r="H284" s="1">
        <v>8</v>
      </c>
    </row>
    <row r="285" spans="1:8" x14ac:dyDescent="0.35">
      <c r="A285" s="1" t="s">
        <v>112</v>
      </c>
      <c r="B285" s="1"/>
      <c r="C285" s="1"/>
      <c r="D285" s="1"/>
      <c r="E285" s="1"/>
      <c r="F285" s="1"/>
      <c r="G285" s="1"/>
      <c r="H285" s="1"/>
    </row>
    <row r="286" spans="1:8" x14ac:dyDescent="0.35">
      <c r="A286" s="1" t="s">
        <v>112</v>
      </c>
      <c r="B286" s="1"/>
      <c r="C286" s="1"/>
      <c r="D286" s="1"/>
      <c r="E286" s="1"/>
      <c r="F286" s="1"/>
      <c r="G286" s="1"/>
      <c r="H286" s="1"/>
    </row>
    <row r="287" spans="1:8" x14ac:dyDescent="0.35">
      <c r="A287" s="1" t="s">
        <v>112</v>
      </c>
      <c r="B287" s="1"/>
      <c r="C287" s="1"/>
      <c r="D287" s="1"/>
      <c r="E287" s="1"/>
      <c r="F287" s="1"/>
      <c r="G287" s="1"/>
      <c r="H287" s="1"/>
    </row>
    <row r="288" spans="1:8" x14ac:dyDescent="0.35">
      <c r="A288" s="1" t="s">
        <v>112</v>
      </c>
      <c r="B288" s="1"/>
      <c r="C288" s="1"/>
      <c r="D288" s="1"/>
      <c r="E288" s="1"/>
      <c r="F288" s="1"/>
      <c r="G288" s="1"/>
      <c r="H288" s="1"/>
    </row>
    <row r="289" spans="1:8" x14ac:dyDescent="0.35">
      <c r="A289" s="1" t="s">
        <v>112</v>
      </c>
      <c r="B289" s="1"/>
      <c r="C289" s="1"/>
      <c r="D289" s="1"/>
      <c r="E289" s="1"/>
      <c r="F289" s="1"/>
      <c r="G289" s="1"/>
      <c r="H289" s="1"/>
    </row>
    <row r="290" spans="1:8" x14ac:dyDescent="0.35">
      <c r="A290" s="1" t="s">
        <v>175</v>
      </c>
      <c r="B290" s="1" t="s">
        <v>110</v>
      </c>
      <c r="C290" s="1" t="s">
        <v>111</v>
      </c>
      <c r="D290" s="1" t="s">
        <v>112</v>
      </c>
      <c r="E290" s="1" t="s">
        <v>113</v>
      </c>
      <c r="F290" s="1"/>
      <c r="G290" s="1"/>
      <c r="H290" s="1"/>
    </row>
    <row r="291" spans="1:8" x14ac:dyDescent="0.35">
      <c r="A291" s="1" t="s">
        <v>501</v>
      </c>
      <c r="B291" s="1">
        <v>2346</v>
      </c>
      <c r="C291" s="1" t="s">
        <v>502</v>
      </c>
      <c r="D291" s="1" t="s">
        <v>112</v>
      </c>
      <c r="E291" s="1">
        <v>245685</v>
      </c>
      <c r="F291" s="1"/>
      <c r="G291" s="1"/>
      <c r="H291" s="1"/>
    </row>
    <row r="292" spans="1:8" x14ac:dyDescent="0.35">
      <c r="A292" s="1" t="s">
        <v>503</v>
      </c>
      <c r="B292" s="1">
        <v>2856</v>
      </c>
      <c r="C292" s="1" t="s">
        <v>504</v>
      </c>
      <c r="D292" s="1" t="s">
        <v>112</v>
      </c>
      <c r="E292" s="1">
        <v>343473</v>
      </c>
      <c r="F292" s="1"/>
      <c r="G292" s="1"/>
      <c r="H292" s="1"/>
    </row>
    <row r="293" spans="1:8" x14ac:dyDescent="0.35">
      <c r="A293" s="1" t="s">
        <v>505</v>
      </c>
      <c r="B293" s="1">
        <v>2781</v>
      </c>
      <c r="C293" s="1" t="s">
        <v>506</v>
      </c>
      <c r="D293" s="1" t="s">
        <v>112</v>
      </c>
      <c r="E293" s="1">
        <v>339347</v>
      </c>
      <c r="F293" s="1"/>
      <c r="G293" s="1"/>
      <c r="H293" s="1"/>
    </row>
    <row r="294" spans="1:8" x14ac:dyDescent="0.35">
      <c r="A294" s="1" t="s">
        <v>507</v>
      </c>
      <c r="B294" s="1">
        <v>1738</v>
      </c>
      <c r="C294" s="1" t="s">
        <v>508</v>
      </c>
      <c r="D294" s="1" t="s">
        <v>112</v>
      </c>
      <c r="E294" s="1">
        <v>190876</v>
      </c>
      <c r="F294" s="1"/>
      <c r="G294" s="1"/>
      <c r="H294" s="1"/>
    </row>
    <row r="295" spans="1:8" x14ac:dyDescent="0.35">
      <c r="A295" s="1" t="s">
        <v>509</v>
      </c>
      <c r="B295" s="1">
        <v>1003</v>
      </c>
      <c r="C295" s="1" t="s">
        <v>510</v>
      </c>
      <c r="D295" s="1" t="s">
        <v>112</v>
      </c>
      <c r="E295" s="1">
        <v>106258</v>
      </c>
      <c r="F295" s="1"/>
      <c r="G295" s="1"/>
      <c r="H295" s="1"/>
    </row>
    <row r="296" spans="1:8" x14ac:dyDescent="0.35">
      <c r="A296" s="1" t="s">
        <v>511</v>
      </c>
      <c r="B296" s="1">
        <v>2892</v>
      </c>
      <c r="C296" s="1" t="s">
        <v>512</v>
      </c>
      <c r="D296" s="1" t="s">
        <v>112</v>
      </c>
      <c r="E296" s="1">
        <v>341669</v>
      </c>
      <c r="F296" s="1"/>
      <c r="G296" s="1"/>
      <c r="H296" s="1"/>
    </row>
    <row r="297" spans="1:8" x14ac:dyDescent="0.35">
      <c r="A297" s="1" t="s">
        <v>513</v>
      </c>
      <c r="B297" s="1">
        <v>2556</v>
      </c>
      <c r="C297" s="1" t="s">
        <v>514</v>
      </c>
      <c r="D297" s="1" t="s">
        <v>112</v>
      </c>
      <c r="E297" s="1">
        <v>285593</v>
      </c>
      <c r="F297" s="1"/>
      <c r="G297" s="1"/>
      <c r="H297" s="1"/>
    </row>
    <row r="298" spans="1:8" x14ac:dyDescent="0.35">
      <c r="A298" s="1" t="s">
        <v>515</v>
      </c>
      <c r="B298" s="1">
        <v>2286</v>
      </c>
      <c r="C298" s="1" t="s">
        <v>516</v>
      </c>
      <c r="D298" s="1" t="s">
        <v>112</v>
      </c>
      <c r="E298" s="1">
        <v>239371</v>
      </c>
      <c r="F298" s="1"/>
      <c r="G298" s="1"/>
      <c r="H298" s="1"/>
    </row>
    <row r="299" spans="1:8" x14ac:dyDescent="0.35">
      <c r="A299" s="1" t="s">
        <v>112</v>
      </c>
      <c r="B299" s="1"/>
      <c r="C299" s="1"/>
      <c r="D299" s="1"/>
      <c r="E299" s="1"/>
      <c r="F299" s="1"/>
      <c r="G299" s="1"/>
      <c r="H299" s="1"/>
    </row>
    <row r="300" spans="1:8" x14ac:dyDescent="0.35">
      <c r="A300" s="1" t="s">
        <v>176</v>
      </c>
      <c r="B300" s="1" t="s">
        <v>112</v>
      </c>
      <c r="C300" s="1" t="s">
        <v>177</v>
      </c>
      <c r="D300" s="1" t="s">
        <v>178</v>
      </c>
      <c r="E300" s="1" t="s">
        <v>179</v>
      </c>
      <c r="F300" s="1" t="s">
        <v>180</v>
      </c>
      <c r="G300" s="1" t="s">
        <v>181</v>
      </c>
      <c r="H300" s="1" t="s">
        <v>182</v>
      </c>
    </row>
    <row r="301" spans="1:8" x14ac:dyDescent="0.35">
      <c r="A301" s="1" t="s">
        <v>517</v>
      </c>
      <c r="B301" s="1" t="s">
        <v>112</v>
      </c>
      <c r="C301" s="1" t="s">
        <v>518</v>
      </c>
      <c r="D301" s="1" t="s">
        <v>519</v>
      </c>
      <c r="E301" s="1">
        <v>261534</v>
      </c>
      <c r="F301" s="1" t="s">
        <v>520</v>
      </c>
      <c r="G301" s="1">
        <v>8</v>
      </c>
      <c r="H301" s="1">
        <v>8</v>
      </c>
    </row>
    <row r="302" spans="1:8" x14ac:dyDescent="0.35">
      <c r="A302" s="1" t="s">
        <v>112</v>
      </c>
      <c r="B302" s="1"/>
      <c r="C302" s="1"/>
      <c r="D302" s="1"/>
      <c r="E302" s="1"/>
      <c r="F302" s="1"/>
      <c r="G302" s="1"/>
      <c r="H302" s="1"/>
    </row>
    <row r="303" spans="1:8" x14ac:dyDescent="0.35">
      <c r="A303" s="1" t="s">
        <v>112</v>
      </c>
      <c r="B303" s="1"/>
      <c r="C303" s="1"/>
      <c r="D303" s="1"/>
      <c r="E303" s="1"/>
      <c r="F303" s="1"/>
      <c r="G303" s="1"/>
      <c r="H303" s="1"/>
    </row>
    <row r="304" spans="1:8" x14ac:dyDescent="0.35">
      <c r="A304" s="1" t="s">
        <v>112</v>
      </c>
      <c r="B304" s="1"/>
      <c r="C304" s="1"/>
      <c r="D304" s="1"/>
      <c r="E304" s="1"/>
      <c r="F304" s="1"/>
      <c r="G304" s="1"/>
      <c r="H304" s="1"/>
    </row>
    <row r="305" spans="1:8" x14ac:dyDescent="0.35">
      <c r="A305" s="1" t="s">
        <v>112</v>
      </c>
      <c r="B305" s="1"/>
      <c r="C305" s="1"/>
      <c r="D305" s="1"/>
      <c r="E305" s="1"/>
      <c r="F305" s="1"/>
      <c r="G305" s="1"/>
      <c r="H305" s="1"/>
    </row>
    <row r="306" spans="1:8" x14ac:dyDescent="0.35">
      <c r="A306" s="1" t="s">
        <v>112</v>
      </c>
      <c r="B306" s="1"/>
      <c r="C306" s="1"/>
      <c r="D306" s="1"/>
      <c r="E306" s="1"/>
      <c r="F306" s="1"/>
      <c r="G306" s="1"/>
      <c r="H306" s="1"/>
    </row>
    <row r="307" spans="1:8" x14ac:dyDescent="0.35">
      <c r="A307" s="1" t="s">
        <v>175</v>
      </c>
      <c r="B307" s="1" t="s">
        <v>110</v>
      </c>
      <c r="C307" s="1" t="s">
        <v>111</v>
      </c>
      <c r="D307" s="1" t="s">
        <v>112</v>
      </c>
      <c r="E307" s="1" t="s">
        <v>113</v>
      </c>
      <c r="F307" s="1"/>
      <c r="G307" s="1"/>
      <c r="H307" s="1"/>
    </row>
    <row r="308" spans="1:8" x14ac:dyDescent="0.35">
      <c r="A308" s="1" t="s">
        <v>521</v>
      </c>
      <c r="B308" s="1">
        <v>2439</v>
      </c>
      <c r="C308" s="1" t="s">
        <v>522</v>
      </c>
      <c r="D308" s="1" t="s">
        <v>112</v>
      </c>
      <c r="E308" s="1">
        <v>257383</v>
      </c>
      <c r="F308" s="1"/>
      <c r="G308" s="1"/>
      <c r="H308" s="1"/>
    </row>
    <row r="309" spans="1:8" x14ac:dyDescent="0.35">
      <c r="A309" s="1" t="s">
        <v>523</v>
      </c>
      <c r="B309" s="1">
        <v>2759</v>
      </c>
      <c r="C309" s="1" t="s">
        <v>524</v>
      </c>
      <c r="D309" s="1" t="s">
        <v>112</v>
      </c>
      <c r="E309" s="1">
        <v>336785</v>
      </c>
      <c r="F309" s="1"/>
      <c r="G309" s="1"/>
      <c r="H309" s="1"/>
    </row>
    <row r="310" spans="1:8" x14ac:dyDescent="0.35">
      <c r="A310" s="1" t="s">
        <v>525</v>
      </c>
      <c r="B310" s="1">
        <v>2646</v>
      </c>
      <c r="C310" s="1" t="s">
        <v>526</v>
      </c>
      <c r="D310" s="1" t="s">
        <v>112</v>
      </c>
      <c r="E310" s="1">
        <v>316392</v>
      </c>
      <c r="F310" s="1"/>
      <c r="G310" s="1"/>
      <c r="H310" s="1"/>
    </row>
    <row r="311" spans="1:8" x14ac:dyDescent="0.35">
      <c r="A311" s="1" t="s">
        <v>527</v>
      </c>
      <c r="B311" s="1">
        <v>2351</v>
      </c>
      <c r="C311" s="1" t="s">
        <v>528</v>
      </c>
      <c r="D311" s="1" t="s">
        <v>112</v>
      </c>
      <c r="E311" s="1">
        <v>273694</v>
      </c>
      <c r="F311" s="1"/>
      <c r="G311" s="1"/>
      <c r="H311" s="1"/>
    </row>
    <row r="312" spans="1:8" x14ac:dyDescent="0.35">
      <c r="A312" s="1" t="s">
        <v>529</v>
      </c>
      <c r="B312" s="1">
        <v>1802</v>
      </c>
      <c r="C312" s="1" t="s">
        <v>530</v>
      </c>
      <c r="D312" s="1" t="s">
        <v>112</v>
      </c>
      <c r="E312" s="1">
        <v>187466</v>
      </c>
      <c r="F312" s="1"/>
      <c r="G312" s="1"/>
      <c r="H312" s="1"/>
    </row>
    <row r="313" spans="1:8" x14ac:dyDescent="0.35">
      <c r="A313" s="1" t="s">
        <v>531</v>
      </c>
      <c r="B313" s="1">
        <v>1820</v>
      </c>
      <c r="C313" s="1" t="s">
        <v>532</v>
      </c>
      <c r="D313" s="1" t="s">
        <v>112</v>
      </c>
      <c r="E313" s="1">
        <v>182551</v>
      </c>
      <c r="F313" s="1"/>
      <c r="G313" s="1"/>
      <c r="H313" s="1"/>
    </row>
    <row r="314" spans="1:8" x14ac:dyDescent="0.35">
      <c r="A314" s="1" t="s">
        <v>533</v>
      </c>
      <c r="B314" s="1">
        <v>2610</v>
      </c>
      <c r="C314" s="1" t="s">
        <v>534</v>
      </c>
      <c r="D314" s="1" t="s">
        <v>112</v>
      </c>
      <c r="E314" s="1">
        <v>325646</v>
      </c>
      <c r="F314" s="1"/>
      <c r="G314" s="1"/>
      <c r="H314" s="1"/>
    </row>
    <row r="315" spans="1:8" x14ac:dyDescent="0.35">
      <c r="A315" s="1" t="s">
        <v>535</v>
      </c>
      <c r="B315" s="1">
        <v>2729</v>
      </c>
      <c r="C315" s="1" t="s">
        <v>536</v>
      </c>
      <c r="D315" s="1" t="s">
        <v>112</v>
      </c>
      <c r="E315" s="1">
        <v>326877</v>
      </c>
      <c r="F315" s="1"/>
      <c r="G315" s="1"/>
      <c r="H315" s="1"/>
    </row>
    <row r="316" spans="1:8" x14ac:dyDescent="0.35">
      <c r="A316" s="1" t="s">
        <v>112</v>
      </c>
      <c r="B316" s="1"/>
      <c r="C316" s="1"/>
      <c r="D316" s="1"/>
      <c r="E316" s="1"/>
      <c r="F316" s="1"/>
      <c r="G316" s="1"/>
      <c r="H316" s="1"/>
    </row>
    <row r="317" spans="1:8" x14ac:dyDescent="0.35">
      <c r="A317" s="1" t="s">
        <v>176</v>
      </c>
      <c r="B317" s="1" t="s">
        <v>112</v>
      </c>
      <c r="C317" s="1" t="s">
        <v>177</v>
      </c>
      <c r="D317" s="1" t="s">
        <v>178</v>
      </c>
      <c r="E317" s="1" t="s">
        <v>179</v>
      </c>
      <c r="F317" s="1" t="s">
        <v>180</v>
      </c>
      <c r="G317" s="1" t="s">
        <v>181</v>
      </c>
      <c r="H317" s="1" t="s">
        <v>182</v>
      </c>
    </row>
    <row r="318" spans="1:8" x14ac:dyDescent="0.35">
      <c r="A318" s="1" t="s">
        <v>537</v>
      </c>
      <c r="B318" s="1" t="s">
        <v>112</v>
      </c>
      <c r="C318" s="1" t="s">
        <v>538</v>
      </c>
      <c r="D318" s="1" t="s">
        <v>539</v>
      </c>
      <c r="E318" s="1" t="s">
        <v>540</v>
      </c>
      <c r="F318" s="1" t="s">
        <v>541</v>
      </c>
      <c r="G318" s="1">
        <v>8</v>
      </c>
      <c r="H318" s="1">
        <v>8</v>
      </c>
    </row>
    <row r="319" spans="1:8" x14ac:dyDescent="0.35">
      <c r="A319" s="1" t="s">
        <v>112</v>
      </c>
      <c r="B319" s="1"/>
      <c r="C319" s="1"/>
      <c r="D319" s="1"/>
      <c r="E319" s="1"/>
      <c r="F319" s="1"/>
      <c r="G319" s="1"/>
      <c r="H319" s="1"/>
    </row>
    <row r="320" spans="1:8" x14ac:dyDescent="0.35">
      <c r="A320" s="1" t="s">
        <v>112</v>
      </c>
      <c r="B320" s="1"/>
      <c r="C320" s="1"/>
      <c r="D320" s="1"/>
      <c r="E320" s="1"/>
      <c r="F320" s="1"/>
      <c r="G320" s="1"/>
      <c r="H320" s="1"/>
    </row>
    <row r="321" spans="1:8" x14ac:dyDescent="0.35">
      <c r="A321" s="1" t="s">
        <v>112</v>
      </c>
      <c r="B321" s="1"/>
      <c r="C321" s="1"/>
      <c r="D321" s="1"/>
      <c r="E321" s="1"/>
      <c r="F321" s="1"/>
      <c r="G321" s="1"/>
      <c r="H321" s="1"/>
    </row>
    <row r="322" spans="1:8" x14ac:dyDescent="0.35">
      <c r="A322" s="1" t="s">
        <v>112</v>
      </c>
      <c r="B322" s="1"/>
      <c r="C322" s="1"/>
      <c r="D322" s="1"/>
      <c r="E322" s="1"/>
      <c r="F322" s="1"/>
      <c r="G322" s="1"/>
      <c r="H322" s="1"/>
    </row>
    <row r="323" spans="1:8" x14ac:dyDescent="0.35">
      <c r="A323" s="1" t="s">
        <v>112</v>
      </c>
      <c r="B323" s="1"/>
      <c r="C323" s="1"/>
      <c r="D323" s="1"/>
      <c r="E323" s="1"/>
      <c r="F323" s="1"/>
      <c r="G323" s="1"/>
      <c r="H323" s="1"/>
    </row>
    <row r="324" spans="1:8" x14ac:dyDescent="0.35">
      <c r="A324" s="1" t="s">
        <v>175</v>
      </c>
      <c r="B324" s="1" t="s">
        <v>110</v>
      </c>
      <c r="C324" s="1" t="s">
        <v>111</v>
      </c>
      <c r="D324" s="1" t="s">
        <v>112</v>
      </c>
      <c r="E324" s="1" t="s">
        <v>113</v>
      </c>
      <c r="F324" s="1"/>
      <c r="G324" s="1"/>
      <c r="H324" s="1"/>
    </row>
    <row r="325" spans="1:8" x14ac:dyDescent="0.35">
      <c r="A325" s="1" t="s">
        <v>542</v>
      </c>
      <c r="B325" s="1">
        <v>45</v>
      </c>
      <c r="C325" s="1" t="s">
        <v>543</v>
      </c>
      <c r="D325" s="1" t="s">
        <v>112</v>
      </c>
      <c r="E325" s="1">
        <v>4116</v>
      </c>
      <c r="F325" s="1"/>
      <c r="G325" s="1"/>
      <c r="H325" s="1"/>
    </row>
    <row r="326" spans="1:8" x14ac:dyDescent="0.35">
      <c r="A326" s="1" t="s">
        <v>544</v>
      </c>
      <c r="B326" s="1">
        <v>82</v>
      </c>
      <c r="C326" s="1" t="s">
        <v>545</v>
      </c>
      <c r="D326" s="1" t="s">
        <v>112</v>
      </c>
      <c r="E326" s="1">
        <v>7471</v>
      </c>
      <c r="F326" s="1"/>
      <c r="G326" s="1"/>
      <c r="H326" s="1"/>
    </row>
    <row r="327" spans="1:8" x14ac:dyDescent="0.35">
      <c r="A327" s="1" t="s">
        <v>546</v>
      </c>
      <c r="B327" s="1">
        <v>79</v>
      </c>
      <c r="C327" s="1" t="s">
        <v>547</v>
      </c>
      <c r="D327" s="1" t="s">
        <v>112</v>
      </c>
      <c r="E327" s="1">
        <v>6817</v>
      </c>
      <c r="F327" s="1"/>
      <c r="G327" s="1"/>
      <c r="H327" s="1"/>
    </row>
    <row r="328" spans="1:8" x14ac:dyDescent="0.35">
      <c r="A328" s="1" t="s">
        <v>548</v>
      </c>
      <c r="B328" s="1">
        <v>262</v>
      </c>
      <c r="C328" s="1" t="s">
        <v>549</v>
      </c>
      <c r="D328" s="1" t="s">
        <v>112</v>
      </c>
      <c r="E328" s="1">
        <v>24333</v>
      </c>
      <c r="F328" s="1"/>
      <c r="G328" s="1"/>
      <c r="H328" s="1"/>
    </row>
    <row r="329" spans="1:8" x14ac:dyDescent="0.35">
      <c r="A329" s="1" t="s">
        <v>550</v>
      </c>
      <c r="B329" s="1">
        <v>139</v>
      </c>
      <c r="C329" s="1" t="s">
        <v>551</v>
      </c>
      <c r="D329" s="1" t="s">
        <v>112</v>
      </c>
      <c r="E329" s="1">
        <v>12430</v>
      </c>
      <c r="F329" s="1"/>
      <c r="G329" s="1"/>
      <c r="H329" s="1"/>
    </row>
    <row r="330" spans="1:8" x14ac:dyDescent="0.35">
      <c r="A330" s="1" t="s">
        <v>552</v>
      </c>
      <c r="B330" s="1">
        <v>269</v>
      </c>
      <c r="C330" s="1" t="s">
        <v>553</v>
      </c>
      <c r="D330" s="1" t="s">
        <v>112</v>
      </c>
      <c r="E330" s="1">
        <v>25435</v>
      </c>
      <c r="F330" s="1"/>
      <c r="G330" s="1"/>
      <c r="H330" s="1"/>
    </row>
    <row r="331" spans="1:8" x14ac:dyDescent="0.35">
      <c r="A331" s="1" t="s">
        <v>554</v>
      </c>
      <c r="B331" s="1">
        <v>433</v>
      </c>
      <c r="C331" s="1" t="s">
        <v>555</v>
      </c>
      <c r="D331" s="1" t="s">
        <v>112</v>
      </c>
      <c r="E331" s="1">
        <v>42160</v>
      </c>
      <c r="F331" s="1"/>
      <c r="G331" s="1"/>
      <c r="H331" s="1"/>
    </row>
    <row r="332" spans="1:8" x14ac:dyDescent="0.35">
      <c r="A332" s="1" t="s">
        <v>556</v>
      </c>
      <c r="B332" s="1">
        <v>531</v>
      </c>
      <c r="C332" s="1" t="s">
        <v>557</v>
      </c>
      <c r="D332" s="1" t="s">
        <v>112</v>
      </c>
      <c r="E332" s="1">
        <v>54700</v>
      </c>
      <c r="F332" s="1"/>
      <c r="G332" s="1"/>
      <c r="H332" s="1"/>
    </row>
    <row r="333" spans="1:8" x14ac:dyDescent="0.35">
      <c r="A333" s="1" t="s">
        <v>112</v>
      </c>
      <c r="B333" s="1"/>
      <c r="C333" s="1"/>
      <c r="D333" s="1"/>
      <c r="E333" s="1"/>
      <c r="F333" s="1"/>
      <c r="G333" s="1"/>
      <c r="H333" s="1"/>
    </row>
    <row r="334" spans="1:8" x14ac:dyDescent="0.35">
      <c r="A334" s="1" t="s">
        <v>176</v>
      </c>
      <c r="B334" s="1" t="s">
        <v>112</v>
      </c>
      <c r="C334" s="1" t="s">
        <v>177</v>
      </c>
      <c r="D334" s="1" t="s">
        <v>178</v>
      </c>
      <c r="E334" s="1" t="s">
        <v>179</v>
      </c>
      <c r="F334" s="1" t="s">
        <v>180</v>
      </c>
      <c r="G334" s="1" t="s">
        <v>181</v>
      </c>
      <c r="H334" s="1" t="s">
        <v>182</v>
      </c>
    </row>
    <row r="335" spans="1:8" x14ac:dyDescent="0.35">
      <c r="A335" s="1" t="s">
        <v>558</v>
      </c>
      <c r="B335" s="1" t="s">
        <v>112</v>
      </c>
      <c r="C335" s="1" t="s">
        <v>559</v>
      </c>
      <c r="D335" s="1" t="s">
        <v>560</v>
      </c>
      <c r="E335" s="1" t="s">
        <v>561</v>
      </c>
      <c r="F335" s="1" t="s">
        <v>562</v>
      </c>
      <c r="G335" s="1">
        <v>8</v>
      </c>
      <c r="H335" s="1">
        <v>8</v>
      </c>
    </row>
    <row r="336" spans="1:8" x14ac:dyDescent="0.35">
      <c r="A336" s="1" t="s">
        <v>112</v>
      </c>
      <c r="B336" s="1"/>
      <c r="C336" s="1"/>
      <c r="D336" s="1"/>
      <c r="E336" s="1"/>
      <c r="F336" s="1"/>
      <c r="G336" s="1"/>
      <c r="H336" s="1"/>
    </row>
    <row r="337" spans="1:8" x14ac:dyDescent="0.35">
      <c r="A337" s="1" t="s">
        <v>112</v>
      </c>
      <c r="B337" s="1"/>
      <c r="C337" s="1"/>
      <c r="D337" s="1"/>
      <c r="E337" s="1"/>
      <c r="F337" s="1"/>
      <c r="G337" s="1"/>
      <c r="H337" s="1"/>
    </row>
    <row r="338" spans="1:8" x14ac:dyDescent="0.35">
      <c r="A338" s="1" t="s">
        <v>112</v>
      </c>
      <c r="B338" s="1"/>
      <c r="C338" s="1"/>
      <c r="D338" s="1"/>
      <c r="E338" s="1"/>
      <c r="F338" s="1"/>
      <c r="G338" s="1"/>
      <c r="H338" s="1"/>
    </row>
    <row r="339" spans="1:8" x14ac:dyDescent="0.35">
      <c r="A339" s="1" t="s">
        <v>112</v>
      </c>
      <c r="B339" s="1"/>
      <c r="C339" s="1"/>
      <c r="D339" s="1"/>
      <c r="E339" s="1"/>
      <c r="F339" s="1"/>
      <c r="G339" s="1"/>
      <c r="H339" s="1"/>
    </row>
    <row r="340" spans="1:8" x14ac:dyDescent="0.35">
      <c r="A340" s="1" t="s">
        <v>112</v>
      </c>
      <c r="B340" s="1"/>
      <c r="C340" s="1"/>
      <c r="D340" s="1"/>
      <c r="E340" s="1"/>
      <c r="F340" s="1"/>
      <c r="G340" s="1"/>
      <c r="H340" s="1"/>
    </row>
    <row r="341" spans="1:8" x14ac:dyDescent="0.35">
      <c r="A341" s="1" t="s">
        <v>175</v>
      </c>
      <c r="B341" s="1" t="s">
        <v>110</v>
      </c>
      <c r="C341" s="1" t="s">
        <v>111</v>
      </c>
      <c r="D341" s="1" t="s">
        <v>112</v>
      </c>
      <c r="E341" s="1" t="s">
        <v>113</v>
      </c>
      <c r="F341" s="1"/>
      <c r="G341" s="1"/>
      <c r="H341" s="1"/>
    </row>
    <row r="342" spans="1:8" x14ac:dyDescent="0.35">
      <c r="A342" s="1" t="s">
        <v>563</v>
      </c>
      <c r="B342" s="1">
        <v>0</v>
      </c>
      <c r="C342" s="1">
        <v>0</v>
      </c>
      <c r="D342" s="1" t="s">
        <v>112</v>
      </c>
      <c r="E342" s="1">
        <v>0</v>
      </c>
      <c r="F342" s="1"/>
      <c r="G342" s="1"/>
      <c r="H342" s="1"/>
    </row>
    <row r="343" spans="1:8" x14ac:dyDescent="0.35">
      <c r="A343" s="1" t="s">
        <v>564</v>
      </c>
      <c r="B343" s="1">
        <v>0</v>
      </c>
      <c r="C343" s="1">
        <v>0</v>
      </c>
      <c r="D343" s="1" t="s">
        <v>112</v>
      </c>
      <c r="E343" s="1">
        <v>0</v>
      </c>
      <c r="F343" s="1"/>
      <c r="G343" s="1"/>
      <c r="H343" s="1"/>
    </row>
    <row r="344" spans="1:8" x14ac:dyDescent="0.35">
      <c r="A344" s="1" t="s">
        <v>565</v>
      </c>
      <c r="B344" s="1">
        <v>0</v>
      </c>
      <c r="C344" s="1">
        <v>0</v>
      </c>
      <c r="D344" s="1" t="s">
        <v>112</v>
      </c>
      <c r="E344" s="1">
        <v>0</v>
      </c>
      <c r="F344" s="1"/>
      <c r="G344" s="1"/>
      <c r="H344" s="1"/>
    </row>
    <row r="345" spans="1:8" x14ac:dyDescent="0.35">
      <c r="A345" s="1" t="s">
        <v>566</v>
      </c>
      <c r="B345" s="1">
        <v>0</v>
      </c>
      <c r="C345" s="1">
        <v>0</v>
      </c>
      <c r="D345" s="1" t="s">
        <v>112</v>
      </c>
      <c r="E345" s="1">
        <v>0</v>
      </c>
      <c r="F345" s="1"/>
      <c r="G345" s="1"/>
      <c r="H345" s="1"/>
    </row>
    <row r="346" spans="1:8" x14ac:dyDescent="0.35">
      <c r="A346" s="1" t="s">
        <v>567</v>
      </c>
      <c r="B346" s="1">
        <v>0</v>
      </c>
      <c r="C346" s="1">
        <v>0</v>
      </c>
      <c r="D346" s="1" t="s">
        <v>112</v>
      </c>
      <c r="E346" s="1">
        <v>0</v>
      </c>
      <c r="F346" s="1"/>
      <c r="G346" s="1"/>
      <c r="H346" s="1"/>
    </row>
    <row r="347" spans="1:8" x14ac:dyDescent="0.35">
      <c r="A347" s="1" t="s">
        <v>568</v>
      </c>
      <c r="B347" s="1">
        <v>0</v>
      </c>
      <c r="C347" s="1">
        <v>0</v>
      </c>
      <c r="D347" s="1" t="s">
        <v>112</v>
      </c>
      <c r="E347" s="1">
        <v>0</v>
      </c>
      <c r="F347" s="1"/>
      <c r="G347" s="1"/>
      <c r="H347" s="1"/>
    </row>
    <row r="348" spans="1:8" x14ac:dyDescent="0.35">
      <c r="A348" s="1" t="s">
        <v>569</v>
      </c>
      <c r="B348" s="1">
        <v>2</v>
      </c>
      <c r="C348" s="1" t="s">
        <v>570</v>
      </c>
      <c r="D348" s="1" t="s">
        <v>112</v>
      </c>
      <c r="E348" s="1">
        <v>161</v>
      </c>
      <c r="F348" s="1"/>
      <c r="G348" s="1"/>
      <c r="H348" s="1"/>
    </row>
    <row r="349" spans="1:8" x14ac:dyDescent="0.35">
      <c r="A349" s="1" t="s">
        <v>571</v>
      </c>
      <c r="B349" s="1">
        <v>0</v>
      </c>
      <c r="C349" s="1">
        <v>0</v>
      </c>
      <c r="D349" s="1" t="s">
        <v>112</v>
      </c>
      <c r="E349" s="1">
        <v>0</v>
      </c>
      <c r="F349" s="1"/>
      <c r="G349" s="1"/>
      <c r="H349" s="1"/>
    </row>
    <row r="350" spans="1:8" x14ac:dyDescent="0.35">
      <c r="A350" s="1" t="s">
        <v>112</v>
      </c>
      <c r="B350" s="1"/>
      <c r="C350" s="1"/>
      <c r="D350" s="1"/>
      <c r="E350" s="1"/>
      <c r="F350" s="1"/>
      <c r="G350" s="1"/>
      <c r="H350" s="1"/>
    </row>
    <row r="351" spans="1:8" x14ac:dyDescent="0.35">
      <c r="A351" s="1" t="s">
        <v>176</v>
      </c>
      <c r="B351" s="1" t="s">
        <v>112</v>
      </c>
      <c r="C351" s="1" t="s">
        <v>177</v>
      </c>
      <c r="D351" s="1" t="s">
        <v>178</v>
      </c>
      <c r="E351" s="1" t="s">
        <v>179</v>
      </c>
      <c r="F351" s="1" t="s">
        <v>180</v>
      </c>
      <c r="G351" s="1" t="s">
        <v>181</v>
      </c>
      <c r="H351" s="1" t="s">
        <v>182</v>
      </c>
    </row>
    <row r="352" spans="1:8" x14ac:dyDescent="0.35">
      <c r="A352" s="1" t="s">
        <v>572</v>
      </c>
      <c r="B352" s="1" t="s">
        <v>112</v>
      </c>
      <c r="C352" s="1" t="s">
        <v>573</v>
      </c>
      <c r="D352" s="1" t="s">
        <v>574</v>
      </c>
      <c r="E352" s="1" t="s">
        <v>575</v>
      </c>
      <c r="F352" s="1" t="s">
        <v>576</v>
      </c>
      <c r="G352" s="1">
        <v>1</v>
      </c>
      <c r="H352" s="1">
        <v>8</v>
      </c>
    </row>
    <row r="353" spans="1:8" x14ac:dyDescent="0.35">
      <c r="A353" s="1" t="s">
        <v>112</v>
      </c>
      <c r="B353" s="1"/>
      <c r="C353" s="1"/>
      <c r="D353" s="1"/>
      <c r="E353" s="1"/>
      <c r="F353" s="1"/>
      <c r="G353" s="1"/>
      <c r="H353" s="1"/>
    </row>
    <row r="354" spans="1:8" x14ac:dyDescent="0.35">
      <c r="A354" s="1" t="s">
        <v>112</v>
      </c>
      <c r="B354" s="1"/>
      <c r="C354" s="1"/>
      <c r="D354" s="1"/>
      <c r="E354" s="1"/>
      <c r="F354" s="1"/>
      <c r="G354" s="1"/>
      <c r="H354" s="1"/>
    </row>
    <row r="355" spans="1:8" x14ac:dyDescent="0.35">
      <c r="A355" s="1" t="s">
        <v>112</v>
      </c>
      <c r="B355" s="1"/>
      <c r="C355" s="1"/>
      <c r="D355" s="1"/>
      <c r="E355" s="1"/>
      <c r="F355" s="1"/>
      <c r="G355" s="1"/>
      <c r="H355" s="1"/>
    </row>
    <row r="356" spans="1:8" x14ac:dyDescent="0.35">
      <c r="A356" s="1" t="s">
        <v>112</v>
      </c>
      <c r="B356" s="1"/>
      <c r="C356" s="1"/>
      <c r="D356" s="1"/>
      <c r="E356" s="1"/>
      <c r="F356" s="1"/>
      <c r="G356" s="1"/>
      <c r="H356" s="1"/>
    </row>
    <row r="357" spans="1:8" x14ac:dyDescent="0.35">
      <c r="A357" s="1" t="s">
        <v>112</v>
      </c>
      <c r="B357" s="1"/>
      <c r="C357" s="1"/>
      <c r="D357" s="1"/>
      <c r="E357" s="1"/>
      <c r="F357" s="1"/>
      <c r="G357" s="1"/>
      <c r="H357" s="1"/>
    </row>
    <row r="358" spans="1:8" x14ac:dyDescent="0.35">
      <c r="A358" s="1" t="s">
        <v>175</v>
      </c>
      <c r="B358" s="1" t="s">
        <v>110</v>
      </c>
      <c r="C358" s="1" t="s">
        <v>111</v>
      </c>
      <c r="D358" s="1" t="s">
        <v>112</v>
      </c>
      <c r="E358" s="1" t="s">
        <v>113</v>
      </c>
      <c r="F358" s="1"/>
      <c r="G358" s="1"/>
      <c r="H358" s="1"/>
    </row>
    <row r="359" spans="1:8" x14ac:dyDescent="0.35">
      <c r="A359" s="1" t="s">
        <v>577</v>
      </c>
      <c r="B359" s="1">
        <v>0</v>
      </c>
      <c r="C359" s="1">
        <v>0</v>
      </c>
      <c r="D359" s="1" t="s">
        <v>112</v>
      </c>
      <c r="E359" s="1">
        <v>0</v>
      </c>
      <c r="F359" s="1"/>
      <c r="G359" s="1"/>
      <c r="H359" s="1"/>
    </row>
    <row r="360" spans="1:8" x14ac:dyDescent="0.35">
      <c r="A360" s="1" t="s">
        <v>578</v>
      </c>
      <c r="B360" s="1">
        <v>25</v>
      </c>
      <c r="C360" s="1" t="s">
        <v>579</v>
      </c>
      <c r="D360" s="1" t="s">
        <v>112</v>
      </c>
      <c r="E360" s="1">
        <v>2179</v>
      </c>
      <c r="F360" s="1"/>
      <c r="G360" s="1"/>
      <c r="H360" s="1"/>
    </row>
    <row r="361" spans="1:8" x14ac:dyDescent="0.35">
      <c r="A361" s="1" t="s">
        <v>580</v>
      </c>
      <c r="B361" s="1">
        <v>104</v>
      </c>
      <c r="C361" s="1" t="s">
        <v>581</v>
      </c>
      <c r="D361" s="1" t="s">
        <v>112</v>
      </c>
      <c r="E361" s="1">
        <v>9097</v>
      </c>
      <c r="F361" s="1"/>
      <c r="G361" s="1"/>
      <c r="H361" s="1"/>
    </row>
    <row r="362" spans="1:8" x14ac:dyDescent="0.35">
      <c r="A362" s="1" t="s">
        <v>582</v>
      </c>
      <c r="B362" s="1">
        <v>0</v>
      </c>
      <c r="C362" s="1">
        <v>0</v>
      </c>
      <c r="D362" s="1" t="s">
        <v>112</v>
      </c>
      <c r="E362" s="1">
        <v>0</v>
      </c>
      <c r="F362" s="1"/>
      <c r="G362" s="1"/>
      <c r="H362" s="1"/>
    </row>
    <row r="363" spans="1:8" x14ac:dyDescent="0.35">
      <c r="A363" s="1" t="s">
        <v>583</v>
      </c>
      <c r="B363" s="1">
        <v>3</v>
      </c>
      <c r="C363" s="1">
        <v>83</v>
      </c>
      <c r="D363" s="1" t="s">
        <v>112</v>
      </c>
      <c r="E363" s="1">
        <v>249</v>
      </c>
      <c r="F363" s="1"/>
      <c r="G363" s="1"/>
      <c r="H363" s="1"/>
    </row>
    <row r="364" spans="1:8" x14ac:dyDescent="0.35">
      <c r="A364" s="1" t="s">
        <v>584</v>
      </c>
      <c r="B364" s="1">
        <v>55</v>
      </c>
      <c r="C364" s="1" t="s">
        <v>585</v>
      </c>
      <c r="D364" s="1" t="s">
        <v>112</v>
      </c>
      <c r="E364" s="1">
        <v>4604</v>
      </c>
      <c r="F364" s="1"/>
      <c r="G364" s="1"/>
      <c r="H364" s="1"/>
    </row>
    <row r="365" spans="1:8" x14ac:dyDescent="0.35">
      <c r="A365" s="1" t="s">
        <v>586</v>
      </c>
      <c r="B365" s="1">
        <v>31</v>
      </c>
      <c r="C365" s="1" t="s">
        <v>587</v>
      </c>
      <c r="D365" s="1" t="s">
        <v>112</v>
      </c>
      <c r="E365" s="1">
        <v>2575</v>
      </c>
      <c r="F365" s="1"/>
      <c r="G365" s="1"/>
      <c r="H365" s="1"/>
    </row>
    <row r="366" spans="1:8" x14ac:dyDescent="0.35">
      <c r="A366" s="1" t="s">
        <v>588</v>
      </c>
      <c r="B366" s="1">
        <v>172</v>
      </c>
      <c r="C366" s="1" t="s">
        <v>589</v>
      </c>
      <c r="D366" s="1" t="s">
        <v>112</v>
      </c>
      <c r="E366" s="1">
        <v>15809</v>
      </c>
      <c r="F366" s="1"/>
      <c r="G366" s="1"/>
      <c r="H366" s="1"/>
    </row>
    <row r="367" spans="1:8" x14ac:dyDescent="0.35">
      <c r="A367" s="1" t="s">
        <v>112</v>
      </c>
      <c r="B367" s="1"/>
      <c r="C367" s="1"/>
      <c r="D367" s="1"/>
      <c r="E367" s="1"/>
      <c r="F367" s="1"/>
      <c r="G367" s="1"/>
      <c r="H367" s="1"/>
    </row>
    <row r="368" spans="1:8" x14ac:dyDescent="0.35">
      <c r="A368" s="1" t="s">
        <v>176</v>
      </c>
      <c r="B368" s="1" t="s">
        <v>112</v>
      </c>
      <c r="C368" s="1" t="s">
        <v>177</v>
      </c>
      <c r="D368" s="1" t="s">
        <v>178</v>
      </c>
      <c r="E368" s="1" t="s">
        <v>179</v>
      </c>
      <c r="F368" s="1" t="s">
        <v>180</v>
      </c>
      <c r="G368" s="1" t="s">
        <v>181</v>
      </c>
      <c r="H368" s="1" t="s">
        <v>182</v>
      </c>
    </row>
    <row r="369" spans="1:8" x14ac:dyDescent="0.35">
      <c r="A369" s="1" t="s">
        <v>590</v>
      </c>
      <c r="B369" s="1" t="s">
        <v>112</v>
      </c>
      <c r="C369" s="1" t="s">
        <v>591</v>
      </c>
      <c r="D369" s="1" t="s">
        <v>592</v>
      </c>
      <c r="E369" s="1" t="s">
        <v>593</v>
      </c>
      <c r="F369" s="1" t="s">
        <v>594</v>
      </c>
      <c r="G369" s="1">
        <v>6</v>
      </c>
      <c r="H369" s="1">
        <v>8</v>
      </c>
    </row>
    <row r="370" spans="1:8" x14ac:dyDescent="0.35">
      <c r="A370" s="1" t="s">
        <v>112</v>
      </c>
      <c r="B370" s="1"/>
      <c r="C370" s="1"/>
      <c r="D370" s="1"/>
      <c r="E370" s="1"/>
      <c r="F370" s="1"/>
      <c r="G370" s="1"/>
      <c r="H370" s="1"/>
    </row>
    <row r="371" spans="1:8" x14ac:dyDescent="0.35">
      <c r="A371" s="1" t="s">
        <v>112</v>
      </c>
      <c r="B371" s="1"/>
      <c r="C371" s="1"/>
      <c r="D371" s="1"/>
      <c r="E371" s="1"/>
      <c r="F371" s="1"/>
      <c r="G371" s="1"/>
      <c r="H371" s="1"/>
    </row>
    <row r="372" spans="1:8" x14ac:dyDescent="0.35">
      <c r="A372" s="1" t="s">
        <v>112</v>
      </c>
      <c r="B372" s="1"/>
      <c r="C372" s="1"/>
      <c r="D372" s="1"/>
      <c r="E372" s="1"/>
      <c r="F372" s="1"/>
      <c r="G372" s="1"/>
      <c r="H372" s="1"/>
    </row>
    <row r="373" spans="1:8" x14ac:dyDescent="0.35">
      <c r="A373" s="1" t="s">
        <v>112</v>
      </c>
      <c r="B373" s="1"/>
      <c r="C373" s="1"/>
      <c r="D373" s="1"/>
      <c r="E373" s="1"/>
      <c r="F373" s="1"/>
      <c r="G373" s="1"/>
      <c r="H373" s="1"/>
    </row>
    <row r="374" spans="1:8" x14ac:dyDescent="0.35">
      <c r="A374" s="1" t="s">
        <v>112</v>
      </c>
      <c r="B374" s="1"/>
      <c r="C374" s="1"/>
      <c r="D374" s="1"/>
      <c r="E374" s="1"/>
      <c r="F374" s="1"/>
      <c r="G374" s="1"/>
      <c r="H374" s="1"/>
    </row>
    <row r="375" spans="1:8" x14ac:dyDescent="0.35">
      <c r="A375" s="1" t="s">
        <v>175</v>
      </c>
      <c r="B375" s="1" t="s">
        <v>110</v>
      </c>
      <c r="C375" s="1" t="s">
        <v>111</v>
      </c>
      <c r="D375" s="1" t="s">
        <v>112</v>
      </c>
      <c r="E375" s="1" t="s">
        <v>113</v>
      </c>
      <c r="F375" s="1"/>
      <c r="G375" s="1"/>
      <c r="H375" s="1"/>
    </row>
    <row r="376" spans="1:8" x14ac:dyDescent="0.35">
      <c r="A376" s="1" t="s">
        <v>595</v>
      </c>
      <c r="B376" s="1">
        <v>67</v>
      </c>
      <c r="C376" s="1" t="s">
        <v>596</v>
      </c>
      <c r="D376" s="1" t="s">
        <v>112</v>
      </c>
      <c r="E376" s="1">
        <v>5783</v>
      </c>
      <c r="F376" s="1"/>
      <c r="G376" s="1"/>
      <c r="H376" s="1"/>
    </row>
    <row r="377" spans="1:8" x14ac:dyDescent="0.35">
      <c r="A377" s="1" t="s">
        <v>597</v>
      </c>
      <c r="B377" s="1">
        <v>0</v>
      </c>
      <c r="C377" s="1">
        <v>0</v>
      </c>
      <c r="D377" s="1" t="s">
        <v>112</v>
      </c>
      <c r="E377" s="1">
        <v>0</v>
      </c>
      <c r="F377" s="1"/>
      <c r="G377" s="1"/>
      <c r="H377" s="1"/>
    </row>
    <row r="378" spans="1:8" x14ac:dyDescent="0.35">
      <c r="A378" s="1" t="s">
        <v>598</v>
      </c>
      <c r="B378" s="1">
        <v>87</v>
      </c>
      <c r="C378" s="1" t="s">
        <v>599</v>
      </c>
      <c r="D378" s="1" t="s">
        <v>112</v>
      </c>
      <c r="E378" s="1">
        <v>7933</v>
      </c>
      <c r="F378" s="1"/>
      <c r="G378" s="1"/>
      <c r="H378" s="1"/>
    </row>
    <row r="379" spans="1:8" x14ac:dyDescent="0.35">
      <c r="A379" s="1" t="s">
        <v>600</v>
      </c>
      <c r="B379" s="1">
        <v>7</v>
      </c>
      <c r="C379" s="1" t="s">
        <v>601</v>
      </c>
      <c r="D379" s="1" t="s">
        <v>112</v>
      </c>
      <c r="E379" s="1">
        <v>577</v>
      </c>
      <c r="F379" s="1"/>
      <c r="G379" s="1"/>
      <c r="H379" s="1"/>
    </row>
    <row r="380" spans="1:8" x14ac:dyDescent="0.35">
      <c r="A380" s="1" t="s">
        <v>602</v>
      </c>
      <c r="B380" s="1">
        <v>103</v>
      </c>
      <c r="C380" s="1" t="s">
        <v>603</v>
      </c>
      <c r="D380" s="1" t="s">
        <v>112</v>
      </c>
      <c r="E380" s="1">
        <v>8854</v>
      </c>
      <c r="F380" s="1"/>
      <c r="G380" s="1"/>
      <c r="H380" s="1"/>
    </row>
    <row r="381" spans="1:8" x14ac:dyDescent="0.35">
      <c r="A381" s="1" t="s">
        <v>604</v>
      </c>
      <c r="B381" s="1">
        <v>8</v>
      </c>
      <c r="C381" s="1">
        <v>82</v>
      </c>
      <c r="D381" s="1" t="s">
        <v>112</v>
      </c>
      <c r="E381" s="1">
        <v>656</v>
      </c>
      <c r="F381" s="1"/>
      <c r="G381" s="1"/>
      <c r="H381" s="1"/>
    </row>
    <row r="382" spans="1:8" x14ac:dyDescent="0.35">
      <c r="A382" s="1" t="s">
        <v>605</v>
      </c>
      <c r="B382" s="1">
        <v>1</v>
      </c>
      <c r="C382" s="1">
        <v>81</v>
      </c>
      <c r="D382" s="1" t="s">
        <v>112</v>
      </c>
      <c r="E382" s="1">
        <v>81</v>
      </c>
      <c r="F382" s="1"/>
      <c r="G382" s="1"/>
      <c r="H382" s="1"/>
    </row>
    <row r="383" spans="1:8" x14ac:dyDescent="0.35">
      <c r="A383" s="1" t="s">
        <v>606</v>
      </c>
      <c r="B383" s="1">
        <v>149</v>
      </c>
      <c r="C383" s="1" t="s">
        <v>607</v>
      </c>
      <c r="D383" s="1" t="s">
        <v>112</v>
      </c>
      <c r="E383" s="1">
        <v>13301</v>
      </c>
      <c r="F383" s="1"/>
      <c r="G383" s="1"/>
      <c r="H383" s="1"/>
    </row>
    <row r="384" spans="1:8" x14ac:dyDescent="0.35">
      <c r="A384" s="1" t="s">
        <v>112</v>
      </c>
      <c r="B384" s="1"/>
      <c r="C384" s="1"/>
      <c r="D384" s="1"/>
      <c r="E384" s="1"/>
      <c r="F384" s="1"/>
      <c r="G384" s="1"/>
      <c r="H384" s="1"/>
    </row>
    <row r="385" spans="1:8" x14ac:dyDescent="0.35">
      <c r="A385" s="1" t="s">
        <v>176</v>
      </c>
      <c r="B385" s="1" t="s">
        <v>112</v>
      </c>
      <c r="C385" s="1" t="s">
        <v>177</v>
      </c>
      <c r="D385" s="1" t="s">
        <v>178</v>
      </c>
      <c r="E385" s="1" t="s">
        <v>179</v>
      </c>
      <c r="F385" s="1" t="s">
        <v>180</v>
      </c>
      <c r="G385" s="1" t="s">
        <v>181</v>
      </c>
      <c r="H385" s="1" t="s">
        <v>182</v>
      </c>
    </row>
    <row r="386" spans="1:8" x14ac:dyDescent="0.35">
      <c r="A386" s="1" t="s">
        <v>608</v>
      </c>
      <c r="B386" s="1" t="s">
        <v>112</v>
      </c>
      <c r="C386" s="1" t="s">
        <v>609</v>
      </c>
      <c r="D386" s="1" t="s">
        <v>610</v>
      </c>
      <c r="E386" s="1" t="s">
        <v>611</v>
      </c>
      <c r="F386" s="1" t="s">
        <v>612</v>
      </c>
      <c r="G386" s="1">
        <v>7</v>
      </c>
      <c r="H386" s="1">
        <v>8</v>
      </c>
    </row>
    <row r="387" spans="1:8" x14ac:dyDescent="0.35">
      <c r="A387" s="1" t="s">
        <v>112</v>
      </c>
      <c r="B387" s="1"/>
      <c r="C387" s="1"/>
      <c r="D387" s="1"/>
      <c r="E387" s="1"/>
      <c r="F387" s="1"/>
      <c r="G387" s="1"/>
      <c r="H387" s="1"/>
    </row>
    <row r="388" spans="1:8" x14ac:dyDescent="0.35">
      <c r="A388" s="1" t="s">
        <v>112</v>
      </c>
      <c r="B388" s="1"/>
      <c r="C388" s="1"/>
      <c r="D388" s="1"/>
      <c r="E388" s="1"/>
      <c r="F388" s="1"/>
      <c r="G388" s="1"/>
      <c r="H388" s="1"/>
    </row>
    <row r="389" spans="1:8" x14ac:dyDescent="0.35">
      <c r="A389" s="1" t="s">
        <v>112</v>
      </c>
      <c r="B389" s="1"/>
      <c r="C389" s="1"/>
      <c r="D389" s="1"/>
      <c r="E389" s="1"/>
      <c r="F389" s="1"/>
      <c r="G389" s="1"/>
      <c r="H389" s="1"/>
    </row>
    <row r="390" spans="1:8" x14ac:dyDescent="0.35">
      <c r="A390" s="1" t="s">
        <v>112</v>
      </c>
      <c r="B390" s="1"/>
      <c r="C390" s="1"/>
      <c r="D390" s="1"/>
      <c r="E390" s="1"/>
      <c r="F390" s="1"/>
      <c r="G390" s="1"/>
      <c r="H390" s="1"/>
    </row>
    <row r="391" spans="1:8" x14ac:dyDescent="0.35">
      <c r="A391" s="1" t="s">
        <v>112</v>
      </c>
      <c r="B391" s="1"/>
      <c r="C391" s="1"/>
      <c r="D391" s="1"/>
      <c r="E391" s="1"/>
      <c r="F391" s="1"/>
      <c r="G391" s="1"/>
      <c r="H391" s="1"/>
    </row>
    <row r="392" spans="1:8" x14ac:dyDescent="0.35">
      <c r="A392" s="1" t="s">
        <v>175</v>
      </c>
      <c r="B392" s="1" t="s">
        <v>110</v>
      </c>
      <c r="C392" s="1" t="s">
        <v>111</v>
      </c>
      <c r="D392" s="1" t="s">
        <v>112</v>
      </c>
      <c r="E392" s="1" t="s">
        <v>113</v>
      </c>
      <c r="F392" s="1"/>
      <c r="G392" s="1"/>
      <c r="H392" s="1"/>
    </row>
    <row r="393" spans="1:8" x14ac:dyDescent="0.35">
      <c r="A393" s="1" t="s">
        <v>613</v>
      </c>
      <c r="B393" s="1">
        <v>2414</v>
      </c>
      <c r="C393" s="1" t="s">
        <v>614</v>
      </c>
      <c r="D393" s="1" t="s">
        <v>112</v>
      </c>
      <c r="E393" s="1">
        <v>259875</v>
      </c>
      <c r="F393" s="1"/>
      <c r="G393" s="1"/>
      <c r="H393" s="1"/>
    </row>
    <row r="394" spans="1:8" x14ac:dyDescent="0.35">
      <c r="A394" s="1" t="s">
        <v>615</v>
      </c>
      <c r="B394" s="1"/>
      <c r="C394" s="1"/>
      <c r="D394" s="1"/>
      <c r="E394" s="1"/>
      <c r="F394" s="1"/>
      <c r="G394" s="1"/>
      <c r="H394" s="1"/>
    </row>
    <row r="395" spans="1:8" x14ac:dyDescent="0.35">
      <c r="A395" s="1" t="s">
        <v>616</v>
      </c>
      <c r="B395" s="1">
        <v>152</v>
      </c>
      <c r="C395" s="1" t="s">
        <v>617</v>
      </c>
      <c r="D395" s="1" t="s">
        <v>112</v>
      </c>
      <c r="E395" s="1">
        <v>12659</v>
      </c>
      <c r="F395" s="1"/>
      <c r="G395" s="1"/>
      <c r="H395" s="1"/>
    </row>
    <row r="396" spans="1:8" x14ac:dyDescent="0.35">
      <c r="A396" s="1" t="s">
        <v>618</v>
      </c>
      <c r="B396" s="1">
        <v>1730</v>
      </c>
      <c r="C396" s="1" t="s">
        <v>619</v>
      </c>
      <c r="D396" s="1" t="s">
        <v>112</v>
      </c>
      <c r="E396" s="1">
        <v>159516</v>
      </c>
      <c r="F396" s="1"/>
      <c r="G396" s="1"/>
      <c r="H396" s="1"/>
    </row>
    <row r="397" spans="1:8" x14ac:dyDescent="0.35">
      <c r="A397" s="1" t="s">
        <v>620</v>
      </c>
      <c r="B397" s="1">
        <v>0</v>
      </c>
      <c r="C397" s="1">
        <v>0</v>
      </c>
      <c r="D397" s="1" t="s">
        <v>112</v>
      </c>
      <c r="E397" s="1">
        <v>0</v>
      </c>
      <c r="F397" s="1"/>
      <c r="G397" s="1"/>
      <c r="H397" s="1"/>
    </row>
    <row r="398" spans="1:8" x14ac:dyDescent="0.35">
      <c r="A398" s="1" t="s">
        <v>621</v>
      </c>
      <c r="B398" s="1">
        <v>0</v>
      </c>
      <c r="C398" s="1">
        <v>0</v>
      </c>
      <c r="D398" s="1" t="s">
        <v>112</v>
      </c>
      <c r="E398" s="1">
        <v>0</v>
      </c>
      <c r="F398" s="1"/>
      <c r="G398" s="1"/>
      <c r="H398" s="1"/>
    </row>
    <row r="399" spans="1:8" x14ac:dyDescent="0.35">
      <c r="A399" s="1" t="s">
        <v>622</v>
      </c>
      <c r="B399" s="1">
        <v>5</v>
      </c>
      <c r="C399" s="1" t="s">
        <v>623</v>
      </c>
      <c r="D399" s="1" t="s">
        <v>112</v>
      </c>
      <c r="E399" s="1">
        <v>406</v>
      </c>
      <c r="F399" s="1"/>
      <c r="G399" s="1"/>
      <c r="H399" s="1"/>
    </row>
    <row r="400" spans="1:8" x14ac:dyDescent="0.35">
      <c r="A400" s="1" t="s">
        <v>624</v>
      </c>
      <c r="B400" s="1">
        <v>1</v>
      </c>
      <c r="C400" s="1">
        <v>80</v>
      </c>
      <c r="D400" s="1" t="s">
        <v>112</v>
      </c>
      <c r="E400" s="1">
        <v>80</v>
      </c>
      <c r="F400" s="1"/>
      <c r="G400" s="1"/>
      <c r="H400" s="1"/>
    </row>
    <row r="401" spans="1:8" x14ac:dyDescent="0.35">
      <c r="A401" s="1" t="s">
        <v>112</v>
      </c>
      <c r="B401" s="1"/>
      <c r="C401" s="1"/>
      <c r="D401" s="1"/>
      <c r="E401" s="1"/>
      <c r="F401" s="1"/>
      <c r="G401" s="1"/>
      <c r="H401" s="1"/>
    </row>
    <row r="402" spans="1:8" x14ac:dyDescent="0.35">
      <c r="A402" s="1" t="s">
        <v>176</v>
      </c>
      <c r="B402" s="1" t="s">
        <v>112</v>
      </c>
      <c r="C402" s="1" t="s">
        <v>177</v>
      </c>
      <c r="D402" s="1" t="s">
        <v>178</v>
      </c>
      <c r="E402" s="1" t="s">
        <v>179</v>
      </c>
      <c r="F402" s="1" t="s">
        <v>180</v>
      </c>
      <c r="G402" s="1" t="s">
        <v>181</v>
      </c>
      <c r="H402" s="1" t="s">
        <v>182</v>
      </c>
    </row>
    <row r="403" spans="1:8" x14ac:dyDescent="0.35">
      <c r="A403" s="1" t="s">
        <v>625</v>
      </c>
      <c r="B403" s="1" t="s">
        <v>112</v>
      </c>
      <c r="C403" s="1" t="s">
        <v>626</v>
      </c>
      <c r="D403" s="1" t="s">
        <v>627</v>
      </c>
      <c r="E403" s="1" t="s">
        <v>628</v>
      </c>
      <c r="F403" s="1" t="s">
        <v>629</v>
      </c>
      <c r="G403" s="1">
        <v>6</v>
      </c>
      <c r="H403" s="1">
        <v>8</v>
      </c>
    </row>
    <row r="404" spans="1:8" x14ac:dyDescent="0.35">
      <c r="A404" s="1" t="s">
        <v>112</v>
      </c>
      <c r="B404" s="1"/>
      <c r="C404" s="1"/>
      <c r="D404" s="1"/>
      <c r="E404" s="1"/>
      <c r="F404" s="1"/>
      <c r="G404" s="1"/>
      <c r="H404" s="1"/>
    </row>
    <row r="405" spans="1:8" x14ac:dyDescent="0.35">
      <c r="A405" s="1" t="s">
        <v>112</v>
      </c>
      <c r="B405" s="1"/>
      <c r="C405" s="1"/>
      <c r="D405" s="1"/>
      <c r="E405" s="1"/>
      <c r="F405" s="1"/>
      <c r="G405" s="1"/>
      <c r="H405" s="1"/>
    </row>
    <row r="406" spans="1:8" x14ac:dyDescent="0.35">
      <c r="A406" s="1" t="s">
        <v>112</v>
      </c>
      <c r="B406" s="1"/>
      <c r="C406" s="1"/>
      <c r="D406" s="1"/>
      <c r="E406" s="1"/>
      <c r="F406" s="1"/>
      <c r="G406" s="1"/>
      <c r="H406" s="1"/>
    </row>
    <row r="407" spans="1:8" x14ac:dyDescent="0.35">
      <c r="A407" s="1" t="s">
        <v>112</v>
      </c>
      <c r="B407" s="1"/>
      <c r="C407" s="1"/>
      <c r="D407" s="1"/>
      <c r="E407" s="1"/>
      <c r="F407" s="1"/>
      <c r="G407" s="1"/>
      <c r="H407" s="1"/>
    </row>
    <row r="408" spans="1:8" x14ac:dyDescent="0.35">
      <c r="A408" s="1" t="s">
        <v>112</v>
      </c>
      <c r="B408" s="1"/>
      <c r="C408" s="1"/>
      <c r="D408" s="1"/>
      <c r="E408" s="1"/>
      <c r="F408" s="1"/>
      <c r="G408" s="1"/>
      <c r="H408" s="1"/>
    </row>
    <row r="409" spans="1:8" x14ac:dyDescent="0.35">
      <c r="A409" s="1" t="s">
        <v>175</v>
      </c>
      <c r="B409" s="1" t="s">
        <v>110</v>
      </c>
      <c r="C409" s="1" t="s">
        <v>111</v>
      </c>
      <c r="D409" s="1" t="s">
        <v>112</v>
      </c>
      <c r="E409" s="1" t="s">
        <v>113</v>
      </c>
      <c r="F409" s="1"/>
      <c r="G409" s="1"/>
      <c r="H409" s="1"/>
    </row>
    <row r="410" spans="1:8" x14ac:dyDescent="0.35">
      <c r="A410" s="1" t="s">
        <v>630</v>
      </c>
      <c r="B410" s="1">
        <v>14</v>
      </c>
      <c r="C410" s="1">
        <v>81</v>
      </c>
      <c r="D410" s="1" t="s">
        <v>112</v>
      </c>
      <c r="E410" s="1">
        <v>1134</v>
      </c>
      <c r="F410" s="1"/>
      <c r="G410" s="1"/>
      <c r="H410" s="1"/>
    </row>
    <row r="411" spans="1:8" x14ac:dyDescent="0.35">
      <c r="A411" s="1" t="s">
        <v>631</v>
      </c>
      <c r="B411" s="1">
        <v>184</v>
      </c>
      <c r="C411" s="1" t="s">
        <v>632</v>
      </c>
      <c r="D411" s="1" t="s">
        <v>112</v>
      </c>
      <c r="E411" s="1">
        <v>15546</v>
      </c>
      <c r="F411" s="1"/>
      <c r="G411" s="1"/>
      <c r="H411" s="1"/>
    </row>
    <row r="412" spans="1:8" x14ac:dyDescent="0.35">
      <c r="A412" s="1" t="s">
        <v>633</v>
      </c>
      <c r="B412" s="1">
        <v>87</v>
      </c>
      <c r="C412" s="1" t="s">
        <v>634</v>
      </c>
      <c r="D412" s="1" t="s">
        <v>112</v>
      </c>
      <c r="E412" s="1">
        <v>7422</v>
      </c>
      <c r="F412" s="1"/>
      <c r="G412" s="1"/>
      <c r="H412" s="1"/>
    </row>
    <row r="413" spans="1:8" x14ac:dyDescent="0.35">
      <c r="A413" s="1" t="s">
        <v>635</v>
      </c>
      <c r="B413" s="1">
        <v>72</v>
      </c>
      <c r="C413" s="1" t="s">
        <v>636</v>
      </c>
      <c r="D413" s="1" t="s">
        <v>112</v>
      </c>
      <c r="E413" s="1">
        <v>6067</v>
      </c>
      <c r="F413" s="1"/>
      <c r="G413" s="1"/>
      <c r="H413" s="1"/>
    </row>
    <row r="414" spans="1:8" x14ac:dyDescent="0.35">
      <c r="A414" s="1" t="s">
        <v>637</v>
      </c>
      <c r="B414" s="1">
        <v>417</v>
      </c>
      <c r="C414" s="1" t="s">
        <v>638</v>
      </c>
      <c r="D414" s="1" t="s">
        <v>112</v>
      </c>
      <c r="E414" s="1">
        <v>34512</v>
      </c>
      <c r="F414" s="1"/>
      <c r="G414" s="1"/>
      <c r="H414" s="1"/>
    </row>
    <row r="415" spans="1:8" x14ac:dyDescent="0.35">
      <c r="A415" s="1" t="s">
        <v>639</v>
      </c>
      <c r="B415" s="1">
        <v>96</v>
      </c>
      <c r="C415" s="1" t="s">
        <v>640</v>
      </c>
      <c r="D415" s="1" t="s">
        <v>112</v>
      </c>
      <c r="E415" s="1">
        <v>8570</v>
      </c>
      <c r="F415" s="1"/>
      <c r="G415" s="1"/>
      <c r="H415" s="1"/>
    </row>
    <row r="416" spans="1:8" x14ac:dyDescent="0.35">
      <c r="A416" s="1" t="s">
        <v>641</v>
      </c>
      <c r="B416" s="1">
        <v>51</v>
      </c>
      <c r="C416" s="1" t="s">
        <v>642</v>
      </c>
      <c r="D416" s="1" t="s">
        <v>112</v>
      </c>
      <c r="E416" s="1">
        <v>4212</v>
      </c>
      <c r="F416" s="1"/>
      <c r="G416" s="1"/>
      <c r="H416" s="1"/>
    </row>
    <row r="417" spans="1:8" x14ac:dyDescent="0.35">
      <c r="A417" s="1" t="s">
        <v>643</v>
      </c>
      <c r="B417" s="1">
        <v>58</v>
      </c>
      <c r="C417" s="1" t="s">
        <v>644</v>
      </c>
      <c r="D417" s="1" t="s">
        <v>112</v>
      </c>
      <c r="E417" s="1">
        <v>4955</v>
      </c>
      <c r="F417" s="1"/>
      <c r="G417" s="1"/>
      <c r="H417" s="1"/>
    </row>
    <row r="418" spans="1:8" x14ac:dyDescent="0.35">
      <c r="A418" s="1" t="s">
        <v>112</v>
      </c>
      <c r="B418" s="1"/>
      <c r="C418" s="1"/>
      <c r="D418" s="1"/>
      <c r="E418" s="1"/>
      <c r="F418" s="1"/>
      <c r="G418" s="1"/>
      <c r="H418" s="1"/>
    </row>
    <row r="419" spans="1:8" x14ac:dyDescent="0.35">
      <c r="A419" s="1" t="s">
        <v>176</v>
      </c>
      <c r="B419" s="1" t="s">
        <v>112</v>
      </c>
      <c r="C419" s="1" t="s">
        <v>177</v>
      </c>
      <c r="D419" s="1" t="s">
        <v>178</v>
      </c>
      <c r="E419" s="1" t="s">
        <v>179</v>
      </c>
      <c r="F419" s="1" t="s">
        <v>180</v>
      </c>
      <c r="G419" s="1" t="s">
        <v>181</v>
      </c>
      <c r="H419" s="1" t="s">
        <v>182</v>
      </c>
    </row>
    <row r="420" spans="1:8" x14ac:dyDescent="0.35">
      <c r="A420" s="1" t="s">
        <v>645</v>
      </c>
      <c r="B420" s="1" t="s">
        <v>112</v>
      </c>
      <c r="C420" s="1" t="s">
        <v>646</v>
      </c>
      <c r="D420" s="1" t="s">
        <v>647</v>
      </c>
      <c r="E420" s="1" t="s">
        <v>648</v>
      </c>
      <c r="F420" s="1" t="s">
        <v>649</v>
      </c>
      <c r="G420" s="1">
        <v>8</v>
      </c>
      <c r="H420" s="1">
        <v>8</v>
      </c>
    </row>
    <row r="421" spans="1:8" x14ac:dyDescent="0.35">
      <c r="A421" s="1" t="s">
        <v>112</v>
      </c>
      <c r="B421" s="1"/>
      <c r="C421" s="1"/>
      <c r="D421" s="1"/>
      <c r="E421" s="1"/>
      <c r="F421" s="1"/>
      <c r="G421" s="1"/>
      <c r="H421" s="1"/>
    </row>
    <row r="422" spans="1:8" x14ac:dyDescent="0.35">
      <c r="A422" s="1" t="s">
        <v>112</v>
      </c>
      <c r="B422" s="1"/>
      <c r="C422" s="1"/>
      <c r="D422" s="1"/>
      <c r="E422" s="1"/>
      <c r="F422" s="1"/>
      <c r="G422" s="1"/>
      <c r="H422" s="1"/>
    </row>
    <row r="423" spans="1:8" x14ac:dyDescent="0.35">
      <c r="A423" s="1" t="s">
        <v>112</v>
      </c>
      <c r="B423" s="1"/>
      <c r="C423" s="1"/>
      <c r="D423" s="1"/>
      <c r="E423" s="1"/>
      <c r="F423" s="1"/>
      <c r="G423" s="1"/>
      <c r="H423" s="1"/>
    </row>
    <row r="424" spans="1:8" x14ac:dyDescent="0.35">
      <c r="A424" s="1" t="s">
        <v>112</v>
      </c>
      <c r="B424" s="1"/>
      <c r="C424" s="1"/>
      <c r="D424" s="1"/>
      <c r="E424" s="1"/>
      <c r="F424" s="1"/>
      <c r="G424" s="1"/>
      <c r="H424" s="1"/>
    </row>
    <row r="425" spans="1:8" x14ac:dyDescent="0.35">
      <c r="A425" s="1" t="s">
        <v>112</v>
      </c>
      <c r="B425" s="1"/>
      <c r="C425" s="1"/>
      <c r="D425" s="1"/>
      <c r="E425" s="1"/>
      <c r="F425" s="1"/>
      <c r="G425" s="1"/>
      <c r="H425" s="1"/>
    </row>
    <row r="426" spans="1:8" x14ac:dyDescent="0.35">
      <c r="A426" s="1" t="s">
        <v>175</v>
      </c>
      <c r="B426" s="1" t="s">
        <v>110</v>
      </c>
      <c r="C426" s="1" t="s">
        <v>111</v>
      </c>
      <c r="D426" s="1" t="s">
        <v>112</v>
      </c>
      <c r="E426" s="1" t="s">
        <v>113</v>
      </c>
      <c r="F426" s="1"/>
      <c r="G426" s="1"/>
      <c r="H426" s="1"/>
    </row>
    <row r="427" spans="1:8" x14ac:dyDescent="0.35">
      <c r="A427" s="1" t="s">
        <v>650</v>
      </c>
      <c r="B427" s="1">
        <v>1693</v>
      </c>
      <c r="C427" s="1" t="s">
        <v>651</v>
      </c>
      <c r="D427" s="1" t="s">
        <v>112</v>
      </c>
      <c r="E427" s="1">
        <v>172249</v>
      </c>
      <c r="F427" s="1"/>
      <c r="G427" s="1"/>
      <c r="H427" s="1"/>
    </row>
    <row r="428" spans="1:8" x14ac:dyDescent="0.35">
      <c r="A428" s="1" t="s">
        <v>652</v>
      </c>
      <c r="B428" s="1">
        <v>1647</v>
      </c>
      <c r="C428" s="1" t="s">
        <v>653</v>
      </c>
      <c r="D428" s="1" t="s">
        <v>112</v>
      </c>
      <c r="E428" s="1">
        <v>150524</v>
      </c>
      <c r="F428" s="1"/>
      <c r="G428" s="1"/>
      <c r="H428" s="1"/>
    </row>
    <row r="429" spans="1:8" x14ac:dyDescent="0.35">
      <c r="A429" s="1" t="s">
        <v>654</v>
      </c>
      <c r="B429" s="1">
        <v>2</v>
      </c>
      <c r="C429" s="1">
        <v>81</v>
      </c>
      <c r="D429" s="1" t="s">
        <v>112</v>
      </c>
      <c r="E429" s="1">
        <v>162</v>
      </c>
      <c r="F429" s="1"/>
      <c r="G429" s="1"/>
      <c r="H429" s="1"/>
    </row>
    <row r="430" spans="1:8" x14ac:dyDescent="0.35">
      <c r="A430" s="1" t="s">
        <v>655</v>
      </c>
      <c r="B430" s="1">
        <v>2420</v>
      </c>
      <c r="C430" s="1" t="s">
        <v>656</v>
      </c>
      <c r="D430" s="1" t="s">
        <v>112</v>
      </c>
      <c r="E430" s="1">
        <v>269741</v>
      </c>
      <c r="F430" s="1"/>
      <c r="G430" s="1"/>
      <c r="H430" s="1"/>
    </row>
    <row r="431" spans="1:8" x14ac:dyDescent="0.35">
      <c r="A431" s="1" t="s">
        <v>657</v>
      </c>
      <c r="B431" s="1">
        <v>1866</v>
      </c>
      <c r="C431" s="1" t="s">
        <v>658</v>
      </c>
      <c r="D431" s="1" t="s">
        <v>112</v>
      </c>
      <c r="E431" s="1">
        <v>191604</v>
      </c>
      <c r="F431" s="1"/>
      <c r="G431" s="1"/>
      <c r="H431" s="1"/>
    </row>
    <row r="432" spans="1:8" x14ac:dyDescent="0.35">
      <c r="A432" s="1" t="s">
        <v>659</v>
      </c>
      <c r="B432" s="1">
        <v>2187</v>
      </c>
      <c r="C432" s="1" t="s">
        <v>660</v>
      </c>
      <c r="D432" s="1" t="s">
        <v>112</v>
      </c>
      <c r="E432" s="1">
        <v>221439</v>
      </c>
      <c r="F432" s="1"/>
      <c r="G432" s="1"/>
      <c r="H432" s="1"/>
    </row>
    <row r="433" spans="1:8" x14ac:dyDescent="0.35">
      <c r="A433" s="1" t="s">
        <v>661</v>
      </c>
      <c r="B433" s="1">
        <v>2340</v>
      </c>
      <c r="C433" s="1" t="s">
        <v>662</v>
      </c>
      <c r="D433" s="1" t="s">
        <v>112</v>
      </c>
      <c r="E433" s="1">
        <v>264552</v>
      </c>
      <c r="F433" s="1"/>
      <c r="G433" s="1"/>
      <c r="H433" s="1"/>
    </row>
    <row r="434" spans="1:8" x14ac:dyDescent="0.35">
      <c r="A434" s="1" t="s">
        <v>663</v>
      </c>
      <c r="B434" s="1">
        <v>1820</v>
      </c>
      <c r="C434" s="1" t="s">
        <v>664</v>
      </c>
      <c r="D434" s="1" t="s">
        <v>112</v>
      </c>
      <c r="E434" s="1">
        <v>178543</v>
      </c>
      <c r="F434" s="1"/>
      <c r="G434" s="1"/>
      <c r="H434" s="1"/>
    </row>
    <row r="435" spans="1:8" x14ac:dyDescent="0.35">
      <c r="A435" s="1" t="s">
        <v>112</v>
      </c>
      <c r="B435" s="1"/>
      <c r="C435" s="1"/>
      <c r="D435" s="1"/>
      <c r="E435" s="1"/>
      <c r="F435" s="1"/>
      <c r="G435" s="1"/>
      <c r="H435" s="1"/>
    </row>
    <row r="436" spans="1:8" x14ac:dyDescent="0.35">
      <c r="A436" s="1" t="s">
        <v>176</v>
      </c>
      <c r="B436" s="1" t="s">
        <v>112</v>
      </c>
      <c r="C436" s="1" t="s">
        <v>177</v>
      </c>
      <c r="D436" s="1" t="s">
        <v>178</v>
      </c>
      <c r="E436" s="1" t="s">
        <v>179</v>
      </c>
      <c r="F436" s="1" t="s">
        <v>180</v>
      </c>
      <c r="G436" s="1" t="s">
        <v>181</v>
      </c>
      <c r="H436" s="1" t="s">
        <v>182</v>
      </c>
    </row>
    <row r="437" spans="1:8" x14ac:dyDescent="0.35">
      <c r="A437" s="1" t="s">
        <v>665</v>
      </c>
      <c r="B437" s="1" t="s">
        <v>112</v>
      </c>
      <c r="C437" s="1" t="s">
        <v>666</v>
      </c>
      <c r="D437" s="1" t="s">
        <v>667</v>
      </c>
      <c r="E437" s="1" t="s">
        <v>668</v>
      </c>
      <c r="F437" s="1" t="s">
        <v>669</v>
      </c>
      <c r="G437" s="1">
        <v>8</v>
      </c>
      <c r="H437" s="1">
        <v>8</v>
      </c>
    </row>
    <row r="438" spans="1:8" x14ac:dyDescent="0.35">
      <c r="A438" s="1" t="s">
        <v>112</v>
      </c>
      <c r="B438" s="1"/>
      <c r="C438" s="1"/>
      <c r="D438" s="1"/>
      <c r="E438" s="1"/>
      <c r="F438" s="1"/>
      <c r="G438" s="1"/>
      <c r="H438" s="1"/>
    </row>
    <row r="439" spans="1:8" x14ac:dyDescent="0.35">
      <c r="A439" s="1" t="s">
        <v>112</v>
      </c>
      <c r="B439" s="1"/>
      <c r="C439" s="1"/>
      <c r="D439" s="1"/>
      <c r="E439" s="1"/>
      <c r="F439" s="1"/>
      <c r="G439" s="1"/>
      <c r="H439" s="1"/>
    </row>
    <row r="440" spans="1:8" x14ac:dyDescent="0.35">
      <c r="A440" s="1" t="s">
        <v>112</v>
      </c>
      <c r="B440" s="1"/>
      <c r="C440" s="1"/>
      <c r="D440" s="1"/>
      <c r="E440" s="1"/>
      <c r="F440" s="1"/>
      <c r="G440" s="1"/>
      <c r="H440" s="1"/>
    </row>
    <row r="441" spans="1:8" x14ac:dyDescent="0.35">
      <c r="A441" s="1" t="s">
        <v>112</v>
      </c>
      <c r="B441" s="1"/>
      <c r="C441" s="1"/>
      <c r="D441" s="1"/>
      <c r="E441" s="1"/>
      <c r="F441" s="1"/>
      <c r="G441" s="1"/>
      <c r="H441" s="1"/>
    </row>
    <row r="442" spans="1:8" x14ac:dyDescent="0.35">
      <c r="A442" s="1" t="s">
        <v>112</v>
      </c>
      <c r="B442" s="1"/>
      <c r="C442" s="1"/>
      <c r="D442" s="1"/>
      <c r="E442" s="1"/>
      <c r="F442" s="1"/>
      <c r="G442" s="1"/>
      <c r="H442" s="1"/>
    </row>
    <row r="443" spans="1:8" x14ac:dyDescent="0.35">
      <c r="A443" s="1" t="s">
        <v>175</v>
      </c>
      <c r="B443" s="1" t="s">
        <v>110</v>
      </c>
      <c r="C443" s="1" t="s">
        <v>111</v>
      </c>
      <c r="D443" s="1" t="s">
        <v>112</v>
      </c>
      <c r="E443" s="1" t="s">
        <v>113</v>
      </c>
      <c r="F443" s="1"/>
      <c r="G443" s="1"/>
      <c r="H443" s="1"/>
    </row>
    <row r="444" spans="1:8" x14ac:dyDescent="0.35">
      <c r="A444" s="1" t="s">
        <v>670</v>
      </c>
      <c r="B444" s="1">
        <v>2233</v>
      </c>
      <c r="C444" s="1" t="s">
        <v>671</v>
      </c>
      <c r="D444" s="1" t="s">
        <v>112</v>
      </c>
      <c r="E444" s="1">
        <v>294182</v>
      </c>
      <c r="F444" s="1"/>
      <c r="G444" s="1"/>
      <c r="H444" s="1"/>
    </row>
    <row r="445" spans="1:8" x14ac:dyDescent="0.35">
      <c r="A445" s="1" t="s">
        <v>672</v>
      </c>
      <c r="B445" s="1">
        <v>2366</v>
      </c>
      <c r="C445" s="1" t="s">
        <v>673</v>
      </c>
      <c r="D445" s="1" t="s">
        <v>112</v>
      </c>
      <c r="E445" s="1">
        <v>297567</v>
      </c>
      <c r="F445" s="1"/>
      <c r="G445" s="1"/>
      <c r="H445" s="1"/>
    </row>
    <row r="446" spans="1:8" x14ac:dyDescent="0.35">
      <c r="A446" s="1" t="s">
        <v>674</v>
      </c>
      <c r="B446" s="1">
        <v>2594</v>
      </c>
      <c r="C446" s="1" t="s">
        <v>675</v>
      </c>
      <c r="D446" s="1" t="s">
        <v>112</v>
      </c>
      <c r="E446" s="1">
        <v>348959</v>
      </c>
      <c r="F446" s="1"/>
      <c r="G446" s="1"/>
      <c r="H446" s="1"/>
    </row>
    <row r="447" spans="1:8" x14ac:dyDescent="0.35">
      <c r="A447" s="1" t="s">
        <v>676</v>
      </c>
      <c r="B447" s="1">
        <v>2635</v>
      </c>
      <c r="C447" s="1" t="s">
        <v>677</v>
      </c>
      <c r="D447" s="1" t="s">
        <v>112</v>
      </c>
      <c r="E447" s="1">
        <v>334472</v>
      </c>
      <c r="F447" s="1"/>
      <c r="G447" s="1"/>
      <c r="H447" s="1"/>
    </row>
    <row r="448" spans="1:8" x14ac:dyDescent="0.35">
      <c r="A448" s="1" t="s">
        <v>678</v>
      </c>
      <c r="B448" s="1">
        <v>2222</v>
      </c>
      <c r="C448" s="1" t="s">
        <v>679</v>
      </c>
      <c r="D448" s="1" t="s">
        <v>112</v>
      </c>
      <c r="E448" s="1">
        <v>284606</v>
      </c>
      <c r="F448" s="1"/>
      <c r="G448" s="1"/>
      <c r="H448" s="1"/>
    </row>
    <row r="449" spans="1:8" x14ac:dyDescent="0.35">
      <c r="A449" s="1" t="s">
        <v>680</v>
      </c>
      <c r="B449" s="1">
        <v>3090</v>
      </c>
      <c r="C449" s="1" t="s">
        <v>681</v>
      </c>
      <c r="D449" s="1" t="s">
        <v>112</v>
      </c>
      <c r="E449" s="1">
        <v>360871</v>
      </c>
      <c r="F449" s="1"/>
      <c r="G449" s="1"/>
      <c r="H449" s="1"/>
    </row>
    <row r="450" spans="1:8" x14ac:dyDescent="0.35">
      <c r="A450" s="1" t="s">
        <v>682</v>
      </c>
      <c r="B450" s="1">
        <v>2303</v>
      </c>
      <c r="C450" s="1" t="s">
        <v>683</v>
      </c>
      <c r="D450" s="1" t="s">
        <v>112</v>
      </c>
      <c r="E450" s="1">
        <v>271538</v>
      </c>
      <c r="F450" s="1"/>
      <c r="G450" s="1"/>
      <c r="H450" s="1"/>
    </row>
    <row r="451" spans="1:8" x14ac:dyDescent="0.35">
      <c r="A451" s="1" t="s">
        <v>684</v>
      </c>
      <c r="B451" s="1">
        <v>2361</v>
      </c>
      <c r="C451" s="1" t="s">
        <v>685</v>
      </c>
      <c r="D451" s="1" t="s">
        <v>112</v>
      </c>
      <c r="E451" s="1">
        <v>283561</v>
      </c>
      <c r="F451" s="1"/>
      <c r="G451" s="1"/>
      <c r="H451" s="1"/>
    </row>
    <row r="452" spans="1:8" x14ac:dyDescent="0.35">
      <c r="A452" s="1" t="s">
        <v>112</v>
      </c>
      <c r="B452" s="1"/>
      <c r="C452" s="1"/>
      <c r="D452" s="1"/>
      <c r="E452" s="1"/>
      <c r="F452" s="1"/>
      <c r="G452" s="1"/>
      <c r="H452" s="1"/>
    </row>
    <row r="453" spans="1:8" x14ac:dyDescent="0.35">
      <c r="A453" s="1" t="s">
        <v>176</v>
      </c>
      <c r="B453" s="1" t="s">
        <v>112</v>
      </c>
      <c r="C453" s="1" t="s">
        <v>177</v>
      </c>
      <c r="D453" s="1" t="s">
        <v>178</v>
      </c>
      <c r="E453" s="1" t="s">
        <v>179</v>
      </c>
      <c r="F453" s="1" t="s">
        <v>180</v>
      </c>
      <c r="G453" s="1" t="s">
        <v>181</v>
      </c>
      <c r="H453" s="1" t="s">
        <v>182</v>
      </c>
    </row>
    <row r="454" spans="1:8" x14ac:dyDescent="0.35">
      <c r="A454" s="1" t="s">
        <v>686</v>
      </c>
      <c r="B454" s="1" t="s">
        <v>112</v>
      </c>
      <c r="C454" s="1" t="s">
        <v>687</v>
      </c>
      <c r="D454" s="1" t="s">
        <v>688</v>
      </c>
      <c r="E454" s="1" t="s">
        <v>689</v>
      </c>
      <c r="F454" s="1" t="s">
        <v>690</v>
      </c>
      <c r="G454" s="1">
        <v>8</v>
      </c>
      <c r="H454" s="1">
        <v>8</v>
      </c>
    </row>
    <row r="455" spans="1:8" x14ac:dyDescent="0.35">
      <c r="A455" s="1" t="s">
        <v>112</v>
      </c>
      <c r="B455" s="1"/>
      <c r="C455" s="1"/>
      <c r="D455" s="1"/>
      <c r="E455" s="1"/>
      <c r="F455" s="1"/>
      <c r="G455" s="1"/>
      <c r="H455" s="1"/>
    </row>
    <row r="456" spans="1:8" x14ac:dyDescent="0.35">
      <c r="A456" s="1" t="s">
        <v>112</v>
      </c>
      <c r="B456" s="1"/>
      <c r="C456" s="1"/>
      <c r="D456" s="1"/>
      <c r="E456" s="1"/>
      <c r="F456" s="1"/>
      <c r="G456" s="1"/>
      <c r="H456" s="1"/>
    </row>
    <row r="457" spans="1:8" x14ac:dyDescent="0.35">
      <c r="A457" s="1" t="s">
        <v>112</v>
      </c>
      <c r="B457" s="1"/>
      <c r="C457" s="1"/>
      <c r="D457" s="1"/>
      <c r="E457" s="1"/>
      <c r="F457" s="1"/>
      <c r="G457" s="1"/>
      <c r="H457" s="1"/>
    </row>
    <row r="458" spans="1:8" x14ac:dyDescent="0.35">
      <c r="A458" s="1" t="s">
        <v>112</v>
      </c>
      <c r="B458" s="1"/>
      <c r="C458" s="1"/>
      <c r="D458" s="1"/>
      <c r="E458" s="1"/>
      <c r="F458" s="1"/>
      <c r="G458" s="1"/>
      <c r="H458" s="1"/>
    </row>
    <row r="459" spans="1:8" x14ac:dyDescent="0.35">
      <c r="A459" s="1" t="s">
        <v>112</v>
      </c>
      <c r="B459" s="1"/>
      <c r="C459" s="1"/>
      <c r="D459" s="1"/>
      <c r="E459" s="1"/>
      <c r="F459" s="1"/>
      <c r="G459" s="1"/>
      <c r="H459" s="1"/>
    </row>
    <row r="460" spans="1:8" x14ac:dyDescent="0.35">
      <c r="A460" s="1" t="s">
        <v>175</v>
      </c>
      <c r="B460" s="1" t="s">
        <v>110</v>
      </c>
      <c r="C460" s="1" t="s">
        <v>111</v>
      </c>
      <c r="D460" s="1" t="s">
        <v>112</v>
      </c>
      <c r="E460" s="1" t="s">
        <v>113</v>
      </c>
      <c r="F460" s="1"/>
      <c r="G460" s="1"/>
      <c r="H460" s="1"/>
    </row>
    <row r="461" spans="1:8" x14ac:dyDescent="0.35">
      <c r="A461" s="1" t="s">
        <v>691</v>
      </c>
      <c r="B461" s="1">
        <v>1855</v>
      </c>
      <c r="C461" s="1" t="s">
        <v>692</v>
      </c>
      <c r="D461" s="1" t="s">
        <v>112</v>
      </c>
      <c r="E461" s="1">
        <v>175719</v>
      </c>
      <c r="F461" s="1"/>
      <c r="G461" s="1"/>
      <c r="H461" s="1"/>
    </row>
    <row r="462" spans="1:8" x14ac:dyDescent="0.35">
      <c r="A462" s="1" t="s">
        <v>693</v>
      </c>
      <c r="B462" s="1">
        <v>1281</v>
      </c>
      <c r="C462" s="1" t="s">
        <v>694</v>
      </c>
      <c r="D462" s="1" t="s">
        <v>112</v>
      </c>
      <c r="E462" s="1">
        <v>128511</v>
      </c>
      <c r="F462" s="1"/>
      <c r="G462" s="1"/>
      <c r="H462" s="1"/>
    </row>
    <row r="463" spans="1:8" x14ac:dyDescent="0.35">
      <c r="A463" s="1" t="s">
        <v>695</v>
      </c>
      <c r="B463" s="1">
        <v>1590</v>
      </c>
      <c r="C463" s="1" t="s">
        <v>696</v>
      </c>
      <c r="D463" s="1" t="s">
        <v>112</v>
      </c>
      <c r="E463" s="1">
        <v>143016</v>
      </c>
      <c r="F463" s="1"/>
      <c r="G463" s="1"/>
      <c r="H463" s="1"/>
    </row>
    <row r="464" spans="1:8" x14ac:dyDescent="0.35">
      <c r="A464" s="1" t="s">
        <v>697</v>
      </c>
      <c r="B464" s="1">
        <v>1713</v>
      </c>
      <c r="C464" s="1" t="s">
        <v>698</v>
      </c>
      <c r="D464" s="1" t="s">
        <v>112</v>
      </c>
      <c r="E464" s="1">
        <v>160852</v>
      </c>
      <c r="F464" s="1"/>
      <c r="G464" s="1"/>
      <c r="H464" s="1"/>
    </row>
    <row r="465" spans="1:8" x14ac:dyDescent="0.35">
      <c r="A465" s="1" t="s">
        <v>699</v>
      </c>
      <c r="B465" s="1">
        <v>1644</v>
      </c>
      <c r="C465" s="1" t="s">
        <v>700</v>
      </c>
      <c r="D465" s="1" t="s">
        <v>112</v>
      </c>
      <c r="E465" s="1">
        <v>169885</v>
      </c>
      <c r="F465" s="1"/>
      <c r="G465" s="1"/>
      <c r="H465" s="1"/>
    </row>
    <row r="466" spans="1:8" x14ac:dyDescent="0.35">
      <c r="A466" s="1" t="s">
        <v>701</v>
      </c>
      <c r="B466" s="1">
        <v>1749</v>
      </c>
      <c r="C466" s="1" t="s">
        <v>702</v>
      </c>
      <c r="D466" s="1" t="s">
        <v>112</v>
      </c>
      <c r="E466" s="1">
        <v>180924</v>
      </c>
      <c r="F466" s="1"/>
      <c r="G466" s="1"/>
      <c r="H466" s="1"/>
    </row>
    <row r="467" spans="1:8" x14ac:dyDescent="0.35">
      <c r="A467" s="1" t="s">
        <v>703</v>
      </c>
      <c r="B467" s="1">
        <v>1266</v>
      </c>
      <c r="C467" s="1" t="s">
        <v>704</v>
      </c>
      <c r="D467" s="1" t="s">
        <v>112</v>
      </c>
      <c r="E467" s="1">
        <v>119051</v>
      </c>
      <c r="F467" s="1"/>
      <c r="G467" s="1"/>
      <c r="H467" s="1"/>
    </row>
    <row r="468" spans="1:8" x14ac:dyDescent="0.35">
      <c r="A468" s="1" t="s">
        <v>705</v>
      </c>
      <c r="B468" s="1">
        <v>2035</v>
      </c>
      <c r="C468" s="1" t="s">
        <v>706</v>
      </c>
      <c r="D468" s="1" t="s">
        <v>112</v>
      </c>
      <c r="E468" s="1">
        <v>205668</v>
      </c>
      <c r="F468" s="1"/>
      <c r="G468" s="1"/>
      <c r="H468" s="1"/>
    </row>
    <row r="469" spans="1:8" x14ac:dyDescent="0.35">
      <c r="A469" s="1" t="s">
        <v>112</v>
      </c>
      <c r="B469" s="1"/>
      <c r="C469" s="1"/>
      <c r="D469" s="1"/>
      <c r="E469" s="1"/>
      <c r="F469" s="1"/>
      <c r="G469" s="1"/>
      <c r="H469" s="1"/>
    </row>
    <row r="470" spans="1:8" x14ac:dyDescent="0.35">
      <c r="A470" s="1" t="s">
        <v>176</v>
      </c>
      <c r="B470" s="1" t="s">
        <v>112</v>
      </c>
      <c r="C470" s="1" t="s">
        <v>177</v>
      </c>
      <c r="D470" s="1" t="s">
        <v>178</v>
      </c>
      <c r="E470" s="1" t="s">
        <v>179</v>
      </c>
      <c r="F470" s="1" t="s">
        <v>180</v>
      </c>
      <c r="G470" s="1" t="s">
        <v>181</v>
      </c>
      <c r="H470" s="1" t="s">
        <v>182</v>
      </c>
    </row>
    <row r="471" spans="1:8" x14ac:dyDescent="0.35">
      <c r="A471" s="1" t="s">
        <v>707</v>
      </c>
      <c r="B471" s="1" t="s">
        <v>112</v>
      </c>
      <c r="C471" s="1" t="s">
        <v>708</v>
      </c>
      <c r="D471" s="1" t="s">
        <v>709</v>
      </c>
      <c r="E471" s="1" t="s">
        <v>710</v>
      </c>
      <c r="F471" s="1" t="s">
        <v>711</v>
      </c>
      <c r="G471" s="1">
        <v>8</v>
      </c>
      <c r="H471" s="1">
        <v>8</v>
      </c>
    </row>
    <row r="472" spans="1:8" x14ac:dyDescent="0.35">
      <c r="A472" s="1" t="s">
        <v>112</v>
      </c>
      <c r="B472" s="1"/>
      <c r="C472" s="1"/>
      <c r="D472" s="1"/>
      <c r="E472" s="1"/>
      <c r="F472" s="1"/>
      <c r="G472" s="1"/>
      <c r="H472" s="1"/>
    </row>
    <row r="473" spans="1:8" x14ac:dyDescent="0.35">
      <c r="A473" s="1" t="s">
        <v>112</v>
      </c>
      <c r="B473" s="1"/>
      <c r="C473" s="1"/>
      <c r="D473" s="1"/>
      <c r="E473" s="1"/>
      <c r="F473" s="1"/>
      <c r="G473" s="1"/>
      <c r="H473" s="1"/>
    </row>
    <row r="474" spans="1:8" x14ac:dyDescent="0.35">
      <c r="A474" s="1" t="s">
        <v>112</v>
      </c>
      <c r="B474" s="1"/>
      <c r="C474" s="1"/>
      <c r="D474" s="1"/>
      <c r="E474" s="1"/>
      <c r="F474" s="1"/>
      <c r="G474" s="1"/>
      <c r="H474" s="1"/>
    </row>
    <row r="475" spans="1:8" x14ac:dyDescent="0.35">
      <c r="A475" s="1" t="s">
        <v>112</v>
      </c>
      <c r="B475" s="1"/>
      <c r="C475" s="1"/>
      <c r="D475" s="1"/>
      <c r="E475" s="1"/>
      <c r="F475" s="1"/>
      <c r="G475" s="1"/>
      <c r="H475" s="1"/>
    </row>
    <row r="476" spans="1:8" x14ac:dyDescent="0.35">
      <c r="A476" s="1" t="s">
        <v>112</v>
      </c>
      <c r="B476" s="1"/>
      <c r="C476" s="1"/>
      <c r="D476" s="1"/>
      <c r="E476" s="1"/>
      <c r="F476" s="1"/>
      <c r="G476" s="1"/>
      <c r="H476" s="1"/>
    </row>
    <row r="477" spans="1:8" x14ac:dyDescent="0.35">
      <c r="A477" s="1" t="s">
        <v>175</v>
      </c>
      <c r="B477" s="1" t="s">
        <v>110</v>
      </c>
      <c r="C477" s="1" t="s">
        <v>111</v>
      </c>
      <c r="D477" s="1" t="s">
        <v>112</v>
      </c>
      <c r="E477" s="1" t="s">
        <v>113</v>
      </c>
      <c r="F477" s="1"/>
      <c r="G477" s="1"/>
      <c r="H477" s="1"/>
    </row>
    <row r="478" spans="1:8" x14ac:dyDescent="0.35">
      <c r="A478" s="1" t="s">
        <v>712</v>
      </c>
      <c r="B478" s="1">
        <v>2518</v>
      </c>
      <c r="C478" s="1" t="s">
        <v>713</v>
      </c>
      <c r="D478" s="1" t="s">
        <v>112</v>
      </c>
      <c r="E478" s="1">
        <v>281738</v>
      </c>
      <c r="F478" s="1"/>
      <c r="G478" s="1"/>
      <c r="H478" s="1"/>
    </row>
    <row r="479" spans="1:8" x14ac:dyDescent="0.35">
      <c r="A479" s="1" t="s">
        <v>714</v>
      </c>
      <c r="B479" s="1">
        <v>1714</v>
      </c>
      <c r="C479" s="1" t="s">
        <v>715</v>
      </c>
      <c r="D479" s="1" t="s">
        <v>112</v>
      </c>
      <c r="E479" s="1">
        <v>184613</v>
      </c>
      <c r="F479" s="1"/>
      <c r="G479" s="1"/>
      <c r="H479" s="1"/>
    </row>
    <row r="480" spans="1:8" x14ac:dyDescent="0.35">
      <c r="A480" s="1" t="s">
        <v>716</v>
      </c>
      <c r="B480" s="1">
        <v>2386</v>
      </c>
      <c r="C480" s="1" t="s">
        <v>717</v>
      </c>
      <c r="D480" s="1" t="s">
        <v>112</v>
      </c>
      <c r="E480" s="1">
        <v>266720</v>
      </c>
      <c r="F480" s="1"/>
      <c r="G480" s="1"/>
      <c r="H480" s="1"/>
    </row>
    <row r="481" spans="1:8" x14ac:dyDescent="0.35">
      <c r="A481" s="1" t="s">
        <v>718</v>
      </c>
      <c r="B481" s="1">
        <v>2683</v>
      </c>
      <c r="C481" s="1" t="s">
        <v>719</v>
      </c>
      <c r="D481" s="1" t="s">
        <v>112</v>
      </c>
      <c r="E481" s="1">
        <v>308508</v>
      </c>
      <c r="F481" s="1"/>
      <c r="G481" s="1"/>
      <c r="H481" s="1"/>
    </row>
    <row r="482" spans="1:8" x14ac:dyDescent="0.35">
      <c r="A482" s="1" t="s">
        <v>720</v>
      </c>
      <c r="B482" s="1">
        <v>1366</v>
      </c>
      <c r="C482" s="1" t="s">
        <v>721</v>
      </c>
      <c r="D482" s="1" t="s">
        <v>112</v>
      </c>
      <c r="E482" s="1">
        <v>164600</v>
      </c>
      <c r="F482" s="1"/>
      <c r="G482" s="1"/>
      <c r="H482" s="1"/>
    </row>
    <row r="483" spans="1:8" x14ac:dyDescent="0.35">
      <c r="A483" s="1" t="s">
        <v>722</v>
      </c>
      <c r="B483" s="1">
        <v>1069</v>
      </c>
      <c r="C483" s="1" t="s">
        <v>723</v>
      </c>
      <c r="D483" s="1" t="s">
        <v>112</v>
      </c>
      <c r="E483" s="1">
        <v>98330</v>
      </c>
      <c r="F483" s="1"/>
      <c r="G483" s="1"/>
      <c r="H483" s="1"/>
    </row>
    <row r="484" spans="1:8" x14ac:dyDescent="0.35">
      <c r="A484" s="1" t="s">
        <v>724</v>
      </c>
      <c r="B484" s="1">
        <v>2530</v>
      </c>
      <c r="C484" s="1" t="s">
        <v>725</v>
      </c>
      <c r="D484" s="1" t="s">
        <v>112</v>
      </c>
      <c r="E484" s="1">
        <v>298991</v>
      </c>
      <c r="F484" s="1"/>
      <c r="G484" s="1"/>
      <c r="H484" s="1"/>
    </row>
    <row r="485" spans="1:8" x14ac:dyDescent="0.35">
      <c r="A485" s="1" t="s">
        <v>726</v>
      </c>
      <c r="B485" s="1">
        <v>1599</v>
      </c>
      <c r="C485" s="1" t="s">
        <v>727</v>
      </c>
      <c r="D485" s="1" t="s">
        <v>112</v>
      </c>
      <c r="E485" s="1">
        <v>158197</v>
      </c>
      <c r="F485" s="1"/>
      <c r="G485" s="1"/>
      <c r="H485" s="1"/>
    </row>
    <row r="486" spans="1:8" x14ac:dyDescent="0.35">
      <c r="A486" s="1" t="s">
        <v>112</v>
      </c>
      <c r="B486" s="1"/>
      <c r="C486" s="1"/>
      <c r="D486" s="1"/>
      <c r="E486" s="1"/>
      <c r="F486" s="1"/>
      <c r="G486" s="1"/>
      <c r="H486" s="1"/>
    </row>
    <row r="487" spans="1:8" x14ac:dyDescent="0.35">
      <c r="A487" s="1" t="s">
        <v>176</v>
      </c>
      <c r="B487" s="1" t="s">
        <v>112</v>
      </c>
      <c r="C487" s="1" t="s">
        <v>177</v>
      </c>
      <c r="D487" s="1" t="s">
        <v>178</v>
      </c>
      <c r="E487" s="1" t="s">
        <v>179</v>
      </c>
      <c r="F487" s="1" t="s">
        <v>180</v>
      </c>
      <c r="G487" s="1" t="s">
        <v>181</v>
      </c>
      <c r="H487" s="1" t="s">
        <v>182</v>
      </c>
    </row>
    <row r="488" spans="1:8" x14ac:dyDescent="0.35">
      <c r="A488" s="1" t="s">
        <v>728</v>
      </c>
      <c r="B488" s="1" t="s">
        <v>112</v>
      </c>
      <c r="C488" s="1" t="s">
        <v>729</v>
      </c>
      <c r="D488" s="1" t="s">
        <v>730</v>
      </c>
      <c r="E488" s="1" t="s">
        <v>731</v>
      </c>
      <c r="F488" s="1" t="s">
        <v>732</v>
      </c>
      <c r="G488" s="1">
        <v>8</v>
      </c>
      <c r="H488" s="1">
        <v>8</v>
      </c>
    </row>
    <row r="489" spans="1:8" x14ac:dyDescent="0.35">
      <c r="A489" s="1" t="s">
        <v>112</v>
      </c>
      <c r="B489" s="1"/>
      <c r="C489" s="1"/>
      <c r="D489" s="1"/>
      <c r="E489" s="1"/>
      <c r="F489" s="1"/>
      <c r="G489" s="1"/>
      <c r="H489" s="1"/>
    </row>
    <row r="490" spans="1:8" x14ac:dyDescent="0.35">
      <c r="A490" s="1" t="s">
        <v>112</v>
      </c>
      <c r="B490" s="1"/>
      <c r="C490" s="1"/>
      <c r="D490" s="1"/>
      <c r="E490" s="1"/>
      <c r="F490" s="1"/>
      <c r="G490" s="1"/>
      <c r="H490" s="1"/>
    </row>
    <row r="491" spans="1:8" x14ac:dyDescent="0.35">
      <c r="A491" s="1" t="s">
        <v>112</v>
      </c>
      <c r="B491" s="1"/>
      <c r="C491" s="1"/>
      <c r="D491" s="1"/>
      <c r="E491" s="1"/>
      <c r="F491" s="1"/>
      <c r="G491" s="1"/>
      <c r="H491" s="1"/>
    </row>
    <row r="492" spans="1:8" x14ac:dyDescent="0.35">
      <c r="A492" s="1" t="s">
        <v>112</v>
      </c>
      <c r="B492" s="1"/>
      <c r="C492" s="1"/>
      <c r="D492" s="1"/>
      <c r="E492" s="1"/>
      <c r="F492" s="1"/>
      <c r="G492" s="1"/>
      <c r="H492" s="1"/>
    </row>
    <row r="493" spans="1:8" x14ac:dyDescent="0.35">
      <c r="A493" s="1" t="s">
        <v>112</v>
      </c>
      <c r="B493" s="1"/>
      <c r="C493" s="1"/>
      <c r="D493" s="1"/>
      <c r="E493" s="1"/>
      <c r="F493" s="1"/>
      <c r="G493" s="1"/>
      <c r="H493" s="1"/>
    </row>
    <row r="494" spans="1:8" x14ac:dyDescent="0.35">
      <c r="A494" s="1" t="s">
        <v>175</v>
      </c>
      <c r="B494" s="1" t="s">
        <v>110</v>
      </c>
      <c r="C494" s="1" t="s">
        <v>111</v>
      </c>
      <c r="D494" s="1" t="s">
        <v>112</v>
      </c>
      <c r="E494" s="1" t="s">
        <v>113</v>
      </c>
      <c r="F494" s="1"/>
      <c r="G494" s="1"/>
      <c r="H494" s="1"/>
    </row>
    <row r="495" spans="1:8" x14ac:dyDescent="0.35">
      <c r="A495" s="1" t="s">
        <v>733</v>
      </c>
      <c r="B495" s="1">
        <v>108</v>
      </c>
      <c r="C495" s="1" t="s">
        <v>734</v>
      </c>
      <c r="D495" s="1" t="s">
        <v>112</v>
      </c>
      <c r="E495" s="1">
        <v>9019</v>
      </c>
      <c r="F495" s="1"/>
      <c r="G495" s="1"/>
      <c r="H495" s="1"/>
    </row>
    <row r="496" spans="1:8" x14ac:dyDescent="0.35">
      <c r="A496" s="1" t="s">
        <v>735</v>
      </c>
      <c r="B496" s="1">
        <v>64</v>
      </c>
      <c r="C496" s="1" t="s">
        <v>736</v>
      </c>
      <c r="D496" s="1" t="s">
        <v>112</v>
      </c>
      <c r="E496" s="1">
        <v>5474</v>
      </c>
      <c r="F496" s="1"/>
      <c r="G496" s="1"/>
      <c r="H496" s="1"/>
    </row>
    <row r="497" spans="1:8" x14ac:dyDescent="0.35">
      <c r="A497" s="1" t="s">
        <v>737</v>
      </c>
      <c r="B497" s="1">
        <v>23</v>
      </c>
      <c r="C497" s="1" t="s">
        <v>738</v>
      </c>
      <c r="D497" s="1" t="s">
        <v>112</v>
      </c>
      <c r="E497" s="1">
        <v>1919</v>
      </c>
      <c r="F497" s="1"/>
      <c r="G497" s="1"/>
      <c r="H497" s="1"/>
    </row>
    <row r="498" spans="1:8" x14ac:dyDescent="0.35">
      <c r="A498" s="1" t="s">
        <v>739</v>
      </c>
      <c r="B498" s="1">
        <v>133</v>
      </c>
      <c r="C498" s="1" t="s">
        <v>740</v>
      </c>
      <c r="D498" s="1" t="s">
        <v>112</v>
      </c>
      <c r="E498" s="1">
        <v>11159</v>
      </c>
      <c r="F498" s="1"/>
      <c r="G498" s="1"/>
      <c r="H498" s="1"/>
    </row>
    <row r="499" spans="1:8" x14ac:dyDescent="0.35">
      <c r="A499" s="1" t="s">
        <v>741</v>
      </c>
      <c r="B499" s="1">
        <v>142</v>
      </c>
      <c r="C499" s="1" t="s">
        <v>742</v>
      </c>
      <c r="D499" s="1" t="s">
        <v>112</v>
      </c>
      <c r="E499" s="1">
        <v>11995</v>
      </c>
      <c r="F499" s="1"/>
      <c r="G499" s="1"/>
      <c r="H499" s="1"/>
    </row>
    <row r="500" spans="1:8" x14ac:dyDescent="0.35">
      <c r="A500" s="1" t="s">
        <v>743</v>
      </c>
      <c r="B500" s="1">
        <v>19</v>
      </c>
      <c r="C500" s="1" t="s">
        <v>744</v>
      </c>
      <c r="D500" s="1" t="s">
        <v>112</v>
      </c>
      <c r="E500" s="1">
        <v>1614</v>
      </c>
      <c r="F500" s="1"/>
      <c r="G500" s="1"/>
      <c r="H500" s="1"/>
    </row>
    <row r="501" spans="1:8" x14ac:dyDescent="0.35">
      <c r="A501" s="1" t="s">
        <v>745</v>
      </c>
      <c r="B501" s="1">
        <v>108</v>
      </c>
      <c r="C501" s="1" t="s">
        <v>746</v>
      </c>
      <c r="D501" s="1" t="s">
        <v>112</v>
      </c>
      <c r="E501" s="1">
        <v>9606</v>
      </c>
      <c r="F501" s="1"/>
      <c r="G501" s="1"/>
      <c r="H501" s="1"/>
    </row>
    <row r="502" spans="1:8" x14ac:dyDescent="0.35">
      <c r="A502" s="1" t="s">
        <v>747</v>
      </c>
      <c r="B502" s="1">
        <v>136</v>
      </c>
      <c r="C502" s="1" t="s">
        <v>748</v>
      </c>
      <c r="D502" s="1" t="s">
        <v>112</v>
      </c>
      <c r="E502" s="1">
        <v>11586</v>
      </c>
      <c r="F502" s="1"/>
      <c r="G502" s="1"/>
      <c r="H502" s="1"/>
    </row>
    <row r="503" spans="1:8" x14ac:dyDescent="0.35">
      <c r="A503" s="1" t="s">
        <v>112</v>
      </c>
      <c r="B503" s="1"/>
      <c r="C503" s="1"/>
      <c r="D503" s="1"/>
      <c r="E503" s="1"/>
      <c r="F503" s="1"/>
      <c r="G503" s="1"/>
      <c r="H503" s="1"/>
    </row>
    <row r="504" spans="1:8" x14ac:dyDescent="0.35">
      <c r="A504" s="1" t="s">
        <v>176</v>
      </c>
      <c r="B504" s="1" t="s">
        <v>112</v>
      </c>
      <c r="C504" s="1" t="s">
        <v>177</v>
      </c>
      <c r="D504" s="1" t="s">
        <v>178</v>
      </c>
      <c r="E504" s="1" t="s">
        <v>179</v>
      </c>
      <c r="F504" s="1" t="s">
        <v>180</v>
      </c>
      <c r="G504" s="1" t="s">
        <v>181</v>
      </c>
      <c r="H504" s="1" t="s">
        <v>182</v>
      </c>
    </row>
    <row r="505" spans="1:8" x14ac:dyDescent="0.35">
      <c r="A505" s="1" t="s">
        <v>749</v>
      </c>
      <c r="B505" s="1" t="s">
        <v>112</v>
      </c>
      <c r="C505" s="1" t="s">
        <v>750</v>
      </c>
      <c r="D505" s="1" t="s">
        <v>751</v>
      </c>
      <c r="E505" s="1" t="s">
        <v>752</v>
      </c>
      <c r="F505" s="1" t="s">
        <v>753</v>
      </c>
      <c r="G505" s="1">
        <v>8</v>
      </c>
      <c r="H505" s="1">
        <v>8</v>
      </c>
    </row>
    <row r="506" spans="1:8" x14ac:dyDescent="0.35">
      <c r="A506" s="1" t="s">
        <v>112</v>
      </c>
      <c r="B506" s="1"/>
      <c r="C506" s="1"/>
      <c r="D506" s="1"/>
      <c r="E506" s="1"/>
      <c r="F506" s="1"/>
      <c r="G506" s="1"/>
      <c r="H506" s="1"/>
    </row>
    <row r="507" spans="1:8" x14ac:dyDescent="0.35">
      <c r="A507" s="1" t="s">
        <v>112</v>
      </c>
      <c r="B507" s="1"/>
      <c r="C507" s="1"/>
      <c r="D507" s="1"/>
      <c r="E507" s="1"/>
      <c r="F507" s="1"/>
      <c r="G507" s="1"/>
      <c r="H507" s="1"/>
    </row>
    <row r="508" spans="1:8" x14ac:dyDescent="0.35">
      <c r="A508" s="1" t="s">
        <v>112</v>
      </c>
      <c r="B508" s="1"/>
      <c r="C508" s="1"/>
      <c r="D508" s="1"/>
      <c r="E508" s="1"/>
      <c r="F508" s="1"/>
      <c r="G508" s="1"/>
      <c r="H508" s="1"/>
    </row>
    <row r="509" spans="1:8" x14ac:dyDescent="0.35">
      <c r="A509" s="1" t="s">
        <v>112</v>
      </c>
      <c r="B509" s="1"/>
      <c r="C509" s="1"/>
      <c r="D509" s="1"/>
      <c r="E509" s="1"/>
      <c r="F509" s="1"/>
      <c r="G509" s="1"/>
      <c r="H509" s="1"/>
    </row>
    <row r="510" spans="1:8" x14ac:dyDescent="0.35">
      <c r="A510" s="1" t="s">
        <v>112</v>
      </c>
      <c r="B510" s="1"/>
      <c r="C510" s="1"/>
      <c r="D510" s="1"/>
      <c r="E510" s="1"/>
      <c r="F510" s="1"/>
      <c r="G510" s="1"/>
      <c r="H510" s="1"/>
    </row>
    <row r="511" spans="1:8" x14ac:dyDescent="0.35">
      <c r="A511" s="1" t="s">
        <v>112</v>
      </c>
      <c r="B511" s="1"/>
      <c r="C511" s="1"/>
      <c r="D511" s="1"/>
      <c r="E511" s="1"/>
      <c r="F511" s="1"/>
      <c r="G511" s="1"/>
      <c r="H511" s="1"/>
    </row>
    <row r="512" spans="1:8" x14ac:dyDescent="0.35">
      <c r="A512" s="1"/>
      <c r="B512" s="1" t="s">
        <v>183</v>
      </c>
      <c r="C512" s="1"/>
      <c r="D512" s="1"/>
      <c r="E512" s="1"/>
      <c r="F512" s="1"/>
      <c r="G512" s="1"/>
      <c r="H512" s="1"/>
    </row>
    <row r="513" spans="1:8" x14ac:dyDescent="0.35">
      <c r="A513" s="1"/>
      <c r="B513" s="1">
        <v>232</v>
      </c>
      <c r="C513" s="1"/>
      <c r="D513" s="1"/>
      <c r="E513" s="1"/>
      <c r="F513" s="1"/>
      <c r="G513" s="1"/>
      <c r="H513"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4"/>
  <sheetViews>
    <sheetView showGridLines="0" topLeftCell="A7" zoomScale="85" zoomScaleNormal="85" zoomScaleSheetLayoutView="40" zoomScalePageLayoutView="30" workbookViewId="0">
      <pane xSplit="1" topLeftCell="B1" activePane="topRight" state="frozen"/>
      <selection pane="topRight" activeCell="H39" sqref="H39"/>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18.26953125" bestFit="1" customWidth="1"/>
    <col min="10" max="10" width="14.81640625" customWidth="1"/>
    <col min="11" max="11" width="17.7265625" customWidth="1"/>
    <col min="12" max="12" width="25.81640625" bestFit="1" customWidth="1"/>
  </cols>
  <sheetData>
    <row r="1" spans="1:12" s="1" customFormat="1" ht="26.5" thickBot="1" x14ac:dyDescent="0.65">
      <c r="A1" s="214" t="s">
        <v>40</v>
      </c>
      <c r="B1" s="215"/>
      <c r="C1" s="215"/>
      <c r="D1" s="215"/>
      <c r="E1" s="215"/>
      <c r="F1" s="215"/>
      <c r="G1" s="215"/>
      <c r="H1" s="215"/>
      <c r="I1" s="215"/>
      <c r="J1" s="215"/>
      <c r="K1" s="215"/>
      <c r="L1" s="215"/>
    </row>
    <row r="2" spans="1:12" ht="15" thickBot="1" x14ac:dyDescent="0.4">
      <c r="A2"/>
      <c r="B2"/>
      <c r="C2"/>
      <c r="D2"/>
      <c r="E2"/>
      <c r="F2"/>
      <c r="G2"/>
      <c r="H2"/>
    </row>
    <row r="3" spans="1:12" ht="15" thickBot="1" x14ac:dyDescent="0.4">
      <c r="A3" s="50" t="s">
        <v>17</v>
      </c>
      <c r="B3" s="222" t="s">
        <v>6</v>
      </c>
      <c r="C3" s="223"/>
      <c r="D3" s="223"/>
      <c r="E3" s="223"/>
      <c r="F3" s="223"/>
      <c r="G3" s="223"/>
      <c r="H3" s="223"/>
      <c r="J3" s="222" t="s">
        <v>3</v>
      </c>
      <c r="K3" s="223"/>
      <c r="L3" s="223"/>
    </row>
    <row r="4" spans="1:12" x14ac:dyDescent="0.35">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
      <c r="J4" s="35" t="str">
        <f>'Page de garde'!A36</f>
        <v>Testo -30µg/L</v>
      </c>
      <c r="K4" s="35" t="str">
        <f>'Page de garde'!A37</f>
        <v>Testo 30µg/L + EE2 -64ng/L</v>
      </c>
      <c r="L4" s="35" t="str">
        <f>'Page de garde'!A38</f>
        <v>Testo 30µg/L + FAD-10mg/L</v>
      </c>
    </row>
    <row r="5" spans="1:12" ht="16.5" x14ac:dyDescent="0.35">
      <c r="A5" s="218" t="s">
        <v>33</v>
      </c>
      <c r="B5" s="72">
        <f>Feuil2!E23</f>
        <v>8304</v>
      </c>
      <c r="C5" s="12">
        <f>Feuil2!E36</f>
        <v>0</v>
      </c>
      <c r="D5" s="31">
        <f>Feuil2!E53</f>
        <v>2309</v>
      </c>
      <c r="E5" s="31">
        <f>Feuil2!E70</f>
        <v>0</v>
      </c>
      <c r="F5" s="31">
        <f>Feuil2!E87</f>
        <v>67935</v>
      </c>
      <c r="G5" s="31">
        <f>Feuil2!E104</f>
        <v>356147</v>
      </c>
      <c r="H5" s="31">
        <f>Feuil2!E121</f>
        <v>287243</v>
      </c>
      <c r="I5" s="3"/>
      <c r="J5" s="31">
        <f>Feuil2!E138</f>
        <v>54082</v>
      </c>
      <c r="K5" s="12"/>
      <c r="L5" s="12">
        <f>Feuil2!E155</f>
        <v>3263</v>
      </c>
    </row>
    <row r="6" spans="1:12" ht="16.5" x14ac:dyDescent="0.35">
      <c r="A6" s="219"/>
      <c r="B6" s="72" t="s">
        <v>112</v>
      </c>
      <c r="C6" s="12">
        <f>Feuil2!E37</f>
        <v>2617</v>
      </c>
      <c r="D6" s="31">
        <f>Feuil2!E54</f>
        <v>0</v>
      </c>
      <c r="E6" s="31">
        <f>Feuil2!E71</f>
        <v>72588</v>
      </c>
      <c r="F6" s="31">
        <f>Feuil2!E88</f>
        <v>109282</v>
      </c>
      <c r="G6" s="31">
        <f>Feuil2!E105</f>
        <v>366161</v>
      </c>
      <c r="H6" s="31">
        <f>Feuil2!E122</f>
        <v>278778</v>
      </c>
      <c r="I6" s="3"/>
      <c r="J6" s="31">
        <f>Feuil2!E139</f>
        <v>264211</v>
      </c>
      <c r="K6" s="12"/>
      <c r="L6" s="12">
        <f>Feuil2!E156</f>
        <v>81</v>
      </c>
    </row>
    <row r="7" spans="1:12" ht="16.5" x14ac:dyDescent="0.35">
      <c r="A7" s="219"/>
      <c r="B7" s="72">
        <f>Feuil2!E25</f>
        <v>81</v>
      </c>
      <c r="C7" s="12">
        <f>Feuil2!E38</f>
        <v>1500</v>
      </c>
      <c r="D7" s="31">
        <f>Feuil2!E55</f>
        <v>14071</v>
      </c>
      <c r="E7" s="31">
        <f>Feuil2!E72</f>
        <v>32748</v>
      </c>
      <c r="F7" s="31">
        <f>Feuil2!E89</f>
        <v>241206</v>
      </c>
      <c r="G7" s="31">
        <f>Feuil2!E106</f>
        <v>275197</v>
      </c>
      <c r="H7" s="31">
        <f>Feuil2!E123</f>
        <v>429004</v>
      </c>
      <c r="I7" s="3"/>
      <c r="J7" s="31">
        <f>Feuil2!E140</f>
        <v>288949</v>
      </c>
      <c r="K7" s="12"/>
      <c r="L7" s="12">
        <f>Feuil2!E157</f>
        <v>52926</v>
      </c>
    </row>
    <row r="8" spans="1:12" ht="16.5" x14ac:dyDescent="0.35">
      <c r="A8" s="219"/>
      <c r="B8" s="72">
        <f>Feuil2!E26</f>
        <v>0</v>
      </c>
      <c r="C8" s="12" t="s">
        <v>112</v>
      </c>
      <c r="D8" s="31">
        <f>Feuil2!E56</f>
        <v>19598</v>
      </c>
      <c r="E8" s="31">
        <f>Feuil2!E73</f>
        <v>2988</v>
      </c>
      <c r="F8" s="31">
        <f>Feuil2!E90</f>
        <v>259441</v>
      </c>
      <c r="G8" s="31">
        <f>Feuil2!E107</f>
        <v>331176</v>
      </c>
      <c r="H8" s="31">
        <f>Feuil2!E124</f>
        <v>537583</v>
      </c>
      <c r="I8" s="3"/>
      <c r="J8" s="31">
        <f>Feuil2!E141</f>
        <v>205637</v>
      </c>
      <c r="K8" s="12"/>
      <c r="L8" s="12">
        <f>Feuil2!E158</f>
        <v>2557</v>
      </c>
    </row>
    <row r="9" spans="1:12" ht="16.5" x14ac:dyDescent="0.35">
      <c r="A9" s="219"/>
      <c r="B9" s="72" t="s">
        <v>112</v>
      </c>
      <c r="C9" s="12" t="s">
        <v>112</v>
      </c>
      <c r="D9" s="31">
        <f>Feuil2!E57</f>
        <v>148599</v>
      </c>
      <c r="E9" s="31">
        <f>Feuil2!E74</f>
        <v>14001</v>
      </c>
      <c r="F9" s="31">
        <f>Feuil2!E91</f>
        <v>158732</v>
      </c>
      <c r="G9" s="31" t="s">
        <v>112</v>
      </c>
      <c r="H9" s="31">
        <f>Feuil2!E125</f>
        <v>337731</v>
      </c>
      <c r="I9" s="3"/>
      <c r="J9" s="31">
        <f>Feuil2!E142</f>
        <v>341545</v>
      </c>
      <c r="K9" s="12"/>
      <c r="L9" s="12">
        <f>Feuil2!E159</f>
        <v>17861</v>
      </c>
    </row>
    <row r="10" spans="1:12" ht="16.5" x14ac:dyDescent="0.35">
      <c r="A10" s="219"/>
      <c r="B10" s="72" t="s">
        <v>112</v>
      </c>
      <c r="C10" s="12">
        <f>Feuil2!E41</f>
        <v>11962</v>
      </c>
      <c r="D10" s="31">
        <f>Feuil2!E58</f>
        <v>6871</v>
      </c>
      <c r="E10" s="31">
        <f>Feuil2!E75</f>
        <v>302504</v>
      </c>
      <c r="F10" s="31">
        <f>Feuil2!E92</f>
        <v>92333</v>
      </c>
      <c r="G10" s="31">
        <f>Feuil2!E109</f>
        <v>244067</v>
      </c>
      <c r="H10" s="31">
        <f>Feuil2!E126</f>
        <v>379425</v>
      </c>
      <c r="I10" s="3"/>
      <c r="J10" s="31">
        <f>Feuil2!E143</f>
        <v>76649</v>
      </c>
      <c r="K10" s="12"/>
      <c r="L10" s="12">
        <f>Feuil2!E160</f>
        <v>32128</v>
      </c>
    </row>
    <row r="11" spans="1:12" ht="16.5" x14ac:dyDescent="0.35">
      <c r="A11" s="219"/>
      <c r="B11" s="72" t="s">
        <v>112</v>
      </c>
      <c r="C11" s="12">
        <f>Feuil2!E42</f>
        <v>0</v>
      </c>
      <c r="D11" s="31">
        <f>Feuil2!E59</f>
        <v>23082</v>
      </c>
      <c r="E11" s="31">
        <f>Feuil2!E76</f>
        <v>38182</v>
      </c>
      <c r="F11" s="31">
        <f>Feuil2!E93</f>
        <v>229497</v>
      </c>
      <c r="G11" s="31">
        <f>Feuil2!E110</f>
        <v>306562</v>
      </c>
      <c r="H11" s="31">
        <f>Feuil2!E127</f>
        <v>364890</v>
      </c>
      <c r="I11" s="3"/>
      <c r="J11" s="31">
        <f>Feuil2!E144</f>
        <v>358372</v>
      </c>
      <c r="K11" s="12"/>
      <c r="L11" s="12">
        <f>Feuil2!E161</f>
        <v>14960</v>
      </c>
    </row>
    <row r="12" spans="1:12" ht="16.5" x14ac:dyDescent="0.35">
      <c r="A12" s="219"/>
      <c r="B12" s="72" t="s">
        <v>112</v>
      </c>
      <c r="C12" s="12">
        <f>Feuil2!E43</f>
        <v>2585</v>
      </c>
      <c r="D12" s="31">
        <f>Feuil2!E60</f>
        <v>0</v>
      </c>
      <c r="E12" s="31">
        <f>Feuil2!E77</f>
        <v>252629</v>
      </c>
      <c r="F12" s="31">
        <f>Feuil2!E94</f>
        <v>33990</v>
      </c>
      <c r="G12" s="31">
        <f>Feuil2!E111</f>
        <v>215357</v>
      </c>
      <c r="H12" s="31">
        <f>Feuil2!E128</f>
        <v>347858</v>
      </c>
      <c r="I12" s="3"/>
      <c r="J12" s="31">
        <f>Feuil2!E145</f>
        <v>294098</v>
      </c>
      <c r="K12" s="12"/>
      <c r="L12" s="12">
        <f>Feuil2!E162</f>
        <v>580</v>
      </c>
    </row>
    <row r="13" spans="1:12" ht="16.5" x14ac:dyDescent="0.35">
      <c r="A13" s="219"/>
      <c r="B13" s="72" t="s">
        <v>112</v>
      </c>
      <c r="C13" s="12" t="s">
        <v>112</v>
      </c>
      <c r="D13" s="31" t="s">
        <v>112</v>
      </c>
      <c r="E13" s="31" t="s">
        <v>112</v>
      </c>
      <c r="F13" s="31" t="s">
        <v>112</v>
      </c>
      <c r="G13" s="15"/>
      <c r="H13" s="15"/>
      <c r="I13" s="3"/>
      <c r="J13" s="31"/>
      <c r="K13" s="12"/>
      <c r="L13" s="12" t="s">
        <v>112</v>
      </c>
    </row>
    <row r="14" spans="1:12" ht="16.5" x14ac:dyDescent="0.35">
      <c r="A14" s="219"/>
      <c r="B14" s="72" t="s">
        <v>112</v>
      </c>
      <c r="C14" s="12" t="s">
        <v>112</v>
      </c>
      <c r="D14" s="31" t="s">
        <v>112</v>
      </c>
      <c r="E14" s="15"/>
      <c r="F14" s="15"/>
      <c r="G14" s="15"/>
      <c r="H14" s="15"/>
      <c r="I14" s="3"/>
      <c r="J14" s="31"/>
      <c r="K14" s="12"/>
      <c r="L14" s="12"/>
    </row>
    <row r="15" spans="1:12" ht="16.5" x14ac:dyDescent="0.35">
      <c r="A15" s="219"/>
      <c r="B15" s="72" t="s">
        <v>112</v>
      </c>
      <c r="C15" s="15"/>
      <c r="D15" s="31" t="s">
        <v>112</v>
      </c>
      <c r="E15" s="15"/>
      <c r="F15" s="15"/>
      <c r="G15" s="15"/>
      <c r="H15" s="15"/>
      <c r="I15" s="3"/>
      <c r="J15" s="31"/>
      <c r="K15" s="12"/>
      <c r="L15" s="12"/>
    </row>
    <row r="16" spans="1:12" ht="16.5" x14ac:dyDescent="0.35">
      <c r="A16" s="219"/>
      <c r="B16" s="72" t="s">
        <v>112</v>
      </c>
      <c r="C16" s="15"/>
      <c r="D16" s="31" t="s">
        <v>112</v>
      </c>
      <c r="E16" s="15"/>
      <c r="F16" s="15"/>
      <c r="G16" s="15"/>
      <c r="H16" s="15"/>
      <c r="I16" s="3"/>
      <c r="J16" s="31"/>
      <c r="K16" s="12"/>
      <c r="L16" s="12"/>
    </row>
    <row r="17" spans="1:12" s="1" customFormat="1" ht="16.5" x14ac:dyDescent="0.35">
      <c r="A17" s="219"/>
      <c r="B17" s="13"/>
      <c r="C17" s="31"/>
      <c r="D17" s="31" t="s">
        <v>112</v>
      </c>
      <c r="E17" s="31"/>
      <c r="F17" s="31"/>
      <c r="G17" s="31"/>
      <c r="H17" s="31"/>
      <c r="I17" s="3"/>
      <c r="J17" s="31"/>
      <c r="K17" s="12"/>
      <c r="L17" s="12"/>
    </row>
    <row r="18" spans="1:12" s="1" customFormat="1" ht="16.5" x14ac:dyDescent="0.35">
      <c r="A18" s="219"/>
      <c r="B18" s="13"/>
      <c r="C18" s="31"/>
      <c r="D18" s="31"/>
      <c r="E18" s="31"/>
      <c r="F18" s="31"/>
      <c r="G18" s="31"/>
      <c r="H18" s="31"/>
      <c r="I18" s="3"/>
      <c r="J18" s="31"/>
      <c r="K18" s="12"/>
      <c r="L18" s="12"/>
    </row>
    <row r="19" spans="1:12" s="1" customFormat="1" ht="16.5" x14ac:dyDescent="0.35">
      <c r="A19" s="219"/>
      <c r="B19" s="13"/>
      <c r="C19" s="31"/>
      <c r="D19" s="31"/>
      <c r="E19" s="31"/>
      <c r="F19" s="31"/>
      <c r="G19" s="31"/>
      <c r="H19" s="31"/>
      <c r="I19" s="3"/>
      <c r="J19" s="31"/>
      <c r="K19" s="12"/>
      <c r="L19" s="12"/>
    </row>
    <row r="20" spans="1:12" ht="16.5" x14ac:dyDescent="0.35">
      <c r="A20" s="219"/>
      <c r="B20" s="13"/>
      <c r="C20" s="15"/>
      <c r="D20" s="15"/>
      <c r="E20" s="15"/>
      <c r="F20" s="15"/>
      <c r="G20" s="15"/>
      <c r="H20" s="15"/>
      <c r="I20" s="3"/>
      <c r="J20" s="31"/>
      <c r="K20" s="12"/>
      <c r="L20" s="12"/>
    </row>
    <row r="21" spans="1:12" s="1" customFormat="1" ht="16.5" x14ac:dyDescent="0.35">
      <c r="A21" s="65"/>
      <c r="B21" s="66"/>
      <c r="C21" s="6"/>
      <c r="D21" s="6"/>
      <c r="E21" s="6"/>
      <c r="F21" s="6"/>
      <c r="G21" s="6"/>
      <c r="H21" s="6"/>
      <c r="I21" s="3"/>
      <c r="J21" s="6"/>
      <c r="K21" s="32"/>
      <c r="L21" s="32"/>
    </row>
    <row r="22" spans="1:12" s="68" customFormat="1" x14ac:dyDescent="0.35">
      <c r="A22" s="67" t="str">
        <f t="shared" ref="A22:H22" si="0">A4</f>
        <v>Noms des groupes</v>
      </c>
      <c r="B22" s="67" t="str">
        <f t="shared" si="0"/>
        <v>Témoin solvant</v>
      </c>
      <c r="C22" s="67" t="str">
        <f t="shared" si="0"/>
        <v>EE2-33,8ng/L</v>
      </c>
      <c r="D22" s="67" t="str">
        <f t="shared" si="0"/>
        <v>EE2-50,6ng/L</v>
      </c>
      <c r="E22" s="67" t="str">
        <f t="shared" si="0"/>
        <v>EE2-76ng/L</v>
      </c>
      <c r="F22" s="67" t="str">
        <f t="shared" si="0"/>
        <v>EE2-114ng/L</v>
      </c>
      <c r="G22" s="67" t="str">
        <f t="shared" si="0"/>
        <v>EE2-170,9ng/L</v>
      </c>
      <c r="H22" s="67" t="str">
        <f t="shared" si="0"/>
        <v>EE2-488ng/L</v>
      </c>
      <c r="I22" s="67" t="s">
        <v>47</v>
      </c>
      <c r="J22" s="67" t="str">
        <f t="shared" ref="J22:L22" si="1">J4</f>
        <v>Testo -30µg/L</v>
      </c>
      <c r="K22" s="67" t="str">
        <f t="shared" si="1"/>
        <v>Testo 30µg/L + EE2 -64ng/L</v>
      </c>
      <c r="L22" s="67" t="str">
        <f t="shared" si="1"/>
        <v>Testo 30µg/L + FAD-10mg/L</v>
      </c>
    </row>
    <row r="23" spans="1:12" x14ac:dyDescent="0.35">
      <c r="A23" s="4" t="s">
        <v>0</v>
      </c>
      <c r="B23" s="4">
        <f t="shared" ref="B23:H23" si="2">AVERAGE(B5:B20)</f>
        <v>2795</v>
      </c>
      <c r="C23" s="4">
        <f t="shared" si="2"/>
        <v>3110.6666666666665</v>
      </c>
      <c r="D23" s="4">
        <f t="shared" si="2"/>
        <v>26816.25</v>
      </c>
      <c r="E23" s="4">
        <f t="shared" si="2"/>
        <v>89455</v>
      </c>
      <c r="F23" s="4">
        <f t="shared" si="2"/>
        <v>149052</v>
      </c>
      <c r="G23" s="4">
        <f t="shared" si="2"/>
        <v>299238.14285714284</v>
      </c>
      <c r="H23" s="4">
        <f t="shared" si="2"/>
        <v>370314</v>
      </c>
      <c r="I23" s="4" t="s">
        <v>0</v>
      </c>
      <c r="J23" s="4">
        <f t="shared" ref="J23:L23" si="3">AVERAGE(J5:J20)</f>
        <v>235442.875</v>
      </c>
      <c r="K23" s="4" t="e">
        <f t="shared" si="3"/>
        <v>#DIV/0!</v>
      </c>
      <c r="L23" s="4">
        <f t="shared" si="3"/>
        <v>15544.5</v>
      </c>
    </row>
    <row r="24" spans="1:12" x14ac:dyDescent="0.35">
      <c r="A24" s="3" t="s">
        <v>1</v>
      </c>
      <c r="B24" s="3">
        <f t="shared" ref="B24:H24" si="4">STDEV(B5:B20)</f>
        <v>4771.1058466565173</v>
      </c>
      <c r="C24" s="3">
        <f t="shared" si="4"/>
        <v>4490.2756114370832</v>
      </c>
      <c r="D24" s="3">
        <f t="shared" si="4"/>
        <v>49994.525671031508</v>
      </c>
      <c r="E24" s="3">
        <f t="shared" si="4"/>
        <v>119113.8566810284</v>
      </c>
      <c r="F24" s="3">
        <f t="shared" si="4"/>
        <v>86073.988816930883</v>
      </c>
      <c r="G24" s="3">
        <f t="shared" si="4"/>
        <v>56933.923854554378</v>
      </c>
      <c r="H24" s="3">
        <f t="shared" si="4"/>
        <v>83136.221021371224</v>
      </c>
      <c r="I24" s="3" t="s">
        <v>1</v>
      </c>
      <c r="J24" s="3">
        <f t="shared" ref="J24:L24" si="5">STDEV(J5:J20)</f>
        <v>114950.80731890428</v>
      </c>
      <c r="K24" s="3" t="e">
        <f t="shared" si="5"/>
        <v>#DIV/0!</v>
      </c>
      <c r="L24" s="3">
        <f t="shared" si="5"/>
        <v>18748.955468048269</v>
      </c>
    </row>
    <row r="25" spans="1:12" ht="15" thickBot="1" x14ac:dyDescent="0.4"/>
    <row r="26" spans="1:12" ht="15" thickBot="1" x14ac:dyDescent="0.4">
      <c r="B26" s="222" t="s">
        <v>6</v>
      </c>
      <c r="C26" s="223"/>
      <c r="D26" s="223"/>
      <c r="E26" s="223"/>
      <c r="F26" s="223"/>
      <c r="G26" s="223"/>
      <c r="H26" s="223"/>
      <c r="I26" s="1"/>
      <c r="J26" s="222" t="s">
        <v>3</v>
      </c>
      <c r="K26" s="223"/>
      <c r="L26" s="223"/>
    </row>
    <row r="27" spans="1:12" s="1" customFormat="1" x14ac:dyDescent="0.35">
      <c r="A27" s="33" t="s">
        <v>41</v>
      </c>
      <c r="B27" s="34" t="str">
        <f t="shared" ref="B27:H27" si="6">B4</f>
        <v>Témoin solvant</v>
      </c>
      <c r="C27" s="34" t="str">
        <f t="shared" si="6"/>
        <v>EE2-33,8ng/L</v>
      </c>
      <c r="D27" s="34" t="str">
        <f t="shared" si="6"/>
        <v>EE2-50,6ng/L</v>
      </c>
      <c r="E27" s="34" t="str">
        <f t="shared" si="6"/>
        <v>EE2-76ng/L</v>
      </c>
      <c r="F27" s="34" t="str">
        <f t="shared" si="6"/>
        <v>EE2-114ng/L</v>
      </c>
      <c r="G27" s="34" t="str">
        <f t="shared" si="6"/>
        <v>EE2-170,9ng/L</v>
      </c>
      <c r="H27" s="34" t="str">
        <f t="shared" si="6"/>
        <v>EE2-488ng/L</v>
      </c>
      <c r="I27" s="3"/>
      <c r="J27" s="35" t="str">
        <f t="shared" ref="J27:L27" si="7">J4</f>
        <v>Testo -30µg/L</v>
      </c>
      <c r="K27" s="35" t="str">
        <f t="shared" si="7"/>
        <v>Testo 30µg/L + EE2 -64ng/L</v>
      </c>
      <c r="L27" s="35" t="str">
        <f t="shared" si="7"/>
        <v>Testo 30µg/L + FAD-10mg/L</v>
      </c>
    </row>
    <row r="28" spans="1:12" x14ac:dyDescent="0.35">
      <c r="A28" s="220" t="s">
        <v>34</v>
      </c>
      <c r="B28" s="10">
        <f t="shared" ref="B28:H28" si="8">IF(B5="","",(B5/$J$23))</f>
        <v>3.5269701833194146E-2</v>
      </c>
      <c r="C28" s="10">
        <f t="shared" si="8"/>
        <v>0</v>
      </c>
      <c r="D28" s="10">
        <f t="shared" si="8"/>
        <v>9.8070497992347409E-3</v>
      </c>
      <c r="E28" s="10">
        <f t="shared" si="8"/>
        <v>0</v>
      </c>
      <c r="F28" s="10">
        <f t="shared" si="8"/>
        <v>0.28854132876180688</v>
      </c>
      <c r="G28" s="10">
        <f t="shared" si="8"/>
        <v>1.5126684126669792</v>
      </c>
      <c r="H28" s="10">
        <f t="shared" si="8"/>
        <v>1.2200114358950127</v>
      </c>
      <c r="I28" s="5"/>
      <c r="J28" s="10">
        <f t="shared" ref="J28:L28" si="9">IF(J5="","",(J5/$J$23))</f>
        <v>0.22970327728116641</v>
      </c>
      <c r="K28" s="10" t="str">
        <f t="shared" si="9"/>
        <v/>
      </c>
      <c r="L28" s="10">
        <f t="shared" si="9"/>
        <v>1.3858988087874819E-2</v>
      </c>
    </row>
    <row r="29" spans="1:12" x14ac:dyDescent="0.35">
      <c r="A29" s="221"/>
      <c r="B29" s="10" t="s">
        <v>112</v>
      </c>
      <c r="C29" s="10">
        <f t="shared" ref="C29:H30" si="10">IF(C6="","",(C6/$J$23))</f>
        <v>1.1115222747768435E-2</v>
      </c>
      <c r="D29" s="10">
        <f t="shared" si="10"/>
        <v>0</v>
      </c>
      <c r="E29" s="10">
        <f t="shared" si="10"/>
        <v>0.30830408437715517</v>
      </c>
      <c r="F29" s="10">
        <f t="shared" si="10"/>
        <v>0.46415505247291938</v>
      </c>
      <c r="G29" s="10">
        <f t="shared" si="10"/>
        <v>1.5552010227533961</v>
      </c>
      <c r="H29" s="10">
        <f t="shared" si="10"/>
        <v>1.184057916384176</v>
      </c>
      <c r="I29" s="5"/>
      <c r="J29" s="10">
        <f t="shared" ref="J29:L29" si="11">IF(J6="","",(J6/$J$23))</f>
        <v>1.1221872821592074</v>
      </c>
      <c r="K29" s="10" t="str">
        <f t="shared" si="11"/>
        <v/>
      </c>
      <c r="L29" s="10">
        <f t="shared" si="11"/>
        <v>3.4403249620528972E-4</v>
      </c>
    </row>
    <row r="30" spans="1:12" x14ac:dyDescent="0.35">
      <c r="A30" s="221"/>
      <c r="B30" s="10">
        <f>IF(B7="","",(B7/$J$23))</f>
        <v>3.4403249620528972E-4</v>
      </c>
      <c r="C30" s="10">
        <f t="shared" si="10"/>
        <v>6.3709721519498094E-3</v>
      </c>
      <c r="D30" s="10">
        <f t="shared" si="10"/>
        <v>5.976396610005718E-2</v>
      </c>
      <c r="E30" s="10">
        <f t="shared" si="10"/>
        <v>0.13909106402136823</v>
      </c>
      <c r="F30" s="10">
        <f t="shared" si="10"/>
        <v>1.0244778059221371</v>
      </c>
      <c r="G30" s="10">
        <f t="shared" si="10"/>
        <v>1.1688482822000879</v>
      </c>
      <c r="H30" s="10">
        <f t="shared" si="10"/>
        <v>1.8221150247167173</v>
      </c>
      <c r="I30" s="5"/>
      <c r="J30" s="10">
        <f t="shared" ref="J30:L30" si="12">IF(J7="","",(J7/$J$23))</f>
        <v>1.2272573548891637</v>
      </c>
      <c r="K30" s="10" t="str">
        <f t="shared" si="12"/>
        <v/>
      </c>
      <c r="L30" s="10">
        <f t="shared" si="12"/>
        <v>0.22479338140939709</v>
      </c>
    </row>
    <row r="31" spans="1:12" x14ac:dyDescent="0.35">
      <c r="A31" s="221"/>
      <c r="B31" s="10">
        <f>IF(B8="","",(B8/$J$23))</f>
        <v>0</v>
      </c>
      <c r="C31" s="10" t="s">
        <v>112</v>
      </c>
      <c r="D31" s="10">
        <f>IF(D8="","",(D8/$J$23))</f>
        <v>8.323887482260825E-2</v>
      </c>
      <c r="E31" s="10">
        <f>IF(E8="","",(E8/$J$23))</f>
        <v>1.2690976526684021E-2</v>
      </c>
      <c r="F31" s="10">
        <f>IF(F8="","",(F8/$J$23))</f>
        <v>1.1019275907160071</v>
      </c>
      <c r="G31" s="10">
        <f>IF(G8="","",(G8/$J$23))</f>
        <v>1.4066087155960867</v>
      </c>
      <c r="H31" s="10">
        <f>IF(H8="","",(H8/$J$23))</f>
        <v>2.2832842149077561</v>
      </c>
      <c r="I31" s="5"/>
      <c r="J31" s="10">
        <f t="shared" ref="J31:L31" si="13">IF(J8="","",(J8/$J$23))</f>
        <v>0.87340506694033526</v>
      </c>
      <c r="K31" s="10" t="str">
        <f t="shared" si="13"/>
        <v/>
      </c>
      <c r="L31" s="10">
        <f t="shared" si="13"/>
        <v>1.0860383861690442E-2</v>
      </c>
    </row>
    <row r="32" spans="1:12" x14ac:dyDescent="0.35">
      <c r="A32" s="221"/>
      <c r="B32" s="10" t="s">
        <v>112</v>
      </c>
      <c r="C32" s="10" t="s">
        <v>112</v>
      </c>
      <c r="D32" s="10">
        <f t="shared" ref="D32:F35" si="14">IF(D9="","",(D9/$J$23))</f>
        <v>0.63114672720505982</v>
      </c>
      <c r="E32" s="10">
        <f t="shared" si="14"/>
        <v>5.9466654066299522E-2</v>
      </c>
      <c r="F32" s="10">
        <f t="shared" si="14"/>
        <v>0.67418476774886482</v>
      </c>
      <c r="G32" s="10" t="s">
        <v>112</v>
      </c>
      <c r="H32" s="10">
        <f t="shared" ref="H32:H43" si="15">IF(H9="","",(H9/$J$23))</f>
        <v>1.4344498639001073</v>
      </c>
      <c r="I32" s="5"/>
      <c r="J32" s="10">
        <f t="shared" ref="J32:L32" si="16">IF(J9="","",(J9/$J$23))</f>
        <v>1.4506491224251319</v>
      </c>
      <c r="K32" s="10" t="str">
        <f t="shared" si="16"/>
        <v/>
      </c>
      <c r="L32" s="10">
        <f t="shared" si="16"/>
        <v>7.5861289070650359E-2</v>
      </c>
    </row>
    <row r="33" spans="1:12" x14ac:dyDescent="0.35">
      <c r="A33" s="221"/>
      <c r="B33" s="10" t="s">
        <v>112</v>
      </c>
      <c r="C33" s="10">
        <f>IF(C10="","",(C10/$J$23))</f>
        <v>5.0806379254415744E-2</v>
      </c>
      <c r="D33" s="10">
        <f t="shared" si="14"/>
        <v>2.9183299770698095E-2</v>
      </c>
      <c r="E33" s="10">
        <f t="shared" si="14"/>
        <v>1.28482970656895</v>
      </c>
      <c r="F33" s="10">
        <f t="shared" si="14"/>
        <v>0.3921673144706545</v>
      </c>
      <c r="G33" s="10">
        <f t="shared" ref="G33:G43" si="17">IF(G10="","",(G10/$J$23))</f>
        <v>1.0366293734732894</v>
      </c>
      <c r="H33" s="10">
        <f t="shared" si="15"/>
        <v>1.6115374058357044</v>
      </c>
      <c r="I33" s="5"/>
      <c r="J33" s="10">
        <f t="shared" ref="J33:L33" si="18">IF(J10="","",(J10/$J$23))</f>
        <v>0.3255524296498673</v>
      </c>
      <c r="K33" s="10" t="str">
        <f t="shared" si="18"/>
        <v/>
      </c>
      <c r="L33" s="10">
        <f t="shared" si="18"/>
        <v>0.13645772886522897</v>
      </c>
    </row>
    <row r="34" spans="1:12" x14ac:dyDescent="0.35">
      <c r="A34" s="221"/>
      <c r="B34" s="10" t="s">
        <v>112</v>
      </c>
      <c r="C34" s="10">
        <f>IF(C11="","",(C11/$J$23))</f>
        <v>0</v>
      </c>
      <c r="D34" s="10">
        <f t="shared" si="14"/>
        <v>9.8036519474203665E-2</v>
      </c>
      <c r="E34" s="10">
        <f t="shared" si="14"/>
        <v>0.16217097247049841</v>
      </c>
      <c r="F34" s="10">
        <f t="shared" si="14"/>
        <v>0.9747459973040169</v>
      </c>
      <c r="G34" s="10">
        <f t="shared" si="17"/>
        <v>1.3020653098973582</v>
      </c>
      <c r="H34" s="10">
        <f t="shared" si="15"/>
        <v>1.5498026856833107</v>
      </c>
      <c r="I34" s="5"/>
      <c r="J34" s="10">
        <f t="shared" ref="J34:L34" si="19">IF(J11="","",(J11/$J$23))</f>
        <v>1.5221186880257047</v>
      </c>
      <c r="K34" s="10" t="str">
        <f t="shared" si="19"/>
        <v/>
      </c>
      <c r="L34" s="10">
        <f t="shared" si="19"/>
        <v>6.3539828928779435E-2</v>
      </c>
    </row>
    <row r="35" spans="1:12" x14ac:dyDescent="0.35">
      <c r="A35" s="221"/>
      <c r="B35" s="10" t="s">
        <v>112</v>
      </c>
      <c r="C35" s="10">
        <f>IF(C12="","",(C12/$J$23))</f>
        <v>1.0979308675193505E-2</v>
      </c>
      <c r="D35" s="10">
        <f t="shared" si="14"/>
        <v>0</v>
      </c>
      <c r="E35" s="10">
        <f t="shared" si="14"/>
        <v>1.0729948825166189</v>
      </c>
      <c r="F35" s="10">
        <f t="shared" si="14"/>
        <v>0.14436622896318269</v>
      </c>
      <c r="G35" s="10">
        <f t="shared" si="17"/>
        <v>0.91468896648497011</v>
      </c>
      <c r="H35" s="10">
        <f t="shared" si="15"/>
        <v>1.4774624205553046</v>
      </c>
      <c r="I35" s="5"/>
      <c r="J35" s="10">
        <f t="shared" ref="J35:L35" si="20">IF(J12="","",(J12/$J$23))</f>
        <v>1.2491267786294233</v>
      </c>
      <c r="K35" s="10" t="str">
        <f t="shared" si="20"/>
        <v/>
      </c>
      <c r="L35" s="10">
        <f t="shared" si="20"/>
        <v>2.4634425654205929E-3</v>
      </c>
    </row>
    <row r="36" spans="1:12" s="1" customFormat="1" x14ac:dyDescent="0.35">
      <c r="A36" s="221"/>
      <c r="B36" s="10" t="s">
        <v>112</v>
      </c>
      <c r="C36" s="10" t="s">
        <v>112</v>
      </c>
      <c r="D36" s="10" t="s">
        <v>184</v>
      </c>
      <c r="E36" s="10" t="s">
        <v>112</v>
      </c>
      <c r="F36" s="10" t="s">
        <v>112</v>
      </c>
      <c r="G36" s="10" t="str">
        <f t="shared" si="17"/>
        <v/>
      </c>
      <c r="H36" s="10" t="str">
        <f t="shared" si="15"/>
        <v/>
      </c>
      <c r="I36" s="5"/>
      <c r="J36" s="10" t="str">
        <f t="shared" ref="J36:K36" si="21">IF(J13="","",(J13/$J$23))</f>
        <v/>
      </c>
      <c r="K36" s="10" t="str">
        <f t="shared" si="21"/>
        <v/>
      </c>
      <c r="L36" s="10" t="s">
        <v>112</v>
      </c>
    </row>
    <row r="37" spans="1:12" s="1" customFormat="1" x14ac:dyDescent="0.35">
      <c r="A37" s="221"/>
      <c r="B37" s="10" t="s">
        <v>112</v>
      </c>
      <c r="C37" s="10" t="s">
        <v>112</v>
      </c>
      <c r="D37" s="10" t="s">
        <v>112</v>
      </c>
      <c r="E37" s="10" t="str">
        <f t="shared" ref="E37:F43" si="22">IF(E14="","",(E14/$J$23))</f>
        <v/>
      </c>
      <c r="F37" s="10" t="str">
        <f t="shared" si="22"/>
        <v/>
      </c>
      <c r="G37" s="10" t="str">
        <f t="shared" si="17"/>
        <v/>
      </c>
      <c r="H37" s="10" t="str">
        <f t="shared" si="15"/>
        <v/>
      </c>
      <c r="I37" s="5"/>
      <c r="J37" s="10" t="str">
        <f t="shared" ref="J37:L37" si="23">IF(J14="","",(J14/$J$23))</f>
        <v/>
      </c>
      <c r="K37" s="10" t="str">
        <f t="shared" si="23"/>
        <v/>
      </c>
      <c r="L37" s="10" t="str">
        <f t="shared" si="23"/>
        <v/>
      </c>
    </row>
    <row r="38" spans="1:12" s="1" customFormat="1" x14ac:dyDescent="0.35">
      <c r="A38" s="221"/>
      <c r="B38" s="10" t="s">
        <v>112</v>
      </c>
      <c r="C38" s="10" t="str">
        <f t="shared" ref="C38:C43" si="24">IF(C15="","",(C15/$J$23))</f>
        <v/>
      </c>
      <c r="D38" s="10" t="s">
        <v>112</v>
      </c>
      <c r="E38" s="10" t="str">
        <f t="shared" si="22"/>
        <v/>
      </c>
      <c r="F38" s="10" t="str">
        <f t="shared" si="22"/>
        <v/>
      </c>
      <c r="G38" s="10" t="str">
        <f t="shared" si="17"/>
        <v/>
      </c>
      <c r="H38" s="10" t="str">
        <f t="shared" si="15"/>
        <v/>
      </c>
      <c r="I38" s="5"/>
      <c r="J38" s="10" t="str">
        <f t="shared" ref="J38:L38" si="25">IF(J15="","",(J15/$J$23))</f>
        <v/>
      </c>
      <c r="K38" s="10" t="str">
        <f t="shared" si="25"/>
        <v/>
      </c>
      <c r="L38" s="10" t="str">
        <f t="shared" si="25"/>
        <v/>
      </c>
    </row>
    <row r="39" spans="1:12" s="1" customFormat="1" x14ac:dyDescent="0.35">
      <c r="A39" s="221"/>
      <c r="B39" s="10" t="s">
        <v>112</v>
      </c>
      <c r="C39" s="10" t="str">
        <f t="shared" si="24"/>
        <v/>
      </c>
      <c r="D39" s="10" t="s">
        <v>112</v>
      </c>
      <c r="E39" s="10" t="str">
        <f t="shared" si="22"/>
        <v/>
      </c>
      <c r="F39" s="10" t="str">
        <f t="shared" si="22"/>
        <v/>
      </c>
      <c r="G39" s="10" t="str">
        <f t="shared" si="17"/>
        <v/>
      </c>
      <c r="H39" s="10" t="str">
        <f t="shared" si="15"/>
        <v/>
      </c>
      <c r="I39" s="5"/>
      <c r="J39" s="10" t="str">
        <f t="shared" ref="J39:L39" si="26">IF(J16="","",(J16/$J$23))</f>
        <v/>
      </c>
      <c r="K39" s="10" t="str">
        <f t="shared" si="26"/>
        <v/>
      </c>
      <c r="L39" s="10" t="str">
        <f t="shared" si="26"/>
        <v/>
      </c>
    </row>
    <row r="40" spans="1:12" s="1" customFormat="1" x14ac:dyDescent="0.35">
      <c r="A40" s="221"/>
      <c r="B40" s="10" t="str">
        <f>IF(B17="","",(B17/$J$23))</f>
        <v/>
      </c>
      <c r="C40" s="10" t="str">
        <f t="shared" si="24"/>
        <v/>
      </c>
      <c r="D40" s="10" t="s">
        <v>112</v>
      </c>
      <c r="E40" s="10" t="str">
        <f t="shared" si="22"/>
        <v/>
      </c>
      <c r="F40" s="10" t="str">
        <f t="shared" si="22"/>
        <v/>
      </c>
      <c r="G40" s="10" t="str">
        <f t="shared" si="17"/>
        <v/>
      </c>
      <c r="H40" s="10" t="str">
        <f t="shared" si="15"/>
        <v/>
      </c>
      <c r="I40" s="5"/>
      <c r="J40" s="10" t="str">
        <f t="shared" ref="J40:L40" si="27">IF(J17="","",(J17/$J$23))</f>
        <v/>
      </c>
      <c r="K40" s="10" t="str">
        <f t="shared" si="27"/>
        <v/>
      </c>
      <c r="L40" s="10" t="str">
        <f t="shared" si="27"/>
        <v/>
      </c>
    </row>
    <row r="41" spans="1:12" s="1" customFormat="1" x14ac:dyDescent="0.35">
      <c r="A41" s="221"/>
      <c r="B41" s="10" t="str">
        <f>IF(B18="","",(B18/$J$23))</f>
        <v/>
      </c>
      <c r="C41" s="10" t="str">
        <f t="shared" si="24"/>
        <v/>
      </c>
      <c r="D41" s="10" t="str">
        <f>IF(D18="","",(D18/$J$23))</f>
        <v/>
      </c>
      <c r="E41" s="10" t="str">
        <f t="shared" si="22"/>
        <v/>
      </c>
      <c r="F41" s="10" t="str">
        <f t="shared" si="22"/>
        <v/>
      </c>
      <c r="G41" s="10" t="str">
        <f t="shared" si="17"/>
        <v/>
      </c>
      <c r="H41" s="10" t="str">
        <f t="shared" si="15"/>
        <v/>
      </c>
      <c r="I41" s="5"/>
      <c r="J41" s="10" t="str">
        <f t="shared" ref="J41:L41" si="28">IF(J18="","",(J18/$J$23))</f>
        <v/>
      </c>
      <c r="K41" s="10" t="str">
        <f t="shared" si="28"/>
        <v/>
      </c>
      <c r="L41" s="10" t="str">
        <f t="shared" si="28"/>
        <v/>
      </c>
    </row>
    <row r="42" spans="1:12" s="1" customFormat="1" x14ac:dyDescent="0.35">
      <c r="A42" s="221"/>
      <c r="B42" s="10" t="str">
        <f>IF(B19="","",(B19/$J$23))</f>
        <v/>
      </c>
      <c r="C42" s="10" t="str">
        <f t="shared" si="24"/>
        <v/>
      </c>
      <c r="D42" s="10" t="str">
        <f>IF(D19="","",(D19/$J$23))</f>
        <v/>
      </c>
      <c r="E42" s="10" t="str">
        <f t="shared" si="22"/>
        <v/>
      </c>
      <c r="F42" s="10" t="str">
        <f t="shared" si="22"/>
        <v/>
      </c>
      <c r="G42" s="10" t="str">
        <f t="shared" si="17"/>
        <v/>
      </c>
      <c r="H42" s="10" t="str">
        <f t="shared" si="15"/>
        <v/>
      </c>
      <c r="I42" s="5"/>
      <c r="J42" s="10" t="str">
        <f t="shared" ref="J42:L42" si="29">IF(J19="","",(J19/$J$23))</f>
        <v/>
      </c>
      <c r="K42" s="10" t="str">
        <f t="shared" si="29"/>
        <v/>
      </c>
      <c r="L42" s="10" t="str">
        <f t="shared" si="29"/>
        <v/>
      </c>
    </row>
    <row r="43" spans="1:12" s="1" customFormat="1" x14ac:dyDescent="0.35">
      <c r="A43" s="221"/>
      <c r="B43" s="10" t="str">
        <f>IF(B20="","",(B20/$J$23))</f>
        <v/>
      </c>
      <c r="C43" s="10" t="str">
        <f t="shared" si="24"/>
        <v/>
      </c>
      <c r="D43" s="10" t="str">
        <f>IF(D20="","",(D20/$J$23))</f>
        <v/>
      </c>
      <c r="E43" s="10" t="str">
        <f t="shared" si="22"/>
        <v/>
      </c>
      <c r="F43" s="10" t="str">
        <f t="shared" si="22"/>
        <v/>
      </c>
      <c r="G43" s="10" t="str">
        <f t="shared" si="17"/>
        <v/>
      </c>
      <c r="H43" s="10" t="str">
        <f t="shared" si="15"/>
        <v/>
      </c>
      <c r="I43" s="5"/>
      <c r="J43" s="10" t="str">
        <f t="shared" ref="J43:L43" si="30">IF(J20="","",(J20/$J$23))</f>
        <v/>
      </c>
      <c r="K43" s="10" t="str">
        <f t="shared" si="30"/>
        <v/>
      </c>
      <c r="L43" s="10" t="str">
        <f t="shared" si="30"/>
        <v/>
      </c>
    </row>
    <row r="44" spans="1:12" x14ac:dyDescent="0.35">
      <c r="A44" s="6"/>
      <c r="B44" s="3"/>
      <c r="C44" s="3"/>
      <c r="D44" s="3"/>
      <c r="E44" s="3"/>
      <c r="F44" s="3"/>
      <c r="G44" s="3"/>
      <c r="H44" s="3"/>
      <c r="I44" s="6"/>
      <c r="J44" s="3"/>
      <c r="K44" s="3"/>
      <c r="L44" s="3"/>
    </row>
    <row r="45" spans="1:12" s="68" customFormat="1" x14ac:dyDescent="0.35">
      <c r="A45" s="69" t="str">
        <f t="shared" ref="A45:H45" si="31">A4</f>
        <v>Noms des groupes</v>
      </c>
      <c r="B45" s="69" t="str">
        <f t="shared" si="31"/>
        <v>Témoin solvant</v>
      </c>
      <c r="C45" s="69" t="str">
        <f t="shared" si="31"/>
        <v>EE2-33,8ng/L</v>
      </c>
      <c r="D45" s="69" t="str">
        <f t="shared" si="31"/>
        <v>EE2-50,6ng/L</v>
      </c>
      <c r="E45" s="69" t="str">
        <f t="shared" si="31"/>
        <v>EE2-76ng/L</v>
      </c>
      <c r="F45" s="69" t="str">
        <f t="shared" si="31"/>
        <v>EE2-114ng/L</v>
      </c>
      <c r="G45" s="69" t="str">
        <f t="shared" si="31"/>
        <v>EE2-170,9ng/L</v>
      </c>
      <c r="H45" s="69" t="str">
        <f t="shared" si="31"/>
        <v>EE2-488ng/L</v>
      </c>
      <c r="I45" s="69" t="str">
        <f>I22</f>
        <v>Nom des groupes</v>
      </c>
      <c r="J45" s="69" t="str">
        <f t="shared" ref="J45:L45" si="32">J4</f>
        <v>Testo -30µg/L</v>
      </c>
      <c r="K45" s="69" t="str">
        <f t="shared" si="32"/>
        <v>Testo 30µg/L + EE2 -64ng/L</v>
      </c>
      <c r="L45" s="69" t="str">
        <f t="shared" si="32"/>
        <v>Testo 30µg/L + FAD-10mg/L</v>
      </c>
    </row>
    <row r="46" spans="1:12" x14ac:dyDescent="0.35">
      <c r="A46" s="7" t="s">
        <v>0</v>
      </c>
      <c r="B46" s="9">
        <f t="shared" ref="B46:H46" si="33">AVERAGE(B28:B43)</f>
        <v>1.1871244776466477E-2</v>
      </c>
      <c r="C46" s="9">
        <f t="shared" si="33"/>
        <v>1.3211980471554583E-2</v>
      </c>
      <c r="D46" s="9">
        <f t="shared" si="33"/>
        <v>0.11389705464648271</v>
      </c>
      <c r="E46" s="9">
        <f t="shared" si="33"/>
        <v>0.37994354256844676</v>
      </c>
      <c r="F46" s="9">
        <f t="shared" si="33"/>
        <v>0.63307076079494862</v>
      </c>
      <c r="G46" s="9">
        <f t="shared" si="33"/>
        <v>1.2709585832960237</v>
      </c>
      <c r="H46" s="9">
        <f t="shared" si="33"/>
        <v>1.5728401209847613</v>
      </c>
      <c r="I46" s="7" t="s">
        <v>0</v>
      </c>
      <c r="J46" s="9">
        <f>AVERAGE(J28:J43)</f>
        <v>0.99999999999999989</v>
      </c>
      <c r="K46" s="9" t="e">
        <f>AVERAGE(K28:K43)</f>
        <v>#DIV/0!</v>
      </c>
      <c r="L46" s="9">
        <f>AVERAGE(L28:L43)</f>
        <v>6.6022384410655874E-2</v>
      </c>
    </row>
    <row r="47" spans="1:12" x14ac:dyDescent="0.35">
      <c r="A47" s="7" t="s">
        <v>1</v>
      </c>
      <c r="B47" s="7">
        <f t="shared" ref="B47:H47" si="34">STDEV(B28:B43)</f>
        <v>2.0264388322035726E-2</v>
      </c>
      <c r="C47" s="7">
        <f t="shared" si="34"/>
        <v>1.9071613916696702E-2</v>
      </c>
      <c r="D47" s="7">
        <f t="shared" si="34"/>
        <v>0.21234248720005441</v>
      </c>
      <c r="E47" s="7">
        <f t="shared" si="34"/>
        <v>0.50591404255078176</v>
      </c>
      <c r="F47" s="7">
        <f t="shared" si="34"/>
        <v>0.36558332383993719</v>
      </c>
      <c r="G47" s="7">
        <f t="shared" si="34"/>
        <v>0.24181629558573117</v>
      </c>
      <c r="H47" s="7">
        <f t="shared" si="34"/>
        <v>0.35310569929699903</v>
      </c>
      <c r="I47" s="7" t="s">
        <v>1</v>
      </c>
      <c r="J47" s="7">
        <f>STDEV(J28:J43)</f>
        <v>0.4882322615152585</v>
      </c>
      <c r="K47" s="7" t="e">
        <f>STDEV(K28:K43)</f>
        <v>#DIV/0!</v>
      </c>
      <c r="L47" s="7">
        <f>STDEV(L28:L43)</f>
        <v>7.9632715443388416E-2</v>
      </c>
    </row>
    <row r="48" spans="1:12" x14ac:dyDescent="0.35">
      <c r="A48" s="7" t="s">
        <v>2</v>
      </c>
      <c r="B48" s="7">
        <f t="shared" ref="B48:H48" si="35" xml:space="preserve"> B47/SQRT(COUNT(B28:B43))</f>
        <v>1.1699650052690436E-2</v>
      </c>
      <c r="C48" s="7">
        <f t="shared" si="35"/>
        <v>7.7859537778782479E-3</v>
      </c>
      <c r="D48" s="7">
        <f t="shared" si="35"/>
        <v>7.5074406316588072E-2</v>
      </c>
      <c r="E48" s="7">
        <f t="shared" si="35"/>
        <v>0.17886762509257864</v>
      </c>
      <c r="F48" s="7">
        <f t="shared" si="35"/>
        <v>0.1292532236879686</v>
      </c>
      <c r="G48" s="7">
        <f t="shared" si="35"/>
        <v>9.1397968726104395E-2</v>
      </c>
      <c r="H48" s="7">
        <f t="shared" si="35"/>
        <v>0.12484171722426296</v>
      </c>
      <c r="I48" s="7" t="s">
        <v>2</v>
      </c>
      <c r="J48" s="7">
        <f xml:space="preserve"> J47/SQRT(COUNT(J28:J43))</f>
        <v>0.17261617145574157</v>
      </c>
      <c r="K48" s="7" t="e">
        <f xml:space="preserve"> K47/SQRT(COUNT(K28:K43))</f>
        <v>#DIV/0!</v>
      </c>
      <c r="L48" s="7">
        <f xml:space="preserve"> L47/SQRT(COUNT(L28:L43))</f>
        <v>2.8154416547159326E-2</v>
      </c>
    </row>
    <row r="49" spans="1:12" s="1" customFormat="1" ht="15" thickBot="1" x14ac:dyDescent="0.4">
      <c r="A49" s="7"/>
      <c r="B49" s="7"/>
      <c r="C49" s="7"/>
      <c r="D49" s="7"/>
      <c r="E49" s="7"/>
      <c r="F49" s="7"/>
      <c r="G49" s="7"/>
      <c r="H49" s="7"/>
      <c r="I49" s="7"/>
      <c r="J49" s="7"/>
      <c r="K49" s="7"/>
      <c r="L49" s="7"/>
    </row>
    <row r="50" spans="1:12" ht="26.5" thickBot="1" x14ac:dyDescent="0.65">
      <c r="A50" s="216" t="s">
        <v>38</v>
      </c>
      <c r="B50" s="217"/>
      <c r="C50" s="217"/>
      <c r="D50" s="217"/>
      <c r="E50" s="217"/>
      <c r="F50" s="217"/>
      <c r="G50" s="217"/>
      <c r="H50" s="217"/>
      <c r="I50" s="217"/>
      <c r="J50" s="217"/>
      <c r="K50" s="217"/>
      <c r="L50" s="217"/>
    </row>
    <row r="51" spans="1:12" ht="15" thickBot="1" x14ac:dyDescent="0.4">
      <c r="A51"/>
      <c r="B51"/>
      <c r="C51"/>
      <c r="D51"/>
      <c r="E51"/>
      <c r="F51"/>
      <c r="G51"/>
      <c r="H51"/>
    </row>
    <row r="52" spans="1:12" x14ac:dyDescent="0.35">
      <c r="A52" s="44" t="str">
        <f t="shared" ref="A52:H52" si="36">A27</f>
        <v>Noms des groupes</v>
      </c>
      <c r="B52" s="45" t="str">
        <f t="shared" si="36"/>
        <v>Témoin solvant</v>
      </c>
      <c r="C52" s="45" t="str">
        <f t="shared" si="36"/>
        <v>EE2-33,8ng/L</v>
      </c>
      <c r="D52" s="45" t="str">
        <f t="shared" si="36"/>
        <v>EE2-50,6ng/L</v>
      </c>
      <c r="E52" s="45" t="str">
        <f t="shared" si="36"/>
        <v>EE2-76ng/L</v>
      </c>
      <c r="F52" s="45" t="str">
        <f t="shared" si="36"/>
        <v>EE2-114ng/L</v>
      </c>
      <c r="G52" s="45" t="str">
        <f t="shared" si="36"/>
        <v>EE2-170,9ng/L</v>
      </c>
      <c r="H52" s="45" t="str">
        <f t="shared" si="36"/>
        <v>EE2-488ng/L</v>
      </c>
      <c r="I52" s="46"/>
      <c r="J52" s="45" t="str">
        <f>J27</f>
        <v>Testo -30µg/L</v>
      </c>
      <c r="K52" s="45" t="str">
        <f>K27</f>
        <v>Testo 30µg/L + EE2 -64ng/L</v>
      </c>
      <c r="L52" s="45" t="str">
        <f>L27</f>
        <v>Testo 30µg/L + FAD-10mg/L</v>
      </c>
    </row>
    <row r="53" spans="1:12" s="3" customFormat="1" x14ac:dyDescent="0.35">
      <c r="A53" s="60" t="s">
        <v>32</v>
      </c>
      <c r="B53" s="141">
        <f t="shared" ref="B53:H53" si="37">B46</f>
        <v>1.1871244776466477E-2</v>
      </c>
      <c r="C53" s="141">
        <f t="shared" si="37"/>
        <v>1.3211980471554583E-2</v>
      </c>
      <c r="D53" s="141">
        <f t="shared" si="37"/>
        <v>0.11389705464648271</v>
      </c>
      <c r="E53" s="141">
        <f t="shared" si="37"/>
        <v>0.37994354256844676</v>
      </c>
      <c r="F53" s="141">
        <f t="shared" si="37"/>
        <v>0.63307076079494862</v>
      </c>
      <c r="G53" s="141">
        <f t="shared" si="37"/>
        <v>1.2709585832960237</v>
      </c>
      <c r="H53" s="141">
        <f t="shared" si="37"/>
        <v>1.5728401209847613</v>
      </c>
      <c r="I53" s="141"/>
      <c r="J53" s="141">
        <f t="shared" ref="J53:L53" si="38">J46</f>
        <v>0.99999999999999989</v>
      </c>
      <c r="K53" s="141" t="e">
        <f t="shared" si="38"/>
        <v>#DIV/0!</v>
      </c>
      <c r="L53" s="141">
        <f t="shared" si="38"/>
        <v>6.6022384410655874E-2</v>
      </c>
    </row>
    <row r="54" spans="1:12" s="3" customFormat="1" x14ac:dyDescent="0.35">
      <c r="A54" s="60" t="s">
        <v>2</v>
      </c>
      <c r="B54" s="141">
        <f t="shared" ref="B54:H54" si="39">B48</f>
        <v>1.1699650052690436E-2</v>
      </c>
      <c r="C54" s="141">
        <f t="shared" si="39"/>
        <v>7.7859537778782479E-3</v>
      </c>
      <c r="D54" s="141">
        <f t="shared" si="39"/>
        <v>7.5074406316588072E-2</v>
      </c>
      <c r="E54" s="141">
        <f t="shared" si="39"/>
        <v>0.17886762509257864</v>
      </c>
      <c r="F54" s="141">
        <f t="shared" si="39"/>
        <v>0.1292532236879686</v>
      </c>
      <c r="G54" s="141">
        <f t="shared" si="39"/>
        <v>9.1397968726104395E-2</v>
      </c>
      <c r="H54" s="141">
        <f t="shared" si="39"/>
        <v>0.12484171722426296</v>
      </c>
      <c r="I54" s="141"/>
      <c r="J54" s="141">
        <f t="shared" ref="J54:L54" si="40">J48</f>
        <v>0.17261617145574157</v>
      </c>
      <c r="K54" s="141" t="e">
        <f t="shared" si="40"/>
        <v>#DIV/0!</v>
      </c>
      <c r="L54" s="141">
        <f t="shared" si="40"/>
        <v>2.8154416547159326E-2</v>
      </c>
    </row>
    <row r="55" spans="1:12" s="3" customFormat="1" x14ac:dyDescent="0.35">
      <c r="A55" s="60" t="s">
        <v>79</v>
      </c>
      <c r="B55" s="141">
        <f t="shared" ref="B55:H55" si="41">(B53*100/$B$53)-100</f>
        <v>0</v>
      </c>
      <c r="C55" s="141">
        <f t="shared" si="41"/>
        <v>11.293977340488979</v>
      </c>
      <c r="D55" s="141">
        <f t="shared" si="41"/>
        <v>859.43649373881931</v>
      </c>
      <c r="E55" s="141">
        <f t="shared" si="41"/>
        <v>3100.5366726296957</v>
      </c>
      <c r="F55" s="141">
        <f t="shared" si="41"/>
        <v>5232.8085867620748</v>
      </c>
      <c r="G55" s="141">
        <f t="shared" si="41"/>
        <v>10606.19473549706</v>
      </c>
      <c r="H55" s="141">
        <f t="shared" si="41"/>
        <v>13149.159212880144</v>
      </c>
      <c r="I55" s="141"/>
      <c r="J55" s="141">
        <f>(J53*100/$J$53)-100</f>
        <v>0</v>
      </c>
      <c r="K55" s="141" t="e">
        <f t="shared" ref="K55:L55" si="42">(K53*100/$J$53)-100</f>
        <v>#DIV/0!</v>
      </c>
      <c r="L55" s="141">
        <f t="shared" si="42"/>
        <v>-93.397761558934405</v>
      </c>
    </row>
    <row r="56" spans="1:12" s="3" customFormat="1" x14ac:dyDescent="0.35">
      <c r="A56" s="60"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c r="J56" s="141" t="e">
        <f ca="1">[1]!SWTEST(J28:J43)</f>
        <v>#NAME?</v>
      </c>
      <c r="K56" s="141" t="e">
        <f ca="1">[1]!SWTEST(K28:K43)</f>
        <v>#NAME?</v>
      </c>
      <c r="L56" s="141" t="e">
        <f ca="1">[1]!SWTEST(L28:L43)</f>
        <v>#NAME?</v>
      </c>
    </row>
    <row r="57" spans="1:12" s="3" customFormat="1" x14ac:dyDescent="0.35">
      <c r="A57" s="60" t="s">
        <v>85</v>
      </c>
      <c r="B57" s="141" t="e">
        <f t="shared" ref="B57:H57" ca="1" si="43">IF(B56&gt;0.05,"Oui","Non")</f>
        <v>#NAME?</v>
      </c>
      <c r="C57" s="141" t="e">
        <f t="shared" ca="1" si="43"/>
        <v>#NAME?</v>
      </c>
      <c r="D57" s="141" t="e">
        <f t="shared" ca="1" si="43"/>
        <v>#NAME?</v>
      </c>
      <c r="E57" s="141" t="e">
        <f t="shared" ca="1" si="43"/>
        <v>#NAME?</v>
      </c>
      <c r="F57" s="141" t="e">
        <f t="shared" ca="1" si="43"/>
        <v>#NAME?</v>
      </c>
      <c r="G57" s="141" t="e">
        <f t="shared" ca="1" si="43"/>
        <v>#NAME?</v>
      </c>
      <c r="H57" s="141" t="e">
        <f t="shared" ca="1" si="43"/>
        <v>#NAME?</v>
      </c>
      <c r="I57" s="141"/>
      <c r="J57" s="141" t="e">
        <f t="shared" ref="J57:L57" ca="1" si="44">IF(J56&gt;0.05,"Oui","Non")</f>
        <v>#NAME?</v>
      </c>
      <c r="K57" s="141" t="e">
        <f t="shared" ca="1" si="44"/>
        <v>#NAME?</v>
      </c>
      <c r="L57" s="141" t="e">
        <f t="shared" ca="1" si="44"/>
        <v>#NAME?</v>
      </c>
    </row>
    <row r="58" spans="1:12" s="3" customFormat="1" x14ac:dyDescent="0.35">
      <c r="A58" s="60"/>
      <c r="B58" s="141"/>
      <c r="C58" s="141"/>
      <c r="D58" s="141"/>
      <c r="E58" s="141"/>
      <c r="F58" s="141"/>
      <c r="G58" s="141"/>
      <c r="H58" s="141"/>
      <c r="I58" s="148"/>
      <c r="J58" s="149"/>
      <c r="K58" s="141"/>
      <c r="L58" s="141"/>
    </row>
    <row r="59" spans="1:12" s="3" customFormat="1" x14ac:dyDescent="0.35">
      <c r="A59" s="60" t="s">
        <v>82</v>
      </c>
      <c r="B59" s="150"/>
      <c r="C59" s="150" t="e">
        <f t="shared" ref="C59:H59" ca="1" si="45">IF($B57="Non",IF(C$57="Non","Mann Withney",IF(C$57="Oui","Mann Withney","")),IF($B$57="Oui",IF(C$57="Oui","T-Test Welch",IF(C$57="Non","Mann Withney",""))))</f>
        <v>#NAME?</v>
      </c>
      <c r="D59" s="150" t="e">
        <f t="shared" ca="1" si="45"/>
        <v>#NAME?</v>
      </c>
      <c r="E59" s="150" t="e">
        <f t="shared" ca="1" si="45"/>
        <v>#NAME?</v>
      </c>
      <c r="F59" s="150" t="e">
        <f t="shared" ca="1" si="45"/>
        <v>#NAME?</v>
      </c>
      <c r="G59" s="150" t="e">
        <f t="shared" ca="1" si="45"/>
        <v>#NAME?</v>
      </c>
      <c r="H59" s="150" t="e">
        <f t="shared" ca="1" si="45"/>
        <v>#NAME?</v>
      </c>
      <c r="I59" s="150"/>
      <c r="J59" s="150" t="e">
        <f ca="1">IF($B57="Non",IF(J$57="Non","Mann Withney",IF(J$57="Oui","Mann Withney","")),IF($B$57="Oui",IF(J$57="Oui","T-Test Welch",IF(J$57="Non","Mann Withney",""))))</f>
        <v>#NAME?</v>
      </c>
      <c r="K59" s="150" t="e">
        <f ca="1">IF($J57="Non",IF(K$57="Non","Mann Withney",IF(K$57="Oui","Mann Withney","")),IF($J$57="Oui",IF(K$57="Oui","T-Test Welch",IF(K$57="Non","Mann Withney",""))))</f>
        <v>#NAME?</v>
      </c>
      <c r="L59" s="150" t="e">
        <f t="shared" ref="L59" ca="1" si="46">IF($J57="Non",IF(L$57="Non","Mann Withney",IF(L$57="Oui","Mann Withney","")),IF($J$57="Oui",IF(L$57="Oui","T-Test Welch",IF(L$57="Non","Mann Withney",""))))</f>
        <v>#NAME?</v>
      </c>
    </row>
    <row r="60" spans="1:12" s="3" customFormat="1" x14ac:dyDescent="0.35">
      <c r="A60" s="60" t="s">
        <v>83</v>
      </c>
      <c r="B60" s="151"/>
      <c r="C60" s="151" t="e">
        <f ca="1">IF(C59="Mann Withney",[1]!MTEST($B28:$B43,C28:C43,2), IF(C59="T-Test Welch",_xlfn.T.TEST($B28:$B43,C28:C43,2,3),""))</f>
        <v>#NAME?</v>
      </c>
      <c r="D60" s="151" t="e">
        <f ca="1">IF(D59="Mann Withney",[1]!MTEST($B28:$B43,D28:D43,2), IF(D59="T-Test Welch",_xlfn.T.TEST($B28:$B43,D28:D43,2,3),""))</f>
        <v>#NAME?</v>
      </c>
      <c r="E60" s="151" t="e">
        <f ca="1">IF(E59="Mann Withney",[1]!MTEST($B28:$B43,E28:E43,2), IF(E59="T-Test Welch",_xlfn.T.TEST($B28:$B43,E28:E43,2,3),""))</f>
        <v>#NAME?</v>
      </c>
      <c r="F60" s="151" t="e">
        <f ca="1">IF(F59="Mann Withney",[1]!MTEST($B28:$B43,F28:F43,2), IF(F59="T-Test Welch",_xlfn.T.TEST($B28:$B43,F28:F43,2,3),""))</f>
        <v>#NAME?</v>
      </c>
      <c r="G60" s="151" t="e">
        <f ca="1">IF(G59="Mann Withney",[1]!MTEST($B28:$B43,G28:G43,2), IF(G59="T-Test Welch",_xlfn.T.TEST($B28:$B43,G28:G43,2,3),""))</f>
        <v>#NAME?</v>
      </c>
      <c r="H60" s="151" t="e">
        <f ca="1">IF(H59="Mann Withney",[1]!MTEST($B28:$B43,H28:H43,2), IF(H59="T-Test Welch",_xlfn.T.TEST($B28:$B43,H28:H43,2,3),""))</f>
        <v>#NAME?</v>
      </c>
      <c r="I60" s="151"/>
      <c r="J60" s="151" t="e">
        <f ca="1">IF(J59="Mann Withney",[1]!MTEST($B28:$B43,J28:J43,2), IF(J59="T-Test Welch",_xlfn.T.TEST($B28:$B43,J28:J43,2,3),""))</f>
        <v>#NAME?</v>
      </c>
      <c r="K60" s="151" t="e">
        <f ca="1">IF(K59="Mann Withney",[1]!MTEST($J28:$J43,K28:K43,2), IF(K59="T-Test Welch",_xlfn.T.TEST($J28:$J43,K28:K43,2,3),""))</f>
        <v>#NAME?</v>
      </c>
      <c r="L60" s="151" t="e">
        <f ca="1">IF(L59="Mann Withney",[1]!MTEST($J28:$J43,L28:L43,2), IF(L59="T-Test Welch",_xlfn.T.TEST($J28:$J43,L28:L43,2,3),""))</f>
        <v>#NAME?</v>
      </c>
    </row>
    <row r="61" spans="1:12" s="3" customFormat="1" ht="15" thickBot="1" x14ac:dyDescent="0.4">
      <c r="A61" s="61" t="s">
        <v>84</v>
      </c>
      <c r="B61" s="142"/>
      <c r="C61" s="142" t="e">
        <f t="shared" ref="C61:H61" ca="1" si="47">IF(C60&gt;0.05,"NS",IF(C60&gt;0.01,"*",IF(C60&gt;0.001,"**","***")))</f>
        <v>#NAME?</v>
      </c>
      <c r="D61" s="142" t="e">
        <f t="shared" ca="1" si="47"/>
        <v>#NAME?</v>
      </c>
      <c r="E61" s="142" t="e">
        <f t="shared" ca="1" si="47"/>
        <v>#NAME?</v>
      </c>
      <c r="F61" s="142" t="e">
        <f t="shared" ca="1" si="47"/>
        <v>#NAME?</v>
      </c>
      <c r="G61" s="142" t="e">
        <f t="shared" ca="1" si="47"/>
        <v>#NAME?</v>
      </c>
      <c r="H61" s="142" t="e">
        <f t="shared" ca="1" si="47"/>
        <v>#NAME?</v>
      </c>
      <c r="I61" s="142"/>
      <c r="J61" s="142" t="e">
        <f ca="1">IF(J60&gt;0.05,"NS",IF(J60&gt;0.01,"*",IF(J60&gt;0.001,"**","***")))</f>
        <v>#NAME?</v>
      </c>
      <c r="K61" s="142" t="e">
        <f ca="1">IF(K60&gt;0.05,"NS",IF(K60&gt;0.01,"*",IF(K60&gt;0.001,"**","***")))</f>
        <v>#NAME?</v>
      </c>
      <c r="L61" s="142" t="e">
        <f t="shared" ref="L61" ca="1" si="48">IF(L60&gt;0.05,"NS",IF(L60&gt;0.01,"*",IF(L60&gt;0.001,"**","***")))</f>
        <v>#NAME?</v>
      </c>
    </row>
    <row r="63" spans="1:12" x14ac:dyDescent="0.35">
      <c r="A63" s="2" t="s">
        <v>39</v>
      </c>
    </row>
    <row r="64" spans="1:12" x14ac:dyDescent="0.35">
      <c r="A64" s="1" t="s">
        <v>23</v>
      </c>
      <c r="B64" s="1">
        <f>B46+(3*B47)</f>
        <v>7.2664409742573655E-2</v>
      </c>
    </row>
    <row r="65" spans="1:12" x14ac:dyDescent="0.35">
      <c r="A65" s="1" t="s">
        <v>24</v>
      </c>
      <c r="B65" s="1">
        <f>B46+(10*B47)</f>
        <v>0.21451512799682373</v>
      </c>
    </row>
    <row r="66" spans="1:12" ht="15" thickBot="1" x14ac:dyDescent="0.4"/>
    <row r="67" spans="1:12" s="1" customFormat="1" ht="26.5" thickBot="1" x14ac:dyDescent="0.65">
      <c r="A67" s="216" t="s">
        <v>52</v>
      </c>
      <c r="B67" s="217"/>
      <c r="C67" s="217"/>
      <c r="D67" s="217"/>
      <c r="E67" s="217"/>
      <c r="F67" s="217"/>
      <c r="G67" s="217"/>
      <c r="H67" s="217"/>
      <c r="I67" s="217"/>
      <c r="J67" s="217"/>
      <c r="K67" s="217"/>
      <c r="L67" s="217"/>
    </row>
    <row r="68" spans="1:12" ht="16.5" x14ac:dyDescent="0.35">
      <c r="A68" s="11"/>
      <c r="B68" s="11"/>
      <c r="C68" s="11"/>
      <c r="D68" s="11"/>
      <c r="E68" s="11"/>
      <c r="F68" s="11"/>
      <c r="I68" s="11"/>
      <c r="J68" s="11"/>
      <c r="K68" s="11"/>
      <c r="L68" s="11"/>
    </row>
    <row r="69" spans="1:12" ht="16.5" x14ac:dyDescent="0.35">
      <c r="A69" s="11"/>
      <c r="B69" s="11"/>
      <c r="C69" s="11"/>
      <c r="D69" s="11"/>
      <c r="E69" s="11"/>
      <c r="F69" s="11"/>
      <c r="I69" s="11"/>
      <c r="J69" s="11"/>
      <c r="K69" s="11"/>
      <c r="L69" s="11"/>
    </row>
    <row r="70" spans="1:12" ht="16.5" x14ac:dyDescent="0.35">
      <c r="A70" s="11"/>
      <c r="B70" s="11"/>
      <c r="C70" s="11"/>
      <c r="D70" s="11"/>
      <c r="E70" s="11"/>
      <c r="F70" s="11"/>
      <c r="I70" s="11"/>
      <c r="J70" s="11"/>
      <c r="K70" s="11"/>
      <c r="L70" s="11"/>
    </row>
    <row r="71" spans="1:12" ht="16.5" x14ac:dyDescent="0.35">
      <c r="A71" s="11"/>
      <c r="B71" s="11"/>
      <c r="C71" s="11"/>
      <c r="D71" s="11"/>
      <c r="E71" s="11"/>
      <c r="F71" s="11"/>
      <c r="I71" s="11"/>
      <c r="J71" s="11"/>
      <c r="K71" s="11"/>
      <c r="L71" s="11"/>
    </row>
    <row r="72" spans="1:12" ht="16.5" x14ac:dyDescent="0.35">
      <c r="A72" s="11"/>
      <c r="B72" s="11"/>
      <c r="C72" s="11"/>
      <c r="D72" s="11"/>
      <c r="E72" s="11"/>
      <c r="F72" s="11"/>
      <c r="I72" s="11"/>
      <c r="J72" s="11"/>
      <c r="K72" s="11"/>
      <c r="L72" s="11"/>
    </row>
    <row r="73" spans="1:12" ht="16.5" x14ac:dyDescent="0.35">
      <c r="A73" s="11"/>
      <c r="B73" s="11"/>
      <c r="C73" s="11"/>
      <c r="D73" s="11"/>
      <c r="E73" s="11"/>
      <c r="F73" s="11"/>
      <c r="I73" s="11"/>
      <c r="J73" s="11"/>
      <c r="K73" s="11"/>
      <c r="L73" s="11"/>
    </row>
    <row r="74" spans="1:12" ht="16.5" x14ac:dyDescent="0.35">
      <c r="A74" s="11"/>
      <c r="B74" s="11"/>
      <c r="C74" s="11"/>
      <c r="D74" s="11"/>
      <c r="E74" s="11"/>
      <c r="F74" s="11"/>
      <c r="I74" s="11"/>
      <c r="J74" s="11"/>
      <c r="K74" s="11"/>
      <c r="L74" s="11"/>
    </row>
  </sheetData>
  <protectedRanges>
    <protectedRange sqref="J51:L51" name="Plage2"/>
    <protectedRange sqref="B51:H51" name="Plage2_1"/>
    <protectedRange sqref="B18:H21 C15:C16 B17:C17 E14:H17 G13:H13 J5:J21" name="Plage1_1"/>
    <protectedRange sqref="B5:H5 B6:B16 C6:C14 D6:D17 E6:F13 G6:H12" name="Plage1_1_1"/>
  </protectedRanges>
  <mergeCells count="9">
    <mergeCell ref="A1:L1"/>
    <mergeCell ref="A67:L67"/>
    <mergeCell ref="A50:L50"/>
    <mergeCell ref="A5:A20"/>
    <mergeCell ref="A28:A43"/>
    <mergeCell ref="B3:H3"/>
    <mergeCell ref="B26:H26"/>
    <mergeCell ref="J26:L26"/>
    <mergeCell ref="J3:L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9"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165</v>
      </c>
      <c r="L5" s="43"/>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5">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5">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5">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5">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5">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5">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5">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5">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5">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5">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5">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5">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5">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5">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5">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5">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5">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5">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5">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5">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5">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5">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5">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5">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5">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5">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5">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5">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5">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5">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5">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5">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5">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5">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5">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5">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5">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5">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5">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5">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5">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5">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5">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5">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5">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5">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5">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5">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5">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5">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5">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5">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5">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5">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5">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5">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5">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5">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5">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5">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5">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5">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5">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5">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5">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5">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5">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5">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5">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5">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5">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5">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5">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5">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5">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5">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5">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5">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5">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5">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5">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5">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5">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5">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5">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5">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5">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5">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5">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5">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5">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5">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5">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5">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5">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5">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5">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5">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5">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5">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5">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5">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5">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5">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5">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5">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5">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5">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5">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5">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5">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5">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5">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5">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5">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5">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5">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5">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5">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5">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5">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5">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5">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5">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5">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5">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5">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5">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5">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5">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5">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5">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5">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5">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5">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5">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5">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5">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5">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5">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5">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5">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5">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5">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5">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5">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5">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5">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5">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5">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5">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5">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5">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5">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5">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5">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5">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5">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5">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5">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5">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5">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5">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5">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5">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5">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5">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5">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5">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5">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5">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5">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5">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5">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5">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5">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5">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5">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5">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5">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5">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5">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5">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5">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5">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5">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5">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5">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5">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5">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5">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5">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5">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5">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5">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5">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5">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5">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5">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5">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5">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5">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5">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5">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5">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5">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5">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5">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5">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5">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5">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5">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5">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5">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5">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5">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5">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5">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5">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5">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5">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5">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5">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5">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5">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5">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5">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5">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5">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5">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5">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5">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5">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5">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5">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5">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5">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5">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5">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5">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5">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5">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5">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5">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5">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5">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5">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5">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5">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5">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5">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5">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5">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5">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5">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5">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5">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5">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5">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5">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5">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5">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5">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5">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5">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5">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5">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5">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5">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5">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5">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5">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5">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5">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5">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5">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5">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5">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5">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5">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5">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5">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5">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5">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5">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5">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5">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5">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5">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5">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5">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5">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5">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5">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5">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5">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5">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5">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5">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5">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5">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5">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5">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5">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5">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5">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5">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5">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5">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5">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5">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5">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5">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5">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5">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5">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5">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5">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5">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5">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5">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5">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5">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5">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5">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5">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5">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5">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5">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5">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5">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5">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5">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5">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5">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5">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5">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5">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5">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5">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5">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5">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5">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5">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5">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5">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5">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5">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5">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5">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5">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5">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5">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5">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5">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5">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5">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5">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5">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5">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5">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5">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5">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5">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5">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5">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5">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5">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5">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5">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5">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5">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5">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5">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5">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5">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5">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5">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5">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5">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5">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5">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5">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5">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5">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5">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5">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5">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5">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5">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5">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5">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5">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5">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5">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5">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5">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5">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5">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5">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5">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5">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5">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5">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5">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5">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5">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5">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5">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5">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5">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5">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5">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5">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5">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5">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5">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5">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5">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5">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5">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5">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5">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5">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5">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5">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5">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5">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5">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5">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5">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5">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5">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5">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5">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5">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5">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5">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5">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5">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5">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5">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5">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5">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5">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5">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5">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5">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5">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5">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5">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5">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5">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5">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5">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5">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5">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5">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5">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5">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5">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5">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5">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5">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5">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5">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5">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5">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5">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5">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5">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5">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5">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5">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5">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5">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5">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5">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5">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5">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3"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3" priority="1" operator="containsText" text="ERREUR">
      <formula>NOT(ISERROR(SEARCH("ERREUR",A1)))</formula>
    </cfRule>
    <cfRule type="containsText" dxfId="2" priority="2" operator="containsText" text="OK">
      <formula>NOT(ISERROR(SEARCH("OK",A1)))</formula>
    </cfRule>
  </conditionalFormatting>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74"/>
  <sheetViews>
    <sheetView showGridLines="0" topLeftCell="A4" zoomScale="85" zoomScaleNormal="85" zoomScaleSheetLayoutView="40" zoomScalePageLayoutView="30" workbookViewId="0">
      <selection activeCell="F22" sqref="F22"/>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11.7265625" style="1" customWidth="1"/>
    <col min="10" max="10" width="14.81640625" style="1" customWidth="1"/>
    <col min="11" max="11" width="17.7265625" style="1" customWidth="1"/>
    <col min="12" max="12" width="25.81640625" style="1" bestFit="1" customWidth="1"/>
    <col min="13" max="16384" width="9.1796875" style="1"/>
  </cols>
  <sheetData>
    <row r="1" spans="1:12" ht="26.5" thickBot="1" x14ac:dyDescent="0.65">
      <c r="A1" s="214" t="s">
        <v>43</v>
      </c>
      <c r="B1" s="215"/>
      <c r="C1" s="215"/>
      <c r="D1" s="215"/>
      <c r="E1" s="215"/>
      <c r="F1" s="215"/>
      <c r="G1" s="215"/>
      <c r="H1" s="215"/>
      <c r="I1" s="215"/>
      <c r="J1" s="215"/>
      <c r="K1" s="215"/>
      <c r="L1" s="215"/>
    </row>
    <row r="2" spans="1:12" customFormat="1" ht="15" thickBot="1" x14ac:dyDescent="0.4"/>
    <row r="3" spans="1:12" ht="15" thickBot="1" x14ac:dyDescent="0.4">
      <c r="A3" s="50" t="s">
        <v>18</v>
      </c>
      <c r="B3" s="222" t="s">
        <v>6</v>
      </c>
      <c r="C3" s="223"/>
      <c r="D3" s="223"/>
      <c r="E3" s="223"/>
      <c r="F3" s="223"/>
      <c r="G3" s="223"/>
      <c r="H3" s="223"/>
      <c r="J3" s="222" t="s">
        <v>3</v>
      </c>
      <c r="K3" s="223"/>
      <c r="L3" s="223"/>
    </row>
    <row r="4" spans="1:12" x14ac:dyDescent="0.35">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
      <c r="J4" s="35" t="str">
        <f>'Page de garde'!A36</f>
        <v>Testo -30µg/L</v>
      </c>
      <c r="K4" s="35" t="str">
        <f>'Page de garde'!A37</f>
        <v>Testo 30µg/L + EE2 -64ng/L</v>
      </c>
      <c r="L4" s="35" t="str">
        <f>'Page de garde'!A38</f>
        <v>Testo 30µg/L + FAD-10mg/L</v>
      </c>
    </row>
    <row r="5" spans="1:12" x14ac:dyDescent="0.35">
      <c r="A5" s="224" t="s">
        <v>33</v>
      </c>
      <c r="B5" s="31">
        <f>Feuil2!E172</f>
        <v>18279</v>
      </c>
      <c r="C5" s="31">
        <f>Feuil2!E189</f>
        <v>34120</v>
      </c>
      <c r="D5" s="31">
        <f>Feuil2!E206</f>
        <v>21055</v>
      </c>
      <c r="E5" s="31">
        <f>Feuil2!E223</f>
        <v>20226</v>
      </c>
      <c r="F5" s="31">
        <f>Feuil2!E240</f>
        <v>39644</v>
      </c>
      <c r="G5" s="31">
        <f>Feuil2!E257</f>
        <v>390106</v>
      </c>
      <c r="H5" s="31">
        <f>Feuil2!E274</f>
        <v>379509</v>
      </c>
      <c r="I5" s="3"/>
      <c r="J5" s="31">
        <f>Feuil2!E291</f>
        <v>245685</v>
      </c>
      <c r="K5" s="12">
        <f>Feuil2!E308</f>
        <v>257383</v>
      </c>
      <c r="L5" s="12">
        <f>Feuil2!E325</f>
        <v>4116</v>
      </c>
    </row>
    <row r="6" spans="1:12" x14ac:dyDescent="0.35">
      <c r="A6" s="224"/>
      <c r="B6" s="31">
        <f>Feuil2!E173</f>
        <v>4789</v>
      </c>
      <c r="C6" s="31">
        <f>Feuil2!E190</f>
        <v>2778</v>
      </c>
      <c r="D6" s="31">
        <f>Feuil2!E207</f>
        <v>945</v>
      </c>
      <c r="E6" s="31">
        <f>Feuil2!E224</f>
        <v>117649</v>
      </c>
      <c r="F6" s="31">
        <f>Feuil2!E241</f>
        <v>31315</v>
      </c>
      <c r="G6" s="31">
        <f>Feuil2!E258</f>
        <v>169612</v>
      </c>
      <c r="H6" s="31">
        <f>Feuil2!E275</f>
        <v>23854</v>
      </c>
      <c r="I6" s="3"/>
      <c r="J6" s="31">
        <f>Feuil2!E292</f>
        <v>343473</v>
      </c>
      <c r="K6" s="12">
        <f>Feuil2!E309</f>
        <v>336785</v>
      </c>
      <c r="L6" s="12">
        <f>Feuil2!E326</f>
        <v>7471</v>
      </c>
    </row>
    <row r="7" spans="1:12" x14ac:dyDescent="0.35">
      <c r="A7" s="224"/>
      <c r="B7" s="31">
        <f>Feuil2!E174</f>
        <v>22740</v>
      </c>
      <c r="C7" s="31">
        <f>Feuil2!E191</f>
        <v>63199</v>
      </c>
      <c r="D7" s="31">
        <f>Feuil2!E208</f>
        <v>407</v>
      </c>
      <c r="E7" s="31">
        <f>Feuil2!E225</f>
        <v>16076</v>
      </c>
      <c r="F7" s="31">
        <f>Feuil2!E242</f>
        <v>33897</v>
      </c>
      <c r="G7" s="31">
        <f>Feuil2!E259</f>
        <v>241561</v>
      </c>
      <c r="H7" s="31">
        <f>Feuil2!E276</f>
        <v>360485</v>
      </c>
      <c r="I7" s="3"/>
      <c r="J7" s="31">
        <f>Feuil2!E293</f>
        <v>339347</v>
      </c>
      <c r="K7" s="12">
        <f>Feuil2!E310</f>
        <v>316392</v>
      </c>
      <c r="L7" s="12">
        <f>Feuil2!E327</f>
        <v>6817</v>
      </c>
    </row>
    <row r="8" spans="1:12" x14ac:dyDescent="0.35">
      <c r="A8" s="224"/>
      <c r="B8" s="31">
        <f>Feuil2!E175</f>
        <v>1336</v>
      </c>
      <c r="C8" s="31">
        <f>Feuil2!E192</f>
        <v>3347</v>
      </c>
      <c r="D8" s="31">
        <f>Feuil2!E209</f>
        <v>35100</v>
      </c>
      <c r="E8" s="31">
        <f>Feuil2!E226</f>
        <v>181441</v>
      </c>
      <c r="F8" s="31">
        <f>Feuil2!E243</f>
        <v>982</v>
      </c>
      <c r="G8" s="31">
        <f>Feuil2!E260</f>
        <v>331859</v>
      </c>
      <c r="H8" s="31">
        <f>Feuil2!E277</f>
        <v>499210</v>
      </c>
      <c r="I8" s="3"/>
      <c r="J8" s="31">
        <f>Feuil2!E294</f>
        <v>190876</v>
      </c>
      <c r="K8" s="12">
        <f>Feuil2!E311</f>
        <v>273694</v>
      </c>
      <c r="L8" s="12">
        <f>Feuil2!E328</f>
        <v>24333</v>
      </c>
    </row>
    <row r="9" spans="1:12" x14ac:dyDescent="0.35">
      <c r="A9" s="224"/>
      <c r="B9" s="31">
        <f>Feuil2!E176</f>
        <v>3881</v>
      </c>
      <c r="C9" s="31">
        <f>Feuil2!E193</f>
        <v>7554</v>
      </c>
      <c r="D9" s="31">
        <f>Feuil2!E210</f>
        <v>27172</v>
      </c>
      <c r="E9" s="31">
        <f>Feuil2!E227</f>
        <v>9132</v>
      </c>
      <c r="F9" s="31" t="s">
        <v>112</v>
      </c>
      <c r="G9" s="31">
        <f>Feuil2!E261</f>
        <v>259330</v>
      </c>
      <c r="H9" s="31">
        <f>Feuil2!E278</f>
        <v>422387</v>
      </c>
      <c r="I9" s="3"/>
      <c r="J9" s="31">
        <f>Feuil2!E295</f>
        <v>106258</v>
      </c>
      <c r="K9" s="12">
        <f>Feuil2!E312</f>
        <v>187466</v>
      </c>
      <c r="L9" s="12">
        <f>Feuil2!E329</f>
        <v>12430</v>
      </c>
    </row>
    <row r="10" spans="1:12" x14ac:dyDescent="0.35">
      <c r="A10" s="224"/>
      <c r="B10" s="31">
        <f>Feuil2!E177</f>
        <v>3044</v>
      </c>
      <c r="C10" s="31">
        <f>Feuil2!E194</f>
        <v>27173</v>
      </c>
      <c r="D10" s="31">
        <f>Feuil2!E211</f>
        <v>15093</v>
      </c>
      <c r="E10" s="31">
        <f>Feuil2!E228</f>
        <v>9328</v>
      </c>
      <c r="F10" s="31">
        <f>Feuil2!E245</f>
        <v>13909</v>
      </c>
      <c r="G10" s="31">
        <f>Feuil2!E262</f>
        <v>306542</v>
      </c>
      <c r="H10" s="31">
        <f>Feuil2!E279</f>
        <v>373117</v>
      </c>
      <c r="I10" s="3"/>
      <c r="J10" s="31">
        <f>Feuil2!E296</f>
        <v>341669</v>
      </c>
      <c r="K10" s="12">
        <f>Feuil2!E313</f>
        <v>182551</v>
      </c>
      <c r="L10" s="12">
        <f>Feuil2!E330</f>
        <v>25435</v>
      </c>
    </row>
    <row r="11" spans="1:12" x14ac:dyDescent="0.35">
      <c r="A11" s="224"/>
      <c r="B11" s="31">
        <f>Feuil2!E178</f>
        <v>6920</v>
      </c>
      <c r="C11" s="31">
        <f>Feuil2!E195</f>
        <v>31183</v>
      </c>
      <c r="D11" s="31">
        <f>Feuil2!E212</f>
        <v>0</v>
      </c>
      <c r="E11" s="31">
        <f>Feuil2!E229</f>
        <v>9323</v>
      </c>
      <c r="F11" s="31">
        <f>Feuil2!E246</f>
        <v>20026</v>
      </c>
      <c r="G11" s="31">
        <f>Feuil2!E263</f>
        <v>270435</v>
      </c>
      <c r="H11" s="31">
        <f>Feuil2!E280</f>
        <v>275670</v>
      </c>
      <c r="I11" s="3"/>
      <c r="J11" s="31">
        <f>Feuil2!E297</f>
        <v>285593</v>
      </c>
      <c r="K11" s="12">
        <f>Feuil2!E314</f>
        <v>325646</v>
      </c>
      <c r="L11" s="12">
        <f>Feuil2!E331</f>
        <v>42160</v>
      </c>
    </row>
    <row r="12" spans="1:12" x14ac:dyDescent="0.35">
      <c r="A12" s="224"/>
      <c r="B12" s="31">
        <f>Feuil2!E179</f>
        <v>28071</v>
      </c>
      <c r="C12" s="31">
        <f>Feuil2!E196</f>
        <v>15452</v>
      </c>
      <c r="D12" s="31">
        <f>Feuil2!E213</f>
        <v>8043</v>
      </c>
      <c r="E12" s="31">
        <f>Feuil2!E230</f>
        <v>60405</v>
      </c>
      <c r="F12" s="31">
        <f>Feuil2!E247</f>
        <v>0</v>
      </c>
      <c r="G12" s="31">
        <f>Feuil2!E264</f>
        <v>175240</v>
      </c>
      <c r="H12" s="31">
        <f>Feuil2!E281</f>
        <v>440977</v>
      </c>
      <c r="I12" s="3"/>
      <c r="J12" s="31">
        <f>Feuil2!E298</f>
        <v>239371</v>
      </c>
      <c r="K12" s="12">
        <f>Feuil2!E315</f>
        <v>326877</v>
      </c>
      <c r="L12" s="12">
        <f>Feuil2!E332</f>
        <v>54700</v>
      </c>
    </row>
    <row r="13" spans="1:12" x14ac:dyDescent="0.35">
      <c r="A13" s="224"/>
      <c r="B13" s="31" t="s">
        <v>112</v>
      </c>
      <c r="C13" s="12"/>
      <c r="D13" s="31"/>
      <c r="E13" s="31"/>
      <c r="F13" s="31"/>
      <c r="G13" s="31"/>
      <c r="H13" s="31"/>
      <c r="I13" s="3"/>
      <c r="J13" s="31"/>
      <c r="K13" s="12"/>
      <c r="L13" s="12"/>
    </row>
    <row r="14" spans="1:12" ht="16.5" x14ac:dyDescent="0.35">
      <c r="A14" s="224"/>
      <c r="B14" s="13"/>
      <c r="C14" s="31"/>
      <c r="D14" s="31"/>
      <c r="E14" s="31"/>
      <c r="F14" s="31"/>
      <c r="G14" s="31"/>
      <c r="H14" s="31"/>
      <c r="I14" s="3"/>
      <c r="J14" s="31"/>
      <c r="K14" s="12"/>
      <c r="L14" s="12"/>
    </row>
    <row r="15" spans="1:12" ht="16.5" x14ac:dyDescent="0.35">
      <c r="A15" s="224"/>
      <c r="B15" s="13"/>
      <c r="C15" s="31"/>
      <c r="D15" s="31"/>
      <c r="E15" s="31"/>
      <c r="F15" s="31"/>
      <c r="G15" s="31"/>
      <c r="H15" s="31"/>
      <c r="I15" s="3"/>
      <c r="J15" s="31"/>
      <c r="K15" s="12"/>
      <c r="L15" s="12"/>
    </row>
    <row r="16" spans="1:12" ht="16.5" x14ac:dyDescent="0.35">
      <c r="A16" s="224"/>
      <c r="B16" s="13"/>
      <c r="C16" s="31"/>
      <c r="D16" s="31"/>
      <c r="E16" s="31"/>
      <c r="F16" s="31"/>
      <c r="G16" s="31"/>
      <c r="H16" s="31"/>
      <c r="I16" s="3"/>
      <c r="J16" s="31"/>
      <c r="K16" s="12"/>
      <c r="L16" s="12"/>
    </row>
    <row r="17" spans="1:12" ht="16.5" x14ac:dyDescent="0.35">
      <c r="A17" s="224"/>
      <c r="B17" s="13"/>
      <c r="C17" s="31"/>
      <c r="D17" s="31"/>
      <c r="E17" s="31"/>
      <c r="F17" s="31"/>
      <c r="G17" s="31"/>
      <c r="H17" s="31"/>
      <c r="I17" s="3"/>
      <c r="J17" s="31"/>
      <c r="K17" s="12"/>
      <c r="L17" s="12"/>
    </row>
    <row r="18" spans="1:12" ht="16.5" x14ac:dyDescent="0.35">
      <c r="A18" s="224"/>
      <c r="B18" s="13"/>
      <c r="C18" s="31"/>
      <c r="D18" s="31"/>
      <c r="E18" s="31"/>
      <c r="F18" s="31"/>
      <c r="G18" s="31"/>
      <c r="H18" s="31"/>
      <c r="I18" s="3"/>
      <c r="J18" s="31"/>
      <c r="K18" s="12"/>
      <c r="L18" s="12"/>
    </row>
    <row r="19" spans="1:12" ht="16.5" x14ac:dyDescent="0.35">
      <c r="A19" s="224"/>
      <c r="B19" s="13"/>
      <c r="C19" s="31"/>
      <c r="D19" s="31"/>
      <c r="E19" s="31"/>
      <c r="F19" s="31"/>
      <c r="G19" s="31"/>
      <c r="H19" s="31"/>
      <c r="I19" s="3"/>
      <c r="J19" s="31"/>
      <c r="K19" s="12"/>
      <c r="L19" s="12"/>
    </row>
    <row r="20" spans="1:12" ht="16.5" x14ac:dyDescent="0.35">
      <c r="A20" s="224"/>
      <c r="B20" s="13"/>
      <c r="C20" s="31"/>
      <c r="D20" s="31"/>
      <c r="E20" s="31"/>
      <c r="F20" s="31"/>
      <c r="G20" s="31"/>
      <c r="H20" s="31"/>
      <c r="I20" s="3"/>
      <c r="J20" s="31"/>
      <c r="K20" s="12"/>
      <c r="L20" s="12"/>
    </row>
    <row r="21" spans="1:12" x14ac:dyDescent="0.35">
      <c r="A21" s="3"/>
      <c r="B21" s="6"/>
      <c r="C21" s="6"/>
      <c r="D21" s="6"/>
      <c r="E21" s="6"/>
      <c r="F21" s="6"/>
      <c r="G21" s="6"/>
      <c r="H21" s="6"/>
      <c r="I21" s="3"/>
      <c r="J21" s="6"/>
    </row>
    <row r="22" spans="1:12" x14ac:dyDescent="0.35">
      <c r="A22" s="3" t="str">
        <f>A4</f>
        <v>Noms des groupes</v>
      </c>
      <c r="B22" s="3" t="str">
        <f t="shared" ref="B22:L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
        <v>41</v>
      </c>
      <c r="J22" s="3" t="str">
        <f t="shared" si="0"/>
        <v>Testo -30µg/L</v>
      </c>
      <c r="K22" s="3" t="str">
        <f t="shared" si="0"/>
        <v>Testo 30µg/L + EE2 -64ng/L</v>
      </c>
      <c r="L22" s="3" t="str">
        <f t="shared" si="0"/>
        <v>Testo 30µg/L + FAD-10mg/L</v>
      </c>
    </row>
    <row r="23" spans="1:12" x14ac:dyDescent="0.35">
      <c r="A23" s="4" t="s">
        <v>0</v>
      </c>
      <c r="B23" s="4">
        <f t="shared" ref="B23:H23" si="1">AVERAGE(B5:B20)</f>
        <v>11132.5</v>
      </c>
      <c r="C23" s="4">
        <f t="shared" si="1"/>
        <v>23100.75</v>
      </c>
      <c r="D23" s="4">
        <f t="shared" si="1"/>
        <v>13476.875</v>
      </c>
      <c r="E23" s="4">
        <f t="shared" si="1"/>
        <v>52947.5</v>
      </c>
      <c r="F23" s="4">
        <f t="shared" si="1"/>
        <v>19967.571428571428</v>
      </c>
      <c r="G23" s="4">
        <f t="shared" si="1"/>
        <v>268085.625</v>
      </c>
      <c r="H23" s="4">
        <f t="shared" si="1"/>
        <v>346901.125</v>
      </c>
      <c r="I23" s="4" t="s">
        <v>0</v>
      </c>
      <c r="J23" s="4">
        <f>AVERAGE(J5:J20)</f>
        <v>261534</v>
      </c>
      <c r="K23" s="4">
        <f>AVERAGE(K5:K20)</f>
        <v>275849.25</v>
      </c>
      <c r="L23" s="4">
        <f>AVERAGE(L5:L20)</f>
        <v>22182.75</v>
      </c>
    </row>
    <row r="24" spans="1:12" x14ac:dyDescent="0.35">
      <c r="A24" s="3" t="s">
        <v>1</v>
      </c>
      <c r="B24" s="3">
        <f t="shared" ref="B24:H24" si="2">STDEV(B5:B20)</f>
        <v>10314.233895793854</v>
      </c>
      <c r="C24" s="3">
        <f t="shared" si="2"/>
        <v>20405.28337570584</v>
      </c>
      <c r="D24" s="3">
        <f t="shared" si="2"/>
        <v>13385.378498704153</v>
      </c>
      <c r="E24" s="3">
        <f t="shared" si="2"/>
        <v>64263.11744472319</v>
      </c>
      <c r="F24" s="3">
        <f t="shared" si="2"/>
        <v>15842.03527388598</v>
      </c>
      <c r="G24" s="3">
        <f t="shared" si="2"/>
        <v>75155.086528624262</v>
      </c>
      <c r="H24" s="3">
        <f t="shared" si="2"/>
        <v>145952.421992763</v>
      </c>
      <c r="I24" s="3" t="s">
        <v>1</v>
      </c>
      <c r="J24" s="3">
        <f>STDEV(J5:J20)</f>
        <v>84189.323132025311</v>
      </c>
      <c r="K24" s="3">
        <f>STDEV(K5:K20)</f>
        <v>62452.539250103466</v>
      </c>
      <c r="L24" s="3">
        <f>STDEV(L5:L20)</f>
        <v>18305.846917232288</v>
      </c>
    </row>
    <row r="25" spans="1:12" ht="15" thickBot="1" x14ac:dyDescent="0.4"/>
    <row r="26" spans="1:12" ht="15" thickBot="1" x14ac:dyDescent="0.4">
      <c r="B26" s="222" t="s">
        <v>6</v>
      </c>
      <c r="C26" s="223"/>
      <c r="D26" s="223"/>
      <c r="E26" s="223"/>
      <c r="F26" s="223"/>
      <c r="G26" s="223"/>
      <c r="H26" s="223"/>
      <c r="J26" s="222" t="s">
        <v>3</v>
      </c>
      <c r="K26" s="223"/>
      <c r="L26" s="223"/>
    </row>
    <row r="27" spans="1:12" x14ac:dyDescent="0.35">
      <c r="A27" s="33" t="s">
        <v>41</v>
      </c>
      <c r="B27" s="34" t="str">
        <f>B4</f>
        <v>Témoin solvant</v>
      </c>
      <c r="C27" s="34" t="str">
        <f t="shared" ref="C27:H27" si="3">C4</f>
        <v>EE2-33,8ng/L</v>
      </c>
      <c r="D27" s="34" t="str">
        <f t="shared" si="3"/>
        <v>EE2-50,6ng/L</v>
      </c>
      <c r="E27" s="34" t="str">
        <f t="shared" si="3"/>
        <v>EE2-76ng/L</v>
      </c>
      <c r="F27" s="34" t="str">
        <f t="shared" si="3"/>
        <v>EE2-114ng/L</v>
      </c>
      <c r="G27" s="34" t="str">
        <f t="shared" si="3"/>
        <v>EE2-170,9ng/L</v>
      </c>
      <c r="H27" s="34" t="str">
        <f t="shared" si="3"/>
        <v>EE2-488ng/L</v>
      </c>
      <c r="I27" s="3"/>
      <c r="J27" s="35" t="str">
        <f>J4</f>
        <v>Testo -30µg/L</v>
      </c>
      <c r="K27" s="35" t="str">
        <f t="shared" ref="K27:L27" si="4">K4</f>
        <v>Testo 30µg/L + EE2 -64ng/L</v>
      </c>
      <c r="L27" s="35" t="str">
        <f t="shared" si="4"/>
        <v>Testo 30µg/L + FAD-10mg/L</v>
      </c>
    </row>
    <row r="28" spans="1:12" x14ac:dyDescent="0.35">
      <c r="A28" s="225" t="s">
        <v>34</v>
      </c>
      <c r="B28" s="10">
        <f t="shared" ref="B28:H31" si="5">IF(B5="","",(B5/$J$23))</f>
        <v>6.9891486384179496E-2</v>
      </c>
      <c r="C28" s="10">
        <f t="shared" si="5"/>
        <v>0.13046104904142483</v>
      </c>
      <c r="D28" s="10">
        <f t="shared" si="5"/>
        <v>8.0505785098686972E-2</v>
      </c>
      <c r="E28" s="10">
        <f t="shared" si="5"/>
        <v>7.7336025143958334E-2</v>
      </c>
      <c r="F28" s="10">
        <f t="shared" si="5"/>
        <v>0.15158258582058165</v>
      </c>
      <c r="G28" s="10">
        <f t="shared" si="5"/>
        <v>1.491607209770049</v>
      </c>
      <c r="H28" s="10">
        <f t="shared" si="5"/>
        <v>1.451088577393379</v>
      </c>
      <c r="I28" s="5"/>
      <c r="J28" s="10">
        <f t="shared" ref="J28:L37" si="6">IF(J5="","",(J5/$J$23))</f>
        <v>0.9393998485856524</v>
      </c>
      <c r="K28" s="10">
        <f t="shared" si="6"/>
        <v>0.98412825865853004</v>
      </c>
      <c r="L28" s="10">
        <f t="shared" si="6"/>
        <v>1.5737915529147262E-2</v>
      </c>
    </row>
    <row r="29" spans="1:12" x14ac:dyDescent="0.35">
      <c r="A29" s="225"/>
      <c r="B29" s="10">
        <f t="shared" si="5"/>
        <v>1.8311194720380525E-2</v>
      </c>
      <c r="C29" s="10">
        <f t="shared" si="5"/>
        <v>1.0621945903783065E-2</v>
      </c>
      <c r="D29" s="10">
        <f t="shared" si="5"/>
        <v>3.6132969327123815E-3</v>
      </c>
      <c r="E29" s="10">
        <f t="shared" si="5"/>
        <v>0.44984208554145921</v>
      </c>
      <c r="F29" s="10">
        <f t="shared" si="5"/>
        <v>0.1197358660824214</v>
      </c>
      <c r="G29" s="10">
        <f t="shared" si="5"/>
        <v>0.64852753370498673</v>
      </c>
      <c r="H29" s="10">
        <f t="shared" si="5"/>
        <v>9.1208026489863647E-2</v>
      </c>
      <c r="I29" s="5"/>
      <c r="J29" s="10">
        <f t="shared" si="6"/>
        <v>1.3133015210259469</v>
      </c>
      <c r="K29" s="10">
        <f t="shared" si="6"/>
        <v>1.2877293200884015</v>
      </c>
      <c r="L29" s="10">
        <f t="shared" si="6"/>
        <v>2.8566075538935663E-2</v>
      </c>
    </row>
    <row r="30" spans="1:12" x14ac:dyDescent="0.35">
      <c r="A30" s="225"/>
      <c r="B30" s="10">
        <f t="shared" si="5"/>
        <v>8.6948542063364609E-2</v>
      </c>
      <c r="C30" s="10">
        <f t="shared" si="5"/>
        <v>0.24164735751374583</v>
      </c>
      <c r="D30" s="10">
        <f t="shared" si="5"/>
        <v>1.5562030175808881E-3</v>
      </c>
      <c r="E30" s="10">
        <f t="shared" si="5"/>
        <v>6.1468107397126187E-2</v>
      </c>
      <c r="F30" s="10">
        <f t="shared" si="5"/>
        <v>0.12960838743719746</v>
      </c>
      <c r="G30" s="10">
        <f t="shared" si="5"/>
        <v>0.92363134429940275</v>
      </c>
      <c r="H30" s="10">
        <f t="shared" si="5"/>
        <v>1.3783485130040454</v>
      </c>
      <c r="I30" s="5"/>
      <c r="J30" s="10">
        <f t="shared" si="6"/>
        <v>1.2975253695504216</v>
      </c>
      <c r="K30" s="10">
        <f t="shared" si="6"/>
        <v>1.2097547546399321</v>
      </c>
      <c r="L30" s="10">
        <f t="shared" si="6"/>
        <v>2.6065444645820428E-2</v>
      </c>
    </row>
    <row r="31" spans="1:12" x14ac:dyDescent="0.35">
      <c r="A31" s="225"/>
      <c r="B31" s="10">
        <f t="shared" si="5"/>
        <v>5.1083224360886159E-3</v>
      </c>
      <c r="C31" s="10">
        <f t="shared" si="5"/>
        <v>1.2797571252686076E-2</v>
      </c>
      <c r="D31" s="10">
        <f t="shared" si="5"/>
        <v>0.13420817178645988</v>
      </c>
      <c r="E31" s="10">
        <f t="shared" si="5"/>
        <v>0.69375683467541505</v>
      </c>
      <c r="F31" s="10">
        <f t="shared" si="5"/>
        <v>3.7547699343106443E-3</v>
      </c>
      <c r="G31" s="10">
        <f t="shared" si="5"/>
        <v>1.2688942929026437</v>
      </c>
      <c r="H31" s="10">
        <f t="shared" si="5"/>
        <v>1.9087766791315852</v>
      </c>
      <c r="I31" s="5"/>
      <c r="J31" s="10">
        <f t="shared" si="6"/>
        <v>0.72983245008297204</v>
      </c>
      <c r="K31" s="10">
        <f t="shared" si="6"/>
        <v>1.046494910795537</v>
      </c>
      <c r="L31" s="10">
        <f t="shared" si="6"/>
        <v>9.3039528321365486E-2</v>
      </c>
    </row>
    <row r="32" spans="1:12" x14ac:dyDescent="0.35">
      <c r="A32" s="225"/>
      <c r="B32" s="10">
        <f t="shared" ref="B32:E35" si="7">IF(B9="","",(B9/$J$23))</f>
        <v>1.4839370789266405E-2</v>
      </c>
      <c r="C32" s="10">
        <f t="shared" si="7"/>
        <v>2.8883433893872306E-2</v>
      </c>
      <c r="D32" s="10">
        <f t="shared" si="7"/>
        <v>0.10389471349805379</v>
      </c>
      <c r="E32" s="10">
        <f t="shared" si="7"/>
        <v>3.4917066232306317E-2</v>
      </c>
      <c r="F32" s="10" t="s">
        <v>112</v>
      </c>
      <c r="G32" s="10">
        <f t="shared" ref="G32:H43" si="8">IF(G9="","",(G9/$J$23))</f>
        <v>0.99157279741830895</v>
      </c>
      <c r="H32" s="10">
        <f t="shared" si="8"/>
        <v>1.6150366682725765</v>
      </c>
      <c r="I32" s="5"/>
      <c r="J32" s="10">
        <f t="shared" si="6"/>
        <v>0.4062875190223833</v>
      </c>
      <c r="K32" s="10">
        <f t="shared" si="6"/>
        <v>0.71679399236810515</v>
      </c>
      <c r="L32" s="10">
        <f t="shared" si="6"/>
        <v>4.7527281347740639E-2</v>
      </c>
    </row>
    <row r="33" spans="1:12" x14ac:dyDescent="0.35">
      <c r="A33" s="225"/>
      <c r="B33" s="10">
        <f t="shared" si="7"/>
        <v>1.1639022077435439E-2</v>
      </c>
      <c r="C33" s="10">
        <f t="shared" si="7"/>
        <v>0.10389853709269158</v>
      </c>
      <c r="D33" s="10">
        <f t="shared" si="7"/>
        <v>5.7709513868177749E-2</v>
      </c>
      <c r="E33" s="10">
        <f t="shared" si="7"/>
        <v>3.5666490781313329E-2</v>
      </c>
      <c r="F33" s="10">
        <f t="shared" ref="F33:F43" si="9">IF(F10="","",(F10/$J$23))</f>
        <v>5.3182377817033347E-2</v>
      </c>
      <c r="G33" s="10">
        <f t="shared" si="8"/>
        <v>1.1720923474576919</v>
      </c>
      <c r="H33" s="10">
        <f t="shared" si="8"/>
        <v>1.4266481604686199</v>
      </c>
      <c r="I33" s="5"/>
      <c r="J33" s="10">
        <f t="shared" si="6"/>
        <v>1.3064037562993722</v>
      </c>
      <c r="K33" s="10">
        <f t="shared" si="6"/>
        <v>0.6980010247233629</v>
      </c>
      <c r="L33" s="10">
        <f t="shared" si="6"/>
        <v>9.7253129612211026E-2</v>
      </c>
    </row>
    <row r="34" spans="1:12" x14ac:dyDescent="0.35">
      <c r="A34" s="225"/>
      <c r="B34" s="10">
        <f t="shared" si="7"/>
        <v>2.645927489351289E-2</v>
      </c>
      <c r="C34" s="10">
        <f t="shared" si="7"/>
        <v>0.11923115159023301</v>
      </c>
      <c r="D34" s="10">
        <f t="shared" si="7"/>
        <v>0</v>
      </c>
      <c r="E34" s="10">
        <f t="shared" si="7"/>
        <v>3.5647372808124377E-2</v>
      </c>
      <c r="F34" s="10">
        <f t="shared" si="9"/>
        <v>7.6571306216400167E-2</v>
      </c>
      <c r="G34" s="10">
        <f t="shared" si="8"/>
        <v>1.0340338158709765</v>
      </c>
      <c r="H34" s="10">
        <f t="shared" si="8"/>
        <v>1.0540503337998119</v>
      </c>
      <c r="I34" s="5"/>
      <c r="J34" s="10">
        <f t="shared" si="6"/>
        <v>1.0919918633906107</v>
      </c>
      <c r="K34" s="10">
        <f t="shared" si="6"/>
        <v>1.2451382994180489</v>
      </c>
      <c r="L34" s="10">
        <f t="shared" si="6"/>
        <v>0.16120274992926351</v>
      </c>
    </row>
    <row r="35" spans="1:12" x14ac:dyDescent="0.35">
      <c r="A35" s="225"/>
      <c r="B35" s="10">
        <f t="shared" si="7"/>
        <v>0.10733212507742779</v>
      </c>
      <c r="C35" s="10">
        <f t="shared" si="7"/>
        <v>5.9082184343144675E-2</v>
      </c>
      <c r="D35" s="10">
        <f t="shared" si="7"/>
        <v>3.0753171671752049E-2</v>
      </c>
      <c r="E35" s="10">
        <f t="shared" si="7"/>
        <v>0.23096423409575811</v>
      </c>
      <c r="F35" s="10">
        <f t="shared" si="9"/>
        <v>0</v>
      </c>
      <c r="G35" s="10">
        <f t="shared" si="8"/>
        <v>0.67004672432647383</v>
      </c>
      <c r="H35" s="10">
        <f t="shared" si="8"/>
        <v>1.6861172925891088</v>
      </c>
      <c r="I35" s="5"/>
      <c r="J35" s="10">
        <f t="shared" si="6"/>
        <v>0.91525767204264075</v>
      </c>
      <c r="K35" s="10">
        <f t="shared" si="6"/>
        <v>1.2498451444171694</v>
      </c>
      <c r="L35" s="10">
        <f t="shared" si="6"/>
        <v>0.20915062668716114</v>
      </c>
    </row>
    <row r="36" spans="1:12" x14ac:dyDescent="0.35">
      <c r="A36" s="225"/>
      <c r="B36" s="10" t="s">
        <v>112</v>
      </c>
      <c r="C36" s="10" t="str">
        <f t="shared" ref="C36:E43" si="10">IF(C13="","",(C13/$J$23))</f>
        <v/>
      </c>
      <c r="D36" s="10" t="str">
        <f t="shared" si="10"/>
        <v/>
      </c>
      <c r="E36" s="10" t="str">
        <f t="shared" si="10"/>
        <v/>
      </c>
      <c r="F36" s="10" t="str">
        <f t="shared" si="9"/>
        <v/>
      </c>
      <c r="G36" s="10" t="str">
        <f t="shared" si="8"/>
        <v/>
      </c>
      <c r="H36" s="10" t="str">
        <f t="shared" si="8"/>
        <v/>
      </c>
      <c r="I36" s="5"/>
      <c r="J36" s="10" t="str">
        <f t="shared" si="6"/>
        <v/>
      </c>
      <c r="K36" s="10" t="str">
        <f t="shared" si="6"/>
        <v/>
      </c>
      <c r="L36" s="10" t="str">
        <f t="shared" si="6"/>
        <v/>
      </c>
    </row>
    <row r="37" spans="1:12" x14ac:dyDescent="0.35">
      <c r="A37" s="225"/>
      <c r="B37" s="10" t="str">
        <f t="shared" ref="B37:B43" si="11">IF(B14="","",(B14/$J$23))</f>
        <v/>
      </c>
      <c r="C37" s="10" t="str">
        <f t="shared" si="10"/>
        <v/>
      </c>
      <c r="D37" s="10" t="str">
        <f t="shared" si="10"/>
        <v/>
      </c>
      <c r="E37" s="10" t="str">
        <f t="shared" si="10"/>
        <v/>
      </c>
      <c r="F37" s="10" t="str">
        <f t="shared" si="9"/>
        <v/>
      </c>
      <c r="G37" s="10" t="str">
        <f t="shared" si="8"/>
        <v/>
      </c>
      <c r="H37" s="10" t="str">
        <f t="shared" si="8"/>
        <v/>
      </c>
      <c r="I37" s="5"/>
      <c r="J37" s="10" t="str">
        <f t="shared" si="6"/>
        <v/>
      </c>
      <c r="K37" s="10" t="str">
        <f t="shared" si="6"/>
        <v/>
      </c>
      <c r="L37" s="10" t="str">
        <f t="shared" si="6"/>
        <v/>
      </c>
    </row>
    <row r="38" spans="1:12" x14ac:dyDescent="0.35">
      <c r="A38" s="225"/>
      <c r="B38" s="10" t="str">
        <f t="shared" si="11"/>
        <v/>
      </c>
      <c r="C38" s="10" t="str">
        <f t="shared" si="10"/>
        <v/>
      </c>
      <c r="D38" s="10" t="str">
        <f t="shared" si="10"/>
        <v/>
      </c>
      <c r="E38" s="10" t="str">
        <f t="shared" si="10"/>
        <v/>
      </c>
      <c r="F38" s="10" t="str">
        <f t="shared" si="9"/>
        <v/>
      </c>
      <c r="G38" s="10" t="str">
        <f t="shared" si="8"/>
        <v/>
      </c>
      <c r="H38" s="10" t="str">
        <f t="shared" si="8"/>
        <v/>
      </c>
      <c r="I38" s="5"/>
      <c r="J38" s="10" t="str">
        <f t="shared" ref="J38:L38" si="12">IF(J15="","",(J15/$J$23))</f>
        <v/>
      </c>
      <c r="K38" s="10" t="str">
        <f t="shared" si="12"/>
        <v/>
      </c>
      <c r="L38" s="10" t="str">
        <f t="shared" si="12"/>
        <v/>
      </c>
    </row>
    <row r="39" spans="1:12" x14ac:dyDescent="0.35">
      <c r="A39" s="225"/>
      <c r="B39" s="10" t="str">
        <f t="shared" si="11"/>
        <v/>
      </c>
      <c r="C39" s="10" t="str">
        <f t="shared" si="10"/>
        <v/>
      </c>
      <c r="D39" s="10" t="str">
        <f t="shared" si="10"/>
        <v/>
      </c>
      <c r="E39" s="10" t="str">
        <f t="shared" si="10"/>
        <v/>
      </c>
      <c r="F39" s="10" t="str">
        <f t="shared" si="9"/>
        <v/>
      </c>
      <c r="G39" s="10" t="str">
        <f t="shared" si="8"/>
        <v/>
      </c>
      <c r="H39" s="10" t="str">
        <f t="shared" si="8"/>
        <v/>
      </c>
      <c r="I39" s="5"/>
      <c r="J39" s="10" t="str">
        <f t="shared" ref="J39:L39" si="13">IF(J16="","",(J16/$J$23))</f>
        <v/>
      </c>
      <c r="K39" s="10" t="str">
        <f t="shared" si="13"/>
        <v/>
      </c>
      <c r="L39" s="10" t="str">
        <f t="shared" si="13"/>
        <v/>
      </c>
    </row>
    <row r="40" spans="1:12" x14ac:dyDescent="0.35">
      <c r="A40" s="225"/>
      <c r="B40" s="10" t="str">
        <f t="shared" si="11"/>
        <v/>
      </c>
      <c r="C40" s="10" t="str">
        <f t="shared" si="10"/>
        <v/>
      </c>
      <c r="D40" s="10" t="str">
        <f t="shared" si="10"/>
        <v/>
      </c>
      <c r="E40" s="10" t="str">
        <f t="shared" si="10"/>
        <v/>
      </c>
      <c r="F40" s="10" t="str">
        <f t="shared" si="9"/>
        <v/>
      </c>
      <c r="G40" s="10" t="str">
        <f t="shared" si="8"/>
        <v/>
      </c>
      <c r="H40" s="10" t="str">
        <f t="shared" si="8"/>
        <v/>
      </c>
      <c r="I40" s="5"/>
      <c r="J40" s="10" t="str">
        <f t="shared" ref="J40:L40" si="14">IF(J17="","",(J17/$J$23))</f>
        <v/>
      </c>
      <c r="K40" s="10" t="str">
        <f t="shared" si="14"/>
        <v/>
      </c>
      <c r="L40" s="10" t="str">
        <f t="shared" si="14"/>
        <v/>
      </c>
    </row>
    <row r="41" spans="1:12" x14ac:dyDescent="0.35">
      <c r="A41" s="225"/>
      <c r="B41" s="10" t="str">
        <f t="shared" si="11"/>
        <v/>
      </c>
      <c r="C41" s="10" t="str">
        <f t="shared" si="10"/>
        <v/>
      </c>
      <c r="D41" s="10" t="str">
        <f t="shared" si="10"/>
        <v/>
      </c>
      <c r="E41" s="10" t="str">
        <f t="shared" si="10"/>
        <v/>
      </c>
      <c r="F41" s="10" t="str">
        <f t="shared" si="9"/>
        <v/>
      </c>
      <c r="G41" s="10" t="str">
        <f t="shared" si="8"/>
        <v/>
      </c>
      <c r="H41" s="10" t="str">
        <f t="shared" si="8"/>
        <v/>
      </c>
      <c r="I41" s="5"/>
      <c r="J41" s="10" t="str">
        <f t="shared" ref="J41:L41" si="15">IF(J18="","",(J18/$J$23))</f>
        <v/>
      </c>
      <c r="K41" s="10" t="str">
        <f t="shared" si="15"/>
        <v/>
      </c>
      <c r="L41" s="10" t="str">
        <f t="shared" si="15"/>
        <v/>
      </c>
    </row>
    <row r="42" spans="1:12" x14ac:dyDescent="0.35">
      <c r="A42" s="225"/>
      <c r="B42" s="10" t="str">
        <f t="shared" si="11"/>
        <v/>
      </c>
      <c r="C42" s="10" t="str">
        <f t="shared" si="10"/>
        <v/>
      </c>
      <c r="D42" s="10" t="str">
        <f t="shared" si="10"/>
        <v/>
      </c>
      <c r="E42" s="10" t="str">
        <f t="shared" si="10"/>
        <v/>
      </c>
      <c r="F42" s="10" t="str">
        <f t="shared" si="9"/>
        <v/>
      </c>
      <c r="G42" s="10" t="str">
        <f t="shared" si="8"/>
        <v/>
      </c>
      <c r="H42" s="10" t="str">
        <f t="shared" si="8"/>
        <v/>
      </c>
      <c r="I42" s="5"/>
      <c r="J42" s="10" t="str">
        <f t="shared" ref="J42:L42" si="16">IF(J19="","",(J19/$J$23))</f>
        <v/>
      </c>
      <c r="K42" s="10" t="str">
        <f t="shared" si="16"/>
        <v/>
      </c>
      <c r="L42" s="10" t="str">
        <f t="shared" si="16"/>
        <v/>
      </c>
    </row>
    <row r="43" spans="1:12" x14ac:dyDescent="0.35">
      <c r="A43" s="225"/>
      <c r="B43" s="10" t="str">
        <f t="shared" si="11"/>
        <v/>
      </c>
      <c r="C43" s="10" t="str">
        <f t="shared" si="10"/>
        <v/>
      </c>
      <c r="D43" s="10" t="str">
        <f t="shared" si="10"/>
        <v/>
      </c>
      <c r="E43" s="10" t="str">
        <f t="shared" si="10"/>
        <v/>
      </c>
      <c r="F43" s="10" t="str">
        <f t="shared" si="9"/>
        <v/>
      </c>
      <c r="G43" s="10" t="str">
        <f t="shared" si="8"/>
        <v/>
      </c>
      <c r="H43" s="10" t="str">
        <f t="shared" si="8"/>
        <v/>
      </c>
      <c r="I43" s="5"/>
      <c r="J43" s="10" t="str">
        <f t="shared" ref="J43:L43" si="17">IF(J20="","",(J20/$J$23))</f>
        <v/>
      </c>
      <c r="K43" s="10" t="str">
        <f t="shared" si="17"/>
        <v/>
      </c>
      <c r="L43" s="10" t="str">
        <f t="shared" si="17"/>
        <v/>
      </c>
    </row>
    <row r="44" spans="1:12" x14ac:dyDescent="0.35">
      <c r="A44" s="6"/>
      <c r="B44" s="3"/>
      <c r="C44" s="3"/>
      <c r="D44" s="3"/>
      <c r="E44" s="3"/>
      <c r="F44" s="3"/>
      <c r="G44" s="3"/>
      <c r="H44" s="3"/>
      <c r="I44" s="6"/>
      <c r="J44" s="3"/>
      <c r="K44" s="3"/>
      <c r="L44" s="3"/>
    </row>
    <row r="45" spans="1:12" x14ac:dyDescent="0.35">
      <c r="A45" s="6" t="str">
        <f>A4</f>
        <v>Noms des groupes</v>
      </c>
      <c r="B45" s="6" t="str">
        <f t="shared" ref="B45:L45" si="18">B4</f>
        <v>Témoin solvant</v>
      </c>
      <c r="C45" s="6" t="str">
        <f t="shared" si="18"/>
        <v>EE2-33,8ng/L</v>
      </c>
      <c r="D45" s="6" t="str">
        <f t="shared" si="18"/>
        <v>EE2-50,6ng/L</v>
      </c>
      <c r="E45" s="6" t="str">
        <f t="shared" si="18"/>
        <v>EE2-76ng/L</v>
      </c>
      <c r="F45" s="6" t="str">
        <f t="shared" si="18"/>
        <v>EE2-114ng/L</v>
      </c>
      <c r="G45" s="6" t="str">
        <f t="shared" si="18"/>
        <v>EE2-170,9ng/L</v>
      </c>
      <c r="H45" s="6" t="str">
        <f t="shared" si="18"/>
        <v>EE2-488ng/L</v>
      </c>
      <c r="I45" s="6"/>
      <c r="J45" s="6" t="str">
        <f t="shared" si="18"/>
        <v>Testo -30µg/L</v>
      </c>
      <c r="K45" s="6" t="str">
        <f t="shared" si="18"/>
        <v>Testo 30µg/L + EE2 -64ng/L</v>
      </c>
      <c r="L45" s="6" t="str">
        <f t="shared" si="18"/>
        <v>Testo 30µg/L + FAD-10mg/L</v>
      </c>
    </row>
    <row r="46" spans="1:12" x14ac:dyDescent="0.35">
      <c r="A46" s="7" t="s">
        <v>0</v>
      </c>
      <c r="B46" s="9">
        <f t="shared" ref="B46:H46" si="19">AVERAGE(B28:B43)</f>
        <v>4.2566167305206973E-2</v>
      </c>
      <c r="C46" s="9">
        <f t="shared" si="19"/>
        <v>8.8327903828947674E-2</v>
      </c>
      <c r="D46" s="9">
        <f t="shared" si="19"/>
        <v>5.1530106984177967E-2</v>
      </c>
      <c r="E46" s="9">
        <f t="shared" si="19"/>
        <v>0.20244977708443262</v>
      </c>
      <c r="F46" s="9">
        <f t="shared" si="19"/>
        <v>7.6347899043992098E-2</v>
      </c>
      <c r="G46" s="9">
        <f t="shared" si="19"/>
        <v>1.0250507582188166</v>
      </c>
      <c r="H46" s="9">
        <f t="shared" si="19"/>
        <v>1.3264092813936239</v>
      </c>
      <c r="I46" s="7" t="s">
        <v>0</v>
      </c>
      <c r="J46" s="9">
        <f t="shared" ref="J46:L46" si="20">AVERAGE(J28:J43)</f>
        <v>0.99999999999999989</v>
      </c>
      <c r="K46" s="9">
        <f t="shared" si="20"/>
        <v>1.0547357131386357</v>
      </c>
      <c r="L46" s="9">
        <f t="shared" si="20"/>
        <v>8.481784395145564E-2</v>
      </c>
    </row>
    <row r="47" spans="1:12" x14ac:dyDescent="0.35">
      <c r="A47" s="7" t="s">
        <v>1</v>
      </c>
      <c r="B47" s="7">
        <f t="shared" ref="B47:H47" si="21">STDEV(B28:B43)</f>
        <v>3.9437449416878309E-2</v>
      </c>
      <c r="C47" s="7">
        <f t="shared" si="21"/>
        <v>7.8021532097952234E-2</v>
      </c>
      <c r="D47" s="7">
        <f t="shared" si="21"/>
        <v>5.1180261452446529E-2</v>
      </c>
      <c r="E47" s="7">
        <f t="shared" si="21"/>
        <v>0.24571611126936907</v>
      </c>
      <c r="F47" s="7">
        <f t="shared" si="21"/>
        <v>6.0573521124924402E-2</v>
      </c>
      <c r="G47" s="7">
        <f t="shared" si="21"/>
        <v>0.28736258585355701</v>
      </c>
      <c r="H47" s="7">
        <f t="shared" si="21"/>
        <v>0.55806289810412013</v>
      </c>
      <c r="I47" s="7" t="s">
        <v>1</v>
      </c>
      <c r="J47" s="7">
        <f t="shared" ref="J47:L47" si="22">STDEV(J28:J43)</f>
        <v>0.32190584448685589</v>
      </c>
      <c r="K47" s="7">
        <f t="shared" si="22"/>
        <v>0.23879319419312092</v>
      </c>
      <c r="L47" s="7">
        <f t="shared" si="22"/>
        <v>6.9994138112950091E-2</v>
      </c>
    </row>
    <row r="48" spans="1:12" x14ac:dyDescent="0.35">
      <c r="A48" s="7" t="s">
        <v>2</v>
      </c>
      <c r="B48" s="7">
        <f t="shared" ref="B48:H48" si="23" xml:space="preserve"> B47/SQRT(COUNT(B28:B43))</f>
        <v>1.3943243957688053E-2</v>
      </c>
      <c r="C48" s="7">
        <f t="shared" si="23"/>
        <v>2.758477721251295E-2</v>
      </c>
      <c r="D48" s="7">
        <f t="shared" si="23"/>
        <v>1.8094954967962699E-2</v>
      </c>
      <c r="E48" s="7">
        <f t="shared" si="23"/>
        <v>8.6873764262679551E-2</v>
      </c>
      <c r="F48" s="7">
        <f t="shared" si="23"/>
        <v>2.2894638990295344E-2</v>
      </c>
      <c r="G48" s="7">
        <f t="shared" si="23"/>
        <v>0.1015980165581758</v>
      </c>
      <c r="H48" s="7">
        <f t="shared" si="23"/>
        <v>0.19730502978902031</v>
      </c>
      <c r="I48" s="7" t="s">
        <v>2</v>
      </c>
      <c r="J48" s="7">
        <f t="shared" ref="J48:L48" si="24" xml:space="preserve"> J47/SQRT(COUNT(J28:J43))</f>
        <v>0.11381090277011899</v>
      </c>
      <c r="K48" s="7">
        <f t="shared" si="24"/>
        <v>8.4426143457575945E-2</v>
      </c>
      <c r="L48" s="7">
        <f t="shared" si="24"/>
        <v>2.4746664851487393E-2</v>
      </c>
    </row>
    <row r="49" spans="1:12" ht="15" thickBot="1" x14ac:dyDescent="0.4">
      <c r="A49" s="7"/>
      <c r="B49" s="7"/>
      <c r="C49" s="7"/>
      <c r="D49" s="7"/>
      <c r="E49" s="7"/>
      <c r="F49" s="7"/>
      <c r="G49" s="7"/>
      <c r="H49" s="7"/>
      <c r="I49" s="7"/>
      <c r="J49" s="7"/>
      <c r="K49" s="7"/>
      <c r="L49" s="7"/>
    </row>
    <row r="50" spans="1:12" ht="26.5" thickBot="1" x14ac:dyDescent="0.65">
      <c r="A50" s="216" t="s">
        <v>44</v>
      </c>
      <c r="B50" s="217"/>
      <c r="C50" s="217"/>
      <c r="D50" s="217"/>
      <c r="E50" s="217"/>
      <c r="F50" s="217"/>
      <c r="G50" s="217"/>
      <c r="H50" s="217"/>
      <c r="I50" s="217"/>
      <c r="J50" s="217"/>
      <c r="K50" s="217"/>
      <c r="L50" s="217"/>
    </row>
    <row r="51" spans="1:12" customFormat="1" ht="15" thickBot="1" x14ac:dyDescent="0.4"/>
    <row r="52" spans="1:12" x14ac:dyDescent="0.35">
      <c r="A52" s="44" t="str">
        <f t="shared" ref="A52:H52" si="25">A27</f>
        <v>Noms des groupes</v>
      </c>
      <c r="B52" s="45" t="str">
        <f t="shared" si="25"/>
        <v>Témoin solvant</v>
      </c>
      <c r="C52" s="45" t="str">
        <f t="shared" si="25"/>
        <v>EE2-33,8ng/L</v>
      </c>
      <c r="D52" s="45" t="str">
        <f t="shared" si="25"/>
        <v>EE2-50,6ng/L</v>
      </c>
      <c r="E52" s="45" t="str">
        <f t="shared" si="25"/>
        <v>EE2-76ng/L</v>
      </c>
      <c r="F52" s="45" t="str">
        <f t="shared" si="25"/>
        <v>EE2-114ng/L</v>
      </c>
      <c r="G52" s="45" t="str">
        <f t="shared" si="25"/>
        <v>EE2-170,9ng/L</v>
      </c>
      <c r="H52" s="45" t="str">
        <f t="shared" si="25"/>
        <v>EE2-488ng/L</v>
      </c>
      <c r="I52" s="46"/>
      <c r="J52" s="45" t="str">
        <f>J27</f>
        <v>Testo -30µg/L</v>
      </c>
      <c r="K52" s="45" t="str">
        <f>K27</f>
        <v>Testo 30µg/L + EE2 -64ng/L</v>
      </c>
      <c r="L52" s="45" t="str">
        <f>L27</f>
        <v>Testo 30µg/L + FAD-10mg/L</v>
      </c>
    </row>
    <row r="53" spans="1:12" s="3" customFormat="1" x14ac:dyDescent="0.35">
      <c r="A53" s="60" t="s">
        <v>32</v>
      </c>
      <c r="B53" s="141">
        <f t="shared" ref="B53" si="26">B46</f>
        <v>4.2566167305206973E-2</v>
      </c>
      <c r="C53" s="141">
        <f t="shared" ref="C53:L53" si="27">C46</f>
        <v>8.8327903828947674E-2</v>
      </c>
      <c r="D53" s="141">
        <f t="shared" si="27"/>
        <v>5.1530106984177967E-2</v>
      </c>
      <c r="E53" s="141">
        <f t="shared" si="27"/>
        <v>0.20244977708443262</v>
      </c>
      <c r="F53" s="141">
        <f t="shared" si="27"/>
        <v>7.6347899043992098E-2</v>
      </c>
      <c r="G53" s="141">
        <f t="shared" si="27"/>
        <v>1.0250507582188166</v>
      </c>
      <c r="H53" s="141">
        <f t="shared" si="27"/>
        <v>1.3264092813936239</v>
      </c>
      <c r="I53" s="141"/>
      <c r="J53" s="141">
        <f t="shared" si="27"/>
        <v>0.99999999999999989</v>
      </c>
      <c r="K53" s="141">
        <f t="shared" si="27"/>
        <v>1.0547357131386357</v>
      </c>
      <c r="L53" s="141">
        <f t="shared" si="27"/>
        <v>8.481784395145564E-2</v>
      </c>
    </row>
    <row r="54" spans="1:12" s="3" customFormat="1" x14ac:dyDescent="0.35">
      <c r="A54" s="60" t="s">
        <v>2</v>
      </c>
      <c r="B54" s="141">
        <f t="shared" ref="B54" si="28">B48</f>
        <v>1.3943243957688053E-2</v>
      </c>
      <c r="C54" s="141">
        <f t="shared" ref="C54:L54" si="29">C48</f>
        <v>2.758477721251295E-2</v>
      </c>
      <c r="D54" s="141">
        <f t="shared" si="29"/>
        <v>1.8094954967962699E-2</v>
      </c>
      <c r="E54" s="141">
        <f t="shared" si="29"/>
        <v>8.6873764262679551E-2</v>
      </c>
      <c r="F54" s="141">
        <f t="shared" si="29"/>
        <v>2.2894638990295344E-2</v>
      </c>
      <c r="G54" s="141">
        <f t="shared" si="29"/>
        <v>0.1015980165581758</v>
      </c>
      <c r="H54" s="141">
        <f t="shared" si="29"/>
        <v>0.19730502978902031</v>
      </c>
      <c r="I54" s="141"/>
      <c r="J54" s="141">
        <f t="shared" si="29"/>
        <v>0.11381090277011899</v>
      </c>
      <c r="K54" s="141">
        <f t="shared" si="29"/>
        <v>8.4426143457575945E-2</v>
      </c>
      <c r="L54" s="141">
        <f t="shared" si="29"/>
        <v>2.4746664851487393E-2</v>
      </c>
    </row>
    <row r="55" spans="1:12" s="3" customFormat="1" x14ac:dyDescent="0.35">
      <c r="A55" s="60" t="s">
        <v>79</v>
      </c>
      <c r="B55" s="141">
        <f>(B53*100/$B53)-100</f>
        <v>0</v>
      </c>
      <c r="C55" s="141">
        <f t="shared" ref="C55:H55" si="30">(C53*100/$B53)-100</f>
        <v>107.50729845048284</v>
      </c>
      <c r="D55" s="141">
        <f t="shared" si="30"/>
        <v>21.058836739276884</v>
      </c>
      <c r="E55" s="141">
        <f t="shared" si="30"/>
        <v>375.61194700202111</v>
      </c>
      <c r="F55" s="141">
        <f t="shared" si="30"/>
        <v>79.362869333675548</v>
      </c>
      <c r="G55" s="141">
        <f t="shared" si="30"/>
        <v>2308.134965192005</v>
      </c>
      <c r="H55" s="141">
        <f t="shared" si="30"/>
        <v>3016.1116101504604</v>
      </c>
      <c r="I55" s="141"/>
      <c r="J55" s="141">
        <f>(J53*100/$J53)-100</f>
        <v>0</v>
      </c>
      <c r="K55" s="141">
        <f t="shared" ref="K55:L55" si="31">(K53*100/$J53)-100</f>
        <v>5.4735713138635873</v>
      </c>
      <c r="L55" s="141">
        <f t="shared" si="31"/>
        <v>-91.518215604854433</v>
      </c>
    </row>
    <row r="56" spans="1:12" s="3" customFormat="1" x14ac:dyDescent="0.35">
      <c r="A56" s="60"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c r="J56" s="141" t="e">
        <f ca="1">[1]!SWTEST(J28:J43)</f>
        <v>#NAME?</v>
      </c>
      <c r="K56" s="141" t="e">
        <f ca="1">[1]!SWTEST(K28:K43)</f>
        <v>#NAME?</v>
      </c>
      <c r="L56" s="141" t="e">
        <f ca="1">[1]!SWTEST(L28:L43)</f>
        <v>#NAME?</v>
      </c>
    </row>
    <row r="57" spans="1:12" s="3" customFormat="1" x14ac:dyDescent="0.35">
      <c r="A57" s="60" t="s">
        <v>85</v>
      </c>
      <c r="B57" s="141" t="e">
        <f ca="1">IF(B56&gt;0.05,"Oui","Non")</f>
        <v>#NAME?</v>
      </c>
      <c r="C57" s="141" t="e">
        <f t="shared" ref="C57:L57" ca="1" si="32">IF(C56&gt;0.05,"Oui","Non")</f>
        <v>#NAME?</v>
      </c>
      <c r="D57" s="141" t="e">
        <f t="shared" ca="1" si="32"/>
        <v>#NAME?</v>
      </c>
      <c r="E57" s="141" t="e">
        <f t="shared" ca="1" si="32"/>
        <v>#NAME?</v>
      </c>
      <c r="F57" s="141" t="e">
        <f t="shared" ca="1" si="32"/>
        <v>#NAME?</v>
      </c>
      <c r="G57" s="141" t="e">
        <f t="shared" ca="1" si="32"/>
        <v>#NAME?</v>
      </c>
      <c r="H57" s="141" t="e">
        <f t="shared" ca="1" si="32"/>
        <v>#NAME?</v>
      </c>
      <c r="I57" s="141"/>
      <c r="J57" s="141" t="e">
        <f t="shared" ca="1" si="32"/>
        <v>#NAME?</v>
      </c>
      <c r="K57" s="141" t="e">
        <f t="shared" ca="1" si="32"/>
        <v>#NAME?</v>
      </c>
      <c r="L57" s="141" t="e">
        <f t="shared" ca="1" si="32"/>
        <v>#NAME?</v>
      </c>
    </row>
    <row r="58" spans="1:12" s="3" customFormat="1" x14ac:dyDescent="0.35">
      <c r="A58" s="60"/>
      <c r="B58" s="141"/>
      <c r="C58" s="141"/>
      <c r="D58" s="141"/>
      <c r="E58" s="141"/>
      <c r="F58" s="141"/>
      <c r="G58" s="141"/>
      <c r="H58" s="141"/>
      <c r="I58" s="148"/>
      <c r="J58" s="149"/>
      <c r="K58" s="141"/>
      <c r="L58" s="141"/>
    </row>
    <row r="59" spans="1:12" s="3" customFormat="1" x14ac:dyDescent="0.35">
      <c r="A59" s="60" t="s">
        <v>82</v>
      </c>
      <c r="B59" s="150"/>
      <c r="C59" s="150" t="e">
        <f t="shared" ref="C59:J59" ca="1" si="33">IF($B57="Non",IF(C57="Non","MW",IF(C57="Oui","MW","")),IF($B57="Oui",IF(C57="Oui","T-Test Welch",IF(C57="Non","MW",""))))</f>
        <v>#NAME?</v>
      </c>
      <c r="D59" s="150" t="e">
        <f t="shared" ca="1" si="33"/>
        <v>#NAME?</v>
      </c>
      <c r="E59" s="150" t="e">
        <f t="shared" ca="1" si="33"/>
        <v>#NAME?</v>
      </c>
      <c r="F59" s="150" t="e">
        <f t="shared" ca="1" si="33"/>
        <v>#NAME?</v>
      </c>
      <c r="G59" s="150" t="e">
        <f t="shared" ca="1" si="33"/>
        <v>#NAME?</v>
      </c>
      <c r="H59" s="150" t="e">
        <f t="shared" ca="1" si="33"/>
        <v>#NAME?</v>
      </c>
      <c r="I59" s="150"/>
      <c r="J59" s="150" t="e">
        <f t="shared" ca="1" si="33"/>
        <v>#NAME?</v>
      </c>
      <c r="K59" s="150" t="e">
        <f ca="1">IF($J57="Non",IF(K57="Non","MW",IF(K57="Oui","MW","")),IF($J57="Oui",IF(K57="Oui","T-Test Welch",IF(K57="Non","MW",""))))</f>
        <v>#NAME?</v>
      </c>
      <c r="L59" s="150" t="e">
        <f t="shared" ref="L59" ca="1" si="34">IF($J57="Non",IF(L57="Non","MW",IF(L57="Oui","MW","")),IF($J57="Oui",IF(L57="Oui","T-Test Welch",IF(L57="Non","MW",""))))</f>
        <v>#NAME?</v>
      </c>
    </row>
    <row r="60" spans="1:12" s="3" customFormat="1" x14ac:dyDescent="0.35">
      <c r="A60" s="60"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c r="J60" s="151" t="e">
        <f ca="1">IF(J59="MW",[1]!MTEST($B28:$B43,J28:J43,2), IF(J59="T-Test Welch",_xlfn.T.TEST($B28:$B43,J28:J43,2,3),""))</f>
        <v>#NAME?</v>
      </c>
      <c r="K60" s="151" t="e">
        <f ca="1">IF(K59="MW",[1]!MTEST($J28:$J43,K28:K43,2), IF(K59="T-Test Welch",_xlfn.T.TEST($J28:$J43,K28:K43,2,3),""))</f>
        <v>#NAME?</v>
      </c>
      <c r="L60" s="151" t="e">
        <f ca="1">IF(L59="MW",[1]!MTEST($J28:$J43,L28:L43,2), IF(L59="T-Test Welch",_xlfn.T.TEST($J28:$J43,L28:L43,2,3),""))</f>
        <v>#NAME?</v>
      </c>
    </row>
    <row r="61" spans="1:12" s="3" customFormat="1" ht="15" thickBot="1" x14ac:dyDescent="0.4">
      <c r="A61" s="61" t="s">
        <v>84</v>
      </c>
      <c r="B61" s="142"/>
      <c r="C61" s="142" t="e">
        <f t="shared" ref="C61:J61" ca="1" si="35">IF(C60&gt;0.05,"NS",IF(C60&gt;0.01,"*",IF(C60&gt;0.001,"**","***")))</f>
        <v>#NAME?</v>
      </c>
      <c r="D61" s="142" t="e">
        <f t="shared" ca="1" si="35"/>
        <v>#NAME?</v>
      </c>
      <c r="E61" s="142" t="e">
        <f t="shared" ca="1" si="35"/>
        <v>#NAME?</v>
      </c>
      <c r="F61" s="142" t="e">
        <f t="shared" ca="1" si="35"/>
        <v>#NAME?</v>
      </c>
      <c r="G61" s="142" t="e">
        <f t="shared" ca="1" si="35"/>
        <v>#NAME?</v>
      </c>
      <c r="H61" s="142" t="e">
        <f t="shared" ca="1" si="35"/>
        <v>#NAME?</v>
      </c>
      <c r="I61" s="142"/>
      <c r="J61" s="142" t="e">
        <f t="shared" ca="1" si="35"/>
        <v>#NAME?</v>
      </c>
      <c r="K61" s="142" t="e">
        <f ca="1">IF(K60&gt;0.05,"NS",IF(K60&gt;0.01,"*",IF(K60&gt;0.001,"**","***")))</f>
        <v>#NAME?</v>
      </c>
      <c r="L61" s="142" t="e">
        <f t="shared" ref="L61" ca="1" si="36">IF(L60&gt;0.05,"NS",IF(L60&gt;0.01,"*",IF(L60&gt;0.001,"**","***")))</f>
        <v>#NAME?</v>
      </c>
    </row>
    <row r="63" spans="1:12" x14ac:dyDescent="0.35">
      <c r="A63" s="2" t="s">
        <v>39</v>
      </c>
    </row>
    <row r="64" spans="1:12" x14ac:dyDescent="0.35">
      <c r="A64" s="1" t="s">
        <v>23</v>
      </c>
      <c r="B64" s="1">
        <f>B46+(3*B47)</f>
        <v>0.1608785155558419</v>
      </c>
    </row>
    <row r="65" spans="1:12" x14ac:dyDescent="0.35">
      <c r="A65" s="1" t="s">
        <v>24</v>
      </c>
      <c r="B65" s="1">
        <f>B46+(10*B47)</f>
        <v>0.43694066147399008</v>
      </c>
    </row>
    <row r="66" spans="1:12" ht="15" thickBot="1" x14ac:dyDescent="0.4"/>
    <row r="67" spans="1:12" ht="26.5" thickBot="1" x14ac:dyDescent="0.65">
      <c r="A67" s="216" t="s">
        <v>45</v>
      </c>
      <c r="B67" s="217"/>
      <c r="C67" s="217"/>
      <c r="D67" s="217"/>
      <c r="E67" s="217"/>
      <c r="F67" s="217"/>
      <c r="G67" s="217"/>
      <c r="H67" s="217"/>
      <c r="I67" s="217"/>
      <c r="J67" s="217"/>
      <c r="K67" s="217"/>
      <c r="L67" s="217"/>
    </row>
    <row r="68" spans="1:12" ht="16.5" x14ac:dyDescent="0.35">
      <c r="A68" s="11"/>
      <c r="B68" s="11"/>
      <c r="C68" s="11"/>
      <c r="D68" s="11"/>
      <c r="E68" s="11"/>
      <c r="F68" s="11"/>
      <c r="I68" s="11"/>
      <c r="J68" s="11"/>
      <c r="K68" s="11"/>
      <c r="L68" s="11"/>
    </row>
    <row r="69" spans="1:12" ht="16.5" x14ac:dyDescent="0.35">
      <c r="A69" s="11"/>
      <c r="B69" s="11"/>
      <c r="C69" s="11"/>
      <c r="D69" s="11"/>
      <c r="E69" s="11"/>
      <c r="F69" s="11"/>
      <c r="I69" s="11"/>
      <c r="J69" s="11"/>
      <c r="K69" s="11"/>
      <c r="L69" s="11"/>
    </row>
    <row r="70" spans="1:12" ht="16.5" x14ac:dyDescent="0.35">
      <c r="A70" s="11"/>
      <c r="B70" s="11"/>
      <c r="C70" s="11"/>
      <c r="D70" s="11"/>
      <c r="E70" s="11"/>
      <c r="F70" s="11"/>
      <c r="I70" s="11"/>
      <c r="J70" s="11"/>
      <c r="K70" s="11"/>
      <c r="L70" s="11"/>
    </row>
    <row r="71" spans="1:12" ht="16.5" x14ac:dyDescent="0.35">
      <c r="A71" s="11"/>
      <c r="B71" s="11"/>
      <c r="C71" s="11"/>
      <c r="D71" s="11"/>
      <c r="E71" s="11"/>
      <c r="F71" s="11"/>
      <c r="I71" s="11"/>
      <c r="J71" s="11"/>
      <c r="K71" s="11"/>
      <c r="L71" s="11"/>
    </row>
    <row r="72" spans="1:12" ht="16.5" x14ac:dyDescent="0.35">
      <c r="A72" s="11"/>
      <c r="B72" s="11"/>
      <c r="C72" s="11"/>
      <c r="D72" s="11"/>
      <c r="E72" s="11"/>
      <c r="F72" s="11"/>
      <c r="I72" s="11"/>
      <c r="J72" s="11"/>
      <c r="K72" s="11"/>
      <c r="L72" s="11"/>
    </row>
    <row r="73" spans="1:12" ht="16.5" x14ac:dyDescent="0.35">
      <c r="A73" s="11"/>
      <c r="B73" s="11"/>
      <c r="C73" s="11"/>
      <c r="D73" s="11"/>
      <c r="E73" s="11"/>
      <c r="F73" s="11"/>
      <c r="I73" s="11"/>
      <c r="J73" s="11"/>
      <c r="K73" s="11"/>
      <c r="L73" s="11"/>
    </row>
    <row r="74" spans="1:12" ht="16.5" x14ac:dyDescent="0.35">
      <c r="A74" s="11"/>
      <c r="B74" s="11"/>
      <c r="C74" s="11"/>
      <c r="D74" s="11"/>
      <c r="E74" s="11"/>
      <c r="F74" s="11"/>
      <c r="I74" s="11"/>
      <c r="J74" s="11"/>
      <c r="K74" s="11"/>
      <c r="L74" s="11"/>
    </row>
  </sheetData>
  <protectedRanges>
    <protectedRange sqref="J51:L51" name="Plage2"/>
    <protectedRange sqref="B51:H51" name="Plage2_1"/>
    <protectedRange sqref="B5:H20 J5:J20" name="Plage1_1"/>
  </protectedRanges>
  <mergeCells count="9">
    <mergeCell ref="A1:L1"/>
    <mergeCell ref="A67:L67"/>
    <mergeCell ref="A5:A20"/>
    <mergeCell ref="B3:H3"/>
    <mergeCell ref="J3:L3"/>
    <mergeCell ref="B26:H26"/>
    <mergeCell ref="J26:L26"/>
    <mergeCell ref="A28:A43"/>
    <mergeCell ref="A50:L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9"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154</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165</v>
      </c>
      <c r="L5" s="43"/>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5">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5">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5">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5">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5">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5">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5">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5">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5">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5">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5">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5">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5">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5">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5">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5">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5">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5">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5">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5">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5">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5">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5">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5">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5">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5">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5">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5">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5">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5">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5">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5">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5">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5">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5">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5">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5">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5">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5">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5">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5">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5">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5">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5">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5">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5">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5">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5">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5">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5">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5">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5">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5">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5">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5">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5">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5">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5">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5">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5">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5">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5">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5">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5">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5">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5">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5">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5">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5">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5">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5">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5">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5">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5">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5">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5">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5">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5">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5">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5">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5">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5">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5">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5">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5">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5">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5">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5">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5">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5">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5">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5">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5">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5">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5">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5">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5">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5">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5">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5">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5">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5">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5">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5">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5">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5">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5">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5">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5">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5">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5">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5">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5">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5">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5">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5">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5">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5">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5">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5">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5">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5">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5">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5">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5">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5">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5">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5">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5">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5">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5">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5">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5">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5">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5">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5">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5">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5">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5">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5">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5">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5">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5">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5">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5">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5">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5">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5">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5">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5">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5">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5">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5">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5">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5">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5">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5">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5">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5">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5">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5">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5">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5">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5">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5">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5">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5">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5">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5">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5">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5">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5">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5">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5">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5">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5">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5">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5">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5">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5">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5">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5">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5">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5">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5">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5">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5">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5">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5">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5">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5">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5">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5">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5">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5">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5">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5">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5">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5">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5">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5">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5">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5">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5">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5">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5">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5">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5">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5">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5">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5">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5">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5">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5">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5">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5">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5">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5">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5">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5">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5">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5">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5">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5">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5">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5">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5">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5">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5">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5">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5">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5">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5">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5">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5">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5">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5">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5">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5">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5">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5">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5">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5">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5">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5">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5">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5">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5">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5">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5">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5">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5">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5">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5">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5">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5">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5">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5">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5">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5">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5">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5">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5">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5">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5">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5">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5">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5">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5">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5">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5">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5">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5">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5">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5">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5">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5">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5">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5">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5">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5">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5">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5">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5">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5">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5">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5">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5">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5">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5">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5">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5">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5">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5">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5">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5">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5">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5">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5">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5">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5">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5">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5">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5">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5">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5">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5">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5">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5">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5">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5">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5">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5">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5">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5">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5">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5">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5">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5">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5">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5">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5">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5">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5">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5">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5">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5">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5">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5">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5">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5">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5">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5">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5">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5">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5">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5">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5">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5">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5">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5">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5">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5">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5">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5">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5">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5">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5">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5">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5">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5">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5">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5">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5">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5">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5">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5">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5">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5">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5">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5">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5">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5">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5">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5">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5">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5">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5">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5">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5">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5">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5">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5">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5">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5">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5">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5">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5">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5">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5">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5">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5">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5">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5">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5">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5">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5">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5">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5">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5">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5">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5">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5">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5">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5">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5">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5">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5">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5">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5">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5">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5">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5">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5">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5">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5">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5">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5">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5">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5">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5">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5">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5">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5">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5">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5">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5">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5">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5">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5">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5">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5">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5">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5">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5">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5">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5">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5">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5">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5">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5">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5">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5">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5">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5">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5">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5">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5">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5">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5">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5">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5">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5">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5">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5">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5">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5">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5">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5">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5">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5">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5">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5">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5">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5">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5">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5">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5">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5">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5">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5">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5">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5">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5">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5">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5">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5">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5">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5">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5">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5">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5">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5">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5">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5">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5">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5">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5">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5">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5">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5">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5">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5">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5">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5">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5">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5">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5">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5">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5">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5">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5">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5">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5">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5">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5">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5">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5">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5">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5">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5">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5">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5">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5">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5">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5">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5">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5">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5">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5">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5">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5">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5">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5">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5">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1" priority="1" operator="containsText" text="ERREUR">
      <formula>NOT(ISERROR(SEARCH("ERREUR",A1)))</formula>
    </cfRule>
    <cfRule type="containsText" dxfId="0" priority="2" operator="containsText" text="OK">
      <formula>NOT(ISERROR(SEARCH("OK",A1)))</formula>
    </cfRule>
  </conditionalFormatting>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4"/>
  <sheetViews>
    <sheetView showGridLines="0" topLeftCell="A2" zoomScaleNormal="100" zoomScaleSheetLayoutView="40" zoomScalePageLayoutView="30" workbookViewId="0">
      <selection activeCell="D37" sqref="D37"/>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11.7265625" style="1" customWidth="1"/>
    <col min="10" max="10" width="14.81640625" style="1" customWidth="1"/>
    <col min="11" max="11" width="17.7265625" style="1" customWidth="1"/>
    <col min="12" max="12" width="25.81640625" style="1" bestFit="1" customWidth="1"/>
    <col min="13" max="16384" width="9.1796875" style="1"/>
  </cols>
  <sheetData>
    <row r="1" spans="1:12" ht="26.5" thickBot="1" x14ac:dyDescent="0.65">
      <c r="A1" s="214" t="s">
        <v>43</v>
      </c>
      <c r="B1" s="215"/>
      <c r="C1" s="215"/>
      <c r="D1" s="215"/>
      <c r="E1" s="215"/>
      <c r="F1" s="215"/>
      <c r="G1" s="215"/>
      <c r="H1" s="215"/>
      <c r="I1" s="215"/>
      <c r="J1" s="215"/>
      <c r="K1" s="215"/>
      <c r="L1" s="215"/>
    </row>
    <row r="2" spans="1:12" ht="15" thickBot="1" x14ac:dyDescent="0.4"/>
    <row r="3" spans="1:12" ht="15" thickBot="1" x14ac:dyDescent="0.4">
      <c r="A3" s="153" t="s">
        <v>22</v>
      </c>
      <c r="B3" s="222" t="s">
        <v>6</v>
      </c>
      <c r="C3" s="223"/>
      <c r="D3" s="223"/>
      <c r="E3" s="223"/>
      <c r="F3" s="223"/>
      <c r="G3" s="223"/>
      <c r="H3" s="223"/>
      <c r="J3" s="222" t="s">
        <v>3</v>
      </c>
      <c r="K3" s="223"/>
      <c r="L3" s="223"/>
    </row>
    <row r="4" spans="1:12" x14ac:dyDescent="0.35">
      <c r="A4" s="33" t="s">
        <v>41</v>
      </c>
      <c r="B4" s="34" t="str">
        <f>'Page de garde'!A7</f>
        <v>Témoin solvant</v>
      </c>
      <c r="C4" s="34" t="str">
        <f>'Page de garde'!A9</f>
        <v>EE2-33,8ng/L</v>
      </c>
      <c r="D4" s="34" t="str">
        <f>'Page de garde'!A10</f>
        <v>EE2-50,6ng/L</v>
      </c>
      <c r="E4" s="34" t="str">
        <f>'Page de garde'!A11</f>
        <v>EE2-76ng/L</v>
      </c>
      <c r="F4" s="34" t="str">
        <f>'Page de garde'!A12</f>
        <v>EE2-114ng/L</v>
      </c>
      <c r="G4" s="34" t="str">
        <f>'Page de garde'!A13</f>
        <v>EE2-170,9ng/L</v>
      </c>
      <c r="H4" s="34" t="str">
        <f>'Page de garde'!A14</f>
        <v>EE2-488ng/L</v>
      </c>
      <c r="I4" s="3"/>
      <c r="J4" s="35" t="str">
        <f>'Page de garde'!A36</f>
        <v>Testo -30µg/L</v>
      </c>
      <c r="K4" s="35" t="str">
        <f>'Page de garde'!A37</f>
        <v>Testo 30µg/L + EE2 -64ng/L</v>
      </c>
      <c r="L4" s="35" t="str">
        <f>'Page de garde'!A38</f>
        <v>Testo 30µg/L + FAD-10mg/L</v>
      </c>
    </row>
    <row r="5" spans="1:12" x14ac:dyDescent="0.35">
      <c r="A5" s="224" t="s">
        <v>33</v>
      </c>
      <c r="B5" s="31">
        <f>Feuil2!E342</f>
        <v>0</v>
      </c>
      <c r="C5" s="31">
        <f>Feuil2!E359</f>
        <v>0</v>
      </c>
      <c r="D5" s="31">
        <f>Feuil2!E376</f>
        <v>5783</v>
      </c>
      <c r="E5" s="31">
        <f>Feuil2!E393</f>
        <v>259875</v>
      </c>
      <c r="F5" s="31">
        <f>Feuil2!E410</f>
        <v>1134</v>
      </c>
      <c r="G5" s="31">
        <f>Feuil2!E427</f>
        <v>172249</v>
      </c>
      <c r="H5" s="31">
        <f>Feuil2!E444</f>
        <v>294182</v>
      </c>
      <c r="I5" s="3"/>
      <c r="J5" s="31">
        <f>Feuil2!E461</f>
        <v>175719</v>
      </c>
      <c r="K5" s="12">
        <f>Feuil2!E478</f>
        <v>281738</v>
      </c>
      <c r="L5" s="12">
        <f>Feuil2!E495</f>
        <v>9019</v>
      </c>
    </row>
    <row r="6" spans="1:12" x14ac:dyDescent="0.35">
      <c r="A6" s="224"/>
      <c r="B6" s="31">
        <f>Feuil2!E343</f>
        <v>0</v>
      </c>
      <c r="C6" s="31">
        <f>Feuil2!E360</f>
        <v>2179</v>
      </c>
      <c r="D6" s="31">
        <f>Feuil2!E377</f>
        <v>0</v>
      </c>
      <c r="E6" s="31" t="s">
        <v>112</v>
      </c>
      <c r="F6" s="31">
        <f>Feuil2!E411</f>
        <v>15546</v>
      </c>
      <c r="G6" s="31">
        <f>Feuil2!E428</f>
        <v>150524</v>
      </c>
      <c r="H6" s="31">
        <f>Feuil2!E445</f>
        <v>297567</v>
      </c>
      <c r="I6" s="3"/>
      <c r="J6" s="31">
        <f>Feuil2!E462</f>
        <v>128511</v>
      </c>
      <c r="K6" s="12">
        <f>Feuil2!E479</f>
        <v>184613</v>
      </c>
      <c r="L6" s="12">
        <f>Feuil2!E496</f>
        <v>5474</v>
      </c>
    </row>
    <row r="7" spans="1:12" x14ac:dyDescent="0.35">
      <c r="A7" s="224"/>
      <c r="B7" s="31">
        <f>Feuil2!E344</f>
        <v>0</v>
      </c>
      <c r="C7" s="31">
        <f>Feuil2!E361</f>
        <v>9097</v>
      </c>
      <c r="D7" s="31">
        <f>Feuil2!E378</f>
        <v>7933</v>
      </c>
      <c r="E7" s="31">
        <f>Feuil2!E395</f>
        <v>12659</v>
      </c>
      <c r="F7" s="31">
        <f>Feuil2!E412</f>
        <v>7422</v>
      </c>
      <c r="G7" s="31">
        <f>Feuil2!E429</f>
        <v>162</v>
      </c>
      <c r="H7" s="31">
        <f>Feuil2!E446</f>
        <v>348959</v>
      </c>
      <c r="I7" s="3"/>
      <c r="J7" s="31">
        <f>Feuil2!E463</f>
        <v>143016</v>
      </c>
      <c r="K7" s="12">
        <f>Feuil2!E480</f>
        <v>266720</v>
      </c>
      <c r="L7" s="12">
        <f>Feuil2!E497</f>
        <v>1919</v>
      </c>
    </row>
    <row r="8" spans="1:12" x14ac:dyDescent="0.35">
      <c r="A8" s="224"/>
      <c r="B8" s="31">
        <f>Feuil2!E345</f>
        <v>0</v>
      </c>
      <c r="C8" s="31">
        <f>Feuil2!E362</f>
        <v>0</v>
      </c>
      <c r="D8" s="31">
        <f>Feuil2!E379</f>
        <v>577</v>
      </c>
      <c r="E8" s="31">
        <f>Feuil2!E396</f>
        <v>159516</v>
      </c>
      <c r="F8" s="31">
        <f>Feuil2!E413</f>
        <v>6067</v>
      </c>
      <c r="G8" s="31">
        <f>Feuil2!E430</f>
        <v>269741</v>
      </c>
      <c r="H8" s="31">
        <f>Feuil2!E447</f>
        <v>334472</v>
      </c>
      <c r="I8" s="3"/>
      <c r="J8" s="31">
        <f>Feuil2!E464</f>
        <v>160852</v>
      </c>
      <c r="K8" s="12">
        <f>Feuil2!E481</f>
        <v>308508</v>
      </c>
      <c r="L8" s="12">
        <f>Feuil2!E498</f>
        <v>11159</v>
      </c>
    </row>
    <row r="9" spans="1:12" x14ac:dyDescent="0.35">
      <c r="A9" s="224"/>
      <c r="B9" s="31">
        <f>Feuil2!E346</f>
        <v>0</v>
      </c>
      <c r="C9" s="31">
        <f>Feuil2!E363</f>
        <v>249</v>
      </c>
      <c r="D9" s="31">
        <f>Feuil2!E380</f>
        <v>8854</v>
      </c>
      <c r="E9" s="31">
        <f>Feuil2!E397</f>
        <v>0</v>
      </c>
      <c r="F9" s="31">
        <f>Feuil2!E414</f>
        <v>34512</v>
      </c>
      <c r="G9" s="31">
        <f>Feuil2!E431</f>
        <v>191604</v>
      </c>
      <c r="H9" s="31">
        <f>Feuil2!E448</f>
        <v>284606</v>
      </c>
      <c r="I9" s="3"/>
      <c r="J9" s="31">
        <f>Feuil2!E465</f>
        <v>169885</v>
      </c>
      <c r="K9" s="12">
        <f>Feuil2!E482</f>
        <v>164600</v>
      </c>
      <c r="L9" s="12">
        <f>Feuil2!E499</f>
        <v>11995</v>
      </c>
    </row>
    <row r="10" spans="1:12" x14ac:dyDescent="0.35">
      <c r="A10" s="224"/>
      <c r="B10" s="31">
        <f>Feuil2!E347</f>
        <v>0</v>
      </c>
      <c r="C10" s="31">
        <f>Feuil2!E364</f>
        <v>4604</v>
      </c>
      <c r="D10" s="31">
        <f>Feuil2!E381</f>
        <v>656</v>
      </c>
      <c r="E10" s="31">
        <f>Feuil2!E398</f>
        <v>0</v>
      </c>
      <c r="F10" s="31">
        <f>Feuil2!E415</f>
        <v>8570</v>
      </c>
      <c r="G10" s="31">
        <f>Feuil2!E432</f>
        <v>221439</v>
      </c>
      <c r="H10" s="31">
        <f>Feuil2!E449</f>
        <v>360871</v>
      </c>
      <c r="I10" s="3"/>
      <c r="J10" s="31">
        <f>Feuil2!E466</f>
        <v>180924</v>
      </c>
      <c r="K10" s="12">
        <f>Feuil2!E483</f>
        <v>98330</v>
      </c>
      <c r="L10" s="12">
        <f>Feuil2!E500</f>
        <v>1614</v>
      </c>
    </row>
    <row r="11" spans="1:12" x14ac:dyDescent="0.35">
      <c r="A11" s="224"/>
      <c r="B11" s="31">
        <f>Feuil2!E348</f>
        <v>161</v>
      </c>
      <c r="C11" s="31">
        <f>Feuil2!E365</f>
        <v>2575</v>
      </c>
      <c r="D11" s="31">
        <f>Feuil2!E382</f>
        <v>81</v>
      </c>
      <c r="E11" s="31">
        <f>Feuil2!E399</f>
        <v>406</v>
      </c>
      <c r="F11" s="31">
        <f>Feuil2!E416</f>
        <v>4212</v>
      </c>
      <c r="G11" s="31">
        <f>Feuil2!E433</f>
        <v>264552</v>
      </c>
      <c r="H11" s="31">
        <f>Feuil2!E450</f>
        <v>271538</v>
      </c>
      <c r="I11" s="3"/>
      <c r="J11" s="31">
        <f>Feuil2!E467</f>
        <v>119051</v>
      </c>
      <c r="K11" s="12">
        <f>Feuil2!E484</f>
        <v>298991</v>
      </c>
      <c r="L11" s="12">
        <f>Feuil2!E501</f>
        <v>9606</v>
      </c>
    </row>
    <row r="12" spans="1:12" x14ac:dyDescent="0.35">
      <c r="A12" s="224"/>
      <c r="B12" s="31">
        <f>Feuil2!E349</f>
        <v>0</v>
      </c>
      <c r="C12" s="31">
        <f>Feuil2!E366</f>
        <v>15809</v>
      </c>
      <c r="D12" s="31">
        <f>Feuil2!E383</f>
        <v>13301</v>
      </c>
      <c r="E12" s="31">
        <f>Feuil2!E400</f>
        <v>80</v>
      </c>
      <c r="F12" s="31">
        <f>Feuil2!E417</f>
        <v>4955</v>
      </c>
      <c r="G12" s="31">
        <f>Feuil2!E434</f>
        <v>178543</v>
      </c>
      <c r="H12" s="31">
        <f>Feuil2!E451</f>
        <v>283561</v>
      </c>
      <c r="I12" s="3"/>
      <c r="J12" s="31">
        <f>Feuil2!E468</f>
        <v>205668</v>
      </c>
      <c r="K12" s="12">
        <f>Feuil2!E485</f>
        <v>158197</v>
      </c>
      <c r="L12" s="12">
        <f>Feuil2!E502</f>
        <v>11586</v>
      </c>
    </row>
    <row r="13" spans="1:12" x14ac:dyDescent="0.35">
      <c r="A13" s="224"/>
      <c r="B13" s="31" t="s">
        <v>112</v>
      </c>
      <c r="C13" s="12"/>
      <c r="D13" s="31"/>
      <c r="E13" s="31" t="s">
        <v>112</v>
      </c>
      <c r="F13" s="31"/>
      <c r="G13" s="31"/>
      <c r="H13" s="31"/>
      <c r="I13" s="3"/>
      <c r="J13" s="31"/>
      <c r="K13" s="12"/>
      <c r="L13" s="12"/>
    </row>
    <row r="14" spans="1:12" ht="16.5" x14ac:dyDescent="0.35">
      <c r="A14" s="224"/>
      <c r="B14" s="13"/>
      <c r="C14" s="31"/>
      <c r="D14" s="31"/>
      <c r="E14" s="31"/>
      <c r="F14" s="31"/>
      <c r="G14" s="31"/>
      <c r="H14" s="31"/>
      <c r="I14" s="3"/>
      <c r="J14" s="31"/>
      <c r="K14" s="12"/>
      <c r="L14" s="12"/>
    </row>
    <row r="15" spans="1:12" ht="16.5" x14ac:dyDescent="0.35">
      <c r="A15" s="224"/>
      <c r="B15" s="13"/>
      <c r="C15" s="31"/>
      <c r="D15" s="31"/>
      <c r="E15" s="31"/>
      <c r="F15" s="31"/>
      <c r="G15" s="31"/>
      <c r="H15" s="31"/>
      <c r="I15" s="3"/>
      <c r="J15" s="31"/>
      <c r="K15" s="12"/>
      <c r="L15" s="12"/>
    </row>
    <row r="16" spans="1:12" ht="16.5" x14ac:dyDescent="0.35">
      <c r="A16" s="224"/>
      <c r="B16" s="13"/>
      <c r="C16" s="31"/>
      <c r="D16" s="31"/>
      <c r="E16" s="31"/>
      <c r="F16" s="31"/>
      <c r="G16" s="31"/>
      <c r="H16" s="31"/>
      <c r="I16" s="3"/>
      <c r="J16" s="31"/>
      <c r="K16" s="12"/>
      <c r="L16" s="12"/>
    </row>
    <row r="17" spans="1:12" ht="16.5" x14ac:dyDescent="0.35">
      <c r="A17" s="224"/>
      <c r="B17" s="13"/>
      <c r="C17" s="31"/>
      <c r="D17" s="31"/>
      <c r="E17" s="31"/>
      <c r="F17" s="31"/>
      <c r="G17" s="31"/>
      <c r="H17" s="31"/>
      <c r="I17" s="3"/>
      <c r="J17" s="31"/>
      <c r="K17" s="12"/>
      <c r="L17" s="12"/>
    </row>
    <row r="18" spans="1:12" ht="16.5" x14ac:dyDescent="0.35">
      <c r="A18" s="224"/>
      <c r="B18" s="13"/>
      <c r="C18" s="31"/>
      <c r="D18" s="31"/>
      <c r="E18" s="31"/>
      <c r="F18" s="31"/>
      <c r="G18" s="31"/>
      <c r="H18" s="31"/>
      <c r="I18" s="3"/>
      <c r="J18" s="31"/>
      <c r="K18" s="12"/>
      <c r="L18" s="12"/>
    </row>
    <row r="19" spans="1:12" ht="16.5" x14ac:dyDescent="0.35">
      <c r="A19" s="224"/>
      <c r="B19" s="13"/>
      <c r="C19" s="31"/>
      <c r="D19" s="31"/>
      <c r="E19" s="31"/>
      <c r="F19" s="31"/>
      <c r="G19" s="31"/>
      <c r="H19" s="31"/>
      <c r="I19" s="3"/>
      <c r="J19" s="31"/>
      <c r="K19" s="12"/>
      <c r="L19" s="12"/>
    </row>
    <row r="20" spans="1:12" ht="16.5" x14ac:dyDescent="0.35">
      <c r="A20" s="224"/>
      <c r="B20" s="13"/>
      <c r="C20" s="31"/>
      <c r="D20" s="31"/>
      <c r="E20" s="31"/>
      <c r="F20" s="31"/>
      <c r="G20" s="31"/>
      <c r="H20" s="31"/>
      <c r="I20" s="3"/>
      <c r="J20" s="31"/>
      <c r="K20" s="12"/>
      <c r="L20" s="12"/>
    </row>
    <row r="21" spans="1:12" x14ac:dyDescent="0.35">
      <c r="A21" s="3"/>
      <c r="B21" s="6"/>
      <c r="C21" s="6"/>
      <c r="D21" s="6"/>
      <c r="E21" s="6"/>
      <c r="F21" s="6"/>
      <c r="G21" s="6"/>
      <c r="H21" s="6"/>
      <c r="I21" s="3"/>
      <c r="J21" s="6"/>
    </row>
    <row r="22" spans="1:12" x14ac:dyDescent="0.35">
      <c r="A22" s="3" t="str">
        <f>A4</f>
        <v>Noms des groupes</v>
      </c>
      <c r="B22" s="3" t="str">
        <f t="shared" ref="B22:L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
        <v>41</v>
      </c>
      <c r="J22" s="3" t="str">
        <f t="shared" si="0"/>
        <v>Testo -30µg/L</v>
      </c>
      <c r="K22" s="3" t="str">
        <f t="shared" si="0"/>
        <v>Testo 30µg/L + EE2 -64ng/L</v>
      </c>
      <c r="L22" s="3" t="str">
        <f t="shared" si="0"/>
        <v>Testo 30µg/L + FAD-10mg/L</v>
      </c>
    </row>
    <row r="23" spans="1:12" x14ac:dyDescent="0.35">
      <c r="A23" s="4" t="s">
        <v>0</v>
      </c>
      <c r="B23" s="4">
        <f t="shared" ref="B23:H23" si="1">AVERAGE(B5:B20)</f>
        <v>20.125</v>
      </c>
      <c r="C23" s="4">
        <f t="shared" si="1"/>
        <v>4314.125</v>
      </c>
      <c r="D23" s="4">
        <f t="shared" si="1"/>
        <v>4648.125</v>
      </c>
      <c r="E23" s="4">
        <f t="shared" si="1"/>
        <v>61790.857142857145</v>
      </c>
      <c r="F23" s="4">
        <f t="shared" si="1"/>
        <v>10302.25</v>
      </c>
      <c r="G23" s="4">
        <f t="shared" si="1"/>
        <v>181101.75</v>
      </c>
      <c r="H23" s="4">
        <f t="shared" si="1"/>
        <v>309469.5</v>
      </c>
      <c r="I23" s="4" t="s">
        <v>0</v>
      </c>
      <c r="J23" s="4">
        <f>AVERAGE(J5:J20)</f>
        <v>160453.25</v>
      </c>
      <c r="K23" s="4">
        <f>AVERAGE(K5:K20)</f>
        <v>220212.125</v>
      </c>
      <c r="L23" s="4">
        <f>AVERAGE(L5:L20)</f>
        <v>7796.5</v>
      </c>
    </row>
    <row r="24" spans="1:12" x14ac:dyDescent="0.35">
      <c r="A24" s="3" t="s">
        <v>1</v>
      </c>
      <c r="B24" s="3">
        <f t="shared" ref="B24:H24" si="2">STDEV(B5:B20)</f>
        <v>56.922095885517074</v>
      </c>
      <c r="C24" s="3">
        <f t="shared" si="2"/>
        <v>5560.3696803488574</v>
      </c>
      <c r="D24" s="3">
        <f t="shared" si="2"/>
        <v>5065.4966316245836</v>
      </c>
      <c r="E24" s="3">
        <f t="shared" si="2"/>
        <v>105209.33197904163</v>
      </c>
      <c r="F24" s="3">
        <f t="shared" si="2"/>
        <v>10640.782849154341</v>
      </c>
      <c r="G24" s="3">
        <f t="shared" si="2"/>
        <v>84783.221190027587</v>
      </c>
      <c r="H24" s="3">
        <f t="shared" si="2"/>
        <v>33658.536760488314</v>
      </c>
      <c r="I24" s="3" t="s">
        <v>1</v>
      </c>
      <c r="J24" s="3">
        <f>STDEV(J5:J20)</f>
        <v>28844.649376320336</v>
      </c>
      <c r="K24" s="3">
        <f>STDEV(K5:K20)</f>
        <v>78387.155189459634</v>
      </c>
      <c r="L24" s="3">
        <f>STDEV(L5:L20)</f>
        <v>4246.4310056463046</v>
      </c>
    </row>
    <row r="25" spans="1:12" ht="15" thickBot="1" x14ac:dyDescent="0.4"/>
    <row r="26" spans="1:12" ht="15" thickBot="1" x14ac:dyDescent="0.4">
      <c r="B26" s="222" t="s">
        <v>6</v>
      </c>
      <c r="C26" s="223"/>
      <c r="D26" s="223"/>
      <c r="E26" s="223"/>
      <c r="F26" s="223"/>
      <c r="G26" s="223"/>
      <c r="H26" s="223"/>
      <c r="J26" s="222" t="s">
        <v>3</v>
      </c>
      <c r="K26" s="223"/>
      <c r="L26" s="223"/>
    </row>
    <row r="27" spans="1:12" x14ac:dyDescent="0.35">
      <c r="A27" s="33" t="s">
        <v>41</v>
      </c>
      <c r="B27" s="34" t="str">
        <f>B4</f>
        <v>Témoin solvant</v>
      </c>
      <c r="C27" s="34" t="str">
        <f t="shared" ref="C27:H27" si="3">C4</f>
        <v>EE2-33,8ng/L</v>
      </c>
      <c r="D27" s="34" t="str">
        <f t="shared" si="3"/>
        <v>EE2-50,6ng/L</v>
      </c>
      <c r="E27" s="34" t="str">
        <f t="shared" si="3"/>
        <v>EE2-76ng/L</v>
      </c>
      <c r="F27" s="34" t="str">
        <f t="shared" si="3"/>
        <v>EE2-114ng/L</v>
      </c>
      <c r="G27" s="34" t="str">
        <f t="shared" si="3"/>
        <v>EE2-170,9ng/L</v>
      </c>
      <c r="H27" s="34" t="str">
        <f t="shared" si="3"/>
        <v>EE2-488ng/L</v>
      </c>
      <c r="I27" s="3"/>
      <c r="J27" s="35" t="str">
        <f>J4</f>
        <v>Testo -30µg/L</v>
      </c>
      <c r="K27" s="35" t="str">
        <f t="shared" ref="K27:L27" si="4">K4</f>
        <v>Testo 30µg/L + EE2 -64ng/L</v>
      </c>
      <c r="L27" s="35" t="str">
        <f t="shared" si="4"/>
        <v>Testo 30µg/L + FAD-10mg/L</v>
      </c>
    </row>
    <row r="28" spans="1:12" x14ac:dyDescent="0.35">
      <c r="A28" s="225" t="s">
        <v>34</v>
      </c>
      <c r="B28" s="10">
        <f t="shared" ref="B28:H37" si="5">IF(B5="","",(B5/$J$23))</f>
        <v>0</v>
      </c>
      <c r="C28" s="10">
        <f t="shared" si="5"/>
        <v>0</v>
      </c>
      <c r="D28" s="10">
        <f t="shared" si="5"/>
        <v>3.6041650761203033E-2</v>
      </c>
      <c r="E28" s="10">
        <f t="shared" si="5"/>
        <v>1.6196306400774056</v>
      </c>
      <c r="F28" s="10">
        <f t="shared" si="5"/>
        <v>7.0674791567014068E-3</v>
      </c>
      <c r="G28" s="10">
        <f t="shared" si="5"/>
        <v>1.0735151827713056</v>
      </c>
      <c r="H28" s="10">
        <f t="shared" si="5"/>
        <v>1.8334436977748971</v>
      </c>
      <c r="I28" s="5"/>
      <c r="J28" s="10">
        <f t="shared" ref="J28:L39" si="6">IF(J5="","",(J5/$J$23))</f>
        <v>1.0951414196970146</v>
      </c>
      <c r="K28" s="10">
        <f t="shared" si="6"/>
        <v>1.7558883973992425</v>
      </c>
      <c r="L28" s="10">
        <f t="shared" si="6"/>
        <v>5.6209518972037027E-2</v>
      </c>
    </row>
    <row r="29" spans="1:12" x14ac:dyDescent="0.35">
      <c r="A29" s="225"/>
      <c r="B29" s="10">
        <f t="shared" si="5"/>
        <v>0</v>
      </c>
      <c r="C29" s="10">
        <f t="shared" si="5"/>
        <v>1.3580279614155526E-2</v>
      </c>
      <c r="D29" s="10">
        <f t="shared" si="5"/>
        <v>0</v>
      </c>
      <c r="E29" s="10" t="s">
        <v>112</v>
      </c>
      <c r="F29" s="10">
        <f t="shared" si="5"/>
        <v>9.6888034365149978E-2</v>
      </c>
      <c r="G29" s="10">
        <f t="shared" si="5"/>
        <v>0.93811748905054904</v>
      </c>
      <c r="H29" s="10">
        <f t="shared" si="5"/>
        <v>1.8545401853811001</v>
      </c>
      <c r="I29" s="5"/>
      <c r="J29" s="10">
        <f t="shared" si="6"/>
        <v>0.80092487998840789</v>
      </c>
      <c r="K29" s="10">
        <f t="shared" si="6"/>
        <v>1.1505718955521311</v>
      </c>
      <c r="L29" s="10">
        <f t="shared" si="6"/>
        <v>3.4115856176175928E-2</v>
      </c>
    </row>
    <row r="30" spans="1:12" x14ac:dyDescent="0.35">
      <c r="A30" s="225"/>
      <c r="B30" s="10">
        <f t="shared" si="5"/>
        <v>0</v>
      </c>
      <c r="C30" s="10">
        <f t="shared" si="5"/>
        <v>5.6695641876995322E-2</v>
      </c>
      <c r="D30" s="10">
        <f t="shared" si="5"/>
        <v>4.9441192372233031E-2</v>
      </c>
      <c r="E30" s="10">
        <f t="shared" si="5"/>
        <v>7.8895254536757595E-2</v>
      </c>
      <c r="F30" s="10">
        <f t="shared" si="5"/>
        <v>4.6256464110262643E-2</v>
      </c>
      <c r="G30" s="10">
        <f t="shared" si="5"/>
        <v>1.0096398795287724E-3</v>
      </c>
      <c r="H30" s="10">
        <f t="shared" si="5"/>
        <v>2.1748328562992647</v>
      </c>
      <c r="I30" s="5"/>
      <c r="J30" s="10">
        <f t="shared" si="6"/>
        <v>0.89132504327584516</v>
      </c>
      <c r="K30" s="10">
        <f t="shared" si="6"/>
        <v>1.6622910411599641</v>
      </c>
      <c r="L30" s="10">
        <f t="shared" si="6"/>
        <v>1.1959869930961198E-2</v>
      </c>
    </row>
    <row r="31" spans="1:12" x14ac:dyDescent="0.35">
      <c r="A31" s="225"/>
      <c r="B31" s="10">
        <f t="shared" si="5"/>
        <v>0</v>
      </c>
      <c r="C31" s="10">
        <f t="shared" si="5"/>
        <v>0</v>
      </c>
      <c r="D31" s="10">
        <f t="shared" si="5"/>
        <v>3.5960630277043315E-3</v>
      </c>
      <c r="E31" s="10">
        <f t="shared" si="5"/>
        <v>0.99415873470933125</v>
      </c>
      <c r="F31" s="10">
        <f t="shared" si="5"/>
        <v>3.7811636722846063E-2</v>
      </c>
      <c r="G31" s="10">
        <f t="shared" si="5"/>
        <v>1.681118955209695</v>
      </c>
      <c r="H31" s="10">
        <f t="shared" si="5"/>
        <v>2.0845448752206641</v>
      </c>
      <c r="I31" s="5"/>
      <c r="J31" s="10">
        <f t="shared" si="6"/>
        <v>1.0024851475429759</v>
      </c>
      <c r="K31" s="10">
        <f t="shared" si="6"/>
        <v>1.9227282713189044</v>
      </c>
      <c r="L31" s="10">
        <f t="shared" si="6"/>
        <v>6.9546737133713399E-2</v>
      </c>
    </row>
    <row r="32" spans="1:12" x14ac:dyDescent="0.35">
      <c r="A32" s="225"/>
      <c r="B32" s="10">
        <f t="shared" si="5"/>
        <v>0</v>
      </c>
      <c r="C32" s="10">
        <f t="shared" si="5"/>
        <v>1.5518538889053354E-3</v>
      </c>
      <c r="D32" s="10">
        <f t="shared" si="5"/>
        <v>5.5181182057702165E-2</v>
      </c>
      <c r="E32" s="10">
        <f t="shared" si="5"/>
        <v>0</v>
      </c>
      <c r="F32" s="10">
        <f t="shared" si="5"/>
        <v>0.2150906884092407</v>
      </c>
      <c r="G32" s="10">
        <f t="shared" si="5"/>
        <v>1.1941422189952524</v>
      </c>
      <c r="H32" s="10">
        <f t="shared" si="5"/>
        <v>1.773762762673863</v>
      </c>
      <c r="I32" s="5"/>
      <c r="J32" s="10">
        <f t="shared" si="6"/>
        <v>1.0587819193441079</v>
      </c>
      <c r="K32" s="10">
        <f t="shared" si="6"/>
        <v>1.0258439763607157</v>
      </c>
      <c r="L32" s="10">
        <f t="shared" si="6"/>
        <v>7.4756977499676691E-2</v>
      </c>
    </row>
    <row r="33" spans="1:12" x14ac:dyDescent="0.35">
      <c r="A33" s="225"/>
      <c r="B33" s="10">
        <f t="shared" si="5"/>
        <v>0</v>
      </c>
      <c r="C33" s="10">
        <f t="shared" si="5"/>
        <v>2.8693716082410298E-2</v>
      </c>
      <c r="D33" s="10">
        <f t="shared" si="5"/>
        <v>4.0884182775979922E-3</v>
      </c>
      <c r="E33" s="10">
        <f t="shared" si="5"/>
        <v>0</v>
      </c>
      <c r="F33" s="10">
        <f t="shared" si="5"/>
        <v>5.3411196096059134E-2</v>
      </c>
      <c r="G33" s="10">
        <f t="shared" si="5"/>
        <v>1.3800842301418015</v>
      </c>
      <c r="H33" s="10">
        <f t="shared" si="5"/>
        <v>2.2490725491693064</v>
      </c>
      <c r="I33" s="5"/>
      <c r="J33" s="10">
        <f t="shared" si="6"/>
        <v>1.127580775085578</v>
      </c>
      <c r="K33" s="10">
        <f t="shared" si="6"/>
        <v>0.61282647749422337</v>
      </c>
      <c r="L33" s="10">
        <f t="shared" si="6"/>
        <v>1.0059004725675547E-2</v>
      </c>
    </row>
    <row r="34" spans="1:12" x14ac:dyDescent="0.35">
      <c r="A34" s="225"/>
      <c r="B34" s="10">
        <f t="shared" si="5"/>
        <v>1.0034075345934097E-3</v>
      </c>
      <c r="C34" s="10">
        <f t="shared" si="5"/>
        <v>1.6048288208559192E-2</v>
      </c>
      <c r="D34" s="10">
        <f t="shared" si="5"/>
        <v>5.048199397643862E-4</v>
      </c>
      <c r="E34" s="10">
        <f t="shared" si="5"/>
        <v>2.5303320437572939E-3</v>
      </c>
      <c r="F34" s="10">
        <f t="shared" si="5"/>
        <v>2.6250636867748083E-2</v>
      </c>
      <c r="G34" s="10">
        <f t="shared" si="5"/>
        <v>1.6487793173400975</v>
      </c>
      <c r="H34" s="10">
        <f t="shared" si="5"/>
        <v>1.6923184790585419</v>
      </c>
      <c r="I34" s="5"/>
      <c r="J34" s="10">
        <f t="shared" si="6"/>
        <v>0.74196689689987583</v>
      </c>
      <c r="K34" s="10">
        <f t="shared" si="6"/>
        <v>1.8634150445690567</v>
      </c>
      <c r="L34" s="10">
        <f t="shared" si="6"/>
        <v>5.9867905449094982E-2</v>
      </c>
    </row>
    <row r="35" spans="1:12" x14ac:dyDescent="0.35">
      <c r="A35" s="225"/>
      <c r="B35" s="10">
        <f t="shared" si="5"/>
        <v>0</v>
      </c>
      <c r="C35" s="10">
        <f t="shared" si="5"/>
        <v>9.8527141083150388E-2</v>
      </c>
      <c r="D35" s="10">
        <f t="shared" si="5"/>
        <v>8.2896419985260511E-2</v>
      </c>
      <c r="E35" s="10">
        <f t="shared" si="5"/>
        <v>4.9858759482902337E-4</v>
      </c>
      <c r="F35" s="10">
        <f t="shared" si="5"/>
        <v>3.0881269154722637E-2</v>
      </c>
      <c r="G35" s="10">
        <f t="shared" si="5"/>
        <v>1.1127415617944791</v>
      </c>
      <c r="H35" s="10">
        <f t="shared" si="5"/>
        <v>1.7672499622164088</v>
      </c>
      <c r="I35" s="5"/>
      <c r="J35" s="10">
        <f t="shared" si="6"/>
        <v>1.2817939181661948</v>
      </c>
      <c r="K35" s="10">
        <f t="shared" si="6"/>
        <v>0.9859382717395877</v>
      </c>
      <c r="L35" s="10">
        <f t="shared" si="6"/>
        <v>7.2207948421113319E-2</v>
      </c>
    </row>
    <row r="36" spans="1:12" x14ac:dyDescent="0.35">
      <c r="A36" s="225"/>
      <c r="B36" s="10"/>
      <c r="C36" s="10" t="str">
        <f t="shared" si="5"/>
        <v/>
      </c>
      <c r="D36" s="10" t="str">
        <f t="shared" si="5"/>
        <v/>
      </c>
      <c r="E36" s="10" t="s">
        <v>112</v>
      </c>
      <c r="F36" s="10" t="str">
        <f t="shared" si="5"/>
        <v/>
      </c>
      <c r="G36" s="10" t="str">
        <f t="shared" si="5"/>
        <v/>
      </c>
      <c r="H36" s="10" t="str">
        <f t="shared" si="5"/>
        <v/>
      </c>
      <c r="I36" s="5"/>
      <c r="J36" s="10" t="str">
        <f t="shared" si="6"/>
        <v/>
      </c>
      <c r="K36" s="10" t="str">
        <f t="shared" si="6"/>
        <v/>
      </c>
      <c r="L36" s="10" t="str">
        <f t="shared" si="6"/>
        <v/>
      </c>
    </row>
    <row r="37" spans="1:12" x14ac:dyDescent="0.35">
      <c r="A37" s="225"/>
      <c r="B37" s="10" t="str">
        <f t="shared" si="5"/>
        <v/>
      </c>
      <c r="C37" s="10" t="str">
        <f t="shared" si="5"/>
        <v/>
      </c>
      <c r="D37" s="10" t="str">
        <f t="shared" si="5"/>
        <v/>
      </c>
      <c r="E37" s="10" t="str">
        <f t="shared" si="5"/>
        <v/>
      </c>
      <c r="F37" s="10" t="str">
        <f t="shared" si="5"/>
        <v/>
      </c>
      <c r="G37" s="10" t="str">
        <f t="shared" si="5"/>
        <v/>
      </c>
      <c r="H37" s="10" t="str">
        <f t="shared" si="5"/>
        <v/>
      </c>
      <c r="I37" s="5"/>
      <c r="J37" s="10" t="str">
        <f t="shared" si="6"/>
        <v/>
      </c>
      <c r="K37" s="10" t="str">
        <f t="shared" si="6"/>
        <v/>
      </c>
      <c r="L37" s="10" t="str">
        <f t="shared" si="6"/>
        <v/>
      </c>
    </row>
    <row r="38" spans="1:12" x14ac:dyDescent="0.35">
      <c r="A38" s="225"/>
      <c r="B38" s="10" t="str">
        <f t="shared" ref="B38:H43" si="7">IF(B15="","",(B15/$J$23))</f>
        <v/>
      </c>
      <c r="C38" s="10" t="str">
        <f t="shared" si="7"/>
        <v/>
      </c>
      <c r="D38" s="10" t="str">
        <f t="shared" si="7"/>
        <v/>
      </c>
      <c r="E38" s="10" t="str">
        <f t="shared" si="7"/>
        <v/>
      </c>
      <c r="F38" s="10" t="str">
        <f t="shared" si="7"/>
        <v/>
      </c>
      <c r="G38" s="10" t="str">
        <f t="shared" si="7"/>
        <v/>
      </c>
      <c r="H38" s="10" t="str">
        <f t="shared" si="7"/>
        <v/>
      </c>
      <c r="I38" s="5"/>
      <c r="J38" s="10" t="str">
        <f t="shared" si="6"/>
        <v/>
      </c>
      <c r="K38" s="10" t="str">
        <f t="shared" si="6"/>
        <v/>
      </c>
      <c r="L38" s="10" t="str">
        <f t="shared" si="6"/>
        <v/>
      </c>
    </row>
    <row r="39" spans="1:12" x14ac:dyDescent="0.35">
      <c r="A39" s="225"/>
      <c r="B39" s="10" t="str">
        <f t="shared" si="7"/>
        <v/>
      </c>
      <c r="C39" s="10" t="str">
        <f t="shared" si="7"/>
        <v/>
      </c>
      <c r="D39" s="10" t="str">
        <f t="shared" si="7"/>
        <v/>
      </c>
      <c r="E39" s="10" t="str">
        <f t="shared" si="7"/>
        <v/>
      </c>
      <c r="F39" s="10" t="str">
        <f t="shared" si="7"/>
        <v/>
      </c>
      <c r="G39" s="10" t="str">
        <f t="shared" si="7"/>
        <v/>
      </c>
      <c r="H39" s="10" t="str">
        <f t="shared" si="7"/>
        <v/>
      </c>
      <c r="I39" s="5"/>
      <c r="J39" s="10" t="str">
        <f t="shared" si="6"/>
        <v/>
      </c>
      <c r="K39" s="10" t="str">
        <f t="shared" si="6"/>
        <v/>
      </c>
      <c r="L39" s="10" t="str">
        <f t="shared" ref="L39" si="8">IF(L16="","",(L16/$J$23))</f>
        <v/>
      </c>
    </row>
    <row r="40" spans="1:12" x14ac:dyDescent="0.35">
      <c r="A40" s="225"/>
      <c r="B40" s="10" t="str">
        <f t="shared" si="7"/>
        <v/>
      </c>
      <c r="C40" s="10" t="str">
        <f t="shared" si="7"/>
        <v/>
      </c>
      <c r="D40" s="10" t="str">
        <f t="shared" si="7"/>
        <v/>
      </c>
      <c r="E40" s="10" t="str">
        <f t="shared" si="7"/>
        <v/>
      </c>
      <c r="F40" s="10" t="str">
        <f t="shared" si="7"/>
        <v/>
      </c>
      <c r="G40" s="10" t="str">
        <f t="shared" si="7"/>
        <v/>
      </c>
      <c r="H40" s="10" t="str">
        <f t="shared" si="7"/>
        <v/>
      </c>
      <c r="I40" s="5"/>
      <c r="J40" s="10" t="str">
        <f t="shared" ref="J40:L43" si="9">IF(J17="","",(J17/$J$23))</f>
        <v/>
      </c>
      <c r="K40" s="10" t="str">
        <f t="shared" si="9"/>
        <v/>
      </c>
      <c r="L40" s="10" t="str">
        <f t="shared" si="9"/>
        <v/>
      </c>
    </row>
    <row r="41" spans="1:12" x14ac:dyDescent="0.35">
      <c r="A41" s="225"/>
      <c r="B41" s="10" t="str">
        <f t="shared" si="7"/>
        <v/>
      </c>
      <c r="C41" s="10" t="str">
        <f t="shared" si="7"/>
        <v/>
      </c>
      <c r="D41" s="10" t="str">
        <f t="shared" si="7"/>
        <v/>
      </c>
      <c r="E41" s="10" t="str">
        <f t="shared" si="7"/>
        <v/>
      </c>
      <c r="F41" s="10" t="str">
        <f t="shared" si="7"/>
        <v/>
      </c>
      <c r="G41" s="10" t="str">
        <f t="shared" si="7"/>
        <v/>
      </c>
      <c r="H41" s="10" t="str">
        <f t="shared" si="7"/>
        <v/>
      </c>
      <c r="I41" s="5"/>
      <c r="J41" s="10" t="str">
        <f t="shared" si="9"/>
        <v/>
      </c>
      <c r="K41" s="10" t="str">
        <f t="shared" si="9"/>
        <v/>
      </c>
      <c r="L41" s="10" t="str">
        <f t="shared" si="9"/>
        <v/>
      </c>
    </row>
    <row r="42" spans="1:12" x14ac:dyDescent="0.35">
      <c r="A42" s="225"/>
      <c r="B42" s="10" t="str">
        <f t="shared" si="7"/>
        <v/>
      </c>
      <c r="C42" s="10" t="str">
        <f t="shared" si="7"/>
        <v/>
      </c>
      <c r="D42" s="10" t="str">
        <f t="shared" si="7"/>
        <v/>
      </c>
      <c r="E42" s="10" t="str">
        <f t="shared" si="7"/>
        <v/>
      </c>
      <c r="F42" s="10" t="str">
        <f t="shared" si="7"/>
        <v/>
      </c>
      <c r="G42" s="10" t="str">
        <f t="shared" si="7"/>
        <v/>
      </c>
      <c r="H42" s="10" t="str">
        <f t="shared" si="7"/>
        <v/>
      </c>
      <c r="I42" s="5"/>
      <c r="J42" s="10" t="str">
        <f t="shared" si="9"/>
        <v/>
      </c>
      <c r="K42" s="10" t="str">
        <f t="shared" si="9"/>
        <v/>
      </c>
      <c r="L42" s="10" t="str">
        <f t="shared" si="9"/>
        <v/>
      </c>
    </row>
    <row r="43" spans="1:12" x14ac:dyDescent="0.35">
      <c r="A43" s="225"/>
      <c r="B43" s="10" t="str">
        <f t="shared" si="7"/>
        <v/>
      </c>
      <c r="C43" s="10" t="str">
        <f t="shared" si="7"/>
        <v/>
      </c>
      <c r="D43" s="10" t="str">
        <f t="shared" si="7"/>
        <v/>
      </c>
      <c r="E43" s="10" t="str">
        <f t="shared" si="7"/>
        <v/>
      </c>
      <c r="F43" s="10" t="str">
        <f t="shared" si="7"/>
        <v/>
      </c>
      <c r="G43" s="10" t="str">
        <f t="shared" si="7"/>
        <v/>
      </c>
      <c r="H43" s="10" t="str">
        <f t="shared" si="7"/>
        <v/>
      </c>
      <c r="I43" s="5"/>
      <c r="J43" s="10" t="str">
        <f t="shared" si="9"/>
        <v/>
      </c>
      <c r="K43" s="10" t="str">
        <f t="shared" si="9"/>
        <v/>
      </c>
      <c r="L43" s="10" t="str">
        <f t="shared" si="9"/>
        <v/>
      </c>
    </row>
    <row r="44" spans="1:12" x14ac:dyDescent="0.35">
      <c r="A44" s="6"/>
      <c r="B44" s="3"/>
      <c r="C44" s="3"/>
      <c r="D44" s="3"/>
      <c r="E44" s="3"/>
      <c r="F44" s="3"/>
      <c r="G44" s="3"/>
      <c r="H44" s="3"/>
      <c r="I44" s="6"/>
      <c r="J44" s="3"/>
      <c r="K44" s="3"/>
      <c r="L44" s="3"/>
    </row>
    <row r="45" spans="1:12" x14ac:dyDescent="0.35">
      <c r="A45" s="6" t="str">
        <f>A4</f>
        <v>Noms des groupes</v>
      </c>
      <c r="B45" s="6" t="str">
        <f t="shared" ref="B45:L45" si="10">B4</f>
        <v>Témoin solvant</v>
      </c>
      <c r="C45" s="6" t="str">
        <f t="shared" si="10"/>
        <v>EE2-33,8ng/L</v>
      </c>
      <c r="D45" s="6" t="str">
        <f t="shared" si="10"/>
        <v>EE2-50,6ng/L</v>
      </c>
      <c r="E45" s="6" t="str">
        <f t="shared" si="10"/>
        <v>EE2-76ng/L</v>
      </c>
      <c r="F45" s="6" t="str">
        <f t="shared" si="10"/>
        <v>EE2-114ng/L</v>
      </c>
      <c r="G45" s="6" t="str">
        <f t="shared" si="10"/>
        <v>EE2-170,9ng/L</v>
      </c>
      <c r="H45" s="6" t="str">
        <f t="shared" si="10"/>
        <v>EE2-488ng/L</v>
      </c>
      <c r="I45" s="6"/>
      <c r="J45" s="6" t="str">
        <f t="shared" si="10"/>
        <v>Testo -30µg/L</v>
      </c>
      <c r="K45" s="6" t="str">
        <f t="shared" si="10"/>
        <v>Testo 30µg/L + EE2 -64ng/L</v>
      </c>
      <c r="L45" s="6" t="str">
        <f t="shared" si="10"/>
        <v>Testo 30µg/L + FAD-10mg/L</v>
      </c>
    </row>
    <row r="46" spans="1:12" x14ac:dyDescent="0.35">
      <c r="A46" s="7" t="s">
        <v>0</v>
      </c>
      <c r="B46" s="9">
        <f t="shared" ref="B46:H46" si="11">AVERAGE(B28:B43)</f>
        <v>1.2542594182417621E-4</v>
      </c>
      <c r="C46" s="9">
        <f t="shared" si="11"/>
        <v>2.6887115094272006E-2</v>
      </c>
      <c r="D46" s="9">
        <f t="shared" si="11"/>
        <v>2.8968718302683182E-2</v>
      </c>
      <c r="E46" s="9">
        <f t="shared" si="11"/>
        <v>0.38510193556601152</v>
      </c>
      <c r="F46" s="9">
        <f t="shared" si="11"/>
        <v>6.4207175610341338E-2</v>
      </c>
      <c r="G46" s="9">
        <f t="shared" si="11"/>
        <v>1.1286885743978385</v>
      </c>
      <c r="H46" s="9">
        <f t="shared" si="11"/>
        <v>1.9287206709742557</v>
      </c>
      <c r="I46" s="7" t="s">
        <v>0</v>
      </c>
      <c r="J46" s="9">
        <f t="shared" ref="J46:L46" si="12">AVERAGE(J28:J43)</f>
        <v>1</v>
      </c>
      <c r="K46" s="9">
        <f t="shared" si="12"/>
        <v>1.3724379219492282</v>
      </c>
      <c r="L46" s="9">
        <f t="shared" si="12"/>
        <v>4.8590477288556012E-2</v>
      </c>
    </row>
    <row r="47" spans="1:12" x14ac:dyDescent="0.35">
      <c r="A47" s="7" t="s">
        <v>1</v>
      </c>
      <c r="B47" s="7">
        <f t="shared" ref="B47:H47" si="13">STDEV(B28:B43)</f>
        <v>3.5475813600233764E-4</v>
      </c>
      <c r="C47" s="7">
        <f t="shared" si="13"/>
        <v>3.4654141816067033E-2</v>
      </c>
      <c r="D47" s="7">
        <f t="shared" si="13"/>
        <v>3.1569922277202761E-2</v>
      </c>
      <c r="E47" s="7">
        <f t="shared" si="13"/>
        <v>0.65570084731248279</v>
      </c>
      <c r="F47" s="7">
        <f t="shared" si="13"/>
        <v>6.6317029098222291E-2</v>
      </c>
      <c r="G47" s="7">
        <f t="shared" si="13"/>
        <v>0.52839827918741245</v>
      </c>
      <c r="H47" s="7">
        <f t="shared" si="13"/>
        <v>0.2097716111109526</v>
      </c>
      <c r="I47" s="7" t="s">
        <v>1</v>
      </c>
      <c r="J47" s="7">
        <f t="shared" ref="J47:L47" si="14">STDEV(J28:J43)</f>
        <v>0.17976980445282567</v>
      </c>
      <c r="K47" s="7">
        <f t="shared" si="14"/>
        <v>0.48853578964252581</v>
      </c>
      <c r="L47" s="7">
        <f t="shared" si="14"/>
        <v>2.6465222771407271E-2</v>
      </c>
    </row>
    <row r="48" spans="1:12" x14ac:dyDescent="0.35">
      <c r="A48" s="7" t="s">
        <v>2</v>
      </c>
      <c r="B48" s="7">
        <f t="shared" ref="B48:H48" si="15" xml:space="preserve"> B47/SQRT(COUNT(B28:B43))</f>
        <v>1.2542594182417621E-4</v>
      </c>
      <c r="C48" s="7">
        <f t="shared" si="15"/>
        <v>1.2252089337170648E-2</v>
      </c>
      <c r="D48" s="7">
        <f t="shared" si="15"/>
        <v>1.1161653061871162E-2</v>
      </c>
      <c r="E48" s="7">
        <f t="shared" si="15"/>
        <v>0.24783162520616631</v>
      </c>
      <c r="F48" s="7">
        <f t="shared" si="15"/>
        <v>2.3446610491749287E-2</v>
      </c>
      <c r="G48" s="7">
        <f t="shared" si="15"/>
        <v>0.18681700319036093</v>
      </c>
      <c r="H48" s="7">
        <f t="shared" si="15"/>
        <v>7.4165464358490946E-2</v>
      </c>
      <c r="I48" s="7" t="s">
        <v>2</v>
      </c>
      <c r="J48" s="7">
        <f t="shared" ref="J48:L48" si="16" xml:space="preserve"> J47/SQRT(COUNT(J28:J43))</f>
        <v>6.355822389058631E-2</v>
      </c>
      <c r="K48" s="7">
        <f t="shared" si="16"/>
        <v>0.17272348485427735</v>
      </c>
      <c r="L48" s="7">
        <f t="shared" si="16"/>
        <v>9.3568692436373571E-3</v>
      </c>
    </row>
    <row r="49" spans="1:12" ht="15" thickBot="1" x14ac:dyDescent="0.4">
      <c r="A49" s="7"/>
      <c r="B49" s="7"/>
      <c r="C49" s="7"/>
      <c r="D49" s="7"/>
      <c r="E49" s="7"/>
      <c r="F49" s="7"/>
      <c r="G49" s="7"/>
      <c r="H49" s="7"/>
      <c r="I49" s="7"/>
      <c r="J49" s="7"/>
      <c r="K49" s="7"/>
      <c r="L49" s="7"/>
    </row>
    <row r="50" spans="1:12" ht="26.5" thickBot="1" x14ac:dyDescent="0.65">
      <c r="A50" s="216" t="s">
        <v>44</v>
      </c>
      <c r="B50" s="217"/>
      <c r="C50" s="217"/>
      <c r="D50" s="217"/>
      <c r="E50" s="217"/>
      <c r="F50" s="217"/>
      <c r="G50" s="217"/>
      <c r="H50" s="217"/>
      <c r="I50" s="217"/>
      <c r="J50" s="217"/>
      <c r="K50" s="217"/>
      <c r="L50" s="217"/>
    </row>
    <row r="51" spans="1:12" ht="15" thickBot="1" x14ac:dyDescent="0.4"/>
    <row r="52" spans="1:12" x14ac:dyDescent="0.35">
      <c r="A52" s="44" t="str">
        <f t="shared" ref="A52:H52" si="17">A27</f>
        <v>Noms des groupes</v>
      </c>
      <c r="B52" s="45" t="str">
        <f t="shared" si="17"/>
        <v>Témoin solvant</v>
      </c>
      <c r="C52" s="45" t="str">
        <f t="shared" si="17"/>
        <v>EE2-33,8ng/L</v>
      </c>
      <c r="D52" s="45" t="str">
        <f t="shared" si="17"/>
        <v>EE2-50,6ng/L</v>
      </c>
      <c r="E52" s="45" t="str">
        <f t="shared" si="17"/>
        <v>EE2-76ng/L</v>
      </c>
      <c r="F52" s="45" t="str">
        <f t="shared" si="17"/>
        <v>EE2-114ng/L</v>
      </c>
      <c r="G52" s="45" t="str">
        <f t="shared" si="17"/>
        <v>EE2-170,9ng/L</v>
      </c>
      <c r="H52" s="45" t="str">
        <f t="shared" si="17"/>
        <v>EE2-488ng/L</v>
      </c>
      <c r="I52" s="46"/>
      <c r="J52" s="45" t="str">
        <f>J27</f>
        <v>Testo -30µg/L</v>
      </c>
      <c r="K52" s="45" t="str">
        <f>K27</f>
        <v>Testo 30µg/L + EE2 -64ng/L</v>
      </c>
      <c r="L52" s="45" t="str">
        <f>L27</f>
        <v>Testo 30µg/L + FAD-10mg/L</v>
      </c>
    </row>
    <row r="53" spans="1:12" s="3" customFormat="1" x14ac:dyDescent="0.35">
      <c r="A53" s="60" t="s">
        <v>32</v>
      </c>
      <c r="B53" s="141">
        <f t="shared" ref="B53:L53" si="18">B46</f>
        <v>1.2542594182417621E-4</v>
      </c>
      <c r="C53" s="141">
        <f t="shared" si="18"/>
        <v>2.6887115094272006E-2</v>
      </c>
      <c r="D53" s="141">
        <f t="shared" si="18"/>
        <v>2.8968718302683182E-2</v>
      </c>
      <c r="E53" s="141">
        <f t="shared" si="18"/>
        <v>0.38510193556601152</v>
      </c>
      <c r="F53" s="141">
        <f t="shared" si="18"/>
        <v>6.4207175610341338E-2</v>
      </c>
      <c r="G53" s="141">
        <f t="shared" si="18"/>
        <v>1.1286885743978385</v>
      </c>
      <c r="H53" s="141">
        <f t="shared" si="18"/>
        <v>1.9287206709742557</v>
      </c>
      <c r="I53" s="141"/>
      <c r="J53" s="141">
        <f t="shared" si="18"/>
        <v>1</v>
      </c>
      <c r="K53" s="141">
        <f t="shared" si="18"/>
        <v>1.3724379219492282</v>
      </c>
      <c r="L53" s="141">
        <f t="shared" si="18"/>
        <v>4.8590477288556012E-2</v>
      </c>
    </row>
    <row r="54" spans="1:12" s="3" customFormat="1" x14ac:dyDescent="0.35">
      <c r="A54" s="60" t="s">
        <v>2</v>
      </c>
      <c r="B54" s="141">
        <f t="shared" ref="B54:L54" si="19">B48</f>
        <v>1.2542594182417621E-4</v>
      </c>
      <c r="C54" s="141">
        <f t="shared" si="19"/>
        <v>1.2252089337170648E-2</v>
      </c>
      <c r="D54" s="141">
        <f t="shared" si="19"/>
        <v>1.1161653061871162E-2</v>
      </c>
      <c r="E54" s="141">
        <f t="shared" si="19"/>
        <v>0.24783162520616631</v>
      </c>
      <c r="F54" s="141">
        <f t="shared" si="19"/>
        <v>2.3446610491749287E-2</v>
      </c>
      <c r="G54" s="141">
        <f t="shared" si="19"/>
        <v>0.18681700319036093</v>
      </c>
      <c r="H54" s="141">
        <f t="shared" si="19"/>
        <v>7.4165464358490946E-2</v>
      </c>
      <c r="I54" s="141"/>
      <c r="J54" s="141">
        <f t="shared" si="19"/>
        <v>6.355822389058631E-2</v>
      </c>
      <c r="K54" s="141">
        <f t="shared" si="19"/>
        <v>0.17272348485427735</v>
      </c>
      <c r="L54" s="141">
        <f t="shared" si="19"/>
        <v>9.3568692436373571E-3</v>
      </c>
    </row>
    <row r="55" spans="1:12" s="3" customFormat="1" x14ac:dyDescent="0.35">
      <c r="A55" s="60" t="s">
        <v>79</v>
      </c>
      <c r="B55" s="141">
        <f>(B53*100/$B53)-100</f>
        <v>0</v>
      </c>
      <c r="C55" s="141">
        <f t="shared" ref="C55:H55" si="20">(C53*100/$B53)-100</f>
        <v>21336.645962732917</v>
      </c>
      <c r="D55" s="141">
        <f t="shared" si="20"/>
        <v>22996.273291925463</v>
      </c>
      <c r="E55" s="141">
        <f t="shared" si="20"/>
        <v>306935.31499556341</v>
      </c>
      <c r="F55" s="141">
        <f t="shared" si="20"/>
        <v>51091.304347826088</v>
      </c>
      <c r="G55" s="141">
        <f t="shared" si="20"/>
        <v>899784.47204968927</v>
      </c>
      <c r="H55" s="141">
        <f t="shared" si="20"/>
        <v>1537636.6459627328</v>
      </c>
      <c r="I55" s="141"/>
      <c r="J55" s="141">
        <f>(J53*100/$J53)-100</f>
        <v>0</v>
      </c>
      <c r="K55" s="141">
        <f t="shared" ref="K55:L55" si="21">(K53*100/$J53)-100</f>
        <v>37.243792194922833</v>
      </c>
      <c r="L55" s="141">
        <f t="shared" si="21"/>
        <v>-95.1409522711444</v>
      </c>
    </row>
    <row r="56" spans="1:12" s="3" customFormat="1" x14ac:dyDescent="0.35">
      <c r="A56" s="60"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c r="J56" s="141" t="e">
        <f ca="1">[1]!SWTEST(J28:J43)</f>
        <v>#NAME?</v>
      </c>
      <c r="K56" s="141" t="e">
        <f ca="1">[1]!SWTEST(K28:K43)</f>
        <v>#NAME?</v>
      </c>
      <c r="L56" s="141" t="e">
        <f ca="1">[1]!SWTEST(L28:L43)</f>
        <v>#NAME?</v>
      </c>
    </row>
    <row r="57" spans="1:12" s="3" customFormat="1" x14ac:dyDescent="0.35">
      <c r="A57" s="60" t="s">
        <v>85</v>
      </c>
      <c r="B57" s="141" t="e">
        <f ca="1">IF(B56&gt;0.05,"Oui","Non")</f>
        <v>#NAME?</v>
      </c>
      <c r="C57" s="141" t="e">
        <f t="shared" ref="C57:L57" ca="1" si="22">IF(C56&gt;0.05,"Oui","Non")</f>
        <v>#NAME?</v>
      </c>
      <c r="D57" s="141" t="e">
        <f t="shared" ca="1" si="22"/>
        <v>#NAME?</v>
      </c>
      <c r="E57" s="141" t="e">
        <f t="shared" ca="1" si="22"/>
        <v>#NAME?</v>
      </c>
      <c r="F57" s="141" t="e">
        <f t="shared" ca="1" si="22"/>
        <v>#NAME?</v>
      </c>
      <c r="G57" s="141" t="e">
        <f t="shared" ca="1" si="22"/>
        <v>#NAME?</v>
      </c>
      <c r="H57" s="141" t="e">
        <f t="shared" ca="1" si="22"/>
        <v>#NAME?</v>
      </c>
      <c r="I57" s="141"/>
      <c r="J57" s="141" t="e">
        <f t="shared" ca="1" si="22"/>
        <v>#NAME?</v>
      </c>
      <c r="K57" s="141" t="e">
        <f t="shared" ca="1" si="22"/>
        <v>#NAME?</v>
      </c>
      <c r="L57" s="141" t="e">
        <f t="shared" ca="1" si="22"/>
        <v>#NAME?</v>
      </c>
    </row>
    <row r="58" spans="1:12" s="3" customFormat="1" x14ac:dyDescent="0.35">
      <c r="A58" s="60"/>
      <c r="B58" s="141"/>
      <c r="C58" s="141"/>
      <c r="D58" s="141"/>
      <c r="E58" s="141"/>
      <c r="F58" s="141"/>
      <c r="G58" s="141"/>
      <c r="H58" s="141"/>
      <c r="I58" s="148"/>
      <c r="J58" s="149"/>
      <c r="K58" s="141"/>
      <c r="L58" s="141"/>
    </row>
    <row r="59" spans="1:12" s="3" customFormat="1" x14ac:dyDescent="0.35">
      <c r="A59" s="60" t="s">
        <v>82</v>
      </c>
      <c r="B59" s="150"/>
      <c r="C59" s="150" t="e">
        <f t="shared" ref="C59:J59" ca="1" si="23">IF($B57="Non",IF(C57="Non","MW",IF(C57="Oui","MW","")),IF($B57="Oui",IF(C57="Oui","T-Test Welch",IF(C57="Non","MW",""))))</f>
        <v>#NAME?</v>
      </c>
      <c r="D59" s="150" t="e">
        <f t="shared" ca="1" si="23"/>
        <v>#NAME?</v>
      </c>
      <c r="E59" s="150" t="e">
        <f t="shared" ca="1" si="23"/>
        <v>#NAME?</v>
      </c>
      <c r="F59" s="150" t="e">
        <f t="shared" ca="1" si="23"/>
        <v>#NAME?</v>
      </c>
      <c r="G59" s="150" t="e">
        <f t="shared" ca="1" si="23"/>
        <v>#NAME?</v>
      </c>
      <c r="H59" s="150" t="e">
        <f t="shared" ca="1" si="23"/>
        <v>#NAME?</v>
      </c>
      <c r="I59" s="150"/>
      <c r="J59" s="150" t="e">
        <f t="shared" ca="1" si="23"/>
        <v>#NAME?</v>
      </c>
      <c r="K59" s="150" t="e">
        <f ca="1">IF($J57="Non",IF(K57="Non","MW",IF(K57="Oui","MW","")),IF($J57="Oui",IF(K57="Oui","T-Test Welch",IF(K57="Non","MW",""))))</f>
        <v>#NAME?</v>
      </c>
      <c r="L59" s="150" t="e">
        <f t="shared" ref="L59" ca="1" si="24">IF($J57="Non",IF(L57="Non","MW",IF(L57="Oui","MW","")),IF($J57="Oui",IF(L57="Oui","T-Test Welch",IF(L57="Non","MW",""))))</f>
        <v>#NAME?</v>
      </c>
    </row>
    <row r="60" spans="1:12" s="3" customFormat="1" x14ac:dyDescent="0.35">
      <c r="A60" s="60"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c r="J60" s="151" t="e">
        <f ca="1">IF(J59="MW",[1]!MTEST($B28:$B43,J28:J43,2), IF(J59="T-Test Welch",_xlfn.T.TEST($B28:$B43,J28:J43,2,3),""))</f>
        <v>#NAME?</v>
      </c>
      <c r="K60" s="151" t="e">
        <f ca="1">IF(K59="MW",[1]!MTEST($J28:$J43,K28:K43,2), IF(K59="T-Test Welch",_xlfn.T.TEST($J28:$J43,K28:K43,2,3),""))</f>
        <v>#NAME?</v>
      </c>
      <c r="L60" s="151" t="e">
        <f ca="1">IF(L59="MW",[1]!MTEST($J28:$J43,L28:L43,2), IF(L59="T-Test Welch",_xlfn.T.TEST($J28:$J43,L28:L43,2,3),""))</f>
        <v>#NAME?</v>
      </c>
    </row>
    <row r="61" spans="1:12" s="3" customFormat="1" ht="15" thickBot="1" x14ac:dyDescent="0.4">
      <c r="A61" s="61" t="s">
        <v>84</v>
      </c>
      <c r="B61" s="142"/>
      <c r="C61" s="142" t="e">
        <f t="shared" ref="C61:J61" ca="1" si="25">IF(C60&gt;0.05,"NS",IF(C60&gt;0.01,"*",IF(C60&gt;0.001,"**","***")))</f>
        <v>#NAME?</v>
      </c>
      <c r="D61" s="142" t="e">
        <f t="shared" ca="1" si="25"/>
        <v>#NAME?</v>
      </c>
      <c r="E61" s="142" t="e">
        <f t="shared" ca="1" si="25"/>
        <v>#NAME?</v>
      </c>
      <c r="F61" s="142" t="e">
        <f t="shared" ca="1" si="25"/>
        <v>#NAME?</v>
      </c>
      <c r="G61" s="142" t="e">
        <f t="shared" ca="1" si="25"/>
        <v>#NAME?</v>
      </c>
      <c r="H61" s="142" t="e">
        <f t="shared" ca="1" si="25"/>
        <v>#NAME?</v>
      </c>
      <c r="I61" s="142"/>
      <c r="J61" s="142" t="e">
        <f t="shared" ca="1" si="25"/>
        <v>#NAME?</v>
      </c>
      <c r="K61" s="142" t="e">
        <f ca="1">IF(K60&gt;0.05,"NS",IF(K60&gt;0.01,"*",IF(K60&gt;0.001,"**","***")))</f>
        <v>#NAME?</v>
      </c>
      <c r="L61" s="142" t="e">
        <f t="shared" ref="L61" ca="1" si="26">IF(L60&gt;0.05,"NS",IF(L60&gt;0.01,"*",IF(L60&gt;0.001,"**","***")))</f>
        <v>#NAME?</v>
      </c>
    </row>
    <row r="63" spans="1:12" x14ac:dyDescent="0.35">
      <c r="A63" s="2" t="s">
        <v>39</v>
      </c>
    </row>
    <row r="64" spans="1:12" x14ac:dyDescent="0.35">
      <c r="A64" s="1" t="s">
        <v>23</v>
      </c>
      <c r="B64" s="1">
        <f>B46+(3*B47)</f>
        <v>1.1897003498311891E-3</v>
      </c>
    </row>
    <row r="65" spans="1:12" x14ac:dyDescent="0.35">
      <c r="A65" s="1" t="s">
        <v>24</v>
      </c>
      <c r="B65" s="1">
        <f>B46+(10*B47)</f>
        <v>3.6730073018475524E-3</v>
      </c>
    </row>
    <row r="66" spans="1:12" ht="15" thickBot="1" x14ac:dyDescent="0.4"/>
    <row r="67" spans="1:12" ht="26.5" thickBot="1" x14ac:dyDescent="0.65">
      <c r="A67" s="216" t="s">
        <v>45</v>
      </c>
      <c r="B67" s="217"/>
      <c r="C67" s="217"/>
      <c r="D67" s="217"/>
      <c r="E67" s="217"/>
      <c r="F67" s="217"/>
      <c r="G67" s="217"/>
      <c r="H67" s="217"/>
      <c r="I67" s="217"/>
      <c r="J67" s="217"/>
      <c r="K67" s="217"/>
      <c r="L67" s="217"/>
    </row>
    <row r="68" spans="1:12" ht="16.5" x14ac:dyDescent="0.35">
      <c r="A68" s="11"/>
      <c r="B68" s="11"/>
      <c r="C68" s="11"/>
      <c r="D68" s="11"/>
      <c r="E68" s="11"/>
      <c r="F68" s="11"/>
      <c r="I68" s="11"/>
      <c r="J68" s="11"/>
      <c r="K68" s="11"/>
      <c r="L68" s="11"/>
    </row>
    <row r="69" spans="1:12" ht="16.5" x14ac:dyDescent="0.35">
      <c r="A69" s="11"/>
      <c r="B69" s="11"/>
      <c r="C69" s="11"/>
      <c r="D69" s="11"/>
      <c r="E69" s="11"/>
      <c r="F69" s="11"/>
      <c r="I69" s="11"/>
      <c r="J69" s="11"/>
      <c r="K69" s="11"/>
      <c r="L69" s="11"/>
    </row>
    <row r="70" spans="1:12" ht="16.5" x14ac:dyDescent="0.35">
      <c r="A70" s="11"/>
      <c r="B70" s="11"/>
      <c r="C70" s="11"/>
      <c r="D70" s="11"/>
      <c r="E70" s="11"/>
      <c r="F70" s="11"/>
      <c r="I70" s="11"/>
      <c r="J70" s="11"/>
      <c r="K70" s="11"/>
      <c r="L70" s="11"/>
    </row>
    <row r="71" spans="1:12" ht="16.5" x14ac:dyDescent="0.35">
      <c r="A71" s="11"/>
      <c r="B71" s="11"/>
      <c r="C71" s="11"/>
      <c r="D71" s="11"/>
      <c r="E71" s="11"/>
      <c r="F71" s="11"/>
      <c r="I71" s="11"/>
      <c r="J71" s="11"/>
      <c r="K71" s="11"/>
      <c r="L71" s="11"/>
    </row>
    <row r="72" spans="1:12" ht="16.5" x14ac:dyDescent="0.35">
      <c r="A72" s="11"/>
      <c r="B72" s="11"/>
      <c r="C72" s="11"/>
      <c r="D72" s="11"/>
      <c r="E72" s="11"/>
      <c r="F72" s="11"/>
      <c r="I72" s="11"/>
      <c r="J72" s="11"/>
      <c r="K72" s="11"/>
      <c r="L72" s="11"/>
    </row>
    <row r="73" spans="1:12" ht="16.5" x14ac:dyDescent="0.35">
      <c r="A73" s="11"/>
      <c r="B73" s="11"/>
      <c r="C73" s="11"/>
      <c r="D73" s="11"/>
      <c r="E73" s="11"/>
      <c r="F73" s="11"/>
      <c r="I73" s="11"/>
      <c r="J73" s="11"/>
      <c r="K73" s="11"/>
      <c r="L73" s="11"/>
    </row>
    <row r="74" spans="1:12" ht="16.5" x14ac:dyDescent="0.35">
      <c r="A74" s="11"/>
      <c r="B74" s="11"/>
      <c r="C74" s="11"/>
      <c r="D74" s="11"/>
      <c r="E74" s="11"/>
      <c r="F74" s="11"/>
      <c r="I74" s="11"/>
      <c r="J74" s="11"/>
      <c r="K74" s="11"/>
      <c r="L74" s="11"/>
    </row>
  </sheetData>
  <protectedRanges>
    <protectedRange sqref="J51:L51" name="Plage2"/>
    <protectedRange sqref="B51:H51" name="Plage2_1"/>
    <protectedRange sqref="B5:H20 J5:J20" name="Plage1_1"/>
  </protectedRanges>
  <mergeCells count="9">
    <mergeCell ref="A28:A43"/>
    <mergeCell ref="A50:L50"/>
    <mergeCell ref="A67:L67"/>
    <mergeCell ref="A1:L1"/>
    <mergeCell ref="B3:H3"/>
    <mergeCell ref="J3:L3"/>
    <mergeCell ref="A5:A20"/>
    <mergeCell ref="B26:H26"/>
    <mergeCell ref="J26:L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9"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07"/>
  <sheetViews>
    <sheetView showGridLines="0" tabSelected="1" topLeftCell="A71" zoomScale="70" zoomScaleNormal="70" workbookViewId="0">
      <selection activeCell="I103" sqref="I103"/>
    </sheetView>
  </sheetViews>
  <sheetFormatPr baseColWidth="10" defaultRowHeight="14.5" x14ac:dyDescent="0.35"/>
  <cols>
    <col min="1" max="1" width="42.81640625" customWidth="1"/>
    <col min="2" max="2" width="14" bestFit="1" customWidth="1"/>
    <col min="3" max="8" width="22.7265625" bestFit="1" customWidth="1"/>
    <col min="9" max="9" width="8.453125" customWidth="1"/>
    <col min="10" max="10" width="22.7265625" customWidth="1"/>
  </cols>
  <sheetData>
    <row r="1" spans="1:12" s="1" customFormat="1" ht="21.5" thickBot="1" x14ac:dyDescent="0.4">
      <c r="A1" s="36" t="s">
        <v>8</v>
      </c>
      <c r="B1" s="54" t="e">
        <f>'Page de garde'!#REF!</f>
        <v>#REF!</v>
      </c>
      <c r="C1" s="37"/>
      <c r="D1" s="37"/>
      <c r="E1" s="37"/>
      <c r="F1" s="37"/>
      <c r="G1" s="37"/>
      <c r="H1" s="55"/>
      <c r="I1" s="56"/>
      <c r="J1" s="56"/>
      <c r="K1" s="56"/>
      <c r="L1" s="56"/>
    </row>
    <row r="2" spans="1:12" ht="15" thickBot="1" x14ac:dyDescent="0.4">
      <c r="A2" s="1"/>
      <c r="B2" s="1"/>
      <c r="C2" s="1"/>
      <c r="D2" s="1"/>
      <c r="E2" s="1"/>
      <c r="F2" s="1"/>
      <c r="G2" s="1"/>
      <c r="H2" s="1"/>
    </row>
    <row r="3" spans="1:12" s="32" customFormat="1" ht="15" thickBot="1" x14ac:dyDescent="0.4">
      <c r="B3" s="222" t="s">
        <v>6</v>
      </c>
      <c r="C3" s="223"/>
      <c r="D3" s="223"/>
      <c r="E3" s="223"/>
      <c r="F3" s="223"/>
      <c r="G3" s="223"/>
      <c r="H3" s="223"/>
      <c r="I3" s="71"/>
      <c r="J3" s="222" t="s">
        <v>3</v>
      </c>
      <c r="K3" s="223"/>
      <c r="L3" s="223"/>
    </row>
    <row r="4" spans="1:12" x14ac:dyDescent="0.35">
      <c r="A4" s="33" t="s">
        <v>41</v>
      </c>
      <c r="B4" s="34" t="str">
        <f>'R1'!B4</f>
        <v>Témoin solvant</v>
      </c>
      <c r="C4" s="34" t="str">
        <f>'R1'!C4</f>
        <v>EE2-33,8ng/L</v>
      </c>
      <c r="D4" s="34" t="str">
        <f>'R1'!D4</f>
        <v>EE2-50,6ng/L</v>
      </c>
      <c r="E4" s="34" t="str">
        <f>'R1'!E4</f>
        <v>EE2-76ng/L</v>
      </c>
      <c r="F4" s="34" t="str">
        <f>'R1'!F4</f>
        <v>EE2-114ng/L</v>
      </c>
      <c r="G4" s="34" t="str">
        <f>'R1'!G4</f>
        <v>EE2-170,9ng/L</v>
      </c>
      <c r="H4" s="34" t="str">
        <f>'R1'!H4</f>
        <v>EE2-488ng/L</v>
      </c>
      <c r="J4" s="34" t="str">
        <f>'R1'!J4</f>
        <v>Testo -30µg/L</v>
      </c>
      <c r="K4" s="34" t="str">
        <f>'R1'!K4</f>
        <v>Testo 30µg/L + EE2 -64ng/L</v>
      </c>
      <c r="L4" s="34" t="str">
        <f>'R1'!L4</f>
        <v>Testo 30µg/L + FAD-10mg/L</v>
      </c>
    </row>
    <row r="5" spans="1:12" s="1" customFormat="1" x14ac:dyDescent="0.35">
      <c r="A5" s="33"/>
      <c r="B5" s="34"/>
      <c r="C5" s="195" t="s">
        <v>166</v>
      </c>
      <c r="D5" s="34"/>
      <c r="E5" s="34"/>
      <c r="F5" s="34"/>
      <c r="G5" s="34"/>
      <c r="H5" s="34"/>
      <c r="J5" s="34"/>
      <c r="K5" s="34"/>
      <c r="L5" s="34"/>
    </row>
    <row r="6" spans="1:12" s="1" customFormat="1" x14ac:dyDescent="0.35">
      <c r="A6" s="70" t="s">
        <v>4</v>
      </c>
      <c r="B6" s="52">
        <f>'R1'!B28</f>
        <v>3.5269701833194146E-2</v>
      </c>
      <c r="C6" s="52">
        <f>'R1'!C28</f>
        <v>0</v>
      </c>
      <c r="D6" s="52">
        <f>'R1'!D28</f>
        <v>9.8070497992347409E-3</v>
      </c>
      <c r="E6" s="52">
        <f>'R1'!E28</f>
        <v>0</v>
      </c>
      <c r="F6" s="52">
        <f>'R1'!F28</f>
        <v>0.28854132876180688</v>
      </c>
      <c r="G6" s="52">
        <f>'R1'!G28</f>
        <v>1.5126684126669792</v>
      </c>
      <c r="H6" s="52">
        <f>'R1'!H28</f>
        <v>1.2200114358950127</v>
      </c>
      <c r="I6"/>
      <c r="J6" s="52">
        <f>'R1'!J28</f>
        <v>0.22970327728116641</v>
      </c>
      <c r="K6" s="52" t="str">
        <f>'R1'!K28</f>
        <v/>
      </c>
      <c r="L6" s="52">
        <f>'R1'!L28</f>
        <v>1.3858988087874819E-2</v>
      </c>
    </row>
    <row r="7" spans="1:12" s="1" customFormat="1" x14ac:dyDescent="0.35">
      <c r="A7" s="226" t="s">
        <v>34</v>
      </c>
      <c r="B7" s="52" t="str">
        <f>'R1'!B29</f>
        <v xml:space="preserve"> </v>
      </c>
      <c r="C7" s="52">
        <f>'R1'!C29</f>
        <v>1.1115222747768435E-2</v>
      </c>
      <c r="D7" s="52">
        <f>'R1'!D29</f>
        <v>0</v>
      </c>
      <c r="E7" s="52">
        <f>'R1'!E29</f>
        <v>0.30830408437715517</v>
      </c>
      <c r="F7" s="52">
        <f>'R1'!F29</f>
        <v>0.46415505247291938</v>
      </c>
      <c r="G7" s="52">
        <f>'R1'!G29</f>
        <v>1.5552010227533961</v>
      </c>
      <c r="H7" s="52">
        <f>'R1'!H29</f>
        <v>1.184057916384176</v>
      </c>
      <c r="I7"/>
      <c r="J7" s="52">
        <f>'R1'!J29</f>
        <v>1.1221872821592074</v>
      </c>
      <c r="K7" s="52" t="str">
        <f>'R1'!K29</f>
        <v/>
      </c>
      <c r="L7" s="52">
        <f>'R1'!L29</f>
        <v>3.4403249620528972E-4</v>
      </c>
    </row>
    <row r="8" spans="1:12" s="1" customFormat="1" x14ac:dyDescent="0.35">
      <c r="A8" s="227"/>
      <c r="B8" s="52">
        <f>'R1'!B30</f>
        <v>3.4403249620528972E-4</v>
      </c>
      <c r="C8" s="52">
        <f>'R1'!C30</f>
        <v>6.3709721519498094E-3</v>
      </c>
      <c r="D8" s="52">
        <f>'R1'!D30</f>
        <v>5.976396610005718E-2</v>
      </c>
      <c r="E8" s="52">
        <f>'R1'!E30</f>
        <v>0.13909106402136823</v>
      </c>
      <c r="F8" s="52">
        <f>'R1'!F30</f>
        <v>1.0244778059221371</v>
      </c>
      <c r="G8" s="52">
        <f>'R1'!G30</f>
        <v>1.1688482822000879</v>
      </c>
      <c r="H8" s="52">
        <f>'R1'!H30</f>
        <v>1.8221150247167173</v>
      </c>
      <c r="I8"/>
      <c r="J8" s="52">
        <f>'R1'!J30</f>
        <v>1.2272573548891637</v>
      </c>
      <c r="K8" s="52" t="str">
        <f>'R1'!K30</f>
        <v/>
      </c>
      <c r="L8" s="52">
        <f>'R1'!L30</f>
        <v>0.22479338140939709</v>
      </c>
    </row>
    <row r="9" spans="1:12" s="1" customFormat="1" x14ac:dyDescent="0.35">
      <c r="A9" s="227"/>
      <c r="B9" s="52">
        <f>'R1'!B31</f>
        <v>0</v>
      </c>
      <c r="C9" s="52" t="str">
        <f>'R1'!C31</f>
        <v xml:space="preserve"> </v>
      </c>
      <c r="D9" s="52">
        <f>'R1'!D31</f>
        <v>8.323887482260825E-2</v>
      </c>
      <c r="E9" s="52">
        <f>'R1'!E31</f>
        <v>1.2690976526684021E-2</v>
      </c>
      <c r="F9" s="52">
        <f>'R1'!F31</f>
        <v>1.1019275907160071</v>
      </c>
      <c r="G9" s="52">
        <f>'R1'!G31</f>
        <v>1.4066087155960867</v>
      </c>
      <c r="H9" s="52">
        <f>'R1'!H31</f>
        <v>2.2832842149077561</v>
      </c>
      <c r="I9"/>
      <c r="J9" s="52">
        <f>'R1'!J31</f>
        <v>0.87340506694033526</v>
      </c>
      <c r="K9" s="52" t="str">
        <f>'R1'!K31</f>
        <v/>
      </c>
      <c r="L9" s="52">
        <f>'R1'!L31</f>
        <v>1.0860383861690442E-2</v>
      </c>
    </row>
    <row r="10" spans="1:12" s="1" customFormat="1" x14ac:dyDescent="0.35">
      <c r="A10" s="227"/>
      <c r="B10" s="52" t="str">
        <f>'R1'!B32</f>
        <v xml:space="preserve"> </v>
      </c>
      <c r="C10" s="52" t="str">
        <f>'R1'!C32</f>
        <v xml:space="preserve"> </v>
      </c>
      <c r="D10" s="52">
        <f>'R1'!D32</f>
        <v>0.63114672720505982</v>
      </c>
      <c r="E10" s="52">
        <f>'R1'!E32</f>
        <v>5.9466654066299522E-2</v>
      </c>
      <c r="F10" s="52">
        <f>'R1'!F32</f>
        <v>0.67418476774886482</v>
      </c>
      <c r="G10" s="52" t="str">
        <f>'R1'!G32</f>
        <v xml:space="preserve"> </v>
      </c>
      <c r="H10" s="52">
        <f>'R1'!H32</f>
        <v>1.4344498639001073</v>
      </c>
      <c r="I10"/>
      <c r="J10" s="52">
        <f>'R1'!J32</f>
        <v>1.4506491224251319</v>
      </c>
      <c r="K10" s="52" t="str">
        <f>'R1'!K32</f>
        <v/>
      </c>
      <c r="L10" s="52">
        <f>'R1'!L32</f>
        <v>7.5861289070650359E-2</v>
      </c>
    </row>
    <row r="11" spans="1:12" s="1" customFormat="1" x14ac:dyDescent="0.35">
      <c r="A11" s="227"/>
      <c r="B11" s="52" t="str">
        <f>'R1'!B33</f>
        <v xml:space="preserve"> </v>
      </c>
      <c r="C11" s="52">
        <f>'R1'!C33</f>
        <v>5.0806379254415744E-2</v>
      </c>
      <c r="D11" s="52">
        <f>'R1'!D33</f>
        <v>2.9183299770698095E-2</v>
      </c>
      <c r="E11" s="52">
        <f>'R1'!E33</f>
        <v>1.28482970656895</v>
      </c>
      <c r="F11" s="52">
        <f>'R1'!F33</f>
        <v>0.3921673144706545</v>
      </c>
      <c r="G11" s="52">
        <f>'R1'!G33</f>
        <v>1.0366293734732894</v>
      </c>
      <c r="H11" s="52">
        <f>'R1'!H33</f>
        <v>1.6115374058357044</v>
      </c>
      <c r="I11"/>
      <c r="J11" s="52">
        <f>'R1'!J33</f>
        <v>0.3255524296498673</v>
      </c>
      <c r="K11" s="52" t="str">
        <f>'R1'!K33</f>
        <v/>
      </c>
      <c r="L11" s="52">
        <f>'R1'!L33</f>
        <v>0.13645772886522897</v>
      </c>
    </row>
    <row r="12" spans="1:12" s="1" customFormat="1" x14ac:dyDescent="0.35">
      <c r="A12" s="227"/>
      <c r="B12" s="52" t="str">
        <f>'R1'!B34</f>
        <v xml:space="preserve"> </v>
      </c>
      <c r="C12" s="52">
        <f>'R1'!C34</f>
        <v>0</v>
      </c>
      <c r="D12" s="52">
        <f>'R1'!D34</f>
        <v>9.8036519474203665E-2</v>
      </c>
      <c r="E12" s="52">
        <f>'R1'!E34</f>
        <v>0.16217097247049841</v>
      </c>
      <c r="F12" s="52">
        <f>'R1'!F34</f>
        <v>0.9747459973040169</v>
      </c>
      <c r="G12" s="52">
        <f>'R1'!G34</f>
        <v>1.3020653098973582</v>
      </c>
      <c r="H12" s="52">
        <f>'R1'!H34</f>
        <v>1.5498026856833107</v>
      </c>
      <c r="I12"/>
      <c r="J12" s="52">
        <f>'R1'!J34</f>
        <v>1.5221186880257047</v>
      </c>
      <c r="K12" s="52" t="str">
        <f>'R1'!K34</f>
        <v/>
      </c>
      <c r="L12" s="52">
        <f>'R1'!L34</f>
        <v>6.3539828928779435E-2</v>
      </c>
    </row>
    <row r="13" spans="1:12" s="1" customFormat="1" x14ac:dyDescent="0.35">
      <c r="A13" s="227"/>
      <c r="B13" s="52" t="str">
        <f>'R1'!B35</f>
        <v xml:space="preserve"> </v>
      </c>
      <c r="C13" s="52">
        <f>'R1'!C35</f>
        <v>1.0979308675193505E-2</v>
      </c>
      <c r="D13" s="52">
        <f>'R1'!D35</f>
        <v>0</v>
      </c>
      <c r="E13" s="52">
        <f>'R1'!E35</f>
        <v>1.0729948825166189</v>
      </c>
      <c r="F13" s="52">
        <f>'R1'!F35</f>
        <v>0.14436622896318269</v>
      </c>
      <c r="G13" s="52">
        <f>'R1'!G35</f>
        <v>0.91468896648497011</v>
      </c>
      <c r="H13" s="52">
        <f>'R1'!H35</f>
        <v>1.4774624205553046</v>
      </c>
      <c r="I13"/>
      <c r="J13" s="52">
        <f>'R1'!J35</f>
        <v>1.2491267786294233</v>
      </c>
      <c r="K13" s="52" t="str">
        <f>'R1'!K35</f>
        <v/>
      </c>
      <c r="L13" s="52">
        <f>'R1'!L35</f>
        <v>2.4634425654205929E-3</v>
      </c>
    </row>
    <row r="14" spans="1:12" s="1" customFormat="1" x14ac:dyDescent="0.35">
      <c r="A14" s="227"/>
      <c r="B14" s="52" t="str">
        <f>'R1'!B36</f>
        <v xml:space="preserve"> </v>
      </c>
      <c r="C14" s="52" t="str">
        <f>'R1'!C36</f>
        <v xml:space="preserve"> </v>
      </c>
      <c r="D14" s="52" t="str">
        <f>'R1'!D36</f>
        <v xml:space="preserve">  </v>
      </c>
      <c r="E14" s="52" t="str">
        <f>'R1'!E36</f>
        <v xml:space="preserve"> </v>
      </c>
      <c r="F14" s="52" t="str">
        <f>'R1'!F36</f>
        <v xml:space="preserve"> </v>
      </c>
      <c r="G14" s="52" t="str">
        <f>'R1'!G36</f>
        <v/>
      </c>
      <c r="H14" s="52" t="str">
        <f>'R1'!H36</f>
        <v/>
      </c>
      <c r="I14"/>
      <c r="J14" s="52" t="str">
        <f>'R1'!J36</f>
        <v/>
      </c>
      <c r="K14" s="52" t="str">
        <f>'R1'!K36</f>
        <v/>
      </c>
      <c r="L14" s="52" t="str">
        <f>'R1'!L36</f>
        <v xml:space="preserve"> </v>
      </c>
    </row>
    <row r="15" spans="1:12" s="1" customFormat="1" x14ac:dyDescent="0.35">
      <c r="A15" s="227"/>
      <c r="B15" s="52" t="str">
        <f>'R1'!B37</f>
        <v xml:space="preserve"> </v>
      </c>
      <c r="C15" s="52" t="str">
        <f>'R1'!C37</f>
        <v xml:space="preserve"> </v>
      </c>
      <c r="D15" s="52" t="str">
        <f>'R1'!D37</f>
        <v xml:space="preserve"> </v>
      </c>
      <c r="E15" s="52" t="str">
        <f>'R1'!E37</f>
        <v/>
      </c>
      <c r="F15" s="52" t="str">
        <f>'R1'!F37</f>
        <v/>
      </c>
      <c r="G15" s="52" t="str">
        <f>'R1'!G37</f>
        <v/>
      </c>
      <c r="H15" s="52" t="str">
        <f>'R1'!H37</f>
        <v/>
      </c>
      <c r="I15"/>
      <c r="J15" s="52" t="str">
        <f>'R1'!J37</f>
        <v/>
      </c>
      <c r="K15" s="52" t="str">
        <f>'R1'!K37</f>
        <v/>
      </c>
      <c r="L15" s="52" t="str">
        <f>'R1'!L37</f>
        <v/>
      </c>
    </row>
    <row r="16" spans="1:12" s="1" customFormat="1" x14ac:dyDescent="0.35">
      <c r="A16" s="227"/>
      <c r="B16" s="52" t="str">
        <f>'R1'!B38</f>
        <v xml:space="preserve"> </v>
      </c>
      <c r="C16" s="52" t="str">
        <f>'R1'!C38</f>
        <v/>
      </c>
      <c r="D16" s="52" t="str">
        <f>'R1'!D38</f>
        <v xml:space="preserve"> </v>
      </c>
      <c r="E16" s="52" t="str">
        <f>'R1'!E38</f>
        <v/>
      </c>
      <c r="F16" s="52" t="str">
        <f>'R1'!F38</f>
        <v/>
      </c>
      <c r="G16" s="52" t="str">
        <f>'R1'!G38</f>
        <v/>
      </c>
      <c r="H16" s="52" t="str">
        <f>'R1'!H38</f>
        <v/>
      </c>
      <c r="I16"/>
      <c r="J16" s="52" t="str">
        <f>'R1'!J38</f>
        <v/>
      </c>
      <c r="K16" s="52" t="str">
        <f>'R1'!K38</f>
        <v/>
      </c>
      <c r="L16" s="52" t="str">
        <f>'R1'!L38</f>
        <v/>
      </c>
    </row>
    <row r="17" spans="1:12" s="1" customFormat="1" x14ac:dyDescent="0.35">
      <c r="A17" s="227"/>
      <c r="B17" s="52" t="str">
        <f>'R1'!B39</f>
        <v xml:space="preserve"> </v>
      </c>
      <c r="C17" s="52" t="str">
        <f>'R1'!C39</f>
        <v/>
      </c>
      <c r="D17" s="52" t="str">
        <f>'R1'!D39</f>
        <v xml:space="preserve"> </v>
      </c>
      <c r="E17" s="52" t="str">
        <f>'R1'!E39</f>
        <v/>
      </c>
      <c r="F17" s="52" t="str">
        <f>'R1'!F39</f>
        <v/>
      </c>
      <c r="G17" s="52" t="str">
        <f>'R1'!G39</f>
        <v/>
      </c>
      <c r="H17" s="52" t="str">
        <f>'R1'!H39</f>
        <v/>
      </c>
      <c r="I17"/>
      <c r="J17" s="52" t="str">
        <f>'R1'!J39</f>
        <v/>
      </c>
      <c r="K17" s="52" t="str">
        <f>'R1'!K39</f>
        <v/>
      </c>
      <c r="L17" s="52" t="str">
        <f>'R1'!L39</f>
        <v/>
      </c>
    </row>
    <row r="18" spans="1:12" s="1" customFormat="1" x14ac:dyDescent="0.35">
      <c r="A18" s="227"/>
      <c r="B18" s="52" t="str">
        <f>'R1'!B40</f>
        <v/>
      </c>
      <c r="C18" s="52" t="str">
        <f>'R1'!C40</f>
        <v/>
      </c>
      <c r="D18" s="52" t="str">
        <f>'R1'!D40</f>
        <v xml:space="preserve"> </v>
      </c>
      <c r="E18" s="52" t="str">
        <f>'R1'!E40</f>
        <v/>
      </c>
      <c r="F18" s="52" t="str">
        <f>'R1'!F40</f>
        <v/>
      </c>
      <c r="G18" s="52" t="str">
        <f>'R1'!G40</f>
        <v/>
      </c>
      <c r="H18" s="52" t="str">
        <f>'R1'!H40</f>
        <v/>
      </c>
      <c r="I18"/>
      <c r="J18" s="52" t="str">
        <f>'R1'!J40</f>
        <v/>
      </c>
      <c r="K18" s="52" t="str">
        <f>'R1'!K40</f>
        <v/>
      </c>
      <c r="L18" s="52" t="str">
        <f>'R1'!L40</f>
        <v/>
      </c>
    </row>
    <row r="19" spans="1:12" s="1" customFormat="1" x14ac:dyDescent="0.35">
      <c r="A19" s="227"/>
      <c r="B19" s="52" t="str">
        <f>'R1'!B41</f>
        <v/>
      </c>
      <c r="C19" s="52" t="str">
        <f>'R1'!C41</f>
        <v/>
      </c>
      <c r="D19" s="52" t="str">
        <f>'R1'!D41</f>
        <v/>
      </c>
      <c r="E19" s="52" t="str">
        <f>'R1'!E41</f>
        <v/>
      </c>
      <c r="F19" s="52" t="str">
        <f>'R1'!F41</f>
        <v/>
      </c>
      <c r="G19" s="52" t="str">
        <f>'R1'!G41</f>
        <v/>
      </c>
      <c r="H19" s="52" t="str">
        <f>'R1'!H41</f>
        <v/>
      </c>
      <c r="I19"/>
      <c r="J19" s="52" t="str">
        <f>'R1'!J41</f>
        <v/>
      </c>
      <c r="K19" s="52" t="str">
        <f>'R1'!K41</f>
        <v/>
      </c>
      <c r="L19" s="52" t="str">
        <f>'R1'!L41</f>
        <v/>
      </c>
    </row>
    <row r="20" spans="1:12" s="1" customFormat="1" x14ac:dyDescent="0.35">
      <c r="A20" s="227"/>
      <c r="B20" s="52" t="str">
        <f>'R1'!B42</f>
        <v/>
      </c>
      <c r="C20" s="52" t="str">
        <f>'R1'!C42</f>
        <v/>
      </c>
      <c r="D20" s="52" t="str">
        <f>'R1'!D42</f>
        <v/>
      </c>
      <c r="E20" s="52" t="str">
        <f>'R1'!E42</f>
        <v/>
      </c>
      <c r="F20" s="52" t="str">
        <f>'R1'!F42</f>
        <v/>
      </c>
      <c r="G20" s="52" t="str">
        <f>'R1'!G42</f>
        <v/>
      </c>
      <c r="H20" s="52" t="str">
        <f>'R1'!H42</f>
        <v/>
      </c>
      <c r="I20"/>
      <c r="J20" s="52" t="str">
        <f>'R1'!J42</f>
        <v/>
      </c>
      <c r="K20" s="52" t="str">
        <f>'R1'!K42</f>
        <v/>
      </c>
      <c r="L20" s="52" t="str">
        <f>'R1'!L42</f>
        <v/>
      </c>
    </row>
    <row r="21" spans="1:12" s="1" customFormat="1" x14ac:dyDescent="0.35">
      <c r="A21" s="228"/>
      <c r="B21" s="52" t="str">
        <f>'R1'!B43</f>
        <v/>
      </c>
      <c r="C21" s="52" t="str">
        <f>'R1'!C43</f>
        <v/>
      </c>
      <c r="D21" s="52" t="str">
        <f>'R1'!D43</f>
        <v/>
      </c>
      <c r="E21" s="52" t="str">
        <f>'R1'!E43</f>
        <v/>
      </c>
      <c r="F21" s="52" t="str">
        <f>'R1'!F43</f>
        <v/>
      </c>
      <c r="G21" s="52" t="str">
        <f>'R1'!G43</f>
        <v/>
      </c>
      <c r="H21" s="52" t="str">
        <f>'R1'!H43</f>
        <v/>
      </c>
      <c r="I21"/>
      <c r="J21" s="52" t="str">
        <f>'R1'!J43</f>
        <v/>
      </c>
      <c r="K21" s="52" t="str">
        <f>'R1'!K43</f>
        <v/>
      </c>
      <c r="L21" s="52" t="str">
        <f>'R1'!L43</f>
        <v/>
      </c>
    </row>
    <row r="22" spans="1:12" x14ac:dyDescent="0.35">
      <c r="A22" s="38" t="s">
        <v>5</v>
      </c>
      <c r="B22" s="53">
        <f>'R2'!B28</f>
        <v>6.9891486384179496E-2</v>
      </c>
      <c r="C22" s="53">
        <f>'R2'!C28</f>
        <v>0.13046104904142483</v>
      </c>
      <c r="D22" s="53">
        <f>'R2'!D28</f>
        <v>8.0505785098686972E-2</v>
      </c>
      <c r="E22" s="53">
        <f>'R2'!E28</f>
        <v>7.7336025143958334E-2</v>
      </c>
      <c r="F22" s="53">
        <f>'R2'!F28</f>
        <v>0.15158258582058165</v>
      </c>
      <c r="G22" s="53">
        <f>'R2'!G28</f>
        <v>1.491607209770049</v>
      </c>
      <c r="H22" s="53">
        <f>'R2'!H28</f>
        <v>1.451088577393379</v>
      </c>
      <c r="J22" s="53">
        <f>'R2'!J28</f>
        <v>0.9393998485856524</v>
      </c>
      <c r="K22" s="53">
        <f>'R2'!K28</f>
        <v>0.98412825865853004</v>
      </c>
      <c r="L22" s="53">
        <f>'R2'!L28</f>
        <v>1.5737915529147262E-2</v>
      </c>
    </row>
    <row r="23" spans="1:12" x14ac:dyDescent="0.35">
      <c r="A23" s="226" t="s">
        <v>34</v>
      </c>
      <c r="B23" s="53">
        <f>'R2'!B29</f>
        <v>1.8311194720380525E-2</v>
      </c>
      <c r="C23" s="53">
        <f>'R2'!C29</f>
        <v>1.0621945903783065E-2</v>
      </c>
      <c r="D23" s="53">
        <f>'R2'!D29</f>
        <v>3.6132969327123815E-3</v>
      </c>
      <c r="E23" s="53">
        <f>'R2'!E29</f>
        <v>0.44984208554145921</v>
      </c>
      <c r="F23" s="53">
        <f>'R2'!F29</f>
        <v>0.1197358660824214</v>
      </c>
      <c r="G23" s="53">
        <f>'R2'!G29</f>
        <v>0.64852753370498673</v>
      </c>
      <c r="H23" s="53">
        <f>'R2'!H29</f>
        <v>9.1208026489863647E-2</v>
      </c>
      <c r="J23" s="53">
        <f>'R2'!J29</f>
        <v>1.3133015210259469</v>
      </c>
      <c r="K23" s="53">
        <f>'R2'!K29</f>
        <v>1.2877293200884015</v>
      </c>
      <c r="L23" s="53">
        <f>'R2'!L29</f>
        <v>2.8566075538935663E-2</v>
      </c>
    </row>
    <row r="24" spans="1:12" x14ac:dyDescent="0.35">
      <c r="A24" s="227"/>
      <c r="B24" s="53">
        <f>'R2'!B30</f>
        <v>8.6948542063364609E-2</v>
      </c>
      <c r="C24" s="53">
        <f>'R2'!C30</f>
        <v>0.24164735751374583</v>
      </c>
      <c r="D24" s="53">
        <f>'R2'!D30</f>
        <v>1.5562030175808881E-3</v>
      </c>
      <c r="E24" s="53">
        <f>'R2'!E30</f>
        <v>6.1468107397126187E-2</v>
      </c>
      <c r="F24" s="53">
        <f>'R2'!F30</f>
        <v>0.12960838743719746</v>
      </c>
      <c r="G24" s="53">
        <f>'R2'!G30</f>
        <v>0.92363134429940275</v>
      </c>
      <c r="H24" s="53">
        <f>'R2'!H30</f>
        <v>1.3783485130040454</v>
      </c>
      <c r="J24" s="53">
        <f>'R2'!J30</f>
        <v>1.2975253695504216</v>
      </c>
      <c r="K24" s="53">
        <f>'R2'!K30</f>
        <v>1.2097547546399321</v>
      </c>
      <c r="L24" s="53">
        <f>'R2'!L30</f>
        <v>2.6065444645820428E-2</v>
      </c>
    </row>
    <row r="25" spans="1:12" x14ac:dyDescent="0.35">
      <c r="A25" s="227"/>
      <c r="B25" s="53">
        <f>'R2'!B31</f>
        <v>5.1083224360886159E-3</v>
      </c>
      <c r="C25" s="53">
        <f>'R2'!C31</f>
        <v>1.2797571252686076E-2</v>
      </c>
      <c r="D25" s="53">
        <f>'R2'!D31</f>
        <v>0.13420817178645988</v>
      </c>
      <c r="E25" s="53">
        <f>'R2'!E31</f>
        <v>0.69375683467541505</v>
      </c>
      <c r="F25" s="53">
        <f>'R2'!F31</f>
        <v>3.7547699343106443E-3</v>
      </c>
      <c r="G25" s="53">
        <f>'R2'!G31</f>
        <v>1.2688942929026437</v>
      </c>
      <c r="H25" s="53">
        <f>'R2'!H31</f>
        <v>1.9087766791315852</v>
      </c>
      <c r="J25" s="53">
        <f>'R2'!J31</f>
        <v>0.72983245008297204</v>
      </c>
      <c r="K25" s="53">
        <f>'R2'!K31</f>
        <v>1.046494910795537</v>
      </c>
      <c r="L25" s="53">
        <f>'R2'!L31</f>
        <v>9.3039528321365486E-2</v>
      </c>
    </row>
    <row r="26" spans="1:12" x14ac:dyDescent="0.35">
      <c r="A26" s="227"/>
      <c r="B26" s="53">
        <f>'R2'!B32</f>
        <v>1.4839370789266405E-2</v>
      </c>
      <c r="C26" s="53">
        <f>'R2'!C32</f>
        <v>2.8883433893872306E-2</v>
      </c>
      <c r="D26" s="53">
        <f>'R2'!D32</f>
        <v>0.10389471349805379</v>
      </c>
      <c r="E26" s="53">
        <f>'R2'!E32</f>
        <v>3.4917066232306317E-2</v>
      </c>
      <c r="F26" s="53" t="str">
        <f>'R2'!F32</f>
        <v xml:space="preserve"> </v>
      </c>
      <c r="G26" s="53">
        <f>'R2'!G32</f>
        <v>0.99157279741830895</v>
      </c>
      <c r="H26" s="53">
        <f>'R2'!H32</f>
        <v>1.6150366682725765</v>
      </c>
      <c r="J26" s="53">
        <f>'R2'!J32</f>
        <v>0.4062875190223833</v>
      </c>
      <c r="K26" s="53">
        <f>'R2'!K32</f>
        <v>0.71679399236810515</v>
      </c>
      <c r="L26" s="53">
        <f>'R2'!L32</f>
        <v>4.7527281347740639E-2</v>
      </c>
    </row>
    <row r="27" spans="1:12" x14ac:dyDescent="0.35">
      <c r="A27" s="227"/>
      <c r="B27" s="53">
        <f>'R2'!B33</f>
        <v>1.1639022077435439E-2</v>
      </c>
      <c r="C27" s="53">
        <f>'R2'!C33</f>
        <v>0.10389853709269158</v>
      </c>
      <c r="D27" s="53">
        <f>'R2'!D33</f>
        <v>5.7709513868177749E-2</v>
      </c>
      <c r="E27" s="53">
        <f>'R2'!E33</f>
        <v>3.5666490781313329E-2</v>
      </c>
      <c r="F27" s="53">
        <f>'R2'!F33</f>
        <v>5.3182377817033347E-2</v>
      </c>
      <c r="G27" s="53">
        <f>'R2'!G33</f>
        <v>1.1720923474576919</v>
      </c>
      <c r="H27" s="53">
        <f>'R2'!H33</f>
        <v>1.4266481604686199</v>
      </c>
      <c r="J27" s="53">
        <f>'R2'!J33</f>
        <v>1.3064037562993722</v>
      </c>
      <c r="K27" s="53">
        <f>'R2'!K33</f>
        <v>0.6980010247233629</v>
      </c>
      <c r="L27" s="53">
        <f>'R2'!L33</f>
        <v>9.7253129612211026E-2</v>
      </c>
    </row>
    <row r="28" spans="1:12" x14ac:dyDescent="0.35">
      <c r="A28" s="227"/>
      <c r="B28" s="53">
        <f>'R2'!B34</f>
        <v>2.645927489351289E-2</v>
      </c>
      <c r="C28" s="53">
        <f>'R2'!C34</f>
        <v>0.11923115159023301</v>
      </c>
      <c r="D28" s="53">
        <f>'R2'!D34</f>
        <v>0</v>
      </c>
      <c r="E28" s="53">
        <f>'R2'!E34</f>
        <v>3.5647372808124377E-2</v>
      </c>
      <c r="F28" s="53">
        <f>'R2'!F34</f>
        <v>7.6571306216400167E-2</v>
      </c>
      <c r="G28" s="53">
        <f>'R2'!G34</f>
        <v>1.0340338158709765</v>
      </c>
      <c r="H28" s="53">
        <f>'R2'!H34</f>
        <v>1.0540503337998119</v>
      </c>
      <c r="J28" s="53">
        <f>'R2'!J34</f>
        <v>1.0919918633906107</v>
      </c>
      <c r="K28" s="53">
        <f>'R2'!K34</f>
        <v>1.2451382994180489</v>
      </c>
      <c r="L28" s="53">
        <f>'R2'!L34</f>
        <v>0.16120274992926351</v>
      </c>
    </row>
    <row r="29" spans="1:12" x14ac:dyDescent="0.35">
      <c r="A29" s="227"/>
      <c r="B29" s="53">
        <f>'R2'!B35</f>
        <v>0.10733212507742779</v>
      </c>
      <c r="C29" s="53">
        <f>'R2'!C35</f>
        <v>5.9082184343144675E-2</v>
      </c>
      <c r="D29" s="53">
        <f>'R2'!D35</f>
        <v>3.0753171671752049E-2</v>
      </c>
      <c r="E29" s="53">
        <f>'R2'!E35</f>
        <v>0.23096423409575811</v>
      </c>
      <c r="F29" s="53">
        <f>'R2'!F35</f>
        <v>0</v>
      </c>
      <c r="G29" s="53">
        <f>'R2'!G35</f>
        <v>0.67004672432647383</v>
      </c>
      <c r="H29" s="53">
        <f>'R2'!H35</f>
        <v>1.6861172925891088</v>
      </c>
      <c r="J29" s="53">
        <f>'R2'!J35</f>
        <v>0.91525767204264075</v>
      </c>
      <c r="K29" s="53">
        <f>'R2'!K35</f>
        <v>1.2498451444171694</v>
      </c>
      <c r="L29" s="53">
        <f>'R2'!L35</f>
        <v>0.20915062668716114</v>
      </c>
    </row>
    <row r="30" spans="1:12" x14ac:dyDescent="0.35">
      <c r="A30" s="227"/>
      <c r="B30" s="53" t="str">
        <f>'R2'!B36</f>
        <v xml:space="preserve"> </v>
      </c>
      <c r="C30" s="53" t="str">
        <f>'R2'!C36</f>
        <v/>
      </c>
      <c r="D30" s="53" t="str">
        <f>'R2'!D36</f>
        <v/>
      </c>
      <c r="E30" s="53" t="str">
        <f>'R2'!E36</f>
        <v/>
      </c>
      <c r="F30" s="53" t="str">
        <f>'R2'!F36</f>
        <v/>
      </c>
      <c r="G30" s="53" t="str">
        <f>'R2'!G36</f>
        <v/>
      </c>
      <c r="H30" s="53" t="str">
        <f>'R2'!H36</f>
        <v/>
      </c>
      <c r="J30" s="53" t="str">
        <f>'R2'!J36</f>
        <v/>
      </c>
      <c r="K30" s="53" t="str">
        <f>'R2'!K36</f>
        <v/>
      </c>
      <c r="L30" s="53" t="str">
        <f>'R2'!L36</f>
        <v/>
      </c>
    </row>
    <row r="31" spans="1:12" s="1" customFormat="1" x14ac:dyDescent="0.35">
      <c r="A31" s="227"/>
      <c r="B31" s="53" t="str">
        <f>'R2'!B37</f>
        <v/>
      </c>
      <c r="C31" s="53" t="str">
        <f>'R2'!C37</f>
        <v/>
      </c>
      <c r="D31" s="53" t="str">
        <f>'R2'!D37</f>
        <v/>
      </c>
      <c r="E31" s="53" t="str">
        <f>'R2'!E37</f>
        <v/>
      </c>
      <c r="F31" s="53" t="str">
        <f>'R2'!F37</f>
        <v/>
      </c>
      <c r="G31" s="53" t="str">
        <f>'R2'!G37</f>
        <v/>
      </c>
      <c r="H31" s="53" t="str">
        <f>'R2'!H37</f>
        <v/>
      </c>
      <c r="I31"/>
      <c r="J31" s="53" t="str">
        <f>'R2'!J37</f>
        <v/>
      </c>
      <c r="K31" s="53" t="str">
        <f>'R2'!K37</f>
        <v/>
      </c>
      <c r="L31" s="53" t="str">
        <f>'R2'!L37</f>
        <v/>
      </c>
    </row>
    <row r="32" spans="1:12" s="1" customFormat="1" x14ac:dyDescent="0.35">
      <c r="A32" s="227"/>
      <c r="B32" s="53" t="str">
        <f>'R2'!B38</f>
        <v/>
      </c>
      <c r="C32" s="53" t="str">
        <f>'R2'!C38</f>
        <v/>
      </c>
      <c r="D32" s="53" t="str">
        <f>'R2'!D38</f>
        <v/>
      </c>
      <c r="E32" s="53" t="str">
        <f>'R2'!E38</f>
        <v/>
      </c>
      <c r="F32" s="53" t="str">
        <f>'R2'!F38</f>
        <v/>
      </c>
      <c r="G32" s="53" t="str">
        <f>'R2'!G38</f>
        <v/>
      </c>
      <c r="H32" s="53" t="str">
        <f>'R2'!H38</f>
        <v/>
      </c>
      <c r="I32"/>
      <c r="J32" s="53" t="str">
        <f>'R2'!J38</f>
        <v/>
      </c>
      <c r="K32" s="53" t="str">
        <f>'R2'!K38</f>
        <v/>
      </c>
      <c r="L32" s="53" t="str">
        <f>'R2'!L38</f>
        <v/>
      </c>
    </row>
    <row r="33" spans="1:12" s="1" customFormat="1" x14ac:dyDescent="0.35">
      <c r="A33" s="227"/>
      <c r="B33" s="53" t="str">
        <f>'R2'!B39</f>
        <v/>
      </c>
      <c r="C33" s="53" t="str">
        <f>'R2'!C39</f>
        <v/>
      </c>
      <c r="D33" s="53" t="str">
        <f>'R2'!D39</f>
        <v/>
      </c>
      <c r="E33" s="53" t="str">
        <f>'R2'!E39</f>
        <v/>
      </c>
      <c r="F33" s="53" t="str">
        <f>'R2'!F39</f>
        <v/>
      </c>
      <c r="G33" s="53" t="str">
        <f>'R2'!G39</f>
        <v/>
      </c>
      <c r="H33" s="53" t="str">
        <f>'R2'!H39</f>
        <v/>
      </c>
      <c r="I33"/>
      <c r="J33" s="53" t="str">
        <f>'R2'!J39</f>
        <v/>
      </c>
      <c r="K33" s="53" t="str">
        <f>'R2'!K39</f>
        <v/>
      </c>
      <c r="L33" s="53" t="str">
        <f>'R2'!L39</f>
        <v/>
      </c>
    </row>
    <row r="34" spans="1:12" s="1" customFormat="1" x14ac:dyDescent="0.35">
      <c r="A34" s="227"/>
      <c r="B34" s="53" t="str">
        <f>'R2'!B40</f>
        <v/>
      </c>
      <c r="C34" s="53" t="str">
        <f>'R2'!C40</f>
        <v/>
      </c>
      <c r="D34" s="53" t="str">
        <f>'R2'!D40</f>
        <v/>
      </c>
      <c r="E34" s="53" t="str">
        <f>'R2'!E40</f>
        <v/>
      </c>
      <c r="F34" s="53" t="str">
        <f>'R2'!F40</f>
        <v/>
      </c>
      <c r="G34" s="53" t="str">
        <f>'R2'!G40</f>
        <v/>
      </c>
      <c r="H34" s="53" t="str">
        <f>'R2'!H40</f>
        <v/>
      </c>
      <c r="I34"/>
      <c r="J34" s="53" t="str">
        <f>'R2'!J40</f>
        <v/>
      </c>
      <c r="K34" s="53" t="str">
        <f>'R2'!K40</f>
        <v/>
      </c>
      <c r="L34" s="53" t="str">
        <f>'R2'!L40</f>
        <v/>
      </c>
    </row>
    <row r="35" spans="1:12" s="1" customFormat="1" x14ac:dyDescent="0.35">
      <c r="A35" s="227"/>
      <c r="B35" s="53" t="str">
        <f>'R2'!B41</f>
        <v/>
      </c>
      <c r="C35" s="53" t="str">
        <f>'R2'!C41</f>
        <v/>
      </c>
      <c r="D35" s="53" t="str">
        <f>'R2'!D41</f>
        <v/>
      </c>
      <c r="E35" s="53" t="str">
        <f>'R2'!E41</f>
        <v/>
      </c>
      <c r="F35" s="53" t="str">
        <f>'R2'!F41</f>
        <v/>
      </c>
      <c r="G35" s="53" t="str">
        <f>'R2'!G41</f>
        <v/>
      </c>
      <c r="H35" s="53" t="str">
        <f>'R2'!H41</f>
        <v/>
      </c>
      <c r="I35"/>
      <c r="J35" s="53" t="str">
        <f>'R2'!J41</f>
        <v/>
      </c>
      <c r="K35" s="53" t="str">
        <f>'R2'!K41</f>
        <v/>
      </c>
      <c r="L35" s="53" t="str">
        <f>'R2'!L41</f>
        <v/>
      </c>
    </row>
    <row r="36" spans="1:12" x14ac:dyDescent="0.35">
      <c r="A36" s="227"/>
      <c r="B36" s="53" t="str">
        <f>'R2'!B42</f>
        <v/>
      </c>
      <c r="C36" s="53" t="str">
        <f>'R2'!C42</f>
        <v/>
      </c>
      <c r="D36" s="53" t="str">
        <f>'R2'!D42</f>
        <v/>
      </c>
      <c r="E36" s="53" t="str">
        <f>'R2'!E42</f>
        <v/>
      </c>
      <c r="F36" s="53" t="str">
        <f>'R2'!F42</f>
        <v/>
      </c>
      <c r="G36" s="53" t="str">
        <f>'R2'!G42</f>
        <v/>
      </c>
      <c r="H36" s="53" t="str">
        <f>'R2'!H42</f>
        <v/>
      </c>
      <c r="J36" s="53" t="str">
        <f>'R2'!J42</f>
        <v/>
      </c>
      <c r="K36" s="53" t="str">
        <f>'R2'!K42</f>
        <v/>
      </c>
      <c r="L36" s="53" t="str">
        <f>'R2'!L42</f>
        <v/>
      </c>
    </row>
    <row r="37" spans="1:12" x14ac:dyDescent="0.35">
      <c r="A37" s="228"/>
      <c r="B37" s="53" t="str">
        <f>'R2'!B43</f>
        <v/>
      </c>
      <c r="C37" s="53" t="str">
        <f>'R2'!C43</f>
        <v/>
      </c>
      <c r="D37" s="53" t="str">
        <f>'R2'!D43</f>
        <v/>
      </c>
      <c r="E37" s="53" t="str">
        <f>'R2'!E43</f>
        <v/>
      </c>
      <c r="F37" s="53" t="str">
        <f>'R2'!F43</f>
        <v/>
      </c>
      <c r="G37" s="53" t="str">
        <f>'R2'!G43</f>
        <v/>
      </c>
      <c r="H37" s="53" t="str">
        <f>'R2'!H43</f>
        <v/>
      </c>
      <c r="J37" s="53" t="str">
        <f>'R2'!J43</f>
        <v/>
      </c>
      <c r="K37" s="53" t="str">
        <f>'R2'!K43</f>
        <v/>
      </c>
      <c r="L37" s="53" t="str">
        <f>'R2'!L43</f>
        <v/>
      </c>
    </row>
    <row r="38" spans="1:12" s="1" customFormat="1" x14ac:dyDescent="0.35">
      <c r="A38" s="154" t="s">
        <v>116</v>
      </c>
      <c r="B38" s="155">
        <f>'R3'!B28</f>
        <v>0</v>
      </c>
      <c r="C38" s="155">
        <f>'R3'!C28</f>
        <v>0</v>
      </c>
      <c r="D38" s="155">
        <f>'R3'!D28</f>
        <v>3.6041650761203033E-2</v>
      </c>
      <c r="E38" s="155">
        <f>'R3'!E28</f>
        <v>1.6196306400774056</v>
      </c>
      <c r="F38" s="155">
        <f>'R3'!F28</f>
        <v>7.0674791567014068E-3</v>
      </c>
      <c r="G38" s="155">
        <f>'R3'!G28</f>
        <v>1.0735151827713056</v>
      </c>
      <c r="H38" s="155">
        <f>'R3'!H28</f>
        <v>1.8334436977748971</v>
      </c>
      <c r="I38"/>
      <c r="J38" s="155">
        <f>'R3'!J28</f>
        <v>1.0951414196970146</v>
      </c>
      <c r="K38" s="155">
        <f>'R3'!K28</f>
        <v>1.7558883973992425</v>
      </c>
      <c r="L38" s="155">
        <f>'R3'!L28</f>
        <v>5.6209518972037027E-2</v>
      </c>
    </row>
    <row r="39" spans="1:12" s="1" customFormat="1" x14ac:dyDescent="0.35">
      <c r="A39" s="226" t="s">
        <v>34</v>
      </c>
      <c r="B39" s="155">
        <f>'R3'!B29</f>
        <v>0</v>
      </c>
      <c r="C39" s="155">
        <f>'R3'!C29</f>
        <v>1.3580279614155526E-2</v>
      </c>
      <c r="D39" s="155">
        <f>'R3'!D29</f>
        <v>0</v>
      </c>
      <c r="E39" s="155" t="str">
        <f>'R3'!E29</f>
        <v xml:space="preserve"> </v>
      </c>
      <c r="F39" s="155">
        <f>'R3'!F29</f>
        <v>9.6888034365149978E-2</v>
      </c>
      <c r="G39" s="155">
        <f>'R3'!G29</f>
        <v>0.93811748905054904</v>
      </c>
      <c r="H39" s="155">
        <f>'R3'!H29</f>
        <v>1.8545401853811001</v>
      </c>
      <c r="I39"/>
      <c r="J39" s="155">
        <f>'R3'!J29</f>
        <v>0.80092487998840789</v>
      </c>
      <c r="K39" s="155">
        <f>'R3'!K29</f>
        <v>1.1505718955521311</v>
      </c>
      <c r="L39" s="155">
        <f>'R3'!L29</f>
        <v>3.4115856176175928E-2</v>
      </c>
    </row>
    <row r="40" spans="1:12" s="1" customFormat="1" x14ac:dyDescent="0.35">
      <c r="A40" s="227"/>
      <c r="B40" s="155">
        <f>'R3'!B30</f>
        <v>0</v>
      </c>
      <c r="C40" s="155">
        <f>'R3'!C30</f>
        <v>5.6695641876995322E-2</v>
      </c>
      <c r="D40" s="155">
        <f>'R3'!D30</f>
        <v>4.9441192372233031E-2</v>
      </c>
      <c r="E40" s="155">
        <f>'R3'!E30</f>
        <v>7.8895254536757595E-2</v>
      </c>
      <c r="F40" s="155">
        <f>'R3'!F30</f>
        <v>4.6256464110262643E-2</v>
      </c>
      <c r="G40" s="155">
        <f>'R3'!G30</f>
        <v>1.0096398795287724E-3</v>
      </c>
      <c r="H40" s="155">
        <f>'R3'!H30</f>
        <v>2.1748328562992647</v>
      </c>
      <c r="I40"/>
      <c r="J40" s="155">
        <f>'R3'!J30</f>
        <v>0.89132504327584516</v>
      </c>
      <c r="K40" s="155">
        <f>'R3'!K30</f>
        <v>1.6622910411599641</v>
      </c>
      <c r="L40" s="155">
        <f>'R3'!L30</f>
        <v>1.1959869930961198E-2</v>
      </c>
    </row>
    <row r="41" spans="1:12" s="1" customFormat="1" x14ac:dyDescent="0.35">
      <c r="A41" s="227"/>
      <c r="B41" s="155">
        <f>'R3'!B31</f>
        <v>0</v>
      </c>
      <c r="C41" s="155">
        <f>'R3'!C31</f>
        <v>0</v>
      </c>
      <c r="D41" s="155">
        <f>'R3'!D31</f>
        <v>3.5960630277043315E-3</v>
      </c>
      <c r="E41" s="155">
        <f>'R3'!E31</f>
        <v>0.99415873470933125</v>
      </c>
      <c r="F41" s="155">
        <f>'R3'!F31</f>
        <v>3.7811636722846063E-2</v>
      </c>
      <c r="G41" s="155">
        <f>'R3'!G31</f>
        <v>1.681118955209695</v>
      </c>
      <c r="H41" s="155">
        <f>'R3'!H31</f>
        <v>2.0845448752206641</v>
      </c>
      <c r="I41"/>
      <c r="J41" s="155">
        <f>'R3'!J31</f>
        <v>1.0024851475429759</v>
      </c>
      <c r="K41" s="155">
        <f>'R3'!K31</f>
        <v>1.9227282713189044</v>
      </c>
      <c r="L41" s="155">
        <f>'R3'!L31</f>
        <v>6.9546737133713399E-2</v>
      </c>
    </row>
    <row r="42" spans="1:12" s="1" customFormat="1" x14ac:dyDescent="0.35">
      <c r="A42" s="227"/>
      <c r="B42" s="155">
        <f>'R3'!B32</f>
        <v>0</v>
      </c>
      <c r="C42" s="155">
        <f>'R3'!C32</f>
        <v>1.5518538889053354E-3</v>
      </c>
      <c r="D42" s="155">
        <f>'R3'!D32</f>
        <v>5.5181182057702165E-2</v>
      </c>
      <c r="E42" s="155">
        <f>'R3'!E32</f>
        <v>0</v>
      </c>
      <c r="F42" s="155">
        <f>'R3'!F32</f>
        <v>0.2150906884092407</v>
      </c>
      <c r="G42" s="155">
        <f>'R3'!G32</f>
        <v>1.1941422189952524</v>
      </c>
      <c r="H42" s="155">
        <f>'R3'!H32</f>
        <v>1.773762762673863</v>
      </c>
      <c r="I42"/>
      <c r="J42" s="155">
        <f>'R3'!J32</f>
        <v>1.0587819193441079</v>
      </c>
      <c r="K42" s="155">
        <f>'R3'!K32</f>
        <v>1.0258439763607157</v>
      </c>
      <c r="L42" s="155">
        <f>'R3'!L32</f>
        <v>7.4756977499676691E-2</v>
      </c>
    </row>
    <row r="43" spans="1:12" s="1" customFormat="1" x14ac:dyDescent="0.35">
      <c r="A43" s="227"/>
      <c r="B43" s="155">
        <f>'R3'!B33</f>
        <v>0</v>
      </c>
      <c r="C43" s="155">
        <f>'R3'!C33</f>
        <v>2.8693716082410298E-2</v>
      </c>
      <c r="D43" s="155">
        <f>'R3'!D33</f>
        <v>4.0884182775979922E-3</v>
      </c>
      <c r="E43" s="155">
        <f>'R3'!E33</f>
        <v>0</v>
      </c>
      <c r="F43" s="155">
        <f>'R3'!F33</f>
        <v>5.3411196096059134E-2</v>
      </c>
      <c r="G43" s="155">
        <f>'R3'!G33</f>
        <v>1.3800842301418015</v>
      </c>
      <c r="H43" s="155">
        <f>'R3'!H33</f>
        <v>2.2490725491693064</v>
      </c>
      <c r="I43"/>
      <c r="J43" s="155">
        <f>'R3'!J33</f>
        <v>1.127580775085578</v>
      </c>
      <c r="K43" s="155">
        <f>'R3'!K33</f>
        <v>0.61282647749422337</v>
      </c>
      <c r="L43" s="155">
        <f>'R3'!L33</f>
        <v>1.0059004725675547E-2</v>
      </c>
    </row>
    <row r="44" spans="1:12" s="1" customFormat="1" x14ac:dyDescent="0.35">
      <c r="A44" s="227"/>
      <c r="B44" s="155">
        <f>'R3'!B34</f>
        <v>1.0034075345934097E-3</v>
      </c>
      <c r="C44" s="155">
        <f>'R3'!C34</f>
        <v>1.6048288208559192E-2</v>
      </c>
      <c r="D44" s="155">
        <f>'R3'!D34</f>
        <v>5.048199397643862E-4</v>
      </c>
      <c r="E44" s="155">
        <f>'R3'!E34</f>
        <v>2.5303320437572939E-3</v>
      </c>
      <c r="F44" s="155">
        <f>'R3'!F34</f>
        <v>2.6250636867748083E-2</v>
      </c>
      <c r="G44" s="155">
        <f>'R3'!G34</f>
        <v>1.6487793173400975</v>
      </c>
      <c r="H44" s="155">
        <f>'R3'!H34</f>
        <v>1.6923184790585419</v>
      </c>
      <c r="I44"/>
      <c r="J44" s="155">
        <f>'R3'!J34</f>
        <v>0.74196689689987583</v>
      </c>
      <c r="K44" s="155">
        <f>'R3'!K34</f>
        <v>1.8634150445690567</v>
      </c>
      <c r="L44" s="155">
        <f>'R3'!L34</f>
        <v>5.9867905449094982E-2</v>
      </c>
    </row>
    <row r="45" spans="1:12" s="1" customFormat="1" x14ac:dyDescent="0.35">
      <c r="A45" s="227"/>
      <c r="B45" s="155">
        <f>'R3'!B35</f>
        <v>0</v>
      </c>
      <c r="C45" s="155">
        <f>'R3'!C35</f>
        <v>9.8527141083150388E-2</v>
      </c>
      <c r="D45" s="155">
        <f>'R3'!D35</f>
        <v>8.2896419985260511E-2</v>
      </c>
      <c r="E45" s="155">
        <f>'R3'!E35</f>
        <v>4.9858759482902337E-4</v>
      </c>
      <c r="F45" s="155">
        <f>'R3'!F35</f>
        <v>3.0881269154722637E-2</v>
      </c>
      <c r="G45" s="155">
        <f>'R3'!G35</f>
        <v>1.1127415617944791</v>
      </c>
      <c r="H45" s="155">
        <f>'R3'!H35</f>
        <v>1.7672499622164088</v>
      </c>
      <c r="I45"/>
      <c r="J45" s="155">
        <f>'R3'!J35</f>
        <v>1.2817939181661948</v>
      </c>
      <c r="K45" s="155">
        <f>'R3'!K35</f>
        <v>0.9859382717395877</v>
      </c>
      <c r="L45" s="155">
        <f>'R3'!L35</f>
        <v>7.2207948421113319E-2</v>
      </c>
    </row>
    <row r="46" spans="1:12" s="1" customFormat="1" x14ac:dyDescent="0.35">
      <c r="A46" s="227"/>
      <c r="B46" s="155">
        <f>'R3'!B36</f>
        <v>0</v>
      </c>
      <c r="C46" s="155" t="str">
        <f>'R3'!C36</f>
        <v/>
      </c>
      <c r="D46" s="155" t="str">
        <f>'R3'!D36</f>
        <v/>
      </c>
      <c r="E46" s="155" t="str">
        <f>'R3'!E36</f>
        <v xml:space="preserve"> </v>
      </c>
      <c r="F46" s="155" t="str">
        <f>'R3'!F36</f>
        <v/>
      </c>
      <c r="G46" s="155" t="str">
        <f>'R3'!G36</f>
        <v/>
      </c>
      <c r="H46" s="155" t="str">
        <f>'R3'!H36</f>
        <v/>
      </c>
      <c r="I46"/>
      <c r="J46" s="155" t="str">
        <f>'R3'!J36</f>
        <v/>
      </c>
      <c r="K46" s="155" t="str">
        <f>'R3'!K36</f>
        <v/>
      </c>
      <c r="L46" s="155" t="str">
        <f>'R3'!L36</f>
        <v/>
      </c>
    </row>
    <row r="47" spans="1:12" s="1" customFormat="1" x14ac:dyDescent="0.35">
      <c r="A47" s="227"/>
      <c r="B47" s="155" t="str">
        <f>'R3'!B37</f>
        <v/>
      </c>
      <c r="C47" s="155" t="str">
        <f>'R3'!C37</f>
        <v/>
      </c>
      <c r="D47" s="155" t="str">
        <f>'R3'!D37</f>
        <v/>
      </c>
      <c r="E47" s="155" t="str">
        <f>'R3'!E37</f>
        <v/>
      </c>
      <c r="F47" s="155" t="str">
        <f>'R3'!F37</f>
        <v/>
      </c>
      <c r="G47" s="155" t="str">
        <f>'R3'!G37</f>
        <v/>
      </c>
      <c r="H47" s="155" t="str">
        <f>'R3'!H37</f>
        <v/>
      </c>
      <c r="I47"/>
      <c r="J47" s="155" t="str">
        <f>'R3'!J37</f>
        <v/>
      </c>
      <c r="K47" s="155" t="str">
        <f>'R3'!K37</f>
        <v/>
      </c>
      <c r="L47" s="155" t="str">
        <f>'R3'!L37</f>
        <v/>
      </c>
    </row>
    <row r="48" spans="1:12" s="1" customFormat="1" x14ac:dyDescent="0.35">
      <c r="A48" s="227"/>
      <c r="B48" s="155" t="str">
        <f>'R3'!B38</f>
        <v/>
      </c>
      <c r="C48" s="155" t="str">
        <f>'R3'!C38</f>
        <v/>
      </c>
      <c r="D48" s="155" t="str">
        <f>'R3'!D38</f>
        <v/>
      </c>
      <c r="E48" s="155" t="str">
        <f>'R3'!E38</f>
        <v/>
      </c>
      <c r="F48" s="155" t="str">
        <f>'R3'!F38</f>
        <v/>
      </c>
      <c r="G48" s="155" t="str">
        <f>'R3'!G38</f>
        <v/>
      </c>
      <c r="H48" s="155" t="str">
        <f>'R3'!H38</f>
        <v/>
      </c>
      <c r="I48"/>
      <c r="J48" s="155" t="str">
        <f>'R3'!J38</f>
        <v/>
      </c>
      <c r="K48" s="155" t="str">
        <f>'R3'!K38</f>
        <v/>
      </c>
      <c r="L48" s="155" t="str">
        <f>'R3'!L38</f>
        <v/>
      </c>
    </row>
    <row r="49" spans="1:14" s="1" customFormat="1" x14ac:dyDescent="0.35">
      <c r="A49" s="227"/>
      <c r="B49" s="155" t="str">
        <f>'R3'!B39</f>
        <v/>
      </c>
      <c r="C49" s="155" t="str">
        <f>'R3'!C39</f>
        <v/>
      </c>
      <c r="D49" s="155" t="str">
        <f>'R3'!D39</f>
        <v/>
      </c>
      <c r="E49" s="155" t="str">
        <f>'R3'!E39</f>
        <v/>
      </c>
      <c r="F49" s="155" t="str">
        <f>'R3'!F39</f>
        <v/>
      </c>
      <c r="G49" s="155" t="str">
        <f>'R3'!G39</f>
        <v/>
      </c>
      <c r="H49" s="155" t="str">
        <f>'R3'!H39</f>
        <v/>
      </c>
      <c r="I49"/>
      <c r="J49" s="155" t="str">
        <f>'R3'!J39</f>
        <v/>
      </c>
      <c r="K49" s="155" t="str">
        <f>'R3'!K39</f>
        <v/>
      </c>
      <c r="L49" s="155" t="str">
        <f>'R3'!L39</f>
        <v/>
      </c>
    </row>
    <row r="50" spans="1:14" s="1" customFormat="1" x14ac:dyDescent="0.35">
      <c r="A50" s="227"/>
      <c r="B50" s="155" t="str">
        <f>'R3'!B40</f>
        <v/>
      </c>
      <c r="C50" s="155" t="str">
        <f>'R3'!C40</f>
        <v/>
      </c>
      <c r="D50" s="155" t="str">
        <f>'R3'!D40</f>
        <v/>
      </c>
      <c r="E50" s="155" t="str">
        <f>'R3'!E40</f>
        <v/>
      </c>
      <c r="F50" s="155" t="str">
        <f>'R3'!F40</f>
        <v/>
      </c>
      <c r="G50" s="155" t="str">
        <f>'R3'!G40</f>
        <v/>
      </c>
      <c r="H50" s="155" t="str">
        <f>'R3'!H40</f>
        <v/>
      </c>
      <c r="I50"/>
      <c r="J50" s="155" t="str">
        <f>'R3'!J40</f>
        <v/>
      </c>
      <c r="K50" s="155" t="str">
        <f>'R3'!K40</f>
        <v/>
      </c>
      <c r="L50" s="155" t="str">
        <f>'R3'!L40</f>
        <v/>
      </c>
    </row>
    <row r="51" spans="1:14" s="1" customFormat="1" x14ac:dyDescent="0.35">
      <c r="A51" s="227"/>
      <c r="B51" s="155" t="str">
        <f>'R3'!B41</f>
        <v/>
      </c>
      <c r="C51" s="155" t="str">
        <f>'R3'!C41</f>
        <v/>
      </c>
      <c r="D51" s="155" t="str">
        <f>'R3'!D41</f>
        <v/>
      </c>
      <c r="E51" s="155" t="str">
        <f>'R3'!E41</f>
        <v/>
      </c>
      <c r="F51" s="155" t="str">
        <f>'R3'!F41</f>
        <v/>
      </c>
      <c r="G51" s="155" t="str">
        <f>'R3'!G41</f>
        <v/>
      </c>
      <c r="H51" s="155" t="str">
        <f>'R3'!H41</f>
        <v/>
      </c>
      <c r="I51"/>
      <c r="J51" s="155" t="str">
        <f>'R3'!J41</f>
        <v/>
      </c>
      <c r="K51" s="155" t="str">
        <f>'R3'!K41</f>
        <v/>
      </c>
      <c r="L51" s="155" t="str">
        <f>'R3'!L41</f>
        <v/>
      </c>
    </row>
    <row r="52" spans="1:14" s="1" customFormat="1" x14ac:dyDescent="0.35">
      <c r="A52" s="227"/>
      <c r="B52" s="155" t="str">
        <f>'R3'!B42</f>
        <v/>
      </c>
      <c r="C52" s="155" t="str">
        <f>'R3'!C42</f>
        <v/>
      </c>
      <c r="D52" s="155" t="str">
        <f>'R3'!D42</f>
        <v/>
      </c>
      <c r="E52" s="155" t="str">
        <f>'R3'!E42</f>
        <v/>
      </c>
      <c r="F52" s="155" t="str">
        <f>'R3'!F42</f>
        <v/>
      </c>
      <c r="G52" s="155" t="str">
        <f>'R3'!G42</f>
        <v/>
      </c>
      <c r="H52" s="155" t="str">
        <f>'R3'!H42</f>
        <v/>
      </c>
      <c r="I52"/>
      <c r="J52" s="155" t="str">
        <f>'R3'!J42</f>
        <v/>
      </c>
      <c r="K52" s="155" t="str">
        <f>'R3'!K42</f>
        <v/>
      </c>
      <c r="L52" s="155" t="str">
        <f>'R3'!L42</f>
        <v/>
      </c>
    </row>
    <row r="53" spans="1:14" s="1" customFormat="1" x14ac:dyDescent="0.35">
      <c r="A53" s="228"/>
      <c r="B53" s="155" t="str">
        <f>'R3'!B43</f>
        <v/>
      </c>
      <c r="C53" s="155" t="str">
        <f>'R3'!C43</f>
        <v/>
      </c>
      <c r="D53" s="155" t="str">
        <f>'R3'!D43</f>
        <v/>
      </c>
      <c r="E53" s="155" t="str">
        <f>'R3'!E43</f>
        <v/>
      </c>
      <c r="F53" s="155" t="str">
        <f>'R3'!F43</f>
        <v/>
      </c>
      <c r="G53" s="155" t="str">
        <f>'R3'!G43</f>
        <v/>
      </c>
      <c r="H53" s="155" t="str">
        <f>'R3'!H43</f>
        <v/>
      </c>
      <c r="I53"/>
      <c r="J53" s="155" t="str">
        <f>'R3'!J43</f>
        <v/>
      </c>
      <c r="K53" s="155" t="str">
        <f>'R3'!K43</f>
        <v/>
      </c>
      <c r="L53" s="155" t="str">
        <f>'R3'!L43</f>
        <v/>
      </c>
    </row>
    <row r="54" spans="1:14" s="59" customFormat="1" x14ac:dyDescent="0.35">
      <c r="A54" s="57"/>
      <c r="B54" s="58"/>
      <c r="C54" s="58"/>
      <c r="D54" s="58"/>
      <c r="E54" s="58"/>
      <c r="F54" s="58"/>
      <c r="G54" s="58"/>
      <c r="H54" s="58"/>
      <c r="I54"/>
      <c r="J54" s="58"/>
      <c r="K54" s="58"/>
      <c r="L54" s="58"/>
    </row>
    <row r="55" spans="1:14" s="40" customFormat="1" x14ac:dyDescent="0.35">
      <c r="A55" s="40" t="s">
        <v>47</v>
      </c>
      <c r="B55" s="14" t="str">
        <f t="shared" ref="B55:H55" si="0">B4</f>
        <v>Témoin solvant</v>
      </c>
      <c r="C55" s="14" t="str">
        <f t="shared" si="0"/>
        <v>EE2-33,8ng/L</v>
      </c>
      <c r="D55" s="14" t="str">
        <f t="shared" si="0"/>
        <v>EE2-50,6ng/L</v>
      </c>
      <c r="E55" s="14" t="str">
        <f t="shared" si="0"/>
        <v>EE2-76ng/L</v>
      </c>
      <c r="F55" s="14" t="str">
        <f t="shared" si="0"/>
        <v>EE2-114ng/L</v>
      </c>
      <c r="G55" s="14" t="str">
        <f t="shared" si="0"/>
        <v>EE2-170,9ng/L</v>
      </c>
      <c r="H55" s="14" t="str">
        <f t="shared" si="0"/>
        <v>EE2-488ng/L</v>
      </c>
      <c r="J55" s="14" t="str">
        <f t="shared" ref="J55:L55" si="1">J4</f>
        <v>Testo -30µg/L</v>
      </c>
      <c r="K55" s="14" t="str">
        <f t="shared" si="1"/>
        <v>Testo 30µg/L + EE2 -64ng/L</v>
      </c>
      <c r="L55" s="14" t="str">
        <f t="shared" si="1"/>
        <v>Testo 30µg/L + FAD-10mg/L</v>
      </c>
    </row>
    <row r="56" spans="1:14" x14ac:dyDescent="0.35">
      <c r="A56" t="s">
        <v>48</v>
      </c>
      <c r="B56" s="8">
        <f>AVERAGE(B6:B53)</f>
        <v>1.885732401528243E-2</v>
      </c>
      <c r="C56" s="8">
        <f t="shared" ref="C56:L56" si="2">AVERAGE(C6:C53)</f>
        <v>4.5499637918867492E-2</v>
      </c>
      <c r="D56" s="8">
        <f t="shared" si="2"/>
        <v>6.4798626644447951E-2</v>
      </c>
      <c r="E56" s="8">
        <f t="shared" si="2"/>
        <v>0.31977652635587456</v>
      </c>
      <c r="F56" s="8">
        <f t="shared" si="2"/>
        <v>0.26576777324131579</v>
      </c>
      <c r="G56" s="8">
        <f t="shared" si="2"/>
        <v>1.1359402062611048</v>
      </c>
      <c r="H56" s="8">
        <f t="shared" si="2"/>
        <v>1.6093233577842139</v>
      </c>
      <c r="I56" s="8"/>
      <c r="J56" s="8">
        <f t="shared" si="2"/>
        <v>1</v>
      </c>
      <c r="K56" s="8">
        <f t="shared" si="2"/>
        <v>1.2135868175439319</v>
      </c>
      <c r="L56" s="8">
        <f t="shared" si="2"/>
        <v>6.6476901883555831E-2</v>
      </c>
    </row>
    <row r="57" spans="1:14" x14ac:dyDescent="0.35">
      <c r="A57" t="s">
        <v>1</v>
      </c>
      <c r="B57" s="3">
        <f>STDEV(B6:B53)</f>
        <v>3.2048745258380862E-2</v>
      </c>
      <c r="C57" s="3">
        <f t="shared" ref="C57:L57" si="3">STDEV(C6:C53)</f>
        <v>6.0370665879363225E-2</v>
      </c>
      <c r="D57" s="3">
        <f t="shared" si="3"/>
        <v>0.12715991469163757</v>
      </c>
      <c r="E57" s="3">
        <f t="shared" si="3"/>
        <v>0.47495916277111649</v>
      </c>
      <c r="F57" s="3">
        <f t="shared" si="3"/>
        <v>0.34666090377594921</v>
      </c>
      <c r="G57" s="3">
        <f t="shared" si="3"/>
        <v>0.37596704927039243</v>
      </c>
      <c r="H57" s="3">
        <f t="shared" si="3"/>
        <v>0.45815993469595778</v>
      </c>
      <c r="I57" s="3"/>
      <c r="J57" s="3">
        <f t="shared" si="3"/>
        <v>0.33752159837136725</v>
      </c>
      <c r="K57" s="3">
        <f t="shared" si="3"/>
        <v>0.4060841148838269</v>
      </c>
      <c r="L57" s="3">
        <f t="shared" si="3"/>
        <v>6.2149491831400103E-2</v>
      </c>
      <c r="M57" s="3"/>
      <c r="N57" s="3"/>
    </row>
    <row r="58" spans="1:14" x14ac:dyDescent="0.35">
      <c r="A58" t="s">
        <v>2</v>
      </c>
      <c r="B58" s="3">
        <f xml:space="preserve"> B57/SQRT(COUNT(B6:B53))</f>
        <v>7.1663172991313666E-3</v>
      </c>
      <c r="C58" s="3">
        <f t="shared" ref="C58:L58" si="4" xml:space="preserve"> C57/SQRT(COUNT(C6:C53))</f>
        <v>1.2871069212345447E-2</v>
      </c>
      <c r="D58" s="3">
        <f t="shared" si="4"/>
        <v>2.595640889419585E-2</v>
      </c>
      <c r="E58" s="3">
        <f t="shared" si="4"/>
        <v>9.9035831526258167E-2</v>
      </c>
      <c r="F58" s="3">
        <f t="shared" si="4"/>
        <v>7.2283795227338035E-2</v>
      </c>
      <c r="G58" s="3">
        <f t="shared" si="4"/>
        <v>7.8394548983383244E-2</v>
      </c>
      <c r="H58" s="3">
        <f t="shared" si="4"/>
        <v>9.3521505049329948E-2</v>
      </c>
      <c r="I58" s="3"/>
      <c r="J58" s="3">
        <f t="shared" si="4"/>
        <v>6.8896307764870629E-2</v>
      </c>
      <c r="K58" s="3">
        <f t="shared" si="4"/>
        <v>0.10152102872095672</v>
      </c>
      <c r="L58" s="3">
        <f t="shared" si="4"/>
        <v>1.2686211896683456E-2</v>
      </c>
      <c r="M58" s="3"/>
      <c r="N58" s="3"/>
    </row>
    <row r="59" spans="1:14" s="1" customFormat="1" ht="15" thickBot="1" x14ac:dyDescent="0.4">
      <c r="B59" s="3"/>
      <c r="C59" s="3"/>
      <c r="D59" s="3"/>
      <c r="E59" s="3"/>
      <c r="F59" s="3"/>
      <c r="G59" s="3"/>
      <c r="H59" s="3"/>
      <c r="I59" s="3"/>
      <c r="J59" s="3"/>
      <c r="K59" s="3"/>
      <c r="L59" s="3"/>
    </row>
    <row r="60" spans="1:14" s="47" customFormat="1" ht="26.5" thickBot="1" x14ac:dyDescent="0.4">
      <c r="A60" s="229" t="s">
        <v>46</v>
      </c>
      <c r="B60" s="230"/>
      <c r="C60" s="230"/>
      <c r="D60" s="230"/>
      <c r="E60" s="230"/>
      <c r="F60" s="230"/>
      <c r="G60" s="230"/>
      <c r="H60" s="230"/>
      <c r="I60" s="230"/>
      <c r="J60" s="230"/>
      <c r="K60" s="230"/>
      <c r="L60" s="230"/>
    </row>
    <row r="61" spans="1:14" s="1" customFormat="1" x14ac:dyDescent="0.35">
      <c r="B61" s="3"/>
      <c r="C61" s="3"/>
      <c r="D61" s="3"/>
      <c r="E61" s="3"/>
      <c r="F61" s="3"/>
      <c r="G61" s="3"/>
      <c r="H61" s="3"/>
      <c r="I61" s="3"/>
      <c r="J61" s="3"/>
      <c r="K61" s="3"/>
      <c r="L61" s="3"/>
    </row>
    <row r="62" spans="1:14" s="1" customFormat="1" x14ac:dyDescent="0.35">
      <c r="A62" s="1" t="s">
        <v>47</v>
      </c>
      <c r="B62" s="3" t="str">
        <f t="shared" ref="B62" si="5">B4</f>
        <v>Témoin solvant</v>
      </c>
      <c r="C62" s="3" t="str">
        <f t="shared" ref="C62:L62" si="6">C4</f>
        <v>EE2-33,8ng/L</v>
      </c>
      <c r="D62" s="3" t="str">
        <f t="shared" si="6"/>
        <v>EE2-50,6ng/L</v>
      </c>
      <c r="E62" s="3" t="str">
        <f t="shared" si="6"/>
        <v>EE2-76ng/L</v>
      </c>
      <c r="F62" s="3" t="str">
        <f t="shared" si="6"/>
        <v>EE2-114ng/L</v>
      </c>
      <c r="G62" s="3" t="str">
        <f t="shared" si="6"/>
        <v>EE2-170,9ng/L</v>
      </c>
      <c r="H62" s="3" t="str">
        <f t="shared" si="6"/>
        <v>EE2-488ng/L</v>
      </c>
      <c r="I62" s="3"/>
      <c r="J62" s="3" t="str">
        <f t="shared" si="6"/>
        <v>Testo -30µg/L</v>
      </c>
      <c r="K62" s="3" t="str">
        <f t="shared" si="6"/>
        <v>Testo 30µg/L + EE2 -64ng/L</v>
      </c>
      <c r="L62" s="3" t="str">
        <f t="shared" si="6"/>
        <v>Testo 30µg/L + FAD-10mg/L</v>
      </c>
    </row>
    <row r="63" spans="1:14" s="1" customFormat="1" x14ac:dyDescent="0.35">
      <c r="A63" s="1" t="s">
        <v>49</v>
      </c>
      <c r="B63" s="3">
        <f>COUNT(B6:B53)</f>
        <v>20</v>
      </c>
      <c r="C63" s="3">
        <f t="shared" ref="C63:L63" si="7">COUNT(C6:C53)</f>
        <v>22</v>
      </c>
      <c r="D63" s="3">
        <f t="shared" si="7"/>
        <v>24</v>
      </c>
      <c r="E63" s="3">
        <f t="shared" si="7"/>
        <v>23</v>
      </c>
      <c r="F63" s="3">
        <f t="shared" si="7"/>
        <v>23</v>
      </c>
      <c r="G63" s="3">
        <f t="shared" si="7"/>
        <v>23</v>
      </c>
      <c r="H63" s="3">
        <f t="shared" si="7"/>
        <v>24</v>
      </c>
      <c r="I63" s="3"/>
      <c r="J63" s="3">
        <f t="shared" si="7"/>
        <v>24</v>
      </c>
      <c r="K63" s="3">
        <f t="shared" si="7"/>
        <v>16</v>
      </c>
      <c r="L63" s="3">
        <f t="shared" si="7"/>
        <v>24</v>
      </c>
    </row>
    <row r="64" spans="1:14" s="1" customFormat="1" ht="15" thickBot="1" x14ac:dyDescent="0.4">
      <c r="B64" s="3" t="str">
        <f>IF(B63&gt;=21,"OK","ATTENTION")</f>
        <v>ATTENTION</v>
      </c>
      <c r="C64" s="3" t="str">
        <f t="shared" ref="C64:L64" si="8">IF(C63&gt;=21,"OK","ATTENTION")</f>
        <v>OK</v>
      </c>
      <c r="D64" s="3" t="str">
        <f t="shared" si="8"/>
        <v>OK</v>
      </c>
      <c r="E64" s="3" t="str">
        <f t="shared" si="8"/>
        <v>OK</v>
      </c>
      <c r="F64" s="3" t="str">
        <f t="shared" si="8"/>
        <v>OK</v>
      </c>
      <c r="G64" s="3" t="str">
        <f t="shared" si="8"/>
        <v>OK</v>
      </c>
      <c r="H64" s="3" t="str">
        <f t="shared" si="8"/>
        <v>OK</v>
      </c>
      <c r="I64" s="3"/>
      <c r="J64" s="3" t="str">
        <f>IF(J63&gt;=41,"OK","ATTENTION")</f>
        <v>ATTENTION</v>
      </c>
      <c r="K64" s="3" t="str">
        <f t="shared" si="8"/>
        <v>ATTENTION</v>
      </c>
      <c r="L64" s="3" t="str">
        <f t="shared" si="8"/>
        <v>OK</v>
      </c>
    </row>
    <row r="65" spans="1:12" s="47" customFormat="1" ht="26.5" thickBot="1" x14ac:dyDescent="0.4">
      <c r="A65" s="229" t="s">
        <v>58</v>
      </c>
      <c r="B65" s="230"/>
      <c r="C65" s="230"/>
      <c r="D65" s="230"/>
      <c r="E65" s="230"/>
      <c r="F65" s="230"/>
      <c r="G65" s="230"/>
      <c r="H65" s="230"/>
      <c r="I65" s="230"/>
      <c r="J65" s="230"/>
      <c r="K65" s="230"/>
      <c r="L65" s="230"/>
    </row>
    <row r="66" spans="1:12" s="1" customFormat="1" x14ac:dyDescent="0.35">
      <c r="B66" s="1" t="s">
        <v>61</v>
      </c>
      <c r="C66" s="3"/>
      <c r="D66" s="3"/>
      <c r="E66" s="3"/>
      <c r="F66" s="3"/>
      <c r="G66" s="3"/>
      <c r="H66" s="3"/>
      <c r="I66" s="3"/>
      <c r="J66" s="3"/>
      <c r="K66" s="3"/>
      <c r="L66" s="3"/>
    </row>
    <row r="67" spans="1:12" s="1" customFormat="1" x14ac:dyDescent="0.35">
      <c r="A67" s="1" t="s">
        <v>59</v>
      </c>
      <c r="B67" s="3">
        <v>3.5</v>
      </c>
      <c r="C67" s="3"/>
      <c r="D67" s="3"/>
      <c r="E67" s="3"/>
      <c r="F67" s="3"/>
      <c r="G67" s="3"/>
      <c r="H67" s="3"/>
      <c r="I67" s="3"/>
      <c r="J67" s="3"/>
      <c r="K67" s="3"/>
      <c r="L67" s="3"/>
    </row>
    <row r="68" spans="1:12" s="1" customFormat="1" x14ac:dyDescent="0.35">
      <c r="A68" s="1" t="s">
        <v>62</v>
      </c>
      <c r="B68" s="3">
        <v>2</v>
      </c>
      <c r="C68" s="3"/>
      <c r="D68" s="3"/>
      <c r="E68" s="3"/>
      <c r="F68" s="3"/>
      <c r="G68" s="3"/>
      <c r="H68" s="3"/>
      <c r="I68" s="3"/>
      <c r="J68" s="3"/>
      <c r="K68" s="3"/>
      <c r="L68" s="3"/>
    </row>
    <row r="69" spans="1:12" s="1" customFormat="1" ht="15" thickBot="1" x14ac:dyDescent="0.4">
      <c r="A69" s="1" t="s">
        <v>63</v>
      </c>
      <c r="B69" s="3">
        <v>0.5</v>
      </c>
      <c r="C69" s="3"/>
      <c r="D69" s="3"/>
      <c r="E69" s="3"/>
      <c r="F69" s="3"/>
      <c r="G69" s="3"/>
      <c r="H69" s="3"/>
      <c r="I69" s="3"/>
      <c r="J69" s="3"/>
      <c r="K69" s="3"/>
      <c r="L69" s="3"/>
    </row>
    <row r="70" spans="1:12" s="47" customFormat="1" ht="26.5" thickBot="1" x14ac:dyDescent="0.4">
      <c r="A70" s="229" t="s">
        <v>53</v>
      </c>
      <c r="B70" s="230"/>
      <c r="C70" s="230"/>
      <c r="D70" s="230"/>
      <c r="E70" s="230"/>
      <c r="F70" s="230"/>
      <c r="G70" s="230"/>
      <c r="H70" s="230"/>
      <c r="I70" s="230"/>
      <c r="J70" s="230"/>
      <c r="K70" s="230"/>
      <c r="L70" s="230"/>
    </row>
    <row r="71" spans="1:12" ht="15" thickBot="1" x14ac:dyDescent="0.4"/>
    <row r="72" spans="1:12" s="47" customFormat="1" ht="26.5" thickBot="1" x14ac:dyDescent="0.4">
      <c r="A72" s="229" t="s">
        <v>54</v>
      </c>
      <c r="B72" s="230"/>
      <c r="C72" s="230"/>
      <c r="D72" s="230"/>
      <c r="E72" s="230"/>
      <c r="F72" s="230"/>
      <c r="G72" s="230"/>
      <c r="H72" s="230"/>
      <c r="I72" s="230"/>
      <c r="J72" s="230"/>
      <c r="K72" s="230"/>
      <c r="L72" s="230"/>
    </row>
    <row r="73" spans="1:12" ht="15" thickBot="1" x14ac:dyDescent="0.4"/>
    <row r="74" spans="1:12" s="1" customFormat="1" x14ac:dyDescent="0.35">
      <c r="A74" s="44" t="s">
        <v>41</v>
      </c>
      <c r="B74" s="45" t="str">
        <f t="shared" ref="B74:H74" si="9">B4</f>
        <v>Témoin solvant</v>
      </c>
      <c r="C74" s="45" t="str">
        <f t="shared" si="9"/>
        <v>EE2-33,8ng/L</v>
      </c>
      <c r="D74" s="45" t="str">
        <f t="shared" si="9"/>
        <v>EE2-50,6ng/L</v>
      </c>
      <c r="E74" s="45" t="str">
        <f t="shared" si="9"/>
        <v>EE2-76ng/L</v>
      </c>
      <c r="F74" s="45" t="str">
        <f t="shared" si="9"/>
        <v>EE2-114ng/L</v>
      </c>
      <c r="G74" s="45" t="str">
        <f t="shared" si="9"/>
        <v>EE2-170,9ng/L</v>
      </c>
      <c r="H74" s="45" t="str">
        <f t="shared" si="9"/>
        <v>EE2-488ng/L</v>
      </c>
      <c r="I74" s="45"/>
      <c r="J74" s="45" t="str">
        <f t="shared" ref="J74:L74" si="10">J4</f>
        <v>Testo -30µg/L</v>
      </c>
      <c r="K74" s="45" t="str">
        <f t="shared" si="10"/>
        <v>Testo 30µg/L + EE2 -64ng/L</v>
      </c>
      <c r="L74" s="45" t="str">
        <f t="shared" si="10"/>
        <v>Testo 30µg/L + FAD-10mg/L</v>
      </c>
    </row>
    <row r="75" spans="1:12" s="3" customFormat="1" x14ac:dyDescent="0.35">
      <c r="A75" s="60" t="s">
        <v>32</v>
      </c>
      <c r="B75" s="141">
        <f>B56</f>
        <v>1.885732401528243E-2</v>
      </c>
      <c r="C75" s="141">
        <f t="shared" ref="C75:L75" si="11">C56</f>
        <v>4.5499637918867492E-2</v>
      </c>
      <c r="D75" s="141">
        <f t="shared" si="11"/>
        <v>6.4798626644447951E-2</v>
      </c>
      <c r="E75" s="141">
        <f t="shared" si="11"/>
        <v>0.31977652635587456</v>
      </c>
      <c r="F75" s="141">
        <f t="shared" si="11"/>
        <v>0.26576777324131579</v>
      </c>
      <c r="G75" s="141">
        <f t="shared" si="11"/>
        <v>1.1359402062611048</v>
      </c>
      <c r="H75" s="141">
        <f t="shared" si="11"/>
        <v>1.6093233577842139</v>
      </c>
      <c r="I75" s="141"/>
      <c r="J75" s="141">
        <f t="shared" si="11"/>
        <v>1</v>
      </c>
      <c r="K75" s="141">
        <f t="shared" si="11"/>
        <v>1.2135868175439319</v>
      </c>
      <c r="L75" s="141">
        <f t="shared" si="11"/>
        <v>6.6476901883555831E-2</v>
      </c>
    </row>
    <row r="76" spans="1:12" s="3" customFormat="1" x14ac:dyDescent="0.35">
      <c r="A76" s="60" t="s">
        <v>2</v>
      </c>
      <c r="B76" s="141">
        <f>B58</f>
        <v>7.1663172991313666E-3</v>
      </c>
      <c r="C76" s="141">
        <f t="shared" ref="C76:L76" si="12">C58</f>
        <v>1.2871069212345447E-2</v>
      </c>
      <c r="D76" s="141">
        <f t="shared" si="12"/>
        <v>2.595640889419585E-2</v>
      </c>
      <c r="E76" s="141">
        <f t="shared" si="12"/>
        <v>9.9035831526258167E-2</v>
      </c>
      <c r="F76" s="141">
        <f t="shared" si="12"/>
        <v>7.2283795227338035E-2</v>
      </c>
      <c r="G76" s="141">
        <f t="shared" si="12"/>
        <v>7.8394548983383244E-2</v>
      </c>
      <c r="H76" s="141">
        <f t="shared" si="12"/>
        <v>9.3521505049329948E-2</v>
      </c>
      <c r="I76" s="141"/>
      <c r="J76" s="141">
        <f t="shared" si="12"/>
        <v>6.8896307764870629E-2</v>
      </c>
      <c r="K76" s="141">
        <f t="shared" si="12"/>
        <v>0.10152102872095672</v>
      </c>
      <c r="L76" s="141">
        <f t="shared" si="12"/>
        <v>1.2686211896683456E-2</v>
      </c>
    </row>
    <row r="77" spans="1:12" s="3" customFormat="1" x14ac:dyDescent="0.35">
      <c r="A77" s="60" t="s">
        <v>79</v>
      </c>
      <c r="B77" s="141">
        <f>(B75*100/$B$75)-100</f>
        <v>0</v>
      </c>
      <c r="C77" s="141">
        <f t="shared" ref="C77:H77" si="13">(C75*100/$B$75)-100</f>
        <v>141.28364067984137</v>
      </c>
      <c r="D77" s="141">
        <f t="shared" si="13"/>
        <v>243.62577952170511</v>
      </c>
      <c r="E77" s="141">
        <f t="shared" si="13"/>
        <v>1595.7683184354257</v>
      </c>
      <c r="F77" s="141">
        <f t="shared" si="13"/>
        <v>1309.3610155180618</v>
      </c>
      <c r="G77" s="141">
        <f t="shared" si="13"/>
        <v>5923.8674657152387</v>
      </c>
      <c r="H77" s="141">
        <f t="shared" si="13"/>
        <v>8434.2085466632452</v>
      </c>
      <c r="I77" s="141"/>
      <c r="J77" s="141">
        <f>(J75*100/$J$75)-100</f>
        <v>0</v>
      </c>
      <c r="K77" s="141">
        <f t="shared" ref="K77:L77" si="14">(K75*100/$J$75)-100</f>
        <v>21.358681754393189</v>
      </c>
      <c r="L77" s="141">
        <f t="shared" si="14"/>
        <v>-93.352309811644417</v>
      </c>
    </row>
    <row r="78" spans="1:12" s="3" customFormat="1" x14ac:dyDescent="0.35">
      <c r="A78" s="60" t="s">
        <v>81</v>
      </c>
      <c r="B78" s="141">
        <f>[2]!DPTEST(B6:B53)</f>
        <v>6.5831216200473719E-4</v>
      </c>
      <c r="C78" s="141">
        <f>[2]!DPTEST(C6:C53)</f>
        <v>9.7071407036963819E-5</v>
      </c>
      <c r="D78" s="141">
        <f>[2]!DPTEST(D6:D53)</f>
        <v>5.5332405324293177E-12</v>
      </c>
      <c r="E78" s="141">
        <f>[2]!DPTEST(E6:E53)</f>
        <v>2.6849970516346078E-3</v>
      </c>
      <c r="F78" s="141">
        <f>[2]!DPTEST(F6:F53)</f>
        <v>5.600767117359462E-3</v>
      </c>
      <c r="G78" s="141">
        <f>[2]!DPTEST(G6:G53)</f>
        <v>9.7186388099174126E-3</v>
      </c>
      <c r="H78" s="141">
        <f>[2]!DPTEST(H6:H53)</f>
        <v>5.1735493302451641E-4</v>
      </c>
      <c r="I78" s="141"/>
      <c r="J78" s="141">
        <f>[2]!DPTEST(J6:J53)</f>
        <v>0.20611193213104062</v>
      </c>
      <c r="K78" s="141">
        <f>[2]!DPTEST(K6:K53)</f>
        <v>0.62774753451836407</v>
      </c>
      <c r="L78" s="141">
        <f>[2]!DPTEST(L6:L53)</f>
        <v>1.4526335866222539E-2</v>
      </c>
    </row>
    <row r="79" spans="1:12" s="3" customFormat="1" x14ac:dyDescent="0.35">
      <c r="A79" s="60" t="s">
        <v>85</v>
      </c>
      <c r="B79" s="141" t="str">
        <f>IF(B78&gt;0.05,"Oui","Non")</f>
        <v>Non</v>
      </c>
      <c r="C79" s="141" t="str">
        <f t="shared" ref="C79:L79" si="15">IF(C78&gt;0.05,"Oui","Non")</f>
        <v>Non</v>
      </c>
      <c r="D79" s="141" t="str">
        <f t="shared" si="15"/>
        <v>Non</v>
      </c>
      <c r="E79" s="141" t="str">
        <f t="shared" si="15"/>
        <v>Non</v>
      </c>
      <c r="F79" s="141" t="str">
        <f t="shared" si="15"/>
        <v>Non</v>
      </c>
      <c r="G79" s="141" t="str">
        <f t="shared" si="15"/>
        <v>Non</v>
      </c>
      <c r="H79" s="141" t="str">
        <f t="shared" si="15"/>
        <v>Non</v>
      </c>
      <c r="I79" s="141"/>
      <c r="J79" s="141" t="str">
        <f t="shared" si="15"/>
        <v>Oui</v>
      </c>
      <c r="K79" s="141" t="str">
        <f t="shared" si="15"/>
        <v>Oui</v>
      </c>
      <c r="L79" s="141" t="str">
        <f t="shared" si="15"/>
        <v>Non</v>
      </c>
    </row>
    <row r="80" spans="1:12" s="3" customFormat="1" x14ac:dyDescent="0.35">
      <c r="A80" s="60" t="s">
        <v>122</v>
      </c>
      <c r="B80" s="141" t="str">
        <f>IF(COUNTIF(B79:H79, "Non")=0, "Oui","Non")</f>
        <v>Non</v>
      </c>
      <c r="C80" s="141"/>
      <c r="D80" s="141"/>
      <c r="E80" s="141"/>
      <c r="F80" s="141"/>
      <c r="G80" s="141"/>
      <c r="H80" s="141"/>
      <c r="I80" s="141"/>
      <c r="J80" s="141"/>
      <c r="K80" s="141"/>
      <c r="L80" s="141"/>
    </row>
    <row r="81" spans="1:12" s="3" customFormat="1" x14ac:dyDescent="0.35">
      <c r="A81" s="60" t="s">
        <v>82</v>
      </c>
      <c r="B81" s="150"/>
      <c r="C81" s="150" t="s">
        <v>761</v>
      </c>
      <c r="D81" s="150" t="s">
        <v>761</v>
      </c>
      <c r="E81" s="150" t="s">
        <v>761</v>
      </c>
      <c r="F81" s="150" t="s">
        <v>761</v>
      </c>
      <c r="G81" s="150" t="s">
        <v>761</v>
      </c>
      <c r="H81" s="150" t="s">
        <v>761</v>
      </c>
      <c r="I81" s="150"/>
      <c r="J81" s="150" t="s">
        <v>762</v>
      </c>
      <c r="K81" s="150" t="s">
        <v>763</v>
      </c>
      <c r="L81" s="150" t="s">
        <v>762</v>
      </c>
    </row>
    <row r="82" spans="1:12" s="3" customFormat="1" x14ac:dyDescent="0.35">
      <c r="A82" s="60" t="s">
        <v>83</v>
      </c>
      <c r="B82" s="151"/>
      <c r="C82" s="151" t="s">
        <v>755</v>
      </c>
      <c r="D82" s="151">
        <v>0.98</v>
      </c>
      <c r="E82" s="151">
        <v>0.02</v>
      </c>
      <c r="F82" s="151">
        <v>6.0000000000000001E-3</v>
      </c>
      <c r="G82" s="151" t="s">
        <v>759</v>
      </c>
      <c r="H82" s="151" t="s">
        <v>759</v>
      </c>
      <c r="I82" s="151"/>
      <c r="J82" s="151" t="s">
        <v>759</v>
      </c>
      <c r="K82" s="151">
        <v>0.09</v>
      </c>
      <c r="L82" s="151" t="s">
        <v>759</v>
      </c>
    </row>
    <row r="83" spans="1:12" s="3" customFormat="1" ht="15" thickBot="1" x14ac:dyDescent="0.4">
      <c r="A83" s="61" t="s">
        <v>84</v>
      </c>
      <c r="B83" s="142"/>
      <c r="C83" s="142" t="s">
        <v>754</v>
      </c>
      <c r="D83" s="142" t="s">
        <v>754</v>
      </c>
      <c r="E83" s="142" t="s">
        <v>756</v>
      </c>
      <c r="F83" s="142" t="s">
        <v>757</v>
      </c>
      <c r="G83" s="142" t="s">
        <v>758</v>
      </c>
      <c r="H83" s="142" t="s">
        <v>758</v>
      </c>
      <c r="I83" s="142"/>
      <c r="J83" s="142" t="s">
        <v>758</v>
      </c>
      <c r="K83" s="142" t="s">
        <v>760</v>
      </c>
      <c r="L83" s="142" t="s">
        <v>758</v>
      </c>
    </row>
    <row r="84" spans="1:12" s="1" customFormat="1" x14ac:dyDescent="0.35"/>
    <row r="85" spans="1:12" s="1" customFormat="1" x14ac:dyDescent="0.35">
      <c r="A85" s="2" t="s">
        <v>39</v>
      </c>
    </row>
    <row r="86" spans="1:12" x14ac:dyDescent="0.35">
      <c r="A86" s="1" t="s">
        <v>23</v>
      </c>
      <c r="B86" s="1">
        <f>B56+(3*B57)</f>
        <v>0.11500355979042501</v>
      </c>
    </row>
    <row r="87" spans="1:12" x14ac:dyDescent="0.35">
      <c r="A87" s="1" t="s">
        <v>24</v>
      </c>
      <c r="B87" s="1">
        <f>B56+(10*B57)</f>
        <v>0.33934477659909107</v>
      </c>
    </row>
    <row r="88" spans="1:12" ht="15" thickBot="1" x14ac:dyDescent="0.4"/>
    <row r="89" spans="1:12" s="47" customFormat="1" ht="26.5" thickBot="1" x14ac:dyDescent="0.4">
      <c r="A89" s="48" t="s">
        <v>55</v>
      </c>
      <c r="B89" s="49"/>
      <c r="C89" s="49"/>
      <c r="D89" s="49"/>
      <c r="E89" s="49"/>
      <c r="F89" s="49"/>
      <c r="G89" s="49"/>
      <c r="H89" s="49"/>
      <c r="I89" s="49"/>
      <c r="J89" s="49"/>
      <c r="K89" s="49"/>
      <c r="L89" s="49"/>
    </row>
    <row r="90" spans="1:12" ht="15" thickBot="1" x14ac:dyDescent="0.4"/>
    <row r="91" spans="1:12" s="47" customFormat="1" ht="26.5" thickBot="1" x14ac:dyDescent="0.4">
      <c r="A91" s="48" t="s">
        <v>56</v>
      </c>
      <c r="B91" s="49"/>
      <c r="C91" s="49"/>
      <c r="D91" s="49"/>
      <c r="E91" s="49"/>
      <c r="F91" s="49"/>
      <c r="G91" s="49"/>
      <c r="H91" s="49"/>
      <c r="I91" s="49"/>
      <c r="J91" s="49"/>
      <c r="K91" s="49"/>
      <c r="L91" s="49"/>
    </row>
    <row r="92" spans="1:12" ht="15" thickBot="1" x14ac:dyDescent="0.4"/>
    <row r="93" spans="1:12" s="47" customFormat="1" ht="26.5" thickBot="1" x14ac:dyDescent="0.4">
      <c r="A93" s="229" t="s">
        <v>57</v>
      </c>
      <c r="B93" s="230"/>
      <c r="C93" s="230"/>
      <c r="D93" s="230"/>
      <c r="E93" s="230"/>
      <c r="F93" s="230"/>
      <c r="G93" s="230"/>
      <c r="H93" s="230"/>
      <c r="I93" s="230"/>
      <c r="J93" s="230"/>
      <c r="K93" s="230"/>
      <c r="L93" s="230"/>
    </row>
    <row r="98" spans="2:14" x14ac:dyDescent="0.35">
      <c r="B98" s="1"/>
      <c r="C98" s="1"/>
    </row>
    <row r="99" spans="2:14" x14ac:dyDescent="0.35">
      <c r="B99" s="1"/>
      <c r="C99" s="1"/>
    </row>
    <row r="100" spans="2:14" x14ac:dyDescent="0.35">
      <c r="B100" s="1"/>
      <c r="C100" s="1"/>
      <c r="E100" s="1"/>
      <c r="F100" s="1"/>
      <c r="G100" s="1"/>
      <c r="H100" s="1"/>
      <c r="I100" s="1"/>
      <c r="J100" s="1"/>
      <c r="K100" s="1"/>
      <c r="L100" s="1"/>
      <c r="M100" s="1"/>
      <c r="N100" s="1"/>
    </row>
    <row r="101" spans="2:14" x14ac:dyDescent="0.35">
      <c r="B101" s="1"/>
      <c r="C101" s="1"/>
      <c r="E101" s="1"/>
      <c r="F101" s="1"/>
      <c r="G101" s="1"/>
      <c r="H101" s="1"/>
      <c r="I101" s="1"/>
      <c r="J101" s="1"/>
      <c r="K101" s="1"/>
      <c r="L101" s="1"/>
      <c r="M101" s="1"/>
      <c r="N101" s="1"/>
    </row>
    <row r="102" spans="2:14" x14ac:dyDescent="0.35">
      <c r="B102" s="1"/>
      <c r="C102" s="1"/>
    </row>
    <row r="103" spans="2:14" x14ac:dyDescent="0.35">
      <c r="B103" s="1"/>
      <c r="C103" s="1"/>
    </row>
    <row r="105" spans="2:14" x14ac:dyDescent="0.35">
      <c r="B105" s="1"/>
    </row>
    <row r="106" spans="2:14" x14ac:dyDescent="0.35">
      <c r="B106" s="1"/>
    </row>
    <row r="107" spans="2:14" x14ac:dyDescent="0.35">
      <c r="B107" s="1"/>
      <c r="C107" s="1"/>
    </row>
  </sheetData>
  <mergeCells count="10">
    <mergeCell ref="A7:A21"/>
    <mergeCell ref="A23:A37"/>
    <mergeCell ref="A93:L93"/>
    <mergeCell ref="J3:L3"/>
    <mergeCell ref="B3:H3"/>
    <mergeCell ref="A60:L60"/>
    <mergeCell ref="A72:L72"/>
    <mergeCell ref="A70:L70"/>
    <mergeCell ref="A65:L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0" bestFit="1" customWidth="1"/>
    <col min="2" max="3" width="14" style="40" bestFit="1" customWidth="1"/>
    <col min="4" max="4" width="14" style="40" customWidth="1"/>
    <col min="5" max="5" width="16" style="14" bestFit="1" customWidth="1"/>
    <col min="6" max="8" width="16" style="14" customWidth="1"/>
    <col min="9" max="13" width="19.1796875" style="14" customWidth="1"/>
    <col min="14" max="14" width="32.1796875" style="14" bestFit="1" customWidth="1"/>
    <col min="15" max="15" width="19.54296875" style="40" customWidth="1"/>
    <col min="16" max="16384" width="9.1796875" style="40"/>
  </cols>
  <sheetData>
    <row r="1" spans="1:15" s="47" customFormat="1" ht="26.5" thickBot="1" x14ac:dyDescent="0.4">
      <c r="A1" s="229" t="s">
        <v>104</v>
      </c>
      <c r="B1" s="230"/>
      <c r="C1" s="230"/>
      <c r="D1" s="230"/>
      <c r="E1" s="230"/>
      <c r="F1" s="230"/>
      <c r="G1" s="230"/>
      <c r="H1" s="230"/>
      <c r="I1" s="230"/>
      <c r="J1" s="230"/>
      <c r="K1" s="230"/>
      <c r="L1" s="230"/>
      <c r="M1" s="230"/>
      <c r="N1" s="230"/>
      <c r="O1" s="231"/>
    </row>
    <row r="2" spans="1:15" s="47" customFormat="1" ht="26.5" thickBot="1" x14ac:dyDescent="0.4">
      <c r="A2" s="229" t="s">
        <v>105</v>
      </c>
      <c r="B2" s="230"/>
      <c r="C2" s="230"/>
      <c r="D2" s="230"/>
      <c r="E2" s="230"/>
      <c r="F2" s="230"/>
      <c r="G2" s="230"/>
      <c r="H2" s="230"/>
      <c r="I2" s="230"/>
      <c r="J2" s="230"/>
      <c r="K2" s="230"/>
      <c r="L2" s="230"/>
      <c r="M2" s="230"/>
      <c r="N2" s="230"/>
      <c r="O2" s="231"/>
    </row>
    <row r="3" spans="1:15" s="76" customFormat="1" ht="15.5" x14ac:dyDescent="0.35">
      <c r="H3" s="77"/>
      <c r="I3" s="77"/>
      <c r="J3" s="77"/>
      <c r="K3" s="77"/>
      <c r="L3" s="77"/>
      <c r="M3" s="77"/>
      <c r="N3" s="77"/>
    </row>
    <row r="4" spans="1:15" s="76" customFormat="1" ht="15.5" x14ac:dyDescent="0.35">
      <c r="O4"/>
    </row>
    <row r="5" spans="1:15" s="76" customFormat="1" ht="45.75" customHeight="1" thickBot="1" x14ac:dyDescent="0.4">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5" x14ac:dyDescent="0.35">
      <c r="A6" s="79" t="s">
        <v>28</v>
      </c>
      <c r="B6" s="99">
        <v>64</v>
      </c>
      <c r="C6" s="79"/>
      <c r="D6" s="79"/>
      <c r="E6" s="89"/>
      <c r="F6" s="90"/>
      <c r="G6" s="128">
        <f>IF(F6="NS","NC",ROUND(B6,2-(1+INT(LOG10(ABS(B6))))))</f>
        <v>64</v>
      </c>
      <c r="H6" s="120"/>
      <c r="I6" s="120"/>
      <c r="J6" s="121"/>
      <c r="K6" s="122"/>
      <c r="L6" s="124"/>
      <c r="M6" s="121"/>
      <c r="N6" s="91"/>
      <c r="O6"/>
    </row>
    <row r="7" spans="1:15" s="76" customFormat="1" ht="15.5" x14ac:dyDescent="0.35">
      <c r="A7" s="79" t="str">
        <f>'Page de garde'!A15</f>
        <v xml:space="preserve"> </v>
      </c>
      <c r="B7" s="98"/>
      <c r="C7" s="80"/>
      <c r="D7" s="80"/>
      <c r="E7" s="81"/>
      <c r="F7" s="97" t="e">
        <f>HLOOKUP(A7,'pooled normalised values'!$B$74:$L$83,10,FALSE)</f>
        <v>#N/A</v>
      </c>
      <c r="G7" s="128" t="e">
        <f>IF(F7="NS","NC",ROUND(B7,2-(1+INT(LOG10(ABS(B7))))))</f>
        <v>#N/A</v>
      </c>
      <c r="H7" s="119" t="str">
        <f>IF(VLOOKUP(A7,liste_groupe[],4,FALSE)="%",VLOOKUP(A7,liste_groupe[],3,FALSE)/100,IF(ISBLANK(VLOOKUP(A7,liste_groupe[],4,FALSE)),"Non","Non"))</f>
        <v>Non</v>
      </c>
      <c r="I7" s="128" t="e">
        <f>IF(F7="NS","NC",IF(H7="Non",G7,G7*(1/H7)))</f>
        <v>#N/A</v>
      </c>
      <c r="J7" s="129">
        <v>64</v>
      </c>
      <c r="K7" s="130" t="e">
        <f>IF(F7="NS",0,ROUND(I7/J7*100,0))</f>
        <v>#N/A</v>
      </c>
      <c r="L7" s="125">
        <v>1</v>
      </c>
      <c r="M7" s="131" t="e">
        <f>IF(K7&gt;100,125,K7)</f>
        <v>#N/A</v>
      </c>
      <c r="N7" s="92" t="e">
        <f>IF(H7="Non",CONCATENATE(VLOOKUP(A7,liste_groupe[],5,FALSE),"-",VLOOKUP(A7,liste_groupe[],3,FALSE),VLOOKUP(A7,liste_groupe[],4,FALSE)," : ",ROUND(K7,0),"%"),CONCATENATE(VLOOKUP(A7,liste_groupe[],5,FALSE)," : ",ROUND(K7,0),"%"))</f>
        <v>#N/A</v>
      </c>
      <c r="O7"/>
    </row>
    <row r="8" spans="1:15" s="76" customFormat="1" ht="15.5" x14ac:dyDescent="0.35">
      <c r="A8" s="79" t="str">
        <f>'Page de garde'!A16</f>
        <v xml:space="preserve"> </v>
      </c>
      <c r="B8" s="98"/>
      <c r="C8" s="82"/>
      <c r="D8" s="80"/>
      <c r="E8" s="81"/>
      <c r="F8" s="97" t="e">
        <f>HLOOKUP(A8,'pooled normalised values'!$B$74:$L$83,10,FALSE)</f>
        <v>#N/A</v>
      </c>
      <c r="G8" s="128" t="e">
        <f t="shared" ref="G8:G13" si="0">IF(F8="NS","NC",ROUND(B8,2-(1+INT(LOG10(ABS(B8))))))</f>
        <v>#N/A</v>
      </c>
      <c r="H8" s="119" t="str">
        <f>IF(VLOOKUP(A8,liste_groupe[],4,FALSE)="%",VLOOKUP(A8,liste_groupe[],3,FALSE)/100,IF(ISBLANK(VLOOKUP(A8,liste_groupe[],4,FALSE)),"Non","Non"))</f>
        <v>Non</v>
      </c>
      <c r="I8" s="128" t="e">
        <f t="shared" ref="I8:I26" si="1">IF(F8="NS","NC",IF(H8="Non",G8,G8*(1/H8)))</f>
        <v>#N/A</v>
      </c>
      <c r="J8" s="129">
        <v>64</v>
      </c>
      <c r="K8" s="130" t="e">
        <f t="shared" ref="K8:K26" si="2">IF(F8="NS",0,ROUND(I8/J8*100,0))</f>
        <v>#N/A</v>
      </c>
      <c r="L8" s="125"/>
      <c r="M8" s="131" t="e">
        <f t="shared" ref="M8:M26" si="3">IF(K8&gt;100,125,K8)</f>
        <v>#N/A</v>
      </c>
      <c r="N8" s="92" t="e">
        <f>IF(H8="Non",CONCATENATE(VLOOKUP(A8,liste_groupe[],5,FALSE),"-",VLOOKUP(A8,liste_groupe[],3,FALSE),VLOOKUP(A8,liste_groupe[],4,FALSE)," : ",ROUND(K8,0),"%"),CONCATENATE(VLOOKUP(A8,liste_groupe[],5,FALSE)," : ",ROUND(K8,0),"%"))</f>
        <v>#N/A</v>
      </c>
      <c r="O8"/>
    </row>
    <row r="9" spans="1:15" s="76" customFormat="1" ht="15.5" x14ac:dyDescent="0.35">
      <c r="A9" s="79" t="str">
        <f>'Page de garde'!A17</f>
        <v xml:space="preserve"> </v>
      </c>
      <c r="B9" s="98"/>
      <c r="C9" s="82"/>
      <c r="D9" s="80"/>
      <c r="E9" s="81"/>
      <c r="F9" s="97" t="e">
        <f>HLOOKUP(A9,'pooled normalised values'!$B$74:$L$83,10,FALSE)</f>
        <v>#N/A</v>
      </c>
      <c r="G9" s="128" t="e">
        <f t="shared" si="0"/>
        <v>#N/A</v>
      </c>
      <c r="H9" s="119" t="str">
        <f>IF(VLOOKUP(A9,liste_groupe[],4,FALSE)="%",VLOOKUP(A9,liste_groupe[],3,FALSE)/100,IF(ISBLANK(VLOOKUP(A9,liste_groupe[],4,FALSE)),"Non","Non"))</f>
        <v>Non</v>
      </c>
      <c r="I9" s="128" t="e">
        <f t="shared" si="1"/>
        <v>#N/A</v>
      </c>
      <c r="J9" s="129">
        <v>64</v>
      </c>
      <c r="K9" s="130" t="e">
        <f t="shared" si="2"/>
        <v>#N/A</v>
      </c>
      <c r="L9" s="125"/>
      <c r="M9" s="131" t="e">
        <f t="shared" si="3"/>
        <v>#N/A</v>
      </c>
      <c r="N9" s="92" t="e">
        <f>IF(H9="Non",CONCATENATE(VLOOKUP(A9,liste_groupe[],5,FALSE),"-",VLOOKUP(A9,liste_groupe[],3,FALSE),VLOOKUP(A9,liste_groupe[],4,FALSE)," : ",ROUND(K9,0),"%"),CONCATENATE(VLOOKUP(A9,liste_groupe[],5,FALSE)," : ",ROUND(K9,0),"%"))</f>
        <v>#N/A</v>
      </c>
      <c r="O9"/>
    </row>
    <row r="10" spans="1:15" s="76" customFormat="1" ht="15.5" x14ac:dyDescent="0.35">
      <c r="A10" s="79" t="str">
        <f>'Page de garde'!A18</f>
        <v xml:space="preserve"> </v>
      </c>
      <c r="B10" s="99"/>
      <c r="C10" s="79"/>
      <c r="D10" s="84"/>
      <c r="E10" s="81"/>
      <c r="F10" s="97" t="e">
        <f>HLOOKUP(A10,'pooled normalised values'!$B$74:$L$83,10,FALSE)</f>
        <v>#N/A</v>
      </c>
      <c r="G10" s="128" t="e">
        <f t="shared" si="0"/>
        <v>#N/A</v>
      </c>
      <c r="H10" s="119" t="str">
        <f>IF(VLOOKUP(A10,liste_groupe[],4,FALSE)="%",VLOOKUP(A10,liste_groupe[],3,FALSE)/100,IF(ISBLANK(VLOOKUP(A10,liste_groupe[],4,FALSE)),"Non","Non"))</f>
        <v>Non</v>
      </c>
      <c r="I10" s="128" t="e">
        <f t="shared" si="1"/>
        <v>#N/A</v>
      </c>
      <c r="J10" s="129">
        <v>64</v>
      </c>
      <c r="K10" s="130" t="e">
        <f t="shared" si="2"/>
        <v>#N/A</v>
      </c>
      <c r="L10" s="125"/>
      <c r="M10" s="131" t="e">
        <f t="shared" si="3"/>
        <v>#N/A</v>
      </c>
      <c r="N10" s="92" t="e">
        <f>IF(H10="Non",CONCATENATE(VLOOKUP(A10,liste_groupe[],5,FALSE),"-",VLOOKUP(A10,liste_groupe[],3,FALSE),VLOOKUP(A10,liste_groupe[],4,FALSE)," : ",ROUND(K10,0),"%"),CONCATENATE(VLOOKUP(A10,liste_groupe[],5,FALSE)," : ",ROUND(K10,0),"%"))</f>
        <v>#N/A</v>
      </c>
      <c r="O10"/>
    </row>
    <row r="11" spans="1:15" s="76" customFormat="1" ht="15.5" x14ac:dyDescent="0.35">
      <c r="A11" s="79" t="str">
        <f>'Page de garde'!A19</f>
        <v xml:space="preserve"> </v>
      </c>
      <c r="B11" s="99"/>
      <c r="C11" s="79"/>
      <c r="D11" s="84"/>
      <c r="E11" s="81"/>
      <c r="F11" s="97" t="e">
        <f>HLOOKUP(A11,'pooled normalised values'!$B$74:$L$83,10,FALSE)</f>
        <v>#N/A</v>
      </c>
      <c r="G11" s="128" t="e">
        <f t="shared" si="0"/>
        <v>#N/A</v>
      </c>
      <c r="H11" s="119" t="str">
        <f>IF(VLOOKUP(A11,liste_groupe[],4,FALSE)="%",VLOOKUP(A11,liste_groupe[],3,FALSE)/100,IF(ISBLANK(VLOOKUP(A11,liste_groupe[],4,FALSE)),"Non","Non"))</f>
        <v>Non</v>
      </c>
      <c r="I11" s="128" t="e">
        <f t="shared" si="1"/>
        <v>#N/A</v>
      </c>
      <c r="J11" s="129">
        <v>64</v>
      </c>
      <c r="K11" s="130" t="e">
        <f t="shared" si="2"/>
        <v>#N/A</v>
      </c>
      <c r="L11" s="125"/>
      <c r="M11" s="131" t="e">
        <f t="shared" si="3"/>
        <v>#N/A</v>
      </c>
      <c r="N11" s="92" t="e">
        <f>IF(H11="Non",CONCATENATE(VLOOKUP(A11,liste_groupe[],5,FALSE),"-",VLOOKUP(A11,liste_groupe[],3,FALSE),VLOOKUP(A11,liste_groupe[],4,FALSE)," : ",ROUND(K11,0),"%"),CONCATENATE(VLOOKUP(A11,liste_groupe[],5,FALSE)," : ",ROUND(K11,0),"%"))</f>
        <v>#N/A</v>
      </c>
      <c r="O11"/>
    </row>
    <row r="12" spans="1:15" s="76" customFormat="1" ht="15.5" x14ac:dyDescent="0.35">
      <c r="A12" s="79" t="str">
        <f>'Page de garde'!A20</f>
        <v xml:space="preserve"> </v>
      </c>
      <c r="B12" s="99"/>
      <c r="C12" s="79"/>
      <c r="D12" s="84"/>
      <c r="E12" s="81"/>
      <c r="F12" s="97" t="e">
        <f>HLOOKUP(A12,'pooled normalised values'!$B$74:$L$83,10,FALSE)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5" x14ac:dyDescent="0.35">
      <c r="A13" s="79" t="str">
        <f>'Page de garde'!A21</f>
        <v xml:space="preserve"> </v>
      </c>
      <c r="B13" s="99"/>
      <c r="C13" s="79"/>
      <c r="D13" s="79"/>
      <c r="E13" s="81"/>
      <c r="F13" s="97" t="e">
        <f>HLOOKUP(A13,'pooled normalised values'!$B$74:$L$83,10,FALSE)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5" x14ac:dyDescent="0.35">
      <c r="A14" s="79" t="str">
        <f>'Page de garde'!A22</f>
        <v xml:space="preserve"> </v>
      </c>
      <c r="B14" s="99"/>
      <c r="C14" s="79"/>
      <c r="D14" s="79"/>
      <c r="E14" s="81"/>
      <c r="F14" s="97" t="e">
        <f>HLOOKUP(A14,'pooled normalised values'!$B$74:$L$83,10,FALSE)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5" x14ac:dyDescent="0.35">
      <c r="A15" s="79" t="str">
        <f>'Page de garde'!A23</f>
        <v xml:space="preserve"> </v>
      </c>
      <c r="B15" s="99"/>
      <c r="C15" s="79"/>
      <c r="D15" s="79"/>
      <c r="E15" s="81"/>
      <c r="F15" s="97" t="e">
        <f>HLOOKUP(A15,'pooled normalised values'!$B$74:$L$83,10,FALSE)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5" x14ac:dyDescent="0.35">
      <c r="A16" s="79" t="str">
        <f>'Page de garde'!A24</f>
        <v xml:space="preserve"> </v>
      </c>
      <c r="B16" s="99"/>
      <c r="C16" s="79"/>
      <c r="D16" s="79"/>
      <c r="E16" s="81"/>
      <c r="F16" s="97" t="e">
        <f>HLOOKUP(A16,'pooled normalised values'!$B$74:$L$83,10,FALSE)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5" x14ac:dyDescent="0.35">
      <c r="A17" s="79" t="str">
        <f>'Page de garde'!A25</f>
        <v xml:space="preserve"> </v>
      </c>
      <c r="B17" s="99"/>
      <c r="C17" s="79"/>
      <c r="D17" s="79"/>
      <c r="E17" s="81"/>
      <c r="F17" s="97" t="e">
        <f>HLOOKUP(A17,'pooled normalised values'!$B$74:$L$83,10,FALSE)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5" x14ac:dyDescent="0.35">
      <c r="A18" s="79" t="str">
        <f>'Page de garde'!A26</f>
        <v xml:space="preserve"> </v>
      </c>
      <c r="B18" s="99"/>
      <c r="C18" s="79"/>
      <c r="D18" s="79"/>
      <c r="E18" s="81"/>
      <c r="F18" s="97" t="e">
        <f>HLOOKUP(A18,'pooled normalised values'!$B$74:$L$83,10,FALSE)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5" x14ac:dyDescent="0.35">
      <c r="A19" s="79" t="str">
        <f>'Page de garde'!A27</f>
        <v xml:space="preserve"> </v>
      </c>
      <c r="B19" s="99"/>
      <c r="C19" s="79"/>
      <c r="D19" s="79"/>
      <c r="E19" s="81"/>
      <c r="F19" s="97" t="e">
        <f>HLOOKUP(A19,'pooled normalised values'!$B$74:$L$83,10,FALSE)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5" x14ac:dyDescent="0.35">
      <c r="A20" s="79" t="str">
        <f>'Page de garde'!A28</f>
        <v xml:space="preserve"> </v>
      </c>
      <c r="B20" s="99"/>
      <c r="C20" s="79"/>
      <c r="D20" s="79"/>
      <c r="E20" s="81"/>
      <c r="F20" s="97" t="e">
        <f>HLOOKUP(A20,'pooled normalised values'!$B$74:$L$83,10,FALSE)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5" x14ac:dyDescent="0.35">
      <c r="A21" s="79" t="str">
        <f>'Page de garde'!A29</f>
        <v xml:space="preserve"> </v>
      </c>
      <c r="B21" s="99"/>
      <c r="C21" s="79"/>
      <c r="D21" s="79"/>
      <c r="E21" s="81"/>
      <c r="F21" s="97" t="e">
        <f>HLOOKUP(A21,'pooled normalised values'!$B$74:$L$83,10,FALSE)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5" x14ac:dyDescent="0.35">
      <c r="A22" s="79" t="str">
        <f>'Page de garde'!A30</f>
        <v xml:space="preserve"> </v>
      </c>
      <c r="B22" s="99"/>
      <c r="C22" s="79"/>
      <c r="D22" s="79"/>
      <c r="E22" s="81"/>
      <c r="F22" s="97" t="e">
        <f>HLOOKUP(A22,'pooled normalised values'!$B$74:$L$83,10,FALSE)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5" x14ac:dyDescent="0.35">
      <c r="A23" s="79" t="str">
        <f>'Page de garde'!A31</f>
        <v xml:space="preserve"> </v>
      </c>
      <c r="B23" s="99"/>
      <c r="C23" s="79"/>
      <c r="D23" s="79"/>
      <c r="E23" s="81"/>
      <c r="F23" s="97" t="e">
        <f>HLOOKUP(A23,'pooled normalised values'!$B$74:$L$83,10,FALSE)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5" x14ac:dyDescent="0.35">
      <c r="A24" s="79" t="str">
        <f>'Page de garde'!A32</f>
        <v xml:space="preserve"> </v>
      </c>
      <c r="B24" s="99"/>
      <c r="C24" s="79"/>
      <c r="D24" s="79"/>
      <c r="E24" s="81"/>
      <c r="F24" s="97" t="e">
        <f>HLOOKUP(A24,'pooled normalised values'!$B$74:$L$83,10,FALSE)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5" x14ac:dyDescent="0.35">
      <c r="A25" s="79" t="str">
        <f>'Page de garde'!A33</f>
        <v xml:space="preserve"> </v>
      </c>
      <c r="B25" s="99"/>
      <c r="C25" s="79"/>
      <c r="D25" s="79"/>
      <c r="E25" s="81"/>
      <c r="F25" s="97" t="e">
        <f>HLOOKUP(A25,'pooled normalised values'!$B$74:$L$83,10,FALSE)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5" x14ac:dyDescent="0.35">
      <c r="A26" s="79" t="str">
        <f>'Page de garde'!A34</f>
        <v xml:space="preserve"> </v>
      </c>
      <c r="B26" s="98"/>
      <c r="C26" s="85"/>
      <c r="D26" s="85"/>
      <c r="E26" s="81"/>
      <c r="F26" s="97" t="e">
        <f>HLOOKUP(A26,'pooled normalised values'!$B$74:$L$83,10,FALSE)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5" x14ac:dyDescent="0.35">
      <c r="A27"/>
      <c r="B27"/>
      <c r="C27"/>
      <c r="D27"/>
      <c r="E27"/>
      <c r="F27"/>
      <c r="G27"/>
      <c r="H27"/>
      <c r="I27"/>
      <c r="J27"/>
      <c r="K27"/>
      <c r="L27"/>
      <c r="M27"/>
      <c r="N27"/>
      <c r="O27" s="1"/>
    </row>
    <row r="28" spans="1:15" s="76" customFormat="1" ht="31.5" thickBot="1" x14ac:dyDescent="0.4">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5" x14ac:dyDescent="0.35">
      <c r="A29" s="83" t="s">
        <v>29</v>
      </c>
      <c r="B29" s="99"/>
      <c r="C29" s="79"/>
      <c r="D29" s="79"/>
      <c r="E29" s="81"/>
      <c r="F29" s="90"/>
      <c r="G29" s="133"/>
      <c r="H29" s="120"/>
      <c r="I29" s="120"/>
      <c r="J29" s="121"/>
      <c r="K29" s="122"/>
      <c r="L29" s="124"/>
      <c r="M29" s="121"/>
      <c r="N29" s="91"/>
      <c r="O29"/>
    </row>
    <row r="30" spans="1:15" s="76" customFormat="1" ht="15.5" x14ac:dyDescent="0.35">
      <c r="A30" s="83" t="s">
        <v>31</v>
      </c>
      <c r="B30" s="99"/>
      <c r="C30" s="79"/>
      <c r="D30" s="79"/>
      <c r="E30" s="81"/>
      <c r="F30" s="90"/>
      <c r="G30" s="132" t="e">
        <f>IF(F30="NS","NC",ROUND(B30-$B$29,2-(1+INT(LOG10(ABS(B30-$B$29))))))</f>
        <v>#NUM!</v>
      </c>
      <c r="H30" s="120"/>
      <c r="I30" s="133"/>
      <c r="J30" s="134"/>
      <c r="K30" s="135"/>
      <c r="L30" s="134"/>
      <c r="M30" s="134"/>
      <c r="N30" s="136"/>
      <c r="O30"/>
    </row>
    <row r="31" spans="1:15" s="76" customFormat="1" ht="15.5" x14ac:dyDescent="0.35">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5" x14ac:dyDescent="0.35">
      <c r="A32" s="127" t="str">
        <f>'Page de garde'!A39</f>
        <v>0-00 + Testostérone</v>
      </c>
      <c r="B32" s="99"/>
      <c r="C32" s="79"/>
      <c r="D32" s="79"/>
      <c r="E32" s="81"/>
      <c r="F32" s="93" t="e">
        <f>HLOOKUP(A32,'pooled normalised values'!$B$74:$L$83,10,FALSE)</f>
        <v>#N/A</v>
      </c>
      <c r="G32" s="132" t="e">
        <f t="shared" si="6"/>
        <v>#N/A</v>
      </c>
      <c r="H32" s="123" t="str">
        <f>IF(VLOOKUP(A32,liste_groupe[],4,FALSE)="%",VLOOKUP(A32,liste_groupe[],3,FALSE)/100,IF(ISBLANK(VLOOKUP(A32,liste_groupe[],4,FALSE)),"Non","Non"))</f>
        <v>Non</v>
      </c>
      <c r="I32" s="132" t="e">
        <f>IF(F32="NS","NC",IF(H32="Non",G32,G32*(1/H32)))</f>
        <v>#N/A</v>
      </c>
      <c r="J32" s="137" t="e">
        <f>IF(G32&lt;0,$G$31,$G$30)</f>
        <v>#N/A</v>
      </c>
      <c r="K32" s="138" t="e">
        <f>IF(F32="NS",0,IF(I32&lt;0,-ROUND(I32/J32*100,0),ROUND(I32/J32*100,0)))</f>
        <v>#N/A</v>
      </c>
      <c r="L32" s="139">
        <v>1</v>
      </c>
      <c r="M32" s="131" t="e">
        <f>IF(I32&lt;0,IF(K32&lt;-100,-125,K32),IF(K32&gt;100,125,K32))</f>
        <v>#N/A</v>
      </c>
      <c r="N32" s="140" t="e">
        <f>IF(H32="Non",CONCATENATE(VLOOKUP(A32,liste_groupe[],5,FALSE),"-",VLOOKUP(A32,liste_groupe[],3,FALSE),VLOOKUP(A32,liste_groupe[],4,FALSE)," : ",ROUND(K32,0),"%"),CONCATENATE(VLOOKUP(A32,liste_groupe[],5,FALSE)," : ",ROUND(K32,0),"%"))</f>
        <v>#N/A</v>
      </c>
    </row>
    <row r="33" spans="1:14" s="76" customFormat="1" ht="15.5" x14ac:dyDescent="0.35">
      <c r="A33" s="127" t="str">
        <f>'Page de garde'!A40</f>
        <v>0-00 + Testostérone</v>
      </c>
      <c r="B33" s="98"/>
      <c r="C33" s="86"/>
      <c r="D33" s="86"/>
      <c r="E33" s="81"/>
      <c r="F33" s="93" t="e">
        <f>HLOOKUP(A33,'pooled normalised values'!$B$74:$L$83,10,FALSE)</f>
        <v>#N/A</v>
      </c>
      <c r="G33" s="132" t="e">
        <f>IF(F33="NS","NC",ROUND(B33-$B$29,2-(1+INT(LOG10(ABS(B33-$B$29))))))</f>
        <v>#N/A</v>
      </c>
      <c r="H33" s="123" t="str">
        <f>IF(VLOOKUP(A33,liste_groupe[],4,FALSE)="%",VLOOKUP(A33,liste_groupe[],3,FALSE)/100,IF(ISBLANK(VLOOKUP(A33,liste_groupe[],4,FALSE)),"Non","Non"))</f>
        <v>Non</v>
      </c>
      <c r="I33" s="132" t="e">
        <f t="shared" ref="I33:I51" si="7">IF(F33="NS","NC",IF(H33="Non",G33,G33*(1/H33)))</f>
        <v>#N/A</v>
      </c>
      <c r="J33" s="137" t="e">
        <f t="shared" ref="J33:J51" si="8">IF(G33&lt;0,$G$31,$G$30)</f>
        <v>#N/A</v>
      </c>
      <c r="K33" s="138" t="e">
        <f t="shared" ref="K33:K51" si="9">IF(F33="NS",0,IF(I33&lt;0,-ROUND(I33/J33*100,0),ROUND(I33/J33*100,0)))</f>
        <v>#N/A</v>
      </c>
      <c r="L33" s="139"/>
      <c r="M33" s="131" t="e">
        <f t="shared" ref="M33:M51" si="10">IF(I33&lt;0,IF(K33&lt;-100,-125,K33),IF(K33&gt;100,125,K33))</f>
        <v>#N/A</v>
      </c>
      <c r="N33" s="140" t="e">
        <f>IF(H33="Non",CONCATENATE(VLOOKUP(A33,liste_groupe[],5,FALSE),"-",VLOOKUP(A33,liste_groupe[],3,FALSE),VLOOKUP(A33,liste_groupe[],4,FALSE)," : ",ROUND(K33,0),"%"),CONCATENATE(VLOOKUP(A33,liste_groupe[],5,FALSE)," : ",ROUND(K33,0),"%"))</f>
        <v>#N/A</v>
      </c>
    </row>
    <row r="34" spans="1:14" s="76" customFormat="1" ht="15.5" x14ac:dyDescent="0.35">
      <c r="A34" s="127" t="str">
        <f>'Page de garde'!A41</f>
        <v>0-00 + Testostérone</v>
      </c>
      <c r="B34" s="99"/>
      <c r="C34" s="79"/>
      <c r="D34" s="79"/>
      <c r="E34" s="81"/>
      <c r="F34" s="93" t="e">
        <f>HLOOKUP(A34,'pooled normalised values'!$B$74:$L$83,10,FALSE)</f>
        <v>#N/A</v>
      </c>
      <c r="G34" s="132" t="e">
        <f t="shared" si="6"/>
        <v>#N/A</v>
      </c>
      <c r="H34" s="123" t="str">
        <f>IF(VLOOKUP(A34,liste_groupe[],4,FALSE)="%",VLOOKUP(A34,liste_groupe[],3,FALSE)/100,IF(ISBLANK(VLOOKUP(A34,liste_groupe[],4,FALSE)),"Non","Non"))</f>
        <v>Non</v>
      </c>
      <c r="I34" s="132" t="e">
        <f t="shared" si="7"/>
        <v>#N/A</v>
      </c>
      <c r="J34" s="137" t="e">
        <f t="shared" si="8"/>
        <v>#N/A</v>
      </c>
      <c r="K34" s="138" t="e">
        <f t="shared" si="9"/>
        <v>#N/A</v>
      </c>
      <c r="L34" s="139"/>
      <c r="M34" s="131" t="e">
        <f t="shared" si="10"/>
        <v>#N/A</v>
      </c>
      <c r="N34" s="140" t="e">
        <f>IF(H34="Non",CONCATENATE(VLOOKUP(A34,liste_groupe[],5,FALSE),"-",VLOOKUP(A34,liste_groupe[],3,FALSE),VLOOKUP(A34,liste_groupe[],4,FALSE)," : ",ROUND(K34,0),"%"),CONCATENATE(VLOOKUP(A34,liste_groupe[],5,FALSE)," : ",ROUND(K34,0),"%"))</f>
        <v>#N/A</v>
      </c>
    </row>
    <row r="35" spans="1:14" s="76" customFormat="1" ht="15.5" x14ac:dyDescent="0.35">
      <c r="A35" s="127" t="str">
        <f>'Page de garde'!A42</f>
        <v>0-00 + Testostérone</v>
      </c>
      <c r="B35" s="98"/>
      <c r="C35" s="86"/>
      <c r="D35" s="86"/>
      <c r="E35" s="81"/>
      <c r="F35" s="93" t="e">
        <f>HLOOKUP(A35,'pooled normalised values'!$B$74:$L$83,10,FALSE)</f>
        <v>#N/A</v>
      </c>
      <c r="G35" s="132" t="e">
        <f t="shared" si="6"/>
        <v>#N/A</v>
      </c>
      <c r="H35" s="123" t="str">
        <f>IF(VLOOKUP(A35,liste_groupe[],4,FALSE)="%",VLOOKUP(A35,liste_groupe[],3,FALSE)/100,IF(ISBLANK(VLOOKUP(A35,liste_groupe[],4,FALSE)),"Non","Non"))</f>
        <v>Non</v>
      </c>
      <c r="I35" s="132" t="e">
        <f t="shared" si="7"/>
        <v>#N/A</v>
      </c>
      <c r="J35" s="137" t="e">
        <f t="shared" si="8"/>
        <v>#N/A</v>
      </c>
      <c r="K35" s="138" t="e">
        <f t="shared" si="9"/>
        <v>#N/A</v>
      </c>
      <c r="L35" s="139"/>
      <c r="M35" s="131" t="e">
        <f t="shared" si="10"/>
        <v>#N/A</v>
      </c>
      <c r="N35" s="140" t="e">
        <f>IF(H35="Non",CONCATENATE(VLOOKUP(A35,liste_groupe[],5,FALSE),"-",VLOOKUP(A35,liste_groupe[],3,FALSE),VLOOKUP(A35,liste_groupe[],4,FALSE)," : ",ROUND(K35,0),"%"),CONCATENATE(VLOOKUP(A35,liste_groupe[],5,FALSE)," : ",ROUND(K35,0),"%"))</f>
        <v>#N/A</v>
      </c>
    </row>
    <row r="36" spans="1:14" s="76" customFormat="1" ht="15.5" x14ac:dyDescent="0.35">
      <c r="A36" s="127" t="str">
        <f>'Page de garde'!A43</f>
        <v>0-00 + Testostérone</v>
      </c>
      <c r="B36" s="98"/>
      <c r="C36" s="86"/>
      <c r="D36" s="86"/>
      <c r="E36" s="81"/>
      <c r="F36" s="93" t="e">
        <f>HLOOKUP(A36,'pooled normalised values'!$B$74:$L$83,10,FALSE)</f>
        <v>#N/A</v>
      </c>
      <c r="G36" s="132" t="e">
        <f t="shared" si="6"/>
        <v>#N/A</v>
      </c>
      <c r="H36" s="123" t="str">
        <f>IF(VLOOKUP(A36,liste_groupe[],4,FALSE)="%",VLOOKUP(A36,liste_groupe[],3,FALSE)/100,IF(ISBLANK(VLOOKUP(A36,liste_groupe[],4,FALSE)),"Non","Non"))</f>
        <v>Non</v>
      </c>
      <c r="I36" s="132" t="e">
        <f t="shared" si="7"/>
        <v>#N/A</v>
      </c>
      <c r="J36" s="137" t="e">
        <f t="shared" si="8"/>
        <v>#N/A</v>
      </c>
      <c r="K36" s="138" t="e">
        <f t="shared" si="9"/>
        <v>#N/A</v>
      </c>
      <c r="L36" s="139"/>
      <c r="M36" s="131" t="e">
        <f t="shared" si="10"/>
        <v>#N/A</v>
      </c>
      <c r="N36" s="140" t="e">
        <f>IF(H36="Non",CONCATENATE(VLOOKUP(A36,liste_groupe[],5,FALSE),"-",VLOOKUP(A36,liste_groupe[],3,FALSE),VLOOKUP(A36,liste_groupe[],4,FALSE)," : ",ROUND(K36,0),"%"),CONCATENATE(VLOOKUP(A36,liste_groupe[],5,FALSE)," : ",ROUND(K36,0),"%"))</f>
        <v>#N/A</v>
      </c>
    </row>
    <row r="37" spans="1:14" s="76" customFormat="1" ht="15.5" x14ac:dyDescent="0.35">
      <c r="A37" s="127" t="str">
        <f>'Page de garde'!A44</f>
        <v>0-00 + Testostérone</v>
      </c>
      <c r="B37" s="98"/>
      <c r="C37" s="86"/>
      <c r="D37" s="86"/>
      <c r="E37" s="81"/>
      <c r="F37" s="93" t="e">
        <f>HLOOKUP(A37,'pooled normalised values'!$B$74:$L$83,10,FALSE)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5" x14ac:dyDescent="0.35">
      <c r="A38" s="127" t="str">
        <f>'Page de garde'!A45</f>
        <v>0-00 + Testostérone</v>
      </c>
      <c r="B38" s="98"/>
      <c r="C38" s="86"/>
      <c r="D38" s="86"/>
      <c r="E38" s="81"/>
      <c r="F38" s="93" t="e">
        <f>HLOOKUP(A38,'pooled normalised values'!$B$74:$L$83,10,FALSE)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5" x14ac:dyDescent="0.35">
      <c r="A39" s="127" t="str">
        <f>'Page de garde'!A46</f>
        <v>0-00 + Testostérone</v>
      </c>
      <c r="B39" s="98"/>
      <c r="C39" s="86"/>
      <c r="D39" s="86"/>
      <c r="E39" s="81"/>
      <c r="F39" s="93" t="e">
        <f>HLOOKUP(A39,'pooled normalised values'!$B$74:$L$83,10,FALSE)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5" x14ac:dyDescent="0.35">
      <c r="A40" s="127" t="str">
        <f>'Page de garde'!A47</f>
        <v>0-00 + Testostérone</v>
      </c>
      <c r="B40" s="98"/>
      <c r="C40" s="86"/>
      <c r="D40" s="86"/>
      <c r="E40" s="81"/>
      <c r="F40" s="93" t="e">
        <f>HLOOKUP(A40,'pooled normalised values'!$B$74:$L$83,10,FALSE)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5" x14ac:dyDescent="0.35">
      <c r="A41" s="127" t="str">
        <f>'Page de garde'!A48</f>
        <v>0-00 + Testostérone</v>
      </c>
      <c r="B41" s="98"/>
      <c r="C41" s="86"/>
      <c r="D41" s="86"/>
      <c r="E41" s="81"/>
      <c r="F41" s="93" t="e">
        <f>HLOOKUP(A41,'pooled normalised values'!$B$74:$L$83,10,FALSE)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5" x14ac:dyDescent="0.35">
      <c r="A42" s="127" t="str">
        <f>'Page de garde'!A49</f>
        <v>0-00 + Testostérone</v>
      </c>
      <c r="B42" s="98"/>
      <c r="C42" s="86"/>
      <c r="D42" s="86"/>
      <c r="E42" s="81"/>
      <c r="F42" s="93" t="e">
        <f>HLOOKUP(A42,'pooled normalised values'!$B$74:$L$83,10,FALSE)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5" x14ac:dyDescent="0.35">
      <c r="A43" s="127" t="str">
        <f>'Page de garde'!A50</f>
        <v>0-00 + Testostérone</v>
      </c>
      <c r="B43" s="98"/>
      <c r="C43" s="86"/>
      <c r="D43" s="86"/>
      <c r="E43" s="81"/>
      <c r="F43" s="93" t="e">
        <f>HLOOKUP(A43,'pooled normalised values'!$B$74:$L$83,10,FALSE)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5" x14ac:dyDescent="0.35">
      <c r="A44" s="127" t="str">
        <f>'Page de garde'!A51</f>
        <v>0-00 + Testostérone</v>
      </c>
      <c r="B44" s="98"/>
      <c r="C44" s="86"/>
      <c r="D44" s="86"/>
      <c r="E44" s="81"/>
      <c r="F44" s="93" t="e">
        <f>HLOOKUP(A44,'pooled normalised values'!$B$74:$L$83,10,FALSE)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5" x14ac:dyDescent="0.35">
      <c r="A45" s="127" t="str">
        <f>'Page de garde'!A52</f>
        <v>0-00 + Testostérone</v>
      </c>
      <c r="B45" s="98"/>
      <c r="C45" s="86"/>
      <c r="D45" s="86"/>
      <c r="E45" s="81"/>
      <c r="F45" s="93" t="e">
        <f>HLOOKUP(A45,'pooled normalised values'!$B$74:$L$83,10,FALSE)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5" x14ac:dyDescent="0.35">
      <c r="A46" s="127" t="str">
        <f>'Page de garde'!A53</f>
        <v>0-00 + Testostérone</v>
      </c>
      <c r="B46" s="98"/>
      <c r="C46" s="86"/>
      <c r="D46" s="86"/>
      <c r="E46" s="81"/>
      <c r="F46" s="93" t="e">
        <f>HLOOKUP(A46,'pooled normalised values'!$B$74:$L$83,10,FALSE)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5" x14ac:dyDescent="0.35">
      <c r="A47" s="127" t="str">
        <f>'Page de garde'!A54</f>
        <v>0-00 + Testostérone</v>
      </c>
      <c r="B47" s="98"/>
      <c r="C47" s="86"/>
      <c r="D47" s="86"/>
      <c r="E47" s="81"/>
      <c r="F47" s="93" t="e">
        <f>HLOOKUP(A47,'pooled normalised values'!$B$74:$L$83,10,FALSE)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5" x14ac:dyDescent="0.35">
      <c r="A48" s="127" t="str">
        <f>'Page de garde'!A55</f>
        <v>0-00 + Testostérone</v>
      </c>
      <c r="B48" s="98"/>
      <c r="C48" s="86"/>
      <c r="D48" s="86"/>
      <c r="E48" s="81"/>
      <c r="F48" s="93" t="e">
        <f>HLOOKUP(A48,'pooled normalised values'!$B$74:$L$83,10,FALSE)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5" x14ac:dyDescent="0.35">
      <c r="A49" s="127" t="str">
        <f>'Page de garde'!A56</f>
        <v>0-00 + Testostérone</v>
      </c>
      <c r="B49" s="98"/>
      <c r="C49" s="86"/>
      <c r="D49" s="86"/>
      <c r="E49" s="81"/>
      <c r="F49" s="93" t="e">
        <f>HLOOKUP(A49,'pooled normalised values'!$B$74:$L$83,10,FALSE)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5" x14ac:dyDescent="0.35">
      <c r="A50" s="127" t="str">
        <f>'Page de garde'!A57</f>
        <v>0-00 + Testostérone</v>
      </c>
      <c r="B50" s="98"/>
      <c r="C50" s="86"/>
      <c r="D50" s="86"/>
      <c r="E50" s="81"/>
      <c r="F50" s="93" t="e">
        <f>HLOOKUP(A50,'pooled normalised values'!$B$74:$L$83,10,FALSE)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5" x14ac:dyDescent="0.35">
      <c r="A51" s="127" t="str">
        <f>'Page de garde'!A58</f>
        <v>0-00 + Testostérone</v>
      </c>
      <c r="B51" s="98"/>
      <c r="C51" s="86"/>
      <c r="D51" s="86"/>
      <c r="E51" s="81"/>
      <c r="F51" s="93" t="e">
        <f>HLOOKUP(A51,'pooled normalised values'!$B$74:$L$83,10,FALSE)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 thickBot="1" x14ac:dyDescent="0.4">
      <c r="E52" s="77"/>
      <c r="F52" s="77"/>
      <c r="G52" s="77"/>
      <c r="H52" s="77"/>
      <c r="I52" s="77"/>
      <c r="J52" s="77"/>
      <c r="K52" s="77"/>
      <c r="L52" s="77"/>
      <c r="M52" s="77"/>
      <c r="N52" s="77"/>
    </row>
    <row r="53" spans="1:15" s="47" customFormat="1" ht="26.5" thickBot="1" x14ac:dyDescent="0.4">
      <c r="A53" s="229" t="s">
        <v>60</v>
      </c>
      <c r="B53" s="230"/>
      <c r="C53" s="230"/>
      <c r="D53" s="230"/>
      <c r="E53" s="230"/>
      <c r="F53" s="230"/>
      <c r="G53" s="230"/>
      <c r="H53" s="230"/>
      <c r="I53" s="230"/>
      <c r="J53" s="230"/>
      <c r="K53" s="230"/>
      <c r="L53" s="230"/>
      <c r="M53" s="230"/>
      <c r="N53" s="230"/>
      <c r="O53" s="231"/>
    </row>
  </sheetData>
  <mergeCells count="3">
    <mergeCell ref="A2:O2"/>
    <mergeCell ref="A1:O1"/>
    <mergeCell ref="A53:O53"/>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80" customWidth="1"/>
    <col min="2" max="2" width="46.26953125" style="180" customWidth="1"/>
    <col min="3" max="3" width="15.26953125" style="180" customWidth="1"/>
    <col min="4" max="4" width="24.7265625" style="180" customWidth="1"/>
    <col min="5" max="5" width="24.453125" style="180" customWidth="1"/>
    <col min="6" max="6" width="23.1796875" style="180" customWidth="1"/>
    <col min="7" max="7" width="21.26953125" style="180" customWidth="1"/>
    <col min="8" max="16384" width="11.453125" style="180"/>
  </cols>
  <sheetData>
    <row r="1" spans="1:7" ht="29.5" thickBot="1" x14ac:dyDescent="0.4">
      <c r="A1" s="185" t="s">
        <v>132</v>
      </c>
      <c r="B1" s="186" t="s">
        <v>133</v>
      </c>
      <c r="C1" s="186" t="s">
        <v>139</v>
      </c>
      <c r="D1" s="186" t="s">
        <v>138</v>
      </c>
      <c r="E1" s="186" t="s">
        <v>140</v>
      </c>
      <c r="F1" s="187" t="s">
        <v>141</v>
      </c>
      <c r="G1" s="188" t="s">
        <v>142</v>
      </c>
    </row>
    <row r="2" spans="1:7" ht="58" x14ac:dyDescent="0.35">
      <c r="A2" s="181" t="s">
        <v>134</v>
      </c>
      <c r="B2" s="182" t="s">
        <v>135</v>
      </c>
      <c r="C2" s="182" t="s">
        <v>136</v>
      </c>
      <c r="D2" s="182" t="s">
        <v>143</v>
      </c>
      <c r="E2" s="182" t="s">
        <v>137</v>
      </c>
      <c r="F2" s="183" t="s">
        <v>136</v>
      </c>
      <c r="G2" s="184" t="s">
        <v>136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6" customWidth="1"/>
    <col min="2" max="2" width="7.26953125" style="16" bestFit="1" customWidth="1"/>
    <col min="3" max="3" width="10.54296875" style="16" customWidth="1"/>
    <col min="4" max="4" width="13.7265625" style="16" bestFit="1" customWidth="1"/>
    <col min="5" max="5" width="12" style="16" bestFit="1" customWidth="1"/>
    <col min="6" max="19" width="14.81640625" style="16" customWidth="1"/>
    <col min="20" max="21" width="11.453125" style="16"/>
    <col min="22" max="22" width="13.54296875" style="16" bestFit="1" customWidth="1"/>
    <col min="23" max="34" width="13.54296875" style="16" customWidth="1"/>
    <col min="35" max="35" width="13.54296875" style="16" bestFit="1" customWidth="1"/>
    <col min="36" max="282" width="11.453125" style="16"/>
    <col min="283" max="283" width="18.7265625" style="16" customWidth="1"/>
    <col min="284" max="284" width="13.7265625" style="16" bestFit="1" customWidth="1"/>
    <col min="285" max="285" width="17.26953125" style="16" customWidth="1"/>
    <col min="286" max="286" width="11" style="16" customWidth="1"/>
    <col min="287" max="287" width="12" style="16" bestFit="1" customWidth="1"/>
    <col min="288" max="288" width="14.81640625" style="16" customWidth="1"/>
    <col min="289" max="538" width="11.453125" style="16"/>
    <col min="539" max="539" width="18.7265625" style="16" customWidth="1"/>
    <col min="540" max="540" width="13.7265625" style="16" bestFit="1" customWidth="1"/>
    <col min="541" max="541" width="17.26953125" style="16" customWidth="1"/>
    <col min="542" max="542" width="11" style="16" customWidth="1"/>
    <col min="543" max="543" width="12" style="16" bestFit="1" customWidth="1"/>
    <col min="544" max="544" width="14.81640625" style="16" customWidth="1"/>
    <col min="545" max="794" width="11.453125" style="16"/>
    <col min="795" max="795" width="18.7265625" style="16" customWidth="1"/>
    <col min="796" max="796" width="13.7265625" style="16" bestFit="1" customWidth="1"/>
    <col min="797" max="797" width="17.26953125" style="16" customWidth="1"/>
    <col min="798" max="798" width="11" style="16" customWidth="1"/>
    <col min="799" max="799" width="12" style="16" bestFit="1" customWidth="1"/>
    <col min="800" max="800" width="14.81640625" style="16" customWidth="1"/>
    <col min="801" max="1050" width="11.453125" style="16"/>
    <col min="1051" max="1051" width="18.7265625" style="16" customWidth="1"/>
    <col min="1052" max="1052" width="13.7265625" style="16" bestFit="1" customWidth="1"/>
    <col min="1053" max="1053" width="17.26953125" style="16" customWidth="1"/>
    <col min="1054" max="1054" width="11" style="16" customWidth="1"/>
    <col min="1055" max="1055" width="12" style="16" bestFit="1" customWidth="1"/>
    <col min="1056" max="1056" width="14.81640625" style="16" customWidth="1"/>
    <col min="1057" max="1306" width="11.453125" style="16"/>
    <col min="1307" max="1307" width="18.7265625" style="16" customWidth="1"/>
    <col min="1308" max="1308" width="13.7265625" style="16" bestFit="1" customWidth="1"/>
    <col min="1309" max="1309" width="17.26953125" style="16" customWidth="1"/>
    <col min="1310" max="1310" width="11" style="16" customWidth="1"/>
    <col min="1311" max="1311" width="12" style="16" bestFit="1" customWidth="1"/>
    <col min="1312" max="1312" width="14.81640625" style="16" customWidth="1"/>
    <col min="1313" max="1562" width="11.453125" style="16"/>
    <col min="1563" max="1563" width="18.7265625" style="16" customWidth="1"/>
    <col min="1564" max="1564" width="13.7265625" style="16" bestFit="1" customWidth="1"/>
    <col min="1565" max="1565" width="17.26953125" style="16" customWidth="1"/>
    <col min="1566" max="1566" width="11" style="16" customWidth="1"/>
    <col min="1567" max="1567" width="12" style="16" bestFit="1" customWidth="1"/>
    <col min="1568" max="1568" width="14.81640625" style="16" customWidth="1"/>
    <col min="1569" max="1818" width="11.453125" style="16"/>
    <col min="1819" max="1819" width="18.7265625" style="16" customWidth="1"/>
    <col min="1820" max="1820" width="13.7265625" style="16" bestFit="1" customWidth="1"/>
    <col min="1821" max="1821" width="17.26953125" style="16" customWidth="1"/>
    <col min="1822" max="1822" width="11" style="16" customWidth="1"/>
    <col min="1823" max="1823" width="12" style="16" bestFit="1" customWidth="1"/>
    <col min="1824" max="1824" width="14.81640625" style="16" customWidth="1"/>
    <col min="1825" max="2074" width="11.453125" style="16"/>
    <col min="2075" max="2075" width="18.7265625" style="16" customWidth="1"/>
    <col min="2076" max="2076" width="13.7265625" style="16" bestFit="1" customWidth="1"/>
    <col min="2077" max="2077" width="17.26953125" style="16" customWidth="1"/>
    <col min="2078" max="2078" width="11" style="16" customWidth="1"/>
    <col min="2079" max="2079" width="12" style="16" bestFit="1" customWidth="1"/>
    <col min="2080" max="2080" width="14.81640625" style="16" customWidth="1"/>
    <col min="2081" max="2330" width="11.453125" style="16"/>
    <col min="2331" max="2331" width="18.7265625" style="16" customWidth="1"/>
    <col min="2332" max="2332" width="13.7265625" style="16" bestFit="1" customWidth="1"/>
    <col min="2333" max="2333" width="17.26953125" style="16" customWidth="1"/>
    <col min="2334" max="2334" width="11" style="16" customWidth="1"/>
    <col min="2335" max="2335" width="12" style="16" bestFit="1" customWidth="1"/>
    <col min="2336" max="2336" width="14.81640625" style="16" customWidth="1"/>
    <col min="2337" max="2586" width="11.453125" style="16"/>
    <col min="2587" max="2587" width="18.7265625" style="16" customWidth="1"/>
    <col min="2588" max="2588" width="13.7265625" style="16" bestFit="1" customWidth="1"/>
    <col min="2589" max="2589" width="17.26953125" style="16" customWidth="1"/>
    <col min="2590" max="2590" width="11" style="16" customWidth="1"/>
    <col min="2591" max="2591" width="12" style="16" bestFit="1" customWidth="1"/>
    <col min="2592" max="2592" width="14.81640625" style="16" customWidth="1"/>
    <col min="2593" max="2842" width="11.453125" style="16"/>
    <col min="2843" max="2843" width="18.7265625" style="16" customWidth="1"/>
    <col min="2844" max="2844" width="13.7265625" style="16" bestFit="1" customWidth="1"/>
    <col min="2845" max="2845" width="17.26953125" style="16" customWidth="1"/>
    <col min="2846" max="2846" width="11" style="16" customWidth="1"/>
    <col min="2847" max="2847" width="12" style="16" bestFit="1" customWidth="1"/>
    <col min="2848" max="2848" width="14.81640625" style="16" customWidth="1"/>
    <col min="2849" max="3098" width="11.453125" style="16"/>
    <col min="3099" max="3099" width="18.7265625" style="16" customWidth="1"/>
    <col min="3100" max="3100" width="13.7265625" style="16" bestFit="1" customWidth="1"/>
    <col min="3101" max="3101" width="17.26953125" style="16" customWidth="1"/>
    <col min="3102" max="3102" width="11" style="16" customWidth="1"/>
    <col min="3103" max="3103" width="12" style="16" bestFit="1" customWidth="1"/>
    <col min="3104" max="3104" width="14.81640625" style="16" customWidth="1"/>
    <col min="3105" max="3354" width="11.453125" style="16"/>
    <col min="3355" max="3355" width="18.7265625" style="16" customWidth="1"/>
    <col min="3356" max="3356" width="13.7265625" style="16" bestFit="1" customWidth="1"/>
    <col min="3357" max="3357" width="17.26953125" style="16" customWidth="1"/>
    <col min="3358" max="3358" width="11" style="16" customWidth="1"/>
    <col min="3359" max="3359" width="12" style="16" bestFit="1" customWidth="1"/>
    <col min="3360" max="3360" width="14.81640625" style="16" customWidth="1"/>
    <col min="3361" max="3610" width="11.453125" style="16"/>
    <col min="3611" max="3611" width="18.7265625" style="16" customWidth="1"/>
    <col min="3612" max="3612" width="13.7265625" style="16" bestFit="1" customWidth="1"/>
    <col min="3613" max="3613" width="17.26953125" style="16" customWidth="1"/>
    <col min="3614" max="3614" width="11" style="16" customWidth="1"/>
    <col min="3615" max="3615" width="12" style="16" bestFit="1" customWidth="1"/>
    <col min="3616" max="3616" width="14.81640625" style="16" customWidth="1"/>
    <col min="3617" max="3866" width="11.453125" style="16"/>
    <col min="3867" max="3867" width="18.7265625" style="16" customWidth="1"/>
    <col min="3868" max="3868" width="13.7265625" style="16" bestFit="1" customWidth="1"/>
    <col min="3869" max="3869" width="17.26953125" style="16" customWidth="1"/>
    <col min="3870" max="3870" width="11" style="16" customWidth="1"/>
    <col min="3871" max="3871" width="12" style="16" bestFit="1" customWidth="1"/>
    <col min="3872" max="3872" width="14.81640625" style="16" customWidth="1"/>
    <col min="3873" max="4122" width="11.453125" style="16"/>
    <col min="4123" max="4123" width="18.7265625" style="16" customWidth="1"/>
    <col min="4124" max="4124" width="13.7265625" style="16" bestFit="1" customWidth="1"/>
    <col min="4125" max="4125" width="17.26953125" style="16" customWidth="1"/>
    <col min="4126" max="4126" width="11" style="16" customWidth="1"/>
    <col min="4127" max="4127" width="12" style="16" bestFit="1" customWidth="1"/>
    <col min="4128" max="4128" width="14.81640625" style="16" customWidth="1"/>
    <col min="4129" max="4378" width="11.453125" style="16"/>
    <col min="4379" max="4379" width="18.7265625" style="16" customWidth="1"/>
    <col min="4380" max="4380" width="13.7265625" style="16" bestFit="1" customWidth="1"/>
    <col min="4381" max="4381" width="17.26953125" style="16" customWidth="1"/>
    <col min="4382" max="4382" width="11" style="16" customWidth="1"/>
    <col min="4383" max="4383" width="12" style="16" bestFit="1" customWidth="1"/>
    <col min="4384" max="4384" width="14.81640625" style="16" customWidth="1"/>
    <col min="4385" max="4634" width="11.453125" style="16"/>
    <col min="4635" max="4635" width="18.7265625" style="16" customWidth="1"/>
    <col min="4636" max="4636" width="13.7265625" style="16" bestFit="1" customWidth="1"/>
    <col min="4637" max="4637" width="17.26953125" style="16" customWidth="1"/>
    <col min="4638" max="4638" width="11" style="16" customWidth="1"/>
    <col min="4639" max="4639" width="12" style="16" bestFit="1" customWidth="1"/>
    <col min="4640" max="4640" width="14.81640625" style="16" customWidth="1"/>
    <col min="4641" max="4890" width="11.453125" style="16"/>
    <col min="4891" max="4891" width="18.7265625" style="16" customWidth="1"/>
    <col min="4892" max="4892" width="13.7265625" style="16" bestFit="1" customWidth="1"/>
    <col min="4893" max="4893" width="17.26953125" style="16" customWidth="1"/>
    <col min="4894" max="4894" width="11" style="16" customWidth="1"/>
    <col min="4895" max="4895" width="12" style="16" bestFit="1" customWidth="1"/>
    <col min="4896" max="4896" width="14.81640625" style="16" customWidth="1"/>
    <col min="4897" max="5146" width="11.453125" style="16"/>
    <col min="5147" max="5147" width="18.7265625" style="16" customWidth="1"/>
    <col min="5148" max="5148" width="13.7265625" style="16" bestFit="1" customWidth="1"/>
    <col min="5149" max="5149" width="17.26953125" style="16" customWidth="1"/>
    <col min="5150" max="5150" width="11" style="16" customWidth="1"/>
    <col min="5151" max="5151" width="12" style="16" bestFit="1" customWidth="1"/>
    <col min="5152" max="5152" width="14.81640625" style="16" customWidth="1"/>
    <col min="5153" max="5402" width="11.453125" style="16"/>
    <col min="5403" max="5403" width="18.7265625" style="16" customWidth="1"/>
    <col min="5404" max="5404" width="13.7265625" style="16" bestFit="1" customWidth="1"/>
    <col min="5405" max="5405" width="17.26953125" style="16" customWidth="1"/>
    <col min="5406" max="5406" width="11" style="16" customWidth="1"/>
    <col min="5407" max="5407" width="12" style="16" bestFit="1" customWidth="1"/>
    <col min="5408" max="5408" width="14.81640625" style="16" customWidth="1"/>
    <col min="5409" max="5658" width="11.453125" style="16"/>
    <col min="5659" max="5659" width="18.7265625" style="16" customWidth="1"/>
    <col min="5660" max="5660" width="13.7265625" style="16" bestFit="1" customWidth="1"/>
    <col min="5661" max="5661" width="17.26953125" style="16" customWidth="1"/>
    <col min="5662" max="5662" width="11" style="16" customWidth="1"/>
    <col min="5663" max="5663" width="12" style="16" bestFit="1" customWidth="1"/>
    <col min="5664" max="5664" width="14.81640625" style="16" customWidth="1"/>
    <col min="5665" max="5914" width="11.453125" style="16"/>
    <col min="5915" max="5915" width="18.7265625" style="16" customWidth="1"/>
    <col min="5916" max="5916" width="13.7265625" style="16" bestFit="1" customWidth="1"/>
    <col min="5917" max="5917" width="17.26953125" style="16" customWidth="1"/>
    <col min="5918" max="5918" width="11" style="16" customWidth="1"/>
    <col min="5919" max="5919" width="12" style="16" bestFit="1" customWidth="1"/>
    <col min="5920" max="5920" width="14.81640625" style="16" customWidth="1"/>
    <col min="5921" max="6170" width="11.453125" style="16"/>
    <col min="6171" max="6171" width="18.7265625" style="16" customWidth="1"/>
    <col min="6172" max="6172" width="13.7265625" style="16" bestFit="1" customWidth="1"/>
    <col min="6173" max="6173" width="17.26953125" style="16" customWidth="1"/>
    <col min="6174" max="6174" width="11" style="16" customWidth="1"/>
    <col min="6175" max="6175" width="12" style="16" bestFit="1" customWidth="1"/>
    <col min="6176" max="6176" width="14.81640625" style="16" customWidth="1"/>
    <col min="6177" max="6426" width="11.453125" style="16"/>
    <col min="6427" max="6427" width="18.7265625" style="16" customWidth="1"/>
    <col min="6428" max="6428" width="13.7265625" style="16" bestFit="1" customWidth="1"/>
    <col min="6429" max="6429" width="17.26953125" style="16" customWidth="1"/>
    <col min="6430" max="6430" width="11" style="16" customWidth="1"/>
    <col min="6431" max="6431" width="12" style="16" bestFit="1" customWidth="1"/>
    <col min="6432" max="6432" width="14.81640625" style="16" customWidth="1"/>
    <col min="6433" max="6682" width="11.453125" style="16"/>
    <col min="6683" max="6683" width="18.7265625" style="16" customWidth="1"/>
    <col min="6684" max="6684" width="13.7265625" style="16" bestFit="1" customWidth="1"/>
    <col min="6685" max="6685" width="17.26953125" style="16" customWidth="1"/>
    <col min="6686" max="6686" width="11" style="16" customWidth="1"/>
    <col min="6687" max="6687" width="12" style="16" bestFit="1" customWidth="1"/>
    <col min="6688" max="6688" width="14.81640625" style="16" customWidth="1"/>
    <col min="6689" max="6938" width="11.453125" style="16"/>
    <col min="6939" max="6939" width="18.7265625" style="16" customWidth="1"/>
    <col min="6940" max="6940" width="13.7265625" style="16" bestFit="1" customWidth="1"/>
    <col min="6941" max="6941" width="17.26953125" style="16" customWidth="1"/>
    <col min="6942" max="6942" width="11" style="16" customWidth="1"/>
    <col min="6943" max="6943" width="12" style="16" bestFit="1" customWidth="1"/>
    <col min="6944" max="6944" width="14.81640625" style="16" customWidth="1"/>
    <col min="6945" max="7194" width="11.453125" style="16"/>
    <col min="7195" max="7195" width="18.7265625" style="16" customWidth="1"/>
    <col min="7196" max="7196" width="13.7265625" style="16" bestFit="1" customWidth="1"/>
    <col min="7197" max="7197" width="17.26953125" style="16" customWidth="1"/>
    <col min="7198" max="7198" width="11" style="16" customWidth="1"/>
    <col min="7199" max="7199" width="12" style="16" bestFit="1" customWidth="1"/>
    <col min="7200" max="7200" width="14.81640625" style="16" customWidth="1"/>
    <col min="7201" max="7450" width="11.453125" style="16"/>
    <col min="7451" max="7451" width="18.7265625" style="16" customWidth="1"/>
    <col min="7452" max="7452" width="13.7265625" style="16" bestFit="1" customWidth="1"/>
    <col min="7453" max="7453" width="17.26953125" style="16" customWidth="1"/>
    <col min="7454" max="7454" width="11" style="16" customWidth="1"/>
    <col min="7455" max="7455" width="12" style="16" bestFit="1" customWidth="1"/>
    <col min="7456" max="7456" width="14.81640625" style="16" customWidth="1"/>
    <col min="7457" max="7706" width="11.453125" style="16"/>
    <col min="7707" max="7707" width="18.7265625" style="16" customWidth="1"/>
    <col min="7708" max="7708" width="13.7265625" style="16" bestFit="1" customWidth="1"/>
    <col min="7709" max="7709" width="17.26953125" style="16" customWidth="1"/>
    <col min="7710" max="7710" width="11" style="16" customWidth="1"/>
    <col min="7711" max="7711" width="12" style="16" bestFit="1" customWidth="1"/>
    <col min="7712" max="7712" width="14.81640625" style="16" customWidth="1"/>
    <col min="7713" max="7962" width="11.453125" style="16"/>
    <col min="7963" max="7963" width="18.7265625" style="16" customWidth="1"/>
    <col min="7964" max="7964" width="13.7265625" style="16" bestFit="1" customWidth="1"/>
    <col min="7965" max="7965" width="17.26953125" style="16" customWidth="1"/>
    <col min="7966" max="7966" width="11" style="16" customWidth="1"/>
    <col min="7967" max="7967" width="12" style="16" bestFit="1" customWidth="1"/>
    <col min="7968" max="7968" width="14.81640625" style="16" customWidth="1"/>
    <col min="7969" max="8218" width="11.453125" style="16"/>
    <col min="8219" max="8219" width="18.7265625" style="16" customWidth="1"/>
    <col min="8220" max="8220" width="13.7265625" style="16" bestFit="1" customWidth="1"/>
    <col min="8221" max="8221" width="17.26953125" style="16" customWidth="1"/>
    <col min="8222" max="8222" width="11" style="16" customWidth="1"/>
    <col min="8223" max="8223" width="12" style="16" bestFit="1" customWidth="1"/>
    <col min="8224" max="8224" width="14.81640625" style="16" customWidth="1"/>
    <col min="8225" max="8474" width="11.453125" style="16"/>
    <col min="8475" max="8475" width="18.7265625" style="16" customWidth="1"/>
    <col min="8476" max="8476" width="13.7265625" style="16" bestFit="1" customWidth="1"/>
    <col min="8477" max="8477" width="17.26953125" style="16" customWidth="1"/>
    <col min="8478" max="8478" width="11" style="16" customWidth="1"/>
    <col min="8479" max="8479" width="12" style="16" bestFit="1" customWidth="1"/>
    <col min="8480" max="8480" width="14.81640625" style="16" customWidth="1"/>
    <col min="8481" max="8730" width="11.453125" style="16"/>
    <col min="8731" max="8731" width="18.7265625" style="16" customWidth="1"/>
    <col min="8732" max="8732" width="13.7265625" style="16" bestFit="1" customWidth="1"/>
    <col min="8733" max="8733" width="17.26953125" style="16" customWidth="1"/>
    <col min="8734" max="8734" width="11" style="16" customWidth="1"/>
    <col min="8735" max="8735" width="12" style="16" bestFit="1" customWidth="1"/>
    <col min="8736" max="8736" width="14.81640625" style="16" customWidth="1"/>
    <col min="8737" max="8986" width="11.453125" style="16"/>
    <col min="8987" max="8987" width="18.7265625" style="16" customWidth="1"/>
    <col min="8988" max="8988" width="13.7265625" style="16" bestFit="1" customWidth="1"/>
    <col min="8989" max="8989" width="17.26953125" style="16" customWidth="1"/>
    <col min="8990" max="8990" width="11" style="16" customWidth="1"/>
    <col min="8991" max="8991" width="12" style="16" bestFit="1" customWidth="1"/>
    <col min="8992" max="8992" width="14.81640625" style="16" customWidth="1"/>
    <col min="8993" max="9242" width="11.453125" style="16"/>
    <col min="9243" max="9243" width="18.7265625" style="16" customWidth="1"/>
    <col min="9244" max="9244" width="13.7265625" style="16" bestFit="1" customWidth="1"/>
    <col min="9245" max="9245" width="17.26953125" style="16" customWidth="1"/>
    <col min="9246" max="9246" width="11" style="16" customWidth="1"/>
    <col min="9247" max="9247" width="12" style="16" bestFit="1" customWidth="1"/>
    <col min="9248" max="9248" width="14.81640625" style="16" customWidth="1"/>
    <col min="9249" max="9498" width="11.453125" style="16"/>
    <col min="9499" max="9499" width="18.7265625" style="16" customWidth="1"/>
    <col min="9500" max="9500" width="13.7265625" style="16" bestFit="1" customWidth="1"/>
    <col min="9501" max="9501" width="17.26953125" style="16" customWidth="1"/>
    <col min="9502" max="9502" width="11" style="16" customWidth="1"/>
    <col min="9503" max="9503" width="12" style="16" bestFit="1" customWidth="1"/>
    <col min="9504" max="9504" width="14.81640625" style="16" customWidth="1"/>
    <col min="9505" max="9754" width="11.453125" style="16"/>
    <col min="9755" max="9755" width="18.7265625" style="16" customWidth="1"/>
    <col min="9756" max="9756" width="13.7265625" style="16" bestFit="1" customWidth="1"/>
    <col min="9757" max="9757" width="17.26953125" style="16" customWidth="1"/>
    <col min="9758" max="9758" width="11" style="16" customWidth="1"/>
    <col min="9759" max="9759" width="12" style="16" bestFit="1" customWidth="1"/>
    <col min="9760" max="9760" width="14.81640625" style="16" customWidth="1"/>
    <col min="9761" max="10010" width="11.453125" style="16"/>
    <col min="10011" max="10011" width="18.7265625" style="16" customWidth="1"/>
    <col min="10012" max="10012" width="13.7265625" style="16" bestFit="1" customWidth="1"/>
    <col min="10013" max="10013" width="17.26953125" style="16" customWidth="1"/>
    <col min="10014" max="10014" width="11" style="16" customWidth="1"/>
    <col min="10015" max="10015" width="12" style="16" bestFit="1" customWidth="1"/>
    <col min="10016" max="10016" width="14.81640625" style="16" customWidth="1"/>
    <col min="10017" max="10266" width="11.453125" style="16"/>
    <col min="10267" max="10267" width="18.7265625" style="16" customWidth="1"/>
    <col min="10268" max="10268" width="13.7265625" style="16" bestFit="1" customWidth="1"/>
    <col min="10269" max="10269" width="17.26953125" style="16" customWidth="1"/>
    <col min="10270" max="10270" width="11" style="16" customWidth="1"/>
    <col min="10271" max="10271" width="12" style="16" bestFit="1" customWidth="1"/>
    <col min="10272" max="10272" width="14.81640625" style="16" customWidth="1"/>
    <col min="10273" max="10522" width="11.453125" style="16"/>
    <col min="10523" max="10523" width="18.7265625" style="16" customWidth="1"/>
    <col min="10524" max="10524" width="13.7265625" style="16" bestFit="1" customWidth="1"/>
    <col min="10525" max="10525" width="17.26953125" style="16" customWidth="1"/>
    <col min="10526" max="10526" width="11" style="16" customWidth="1"/>
    <col min="10527" max="10527" width="12" style="16" bestFit="1" customWidth="1"/>
    <col min="10528" max="10528" width="14.81640625" style="16" customWidth="1"/>
    <col min="10529" max="10778" width="11.453125" style="16"/>
    <col min="10779" max="10779" width="18.7265625" style="16" customWidth="1"/>
    <col min="10780" max="10780" width="13.7265625" style="16" bestFit="1" customWidth="1"/>
    <col min="10781" max="10781" width="17.26953125" style="16" customWidth="1"/>
    <col min="10782" max="10782" width="11" style="16" customWidth="1"/>
    <col min="10783" max="10783" width="12" style="16" bestFit="1" customWidth="1"/>
    <col min="10784" max="10784" width="14.81640625" style="16" customWidth="1"/>
    <col min="10785" max="11034" width="11.453125" style="16"/>
    <col min="11035" max="11035" width="18.7265625" style="16" customWidth="1"/>
    <col min="11036" max="11036" width="13.7265625" style="16" bestFit="1" customWidth="1"/>
    <col min="11037" max="11037" width="17.26953125" style="16" customWidth="1"/>
    <col min="11038" max="11038" width="11" style="16" customWidth="1"/>
    <col min="11039" max="11039" width="12" style="16" bestFit="1" customWidth="1"/>
    <col min="11040" max="11040" width="14.81640625" style="16" customWidth="1"/>
    <col min="11041" max="11290" width="11.453125" style="16"/>
    <col min="11291" max="11291" width="18.7265625" style="16" customWidth="1"/>
    <col min="11292" max="11292" width="13.7265625" style="16" bestFit="1" customWidth="1"/>
    <col min="11293" max="11293" width="17.26953125" style="16" customWidth="1"/>
    <col min="11294" max="11294" width="11" style="16" customWidth="1"/>
    <col min="11295" max="11295" width="12" style="16" bestFit="1" customWidth="1"/>
    <col min="11296" max="11296" width="14.81640625" style="16" customWidth="1"/>
    <col min="11297" max="11546" width="11.453125" style="16"/>
    <col min="11547" max="11547" width="18.7265625" style="16" customWidth="1"/>
    <col min="11548" max="11548" width="13.7265625" style="16" bestFit="1" customWidth="1"/>
    <col min="11549" max="11549" width="17.26953125" style="16" customWidth="1"/>
    <col min="11550" max="11550" width="11" style="16" customWidth="1"/>
    <col min="11551" max="11551" width="12" style="16" bestFit="1" customWidth="1"/>
    <col min="11552" max="11552" width="14.81640625" style="16" customWidth="1"/>
    <col min="11553" max="11802" width="11.453125" style="16"/>
    <col min="11803" max="11803" width="18.7265625" style="16" customWidth="1"/>
    <col min="11804" max="11804" width="13.7265625" style="16" bestFit="1" customWidth="1"/>
    <col min="11805" max="11805" width="17.26953125" style="16" customWidth="1"/>
    <col min="11806" max="11806" width="11" style="16" customWidth="1"/>
    <col min="11807" max="11807" width="12" style="16" bestFit="1" customWidth="1"/>
    <col min="11808" max="11808" width="14.81640625" style="16" customWidth="1"/>
    <col min="11809" max="12058" width="11.453125" style="16"/>
    <col min="12059" max="12059" width="18.7265625" style="16" customWidth="1"/>
    <col min="12060" max="12060" width="13.7265625" style="16" bestFit="1" customWidth="1"/>
    <col min="12061" max="12061" width="17.26953125" style="16" customWidth="1"/>
    <col min="12062" max="12062" width="11" style="16" customWidth="1"/>
    <col min="12063" max="12063" width="12" style="16" bestFit="1" customWidth="1"/>
    <col min="12064" max="12064" width="14.81640625" style="16" customWidth="1"/>
    <col min="12065" max="12314" width="11.453125" style="16"/>
    <col min="12315" max="12315" width="18.7265625" style="16" customWidth="1"/>
    <col min="12316" max="12316" width="13.7265625" style="16" bestFit="1" customWidth="1"/>
    <col min="12317" max="12317" width="17.26953125" style="16" customWidth="1"/>
    <col min="12318" max="12318" width="11" style="16" customWidth="1"/>
    <col min="12319" max="12319" width="12" style="16" bestFit="1" customWidth="1"/>
    <col min="12320" max="12320" width="14.81640625" style="16" customWidth="1"/>
    <col min="12321" max="12570" width="11.453125" style="16"/>
    <col min="12571" max="12571" width="18.7265625" style="16" customWidth="1"/>
    <col min="12572" max="12572" width="13.7265625" style="16" bestFit="1" customWidth="1"/>
    <col min="12573" max="12573" width="17.26953125" style="16" customWidth="1"/>
    <col min="12574" max="12574" width="11" style="16" customWidth="1"/>
    <col min="12575" max="12575" width="12" style="16" bestFit="1" customWidth="1"/>
    <col min="12576" max="12576" width="14.81640625" style="16" customWidth="1"/>
    <col min="12577" max="12826" width="11.453125" style="16"/>
    <col min="12827" max="12827" width="18.7265625" style="16" customWidth="1"/>
    <col min="12828" max="12828" width="13.7265625" style="16" bestFit="1" customWidth="1"/>
    <col min="12829" max="12829" width="17.26953125" style="16" customWidth="1"/>
    <col min="12830" max="12830" width="11" style="16" customWidth="1"/>
    <col min="12831" max="12831" width="12" style="16" bestFit="1" customWidth="1"/>
    <col min="12832" max="12832" width="14.81640625" style="16" customWidth="1"/>
    <col min="12833" max="13082" width="11.453125" style="16"/>
    <col min="13083" max="13083" width="18.7265625" style="16" customWidth="1"/>
    <col min="13084" max="13084" width="13.7265625" style="16" bestFit="1" customWidth="1"/>
    <col min="13085" max="13085" width="17.26953125" style="16" customWidth="1"/>
    <col min="13086" max="13086" width="11" style="16" customWidth="1"/>
    <col min="13087" max="13087" width="12" style="16" bestFit="1" customWidth="1"/>
    <col min="13088" max="13088" width="14.81640625" style="16" customWidth="1"/>
    <col min="13089" max="13338" width="11.453125" style="16"/>
    <col min="13339" max="13339" width="18.7265625" style="16" customWidth="1"/>
    <col min="13340" max="13340" width="13.7265625" style="16" bestFit="1" customWidth="1"/>
    <col min="13341" max="13341" width="17.26953125" style="16" customWidth="1"/>
    <col min="13342" max="13342" width="11" style="16" customWidth="1"/>
    <col min="13343" max="13343" width="12" style="16" bestFit="1" customWidth="1"/>
    <col min="13344" max="13344" width="14.81640625" style="16" customWidth="1"/>
    <col min="13345" max="13594" width="11.453125" style="16"/>
    <col min="13595" max="13595" width="18.7265625" style="16" customWidth="1"/>
    <col min="13596" max="13596" width="13.7265625" style="16" bestFit="1" customWidth="1"/>
    <col min="13597" max="13597" width="17.26953125" style="16" customWidth="1"/>
    <col min="13598" max="13598" width="11" style="16" customWidth="1"/>
    <col min="13599" max="13599" width="12" style="16" bestFit="1" customWidth="1"/>
    <col min="13600" max="13600" width="14.81640625" style="16" customWidth="1"/>
    <col min="13601" max="13850" width="11.453125" style="16"/>
    <col min="13851" max="13851" width="18.7265625" style="16" customWidth="1"/>
    <col min="13852" max="13852" width="13.7265625" style="16" bestFit="1" customWidth="1"/>
    <col min="13853" max="13853" width="17.26953125" style="16" customWidth="1"/>
    <col min="13854" max="13854" width="11" style="16" customWidth="1"/>
    <col min="13855" max="13855" width="12" style="16" bestFit="1" customWidth="1"/>
    <col min="13856" max="13856" width="14.81640625" style="16" customWidth="1"/>
    <col min="13857" max="14106" width="11.453125" style="16"/>
    <col min="14107" max="14107" width="18.7265625" style="16" customWidth="1"/>
    <col min="14108" max="14108" width="13.7265625" style="16" bestFit="1" customWidth="1"/>
    <col min="14109" max="14109" width="17.26953125" style="16" customWidth="1"/>
    <col min="14110" max="14110" width="11" style="16" customWidth="1"/>
    <col min="14111" max="14111" width="12" style="16" bestFit="1" customWidth="1"/>
    <col min="14112" max="14112" width="14.81640625" style="16" customWidth="1"/>
    <col min="14113" max="14362" width="11.453125" style="16"/>
    <col min="14363" max="14363" width="18.7265625" style="16" customWidth="1"/>
    <col min="14364" max="14364" width="13.7265625" style="16" bestFit="1" customWidth="1"/>
    <col min="14365" max="14365" width="17.26953125" style="16" customWidth="1"/>
    <col min="14366" max="14366" width="11" style="16" customWidth="1"/>
    <col min="14367" max="14367" width="12" style="16" bestFit="1" customWidth="1"/>
    <col min="14368" max="14368" width="14.81640625" style="16" customWidth="1"/>
    <col min="14369" max="14618" width="11.453125" style="16"/>
    <col min="14619" max="14619" width="18.7265625" style="16" customWidth="1"/>
    <col min="14620" max="14620" width="13.7265625" style="16" bestFit="1" customWidth="1"/>
    <col min="14621" max="14621" width="17.26953125" style="16" customWidth="1"/>
    <col min="14622" max="14622" width="11" style="16" customWidth="1"/>
    <col min="14623" max="14623" width="12" style="16" bestFit="1" customWidth="1"/>
    <col min="14624" max="14624" width="14.81640625" style="16" customWidth="1"/>
    <col min="14625" max="14874" width="11.453125" style="16"/>
    <col min="14875" max="14875" width="18.7265625" style="16" customWidth="1"/>
    <col min="14876" max="14876" width="13.7265625" style="16" bestFit="1" customWidth="1"/>
    <col min="14877" max="14877" width="17.26953125" style="16" customWidth="1"/>
    <col min="14878" max="14878" width="11" style="16" customWidth="1"/>
    <col min="14879" max="14879" width="12" style="16" bestFit="1" customWidth="1"/>
    <col min="14880" max="14880" width="14.81640625" style="16" customWidth="1"/>
    <col min="14881" max="15130" width="11.453125" style="16"/>
    <col min="15131" max="15131" width="18.7265625" style="16" customWidth="1"/>
    <col min="15132" max="15132" width="13.7265625" style="16" bestFit="1" customWidth="1"/>
    <col min="15133" max="15133" width="17.26953125" style="16" customWidth="1"/>
    <col min="15134" max="15134" width="11" style="16" customWidth="1"/>
    <col min="15135" max="15135" width="12" style="16" bestFit="1" customWidth="1"/>
    <col min="15136" max="15136" width="14.81640625" style="16" customWidth="1"/>
    <col min="15137" max="15386" width="11.453125" style="16"/>
    <col min="15387" max="15387" width="18.7265625" style="16" customWidth="1"/>
    <col min="15388" max="15388" width="13.7265625" style="16" bestFit="1" customWidth="1"/>
    <col min="15389" max="15389" width="17.26953125" style="16" customWidth="1"/>
    <col min="15390" max="15390" width="11" style="16" customWidth="1"/>
    <col min="15391" max="15391" width="12" style="16" bestFit="1" customWidth="1"/>
    <col min="15392" max="15392" width="14.81640625" style="16" customWidth="1"/>
    <col min="15393" max="15642" width="11.453125" style="16"/>
    <col min="15643" max="15643" width="18.7265625" style="16" customWidth="1"/>
    <col min="15644" max="15644" width="13.7265625" style="16" bestFit="1" customWidth="1"/>
    <col min="15645" max="15645" width="17.26953125" style="16" customWidth="1"/>
    <col min="15646" max="15646" width="11" style="16" customWidth="1"/>
    <col min="15647" max="15647" width="12" style="16" bestFit="1" customWidth="1"/>
    <col min="15648" max="15648" width="14.81640625" style="16" customWidth="1"/>
    <col min="15649" max="15898" width="11.453125" style="16"/>
    <col min="15899" max="15899" width="18.7265625" style="16" customWidth="1"/>
    <col min="15900" max="15900" width="13.7265625" style="16" bestFit="1" customWidth="1"/>
    <col min="15901" max="15901" width="17.26953125" style="16" customWidth="1"/>
    <col min="15902" max="15902" width="11" style="16" customWidth="1"/>
    <col min="15903" max="15903" width="12" style="16" bestFit="1" customWidth="1"/>
    <col min="15904" max="15904" width="14.81640625" style="16" customWidth="1"/>
    <col min="15905" max="16154" width="11.453125" style="16"/>
    <col min="16155" max="16155" width="18.7265625" style="16" customWidth="1"/>
    <col min="16156" max="16156" width="13.7265625" style="16" bestFit="1" customWidth="1"/>
    <col min="16157" max="16157" width="17.26953125" style="16" customWidth="1"/>
    <col min="16158" max="16158" width="11" style="16" customWidth="1"/>
    <col min="16159" max="16159" width="12" style="16" bestFit="1" customWidth="1"/>
    <col min="16160" max="16160" width="14.81640625" style="16" customWidth="1"/>
    <col min="16161" max="16384" width="11.453125" style="16"/>
  </cols>
  <sheetData>
    <row r="2" spans="1:37" x14ac:dyDescent="0.25">
      <c r="A2" s="16" t="s">
        <v>70</v>
      </c>
      <c r="B2" s="62">
        <f>'pooled normalised values'!B75</f>
        <v>1.885732401528243E-2</v>
      </c>
      <c r="D2" s="16" t="s">
        <v>9</v>
      </c>
      <c r="E2" s="17"/>
      <c r="F2" s="18" t="e">
        <f>'pooled normalised values'!#REF!</f>
        <v>#REF!</v>
      </c>
      <c r="G2" s="18" t="e">
        <f>'pooled normalised values'!#REF!</f>
        <v>#REF!</v>
      </c>
      <c r="H2" s="18" t="e">
        <f>'pooled normalised values'!#REF!</f>
        <v>#REF!</v>
      </c>
      <c r="I2" s="18" t="e">
        <f>'pooled normalised values'!#REF!</f>
        <v>#REF!</v>
      </c>
      <c r="J2" s="18" t="e">
        <f>'pooled normalised values'!#REF!</f>
        <v>#REF!</v>
      </c>
      <c r="K2" s="18" t="e">
        <f>'pooled normalised values'!#REF!</f>
        <v>#REF!</v>
      </c>
      <c r="L2" s="18" t="e">
        <f>'pooled normalised values'!#REF!</f>
        <v>#REF!</v>
      </c>
      <c r="M2" s="18" t="e">
        <f>'pooled normalised values'!#REF!</f>
        <v>#REF!</v>
      </c>
      <c r="N2" s="18" t="e">
        <f>'pooled normalised values'!#REF!</f>
        <v>#REF!</v>
      </c>
      <c r="O2" s="18" t="e">
        <f>'pooled normalised values'!#REF!</f>
        <v>#REF!</v>
      </c>
      <c r="P2" s="18" t="e">
        <f>'pooled normalised values'!#REF!</f>
        <v>#REF!</v>
      </c>
      <c r="Q2" s="18" t="e">
        <f>'pooled normalised values'!#REF!</f>
        <v>#REF!</v>
      </c>
      <c r="R2" s="18" t="e">
        <f>'pooled normalised values'!#REF!</f>
        <v>#REF!</v>
      </c>
      <c r="S2" s="18" t="e">
        <f>'pooled normalised values'!#REF!</f>
        <v>#REF!</v>
      </c>
      <c r="T2" s="17"/>
      <c r="U2" s="19"/>
      <c r="V2" s="18" t="e">
        <f>'pooled normalised values'!#REF!</f>
        <v>#REF!</v>
      </c>
      <c r="W2" s="18" t="e">
        <f>'pooled normalised values'!#REF!</f>
        <v>#REF!</v>
      </c>
      <c r="X2" s="18" t="e">
        <f>'pooled normalised values'!#REF!</f>
        <v>#REF!</v>
      </c>
      <c r="Y2" s="18" t="e">
        <f>'pooled normalised values'!#REF!</f>
        <v>#REF!</v>
      </c>
      <c r="Z2" s="18" t="e">
        <f>'pooled normalised values'!#REF!</f>
        <v>#REF!</v>
      </c>
      <c r="AA2" s="18" t="e">
        <f>'pooled normalised values'!#REF!</f>
        <v>#REF!</v>
      </c>
      <c r="AB2" s="18" t="e">
        <f>'pooled normalised values'!#REF!</f>
        <v>#REF!</v>
      </c>
      <c r="AC2" s="18" t="e">
        <f>'pooled normalised values'!#REF!</f>
        <v>#REF!</v>
      </c>
      <c r="AD2" s="18" t="e">
        <f>'pooled normalised values'!#REF!</f>
        <v>#REF!</v>
      </c>
      <c r="AE2" s="18" t="e">
        <f>'pooled normalised values'!#REF!</f>
        <v>#REF!</v>
      </c>
      <c r="AF2" s="18" t="e">
        <f>'pooled normalised values'!#REF!</f>
        <v>#REF!</v>
      </c>
      <c r="AG2" s="18" t="e">
        <f>'pooled normalised values'!#REF!</f>
        <v>#REF!</v>
      </c>
      <c r="AH2" s="18" t="e">
        <f>'pooled normalised values'!#REF!</f>
        <v>#REF!</v>
      </c>
      <c r="AI2" s="18" t="e">
        <f>'pooled normalised values'!#REF!</f>
        <v>#REF!</v>
      </c>
      <c r="AJ2" s="19"/>
      <c r="AK2" s="16" t="s">
        <v>9</v>
      </c>
    </row>
    <row r="3" spans="1:37" x14ac:dyDescent="0.25">
      <c r="A3" s="16" t="s">
        <v>71</v>
      </c>
      <c r="B3" s="62">
        <f>'summary results'!E6</f>
        <v>0</v>
      </c>
      <c r="D3" s="20" t="s">
        <v>10</v>
      </c>
      <c r="E3" s="21"/>
      <c r="F3" s="18" t="e">
        <f>HLOOKUP(F2,'pooled normalised values'!B74:L83,2,FALSE)</f>
        <v>#REF!</v>
      </c>
      <c r="G3" s="18" t="e">
        <f>HLOOKUP(G2,'pooled normalised values'!C74:M83,2,FALSE)</f>
        <v>#REF!</v>
      </c>
      <c r="H3" s="18" t="e">
        <f>HLOOKUP(H2,'pooled normalised values'!C74:N83,2,FALSE)</f>
        <v>#REF!</v>
      </c>
      <c r="I3" s="18" t="e">
        <f>HLOOKUP(I2,'pooled normalised values'!D74:O83,2,FALSE)</f>
        <v>#REF!</v>
      </c>
      <c r="J3" s="18" t="e">
        <f>HLOOKUP(J2,'pooled normalised values'!E74:P83,2,FALSE)</f>
        <v>#REF!</v>
      </c>
      <c r="K3" s="18" t="e">
        <f>HLOOKUP(K2,'pooled normalised values'!F74:Q83,2,FALSE)</f>
        <v>#REF!</v>
      </c>
      <c r="L3" s="18" t="e">
        <f>HLOOKUP(L2,'pooled normalised values'!G74:R83,2,FALSE)</f>
        <v>#REF!</v>
      </c>
      <c r="M3" s="18" t="e">
        <f>HLOOKUP(M2,'pooled normalised values'!H74:S83,2,FALSE)</f>
        <v>#REF!</v>
      </c>
      <c r="N3" s="18" t="e">
        <f>HLOOKUP(N2,'pooled normalised values'!I74:T83,2,FALSE)</f>
        <v>#REF!</v>
      </c>
      <c r="O3" s="18" t="e">
        <f>HLOOKUP(O2,'pooled normalised values'!I74:U83,2,FALSE)</f>
        <v>#REF!</v>
      </c>
      <c r="P3" s="18" t="e">
        <f>HLOOKUP(P2,'pooled normalised values'!I74:V83,2,FALSE)</f>
        <v>#REF!</v>
      </c>
      <c r="Q3" s="18" t="e">
        <f>HLOOKUP(Q2,'pooled normalised values'!I74:W83,2,FALSE)</f>
        <v>#REF!</v>
      </c>
      <c r="R3" s="18" t="e">
        <f>HLOOKUP(R2,'pooled normalised values'!I74:X83,2,FALSE)</f>
        <v>#REF!</v>
      </c>
      <c r="S3" s="18" t="e">
        <f>HLOOKUP(S2,'pooled normalised values'!I74:Y83,2,FALSE)</f>
        <v>#REF!</v>
      </c>
      <c r="T3" s="21"/>
      <c r="U3" s="19"/>
      <c r="V3" s="18" t="e">
        <f>HLOOKUP(V2,'pooled normalised values'!I74:AB83,2,FALSE)</f>
        <v>#REF!</v>
      </c>
      <c r="W3" s="18" t="e">
        <f>HLOOKUP(W2,'pooled normalised values'!I74:AC83,2,FALSE)</f>
        <v>#REF!</v>
      </c>
      <c r="X3" s="18" t="e">
        <f>HLOOKUP(X2,'pooled normalised values'!I74:AD83,2,FALSE)</f>
        <v>#REF!</v>
      </c>
      <c r="Y3" s="18" t="e">
        <f>HLOOKUP(Y2,'pooled normalised values'!I74:AE83,2,FALSE)</f>
        <v>#REF!</v>
      </c>
      <c r="Z3" s="18" t="e">
        <f>HLOOKUP(Z2,'pooled normalised values'!I74:AF83,2,FALSE)</f>
        <v>#REF!</v>
      </c>
      <c r="AA3" s="18" t="e">
        <f>HLOOKUP(AA2,'pooled normalised values'!I74:AG83,2,FALSE)</f>
        <v>#REF!</v>
      </c>
      <c r="AB3" s="18" t="e">
        <f>HLOOKUP(AB2,'pooled normalised values'!I74:AH83,2,FALSE)</f>
        <v>#REF!</v>
      </c>
      <c r="AC3" s="18" t="e">
        <f>HLOOKUP(AC2,'pooled normalised values'!I74:AI83,2,FALSE)</f>
        <v>#REF!</v>
      </c>
      <c r="AD3" s="18" t="e">
        <f>HLOOKUP(AD2,'pooled normalised values'!I74:AJ83,2,FALSE)</f>
        <v>#REF!</v>
      </c>
      <c r="AE3" s="18" t="e">
        <f>HLOOKUP(AE2,'pooled normalised values'!I74:AK83,2,FALSE)</f>
        <v>#REF!</v>
      </c>
      <c r="AF3" s="18" t="e">
        <f>HLOOKUP(AF2,'pooled normalised values'!I74:AL83,2,FALSE)</f>
        <v>#REF!</v>
      </c>
      <c r="AG3" s="18" t="e">
        <f>HLOOKUP(AG2,'pooled normalised values'!I74:AM83,2,FALSE)</f>
        <v>#REF!</v>
      </c>
      <c r="AH3" s="18" t="e">
        <f>HLOOKUP(AH2,'pooled normalised values'!I74:AN83,2,FALSE)</f>
        <v>#REF!</v>
      </c>
      <c r="AI3" s="18" t="e">
        <f>HLOOKUP(AI2,'pooled normalised values'!I74:AO83,2,FALSE)</f>
        <v>#REF!</v>
      </c>
      <c r="AJ3" s="19"/>
      <c r="AK3" s="20" t="s">
        <v>10</v>
      </c>
    </row>
    <row r="4" spans="1:37" x14ac:dyDescent="0.25">
      <c r="A4" s="16" t="s">
        <v>72</v>
      </c>
      <c r="B4" s="62">
        <f>'pooled normalised values'!J75</f>
        <v>1</v>
      </c>
      <c r="D4" s="20" t="s">
        <v>2</v>
      </c>
      <c r="E4" s="21"/>
      <c r="F4" s="18" t="e">
        <f>HLOOKUP(F2,'pooled normalised values'!B74:L83,3,FALSE)</f>
        <v>#REF!</v>
      </c>
      <c r="G4" s="18" t="e">
        <f>HLOOKUP(G2,'pooled normalised values'!C74:M83,3,FALSE)</f>
        <v>#REF!</v>
      </c>
      <c r="H4" s="18" t="e">
        <f>HLOOKUP(H2,'pooled normalised values'!C74:N83,3,FALSE)</f>
        <v>#REF!</v>
      </c>
      <c r="I4" s="18" t="e">
        <f>HLOOKUP(I2,'pooled normalised values'!D74:O83,3,FALSE)</f>
        <v>#REF!</v>
      </c>
      <c r="J4" s="18" t="e">
        <f>HLOOKUP(J2,'pooled normalised values'!E74:P83,3,FALSE)</f>
        <v>#REF!</v>
      </c>
      <c r="K4" s="18" t="e">
        <f>HLOOKUP(K2,'pooled normalised values'!F74:Q83,3,FALSE)</f>
        <v>#REF!</v>
      </c>
      <c r="L4" s="18" t="e">
        <f>HLOOKUP(L2,'pooled normalised values'!G74:R83,3,FALSE)</f>
        <v>#REF!</v>
      </c>
      <c r="M4" s="18" t="e">
        <f>HLOOKUP(M2,'pooled normalised values'!H74:S83,3,FALSE)</f>
        <v>#REF!</v>
      </c>
      <c r="N4" s="18" t="e">
        <f>HLOOKUP(N2,'pooled normalised values'!I74:T83,3,FALSE)</f>
        <v>#REF!</v>
      </c>
      <c r="O4" s="18" t="e">
        <f>HLOOKUP(O2,'pooled normalised values'!I74:U83,3,FALSE)</f>
        <v>#REF!</v>
      </c>
      <c r="P4" s="18" t="e">
        <f>HLOOKUP(P2,'pooled normalised values'!I74:V83,3,FALSE)</f>
        <v>#REF!</v>
      </c>
      <c r="Q4" s="18" t="e">
        <f>HLOOKUP(Q2,'pooled normalised values'!I74:W83,3,FALSE)</f>
        <v>#REF!</v>
      </c>
      <c r="R4" s="18" t="e">
        <f>HLOOKUP(R2,'pooled normalised values'!I74:X83,3,FALSE)</f>
        <v>#REF!</v>
      </c>
      <c r="S4" s="18" t="e">
        <f>HLOOKUP(S2,'pooled normalised values'!I74:Y83,3,FALSE)</f>
        <v>#REF!</v>
      </c>
      <c r="T4" s="21"/>
      <c r="U4" s="19"/>
      <c r="V4" s="18" t="e">
        <f>HLOOKUP(V2,'pooled normalised values'!I74:AB83,3,FALSE)</f>
        <v>#REF!</v>
      </c>
      <c r="W4" s="18" t="e">
        <f>HLOOKUP(W2,'pooled normalised values'!I74:AC83,3,FALSE)</f>
        <v>#REF!</v>
      </c>
      <c r="X4" s="18" t="e">
        <f>HLOOKUP(X2,'pooled normalised values'!I74:AD83,3,FALSE)</f>
        <v>#REF!</v>
      </c>
      <c r="Y4" s="18" t="e">
        <f>HLOOKUP(Y2,'pooled normalised values'!I74:AE83,3,FALSE)</f>
        <v>#REF!</v>
      </c>
      <c r="Z4" s="18" t="e">
        <f>HLOOKUP(Z2,'pooled normalised values'!I74:AF83,3,FALSE)</f>
        <v>#REF!</v>
      </c>
      <c r="AA4" s="18" t="e">
        <f>HLOOKUP(AA2,'pooled normalised values'!I74:AG83,3,FALSE)</f>
        <v>#REF!</v>
      </c>
      <c r="AB4" s="18" t="e">
        <f>HLOOKUP(AB2,'pooled normalised values'!I74:AH83,3,FALSE)</f>
        <v>#REF!</v>
      </c>
      <c r="AC4" s="18" t="e">
        <f>HLOOKUP(AC2,'pooled normalised values'!I74:AI83,3,FALSE)</f>
        <v>#REF!</v>
      </c>
      <c r="AD4" s="18" t="e">
        <f>HLOOKUP(AD2,'pooled normalised values'!I74:AJ83,3,FALSE)</f>
        <v>#REF!</v>
      </c>
      <c r="AE4" s="18" t="e">
        <f>HLOOKUP(AE2,'pooled normalised values'!I74:AK83,3,FALSE)</f>
        <v>#REF!</v>
      </c>
      <c r="AF4" s="18" t="e">
        <f>HLOOKUP(AF2,'pooled normalised values'!I74:AL83,3,FALSE)</f>
        <v>#REF!</v>
      </c>
      <c r="AG4" s="18" t="e">
        <f>HLOOKUP(AG2,'pooled normalised values'!I74:AM83,3,FALSE)</f>
        <v>#REF!</v>
      </c>
      <c r="AH4" s="18" t="e">
        <f>HLOOKUP(AH2,'pooled normalised values'!I74:AN83,3,FALSE)</f>
        <v>#REF!</v>
      </c>
      <c r="AI4" s="18" t="e">
        <f>HLOOKUP(AI2,'pooled normalised values'!I74:AO83,3,FALSE)</f>
        <v>#REF!</v>
      </c>
      <c r="AJ4" s="19"/>
      <c r="AK4" s="20" t="s">
        <v>2</v>
      </c>
    </row>
    <row r="5" spans="1:37" x14ac:dyDescent="0.25">
      <c r="A5" s="16" t="s">
        <v>73</v>
      </c>
      <c r="B5" s="62">
        <f>'pooled normalised values'!K75</f>
        <v>1.2135868175439319</v>
      </c>
      <c r="D5" s="22" t="s">
        <v>11</v>
      </c>
      <c r="E5" s="21"/>
      <c r="F5" s="18" t="e">
        <f>HLOOKUP(F2,'pooled normalised values'!B74:L83,10,FALSE)</f>
        <v>#REF!</v>
      </c>
      <c r="G5" s="18" t="e">
        <f>HLOOKUP(G2,'pooled normalised values'!C74:M83,10,FALSE)</f>
        <v>#REF!</v>
      </c>
      <c r="H5" s="18" t="e">
        <f>HLOOKUP(H2,'pooled normalised values'!C74:N83,10,FALSE)</f>
        <v>#REF!</v>
      </c>
      <c r="I5" s="18" t="e">
        <f>HLOOKUP(I2,'pooled normalised values'!D74:O83,10,FALSE)</f>
        <v>#REF!</v>
      </c>
      <c r="J5" s="18" t="e">
        <f>HLOOKUP(J2,'pooled normalised values'!E74:P83,10,FALSE)</f>
        <v>#REF!</v>
      </c>
      <c r="K5" s="18" t="e">
        <f>HLOOKUP(K2,'pooled normalised values'!F74:Q83,10,FALSE)</f>
        <v>#REF!</v>
      </c>
      <c r="L5" s="18" t="e">
        <f>HLOOKUP(L2,'pooled normalised values'!G74:R83,10,FALSE)</f>
        <v>#REF!</v>
      </c>
      <c r="M5" s="18" t="e">
        <f>HLOOKUP(M2,'pooled normalised values'!H74:S83,10,FALSE)</f>
        <v>#REF!</v>
      </c>
      <c r="N5" s="18" t="e">
        <f>HLOOKUP(N2,'pooled normalised values'!I74:T83,10,FALSE)</f>
        <v>#REF!</v>
      </c>
      <c r="O5" s="18" t="e">
        <f>HLOOKUP(O2,'pooled normalised values'!I74:U83,10,FALSE)</f>
        <v>#REF!</v>
      </c>
      <c r="P5" s="18" t="e">
        <f>HLOOKUP(P2,'pooled normalised values'!I74:V83,10,FALSE)</f>
        <v>#REF!</v>
      </c>
      <c r="Q5" s="18" t="e">
        <f>HLOOKUP(Q2,'pooled normalised values'!I74:W83,10,FALSE)</f>
        <v>#REF!</v>
      </c>
      <c r="R5" s="18" t="e">
        <f>HLOOKUP(R2,'pooled normalised values'!I74:X83,10,FALSE)</f>
        <v>#REF!</v>
      </c>
      <c r="S5" s="18" t="e">
        <f>HLOOKUP(S2,'pooled normalised values'!I74:Y83,10,FALSE)</f>
        <v>#REF!</v>
      </c>
      <c r="T5" s="21"/>
      <c r="U5" s="19"/>
      <c r="V5" s="18" t="e">
        <f>HLOOKUP(V2,'pooled normalised values'!I74:AB83,10,FALSE)</f>
        <v>#REF!</v>
      </c>
      <c r="W5" s="18" t="e">
        <f>HLOOKUP(W2,'pooled normalised values'!I74:AC83,10,FALSE)</f>
        <v>#REF!</v>
      </c>
      <c r="X5" s="18" t="e">
        <f>HLOOKUP(X2,'pooled normalised values'!I74:AD83,10,FALSE)</f>
        <v>#REF!</v>
      </c>
      <c r="Y5" s="18" t="e">
        <f>HLOOKUP(Y2,'pooled normalised values'!I74:AE83,10,FALSE)</f>
        <v>#REF!</v>
      </c>
      <c r="Z5" s="18" t="e">
        <f>HLOOKUP(Z2,'pooled normalised values'!I74:AF83,10,FALSE)</f>
        <v>#REF!</v>
      </c>
      <c r="AA5" s="18" t="e">
        <f>HLOOKUP(AA2,'pooled normalised values'!I74:AG83,10,FALSE)</f>
        <v>#REF!</v>
      </c>
      <c r="AB5" s="18" t="e">
        <f>HLOOKUP(AB2,'pooled normalised values'!I74:AH83,10,FALSE)</f>
        <v>#REF!</v>
      </c>
      <c r="AC5" s="18" t="e">
        <f>HLOOKUP(AC2,'pooled normalised values'!I74:AI83,10,FALSE)</f>
        <v>#REF!</v>
      </c>
      <c r="AD5" s="18" t="e">
        <f>HLOOKUP(AD2,'pooled normalised values'!I74:AJ83,10,FALSE)</f>
        <v>#REF!</v>
      </c>
      <c r="AE5" s="18" t="e">
        <f>HLOOKUP(AE2,'pooled normalised values'!I74:AK83,10,FALSE)</f>
        <v>#REF!</v>
      </c>
      <c r="AF5" s="18" t="e">
        <f>HLOOKUP(AF2,'pooled normalised values'!I74:AL83,10,FALSE)</f>
        <v>#REF!</v>
      </c>
      <c r="AG5" s="18" t="e">
        <f>HLOOKUP(AG2,'pooled normalised values'!I74:AM83,10,FALSE)</f>
        <v>#REF!</v>
      </c>
      <c r="AH5" s="18" t="e">
        <f>HLOOKUP(AH2,'pooled normalised values'!I74:AN83,10,FALSE)</f>
        <v>#REF!</v>
      </c>
      <c r="AI5" s="18" t="e">
        <f>HLOOKUP(AI2,'pooled normalised values'!I74:AO83,10,FALSE)</f>
        <v>#REF!</v>
      </c>
      <c r="AJ5" s="19"/>
      <c r="AK5" s="22" t="s">
        <v>11</v>
      </c>
    </row>
    <row r="6" spans="1:37" x14ac:dyDescent="0.25">
      <c r="A6" s="16" t="s">
        <v>74</v>
      </c>
      <c r="B6" s="62">
        <f>'pooled normalised values'!L75</f>
        <v>6.6476901883555831E-2</v>
      </c>
      <c r="D6" s="20" t="s">
        <v>12</v>
      </c>
      <c r="E6" s="23">
        <f>$B$2</f>
        <v>1.885732401528243E-2</v>
      </c>
      <c r="F6" s="23">
        <f>$B$2</f>
        <v>1.885732401528243E-2</v>
      </c>
      <c r="G6" s="23">
        <f t="shared" ref="G6:R6" si="0">$B$2</f>
        <v>1.885732401528243E-2</v>
      </c>
      <c r="H6" s="23">
        <f t="shared" si="0"/>
        <v>1.885732401528243E-2</v>
      </c>
      <c r="I6" s="23">
        <f t="shared" si="0"/>
        <v>1.885732401528243E-2</v>
      </c>
      <c r="J6" s="23">
        <f t="shared" si="0"/>
        <v>1.885732401528243E-2</v>
      </c>
      <c r="K6" s="23">
        <f t="shared" si="0"/>
        <v>1.885732401528243E-2</v>
      </c>
      <c r="L6" s="23">
        <f t="shared" si="0"/>
        <v>1.885732401528243E-2</v>
      </c>
      <c r="M6" s="23">
        <f t="shared" si="0"/>
        <v>1.885732401528243E-2</v>
      </c>
      <c r="N6" s="23">
        <f t="shared" si="0"/>
        <v>1.885732401528243E-2</v>
      </c>
      <c r="O6" s="23">
        <f t="shared" si="0"/>
        <v>1.885732401528243E-2</v>
      </c>
      <c r="P6" s="23">
        <f t="shared" si="0"/>
        <v>1.885732401528243E-2</v>
      </c>
      <c r="Q6" s="23">
        <f t="shared" si="0"/>
        <v>1.885732401528243E-2</v>
      </c>
      <c r="R6" s="23">
        <f t="shared" si="0"/>
        <v>1.885732401528243E-2</v>
      </c>
      <c r="S6" s="23">
        <f>$B$2</f>
        <v>1.885732401528243E-2</v>
      </c>
      <c r="T6" s="23">
        <f>$B$2</f>
        <v>1.885732401528243E-2</v>
      </c>
      <c r="U6" s="24"/>
      <c r="V6" s="24"/>
      <c r="W6" s="24"/>
      <c r="X6" s="24"/>
      <c r="Y6" s="24"/>
      <c r="Z6" s="24"/>
      <c r="AA6" s="24"/>
      <c r="AB6" s="24"/>
      <c r="AC6" s="24"/>
      <c r="AD6" s="24"/>
      <c r="AE6" s="24"/>
      <c r="AF6" s="24"/>
      <c r="AG6" s="24"/>
      <c r="AH6" s="24"/>
      <c r="AI6" s="24"/>
      <c r="AJ6" s="24"/>
      <c r="AK6" s="20" t="s">
        <v>12</v>
      </c>
    </row>
    <row r="7" spans="1:37" x14ac:dyDescent="0.25">
      <c r="B7" s="25"/>
      <c r="D7" s="25" t="s">
        <v>13</v>
      </c>
      <c r="E7" s="23"/>
      <c r="F7" s="23"/>
      <c r="G7" s="23"/>
      <c r="H7" s="23"/>
      <c r="I7" s="23"/>
      <c r="J7" s="23"/>
      <c r="K7" s="23"/>
      <c r="L7" s="23"/>
      <c r="M7" s="23"/>
      <c r="N7" s="23"/>
      <c r="O7" s="23"/>
      <c r="P7" s="23"/>
      <c r="Q7" s="23"/>
      <c r="R7" s="23"/>
      <c r="S7" s="23"/>
      <c r="T7" s="26"/>
      <c r="U7" s="24">
        <f t="shared" ref="U7:AJ7" si="1">$B$4</f>
        <v>1</v>
      </c>
      <c r="V7" s="24">
        <f t="shared" si="1"/>
        <v>1</v>
      </c>
      <c r="W7" s="24">
        <f t="shared" si="1"/>
        <v>1</v>
      </c>
      <c r="X7" s="24">
        <f t="shared" si="1"/>
        <v>1</v>
      </c>
      <c r="Y7" s="24">
        <f t="shared" si="1"/>
        <v>1</v>
      </c>
      <c r="Z7" s="24">
        <f t="shared" si="1"/>
        <v>1</v>
      </c>
      <c r="AA7" s="24">
        <f t="shared" si="1"/>
        <v>1</v>
      </c>
      <c r="AB7" s="24">
        <f t="shared" si="1"/>
        <v>1</v>
      </c>
      <c r="AC7" s="24">
        <f t="shared" si="1"/>
        <v>1</v>
      </c>
      <c r="AD7" s="24">
        <f t="shared" si="1"/>
        <v>1</v>
      </c>
      <c r="AE7" s="24">
        <f t="shared" si="1"/>
        <v>1</v>
      </c>
      <c r="AF7" s="24">
        <f t="shared" si="1"/>
        <v>1</v>
      </c>
      <c r="AG7" s="24">
        <f t="shared" si="1"/>
        <v>1</v>
      </c>
      <c r="AH7" s="24">
        <f t="shared" si="1"/>
        <v>1</v>
      </c>
      <c r="AI7" s="24">
        <f t="shared" si="1"/>
        <v>1</v>
      </c>
      <c r="AJ7" s="24">
        <f t="shared" si="1"/>
        <v>1</v>
      </c>
      <c r="AK7" s="25" t="s">
        <v>13</v>
      </c>
    </row>
    <row r="8" spans="1:37" x14ac:dyDescent="0.25">
      <c r="D8" s="27" t="s">
        <v>14</v>
      </c>
      <c r="E8" s="23">
        <v>0</v>
      </c>
      <c r="F8" s="23">
        <v>0</v>
      </c>
      <c r="G8" s="23">
        <v>0</v>
      </c>
      <c r="H8" s="23">
        <v>0</v>
      </c>
      <c r="I8" s="23">
        <v>0</v>
      </c>
      <c r="J8" s="23">
        <v>0</v>
      </c>
      <c r="K8" s="23">
        <v>0</v>
      </c>
      <c r="L8" s="23">
        <v>0</v>
      </c>
      <c r="M8" s="23">
        <v>0</v>
      </c>
      <c r="N8" s="23">
        <v>0</v>
      </c>
      <c r="O8" s="23">
        <v>0</v>
      </c>
      <c r="P8" s="23">
        <v>0</v>
      </c>
      <c r="Q8" s="23">
        <v>0</v>
      </c>
      <c r="R8" s="23">
        <v>0</v>
      </c>
      <c r="S8" s="23">
        <v>0</v>
      </c>
      <c r="T8" s="26">
        <v>0</v>
      </c>
      <c r="U8" s="24">
        <f>$B$6</f>
        <v>6.6476901883555831E-2</v>
      </c>
      <c r="V8" s="24">
        <f t="shared" ref="V8:AJ8" si="2">$B$6</f>
        <v>6.6476901883555831E-2</v>
      </c>
      <c r="W8" s="24">
        <f t="shared" si="2"/>
        <v>6.6476901883555831E-2</v>
      </c>
      <c r="X8" s="24">
        <f t="shared" si="2"/>
        <v>6.6476901883555831E-2</v>
      </c>
      <c r="Y8" s="24">
        <f t="shared" si="2"/>
        <v>6.6476901883555831E-2</v>
      </c>
      <c r="Z8" s="24">
        <f t="shared" si="2"/>
        <v>6.6476901883555831E-2</v>
      </c>
      <c r="AA8" s="24">
        <f t="shared" si="2"/>
        <v>6.6476901883555831E-2</v>
      </c>
      <c r="AB8" s="24">
        <f t="shared" si="2"/>
        <v>6.6476901883555831E-2</v>
      </c>
      <c r="AC8" s="24">
        <f t="shared" si="2"/>
        <v>6.6476901883555831E-2</v>
      </c>
      <c r="AD8" s="24">
        <f t="shared" si="2"/>
        <v>6.6476901883555831E-2</v>
      </c>
      <c r="AE8" s="24">
        <f t="shared" si="2"/>
        <v>6.6476901883555831E-2</v>
      </c>
      <c r="AF8" s="24">
        <f t="shared" si="2"/>
        <v>6.6476901883555831E-2</v>
      </c>
      <c r="AG8" s="24">
        <f t="shared" si="2"/>
        <v>6.6476901883555831E-2</v>
      </c>
      <c r="AH8" s="24">
        <f t="shared" si="2"/>
        <v>6.6476901883555831E-2</v>
      </c>
      <c r="AI8" s="24">
        <f t="shared" si="2"/>
        <v>6.6476901883555831E-2</v>
      </c>
      <c r="AJ8" s="24">
        <f t="shared" si="2"/>
        <v>6.6476901883555831E-2</v>
      </c>
      <c r="AK8" s="27" t="s">
        <v>14</v>
      </c>
    </row>
    <row r="9" spans="1:37" x14ac:dyDescent="0.25">
      <c r="D9" s="27" t="s">
        <v>15</v>
      </c>
      <c r="E9" s="28">
        <f>$B$3-E8</f>
        <v>0</v>
      </c>
      <c r="F9" s="28">
        <f>$B$3-F8</f>
        <v>0</v>
      </c>
      <c r="G9" s="28">
        <f t="shared" ref="G9:R9" si="3">$B$3-G8</f>
        <v>0</v>
      </c>
      <c r="H9" s="28">
        <f t="shared" si="3"/>
        <v>0</v>
      </c>
      <c r="I9" s="28">
        <f t="shared" si="3"/>
        <v>0</v>
      </c>
      <c r="J9" s="28">
        <f t="shared" si="3"/>
        <v>0</v>
      </c>
      <c r="K9" s="28">
        <f t="shared" si="3"/>
        <v>0</v>
      </c>
      <c r="L9" s="28">
        <f t="shared" si="3"/>
        <v>0</v>
      </c>
      <c r="M9" s="28">
        <f t="shared" si="3"/>
        <v>0</v>
      </c>
      <c r="N9" s="28">
        <f t="shared" si="3"/>
        <v>0</v>
      </c>
      <c r="O9" s="28">
        <f t="shared" si="3"/>
        <v>0</v>
      </c>
      <c r="P9" s="28">
        <f t="shared" si="3"/>
        <v>0</v>
      </c>
      <c r="Q9" s="28">
        <f t="shared" si="3"/>
        <v>0</v>
      </c>
      <c r="R9" s="28">
        <f t="shared" si="3"/>
        <v>0</v>
      </c>
      <c r="S9" s="28">
        <f>$B$3-S8</f>
        <v>0</v>
      </c>
      <c r="T9" s="28">
        <f>$B$3-T8</f>
        <v>0</v>
      </c>
      <c r="U9" s="24">
        <f>$B$5-U8</f>
        <v>1.1471099156603761</v>
      </c>
      <c r="V9" s="24">
        <f>$B$5-V8</f>
        <v>1.1471099156603761</v>
      </c>
      <c r="W9" s="24">
        <f t="shared" ref="W9:AH9" si="4">$B$5-W8</f>
        <v>1.1471099156603761</v>
      </c>
      <c r="X9" s="24">
        <f t="shared" si="4"/>
        <v>1.1471099156603761</v>
      </c>
      <c r="Y9" s="24">
        <f t="shared" si="4"/>
        <v>1.1471099156603761</v>
      </c>
      <c r="Z9" s="24">
        <f t="shared" si="4"/>
        <v>1.1471099156603761</v>
      </c>
      <c r="AA9" s="24">
        <f t="shared" si="4"/>
        <v>1.1471099156603761</v>
      </c>
      <c r="AB9" s="24">
        <f t="shared" si="4"/>
        <v>1.1471099156603761</v>
      </c>
      <c r="AC9" s="24">
        <f t="shared" si="4"/>
        <v>1.1471099156603761</v>
      </c>
      <c r="AD9" s="24">
        <f t="shared" si="4"/>
        <v>1.1471099156603761</v>
      </c>
      <c r="AE9" s="24">
        <f t="shared" si="4"/>
        <v>1.1471099156603761</v>
      </c>
      <c r="AF9" s="24">
        <f t="shared" si="4"/>
        <v>1.1471099156603761</v>
      </c>
      <c r="AG9" s="24">
        <f t="shared" si="4"/>
        <v>1.1471099156603761</v>
      </c>
      <c r="AH9" s="24">
        <f t="shared" si="4"/>
        <v>1.1471099156603761</v>
      </c>
      <c r="AI9" s="24">
        <f>$B$5-AI8</f>
        <v>1.1471099156603761</v>
      </c>
      <c r="AJ9" s="24">
        <f>$B$5-AJ8</f>
        <v>1.1471099156603761</v>
      </c>
      <c r="AK9" s="27" t="s">
        <v>15</v>
      </c>
    </row>
    <row r="10" spans="1:37" x14ac:dyDescent="0.25">
      <c r="D10" s="27" t="s">
        <v>16</v>
      </c>
      <c r="E10" s="26">
        <f>2.5-E9</f>
        <v>2.5</v>
      </c>
      <c r="F10" s="26">
        <f>2.5-F9</f>
        <v>2.5</v>
      </c>
      <c r="G10" s="26">
        <f t="shared" ref="G10:R10" si="5">2.5-G9</f>
        <v>2.5</v>
      </c>
      <c r="H10" s="26">
        <f t="shared" si="5"/>
        <v>2.5</v>
      </c>
      <c r="I10" s="26">
        <f t="shared" si="5"/>
        <v>2.5</v>
      </c>
      <c r="J10" s="26">
        <f t="shared" si="5"/>
        <v>2.5</v>
      </c>
      <c r="K10" s="26">
        <f t="shared" si="5"/>
        <v>2.5</v>
      </c>
      <c r="L10" s="26">
        <f t="shared" si="5"/>
        <v>2.5</v>
      </c>
      <c r="M10" s="26">
        <f t="shared" si="5"/>
        <v>2.5</v>
      </c>
      <c r="N10" s="26">
        <f t="shared" si="5"/>
        <v>2.5</v>
      </c>
      <c r="O10" s="26">
        <f t="shared" si="5"/>
        <v>2.5</v>
      </c>
      <c r="P10" s="26">
        <f t="shared" si="5"/>
        <v>2.5</v>
      </c>
      <c r="Q10" s="26">
        <f t="shared" si="5"/>
        <v>2.5</v>
      </c>
      <c r="R10" s="26">
        <f t="shared" si="5"/>
        <v>2.5</v>
      </c>
      <c r="S10" s="26">
        <f>2.5-S9</f>
        <v>2.5</v>
      </c>
      <c r="T10" s="26">
        <f>2.5-T9</f>
        <v>2.5</v>
      </c>
      <c r="U10" s="24">
        <f>2.5-U9</f>
        <v>1.3528900843396239</v>
      </c>
      <c r="V10" s="24">
        <f>2.5-V9</f>
        <v>1.3528900843396239</v>
      </c>
      <c r="W10" s="24">
        <f t="shared" ref="W10:AH10" si="6">2.5-W9</f>
        <v>1.3528900843396239</v>
      </c>
      <c r="X10" s="24">
        <f t="shared" si="6"/>
        <v>1.3528900843396239</v>
      </c>
      <c r="Y10" s="24">
        <f t="shared" si="6"/>
        <v>1.3528900843396239</v>
      </c>
      <c r="Z10" s="24">
        <f t="shared" si="6"/>
        <v>1.3528900843396239</v>
      </c>
      <c r="AA10" s="24">
        <f t="shared" si="6"/>
        <v>1.3528900843396239</v>
      </c>
      <c r="AB10" s="24">
        <f t="shared" si="6"/>
        <v>1.3528900843396239</v>
      </c>
      <c r="AC10" s="24">
        <f t="shared" si="6"/>
        <v>1.3528900843396239</v>
      </c>
      <c r="AD10" s="24">
        <f t="shared" si="6"/>
        <v>1.3528900843396239</v>
      </c>
      <c r="AE10" s="24">
        <f t="shared" si="6"/>
        <v>1.3528900843396239</v>
      </c>
      <c r="AF10" s="24">
        <f t="shared" si="6"/>
        <v>1.3528900843396239</v>
      </c>
      <c r="AG10" s="24">
        <f t="shared" si="6"/>
        <v>1.3528900843396239</v>
      </c>
      <c r="AH10" s="24">
        <f t="shared" si="6"/>
        <v>1.3528900843396239</v>
      </c>
      <c r="AI10" s="24">
        <f>2.5-AI9</f>
        <v>1.3528900843396239</v>
      </c>
      <c r="AJ10" s="24">
        <f>2.5-AJ9</f>
        <v>1.3528900843396239</v>
      </c>
      <c r="AK10" s="27" t="s">
        <v>16</v>
      </c>
    </row>
    <row r="17" spans="2:20" x14ac:dyDescent="0.25">
      <c r="C17" s="22"/>
      <c r="D17" s="22"/>
    </row>
    <row r="18" spans="2:20" x14ac:dyDescent="0.25">
      <c r="B18" s="29"/>
    </row>
    <row r="19" spans="2:20" x14ac:dyDescent="0.25">
      <c r="B19" s="29"/>
    </row>
    <row r="20" spans="2:20" x14ac:dyDescent="0.25">
      <c r="B20" s="30"/>
    </row>
    <row r="21" spans="2:20" x14ac:dyDescent="0.25">
      <c r="B21" s="29"/>
    </row>
    <row r="22" spans="2:20" x14ac:dyDescent="0.25">
      <c r="B22" s="29"/>
      <c r="T22" s="22"/>
    </row>
    <row r="23" spans="2:20" x14ac:dyDescent="0.25">
      <c r="B23" s="30"/>
      <c r="T23" s="22"/>
    </row>
    <row r="24" spans="2:20" x14ac:dyDescent="0.25">
      <c r="T24" s="22"/>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6" customWidth="1"/>
    <col min="2" max="2" width="7.26953125" style="16" bestFit="1" customWidth="1"/>
    <col min="3" max="3" width="10.54296875" style="16" customWidth="1"/>
    <col min="4" max="4" width="13.7265625" style="16" bestFit="1" customWidth="1"/>
    <col min="5" max="5" width="12" style="16" bestFit="1" customWidth="1"/>
    <col min="6" max="6" width="14.81640625" style="16" customWidth="1"/>
    <col min="7" max="8" width="11.453125" style="16"/>
    <col min="9" max="9" width="13.54296875" style="16" bestFit="1" customWidth="1"/>
    <col min="10" max="256" width="11.453125" style="16"/>
    <col min="257" max="257" width="18.7265625" style="16" customWidth="1"/>
    <col min="258" max="258" width="13.7265625" style="16" bestFit="1" customWidth="1"/>
    <col min="259" max="259" width="17.26953125" style="16" customWidth="1"/>
    <col min="260" max="260" width="11" style="16" customWidth="1"/>
    <col min="261" max="261" width="12" style="16" bestFit="1" customWidth="1"/>
    <col min="262" max="262" width="14.81640625" style="16" customWidth="1"/>
    <col min="263" max="512" width="11.453125" style="16"/>
    <col min="513" max="513" width="18.7265625" style="16" customWidth="1"/>
    <col min="514" max="514" width="13.7265625" style="16" bestFit="1" customWidth="1"/>
    <col min="515" max="515" width="17.26953125" style="16" customWidth="1"/>
    <col min="516" max="516" width="11" style="16" customWidth="1"/>
    <col min="517" max="517" width="12" style="16" bestFit="1" customWidth="1"/>
    <col min="518" max="518" width="14.81640625" style="16" customWidth="1"/>
    <col min="519" max="768" width="11.453125" style="16"/>
    <col min="769" max="769" width="18.7265625" style="16" customWidth="1"/>
    <col min="770" max="770" width="13.7265625" style="16" bestFit="1" customWidth="1"/>
    <col min="771" max="771" width="17.26953125" style="16" customWidth="1"/>
    <col min="772" max="772" width="11" style="16" customWidth="1"/>
    <col min="773" max="773" width="12" style="16" bestFit="1" customWidth="1"/>
    <col min="774" max="774" width="14.81640625" style="16" customWidth="1"/>
    <col min="775" max="1024" width="11.453125" style="16"/>
    <col min="1025" max="1025" width="18.7265625" style="16" customWidth="1"/>
    <col min="1026" max="1026" width="13.7265625" style="16" bestFit="1" customWidth="1"/>
    <col min="1027" max="1027" width="17.26953125" style="16" customWidth="1"/>
    <col min="1028" max="1028" width="11" style="16" customWidth="1"/>
    <col min="1029" max="1029" width="12" style="16" bestFit="1" customWidth="1"/>
    <col min="1030" max="1030" width="14.81640625" style="16" customWidth="1"/>
    <col min="1031" max="1280" width="11.453125" style="16"/>
    <col min="1281" max="1281" width="18.7265625" style="16" customWidth="1"/>
    <col min="1282" max="1282" width="13.7265625" style="16" bestFit="1" customWidth="1"/>
    <col min="1283" max="1283" width="17.26953125" style="16" customWidth="1"/>
    <col min="1284" max="1284" width="11" style="16" customWidth="1"/>
    <col min="1285" max="1285" width="12" style="16" bestFit="1" customWidth="1"/>
    <col min="1286" max="1286" width="14.81640625" style="16" customWidth="1"/>
    <col min="1287" max="1536" width="11.453125" style="16"/>
    <col min="1537" max="1537" width="18.7265625" style="16" customWidth="1"/>
    <col min="1538" max="1538" width="13.7265625" style="16" bestFit="1" customWidth="1"/>
    <col min="1539" max="1539" width="17.26953125" style="16" customWidth="1"/>
    <col min="1540" max="1540" width="11" style="16" customWidth="1"/>
    <col min="1541" max="1541" width="12" style="16" bestFit="1" customWidth="1"/>
    <col min="1542" max="1542" width="14.81640625" style="16" customWidth="1"/>
    <col min="1543" max="1792" width="11.453125" style="16"/>
    <col min="1793" max="1793" width="18.7265625" style="16" customWidth="1"/>
    <col min="1794" max="1794" width="13.7265625" style="16" bestFit="1" customWidth="1"/>
    <col min="1795" max="1795" width="17.26953125" style="16" customWidth="1"/>
    <col min="1796" max="1796" width="11" style="16" customWidth="1"/>
    <col min="1797" max="1797" width="12" style="16" bestFit="1" customWidth="1"/>
    <col min="1798" max="1798" width="14.81640625" style="16" customWidth="1"/>
    <col min="1799" max="2048" width="11.453125" style="16"/>
    <col min="2049" max="2049" width="18.7265625" style="16" customWidth="1"/>
    <col min="2050" max="2050" width="13.7265625" style="16" bestFit="1" customWidth="1"/>
    <col min="2051" max="2051" width="17.26953125" style="16" customWidth="1"/>
    <col min="2052" max="2052" width="11" style="16" customWidth="1"/>
    <col min="2053" max="2053" width="12" style="16" bestFit="1" customWidth="1"/>
    <col min="2054" max="2054" width="14.81640625" style="16" customWidth="1"/>
    <col min="2055" max="2304" width="11.453125" style="16"/>
    <col min="2305" max="2305" width="18.7265625" style="16" customWidth="1"/>
    <col min="2306" max="2306" width="13.7265625" style="16" bestFit="1" customWidth="1"/>
    <col min="2307" max="2307" width="17.26953125" style="16" customWidth="1"/>
    <col min="2308" max="2308" width="11" style="16" customWidth="1"/>
    <col min="2309" max="2309" width="12" style="16" bestFit="1" customWidth="1"/>
    <col min="2310" max="2310" width="14.81640625" style="16" customWidth="1"/>
    <col min="2311" max="2560" width="11.453125" style="16"/>
    <col min="2561" max="2561" width="18.7265625" style="16" customWidth="1"/>
    <col min="2562" max="2562" width="13.7265625" style="16" bestFit="1" customWidth="1"/>
    <col min="2563" max="2563" width="17.26953125" style="16" customWidth="1"/>
    <col min="2564" max="2564" width="11" style="16" customWidth="1"/>
    <col min="2565" max="2565" width="12" style="16" bestFit="1" customWidth="1"/>
    <col min="2566" max="2566" width="14.81640625" style="16" customWidth="1"/>
    <col min="2567" max="2816" width="11.453125" style="16"/>
    <col min="2817" max="2817" width="18.7265625" style="16" customWidth="1"/>
    <col min="2818" max="2818" width="13.7265625" style="16" bestFit="1" customWidth="1"/>
    <col min="2819" max="2819" width="17.26953125" style="16" customWidth="1"/>
    <col min="2820" max="2820" width="11" style="16" customWidth="1"/>
    <col min="2821" max="2821" width="12" style="16" bestFit="1" customWidth="1"/>
    <col min="2822" max="2822" width="14.81640625" style="16" customWidth="1"/>
    <col min="2823" max="3072" width="11.453125" style="16"/>
    <col min="3073" max="3073" width="18.7265625" style="16" customWidth="1"/>
    <col min="3074" max="3074" width="13.7265625" style="16" bestFit="1" customWidth="1"/>
    <col min="3075" max="3075" width="17.26953125" style="16" customWidth="1"/>
    <col min="3076" max="3076" width="11" style="16" customWidth="1"/>
    <col min="3077" max="3077" width="12" style="16" bestFit="1" customWidth="1"/>
    <col min="3078" max="3078" width="14.81640625" style="16" customWidth="1"/>
    <col min="3079" max="3328" width="11.453125" style="16"/>
    <col min="3329" max="3329" width="18.7265625" style="16" customWidth="1"/>
    <col min="3330" max="3330" width="13.7265625" style="16" bestFit="1" customWidth="1"/>
    <col min="3331" max="3331" width="17.26953125" style="16" customWidth="1"/>
    <col min="3332" max="3332" width="11" style="16" customWidth="1"/>
    <col min="3333" max="3333" width="12" style="16" bestFit="1" customWidth="1"/>
    <col min="3334" max="3334" width="14.81640625" style="16" customWidth="1"/>
    <col min="3335" max="3584" width="11.453125" style="16"/>
    <col min="3585" max="3585" width="18.7265625" style="16" customWidth="1"/>
    <col min="3586" max="3586" width="13.7265625" style="16" bestFit="1" customWidth="1"/>
    <col min="3587" max="3587" width="17.26953125" style="16" customWidth="1"/>
    <col min="3588" max="3588" width="11" style="16" customWidth="1"/>
    <col min="3589" max="3589" width="12" style="16" bestFit="1" customWidth="1"/>
    <col min="3590" max="3590" width="14.81640625" style="16" customWidth="1"/>
    <col min="3591" max="3840" width="11.453125" style="16"/>
    <col min="3841" max="3841" width="18.7265625" style="16" customWidth="1"/>
    <col min="3842" max="3842" width="13.7265625" style="16" bestFit="1" customWidth="1"/>
    <col min="3843" max="3843" width="17.26953125" style="16" customWidth="1"/>
    <col min="3844" max="3844" width="11" style="16" customWidth="1"/>
    <col min="3845" max="3845" width="12" style="16" bestFit="1" customWidth="1"/>
    <col min="3846" max="3846" width="14.81640625" style="16" customWidth="1"/>
    <col min="3847" max="4096" width="11.453125" style="16"/>
    <col min="4097" max="4097" width="18.7265625" style="16" customWidth="1"/>
    <col min="4098" max="4098" width="13.7265625" style="16" bestFit="1" customWidth="1"/>
    <col min="4099" max="4099" width="17.26953125" style="16" customWidth="1"/>
    <col min="4100" max="4100" width="11" style="16" customWidth="1"/>
    <col min="4101" max="4101" width="12" style="16" bestFit="1" customWidth="1"/>
    <col min="4102" max="4102" width="14.81640625" style="16" customWidth="1"/>
    <col min="4103" max="4352" width="11.453125" style="16"/>
    <col min="4353" max="4353" width="18.7265625" style="16" customWidth="1"/>
    <col min="4354" max="4354" width="13.7265625" style="16" bestFit="1" customWidth="1"/>
    <col min="4355" max="4355" width="17.26953125" style="16" customWidth="1"/>
    <col min="4356" max="4356" width="11" style="16" customWidth="1"/>
    <col min="4357" max="4357" width="12" style="16" bestFit="1" customWidth="1"/>
    <col min="4358" max="4358" width="14.81640625" style="16" customWidth="1"/>
    <col min="4359" max="4608" width="11.453125" style="16"/>
    <col min="4609" max="4609" width="18.7265625" style="16" customWidth="1"/>
    <col min="4610" max="4610" width="13.7265625" style="16" bestFit="1" customWidth="1"/>
    <col min="4611" max="4611" width="17.26953125" style="16" customWidth="1"/>
    <col min="4612" max="4612" width="11" style="16" customWidth="1"/>
    <col min="4613" max="4613" width="12" style="16" bestFit="1" customWidth="1"/>
    <col min="4614" max="4614" width="14.81640625" style="16" customWidth="1"/>
    <col min="4615" max="4864" width="11.453125" style="16"/>
    <col min="4865" max="4865" width="18.7265625" style="16" customWidth="1"/>
    <col min="4866" max="4866" width="13.7265625" style="16" bestFit="1" customWidth="1"/>
    <col min="4867" max="4867" width="17.26953125" style="16" customWidth="1"/>
    <col min="4868" max="4868" width="11" style="16" customWidth="1"/>
    <col min="4869" max="4869" width="12" style="16" bestFit="1" customWidth="1"/>
    <col min="4870" max="4870" width="14.81640625" style="16" customWidth="1"/>
    <col min="4871" max="5120" width="11.453125" style="16"/>
    <col min="5121" max="5121" width="18.7265625" style="16" customWidth="1"/>
    <col min="5122" max="5122" width="13.7265625" style="16" bestFit="1" customWidth="1"/>
    <col min="5123" max="5123" width="17.26953125" style="16" customWidth="1"/>
    <col min="5124" max="5124" width="11" style="16" customWidth="1"/>
    <col min="5125" max="5125" width="12" style="16" bestFit="1" customWidth="1"/>
    <col min="5126" max="5126" width="14.81640625" style="16" customWidth="1"/>
    <col min="5127" max="5376" width="11.453125" style="16"/>
    <col min="5377" max="5377" width="18.7265625" style="16" customWidth="1"/>
    <col min="5378" max="5378" width="13.7265625" style="16" bestFit="1" customWidth="1"/>
    <col min="5379" max="5379" width="17.26953125" style="16" customWidth="1"/>
    <col min="5380" max="5380" width="11" style="16" customWidth="1"/>
    <col min="5381" max="5381" width="12" style="16" bestFit="1" customWidth="1"/>
    <col min="5382" max="5382" width="14.81640625" style="16" customWidth="1"/>
    <col min="5383" max="5632" width="11.453125" style="16"/>
    <col min="5633" max="5633" width="18.7265625" style="16" customWidth="1"/>
    <col min="5634" max="5634" width="13.7265625" style="16" bestFit="1" customWidth="1"/>
    <col min="5635" max="5635" width="17.26953125" style="16" customWidth="1"/>
    <col min="5636" max="5636" width="11" style="16" customWidth="1"/>
    <col min="5637" max="5637" width="12" style="16" bestFit="1" customWidth="1"/>
    <col min="5638" max="5638" width="14.81640625" style="16" customWidth="1"/>
    <col min="5639" max="5888" width="11.453125" style="16"/>
    <col min="5889" max="5889" width="18.7265625" style="16" customWidth="1"/>
    <col min="5890" max="5890" width="13.7265625" style="16" bestFit="1" customWidth="1"/>
    <col min="5891" max="5891" width="17.26953125" style="16" customWidth="1"/>
    <col min="5892" max="5892" width="11" style="16" customWidth="1"/>
    <col min="5893" max="5893" width="12" style="16" bestFit="1" customWidth="1"/>
    <col min="5894" max="5894" width="14.81640625" style="16" customWidth="1"/>
    <col min="5895" max="6144" width="11.453125" style="16"/>
    <col min="6145" max="6145" width="18.7265625" style="16" customWidth="1"/>
    <col min="6146" max="6146" width="13.7265625" style="16" bestFit="1" customWidth="1"/>
    <col min="6147" max="6147" width="17.26953125" style="16" customWidth="1"/>
    <col min="6148" max="6148" width="11" style="16" customWidth="1"/>
    <col min="6149" max="6149" width="12" style="16" bestFit="1" customWidth="1"/>
    <col min="6150" max="6150" width="14.81640625" style="16" customWidth="1"/>
    <col min="6151" max="6400" width="11.453125" style="16"/>
    <col min="6401" max="6401" width="18.7265625" style="16" customWidth="1"/>
    <col min="6402" max="6402" width="13.7265625" style="16" bestFit="1" customWidth="1"/>
    <col min="6403" max="6403" width="17.26953125" style="16" customWidth="1"/>
    <col min="6404" max="6404" width="11" style="16" customWidth="1"/>
    <col min="6405" max="6405" width="12" style="16" bestFit="1" customWidth="1"/>
    <col min="6406" max="6406" width="14.81640625" style="16" customWidth="1"/>
    <col min="6407" max="6656" width="11.453125" style="16"/>
    <col min="6657" max="6657" width="18.7265625" style="16" customWidth="1"/>
    <col min="6658" max="6658" width="13.7265625" style="16" bestFit="1" customWidth="1"/>
    <col min="6659" max="6659" width="17.26953125" style="16" customWidth="1"/>
    <col min="6660" max="6660" width="11" style="16" customWidth="1"/>
    <col min="6661" max="6661" width="12" style="16" bestFit="1" customWidth="1"/>
    <col min="6662" max="6662" width="14.81640625" style="16" customWidth="1"/>
    <col min="6663" max="6912" width="11.453125" style="16"/>
    <col min="6913" max="6913" width="18.7265625" style="16" customWidth="1"/>
    <col min="6914" max="6914" width="13.7265625" style="16" bestFit="1" customWidth="1"/>
    <col min="6915" max="6915" width="17.26953125" style="16" customWidth="1"/>
    <col min="6916" max="6916" width="11" style="16" customWidth="1"/>
    <col min="6917" max="6917" width="12" style="16" bestFit="1" customWidth="1"/>
    <col min="6918" max="6918" width="14.81640625" style="16" customWidth="1"/>
    <col min="6919" max="7168" width="11.453125" style="16"/>
    <col min="7169" max="7169" width="18.7265625" style="16" customWidth="1"/>
    <col min="7170" max="7170" width="13.7265625" style="16" bestFit="1" customWidth="1"/>
    <col min="7171" max="7171" width="17.26953125" style="16" customWidth="1"/>
    <col min="7172" max="7172" width="11" style="16" customWidth="1"/>
    <col min="7173" max="7173" width="12" style="16" bestFit="1" customWidth="1"/>
    <col min="7174" max="7174" width="14.81640625" style="16" customWidth="1"/>
    <col min="7175" max="7424" width="11.453125" style="16"/>
    <col min="7425" max="7425" width="18.7265625" style="16" customWidth="1"/>
    <col min="7426" max="7426" width="13.7265625" style="16" bestFit="1" customWidth="1"/>
    <col min="7427" max="7427" width="17.26953125" style="16" customWidth="1"/>
    <col min="7428" max="7428" width="11" style="16" customWidth="1"/>
    <col min="7429" max="7429" width="12" style="16" bestFit="1" customWidth="1"/>
    <col min="7430" max="7430" width="14.81640625" style="16" customWidth="1"/>
    <col min="7431" max="7680" width="11.453125" style="16"/>
    <col min="7681" max="7681" width="18.7265625" style="16" customWidth="1"/>
    <col min="7682" max="7682" width="13.7265625" style="16" bestFit="1" customWidth="1"/>
    <col min="7683" max="7683" width="17.26953125" style="16" customWidth="1"/>
    <col min="7684" max="7684" width="11" style="16" customWidth="1"/>
    <col min="7685" max="7685" width="12" style="16" bestFit="1" customWidth="1"/>
    <col min="7686" max="7686" width="14.81640625" style="16" customWidth="1"/>
    <col min="7687" max="7936" width="11.453125" style="16"/>
    <col min="7937" max="7937" width="18.7265625" style="16" customWidth="1"/>
    <col min="7938" max="7938" width="13.7265625" style="16" bestFit="1" customWidth="1"/>
    <col min="7939" max="7939" width="17.26953125" style="16" customWidth="1"/>
    <col min="7940" max="7940" width="11" style="16" customWidth="1"/>
    <col min="7941" max="7941" width="12" style="16" bestFit="1" customWidth="1"/>
    <col min="7942" max="7942" width="14.81640625" style="16" customWidth="1"/>
    <col min="7943" max="8192" width="11.453125" style="16"/>
    <col min="8193" max="8193" width="18.7265625" style="16" customWidth="1"/>
    <col min="8194" max="8194" width="13.7265625" style="16" bestFit="1" customWidth="1"/>
    <col min="8195" max="8195" width="17.26953125" style="16" customWidth="1"/>
    <col min="8196" max="8196" width="11" style="16" customWidth="1"/>
    <col min="8197" max="8197" width="12" style="16" bestFit="1" customWidth="1"/>
    <col min="8198" max="8198" width="14.81640625" style="16" customWidth="1"/>
    <col min="8199" max="8448" width="11.453125" style="16"/>
    <col min="8449" max="8449" width="18.7265625" style="16" customWidth="1"/>
    <col min="8450" max="8450" width="13.7265625" style="16" bestFit="1" customWidth="1"/>
    <col min="8451" max="8451" width="17.26953125" style="16" customWidth="1"/>
    <col min="8452" max="8452" width="11" style="16" customWidth="1"/>
    <col min="8453" max="8453" width="12" style="16" bestFit="1" customWidth="1"/>
    <col min="8454" max="8454" width="14.81640625" style="16" customWidth="1"/>
    <col min="8455" max="8704" width="11.453125" style="16"/>
    <col min="8705" max="8705" width="18.7265625" style="16" customWidth="1"/>
    <col min="8706" max="8706" width="13.7265625" style="16" bestFit="1" customWidth="1"/>
    <col min="8707" max="8707" width="17.26953125" style="16" customWidth="1"/>
    <col min="8708" max="8708" width="11" style="16" customWidth="1"/>
    <col min="8709" max="8709" width="12" style="16" bestFit="1" customWidth="1"/>
    <col min="8710" max="8710" width="14.81640625" style="16" customWidth="1"/>
    <col min="8711" max="8960" width="11.453125" style="16"/>
    <col min="8961" max="8961" width="18.7265625" style="16" customWidth="1"/>
    <col min="8962" max="8962" width="13.7265625" style="16" bestFit="1" customWidth="1"/>
    <col min="8963" max="8963" width="17.26953125" style="16" customWidth="1"/>
    <col min="8964" max="8964" width="11" style="16" customWidth="1"/>
    <col min="8965" max="8965" width="12" style="16" bestFit="1" customWidth="1"/>
    <col min="8966" max="8966" width="14.81640625" style="16" customWidth="1"/>
    <col min="8967" max="9216" width="11.453125" style="16"/>
    <col min="9217" max="9217" width="18.7265625" style="16" customWidth="1"/>
    <col min="9218" max="9218" width="13.7265625" style="16" bestFit="1" customWidth="1"/>
    <col min="9219" max="9219" width="17.26953125" style="16" customWidth="1"/>
    <col min="9220" max="9220" width="11" style="16" customWidth="1"/>
    <col min="9221" max="9221" width="12" style="16" bestFit="1" customWidth="1"/>
    <col min="9222" max="9222" width="14.81640625" style="16" customWidth="1"/>
    <col min="9223" max="9472" width="11.453125" style="16"/>
    <col min="9473" max="9473" width="18.7265625" style="16" customWidth="1"/>
    <col min="9474" max="9474" width="13.7265625" style="16" bestFit="1" customWidth="1"/>
    <col min="9475" max="9475" width="17.26953125" style="16" customWidth="1"/>
    <col min="9476" max="9476" width="11" style="16" customWidth="1"/>
    <col min="9477" max="9477" width="12" style="16" bestFit="1" customWidth="1"/>
    <col min="9478" max="9478" width="14.81640625" style="16" customWidth="1"/>
    <col min="9479" max="9728" width="11.453125" style="16"/>
    <col min="9729" max="9729" width="18.7265625" style="16" customWidth="1"/>
    <col min="9730" max="9730" width="13.7265625" style="16" bestFit="1" customWidth="1"/>
    <col min="9731" max="9731" width="17.26953125" style="16" customWidth="1"/>
    <col min="9732" max="9732" width="11" style="16" customWidth="1"/>
    <col min="9733" max="9733" width="12" style="16" bestFit="1" customWidth="1"/>
    <col min="9734" max="9734" width="14.81640625" style="16" customWidth="1"/>
    <col min="9735" max="9984" width="11.453125" style="16"/>
    <col min="9985" max="9985" width="18.7265625" style="16" customWidth="1"/>
    <col min="9986" max="9986" width="13.7265625" style="16" bestFit="1" customWidth="1"/>
    <col min="9987" max="9987" width="17.26953125" style="16" customWidth="1"/>
    <col min="9988" max="9988" width="11" style="16" customWidth="1"/>
    <col min="9989" max="9989" width="12" style="16" bestFit="1" customWidth="1"/>
    <col min="9990" max="9990" width="14.81640625" style="16" customWidth="1"/>
    <col min="9991" max="10240" width="11.453125" style="16"/>
    <col min="10241" max="10241" width="18.7265625" style="16" customWidth="1"/>
    <col min="10242" max="10242" width="13.7265625" style="16" bestFit="1" customWidth="1"/>
    <col min="10243" max="10243" width="17.26953125" style="16" customWidth="1"/>
    <col min="10244" max="10244" width="11" style="16" customWidth="1"/>
    <col min="10245" max="10245" width="12" style="16" bestFit="1" customWidth="1"/>
    <col min="10246" max="10246" width="14.81640625" style="16" customWidth="1"/>
    <col min="10247" max="10496" width="11.453125" style="16"/>
    <col min="10497" max="10497" width="18.7265625" style="16" customWidth="1"/>
    <col min="10498" max="10498" width="13.7265625" style="16" bestFit="1" customWidth="1"/>
    <col min="10499" max="10499" width="17.26953125" style="16" customWidth="1"/>
    <col min="10500" max="10500" width="11" style="16" customWidth="1"/>
    <col min="10501" max="10501" width="12" style="16" bestFit="1" customWidth="1"/>
    <col min="10502" max="10502" width="14.81640625" style="16" customWidth="1"/>
    <col min="10503" max="10752" width="11.453125" style="16"/>
    <col min="10753" max="10753" width="18.7265625" style="16" customWidth="1"/>
    <col min="10754" max="10754" width="13.7265625" style="16" bestFit="1" customWidth="1"/>
    <col min="10755" max="10755" width="17.26953125" style="16" customWidth="1"/>
    <col min="10756" max="10756" width="11" style="16" customWidth="1"/>
    <col min="10757" max="10757" width="12" style="16" bestFit="1" customWidth="1"/>
    <col min="10758" max="10758" width="14.81640625" style="16" customWidth="1"/>
    <col min="10759" max="11008" width="11.453125" style="16"/>
    <col min="11009" max="11009" width="18.7265625" style="16" customWidth="1"/>
    <col min="11010" max="11010" width="13.7265625" style="16" bestFit="1" customWidth="1"/>
    <col min="11011" max="11011" width="17.26953125" style="16" customWidth="1"/>
    <col min="11012" max="11012" width="11" style="16" customWidth="1"/>
    <col min="11013" max="11013" width="12" style="16" bestFit="1" customWidth="1"/>
    <col min="11014" max="11014" width="14.81640625" style="16" customWidth="1"/>
    <col min="11015" max="11264" width="11.453125" style="16"/>
    <col min="11265" max="11265" width="18.7265625" style="16" customWidth="1"/>
    <col min="11266" max="11266" width="13.7265625" style="16" bestFit="1" customWidth="1"/>
    <col min="11267" max="11267" width="17.26953125" style="16" customWidth="1"/>
    <col min="11268" max="11268" width="11" style="16" customWidth="1"/>
    <col min="11269" max="11269" width="12" style="16" bestFit="1" customWidth="1"/>
    <col min="11270" max="11270" width="14.81640625" style="16" customWidth="1"/>
    <col min="11271" max="11520" width="11.453125" style="16"/>
    <col min="11521" max="11521" width="18.7265625" style="16" customWidth="1"/>
    <col min="11522" max="11522" width="13.7265625" style="16" bestFit="1" customWidth="1"/>
    <col min="11523" max="11523" width="17.26953125" style="16" customWidth="1"/>
    <col min="11524" max="11524" width="11" style="16" customWidth="1"/>
    <col min="11525" max="11525" width="12" style="16" bestFit="1" customWidth="1"/>
    <col min="11526" max="11526" width="14.81640625" style="16" customWidth="1"/>
    <col min="11527" max="11776" width="11.453125" style="16"/>
    <col min="11777" max="11777" width="18.7265625" style="16" customWidth="1"/>
    <col min="11778" max="11778" width="13.7265625" style="16" bestFit="1" customWidth="1"/>
    <col min="11779" max="11779" width="17.26953125" style="16" customWidth="1"/>
    <col min="11780" max="11780" width="11" style="16" customWidth="1"/>
    <col min="11781" max="11781" width="12" style="16" bestFit="1" customWidth="1"/>
    <col min="11782" max="11782" width="14.81640625" style="16" customWidth="1"/>
    <col min="11783" max="12032" width="11.453125" style="16"/>
    <col min="12033" max="12033" width="18.7265625" style="16" customWidth="1"/>
    <col min="12034" max="12034" width="13.7265625" style="16" bestFit="1" customWidth="1"/>
    <col min="12035" max="12035" width="17.26953125" style="16" customWidth="1"/>
    <col min="12036" max="12036" width="11" style="16" customWidth="1"/>
    <col min="12037" max="12037" width="12" style="16" bestFit="1" customWidth="1"/>
    <col min="12038" max="12038" width="14.81640625" style="16" customWidth="1"/>
    <col min="12039" max="12288" width="11.453125" style="16"/>
    <col min="12289" max="12289" width="18.7265625" style="16" customWidth="1"/>
    <col min="12290" max="12290" width="13.7265625" style="16" bestFit="1" customWidth="1"/>
    <col min="12291" max="12291" width="17.26953125" style="16" customWidth="1"/>
    <col min="12292" max="12292" width="11" style="16" customWidth="1"/>
    <col min="12293" max="12293" width="12" style="16" bestFit="1" customWidth="1"/>
    <col min="12294" max="12294" width="14.81640625" style="16" customWidth="1"/>
    <col min="12295" max="12544" width="11.453125" style="16"/>
    <col min="12545" max="12545" width="18.7265625" style="16" customWidth="1"/>
    <col min="12546" max="12546" width="13.7265625" style="16" bestFit="1" customWidth="1"/>
    <col min="12547" max="12547" width="17.26953125" style="16" customWidth="1"/>
    <col min="12548" max="12548" width="11" style="16" customWidth="1"/>
    <col min="12549" max="12549" width="12" style="16" bestFit="1" customWidth="1"/>
    <col min="12550" max="12550" width="14.81640625" style="16" customWidth="1"/>
    <col min="12551" max="12800" width="11.453125" style="16"/>
    <col min="12801" max="12801" width="18.7265625" style="16" customWidth="1"/>
    <col min="12802" max="12802" width="13.7265625" style="16" bestFit="1" customWidth="1"/>
    <col min="12803" max="12803" width="17.26953125" style="16" customWidth="1"/>
    <col min="12804" max="12804" width="11" style="16" customWidth="1"/>
    <col min="12805" max="12805" width="12" style="16" bestFit="1" customWidth="1"/>
    <col min="12806" max="12806" width="14.81640625" style="16" customWidth="1"/>
    <col min="12807" max="13056" width="11.453125" style="16"/>
    <col min="13057" max="13057" width="18.7265625" style="16" customWidth="1"/>
    <col min="13058" max="13058" width="13.7265625" style="16" bestFit="1" customWidth="1"/>
    <col min="13059" max="13059" width="17.26953125" style="16" customWidth="1"/>
    <col min="13060" max="13060" width="11" style="16" customWidth="1"/>
    <col min="13061" max="13061" width="12" style="16" bestFit="1" customWidth="1"/>
    <col min="13062" max="13062" width="14.81640625" style="16" customWidth="1"/>
    <col min="13063" max="13312" width="11.453125" style="16"/>
    <col min="13313" max="13313" width="18.7265625" style="16" customWidth="1"/>
    <col min="13314" max="13314" width="13.7265625" style="16" bestFit="1" customWidth="1"/>
    <col min="13315" max="13315" width="17.26953125" style="16" customWidth="1"/>
    <col min="13316" max="13316" width="11" style="16" customWidth="1"/>
    <col min="13317" max="13317" width="12" style="16" bestFit="1" customWidth="1"/>
    <col min="13318" max="13318" width="14.81640625" style="16" customWidth="1"/>
    <col min="13319" max="13568" width="11.453125" style="16"/>
    <col min="13569" max="13569" width="18.7265625" style="16" customWidth="1"/>
    <col min="13570" max="13570" width="13.7265625" style="16" bestFit="1" customWidth="1"/>
    <col min="13571" max="13571" width="17.26953125" style="16" customWidth="1"/>
    <col min="13572" max="13572" width="11" style="16" customWidth="1"/>
    <col min="13573" max="13573" width="12" style="16" bestFit="1" customWidth="1"/>
    <col min="13574" max="13574" width="14.81640625" style="16" customWidth="1"/>
    <col min="13575" max="13824" width="11.453125" style="16"/>
    <col min="13825" max="13825" width="18.7265625" style="16" customWidth="1"/>
    <col min="13826" max="13826" width="13.7265625" style="16" bestFit="1" customWidth="1"/>
    <col min="13827" max="13827" width="17.26953125" style="16" customWidth="1"/>
    <col min="13828" max="13828" width="11" style="16" customWidth="1"/>
    <col min="13829" max="13829" width="12" style="16" bestFit="1" customWidth="1"/>
    <col min="13830" max="13830" width="14.81640625" style="16" customWidth="1"/>
    <col min="13831" max="14080" width="11.453125" style="16"/>
    <col min="14081" max="14081" width="18.7265625" style="16" customWidth="1"/>
    <col min="14082" max="14082" width="13.7265625" style="16" bestFit="1" customWidth="1"/>
    <col min="14083" max="14083" width="17.26953125" style="16" customWidth="1"/>
    <col min="14084" max="14084" width="11" style="16" customWidth="1"/>
    <col min="14085" max="14085" width="12" style="16" bestFit="1" customWidth="1"/>
    <col min="14086" max="14086" width="14.81640625" style="16" customWidth="1"/>
    <col min="14087" max="14336" width="11.453125" style="16"/>
    <col min="14337" max="14337" width="18.7265625" style="16" customWidth="1"/>
    <col min="14338" max="14338" width="13.7265625" style="16" bestFit="1" customWidth="1"/>
    <col min="14339" max="14339" width="17.26953125" style="16" customWidth="1"/>
    <col min="14340" max="14340" width="11" style="16" customWidth="1"/>
    <col min="14341" max="14341" width="12" style="16" bestFit="1" customWidth="1"/>
    <col min="14342" max="14342" width="14.81640625" style="16" customWidth="1"/>
    <col min="14343" max="14592" width="11.453125" style="16"/>
    <col min="14593" max="14593" width="18.7265625" style="16" customWidth="1"/>
    <col min="14594" max="14594" width="13.7265625" style="16" bestFit="1" customWidth="1"/>
    <col min="14595" max="14595" width="17.26953125" style="16" customWidth="1"/>
    <col min="14596" max="14596" width="11" style="16" customWidth="1"/>
    <col min="14597" max="14597" width="12" style="16" bestFit="1" customWidth="1"/>
    <col min="14598" max="14598" width="14.81640625" style="16" customWidth="1"/>
    <col min="14599" max="14848" width="11.453125" style="16"/>
    <col min="14849" max="14849" width="18.7265625" style="16" customWidth="1"/>
    <col min="14850" max="14850" width="13.7265625" style="16" bestFit="1" customWidth="1"/>
    <col min="14851" max="14851" width="17.26953125" style="16" customWidth="1"/>
    <col min="14852" max="14852" width="11" style="16" customWidth="1"/>
    <col min="14853" max="14853" width="12" style="16" bestFit="1" customWidth="1"/>
    <col min="14854" max="14854" width="14.81640625" style="16" customWidth="1"/>
    <col min="14855" max="15104" width="11.453125" style="16"/>
    <col min="15105" max="15105" width="18.7265625" style="16" customWidth="1"/>
    <col min="15106" max="15106" width="13.7265625" style="16" bestFit="1" customWidth="1"/>
    <col min="15107" max="15107" width="17.26953125" style="16" customWidth="1"/>
    <col min="15108" max="15108" width="11" style="16" customWidth="1"/>
    <col min="15109" max="15109" width="12" style="16" bestFit="1" customWidth="1"/>
    <col min="15110" max="15110" width="14.81640625" style="16" customWidth="1"/>
    <col min="15111" max="15360" width="11.453125" style="16"/>
    <col min="15361" max="15361" width="18.7265625" style="16" customWidth="1"/>
    <col min="15362" max="15362" width="13.7265625" style="16" bestFit="1" customWidth="1"/>
    <col min="15363" max="15363" width="17.26953125" style="16" customWidth="1"/>
    <col min="15364" max="15364" width="11" style="16" customWidth="1"/>
    <col min="15365" max="15365" width="12" style="16" bestFit="1" customWidth="1"/>
    <col min="15366" max="15366" width="14.81640625" style="16" customWidth="1"/>
    <col min="15367" max="15616" width="11.453125" style="16"/>
    <col min="15617" max="15617" width="18.7265625" style="16" customWidth="1"/>
    <col min="15618" max="15618" width="13.7265625" style="16" bestFit="1" customWidth="1"/>
    <col min="15619" max="15619" width="17.26953125" style="16" customWidth="1"/>
    <col min="15620" max="15620" width="11" style="16" customWidth="1"/>
    <col min="15621" max="15621" width="12" style="16" bestFit="1" customWidth="1"/>
    <col min="15622" max="15622" width="14.81640625" style="16" customWidth="1"/>
    <col min="15623" max="15872" width="11.453125" style="16"/>
    <col min="15873" max="15873" width="18.7265625" style="16" customWidth="1"/>
    <col min="15874" max="15874" width="13.7265625" style="16" bestFit="1" customWidth="1"/>
    <col min="15875" max="15875" width="17.26953125" style="16" customWidth="1"/>
    <col min="15876" max="15876" width="11" style="16" customWidth="1"/>
    <col min="15877" max="15877" width="12" style="16" bestFit="1" customWidth="1"/>
    <col min="15878" max="15878" width="14.81640625" style="16" customWidth="1"/>
    <col min="15879" max="16128" width="11.453125" style="16"/>
    <col min="16129" max="16129" width="18.7265625" style="16" customWidth="1"/>
    <col min="16130" max="16130" width="13.7265625" style="16" bestFit="1" customWidth="1"/>
    <col min="16131" max="16131" width="17.26953125" style="16" customWidth="1"/>
    <col min="16132" max="16132" width="11" style="16" customWidth="1"/>
    <col min="16133" max="16133" width="12" style="16" bestFit="1" customWidth="1"/>
    <col min="16134" max="16134" width="14.81640625" style="16" customWidth="1"/>
    <col min="16135" max="16384" width="11.453125" style="16"/>
  </cols>
  <sheetData>
    <row r="2" spans="1:11" x14ac:dyDescent="0.25">
      <c r="A2" s="16" t="s">
        <v>70</v>
      </c>
      <c r="B2" s="62">
        <f>'pooled normalised values'!B75</f>
        <v>1.885732401528243E-2</v>
      </c>
      <c r="D2" s="16" t="s">
        <v>9</v>
      </c>
      <c r="E2" s="17"/>
      <c r="F2" s="18" t="e">
        <f>'pooled normalised values'!#REF!</f>
        <v>#REF!</v>
      </c>
      <c r="G2" s="17"/>
      <c r="H2" s="19"/>
      <c r="I2" s="18" t="e">
        <f>'pooled normalised values'!#REF!</f>
        <v>#REF!</v>
      </c>
      <c r="J2" s="19"/>
      <c r="K2" s="16" t="s">
        <v>9</v>
      </c>
    </row>
    <row r="3" spans="1:11" x14ac:dyDescent="0.25">
      <c r="A3" s="16" t="s">
        <v>71</v>
      </c>
      <c r="B3" s="62">
        <f>'summary results'!E6</f>
        <v>0</v>
      </c>
      <c r="D3" s="20" t="s">
        <v>10</v>
      </c>
      <c r="E3" s="21"/>
      <c r="F3" s="18" t="e">
        <f>HLOOKUP(F2,'pooled normalised values'!B74:L83,2,FALSE)</f>
        <v>#REF!</v>
      </c>
      <c r="G3" s="21"/>
      <c r="H3" s="19"/>
      <c r="I3" s="18" t="e">
        <f>HLOOKUP(I2,'pooled normalised values'!I74:AB83,2,FALSE)</f>
        <v>#REF!</v>
      </c>
      <c r="J3" s="19"/>
      <c r="K3" s="20" t="s">
        <v>10</v>
      </c>
    </row>
    <row r="4" spans="1:11" x14ac:dyDescent="0.25">
      <c r="A4" s="16" t="s">
        <v>72</v>
      </c>
      <c r="B4" s="62">
        <f>'pooled normalised values'!J75</f>
        <v>1</v>
      </c>
      <c r="D4" s="20" t="s">
        <v>2</v>
      </c>
      <c r="E4" s="21"/>
      <c r="F4" s="18" t="e">
        <f>HLOOKUP(F2,'pooled normalised values'!B74:L83,3,FALSE)</f>
        <v>#REF!</v>
      </c>
      <c r="G4" s="21"/>
      <c r="H4" s="19"/>
      <c r="I4" s="18" t="e">
        <f>HLOOKUP(I2,'pooled normalised values'!I74:AB83,3,FALSE)</f>
        <v>#REF!</v>
      </c>
      <c r="J4" s="19"/>
      <c r="K4" s="20" t="s">
        <v>2</v>
      </c>
    </row>
    <row r="5" spans="1:11" x14ac:dyDescent="0.25">
      <c r="A5" s="16" t="s">
        <v>73</v>
      </c>
      <c r="B5" s="62">
        <f>'pooled normalised values'!K75</f>
        <v>1.2135868175439319</v>
      </c>
      <c r="D5" s="22" t="s">
        <v>11</v>
      </c>
      <c r="E5" s="21"/>
      <c r="F5" s="18" t="e">
        <f>HLOOKUP(F2,'pooled normalised values'!B74:L83,10,FALSE)</f>
        <v>#REF!</v>
      </c>
      <c r="G5" s="21"/>
      <c r="H5" s="19"/>
      <c r="I5" s="18" t="e">
        <f>HLOOKUP(I2,'pooled normalised values'!I74:AB83,10,FALSE)</f>
        <v>#REF!</v>
      </c>
      <c r="J5" s="19"/>
      <c r="K5" s="22" t="s">
        <v>11</v>
      </c>
    </row>
    <row r="6" spans="1:11" x14ac:dyDescent="0.25">
      <c r="A6" s="16" t="s">
        <v>74</v>
      </c>
      <c r="B6" s="62">
        <f>'pooled normalised values'!L75</f>
        <v>6.6476901883555831E-2</v>
      </c>
      <c r="D6" s="20" t="s">
        <v>12</v>
      </c>
      <c r="E6" s="23">
        <f>$B$2</f>
        <v>1.885732401528243E-2</v>
      </c>
      <c r="F6" s="23">
        <f>$B$2</f>
        <v>1.885732401528243E-2</v>
      </c>
      <c r="G6" s="23">
        <f>$B$2</f>
        <v>1.885732401528243E-2</v>
      </c>
      <c r="H6" s="24"/>
      <c r="I6" s="24"/>
      <c r="J6" s="24"/>
      <c r="K6" s="20" t="s">
        <v>12</v>
      </c>
    </row>
    <row r="7" spans="1:11" x14ac:dyDescent="0.25">
      <c r="B7" s="25"/>
      <c r="D7" s="25" t="s">
        <v>13</v>
      </c>
      <c r="E7" s="23"/>
      <c r="F7" s="23"/>
      <c r="G7" s="26"/>
      <c r="H7" s="24">
        <f t="shared" ref="H7:J7" si="0">$B$4</f>
        <v>1</v>
      </c>
      <c r="I7" s="24">
        <f t="shared" si="0"/>
        <v>1</v>
      </c>
      <c r="J7" s="24">
        <f t="shared" si="0"/>
        <v>1</v>
      </c>
      <c r="K7" s="25" t="s">
        <v>13</v>
      </c>
    </row>
    <row r="8" spans="1:11" x14ac:dyDescent="0.25">
      <c r="D8" s="27" t="s">
        <v>14</v>
      </c>
      <c r="E8" s="23">
        <v>0</v>
      </c>
      <c r="F8" s="23">
        <v>0</v>
      </c>
      <c r="G8" s="26">
        <v>0</v>
      </c>
      <c r="H8" s="24">
        <f>$B$6</f>
        <v>6.6476901883555831E-2</v>
      </c>
      <c r="I8" s="24">
        <f t="shared" ref="I8:J8" si="1">$B$6</f>
        <v>6.6476901883555831E-2</v>
      </c>
      <c r="J8" s="24">
        <f t="shared" si="1"/>
        <v>6.6476901883555831E-2</v>
      </c>
      <c r="K8" s="27" t="s">
        <v>14</v>
      </c>
    </row>
    <row r="9" spans="1:11" x14ac:dyDescent="0.25">
      <c r="D9" s="27" t="s">
        <v>15</v>
      </c>
      <c r="E9" s="28">
        <f>$B$3-E8</f>
        <v>0</v>
      </c>
      <c r="F9" s="28">
        <f>$B$3-F8</f>
        <v>0</v>
      </c>
      <c r="G9" s="28">
        <f>$B$3-G8</f>
        <v>0</v>
      </c>
      <c r="H9" s="24">
        <f>$B$5-H8</f>
        <v>1.1471099156603761</v>
      </c>
      <c r="I9" s="24">
        <f>$B$5-I8</f>
        <v>1.1471099156603761</v>
      </c>
      <c r="J9" s="24">
        <f>$B$5-J8</f>
        <v>1.1471099156603761</v>
      </c>
      <c r="K9" s="27" t="s">
        <v>15</v>
      </c>
    </row>
    <row r="10" spans="1:11" x14ac:dyDescent="0.25">
      <c r="D10" s="27" t="s">
        <v>16</v>
      </c>
      <c r="E10" s="26">
        <f t="shared" ref="E10:J10" si="2">2.5-E9</f>
        <v>2.5</v>
      </c>
      <c r="F10" s="26">
        <f t="shared" si="2"/>
        <v>2.5</v>
      </c>
      <c r="G10" s="26">
        <f t="shared" si="2"/>
        <v>2.5</v>
      </c>
      <c r="H10" s="24">
        <f t="shared" si="2"/>
        <v>1.3528900843396239</v>
      </c>
      <c r="I10" s="24">
        <f t="shared" si="2"/>
        <v>1.3528900843396239</v>
      </c>
      <c r="J10" s="24">
        <f t="shared" si="2"/>
        <v>1.3528900843396239</v>
      </c>
      <c r="K10" s="27" t="s">
        <v>16</v>
      </c>
    </row>
    <row r="17" spans="2:7" x14ac:dyDescent="0.25">
      <c r="C17" s="22"/>
      <c r="D17" s="22"/>
    </row>
    <row r="18" spans="2:7" x14ac:dyDescent="0.25">
      <c r="B18" s="29"/>
    </row>
    <row r="19" spans="2:7" x14ac:dyDescent="0.25">
      <c r="B19" s="29"/>
    </row>
    <row r="20" spans="2:7" x14ac:dyDescent="0.25">
      <c r="B20" s="30"/>
    </row>
    <row r="21" spans="2:7" x14ac:dyDescent="0.25">
      <c r="B21" s="29"/>
    </row>
    <row r="22" spans="2:7" x14ac:dyDescent="0.25">
      <c r="B22" s="29"/>
      <c r="G22" s="22"/>
    </row>
    <row r="23" spans="2:7" x14ac:dyDescent="0.25">
      <c r="B23" s="30"/>
      <c r="G23" s="22"/>
    </row>
    <row r="24" spans="2:7" x14ac:dyDescent="0.25">
      <c r="G24" s="22"/>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values'!#REF!</xm:f>
          </x14:formula1>
          <xm:sqref>F2</xm:sqref>
        </x14:dataValidation>
        <x14:dataValidation type="list" allowBlank="1" showInputMessage="1" showErrorMessage="1" xr:uid="{00000000-0002-0000-1000-000001000000}">
          <x14:formula1>
            <xm:f>'pooled normalised values'!#REF!</xm:f>
          </x14:formula1>
          <xm:sqref>I2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2" t="s">
        <v>99</v>
      </c>
      <c r="R1" s="232"/>
      <c r="S1" s="232"/>
      <c r="U1" s="232" t="s">
        <v>98</v>
      </c>
      <c r="V1" s="232"/>
      <c r="W1" s="232"/>
    </row>
    <row r="2" spans="1:23" x14ac:dyDescent="0.3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values'!$B$74:$L$83,4,FALSE)</f>
        <v>#N/A</v>
      </c>
      <c r="F2" s="1" t="e">
        <f>HLOOKUP(Tableau3[[#This Row],[Nom ND]],'pooled normalised values'!$B$74:$L$83,8,FALSE)</f>
        <v>#N/A</v>
      </c>
      <c r="G2" t="e">
        <f>VLOOKUP(Tableau3[[#This Row],[Nom ND]],'summary results'!$A$6:$N$26,9,FALSE)</f>
        <v>#N/A</v>
      </c>
      <c r="H2" s="1" t="e">
        <f>VLOOKUP(Tableau3[[#This Row],[Nom ND]],'summary results'!$A$6:$N$26,11,FALSE)</f>
        <v>#N/A</v>
      </c>
      <c r="I2" s="1" t="e">
        <f>HLOOKUP(Tableau3[[#This Row],[Nom D]],'pooled normalised values'!$B$74:$L$83,4,FALSE)</f>
        <v>#N/A</v>
      </c>
      <c r="J2" s="1" t="e">
        <f>HLOOKUP(Tableau3[[#This Row],[Nom D]],'pooled normalised values'!$B$74:$L$83,8,FALSE)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131</v>
      </c>
      <c r="U2" s="118" t="s">
        <v>7</v>
      </c>
      <c r="V2" s="1" t="s">
        <v>131</v>
      </c>
    </row>
    <row r="3" spans="1:23" x14ac:dyDescent="0.35">
      <c r="A3" s="1">
        <f>Q7</f>
        <v>0</v>
      </c>
      <c r="B3">
        <f t="shared" si="0"/>
        <v>0</v>
      </c>
      <c r="D3" t="e">
        <f>CONCATENATE(VLOOKUP(Tableau3[[#This Row],[Nom ND]],liste_groupe[],3,FALSE),VLOOKUP(Tableau3[[#This Row],[Nom ND]],liste_groupe[],4,FALSE))</f>
        <v>#N/A</v>
      </c>
      <c r="E3" t="e">
        <f>HLOOKUP(Tableau3[[#This Row],[Nom ND]],'pooled normalised values'!$B$74:$L$83,4,FALSE)</f>
        <v>#N/A</v>
      </c>
      <c r="F3" t="e">
        <f>HLOOKUP(Tableau3[[#This Row],[Nom ND]],'pooled normalised values'!$B$74:$L$83,8,FALSE)</f>
        <v>#N/A</v>
      </c>
      <c r="G3" t="e">
        <f>VLOOKUP(Tableau3[[#This Row],[Nom ND]],'summary results'!$A$6:$N$26,9,FALSE)</f>
        <v>#N/A</v>
      </c>
      <c r="H3" t="e">
        <f>VLOOKUP(Tableau3[[#This Row],[Nom ND]],'summary results'!$A$6:$N$26,11,FALSE)</f>
        <v>#N/A</v>
      </c>
      <c r="I3" t="e">
        <f>HLOOKUP(Tableau3[[#This Row],[Nom D]],'pooled normalised values'!$B$74:$L$83,4,FALSE)</f>
        <v>#N/A</v>
      </c>
      <c r="J3" t="e">
        <f>HLOOKUP(Tableau3[[#This Row],[Nom D]],'pooled normalised values'!$B$74:$L$83,8,FALSE)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5">
      <c r="A4" s="1">
        <f t="shared" ref="A4:A15" si="1">Q8</f>
        <v>0</v>
      </c>
      <c r="B4" s="43">
        <f t="shared" ref="B4:B15" si="2">U8</f>
        <v>0</v>
      </c>
      <c r="D4" s="43" t="e">
        <f>CONCATENATE(VLOOKUP(Tableau3[[#This Row],[Nom ND]],liste_groupe[],3,FALSE),VLOOKUP(Tableau3[[#This Row],[Nom ND]],liste_groupe[],4,FALSE))</f>
        <v>#N/A</v>
      </c>
      <c r="E4" s="43" t="e">
        <f>HLOOKUP(Tableau3[[#This Row],[Nom ND]],'pooled normalised values'!$B$74:$L$83,4,FALSE)</f>
        <v>#N/A</v>
      </c>
      <c r="F4" s="43" t="e">
        <f>HLOOKUP(Tableau3[[#This Row],[Nom ND]],'pooled normalised values'!$B$74:$L$83,8,FALSE)</f>
        <v>#N/A</v>
      </c>
      <c r="G4" s="43" t="e">
        <f>VLOOKUP(Tableau3[[#This Row],[Nom ND]],'summary results'!$A$6:$N$26,9,FALSE)</f>
        <v>#N/A</v>
      </c>
      <c r="H4" s="43" t="e">
        <f>VLOOKUP(Tableau3[[#This Row],[Nom ND]],'summary results'!$A$6:$N$26,11,FALSE)</f>
        <v>#N/A</v>
      </c>
      <c r="I4" s="43" t="e">
        <f>HLOOKUP(Tableau3[[#This Row],[Nom D]],'pooled normalised values'!$B$74:$L$83,4,FALSE)</f>
        <v>#N/A</v>
      </c>
      <c r="J4" s="43" t="e">
        <f>HLOOKUP(Tableau3[[#This Row],[Nom D]],'pooled normalised values'!$B$74:$L$83,8,FALSE)</f>
        <v>#N/A</v>
      </c>
      <c r="K4" s="43" t="e">
        <f>VLOOKUP(Tableau3[[#This Row],[Nom D]],'summary results'!$A$29:$N$51,9,FALSE)</f>
        <v>#N/A</v>
      </c>
      <c r="L4" s="43" t="e">
        <f>VLOOKUP(Tableau3[[#This Row],[Nom D]],'summary results'!$A$29:$N$51,11,FALSE)</f>
        <v>#N/A</v>
      </c>
      <c r="M4" t="e">
        <f>'summary results'!$G$30</f>
        <v>#NUM!</v>
      </c>
      <c r="N4" t="e">
        <f>'summary results'!$G$31</f>
        <v>#NUM!</v>
      </c>
    </row>
    <row r="5" spans="1:23" x14ac:dyDescent="0.35">
      <c r="A5" s="1">
        <f t="shared" si="1"/>
        <v>0</v>
      </c>
      <c r="B5" s="43">
        <f t="shared" si="2"/>
        <v>0</v>
      </c>
      <c r="D5" s="43" t="e">
        <f>CONCATENATE(VLOOKUP(Tableau3[[#This Row],[Nom ND]],liste_groupe[],3,FALSE),VLOOKUP(Tableau3[[#This Row],[Nom ND]],liste_groupe[],4,FALSE))</f>
        <v>#N/A</v>
      </c>
      <c r="E5" s="43" t="e">
        <f>HLOOKUP(Tableau3[[#This Row],[Nom ND]],'pooled normalised values'!$B$74:$L$83,4,FALSE)</f>
        <v>#N/A</v>
      </c>
      <c r="F5" s="43" t="e">
        <f>HLOOKUP(Tableau3[[#This Row],[Nom ND]],'pooled normalised values'!$B$74:$L$83,8,FALSE)</f>
        <v>#N/A</v>
      </c>
      <c r="G5" s="43" t="e">
        <f>VLOOKUP(Tableau3[[#This Row],[Nom ND]],'summary results'!$A$6:$N$26,9,FALSE)</f>
        <v>#N/A</v>
      </c>
      <c r="H5" s="43" t="e">
        <f>VLOOKUP(Tableau3[[#This Row],[Nom ND]],'summary results'!$A$6:$N$26,11,FALSE)</f>
        <v>#N/A</v>
      </c>
      <c r="I5" s="43" t="e">
        <f>HLOOKUP(Tableau3[[#This Row],[Nom D]],'pooled normalised values'!$B$74:$L$83,4,FALSE)</f>
        <v>#N/A</v>
      </c>
      <c r="J5" s="43" t="e">
        <f>HLOOKUP(Tableau3[[#This Row],[Nom D]],'pooled normalised values'!$B$74:$L$83,8,FALSE)</f>
        <v>#N/A</v>
      </c>
      <c r="K5" s="43" t="e">
        <f>VLOOKUP(Tableau3[[#This Row],[Nom D]],'summary results'!$A$29:$N$51,9,FALSE)</f>
        <v>#N/A</v>
      </c>
      <c r="L5" s="43" t="e">
        <f>VLOOKUP(Tableau3[[#This Row],[Nom D]],'summary results'!$A$29:$N$51,11,FALSE)</f>
        <v>#N/A</v>
      </c>
      <c r="M5" t="e">
        <f>'summary results'!$G$30</f>
        <v>#NUM!</v>
      </c>
      <c r="N5" t="e">
        <f>'summary results'!$G$31</f>
        <v>#NUM!</v>
      </c>
      <c r="Q5" s="118" t="s">
        <v>100</v>
      </c>
      <c r="U5" s="118" t="s">
        <v>100</v>
      </c>
    </row>
    <row r="6" spans="1:23" x14ac:dyDescent="0.35">
      <c r="A6" s="1">
        <f t="shared" si="1"/>
        <v>0</v>
      </c>
      <c r="B6" s="43">
        <f t="shared" si="2"/>
        <v>0</v>
      </c>
      <c r="D6" s="43" t="e">
        <f>CONCATENATE(VLOOKUP(Tableau3[[#This Row],[Nom ND]],liste_groupe[],3,FALSE),VLOOKUP(Tableau3[[#This Row],[Nom ND]],liste_groupe[],4,FALSE))</f>
        <v>#N/A</v>
      </c>
      <c r="E6" s="43" t="e">
        <f>HLOOKUP(Tableau3[[#This Row],[Nom ND]],'pooled normalised values'!$B$74:$L$83,4,FALSE)</f>
        <v>#N/A</v>
      </c>
      <c r="F6" s="43" t="e">
        <f>HLOOKUP(Tableau3[[#This Row],[Nom ND]],'pooled normalised values'!$B$74:$L$83,8,FALSE)</f>
        <v>#N/A</v>
      </c>
      <c r="G6" s="43" t="e">
        <f>VLOOKUP(Tableau3[[#This Row],[Nom ND]],'summary results'!$A$6:$N$26,9,FALSE)</f>
        <v>#N/A</v>
      </c>
      <c r="H6" s="43" t="e">
        <f>VLOOKUP(Tableau3[[#This Row],[Nom ND]],'summary results'!$A$6:$N$26,11,FALSE)</f>
        <v>#N/A</v>
      </c>
      <c r="I6" s="43" t="e">
        <f>HLOOKUP(Tableau3[[#This Row],[Nom D]],'pooled normalised values'!$B$74:$L$83,4,FALSE)</f>
        <v>#N/A</v>
      </c>
      <c r="J6" s="43" t="e">
        <f>HLOOKUP(Tableau3[[#This Row],[Nom D]],'pooled normalised values'!$B$74:$L$83,8,FALSE)</f>
        <v>#N/A</v>
      </c>
      <c r="K6" s="43" t="e">
        <f>VLOOKUP(Tableau3[[#This Row],[Nom D]],'summary results'!$A$29:$N$51,9,FALSE)</f>
        <v>#N/A</v>
      </c>
      <c r="L6" s="43" t="e">
        <f>VLOOKUP(Tableau3[[#This Row],[Nom D]],'summary results'!$A$29:$N$51,11,FALSE)</f>
        <v>#N/A</v>
      </c>
      <c r="M6" t="e">
        <f>'summary results'!$G$30</f>
        <v>#NUM!</v>
      </c>
      <c r="N6" t="e">
        <f>'summary results'!$G$31</f>
        <v>#NUM!</v>
      </c>
      <c r="Q6" s="145" t="s">
        <v>112</v>
      </c>
      <c r="U6" s="145" t="s">
        <v>101</v>
      </c>
    </row>
    <row r="7" spans="1:23" x14ac:dyDescent="0.35">
      <c r="A7" s="1">
        <f t="shared" si="1"/>
        <v>0</v>
      </c>
      <c r="B7" s="43">
        <f t="shared" si="2"/>
        <v>0</v>
      </c>
      <c r="D7" s="43" t="e">
        <f>CONCATENATE(VLOOKUP(Tableau3[[#This Row],[Nom ND]],liste_groupe[],3,FALSE),VLOOKUP(Tableau3[[#This Row],[Nom ND]],liste_groupe[],4,FALSE))</f>
        <v>#N/A</v>
      </c>
      <c r="E7" s="43" t="e">
        <f>HLOOKUP(Tableau3[[#This Row],[Nom ND]],'pooled normalised values'!$B$74:$L$83,4,FALSE)</f>
        <v>#N/A</v>
      </c>
      <c r="F7" s="43" t="e">
        <f>HLOOKUP(Tableau3[[#This Row],[Nom ND]],'pooled normalised values'!$B$74:$L$83,8,FALSE)</f>
        <v>#N/A</v>
      </c>
      <c r="G7" s="43" t="e">
        <f>VLOOKUP(Tableau3[[#This Row],[Nom ND]],'summary results'!$A$6:$N$26,9,FALSE)</f>
        <v>#N/A</v>
      </c>
      <c r="H7" s="43" t="e">
        <f>VLOOKUP(Tableau3[[#This Row],[Nom ND]],'summary results'!$A$6:$N$26,11,FALSE)</f>
        <v>#N/A</v>
      </c>
      <c r="I7" s="43" t="e">
        <f>HLOOKUP(Tableau3[[#This Row],[Nom D]],'pooled normalised values'!$B$74:$L$83,4,FALSE)</f>
        <v>#N/A</v>
      </c>
      <c r="J7" s="43" t="e">
        <f>HLOOKUP(Tableau3[[#This Row],[Nom D]],'pooled normalised values'!$B$74:$L$83,8,FALSE)</f>
        <v>#N/A</v>
      </c>
      <c r="K7" s="43" t="e">
        <f>VLOOKUP(Tableau3[[#This Row],[Nom D]],'summary results'!$A$29:$N$51,9,FALSE)</f>
        <v>#N/A</v>
      </c>
      <c r="L7" s="43" t="e">
        <f>VLOOKUP(Tableau3[[#This Row],[Nom D]],'summary results'!$A$29:$N$51,11,FALSE)</f>
        <v>#N/A</v>
      </c>
      <c r="M7" t="e">
        <f>'summary results'!$G$30</f>
        <v>#NUM!</v>
      </c>
      <c r="N7" t="e">
        <f>'summary results'!$G$31</f>
        <v>#NUM!</v>
      </c>
    </row>
    <row r="8" spans="1:23" x14ac:dyDescent="0.35">
      <c r="A8" s="1">
        <f t="shared" si="1"/>
        <v>0</v>
      </c>
      <c r="B8" s="43">
        <f t="shared" si="2"/>
        <v>0</v>
      </c>
      <c r="D8" s="43" t="e">
        <f>CONCATENATE(VLOOKUP(Tableau3[[#This Row],[Nom ND]],liste_groupe[],3,FALSE),VLOOKUP(Tableau3[[#This Row],[Nom ND]],liste_groupe[],4,FALSE))</f>
        <v>#N/A</v>
      </c>
      <c r="E8" s="147" t="e">
        <f>HLOOKUP(Tableau3[[#This Row],[Nom ND]],'pooled normalised values'!$B$74:$L$83,4,FALSE)</f>
        <v>#N/A</v>
      </c>
      <c r="F8" s="43" t="e">
        <f>HLOOKUP(Tableau3[[#This Row],[Nom ND]],'pooled normalised values'!$B$74:$L$83,8,FALSE)</f>
        <v>#N/A</v>
      </c>
      <c r="G8" s="43" t="e">
        <f>VLOOKUP(Tableau3[[#This Row],[Nom ND]],'summary results'!$A$6:$N$26,9,FALSE)</f>
        <v>#N/A</v>
      </c>
      <c r="H8" s="43" t="e">
        <f>VLOOKUP(Tableau3[[#This Row],[Nom ND]],'summary results'!$A$6:$N$26,11,FALSE)</f>
        <v>#N/A</v>
      </c>
      <c r="I8" s="43" t="e">
        <f>HLOOKUP(Tableau3[[#This Row],[Nom D]],'pooled normalised values'!$B$74:$L$83,4,FALSE)</f>
        <v>#N/A</v>
      </c>
      <c r="J8" s="43" t="e">
        <f>HLOOKUP(Tableau3[[#This Row],[Nom D]],'pooled normalised values'!$B$74:$L$83,8,FALSE)</f>
        <v>#N/A</v>
      </c>
      <c r="K8" s="43" t="e">
        <f>VLOOKUP(Tableau3[[#This Row],[Nom D]],'summary results'!$A$29:$N$51,9,FALSE)</f>
        <v>#N/A</v>
      </c>
      <c r="L8" s="43" t="e">
        <f>VLOOKUP(Tableau3[[#This Row],[Nom D]],'summary results'!$A$29:$N$51,11,FALSE)</f>
        <v>#N/A</v>
      </c>
      <c r="M8" t="e">
        <f>'summary results'!$G$30</f>
        <v>#NUM!</v>
      </c>
      <c r="N8" t="e">
        <f>'summary results'!$G$31</f>
        <v>#NUM!</v>
      </c>
    </row>
    <row r="9" spans="1:23" x14ac:dyDescent="0.35">
      <c r="A9" s="1">
        <f t="shared" si="1"/>
        <v>0</v>
      </c>
      <c r="B9" s="43">
        <f t="shared" si="2"/>
        <v>0</v>
      </c>
      <c r="D9" s="43" t="e">
        <f>CONCATENATE(VLOOKUP(Tableau3[[#This Row],[Nom ND]],liste_groupe[],3,FALSE),VLOOKUP(Tableau3[[#This Row],[Nom ND]],liste_groupe[],4,FALSE))</f>
        <v>#N/A</v>
      </c>
      <c r="E9" s="43" t="e">
        <f>HLOOKUP(Tableau3[[#This Row],[Nom ND]],'pooled normalised values'!$B$74:$L$83,4,FALSE)</f>
        <v>#N/A</v>
      </c>
      <c r="F9" s="43" t="e">
        <f>HLOOKUP(Tableau3[[#This Row],[Nom ND]],'pooled normalised values'!$B$74:$L$83,8,FALSE)</f>
        <v>#N/A</v>
      </c>
      <c r="G9" s="43" t="e">
        <f>VLOOKUP(Tableau3[[#This Row],[Nom ND]],'summary results'!$A$6:$N$26,9,FALSE)</f>
        <v>#N/A</v>
      </c>
      <c r="H9" s="43" t="e">
        <f>VLOOKUP(Tableau3[[#This Row],[Nom ND]],'summary results'!$A$6:$N$26,11,FALSE)</f>
        <v>#N/A</v>
      </c>
      <c r="I9" s="43" t="e">
        <f>HLOOKUP(Tableau3[[#This Row],[Nom D]],'pooled normalised values'!$B$74:$L$83,4,FALSE)</f>
        <v>#N/A</v>
      </c>
      <c r="J9" s="43" t="e">
        <f>HLOOKUP(Tableau3[[#This Row],[Nom D]],'pooled normalised values'!$B$74:$L$83,8,FALSE)</f>
        <v>#N/A</v>
      </c>
      <c r="K9" s="43" t="e">
        <f>VLOOKUP(Tableau3[[#This Row],[Nom D]],'summary results'!$A$29:$N$51,9,FALSE)</f>
        <v>#N/A</v>
      </c>
      <c r="L9" s="43" t="e">
        <f>VLOOKUP(Tableau3[[#This Row],[Nom D]],'summary results'!$A$29:$N$51,11,FALSE)</f>
        <v>#N/A</v>
      </c>
      <c r="M9" t="e">
        <f>'summary results'!$G$30</f>
        <v>#NUM!</v>
      </c>
      <c r="N9" t="e">
        <f>'summary results'!$G$31</f>
        <v>#NUM!</v>
      </c>
    </row>
    <row r="10" spans="1:23" x14ac:dyDescent="0.35">
      <c r="A10" s="1">
        <f t="shared" si="1"/>
        <v>0</v>
      </c>
      <c r="B10" s="43">
        <f t="shared" si="2"/>
        <v>0</v>
      </c>
      <c r="D10" s="43" t="e">
        <f>CONCATENATE(VLOOKUP(Tableau3[[#This Row],[Nom ND]],liste_groupe[],3,FALSE),VLOOKUP(Tableau3[[#This Row],[Nom ND]],liste_groupe[],4,FALSE))</f>
        <v>#N/A</v>
      </c>
      <c r="E10" s="43" t="e">
        <f>HLOOKUP(Tableau3[[#This Row],[Nom ND]],'pooled normalised values'!$B$74:$L$83,4,FALSE)</f>
        <v>#N/A</v>
      </c>
      <c r="F10" s="43" t="e">
        <f>HLOOKUP(Tableau3[[#This Row],[Nom ND]],'pooled normalised values'!$B$74:$L$83,8,FALSE)</f>
        <v>#N/A</v>
      </c>
      <c r="G10" s="43" t="e">
        <f>VLOOKUP(Tableau3[[#This Row],[Nom ND]],'summary results'!$A$6:$N$26,9,FALSE)</f>
        <v>#N/A</v>
      </c>
      <c r="H10" s="43" t="e">
        <f>VLOOKUP(Tableau3[[#This Row],[Nom ND]],'summary results'!$A$6:$N$26,11,FALSE)</f>
        <v>#N/A</v>
      </c>
      <c r="I10" s="43" t="e">
        <f>HLOOKUP(Tableau3[[#This Row],[Nom D]],'pooled normalised values'!$B$74:$L$83,4,FALSE)</f>
        <v>#N/A</v>
      </c>
      <c r="J10" s="43" t="e">
        <f>HLOOKUP(Tableau3[[#This Row],[Nom D]],'pooled normalised values'!$B$74:$L$83,8,FALSE)</f>
        <v>#N/A</v>
      </c>
      <c r="K10" s="43" t="e">
        <f>VLOOKUP(Tableau3[[#This Row],[Nom D]],'summary results'!$A$29:$N$51,9,FALSE)</f>
        <v>#N/A</v>
      </c>
      <c r="L10" s="43" t="e">
        <f>VLOOKUP(Tableau3[[#This Row],[Nom D]],'summary results'!$A$29:$N$51,11,FALSE)</f>
        <v>#N/A</v>
      </c>
      <c r="M10" t="e">
        <f>'summary results'!$G$30</f>
        <v>#NUM!</v>
      </c>
      <c r="N10" t="e">
        <f>'summary results'!$G$31</f>
        <v>#NUM!</v>
      </c>
    </row>
    <row r="11" spans="1:23" x14ac:dyDescent="0.35">
      <c r="A11" s="1">
        <f t="shared" si="1"/>
        <v>0</v>
      </c>
      <c r="B11" s="43">
        <f t="shared" si="2"/>
        <v>0</v>
      </c>
      <c r="D11" s="43" t="e">
        <f>CONCATENATE(VLOOKUP(Tableau3[[#This Row],[Nom ND]],liste_groupe[],3,FALSE),VLOOKUP(Tableau3[[#This Row],[Nom ND]],liste_groupe[],4,FALSE))</f>
        <v>#N/A</v>
      </c>
      <c r="E11" s="43" t="e">
        <f>HLOOKUP(Tableau3[[#This Row],[Nom ND]],'pooled normalised values'!$B$74:$L$83,4,FALSE)</f>
        <v>#N/A</v>
      </c>
      <c r="F11" s="43" t="e">
        <f>HLOOKUP(Tableau3[[#This Row],[Nom ND]],'pooled normalised values'!$B$74:$L$83,8,FALSE)</f>
        <v>#N/A</v>
      </c>
      <c r="G11" s="43" t="e">
        <f>VLOOKUP(Tableau3[[#This Row],[Nom ND]],'summary results'!$A$6:$N$26,9,FALSE)</f>
        <v>#N/A</v>
      </c>
      <c r="H11" s="43" t="e">
        <f>VLOOKUP(Tableau3[[#This Row],[Nom ND]],'summary results'!$A$6:$N$26,11,FALSE)</f>
        <v>#N/A</v>
      </c>
      <c r="I11" s="43" t="e">
        <f>HLOOKUP(Tableau3[[#This Row],[Nom D]],'pooled normalised values'!$B$74:$L$83,4,FALSE)</f>
        <v>#N/A</v>
      </c>
      <c r="J11" s="43" t="e">
        <f>HLOOKUP(Tableau3[[#This Row],[Nom D]],'pooled normalised values'!$B$74:$L$83,8,FALSE)</f>
        <v>#N/A</v>
      </c>
      <c r="K11" s="43" t="e">
        <f>VLOOKUP(Tableau3[[#This Row],[Nom D]],'summary results'!$A$29:$N$51,9,FALSE)</f>
        <v>#N/A</v>
      </c>
      <c r="L11" s="43" t="e">
        <f>VLOOKUP(Tableau3[[#This Row],[Nom D]],'summary results'!$A$29:$N$51,11,FALSE)</f>
        <v>#N/A</v>
      </c>
      <c r="M11" t="e">
        <f>'summary results'!$G$30</f>
        <v>#NUM!</v>
      </c>
      <c r="N11" t="e">
        <f>'summary results'!$G$31</f>
        <v>#NUM!</v>
      </c>
    </row>
    <row r="12" spans="1:23" x14ac:dyDescent="0.35">
      <c r="A12" s="1">
        <f t="shared" si="1"/>
        <v>0</v>
      </c>
      <c r="B12" s="43">
        <f t="shared" si="2"/>
        <v>0</v>
      </c>
      <c r="D12" s="43" t="e">
        <f>CONCATENATE(VLOOKUP(Tableau3[[#This Row],[Nom ND]],liste_groupe[],3,FALSE),VLOOKUP(Tableau3[[#This Row],[Nom ND]],liste_groupe[],4,FALSE))</f>
        <v>#N/A</v>
      </c>
      <c r="E12" s="43" t="e">
        <f>HLOOKUP(Tableau3[[#This Row],[Nom ND]],'pooled normalised values'!$B$74:$L$83,4,FALSE)</f>
        <v>#N/A</v>
      </c>
      <c r="F12" s="43" t="e">
        <f>HLOOKUP(Tableau3[[#This Row],[Nom ND]],'pooled normalised values'!$B$74:$L$83,8,FALSE)</f>
        <v>#N/A</v>
      </c>
      <c r="G12" s="43" t="e">
        <f>VLOOKUP(Tableau3[[#This Row],[Nom ND]],'summary results'!$A$6:$N$26,9,FALSE)</f>
        <v>#N/A</v>
      </c>
      <c r="H12" s="43" t="e">
        <f>VLOOKUP(Tableau3[[#This Row],[Nom ND]],'summary results'!$A$6:$N$26,11,FALSE)</f>
        <v>#N/A</v>
      </c>
      <c r="I12" s="43" t="e">
        <f>HLOOKUP(Tableau3[[#This Row],[Nom D]],'pooled normalised values'!$B$74:$L$83,4,FALSE)</f>
        <v>#N/A</v>
      </c>
      <c r="J12" s="43" t="e">
        <f>HLOOKUP(Tableau3[[#This Row],[Nom D]],'pooled normalised values'!$B$74:$L$83,8,FALSE)</f>
        <v>#N/A</v>
      </c>
      <c r="K12" s="43" t="e">
        <f>VLOOKUP(Tableau3[[#This Row],[Nom D]],'summary results'!$A$29:$N$51,9,FALSE)</f>
        <v>#N/A</v>
      </c>
      <c r="L12" s="43" t="e">
        <f>VLOOKUP(Tableau3[[#This Row],[Nom D]],'summary results'!$A$29:$N$51,11,FALSE)</f>
        <v>#N/A</v>
      </c>
      <c r="M12" t="e">
        <f>'summary results'!$G$30</f>
        <v>#NUM!</v>
      </c>
      <c r="N12" t="e">
        <f>'summary results'!$G$31</f>
        <v>#NUM!</v>
      </c>
    </row>
    <row r="13" spans="1:23" x14ac:dyDescent="0.35">
      <c r="A13" s="1">
        <f t="shared" si="1"/>
        <v>0</v>
      </c>
      <c r="B13" s="43">
        <f t="shared" si="2"/>
        <v>0</v>
      </c>
      <c r="D13" s="43" t="e">
        <f>CONCATENATE(VLOOKUP(Tableau3[[#This Row],[Nom ND]],liste_groupe[],3,FALSE),VLOOKUP(Tableau3[[#This Row],[Nom ND]],liste_groupe[],4,FALSE))</f>
        <v>#N/A</v>
      </c>
      <c r="E13" s="43" t="e">
        <f>HLOOKUP(Tableau3[[#This Row],[Nom ND]],'pooled normalised values'!$B$74:$L$83,4,FALSE)</f>
        <v>#N/A</v>
      </c>
      <c r="F13" s="43" t="e">
        <f>HLOOKUP(Tableau3[[#This Row],[Nom ND]],'pooled normalised values'!$B$74:$L$83,8,FALSE)</f>
        <v>#N/A</v>
      </c>
      <c r="G13" s="43" t="e">
        <f>VLOOKUP(Tableau3[[#This Row],[Nom ND]],'summary results'!$A$6:$N$26,9,FALSE)</f>
        <v>#N/A</v>
      </c>
      <c r="H13" s="43" t="e">
        <f>VLOOKUP(Tableau3[[#This Row],[Nom ND]],'summary results'!$A$6:$N$26,11,FALSE)</f>
        <v>#N/A</v>
      </c>
      <c r="I13" s="43" t="e">
        <f>HLOOKUP(Tableau3[[#This Row],[Nom D]],'pooled normalised values'!$B$74:$L$83,4,FALSE)</f>
        <v>#N/A</v>
      </c>
      <c r="J13" s="43" t="e">
        <f>HLOOKUP(Tableau3[[#This Row],[Nom D]],'pooled normalised values'!$B$74:$L$83,8,FALSE)</f>
        <v>#N/A</v>
      </c>
      <c r="K13" s="43" t="e">
        <f>VLOOKUP(Tableau3[[#This Row],[Nom D]],'summary results'!$A$29:$N$51,9,FALSE)</f>
        <v>#N/A</v>
      </c>
      <c r="L13" s="43" t="e">
        <f>VLOOKUP(Tableau3[[#This Row],[Nom D]],'summary results'!$A$29:$N$51,11,FALSE)</f>
        <v>#N/A</v>
      </c>
      <c r="M13" t="e">
        <f>'summary results'!$G$30</f>
        <v>#NUM!</v>
      </c>
      <c r="N13" t="e">
        <f>'summary results'!$G$31</f>
        <v>#NUM!</v>
      </c>
    </row>
    <row r="14" spans="1:23" x14ac:dyDescent="0.35">
      <c r="A14" s="1">
        <f t="shared" si="1"/>
        <v>0</v>
      </c>
      <c r="B14" s="43">
        <f t="shared" si="2"/>
        <v>0</v>
      </c>
      <c r="D14" s="43" t="e">
        <f>CONCATENATE(VLOOKUP(Tableau3[[#This Row],[Nom ND]],liste_groupe[],3,FALSE),VLOOKUP(Tableau3[[#This Row],[Nom ND]],liste_groupe[],4,FALSE))</f>
        <v>#N/A</v>
      </c>
      <c r="E14" s="43" t="e">
        <f>HLOOKUP(Tableau3[[#This Row],[Nom ND]],'pooled normalised values'!$B$74:$L$83,4,FALSE)</f>
        <v>#N/A</v>
      </c>
      <c r="F14" s="43" t="e">
        <f>HLOOKUP(Tableau3[[#This Row],[Nom ND]],'pooled normalised values'!$B$74:$L$83,8,FALSE)</f>
        <v>#N/A</v>
      </c>
      <c r="G14" s="43" t="e">
        <f>VLOOKUP(Tableau3[[#This Row],[Nom ND]],'summary results'!$A$6:$N$26,9,FALSE)</f>
        <v>#N/A</v>
      </c>
      <c r="H14" s="43" t="e">
        <f>VLOOKUP(Tableau3[[#This Row],[Nom ND]],'summary results'!$A$6:$N$26,11,FALSE)</f>
        <v>#N/A</v>
      </c>
      <c r="I14" s="43" t="e">
        <f>HLOOKUP(Tableau3[[#This Row],[Nom D]],'pooled normalised values'!$B$74:$L$83,4,FALSE)</f>
        <v>#N/A</v>
      </c>
      <c r="J14" s="43" t="e">
        <f>HLOOKUP(Tableau3[[#This Row],[Nom D]],'pooled normalised values'!$B$74:$L$83,8,FALSE)</f>
        <v>#N/A</v>
      </c>
      <c r="K14" s="43" t="e">
        <f>VLOOKUP(Tableau3[[#This Row],[Nom D]],'summary results'!$A$29:$N$51,9,FALSE)</f>
        <v>#N/A</v>
      </c>
      <c r="L14" s="43" t="e">
        <f>VLOOKUP(Tableau3[[#This Row],[Nom D]],'summary results'!$A$29:$N$51,11,FALSE)</f>
        <v>#N/A</v>
      </c>
      <c r="M14" t="e">
        <f>'summary results'!$G$30</f>
        <v>#NUM!</v>
      </c>
      <c r="N14" t="e">
        <f>'summary results'!$G$31</f>
        <v>#NUM!</v>
      </c>
    </row>
    <row r="15" spans="1:23" x14ac:dyDescent="0.35">
      <c r="A15" s="1">
        <f t="shared" si="1"/>
        <v>0</v>
      </c>
      <c r="B15" s="43">
        <f t="shared" si="2"/>
        <v>0</v>
      </c>
      <c r="D15" s="43" t="e">
        <f>CONCATENATE(VLOOKUP(Tableau3[[#This Row],[Nom ND]],liste_groupe[],3,FALSE),VLOOKUP(Tableau3[[#This Row],[Nom ND]],liste_groupe[],4,FALSE))</f>
        <v>#N/A</v>
      </c>
      <c r="E15" s="43" t="e">
        <f>HLOOKUP(Tableau3[[#This Row],[Nom ND]],'pooled normalised values'!$B$74:$L$83,4,FALSE)</f>
        <v>#N/A</v>
      </c>
      <c r="F15" s="43" t="e">
        <f>HLOOKUP(Tableau3[[#This Row],[Nom ND]],'pooled normalised values'!$B$74:$L$83,8,FALSE)</f>
        <v>#N/A</v>
      </c>
      <c r="G15" s="43" t="e">
        <f>VLOOKUP(Tableau3[[#This Row],[Nom ND]],'summary results'!$A$6:$N$26,9,FALSE)</f>
        <v>#N/A</v>
      </c>
      <c r="H15" s="43" t="e">
        <f>VLOOKUP(Tableau3[[#This Row],[Nom ND]],'summary results'!$A$6:$N$26,11,FALSE)</f>
        <v>#N/A</v>
      </c>
      <c r="I15" s="43" t="e">
        <f>HLOOKUP(Tableau3[[#This Row],[Nom D]],'pooled normalised values'!$B$74:$L$83,4,FALSE)</f>
        <v>#N/A</v>
      </c>
      <c r="J15" s="43" t="e">
        <f>HLOOKUP(Tableau3[[#This Row],[Nom D]],'pooled normalised values'!$B$74:$L$83,8,FALSE)</f>
        <v>#N/A</v>
      </c>
      <c r="K15" s="43" t="e">
        <f>VLOOKUP(Tableau3[[#This Row],[Nom D]],'summary results'!$A$29:$N$51,9,FALSE)</f>
        <v>#N/A</v>
      </c>
      <c r="L15" s="43"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1DB616-607E-48ED-8768-C3D5FB036C96}"/>
</file>

<file path=customXml/itemProps2.xml><?xml version="1.0" encoding="utf-8"?>
<ds:datastoreItem xmlns:ds="http://schemas.openxmlformats.org/officeDocument/2006/customXml" ds:itemID="{F5D6EBCE-8A20-4C7D-BB98-8ECAF0A4B5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15</vt:i4>
      </vt:variant>
      <vt:variant>
        <vt:lpstr>Graphiques</vt:lpstr>
      </vt:variant>
      <vt:variant>
        <vt:i4>4</vt:i4>
      </vt:variant>
      <vt:variant>
        <vt:lpstr>Plages nommées</vt:lpstr>
      </vt:variant>
      <vt:variant>
        <vt:i4>1</vt:i4>
      </vt:variant>
    </vt:vector>
  </HeadingPairs>
  <TitlesOfParts>
    <vt:vector size="20" baseType="lpstr">
      <vt:lpstr>Page de garde</vt:lpstr>
      <vt:lpstr>Feuil1</vt:lpstr>
      <vt:lpstr>Raw data R1</vt:lpstr>
      <vt:lpstr>Feuil2</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2022-09-13T16:06:34Z</dcterms:modified>
</cp:coreProperties>
</file>