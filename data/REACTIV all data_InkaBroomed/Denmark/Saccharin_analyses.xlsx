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hidePivotFieldList="1" defaultThemeVersion="124226"/>
  <xr:revisionPtr revIDLastSave="0" documentId="13_ncr:1_{E7BCF63D-DC31-4122-921C-DFFB27C7DC94}" xr6:coauthVersionLast="47" xr6:coauthVersionMax="47" xr10:uidLastSave="{00000000-0000-0000-0000-000000000000}"/>
  <bookViews>
    <workbookView xWindow="270" yWindow="1395" windowWidth="16125" windowHeight="12360" firstSheet="5" activeTab="8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</externalReferences>
  <definedNames>
    <definedName name="_xlnm.Print_Area" localSheetId="0">'Front page'!$A$1:$I$51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0" l="1"/>
  <c r="R31" i="1"/>
  <c r="S31" i="1"/>
  <c r="T31" i="1"/>
  <c r="U31" i="1"/>
  <c r="V31" i="1"/>
  <c r="R32" i="1"/>
  <c r="S32" i="1"/>
  <c r="T32" i="1"/>
  <c r="U32" i="1"/>
  <c r="V32" i="1"/>
  <c r="R33" i="1"/>
  <c r="S33" i="1"/>
  <c r="T33" i="1"/>
  <c r="U33" i="1"/>
  <c r="V33" i="1"/>
  <c r="R34" i="1"/>
  <c r="S34" i="1"/>
  <c r="T34" i="1"/>
  <c r="U34" i="1"/>
  <c r="V34" i="1"/>
  <c r="R35" i="1"/>
  <c r="S35" i="1"/>
  <c r="T35" i="1"/>
  <c r="U35" i="1"/>
  <c r="V35" i="1"/>
  <c r="P36" i="1"/>
  <c r="Q36" i="1"/>
  <c r="R36" i="1"/>
  <c r="S36" i="1"/>
  <c r="T36" i="1"/>
  <c r="U36" i="1"/>
  <c r="V36" i="1"/>
  <c r="I34" i="1"/>
  <c r="J34" i="1"/>
  <c r="K34" i="1"/>
  <c r="L34" i="1"/>
  <c r="M34" i="1"/>
  <c r="F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O41" i="33"/>
  <c r="O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O39" i="33"/>
  <c r="O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O37" i="33"/>
  <c r="O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O35" i="33"/>
  <c r="O45" i="4" s="1"/>
  <c r="M35" i="33"/>
  <c r="M45" i="4" s="1"/>
  <c r="L35" i="33"/>
  <c r="L45" i="4" s="1"/>
  <c r="K35" i="33"/>
  <c r="K45" i="4" s="1"/>
  <c r="J35" i="33"/>
  <c r="J45" i="4" s="1"/>
  <c r="I35" i="33"/>
  <c r="I45" i="4" s="1"/>
  <c r="H35" i="33"/>
  <c r="H45" i="4" s="1"/>
  <c r="F35" i="33"/>
  <c r="F45" i="4" s="1"/>
  <c r="E35" i="33"/>
  <c r="E45" i="4" s="1"/>
  <c r="C35" i="33"/>
  <c r="C45" i="4" s="1"/>
  <c r="M34" i="33"/>
  <c r="M44" i="4" s="1"/>
  <c r="L34" i="33"/>
  <c r="L44" i="4" s="1"/>
  <c r="K34" i="33"/>
  <c r="K44" i="4" s="1"/>
  <c r="J34" i="33"/>
  <c r="J44" i="4" s="1"/>
  <c r="I34" i="33"/>
  <c r="I44" i="4" s="1"/>
  <c r="G34" i="33"/>
  <c r="G44" i="4" s="1"/>
  <c r="D34" i="33"/>
  <c r="D44" i="4" s="1"/>
  <c r="C34" i="33"/>
  <c r="C44" i="4" s="1"/>
  <c r="B34" i="33"/>
  <c r="B44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O30" i="33"/>
  <c r="O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O29" i="33"/>
  <c r="O39" i="4" s="1"/>
  <c r="M29" i="33"/>
  <c r="M39" i="4" s="1"/>
  <c r="L29" i="33"/>
  <c r="L39" i="4" s="1"/>
  <c r="K29" i="33"/>
  <c r="K39" i="4" s="1"/>
  <c r="J29" i="33"/>
  <c r="J39" i="4" s="1"/>
  <c r="I29" i="33"/>
  <c r="I39" i="4" s="1"/>
  <c r="H29" i="33"/>
  <c r="H39" i="4" s="1"/>
  <c r="G29" i="33"/>
  <c r="G39" i="4" s="1"/>
  <c r="F29" i="33"/>
  <c r="F39" i="4" s="1"/>
  <c r="E29" i="33"/>
  <c r="E39" i="4" s="1"/>
  <c r="C29" i="33"/>
  <c r="C39" i="4" s="1"/>
  <c r="V28" i="33"/>
  <c r="U28" i="33"/>
  <c r="T28" i="33"/>
  <c r="S28" i="33"/>
  <c r="R28" i="33"/>
  <c r="P28" i="33"/>
  <c r="M28" i="33"/>
  <c r="L28" i="33"/>
  <c r="K28" i="33"/>
  <c r="J28" i="33"/>
  <c r="I28" i="33"/>
  <c r="G28" i="33"/>
  <c r="D28" i="33"/>
  <c r="C28" i="33"/>
  <c r="B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O43" i="33" l="1"/>
  <c r="O53" i="4" s="1"/>
  <c r="G35" i="33"/>
  <c r="G45" i="4" s="1"/>
  <c r="P35" i="33"/>
  <c r="P45" i="4" s="1"/>
  <c r="E28" i="33"/>
  <c r="E34" i="33"/>
  <c r="E44" i="4" s="1"/>
  <c r="F28" i="33"/>
  <c r="O28" i="33"/>
  <c r="B29" i="33"/>
  <c r="B39" i="4" s="1"/>
  <c r="F34" i="33"/>
  <c r="F44" i="4" s="1"/>
  <c r="B35" i="33"/>
  <c r="B45" i="4" s="1"/>
  <c r="O36" i="33"/>
  <c r="O46" i="4" s="1"/>
  <c r="O38" i="33"/>
  <c r="O48" i="4" s="1"/>
  <c r="O40" i="33"/>
  <c r="O50" i="4" s="1"/>
  <c r="O42" i="33"/>
  <c r="O52" i="4" s="1"/>
  <c r="H28" i="33"/>
  <c r="Q28" i="33"/>
  <c r="D29" i="33"/>
  <c r="D39" i="4" s="1"/>
  <c r="H34" i="33"/>
  <c r="H44" i="4" s="1"/>
  <c r="D35" i="33"/>
  <c r="D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H38" i="4"/>
  <c r="U38" i="4"/>
  <c r="I38" i="4"/>
  <c r="V38" i="4"/>
  <c r="E38" i="4"/>
  <c r="M38" i="4"/>
  <c r="R38" i="4"/>
  <c r="B38" i="4"/>
  <c r="B22" i="33"/>
  <c r="E22" i="33"/>
  <c r="I45" i="33"/>
  <c r="I52" i="33"/>
  <c r="I27" i="33"/>
  <c r="C38" i="4"/>
  <c r="G38" i="4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M56" i="33"/>
  <c r="V56" i="33"/>
  <c r="L56" i="33"/>
  <c r="J56" i="33"/>
  <c r="O56" i="33"/>
  <c r="P56" i="33"/>
  <c r="U56" i="33"/>
  <c r="S56" i="33"/>
  <c r="Q56" i="33"/>
  <c r="T56" i="33"/>
  <c r="I56" i="33"/>
  <c r="K56" i="33"/>
  <c r="R56" i="33"/>
  <c r="F56" i="33"/>
  <c r="C56" i="33"/>
  <c r="E56" i="33"/>
  <c r="G56" i="33"/>
  <c r="H56" i="33"/>
  <c r="B56" i="33"/>
  <c r="D56" i="33"/>
  <c r="S47" i="33" l="1"/>
  <c r="S48" i="33" s="1"/>
  <c r="S54" i="33" s="1"/>
  <c r="R47" i="33"/>
  <c r="R48" i="33" s="1"/>
  <c r="R54" i="33" s="1"/>
  <c r="L47" i="33"/>
  <c r="L48" i="33" s="1"/>
  <c r="L54" i="33" s="1"/>
  <c r="K47" i="33"/>
  <c r="K48" i="33" s="1"/>
  <c r="K54" i="33" s="1"/>
  <c r="I47" i="33"/>
  <c r="I48" i="33" s="1"/>
  <c r="I54" i="33" s="1"/>
  <c r="G47" i="33"/>
  <c r="E46" i="33"/>
  <c r="E53" i="33" s="1"/>
  <c r="C47" i="33"/>
  <c r="C48" i="33" s="1"/>
  <c r="C54" i="33" s="1"/>
  <c r="R46" i="33"/>
  <c r="R53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F60" i="33" s="1"/>
  <c r="E57" i="33"/>
  <c r="D57" i="33"/>
  <c r="C57" i="33"/>
  <c r="T57" i="33"/>
  <c r="S41" i="4"/>
  <c r="V41" i="4"/>
  <c r="U41" i="4"/>
  <c r="P41" i="4"/>
  <c r="O41" i="4"/>
  <c r="M40" i="4"/>
  <c r="R41" i="4"/>
  <c r="K40" i="4"/>
  <c r="J40" i="4"/>
  <c r="F40" i="4"/>
  <c r="O47" i="33"/>
  <c r="O48" i="33" s="1"/>
  <c r="O54" i="33" s="1"/>
  <c r="G48" i="33"/>
  <c r="G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M55" i="33" l="1"/>
  <c r="Q59" i="33"/>
  <c r="E59" i="33"/>
  <c r="E60" i="33" s="1"/>
  <c r="E61" i="33" s="1"/>
  <c r="J59" i="33"/>
  <c r="J60" i="33" s="1"/>
  <c r="J61" i="33" s="1"/>
  <c r="R59" i="33"/>
  <c r="U59" i="33"/>
  <c r="T59" i="33"/>
  <c r="H59" i="33"/>
  <c r="H60" i="33" s="1"/>
  <c r="V59" i="33"/>
  <c r="P59" i="33"/>
  <c r="P60" i="33" s="1"/>
  <c r="S59" i="33"/>
  <c r="S60" i="33" s="1"/>
  <c r="S55" i="33"/>
  <c r="L59" i="33"/>
  <c r="L60" i="33" s="1"/>
  <c r="D59" i="33"/>
  <c r="D60" i="33" s="1"/>
  <c r="O59" i="33"/>
  <c r="O60" i="33" s="1"/>
  <c r="C59" i="33"/>
  <c r="C60" i="33" s="1"/>
  <c r="G59" i="33"/>
  <c r="G60" i="33" s="1"/>
  <c r="I59" i="33"/>
  <c r="I60" i="33" s="1"/>
  <c r="K59" i="33"/>
  <c r="K60" i="33" s="1"/>
  <c r="M59" i="33"/>
  <c r="M60" i="33" s="1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V60" i="33"/>
  <c r="U60" i="33"/>
  <c r="T60" i="33"/>
  <c r="R60" i="33"/>
  <c r="Q60" i="33"/>
  <c r="U61" i="33" l="1"/>
  <c r="Q61" i="33"/>
  <c r="O61" i="33"/>
  <c r="P61" i="33"/>
  <c r="I61" i="33"/>
  <c r="G61" i="33"/>
  <c r="V61" i="33"/>
  <c r="C61" i="33"/>
  <c r="H61" i="33"/>
  <c r="T61" i="33"/>
  <c r="D61" i="33"/>
  <c r="L61" i="33"/>
  <c r="R61" i="33"/>
  <c r="M61" i="33"/>
  <c r="K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R28" i="23"/>
  <c r="S28" i="23"/>
  <c r="T28" i="23"/>
  <c r="U28" i="23"/>
  <c r="V28" i="23"/>
  <c r="R29" i="23"/>
  <c r="R23" i="4" s="1"/>
  <c r="S29" i="23"/>
  <c r="S23" i="4" s="1"/>
  <c r="T29" i="23"/>
  <c r="T23" i="4" s="1"/>
  <c r="U29" i="23"/>
  <c r="U23" i="4" s="1"/>
  <c r="V29" i="23"/>
  <c r="V23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R31" i="23"/>
  <c r="R25" i="4" s="1"/>
  <c r="S31" i="23"/>
  <c r="S25" i="4" s="1"/>
  <c r="T31" i="23"/>
  <c r="T25" i="4" s="1"/>
  <c r="U31" i="23"/>
  <c r="U25" i="4" s="1"/>
  <c r="V31" i="23"/>
  <c r="V25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O39" i="23"/>
  <c r="O33" i="4" s="1"/>
  <c r="O40" i="23"/>
  <c r="O34" i="4" s="1"/>
  <c r="K28" i="23"/>
  <c r="L28" i="23"/>
  <c r="M28" i="23"/>
  <c r="K29" i="23"/>
  <c r="K23" i="4" s="1"/>
  <c r="L29" i="23"/>
  <c r="L23" i="4" s="1"/>
  <c r="M29" i="23"/>
  <c r="M23" i="4" s="1"/>
  <c r="K30" i="23"/>
  <c r="K24" i="4" s="1"/>
  <c r="L30" i="23"/>
  <c r="L24" i="4" s="1"/>
  <c r="M30" i="23"/>
  <c r="M24" i="4" s="1"/>
  <c r="K31" i="23"/>
  <c r="K25" i="4" s="1"/>
  <c r="L31" i="23"/>
  <c r="L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28" i="1"/>
  <c r="T28" i="1"/>
  <c r="U28" i="1"/>
  <c r="V28" i="1"/>
  <c r="S29" i="1"/>
  <c r="S7" i="4" s="1"/>
  <c r="T29" i="1"/>
  <c r="T7" i="4" s="1"/>
  <c r="U29" i="1"/>
  <c r="U7" i="4" s="1"/>
  <c r="V29" i="1"/>
  <c r="V7" i="4" s="1"/>
  <c r="S30" i="1"/>
  <c r="S8" i="4" s="1"/>
  <c r="T30" i="1"/>
  <c r="T8" i="4" s="1"/>
  <c r="U30" i="1"/>
  <c r="U8" i="4" s="1"/>
  <c r="V30" i="1"/>
  <c r="V8" i="4" s="1"/>
  <c r="S13" i="4"/>
  <c r="T13" i="4"/>
  <c r="U13" i="4"/>
  <c r="V13" i="4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28" i="1"/>
  <c r="L28" i="1"/>
  <c r="M28" i="1"/>
  <c r="K29" i="1"/>
  <c r="K7" i="4" s="1"/>
  <c r="L29" i="1"/>
  <c r="L7" i="4" s="1"/>
  <c r="M29" i="1"/>
  <c r="M7" i="4" s="1"/>
  <c r="K12" i="4"/>
  <c r="L12" i="4"/>
  <c r="M12" i="4"/>
  <c r="K13" i="4"/>
  <c r="L13" i="4"/>
  <c r="M13" i="4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J28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E30" i="23"/>
  <c r="E24" i="4" s="1"/>
  <c r="D31" i="23"/>
  <c r="D25" i="4" s="1"/>
  <c r="C28" i="23"/>
  <c r="J29" i="23"/>
  <c r="J23" i="4" s="1"/>
  <c r="J40" i="23"/>
  <c r="J34" i="4" s="1"/>
  <c r="J36" i="23"/>
  <c r="J30" i="4" s="1"/>
  <c r="G31" i="23"/>
  <c r="G25" i="4" s="1"/>
  <c r="C31" i="23"/>
  <c r="C25" i="4" s="1"/>
  <c r="D30" i="23"/>
  <c r="D24" i="4" s="1"/>
  <c r="I29" i="23"/>
  <c r="I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C29" i="23"/>
  <c r="C23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H29" i="23"/>
  <c r="H23" i="4" s="1"/>
  <c r="D29" i="23"/>
  <c r="D23" i="4" s="1"/>
  <c r="I28" i="23"/>
  <c r="E28" i="23"/>
  <c r="G29" i="23"/>
  <c r="G23" i="4" s="1"/>
  <c r="H28" i="23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T22" i="4"/>
  <c r="I23" i="1"/>
  <c r="I24" i="1"/>
  <c r="J29" i="1"/>
  <c r="J7" i="4" s="1"/>
  <c r="J12" i="4"/>
  <c r="J13" i="4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P28" i="1" s="1"/>
  <c r="H27" i="1"/>
  <c r="H52" i="1" s="1"/>
  <c r="G27" i="1"/>
  <c r="G52" i="1" s="1"/>
  <c r="F27" i="1"/>
  <c r="F52" i="1" s="1"/>
  <c r="E4" i="4"/>
  <c r="D22" i="1"/>
  <c r="C45" i="1"/>
  <c r="I12" i="4"/>
  <c r="F13" i="4"/>
  <c r="I29" i="1"/>
  <c r="F29" i="1"/>
  <c r="F7" i="4" s="1"/>
  <c r="O39" i="1"/>
  <c r="O17" i="4" s="1"/>
  <c r="O42" i="1"/>
  <c r="O20" i="4" s="1"/>
  <c r="O40" i="1"/>
  <c r="O18" i="4" s="1"/>
  <c r="P30" i="1"/>
  <c r="P8" i="4" s="1"/>
  <c r="O41" i="1"/>
  <c r="O19" i="4" s="1"/>
  <c r="Q28" i="1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V56" i="1"/>
  <c r="U56" i="1"/>
  <c r="S56" i="1"/>
  <c r="T56" i="1"/>
  <c r="O29" i="23" l="1"/>
  <c r="O23" i="4" s="1"/>
  <c r="P32" i="23"/>
  <c r="P26" i="4" s="1"/>
  <c r="F30" i="23"/>
  <c r="F24" i="4" s="1"/>
  <c r="E29" i="23"/>
  <c r="E23" i="4" s="1"/>
  <c r="S22" i="4"/>
  <c r="O43" i="23"/>
  <c r="O37" i="4" s="1"/>
  <c r="Q28" i="23"/>
  <c r="O42" i="23"/>
  <c r="O36" i="4" s="1"/>
  <c r="Q29" i="23"/>
  <c r="Q23" i="4" s="1"/>
  <c r="P28" i="23"/>
  <c r="H30" i="23"/>
  <c r="H24" i="4" s="1"/>
  <c r="F29" i="23"/>
  <c r="F23" i="4" s="1"/>
  <c r="O41" i="23"/>
  <c r="O35" i="4" s="1"/>
  <c r="Q30" i="23"/>
  <c r="Q24" i="4" s="1"/>
  <c r="P29" i="23"/>
  <c r="Q31" i="23"/>
  <c r="Q25" i="4" s="1"/>
  <c r="P30" i="23"/>
  <c r="P24" i="4" s="1"/>
  <c r="E35" i="1"/>
  <c r="E13" i="4" s="1"/>
  <c r="O31" i="1"/>
  <c r="O32" i="1"/>
  <c r="O10" i="4" s="1"/>
  <c r="O33" i="1"/>
  <c r="O34" i="1"/>
  <c r="O35" i="1"/>
  <c r="O36" i="1"/>
  <c r="B34" i="1"/>
  <c r="P31" i="1"/>
  <c r="P32" i="1"/>
  <c r="P33" i="1"/>
  <c r="P11" i="4" s="1"/>
  <c r="P34" i="1"/>
  <c r="P35" i="1"/>
  <c r="C34" i="1"/>
  <c r="G35" i="1"/>
  <c r="G13" i="4" s="1"/>
  <c r="F34" i="1"/>
  <c r="F12" i="4" s="1"/>
  <c r="Q31" i="1"/>
  <c r="Q9" i="4" s="1"/>
  <c r="Q32" i="1"/>
  <c r="Q33" i="1"/>
  <c r="Q34" i="1"/>
  <c r="Q35" i="1"/>
  <c r="Q13" i="4" s="1"/>
  <c r="D34" i="1"/>
  <c r="D12" i="4" s="1"/>
  <c r="H35" i="1"/>
  <c r="H13" i="4" s="1"/>
  <c r="E34" i="1"/>
  <c r="B35" i="1"/>
  <c r="B13" i="4" s="1"/>
  <c r="G34" i="1"/>
  <c r="G12" i="4" s="1"/>
  <c r="C35" i="1"/>
  <c r="C13" i="4" s="1"/>
  <c r="H34" i="1"/>
  <c r="H12" i="4" s="1"/>
  <c r="D35" i="1"/>
  <c r="D13" i="4" s="1"/>
  <c r="G29" i="1"/>
  <c r="O43" i="1"/>
  <c r="E29" i="1"/>
  <c r="E7" i="4" s="1"/>
  <c r="C34" i="23"/>
  <c r="C28" i="4" s="1"/>
  <c r="C33" i="23"/>
  <c r="C27" i="4" s="1"/>
  <c r="U22" i="4"/>
  <c r="K22" i="4"/>
  <c r="C29" i="1"/>
  <c r="C7" i="4" s="1"/>
  <c r="B30" i="1"/>
  <c r="B8" i="4" s="1"/>
  <c r="F30" i="1"/>
  <c r="F8" i="4" s="1"/>
  <c r="J30" i="1"/>
  <c r="B31" i="1"/>
  <c r="B9" i="4" s="1"/>
  <c r="F31" i="1"/>
  <c r="J31" i="1"/>
  <c r="B32" i="1"/>
  <c r="F32" i="1"/>
  <c r="J32" i="1"/>
  <c r="J10" i="4" s="1"/>
  <c r="B33" i="1"/>
  <c r="F33" i="1"/>
  <c r="F11" i="4" s="1"/>
  <c r="J33" i="1"/>
  <c r="J11" i="4" s="1"/>
  <c r="C30" i="1"/>
  <c r="G30" i="1"/>
  <c r="K30" i="1"/>
  <c r="C31" i="1"/>
  <c r="G31" i="1"/>
  <c r="G9" i="4" s="1"/>
  <c r="K31" i="1"/>
  <c r="K9" i="4" s="1"/>
  <c r="C32" i="1"/>
  <c r="G32" i="1"/>
  <c r="G10" i="4" s="1"/>
  <c r="K32" i="1"/>
  <c r="C33" i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D30" i="1"/>
  <c r="H31" i="1"/>
  <c r="H32" i="1"/>
  <c r="H10" i="4" s="1"/>
  <c r="H33" i="1"/>
  <c r="H11" i="4" s="1"/>
  <c r="E30" i="1"/>
  <c r="I30" i="1"/>
  <c r="I8" i="4" s="1"/>
  <c r="M30" i="1"/>
  <c r="E31" i="1"/>
  <c r="E9" i="4" s="1"/>
  <c r="I31" i="1"/>
  <c r="I9" i="4" s="1"/>
  <c r="M31" i="1"/>
  <c r="E32" i="1"/>
  <c r="E10" i="4" s="1"/>
  <c r="I32" i="1"/>
  <c r="I10" i="4" s="1"/>
  <c r="M32" i="1"/>
  <c r="E33" i="1"/>
  <c r="I33" i="1"/>
  <c r="I11" i="4" s="1"/>
  <c r="M33" i="1"/>
  <c r="F33" i="23"/>
  <c r="F27" i="4" s="1"/>
  <c r="E35" i="23"/>
  <c r="E29" i="4" s="1"/>
  <c r="H34" i="23"/>
  <c r="H28" i="4" s="1"/>
  <c r="G8" i="4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E8" i="4"/>
  <c r="B11" i="4"/>
  <c r="F10" i="4"/>
  <c r="U11" i="4"/>
  <c r="T10" i="4"/>
  <c r="S9" i="4"/>
  <c r="V12" i="4"/>
  <c r="M11" i="4"/>
  <c r="R11" i="4"/>
  <c r="U12" i="4"/>
  <c r="M9" i="4"/>
  <c r="T12" i="4"/>
  <c r="S11" i="4"/>
  <c r="V10" i="4"/>
  <c r="U9" i="4"/>
  <c r="L11" i="4"/>
  <c r="K10" i="4"/>
  <c r="T11" i="4"/>
  <c r="S10" i="4"/>
  <c r="V9" i="4"/>
  <c r="Q12" i="4"/>
  <c r="E11" i="4"/>
  <c r="Q11" i="4"/>
  <c r="P12" i="4"/>
  <c r="C11" i="4"/>
  <c r="J9" i="4"/>
  <c r="M10" i="4"/>
  <c r="S12" i="4"/>
  <c r="V11" i="4"/>
  <c r="U10" i="4"/>
  <c r="T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J6" i="4"/>
  <c r="K6" i="4"/>
  <c r="S6" i="4"/>
  <c r="Q6" i="4"/>
  <c r="L6" i="4"/>
  <c r="P6" i="4"/>
  <c r="M6" i="4"/>
  <c r="U6" i="4"/>
  <c r="T4" i="33"/>
  <c r="T22" i="33" s="1"/>
  <c r="Q22" i="1"/>
  <c r="R13" i="4"/>
  <c r="H29" i="1"/>
  <c r="E28" i="1"/>
  <c r="F28" i="1"/>
  <c r="R41" i="1"/>
  <c r="R19" i="4" s="1"/>
  <c r="R37" i="1"/>
  <c r="R15" i="4" s="1"/>
  <c r="Q29" i="1"/>
  <c r="O37" i="1"/>
  <c r="O15" i="4" s="1"/>
  <c r="P29" i="1"/>
  <c r="B12" i="4"/>
  <c r="C12" i="4"/>
  <c r="I28" i="1"/>
  <c r="H28" i="1"/>
  <c r="G28" i="1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P37" i="1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3" i="4"/>
  <c r="O11" i="4"/>
  <c r="O30" i="1"/>
  <c r="O8" i="4" s="1"/>
  <c r="O9" i="4"/>
  <c r="D28" i="1"/>
  <c r="B28" i="1"/>
  <c r="C28" i="1"/>
  <c r="O28" i="1"/>
  <c r="C8" i="4"/>
  <c r="C9" i="4"/>
  <c r="D29" i="1"/>
  <c r="D7" i="4" s="1"/>
  <c r="S47" i="1"/>
  <c r="S48" i="1" s="1"/>
  <c r="S54" i="1" s="1"/>
  <c r="V6" i="4"/>
  <c r="G21" i="4"/>
  <c r="I21" i="4"/>
  <c r="F21" i="4"/>
  <c r="H21" i="4"/>
  <c r="E21" i="4"/>
  <c r="L52" i="23"/>
  <c r="D17" i="4"/>
  <c r="H9" i="4"/>
  <c r="G7" i="4"/>
  <c r="C4" i="4"/>
  <c r="E47" i="23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K56" i="23"/>
  <c r="C56" i="23"/>
  <c r="C56" i="1"/>
  <c r="B56" i="1"/>
  <c r="V56" i="23"/>
  <c r="J56" i="1"/>
  <c r="G56" i="23"/>
  <c r="T56" i="23"/>
  <c r="R56" i="23"/>
  <c r="B56" i="23"/>
  <c r="D56" i="1"/>
  <c r="H56" i="1"/>
  <c r="Q56" i="23"/>
  <c r="E56" i="23"/>
  <c r="P56" i="1"/>
  <c r="G56" i="1"/>
  <c r="L56" i="23"/>
  <c r="H56" i="23"/>
  <c r="O56" i="1"/>
  <c r="P56" i="23"/>
  <c r="E56" i="1"/>
  <c r="J56" i="23"/>
  <c r="O56" i="23"/>
  <c r="F56" i="23"/>
  <c r="Q56" i="1"/>
  <c r="U56" i="23"/>
  <c r="I56" i="1"/>
  <c r="K56" i="1"/>
  <c r="S56" i="23"/>
  <c r="I56" i="23"/>
  <c r="M56" i="1"/>
  <c r="L56" i="1"/>
  <c r="M56" i="23"/>
  <c r="D56" i="23"/>
  <c r="F56" i="1"/>
  <c r="R56" i="1"/>
  <c r="M46" i="23" l="1"/>
  <c r="M53" i="23" s="1"/>
  <c r="T27" i="4"/>
  <c r="T63" i="4" s="1"/>
  <c r="T64" i="4" s="1"/>
  <c r="E48" i="23"/>
  <c r="E54" i="23" s="1"/>
  <c r="J8" i="4"/>
  <c r="M8" i="4"/>
  <c r="K8" i="4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I27" i="4"/>
  <c r="U27" i="4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H26" i="4"/>
  <c r="K26" i="4"/>
  <c r="V46" i="23"/>
  <c r="V53" i="23" s="1"/>
  <c r="V47" i="23"/>
  <c r="V48" i="23" s="1"/>
  <c r="V54" i="23" s="1"/>
  <c r="R27" i="4"/>
  <c r="J26" i="4"/>
  <c r="J56" i="4" s="1"/>
  <c r="J75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L63" i="4"/>
  <c r="L64" i="4" s="1"/>
  <c r="G6" i="4"/>
  <c r="Q7" i="4"/>
  <c r="J63" i="4"/>
  <c r="J64" i="4" s="1"/>
  <c r="V63" i="4"/>
  <c r="V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V56" i="4"/>
  <c r="V75" i="4" s="1"/>
  <c r="L56" i="4"/>
  <c r="L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K78" i="4"/>
  <c r="I78" i="4"/>
  <c r="E78" i="4"/>
  <c r="V78" i="4"/>
  <c r="H78" i="4"/>
  <c r="Q78" i="4"/>
  <c r="M78" i="4"/>
  <c r="O78" i="4"/>
  <c r="R78" i="4"/>
  <c r="D78" i="4"/>
  <c r="S78" i="4"/>
  <c r="F78" i="4"/>
  <c r="T78" i="4"/>
  <c r="G78" i="4"/>
  <c r="B78" i="4"/>
  <c r="P78" i="4"/>
  <c r="U78" i="4"/>
  <c r="C78" i="4"/>
  <c r="J78" i="4"/>
  <c r="L78" i="4"/>
  <c r="S56" i="4" l="1"/>
  <c r="S75" i="4" s="1"/>
  <c r="S57" i="4"/>
  <c r="S58" i="4" s="1"/>
  <c r="S76" i="4" s="1"/>
  <c r="T79" i="4"/>
  <c r="K57" i="4"/>
  <c r="K58" i="4" s="1"/>
  <c r="K76" i="4" s="1"/>
  <c r="L57" i="4"/>
  <c r="L58" i="4" s="1"/>
  <c r="L76" i="4" s="1"/>
  <c r="U56" i="4"/>
  <c r="U75" i="4" s="1"/>
  <c r="K56" i="4"/>
  <c r="K75" i="4" s="1"/>
  <c r="U57" i="4"/>
  <c r="U58" i="4" s="1"/>
  <c r="U76" i="4" s="1"/>
  <c r="U63" i="4"/>
  <c r="U64" i="4" s="1"/>
  <c r="M56" i="4"/>
  <c r="M75" i="4" s="1"/>
  <c r="M57" i="4"/>
  <c r="M58" i="4" s="1"/>
  <c r="M76" i="4" s="1"/>
  <c r="K63" i="4"/>
  <c r="K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F59" i="23"/>
  <c r="Q59" i="23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E59" i="23"/>
  <c r="J59" i="23"/>
  <c r="K59" i="23"/>
  <c r="D59" i="23"/>
  <c r="I59" i="23"/>
  <c r="O59" i="23"/>
  <c r="G59" i="23"/>
  <c r="H59" i="23"/>
  <c r="M59" i="23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C60" i="1" s="1"/>
  <c r="G59" i="1"/>
  <c r="G60" i="1" s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U60" i="1" s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K60" i="23"/>
  <c r="O60" i="23"/>
  <c r="G60" i="23"/>
  <c r="J60" i="23"/>
  <c r="F60" i="23"/>
  <c r="D60" i="23"/>
  <c r="Q60" i="23"/>
  <c r="E60" i="23"/>
  <c r="R60" i="23"/>
  <c r="L60" i="23"/>
  <c r="M60" i="23"/>
  <c r="I60" i="23"/>
  <c r="C60" i="23"/>
  <c r="Q60" i="1"/>
  <c r="H60" i="23"/>
  <c r="V74" i="4" l="1"/>
  <c r="T81" i="4"/>
  <c r="T82" i="4" s="1"/>
  <c r="S81" i="4"/>
  <c r="U81" i="4"/>
  <c r="V81" i="4"/>
  <c r="V82" i="4" s="1"/>
  <c r="R81" i="4"/>
  <c r="R82" i="4" s="1"/>
  <c r="C81" i="4"/>
  <c r="G81" i="4"/>
  <c r="D81" i="4"/>
  <c r="H81" i="4"/>
  <c r="E81" i="4"/>
  <c r="I81" i="4"/>
  <c r="F81" i="4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81" i="4"/>
  <c r="J81" i="4"/>
  <c r="K81" i="4"/>
  <c r="L81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U82" i="4"/>
  <c r="S82" i="4"/>
  <c r="J82" i="4"/>
  <c r="L82" i="4"/>
  <c r="M82" i="4"/>
  <c r="G82" i="4"/>
  <c r="F82" i="4"/>
  <c r="C82" i="4"/>
  <c r="O82" i="4"/>
  <c r="K82" i="4"/>
  <c r="D82" i="4"/>
  <c r="H82" i="4"/>
  <c r="E82" i="4"/>
  <c r="I82" i="4"/>
  <c r="Q82" i="4"/>
  <c r="C83" i="4" l="1"/>
  <c r="F83" i="4"/>
  <c r="D83" i="4"/>
  <c r="V83" i="4"/>
  <c r="I83" i="4"/>
  <c r="G83" i="4"/>
  <c r="U83" i="4"/>
  <c r="E83" i="4"/>
  <c r="S83" i="4"/>
  <c r="H83" i="4"/>
  <c r="R83" i="4"/>
  <c r="T83" i="4"/>
  <c r="K77" i="4"/>
  <c r="J77" i="4"/>
  <c r="G77" i="4"/>
  <c r="F77" i="4"/>
  <c r="L77" i="4"/>
  <c r="B77" i="4"/>
  <c r="M77" i="4"/>
  <c r="I77" i="4"/>
  <c r="H77" i="4"/>
  <c r="D77" i="4"/>
  <c r="C77" i="4"/>
  <c r="E77" i="4"/>
  <c r="L83" i="4"/>
  <c r="M83" i="4"/>
  <c r="P83" i="4"/>
  <c r="Q83" i="4"/>
  <c r="K83" i="4"/>
  <c r="J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<sst xmlns="http://schemas.openxmlformats.org/spreadsheetml/2006/main" count="204" uniqueCount="55">
  <si>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</si>
  <si>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</si>
  <si>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</si>
  <si>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</si>
  <si>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</si>
  <si>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</si>
  <si>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</si>
  <si>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</si>
  <si>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</si>
  <si>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</si>
  <si>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</si>
  <si>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</si>
  <si>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</si>
  <si>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</si>
  <si>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</si>
  <si>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</si>
  <si>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</si>
  <si>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</si>
  <si>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</si>
  <si>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</si>
  <si>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</si>
  <si>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</si>
  <si>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</si>
  <si>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</si>
  <si>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</si>
  <si>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</si>
  <si>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</si>
  <si>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</si>
  <si>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</si>
  <si>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</si>
  <si>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</si>
  <si>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</si>
  <si>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</si>
  <si>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</si>
  <si>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</si>
  <si>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</si>
  <si>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</si>
  <si>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</si>
  <si>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</si>
  <si>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</si>
  <si>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</si>
  <si>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</si>
  <si>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</si>
  <si>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</si>
  <si>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</si>
  <si>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</si>
  <si>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saccharin</t>
  </si>
  <si>
    <t>0.01</t>
  </si>
  <si>
    <t>0.1</t>
  </si>
  <si>
    <t>saccharin_01</t>
  </si>
  <si>
    <t>Date performed : 23-09-2021</t>
  </si>
  <si>
    <t>saccharin_02</t>
  </si>
  <si>
    <t>Date performed : 30-09-2021</t>
  </si>
  <si>
    <t>saccharin_03</t>
  </si>
  <si>
    <t>Date performed : 07-10-2021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</si>
</sst>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2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5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0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2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5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0" xfId="0" applyFont="1" applyBorder="1" applyAlignment="1">
      <alignment vertical="center"/>
    </xf>
    <xf numFmtId="0" fontId="3" fillId="0" borderId="21" xfId="0" applyNumberFormat="1" applyFont="1" applyBorder="1" applyAlignment="1">
      <alignment horizontal="center" vertical="center"/>
    </xf>
    <xf numFmtId="0" fontId="3" fillId="13" borderId="30" xfId="0" applyNumberFormat="1" applyFont="1" applyFill="1" applyBorder="1" applyAlignment="1">
      <alignment vertical="center"/>
    </xf>
    <xf numFmtId="0" fontId="3" fillId="13" borderId="28" xfId="0" applyFont="1" applyFill="1" applyBorder="1" applyAlignment="1">
      <alignment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33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4" xfId="0" applyNumberFormat="1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13" borderId="37" xfId="0" applyNumberFormat="1" applyFont="1" applyFill="1" applyBorder="1" applyAlignment="1">
      <alignment vertical="center"/>
    </xf>
    <xf numFmtId="0" fontId="3" fillId="13" borderId="24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5.6278033064860304E-4</c:v>
                  </c:pt>
                  <c:pt idx="2">
                    <c:v>4.3067909278920336E-3</c:v>
                  </c:pt>
                  <c:pt idx="3">
                    <c:v>0.23110454403242883</c:v>
                  </c:pt>
                  <c:pt idx="4">
                    <c:v>0.26668432855509472</c:v>
                  </c:pt>
                  <c:pt idx="5">
                    <c:v>0.31507456997618005</c:v>
                  </c:pt>
                  <c:pt idx="6">
                    <c:v>0.32371821252444061</c:v>
                  </c:pt>
                  <c:pt idx="7">
                    <c:v>2.0834331567911361E-3</c:v>
                  </c:pt>
                  <c:pt idx="8">
                    <c:v>7.5364923485079453E-3</c:v>
                  </c:pt>
                  <c:pt idx="9">
                    <c:v>1.0605614361556119E-3</c:v>
                  </c:pt>
                  <c:pt idx="10">
                    <c:v>3.2226661745749023E-4</c:v>
                  </c:pt>
                  <c:pt idx="11">
                    <c:v>8.9977577469888617E-3</c:v>
                  </c:pt>
                  <c:pt idx="13">
                    <c:v>0.10827818813111134</c:v>
                  </c:pt>
                  <c:pt idx="14">
                    <c:v>0.20224077284823586</c:v>
                  </c:pt>
                  <c:pt idx="15">
                    <c:v>8.5318954558737305E-3</c:v>
                  </c:pt>
                  <c:pt idx="16">
                    <c:v>0.18989736902413623</c:v>
                  </c:pt>
                  <c:pt idx="17">
                    <c:v>0.2454954256695677</c:v>
                  </c:pt>
                  <c:pt idx="18">
                    <c:v>0.29254103079483951</c:v>
                  </c:pt>
                  <c:pt idx="19">
                    <c:v>0.14180085430576408</c:v>
                  </c:pt>
                  <c:pt idx="20">
                    <c:v>0.21411194974691941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saccharin-0.01mg/L</c:v>
                </c:pt>
                <c:pt idx="8">
                  <c:v>saccharin-0.1mg/L</c:v>
                </c:pt>
                <c:pt idx="9">
                  <c:v>saccharin-1mg/L</c:v>
                </c:pt>
                <c:pt idx="10">
                  <c:v>saccharin-10mg/L</c:v>
                </c:pt>
                <c:pt idx="11">
                  <c:v>saccharin-100mg/L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saccharin-0.01mg/L + Testostérone</c:v>
                </c:pt>
                <c:pt idx="17">
                  <c:v>saccharin-0.1mg/L + Testostérone</c:v>
                </c:pt>
                <c:pt idx="18">
                  <c:v>saccharin-1mg/L + Testostérone</c:v>
                </c:pt>
                <c:pt idx="19">
                  <c:v>saccharin-10mg/L + Testostérone</c:v>
                </c:pt>
                <c:pt idx="20">
                  <c:v>saccharin-100mg/L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0</c:v>
                </c:pt>
                <c:pt idx="1">
                  <c:v>7.6889338190065095E-4</c:v>
                </c:pt>
                <c:pt idx="2">
                  <c:v>4.670860144311258E-3</c:v>
                </c:pt>
                <c:pt idx="3">
                  <c:v>0.2315933610402392</c:v>
                </c:pt>
                <c:pt idx="4">
                  <c:v>0.79547703482619003</c:v>
                </c:pt>
                <c:pt idx="5">
                  <c:v>1.8991051418240557</c:v>
                </c:pt>
                <c:pt idx="6">
                  <c:v>2.6643399284327409</c:v>
                </c:pt>
                <c:pt idx="7">
                  <c:v>2.3227266162807489E-3</c:v>
                </c:pt>
                <c:pt idx="8">
                  <c:v>7.5364923485079453E-3</c:v>
                </c:pt>
                <c:pt idx="9">
                  <c:v>1.4067405874077996E-3</c:v>
                </c:pt>
                <c:pt idx="10">
                  <c:v>3.2226661745749023E-4</c:v>
                </c:pt>
                <c:pt idx="11">
                  <c:v>9.1224185240456369E-3</c:v>
                </c:pt>
                <c:pt idx="13">
                  <c:v>0.99999999999999989</c:v>
                </c:pt>
                <c:pt idx="14">
                  <c:v>1.7655757741084848</c:v>
                </c:pt>
                <c:pt idx="15">
                  <c:v>1.3163454698139145E-2</c:v>
                </c:pt>
                <c:pt idx="16">
                  <c:v>0.89468300197371597</c:v>
                </c:pt>
                <c:pt idx="17">
                  <c:v>0.71966682178254893</c:v>
                </c:pt>
                <c:pt idx="18">
                  <c:v>0.95648063458442312</c:v>
                </c:pt>
                <c:pt idx="19">
                  <c:v>0.49964029161785867</c:v>
                </c:pt>
                <c:pt idx="20">
                  <c:v>0.79442197938563419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da-DK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9.1384730766927972E-5</c:v>
                  </c:pt>
                  <c:pt idx="1">
                    <c:v>1.4028135844438244E-2</c:v>
                  </c:pt>
                  <c:pt idx="2">
                    <c:v>0.10192163307270055</c:v>
                  </c:pt>
                  <c:pt idx="3">
                    <c:v>0.16728455963931807</c:v>
                  </c:pt>
                  <c:pt idx="4">
                    <c:v>0.27459182040454261</c:v>
                  </c:pt>
                  <c:pt idx="5">
                    <c:v>0.20574312248761648</c:v>
                  </c:pt>
                  <c:pt idx="6">
                    <c:v>0.11063125470948702</c:v>
                  </c:pt>
                  <c:pt idx="7">
                    <c:v>7.3930620266161812E-3</c:v>
                  </c:pt>
                  <c:pt idx="8">
                    <c:v>2.5260782134575188E-3</c:v>
                  </c:pt>
                  <c:pt idx="9">
                    <c:v>7.2816361236347407E-3</c:v>
                  </c:pt>
                  <c:pt idx="10">
                    <c:v>1.6488095932304726E-3</c:v>
                  </c:pt>
                  <c:pt idx="11">
                    <c:v>5.4823030195484176E-3</c:v>
                  </c:pt>
                  <c:pt idx="13">
                    <c:v>0.17067314234922945</c:v>
                  </c:pt>
                  <c:pt idx="14">
                    <c:v>0.13506564753437986</c:v>
                  </c:pt>
                  <c:pt idx="15">
                    <c:v>1.1166726702824E-2</c:v>
                  </c:pt>
                  <c:pt idx="16">
                    <c:v>0.10390942031797411</c:v>
                  </c:pt>
                  <c:pt idx="17">
                    <c:v>0.20342040988712159</c:v>
                  </c:pt>
                  <c:pt idx="18">
                    <c:v>0.14788475809961169</c:v>
                  </c:pt>
                  <c:pt idx="19">
                    <c:v>0.1408314120370448</c:v>
                  </c:pt>
                  <c:pt idx="20">
                    <c:v>0.19441967554939726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0.10827818813111134</c:v>
                  </c:pt>
                  <c:pt idx="2">
                    <c:v>0.20224077284823586</c:v>
                  </c:pt>
                  <c:pt idx="3">
                    <c:v>8.5318954558737305E-3</c:v>
                  </c:pt>
                  <c:pt idx="4">
                    <c:v>0.18989736902413623</c:v>
                  </c:pt>
                  <c:pt idx="5">
                    <c:v>0.2454954256695677</c:v>
                  </c:pt>
                  <c:pt idx="6">
                    <c:v>0.29254103079483951</c:v>
                  </c:pt>
                  <c:pt idx="7">
                    <c:v>0.14180085430576408</c:v>
                  </c:pt>
                  <c:pt idx="8">
                    <c:v>0.21411194974691941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saccharin-0.01mg/L</c:v>
                </c:pt>
                <c:pt idx="8">
                  <c:v>saccharin-0.1mg/L</c:v>
                </c:pt>
                <c:pt idx="9">
                  <c:v>saccharin-1mg/L</c:v>
                </c:pt>
                <c:pt idx="10">
                  <c:v>saccharin-10mg/L</c:v>
                </c:pt>
                <c:pt idx="11">
                  <c:v>saccharin-100mg/L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saccharin-0.01mg/L + Testostérone</c:v>
                </c:pt>
                <c:pt idx="17">
                  <c:v>saccharin-0.1mg/L + Testostérone</c:v>
                </c:pt>
                <c:pt idx="18">
                  <c:v>saccharin-1mg/L + Testostérone</c:v>
                </c:pt>
                <c:pt idx="19">
                  <c:v>saccharin-10mg/L + Testostérone</c:v>
                </c:pt>
                <c:pt idx="20">
                  <c:v>saccharin-100mg/L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9.1384730766927972E-5</c:v>
                </c:pt>
                <c:pt idx="1">
                  <c:v>1.5456624290061439E-2</c:v>
                </c:pt>
                <c:pt idx="2">
                  <c:v>0.1058655341962713</c:v>
                </c:pt>
                <c:pt idx="3">
                  <c:v>1.5633805627828858</c:v>
                </c:pt>
                <c:pt idx="4">
                  <c:v>0.78410935075875587</c:v>
                </c:pt>
                <c:pt idx="5">
                  <c:v>1.5402077059386419</c:v>
                </c:pt>
                <c:pt idx="6">
                  <c:v>2.2499403898451606</c:v>
                </c:pt>
                <c:pt idx="7">
                  <c:v>1.1701447134983649E-2</c:v>
                </c:pt>
                <c:pt idx="8">
                  <c:v>4.1364720662087628E-3</c:v>
                </c:pt>
                <c:pt idx="9">
                  <c:v>1.0872682162855992E-2</c:v>
                </c:pt>
                <c:pt idx="10">
                  <c:v>3.0881736603996352E-3</c:v>
                </c:pt>
                <c:pt idx="11">
                  <c:v>8.8874276668848007E-3</c:v>
                </c:pt>
                <c:pt idx="13">
                  <c:v>1.0000000000000002</c:v>
                </c:pt>
                <c:pt idx="14">
                  <c:v>1.8147505459449866</c:v>
                </c:pt>
                <c:pt idx="15">
                  <c:v>1.9243313421265749E-2</c:v>
                </c:pt>
                <c:pt idx="16">
                  <c:v>0.8456228289561446</c:v>
                </c:pt>
                <c:pt idx="17">
                  <c:v>1.0185878643178341</c:v>
                </c:pt>
                <c:pt idx="18">
                  <c:v>0.61284071011187802</c:v>
                </c:pt>
                <c:pt idx="19">
                  <c:v>0.73676680822546614</c:v>
                </c:pt>
                <c:pt idx="20">
                  <c:v>0.83688350757705476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da-DK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2.3327981337614928E-4</c:v>
                  </c:pt>
                  <c:pt idx="2">
                    <c:v>2.3903980876815298E-4</c:v>
                  </c:pt>
                  <c:pt idx="3">
                    <c:v>2.3615981107215115E-4</c:v>
                  </c:pt>
                  <c:pt idx="4">
                    <c:v>0.63874229622014023</c:v>
                  </c:pt>
                  <c:pt idx="5">
                    <c:v>0.35976126629286564</c:v>
                  </c:pt>
                  <c:pt idx="6">
                    <c:v>0.43144865570127039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3">
                    <c:v>0.20845996847503998</c:v>
                  </c:pt>
                  <c:pt idx="14">
                    <c:v>0.48530681420976379</c:v>
                  </c:pt>
                  <c:pt idx="15">
                    <c:v>1.4068788744969002E-2</c:v>
                  </c:pt>
                  <c:pt idx="16">
                    <c:v>0.27392308768867224</c:v>
                  </c:pt>
                  <c:pt idx="17">
                    <c:v>0.204554715275899</c:v>
                  </c:pt>
                  <c:pt idx="18">
                    <c:v>0.26574848612511154</c:v>
                  </c:pt>
                  <c:pt idx="19">
                    <c:v>0.30998922989698424</c:v>
                  </c:pt>
                  <c:pt idx="20">
                    <c:v>0.25965936566623854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0.10827818813111134</c:v>
                  </c:pt>
                  <c:pt idx="2">
                    <c:v>0.20224077284823586</c:v>
                  </c:pt>
                  <c:pt idx="3">
                    <c:v>8.5318954558737305E-3</c:v>
                  </c:pt>
                  <c:pt idx="4">
                    <c:v>0.18989736902413623</c:v>
                  </c:pt>
                  <c:pt idx="5">
                    <c:v>0.2454954256695677</c:v>
                  </c:pt>
                  <c:pt idx="6">
                    <c:v>0.29254103079483951</c:v>
                  </c:pt>
                  <c:pt idx="7">
                    <c:v>0.14180085430576408</c:v>
                  </c:pt>
                  <c:pt idx="8">
                    <c:v>0.21411194974691941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saccharin-0.01mg/L</c:v>
                </c:pt>
                <c:pt idx="8">
                  <c:v>saccharin-0.1mg/L</c:v>
                </c:pt>
                <c:pt idx="9">
                  <c:v>saccharin-1mg/L</c:v>
                </c:pt>
                <c:pt idx="10">
                  <c:v>saccharin-10mg/L</c:v>
                </c:pt>
                <c:pt idx="11">
                  <c:v>saccharin-100mg/L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saccharin-0.01mg/L + Testostérone</c:v>
                </c:pt>
                <c:pt idx="17">
                  <c:v>saccharin-0.1mg/L + Testostérone</c:v>
                </c:pt>
                <c:pt idx="18">
                  <c:v>saccharin-1mg/L + Testostérone</c:v>
                </c:pt>
                <c:pt idx="19">
                  <c:v>saccharin-10mg/L + Testostérone</c:v>
                </c:pt>
                <c:pt idx="20">
                  <c:v>saccharin-100mg/L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0</c:v>
                </c:pt>
                <c:pt idx="1">
                  <c:v>2.3327981337614931E-4</c:v>
                </c:pt>
                <c:pt idx="2">
                  <c:v>2.3903980876815298E-4</c:v>
                </c:pt>
                <c:pt idx="3">
                  <c:v>2.3615981107215115E-4</c:v>
                </c:pt>
                <c:pt idx="4">
                  <c:v>1.4336772530581974</c:v>
                </c:pt>
                <c:pt idx="5">
                  <c:v>2.5662421070063148</c:v>
                </c:pt>
                <c:pt idx="6">
                  <c:v>4.1064533548373152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1</c:v>
                </c:pt>
                <c:pt idx="14">
                  <c:v>2.1406446874842504</c:v>
                </c:pt>
                <c:pt idx="15">
                  <c:v>1.4068788744969004E-2</c:v>
                </c:pt>
                <c:pt idx="16">
                  <c:v>0.31885030491975608</c:v>
                </c:pt>
                <c:pt idx="17">
                  <c:v>0.48126201499038801</c:v>
                </c:pt>
                <c:pt idx="18">
                  <c:v>0.43764732988213606</c:v>
                </c:pt>
                <c:pt idx="19">
                  <c:v>0.49535960371231702</c:v>
                </c:pt>
                <c:pt idx="20">
                  <c:v>0.57685489851608118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da-DK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4915B5-7B93-4880-BDB2-A507BEA13074}" type="CELLRANGE">
                      <a:rPr lang="en-US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1A0F8C-2EAE-4D16-803D-16328982A78E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0C9326-AB7B-482D-8F7B-6E6FB68EBCE7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144D6D8-F6A5-4520-ADCA-B26454BDDB0E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23552BC-A294-4B5C-BB7F-C232F96F9235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5A593A7-1398-40A9-A1FE-1BE1443F4598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0DA0F3-5CD8-4673-99CA-EB3AFC6A24A8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2B9F664-1B00-4083-B0DA-08A5AC573B20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427961-ECE7-4822-BB5B-D9D090C96F6A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7900689-3AB1-49CE-B54C-8027D5B7CCF7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9674C65-AD68-489C-BE0F-FD871DE552E1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A28FCFD-5153-4E57-9992-6A2C92B06384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D25E004-C7A7-4901-97BF-BF4F1945CA88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A8A2305-955F-43BD-A4E0-DC7D88ACF951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604ED5E-06D5-4387-879E-CC232BB1343A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975A1E5-BFF5-4EEF-8052-27C51532BC58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53987ED-D144-46EF-AA90-1B476391D743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24C44E1-6C28-4611-BED0-AAA4459A616E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631F670-9B41-4EFA-9498-C8F91ECD4346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85FC163-A0D0-4ED6-8619-CFFE1DA3F27A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3.0461576922309332E-5</c:v>
                  </c:pt>
                  <c:pt idx="1">
                    <c:v>4.707954520331843E-3</c:v>
                  </c:pt>
                  <c:pt idx="2">
                    <c:v>3.4047145617131777E-2</c:v>
                  </c:pt>
                  <c:pt idx="3">
                    <c:v>0.16996542726763877</c:v>
                  </c:pt>
                  <c:pt idx="4">
                    <c:v>0.25235306108395794</c:v>
                  </c:pt>
                  <c:pt idx="5">
                    <c:v>0.18802641137094986</c:v>
                  </c:pt>
                  <c:pt idx="6">
                    <c:v>0.241421446425825</c:v>
                  </c:pt>
                  <c:pt idx="7">
                    <c:v>2.6641642056782484E-3</c:v>
                  </c:pt>
                  <c:pt idx="8">
                    <c:v>2.7223958100425789E-3</c:v>
                  </c:pt>
                  <c:pt idx="9">
                    <c:v>2.5508220760127203E-3</c:v>
                  </c:pt>
                  <c:pt idx="10">
                    <c:v>6.0816473699573301E-4</c:v>
                  </c:pt>
                  <c:pt idx="11">
                    <c:v>3.470776005942706E-3</c:v>
                  </c:pt>
                  <c:pt idx="13">
                    <c:v>9.4705055022990106E-2</c:v>
                  </c:pt>
                  <c:pt idx="14">
                    <c:v>0.1763464950570216</c:v>
                  </c:pt>
                  <c:pt idx="15">
                    <c:v>6.3582183498836374E-3</c:v>
                  </c:pt>
                  <c:pt idx="16">
                    <c:v>0.12377344605403125</c:v>
                  </c:pt>
                  <c:pt idx="17">
                    <c:v>0.12906595294057585</c:v>
                  </c:pt>
                  <c:pt idx="18">
                    <c:v>0.14171976525067315</c:v>
                  </c:pt>
                  <c:pt idx="19">
                    <c:v>0.11980751208603753</c:v>
                  </c:pt>
                  <c:pt idx="20">
                    <c:v>0.12605377439069565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3.0461576922309332E-5</c:v>
                  </c:pt>
                  <c:pt idx="1">
                    <c:v>4.707954520331843E-3</c:v>
                  </c:pt>
                  <c:pt idx="2">
                    <c:v>3.4047145617131777E-2</c:v>
                  </c:pt>
                  <c:pt idx="3">
                    <c:v>0.16996542726763877</c:v>
                  </c:pt>
                  <c:pt idx="4">
                    <c:v>0.25235306108395794</c:v>
                  </c:pt>
                  <c:pt idx="5">
                    <c:v>0.18802641137094986</c:v>
                  </c:pt>
                  <c:pt idx="6">
                    <c:v>0.241421446425825</c:v>
                  </c:pt>
                  <c:pt idx="7">
                    <c:v>2.6641642056782484E-3</c:v>
                  </c:pt>
                  <c:pt idx="8">
                    <c:v>2.7223958100425789E-3</c:v>
                  </c:pt>
                  <c:pt idx="9">
                    <c:v>2.5508220760127203E-3</c:v>
                  </c:pt>
                  <c:pt idx="10">
                    <c:v>6.0816473699573301E-4</c:v>
                  </c:pt>
                  <c:pt idx="11">
                    <c:v>3.470776005942706E-3</c:v>
                  </c:pt>
                  <c:pt idx="13">
                    <c:v>9.4705055022990106E-2</c:v>
                  </c:pt>
                  <c:pt idx="14">
                    <c:v>0.1763464950570216</c:v>
                  </c:pt>
                  <c:pt idx="15">
                    <c:v>6.3582183498836374E-3</c:v>
                  </c:pt>
                  <c:pt idx="16">
                    <c:v>0.12377344605403125</c:v>
                  </c:pt>
                  <c:pt idx="17">
                    <c:v>0.12906595294057585</c:v>
                  </c:pt>
                  <c:pt idx="18">
                    <c:v>0.14171976525067315</c:v>
                  </c:pt>
                  <c:pt idx="19">
                    <c:v>0.11980751208603753</c:v>
                  </c:pt>
                  <c:pt idx="20">
                    <c:v>0.12605377439069565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saccharin-0.01mg/L</c:v>
                </c:pt>
                <c:pt idx="8">
                  <c:v>saccharin-0.1mg/L</c:v>
                </c:pt>
                <c:pt idx="9">
                  <c:v>saccharin-1mg/L</c:v>
                </c:pt>
                <c:pt idx="10">
                  <c:v>saccharin-10mg/L</c:v>
                </c:pt>
                <c:pt idx="11">
                  <c:v>saccharin-100mg/L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saccharin-0.01mg/L + Testostérone</c:v>
                </c:pt>
                <c:pt idx="17">
                  <c:v>saccharin-0.1mg/L + Testostérone</c:v>
                </c:pt>
                <c:pt idx="18">
                  <c:v>saccharin-1mg/L + Testostérone</c:v>
                </c:pt>
                <c:pt idx="19">
                  <c:v>saccharin-10mg/L + Testostérone</c:v>
                </c:pt>
                <c:pt idx="20">
                  <c:v>saccharin-100mg/L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3.0461576922309325E-5</c:v>
                </c:pt>
                <c:pt idx="1">
                  <c:v>5.4862658284460797E-3</c:v>
                </c:pt>
                <c:pt idx="2">
                  <c:v>3.6925144716450232E-2</c:v>
                </c:pt>
                <c:pt idx="3">
                  <c:v>0.59840336121139903</c:v>
                </c:pt>
                <c:pt idx="4">
                  <c:v>1.0135057423616938</c:v>
                </c:pt>
                <c:pt idx="5">
                  <c:v>2.0018516515896709</c:v>
                </c:pt>
                <c:pt idx="6">
                  <c:v>3.0069112243717395</c:v>
                </c:pt>
                <c:pt idx="7">
                  <c:v>4.6747245837547996E-3</c:v>
                </c:pt>
                <c:pt idx="8">
                  <c:v>4.0601615355536384E-3</c:v>
                </c:pt>
                <c:pt idx="9">
                  <c:v>4.0931409167545979E-3</c:v>
                </c:pt>
                <c:pt idx="10">
                  <c:v>1.1368134259523751E-3</c:v>
                </c:pt>
                <c:pt idx="11">
                  <c:v>6.0032820636434781E-3</c:v>
                </c:pt>
                <c:pt idx="13">
                  <c:v>1.0000000000000002</c:v>
                </c:pt>
                <c:pt idx="14">
                  <c:v>1.9069903358459068</c:v>
                </c:pt>
                <c:pt idx="15">
                  <c:v>1.5491852288124634E-2</c:v>
                </c:pt>
                <c:pt idx="16">
                  <c:v>0.68638537861653903</c:v>
                </c:pt>
                <c:pt idx="17">
                  <c:v>0.73983890036359024</c:v>
                </c:pt>
                <c:pt idx="18">
                  <c:v>0.66898955819281236</c:v>
                </c:pt>
                <c:pt idx="19">
                  <c:v>0.5772555678518807</c:v>
                </c:pt>
                <c:pt idx="20">
                  <c:v>0.73605346182625653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*</c:v>
                  </c:pt>
                  <c:pt idx="17">
                    <c:v>NS</c:v>
                  </c:pt>
                  <c:pt idx="18">
                    <c:v>NS</c:v>
                  </c:pt>
                  <c:pt idx="19">
                    <c:v>**</c:v>
                  </c:pt>
                  <c:pt idx="20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da-DK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tabSelected="1"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zoomScale="55" zoomScaleNormal="55" workbookViewId="0">
      <selection activeCell="E4" sqref="E4"/>
    </sheetView>
  </sheetViews>
  <sheetFormatPr defaultColWidth="11.42578125" defaultRowHeight="39" customHeight="1" x14ac:dyDescent="0.25"/>
  <cols>
    <col min="1" max="1" width="42" bestFit="1" customWidth="1"/>
    <col min="2" max="2" width="33.85546875" style="28" bestFit="1" customWidth="1"/>
    <col min="3" max="3" width="21.28515625" customWidth="1"/>
    <col min="4" max="4" width="30.42578125" customWidth="1"/>
    <col min="5" max="5" width="62.28515625" style="90" bestFit="1" customWidth="1"/>
    <col min="6" max="6" width="56.7109375" bestFit="1" customWidth="1"/>
    <col min="7" max="7" width="19.42578125" customWidth="1"/>
    <col min="8" max="8" width="15.28515625" customWidth="1"/>
    <col min="9" max="9" width="18" customWidth="1"/>
    <col min="10" max="10" width="19.5703125" bestFit="1" customWidth="1"/>
  </cols>
  <sheetData>
    <row r="1" spans="1:9" ht="39" customHeight="1" thickBot="1" x14ac:dyDescent="0.3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75" thickBot="1" x14ac:dyDescent="0.4">
      <c r="A2" s="109" t="s">
        <v>5</v>
      </c>
      <c r="B2" s="27" t="s">
        <v>23</v>
      </c>
      <c r="C2" s="119" t="s">
        <v>49</v>
      </c>
      <c r="D2" s="120"/>
      <c r="E2" s="27" t="s">
        <v>50</v>
      </c>
      <c r="F2" s="127"/>
      <c r="G2" s="128"/>
      <c r="H2" s="128"/>
      <c r="I2" s="129"/>
    </row>
    <row r="3" spans="1:9" ht="21.75" thickBot="1" x14ac:dyDescent="0.4">
      <c r="A3" s="110" t="s">
        <v>6</v>
      </c>
      <c r="B3" s="27" t="s">
        <v>23</v>
      </c>
      <c r="C3" s="119" t="s">
        <v>51</v>
      </c>
      <c r="D3" s="120"/>
      <c r="E3" s="27" t="s">
        <v>52</v>
      </c>
      <c r="F3" s="124"/>
      <c r="G3" s="125"/>
      <c r="H3" s="125"/>
      <c r="I3" s="126"/>
    </row>
    <row r="4" spans="1:9" ht="21.75" thickBot="1" x14ac:dyDescent="0.4">
      <c r="A4" s="111" t="s">
        <v>9</v>
      </c>
      <c r="B4" s="27" t="s">
        <v>23</v>
      </c>
      <c r="C4" s="119" t="s">
        <v>53</v>
      </c>
      <c r="D4" s="120"/>
      <c r="E4" s="27" t="s">
        <v>54</v>
      </c>
      <c r="F4" s="121"/>
      <c r="G4" s="122"/>
      <c r="H4" s="122"/>
      <c r="I4" s="123"/>
    </row>
    <row r="5" spans="1:9" s="1" customFormat="1" ht="65.25" customHeight="1" thickBot="1" x14ac:dyDescent="0.3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35">
      <c r="A6" s="59" t="s">
        <v>24</v>
      </c>
      <c r="B6" s="60" t="s">
        <v>25</v>
      </c>
      <c r="C6" s="47" t="s">
        <v>7</v>
      </c>
      <c r="D6" s="47" t="s">
        <v>26</v>
      </c>
      <c r="E6" s="87" t="s">
        <v>27</v>
      </c>
      <c r="F6" s="68" t="s">
        <v>28</v>
      </c>
    </row>
    <row r="7" spans="1:9" s="96" customFormat="1" ht="39" customHeight="1" x14ac:dyDescent="0.3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45</v>
      </c>
      <c r="C7" s="93"/>
      <c r="D7" s="94"/>
      <c r="E7" s="95" t="s">
        <v>30</v>
      </c>
      <c r="F7" s="70"/>
    </row>
    <row r="8" spans="1:9" s="96" customFormat="1" ht="39" customHeight="1" x14ac:dyDescent="0.3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45</v>
      </c>
      <c r="C8" s="93" t="s">
        <v>31</v>
      </c>
      <c r="D8" s="94" t="s">
        <v>17</v>
      </c>
      <c r="E8" s="95" t="s">
        <v>18</v>
      </c>
      <c r="F8" s="70"/>
    </row>
    <row r="9" spans="1:9" s="96" customFormat="1" ht="39" customHeight="1" x14ac:dyDescent="0.3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45</v>
      </c>
      <c r="C9" s="93" t="s">
        <v>32</v>
      </c>
      <c r="D9" s="94" t="s">
        <v>17</v>
      </c>
      <c r="E9" s="95" t="s">
        <v>18</v>
      </c>
      <c r="F9" s="70"/>
    </row>
    <row r="10" spans="1:9" s="96" customFormat="1" ht="39" customHeight="1" x14ac:dyDescent="0.3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45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3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45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3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45</v>
      </c>
      <c r="C12" s="93" t="s">
        <v>33</v>
      </c>
      <c r="D12" s="94" t="s">
        <v>17</v>
      </c>
      <c r="E12" s="95" t="s">
        <v>18</v>
      </c>
      <c r="F12" s="70"/>
    </row>
    <row r="13" spans="1:9" s="96" customFormat="1" ht="39" customHeight="1" x14ac:dyDescent="0.3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45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3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saccharin-0.01mg/L</v>
      </c>
      <c r="B14" s="92" t="s">
        <v>29</v>
      </c>
      <c r="C14" s="93" t="s">
        <v>47</v>
      </c>
      <c r="D14" s="94" t="s">
        <v>21</v>
      </c>
      <c r="E14" s="95" t="s">
        <v>46</v>
      </c>
      <c r="F14" s="70"/>
    </row>
    <row r="15" spans="1:9" s="71" customFormat="1" ht="39" customHeight="1" x14ac:dyDescent="0.2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saccharin-0.1mg/L</v>
      </c>
      <c r="B15" s="92" t="s">
        <v>29</v>
      </c>
      <c r="C15" s="65" t="s">
        <v>48</v>
      </c>
      <c r="D15" s="94" t="s">
        <v>21</v>
      </c>
      <c r="E15" s="95" t="s">
        <v>46</v>
      </c>
      <c r="F15" s="70"/>
    </row>
    <row r="16" spans="1:9" s="71" customFormat="1" ht="39" customHeight="1" x14ac:dyDescent="0.2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saccharin-1mg/L</v>
      </c>
      <c r="B16" s="92" t="s">
        <v>29</v>
      </c>
      <c r="C16" s="65">
        <v>1</v>
      </c>
      <c r="D16" s="94" t="s">
        <v>21</v>
      </c>
      <c r="E16" s="95" t="s">
        <v>46</v>
      </c>
      <c r="F16" s="70"/>
    </row>
    <row r="17" spans="1:6" s="71" customFormat="1" ht="39" customHeight="1" x14ac:dyDescent="0.2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saccharin-10mg/L</v>
      </c>
      <c r="B17" s="92" t="s">
        <v>29</v>
      </c>
      <c r="C17" s="65">
        <v>10</v>
      </c>
      <c r="D17" s="94" t="s">
        <v>21</v>
      </c>
      <c r="E17" s="95" t="s">
        <v>46</v>
      </c>
      <c r="F17" s="70"/>
    </row>
    <row r="18" spans="1:6" s="71" customFormat="1" ht="39" customHeight="1" x14ac:dyDescent="0.2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saccharin-100mg/L</v>
      </c>
      <c r="B18" s="92" t="s">
        <v>29</v>
      </c>
      <c r="C18" s="65">
        <v>100</v>
      </c>
      <c r="D18" s="94" t="s">
        <v>21</v>
      </c>
      <c r="E18" s="95" t="s">
        <v>46</v>
      </c>
      <c r="F18" s="70"/>
    </row>
    <row r="19" spans="1:6" s="71" customFormat="1" ht="39" customHeight="1" x14ac:dyDescent="0.2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29</v>
      </c>
      <c r="C19" s="65"/>
      <c r="D19" s="65"/>
      <c r="E19" s="25"/>
      <c r="F19" s="70"/>
    </row>
    <row r="20" spans="1:6" s="71" customFormat="1" ht="39" customHeight="1" x14ac:dyDescent="0.2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29</v>
      </c>
      <c r="C20" s="65"/>
      <c r="D20" s="65"/>
      <c r="E20" s="61"/>
      <c r="F20" s="70"/>
    </row>
    <row r="21" spans="1:6" s="71" customFormat="1" ht="39" customHeight="1" x14ac:dyDescent="0.2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29</v>
      </c>
      <c r="C21" s="65"/>
      <c r="D21" s="65"/>
      <c r="E21" s="25"/>
      <c r="F21" s="70"/>
    </row>
    <row r="22" spans="1:6" s="71" customFormat="1" ht="39" customHeight="1" x14ac:dyDescent="0.2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29</v>
      </c>
      <c r="C22" s="65"/>
      <c r="D22" s="65"/>
      <c r="E22" s="61"/>
      <c r="F22" s="70"/>
    </row>
    <row r="23" spans="1:6" s="71" customFormat="1" ht="39" customHeight="1" x14ac:dyDescent="0.2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29</v>
      </c>
      <c r="C23" s="65"/>
      <c r="D23" s="65"/>
      <c r="E23" s="25"/>
      <c r="F23" s="70"/>
    </row>
    <row r="24" spans="1:6" s="71" customFormat="1" ht="39" customHeight="1" x14ac:dyDescent="0.2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29</v>
      </c>
      <c r="C24" s="65"/>
      <c r="D24" s="65"/>
      <c r="E24" s="61"/>
      <c r="F24" s="70"/>
    </row>
    <row r="25" spans="1:6" s="71" customFormat="1" ht="39" customHeight="1" x14ac:dyDescent="0.2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29</v>
      </c>
      <c r="C25" s="65"/>
      <c r="D25" s="65"/>
      <c r="E25" s="25"/>
      <c r="F25" s="70"/>
    </row>
    <row r="26" spans="1:6" s="71" customFormat="1" ht="39" customHeight="1" x14ac:dyDescent="0.2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29</v>
      </c>
      <c r="C26" s="65"/>
      <c r="D26" s="65"/>
      <c r="E26" s="61"/>
      <c r="F26" s="70"/>
    </row>
    <row r="27" spans="1:6" s="71" customFormat="1" ht="39" customHeight="1" x14ac:dyDescent="0.2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29</v>
      </c>
      <c r="C27" s="65"/>
      <c r="D27" s="65"/>
      <c r="E27" s="25"/>
      <c r="F27" s="70"/>
    </row>
    <row r="28" spans="1:6" s="71" customFormat="1" ht="39" customHeight="1" x14ac:dyDescent="0.2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29</v>
      </c>
      <c r="C28" s="65"/>
      <c r="D28" s="65"/>
      <c r="E28" s="61"/>
      <c r="F28" s="70"/>
    </row>
    <row r="29" spans="1:6" s="71" customFormat="1" ht="39" customHeight="1" x14ac:dyDescent="0.2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29</v>
      </c>
      <c r="C29" s="65"/>
      <c r="D29" s="74"/>
      <c r="E29" s="25"/>
      <c r="F29" s="70"/>
    </row>
    <row r="30" spans="1:6" s="71" customFormat="1" ht="39" customHeight="1" x14ac:dyDescent="0.2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29</v>
      </c>
      <c r="C30" s="65"/>
      <c r="D30" s="74"/>
      <c r="E30" s="61"/>
      <c r="F30" s="70"/>
    </row>
    <row r="31" spans="1:6" s="71" customFormat="1" ht="39" customHeight="1" x14ac:dyDescent="0.2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29</v>
      </c>
      <c r="C31" s="65"/>
      <c r="D31" s="74"/>
      <c r="E31" s="25"/>
      <c r="F31" s="70"/>
    </row>
    <row r="32" spans="1:6" s="71" customFormat="1" ht="39" customHeight="1" x14ac:dyDescent="0.2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29</v>
      </c>
      <c r="C32" s="65"/>
      <c r="D32" s="74"/>
      <c r="E32" s="61"/>
      <c r="F32" s="70"/>
    </row>
    <row r="33" spans="1:6" s="71" customFormat="1" ht="39" customHeight="1" x14ac:dyDescent="0.2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29</v>
      </c>
      <c r="C33" s="65"/>
      <c r="D33" s="74"/>
      <c r="E33" s="25"/>
      <c r="F33" s="70"/>
    </row>
    <row r="34" spans="1:6" s="71" customFormat="1" ht="39" customHeight="1" thickBot="1" x14ac:dyDescent="0.3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29</v>
      </c>
      <c r="C34" s="98"/>
      <c r="D34" s="75"/>
      <c r="E34" s="97"/>
      <c r="F34" s="70"/>
    </row>
    <row r="35" spans="1:6" s="71" customFormat="1" ht="39" customHeight="1" x14ac:dyDescent="0.2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45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2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45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3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45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2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saccharin-0.01mg/L + Testostérone</v>
      </c>
      <c r="B38" s="112" t="str">
        <f>B14</f>
        <v>test chemical</v>
      </c>
      <c r="C38" s="112" t="str">
        <f t="shared" ref="C38:E38" si="0">C14</f>
        <v>0.01</v>
      </c>
      <c r="D38" s="112" t="str">
        <f t="shared" si="0"/>
        <v>mg/L</v>
      </c>
      <c r="E38" s="112" t="str">
        <f t="shared" si="0"/>
        <v>saccharin</v>
      </c>
      <c r="F38" s="72" t="s">
        <v>13</v>
      </c>
    </row>
    <row r="39" spans="1:6" s="71" customFormat="1" ht="39" customHeight="1" x14ac:dyDescent="0.2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saccharin-0.1mg/L + Testostérone</v>
      </c>
      <c r="B39" s="114" t="str">
        <f t="shared" ref="B39:E39" si="1">B15</f>
        <v>test chemical</v>
      </c>
      <c r="C39" s="114" t="str">
        <f t="shared" si="1"/>
        <v>0.1</v>
      </c>
      <c r="D39" s="114" t="str">
        <f t="shared" si="1"/>
        <v>mg/L</v>
      </c>
      <c r="E39" s="114" t="str">
        <f t="shared" si="1"/>
        <v>saccharin</v>
      </c>
      <c r="F39" s="73" t="s">
        <v>13</v>
      </c>
    </row>
    <row r="40" spans="1:6" s="71" customFormat="1" ht="39" customHeight="1" x14ac:dyDescent="0.2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saccharin-1mg/L + Testostérone</v>
      </c>
      <c r="B40" s="114" t="str">
        <f t="shared" ref="B40:E40" si="2">B16</f>
        <v>test chemical</v>
      </c>
      <c r="C40" s="114">
        <f t="shared" si="2"/>
        <v>1</v>
      </c>
      <c r="D40" s="114" t="str">
        <f t="shared" si="2"/>
        <v>mg/L</v>
      </c>
      <c r="E40" s="114" t="str">
        <f t="shared" si="2"/>
        <v>saccharin</v>
      </c>
      <c r="F40" s="73" t="s">
        <v>13</v>
      </c>
    </row>
    <row r="41" spans="1:6" s="71" customFormat="1" ht="39" customHeight="1" x14ac:dyDescent="0.2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saccharin-10mg/L + Testostérone</v>
      </c>
      <c r="B41" s="114" t="str">
        <f t="shared" ref="B41:E41" si="3">B17</f>
        <v>test chemical</v>
      </c>
      <c r="C41" s="114">
        <f t="shared" si="3"/>
        <v>10</v>
      </c>
      <c r="D41" s="114" t="str">
        <f t="shared" si="3"/>
        <v>mg/L</v>
      </c>
      <c r="E41" s="114" t="str">
        <f t="shared" si="3"/>
        <v>saccharin</v>
      </c>
      <c r="F41" s="73" t="s">
        <v>13</v>
      </c>
    </row>
    <row r="42" spans="1:6" s="71" customFormat="1" ht="39" customHeight="1" x14ac:dyDescent="0.2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saccharin-100mg/L + Testostérone</v>
      </c>
      <c r="B42" s="114" t="str">
        <f t="shared" ref="B42:E42" si="4">B18</f>
        <v>test chemical</v>
      </c>
      <c r="C42" s="114">
        <f t="shared" si="4"/>
        <v>100</v>
      </c>
      <c r="D42" s="114" t="str">
        <f t="shared" si="4"/>
        <v>mg/L</v>
      </c>
      <c r="E42" s="114" t="str">
        <f t="shared" si="4"/>
        <v>saccharin</v>
      </c>
      <c r="F42" s="73" t="s">
        <v>13</v>
      </c>
    </row>
    <row r="43" spans="1:6" s="71" customFormat="1" ht="39" customHeight="1" x14ac:dyDescent="0.2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2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2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2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2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2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2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2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2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2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2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2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2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2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2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P1" activePane="topRight" state="frozen"/>
      <selection pane="topRight" activeCell="V5" sqref="V5:V12"/>
    </sheetView>
  </sheetViews>
  <sheetFormatPr defaultColWidth="9.140625" defaultRowHeight="15" x14ac:dyDescent="0.25"/>
  <cols>
    <col min="1" max="1" width="29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8.28515625" bestFit="1" customWidth="1"/>
    <col min="15" max="15" width="14.85546875" customWidth="1"/>
    <col min="16" max="16" width="17.7109375" customWidth="1"/>
    <col min="17" max="18" width="25.85546875" bestFit="1" customWidth="1"/>
    <col min="19" max="22" width="25.85546875" style="1" customWidth="1"/>
  </cols>
  <sheetData>
    <row r="1" spans="1:22" s="1" customFormat="1" ht="27" thickBot="1" x14ac:dyDescent="0.4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ht="15.75" thickBot="1" x14ac:dyDescent="0.3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.75" thickBot="1" x14ac:dyDescent="0.3">
      <c r="A3" s="35" t="s">
        <v>5</v>
      </c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saccharin-0.01mg/L</v>
      </c>
      <c r="J4" s="20" t="str">
        <f>'Front page'!A15</f>
        <v>saccharin-0.1mg/L</v>
      </c>
      <c r="K4" s="20" t="str">
        <f>'Front page'!A16</f>
        <v>saccharin-1mg/L</v>
      </c>
      <c r="L4" s="20" t="str">
        <f>'Front page'!A17</f>
        <v>saccharin-10mg/L</v>
      </c>
      <c r="M4" s="20" t="str">
        <f>'Front page'!A18</f>
        <v>saccharin-100mg/L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saccharin-0.01mg/L + Testostérone</v>
      </c>
      <c r="S4" s="21" t="str">
        <f>'Front page'!A39</f>
        <v>saccharin-0.1mg/L + Testostérone</v>
      </c>
      <c r="T4" s="21" t="str">
        <f>'Front page'!A40</f>
        <v>saccharin-1mg/L + Testostérone</v>
      </c>
      <c r="U4" s="21" t="str">
        <f>'Front page'!A41</f>
        <v>saccharin-10mg/L + Testostérone</v>
      </c>
      <c r="V4" s="21" t="str">
        <f>'Front page'!A42</f>
        <v>saccharin-100mg/L + Testostérone</v>
      </c>
    </row>
    <row r="5" spans="1:22" x14ac:dyDescent="0.25">
      <c r="A5" s="134" t="s">
        <v>34</v>
      </c>
      <c r="B5" s="17">
        <v>0</v>
      </c>
      <c r="C5" s="17">
        <v>412</v>
      </c>
      <c r="D5" s="17">
        <v>0</v>
      </c>
      <c r="E5" s="17">
        <v>240</v>
      </c>
      <c r="F5" s="17">
        <v>574</v>
      </c>
      <c r="G5" s="17">
        <v>49042</v>
      </c>
      <c r="H5" s="17">
        <v>316725</v>
      </c>
      <c r="I5" s="17">
        <v>0</v>
      </c>
      <c r="J5" s="17">
        <v>0</v>
      </c>
      <c r="K5" s="13">
        <v>0</v>
      </c>
      <c r="L5" s="13">
        <v>0</v>
      </c>
      <c r="M5" s="13">
        <v>0</v>
      </c>
      <c r="N5" s="3"/>
      <c r="O5" s="17">
        <v>47300</v>
      </c>
      <c r="P5" s="13">
        <v>120135</v>
      </c>
      <c r="Q5" s="13">
        <v>163</v>
      </c>
      <c r="R5" s="17">
        <v>81710</v>
      </c>
      <c r="S5" s="17">
        <v>120089</v>
      </c>
      <c r="T5" s="17">
        <v>151592</v>
      </c>
      <c r="U5" s="17">
        <v>43390</v>
      </c>
      <c r="V5" s="17">
        <v>91251</v>
      </c>
    </row>
    <row r="6" spans="1:22" ht="16.5" x14ac:dyDescent="0.25">
      <c r="A6" s="135"/>
      <c r="B6" s="14">
        <v>0</v>
      </c>
      <c r="C6" s="13">
        <v>0</v>
      </c>
      <c r="D6" s="17">
        <v>0</v>
      </c>
      <c r="E6" s="17">
        <v>0</v>
      </c>
      <c r="F6" s="17">
        <v>147643</v>
      </c>
      <c r="G6" s="17">
        <v>187620</v>
      </c>
      <c r="H6" s="17">
        <v>228388</v>
      </c>
      <c r="I6" s="17">
        <v>1573</v>
      </c>
      <c r="J6" s="17">
        <v>0</v>
      </c>
      <c r="K6" s="13">
        <v>0</v>
      </c>
      <c r="L6" s="13">
        <v>0</v>
      </c>
      <c r="M6" s="13">
        <v>0</v>
      </c>
      <c r="N6" s="3"/>
      <c r="O6" s="17">
        <v>133172</v>
      </c>
      <c r="P6" s="13">
        <v>201927</v>
      </c>
      <c r="Q6" s="13">
        <v>0</v>
      </c>
      <c r="R6" s="17">
        <v>93010</v>
      </c>
      <c r="S6" s="17">
        <v>7530</v>
      </c>
      <c r="T6" s="17">
        <v>80259</v>
      </c>
      <c r="U6" s="17">
        <v>0</v>
      </c>
      <c r="V6" s="17">
        <v>161516</v>
      </c>
    </row>
    <row r="7" spans="1:22" ht="16.5" x14ac:dyDescent="0.25">
      <c r="A7" s="135"/>
      <c r="B7" s="14">
        <v>0</v>
      </c>
      <c r="C7" s="13">
        <v>0</v>
      </c>
      <c r="D7" s="17">
        <v>3251</v>
      </c>
      <c r="E7" s="17">
        <v>80</v>
      </c>
      <c r="F7" s="17">
        <v>0</v>
      </c>
      <c r="G7" s="17">
        <v>234509</v>
      </c>
      <c r="H7" s="17">
        <v>50593</v>
      </c>
      <c r="I7" s="56">
        <v>0</v>
      </c>
      <c r="J7" s="56">
        <v>5636</v>
      </c>
      <c r="K7" s="56">
        <v>0</v>
      </c>
      <c r="L7" s="56">
        <v>0</v>
      </c>
      <c r="M7" s="56">
        <v>0</v>
      </c>
      <c r="N7" s="3"/>
      <c r="O7" s="17">
        <v>82577</v>
      </c>
      <c r="P7" s="13">
        <v>184295</v>
      </c>
      <c r="Q7" s="13">
        <v>5491</v>
      </c>
      <c r="R7" s="17">
        <v>155151</v>
      </c>
      <c r="S7" s="17">
        <v>132685</v>
      </c>
      <c r="T7" s="17">
        <v>6279</v>
      </c>
      <c r="U7" s="17">
        <v>45731</v>
      </c>
      <c r="V7" s="17">
        <v>49502</v>
      </c>
    </row>
    <row r="8" spans="1:22" ht="16.5" x14ac:dyDescent="0.25">
      <c r="A8" s="135"/>
      <c r="B8" s="14">
        <v>0</v>
      </c>
      <c r="C8" s="13">
        <v>163</v>
      </c>
      <c r="D8" s="17">
        <v>0</v>
      </c>
      <c r="E8" s="17">
        <v>172872</v>
      </c>
      <c r="F8" s="17">
        <v>21014</v>
      </c>
      <c r="G8" s="17">
        <v>208582</v>
      </c>
      <c r="H8" s="17">
        <v>288909</v>
      </c>
      <c r="I8" s="56">
        <v>0</v>
      </c>
      <c r="J8" s="56">
        <v>0</v>
      </c>
      <c r="K8" s="56">
        <v>0</v>
      </c>
      <c r="L8" s="56">
        <v>241</v>
      </c>
      <c r="M8" s="56">
        <v>0</v>
      </c>
      <c r="N8" s="3"/>
      <c r="O8" s="17">
        <v>147545</v>
      </c>
      <c r="P8" s="13">
        <v>197921</v>
      </c>
      <c r="Q8" s="13">
        <v>4190</v>
      </c>
      <c r="R8" s="56">
        <v>29908</v>
      </c>
      <c r="S8" s="56">
        <v>71045</v>
      </c>
      <c r="T8" s="56">
        <v>12517</v>
      </c>
      <c r="U8" s="56">
        <v>2038</v>
      </c>
      <c r="V8" s="56">
        <v>98289</v>
      </c>
    </row>
    <row r="9" spans="1:22" ht="16.5" x14ac:dyDescent="0.25">
      <c r="A9" s="135"/>
      <c r="B9" s="14">
        <v>0</v>
      </c>
      <c r="C9" s="13">
        <v>0</v>
      </c>
      <c r="D9" s="17">
        <v>0</v>
      </c>
      <c r="E9" s="17">
        <v>0</v>
      </c>
      <c r="F9" s="17">
        <v>88180</v>
      </c>
      <c r="G9" s="17">
        <v>178873</v>
      </c>
      <c r="H9" s="17">
        <v>251307</v>
      </c>
      <c r="I9" s="56">
        <v>164</v>
      </c>
      <c r="J9" s="56">
        <v>0</v>
      </c>
      <c r="K9" s="56">
        <v>80</v>
      </c>
      <c r="L9" s="56">
        <v>0</v>
      </c>
      <c r="M9" s="56">
        <v>0</v>
      </c>
      <c r="N9" s="3"/>
      <c r="O9" s="17">
        <v>81914</v>
      </c>
      <c r="P9" s="13">
        <v>107180</v>
      </c>
      <c r="Q9" s="13">
        <v>0</v>
      </c>
      <c r="R9" s="56">
        <v>68940</v>
      </c>
      <c r="S9" s="56">
        <v>23406</v>
      </c>
      <c r="T9" s="56">
        <v>97129</v>
      </c>
      <c r="U9" s="56">
        <v>62989</v>
      </c>
      <c r="V9" s="56">
        <v>7750</v>
      </c>
    </row>
    <row r="10" spans="1:22" ht="16.5" x14ac:dyDescent="0.25">
      <c r="A10" s="135"/>
      <c r="B10" s="14">
        <v>0</v>
      </c>
      <c r="C10" s="13">
        <v>0</v>
      </c>
      <c r="D10" s="17">
        <v>162</v>
      </c>
      <c r="E10" s="17">
        <v>0</v>
      </c>
      <c r="F10" s="17">
        <v>140995</v>
      </c>
      <c r="G10" s="17">
        <v>247182</v>
      </c>
      <c r="H10" s="17">
        <v>309778</v>
      </c>
      <c r="I10" s="56">
        <v>0</v>
      </c>
      <c r="J10" s="56">
        <v>0</v>
      </c>
      <c r="K10" s="56">
        <v>810</v>
      </c>
      <c r="L10" s="56">
        <v>0</v>
      </c>
      <c r="M10" s="56">
        <v>82</v>
      </c>
      <c r="N10" s="3"/>
      <c r="O10" s="17">
        <v>107928</v>
      </c>
      <c r="P10" s="13">
        <v>192833</v>
      </c>
      <c r="Q10" s="13">
        <v>0</v>
      </c>
      <c r="R10" s="56">
        <v>10842</v>
      </c>
      <c r="S10" s="56">
        <v>166888</v>
      </c>
      <c r="T10" s="56">
        <v>176498</v>
      </c>
      <c r="U10" s="56">
        <v>119953</v>
      </c>
      <c r="V10" s="56">
        <v>56093</v>
      </c>
    </row>
    <row r="11" spans="1:22" ht="16.5" x14ac:dyDescent="0.25">
      <c r="A11" s="135"/>
      <c r="B11" s="14">
        <v>0</v>
      </c>
      <c r="C11" s="13">
        <v>0</v>
      </c>
      <c r="D11" s="17">
        <v>80</v>
      </c>
      <c r="E11" s="17">
        <v>0</v>
      </c>
      <c r="F11" s="17">
        <v>122114</v>
      </c>
      <c r="G11" s="17">
        <v>52136</v>
      </c>
      <c r="H11" s="17">
        <v>287905</v>
      </c>
      <c r="I11" s="17">
        <v>0</v>
      </c>
      <c r="J11" s="17">
        <v>0</v>
      </c>
      <c r="K11" s="13">
        <v>162</v>
      </c>
      <c r="L11" s="13">
        <v>0</v>
      </c>
      <c r="M11" s="13">
        <v>6740</v>
      </c>
      <c r="N11" s="3"/>
      <c r="O11" s="17">
        <v>93964</v>
      </c>
      <c r="P11" s="13">
        <v>232079</v>
      </c>
      <c r="Q11" s="13">
        <v>0</v>
      </c>
      <c r="R11" s="56">
        <v>82336</v>
      </c>
      <c r="S11" s="56">
        <v>12157</v>
      </c>
      <c r="T11" s="56">
        <v>188741</v>
      </c>
      <c r="U11" s="56">
        <v>48843</v>
      </c>
      <c r="V11" s="56">
        <v>129690</v>
      </c>
    </row>
    <row r="12" spans="1:22" ht="16.5" x14ac:dyDescent="0.25">
      <c r="A12" s="135"/>
      <c r="B12" s="14">
        <v>0</v>
      </c>
      <c r="C12" s="13">
        <v>0</v>
      </c>
      <c r="D12" s="17">
        <v>0</v>
      </c>
      <c r="E12" s="17">
        <v>0</v>
      </c>
      <c r="F12" s="17"/>
      <c r="G12" s="17">
        <v>262260</v>
      </c>
      <c r="H12" s="17">
        <v>258863</v>
      </c>
      <c r="I12" s="17">
        <v>0</v>
      </c>
      <c r="J12" s="17">
        <v>0</v>
      </c>
      <c r="K12" s="13">
        <v>0</v>
      </c>
      <c r="L12" s="13">
        <v>0</v>
      </c>
      <c r="M12" s="13">
        <v>0</v>
      </c>
      <c r="N12" s="3"/>
      <c r="O12" s="17">
        <v>66465</v>
      </c>
      <c r="P12" s="13">
        <v>83977</v>
      </c>
      <c r="Q12" s="13">
        <v>0</v>
      </c>
      <c r="R12" s="17">
        <v>147172</v>
      </c>
      <c r="S12" s="17">
        <v>4387</v>
      </c>
      <c r="T12" s="17">
        <v>2268</v>
      </c>
      <c r="U12" s="17">
        <v>50701</v>
      </c>
      <c r="V12" s="17">
        <v>0</v>
      </c>
    </row>
    <row r="13" spans="1:22" ht="16.5" x14ac:dyDescent="0.25">
      <c r="A13" s="135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117910</v>
      </c>
      <c r="P13" s="13"/>
      <c r="Q13" s="13"/>
      <c r="R13" s="4"/>
      <c r="S13" s="17"/>
      <c r="T13" s="17"/>
      <c r="U13" s="17"/>
      <c r="V13" s="17"/>
    </row>
    <row r="14" spans="1:22" ht="16.5" x14ac:dyDescent="0.25">
      <c r="A14" s="135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140043</v>
      </c>
      <c r="P14" s="13"/>
      <c r="Q14" s="13"/>
      <c r="R14" s="4"/>
      <c r="S14" s="17"/>
      <c r="T14" s="17"/>
      <c r="U14" s="17"/>
      <c r="V14" s="17"/>
    </row>
    <row r="15" spans="1:22" ht="16.5" x14ac:dyDescent="0.25">
      <c r="A15" s="135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128382</v>
      </c>
      <c r="P15" s="13"/>
      <c r="Q15" s="13"/>
      <c r="R15" s="4"/>
      <c r="S15" s="17"/>
      <c r="T15" s="17"/>
      <c r="U15" s="17"/>
      <c r="V15" s="17"/>
    </row>
    <row r="16" spans="1:22" ht="16.5" x14ac:dyDescent="0.25">
      <c r="A16" s="135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80736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25">
      <c r="A17" s="135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130331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25">
      <c r="A18" s="135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32112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25">
      <c r="A19" s="135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98243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5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7034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2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2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saccharin-0.01mg/L</v>
      </c>
      <c r="J22" s="51" t="str">
        <f t="shared" si="0"/>
        <v>saccharin-0.1mg/L</v>
      </c>
      <c r="K22" s="51" t="str">
        <f t="shared" si="0"/>
        <v>saccharin-1mg/L</v>
      </c>
      <c r="L22" s="51" t="str">
        <f t="shared" si="0"/>
        <v>saccharin-10mg/L</v>
      </c>
      <c r="M22" s="51" t="str">
        <f t="shared" si="0"/>
        <v>saccharin-100mg/L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saccharin-0.01mg/L + Testostérone</v>
      </c>
      <c r="S22" s="51" t="str">
        <f t="shared" si="1"/>
        <v>saccharin-0.1mg/L + Testostérone</v>
      </c>
      <c r="T22" s="51" t="str">
        <f t="shared" si="1"/>
        <v>saccharin-1mg/L + Testostérone</v>
      </c>
      <c r="U22" s="51" t="str">
        <f t="shared" si="1"/>
        <v>saccharin-10mg/L + Testostérone</v>
      </c>
      <c r="V22" s="51" t="str">
        <f t="shared" si="1"/>
        <v>saccharin-100mg/L + Testostérone</v>
      </c>
    </row>
    <row r="23" spans="1:22" x14ac:dyDescent="0.25">
      <c r="A23" s="5" t="s">
        <v>0</v>
      </c>
      <c r="B23" s="5">
        <f t="shared" ref="B23:M23" si="2">AVERAGE(B5:B20)</f>
        <v>0</v>
      </c>
      <c r="C23" s="5">
        <f t="shared" si="2"/>
        <v>71.875</v>
      </c>
      <c r="D23" s="5">
        <f t="shared" si="2"/>
        <v>436.625</v>
      </c>
      <c r="E23" s="5">
        <f t="shared" si="2"/>
        <v>21649</v>
      </c>
      <c r="F23" s="5">
        <f t="shared" si="2"/>
        <v>74360</v>
      </c>
      <c r="G23" s="5">
        <f t="shared" si="2"/>
        <v>177525.5</v>
      </c>
      <c r="H23" s="5">
        <f t="shared" si="2"/>
        <v>249058.5</v>
      </c>
      <c r="I23" s="5">
        <f t="shared" si="2"/>
        <v>217.125</v>
      </c>
      <c r="J23" s="5">
        <f t="shared" si="2"/>
        <v>704.5</v>
      </c>
      <c r="K23" s="5">
        <f t="shared" si="2"/>
        <v>131.5</v>
      </c>
      <c r="L23" s="5">
        <f t="shared" si="2"/>
        <v>30.125</v>
      </c>
      <c r="M23" s="5">
        <f t="shared" si="2"/>
        <v>852.75</v>
      </c>
      <c r="N23" s="5" t="s">
        <v>0</v>
      </c>
      <c r="O23" s="5">
        <f t="shared" ref="O23:V23" si="3">AVERAGE(O5:O20)</f>
        <v>93478.5</v>
      </c>
      <c r="P23" s="5">
        <f t="shared" si="3"/>
        <v>165043.375</v>
      </c>
      <c r="Q23" s="5">
        <f t="shared" si="3"/>
        <v>1230.5</v>
      </c>
      <c r="R23" s="5">
        <f t="shared" si="3"/>
        <v>83633.625</v>
      </c>
      <c r="S23" s="5">
        <f t="shared" si="3"/>
        <v>67273.375</v>
      </c>
      <c r="T23" s="5">
        <f t="shared" si="3"/>
        <v>89410.375</v>
      </c>
      <c r="U23" s="5">
        <f t="shared" si="3"/>
        <v>46705.625</v>
      </c>
      <c r="V23" s="5">
        <f t="shared" si="3"/>
        <v>74261.375</v>
      </c>
    </row>
    <row r="24" spans="1:22" x14ac:dyDescent="0.25">
      <c r="A24" s="3" t="s">
        <v>1</v>
      </c>
      <c r="B24" s="3">
        <f t="shared" ref="B24:M24" si="4">STDEV(B5:B20)</f>
        <v>0</v>
      </c>
      <c r="C24" s="3">
        <f t="shared" si="4"/>
        <v>148.79750141911467</v>
      </c>
      <c r="D24" s="3">
        <f t="shared" si="4"/>
        <v>1138.7031392271272</v>
      </c>
      <c r="E24" s="3">
        <f t="shared" si="4"/>
        <v>61103.377012123594</v>
      </c>
      <c r="F24" s="3">
        <f t="shared" si="4"/>
        <v>65956.598535198384</v>
      </c>
      <c r="G24" s="3">
        <f t="shared" si="4"/>
        <v>83304.81045619669</v>
      </c>
      <c r="H24" s="3">
        <f t="shared" si="4"/>
        <v>85590.164695316649</v>
      </c>
      <c r="I24" s="3">
        <f t="shared" si="4"/>
        <v>550.85373674480434</v>
      </c>
      <c r="J24" s="3">
        <f t="shared" si="4"/>
        <v>1992.6269093836909</v>
      </c>
      <c r="K24" s="3">
        <f t="shared" si="4"/>
        <v>280.40939458482586</v>
      </c>
      <c r="L24" s="3">
        <f t="shared" si="4"/>
        <v>85.206367132978983</v>
      </c>
      <c r="M24" s="3">
        <f t="shared" si="4"/>
        <v>2378.9812795756566</v>
      </c>
      <c r="N24" s="3" t="s">
        <v>1</v>
      </c>
      <c r="O24" s="3">
        <f t="shared" ref="O24:V24" si="5">STDEV(O5:O20)</f>
        <v>40486.730436856305</v>
      </c>
      <c r="P24" s="3">
        <f t="shared" si="5"/>
        <v>53471.878894925423</v>
      </c>
      <c r="Q24" s="3">
        <f t="shared" si="5"/>
        <v>2255.8086291679469</v>
      </c>
      <c r="R24" s="3">
        <f t="shared" si="5"/>
        <v>50208.318411359178</v>
      </c>
      <c r="S24" s="3">
        <f t="shared" si="5"/>
        <v>64908.284742919044</v>
      </c>
      <c r="T24" s="3">
        <f t="shared" si="5"/>
        <v>77347.007481012843</v>
      </c>
      <c r="U24" s="3">
        <f t="shared" si="5"/>
        <v>37491.738198235085</v>
      </c>
      <c r="V24" s="3">
        <f t="shared" si="5"/>
        <v>56610.583937073367</v>
      </c>
    </row>
    <row r="25" spans="1:22" ht="15.75" thickBot="1" x14ac:dyDescent="0.3"/>
    <row r="26" spans="1:22" ht="15.75" thickBot="1" x14ac:dyDescent="0.3">
      <c r="B26" s="138" t="s">
        <v>41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"/>
      <c r="O26" s="138" t="s">
        <v>42</v>
      </c>
      <c r="P26" s="139"/>
      <c r="Q26" s="139"/>
      <c r="R26" s="139"/>
      <c r="S26" s="139"/>
      <c r="T26" s="139"/>
      <c r="U26" s="139"/>
      <c r="V26" s="139"/>
    </row>
    <row r="27" spans="1:22" s="1" customFormat="1" x14ac:dyDescent="0.2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saccharin-0.01mg/L</v>
      </c>
      <c r="J27" s="20" t="str">
        <f t="shared" si="6"/>
        <v>saccharin-0.1mg/L</v>
      </c>
      <c r="K27" s="20" t="str">
        <f t="shared" si="6"/>
        <v>saccharin-1mg/L</v>
      </c>
      <c r="L27" s="20" t="str">
        <f t="shared" si="6"/>
        <v>saccharin-10mg/L</v>
      </c>
      <c r="M27" s="20" t="str">
        <f t="shared" si="6"/>
        <v>saccharin-100mg/L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saccharin-0.01mg/L + Testostérone</v>
      </c>
      <c r="S27" s="21" t="str">
        <f t="shared" si="7"/>
        <v>saccharin-0.1mg/L + Testostérone</v>
      </c>
      <c r="T27" s="21" t="str">
        <f t="shared" si="7"/>
        <v>saccharin-1mg/L + Testostérone</v>
      </c>
      <c r="U27" s="21" t="str">
        <f t="shared" si="7"/>
        <v>saccharin-10mg/L + Testostérone</v>
      </c>
      <c r="V27" s="21" t="str">
        <f t="shared" si="7"/>
        <v>saccharin-100mg/L + Testostérone</v>
      </c>
    </row>
    <row r="28" spans="1:22" x14ac:dyDescent="0.25">
      <c r="A28" s="136" t="s">
        <v>35</v>
      </c>
      <c r="B28" s="11">
        <f t="shared" ref="B28:M28" si="8">IF(B5="","",(B5/$O$23))</f>
        <v>0</v>
      </c>
      <c r="C28" s="11">
        <f t="shared" si="8"/>
        <v>4.4074305856426875E-3</v>
      </c>
      <c r="D28" s="11">
        <f t="shared" si="8"/>
        <v>0</v>
      </c>
      <c r="E28" s="11">
        <f t="shared" si="8"/>
        <v>2.5674352926073909E-3</v>
      </c>
      <c r="F28" s="11">
        <f t="shared" si="8"/>
        <v>6.1404494081526767E-3</v>
      </c>
      <c r="G28" s="11">
        <f t="shared" si="8"/>
        <v>0.52463400675021532</v>
      </c>
      <c r="H28" s="11">
        <f t="shared" si="8"/>
        <v>3.3882122627128162</v>
      </c>
      <c r="I28" s="11">
        <f t="shared" si="8"/>
        <v>0</v>
      </c>
      <c r="J28" s="11">
        <f t="shared" si="8"/>
        <v>0</v>
      </c>
      <c r="K28" s="11">
        <f t="shared" si="8"/>
        <v>0</v>
      </c>
      <c r="L28" s="11">
        <f t="shared" si="8"/>
        <v>0</v>
      </c>
      <c r="M28" s="11">
        <f t="shared" si="8"/>
        <v>0</v>
      </c>
      <c r="N28" s="6"/>
      <c r="O28" s="11">
        <f t="shared" ref="O28:V37" si="9">IF(O5="","",(O5/$O$23))</f>
        <v>0.50599870558470661</v>
      </c>
      <c r="P28" s="11">
        <f t="shared" si="9"/>
        <v>1.2851618286557871</v>
      </c>
      <c r="Q28" s="11">
        <f t="shared" si="9"/>
        <v>1.7437164695625197E-3</v>
      </c>
      <c r="R28" s="11">
        <f t="shared" si="9"/>
        <v>0.87410474066229138</v>
      </c>
      <c r="S28" s="11">
        <f t="shared" si="9"/>
        <v>1.2846697368913707</v>
      </c>
      <c r="T28" s="11">
        <f t="shared" si="9"/>
        <v>1.6216777119872483</v>
      </c>
      <c r="U28" s="11">
        <f t="shared" si="9"/>
        <v>0.46417090560931124</v>
      </c>
      <c r="V28" s="11">
        <f t="shared" si="9"/>
        <v>0.97617099119048767</v>
      </c>
    </row>
    <row r="29" spans="1:22" x14ac:dyDescent="0.25">
      <c r="A29" s="137"/>
      <c r="B29" s="11">
        <f t="shared" ref="B29:M29" si="10">IF(B6="","",(B6/$O$23))</f>
        <v>0</v>
      </c>
      <c r="C29" s="11">
        <f t="shared" si="10"/>
        <v>0</v>
      </c>
      <c r="D29" s="11">
        <f t="shared" si="10"/>
        <v>0</v>
      </c>
      <c r="E29" s="11">
        <f t="shared" si="10"/>
        <v>0</v>
      </c>
      <c r="F29" s="11">
        <f t="shared" si="10"/>
        <v>1.5794327037768043</v>
      </c>
      <c r="G29" s="11">
        <f t="shared" si="10"/>
        <v>2.0070925399958277</v>
      </c>
      <c r="H29" s="11">
        <f t="shared" si="10"/>
        <v>2.4432142150334033</v>
      </c>
      <c r="I29" s="11">
        <f t="shared" si="10"/>
        <v>1.6827398813630941E-2</v>
      </c>
      <c r="J29" s="11">
        <f t="shared" si="10"/>
        <v>0</v>
      </c>
      <c r="K29" s="11">
        <f t="shared" si="10"/>
        <v>0</v>
      </c>
      <c r="L29" s="11">
        <f t="shared" si="10"/>
        <v>0</v>
      </c>
      <c r="M29" s="11">
        <f t="shared" si="10"/>
        <v>0</v>
      </c>
      <c r="N29" s="6"/>
      <c r="O29" s="11">
        <f t="shared" si="9"/>
        <v>1.4246270532796312</v>
      </c>
      <c r="P29" s="11">
        <f t="shared" si="9"/>
        <v>2.160143776376386</v>
      </c>
      <c r="Q29" s="11">
        <f t="shared" si="9"/>
        <v>0</v>
      </c>
      <c r="R29" s="11">
        <f t="shared" si="9"/>
        <v>0.99498815235588933</v>
      </c>
      <c r="S29" s="11">
        <f t="shared" si="9"/>
        <v>8.0553282305556889E-2</v>
      </c>
      <c r="T29" s="11">
        <f t="shared" si="9"/>
        <v>0.85858245478906914</v>
      </c>
      <c r="U29" s="11">
        <f t="shared" si="9"/>
        <v>0</v>
      </c>
      <c r="V29" s="11">
        <f t="shared" si="9"/>
        <v>1.7278411613365641</v>
      </c>
    </row>
    <row r="30" spans="1:22" x14ac:dyDescent="0.25">
      <c r="A30" s="137"/>
      <c r="B30" s="11">
        <f t="shared" ref="B30:M30" si="11">IF(B7="","",(B7/$O$23))</f>
        <v>0</v>
      </c>
      <c r="C30" s="11">
        <f t="shared" si="11"/>
        <v>0</v>
      </c>
      <c r="D30" s="11">
        <f t="shared" si="11"/>
        <v>3.4778050567777614E-2</v>
      </c>
      <c r="E30" s="11">
        <f t="shared" si="11"/>
        <v>8.5581176420246362E-4</v>
      </c>
      <c r="F30" s="11">
        <f t="shared" si="11"/>
        <v>0</v>
      </c>
      <c r="G30" s="11">
        <f t="shared" si="11"/>
        <v>2.5086945126419442</v>
      </c>
      <c r="H30" s="11">
        <f t="shared" si="11"/>
        <v>0.54122605732869056</v>
      </c>
      <c r="I30" s="11">
        <f t="shared" si="11"/>
        <v>0</v>
      </c>
      <c r="J30" s="11">
        <f t="shared" si="11"/>
        <v>6.0291938788063562E-2</v>
      </c>
      <c r="K30" s="11">
        <f t="shared" si="11"/>
        <v>0</v>
      </c>
      <c r="L30" s="11">
        <f t="shared" si="11"/>
        <v>0</v>
      </c>
      <c r="M30" s="11">
        <f t="shared" si="11"/>
        <v>0</v>
      </c>
      <c r="N30" s="6"/>
      <c r="O30" s="11">
        <f t="shared" si="9"/>
        <v>0.88337960065683552</v>
      </c>
      <c r="P30" s="11">
        <f t="shared" si="9"/>
        <v>1.971522863546163</v>
      </c>
      <c r="Q30" s="11">
        <f t="shared" si="9"/>
        <v>5.8740779965446598E-2</v>
      </c>
      <c r="R30" s="11">
        <f t="shared" si="9"/>
        <v>1.6597506378472056</v>
      </c>
      <c r="S30" s="11">
        <f t="shared" si="9"/>
        <v>1.4194172991650487</v>
      </c>
      <c r="T30" s="11">
        <f t="shared" si="9"/>
        <v>6.7170525842840861E-2</v>
      </c>
      <c r="U30" s="11">
        <f t="shared" si="9"/>
        <v>0.48921409735928584</v>
      </c>
      <c r="V30" s="11">
        <f t="shared" si="9"/>
        <v>0.52955492439437946</v>
      </c>
    </row>
    <row r="31" spans="1:22" x14ac:dyDescent="0.25">
      <c r="A31" s="137"/>
      <c r="B31" s="11">
        <f t="shared" ref="B31:M31" si="12">IF(B8="","",(B8/$O$23))</f>
        <v>0</v>
      </c>
      <c r="C31" s="11">
        <f t="shared" si="12"/>
        <v>1.7437164695625197E-3</v>
      </c>
      <c r="D31" s="11">
        <f t="shared" si="12"/>
        <v>0</v>
      </c>
      <c r="E31" s="11">
        <f t="shared" si="12"/>
        <v>1.8493236412651037</v>
      </c>
      <c r="F31" s="11">
        <f t="shared" si="12"/>
        <v>0.22480035516188215</v>
      </c>
      <c r="G31" s="11">
        <f t="shared" si="12"/>
        <v>2.2313366175109786</v>
      </c>
      <c r="H31" s="11">
        <f t="shared" si="12"/>
        <v>3.0906465122996196</v>
      </c>
      <c r="I31" s="11">
        <f t="shared" si="12"/>
        <v>0</v>
      </c>
      <c r="J31" s="11">
        <f t="shared" si="12"/>
        <v>0</v>
      </c>
      <c r="K31" s="11">
        <f t="shared" si="12"/>
        <v>0</v>
      </c>
      <c r="L31" s="11">
        <f t="shared" si="12"/>
        <v>2.5781329396599218E-3</v>
      </c>
      <c r="M31" s="11">
        <f t="shared" si="12"/>
        <v>0</v>
      </c>
      <c r="N31" s="6"/>
      <c r="O31" s="11">
        <f t="shared" si="9"/>
        <v>1.5783843343656563</v>
      </c>
      <c r="P31" s="11">
        <f t="shared" si="9"/>
        <v>2.1172890022839477</v>
      </c>
      <c r="Q31" s="11">
        <f t="shared" si="9"/>
        <v>4.4823141150104037E-2</v>
      </c>
      <c r="R31" s="11">
        <f t="shared" si="9"/>
        <v>0.31994522804709102</v>
      </c>
      <c r="S31" s="11">
        <f t="shared" si="9"/>
        <v>0.76001433484705039</v>
      </c>
      <c r="T31" s="11">
        <f t="shared" si="9"/>
        <v>0.13390244815652796</v>
      </c>
      <c r="U31" s="11">
        <f t="shared" si="9"/>
        <v>2.1801804693057762E-2</v>
      </c>
      <c r="V31" s="11">
        <f t="shared" si="9"/>
        <v>1.0514610311461994</v>
      </c>
    </row>
    <row r="32" spans="1:22" x14ac:dyDescent="0.25">
      <c r="A32" s="137"/>
      <c r="B32" s="11">
        <f t="shared" ref="B32:M32" si="13">IF(B9="","",(B9/$O$23))</f>
        <v>0</v>
      </c>
      <c r="C32" s="11">
        <f t="shared" si="13"/>
        <v>0</v>
      </c>
      <c r="D32" s="11">
        <f t="shared" si="13"/>
        <v>0</v>
      </c>
      <c r="E32" s="11">
        <f t="shared" si="13"/>
        <v>0</v>
      </c>
      <c r="F32" s="11">
        <f t="shared" si="13"/>
        <v>0.94331851709216563</v>
      </c>
      <c r="G32" s="11">
        <f t="shared" si="13"/>
        <v>1.913520221227341</v>
      </c>
      <c r="H32" s="11">
        <f t="shared" si="13"/>
        <v>2.6883935878303569</v>
      </c>
      <c r="I32" s="11">
        <f t="shared" si="13"/>
        <v>1.7544141166150504E-3</v>
      </c>
      <c r="J32" s="11">
        <f t="shared" si="13"/>
        <v>0</v>
      </c>
      <c r="K32" s="11">
        <f t="shared" si="13"/>
        <v>8.5581176420246362E-4</v>
      </c>
      <c r="L32" s="11">
        <f t="shared" si="13"/>
        <v>0</v>
      </c>
      <c r="M32" s="11">
        <f t="shared" si="13"/>
        <v>0</v>
      </c>
      <c r="N32" s="6"/>
      <c r="O32" s="11">
        <f t="shared" si="9"/>
        <v>0.87628706066100759</v>
      </c>
      <c r="P32" s="11">
        <f t="shared" si="9"/>
        <v>1.1465738110902508</v>
      </c>
      <c r="Q32" s="11">
        <f t="shared" si="9"/>
        <v>0</v>
      </c>
      <c r="R32" s="11">
        <f t="shared" si="9"/>
        <v>0.73749578780147307</v>
      </c>
      <c r="S32" s="11">
        <f t="shared" si="9"/>
        <v>0.25038912691153581</v>
      </c>
      <c r="T32" s="11">
        <f t="shared" si="9"/>
        <v>1.0390517605652636</v>
      </c>
      <c r="U32" s="11">
        <f t="shared" si="9"/>
        <v>0.67383409019186224</v>
      </c>
      <c r="V32" s="11">
        <f t="shared" si="9"/>
        <v>8.2906764657113663E-2</v>
      </c>
    </row>
    <row r="33" spans="1:22" x14ac:dyDescent="0.25">
      <c r="A33" s="137"/>
      <c r="B33" s="11">
        <f t="shared" ref="B33:M33" si="14">IF(B10="","",(B10/$O$23))</f>
        <v>0</v>
      </c>
      <c r="C33" s="11">
        <f t="shared" si="14"/>
        <v>0</v>
      </c>
      <c r="D33" s="11">
        <f t="shared" si="14"/>
        <v>1.733018822509989E-3</v>
      </c>
      <c r="E33" s="11">
        <f t="shared" si="14"/>
        <v>0</v>
      </c>
      <c r="F33" s="11">
        <f t="shared" si="14"/>
        <v>1.5083147461715796</v>
      </c>
      <c r="G33" s="11">
        <f t="shared" si="14"/>
        <v>2.6442657937386671</v>
      </c>
      <c r="H33" s="11">
        <f t="shared" si="14"/>
        <v>3.3138957086388849</v>
      </c>
      <c r="I33" s="11">
        <f t="shared" si="14"/>
        <v>0</v>
      </c>
      <c r="J33" s="11">
        <f t="shared" si="14"/>
        <v>0</v>
      </c>
      <c r="K33" s="11">
        <f t="shared" si="14"/>
        <v>8.665094112549945E-3</v>
      </c>
      <c r="L33" s="11">
        <f t="shared" si="14"/>
        <v>0</v>
      </c>
      <c r="M33" s="11">
        <f t="shared" si="14"/>
        <v>8.7720705830752522E-4</v>
      </c>
      <c r="N33" s="6"/>
      <c r="O33" s="11">
        <f t="shared" si="9"/>
        <v>1.1545756510855438</v>
      </c>
      <c r="P33" s="11">
        <f t="shared" si="9"/>
        <v>2.0628593740806709</v>
      </c>
      <c r="Q33" s="11">
        <f t="shared" si="9"/>
        <v>0</v>
      </c>
      <c r="R33" s="11">
        <f t="shared" si="9"/>
        <v>0.11598388934353888</v>
      </c>
      <c r="S33" s="11">
        <f t="shared" si="9"/>
        <v>1.7853089213027595</v>
      </c>
      <c r="T33" s="11">
        <f t="shared" si="9"/>
        <v>1.8881133094775804</v>
      </c>
      <c r="U33" s="11">
        <f t="shared" si="9"/>
        <v>1.2832148568922266</v>
      </c>
      <c r="V33" s="11">
        <f t="shared" si="9"/>
        <v>0.60006311611760998</v>
      </c>
    </row>
    <row r="34" spans="1:22" x14ac:dyDescent="0.25">
      <c r="A34" s="137"/>
      <c r="B34" s="11">
        <f t="shared" ref="B34:M34" si="15">IF(B11="","",(B11/$O$23))</f>
        <v>0</v>
      </c>
      <c r="C34" s="11">
        <f t="shared" si="15"/>
        <v>0</v>
      </c>
      <c r="D34" s="11">
        <f t="shared" si="15"/>
        <v>8.5581176420246362E-4</v>
      </c>
      <c r="E34" s="11">
        <f t="shared" si="15"/>
        <v>0</v>
      </c>
      <c r="F34" s="11">
        <f t="shared" si="15"/>
        <v>1.3063324721727456</v>
      </c>
      <c r="G34" s="11">
        <f t="shared" si="15"/>
        <v>0.55773252673074558</v>
      </c>
      <c r="H34" s="11">
        <f t="shared" si="15"/>
        <v>3.0799060746588789</v>
      </c>
      <c r="I34" s="11">
        <f t="shared" si="15"/>
        <v>0</v>
      </c>
      <c r="J34" s="11">
        <f t="shared" si="15"/>
        <v>0</v>
      </c>
      <c r="K34" s="11">
        <f t="shared" si="15"/>
        <v>1.733018822509989E-3</v>
      </c>
      <c r="L34" s="11">
        <f t="shared" si="15"/>
        <v>0</v>
      </c>
      <c r="M34" s="11">
        <f t="shared" si="15"/>
        <v>7.2102141134057565E-2</v>
      </c>
      <c r="N34" s="6"/>
      <c r="O34" s="11">
        <f t="shared" si="9"/>
        <v>1.0051937076440036</v>
      </c>
      <c r="P34" s="11">
        <f t="shared" si="9"/>
        <v>2.4826992303042945</v>
      </c>
      <c r="Q34" s="11">
        <f t="shared" si="9"/>
        <v>0</v>
      </c>
      <c r="R34" s="11">
        <f t="shared" si="9"/>
        <v>0.8808014677171756</v>
      </c>
      <c r="S34" s="11">
        <f t="shared" si="9"/>
        <v>0.13005129521761688</v>
      </c>
      <c r="T34" s="11">
        <f t="shared" si="9"/>
        <v>2.0190846023417151</v>
      </c>
      <c r="U34" s="11">
        <f t="shared" si="9"/>
        <v>0.52250517498676163</v>
      </c>
      <c r="V34" s="11">
        <f t="shared" si="9"/>
        <v>1.3873778462427189</v>
      </c>
    </row>
    <row r="35" spans="1:22" x14ac:dyDescent="0.25">
      <c r="A35" s="137"/>
      <c r="B35" s="11">
        <f t="shared" ref="B35:M35" si="16">IF(B12="","",(B12/$O$23))</f>
        <v>0</v>
      </c>
      <c r="C35" s="11">
        <f t="shared" si="16"/>
        <v>0</v>
      </c>
      <c r="D35" s="11">
        <f t="shared" si="16"/>
        <v>0</v>
      </c>
      <c r="E35" s="11">
        <f t="shared" si="16"/>
        <v>0</v>
      </c>
      <c r="F35" s="11" t="str">
        <f t="shared" si="16"/>
        <v/>
      </c>
      <c r="G35" s="11">
        <f t="shared" si="16"/>
        <v>2.8055649159967264</v>
      </c>
      <c r="H35" s="11">
        <f t="shared" si="16"/>
        <v>2.7692250089592796</v>
      </c>
      <c r="I35" s="11">
        <f t="shared" si="16"/>
        <v>0</v>
      </c>
      <c r="J35" s="11">
        <f t="shared" si="16"/>
        <v>0</v>
      </c>
      <c r="K35" s="11">
        <f t="shared" si="16"/>
        <v>0</v>
      </c>
      <c r="L35" s="11">
        <f t="shared" si="16"/>
        <v>0</v>
      </c>
      <c r="M35" s="11">
        <f t="shared" si="16"/>
        <v>0</v>
      </c>
      <c r="N35" s="6"/>
      <c r="O35" s="11">
        <f t="shared" si="9"/>
        <v>0.71101911134645934</v>
      </c>
      <c r="P35" s="11">
        <f t="shared" si="9"/>
        <v>0.89835630653037868</v>
      </c>
      <c r="Q35" s="11">
        <f t="shared" si="9"/>
        <v>0</v>
      </c>
      <c r="R35" s="11">
        <f t="shared" si="9"/>
        <v>1.5743941120150622</v>
      </c>
      <c r="S35" s="11">
        <f t="shared" si="9"/>
        <v>4.6930577619452601E-2</v>
      </c>
      <c r="T35" s="11">
        <f t="shared" si="9"/>
        <v>2.4262263515139847E-2</v>
      </c>
      <c r="U35" s="11">
        <f t="shared" si="9"/>
        <v>0.54238140321036388</v>
      </c>
      <c r="V35" s="11">
        <f t="shared" si="9"/>
        <v>0</v>
      </c>
    </row>
    <row r="36" spans="1:22" s="1" customFormat="1" x14ac:dyDescent="0.25">
      <c r="A36" s="137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1.2613595639639061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s="1" customFormat="1" x14ac:dyDescent="0.25">
      <c r="A37" s="137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1.4981305861775702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s="1" customFormat="1" x14ac:dyDescent="0.25">
      <c r="A38" s="137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R38" si="20">IF(O15="","",(O15/$O$23))</f>
        <v>1.3733853238980087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ref="S38:V43" si="21">IF(S15="","",(S15/$O$23))</f>
        <v/>
      </c>
      <c r="T38" s="11" t="str">
        <f t="shared" si="21"/>
        <v/>
      </c>
      <c r="U38" s="11" t="str">
        <f t="shared" si="21"/>
        <v/>
      </c>
      <c r="V38" s="11" t="str">
        <f t="shared" si="21"/>
        <v/>
      </c>
    </row>
    <row r="39" spans="1:22" s="1" customFormat="1" x14ac:dyDescent="0.25">
      <c r="A39" s="137"/>
      <c r="B39" s="11" t="str">
        <f t="shared" ref="B39:M39" si="22">IF(B16="","",(B16/$O$23))</f>
        <v/>
      </c>
      <c r="C39" s="11" t="str">
        <f t="shared" si="22"/>
        <v/>
      </c>
      <c r="D39" s="11" t="str">
        <f t="shared" si="22"/>
        <v/>
      </c>
      <c r="E39" s="11" t="str">
        <f t="shared" si="22"/>
        <v/>
      </c>
      <c r="F39" s="11" t="str">
        <f t="shared" si="22"/>
        <v/>
      </c>
      <c r="G39" s="11" t="str">
        <f t="shared" si="22"/>
        <v/>
      </c>
      <c r="H39" s="11" t="str">
        <f t="shared" si="22"/>
        <v/>
      </c>
      <c r="I39" s="11" t="str">
        <f t="shared" si="22"/>
        <v/>
      </c>
      <c r="J39" s="11" t="str">
        <f t="shared" si="22"/>
        <v/>
      </c>
      <c r="K39" s="11" t="str">
        <f t="shared" si="22"/>
        <v/>
      </c>
      <c r="L39" s="11" t="str">
        <f t="shared" si="22"/>
        <v/>
      </c>
      <c r="M39" s="11" t="str">
        <f t="shared" si="22"/>
        <v/>
      </c>
      <c r="N39" s="6"/>
      <c r="O39" s="11">
        <f t="shared" ref="O39:R39" si="23">IF(O16="","",(O16/$O$23))</f>
        <v>0.86368523243312634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1"/>
        <v/>
      </c>
      <c r="T39" s="11" t="str">
        <f t="shared" si="21"/>
        <v/>
      </c>
      <c r="U39" s="11" t="str">
        <f t="shared" si="21"/>
        <v/>
      </c>
      <c r="V39" s="11" t="str">
        <f t="shared" si="21"/>
        <v/>
      </c>
    </row>
    <row r="40" spans="1:22" s="1" customFormat="1" x14ac:dyDescent="0.25">
      <c r="A40" s="137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ref="O40:R40" si="25">IF(O17="","",(O17/$O$23))</f>
        <v>1.3942350380033912</v>
      </c>
      <c r="P40" s="11" t="str">
        <f t="shared" si="25"/>
        <v/>
      </c>
      <c r="Q40" s="11" t="str">
        <f t="shared" si="25"/>
        <v/>
      </c>
      <c r="R40" s="11" t="str">
        <f t="shared" si="25"/>
        <v/>
      </c>
      <c r="S40" s="11" t="str">
        <f t="shared" si="21"/>
        <v/>
      </c>
      <c r="T40" s="11" t="str">
        <f t="shared" si="21"/>
        <v/>
      </c>
      <c r="U40" s="11" t="str">
        <f t="shared" si="21"/>
        <v/>
      </c>
      <c r="V40" s="11" t="str">
        <f t="shared" si="21"/>
        <v/>
      </c>
    </row>
    <row r="41" spans="1:22" s="1" customFormat="1" x14ac:dyDescent="0.25">
      <c r="A41" s="137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ref="O41:R41" si="27">IF(O18="","",(O18/$O$23))</f>
        <v>0.34352284215086892</v>
      </c>
      <c r="P41" s="11" t="str">
        <f t="shared" si="27"/>
        <v/>
      </c>
      <c r="Q41" s="11" t="str">
        <f t="shared" si="27"/>
        <v/>
      </c>
      <c r="R41" s="11" t="str">
        <f t="shared" si="27"/>
        <v/>
      </c>
      <c r="S41" s="11" t="str">
        <f t="shared" si="21"/>
        <v/>
      </c>
      <c r="T41" s="11" t="str">
        <f t="shared" si="21"/>
        <v/>
      </c>
      <c r="U41" s="11" t="str">
        <f t="shared" si="21"/>
        <v/>
      </c>
      <c r="V41" s="11" t="str">
        <f t="shared" si="21"/>
        <v/>
      </c>
    </row>
    <row r="42" spans="1:22" s="1" customFormat="1" x14ac:dyDescent="0.25">
      <c r="A42" s="137"/>
      <c r="B42" s="11" t="str">
        <f t="shared" ref="B42:M42" si="28">IF(B19="","",(B19/$O$23))</f>
        <v/>
      </c>
      <c r="C42" s="11" t="str">
        <f t="shared" si="28"/>
        <v/>
      </c>
      <c r="D42" s="11" t="str">
        <f t="shared" si="28"/>
        <v/>
      </c>
      <c r="E42" s="11" t="str">
        <f t="shared" si="28"/>
        <v/>
      </c>
      <c r="F42" s="11" t="str">
        <f t="shared" si="28"/>
        <v/>
      </c>
      <c r="G42" s="11" t="str">
        <f t="shared" si="28"/>
        <v/>
      </c>
      <c r="H42" s="11" t="str">
        <f t="shared" si="28"/>
        <v/>
      </c>
      <c r="I42" s="11" t="str">
        <f t="shared" si="28"/>
        <v/>
      </c>
      <c r="J42" s="11" t="str">
        <f t="shared" si="28"/>
        <v/>
      </c>
      <c r="K42" s="11" t="str">
        <f t="shared" si="28"/>
        <v/>
      </c>
      <c r="L42" s="11" t="str">
        <f t="shared" si="28"/>
        <v/>
      </c>
      <c r="M42" s="11" t="str">
        <f t="shared" si="28"/>
        <v/>
      </c>
      <c r="N42" s="6"/>
      <c r="O42" s="11">
        <f t="shared" ref="O42:R42" si="29">IF(O19="","",(O19/$O$23))</f>
        <v>1.0509689393817829</v>
      </c>
      <c r="P42" s="11" t="str">
        <f t="shared" si="29"/>
        <v/>
      </c>
      <c r="Q42" s="11" t="str">
        <f t="shared" si="29"/>
        <v/>
      </c>
      <c r="R42" s="11" t="str">
        <f t="shared" si="29"/>
        <v/>
      </c>
      <c r="S42" s="11" t="str">
        <f t="shared" si="21"/>
        <v/>
      </c>
      <c r="T42" s="11" t="str">
        <f t="shared" si="21"/>
        <v/>
      </c>
      <c r="U42" s="11" t="str">
        <f t="shared" si="21"/>
        <v/>
      </c>
      <c r="V42" s="11" t="str">
        <f t="shared" si="21"/>
        <v/>
      </c>
    </row>
    <row r="43" spans="1:22" s="1" customFormat="1" x14ac:dyDescent="0.25">
      <c r="A43" s="137"/>
      <c r="B43" s="11" t="str">
        <f t="shared" ref="B43:M43" si="30">IF(B20="","",(B20/$O$23))</f>
        <v/>
      </c>
      <c r="C43" s="11" t="str">
        <f t="shared" si="30"/>
        <v/>
      </c>
      <c r="D43" s="11" t="str">
        <f t="shared" si="30"/>
        <v/>
      </c>
      <c r="E43" s="11" t="str">
        <f t="shared" si="30"/>
        <v/>
      </c>
      <c r="F43" s="11" t="str">
        <f t="shared" si="30"/>
        <v/>
      </c>
      <c r="G43" s="11" t="str">
        <f t="shared" si="30"/>
        <v/>
      </c>
      <c r="H43" s="11" t="str">
        <f t="shared" si="30"/>
        <v/>
      </c>
      <c r="I43" s="11" t="str">
        <f t="shared" si="30"/>
        <v/>
      </c>
      <c r="J43" s="11" t="str">
        <f t="shared" si="30"/>
        <v/>
      </c>
      <c r="K43" s="11" t="str">
        <f t="shared" si="30"/>
        <v/>
      </c>
      <c r="L43" s="11" t="str">
        <f t="shared" si="30"/>
        <v/>
      </c>
      <c r="M43" s="11" t="str">
        <f t="shared" si="30"/>
        <v/>
      </c>
      <c r="N43" s="6"/>
      <c r="O43" s="11">
        <f t="shared" ref="O43:R43" si="31">IF(O20="","",(O20/$O$23))</f>
        <v>7.5247249367501615E-2</v>
      </c>
      <c r="P43" s="11" t="str">
        <f t="shared" si="31"/>
        <v/>
      </c>
      <c r="Q43" s="11" t="str">
        <f t="shared" si="31"/>
        <v/>
      </c>
      <c r="R43" s="11" t="str">
        <f t="shared" si="31"/>
        <v/>
      </c>
      <c r="S43" s="11" t="str">
        <f t="shared" si="21"/>
        <v/>
      </c>
      <c r="T43" s="11" t="str">
        <f t="shared" si="21"/>
        <v/>
      </c>
      <c r="U43" s="11" t="str">
        <f t="shared" si="21"/>
        <v/>
      </c>
      <c r="V43" s="11" t="str">
        <f t="shared" si="21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25">
      <c r="A45" s="53" t="str">
        <f t="shared" ref="A45:M45" si="32">A4</f>
        <v>Group names</v>
      </c>
      <c r="B45" s="53" t="str">
        <f t="shared" si="32"/>
        <v>Solvent control</v>
      </c>
      <c r="C45" s="53" t="str">
        <f t="shared" si="32"/>
        <v>EE2-33.8ng/L</v>
      </c>
      <c r="D45" s="53" t="str">
        <f t="shared" si="32"/>
        <v>EE2-50.6ng/L</v>
      </c>
      <c r="E45" s="53" t="str">
        <f t="shared" si="32"/>
        <v>EE2-76ng/L</v>
      </c>
      <c r="F45" s="53" t="str">
        <f t="shared" si="32"/>
        <v>EE2-114ng/L</v>
      </c>
      <c r="G45" s="53" t="str">
        <f t="shared" si="32"/>
        <v>EE2-170.9ng/L</v>
      </c>
      <c r="H45" s="53" t="str">
        <f t="shared" si="32"/>
        <v>EE2-488ng/L</v>
      </c>
      <c r="I45" s="53" t="str">
        <f t="shared" si="32"/>
        <v>saccharin-0.01mg/L</v>
      </c>
      <c r="J45" s="53" t="str">
        <f t="shared" si="32"/>
        <v>saccharin-0.1mg/L</v>
      </c>
      <c r="K45" s="53" t="str">
        <f t="shared" si="32"/>
        <v>saccharin-1mg/L</v>
      </c>
      <c r="L45" s="53" t="str">
        <f t="shared" si="32"/>
        <v>saccharin-10mg/L</v>
      </c>
      <c r="M45" s="53" t="str">
        <f t="shared" si="32"/>
        <v>saccharin-100mg/L</v>
      </c>
      <c r="N45" s="53" t="str">
        <f>N22</f>
        <v>Nom des groupes</v>
      </c>
      <c r="O45" s="53" t="str">
        <f t="shared" ref="O45:V45" si="33">O4</f>
        <v>Testo -30µg/L</v>
      </c>
      <c r="P45" s="53" t="str">
        <f t="shared" si="33"/>
        <v>Testo 30µg/L + EE2 -64ng/L</v>
      </c>
      <c r="Q45" s="53" t="str">
        <f t="shared" si="33"/>
        <v>Testo 30µg/L + FAD-10mg/L</v>
      </c>
      <c r="R45" s="53" t="str">
        <f t="shared" si="33"/>
        <v>saccharin-0.01mg/L + Testostérone</v>
      </c>
      <c r="S45" s="53" t="str">
        <f t="shared" si="33"/>
        <v>saccharin-0.1mg/L + Testostérone</v>
      </c>
      <c r="T45" s="53" t="str">
        <f t="shared" si="33"/>
        <v>saccharin-1mg/L + Testostérone</v>
      </c>
      <c r="U45" s="53" t="str">
        <f t="shared" si="33"/>
        <v>saccharin-10mg/L + Testostérone</v>
      </c>
      <c r="V45" s="53" t="str">
        <f t="shared" si="33"/>
        <v>saccharin-100mg/L + Testostérone</v>
      </c>
    </row>
    <row r="46" spans="1:22" x14ac:dyDescent="0.25">
      <c r="A46" s="8" t="s">
        <v>0</v>
      </c>
      <c r="B46" s="10">
        <f t="shared" ref="B46:H46" si="34">AVERAGE(B28:B43)</f>
        <v>0</v>
      </c>
      <c r="C46" s="10">
        <f t="shared" si="34"/>
        <v>7.6889338190065095E-4</v>
      </c>
      <c r="D46" s="10">
        <f t="shared" si="34"/>
        <v>4.670860144311258E-3</v>
      </c>
      <c r="E46" s="10">
        <f t="shared" si="34"/>
        <v>0.2315933610402392</v>
      </c>
      <c r="F46" s="10">
        <f t="shared" si="34"/>
        <v>0.79547703482619003</v>
      </c>
      <c r="G46" s="10">
        <f t="shared" si="34"/>
        <v>1.8991051418240557</v>
      </c>
      <c r="H46" s="10">
        <f t="shared" si="34"/>
        <v>2.6643399284327409</v>
      </c>
      <c r="I46" s="10">
        <f>AVERAGE(I28:I43)</f>
        <v>2.3227266162807489E-3</v>
      </c>
      <c r="J46" s="9">
        <f>AVERAGE(J28:J43)</f>
        <v>7.5364923485079453E-3</v>
      </c>
      <c r="K46" s="9">
        <f>AVERAGE(K28:K43)</f>
        <v>1.4067405874077996E-3</v>
      </c>
      <c r="L46" s="9">
        <f t="shared" ref="L46:M46" si="35">AVERAGE(L28:L43)</f>
        <v>3.2226661745749023E-4</v>
      </c>
      <c r="M46" s="9">
        <f t="shared" si="35"/>
        <v>9.1224185240456369E-3</v>
      </c>
      <c r="N46" s="8" t="s">
        <v>0</v>
      </c>
      <c r="O46" s="10">
        <f>AVERAGE(O28:O43)</f>
        <v>0.99999999999999989</v>
      </c>
      <c r="P46" s="10">
        <f>AVERAGE(P28:P43)</f>
        <v>1.7655757741084848</v>
      </c>
      <c r="Q46" s="10">
        <f>AVERAGE(Q28:Q43)</f>
        <v>1.3163454698139145E-2</v>
      </c>
      <c r="R46" s="10">
        <f>AVERAGE(R28:R43)</f>
        <v>0.89468300197371597</v>
      </c>
      <c r="S46" s="10">
        <f t="shared" ref="S46:V46" si="36">AVERAGE(S28:S43)</f>
        <v>0.71966682178254893</v>
      </c>
      <c r="T46" s="10">
        <f t="shared" si="36"/>
        <v>0.95648063458442312</v>
      </c>
      <c r="U46" s="10">
        <f t="shared" si="36"/>
        <v>0.49964029161785867</v>
      </c>
      <c r="V46" s="10">
        <f t="shared" si="36"/>
        <v>0.79442197938563419</v>
      </c>
    </row>
    <row r="47" spans="1:22" x14ac:dyDescent="0.25">
      <c r="A47" s="8" t="s">
        <v>1</v>
      </c>
      <c r="B47" s="8">
        <f t="shared" ref="B47:K47" si="37">STDEV(B28:B43)</f>
        <v>0</v>
      </c>
      <c r="C47" s="8">
        <f t="shared" si="37"/>
        <v>1.5917831524801386E-3</v>
      </c>
      <c r="D47" s="8">
        <f t="shared" si="37"/>
        <v>1.2181444281060641E-2</v>
      </c>
      <c r="E47" s="8">
        <f t="shared" si="37"/>
        <v>0.65366236099342201</v>
      </c>
      <c r="F47" s="8">
        <f t="shared" si="37"/>
        <v>0.70558041191502197</v>
      </c>
      <c r="G47" s="8">
        <f t="shared" si="37"/>
        <v>0.89116546003836927</v>
      </c>
      <c r="H47" s="8">
        <f t="shared" si="37"/>
        <v>0.91561337307847979</v>
      </c>
      <c r="I47" s="8">
        <f>STDEV(I28:I43)</f>
        <v>5.8928388532636317E-3</v>
      </c>
      <c r="J47" s="8">
        <f t="shared" si="37"/>
        <v>2.131641938396199E-2</v>
      </c>
      <c r="K47" s="8">
        <f t="shared" si="37"/>
        <v>2.9997207334823074E-3</v>
      </c>
      <c r="L47" s="8">
        <f t="shared" ref="L47:M47" si="38">STDEV(L28:L43)</f>
        <v>9.1150764221696948E-4</v>
      </c>
      <c r="M47" s="8">
        <f t="shared" si="38"/>
        <v>2.5449502073478465E-2</v>
      </c>
      <c r="N47" s="8" t="s">
        <v>1</v>
      </c>
      <c r="O47" s="8">
        <f>STDEV(O28:O43)</f>
        <v>0.43311275252444537</v>
      </c>
      <c r="P47" s="8">
        <f>STDEV(P28:P43)</f>
        <v>0.57202328765358312</v>
      </c>
      <c r="Q47" s="8">
        <f>STDEV(Q28:Q43)</f>
        <v>2.4131844532892022E-2</v>
      </c>
      <c r="R47" s="8">
        <f>STDEV(R28:R43)</f>
        <v>0.53711086946580389</v>
      </c>
      <c r="S47" s="8">
        <f t="shared" ref="S47:V47" si="39">STDEV(S28:S43)</f>
        <v>0.69436592096491745</v>
      </c>
      <c r="T47" s="8">
        <f t="shared" si="39"/>
        <v>0.82743098660133463</v>
      </c>
      <c r="U47" s="8">
        <f t="shared" si="39"/>
        <v>0.40107338263060577</v>
      </c>
      <c r="V47" s="8">
        <f t="shared" si="39"/>
        <v>0.60560004639648002</v>
      </c>
    </row>
    <row r="48" spans="1:22" x14ac:dyDescent="0.25">
      <c r="A48" s="8" t="s">
        <v>2</v>
      </c>
      <c r="B48" s="8">
        <f t="shared" ref="B48:K48" si="40" xml:space="preserve"> B47/SQRT(COUNT(B28:B43))</f>
        <v>0</v>
      </c>
      <c r="C48" s="8">
        <f t="shared" si="40"/>
        <v>5.6278033064860304E-4</v>
      </c>
      <c r="D48" s="8">
        <f t="shared" si="40"/>
        <v>4.3067909278920336E-3</v>
      </c>
      <c r="E48" s="8">
        <f t="shared" si="40"/>
        <v>0.23110454403242883</v>
      </c>
      <c r="F48" s="8">
        <f t="shared" si="40"/>
        <v>0.26668432855509472</v>
      </c>
      <c r="G48" s="8">
        <f t="shared" si="40"/>
        <v>0.31507456997618005</v>
      </c>
      <c r="H48" s="8">
        <f t="shared" si="40"/>
        <v>0.32371821252444061</v>
      </c>
      <c r="I48" s="8">
        <f xml:space="preserve"> I47/SQRT(COUNT(I28:I43))</f>
        <v>2.0834331567911361E-3</v>
      </c>
      <c r="J48" s="8">
        <f t="shared" si="40"/>
        <v>7.5364923485079453E-3</v>
      </c>
      <c r="K48" s="8">
        <f t="shared" si="40"/>
        <v>1.0605614361556119E-3</v>
      </c>
      <c r="L48" s="8">
        <f t="shared" ref="L48:M48" si="41" xml:space="preserve"> L47/SQRT(COUNT(L28:L43))</f>
        <v>3.2226661745749023E-4</v>
      </c>
      <c r="M48" s="8">
        <f t="shared" si="41"/>
        <v>8.9977577469888617E-3</v>
      </c>
      <c r="N48" s="8" t="s">
        <v>2</v>
      </c>
      <c r="O48" s="8">
        <f xml:space="preserve"> O47/SQRT(COUNT(O28:O43))</f>
        <v>0.10827818813111134</v>
      </c>
      <c r="P48" s="8">
        <f xml:space="preserve"> P47/SQRT(COUNT(P28:P43))</f>
        <v>0.20224077284823586</v>
      </c>
      <c r="Q48" s="8">
        <f xml:space="preserve"> Q47/SQRT(COUNT(Q28:Q43))</f>
        <v>8.5318954558737305E-3</v>
      </c>
      <c r="R48" s="8">
        <f xml:space="preserve"> R47/SQRT(COUNT(R28:R43))</f>
        <v>0.18989736902413623</v>
      </c>
      <c r="S48" s="8">
        <f t="shared" ref="S48:V48" si="42" xml:space="preserve"> S47/SQRT(COUNT(S28:S43))</f>
        <v>0.2454954256695677</v>
      </c>
      <c r="T48" s="8">
        <f t="shared" si="42"/>
        <v>0.29254103079483951</v>
      </c>
      <c r="U48" s="8">
        <f t="shared" si="42"/>
        <v>0.14180085430576408</v>
      </c>
      <c r="V48" s="8">
        <f t="shared" si="42"/>
        <v>0.21411194974691941</v>
      </c>
    </row>
    <row r="49" spans="1:22" s="1" customFormat="1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 spans="1:22" ht="15.75" thickBo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25">
      <c r="A52" s="29" t="str">
        <f t="shared" ref="A52:H52" si="43">A27</f>
        <v>Group names</v>
      </c>
      <c r="B52" s="30" t="str">
        <f t="shared" si="43"/>
        <v>Solvent control</v>
      </c>
      <c r="C52" s="30" t="str">
        <f t="shared" si="43"/>
        <v>EE2-33.8ng/L</v>
      </c>
      <c r="D52" s="30" t="str">
        <f t="shared" si="43"/>
        <v>EE2-50.6ng/L</v>
      </c>
      <c r="E52" s="30" t="str">
        <f t="shared" si="43"/>
        <v>EE2-76ng/L</v>
      </c>
      <c r="F52" s="30" t="str">
        <f t="shared" si="43"/>
        <v>EE2-114ng/L</v>
      </c>
      <c r="G52" s="30" t="str">
        <f t="shared" si="43"/>
        <v>EE2-170.9ng/L</v>
      </c>
      <c r="H52" s="30" t="str">
        <f t="shared" si="43"/>
        <v>EE2-488ng/L</v>
      </c>
      <c r="I52" s="30" t="str">
        <f>I4</f>
        <v>saccharin-0.01mg/L</v>
      </c>
      <c r="J52" s="30" t="str">
        <f>J4</f>
        <v>saccharin-0.1mg/L</v>
      </c>
      <c r="K52" s="30" t="str">
        <f>K27</f>
        <v>saccharin-1mg/L</v>
      </c>
      <c r="L52" s="30" t="str">
        <f t="shared" ref="L52:M52" si="44">L27</f>
        <v>saccharin-10mg/L</v>
      </c>
      <c r="M52" s="30" t="str">
        <f t="shared" si="44"/>
        <v>saccharin-100mg/L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saccharin-0.01mg/L + Testostérone</v>
      </c>
      <c r="S52" s="30" t="str">
        <f t="shared" ref="S52:V52" si="45">S27</f>
        <v>saccharin-0.1mg/L + Testostérone</v>
      </c>
      <c r="T52" s="30" t="str">
        <f t="shared" si="45"/>
        <v>saccharin-1mg/L + Testostérone</v>
      </c>
      <c r="U52" s="30" t="str">
        <f t="shared" si="45"/>
        <v>saccharin-10mg/L + Testostérone</v>
      </c>
      <c r="V52" s="30" t="str">
        <f t="shared" si="45"/>
        <v>saccharin-100mg/L + Testostérone</v>
      </c>
    </row>
    <row r="53" spans="1:22" s="3" customFormat="1" x14ac:dyDescent="0.25">
      <c r="A53" s="45" t="s">
        <v>10</v>
      </c>
      <c r="B53" s="78">
        <f t="shared" ref="B53:M53" si="46">B46</f>
        <v>0</v>
      </c>
      <c r="C53" s="78">
        <f t="shared" si="46"/>
        <v>7.6889338190065095E-4</v>
      </c>
      <c r="D53" s="78">
        <f t="shared" si="46"/>
        <v>4.670860144311258E-3</v>
      </c>
      <c r="E53" s="78">
        <f t="shared" si="46"/>
        <v>0.2315933610402392</v>
      </c>
      <c r="F53" s="78">
        <f t="shared" si="46"/>
        <v>0.79547703482619003</v>
      </c>
      <c r="G53" s="78">
        <f t="shared" si="46"/>
        <v>1.8991051418240557</v>
      </c>
      <c r="H53" s="78">
        <f t="shared" si="46"/>
        <v>2.6643399284327409</v>
      </c>
      <c r="I53" s="78">
        <f t="shared" si="46"/>
        <v>2.3227266162807489E-3</v>
      </c>
      <c r="J53" s="78">
        <f t="shared" si="46"/>
        <v>7.5364923485079453E-3</v>
      </c>
      <c r="K53" s="78">
        <f t="shared" si="46"/>
        <v>1.4067405874077996E-3</v>
      </c>
      <c r="L53" s="78">
        <f t="shared" si="46"/>
        <v>3.2226661745749023E-4</v>
      </c>
      <c r="M53" s="78">
        <f t="shared" si="46"/>
        <v>9.1224185240456369E-3</v>
      </c>
      <c r="N53" s="78"/>
      <c r="O53" s="78">
        <f t="shared" ref="O53:V53" si="47">O46</f>
        <v>0.99999999999999989</v>
      </c>
      <c r="P53" s="78">
        <f t="shared" si="47"/>
        <v>1.7655757741084848</v>
      </c>
      <c r="Q53" s="78">
        <f t="shared" si="47"/>
        <v>1.3163454698139145E-2</v>
      </c>
      <c r="R53" s="78">
        <f t="shared" si="47"/>
        <v>0.89468300197371597</v>
      </c>
      <c r="S53" s="78">
        <f t="shared" si="47"/>
        <v>0.71966682178254893</v>
      </c>
      <c r="T53" s="78">
        <f t="shared" si="47"/>
        <v>0.95648063458442312</v>
      </c>
      <c r="U53" s="78">
        <f t="shared" si="47"/>
        <v>0.49964029161785867</v>
      </c>
      <c r="V53" s="78">
        <f t="shared" si="47"/>
        <v>0.79442197938563419</v>
      </c>
    </row>
    <row r="54" spans="1:22" s="3" customFormat="1" x14ac:dyDescent="0.25">
      <c r="A54" s="45" t="s">
        <v>2</v>
      </c>
      <c r="B54" s="78">
        <f t="shared" ref="B54:M54" si="48">B48</f>
        <v>0</v>
      </c>
      <c r="C54" s="78">
        <f t="shared" si="48"/>
        <v>5.6278033064860304E-4</v>
      </c>
      <c r="D54" s="78">
        <f t="shared" si="48"/>
        <v>4.3067909278920336E-3</v>
      </c>
      <c r="E54" s="78">
        <f t="shared" si="48"/>
        <v>0.23110454403242883</v>
      </c>
      <c r="F54" s="78">
        <f t="shared" si="48"/>
        <v>0.26668432855509472</v>
      </c>
      <c r="G54" s="78">
        <f t="shared" si="48"/>
        <v>0.31507456997618005</v>
      </c>
      <c r="H54" s="78">
        <f t="shared" si="48"/>
        <v>0.32371821252444061</v>
      </c>
      <c r="I54" s="78">
        <f t="shared" si="48"/>
        <v>2.0834331567911361E-3</v>
      </c>
      <c r="J54" s="78">
        <f t="shared" si="48"/>
        <v>7.5364923485079453E-3</v>
      </c>
      <c r="K54" s="78">
        <f t="shared" si="48"/>
        <v>1.0605614361556119E-3</v>
      </c>
      <c r="L54" s="78">
        <f t="shared" si="48"/>
        <v>3.2226661745749023E-4</v>
      </c>
      <c r="M54" s="78">
        <f t="shared" si="48"/>
        <v>8.9977577469888617E-3</v>
      </c>
      <c r="N54" s="78"/>
      <c r="O54" s="78">
        <f t="shared" ref="O54:V54" si="49">O48</f>
        <v>0.10827818813111134</v>
      </c>
      <c r="P54" s="78">
        <f t="shared" si="49"/>
        <v>0.20224077284823586</v>
      </c>
      <c r="Q54" s="78">
        <f t="shared" si="49"/>
        <v>8.5318954558737305E-3</v>
      </c>
      <c r="R54" s="78">
        <f t="shared" si="49"/>
        <v>0.18989736902413623</v>
      </c>
      <c r="S54" s="78">
        <f t="shared" si="49"/>
        <v>0.2454954256695677</v>
      </c>
      <c r="T54" s="78">
        <f t="shared" si="49"/>
        <v>0.29254103079483951</v>
      </c>
      <c r="U54" s="78">
        <f t="shared" si="49"/>
        <v>0.14180085430576408</v>
      </c>
      <c r="V54" s="78">
        <f t="shared" si="49"/>
        <v>0.21411194974691941</v>
      </c>
    </row>
    <row r="55" spans="1:22" s="3" customFormat="1" x14ac:dyDescent="0.25">
      <c r="A55" s="45" t="s">
        <v>14</v>
      </c>
      <c r="B55" s="78" t="e">
        <f t="shared" ref="B55:M55" si="50">(B53*100/$B$53)-100</f>
        <v>#DIV/0!</v>
      </c>
      <c r="C55" s="78" t="e">
        <f t="shared" si="50"/>
        <v>#DIV/0!</v>
      </c>
      <c r="D55" s="78" t="e">
        <f t="shared" si="50"/>
        <v>#DIV/0!</v>
      </c>
      <c r="E55" s="78" t="e">
        <f t="shared" si="50"/>
        <v>#DIV/0!</v>
      </c>
      <c r="F55" s="78" t="e">
        <f t="shared" si="50"/>
        <v>#DIV/0!</v>
      </c>
      <c r="G55" s="78" t="e">
        <f t="shared" si="50"/>
        <v>#DIV/0!</v>
      </c>
      <c r="H55" s="78" t="e">
        <f t="shared" si="50"/>
        <v>#DIV/0!</v>
      </c>
      <c r="I55" s="78" t="e">
        <f t="shared" si="50"/>
        <v>#DIV/0!</v>
      </c>
      <c r="J55" s="78" t="e">
        <f t="shared" si="50"/>
        <v>#DIV/0!</v>
      </c>
      <c r="K55" s="78" t="e">
        <f t="shared" si="50"/>
        <v>#DIV/0!</v>
      </c>
      <c r="L55" s="78" t="e">
        <f t="shared" si="50"/>
        <v>#DIV/0!</v>
      </c>
      <c r="M55" s="78" t="e">
        <f t="shared" si="50"/>
        <v>#DIV/0!</v>
      </c>
      <c r="N55" s="78"/>
      <c r="O55" s="78">
        <f t="shared" ref="O55:V55" si="51">(O53*100/$O$53)-100</f>
        <v>0</v>
      </c>
      <c r="P55" s="78">
        <f t="shared" si="51"/>
        <v>76.557577410848495</v>
      </c>
      <c r="Q55" s="78">
        <f t="shared" si="51"/>
        <v>-98.683654530186089</v>
      </c>
      <c r="R55" s="78">
        <f t="shared" si="51"/>
        <v>-10.531699802628381</v>
      </c>
      <c r="S55" s="78">
        <f t="shared" si="51"/>
        <v>-28.033317821745086</v>
      </c>
      <c r="T55" s="78">
        <f t="shared" si="51"/>
        <v>-4.3519365415576772</v>
      </c>
      <c r="U55" s="78">
        <f t="shared" si="51"/>
        <v>-50.035970838214126</v>
      </c>
      <c r="V55" s="78">
        <f t="shared" si="51"/>
        <v>-20.557802061436561</v>
      </c>
    </row>
    <row r="56" spans="1:22" s="3" customFormat="1" x14ac:dyDescent="0.25">
      <c r="A56" s="45" t="s">
        <v>37</v>
      </c>
      <c r="B56" s="78" t="e">
        <f>[1]!SWTEST(B28:B43)</f>
        <v>#VALUE!</v>
      </c>
      <c r="C56" s="78">
        <f>[1]!SWTEST(C28:C43)</f>
        <v>1.0313252484361879E-4</v>
      </c>
      <c r="D56" s="78">
        <f>[1]!SWTEST(D28:D43)</f>
        <v>2.9473687852554775E-6</v>
      </c>
      <c r="E56" s="78">
        <f>[1]!SWTEST(E28:E43)</f>
        <v>1.0755629061831584E-6</v>
      </c>
      <c r="F56" s="78">
        <f>[1]!SWTEST(F28:F43)</f>
        <v>0.11896737682009928</v>
      </c>
      <c r="G56" s="78">
        <f>[1]!SWTEST(G28:G43)</f>
        <v>6.9980078563638304E-2</v>
      </c>
      <c r="H56" s="78">
        <f>[1]!SWTEST(H28:H43)</f>
        <v>6.572643155390967E-3</v>
      </c>
      <c r="I56" s="78">
        <f>[1]!SWTEST(I28:I43)</f>
        <v>5.0425376642015962E-6</v>
      </c>
      <c r="J56" s="78">
        <f>[1]!SWTEST(J28:J43)</f>
        <v>1.0472313157761093E-6</v>
      </c>
      <c r="K56" s="78">
        <f>[1]!SWTEST(K28:K43)</f>
        <v>5.4280340435530761E-5</v>
      </c>
      <c r="L56" s="78">
        <f>[1]!SWTEST(L28:L43)</f>
        <v>1.0472313157761093E-6</v>
      </c>
      <c r="M56" s="78">
        <f>[1]!SWTEST(M28:M43)</f>
        <v>1.2682716277190309E-6</v>
      </c>
      <c r="N56" s="78"/>
      <c r="O56" s="78">
        <f>[1]!SWTEST(O28:O43)</f>
        <v>0.4615456475959091</v>
      </c>
      <c r="P56" s="78">
        <f>[1]!SWTEST(P28:P43)</f>
        <v>0.24895504101870869</v>
      </c>
      <c r="Q56" s="78">
        <f>[1]!SWTEST(Q28:Q43)</f>
        <v>2.3098143070476862E-4</v>
      </c>
      <c r="R56" s="78">
        <f>[1]!SWTEST(R28:R43)</f>
        <v>0.59180916320489607</v>
      </c>
      <c r="S56" s="78">
        <f>[1]!SWTEST(S28:S43)</f>
        <v>0.12753980757160266</v>
      </c>
      <c r="T56" s="78">
        <f>[1]!SWTEST(T28:T43)</f>
        <v>0.18849290770221971</v>
      </c>
      <c r="U56" s="78">
        <f>[1]!SWTEST(U28:U43)</f>
        <v>0.20990534761182233</v>
      </c>
      <c r="V56" s="78">
        <f>[1]!SWTEST(V28:V43)</f>
        <v>0.81933824523498811</v>
      </c>
    </row>
    <row r="57" spans="1:22" s="3" customFormat="1" x14ac:dyDescent="0.25">
      <c r="A57" s="45" t="s">
        <v>38</v>
      </c>
      <c r="B57" s="78" t="e">
        <f t="shared" ref="B57:M57" si="52">IF(B56&gt;0.05,"Oui","Non")</f>
        <v>#VALUE!</v>
      </c>
      <c r="C57" s="78" t="str">
        <f t="shared" si="52"/>
        <v>Non</v>
      </c>
      <c r="D57" s="78" t="str">
        <f t="shared" si="52"/>
        <v>Non</v>
      </c>
      <c r="E57" s="78" t="str">
        <f t="shared" si="52"/>
        <v>Non</v>
      </c>
      <c r="F57" s="78" t="str">
        <f t="shared" si="52"/>
        <v>Oui</v>
      </c>
      <c r="G57" s="78" t="str">
        <f t="shared" si="52"/>
        <v>Oui</v>
      </c>
      <c r="H57" s="78" t="str">
        <f t="shared" si="52"/>
        <v>Non</v>
      </c>
      <c r="I57" s="78" t="str">
        <f t="shared" si="52"/>
        <v>Non</v>
      </c>
      <c r="J57" s="78" t="str">
        <f t="shared" si="52"/>
        <v>Non</v>
      </c>
      <c r="K57" s="78" t="str">
        <f t="shared" si="52"/>
        <v>Non</v>
      </c>
      <c r="L57" s="78" t="str">
        <f t="shared" si="52"/>
        <v>Non</v>
      </c>
      <c r="M57" s="78" t="str">
        <f t="shared" si="52"/>
        <v>Non</v>
      </c>
      <c r="N57" s="78"/>
      <c r="O57" s="78" t="str">
        <f t="shared" ref="O57:V57" si="53">IF(O56&gt;0.05,"Oui","Non")</f>
        <v>Oui</v>
      </c>
      <c r="P57" s="78" t="str">
        <f t="shared" si="53"/>
        <v>Oui</v>
      </c>
      <c r="Q57" s="78" t="str">
        <f t="shared" si="53"/>
        <v>Non</v>
      </c>
      <c r="R57" s="78" t="str">
        <f t="shared" si="53"/>
        <v>Oui</v>
      </c>
      <c r="S57" s="78" t="str">
        <f t="shared" si="53"/>
        <v>Oui</v>
      </c>
      <c r="T57" s="78" t="str">
        <f t="shared" si="53"/>
        <v>Oui</v>
      </c>
      <c r="U57" s="78" t="str">
        <f t="shared" si="53"/>
        <v>Oui</v>
      </c>
      <c r="V57" s="78" t="str">
        <f t="shared" si="53"/>
        <v>Oui</v>
      </c>
    </row>
    <row r="58" spans="1:22" s="3" customFormat="1" x14ac:dyDescent="0.2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25">
      <c r="A59" s="45" t="s">
        <v>39</v>
      </c>
      <c r="B59" s="82"/>
      <c r="C59" s="82" t="e">
        <f t="shared" ref="C59:M59" si="54">IF($B57="Non",IF(C$57="Non","Mann Withney",IF(C$57="Oui","Mann Withney","")),IF($B$57="Oui",IF(C$57="Oui","T-Test Welch",IF(C$57="Non","Mann Withney",""))))</f>
        <v>#VALUE!</v>
      </c>
      <c r="D59" s="82" t="e">
        <f t="shared" si="54"/>
        <v>#VALUE!</v>
      </c>
      <c r="E59" s="82" t="e">
        <f t="shared" si="54"/>
        <v>#VALUE!</v>
      </c>
      <c r="F59" s="82" t="e">
        <f t="shared" si="54"/>
        <v>#VALUE!</v>
      </c>
      <c r="G59" s="82" t="e">
        <f t="shared" si="54"/>
        <v>#VALUE!</v>
      </c>
      <c r="H59" s="82" t="e">
        <f t="shared" si="54"/>
        <v>#VALUE!</v>
      </c>
      <c r="I59" s="82" t="e">
        <f t="shared" si="54"/>
        <v>#VALUE!</v>
      </c>
      <c r="J59" s="82" t="e">
        <f t="shared" si="54"/>
        <v>#VALUE!</v>
      </c>
      <c r="K59" s="82" t="e">
        <f t="shared" si="54"/>
        <v>#VALUE!</v>
      </c>
      <c r="L59" s="82" t="e">
        <f t="shared" si="54"/>
        <v>#VALUE!</v>
      </c>
      <c r="M59" s="82" t="e">
        <f t="shared" si="54"/>
        <v>#VALUE!</v>
      </c>
      <c r="N59" s="82"/>
      <c r="O59" s="82" t="e">
        <f>IF($B57="Non",IF(O$57="Non","Mann Withney",IF(O$57="Oui","Mann Withney","")),IF($B$57="Oui",IF(O$57="Oui","T-Test Welch",IF(O$57="Non","Mann Withney",""))))</f>
        <v>#VALUE!</v>
      </c>
      <c r="P59" s="82" t="str">
        <f t="shared" ref="P59:V59" si="55">IF($O57="Non",IF(P$57="Non","Mann Withney",IF(P$57="Oui","Mann Withney","")),IF($O$57="Oui",IF(P$57="Oui","T-Test Welch",IF(P$57="Non","Mann Withney",""))))</f>
        <v>T-Test Welch</v>
      </c>
      <c r="Q59" s="82" t="str">
        <f t="shared" si="55"/>
        <v>Mann Withney</v>
      </c>
      <c r="R59" s="82" t="str">
        <f t="shared" si="55"/>
        <v>T-Test Welch</v>
      </c>
      <c r="S59" s="82" t="str">
        <f t="shared" si="55"/>
        <v>T-Test Welch</v>
      </c>
      <c r="T59" s="82" t="str">
        <f t="shared" si="55"/>
        <v>T-Test Welch</v>
      </c>
      <c r="U59" s="82" t="str">
        <f t="shared" si="55"/>
        <v>T-Test Welch</v>
      </c>
      <c r="V59" s="82" t="str">
        <f t="shared" si="55"/>
        <v>T-Test Welch</v>
      </c>
    </row>
    <row r="60" spans="1:22" s="3" customFormat="1" x14ac:dyDescent="0.25">
      <c r="A60" s="45" t="s">
        <v>40</v>
      </c>
      <c r="B60" s="83"/>
      <c r="C60" s="83" t="e">
        <f>IF(C59="Mann Withney",[1]!MTEST($B28:$B43,C28:C43,2), IF(C59="T-Test Welch",_xlfn.T.TEST($B28:$B43,C28:C43,2,3),""))</f>
        <v>#VALUE!</v>
      </c>
      <c r="D60" s="83" t="e">
        <f>IF(D59="Mann Withney",[1]!MTEST($B28:$B43,D28:D43,2), IF(D59="T-Test Welch",_xlfn.T.TEST($B28:$B43,D28:D43,2,3),""))</f>
        <v>#VALUE!</v>
      </c>
      <c r="E60" s="83" t="e">
        <f>IF(E59="Mann Withney",[1]!MTEST($B28:$B43,E28:E43,2), IF(E59="T-Test Welch",_xlfn.T.TEST($B28:$B43,E28:E43,2,3),""))</f>
        <v>#VALUE!</v>
      </c>
      <c r="F60" s="83" t="e">
        <f>IF(F59="Mann Withney",[1]!MTEST($B28:$B43,F28:F43,2), IF(F59="T-Test Welch",_xlfn.T.TEST($B28:$B43,F28:F43,2,3),""))</f>
        <v>#VALUE!</v>
      </c>
      <c r="G60" s="83" t="e">
        <f>IF(G59="Mann Withney",[1]!MTEST($B28:$B43,G28:G43,2), IF(G59="T-Test Welch",_xlfn.T.TEST($B28:$B43,G28:G43,2,3),""))</f>
        <v>#VALUE!</v>
      </c>
      <c r="H60" s="83" t="e">
        <f>IF(H59="Mann Withney",[1]!MTEST($B28:$B43,H28:H43,2), IF(H59="T-Test Welch",_xlfn.T.TEST($B28:$B43,H28:H43,2,3),""))</f>
        <v>#VALUE!</v>
      </c>
      <c r="I60" s="83" t="e">
        <f>IF(I59="Mann Withney",[1]!MTEST($B28:$B43,I28:I43,2), IF(I59="T-Test Welch",_xlfn.T.TEST($B28:$B43,I28:I43,2,3),""))</f>
        <v>#VALUE!</v>
      </c>
      <c r="J60" s="83" t="e">
        <f>IF(J59="Mann Withney",[1]!MTEST($B28:$B43,J28:J43,2), IF(J59="T-Test Welch",_xlfn.T.TEST($B28:$B43,J28:J43,2,3),""))</f>
        <v>#VALUE!</v>
      </c>
      <c r="K60" s="83" t="e">
        <f>IF(K59="Mann Withney",[1]!MTEST($B28:$B43,K28:K43,2), IF(K59="T-Test Welch",_xlfn.T.TEST($B28:$B43,K28:K43,2,3),""))</f>
        <v>#VALUE!</v>
      </c>
      <c r="L60" s="83" t="e">
        <f>IF(L59="Mann Withney",[1]!MTEST($B28:$B43,L28:L43,2), IF(L59="T-Test Welch",_xlfn.T.TEST($B28:$B43,L28:L43,2,3),""))</f>
        <v>#VALUE!</v>
      </c>
      <c r="M60" s="83" t="e">
        <f>IF(M59="Mann Withney",[1]!MTEST($B28:$B43,M28:M43,2), IF(M59="T-Test Welch",_xlfn.T.TEST($B28:$B43,M28:M43,2,3),""))</f>
        <v>#VALUE!</v>
      </c>
      <c r="N60" s="83"/>
      <c r="O60" s="83" t="e">
        <f>IF(O59="Mann Withney",[1]!MTEST($B28:$B43,O28:O43,2), IF(O59="T-Test Welch",_xlfn.T.TEST($B28:$B43,O28:O43,2,3),""))</f>
        <v>#VALUE!</v>
      </c>
      <c r="P60" s="83">
        <f>IF(P59="Mann Withney",[1]!MTEST($O28:$O43,P28:P43,2), IF(P59="T-Test Welch",_xlfn.T.TEST($O28:$O43,P28:P43,2,3),""))</f>
        <v>6.5007743344579171E-3</v>
      </c>
      <c r="Q60" s="83">
        <f>IF(Q59="Mann Withney",[1]!MTEST($O28:$O43,Q28:Q43,2), IF(Q59="T-Test Welch",_xlfn.T.TEST($O28:$O43,Q28:Q43,2,3),""))</f>
        <v>8.884941911446731E-5</v>
      </c>
      <c r="R60" s="83">
        <f>IF(R59="Mann Withney",[1]!MTEST($O28:$O43,R28:R43,2), IF(R59="T-Test Welch",_xlfn.T.TEST($O28:$O43,R28:R43,2,3),""))</f>
        <v>0.63883554165078571</v>
      </c>
      <c r="S60" s="83">
        <f>IF(S59="Mann Withney",[1]!MTEST($O28:$O43,S28:S43,2), IF(S59="T-Test Welch",_xlfn.T.TEST($O28:$O43,S28:S43,2,3),""))</f>
        <v>0.3211657879526883</v>
      </c>
      <c r="T60" s="83">
        <f>IF(T59="Mann Withney",[1]!MTEST($O28:$O43,T28:T43,2), IF(T59="T-Test Welch",_xlfn.T.TEST($O28:$O43,T28:T43,2,3),""))</f>
        <v>0.89212635917462046</v>
      </c>
      <c r="U60" s="83">
        <f>IF(U59="Mann Withney",[1]!MTEST($O28:$O43,U28:U43,2), IF(U59="T-Test Welch",_xlfn.T.TEST($O28:$O43,U28:U43,2,3),""))</f>
        <v>1.3246288764581849E-2</v>
      </c>
      <c r="V60" s="83">
        <f>IF(V59="Mann Withney",[1]!MTEST($O28:$O43,V28:V43,2), IF(V59="T-Test Welch",_xlfn.T.TEST($O28:$O43,V28:V43,2,3),""))</f>
        <v>0.41030832859676314</v>
      </c>
    </row>
    <row r="61" spans="1:22" s="3" customFormat="1" ht="15.75" thickBot="1" x14ac:dyDescent="0.3">
      <c r="A61" s="46" t="s">
        <v>15</v>
      </c>
      <c r="B61" s="79"/>
      <c r="C61" s="79" t="e">
        <f t="shared" ref="C61:M61" si="56">IF(C60&gt;0.05,"NS",IF(C60&gt;0.01,"*",IF(C60&gt;0.001,"**","***")))</f>
        <v>#VALUE!</v>
      </c>
      <c r="D61" s="79" t="e">
        <f t="shared" si="56"/>
        <v>#VALUE!</v>
      </c>
      <c r="E61" s="79" t="e">
        <f t="shared" si="56"/>
        <v>#VALUE!</v>
      </c>
      <c r="F61" s="79" t="e">
        <f t="shared" si="56"/>
        <v>#VALUE!</v>
      </c>
      <c r="G61" s="79" t="e">
        <f t="shared" si="56"/>
        <v>#VALUE!</v>
      </c>
      <c r="H61" s="79" t="e">
        <f t="shared" si="56"/>
        <v>#VALUE!</v>
      </c>
      <c r="I61" s="79" t="e">
        <f t="shared" si="56"/>
        <v>#VALUE!</v>
      </c>
      <c r="J61" s="79" t="e">
        <f t="shared" si="56"/>
        <v>#VALUE!</v>
      </c>
      <c r="K61" s="79" t="e">
        <f t="shared" si="56"/>
        <v>#VALUE!</v>
      </c>
      <c r="L61" s="79" t="e">
        <f t="shared" si="56"/>
        <v>#VALUE!</v>
      </c>
      <c r="M61" s="79" t="e">
        <f t="shared" si="56"/>
        <v>#VALUE!</v>
      </c>
      <c r="N61" s="79"/>
      <c r="O61" s="79" t="e">
        <f>IF(O60&gt;0.05,"NS",IF(O60&gt;0.01,"*",IF(O60&gt;0.001,"**","***")))</f>
        <v>#VALUE!</v>
      </c>
      <c r="P61" s="79" t="str">
        <f>IF(P60&gt;0.05,"NS",IF(P60&gt;0.01,"*",IF(P60&gt;0.001,"**","***")))</f>
        <v>**</v>
      </c>
      <c r="Q61" s="79" t="str">
        <f t="shared" ref="Q61" si="57">IF(Q60&gt;0.05,"NS",IF(Q60&gt;0.01,"*",IF(Q60&gt;0.001,"**","***")))</f>
        <v>***</v>
      </c>
      <c r="R61" s="79" t="str">
        <f t="shared" ref="R61" si="58">IF(R60&gt;0.05,"NS",IF(R60&gt;0.01,"*",IF(R60&gt;0.001,"**","***")))</f>
        <v>NS</v>
      </c>
      <c r="S61" s="79" t="str">
        <f t="shared" ref="S61" si="59">IF(S60&gt;0.05,"NS",IF(S60&gt;0.01,"*",IF(S60&gt;0.001,"**","***")))</f>
        <v>NS</v>
      </c>
      <c r="T61" s="79" t="str">
        <f t="shared" ref="T61" si="60">IF(T60&gt;0.05,"NS",IF(T60&gt;0.01,"*",IF(T60&gt;0.001,"**","***")))</f>
        <v>NS</v>
      </c>
      <c r="U61" s="79" t="str">
        <f t="shared" ref="U61" si="61">IF(U60&gt;0.05,"NS",IF(U60&gt;0.01,"*",IF(U60&gt;0.001,"**","***")))</f>
        <v>*</v>
      </c>
      <c r="V61" s="79" t="str">
        <f t="shared" ref="V61" si="62">IF(V60&gt;0.05,"NS",IF(V60&gt;0.01,"*",IF(V60&gt;0.001,"**","***")))</f>
        <v>NS</v>
      </c>
    </row>
    <row r="63" spans="1:22" x14ac:dyDescent="0.25">
      <c r="A63" s="2"/>
    </row>
    <row r="66" spans="1:22" ht="15.75" thickBot="1" x14ac:dyDescent="0.3"/>
    <row r="67" spans="1:22" s="1" customFormat="1" ht="27" thickBot="1" x14ac:dyDescent="0.4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J5:J6 B13:J21 J11:J12 O21" name="Plage1_1"/>
    <protectedRange sqref="I5:I6 I11:I12 R8:V11 I7:M10" name="Plage1_1_1"/>
    <protectedRange sqref="B5:H12" name="Plage1_1_2"/>
    <protectedRange sqref="O5:O20" name="Plage1_1_3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G1" zoomScale="70" zoomScaleNormal="70" zoomScaleSheetLayoutView="40" zoomScalePageLayoutView="30" workbookViewId="0">
      <selection activeCell="V5" sqref="V5:V12"/>
    </sheetView>
  </sheetViews>
  <sheetFormatPr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customFormat="1" ht="15.75" thickBot="1" x14ac:dyDescent="0.3"/>
    <row r="3" spans="1:22" ht="15.75" thickBot="1" x14ac:dyDescent="0.3">
      <c r="A3" s="84" t="s">
        <v>6</v>
      </c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saccharin-0.01mg/L</v>
      </c>
      <c r="J4" s="20" t="str">
        <f>'Front page'!A15</f>
        <v>saccharin-0.1mg/L</v>
      </c>
      <c r="K4" s="20" t="str">
        <f>'Front page'!A16</f>
        <v>saccharin-1mg/L</v>
      </c>
      <c r="L4" s="20" t="str">
        <f>'Front page'!A17</f>
        <v>saccharin-10mg/L</v>
      </c>
      <c r="M4" s="20" t="str">
        <f>'Front page'!A18</f>
        <v>saccharin-100mg/L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saccharin-0.01mg/L + Testostérone</v>
      </c>
      <c r="S4" s="21" t="str">
        <f>'Front page'!A39</f>
        <v>saccharin-0.1mg/L + Testostérone</v>
      </c>
      <c r="T4" s="21" t="str">
        <f>'Front page'!A40</f>
        <v>saccharin-1mg/L + Testostérone</v>
      </c>
      <c r="U4" s="21" t="str">
        <f>'Front page'!A41</f>
        <v>saccharin-10mg/L + Testostérone</v>
      </c>
      <c r="V4" s="21" t="str">
        <f>'Front page'!A42</f>
        <v>saccharin-100mg/L + Testostérone</v>
      </c>
    </row>
    <row r="5" spans="1:22" x14ac:dyDescent="0.25">
      <c r="A5" s="134" t="s">
        <v>34</v>
      </c>
      <c r="B5" s="17">
        <v>0</v>
      </c>
      <c r="C5" s="17">
        <v>0</v>
      </c>
      <c r="D5" s="17">
        <v>2331</v>
      </c>
      <c r="E5" s="17">
        <v>258753</v>
      </c>
      <c r="F5" s="17">
        <v>198059</v>
      </c>
      <c r="G5" s="17">
        <v>249128</v>
      </c>
      <c r="H5" s="17">
        <v>237395</v>
      </c>
      <c r="I5" s="17">
        <v>1765</v>
      </c>
      <c r="J5" s="17">
        <v>1374</v>
      </c>
      <c r="K5" s="13">
        <v>401</v>
      </c>
      <c r="L5" s="13">
        <v>0</v>
      </c>
      <c r="M5" s="13">
        <v>0</v>
      </c>
      <c r="N5" s="3"/>
      <c r="O5" s="17">
        <v>83373</v>
      </c>
      <c r="P5" s="13">
        <v>174007</v>
      </c>
      <c r="Q5" s="13">
        <v>407</v>
      </c>
      <c r="R5" s="17">
        <v>126529</v>
      </c>
      <c r="S5" s="17">
        <v>44940</v>
      </c>
      <c r="T5" s="17">
        <v>112552</v>
      </c>
      <c r="U5" s="17">
        <v>19813</v>
      </c>
      <c r="V5" s="17">
        <v>115995</v>
      </c>
    </row>
    <row r="6" spans="1:22" ht="16.5" x14ac:dyDescent="0.25">
      <c r="A6" s="135"/>
      <c r="B6" s="14">
        <v>0</v>
      </c>
      <c r="C6" s="13">
        <v>166</v>
      </c>
      <c r="D6" s="17">
        <v>0</v>
      </c>
      <c r="E6" s="17">
        <v>158472</v>
      </c>
      <c r="F6" s="17">
        <v>212090</v>
      </c>
      <c r="G6" s="17">
        <v>180908</v>
      </c>
      <c r="H6" s="17">
        <v>223344</v>
      </c>
      <c r="I6" s="17">
        <v>7346</v>
      </c>
      <c r="J6" s="17">
        <v>327</v>
      </c>
      <c r="K6" s="13">
        <v>0</v>
      </c>
      <c r="L6" s="13">
        <v>1140</v>
      </c>
      <c r="M6" s="13">
        <v>0</v>
      </c>
      <c r="N6" s="3"/>
      <c r="O6" s="17">
        <v>0</v>
      </c>
      <c r="P6" s="13">
        <v>261706</v>
      </c>
      <c r="Q6" s="13">
        <v>0</v>
      </c>
      <c r="R6" s="17">
        <v>131617</v>
      </c>
      <c r="S6" s="17">
        <v>30458</v>
      </c>
      <c r="T6" s="17">
        <v>59584</v>
      </c>
      <c r="U6" s="17">
        <v>126696</v>
      </c>
      <c r="V6" s="17">
        <v>173046</v>
      </c>
    </row>
    <row r="7" spans="1:22" ht="16.5" x14ac:dyDescent="0.25">
      <c r="A7" s="135"/>
      <c r="B7" s="14">
        <v>0</v>
      </c>
      <c r="C7" s="13">
        <v>0</v>
      </c>
      <c r="D7" s="17">
        <v>0</v>
      </c>
      <c r="E7" s="17">
        <v>167178</v>
      </c>
      <c r="F7" s="17">
        <v>885</v>
      </c>
      <c r="G7" s="17">
        <v>153207</v>
      </c>
      <c r="H7" s="17">
        <v>255809</v>
      </c>
      <c r="I7" s="17">
        <v>163</v>
      </c>
      <c r="J7" s="17">
        <v>2237</v>
      </c>
      <c r="K7" s="13">
        <v>0</v>
      </c>
      <c r="L7" s="13">
        <v>0</v>
      </c>
      <c r="M7" s="13">
        <v>410</v>
      </c>
      <c r="N7" s="3"/>
      <c r="O7" s="17">
        <v>40291</v>
      </c>
      <c r="P7" s="13">
        <v>149587</v>
      </c>
      <c r="Q7" s="13">
        <v>10333</v>
      </c>
      <c r="R7" s="17">
        <v>65607</v>
      </c>
      <c r="S7" s="17">
        <v>61415</v>
      </c>
      <c r="T7" s="17">
        <v>28899</v>
      </c>
      <c r="U7" s="17">
        <v>93600</v>
      </c>
      <c r="V7" s="17">
        <v>154441</v>
      </c>
    </row>
    <row r="8" spans="1:22" ht="16.5" x14ac:dyDescent="0.25">
      <c r="A8" s="135"/>
      <c r="B8" s="14">
        <v>0</v>
      </c>
      <c r="C8" s="13">
        <v>0</v>
      </c>
      <c r="D8" s="17">
        <v>0</v>
      </c>
      <c r="E8" s="17">
        <v>209241</v>
      </c>
      <c r="F8" s="17">
        <v>114671</v>
      </c>
      <c r="G8" s="17">
        <v>202187</v>
      </c>
      <c r="H8" s="17">
        <v>332490</v>
      </c>
      <c r="I8" s="17">
        <v>1010</v>
      </c>
      <c r="J8" s="17">
        <v>0</v>
      </c>
      <c r="K8" s="13">
        <v>6675</v>
      </c>
      <c r="L8" s="13">
        <v>1298</v>
      </c>
      <c r="M8" s="13">
        <v>0</v>
      </c>
      <c r="N8" s="3"/>
      <c r="O8" s="17">
        <v>199795</v>
      </c>
      <c r="P8" s="13">
        <v>269003</v>
      </c>
      <c r="Q8" s="13">
        <v>0</v>
      </c>
      <c r="R8" s="17">
        <v>118303</v>
      </c>
      <c r="S8" s="17">
        <v>159813</v>
      </c>
      <c r="T8" s="17">
        <v>69153</v>
      </c>
      <c r="U8" s="17">
        <v>124016</v>
      </c>
      <c r="V8" s="17">
        <v>40171</v>
      </c>
    </row>
    <row r="9" spans="1:22" ht="16.5" x14ac:dyDescent="0.25">
      <c r="A9" s="135"/>
      <c r="B9" s="14">
        <v>0</v>
      </c>
      <c r="C9" s="13">
        <v>1059</v>
      </c>
      <c r="D9" s="17">
        <v>97478</v>
      </c>
      <c r="E9" s="17">
        <v>136024</v>
      </c>
      <c r="F9" s="17">
        <v>5589</v>
      </c>
      <c r="G9" s="17">
        <v>102537</v>
      </c>
      <c r="H9" s="17">
        <v>251072</v>
      </c>
      <c r="I9" s="17">
        <v>0</v>
      </c>
      <c r="J9" s="17">
        <v>0</v>
      </c>
      <c r="K9" s="13">
        <v>0</v>
      </c>
      <c r="L9" s="13">
        <v>0</v>
      </c>
      <c r="M9" s="13">
        <v>3704</v>
      </c>
      <c r="N9" s="3"/>
      <c r="O9" s="17">
        <v>136530</v>
      </c>
      <c r="P9" s="13">
        <v>247474</v>
      </c>
      <c r="Q9" s="13">
        <v>5399</v>
      </c>
      <c r="R9" s="17">
        <v>29672</v>
      </c>
      <c r="S9" s="17">
        <v>168144</v>
      </c>
      <c r="T9" s="17">
        <v>163241</v>
      </c>
      <c r="U9" s="17">
        <v>71480</v>
      </c>
      <c r="V9" s="17">
        <v>167317</v>
      </c>
    </row>
    <row r="10" spans="1:22" ht="16.5" x14ac:dyDescent="0.25">
      <c r="A10" s="135"/>
      <c r="B10" s="14">
        <v>0</v>
      </c>
      <c r="C10" s="13">
        <v>13490</v>
      </c>
      <c r="D10" s="17">
        <v>0</v>
      </c>
      <c r="E10" s="17">
        <v>211579</v>
      </c>
      <c r="F10" s="17">
        <v>22437</v>
      </c>
      <c r="G10" s="17">
        <v>214678</v>
      </c>
      <c r="H10" s="17">
        <v>249573</v>
      </c>
      <c r="I10" s="17">
        <v>0</v>
      </c>
      <c r="J10" s="17">
        <v>0</v>
      </c>
      <c r="K10" s="13">
        <v>0</v>
      </c>
      <c r="L10" s="13">
        <v>0</v>
      </c>
      <c r="M10" s="13">
        <v>0</v>
      </c>
      <c r="N10" s="3"/>
      <c r="O10" s="17">
        <v>187266</v>
      </c>
      <c r="P10" s="13">
        <v>184463</v>
      </c>
      <c r="Q10" s="13">
        <v>0</v>
      </c>
      <c r="R10" s="17">
        <v>115300</v>
      </c>
      <c r="S10" s="17">
        <v>151795</v>
      </c>
      <c r="T10" s="17">
        <v>83931</v>
      </c>
      <c r="U10" s="17">
        <v>131552</v>
      </c>
      <c r="V10" s="17">
        <v>0</v>
      </c>
    </row>
    <row r="11" spans="1:22" ht="16.5" x14ac:dyDescent="0.25">
      <c r="A11" s="135"/>
      <c r="B11" s="14">
        <v>0</v>
      </c>
      <c r="C11" s="13">
        <v>0</v>
      </c>
      <c r="D11" s="17">
        <v>330</v>
      </c>
      <c r="E11" s="17">
        <v>250327</v>
      </c>
      <c r="F11" s="17">
        <v>176938</v>
      </c>
      <c r="G11" s="17">
        <v>282967</v>
      </c>
      <c r="H11" s="17">
        <v>307494</v>
      </c>
      <c r="I11" s="17">
        <v>0</v>
      </c>
      <c r="J11" s="17">
        <v>0</v>
      </c>
      <c r="K11" s="13">
        <v>0</v>
      </c>
      <c r="L11" s="13">
        <v>502</v>
      </c>
      <c r="M11" s="13">
        <v>0</v>
      </c>
      <c r="N11" s="3"/>
      <c r="O11" s="17">
        <v>0</v>
      </c>
      <c r="P11" s="13">
        <v>194592</v>
      </c>
      <c r="Q11" s="13">
        <v>2181</v>
      </c>
      <c r="R11" s="17">
        <v>107996</v>
      </c>
      <c r="S11" s="17">
        <v>223632</v>
      </c>
      <c r="T11" s="17">
        <v>66076</v>
      </c>
      <c r="U11" s="17">
        <v>16073</v>
      </c>
      <c r="V11" s="17">
        <v>103213</v>
      </c>
    </row>
    <row r="12" spans="1:22" ht="16.5" x14ac:dyDescent="0.25">
      <c r="A12" s="135"/>
      <c r="B12" s="14">
        <v>87</v>
      </c>
      <c r="C12" s="13">
        <v>0</v>
      </c>
      <c r="D12" s="17">
        <v>647</v>
      </c>
      <c r="E12" s="17">
        <v>96794</v>
      </c>
      <c r="F12" s="17">
        <v>15818</v>
      </c>
      <c r="G12" s="17">
        <v>80695</v>
      </c>
      <c r="H12" s="17">
        <v>284809</v>
      </c>
      <c r="I12" s="17">
        <v>856</v>
      </c>
      <c r="J12" s="17">
        <v>0</v>
      </c>
      <c r="K12" s="13">
        <v>3275</v>
      </c>
      <c r="L12" s="13">
        <v>0</v>
      </c>
      <c r="M12" s="13">
        <v>4347</v>
      </c>
      <c r="N12" s="3"/>
      <c r="O12" s="17">
        <v>133251</v>
      </c>
      <c r="P12" s="13">
        <v>246845</v>
      </c>
      <c r="Q12" s="13">
        <v>0</v>
      </c>
      <c r="R12" s="17">
        <v>110025</v>
      </c>
      <c r="S12" s="17">
        <v>129518</v>
      </c>
      <c r="T12" s="17">
        <v>0</v>
      </c>
      <c r="U12" s="17">
        <v>118186</v>
      </c>
      <c r="V12" s="17">
        <v>42546</v>
      </c>
    </row>
    <row r="13" spans="1:22" ht="16.5" x14ac:dyDescent="0.25">
      <c r="A13" s="135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192609</v>
      </c>
      <c r="P13" s="13"/>
      <c r="Q13" s="13"/>
      <c r="R13" s="17"/>
      <c r="S13" s="17"/>
      <c r="T13" s="17"/>
      <c r="U13" s="17"/>
      <c r="V13" s="17"/>
    </row>
    <row r="14" spans="1:22" ht="16.5" x14ac:dyDescent="0.25">
      <c r="A14" s="135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216661</v>
      </c>
      <c r="P14" s="13"/>
      <c r="Q14" s="13"/>
      <c r="R14" s="17"/>
      <c r="S14" s="17"/>
      <c r="T14" s="17"/>
      <c r="U14" s="17"/>
      <c r="V14" s="17"/>
    </row>
    <row r="15" spans="1:22" ht="16.5" x14ac:dyDescent="0.25">
      <c r="A15" s="135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262265</v>
      </c>
      <c r="P15" s="13"/>
      <c r="Q15" s="13"/>
      <c r="R15" s="17"/>
      <c r="S15" s="17"/>
      <c r="T15" s="17"/>
      <c r="U15" s="17"/>
      <c r="V15" s="17"/>
    </row>
    <row r="16" spans="1:22" ht="16.5" x14ac:dyDescent="0.25">
      <c r="A16" s="135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64732</v>
      </c>
      <c r="P16" s="13"/>
      <c r="Q16" s="13"/>
      <c r="R16" s="17"/>
      <c r="S16" s="17"/>
      <c r="T16" s="17"/>
      <c r="U16" s="17"/>
      <c r="V16" s="17"/>
    </row>
    <row r="17" spans="1:22" ht="16.5" x14ac:dyDescent="0.25">
      <c r="A17" s="135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173287</v>
      </c>
      <c r="P17" s="13"/>
      <c r="Q17" s="13"/>
      <c r="R17" s="17"/>
      <c r="S17" s="17"/>
      <c r="T17" s="17"/>
      <c r="U17" s="17"/>
      <c r="V17" s="17"/>
    </row>
    <row r="18" spans="1:22" ht="16.5" x14ac:dyDescent="0.25">
      <c r="A18" s="135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81271</v>
      </c>
      <c r="P18" s="13"/>
      <c r="Q18" s="13"/>
      <c r="R18" s="17"/>
      <c r="S18" s="17"/>
      <c r="T18" s="17"/>
      <c r="U18" s="17"/>
      <c r="V18" s="17"/>
    </row>
    <row r="19" spans="1:22" ht="16.5" x14ac:dyDescent="0.25">
      <c r="A19" s="135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106225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5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26482</v>
      </c>
      <c r="P20" s="13"/>
      <c r="Q20" s="13"/>
      <c r="R20" s="17"/>
      <c r="S20" s="17"/>
      <c r="T20" s="17"/>
      <c r="U20" s="17"/>
      <c r="V20" s="17"/>
    </row>
    <row r="21" spans="1:22" x14ac:dyDescent="0.2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2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saccharin-0.01mg/L</v>
      </c>
      <c r="J22" s="3" t="str">
        <f t="shared" si="1"/>
        <v>saccharin-0.1mg/L</v>
      </c>
      <c r="K22" s="3" t="str">
        <f t="shared" si="1"/>
        <v>saccharin-1mg/L</v>
      </c>
      <c r="L22" s="3" t="str">
        <f t="shared" si="1"/>
        <v>saccharin-10mg/L</v>
      </c>
      <c r="M22" s="3" t="str">
        <f t="shared" si="1"/>
        <v>saccharin-100mg/L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saccharin-0.01mg/L + Testostérone</v>
      </c>
      <c r="S22" s="3" t="str">
        <f t="shared" si="1"/>
        <v>saccharin-0.1mg/L + Testostérone</v>
      </c>
      <c r="T22" s="3" t="str">
        <f t="shared" si="1"/>
        <v>saccharin-1mg/L + Testostérone</v>
      </c>
      <c r="U22" s="3" t="str">
        <f t="shared" si="1"/>
        <v>saccharin-10mg/L + Testostérone</v>
      </c>
      <c r="V22" s="3" t="str">
        <f t="shared" si="1"/>
        <v>saccharin-100mg/L + Testostérone</v>
      </c>
    </row>
    <row r="23" spans="1:22" x14ac:dyDescent="0.25">
      <c r="A23" s="5" t="s">
        <v>0</v>
      </c>
      <c r="B23" s="5">
        <f t="shared" ref="B23:J23" si="2">AVERAGE(B5:B20)</f>
        <v>10.875</v>
      </c>
      <c r="C23" s="5">
        <f t="shared" si="2"/>
        <v>1839.375</v>
      </c>
      <c r="D23" s="5">
        <f t="shared" si="2"/>
        <v>12598.25</v>
      </c>
      <c r="E23" s="5">
        <f t="shared" si="2"/>
        <v>186046</v>
      </c>
      <c r="F23" s="5">
        <f t="shared" si="2"/>
        <v>93310.875</v>
      </c>
      <c r="G23" s="5">
        <f t="shared" si="2"/>
        <v>183288.375</v>
      </c>
      <c r="H23" s="5">
        <f t="shared" si="2"/>
        <v>267748.25</v>
      </c>
      <c r="I23" s="5">
        <f t="shared" si="2"/>
        <v>1392.5</v>
      </c>
      <c r="J23" s="5">
        <f t="shared" si="2"/>
        <v>492.25</v>
      </c>
      <c r="K23" s="5"/>
      <c r="L23" s="5">
        <f>AVERAGE(L5:L20)</f>
        <v>367.5</v>
      </c>
      <c r="M23" s="5"/>
      <c r="N23" s="5" t="s">
        <v>0</v>
      </c>
      <c r="O23" s="5">
        <f>AVERAGE(O5:O20)</f>
        <v>119002.375</v>
      </c>
      <c r="P23" s="5">
        <f>AVERAGE(P5:P20)</f>
        <v>215959.625</v>
      </c>
      <c r="Q23" s="5">
        <f>AVERAGE(Q5:Q20)</f>
        <v>2290</v>
      </c>
      <c r="R23" s="5">
        <f>AVERAGE(R5:R20)</f>
        <v>100631.125</v>
      </c>
      <c r="S23" s="5">
        <f>AVERAGE(S5:S20)</f>
        <v>121214.375</v>
      </c>
      <c r="T23" s="5">
        <f t="shared" ref="T23:V23" si="3">AVERAGE(T5:T20)</f>
        <v>72929.5</v>
      </c>
      <c r="U23" s="5">
        <f t="shared" si="3"/>
        <v>87677</v>
      </c>
      <c r="V23" s="5">
        <f t="shared" si="3"/>
        <v>99591.125</v>
      </c>
    </row>
    <row r="24" spans="1:22" x14ac:dyDescent="0.25">
      <c r="A24" s="3" t="s">
        <v>1</v>
      </c>
      <c r="B24" s="3">
        <f t="shared" ref="B24:J24" si="4">STDEV(B5:B20)</f>
        <v>30.759144981614817</v>
      </c>
      <c r="C24" s="3">
        <f t="shared" si="4"/>
        <v>4721.7238661168167</v>
      </c>
      <c r="D24" s="3">
        <f t="shared" si="4"/>
        <v>34305.756138209304</v>
      </c>
      <c r="E24" s="3">
        <f t="shared" si="4"/>
        <v>56306.233874615136</v>
      </c>
      <c r="F24" s="3">
        <f t="shared" si="4"/>
        <v>92424.735989324996</v>
      </c>
      <c r="G24" s="3">
        <f t="shared" si="4"/>
        <v>69250.984058892616</v>
      </c>
      <c r="H24" s="3">
        <f t="shared" si="4"/>
        <v>37237.323725185808</v>
      </c>
      <c r="I24" s="3">
        <f t="shared" si="4"/>
        <v>2488.427386351239</v>
      </c>
      <c r="J24" s="3">
        <f t="shared" si="4"/>
        <v>850.2515174094915</v>
      </c>
      <c r="K24" s="3"/>
      <c r="L24" s="3">
        <f>STDEV(L5:L20)</f>
        <v>554.97207136936174</v>
      </c>
      <c r="M24" s="3"/>
      <c r="N24" s="3" t="s">
        <v>1</v>
      </c>
      <c r="O24" s="3">
        <f>STDEV(O5:O20)</f>
        <v>81242.037153085563</v>
      </c>
      <c r="P24" s="3">
        <f>STDEV(P5:P20)</f>
        <v>45461.684897245381</v>
      </c>
      <c r="Q24" s="3">
        <f>STDEV(Q5:Q20)</f>
        <v>3758.6034640541693</v>
      </c>
      <c r="R24" s="3">
        <f>STDEV(R5:R20)</f>
        <v>34974.824543366696</v>
      </c>
      <c r="S24" s="3">
        <f>STDEV(S5:S20)</f>
        <v>68469.183280692057</v>
      </c>
      <c r="T24" s="3">
        <f t="shared" ref="T24:V24" si="5">STDEV(T5:T20)</f>
        <v>49776.463494306219</v>
      </c>
      <c r="U24" s="3">
        <f t="shared" si="5"/>
        <v>47402.38094984561</v>
      </c>
      <c r="V24" s="3">
        <f t="shared" si="5"/>
        <v>65439.630202058317</v>
      </c>
    </row>
    <row r="25" spans="1:22" ht="15.75" thickBot="1" x14ac:dyDescent="0.3"/>
    <row r="26" spans="1:22" ht="15.75" thickBot="1" x14ac:dyDescent="0.3">
      <c r="B26" s="138" t="s">
        <v>41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O26" s="138" t="s">
        <v>42</v>
      </c>
      <c r="P26" s="139"/>
      <c r="Q26" s="139"/>
      <c r="R26" s="139"/>
      <c r="S26" s="139"/>
      <c r="T26" s="139"/>
      <c r="U26" s="139"/>
      <c r="V26" s="139"/>
    </row>
    <row r="27" spans="1:22" x14ac:dyDescent="0.2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saccharin-0.01mg/L</v>
      </c>
      <c r="J27" s="20" t="str">
        <f t="shared" si="6"/>
        <v>saccharin-0.1mg/L</v>
      </c>
      <c r="K27" s="20" t="str">
        <f t="shared" si="6"/>
        <v>saccharin-1mg/L</v>
      </c>
      <c r="L27" s="20" t="str">
        <f t="shared" si="6"/>
        <v>saccharin-10mg/L</v>
      </c>
      <c r="M27" s="20" t="str">
        <f t="shared" si="6"/>
        <v>saccharin-100mg/L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saccharin-0.01mg/L + Testostérone</v>
      </c>
      <c r="S27" s="21" t="str">
        <f t="shared" ref="S27:V27" si="8">S4</f>
        <v>saccharin-0.1mg/L + Testostérone</v>
      </c>
      <c r="T27" s="21" t="str">
        <f t="shared" si="8"/>
        <v>saccharin-1mg/L + Testostérone</v>
      </c>
      <c r="U27" s="21" t="str">
        <f t="shared" si="8"/>
        <v>saccharin-10mg/L + Testostérone</v>
      </c>
      <c r="V27" s="21" t="str">
        <f t="shared" si="8"/>
        <v>saccharin-100mg/L + Testostérone</v>
      </c>
    </row>
    <row r="28" spans="1:22" ht="14.45" customHeight="1" x14ac:dyDescent="0.25">
      <c r="A28" s="136" t="s">
        <v>35</v>
      </c>
      <c r="B28" s="11">
        <f t="shared" ref="B28:M28" si="9">IF(B5="","",(B5/$O$23))</f>
        <v>0</v>
      </c>
      <c r="C28" s="11">
        <f t="shared" si="9"/>
        <v>0</v>
      </c>
      <c r="D28" s="11">
        <f t="shared" si="9"/>
        <v>1.9587844360249112E-2</v>
      </c>
      <c r="E28" s="11">
        <f t="shared" si="9"/>
        <v>2.1743515623112564</v>
      </c>
      <c r="F28" s="11">
        <f t="shared" si="9"/>
        <v>1.6643281279050104</v>
      </c>
      <c r="G28" s="11">
        <f t="shared" si="9"/>
        <v>2.0934708235865043</v>
      </c>
      <c r="H28" s="11">
        <f t="shared" si="9"/>
        <v>1.9948761526818268</v>
      </c>
      <c r="I28" s="11">
        <f t="shared" si="9"/>
        <v>1.4831636763551988E-2</v>
      </c>
      <c r="J28" s="11">
        <f t="shared" si="9"/>
        <v>1.1545988052759451E-2</v>
      </c>
      <c r="K28" s="11">
        <f t="shared" si="9"/>
        <v>3.3696806471299415E-3</v>
      </c>
      <c r="L28" s="11">
        <f t="shared" si="9"/>
        <v>0</v>
      </c>
      <c r="M28" s="11">
        <f t="shared" si="9"/>
        <v>0</v>
      </c>
      <c r="N28" s="6"/>
      <c r="O28" s="11">
        <f t="shared" ref="O28:S37" si="10">IF(O5="","",(O5/$O$23))</f>
        <v>0.70059946282584695</v>
      </c>
      <c r="P28" s="11">
        <f t="shared" si="10"/>
        <v>1.4622145146262837</v>
      </c>
      <c r="Q28" s="11">
        <f t="shared" si="10"/>
        <v>3.4200998089323848E-3</v>
      </c>
      <c r="R28" s="11">
        <f t="shared" si="10"/>
        <v>1.0632476872835521</v>
      </c>
      <c r="S28" s="11">
        <f t="shared" si="10"/>
        <v>0.3776395219002982</v>
      </c>
      <c r="T28" s="11">
        <f t="shared" ref="T28:V43" si="11">IF(T5="","",(T5/$O$23))</f>
        <v>0.94579624986476107</v>
      </c>
      <c r="U28" s="11">
        <f t="shared" si="11"/>
        <v>0.16649247546530058</v>
      </c>
      <c r="V28" s="11">
        <f t="shared" si="11"/>
        <v>0.97472844554572968</v>
      </c>
    </row>
    <row r="29" spans="1:22" x14ac:dyDescent="0.25">
      <c r="A29" s="137"/>
      <c r="B29" s="11">
        <f t="shared" ref="B29:M29" si="12">IF(B6="","",(B6/$O$23))</f>
        <v>0</v>
      </c>
      <c r="C29" s="11">
        <f t="shared" si="12"/>
        <v>1.3949301432009235E-3</v>
      </c>
      <c r="D29" s="11">
        <f t="shared" si="12"/>
        <v>0</v>
      </c>
      <c r="E29" s="11">
        <f t="shared" si="12"/>
        <v>1.331670901526125</v>
      </c>
      <c r="F29" s="11">
        <f t="shared" si="12"/>
        <v>1.7822333377800232</v>
      </c>
      <c r="G29" s="11">
        <f t="shared" si="12"/>
        <v>1.5202049538927269</v>
      </c>
      <c r="H29" s="11">
        <f t="shared" si="12"/>
        <v>1.8768028789341389</v>
      </c>
      <c r="I29" s="11">
        <f t="shared" si="12"/>
        <v>6.1729860433457732E-2</v>
      </c>
      <c r="J29" s="11">
        <f t="shared" si="12"/>
        <v>2.7478443182331444E-3</v>
      </c>
      <c r="K29" s="11">
        <f t="shared" si="12"/>
        <v>0</v>
      </c>
      <c r="L29" s="11">
        <f t="shared" si="12"/>
        <v>9.5796407424641739E-3</v>
      </c>
      <c r="M29" s="11">
        <f t="shared" si="12"/>
        <v>0</v>
      </c>
      <c r="N29" s="6"/>
      <c r="O29" s="11">
        <f t="shared" si="10"/>
        <v>0</v>
      </c>
      <c r="P29" s="11">
        <f t="shared" si="10"/>
        <v>2.1991661931116919</v>
      </c>
      <c r="Q29" s="11">
        <f t="shared" si="10"/>
        <v>0</v>
      </c>
      <c r="R29" s="11">
        <f t="shared" si="10"/>
        <v>1.1060031364920238</v>
      </c>
      <c r="S29" s="11">
        <f t="shared" si="10"/>
        <v>0.25594447169646822</v>
      </c>
      <c r="T29" s="11">
        <f t="shared" si="11"/>
        <v>0.50069588947279409</v>
      </c>
      <c r="U29" s="11">
        <f t="shared" si="11"/>
        <v>1.0646510206203867</v>
      </c>
      <c r="V29" s="11">
        <f t="shared" si="11"/>
        <v>1.4541390455442591</v>
      </c>
    </row>
    <row r="30" spans="1:22" x14ac:dyDescent="0.25">
      <c r="A30" s="137"/>
      <c r="B30" s="11">
        <f t="shared" ref="B30:M30" si="13">IF(B7="","",(B7/$O$23))</f>
        <v>0</v>
      </c>
      <c r="C30" s="11">
        <f t="shared" si="13"/>
        <v>0</v>
      </c>
      <c r="D30" s="11">
        <f t="shared" si="13"/>
        <v>0</v>
      </c>
      <c r="E30" s="11">
        <f t="shared" si="13"/>
        <v>1.4048291053014699</v>
      </c>
      <c r="F30" s="11">
        <f t="shared" si="13"/>
        <v>7.4368263658603452E-3</v>
      </c>
      <c r="G30" s="11">
        <f t="shared" si="13"/>
        <v>1.2874280870444812</v>
      </c>
      <c r="H30" s="11">
        <f t="shared" si="13"/>
        <v>2.1496125602535243</v>
      </c>
      <c r="I30" s="11">
        <f t="shared" si="13"/>
        <v>1.3697205622997021E-3</v>
      </c>
      <c r="J30" s="11">
        <f t="shared" si="13"/>
        <v>1.8797944158677506E-2</v>
      </c>
      <c r="K30" s="11">
        <f t="shared" si="13"/>
        <v>0</v>
      </c>
      <c r="L30" s="11">
        <f t="shared" si="13"/>
        <v>0</v>
      </c>
      <c r="M30" s="11">
        <f t="shared" si="13"/>
        <v>3.4453093898336061E-3</v>
      </c>
      <c r="N30" s="6"/>
      <c r="O30" s="11">
        <f t="shared" si="10"/>
        <v>0.33857307469703862</v>
      </c>
      <c r="P30" s="11">
        <f t="shared" si="10"/>
        <v>1.2570085260903405</v>
      </c>
      <c r="Q30" s="11">
        <f t="shared" si="10"/>
        <v>8.6830199817440612E-2</v>
      </c>
      <c r="R30" s="11">
        <f t="shared" si="10"/>
        <v>0.55130832472881319</v>
      </c>
      <c r="S30" s="11">
        <f t="shared" si="10"/>
        <v>0.516082137016173</v>
      </c>
      <c r="T30" s="11">
        <f t="shared" si="11"/>
        <v>0.24284389282146679</v>
      </c>
      <c r="U30" s="11">
        <f t="shared" si="11"/>
        <v>0.7865389241181111</v>
      </c>
      <c r="V30" s="11">
        <f t="shared" si="11"/>
        <v>1.2977976279885171</v>
      </c>
    </row>
    <row r="31" spans="1:22" x14ac:dyDescent="0.25">
      <c r="A31" s="137"/>
      <c r="B31" s="11">
        <f t="shared" ref="B31:M31" si="14">IF(B8="","",(B8/$O$23))</f>
        <v>0</v>
      </c>
      <c r="C31" s="11">
        <f t="shared" si="14"/>
        <v>0</v>
      </c>
      <c r="D31" s="11">
        <f t="shared" si="14"/>
        <v>0</v>
      </c>
      <c r="E31" s="11">
        <f t="shared" si="14"/>
        <v>1.7582926391174967</v>
      </c>
      <c r="F31" s="11">
        <f t="shared" si="14"/>
        <v>0.96360261717465723</v>
      </c>
      <c r="G31" s="11">
        <f t="shared" si="14"/>
        <v>1.699016511225091</v>
      </c>
      <c r="H31" s="11">
        <f t="shared" si="14"/>
        <v>2.7939778512823801</v>
      </c>
      <c r="I31" s="11">
        <f t="shared" si="14"/>
        <v>8.4872255700779078E-3</v>
      </c>
      <c r="J31" s="11">
        <f t="shared" si="14"/>
        <v>0</v>
      </c>
      <c r="K31" s="11">
        <f t="shared" si="14"/>
        <v>5.6091317505217855E-2</v>
      </c>
      <c r="L31" s="11">
        <f t="shared" si="14"/>
        <v>1.0907345336595172E-2</v>
      </c>
      <c r="M31" s="11">
        <f t="shared" si="14"/>
        <v>0</v>
      </c>
      <c r="N31" s="6"/>
      <c r="O31" s="11">
        <f t="shared" si="10"/>
        <v>1.6789160720531837</v>
      </c>
      <c r="P31" s="11">
        <f t="shared" si="10"/>
        <v>2.2604842970570966</v>
      </c>
      <c r="Q31" s="11">
        <f t="shared" si="10"/>
        <v>0</v>
      </c>
      <c r="R31" s="11">
        <f t="shared" si="10"/>
        <v>0.99412301645240275</v>
      </c>
      <c r="S31" s="11">
        <f t="shared" si="10"/>
        <v>1.3429395841889711</v>
      </c>
      <c r="T31" s="11">
        <f t="shared" si="11"/>
        <v>0.58110604935405696</v>
      </c>
      <c r="U31" s="11">
        <f t="shared" si="11"/>
        <v>1.0421304616819622</v>
      </c>
      <c r="V31" s="11">
        <f t="shared" si="11"/>
        <v>0.33756469146098977</v>
      </c>
    </row>
    <row r="32" spans="1:22" x14ac:dyDescent="0.25">
      <c r="A32" s="137"/>
      <c r="B32" s="11">
        <f t="shared" ref="B32:M32" si="15">IF(B9="","",(B9/$O$23))</f>
        <v>0</v>
      </c>
      <c r="C32" s="11">
        <f t="shared" si="15"/>
        <v>8.8989820581311923E-3</v>
      </c>
      <c r="D32" s="11">
        <f t="shared" si="15"/>
        <v>0.81912650902975681</v>
      </c>
      <c r="E32" s="11">
        <f t="shared" si="15"/>
        <v>1.1430360108359181</v>
      </c>
      <c r="F32" s="11">
        <f t="shared" si="15"/>
        <v>4.696544921897567E-2</v>
      </c>
      <c r="G32" s="11">
        <f t="shared" si="15"/>
        <v>0.86163826562284995</v>
      </c>
      <c r="H32" s="11">
        <f t="shared" si="15"/>
        <v>2.1098066320104958</v>
      </c>
      <c r="I32" s="11">
        <f t="shared" si="15"/>
        <v>0</v>
      </c>
      <c r="J32" s="11">
        <f t="shared" si="15"/>
        <v>0</v>
      </c>
      <c r="K32" s="11">
        <f t="shared" si="15"/>
        <v>0</v>
      </c>
      <c r="L32" s="11">
        <f t="shared" si="15"/>
        <v>0</v>
      </c>
      <c r="M32" s="11">
        <f t="shared" si="15"/>
        <v>3.1125429219374823E-2</v>
      </c>
      <c r="N32" s="6"/>
      <c r="O32" s="11">
        <f t="shared" si="10"/>
        <v>1.1472880268145909</v>
      </c>
      <c r="P32" s="11">
        <f t="shared" si="10"/>
        <v>2.0795719413162974</v>
      </c>
      <c r="Q32" s="11">
        <f t="shared" si="10"/>
        <v>4.5368842428564975E-2</v>
      </c>
      <c r="R32" s="11">
        <f t="shared" si="10"/>
        <v>0.24933956150034819</v>
      </c>
      <c r="S32" s="11">
        <f t="shared" si="10"/>
        <v>1.4129465903516631</v>
      </c>
      <c r="T32" s="11">
        <f t="shared" si="11"/>
        <v>1.3717457319654334</v>
      </c>
      <c r="U32" s="11">
        <f t="shared" si="11"/>
        <v>0.6006602809397712</v>
      </c>
      <c r="V32" s="11">
        <f t="shared" si="11"/>
        <v>1.4059971492165597</v>
      </c>
    </row>
    <row r="33" spans="1:22" x14ac:dyDescent="0.25">
      <c r="A33" s="137"/>
      <c r="B33" s="11">
        <f t="shared" ref="B33:M33" si="16">IF(B10="","",(B10/$O$23))</f>
        <v>0</v>
      </c>
      <c r="C33" s="11">
        <f t="shared" si="16"/>
        <v>0.11335908211915939</v>
      </c>
      <c r="D33" s="11">
        <f t="shared" si="16"/>
        <v>0</v>
      </c>
      <c r="E33" s="11">
        <f t="shared" si="16"/>
        <v>1.7779393058331818</v>
      </c>
      <c r="F33" s="11">
        <f t="shared" si="16"/>
        <v>0.18854245556023566</v>
      </c>
      <c r="G33" s="11">
        <f t="shared" si="16"/>
        <v>1.8039808029041438</v>
      </c>
      <c r="H33" s="11">
        <f t="shared" si="16"/>
        <v>2.0972102447535184</v>
      </c>
      <c r="I33" s="11">
        <f t="shared" si="16"/>
        <v>0</v>
      </c>
      <c r="J33" s="11">
        <f t="shared" si="16"/>
        <v>0</v>
      </c>
      <c r="K33" s="11">
        <f t="shared" si="16"/>
        <v>0</v>
      </c>
      <c r="L33" s="11">
        <f t="shared" si="16"/>
        <v>0</v>
      </c>
      <c r="M33" s="11">
        <f t="shared" si="16"/>
        <v>0</v>
      </c>
      <c r="N33" s="6"/>
      <c r="O33" s="11">
        <f t="shared" si="10"/>
        <v>1.5736324590160491</v>
      </c>
      <c r="P33" s="11">
        <f t="shared" si="10"/>
        <v>1.5500783072606745</v>
      </c>
      <c r="Q33" s="11">
        <f t="shared" si="10"/>
        <v>0</v>
      </c>
      <c r="R33" s="11">
        <f t="shared" si="10"/>
        <v>0.96888822597028001</v>
      </c>
      <c r="S33" s="11">
        <f t="shared" si="10"/>
        <v>1.2755627776336396</v>
      </c>
      <c r="T33" s="11">
        <f t="shared" si="11"/>
        <v>0.7052884448734742</v>
      </c>
      <c r="U33" s="11">
        <f t="shared" si="11"/>
        <v>1.1054569289058307</v>
      </c>
      <c r="V33" s="11">
        <f t="shared" si="11"/>
        <v>0</v>
      </c>
    </row>
    <row r="34" spans="1:22" x14ac:dyDescent="0.25">
      <c r="A34" s="137"/>
      <c r="B34" s="11">
        <f t="shared" ref="B34:M34" si="17">IF(B11="","",(B11/$O$23))</f>
        <v>0</v>
      </c>
      <c r="C34" s="11">
        <f t="shared" si="17"/>
        <v>0</v>
      </c>
      <c r="D34" s="11">
        <f t="shared" si="17"/>
        <v>2.7730538991343661E-3</v>
      </c>
      <c r="E34" s="11">
        <f t="shared" si="17"/>
        <v>2.1035462527533588</v>
      </c>
      <c r="F34" s="11">
        <f t="shared" si="17"/>
        <v>1.4868442751667772</v>
      </c>
      <c r="G34" s="11">
        <f t="shared" si="17"/>
        <v>2.3778264929586488</v>
      </c>
      <c r="H34" s="11">
        <f t="shared" si="17"/>
        <v>2.5839316232134024</v>
      </c>
      <c r="I34" s="11">
        <f t="shared" si="17"/>
        <v>0</v>
      </c>
      <c r="J34" s="11">
        <f t="shared" si="17"/>
        <v>0</v>
      </c>
      <c r="K34" s="11">
        <f t="shared" si="17"/>
        <v>0</v>
      </c>
      <c r="L34" s="11">
        <f t="shared" si="17"/>
        <v>4.2184032041377327E-3</v>
      </c>
      <c r="M34" s="11">
        <f t="shared" si="17"/>
        <v>0</v>
      </c>
      <c r="N34" s="6"/>
      <c r="O34" s="11">
        <f t="shared" si="10"/>
        <v>0</v>
      </c>
      <c r="P34" s="11">
        <f t="shared" si="10"/>
        <v>1.635194255576832</v>
      </c>
      <c r="Q34" s="11">
        <f t="shared" si="10"/>
        <v>1.8327365315188037E-2</v>
      </c>
      <c r="R34" s="11">
        <f t="shared" si="10"/>
        <v>0.90751129966943933</v>
      </c>
      <c r="S34" s="11">
        <f t="shared" si="10"/>
        <v>1.8792229987006561</v>
      </c>
      <c r="T34" s="11">
        <f t="shared" si="11"/>
        <v>0.55524942254303744</v>
      </c>
      <c r="U34" s="11">
        <f t="shared" si="11"/>
        <v>0.13506453127511112</v>
      </c>
      <c r="V34" s="11">
        <f t="shared" si="11"/>
        <v>0.86731882451925857</v>
      </c>
    </row>
    <row r="35" spans="1:22" x14ac:dyDescent="0.25">
      <c r="A35" s="137"/>
      <c r="B35" s="11">
        <f t="shared" ref="B35:M35" si="18">IF(B12="","",(B12/$O$23))</f>
        <v>7.3107784613542378E-4</v>
      </c>
      <c r="C35" s="11">
        <f t="shared" si="18"/>
        <v>0</v>
      </c>
      <c r="D35" s="11">
        <f t="shared" si="18"/>
        <v>5.4368662810301057E-3</v>
      </c>
      <c r="E35" s="11">
        <f t="shared" si="18"/>
        <v>0.81337872458427829</v>
      </c>
      <c r="F35" s="11">
        <f t="shared" si="18"/>
        <v>0.13292171689850726</v>
      </c>
      <c r="G35" s="11">
        <f t="shared" si="18"/>
        <v>0.67809571027468984</v>
      </c>
      <c r="H35" s="11">
        <f t="shared" si="18"/>
        <v>2.393305175631999</v>
      </c>
      <c r="I35" s="11">
        <f t="shared" si="18"/>
        <v>7.1931337504818702E-3</v>
      </c>
      <c r="J35" s="11">
        <f t="shared" si="18"/>
        <v>0</v>
      </c>
      <c r="K35" s="11">
        <f t="shared" si="18"/>
        <v>2.7520459150500148E-2</v>
      </c>
      <c r="L35" s="11">
        <f t="shared" si="18"/>
        <v>0</v>
      </c>
      <c r="M35" s="11">
        <f t="shared" si="18"/>
        <v>3.6528682725869968E-2</v>
      </c>
      <c r="N35" s="6"/>
      <c r="O35" s="11">
        <f t="shared" si="10"/>
        <v>1.1197339548895557</v>
      </c>
      <c r="P35" s="11">
        <f t="shared" si="10"/>
        <v>2.0742863325206744</v>
      </c>
      <c r="Q35" s="11">
        <f t="shared" si="10"/>
        <v>0</v>
      </c>
      <c r="R35" s="11">
        <f t="shared" si="10"/>
        <v>0.92456137955229889</v>
      </c>
      <c r="S35" s="11">
        <f t="shared" si="10"/>
        <v>1.0883648330548026</v>
      </c>
      <c r="T35" s="11">
        <f t="shared" si="11"/>
        <v>0</v>
      </c>
      <c r="U35" s="11">
        <f t="shared" si="11"/>
        <v>0.99313984279725509</v>
      </c>
      <c r="V35" s="11">
        <f t="shared" si="11"/>
        <v>0.35752227634112344</v>
      </c>
    </row>
    <row r="36" spans="1:22" x14ac:dyDescent="0.25">
      <c r="A36" s="137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1.6185307226011245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25">
      <c r="A37" s="137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1.8206443358798512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25">
      <c r="A38" s="137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2.2038635783529532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25">
      <c r="A39" s="137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0.54395553029929022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25">
      <c r="A40" s="137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1.4561642152099905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25">
      <c r="A41" s="137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0.68293594980772443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25">
      <c r="A42" s="137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0.89262924374408492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25">
      <c r="A43" s="137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0.22253337380871599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saccharin-0.01mg/L</v>
      </c>
      <c r="J45" s="7" t="str">
        <f t="shared" si="29"/>
        <v>saccharin-0.1mg/L</v>
      </c>
      <c r="K45" s="7" t="str">
        <f t="shared" ref="K45:M45" si="30">K4</f>
        <v>saccharin-1mg/L</v>
      </c>
      <c r="L45" s="7" t="str">
        <f t="shared" si="30"/>
        <v>saccharin-10mg/L</v>
      </c>
      <c r="M45" s="7" t="str">
        <f t="shared" si="30"/>
        <v>saccharin-100mg/L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saccharin-0.01mg/L + Testostérone</v>
      </c>
      <c r="S45" s="7" t="str">
        <f t="shared" ref="S45:V45" si="31">S4</f>
        <v>saccharin-0.1mg/L + Testostérone</v>
      </c>
      <c r="T45" s="7" t="str">
        <f t="shared" si="31"/>
        <v>saccharin-1mg/L + Testostérone</v>
      </c>
      <c r="U45" s="7" t="str">
        <f t="shared" si="31"/>
        <v>saccharin-10mg/L + Testostérone</v>
      </c>
      <c r="V45" s="7" t="str">
        <f t="shared" si="31"/>
        <v>saccharin-100mg/L + Testostérone</v>
      </c>
    </row>
    <row r="46" spans="1:22" x14ac:dyDescent="0.25">
      <c r="A46" s="8" t="s">
        <v>0</v>
      </c>
      <c r="B46" s="10">
        <f t="shared" ref="B46:H46" si="32">AVERAGE(B28:B43)</f>
        <v>9.1384730766927972E-5</v>
      </c>
      <c r="C46" s="10">
        <f t="shared" si="32"/>
        <v>1.5456624290061439E-2</v>
      </c>
      <c r="D46" s="10">
        <f t="shared" si="32"/>
        <v>0.1058655341962713</v>
      </c>
      <c r="E46" s="10">
        <f t="shared" si="32"/>
        <v>1.5633805627828858</v>
      </c>
      <c r="F46" s="10">
        <f t="shared" si="32"/>
        <v>0.78410935075875587</v>
      </c>
      <c r="G46" s="10">
        <f t="shared" si="32"/>
        <v>1.5402077059386419</v>
      </c>
      <c r="H46" s="10">
        <f t="shared" si="32"/>
        <v>2.2499403898451606</v>
      </c>
      <c r="I46" s="10">
        <f>AVERAGE(I28:I43)</f>
        <v>1.1701447134983649E-2</v>
      </c>
      <c r="J46" s="9">
        <f>AVERAGE(J28:J43)</f>
        <v>4.1364720662087628E-3</v>
      </c>
      <c r="K46" s="9">
        <f t="shared" ref="K46:M46" si="33">AVERAGE(K28:K43)</f>
        <v>1.0872682162855992E-2</v>
      </c>
      <c r="L46" s="9">
        <f t="shared" si="33"/>
        <v>3.0881736603996352E-3</v>
      </c>
      <c r="M46" s="9">
        <f t="shared" si="33"/>
        <v>8.8874276668848007E-3</v>
      </c>
      <c r="N46" s="8" t="s">
        <v>0</v>
      </c>
      <c r="O46" s="10">
        <f t="shared" ref="O46:R46" si="34">AVERAGE(O28:O43)</f>
        <v>1.0000000000000002</v>
      </c>
      <c r="P46" s="10">
        <f t="shared" si="34"/>
        <v>1.8147505459449866</v>
      </c>
      <c r="Q46" s="10">
        <f t="shared" si="34"/>
        <v>1.9243313421265749E-2</v>
      </c>
      <c r="R46" s="10">
        <f t="shared" si="34"/>
        <v>0.8456228289561446</v>
      </c>
      <c r="S46" s="10">
        <f t="shared" ref="S46:V46" si="35">AVERAGE(S28:S43)</f>
        <v>1.0185878643178341</v>
      </c>
      <c r="T46" s="10">
        <f t="shared" si="35"/>
        <v>0.61284071011187802</v>
      </c>
      <c r="U46" s="10">
        <f t="shared" si="35"/>
        <v>0.73676680822546614</v>
      </c>
      <c r="V46" s="10">
        <f t="shared" si="35"/>
        <v>0.83688350757705476</v>
      </c>
    </row>
    <row r="47" spans="1:22" x14ac:dyDescent="0.25">
      <c r="A47" s="8" t="s">
        <v>1</v>
      </c>
      <c r="B47" s="8">
        <f t="shared" ref="B47:J47" si="36">STDEV(B28:B43)</f>
        <v>2.5847505128880679E-4</v>
      </c>
      <c r="C47" s="8">
        <f t="shared" si="36"/>
        <v>3.9677559932033431E-2</v>
      </c>
      <c r="D47" s="8">
        <f t="shared" si="36"/>
        <v>0.28827791158125465</v>
      </c>
      <c r="E47" s="8">
        <f t="shared" si="36"/>
        <v>0.47315218603506898</v>
      </c>
      <c r="F47" s="8">
        <f t="shared" si="36"/>
        <v>0.7766629530656427</v>
      </c>
      <c r="G47" s="8">
        <f t="shared" si="36"/>
        <v>0.58192942837395234</v>
      </c>
      <c r="H47" s="8">
        <f t="shared" si="36"/>
        <v>0.3129124416650178</v>
      </c>
      <c r="I47" s="8">
        <f t="shared" si="36"/>
        <v>2.0910737171012248E-2</v>
      </c>
      <c r="J47" s="8">
        <f t="shared" si="36"/>
        <v>7.1448281381736424E-3</v>
      </c>
      <c r="K47" s="8">
        <f t="shared" ref="K47:M47" si="37">STDEV(K28:K43)</f>
        <v>2.0595577124620203E-2</v>
      </c>
      <c r="L47" s="8">
        <f t="shared" si="37"/>
        <v>4.6635377770348008E-3</v>
      </c>
      <c r="M47" s="8">
        <f t="shared" si="37"/>
        <v>1.5506294566568688E-2</v>
      </c>
      <c r="N47" s="8" t="s">
        <v>1</v>
      </c>
      <c r="O47" s="8">
        <f t="shared" ref="O47:R47" si="38">STDEV(O28:O43)</f>
        <v>0.6826925693969178</v>
      </c>
      <c r="P47" s="8">
        <f t="shared" si="38"/>
        <v>0.38202334110764835</v>
      </c>
      <c r="Q47" s="8">
        <f t="shared" si="38"/>
        <v>3.1584272700894991E-2</v>
      </c>
      <c r="R47" s="8">
        <f t="shared" si="38"/>
        <v>0.29390022294401086</v>
      </c>
      <c r="S47" s="8">
        <f t="shared" ref="S47:V47" si="39">STDEV(S28:S43)</f>
        <v>0.57535980505172279</v>
      </c>
      <c r="T47" s="8">
        <f t="shared" si="39"/>
        <v>0.41828126114547054</v>
      </c>
      <c r="U47" s="8">
        <f t="shared" si="39"/>
        <v>0.39833138582188465</v>
      </c>
      <c r="V47" s="8">
        <f t="shared" si="39"/>
        <v>0.54990188390826888</v>
      </c>
    </row>
    <row r="48" spans="1:22" x14ac:dyDescent="0.25">
      <c r="A48" s="8" t="s">
        <v>2</v>
      </c>
      <c r="B48" s="8">
        <f t="shared" ref="B48:J48" si="40" xml:space="preserve"> B47/SQRT(COUNT(B28:B43))</f>
        <v>9.1384730766927972E-5</v>
      </c>
      <c r="C48" s="8">
        <f t="shared" si="40"/>
        <v>1.4028135844438244E-2</v>
      </c>
      <c r="D48" s="8">
        <f t="shared" si="40"/>
        <v>0.10192163307270055</v>
      </c>
      <c r="E48" s="8">
        <f t="shared" si="40"/>
        <v>0.16728455963931807</v>
      </c>
      <c r="F48" s="8">
        <f t="shared" si="40"/>
        <v>0.27459182040454261</v>
      </c>
      <c r="G48" s="8">
        <f t="shared" si="40"/>
        <v>0.20574312248761648</v>
      </c>
      <c r="H48" s="8">
        <f t="shared" si="40"/>
        <v>0.11063125470948702</v>
      </c>
      <c r="I48" s="8">
        <f t="shared" si="40"/>
        <v>7.3930620266161812E-3</v>
      </c>
      <c r="J48" s="8">
        <f t="shared" si="40"/>
        <v>2.5260782134575188E-3</v>
      </c>
      <c r="K48" s="8">
        <f t="shared" ref="K48:M48" si="41" xml:space="preserve"> K47/SQRT(COUNT(K28:K43))</f>
        <v>7.2816361236347407E-3</v>
      </c>
      <c r="L48" s="8">
        <f t="shared" si="41"/>
        <v>1.6488095932304726E-3</v>
      </c>
      <c r="M48" s="8">
        <f t="shared" si="41"/>
        <v>5.4823030195484176E-3</v>
      </c>
      <c r="N48" s="8" t="s">
        <v>2</v>
      </c>
      <c r="O48" s="8">
        <f t="shared" ref="O48:R48" si="42" xml:space="preserve"> O47/SQRT(COUNT(O28:O43))</f>
        <v>0.17067314234922945</v>
      </c>
      <c r="P48" s="8">
        <f t="shared" si="42"/>
        <v>0.13506564753437986</v>
      </c>
      <c r="Q48" s="8">
        <f t="shared" si="42"/>
        <v>1.1166726702824E-2</v>
      </c>
      <c r="R48" s="8">
        <f t="shared" si="42"/>
        <v>0.10390942031797411</v>
      </c>
      <c r="S48" s="8">
        <f t="shared" ref="S48:V48" si="43" xml:space="preserve"> S47/SQRT(COUNT(S28:S43))</f>
        <v>0.20342040988712159</v>
      </c>
      <c r="T48" s="8">
        <f t="shared" si="43"/>
        <v>0.14788475809961169</v>
      </c>
      <c r="U48" s="8">
        <f t="shared" si="43"/>
        <v>0.1408314120370448</v>
      </c>
      <c r="V48" s="8">
        <f t="shared" si="43"/>
        <v>0.19441967554939726</v>
      </c>
    </row>
    <row r="49" spans="1:22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 spans="1:22" customFormat="1" ht="15.75" thickBot="1" x14ac:dyDescent="0.3"/>
    <row r="52" spans="1:22" x14ac:dyDescent="0.2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saccharin-0.01mg/L</v>
      </c>
      <c r="J52" s="30" t="str">
        <f>J4</f>
        <v>saccharin-0.1mg/L</v>
      </c>
      <c r="K52" s="30" t="str">
        <f t="shared" ref="K52:M52" si="46">K4</f>
        <v>saccharin-1mg/L</v>
      </c>
      <c r="L52" s="30" t="str">
        <f t="shared" si="46"/>
        <v>saccharin-10mg/L</v>
      </c>
      <c r="M52" s="30" t="str">
        <f t="shared" si="46"/>
        <v>saccharin-100mg/L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saccharin-0.01mg/L + Testostérone</v>
      </c>
      <c r="S52" s="30" t="str">
        <f t="shared" ref="S52:V52" si="47">S27</f>
        <v>saccharin-0.1mg/L + Testostérone</v>
      </c>
      <c r="T52" s="30" t="str">
        <f t="shared" si="47"/>
        <v>saccharin-1mg/L + Testostérone</v>
      </c>
      <c r="U52" s="30" t="str">
        <f t="shared" si="47"/>
        <v>saccharin-10mg/L + Testostérone</v>
      </c>
      <c r="V52" s="30" t="str">
        <f t="shared" si="47"/>
        <v>saccharin-100mg/L + Testostérone</v>
      </c>
    </row>
    <row r="53" spans="1:22" s="3" customFormat="1" x14ac:dyDescent="0.25">
      <c r="A53" s="45" t="s">
        <v>10</v>
      </c>
      <c r="B53" s="78">
        <f t="shared" ref="B53" si="48">B46</f>
        <v>9.1384730766927972E-5</v>
      </c>
      <c r="C53" s="78">
        <f t="shared" ref="C53:V53" si="49">C46</f>
        <v>1.5456624290061439E-2</v>
      </c>
      <c r="D53" s="78">
        <f t="shared" si="49"/>
        <v>0.1058655341962713</v>
      </c>
      <c r="E53" s="78">
        <f t="shared" si="49"/>
        <v>1.5633805627828858</v>
      </c>
      <c r="F53" s="78">
        <f t="shared" si="49"/>
        <v>0.78410935075875587</v>
      </c>
      <c r="G53" s="78">
        <f t="shared" si="49"/>
        <v>1.5402077059386419</v>
      </c>
      <c r="H53" s="78">
        <f t="shared" si="49"/>
        <v>2.2499403898451606</v>
      </c>
      <c r="I53" s="78">
        <f t="shared" si="49"/>
        <v>1.1701447134983649E-2</v>
      </c>
      <c r="J53" s="78">
        <f t="shared" si="49"/>
        <v>4.1364720662087628E-3</v>
      </c>
      <c r="K53" s="78">
        <f t="shared" si="49"/>
        <v>1.0872682162855992E-2</v>
      </c>
      <c r="L53" s="78">
        <f t="shared" si="49"/>
        <v>3.0881736603996352E-3</v>
      </c>
      <c r="M53" s="78">
        <f t="shared" si="49"/>
        <v>8.8874276668848007E-3</v>
      </c>
      <c r="N53" s="78"/>
      <c r="O53" s="78">
        <f t="shared" si="49"/>
        <v>1.0000000000000002</v>
      </c>
      <c r="P53" s="78">
        <f t="shared" si="49"/>
        <v>1.8147505459449866</v>
      </c>
      <c r="Q53" s="78">
        <f t="shared" si="49"/>
        <v>1.9243313421265749E-2</v>
      </c>
      <c r="R53" s="78">
        <f t="shared" si="49"/>
        <v>0.8456228289561446</v>
      </c>
      <c r="S53" s="78">
        <f t="shared" si="49"/>
        <v>1.0185878643178341</v>
      </c>
      <c r="T53" s="78">
        <f t="shared" si="49"/>
        <v>0.61284071011187802</v>
      </c>
      <c r="U53" s="78">
        <f t="shared" si="49"/>
        <v>0.73676680822546614</v>
      </c>
      <c r="V53" s="78">
        <f t="shared" si="49"/>
        <v>0.83688350757705476</v>
      </c>
    </row>
    <row r="54" spans="1:22" s="3" customFormat="1" x14ac:dyDescent="0.25">
      <c r="A54" s="45" t="s">
        <v>2</v>
      </c>
      <c r="B54" s="78">
        <f t="shared" ref="B54" si="50">B48</f>
        <v>9.1384730766927972E-5</v>
      </c>
      <c r="C54" s="78">
        <f t="shared" ref="C54:V54" si="51">C48</f>
        <v>1.4028135844438244E-2</v>
      </c>
      <c r="D54" s="78">
        <f t="shared" si="51"/>
        <v>0.10192163307270055</v>
      </c>
      <c r="E54" s="78">
        <f t="shared" si="51"/>
        <v>0.16728455963931807</v>
      </c>
      <c r="F54" s="78">
        <f t="shared" si="51"/>
        <v>0.27459182040454261</v>
      </c>
      <c r="G54" s="78">
        <f t="shared" si="51"/>
        <v>0.20574312248761648</v>
      </c>
      <c r="H54" s="78">
        <f t="shared" si="51"/>
        <v>0.11063125470948702</v>
      </c>
      <c r="I54" s="78">
        <f t="shared" si="51"/>
        <v>7.3930620266161812E-3</v>
      </c>
      <c r="J54" s="78">
        <f t="shared" si="51"/>
        <v>2.5260782134575188E-3</v>
      </c>
      <c r="K54" s="78">
        <f t="shared" si="51"/>
        <v>7.2816361236347407E-3</v>
      </c>
      <c r="L54" s="78">
        <f t="shared" si="51"/>
        <v>1.6488095932304726E-3</v>
      </c>
      <c r="M54" s="78">
        <f t="shared" si="51"/>
        <v>5.4823030195484176E-3</v>
      </c>
      <c r="N54" s="78"/>
      <c r="O54" s="78">
        <f t="shared" si="51"/>
        <v>0.17067314234922945</v>
      </c>
      <c r="P54" s="78">
        <f t="shared" si="51"/>
        <v>0.13506564753437986</v>
      </c>
      <c r="Q54" s="78">
        <f t="shared" si="51"/>
        <v>1.1166726702824E-2</v>
      </c>
      <c r="R54" s="78">
        <f t="shared" si="51"/>
        <v>0.10390942031797411</v>
      </c>
      <c r="S54" s="78">
        <f t="shared" si="51"/>
        <v>0.20342040988712159</v>
      </c>
      <c r="T54" s="78">
        <f t="shared" si="51"/>
        <v>0.14788475809961169</v>
      </c>
      <c r="U54" s="78">
        <f t="shared" si="51"/>
        <v>0.1408314120370448</v>
      </c>
      <c r="V54" s="78">
        <f t="shared" si="51"/>
        <v>0.19441967554939726</v>
      </c>
    </row>
    <row r="55" spans="1:22" s="3" customFormat="1" x14ac:dyDescent="0.25">
      <c r="A55" s="45" t="s">
        <v>14</v>
      </c>
      <c r="B55" s="78">
        <f>(B53*100/$B53)-100</f>
        <v>0</v>
      </c>
      <c r="C55" s="78">
        <f t="shared" ref="C55:M55" si="52">(C53*100/$B53)-100</f>
        <v>16813.793103448275</v>
      </c>
      <c r="D55" s="78">
        <f t="shared" si="52"/>
        <v>115745.97701149425</v>
      </c>
      <c r="E55" s="78">
        <f t="shared" si="52"/>
        <v>1710667.8160919542</v>
      </c>
      <c r="F55" s="78">
        <f t="shared" si="52"/>
        <v>857931.03448275861</v>
      </c>
      <c r="G55" s="78">
        <f t="shared" si="52"/>
        <v>1685310.3448275861</v>
      </c>
      <c r="H55" s="78">
        <f t="shared" si="52"/>
        <v>2461952.8735632184</v>
      </c>
      <c r="I55" s="78">
        <f t="shared" si="52"/>
        <v>12704.597701149423</v>
      </c>
      <c r="J55" s="78">
        <f t="shared" si="52"/>
        <v>4426.4367816091954</v>
      </c>
      <c r="K55" s="78">
        <f t="shared" si="52"/>
        <v>11797.701149425287</v>
      </c>
      <c r="L55" s="78">
        <f t="shared" si="52"/>
        <v>3279.3103448275865</v>
      </c>
      <c r="M55" s="78">
        <f t="shared" si="52"/>
        <v>9625.28735632184</v>
      </c>
      <c r="N55" s="78"/>
      <c r="O55" s="78">
        <f t="shared" ref="O55:V55" si="53">(O53*100/$O53)-100</f>
        <v>0</v>
      </c>
      <c r="P55" s="78">
        <f t="shared" si="53"/>
        <v>81.47505459449863</v>
      </c>
      <c r="Q55" s="78">
        <f t="shared" si="53"/>
        <v>-98.075668657873422</v>
      </c>
      <c r="R55" s="78">
        <f t="shared" si="53"/>
        <v>-15.437717104385555</v>
      </c>
      <c r="S55" s="78">
        <f t="shared" si="53"/>
        <v>1.8587864317833862</v>
      </c>
      <c r="T55" s="78">
        <f t="shared" si="53"/>
        <v>-38.715928988812209</v>
      </c>
      <c r="U55" s="78">
        <f t="shared" si="53"/>
        <v>-26.323319177453399</v>
      </c>
      <c r="V55" s="78">
        <f t="shared" si="53"/>
        <v>-16.311649242294536</v>
      </c>
    </row>
    <row r="56" spans="1:22" s="3" customFormat="1" x14ac:dyDescent="0.25">
      <c r="A56" s="45" t="s">
        <v>37</v>
      </c>
      <c r="B56" s="78">
        <f>[1]!SWTEST(B28:B43)</f>
        <v>1.0472313157761093E-6</v>
      </c>
      <c r="C56" s="78">
        <f>[1]!SWTEST(C28:C43)</f>
        <v>3.9872556578668394E-6</v>
      </c>
      <c r="D56" s="78">
        <f>[1]!SWTEST(D28:D43)</f>
        <v>1.6661185697763869E-6</v>
      </c>
      <c r="E56" s="78">
        <f>[1]!SWTEST(E28:E43)</f>
        <v>0.79270395922984105</v>
      </c>
      <c r="F56" s="78">
        <f>[1]!SWTEST(F28:F43)</f>
        <v>5.2520313023305176E-2</v>
      </c>
      <c r="G56" s="78">
        <f>[1]!SWTEST(G28:G43)</f>
        <v>0.91966015637953702</v>
      </c>
      <c r="H56" s="78">
        <f>[1]!SWTEST(H28:H43)</f>
        <v>0.45443494137868634</v>
      </c>
      <c r="I56" s="78">
        <f>[1]!SWTEST(I28:I43)</f>
        <v>3.4058028282246688E-4</v>
      </c>
      <c r="J56" s="78">
        <f>[1]!SWTEST(J28:J43)</f>
        <v>1.109355943985979E-3</v>
      </c>
      <c r="K56" s="78">
        <f>[1]!SWTEST(K28:K43)</f>
        <v>3.5072794809876129E-4</v>
      </c>
      <c r="L56" s="78">
        <f>[1]!SWTEST(L28:L43)</f>
        <v>2.6425681043644733E-3</v>
      </c>
      <c r="M56" s="78">
        <f>[1]!SWTEST(M28:M43)</f>
        <v>3.5078831137869138E-4</v>
      </c>
      <c r="N56" s="78"/>
      <c r="O56" s="78">
        <f>[1]!SWTEST(O28:O43)</f>
        <v>0.60544597511151022</v>
      </c>
      <c r="P56" s="78">
        <f>[1]!SWTEST(P28:P43)</f>
        <v>0.27696984155229132</v>
      </c>
      <c r="Q56" s="78">
        <f>[1]!SWTEST(Q28:Q43)</f>
        <v>2.7404489215882011E-3</v>
      </c>
      <c r="R56" s="78">
        <f>[1]!SWTEST(R28:R43)</f>
        <v>3.2864596562836579E-2</v>
      </c>
      <c r="S56" s="78">
        <f>[1]!SWTEST(S28:S43)</f>
        <v>0.48222314479551609</v>
      </c>
      <c r="T56" s="78">
        <f>[1]!SWTEST(T28:T43)</f>
        <v>0.89350642185258444</v>
      </c>
      <c r="U56" s="78">
        <f>[1]!SWTEST(U28:U43)</f>
        <v>5.9555250694626194E-2</v>
      </c>
      <c r="V56" s="78">
        <f>[1]!SWTEST(V28:V43)</f>
        <v>0.35982073547024407</v>
      </c>
    </row>
    <row r="57" spans="1:22" s="3" customFormat="1" x14ac:dyDescent="0.25">
      <c r="A57" s="45" t="s">
        <v>38</v>
      </c>
      <c r="B57" s="78" t="str">
        <f>IF(B56&gt;0.05,"Oui","Non")</f>
        <v>Non</v>
      </c>
      <c r="C57" s="78" t="str">
        <f t="shared" ref="C57:V57" si="54">IF(C56&gt;0.05,"Oui","Non")</f>
        <v>Non</v>
      </c>
      <c r="D57" s="78" t="str">
        <f t="shared" si="54"/>
        <v>Non</v>
      </c>
      <c r="E57" s="78" t="str">
        <f t="shared" si="54"/>
        <v>Oui</v>
      </c>
      <c r="F57" s="78" t="str">
        <f t="shared" si="54"/>
        <v>Oui</v>
      </c>
      <c r="G57" s="78" t="str">
        <f t="shared" si="54"/>
        <v>Oui</v>
      </c>
      <c r="H57" s="78" t="str">
        <f t="shared" si="54"/>
        <v>Oui</v>
      </c>
      <c r="I57" s="78" t="str">
        <f t="shared" si="54"/>
        <v>Non</v>
      </c>
      <c r="J57" s="78" t="str">
        <f t="shared" si="54"/>
        <v>Non</v>
      </c>
      <c r="K57" s="78" t="str">
        <f t="shared" si="54"/>
        <v>Non</v>
      </c>
      <c r="L57" s="78" t="str">
        <f t="shared" si="54"/>
        <v>Non</v>
      </c>
      <c r="M57" s="78" t="str">
        <f t="shared" si="54"/>
        <v>Non</v>
      </c>
      <c r="N57" s="78"/>
      <c r="O57" s="78" t="str">
        <f t="shared" si="54"/>
        <v>Oui</v>
      </c>
      <c r="P57" s="78" t="str">
        <f t="shared" si="54"/>
        <v>Oui</v>
      </c>
      <c r="Q57" s="78" t="str">
        <f t="shared" si="54"/>
        <v>Non</v>
      </c>
      <c r="R57" s="78" t="str">
        <f t="shared" si="54"/>
        <v>Non</v>
      </c>
      <c r="S57" s="78" t="str">
        <f t="shared" si="54"/>
        <v>Oui</v>
      </c>
      <c r="T57" s="78" t="str">
        <f t="shared" si="54"/>
        <v>Oui</v>
      </c>
      <c r="U57" s="78" t="str">
        <f t="shared" si="54"/>
        <v>Oui</v>
      </c>
      <c r="V57" s="78" t="str">
        <f t="shared" si="54"/>
        <v>Oui</v>
      </c>
    </row>
    <row r="58" spans="1:22" s="3" customFormat="1" x14ac:dyDescent="0.2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25">
      <c r="A59" s="45" t="s">
        <v>39</v>
      </c>
      <c r="B59" s="82"/>
      <c r="C59" s="82" t="str">
        <f t="shared" ref="C59:O59" si="55">IF($B57="Non",IF(C57="Non","MW",IF(C57="Oui","MW","")),IF($B57="Oui",IF(C57="Oui","T-Test Welch",IF(C57="Non","MW",""))))</f>
        <v>MW</v>
      </c>
      <c r="D59" s="82" t="str">
        <f t="shared" si="55"/>
        <v>MW</v>
      </c>
      <c r="E59" s="82" t="str">
        <f t="shared" si="55"/>
        <v>MW</v>
      </c>
      <c r="F59" s="82" t="str">
        <f t="shared" si="55"/>
        <v>MW</v>
      </c>
      <c r="G59" s="82" t="str">
        <f t="shared" si="55"/>
        <v>MW</v>
      </c>
      <c r="H59" s="82" t="str">
        <f t="shared" si="55"/>
        <v>MW</v>
      </c>
      <c r="I59" s="82" t="str">
        <f t="shared" si="55"/>
        <v>MW</v>
      </c>
      <c r="J59" s="82" t="str">
        <f t="shared" si="55"/>
        <v>MW</v>
      </c>
      <c r="K59" s="82" t="str">
        <f t="shared" si="55"/>
        <v>MW</v>
      </c>
      <c r="L59" s="82" t="str">
        <f t="shared" si="55"/>
        <v>MW</v>
      </c>
      <c r="M59" s="82" t="str">
        <f t="shared" si="55"/>
        <v>MW</v>
      </c>
      <c r="N59" s="82"/>
      <c r="O59" s="82" t="str">
        <f t="shared" si="55"/>
        <v>MW</v>
      </c>
      <c r="P59" s="82" t="str">
        <f t="shared" ref="P59:V59" si="56">IF($O57="Non",IF(P57="Non","MW",IF(P57="Oui","MW","")),IF($O57="Oui",IF(P57="Oui","T-Test Welch",IF(P57="Non","MW",""))))</f>
        <v>T-Test Welch</v>
      </c>
      <c r="Q59" s="82" t="str">
        <f t="shared" si="56"/>
        <v>MW</v>
      </c>
      <c r="R59" s="82" t="str">
        <f t="shared" si="56"/>
        <v>MW</v>
      </c>
      <c r="S59" s="82" t="str">
        <f t="shared" si="56"/>
        <v>T-Test Welch</v>
      </c>
      <c r="T59" s="82" t="str">
        <f t="shared" si="56"/>
        <v>T-Test Welch</v>
      </c>
      <c r="U59" s="82" t="str">
        <f t="shared" si="56"/>
        <v>T-Test Welch</v>
      </c>
      <c r="V59" s="82" t="str">
        <f t="shared" si="56"/>
        <v>T-Test Welch</v>
      </c>
    </row>
    <row r="60" spans="1:22" s="3" customFormat="1" x14ac:dyDescent="0.25">
      <c r="A60" s="45" t="s">
        <v>40</v>
      </c>
      <c r="B60" s="83"/>
      <c r="C60" s="83">
        <f>IF(C59="MW",[1]!MTEST($B28:$B43,C28:C43,2), IF(C59="T-Test Welch",_xlfn.T.TEST($B28:$B43,C28:C43,2,3),""))</f>
        <v>0.31842506670681603</v>
      </c>
      <c r="D60" s="83">
        <f>IF(D59="MW",[1]!MTEST($B28:$B43,D28:D43,2), IF(D59="T-Test Welch",_xlfn.T.TEST($B28:$B43,D28:D43,2,3),""))</f>
        <v>0.14148212148279327</v>
      </c>
      <c r="E60" s="83">
        <f>IF(E59="MW",[1]!MTEST($B28:$B43,E28:E43,2), IF(E59="T-Test Welch",_xlfn.T.TEST($B28:$B43,E28:E43,2,3),""))</f>
        <v>7.7753044694039986E-4</v>
      </c>
      <c r="F60" s="83">
        <f>IF(F59="MW",[1]!MTEST($B28:$B43,F28:F43,2), IF(F59="T-Test Welch",_xlfn.T.TEST($B28:$B43,F28:F43,2,3),""))</f>
        <v>7.7753044694039986E-4</v>
      </c>
      <c r="G60" s="83">
        <f>IF(G59="MW",[1]!MTEST($B28:$B43,G28:G43,2), IF(G59="T-Test Welch",_xlfn.T.TEST($B28:$B43,G28:G43,2,3),""))</f>
        <v>7.7753044694039986E-4</v>
      </c>
      <c r="H60" s="83">
        <f>IF(H59="MW",[1]!MTEST($B28:$B43,H28:H43,2), IF(H59="T-Test Welch",_xlfn.T.TEST($B28:$B43,H28:H43,2,3),""))</f>
        <v>7.7753044694039986E-4</v>
      </c>
      <c r="I60" s="83">
        <f>IF(I59="MW",[1]!MTEST($B28:$B43,I28:I43,2), IF(I59="T-Test Welch",_xlfn.T.TEST($B28:$B43,I28:I43,2,3),""))</f>
        <v>5.2029617622225244E-2</v>
      </c>
      <c r="J60" s="83">
        <f>IF(J59="MW",[1]!MTEST($B28:$B43,J28:J43,2), IF(J59="T-Test Welch",_xlfn.T.TEST($B28:$B43,J28:J43,2,3),""))</f>
        <v>0.31842506670681603</v>
      </c>
      <c r="K60" s="83">
        <f>IF(K59="MW",[1]!MTEST($B28:$B43,K28:K43,2), IF(K59="T-Test Welch",_xlfn.T.TEST($B28:$B43,K28:K43,2,3),""))</f>
        <v>0.31842506670681603</v>
      </c>
      <c r="L60" s="83">
        <f>IF(L59="MW",[1]!MTEST($B28:$B43,L28:L43,2), IF(L59="T-Test Welch",_xlfn.T.TEST($B28:$B43,L28:L43,2,3),""))</f>
        <v>0.31842506670681603</v>
      </c>
      <c r="M60" s="83">
        <f>IF(M59="MW",[1]!MTEST($B28:$B43,M28:M43,2), IF(M59="T-Test Welch",_xlfn.T.TEST($B28:$B43,M28:M43,2,3),""))</f>
        <v>0.31842506670681603</v>
      </c>
      <c r="N60" s="83"/>
      <c r="O60" s="83">
        <f>IF(O59="MW",[1]!MTEST($B28:$B43,O28:O43,2), IF(O59="T-Test Welch",_xlfn.T.TEST($B28:$B43,O28:O43,2,3),""))</f>
        <v>7.5702306152591881E-4</v>
      </c>
      <c r="P60" s="83">
        <f>IF(P59="MW",[1]!MTEST($O28:$O43,P28:P43,2), IF(P59="T-Test Welch",_xlfn.T.TEST($O28:$O43,P28:P43,2,3),""))</f>
        <v>1.1565688745478269E-3</v>
      </c>
      <c r="Q60" s="83">
        <f>IF(Q59="MW",[1]!MTEST($O28:$O43,Q28:Q43,2), IF(Q59="T-Test Welch",_xlfn.T.TEST($O28:$O43,Q28:Q43,2,3),""))</f>
        <v>1.4508616333606117E-3</v>
      </c>
      <c r="R60" s="83">
        <f>IF(R59="MW",[1]!MTEST($O28:$O43,R28:R43,2), IF(R59="T-Test Welch",_xlfn.T.TEST($O28:$O43,R28:R43,2,3),""))</f>
        <v>0.62420611476640597</v>
      </c>
      <c r="S60" s="83">
        <f>IF(S59="MW",[1]!MTEST($O28:$O43,S28:S43,2), IF(S59="T-Test Welch",_xlfn.T.TEST($O28:$O43,S28:S43,2,3),""))</f>
        <v>0.94503361116474438</v>
      </c>
      <c r="T60" s="83">
        <f>IF(T59="MW",[1]!MTEST($O28:$O43,T28:T43,2), IF(T59="T-Test Welch",_xlfn.T.TEST($O28:$O43,T28:T43,2,3),""))</f>
        <v>0.10130446157065744</v>
      </c>
      <c r="U60" s="83">
        <f>IF(U59="MW",[1]!MTEST($O28:$O43,U28:U43,2), IF(U59="T-Test Welch",_xlfn.T.TEST($O28:$O43,U28:U43,2,3),""))</f>
        <v>0.24731298932096962</v>
      </c>
      <c r="V60" s="83">
        <f>IF(V59="MW",[1]!MTEST($O28:$O43,V28:V43,2), IF(V59="T-Test Welch",_xlfn.T.TEST($O28:$O43,V28:V43,2,3),""))</f>
        <v>0.53665603840754139</v>
      </c>
    </row>
    <row r="61" spans="1:22" s="3" customFormat="1" ht="15.75" thickBot="1" x14ac:dyDescent="0.3">
      <c r="A61" s="46" t="s">
        <v>15</v>
      </c>
      <c r="B61" s="79"/>
      <c r="C61" s="79" t="str">
        <f t="shared" ref="C61:O61" si="57">IF(C60&gt;0.05,"NS",IF(C60&gt;0.01,"*",IF(C60&gt;0.001,"**","***")))</f>
        <v>NS</v>
      </c>
      <c r="D61" s="79" t="str">
        <f t="shared" si="57"/>
        <v>NS</v>
      </c>
      <c r="E61" s="79" t="str">
        <f t="shared" si="57"/>
        <v>***</v>
      </c>
      <c r="F61" s="79" t="str">
        <f t="shared" si="57"/>
        <v>***</v>
      </c>
      <c r="G61" s="79" t="str">
        <f t="shared" si="57"/>
        <v>***</v>
      </c>
      <c r="H61" s="79" t="str">
        <f t="shared" si="57"/>
        <v>***</v>
      </c>
      <c r="I61" s="79" t="str">
        <f t="shared" si="57"/>
        <v>NS</v>
      </c>
      <c r="J61" s="79" t="str">
        <f t="shared" si="57"/>
        <v>NS</v>
      </c>
      <c r="K61" s="79" t="str">
        <f t="shared" si="57"/>
        <v>NS</v>
      </c>
      <c r="L61" s="79" t="str">
        <f t="shared" si="57"/>
        <v>NS</v>
      </c>
      <c r="M61" s="79" t="str">
        <f t="shared" si="57"/>
        <v>NS</v>
      </c>
      <c r="N61" s="79"/>
      <c r="O61" s="79" t="str">
        <f t="shared" si="57"/>
        <v>***</v>
      </c>
      <c r="P61" s="79" t="str">
        <f>IF(P60&gt;0.05,"NS",IF(P60&gt;0.01,"*",IF(P60&gt;0.001,"**","***")))</f>
        <v>**</v>
      </c>
      <c r="Q61" s="79" t="str">
        <f t="shared" ref="Q61:V61" si="58">IF(Q60&gt;0.05,"NS",IF(Q60&gt;0.01,"*",IF(Q60&gt;0.001,"**","***")))</f>
        <v>**</v>
      </c>
      <c r="R61" s="79" t="str">
        <f t="shared" si="58"/>
        <v>NS</v>
      </c>
      <c r="S61" s="79" t="str">
        <f t="shared" si="58"/>
        <v>NS</v>
      </c>
      <c r="T61" s="79" t="str">
        <f t="shared" si="58"/>
        <v>NS</v>
      </c>
      <c r="U61" s="79" t="str">
        <f t="shared" si="58"/>
        <v>NS</v>
      </c>
      <c r="V61" s="79" t="str">
        <f t="shared" si="58"/>
        <v>NS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B13:J20 I5:J12" name="Plage1_1"/>
    <protectedRange sqref="B5:H12" name="Plage1_1_1"/>
    <protectedRange sqref="O5:O20" name="Plage1_1_2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N1" zoomScale="70" zoomScaleNormal="70" zoomScaleSheetLayoutView="40" zoomScalePageLayoutView="30" workbookViewId="0">
      <selection activeCell="V5" sqref="V5:V12"/>
    </sheetView>
  </sheetViews>
  <sheetFormatPr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ht="15.75" thickBot="1" x14ac:dyDescent="0.3"/>
    <row r="3" spans="1:22" ht="15.75" thickBot="1" x14ac:dyDescent="0.3">
      <c r="A3" s="84" t="s">
        <v>9</v>
      </c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2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saccharin-0.01mg/L</v>
      </c>
      <c r="J4" s="20" t="str">
        <f>'Front page'!A15</f>
        <v>saccharin-0.1mg/L</v>
      </c>
      <c r="K4" s="20" t="str">
        <f>'Front page'!A16</f>
        <v>saccharin-1mg/L</v>
      </c>
      <c r="L4" s="20" t="str">
        <f>'Front page'!A17</f>
        <v>saccharin-10mg/L</v>
      </c>
      <c r="M4" s="20" t="str">
        <f>'Front page'!A18</f>
        <v>saccharin-100mg/L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saccharin-0.01mg/L + Testostérone</v>
      </c>
      <c r="S4" s="21" t="str">
        <f>'Front page'!A39</f>
        <v>saccharin-0.1mg/L + Testostérone</v>
      </c>
      <c r="T4" s="21" t="str">
        <f>'Front page'!A40</f>
        <v>saccharin-1mg/L + Testostérone</v>
      </c>
      <c r="U4" s="21" t="str">
        <f>'Front page'!A41</f>
        <v>saccharin-10mg/L + Testostérone</v>
      </c>
      <c r="V4" s="21" t="str">
        <f>'Front page'!A42</f>
        <v>saccharin-100mg/L + Testostérone</v>
      </c>
    </row>
    <row r="5" spans="1:22" x14ac:dyDescent="0.25">
      <c r="A5" s="134" t="s">
        <v>34</v>
      </c>
      <c r="B5" s="1">
        <v>0</v>
      </c>
      <c r="C5" s="1">
        <v>0</v>
      </c>
      <c r="D5" s="1">
        <v>0</v>
      </c>
      <c r="E5" s="1">
        <v>0</v>
      </c>
      <c r="F5" s="1">
        <v>52475</v>
      </c>
      <c r="G5" s="1">
        <v>54307</v>
      </c>
      <c r="H5" s="1">
        <v>106122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3"/>
      <c r="O5" s="1">
        <v>47835</v>
      </c>
      <c r="P5" s="1">
        <v>5883</v>
      </c>
      <c r="Q5" s="1">
        <v>0</v>
      </c>
      <c r="R5" s="1">
        <v>96860</v>
      </c>
      <c r="S5" s="1">
        <v>66062</v>
      </c>
      <c r="T5" s="1">
        <v>42480</v>
      </c>
      <c r="U5" s="1">
        <v>0</v>
      </c>
      <c r="V5" s="1">
        <v>163</v>
      </c>
    </row>
    <row r="6" spans="1:22" x14ac:dyDescent="0.25">
      <c r="A6" s="135"/>
      <c r="B6" s="1">
        <v>0</v>
      </c>
      <c r="C6" s="1">
        <v>0</v>
      </c>
      <c r="D6" s="1">
        <v>0</v>
      </c>
      <c r="E6" s="1">
        <v>0</v>
      </c>
      <c r="F6" s="1">
        <v>211081</v>
      </c>
      <c r="G6" s="1">
        <v>92689</v>
      </c>
      <c r="H6" s="1">
        <v>192967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3"/>
      <c r="O6" s="1">
        <v>10534</v>
      </c>
      <c r="P6" s="1">
        <v>1529</v>
      </c>
      <c r="Q6" s="1">
        <v>0</v>
      </c>
      <c r="R6" s="1">
        <v>7005</v>
      </c>
      <c r="S6" s="1">
        <v>8986</v>
      </c>
      <c r="T6" s="1">
        <v>18706</v>
      </c>
      <c r="U6" s="1">
        <v>114151</v>
      </c>
      <c r="V6" s="1">
        <v>48290</v>
      </c>
    </row>
    <row r="7" spans="1:22" x14ac:dyDescent="0.25">
      <c r="A7" s="135"/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136990</v>
      </c>
      <c r="H7" s="1">
        <v>172745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3"/>
      <c r="O7" s="1">
        <v>44609</v>
      </c>
      <c r="P7" s="1">
        <v>126357</v>
      </c>
      <c r="Q7" s="1">
        <v>0</v>
      </c>
      <c r="R7" s="1">
        <v>2011</v>
      </c>
      <c r="S7" s="1">
        <v>45794</v>
      </c>
      <c r="T7" s="1">
        <v>90455</v>
      </c>
      <c r="U7" s="1">
        <v>11776</v>
      </c>
      <c r="V7" s="1">
        <v>40156</v>
      </c>
    </row>
    <row r="8" spans="1:22" x14ac:dyDescent="0.25">
      <c r="A8" s="135"/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70243</v>
      </c>
      <c r="H8" s="1">
        <v>209811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3"/>
      <c r="O8" s="1">
        <v>57787</v>
      </c>
      <c r="P8" s="1">
        <v>90174</v>
      </c>
      <c r="Q8" s="1">
        <v>0</v>
      </c>
      <c r="R8" s="1">
        <v>1702</v>
      </c>
      <c r="S8" s="1">
        <v>0</v>
      </c>
      <c r="T8" s="1">
        <v>0</v>
      </c>
      <c r="U8" s="1">
        <v>18398</v>
      </c>
      <c r="V8" s="1">
        <v>0</v>
      </c>
    </row>
    <row r="9" spans="1:22" x14ac:dyDescent="0.25">
      <c r="A9" s="135"/>
      <c r="B9" s="1">
        <v>0</v>
      </c>
      <c r="C9" s="1">
        <v>81</v>
      </c>
      <c r="D9" s="1">
        <v>0</v>
      </c>
      <c r="E9" s="1">
        <v>0</v>
      </c>
      <c r="F9" s="1">
        <v>106698</v>
      </c>
      <c r="G9" s="1">
        <v>69626</v>
      </c>
      <c r="H9" s="1">
        <v>172250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3"/>
      <c r="O9" s="1">
        <v>0</v>
      </c>
      <c r="P9" s="1">
        <v>153928</v>
      </c>
      <c r="Q9" s="1">
        <v>0</v>
      </c>
      <c r="R9" s="1">
        <v>0</v>
      </c>
      <c r="S9" s="1">
        <v>0</v>
      </c>
      <c r="T9" s="1">
        <v>320</v>
      </c>
      <c r="U9" s="1">
        <v>651</v>
      </c>
      <c r="V9" s="1">
        <v>88565</v>
      </c>
    </row>
    <row r="10" spans="1:22" x14ac:dyDescent="0.25">
      <c r="A10" s="135"/>
      <c r="B10" s="1">
        <v>0</v>
      </c>
      <c r="C10" s="1">
        <v>0</v>
      </c>
      <c r="D10" s="1">
        <v>83</v>
      </c>
      <c r="E10" s="1">
        <v>82</v>
      </c>
      <c r="F10" s="1">
        <v>123728</v>
      </c>
      <c r="G10" s="1">
        <v>157763</v>
      </c>
      <c r="H10" s="1">
        <v>259945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/>
      <c r="O10" s="1">
        <v>60007</v>
      </c>
      <c r="P10" s="1">
        <v>129585</v>
      </c>
      <c r="Q10" s="1">
        <v>0</v>
      </c>
      <c r="R10" s="1">
        <v>3134</v>
      </c>
      <c r="S10" s="1">
        <v>35224</v>
      </c>
      <c r="T10" s="1">
        <v>0</v>
      </c>
      <c r="U10" s="1">
        <v>2285</v>
      </c>
      <c r="V10" s="1">
        <v>17754</v>
      </c>
    </row>
    <row r="11" spans="1:22" x14ac:dyDescent="0.25">
      <c r="A11" s="135"/>
      <c r="B11" s="1">
        <v>0</v>
      </c>
      <c r="C11" s="1">
        <v>0</v>
      </c>
      <c r="D11" s="1">
        <v>0</v>
      </c>
      <c r="E11" s="1">
        <v>0</v>
      </c>
      <c r="F11" s="1">
        <v>3823</v>
      </c>
      <c r="G11" s="1">
        <v>149843</v>
      </c>
      <c r="H11" s="1">
        <v>103603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/>
      <c r="O11" s="1">
        <v>2507</v>
      </c>
      <c r="P11" s="1">
        <v>145089</v>
      </c>
      <c r="Q11" s="1">
        <v>0</v>
      </c>
      <c r="R11" s="1">
        <v>0</v>
      </c>
      <c r="S11" s="1">
        <v>0</v>
      </c>
      <c r="T11" s="1">
        <v>0</v>
      </c>
      <c r="U11" s="1">
        <v>15190</v>
      </c>
      <c r="V11" s="1">
        <v>4885</v>
      </c>
    </row>
    <row r="12" spans="1:22" x14ac:dyDescent="0.25">
      <c r="A12" s="135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159596</v>
      </c>
      <c r="H12" s="1">
        <v>208410</v>
      </c>
      <c r="I12" s="1">
        <v>0</v>
      </c>
      <c r="J12" s="17"/>
      <c r="K12" s="1">
        <v>0</v>
      </c>
      <c r="L12" s="1">
        <v>0</v>
      </c>
      <c r="M12" s="1">
        <v>0</v>
      </c>
      <c r="N12" s="3"/>
      <c r="O12" s="1">
        <v>40737</v>
      </c>
      <c r="P12" s="1">
        <v>90735</v>
      </c>
      <c r="Q12" s="1">
        <v>4885</v>
      </c>
      <c r="R12" s="1">
        <v>0</v>
      </c>
      <c r="S12" s="1">
        <v>11039</v>
      </c>
      <c r="T12" s="1">
        <v>0</v>
      </c>
      <c r="U12" s="1">
        <v>9549</v>
      </c>
      <c r="V12" s="1">
        <v>484</v>
      </c>
    </row>
    <row r="13" spans="1:22" ht="16.5" x14ac:dyDescent="0.25">
      <c r="A13" s="135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">
        <v>322</v>
      </c>
      <c r="P13" s="13"/>
      <c r="Q13" s="13"/>
      <c r="R13" s="17"/>
      <c r="S13" s="17"/>
      <c r="T13" s="17"/>
      <c r="U13" s="17"/>
      <c r="V13" s="17"/>
    </row>
    <row r="14" spans="1:22" ht="16.5" x14ac:dyDescent="0.25">
      <c r="A14" s="135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">
        <v>44157</v>
      </c>
      <c r="P14" s="13"/>
      <c r="Q14" s="13"/>
      <c r="R14" s="17"/>
      <c r="S14" s="17"/>
      <c r="T14" s="17"/>
      <c r="U14" s="17"/>
      <c r="V14" s="17"/>
    </row>
    <row r="15" spans="1:22" ht="16.5" x14ac:dyDescent="0.25">
      <c r="A15" s="135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">
        <v>15081</v>
      </c>
      <c r="P15" s="13"/>
      <c r="Q15" s="13"/>
      <c r="R15" s="17"/>
      <c r="S15" s="17"/>
      <c r="T15" s="17"/>
      <c r="U15" s="17"/>
      <c r="V15" s="17"/>
    </row>
    <row r="16" spans="1:22" ht="16.5" x14ac:dyDescent="0.25">
      <c r="A16" s="135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">
        <v>94613</v>
      </c>
      <c r="P16" s="13"/>
      <c r="Q16" s="13"/>
      <c r="R16" s="17"/>
      <c r="S16" s="17"/>
      <c r="T16" s="17"/>
      <c r="U16" s="17"/>
      <c r="V16" s="17"/>
    </row>
    <row r="17" spans="1:22" ht="16.5" x14ac:dyDescent="0.25">
      <c r="A17" s="135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100512</v>
      </c>
      <c r="P17" s="13"/>
      <c r="Q17" s="13"/>
      <c r="R17" s="17"/>
      <c r="S17" s="17"/>
      <c r="T17" s="17"/>
      <c r="U17" s="17"/>
      <c r="V17" s="17"/>
    </row>
    <row r="18" spans="1:22" ht="16.5" x14ac:dyDescent="0.25">
      <c r="A18" s="135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405</v>
      </c>
      <c r="P18" s="13"/>
      <c r="Q18" s="13"/>
      <c r="R18" s="17"/>
      <c r="S18" s="17"/>
      <c r="T18" s="17"/>
      <c r="U18" s="17"/>
      <c r="V18" s="17"/>
    </row>
    <row r="19" spans="1:22" ht="16.5" x14ac:dyDescent="0.25">
      <c r="A19" s="135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77951</v>
      </c>
      <c r="P19" s="13"/>
      <c r="Q19" s="13"/>
      <c r="R19" s="17"/>
      <c r="S19" s="17"/>
      <c r="T19" s="17"/>
      <c r="U19" s="17"/>
      <c r="V19" s="17"/>
    </row>
    <row r="20" spans="1:22" ht="16.5" x14ac:dyDescent="0.25">
      <c r="A20" s="135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">
        <v>97388</v>
      </c>
      <c r="P20" s="13"/>
      <c r="Q20" s="13"/>
      <c r="R20" s="17"/>
      <c r="S20" s="17"/>
      <c r="T20" s="17"/>
      <c r="U20" s="17"/>
      <c r="V20" s="17"/>
    </row>
    <row r="21" spans="1:22" x14ac:dyDescent="0.2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2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saccharin-0.01mg/L</v>
      </c>
      <c r="J22" s="3" t="str">
        <f t="shared" si="1"/>
        <v>saccharin-0.1mg/L</v>
      </c>
      <c r="K22" s="3" t="str">
        <f t="shared" si="1"/>
        <v>saccharin-1mg/L</v>
      </c>
      <c r="L22" s="3" t="str">
        <f t="shared" si="1"/>
        <v>saccharin-10mg/L</v>
      </c>
      <c r="M22" s="3" t="str">
        <f t="shared" si="1"/>
        <v>saccharin-100mg/L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saccharin-0.01mg/L + Testostérone</v>
      </c>
      <c r="S22" s="3" t="str">
        <f t="shared" si="1"/>
        <v>saccharin-0.1mg/L + Testostérone</v>
      </c>
      <c r="T22" s="3" t="str">
        <f t="shared" si="1"/>
        <v>saccharin-1mg/L + Testostérone</v>
      </c>
      <c r="U22" s="3" t="str">
        <f t="shared" si="1"/>
        <v>saccharin-10mg/L + Testostérone</v>
      </c>
      <c r="V22" s="3" t="str">
        <f t="shared" si="1"/>
        <v>saccharin-100mg/L + Testostérone</v>
      </c>
    </row>
    <row r="23" spans="1:22" x14ac:dyDescent="0.25">
      <c r="A23" s="5" t="s">
        <v>0</v>
      </c>
      <c r="B23" s="5">
        <f t="shared" ref="B23:J23" si="2">AVERAGE(B5:B20)</f>
        <v>0</v>
      </c>
      <c r="C23" s="5">
        <f t="shared" si="2"/>
        <v>10.125</v>
      </c>
      <c r="D23" s="5">
        <f t="shared" si="2"/>
        <v>10.375</v>
      </c>
      <c r="E23" s="5">
        <f t="shared" si="2"/>
        <v>10.25</v>
      </c>
      <c r="F23" s="5">
        <f t="shared" si="2"/>
        <v>62225.625</v>
      </c>
      <c r="G23" s="5">
        <f t="shared" si="2"/>
        <v>111382.125</v>
      </c>
      <c r="H23" s="5">
        <f t="shared" si="2"/>
        <v>178231.625</v>
      </c>
      <c r="I23" s="5">
        <f t="shared" si="2"/>
        <v>0</v>
      </c>
      <c r="J23" s="5">
        <f t="shared" si="2"/>
        <v>0</v>
      </c>
      <c r="K23" s="5"/>
      <c r="L23" s="5">
        <f>AVERAGE(L5:L20)</f>
        <v>0</v>
      </c>
      <c r="M23" s="5"/>
      <c r="N23" s="5" t="s">
        <v>0</v>
      </c>
      <c r="O23" s="5">
        <f>AVERAGE(O5:O20)</f>
        <v>43402.8125</v>
      </c>
      <c r="P23" s="5">
        <f>AVERAGE(P5:P20)</f>
        <v>92910</v>
      </c>
      <c r="Q23" s="5">
        <f>AVERAGE(Q5:Q20)</f>
        <v>610.625</v>
      </c>
      <c r="R23" s="5">
        <f>AVERAGE(R5:R20)</f>
        <v>13839</v>
      </c>
      <c r="S23" s="5">
        <f>AVERAGE(S5:S20)</f>
        <v>20888.125</v>
      </c>
      <c r="T23" s="5">
        <f t="shared" ref="T23:V23" si="3">AVERAGE(T5:T20)</f>
        <v>18995.125</v>
      </c>
      <c r="U23" s="5">
        <f t="shared" si="3"/>
        <v>21500</v>
      </c>
      <c r="V23" s="5">
        <f t="shared" si="3"/>
        <v>25037.125</v>
      </c>
    </row>
    <row r="24" spans="1:22" x14ac:dyDescent="0.25">
      <c r="A24" s="3" t="s">
        <v>1</v>
      </c>
      <c r="B24" s="3">
        <f t="shared" ref="B24:J24" si="4">STDEV(B5:B20)</f>
        <v>0</v>
      </c>
      <c r="C24" s="3">
        <f t="shared" si="4"/>
        <v>28.637824638055175</v>
      </c>
      <c r="D24" s="3">
        <f t="shared" si="4"/>
        <v>29.344931419241721</v>
      </c>
      <c r="E24" s="3">
        <f t="shared" si="4"/>
        <v>28.991378028648448</v>
      </c>
      <c r="F24" s="3">
        <f t="shared" si="4"/>
        <v>78413.085141516494</v>
      </c>
      <c r="G24" s="3">
        <f t="shared" si="4"/>
        <v>44164.901825633635</v>
      </c>
      <c r="H24" s="3">
        <f t="shared" si="4"/>
        <v>52965.367056320058</v>
      </c>
      <c r="I24" s="3">
        <f t="shared" si="4"/>
        <v>0</v>
      </c>
      <c r="J24" s="3">
        <f t="shared" si="4"/>
        <v>0</v>
      </c>
      <c r="K24" s="3"/>
      <c r="L24" s="3">
        <f>STDEV(L5:L20)</f>
        <v>0</v>
      </c>
      <c r="M24" s="3"/>
      <c r="N24" s="3" t="s">
        <v>1</v>
      </c>
      <c r="O24" s="3">
        <f>STDEV(O5:O20)</f>
        <v>36190.995701912281</v>
      </c>
      <c r="P24" s="3">
        <f>STDEV(P5:P20)</f>
        <v>59577.085731728388</v>
      </c>
      <c r="Q24" s="3">
        <f>STDEV(Q5:Q20)</f>
        <v>1727.1083130481422</v>
      </c>
      <c r="R24" s="3">
        <f>STDEV(R5:R20)</f>
        <v>33627.261767797863</v>
      </c>
      <c r="S24" s="3">
        <f>STDEV(S5:S20)</f>
        <v>25111.482987654985</v>
      </c>
      <c r="T24" s="3">
        <f t="shared" ref="T24:V24" si="5">STDEV(T5:T20)</f>
        <v>32623.733847078263</v>
      </c>
      <c r="U24" s="3">
        <f t="shared" si="5"/>
        <v>38054.80241516362</v>
      </c>
      <c r="V24" s="3">
        <f t="shared" si="5"/>
        <v>31876.223115748828</v>
      </c>
    </row>
    <row r="25" spans="1:22" ht="15.75" thickBot="1" x14ac:dyDescent="0.3"/>
    <row r="26" spans="1:22" ht="15.75" thickBot="1" x14ac:dyDescent="0.3">
      <c r="B26" s="138" t="s">
        <v>41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O26" s="138" t="s">
        <v>42</v>
      </c>
      <c r="P26" s="139"/>
      <c r="Q26" s="139"/>
      <c r="R26" s="139"/>
      <c r="S26" s="139"/>
      <c r="T26" s="139"/>
      <c r="U26" s="139"/>
      <c r="V26" s="139"/>
    </row>
    <row r="27" spans="1:22" x14ac:dyDescent="0.2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saccharin-0.01mg/L</v>
      </c>
      <c r="J27" s="20" t="str">
        <f t="shared" si="6"/>
        <v>saccharin-0.1mg/L</v>
      </c>
      <c r="K27" s="20" t="str">
        <f t="shared" si="6"/>
        <v>saccharin-1mg/L</v>
      </c>
      <c r="L27" s="20" t="str">
        <f t="shared" si="6"/>
        <v>saccharin-10mg/L</v>
      </c>
      <c r="M27" s="20" t="str">
        <f t="shared" si="6"/>
        <v>saccharin-100mg/L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saccharin-0.01mg/L + Testostérone</v>
      </c>
      <c r="S27" s="21" t="str">
        <f t="shared" si="7"/>
        <v>saccharin-0.1mg/L + Testostérone</v>
      </c>
      <c r="T27" s="21" t="str">
        <f t="shared" si="7"/>
        <v>saccharin-1mg/L + Testostérone</v>
      </c>
      <c r="U27" s="21" t="str">
        <f t="shared" si="7"/>
        <v>saccharin-10mg/L + Testostérone</v>
      </c>
      <c r="V27" s="21" t="str">
        <f t="shared" si="7"/>
        <v>saccharin-100mg/L + Testostérone</v>
      </c>
    </row>
    <row r="28" spans="1:22" ht="14.45" customHeight="1" x14ac:dyDescent="0.25">
      <c r="A28" s="136" t="s">
        <v>35</v>
      </c>
      <c r="B28" s="11">
        <f t="shared" ref="B28:M28" si="8">IF(B5="","",(B5/$O$23))</f>
        <v>0</v>
      </c>
      <c r="C28" s="11">
        <f t="shared" si="8"/>
        <v>0</v>
      </c>
      <c r="D28" s="11">
        <f t="shared" si="8"/>
        <v>0</v>
      </c>
      <c r="E28" s="11">
        <f t="shared" si="8"/>
        <v>0</v>
      </c>
      <c r="F28" s="11">
        <f t="shared" si="8"/>
        <v>1.2090230327815739</v>
      </c>
      <c r="G28" s="11">
        <f t="shared" si="8"/>
        <v>1.2512322790141768</v>
      </c>
      <c r="H28" s="11">
        <f t="shared" si="8"/>
        <v>2.445048923960861</v>
      </c>
      <c r="I28" s="11">
        <f t="shared" si="8"/>
        <v>0</v>
      </c>
      <c r="J28" s="11">
        <f t="shared" si="8"/>
        <v>0</v>
      </c>
      <c r="K28" s="11">
        <f t="shared" si="8"/>
        <v>0</v>
      </c>
      <c r="L28" s="11">
        <f t="shared" si="8"/>
        <v>0</v>
      </c>
      <c r="M28" s="11">
        <f t="shared" si="8"/>
        <v>0</v>
      </c>
      <c r="N28" s="6"/>
      <c r="O28" s="11">
        <f t="shared" ref="O28:V37" si="9">IF(O5="","",(O5/$O$23))</f>
        <v>1.1021175183059853</v>
      </c>
      <c r="P28" s="11">
        <f t="shared" si="9"/>
        <v>0.13554421156463076</v>
      </c>
      <c r="Q28" s="11">
        <f t="shared" si="9"/>
        <v>0</v>
      </c>
      <c r="R28" s="11">
        <f t="shared" si="9"/>
        <v>2.2316526146779081</v>
      </c>
      <c r="S28" s="11">
        <f t="shared" si="9"/>
        <v>1.5220672623461902</v>
      </c>
      <c r="T28" s="11">
        <f t="shared" si="9"/>
        <v>0.97873841700926634</v>
      </c>
      <c r="U28" s="11">
        <f t="shared" si="9"/>
        <v>0</v>
      </c>
      <c r="V28" s="11">
        <f t="shared" si="9"/>
        <v>3.7555169955864037E-3</v>
      </c>
    </row>
    <row r="29" spans="1:22" x14ac:dyDescent="0.25">
      <c r="A29" s="137"/>
      <c r="B29" s="11">
        <f t="shared" ref="B29:M29" si="10">IF(B6="","",(B6/$O$23))</f>
        <v>0</v>
      </c>
      <c r="C29" s="11">
        <f t="shared" si="10"/>
        <v>0</v>
      </c>
      <c r="D29" s="11">
        <f t="shared" si="10"/>
        <v>0</v>
      </c>
      <c r="E29" s="11">
        <f t="shared" si="10"/>
        <v>0</v>
      </c>
      <c r="F29" s="11">
        <f t="shared" si="10"/>
        <v>4.8633023493581202</v>
      </c>
      <c r="G29" s="11">
        <f t="shared" si="10"/>
        <v>2.1355528515577187</v>
      </c>
      <c r="H29" s="11">
        <f t="shared" si="10"/>
        <v>4.445956123235101</v>
      </c>
      <c r="I29" s="11">
        <f t="shared" si="10"/>
        <v>0</v>
      </c>
      <c r="J29" s="11">
        <f t="shared" si="10"/>
        <v>0</v>
      </c>
      <c r="K29" s="11">
        <f t="shared" si="10"/>
        <v>0</v>
      </c>
      <c r="L29" s="11">
        <f t="shared" si="10"/>
        <v>0</v>
      </c>
      <c r="M29" s="11">
        <f t="shared" si="10"/>
        <v>0</v>
      </c>
      <c r="N29" s="6"/>
      <c r="O29" s="11">
        <f t="shared" si="9"/>
        <v>0.24270316583746732</v>
      </c>
      <c r="P29" s="11">
        <f t="shared" si="9"/>
        <v>3.5228131817494547E-2</v>
      </c>
      <c r="Q29" s="11">
        <f t="shared" si="9"/>
        <v>0</v>
      </c>
      <c r="R29" s="11">
        <f t="shared" si="9"/>
        <v>0.16139507088394328</v>
      </c>
      <c r="S29" s="11">
        <f t="shared" si="9"/>
        <v>0.20703727437018049</v>
      </c>
      <c r="T29" s="11">
        <f t="shared" si="9"/>
        <v>0.43098589521128383</v>
      </c>
      <c r="U29" s="11">
        <f t="shared" si="9"/>
        <v>2.6300369359704514</v>
      </c>
      <c r="V29" s="11">
        <f t="shared" si="9"/>
        <v>1.1126007099194322</v>
      </c>
    </row>
    <row r="30" spans="1:22" x14ac:dyDescent="0.25">
      <c r="A30" s="137"/>
      <c r="B30" s="11">
        <f t="shared" ref="B30:M30" si="11">IF(B7="","",(B7/$O$23))</f>
        <v>0</v>
      </c>
      <c r="C30" s="11">
        <f t="shared" si="11"/>
        <v>0</v>
      </c>
      <c r="D30" s="11">
        <f t="shared" si="11"/>
        <v>0</v>
      </c>
      <c r="E30" s="11">
        <f t="shared" si="11"/>
        <v>0</v>
      </c>
      <c r="F30" s="11">
        <f t="shared" si="11"/>
        <v>0</v>
      </c>
      <c r="G30" s="11">
        <f t="shared" si="11"/>
        <v>3.1562470750023399</v>
      </c>
      <c r="H30" s="11">
        <f t="shared" si="11"/>
        <v>3.9800416159667074</v>
      </c>
      <c r="I30" s="11">
        <f t="shared" si="11"/>
        <v>0</v>
      </c>
      <c r="J30" s="11">
        <f t="shared" si="11"/>
        <v>0</v>
      </c>
      <c r="K30" s="11">
        <f t="shared" si="11"/>
        <v>0</v>
      </c>
      <c r="L30" s="11">
        <f t="shared" si="11"/>
        <v>0</v>
      </c>
      <c r="M30" s="11">
        <f t="shared" si="11"/>
        <v>0</v>
      </c>
      <c r="N30" s="6"/>
      <c r="O30" s="11">
        <f t="shared" si="9"/>
        <v>1.0277905377675698</v>
      </c>
      <c r="P30" s="11">
        <f t="shared" si="9"/>
        <v>2.9112629509896393</v>
      </c>
      <c r="Q30" s="11">
        <f t="shared" si="9"/>
        <v>0</v>
      </c>
      <c r="R30" s="11">
        <f t="shared" si="9"/>
        <v>4.6333402933277652E-2</v>
      </c>
      <c r="S30" s="11">
        <f t="shared" si="9"/>
        <v>1.0550929159256672</v>
      </c>
      <c r="T30" s="11">
        <f t="shared" si="9"/>
        <v>2.0840815327347739</v>
      </c>
      <c r="U30" s="11">
        <f t="shared" si="9"/>
        <v>0.27131882294494164</v>
      </c>
      <c r="V30" s="11">
        <f t="shared" si="9"/>
        <v>0.92519349984520016</v>
      </c>
    </row>
    <row r="31" spans="1:22" x14ac:dyDescent="0.25">
      <c r="A31" s="137"/>
      <c r="B31" s="11">
        <f t="shared" ref="B31:M31" si="12">IF(B8="","",(B8/$O$23))</f>
        <v>0</v>
      </c>
      <c r="C31" s="11">
        <f t="shared" si="12"/>
        <v>0</v>
      </c>
      <c r="D31" s="11">
        <f t="shared" si="12"/>
        <v>0</v>
      </c>
      <c r="E31" s="11">
        <f t="shared" si="12"/>
        <v>0</v>
      </c>
      <c r="F31" s="11">
        <f t="shared" si="12"/>
        <v>0</v>
      </c>
      <c r="G31" s="11">
        <f t="shared" si="12"/>
        <v>1.6183974252820599</v>
      </c>
      <c r="H31" s="11">
        <f t="shared" si="12"/>
        <v>4.8340415727667416</v>
      </c>
      <c r="I31" s="11">
        <f t="shared" si="12"/>
        <v>0</v>
      </c>
      <c r="J31" s="11">
        <f t="shared" si="12"/>
        <v>0</v>
      </c>
      <c r="K31" s="11">
        <f t="shared" si="12"/>
        <v>0</v>
      </c>
      <c r="L31" s="11">
        <f t="shared" si="12"/>
        <v>0</v>
      </c>
      <c r="M31" s="11">
        <f t="shared" si="12"/>
        <v>0</v>
      </c>
      <c r="N31" s="6"/>
      <c r="O31" s="11">
        <f t="shared" si="9"/>
        <v>1.331411414870868</v>
      </c>
      <c r="P31" s="11">
        <f t="shared" si="9"/>
        <v>2.0776072979141618</v>
      </c>
      <c r="Q31" s="11">
        <f t="shared" si="9"/>
        <v>0</v>
      </c>
      <c r="R31" s="11">
        <f t="shared" si="9"/>
        <v>3.92140486287611E-2</v>
      </c>
      <c r="S31" s="11">
        <f t="shared" si="9"/>
        <v>0</v>
      </c>
      <c r="T31" s="11">
        <f t="shared" si="9"/>
        <v>0</v>
      </c>
      <c r="U31" s="11">
        <f t="shared" si="9"/>
        <v>0.42388958088833528</v>
      </c>
      <c r="V31" s="11">
        <f t="shared" si="9"/>
        <v>0</v>
      </c>
    </row>
    <row r="32" spans="1:22" x14ac:dyDescent="0.25">
      <c r="A32" s="137"/>
      <c r="B32" s="11">
        <f t="shared" ref="B32:M32" si="13">IF(B9="","",(B9/$O$23))</f>
        <v>0</v>
      </c>
      <c r="C32" s="11">
        <f t="shared" si="13"/>
        <v>1.8662385070091945E-3</v>
      </c>
      <c r="D32" s="11">
        <f t="shared" si="13"/>
        <v>0</v>
      </c>
      <c r="E32" s="11">
        <f t="shared" si="13"/>
        <v>0</v>
      </c>
      <c r="F32" s="11">
        <f t="shared" si="13"/>
        <v>2.4583199533440374</v>
      </c>
      <c r="G32" s="11">
        <f t="shared" si="13"/>
        <v>1.6041817566545946</v>
      </c>
      <c r="H32" s="11">
        <f t="shared" si="13"/>
        <v>3.9686368250905399</v>
      </c>
      <c r="I32" s="11">
        <f t="shared" si="13"/>
        <v>0</v>
      </c>
      <c r="J32" s="11">
        <f t="shared" si="13"/>
        <v>0</v>
      </c>
      <c r="K32" s="11">
        <f t="shared" si="13"/>
        <v>0</v>
      </c>
      <c r="L32" s="11">
        <f t="shared" si="13"/>
        <v>0</v>
      </c>
      <c r="M32" s="11">
        <f t="shared" si="13"/>
        <v>0</v>
      </c>
      <c r="N32" s="6"/>
      <c r="O32" s="11">
        <f t="shared" si="9"/>
        <v>0</v>
      </c>
      <c r="P32" s="11">
        <f t="shared" si="9"/>
        <v>3.5464982828013736</v>
      </c>
      <c r="Q32" s="11">
        <f t="shared" si="9"/>
        <v>0</v>
      </c>
      <c r="R32" s="11">
        <f t="shared" si="9"/>
        <v>0</v>
      </c>
      <c r="S32" s="11">
        <f t="shared" si="9"/>
        <v>0</v>
      </c>
      <c r="T32" s="11">
        <f t="shared" si="9"/>
        <v>7.3727941017647184E-3</v>
      </c>
      <c r="U32" s="11">
        <f t="shared" si="9"/>
        <v>1.49990280007776E-2</v>
      </c>
      <c r="V32" s="11">
        <f t="shared" si="9"/>
        <v>2.040535967571226</v>
      </c>
    </row>
    <row r="33" spans="1:22" x14ac:dyDescent="0.25">
      <c r="A33" s="137"/>
      <c r="B33" s="11">
        <f t="shared" ref="B33:M33" si="14">IF(B10="","",(B10/$O$23))</f>
        <v>0</v>
      </c>
      <c r="C33" s="11">
        <f t="shared" si="14"/>
        <v>0</v>
      </c>
      <c r="D33" s="11">
        <f t="shared" si="14"/>
        <v>1.9123184701452238E-3</v>
      </c>
      <c r="E33" s="11">
        <f t="shared" si="14"/>
        <v>1.8892784885772092E-3</v>
      </c>
      <c r="F33" s="11">
        <f t="shared" si="14"/>
        <v>2.8506908394473283</v>
      </c>
      <c r="G33" s="11">
        <f t="shared" si="14"/>
        <v>3.6348566121147101</v>
      </c>
      <c r="H33" s="11">
        <f t="shared" si="14"/>
        <v>5.9891280086975929</v>
      </c>
      <c r="I33" s="11">
        <f t="shared" si="14"/>
        <v>0</v>
      </c>
      <c r="J33" s="11">
        <f t="shared" si="14"/>
        <v>0</v>
      </c>
      <c r="K33" s="11">
        <f t="shared" si="14"/>
        <v>0</v>
      </c>
      <c r="L33" s="11">
        <f t="shared" si="14"/>
        <v>0</v>
      </c>
      <c r="M33" s="11">
        <f t="shared" si="14"/>
        <v>0</v>
      </c>
      <c r="N33" s="6"/>
      <c r="O33" s="11">
        <f t="shared" si="9"/>
        <v>1.3825601739518609</v>
      </c>
      <c r="P33" s="11">
        <f t="shared" si="9"/>
        <v>2.9856360114911906</v>
      </c>
      <c r="Q33" s="11">
        <f t="shared" si="9"/>
        <v>0</v>
      </c>
      <c r="R33" s="11">
        <f t="shared" si="9"/>
        <v>7.2207302234158208E-2</v>
      </c>
      <c r="S33" s="11">
        <f t="shared" si="9"/>
        <v>0.81156031075175139</v>
      </c>
      <c r="T33" s="11">
        <f t="shared" si="9"/>
        <v>0</v>
      </c>
      <c r="U33" s="11">
        <f t="shared" si="9"/>
        <v>5.2646357882913691E-2</v>
      </c>
      <c r="V33" s="11">
        <f t="shared" si="9"/>
        <v>0.4090518327585338</v>
      </c>
    </row>
    <row r="34" spans="1:22" x14ac:dyDescent="0.25">
      <c r="A34" s="137"/>
      <c r="B34" s="11">
        <f t="shared" ref="B34:M34" si="15">IF(B11="","",(B11/$O$23))</f>
        <v>0</v>
      </c>
      <c r="C34" s="11">
        <f t="shared" si="15"/>
        <v>0</v>
      </c>
      <c r="D34" s="11">
        <f t="shared" si="15"/>
        <v>0</v>
      </c>
      <c r="E34" s="11">
        <f t="shared" si="15"/>
        <v>0</v>
      </c>
      <c r="F34" s="11">
        <f t="shared" si="15"/>
        <v>8.8081849534520376E-2</v>
      </c>
      <c r="G34" s="11">
        <f t="shared" si="15"/>
        <v>3.4523799580960337</v>
      </c>
      <c r="H34" s="11">
        <f t="shared" si="15"/>
        <v>2.3870112103910315</v>
      </c>
      <c r="I34" s="11">
        <f t="shared" si="15"/>
        <v>0</v>
      </c>
      <c r="J34" s="11">
        <f t="shared" si="15"/>
        <v>0</v>
      </c>
      <c r="K34" s="11">
        <f t="shared" si="15"/>
        <v>0</v>
      </c>
      <c r="L34" s="11">
        <f t="shared" si="15"/>
        <v>0</v>
      </c>
      <c r="M34" s="11">
        <f t="shared" si="15"/>
        <v>0</v>
      </c>
      <c r="N34" s="6"/>
      <c r="O34" s="11">
        <f t="shared" si="9"/>
        <v>5.7761233791012966E-2</v>
      </c>
      <c r="P34" s="11">
        <f t="shared" si="9"/>
        <v>3.3428478857216914</v>
      </c>
      <c r="Q34" s="11">
        <f t="shared" si="9"/>
        <v>0</v>
      </c>
      <c r="R34" s="11">
        <f t="shared" si="9"/>
        <v>0</v>
      </c>
      <c r="S34" s="11">
        <f t="shared" si="9"/>
        <v>0</v>
      </c>
      <c r="T34" s="11">
        <f t="shared" si="9"/>
        <v>0</v>
      </c>
      <c r="U34" s="11">
        <f t="shared" si="9"/>
        <v>0.34997732001814397</v>
      </c>
      <c r="V34" s="11">
        <f t="shared" si="9"/>
        <v>0.11255030995975203</v>
      </c>
    </row>
    <row r="35" spans="1:22" x14ac:dyDescent="0.25">
      <c r="A35" s="137"/>
      <c r="B35" s="11">
        <f t="shared" ref="B35:M35" si="16">IF(B12="","",(B12/$O$23))</f>
        <v>0</v>
      </c>
      <c r="C35" s="11">
        <f t="shared" si="16"/>
        <v>0</v>
      </c>
      <c r="D35" s="11">
        <f t="shared" si="16"/>
        <v>0</v>
      </c>
      <c r="E35" s="11">
        <f t="shared" si="16"/>
        <v>0</v>
      </c>
      <c r="F35" s="11">
        <f t="shared" si="16"/>
        <v>0</v>
      </c>
      <c r="G35" s="11">
        <f t="shared" si="16"/>
        <v>3.6770888983288814</v>
      </c>
      <c r="H35" s="11">
        <f t="shared" si="16"/>
        <v>4.801762558589953</v>
      </c>
      <c r="I35" s="11">
        <f t="shared" si="16"/>
        <v>0</v>
      </c>
      <c r="J35" s="11" t="str">
        <f t="shared" si="16"/>
        <v/>
      </c>
      <c r="K35" s="11">
        <f t="shared" si="16"/>
        <v>0</v>
      </c>
      <c r="L35" s="11">
        <f t="shared" si="16"/>
        <v>0</v>
      </c>
      <c r="M35" s="11">
        <f t="shared" si="16"/>
        <v>0</v>
      </c>
      <c r="N35" s="6"/>
      <c r="O35" s="11">
        <f t="shared" si="9"/>
        <v>0.93857972913621668</v>
      </c>
      <c r="P35" s="11">
        <f t="shared" si="9"/>
        <v>2.0905327275738181</v>
      </c>
      <c r="Q35" s="11">
        <f t="shared" si="9"/>
        <v>0.11255030995975203</v>
      </c>
      <c r="R35" s="11">
        <f t="shared" si="9"/>
        <v>0</v>
      </c>
      <c r="S35" s="11">
        <f t="shared" si="9"/>
        <v>0.2543383565293148</v>
      </c>
      <c r="T35" s="11">
        <f t="shared" si="9"/>
        <v>0</v>
      </c>
      <c r="U35" s="11">
        <f t="shared" si="9"/>
        <v>0.2200087839929728</v>
      </c>
      <c r="V35" s="11">
        <f t="shared" si="9"/>
        <v>1.1151351078919137E-2</v>
      </c>
    </row>
    <row r="36" spans="1:22" x14ac:dyDescent="0.25">
      <c r="A36" s="137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7.4188740649007478E-3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25">
      <c r="A37" s="137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1.0173764660988271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25">
      <c r="A38" s="137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0.3474659620272304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25">
      <c r="A39" s="137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2.1798817760945792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25">
      <c r="A40" s="137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2.3157946273642982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25">
      <c r="A41" s="137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9.3311925350459714E-3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25">
      <c r="A42" s="137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1.7959896032083174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25">
      <c r="A43" s="137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2.2438177249458202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2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saccharin-0.01mg/L</v>
      </c>
      <c r="J45" s="7" t="str">
        <f t="shared" si="27"/>
        <v>saccharin-0.1mg/L</v>
      </c>
      <c r="K45" s="7" t="str">
        <f t="shared" si="27"/>
        <v>saccharin-1mg/L</v>
      </c>
      <c r="L45" s="7" t="str">
        <f t="shared" si="27"/>
        <v>saccharin-10mg/L</v>
      </c>
      <c r="M45" s="7" t="str">
        <f t="shared" si="27"/>
        <v>saccharin-100mg/L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saccharin-0.01mg/L + Testostérone</v>
      </c>
      <c r="S45" s="7" t="str">
        <f t="shared" si="27"/>
        <v>saccharin-0.1mg/L + Testostérone</v>
      </c>
      <c r="T45" s="7" t="str">
        <f t="shared" si="27"/>
        <v>saccharin-1mg/L + Testostérone</v>
      </c>
      <c r="U45" s="7" t="str">
        <f t="shared" si="27"/>
        <v>saccharin-10mg/L + Testostérone</v>
      </c>
      <c r="V45" s="7" t="str">
        <f t="shared" si="27"/>
        <v>saccharin-100mg/L + Testostérone</v>
      </c>
    </row>
    <row r="46" spans="1:22" x14ac:dyDescent="0.25">
      <c r="A46" s="8" t="s">
        <v>0</v>
      </c>
      <c r="B46" s="10">
        <f t="shared" ref="B46:H46" si="28">AVERAGE(B28:B43)</f>
        <v>0</v>
      </c>
      <c r="C46" s="10">
        <f t="shared" si="28"/>
        <v>2.3327981337614931E-4</v>
      </c>
      <c r="D46" s="10">
        <f t="shared" si="28"/>
        <v>2.3903980876815298E-4</v>
      </c>
      <c r="E46" s="10">
        <f t="shared" si="28"/>
        <v>2.3615981107215115E-4</v>
      </c>
      <c r="F46" s="10">
        <f t="shared" si="28"/>
        <v>1.4336772530581974</v>
      </c>
      <c r="G46" s="10">
        <f t="shared" si="28"/>
        <v>2.5662421070063148</v>
      </c>
      <c r="H46" s="10">
        <f t="shared" si="28"/>
        <v>4.1064533548373152</v>
      </c>
      <c r="I46" s="10">
        <f>AVERAGE(I28:I43)</f>
        <v>0</v>
      </c>
      <c r="J46" s="9">
        <f>AVERAGE(J28:J43)</f>
        <v>0</v>
      </c>
      <c r="K46" s="9">
        <f t="shared" ref="K46:M46" si="29">AVERAGE(K28:K43)</f>
        <v>0</v>
      </c>
      <c r="L46" s="9">
        <f t="shared" si="29"/>
        <v>0</v>
      </c>
      <c r="M46" s="9">
        <f t="shared" si="29"/>
        <v>0</v>
      </c>
      <c r="N46" s="8" t="s">
        <v>0</v>
      </c>
      <c r="O46" s="10">
        <f t="shared" ref="O46:V46" si="30">AVERAGE(O28:O43)</f>
        <v>1</v>
      </c>
      <c r="P46" s="10">
        <f t="shared" si="30"/>
        <v>2.1406446874842504</v>
      </c>
      <c r="Q46" s="10">
        <f t="shared" si="30"/>
        <v>1.4068788744969004E-2</v>
      </c>
      <c r="R46" s="10">
        <f t="shared" si="30"/>
        <v>0.31885030491975608</v>
      </c>
      <c r="S46" s="10">
        <f t="shared" si="30"/>
        <v>0.48126201499038801</v>
      </c>
      <c r="T46" s="10">
        <f t="shared" si="30"/>
        <v>0.43764732988213606</v>
      </c>
      <c r="U46" s="10">
        <f t="shared" si="30"/>
        <v>0.49535960371231702</v>
      </c>
      <c r="V46" s="10">
        <f t="shared" si="30"/>
        <v>0.57685489851608118</v>
      </c>
    </row>
    <row r="47" spans="1:22" x14ac:dyDescent="0.25">
      <c r="A47" s="8" t="s">
        <v>1</v>
      </c>
      <c r="B47" s="8">
        <f t="shared" ref="B47:M47" si="31">STDEV(B28:B43)</f>
        <v>0</v>
      </c>
      <c r="C47" s="8">
        <f t="shared" si="31"/>
        <v>6.5981495180882977E-4</v>
      </c>
      <c r="D47" s="8">
        <f t="shared" si="31"/>
        <v>6.7610667901398609E-4</v>
      </c>
      <c r="E47" s="8">
        <f t="shared" si="31"/>
        <v>6.6796081541140799E-4</v>
      </c>
      <c r="F47" s="8">
        <f t="shared" si="31"/>
        <v>1.8066360363517107</v>
      </c>
      <c r="G47" s="8">
        <f t="shared" si="31"/>
        <v>1.0175585240157785</v>
      </c>
      <c r="H47" s="8">
        <f t="shared" si="31"/>
        <v>1.2203210807207532</v>
      </c>
      <c r="I47" s="8">
        <f t="shared" si="31"/>
        <v>0</v>
      </c>
      <c r="J47" s="8">
        <f t="shared" si="31"/>
        <v>0</v>
      </c>
      <c r="K47" s="8">
        <f t="shared" si="31"/>
        <v>0</v>
      </c>
      <c r="L47" s="8">
        <f t="shared" si="31"/>
        <v>0</v>
      </c>
      <c r="M47" s="8">
        <f t="shared" si="31"/>
        <v>0</v>
      </c>
      <c r="N47" s="8" t="s">
        <v>1</v>
      </c>
      <c r="O47" s="8">
        <f t="shared" ref="O47:V47" si="32">STDEV(O28:O43)</f>
        <v>0.8338398739001599</v>
      </c>
      <c r="P47" s="8">
        <f t="shared" si="32"/>
        <v>1.3726549571350557</v>
      </c>
      <c r="Q47" s="8">
        <f t="shared" si="32"/>
        <v>3.9792543698594238E-2</v>
      </c>
      <c r="R47" s="8">
        <f t="shared" si="32"/>
        <v>0.77477149131286971</v>
      </c>
      <c r="S47" s="8">
        <f t="shared" si="32"/>
        <v>0.57856810518108659</v>
      </c>
      <c r="T47" s="8">
        <f t="shared" si="32"/>
        <v>0.75165022651650204</v>
      </c>
      <c r="U47" s="8">
        <f t="shared" si="32"/>
        <v>0.87678194621981287</v>
      </c>
      <c r="V47" s="8">
        <f t="shared" si="32"/>
        <v>0.73442759304477867</v>
      </c>
    </row>
    <row r="48" spans="1:22" x14ac:dyDescent="0.25">
      <c r="A48" s="8" t="s">
        <v>2</v>
      </c>
      <c r="B48" s="8">
        <f t="shared" ref="B48:M48" si="33" xml:space="preserve"> B47/SQRT(COUNT(B28:B43))</f>
        <v>0</v>
      </c>
      <c r="C48" s="8">
        <f t="shared" si="33"/>
        <v>2.3327981337614928E-4</v>
      </c>
      <c r="D48" s="8">
        <f t="shared" si="33"/>
        <v>2.3903980876815298E-4</v>
      </c>
      <c r="E48" s="8">
        <f t="shared" si="33"/>
        <v>2.3615981107215115E-4</v>
      </c>
      <c r="F48" s="8">
        <f t="shared" si="33"/>
        <v>0.63874229622014023</v>
      </c>
      <c r="G48" s="8">
        <f t="shared" si="33"/>
        <v>0.35976126629286564</v>
      </c>
      <c r="H48" s="8">
        <f t="shared" si="33"/>
        <v>0.43144865570127039</v>
      </c>
      <c r="I48" s="8">
        <f t="shared" si="33"/>
        <v>0</v>
      </c>
      <c r="J48" s="8">
        <f t="shared" si="33"/>
        <v>0</v>
      </c>
      <c r="K48" s="8">
        <f t="shared" si="33"/>
        <v>0</v>
      </c>
      <c r="L48" s="8">
        <f t="shared" si="33"/>
        <v>0</v>
      </c>
      <c r="M48" s="8">
        <f t="shared" si="33"/>
        <v>0</v>
      </c>
      <c r="N48" s="8" t="s">
        <v>2</v>
      </c>
      <c r="O48" s="8">
        <f t="shared" ref="O48:V48" si="34" xml:space="preserve"> O47/SQRT(COUNT(O28:O43))</f>
        <v>0.20845996847503998</v>
      </c>
      <c r="P48" s="8">
        <f t="shared" si="34"/>
        <v>0.48530681420976379</v>
      </c>
      <c r="Q48" s="8">
        <f t="shared" si="34"/>
        <v>1.4068788744969002E-2</v>
      </c>
      <c r="R48" s="8">
        <f t="shared" si="34"/>
        <v>0.27392308768867224</v>
      </c>
      <c r="S48" s="8">
        <f t="shared" si="34"/>
        <v>0.204554715275899</v>
      </c>
      <c r="T48" s="8">
        <f t="shared" si="34"/>
        <v>0.26574848612511154</v>
      </c>
      <c r="U48" s="8">
        <f t="shared" si="34"/>
        <v>0.30998922989698424</v>
      </c>
      <c r="V48" s="8">
        <f t="shared" si="34"/>
        <v>0.25965936566623854</v>
      </c>
    </row>
    <row r="49" spans="1:22" ht="15.75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7" thickBot="1" x14ac:dyDescent="0.45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 spans="1:22" ht="15.75" thickBot="1" x14ac:dyDescent="0.3"/>
    <row r="52" spans="1:22" x14ac:dyDescent="0.2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saccharin-0.01mg/L</v>
      </c>
      <c r="J52" s="30" t="str">
        <f>J4</f>
        <v>saccharin-0.1mg/L</v>
      </c>
      <c r="K52" s="30" t="str">
        <f t="shared" ref="K52:M52" si="37">K4</f>
        <v>saccharin-1mg/L</v>
      </c>
      <c r="L52" s="30" t="str">
        <f t="shared" si="37"/>
        <v>saccharin-10mg/L</v>
      </c>
      <c r="M52" s="30" t="str">
        <f t="shared" si="37"/>
        <v>saccharin-100mg/L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saccharin-0.01mg/L + Testostérone</v>
      </c>
      <c r="S52" s="30" t="str">
        <f t="shared" ref="S52:V52" si="38">S27</f>
        <v>saccharin-0.1mg/L + Testostérone</v>
      </c>
      <c r="T52" s="30" t="str">
        <f t="shared" si="38"/>
        <v>saccharin-1mg/L + Testostérone</v>
      </c>
      <c r="U52" s="30" t="str">
        <f t="shared" si="38"/>
        <v>saccharin-10mg/L + Testostérone</v>
      </c>
      <c r="V52" s="30" t="str">
        <f t="shared" si="38"/>
        <v>saccharin-100mg/L + Testostérone</v>
      </c>
    </row>
    <row r="53" spans="1:22" s="3" customFormat="1" x14ac:dyDescent="0.25">
      <c r="A53" s="45" t="s">
        <v>10</v>
      </c>
      <c r="B53" s="78">
        <f t="shared" ref="B53:V53" si="39">B46</f>
        <v>0</v>
      </c>
      <c r="C53" s="78">
        <f t="shared" si="39"/>
        <v>2.3327981337614931E-4</v>
      </c>
      <c r="D53" s="78">
        <f t="shared" si="39"/>
        <v>2.3903980876815298E-4</v>
      </c>
      <c r="E53" s="78">
        <f t="shared" si="39"/>
        <v>2.3615981107215115E-4</v>
      </c>
      <c r="F53" s="78">
        <f t="shared" si="39"/>
        <v>1.4336772530581974</v>
      </c>
      <c r="G53" s="78">
        <f t="shared" si="39"/>
        <v>2.5662421070063148</v>
      </c>
      <c r="H53" s="78">
        <f t="shared" si="39"/>
        <v>4.1064533548373152</v>
      </c>
      <c r="I53" s="78">
        <f t="shared" si="39"/>
        <v>0</v>
      </c>
      <c r="J53" s="78">
        <f t="shared" si="39"/>
        <v>0</v>
      </c>
      <c r="K53" s="78">
        <f t="shared" si="39"/>
        <v>0</v>
      </c>
      <c r="L53" s="78">
        <f t="shared" si="39"/>
        <v>0</v>
      </c>
      <c r="M53" s="78">
        <f t="shared" si="39"/>
        <v>0</v>
      </c>
      <c r="N53" s="78"/>
      <c r="O53" s="78">
        <f t="shared" si="39"/>
        <v>1</v>
      </c>
      <c r="P53" s="78">
        <f t="shared" si="39"/>
        <v>2.1406446874842504</v>
      </c>
      <c r="Q53" s="78">
        <f t="shared" si="39"/>
        <v>1.4068788744969004E-2</v>
      </c>
      <c r="R53" s="78">
        <f t="shared" si="39"/>
        <v>0.31885030491975608</v>
      </c>
      <c r="S53" s="78">
        <f t="shared" si="39"/>
        <v>0.48126201499038801</v>
      </c>
      <c r="T53" s="78">
        <f t="shared" si="39"/>
        <v>0.43764732988213606</v>
      </c>
      <c r="U53" s="78">
        <f t="shared" si="39"/>
        <v>0.49535960371231702</v>
      </c>
      <c r="V53" s="78">
        <f t="shared" si="39"/>
        <v>0.57685489851608118</v>
      </c>
    </row>
    <row r="54" spans="1:22" s="3" customFormat="1" x14ac:dyDescent="0.25">
      <c r="A54" s="45" t="s">
        <v>2</v>
      </c>
      <c r="B54" s="78">
        <f t="shared" ref="B54:V54" si="40">B48</f>
        <v>0</v>
      </c>
      <c r="C54" s="78">
        <f t="shared" si="40"/>
        <v>2.3327981337614928E-4</v>
      </c>
      <c r="D54" s="78">
        <f t="shared" si="40"/>
        <v>2.3903980876815298E-4</v>
      </c>
      <c r="E54" s="78">
        <f t="shared" si="40"/>
        <v>2.3615981107215115E-4</v>
      </c>
      <c r="F54" s="78">
        <f t="shared" si="40"/>
        <v>0.63874229622014023</v>
      </c>
      <c r="G54" s="78">
        <f t="shared" si="40"/>
        <v>0.35976126629286564</v>
      </c>
      <c r="H54" s="78">
        <f t="shared" si="40"/>
        <v>0.43144865570127039</v>
      </c>
      <c r="I54" s="78">
        <f t="shared" si="40"/>
        <v>0</v>
      </c>
      <c r="J54" s="78">
        <f t="shared" si="40"/>
        <v>0</v>
      </c>
      <c r="K54" s="78">
        <f t="shared" si="40"/>
        <v>0</v>
      </c>
      <c r="L54" s="78">
        <f t="shared" si="40"/>
        <v>0</v>
      </c>
      <c r="M54" s="78">
        <f t="shared" si="40"/>
        <v>0</v>
      </c>
      <c r="N54" s="78"/>
      <c r="O54" s="78">
        <f t="shared" si="40"/>
        <v>0.20845996847503998</v>
      </c>
      <c r="P54" s="78">
        <f t="shared" si="40"/>
        <v>0.48530681420976379</v>
      </c>
      <c r="Q54" s="78">
        <f t="shared" si="40"/>
        <v>1.4068788744969002E-2</v>
      </c>
      <c r="R54" s="78">
        <f t="shared" si="40"/>
        <v>0.27392308768867224</v>
      </c>
      <c r="S54" s="78">
        <f t="shared" si="40"/>
        <v>0.204554715275899</v>
      </c>
      <c r="T54" s="78">
        <f t="shared" si="40"/>
        <v>0.26574848612511154</v>
      </c>
      <c r="U54" s="78">
        <f t="shared" si="40"/>
        <v>0.30998922989698424</v>
      </c>
      <c r="V54" s="78">
        <f t="shared" si="40"/>
        <v>0.25965936566623854</v>
      </c>
    </row>
    <row r="55" spans="1:22" s="3" customFormat="1" x14ac:dyDescent="0.25">
      <c r="A55" s="45" t="s">
        <v>14</v>
      </c>
      <c r="B55" s="78" t="e">
        <f>(B53*100/$B53)-100</f>
        <v>#DIV/0!</v>
      </c>
      <c r="C55" s="78" t="e">
        <f t="shared" ref="C55:M55" si="41">(C53*100/$B53)-100</f>
        <v>#DIV/0!</v>
      </c>
      <c r="D55" s="78" t="e">
        <f t="shared" si="41"/>
        <v>#DIV/0!</v>
      </c>
      <c r="E55" s="78" t="e">
        <f t="shared" si="41"/>
        <v>#DIV/0!</v>
      </c>
      <c r="F55" s="78" t="e">
        <f t="shared" si="41"/>
        <v>#DIV/0!</v>
      </c>
      <c r="G55" s="78" t="e">
        <f t="shared" si="41"/>
        <v>#DIV/0!</v>
      </c>
      <c r="H55" s="78" t="e">
        <f t="shared" si="41"/>
        <v>#DIV/0!</v>
      </c>
      <c r="I55" s="78" t="e">
        <f t="shared" si="41"/>
        <v>#DIV/0!</v>
      </c>
      <c r="J55" s="78" t="e">
        <f t="shared" si="41"/>
        <v>#DIV/0!</v>
      </c>
      <c r="K55" s="78" t="e">
        <f t="shared" si="41"/>
        <v>#DIV/0!</v>
      </c>
      <c r="L55" s="78" t="e">
        <f t="shared" si="41"/>
        <v>#DIV/0!</v>
      </c>
      <c r="M55" s="78" t="e">
        <f t="shared" si="41"/>
        <v>#DIV/0!</v>
      </c>
      <c r="N55" s="78"/>
      <c r="O55" s="78">
        <f t="shared" ref="O55:V55" si="42">(O53*100/$O53)-100</f>
        <v>0</v>
      </c>
      <c r="P55" s="78">
        <f t="shared" si="42"/>
        <v>114.06446874842504</v>
      </c>
      <c r="Q55" s="78">
        <f t="shared" si="42"/>
        <v>-98.593121125503103</v>
      </c>
      <c r="R55" s="78">
        <f t="shared" si="42"/>
        <v>-68.114969508024387</v>
      </c>
      <c r="S55" s="78">
        <f t="shared" si="42"/>
        <v>-51.8737985009612</v>
      </c>
      <c r="T55" s="78">
        <f t="shared" si="42"/>
        <v>-56.235267011786391</v>
      </c>
      <c r="U55" s="78">
        <f t="shared" si="42"/>
        <v>-50.464039628768298</v>
      </c>
      <c r="V55" s="78">
        <f t="shared" si="42"/>
        <v>-42.314510148391882</v>
      </c>
    </row>
    <row r="56" spans="1:22" s="3" customFormat="1" x14ac:dyDescent="0.25">
      <c r="A56" s="45" t="s">
        <v>37</v>
      </c>
      <c r="B56" s="78" t="e">
        <f>[1]!SWTEST(B28:B43)</f>
        <v>#VALUE!</v>
      </c>
      <c r="C56" s="78">
        <f>[1]!SWTEST(C28:C43)</f>
        <v>1.0472313157761093E-6</v>
      </c>
      <c r="D56" s="78">
        <f>[1]!SWTEST(D28:D43)</f>
        <v>1.0472313157761093E-6</v>
      </c>
      <c r="E56" s="78">
        <f>[1]!SWTEST(E28:E43)</f>
        <v>1.0472313157761093E-6</v>
      </c>
      <c r="F56" s="78">
        <f>[1]!SWTEST(F28:F43)</f>
        <v>5.0989782498721214E-2</v>
      </c>
      <c r="G56" s="78">
        <f>[1]!SWTEST(G28:G43)</f>
        <v>0.10619025318803921</v>
      </c>
      <c r="H56" s="78">
        <f>[1]!SWTEST(H28:H43)</f>
        <v>0.4827027408648048</v>
      </c>
      <c r="I56" s="78" t="e">
        <f>[1]!SWTEST(I28:I43)</f>
        <v>#VALUE!</v>
      </c>
      <c r="J56" s="78" t="e">
        <f>[1]!SWTEST(J28:J43)</f>
        <v>#VALUE!</v>
      </c>
      <c r="K56" s="78" t="e">
        <f>[1]!SWTEST(K28:K43)</f>
        <v>#VALUE!</v>
      </c>
      <c r="L56" s="78" t="e">
        <f>[1]!SWTEST(L28:L43)</f>
        <v>#VALUE!</v>
      </c>
      <c r="M56" s="78" t="e">
        <f>[1]!SWTEST(M28:M43)</f>
        <v>#VALUE!</v>
      </c>
      <c r="N56" s="78"/>
      <c r="O56" s="78">
        <f>[1]!SWTEST(O28:O43)</f>
        <v>8.1699168356525353E-2</v>
      </c>
      <c r="P56" s="78">
        <f>[1]!SWTEST(P28:P43)</f>
        <v>9.0975201756447022E-2</v>
      </c>
      <c r="Q56" s="78">
        <f>[1]!SWTEST(Q28:Q43)</f>
        <v>1.0472313157761093E-6</v>
      </c>
      <c r="R56" s="78">
        <f>[1]!SWTEST(R28:R43)</f>
        <v>5.312587636474575E-6</v>
      </c>
      <c r="S56" s="78">
        <f>[1]!SWTEST(S28:S43)</f>
        <v>6.8208887746687208E-2</v>
      </c>
      <c r="T56" s="78">
        <f>[1]!SWTEST(T28:T43)</f>
        <v>1.5401860988534244E-3</v>
      </c>
      <c r="U56" s="78">
        <f>[1]!SWTEST(U28:U43)</f>
        <v>1.0866801269682203E-4</v>
      </c>
      <c r="V56" s="78">
        <f>[1]!SWTEST(V28:V43)</f>
        <v>4.9504940563993793E-2</v>
      </c>
    </row>
    <row r="57" spans="1:22" s="3" customFormat="1" x14ac:dyDescent="0.25">
      <c r="A57" s="45" t="s">
        <v>38</v>
      </c>
      <c r="B57" s="78" t="e">
        <f>IF(B56&gt;0.05,"Oui","Non")</f>
        <v>#VALUE!</v>
      </c>
      <c r="C57" s="78" t="str">
        <f t="shared" ref="C57:V57" si="43">IF(C56&gt;0.05,"Oui","Non")</f>
        <v>Non</v>
      </c>
      <c r="D57" s="78" t="str">
        <f t="shared" si="43"/>
        <v>Non</v>
      </c>
      <c r="E57" s="78" t="str">
        <f t="shared" si="43"/>
        <v>Non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e">
        <f t="shared" si="43"/>
        <v>#VALUE!</v>
      </c>
      <c r="J57" s="78" t="e">
        <f t="shared" si="43"/>
        <v>#VALUE!</v>
      </c>
      <c r="K57" s="78" t="e">
        <f t="shared" si="43"/>
        <v>#VALUE!</v>
      </c>
      <c r="L57" s="78" t="e">
        <f t="shared" si="43"/>
        <v>#VALUE!</v>
      </c>
      <c r="M57" s="78" t="e">
        <f t="shared" si="43"/>
        <v>#VALUE!</v>
      </c>
      <c r="N57" s="78"/>
      <c r="O57" s="78" t="str">
        <f t="shared" si="43"/>
        <v>Oui</v>
      </c>
      <c r="P57" s="78" t="str">
        <f t="shared" si="43"/>
        <v>Oui</v>
      </c>
      <c r="Q57" s="78" t="str">
        <f t="shared" si="43"/>
        <v>Non</v>
      </c>
      <c r="R57" s="78" t="str">
        <f t="shared" si="43"/>
        <v>Non</v>
      </c>
      <c r="S57" s="78" t="str">
        <f t="shared" si="43"/>
        <v>Oui</v>
      </c>
      <c r="T57" s="78" t="str">
        <f t="shared" si="43"/>
        <v>Non</v>
      </c>
      <c r="U57" s="78" t="str">
        <f t="shared" si="43"/>
        <v>Non</v>
      </c>
      <c r="V57" s="78" t="str">
        <f t="shared" si="43"/>
        <v>Non</v>
      </c>
    </row>
    <row r="58" spans="1:22" s="3" customFormat="1" x14ac:dyDescent="0.2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25">
      <c r="A59" s="45" t="s">
        <v>39</v>
      </c>
      <c r="B59" s="82"/>
      <c r="C59" s="82" t="e">
        <f t="shared" ref="C59:O59" si="44">IF($B57="Non",IF(C57="Non","MW",IF(C57="Oui","MW","")),IF($B57="Oui",IF(C57="Oui","T-Test Welch",IF(C57="Non","MW",""))))</f>
        <v>#VALUE!</v>
      </c>
      <c r="D59" s="82" t="e">
        <f t="shared" si="44"/>
        <v>#VALUE!</v>
      </c>
      <c r="E59" s="82" t="e">
        <f t="shared" si="44"/>
        <v>#VALUE!</v>
      </c>
      <c r="F59" s="82" t="e">
        <f t="shared" si="44"/>
        <v>#VALUE!</v>
      </c>
      <c r="G59" s="82" t="e">
        <f t="shared" si="44"/>
        <v>#VALUE!</v>
      </c>
      <c r="H59" s="82" t="e">
        <f t="shared" si="44"/>
        <v>#VALUE!</v>
      </c>
      <c r="I59" s="82" t="e">
        <f t="shared" si="44"/>
        <v>#VALUE!</v>
      </c>
      <c r="J59" s="82" t="e">
        <f t="shared" si="44"/>
        <v>#VALUE!</v>
      </c>
      <c r="K59" s="82" t="e">
        <f t="shared" si="44"/>
        <v>#VALUE!</v>
      </c>
      <c r="L59" s="82" t="e">
        <f t="shared" si="44"/>
        <v>#VALUE!</v>
      </c>
      <c r="M59" s="82" t="e">
        <f t="shared" si="44"/>
        <v>#VALUE!</v>
      </c>
      <c r="N59" s="82"/>
      <c r="O59" s="82" t="e">
        <f t="shared" si="44"/>
        <v>#VALUE!</v>
      </c>
      <c r="P59" s="82" t="str">
        <f t="shared" ref="P59:V59" si="45">IF($O57="Non",IF(P57="Non","MW",IF(P57="Oui","MW","")),IF($O57="Oui",IF(P57="Oui","T-Test Welch",IF(P57="Non","MW",""))))</f>
        <v>T-Test Welch</v>
      </c>
      <c r="Q59" s="82" t="str">
        <f t="shared" si="45"/>
        <v>MW</v>
      </c>
      <c r="R59" s="82" t="str">
        <f t="shared" si="45"/>
        <v>MW</v>
      </c>
      <c r="S59" s="82" t="str">
        <f t="shared" si="45"/>
        <v>T-Test Welch</v>
      </c>
      <c r="T59" s="82" t="str">
        <f t="shared" si="45"/>
        <v>MW</v>
      </c>
      <c r="U59" s="82" t="str">
        <f t="shared" si="45"/>
        <v>MW</v>
      </c>
      <c r="V59" s="82" t="str">
        <f t="shared" si="45"/>
        <v>MW</v>
      </c>
    </row>
    <row r="60" spans="1:22" s="3" customFormat="1" x14ac:dyDescent="0.25">
      <c r="A60" s="45" t="s">
        <v>40</v>
      </c>
      <c r="B60" s="83"/>
      <c r="C60" s="83" t="e">
        <f>IF(C59="MW",[1]!MTEST($B28:$B43,C28:C43,2), IF(C59="T-Test Welch",_xlfn.T.TEST($B28:$B43,C28:C43,2,3),""))</f>
        <v>#VALUE!</v>
      </c>
      <c r="D60" s="83" t="e">
        <f>IF(D59="MW",[1]!MTEST($B28:$B43,D28:D43,2), IF(D59="T-Test Welch",_xlfn.T.TEST($B28:$B43,D28:D43,2,3),""))</f>
        <v>#VALUE!</v>
      </c>
      <c r="E60" s="83" t="e">
        <f>IF(E59="MW",[1]!MTEST($B28:$B43,E28:E43,2), IF(E59="T-Test Welch",_xlfn.T.TEST($B28:$B43,E28:E43,2,3),""))</f>
        <v>#VALUE!</v>
      </c>
      <c r="F60" s="83" t="e">
        <f>IF(F59="MW",[1]!MTEST($B28:$B43,F28:F43,2), IF(F59="T-Test Welch",_xlfn.T.TEST($B28:$B43,F28:F43,2,3),""))</f>
        <v>#VALUE!</v>
      </c>
      <c r="G60" s="83" t="e">
        <f>IF(G59="MW",[1]!MTEST($B28:$B43,G28:G43,2), IF(G59="T-Test Welch",_xlfn.T.TEST($B28:$B43,G28:G43,2,3),""))</f>
        <v>#VALUE!</v>
      </c>
      <c r="H60" s="83" t="e">
        <f>IF(H59="MW",[1]!MTEST($B28:$B43,H28:H43,2), IF(H59="T-Test Welch",_xlfn.T.TEST($B28:$B43,H28:H43,2,3),""))</f>
        <v>#VALUE!</v>
      </c>
      <c r="I60" s="83" t="e">
        <f>IF(I59="MW",[1]!MTEST($B28:$B43,I28:I43,2), IF(I59="T-Test Welch",_xlfn.T.TEST($B28:$B43,I28:I43,2,3),""))</f>
        <v>#VALUE!</v>
      </c>
      <c r="J60" s="83" t="e">
        <f>IF(J59="MW",[1]!MTEST($B28:$B43,J28:J43,2), IF(J59="T-Test Welch",_xlfn.T.TEST($B28:$B43,J28:J43,2,3),""))</f>
        <v>#VALUE!</v>
      </c>
      <c r="K60" s="83" t="e">
        <f>IF(K59="MW",[1]!MTEST($B28:$B43,K28:K43,2), IF(K59="T-Test Welch",_xlfn.T.TEST($B28:$B43,K28:K43,2,3),""))</f>
        <v>#VALUE!</v>
      </c>
      <c r="L60" s="83" t="e">
        <f>IF(L59="MW",[1]!MTEST($B28:$B43,L28:L43,2), IF(L59="T-Test Welch",_xlfn.T.TEST($B28:$B43,L28:L43,2,3),""))</f>
        <v>#VALUE!</v>
      </c>
      <c r="M60" s="83" t="e">
        <f>IF(M59="MW",[1]!MTEST($B28:$B43,M28:M43,2), IF(M59="T-Test Welch",_xlfn.T.TEST($B28:$B43,M28:M43,2,3),""))</f>
        <v>#VALUE!</v>
      </c>
      <c r="N60" s="83"/>
      <c r="O60" s="83" t="e">
        <f>IF(O59="MW",[1]!MTEST($B28:$B43,O28:O43,2), IF(O59="T-Test Welch",_xlfn.T.TEST($B28:$B43,O28:O43,2,3),""))</f>
        <v>#VALUE!</v>
      </c>
      <c r="P60" s="83">
        <f>IF(P59="MW",[1]!MTEST($O28:$O43,P28:P43,2), IF(P59="T-Test Welch",_xlfn.T.TEST($O28:$O43,P28:P43,2,3),""))</f>
        <v>5.7064161337545903E-2</v>
      </c>
      <c r="Q60" s="83">
        <f>IF(Q59="MW",[1]!MTEST($O28:$O43,Q28:Q43,2), IF(Q59="T-Test Welch",_xlfn.T.TEST($O28:$O43,Q28:Q43,2,3),""))</f>
        <v>5.4036747488583892E-4</v>
      </c>
      <c r="R60" s="83">
        <f>IF(R59="MW",[1]!MTEST($O28:$O43,R28:R43,2), IF(R59="T-Test Welch",_xlfn.T.TEST($O28:$O43,R28:R43,2,3),""))</f>
        <v>3.4627746296013395E-2</v>
      </c>
      <c r="S60" s="83">
        <f>IF(S59="MW",[1]!MTEST($O28:$O43,S28:S43,2), IF(S59="T-Test Welch",_xlfn.T.TEST($O28:$O43,S28:S43,2,3),""))</f>
        <v>9.1437174109909286E-2</v>
      </c>
      <c r="T60" s="83">
        <f>IF(T59="MW",[1]!MTEST($O28:$O43,T28:T43,2), IF(T59="T-Test Welch",_xlfn.T.TEST($O28:$O43,T28:T43,2,3),""))</f>
        <v>3.2088733978231199E-2</v>
      </c>
      <c r="U60" s="83">
        <f>IF(U59="MW",[1]!MTEST($O28:$O43,U28:U43,2), IF(U59="T-Test Welch",_xlfn.T.TEST($O28:$O43,U28:U43,2,3),""))</f>
        <v>0.20934683562711087</v>
      </c>
      <c r="V60" s="83">
        <f>IF(V59="MW",[1]!MTEST($O28:$O43,V28:V43,2), IF(V59="T-Test Welch",_xlfn.T.TEST($O28:$O43,V28:V43,2,3),""))</f>
        <v>0.20934683562711087</v>
      </c>
    </row>
    <row r="61" spans="1:22" s="3" customFormat="1" ht="15.75" thickBot="1" x14ac:dyDescent="0.3">
      <c r="A61" s="46" t="s">
        <v>15</v>
      </c>
      <c r="B61" s="79"/>
      <c r="C61" s="79" t="e">
        <f t="shared" ref="C61:O61" si="46">IF(C60&gt;0.05,"NS",IF(C60&gt;0.01,"*",IF(C60&gt;0.001,"**","***")))</f>
        <v>#VALUE!</v>
      </c>
      <c r="D61" s="79" t="e">
        <f t="shared" si="46"/>
        <v>#VALUE!</v>
      </c>
      <c r="E61" s="79" t="e">
        <f t="shared" si="46"/>
        <v>#VALUE!</v>
      </c>
      <c r="F61" s="79" t="e">
        <f t="shared" si="46"/>
        <v>#VALUE!</v>
      </c>
      <c r="G61" s="79" t="e">
        <f t="shared" si="46"/>
        <v>#VALUE!</v>
      </c>
      <c r="H61" s="79" t="e">
        <f t="shared" si="46"/>
        <v>#VALUE!</v>
      </c>
      <c r="I61" s="79" t="e">
        <f t="shared" si="46"/>
        <v>#VALUE!</v>
      </c>
      <c r="J61" s="79" t="e">
        <f t="shared" si="46"/>
        <v>#VALUE!</v>
      </c>
      <c r="K61" s="79" t="e">
        <f t="shared" si="46"/>
        <v>#VALUE!</v>
      </c>
      <c r="L61" s="79" t="e">
        <f t="shared" si="46"/>
        <v>#VALUE!</v>
      </c>
      <c r="M61" s="79" t="e">
        <f t="shared" si="46"/>
        <v>#VALUE!</v>
      </c>
      <c r="N61" s="79"/>
      <c r="O61" s="79" t="e">
        <f t="shared" si="46"/>
        <v>#VALUE!</v>
      </c>
      <c r="P61" s="79" t="str">
        <f>IF(P60&gt;0.05,"NS",IF(P60&gt;0.01,"*",IF(P60&gt;0.001,"**","***")))</f>
        <v>NS</v>
      </c>
      <c r="Q61" s="79" t="str">
        <f t="shared" ref="Q61:V61" si="47">IF(Q60&gt;0.05,"NS",IF(Q60&gt;0.01,"*",IF(Q60&gt;0.001,"**","***")))</f>
        <v>***</v>
      </c>
      <c r="R61" s="79" t="str">
        <f t="shared" si="47"/>
        <v>*</v>
      </c>
      <c r="S61" s="79" t="str">
        <f t="shared" si="47"/>
        <v>NS</v>
      </c>
      <c r="T61" s="79" t="str">
        <f t="shared" si="47"/>
        <v>*</v>
      </c>
      <c r="U61" s="79" t="str">
        <f t="shared" si="47"/>
        <v>NS</v>
      </c>
      <c r="V61" s="79" t="str">
        <f t="shared" si="47"/>
        <v>NS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 spans="1:22" ht="16.5" x14ac:dyDescent="0.2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2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2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2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2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2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2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B13:J20 I5:J12" name="Plage1_1"/>
    <protectedRange sqref="B5:H12" name="Plage1_1_1"/>
    <protectedRange sqref="O5:O20" name="Plage1_1_2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3"/>
  <sheetViews>
    <sheetView showGridLines="0" zoomScale="70" zoomScaleNormal="70" workbookViewId="0">
      <selection activeCell="O3" sqref="O3:V3"/>
    </sheetView>
  </sheetViews>
  <sheetFormatPr defaultColWidth="11.42578125" defaultRowHeight="15" x14ac:dyDescent="0.25"/>
  <cols>
    <col min="1" max="1" width="42.85546875" customWidth="1"/>
    <col min="2" max="2" width="14" bestFit="1" customWidth="1"/>
    <col min="3" max="13" width="22.7109375" bestFit="1" customWidth="1"/>
    <col min="14" max="14" width="8.42578125" customWidth="1"/>
    <col min="15" max="15" width="22.7109375" customWidth="1"/>
    <col min="18" max="22" width="29.140625" customWidth="1"/>
  </cols>
  <sheetData>
    <row r="1" spans="1:22" s="1" customFormat="1" ht="21.75" thickBot="1" x14ac:dyDescent="0.3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.75" thickBot="1" x14ac:dyDescent="0.3"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55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2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saccharin-0.01mg/L</v>
      </c>
      <c r="J4" s="20" t="str">
        <f>'R1'!J4</f>
        <v>saccharin-0.1mg/L</v>
      </c>
      <c r="K4" s="20" t="str">
        <f>'R1'!K4</f>
        <v>saccharin-1mg/L</v>
      </c>
      <c r="L4" s="20" t="str">
        <f>'R1'!L4</f>
        <v>saccharin-10mg/L</v>
      </c>
      <c r="M4" s="20" t="str">
        <f>'R1'!M4</f>
        <v>saccharin-100mg/L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saccharin-0.01mg/L + Testostérone</v>
      </c>
      <c r="S4" s="20" t="str">
        <f>'R1'!S4</f>
        <v>saccharin-0.1mg/L + Testostérone</v>
      </c>
      <c r="T4" s="20" t="str">
        <f>'R1'!T4</f>
        <v>saccharin-1mg/L + Testostérone</v>
      </c>
      <c r="U4" s="20" t="str">
        <f>'R1'!U4</f>
        <v>saccharin-10mg/L + Testostérone</v>
      </c>
      <c r="V4" s="20" t="str">
        <f>'R1'!V4</f>
        <v>saccharin-100mg/L + Testostérone</v>
      </c>
    </row>
    <row r="5" spans="1:22" s="1" customFormat="1" x14ac:dyDescent="0.2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25">
      <c r="A6" s="54" t="s">
        <v>3</v>
      </c>
      <c r="B6" s="37">
        <f>'R1'!B28</f>
        <v>0</v>
      </c>
      <c r="C6" s="37">
        <f>'R1'!C28</f>
        <v>4.4074305856426875E-3</v>
      </c>
      <c r="D6" s="37">
        <f>'R1'!D28</f>
        <v>0</v>
      </c>
      <c r="E6" s="37">
        <f>'R1'!E28</f>
        <v>2.5674352926073909E-3</v>
      </c>
      <c r="F6" s="37">
        <f>'R1'!F28</f>
        <v>6.1404494081526767E-3</v>
      </c>
      <c r="G6" s="37">
        <f>'R1'!G28</f>
        <v>0.52463400675021532</v>
      </c>
      <c r="H6" s="37">
        <f>'R1'!H28</f>
        <v>3.3882122627128162</v>
      </c>
      <c r="I6" s="37">
        <f>'R1'!I28</f>
        <v>0</v>
      </c>
      <c r="J6" s="37">
        <f>'R1'!J28</f>
        <v>0</v>
      </c>
      <c r="K6" s="37">
        <f>'R1'!K28</f>
        <v>0</v>
      </c>
      <c r="L6" s="37">
        <f>'R1'!L28</f>
        <v>0</v>
      </c>
      <c r="M6" s="37">
        <f>'R1'!M28</f>
        <v>0</v>
      </c>
      <c r="N6"/>
      <c r="O6" s="37">
        <f>'R1'!O28</f>
        <v>0.50599870558470661</v>
      </c>
      <c r="P6" s="37">
        <f>'R1'!P28</f>
        <v>1.2851618286557871</v>
      </c>
      <c r="Q6" s="37">
        <f>'R1'!Q28</f>
        <v>1.7437164695625197E-3</v>
      </c>
      <c r="R6" s="37">
        <f>'R1'!R28</f>
        <v>0.87410474066229138</v>
      </c>
      <c r="S6" s="37">
        <f>'R1'!S28</f>
        <v>1.2846697368913707</v>
      </c>
      <c r="T6" s="37">
        <f>'R1'!T28</f>
        <v>1.6216777119872483</v>
      </c>
      <c r="U6" s="37">
        <f>'R1'!U28</f>
        <v>0.46417090560931124</v>
      </c>
      <c r="V6" s="37">
        <f>'R1'!V28</f>
        <v>0.97617099119048767</v>
      </c>
    </row>
    <row r="7" spans="1:22" s="1" customFormat="1" x14ac:dyDescent="0.25">
      <c r="A7" s="140"/>
      <c r="B7" s="37">
        <f>'R1'!B29</f>
        <v>0</v>
      </c>
      <c r="C7" s="37">
        <f>'R1'!C29</f>
        <v>0</v>
      </c>
      <c r="D7" s="37">
        <f>'R1'!D29</f>
        <v>0</v>
      </c>
      <c r="E7" s="37">
        <f>'R1'!E29</f>
        <v>0</v>
      </c>
      <c r="F7" s="37">
        <f>'R1'!F29</f>
        <v>1.5794327037768043</v>
      </c>
      <c r="G7" s="37">
        <f>'R1'!G29</f>
        <v>2.0070925399958277</v>
      </c>
      <c r="H7" s="37">
        <f>'R1'!H29</f>
        <v>2.4432142150334033</v>
      </c>
      <c r="I7" s="37">
        <f>'R1'!I29</f>
        <v>1.6827398813630941E-2</v>
      </c>
      <c r="J7" s="37">
        <f>'R1'!J29</f>
        <v>0</v>
      </c>
      <c r="K7" s="37">
        <f>'R1'!K29</f>
        <v>0</v>
      </c>
      <c r="L7" s="37">
        <f>'R1'!L29</f>
        <v>0</v>
      </c>
      <c r="M7" s="37">
        <f>'R1'!M29</f>
        <v>0</v>
      </c>
      <c r="N7"/>
      <c r="O7" s="37">
        <f>'R1'!O29</f>
        <v>1.4246270532796312</v>
      </c>
      <c r="P7" s="37">
        <f>'R1'!P29</f>
        <v>2.160143776376386</v>
      </c>
      <c r="Q7" s="37">
        <f>'R1'!Q29</f>
        <v>0</v>
      </c>
      <c r="R7" s="37">
        <f>'R1'!R29</f>
        <v>0.99498815235588933</v>
      </c>
      <c r="S7" s="37">
        <f>'R1'!S29</f>
        <v>8.0553282305556889E-2</v>
      </c>
      <c r="T7" s="37">
        <f>'R1'!T29</f>
        <v>0.85858245478906914</v>
      </c>
      <c r="U7" s="37">
        <f>'R1'!U29</f>
        <v>0</v>
      </c>
      <c r="V7" s="37">
        <f>'R1'!V29</f>
        <v>1.7278411613365641</v>
      </c>
    </row>
    <row r="8" spans="1:22" s="1" customFormat="1" x14ac:dyDescent="0.25">
      <c r="A8" s="141"/>
      <c r="B8" s="37">
        <f>'R1'!B30</f>
        <v>0</v>
      </c>
      <c r="C8" s="37">
        <f>'R1'!C30</f>
        <v>0</v>
      </c>
      <c r="D8" s="37">
        <f>'R1'!D30</f>
        <v>3.4778050567777614E-2</v>
      </c>
      <c r="E8" s="37">
        <f>'R1'!E30</f>
        <v>8.5581176420246362E-4</v>
      </c>
      <c r="F8" s="37">
        <f>'R1'!F30</f>
        <v>0</v>
      </c>
      <c r="G8" s="37">
        <f>'R1'!G30</f>
        <v>2.5086945126419442</v>
      </c>
      <c r="H8" s="37">
        <f>'R1'!H30</f>
        <v>0.54122605732869056</v>
      </c>
      <c r="I8" s="37">
        <f>'R1'!I30</f>
        <v>0</v>
      </c>
      <c r="J8" s="37">
        <f>'R1'!J30</f>
        <v>6.0291938788063562E-2</v>
      </c>
      <c r="K8" s="37">
        <f>'R1'!K30</f>
        <v>0</v>
      </c>
      <c r="L8" s="37">
        <f>'R1'!L30</f>
        <v>0</v>
      </c>
      <c r="M8" s="37">
        <f>'R1'!M30</f>
        <v>0</v>
      </c>
      <c r="N8"/>
      <c r="O8" s="37">
        <f>'R1'!O30</f>
        <v>0.88337960065683552</v>
      </c>
      <c r="P8" s="37">
        <f>'R1'!P30</f>
        <v>1.971522863546163</v>
      </c>
      <c r="Q8" s="37">
        <f>'R1'!Q30</f>
        <v>5.8740779965446598E-2</v>
      </c>
      <c r="R8" s="37">
        <f>'R1'!R30</f>
        <v>1.6597506378472056</v>
      </c>
      <c r="S8" s="37">
        <f>'R1'!S30</f>
        <v>1.4194172991650487</v>
      </c>
      <c r="T8" s="37">
        <f>'R1'!T30</f>
        <v>6.7170525842840861E-2</v>
      </c>
      <c r="U8" s="37">
        <f>'R1'!U30</f>
        <v>0.48921409735928584</v>
      </c>
      <c r="V8" s="37">
        <f>'R1'!V30</f>
        <v>0.52955492439437946</v>
      </c>
    </row>
    <row r="9" spans="1:22" s="1" customFormat="1" x14ac:dyDescent="0.25">
      <c r="A9" s="141"/>
      <c r="B9" s="37">
        <f>'R1'!B31</f>
        <v>0</v>
      </c>
      <c r="C9" s="37">
        <f>'R1'!C31</f>
        <v>1.7437164695625197E-3</v>
      </c>
      <c r="D9" s="37">
        <f>'R1'!D31</f>
        <v>0</v>
      </c>
      <c r="E9" s="37">
        <f>'R1'!E31</f>
        <v>1.8493236412651037</v>
      </c>
      <c r="F9" s="37">
        <f>'R1'!F31</f>
        <v>0.22480035516188215</v>
      </c>
      <c r="G9" s="37">
        <f>'R1'!G31</f>
        <v>2.2313366175109786</v>
      </c>
      <c r="H9" s="37">
        <f>'R1'!H31</f>
        <v>3.0906465122996196</v>
      </c>
      <c r="I9" s="37">
        <f>'R1'!I31</f>
        <v>0</v>
      </c>
      <c r="J9" s="37">
        <f>'R1'!J31</f>
        <v>0</v>
      </c>
      <c r="K9" s="37">
        <f>'R1'!K31</f>
        <v>0</v>
      </c>
      <c r="L9" s="37">
        <f>'R1'!L31</f>
        <v>2.5781329396599218E-3</v>
      </c>
      <c r="M9" s="37">
        <f>'R1'!M31</f>
        <v>0</v>
      </c>
      <c r="N9"/>
      <c r="O9" s="37">
        <f>'R1'!O31</f>
        <v>1.5783843343656563</v>
      </c>
      <c r="P9" s="37">
        <f>'R1'!P31</f>
        <v>2.1172890022839477</v>
      </c>
      <c r="Q9" s="37">
        <f>'R1'!Q31</f>
        <v>4.4823141150104037E-2</v>
      </c>
      <c r="R9" s="37">
        <f>'R1'!R31</f>
        <v>0.31994522804709102</v>
      </c>
      <c r="S9" s="37">
        <f>'R1'!S31</f>
        <v>0.76001433484705039</v>
      </c>
      <c r="T9" s="37">
        <f>'R1'!T31</f>
        <v>0.13390244815652796</v>
      </c>
      <c r="U9" s="37">
        <f>'R1'!U31</f>
        <v>2.1801804693057762E-2</v>
      </c>
      <c r="V9" s="37">
        <f>'R1'!V31</f>
        <v>1.0514610311461994</v>
      </c>
    </row>
    <row r="10" spans="1:22" s="1" customFormat="1" x14ac:dyDescent="0.25">
      <c r="A10" s="141"/>
      <c r="B10" s="37">
        <f>'R1'!B32</f>
        <v>0</v>
      </c>
      <c r="C10" s="37">
        <f>'R1'!C32</f>
        <v>0</v>
      </c>
      <c r="D10" s="37">
        <f>'R1'!D32</f>
        <v>0</v>
      </c>
      <c r="E10" s="37">
        <f>'R1'!E32</f>
        <v>0</v>
      </c>
      <c r="F10" s="37">
        <f>'R1'!F32</f>
        <v>0.94331851709216563</v>
      </c>
      <c r="G10" s="37">
        <f>'R1'!G32</f>
        <v>1.913520221227341</v>
      </c>
      <c r="H10" s="37">
        <f>'R1'!H32</f>
        <v>2.6883935878303569</v>
      </c>
      <c r="I10" s="37">
        <f>'R1'!I32</f>
        <v>1.7544141166150504E-3</v>
      </c>
      <c r="J10" s="37">
        <f>'R1'!J32</f>
        <v>0</v>
      </c>
      <c r="K10" s="37">
        <f>'R1'!K32</f>
        <v>8.5581176420246362E-4</v>
      </c>
      <c r="L10" s="37">
        <f>'R1'!L32</f>
        <v>0</v>
      </c>
      <c r="M10" s="37">
        <f>'R1'!M32</f>
        <v>0</v>
      </c>
      <c r="N10"/>
      <c r="O10" s="37">
        <f>'R1'!O32</f>
        <v>0.87628706066100759</v>
      </c>
      <c r="P10" s="37">
        <f>'R1'!P32</f>
        <v>1.1465738110902508</v>
      </c>
      <c r="Q10" s="37">
        <f>'R1'!Q32</f>
        <v>0</v>
      </c>
      <c r="R10" s="37">
        <f>'R1'!R32</f>
        <v>0.73749578780147307</v>
      </c>
      <c r="S10" s="37">
        <f>'R1'!S32</f>
        <v>0.25038912691153581</v>
      </c>
      <c r="T10" s="37">
        <f>'R1'!T32</f>
        <v>1.0390517605652636</v>
      </c>
      <c r="U10" s="37">
        <f>'R1'!U32</f>
        <v>0.67383409019186224</v>
      </c>
      <c r="V10" s="37">
        <f>'R1'!V32</f>
        <v>8.2906764657113663E-2</v>
      </c>
    </row>
    <row r="11" spans="1:22" s="1" customFormat="1" x14ac:dyDescent="0.25">
      <c r="A11" s="141"/>
      <c r="B11" s="37">
        <f>'R1'!B33</f>
        <v>0</v>
      </c>
      <c r="C11" s="37">
        <f>'R1'!C33</f>
        <v>0</v>
      </c>
      <c r="D11" s="37">
        <f>'R1'!D33</f>
        <v>1.733018822509989E-3</v>
      </c>
      <c r="E11" s="37">
        <f>'R1'!E33</f>
        <v>0</v>
      </c>
      <c r="F11" s="37">
        <f>'R1'!F33</f>
        <v>1.5083147461715796</v>
      </c>
      <c r="G11" s="37">
        <f>'R1'!G33</f>
        <v>2.6442657937386671</v>
      </c>
      <c r="H11" s="37">
        <f>'R1'!H33</f>
        <v>3.3138957086388849</v>
      </c>
      <c r="I11" s="37">
        <f>'R1'!I33</f>
        <v>0</v>
      </c>
      <c r="J11" s="37">
        <f>'R1'!J33</f>
        <v>0</v>
      </c>
      <c r="K11" s="37">
        <f>'R1'!K33</f>
        <v>8.665094112549945E-3</v>
      </c>
      <c r="L11" s="37">
        <f>'R1'!L33</f>
        <v>0</v>
      </c>
      <c r="M11" s="37">
        <f>'R1'!M33</f>
        <v>8.7720705830752522E-4</v>
      </c>
      <c r="N11"/>
      <c r="O11" s="37">
        <f>'R1'!O33</f>
        <v>1.1545756510855438</v>
      </c>
      <c r="P11" s="37">
        <f>'R1'!P33</f>
        <v>2.0628593740806709</v>
      </c>
      <c r="Q11" s="37">
        <f>'R1'!Q33</f>
        <v>0</v>
      </c>
      <c r="R11" s="37">
        <f>'R1'!R33</f>
        <v>0.11598388934353888</v>
      </c>
      <c r="S11" s="37">
        <f>'R1'!S33</f>
        <v>1.7853089213027595</v>
      </c>
      <c r="T11" s="37">
        <f>'R1'!T33</f>
        <v>1.8881133094775804</v>
      </c>
      <c r="U11" s="37">
        <f>'R1'!U33</f>
        <v>1.2832148568922266</v>
      </c>
      <c r="V11" s="37">
        <f>'R1'!V33</f>
        <v>0.60006311611760998</v>
      </c>
    </row>
    <row r="12" spans="1:22" s="1" customFormat="1" x14ac:dyDescent="0.25">
      <c r="A12" s="141"/>
      <c r="B12" s="37">
        <f>'R1'!B34</f>
        <v>0</v>
      </c>
      <c r="C12" s="37">
        <f>'R1'!C34</f>
        <v>0</v>
      </c>
      <c r="D12" s="37">
        <f>'R1'!D34</f>
        <v>8.5581176420246362E-4</v>
      </c>
      <c r="E12" s="37">
        <f>'R1'!E34</f>
        <v>0</v>
      </c>
      <c r="F12" s="37">
        <f>'R1'!F34</f>
        <v>1.3063324721727456</v>
      </c>
      <c r="G12" s="37">
        <f>'R1'!G34</f>
        <v>0.55773252673074558</v>
      </c>
      <c r="H12" s="37">
        <f>'R1'!H34</f>
        <v>3.0799060746588789</v>
      </c>
      <c r="I12" s="37">
        <f>'R1'!I34</f>
        <v>0</v>
      </c>
      <c r="J12" s="37">
        <f>'R1'!J34</f>
        <v>0</v>
      </c>
      <c r="K12" s="37">
        <f>'R1'!K34</f>
        <v>1.733018822509989E-3</v>
      </c>
      <c r="L12" s="37">
        <f>'R1'!L34</f>
        <v>0</v>
      </c>
      <c r="M12" s="37">
        <f>'R1'!M34</f>
        <v>7.2102141134057565E-2</v>
      </c>
      <c r="N12"/>
      <c r="O12" s="37">
        <f>'R1'!O34</f>
        <v>1.0051937076440036</v>
      </c>
      <c r="P12" s="37">
        <f>'R1'!P34</f>
        <v>2.4826992303042945</v>
      </c>
      <c r="Q12" s="37">
        <f>'R1'!Q34</f>
        <v>0</v>
      </c>
      <c r="R12" s="37">
        <f>'R1'!R34</f>
        <v>0.8808014677171756</v>
      </c>
      <c r="S12" s="37">
        <f>'R1'!S34</f>
        <v>0.13005129521761688</v>
      </c>
      <c r="T12" s="37">
        <f>'R1'!T34</f>
        <v>2.0190846023417151</v>
      </c>
      <c r="U12" s="37">
        <f>'R1'!U34</f>
        <v>0.52250517498676163</v>
      </c>
      <c r="V12" s="37">
        <f>'R1'!V34</f>
        <v>1.3873778462427189</v>
      </c>
    </row>
    <row r="13" spans="1:22" s="1" customFormat="1" x14ac:dyDescent="0.25">
      <c r="A13" s="141"/>
      <c r="B13" s="37">
        <f>'R1'!B35</f>
        <v>0</v>
      </c>
      <c r="C13" s="37">
        <f>'R1'!C35</f>
        <v>0</v>
      </c>
      <c r="D13" s="37">
        <f>'R1'!D35</f>
        <v>0</v>
      </c>
      <c r="E13" s="37">
        <f>'R1'!E35</f>
        <v>0</v>
      </c>
      <c r="F13" s="37" t="str">
        <f>'R1'!F35</f>
        <v/>
      </c>
      <c r="G13" s="37">
        <f>'R1'!G35</f>
        <v>2.8055649159967264</v>
      </c>
      <c r="H13" s="37">
        <f>'R1'!H35</f>
        <v>2.7692250089592796</v>
      </c>
      <c r="I13" s="37">
        <f>'R1'!I35</f>
        <v>0</v>
      </c>
      <c r="J13" s="37">
        <f>'R1'!J35</f>
        <v>0</v>
      </c>
      <c r="K13" s="37">
        <f>'R1'!K35</f>
        <v>0</v>
      </c>
      <c r="L13" s="37">
        <f>'R1'!L35</f>
        <v>0</v>
      </c>
      <c r="M13" s="37">
        <f>'R1'!M35</f>
        <v>0</v>
      </c>
      <c r="N13"/>
      <c r="O13" s="37">
        <f>'R1'!O35</f>
        <v>0.71101911134645934</v>
      </c>
      <c r="P13" s="37">
        <f>'R1'!P35</f>
        <v>0.89835630653037868</v>
      </c>
      <c r="Q13" s="37">
        <f>'R1'!Q35</f>
        <v>0</v>
      </c>
      <c r="R13" s="37">
        <f>'R1'!R35</f>
        <v>1.5743941120150622</v>
      </c>
      <c r="S13" s="37">
        <f>'R1'!S35</f>
        <v>4.6930577619452601E-2</v>
      </c>
      <c r="T13" s="37">
        <f>'R1'!T35</f>
        <v>2.4262263515139847E-2</v>
      </c>
      <c r="U13" s="37">
        <f>'R1'!U35</f>
        <v>0.54238140321036388</v>
      </c>
      <c r="V13" s="37">
        <f>'R1'!V35</f>
        <v>0</v>
      </c>
    </row>
    <row r="14" spans="1:22" s="1" customFormat="1" x14ac:dyDescent="0.25">
      <c r="A14" s="141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1.2613595639639061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25">
      <c r="A15" s="141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1.4981305861775702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25">
      <c r="A16" s="141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1.3733853238980087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25">
      <c r="A17" s="141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0.86368523243312634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25">
      <c r="A18" s="141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1.3942350380033912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25">
      <c r="A19" s="141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0.34352284215086892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25">
      <c r="A20" s="141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1.0509689393817829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25">
      <c r="A21" s="142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7.5247249367501615E-2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25">
      <c r="A22" s="24" t="s">
        <v>4</v>
      </c>
      <c r="B22" s="38">
        <f>'R2'!B28</f>
        <v>0</v>
      </c>
      <c r="C22" s="38">
        <f>'R2'!C28</f>
        <v>0</v>
      </c>
      <c r="D22" s="38">
        <f>'R2'!D28</f>
        <v>1.9587844360249112E-2</v>
      </c>
      <c r="E22" s="38">
        <f>'R2'!E28</f>
        <v>2.1743515623112564</v>
      </c>
      <c r="F22" s="38">
        <f>'R2'!F28</f>
        <v>1.6643281279050104</v>
      </c>
      <c r="G22" s="38">
        <f>'R2'!G28</f>
        <v>2.0934708235865043</v>
      </c>
      <c r="H22" s="38">
        <f>'R2'!H28</f>
        <v>1.9948761526818268</v>
      </c>
      <c r="I22" s="38">
        <f>'R2'!I28</f>
        <v>1.4831636763551988E-2</v>
      </c>
      <c r="J22" s="38">
        <f>'R2'!J28</f>
        <v>1.1545988052759451E-2</v>
      </c>
      <c r="K22" s="38">
        <f>'R2'!K28</f>
        <v>3.3696806471299415E-3</v>
      </c>
      <c r="L22" s="38">
        <f>'R2'!L28</f>
        <v>0</v>
      </c>
      <c r="M22" s="38">
        <f>'R2'!M28</f>
        <v>0</v>
      </c>
      <c r="O22" s="38">
        <f>'R2'!O28</f>
        <v>0.70059946282584695</v>
      </c>
      <c r="P22" s="38">
        <f>'R2'!P28</f>
        <v>1.4622145146262837</v>
      </c>
      <c r="Q22" s="38">
        <f>'R2'!Q28</f>
        <v>3.4200998089323848E-3</v>
      </c>
      <c r="R22" s="38">
        <f>'R2'!R28</f>
        <v>1.0632476872835521</v>
      </c>
      <c r="S22" s="38">
        <f>'R2'!S28</f>
        <v>0.3776395219002982</v>
      </c>
      <c r="T22" s="38">
        <f>'R2'!T28</f>
        <v>0.94579624986476107</v>
      </c>
      <c r="U22" s="38">
        <f>'R2'!U28</f>
        <v>0.16649247546530058</v>
      </c>
      <c r="V22" s="38">
        <f>'R2'!V28</f>
        <v>0.97472844554572968</v>
      </c>
    </row>
    <row r="23" spans="1:22" x14ac:dyDescent="0.25">
      <c r="A23" s="140"/>
      <c r="B23" s="38">
        <f>'R2'!B29</f>
        <v>0</v>
      </c>
      <c r="C23" s="38">
        <f>'R2'!C29</f>
        <v>1.3949301432009235E-3</v>
      </c>
      <c r="D23" s="38">
        <f>'R2'!D29</f>
        <v>0</v>
      </c>
      <c r="E23" s="38">
        <f>'R2'!E29</f>
        <v>1.331670901526125</v>
      </c>
      <c r="F23" s="38">
        <f>'R2'!F29</f>
        <v>1.7822333377800232</v>
      </c>
      <c r="G23" s="38">
        <f>'R2'!G29</f>
        <v>1.5202049538927269</v>
      </c>
      <c r="H23" s="38">
        <f>'R2'!H29</f>
        <v>1.8768028789341389</v>
      </c>
      <c r="I23" s="38">
        <f>'R2'!I29</f>
        <v>6.1729860433457732E-2</v>
      </c>
      <c r="J23" s="38">
        <f>'R2'!J29</f>
        <v>2.7478443182331444E-3</v>
      </c>
      <c r="K23" s="38">
        <f>'R2'!K29</f>
        <v>0</v>
      </c>
      <c r="L23" s="38">
        <f>'R2'!L29</f>
        <v>9.5796407424641739E-3</v>
      </c>
      <c r="M23" s="38">
        <f>'R2'!M29</f>
        <v>0</v>
      </c>
      <c r="O23" s="38">
        <f>'R2'!O29</f>
        <v>0</v>
      </c>
      <c r="P23" s="38">
        <f>'R2'!P29</f>
        <v>2.1991661931116919</v>
      </c>
      <c r="Q23" s="38">
        <f>'R2'!Q29</f>
        <v>0</v>
      </c>
      <c r="R23" s="38">
        <f>'R2'!R29</f>
        <v>1.1060031364920238</v>
      </c>
      <c r="S23" s="38">
        <f>'R2'!S29</f>
        <v>0.25594447169646822</v>
      </c>
      <c r="T23" s="38">
        <f>'R2'!T29</f>
        <v>0.50069588947279409</v>
      </c>
      <c r="U23" s="38">
        <f>'R2'!U29</f>
        <v>1.0646510206203867</v>
      </c>
      <c r="V23" s="38">
        <f>'R2'!V29</f>
        <v>1.4541390455442591</v>
      </c>
    </row>
    <row r="24" spans="1:22" x14ac:dyDescent="0.25">
      <c r="A24" s="141"/>
      <c r="B24" s="38">
        <f>'R2'!B30</f>
        <v>0</v>
      </c>
      <c r="C24" s="38">
        <f>'R2'!C30</f>
        <v>0</v>
      </c>
      <c r="D24" s="38">
        <f>'R2'!D30</f>
        <v>0</v>
      </c>
      <c r="E24" s="38">
        <f>'R2'!E30</f>
        <v>1.4048291053014699</v>
      </c>
      <c r="F24" s="38">
        <f>'R2'!F30</f>
        <v>7.4368263658603452E-3</v>
      </c>
      <c r="G24" s="38">
        <f>'R2'!G30</f>
        <v>1.2874280870444812</v>
      </c>
      <c r="H24" s="38">
        <f>'R2'!H30</f>
        <v>2.1496125602535243</v>
      </c>
      <c r="I24" s="38">
        <f>'R2'!I30</f>
        <v>1.3697205622997021E-3</v>
      </c>
      <c r="J24" s="38">
        <f>'R2'!J30</f>
        <v>1.8797944158677506E-2</v>
      </c>
      <c r="K24" s="38">
        <f>'R2'!K30</f>
        <v>0</v>
      </c>
      <c r="L24" s="38">
        <f>'R2'!L30</f>
        <v>0</v>
      </c>
      <c r="M24" s="38">
        <f>'R2'!M30</f>
        <v>3.4453093898336061E-3</v>
      </c>
      <c r="O24" s="38">
        <f>'R2'!O30</f>
        <v>0.33857307469703862</v>
      </c>
      <c r="P24" s="38">
        <f>'R2'!P30</f>
        <v>1.2570085260903405</v>
      </c>
      <c r="Q24" s="38">
        <f>'R2'!Q30</f>
        <v>8.6830199817440612E-2</v>
      </c>
      <c r="R24" s="38">
        <f>'R2'!R30</f>
        <v>0.55130832472881319</v>
      </c>
      <c r="S24" s="38">
        <f>'R2'!S30</f>
        <v>0.516082137016173</v>
      </c>
      <c r="T24" s="38">
        <f>'R2'!T30</f>
        <v>0.24284389282146679</v>
      </c>
      <c r="U24" s="38">
        <f>'R2'!U30</f>
        <v>0.7865389241181111</v>
      </c>
      <c r="V24" s="38">
        <f>'R2'!V30</f>
        <v>1.2977976279885171</v>
      </c>
    </row>
    <row r="25" spans="1:22" x14ac:dyDescent="0.25">
      <c r="A25" s="141"/>
      <c r="B25" s="38">
        <f>'R2'!B31</f>
        <v>0</v>
      </c>
      <c r="C25" s="38">
        <f>'R2'!C31</f>
        <v>0</v>
      </c>
      <c r="D25" s="38">
        <f>'R2'!D31</f>
        <v>0</v>
      </c>
      <c r="E25" s="38">
        <f>'R2'!E31</f>
        <v>1.7582926391174967</v>
      </c>
      <c r="F25" s="38">
        <f>'R2'!F31</f>
        <v>0.96360261717465723</v>
      </c>
      <c r="G25" s="38">
        <f>'R2'!G31</f>
        <v>1.699016511225091</v>
      </c>
      <c r="H25" s="38">
        <f>'R2'!H31</f>
        <v>2.7939778512823801</v>
      </c>
      <c r="I25" s="38">
        <f>'R2'!I31</f>
        <v>8.4872255700779078E-3</v>
      </c>
      <c r="J25" s="38">
        <f>'R2'!J31</f>
        <v>0</v>
      </c>
      <c r="K25" s="38">
        <f>'R2'!K31</f>
        <v>5.6091317505217855E-2</v>
      </c>
      <c r="L25" s="38">
        <f>'R2'!L31</f>
        <v>1.0907345336595172E-2</v>
      </c>
      <c r="M25" s="38">
        <f>'R2'!M31</f>
        <v>0</v>
      </c>
      <c r="O25" s="38">
        <f>'R2'!O31</f>
        <v>1.6789160720531837</v>
      </c>
      <c r="P25" s="38">
        <f>'R2'!P31</f>
        <v>2.2604842970570966</v>
      </c>
      <c r="Q25" s="38">
        <f>'R2'!Q31</f>
        <v>0</v>
      </c>
      <c r="R25" s="38">
        <f>'R2'!R31</f>
        <v>0.99412301645240275</v>
      </c>
      <c r="S25" s="38">
        <f>'R2'!S31</f>
        <v>1.3429395841889711</v>
      </c>
      <c r="T25" s="38">
        <f>'R2'!T31</f>
        <v>0.58110604935405696</v>
      </c>
      <c r="U25" s="38">
        <f>'R2'!U31</f>
        <v>1.0421304616819622</v>
      </c>
      <c r="V25" s="38">
        <f>'R2'!V31</f>
        <v>0.33756469146098977</v>
      </c>
    </row>
    <row r="26" spans="1:22" x14ac:dyDescent="0.25">
      <c r="A26" s="141"/>
      <c r="B26" s="38">
        <f>'R2'!B32</f>
        <v>0</v>
      </c>
      <c r="C26" s="38">
        <f>'R2'!C32</f>
        <v>8.8989820581311923E-3</v>
      </c>
      <c r="D26" s="38">
        <f>'R2'!D32</f>
        <v>0.81912650902975681</v>
      </c>
      <c r="E26" s="38">
        <f>'R2'!E32</f>
        <v>1.1430360108359181</v>
      </c>
      <c r="F26" s="38">
        <f>'R2'!F32</f>
        <v>4.696544921897567E-2</v>
      </c>
      <c r="G26" s="38">
        <f>'R2'!G32</f>
        <v>0.86163826562284995</v>
      </c>
      <c r="H26" s="38">
        <f>'R2'!H32</f>
        <v>2.1098066320104958</v>
      </c>
      <c r="I26" s="38">
        <f>'R2'!I32</f>
        <v>0</v>
      </c>
      <c r="J26" s="38">
        <f>'R2'!J32</f>
        <v>0</v>
      </c>
      <c r="K26" s="38">
        <f>'R2'!K32</f>
        <v>0</v>
      </c>
      <c r="L26" s="38">
        <f>'R2'!L32</f>
        <v>0</v>
      </c>
      <c r="M26" s="38">
        <f>'R2'!M32</f>
        <v>3.1125429219374823E-2</v>
      </c>
      <c r="O26" s="38">
        <f>'R2'!O32</f>
        <v>1.1472880268145909</v>
      </c>
      <c r="P26" s="38">
        <f>'R2'!P32</f>
        <v>2.0795719413162974</v>
      </c>
      <c r="Q26" s="38">
        <f>'R2'!Q32</f>
        <v>4.5368842428564975E-2</v>
      </c>
      <c r="R26" s="38">
        <f>'R2'!R32</f>
        <v>0.24933956150034819</v>
      </c>
      <c r="S26" s="38">
        <f>'R2'!S32</f>
        <v>1.4129465903516631</v>
      </c>
      <c r="T26" s="38">
        <f>'R2'!T32</f>
        <v>1.3717457319654334</v>
      </c>
      <c r="U26" s="38">
        <f>'R2'!U32</f>
        <v>0.6006602809397712</v>
      </c>
      <c r="V26" s="38">
        <f>'R2'!V32</f>
        <v>1.4059971492165597</v>
      </c>
    </row>
    <row r="27" spans="1:22" x14ac:dyDescent="0.25">
      <c r="A27" s="141"/>
      <c r="B27" s="38">
        <f>'R2'!B33</f>
        <v>0</v>
      </c>
      <c r="C27" s="38">
        <f>'R2'!C33</f>
        <v>0.11335908211915939</v>
      </c>
      <c r="D27" s="38">
        <f>'R2'!D33</f>
        <v>0</v>
      </c>
      <c r="E27" s="38">
        <f>'R2'!E33</f>
        <v>1.7779393058331818</v>
      </c>
      <c r="F27" s="38">
        <f>'R2'!F33</f>
        <v>0.18854245556023566</v>
      </c>
      <c r="G27" s="38">
        <f>'R2'!G33</f>
        <v>1.8039808029041438</v>
      </c>
      <c r="H27" s="38">
        <f>'R2'!H33</f>
        <v>2.0972102447535184</v>
      </c>
      <c r="I27" s="38">
        <f>'R2'!I33</f>
        <v>0</v>
      </c>
      <c r="J27" s="38">
        <f>'R2'!J33</f>
        <v>0</v>
      </c>
      <c r="K27" s="38">
        <f>'R2'!K33</f>
        <v>0</v>
      </c>
      <c r="L27" s="38">
        <f>'R2'!L33</f>
        <v>0</v>
      </c>
      <c r="M27" s="38">
        <f>'R2'!M33</f>
        <v>0</v>
      </c>
      <c r="O27" s="38">
        <f>'R2'!O33</f>
        <v>1.5736324590160491</v>
      </c>
      <c r="P27" s="38">
        <f>'R2'!P33</f>
        <v>1.5500783072606745</v>
      </c>
      <c r="Q27" s="38">
        <f>'R2'!Q33</f>
        <v>0</v>
      </c>
      <c r="R27" s="38">
        <f>'R2'!R33</f>
        <v>0.96888822597028001</v>
      </c>
      <c r="S27" s="38">
        <f>'R2'!S33</f>
        <v>1.2755627776336396</v>
      </c>
      <c r="T27" s="38">
        <f>'R2'!T33</f>
        <v>0.7052884448734742</v>
      </c>
      <c r="U27" s="38">
        <f>'R2'!U33</f>
        <v>1.1054569289058307</v>
      </c>
      <c r="V27" s="38">
        <f>'R2'!V33</f>
        <v>0</v>
      </c>
    </row>
    <row r="28" spans="1:22" x14ac:dyDescent="0.25">
      <c r="A28" s="141"/>
      <c r="B28" s="38">
        <f>'R2'!B34</f>
        <v>0</v>
      </c>
      <c r="C28" s="38">
        <f>'R2'!C34</f>
        <v>0</v>
      </c>
      <c r="D28" s="38">
        <f>'R2'!D34</f>
        <v>2.7730538991343661E-3</v>
      </c>
      <c r="E28" s="38">
        <f>'R2'!E34</f>
        <v>2.1035462527533588</v>
      </c>
      <c r="F28" s="38">
        <f>'R2'!F34</f>
        <v>1.4868442751667772</v>
      </c>
      <c r="G28" s="38">
        <f>'R2'!G34</f>
        <v>2.3778264929586488</v>
      </c>
      <c r="H28" s="38">
        <f>'R2'!H34</f>
        <v>2.5839316232134024</v>
      </c>
      <c r="I28" s="38">
        <f>'R2'!I34</f>
        <v>0</v>
      </c>
      <c r="J28" s="38">
        <f>'R2'!J34</f>
        <v>0</v>
      </c>
      <c r="K28" s="38">
        <f>'R2'!K34</f>
        <v>0</v>
      </c>
      <c r="L28" s="38">
        <f>'R2'!L34</f>
        <v>4.2184032041377327E-3</v>
      </c>
      <c r="M28" s="38">
        <f>'R2'!M34</f>
        <v>0</v>
      </c>
      <c r="O28" s="38">
        <f>'R2'!O34</f>
        <v>0</v>
      </c>
      <c r="P28" s="38">
        <f>'R2'!P34</f>
        <v>1.635194255576832</v>
      </c>
      <c r="Q28" s="38">
        <f>'R2'!Q34</f>
        <v>1.8327365315188037E-2</v>
      </c>
      <c r="R28" s="38">
        <f>'R2'!R34</f>
        <v>0.90751129966943933</v>
      </c>
      <c r="S28" s="38">
        <f>'R2'!S34</f>
        <v>1.8792229987006561</v>
      </c>
      <c r="T28" s="38">
        <f>'R2'!T34</f>
        <v>0.55524942254303744</v>
      </c>
      <c r="U28" s="38">
        <f>'R2'!U34</f>
        <v>0.13506453127511112</v>
      </c>
      <c r="V28" s="38">
        <f>'R2'!V34</f>
        <v>0.86731882451925857</v>
      </c>
    </row>
    <row r="29" spans="1:22" x14ac:dyDescent="0.25">
      <c r="A29" s="141"/>
      <c r="B29" s="38">
        <f>'R2'!B35</f>
        <v>7.3107784613542378E-4</v>
      </c>
      <c r="C29" s="38">
        <f>'R2'!C35</f>
        <v>0</v>
      </c>
      <c r="D29" s="38">
        <f>'R2'!D35</f>
        <v>5.4368662810301057E-3</v>
      </c>
      <c r="E29" s="38">
        <f>'R2'!E35</f>
        <v>0.81337872458427829</v>
      </c>
      <c r="F29" s="38">
        <f>'R2'!F35</f>
        <v>0.13292171689850726</v>
      </c>
      <c r="G29" s="38">
        <f>'R2'!G35</f>
        <v>0.67809571027468984</v>
      </c>
      <c r="H29" s="38">
        <f>'R2'!H35</f>
        <v>2.393305175631999</v>
      </c>
      <c r="I29" s="38">
        <f>'R2'!I35</f>
        <v>7.1931337504818702E-3</v>
      </c>
      <c r="J29" s="38">
        <f>'R2'!J35</f>
        <v>0</v>
      </c>
      <c r="K29" s="38">
        <f>'R2'!K35</f>
        <v>2.7520459150500148E-2</v>
      </c>
      <c r="L29" s="38">
        <f>'R2'!L35</f>
        <v>0</v>
      </c>
      <c r="M29" s="38">
        <f>'R2'!M35</f>
        <v>3.6528682725869968E-2</v>
      </c>
      <c r="O29" s="38">
        <f>'R2'!O35</f>
        <v>1.1197339548895557</v>
      </c>
      <c r="P29" s="38">
        <f>'R2'!P35</f>
        <v>2.0742863325206744</v>
      </c>
      <c r="Q29" s="38">
        <f>'R2'!Q35</f>
        <v>0</v>
      </c>
      <c r="R29" s="38">
        <f>'R2'!R35</f>
        <v>0.92456137955229889</v>
      </c>
      <c r="S29" s="38">
        <f>'R2'!S35</f>
        <v>1.0883648330548026</v>
      </c>
      <c r="T29" s="38">
        <f>'R2'!T35</f>
        <v>0</v>
      </c>
      <c r="U29" s="38">
        <f>'R2'!U35</f>
        <v>0.99313984279725509</v>
      </c>
      <c r="V29" s="38">
        <f>'R2'!V35</f>
        <v>0.35752227634112344</v>
      </c>
    </row>
    <row r="30" spans="1:22" x14ac:dyDescent="0.25">
      <c r="A30" s="141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1.6185307226011245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25">
      <c r="A31" s="141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1.8206443358798512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25">
      <c r="A32" s="141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2.2038635783529532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25">
      <c r="A33" s="141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0.54395553029929022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25">
      <c r="A34" s="141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1.4561642152099905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25">
      <c r="A35" s="141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0.68293594980772443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25">
      <c r="A36" s="141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0.89262924374408492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25">
      <c r="A37" s="142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0.22253337380871599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25">
      <c r="A38" s="85" t="s">
        <v>16</v>
      </c>
      <c r="B38" s="86">
        <f>'R3'!B28</f>
        <v>0</v>
      </c>
      <c r="C38" s="86">
        <f>'R3'!C28</f>
        <v>0</v>
      </c>
      <c r="D38" s="86">
        <f>'R3'!D28</f>
        <v>0</v>
      </c>
      <c r="E38" s="86">
        <f>'R3'!E28</f>
        <v>0</v>
      </c>
      <c r="F38" s="86">
        <f>'R3'!F28</f>
        <v>1.2090230327815739</v>
      </c>
      <c r="G38" s="86">
        <f>'R3'!G28</f>
        <v>1.2512322790141768</v>
      </c>
      <c r="H38" s="86">
        <f>'R3'!H28</f>
        <v>2.445048923960861</v>
      </c>
      <c r="I38" s="86">
        <f>'R3'!I28</f>
        <v>0</v>
      </c>
      <c r="J38" s="86">
        <f>'R3'!J28</f>
        <v>0</v>
      </c>
      <c r="K38" s="86">
        <f>'R3'!K28</f>
        <v>0</v>
      </c>
      <c r="L38" s="86">
        <f>'R3'!L28</f>
        <v>0</v>
      </c>
      <c r="M38" s="86">
        <f>'R3'!M28</f>
        <v>0</v>
      </c>
      <c r="N38"/>
      <c r="O38" s="86">
        <f>'R3'!O28</f>
        <v>1.1021175183059853</v>
      </c>
      <c r="P38" s="86">
        <f>'R3'!P28</f>
        <v>0.13554421156463076</v>
      </c>
      <c r="Q38" s="86">
        <f>'R3'!Q28</f>
        <v>0</v>
      </c>
      <c r="R38" s="86">
        <f>'R3'!R28</f>
        <v>2.2316526146779081</v>
      </c>
      <c r="S38" s="86">
        <f>'R3'!S28</f>
        <v>1.5220672623461902</v>
      </c>
      <c r="T38" s="86">
        <f>'R3'!T28</f>
        <v>0.97873841700926634</v>
      </c>
      <c r="U38" s="86">
        <f>'R3'!U28</f>
        <v>0</v>
      </c>
      <c r="V38" s="86">
        <f>'R3'!V28</f>
        <v>3.7555169955864037E-3</v>
      </c>
    </row>
    <row r="39" spans="1:22" s="1" customFormat="1" x14ac:dyDescent="0.25">
      <c r="A39" s="140"/>
      <c r="B39" s="86">
        <f>'R3'!B29</f>
        <v>0</v>
      </c>
      <c r="C39" s="86">
        <f>'R3'!C29</f>
        <v>0</v>
      </c>
      <c r="D39" s="86">
        <f>'R3'!D29</f>
        <v>0</v>
      </c>
      <c r="E39" s="86">
        <f>'R3'!E29</f>
        <v>0</v>
      </c>
      <c r="F39" s="86">
        <f>'R3'!F29</f>
        <v>4.8633023493581202</v>
      </c>
      <c r="G39" s="86">
        <f>'R3'!G29</f>
        <v>2.1355528515577187</v>
      </c>
      <c r="H39" s="86">
        <f>'R3'!H29</f>
        <v>4.445956123235101</v>
      </c>
      <c r="I39" s="86">
        <f>'R3'!I29</f>
        <v>0</v>
      </c>
      <c r="J39" s="86">
        <f>'R3'!J29</f>
        <v>0</v>
      </c>
      <c r="K39" s="86">
        <f>'R3'!K29</f>
        <v>0</v>
      </c>
      <c r="L39" s="86">
        <f>'R3'!L29</f>
        <v>0</v>
      </c>
      <c r="M39" s="86">
        <f>'R3'!M29</f>
        <v>0</v>
      </c>
      <c r="N39"/>
      <c r="O39" s="86">
        <f>'R3'!O29</f>
        <v>0.24270316583746732</v>
      </c>
      <c r="P39" s="86">
        <f>'R3'!P29</f>
        <v>3.5228131817494547E-2</v>
      </c>
      <c r="Q39" s="86">
        <f>'R3'!Q29</f>
        <v>0</v>
      </c>
      <c r="R39" s="86">
        <f>'R3'!R29</f>
        <v>0.16139507088394328</v>
      </c>
      <c r="S39" s="86">
        <f>'R3'!S29</f>
        <v>0.20703727437018049</v>
      </c>
      <c r="T39" s="86">
        <f>'R3'!T29</f>
        <v>0.43098589521128383</v>
      </c>
      <c r="U39" s="86">
        <f>'R3'!U29</f>
        <v>2.6300369359704514</v>
      </c>
      <c r="V39" s="86">
        <f>'R3'!V29</f>
        <v>1.1126007099194322</v>
      </c>
    </row>
    <row r="40" spans="1:22" s="1" customFormat="1" x14ac:dyDescent="0.25">
      <c r="A40" s="141"/>
      <c r="B40" s="86">
        <f>'R3'!B30</f>
        <v>0</v>
      </c>
      <c r="C40" s="86">
        <f>'R3'!C30</f>
        <v>0</v>
      </c>
      <c r="D40" s="86">
        <f>'R3'!D30</f>
        <v>0</v>
      </c>
      <c r="E40" s="86">
        <f>'R3'!E30</f>
        <v>0</v>
      </c>
      <c r="F40" s="86">
        <f>'R3'!F30</f>
        <v>0</v>
      </c>
      <c r="G40" s="86">
        <f>'R3'!G30</f>
        <v>3.1562470750023399</v>
      </c>
      <c r="H40" s="86">
        <f>'R3'!H30</f>
        <v>3.9800416159667074</v>
      </c>
      <c r="I40" s="86">
        <f>'R3'!I30</f>
        <v>0</v>
      </c>
      <c r="J40" s="86">
        <f>'R3'!J30</f>
        <v>0</v>
      </c>
      <c r="K40" s="86">
        <f>'R3'!K30</f>
        <v>0</v>
      </c>
      <c r="L40" s="86">
        <f>'R3'!L30</f>
        <v>0</v>
      </c>
      <c r="M40" s="86">
        <f>'R3'!M30</f>
        <v>0</v>
      </c>
      <c r="N40"/>
      <c r="O40" s="86">
        <f>'R3'!O30</f>
        <v>1.0277905377675698</v>
      </c>
      <c r="P40" s="86">
        <f>'R3'!P30</f>
        <v>2.9112629509896393</v>
      </c>
      <c r="Q40" s="86">
        <f>'R3'!Q30</f>
        <v>0</v>
      </c>
      <c r="R40" s="86">
        <f>'R3'!R30</f>
        <v>4.6333402933277652E-2</v>
      </c>
      <c r="S40" s="86">
        <f>'R3'!S30</f>
        <v>1.0550929159256672</v>
      </c>
      <c r="T40" s="86">
        <f>'R3'!T30</f>
        <v>2.0840815327347739</v>
      </c>
      <c r="U40" s="86">
        <f>'R3'!U30</f>
        <v>0.27131882294494164</v>
      </c>
      <c r="V40" s="86">
        <f>'R3'!V30</f>
        <v>0.92519349984520016</v>
      </c>
    </row>
    <row r="41" spans="1:22" s="1" customFormat="1" x14ac:dyDescent="0.25">
      <c r="A41" s="141"/>
      <c r="B41" s="86">
        <f>'R3'!B31</f>
        <v>0</v>
      </c>
      <c r="C41" s="86">
        <f>'R3'!C31</f>
        <v>0</v>
      </c>
      <c r="D41" s="86">
        <f>'R3'!D31</f>
        <v>0</v>
      </c>
      <c r="E41" s="86">
        <f>'R3'!E31</f>
        <v>0</v>
      </c>
      <c r="F41" s="86">
        <f>'R3'!F31</f>
        <v>0</v>
      </c>
      <c r="G41" s="86">
        <f>'R3'!G31</f>
        <v>1.6183974252820599</v>
      </c>
      <c r="H41" s="86">
        <f>'R3'!H31</f>
        <v>4.8340415727667416</v>
      </c>
      <c r="I41" s="86">
        <f>'R3'!I31</f>
        <v>0</v>
      </c>
      <c r="J41" s="86">
        <f>'R3'!J31</f>
        <v>0</v>
      </c>
      <c r="K41" s="86">
        <f>'R3'!K31</f>
        <v>0</v>
      </c>
      <c r="L41" s="86">
        <f>'R3'!L31</f>
        <v>0</v>
      </c>
      <c r="M41" s="86">
        <f>'R3'!M31</f>
        <v>0</v>
      </c>
      <c r="N41"/>
      <c r="O41" s="86">
        <f>'R3'!O31</f>
        <v>1.331411414870868</v>
      </c>
      <c r="P41" s="86">
        <f>'R3'!P31</f>
        <v>2.0776072979141618</v>
      </c>
      <c r="Q41" s="86">
        <f>'R3'!Q31</f>
        <v>0</v>
      </c>
      <c r="R41" s="86">
        <f>'R3'!R31</f>
        <v>3.92140486287611E-2</v>
      </c>
      <c r="S41" s="86">
        <f>'R3'!S31</f>
        <v>0</v>
      </c>
      <c r="T41" s="86">
        <f>'R3'!T31</f>
        <v>0</v>
      </c>
      <c r="U41" s="86">
        <f>'R3'!U31</f>
        <v>0.42388958088833528</v>
      </c>
      <c r="V41" s="86">
        <f>'R3'!V31</f>
        <v>0</v>
      </c>
    </row>
    <row r="42" spans="1:22" s="1" customFormat="1" x14ac:dyDescent="0.25">
      <c r="A42" s="141"/>
      <c r="B42" s="86">
        <f>'R3'!B32</f>
        <v>0</v>
      </c>
      <c r="C42" s="86">
        <f>'R3'!C32</f>
        <v>1.8662385070091945E-3</v>
      </c>
      <c r="D42" s="86">
        <f>'R3'!D32</f>
        <v>0</v>
      </c>
      <c r="E42" s="86">
        <f>'R3'!E32</f>
        <v>0</v>
      </c>
      <c r="F42" s="86">
        <f>'R3'!F32</f>
        <v>2.4583199533440374</v>
      </c>
      <c r="G42" s="86">
        <f>'R3'!G32</f>
        <v>1.6041817566545946</v>
      </c>
      <c r="H42" s="86">
        <f>'R3'!H32</f>
        <v>3.9686368250905399</v>
      </c>
      <c r="I42" s="86">
        <f>'R3'!I32</f>
        <v>0</v>
      </c>
      <c r="J42" s="86">
        <f>'R3'!J32</f>
        <v>0</v>
      </c>
      <c r="K42" s="86">
        <f>'R3'!K32</f>
        <v>0</v>
      </c>
      <c r="L42" s="86">
        <f>'R3'!L32</f>
        <v>0</v>
      </c>
      <c r="M42" s="86">
        <f>'R3'!M32</f>
        <v>0</v>
      </c>
      <c r="N42"/>
      <c r="O42" s="86">
        <f>'R3'!O32</f>
        <v>0</v>
      </c>
      <c r="P42" s="86">
        <f>'R3'!P32</f>
        <v>3.5464982828013736</v>
      </c>
      <c r="Q42" s="86">
        <f>'R3'!Q32</f>
        <v>0</v>
      </c>
      <c r="R42" s="86">
        <f>'R3'!R32</f>
        <v>0</v>
      </c>
      <c r="S42" s="86">
        <f>'R3'!S32</f>
        <v>0</v>
      </c>
      <c r="T42" s="86">
        <f>'R3'!T32</f>
        <v>7.3727941017647184E-3</v>
      </c>
      <c r="U42" s="86">
        <f>'R3'!U32</f>
        <v>1.49990280007776E-2</v>
      </c>
      <c r="V42" s="86">
        <f>'R3'!V32</f>
        <v>2.040535967571226</v>
      </c>
    </row>
    <row r="43" spans="1:22" s="1" customFormat="1" x14ac:dyDescent="0.25">
      <c r="A43" s="141"/>
      <c r="B43" s="86">
        <f>'R3'!B33</f>
        <v>0</v>
      </c>
      <c r="C43" s="86">
        <f>'R3'!C33</f>
        <v>0</v>
      </c>
      <c r="D43" s="86">
        <f>'R3'!D33</f>
        <v>1.9123184701452238E-3</v>
      </c>
      <c r="E43" s="86">
        <f>'R3'!E33</f>
        <v>1.8892784885772092E-3</v>
      </c>
      <c r="F43" s="86">
        <f>'R3'!F33</f>
        <v>2.8506908394473283</v>
      </c>
      <c r="G43" s="86">
        <f>'R3'!G33</f>
        <v>3.6348566121147101</v>
      </c>
      <c r="H43" s="86">
        <f>'R3'!H33</f>
        <v>5.9891280086975929</v>
      </c>
      <c r="I43" s="86">
        <f>'R3'!I33</f>
        <v>0</v>
      </c>
      <c r="J43" s="86">
        <f>'R3'!J33</f>
        <v>0</v>
      </c>
      <c r="K43" s="86">
        <f>'R3'!K33</f>
        <v>0</v>
      </c>
      <c r="L43" s="86">
        <f>'R3'!L33</f>
        <v>0</v>
      </c>
      <c r="M43" s="86">
        <f>'R3'!M33</f>
        <v>0</v>
      </c>
      <c r="N43"/>
      <c r="O43" s="86">
        <f>'R3'!O33</f>
        <v>1.3825601739518609</v>
      </c>
      <c r="P43" s="86">
        <f>'R3'!P33</f>
        <v>2.9856360114911906</v>
      </c>
      <c r="Q43" s="86">
        <f>'R3'!Q33</f>
        <v>0</v>
      </c>
      <c r="R43" s="86">
        <f>'R3'!R33</f>
        <v>7.2207302234158208E-2</v>
      </c>
      <c r="S43" s="86">
        <f>'R3'!S33</f>
        <v>0.81156031075175139</v>
      </c>
      <c r="T43" s="86">
        <f>'R3'!T33</f>
        <v>0</v>
      </c>
      <c r="U43" s="86">
        <f>'R3'!U33</f>
        <v>5.2646357882913691E-2</v>
      </c>
      <c r="V43" s="86">
        <f>'R3'!V33</f>
        <v>0.4090518327585338</v>
      </c>
    </row>
    <row r="44" spans="1:22" s="1" customFormat="1" x14ac:dyDescent="0.25">
      <c r="A44" s="141"/>
      <c r="B44" s="86">
        <f>'R3'!B34</f>
        <v>0</v>
      </c>
      <c r="C44" s="86">
        <f>'R3'!C34</f>
        <v>0</v>
      </c>
      <c r="D44" s="86">
        <f>'R3'!D34</f>
        <v>0</v>
      </c>
      <c r="E44" s="86">
        <f>'R3'!E34</f>
        <v>0</v>
      </c>
      <c r="F44" s="86">
        <f>'R3'!F34</f>
        <v>8.8081849534520376E-2</v>
      </c>
      <c r="G44" s="86">
        <f>'R3'!G34</f>
        <v>3.4523799580960337</v>
      </c>
      <c r="H44" s="86">
        <f>'R3'!H34</f>
        <v>2.3870112103910315</v>
      </c>
      <c r="I44" s="86">
        <f>'R3'!I34</f>
        <v>0</v>
      </c>
      <c r="J44" s="86">
        <f>'R3'!J34</f>
        <v>0</v>
      </c>
      <c r="K44" s="86">
        <f>'R3'!K34</f>
        <v>0</v>
      </c>
      <c r="L44" s="86">
        <f>'R3'!L34</f>
        <v>0</v>
      </c>
      <c r="M44" s="86">
        <f>'R3'!M34</f>
        <v>0</v>
      </c>
      <c r="N44"/>
      <c r="O44" s="86">
        <f>'R3'!O34</f>
        <v>5.7761233791012966E-2</v>
      </c>
      <c r="P44" s="86">
        <f>'R3'!P34</f>
        <v>3.3428478857216914</v>
      </c>
      <c r="Q44" s="86">
        <f>'R3'!Q34</f>
        <v>0</v>
      </c>
      <c r="R44" s="86">
        <f>'R3'!R34</f>
        <v>0</v>
      </c>
      <c r="S44" s="86">
        <f>'R3'!S34</f>
        <v>0</v>
      </c>
      <c r="T44" s="86">
        <f>'R3'!T34</f>
        <v>0</v>
      </c>
      <c r="U44" s="86">
        <f>'R3'!U34</f>
        <v>0.34997732001814397</v>
      </c>
      <c r="V44" s="86">
        <f>'R3'!V34</f>
        <v>0.11255030995975203</v>
      </c>
    </row>
    <row r="45" spans="1:22" s="1" customFormat="1" x14ac:dyDescent="0.25">
      <c r="A45" s="141"/>
      <c r="B45" s="86">
        <f>'R3'!B35</f>
        <v>0</v>
      </c>
      <c r="C45" s="86">
        <f>'R3'!C35</f>
        <v>0</v>
      </c>
      <c r="D45" s="86">
        <f>'R3'!D35</f>
        <v>0</v>
      </c>
      <c r="E45" s="86">
        <f>'R3'!E35</f>
        <v>0</v>
      </c>
      <c r="F45" s="86">
        <f>'R3'!F35</f>
        <v>0</v>
      </c>
      <c r="G45" s="86">
        <f>'R3'!G35</f>
        <v>3.6770888983288814</v>
      </c>
      <c r="H45" s="86">
        <f>'R3'!H35</f>
        <v>4.801762558589953</v>
      </c>
      <c r="I45" s="86">
        <f>'R3'!I35</f>
        <v>0</v>
      </c>
      <c r="J45" s="86" t="str">
        <f>'R3'!J35</f>
        <v/>
      </c>
      <c r="K45" s="86">
        <f>'R3'!K35</f>
        <v>0</v>
      </c>
      <c r="L45" s="86">
        <f>'R3'!L35</f>
        <v>0</v>
      </c>
      <c r="M45" s="86">
        <f>'R3'!M35</f>
        <v>0</v>
      </c>
      <c r="N45"/>
      <c r="O45" s="86">
        <f>'R3'!O35</f>
        <v>0.93857972913621668</v>
      </c>
      <c r="P45" s="86">
        <f>'R3'!P35</f>
        <v>2.0905327275738181</v>
      </c>
      <c r="Q45" s="86">
        <f>'R3'!Q35</f>
        <v>0.11255030995975203</v>
      </c>
      <c r="R45" s="86">
        <f>'R3'!R35</f>
        <v>0</v>
      </c>
      <c r="S45" s="86">
        <f>'R3'!S35</f>
        <v>0.2543383565293148</v>
      </c>
      <c r="T45" s="86">
        <f>'R3'!T35</f>
        <v>0</v>
      </c>
      <c r="U45" s="86">
        <f>'R3'!U35</f>
        <v>0.2200087839929728</v>
      </c>
      <c r="V45" s="86">
        <f>'R3'!V35</f>
        <v>1.1151351078919137E-2</v>
      </c>
    </row>
    <row r="46" spans="1:22" s="1" customFormat="1" x14ac:dyDescent="0.25">
      <c r="A46" s="141"/>
      <c r="B46" s="86" t="str">
        <f>'R3'!B36</f>
        <v/>
      </c>
      <c r="C46" s="86" t="str">
        <f>'R3'!C36</f>
        <v/>
      </c>
      <c r="D46" s="86" t="str">
        <f>'R3'!D36</f>
        <v/>
      </c>
      <c r="E46" s="86" t="str">
        <f>'R3'!E36</f>
        <v/>
      </c>
      <c r="F46" s="86" t="str">
        <f>'R3'!F36</f>
        <v/>
      </c>
      <c r="G46" s="86" t="str">
        <f>'R3'!G36</f>
        <v/>
      </c>
      <c r="H46" s="86" t="str">
        <f>'R3'!H36</f>
        <v/>
      </c>
      <c r="I46" s="86" t="str">
        <f>'R3'!I36</f>
        <v/>
      </c>
      <c r="J46" s="86" t="str">
        <f>'R3'!J36</f>
        <v/>
      </c>
      <c r="K46" s="86" t="str">
        <f>'R3'!K36</f>
        <v/>
      </c>
      <c r="L46" s="86" t="str">
        <f>'R3'!L36</f>
        <v/>
      </c>
      <c r="M46" s="86" t="str">
        <f>'R3'!M36</f>
        <v/>
      </c>
      <c r="N46"/>
      <c r="O46" s="86">
        <f>'R3'!O36</f>
        <v>7.4188740649007478E-3</v>
      </c>
      <c r="P46" s="86" t="str">
        <f>'R3'!P36</f>
        <v/>
      </c>
      <c r="Q46" s="86" t="str">
        <f>'R3'!Q36</f>
        <v/>
      </c>
      <c r="R46" s="86" t="str">
        <f>'R3'!R36</f>
        <v/>
      </c>
      <c r="S46" s="86" t="str">
        <f>'R3'!S36</f>
        <v/>
      </c>
      <c r="T46" s="86" t="str">
        <f>'R3'!T36</f>
        <v/>
      </c>
      <c r="U46" s="86" t="str">
        <f>'R3'!U36</f>
        <v/>
      </c>
      <c r="V46" s="86" t="str">
        <f>'R3'!V36</f>
        <v/>
      </c>
    </row>
    <row r="47" spans="1:22" s="1" customFormat="1" x14ac:dyDescent="0.25">
      <c r="A47" s="141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 s="86" t="str">
        <f>'R3'!I37</f>
        <v/>
      </c>
      <c r="J47" s="86" t="str">
        <f>'R3'!J37</f>
        <v/>
      </c>
      <c r="K47" s="86" t="str">
        <f>'R3'!K37</f>
        <v/>
      </c>
      <c r="L47" s="86" t="str">
        <f>'R3'!L37</f>
        <v/>
      </c>
      <c r="M47" s="86" t="str">
        <f>'R3'!M37</f>
        <v/>
      </c>
      <c r="N47"/>
      <c r="O47" s="86">
        <f>'R3'!O37</f>
        <v>1.0173764660988271</v>
      </c>
      <c r="P47" s="86" t="str">
        <f>'R3'!P37</f>
        <v/>
      </c>
      <c r="Q47" s="86" t="str">
        <f>'R3'!Q37</f>
        <v/>
      </c>
      <c r="R47" s="86" t="str">
        <f>'R3'!R37</f>
        <v/>
      </c>
      <c r="S47" s="86" t="str">
        <f>'R3'!S37</f>
        <v/>
      </c>
      <c r="T47" s="86" t="str">
        <f>'R3'!T37</f>
        <v/>
      </c>
      <c r="U47" s="86" t="str">
        <f>'R3'!U37</f>
        <v/>
      </c>
      <c r="V47" s="86" t="str">
        <f>'R3'!V37</f>
        <v/>
      </c>
    </row>
    <row r="48" spans="1:22" s="1" customFormat="1" x14ac:dyDescent="0.25">
      <c r="A48" s="141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 s="86" t="str">
        <f>'R3'!I38</f>
        <v/>
      </c>
      <c r="J48" s="86" t="str">
        <f>'R3'!J38</f>
        <v/>
      </c>
      <c r="K48" s="86" t="str">
        <f>'R3'!K38</f>
        <v/>
      </c>
      <c r="L48" s="86" t="str">
        <f>'R3'!L38</f>
        <v/>
      </c>
      <c r="M48" s="86" t="str">
        <f>'R3'!M38</f>
        <v/>
      </c>
      <c r="N48"/>
      <c r="O48" s="86">
        <f>'R3'!O38</f>
        <v>0.3474659620272304</v>
      </c>
      <c r="P48" s="86" t="str">
        <f>'R3'!P38</f>
        <v/>
      </c>
      <c r="Q48" s="86" t="str">
        <f>'R3'!Q38</f>
        <v/>
      </c>
      <c r="R48" s="86" t="str">
        <f>'R3'!R38</f>
        <v/>
      </c>
      <c r="S48" s="86" t="str">
        <f>'R3'!S38</f>
        <v/>
      </c>
      <c r="T48" s="86" t="str">
        <f>'R3'!T38</f>
        <v/>
      </c>
      <c r="U48" s="86" t="str">
        <f>'R3'!U38</f>
        <v/>
      </c>
      <c r="V48" s="86" t="str">
        <f>'R3'!V38</f>
        <v/>
      </c>
    </row>
    <row r="49" spans="1:24" s="1" customFormat="1" x14ac:dyDescent="0.25">
      <c r="A49" s="141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 s="86" t="str">
        <f>'R3'!I39</f>
        <v/>
      </c>
      <c r="J49" s="86" t="str">
        <f>'R3'!J39</f>
        <v/>
      </c>
      <c r="K49" s="86" t="str">
        <f>'R3'!K39</f>
        <v/>
      </c>
      <c r="L49" s="86" t="str">
        <f>'R3'!L39</f>
        <v/>
      </c>
      <c r="M49" s="86" t="str">
        <f>'R3'!M39</f>
        <v/>
      </c>
      <c r="N49"/>
      <c r="O49" s="86">
        <f>'R3'!O39</f>
        <v>2.1798817760945792</v>
      </c>
      <c r="P49" s="86" t="str">
        <f>'R3'!P39</f>
        <v/>
      </c>
      <c r="Q49" s="86" t="str">
        <f>'R3'!Q39</f>
        <v/>
      </c>
      <c r="R49" s="86" t="str">
        <f>'R3'!R39</f>
        <v/>
      </c>
      <c r="S49" s="86" t="str">
        <f>'R3'!S39</f>
        <v/>
      </c>
      <c r="T49" s="86" t="str">
        <f>'R3'!T39</f>
        <v/>
      </c>
      <c r="U49" s="86" t="str">
        <f>'R3'!U39</f>
        <v/>
      </c>
      <c r="V49" s="86" t="str">
        <f>'R3'!V39</f>
        <v/>
      </c>
    </row>
    <row r="50" spans="1:24" s="1" customFormat="1" x14ac:dyDescent="0.25">
      <c r="A50" s="141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 s="86" t="str">
        <f>'R3'!I40</f>
        <v/>
      </c>
      <c r="J50" s="86" t="str">
        <f>'R3'!J40</f>
        <v/>
      </c>
      <c r="K50" s="86" t="str">
        <f>'R3'!K40</f>
        <v/>
      </c>
      <c r="L50" s="86" t="str">
        <f>'R3'!L40</f>
        <v/>
      </c>
      <c r="M50" s="86" t="str">
        <f>'R3'!M40</f>
        <v/>
      </c>
      <c r="N50"/>
      <c r="O50" s="86">
        <f>'R3'!O40</f>
        <v>2.3157946273642982</v>
      </c>
      <c r="P50" s="86" t="str">
        <f>'R3'!P40</f>
        <v/>
      </c>
      <c r="Q50" s="86" t="str">
        <f>'R3'!Q40</f>
        <v/>
      </c>
      <c r="R50" s="86" t="str">
        <f>'R3'!R40</f>
        <v/>
      </c>
      <c r="S50" s="86" t="str">
        <f>'R3'!S40</f>
        <v/>
      </c>
      <c r="T50" s="86" t="str">
        <f>'R3'!T40</f>
        <v/>
      </c>
      <c r="U50" s="86" t="str">
        <f>'R3'!U40</f>
        <v/>
      </c>
      <c r="V50" s="86" t="str">
        <f>'R3'!V40</f>
        <v/>
      </c>
    </row>
    <row r="51" spans="1:24" s="1" customFormat="1" x14ac:dyDescent="0.25">
      <c r="A51" s="141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 s="86" t="str">
        <f>'R3'!I41</f>
        <v/>
      </c>
      <c r="J51" s="86" t="str">
        <f>'R3'!J41</f>
        <v/>
      </c>
      <c r="K51" s="86" t="str">
        <f>'R3'!K41</f>
        <v/>
      </c>
      <c r="L51" s="86" t="str">
        <f>'R3'!L41</f>
        <v/>
      </c>
      <c r="M51" s="86" t="str">
        <f>'R3'!M41</f>
        <v/>
      </c>
      <c r="N51"/>
      <c r="O51" s="86">
        <f>'R3'!O41</f>
        <v>9.3311925350459714E-3</v>
      </c>
      <c r="P51" s="86" t="str">
        <f>'R3'!P41</f>
        <v/>
      </c>
      <c r="Q51" s="86" t="str">
        <f>'R3'!Q41</f>
        <v/>
      </c>
      <c r="R51" s="86" t="str">
        <f>'R3'!R41</f>
        <v/>
      </c>
      <c r="S51" s="86" t="str">
        <f>'R3'!S41</f>
        <v/>
      </c>
      <c r="T51" s="86" t="str">
        <f>'R3'!T41</f>
        <v/>
      </c>
      <c r="U51" s="86" t="str">
        <f>'R3'!U41</f>
        <v/>
      </c>
      <c r="V51" s="86" t="str">
        <f>'R3'!V41</f>
        <v/>
      </c>
    </row>
    <row r="52" spans="1:24" s="1" customFormat="1" x14ac:dyDescent="0.25">
      <c r="A52" s="141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 s="86" t="str">
        <f>'R3'!I42</f>
        <v/>
      </c>
      <c r="J52" s="86" t="str">
        <f>'R3'!J42</f>
        <v/>
      </c>
      <c r="K52" s="86" t="str">
        <f>'R3'!K42</f>
        <v/>
      </c>
      <c r="L52" s="86" t="str">
        <f>'R3'!L42</f>
        <v/>
      </c>
      <c r="M52" s="86" t="str">
        <f>'R3'!M42</f>
        <v/>
      </c>
      <c r="N52"/>
      <c r="O52" s="86">
        <f>'R3'!O42</f>
        <v>1.7959896032083174</v>
      </c>
      <c r="P52" s="86" t="str">
        <f>'R3'!P42</f>
        <v/>
      </c>
      <c r="Q52" s="86" t="str">
        <f>'R3'!Q42</f>
        <v/>
      </c>
      <c r="R52" s="86" t="str">
        <f>'R3'!R42</f>
        <v/>
      </c>
      <c r="S52" s="86" t="str">
        <f>'R3'!S42</f>
        <v/>
      </c>
      <c r="T52" s="86" t="str">
        <f>'R3'!T42</f>
        <v/>
      </c>
      <c r="U52" s="86" t="str">
        <f>'R3'!U42</f>
        <v/>
      </c>
      <c r="V52" s="86" t="str">
        <f>'R3'!V42</f>
        <v/>
      </c>
    </row>
    <row r="53" spans="1:24" s="1" customFormat="1" x14ac:dyDescent="0.25">
      <c r="A53" s="142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 s="86" t="str">
        <f>'R3'!I43</f>
        <v/>
      </c>
      <c r="J53" s="86" t="str">
        <f>'R3'!J43</f>
        <v/>
      </c>
      <c r="K53" s="86" t="str">
        <f>'R3'!K43</f>
        <v/>
      </c>
      <c r="L53" s="86" t="str">
        <f>'R3'!L43</f>
        <v/>
      </c>
      <c r="M53" s="86" t="str">
        <f>'R3'!M43</f>
        <v/>
      </c>
      <c r="N53"/>
      <c r="O53" s="86">
        <f>'R3'!O43</f>
        <v>2.2438177249458202</v>
      </c>
      <c r="P53" s="86" t="str">
        <f>'R3'!P43</f>
        <v/>
      </c>
      <c r="Q53" s="86" t="str">
        <f>'R3'!Q43</f>
        <v/>
      </c>
      <c r="R53" s="86" t="str">
        <f>'R3'!R43</f>
        <v/>
      </c>
      <c r="S53" s="86" t="str">
        <f>'R3'!S43</f>
        <v/>
      </c>
      <c r="T53" s="86" t="str">
        <f>'R3'!T43</f>
        <v/>
      </c>
      <c r="U53" s="86" t="str">
        <f>'R3'!U43</f>
        <v/>
      </c>
      <c r="V53" s="86" t="str">
        <f>'R3'!V43</f>
        <v/>
      </c>
    </row>
    <row r="54" spans="1:24" s="44" customFormat="1" x14ac:dyDescent="0.2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25">
      <c r="A55" s="26" t="s">
        <v>36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saccharin-0.01mg/L</v>
      </c>
      <c r="J55" s="15" t="str">
        <f t="shared" si="0"/>
        <v>saccharin-0.1mg/L</v>
      </c>
      <c r="K55" s="15" t="str">
        <f t="shared" si="0"/>
        <v>saccharin-1mg/L</v>
      </c>
      <c r="L55" s="15" t="str">
        <f t="shared" si="0"/>
        <v>saccharin-10mg/L</v>
      </c>
      <c r="M55" s="15" t="str">
        <f t="shared" si="0"/>
        <v>saccharin-100mg/L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saccharin-0.01mg/L + Testostérone</v>
      </c>
      <c r="S55" s="15" t="str">
        <f t="shared" si="1"/>
        <v>saccharin-0.1mg/L + Testostérone</v>
      </c>
      <c r="T55" s="15" t="str">
        <f t="shared" si="1"/>
        <v>saccharin-1mg/L + Testostérone</v>
      </c>
      <c r="U55" s="15" t="str">
        <f t="shared" si="1"/>
        <v>saccharin-10mg/L + Testostérone</v>
      </c>
      <c r="V55" s="15" t="str">
        <f t="shared" si="1"/>
        <v>saccharin-100mg/L + Testostérone</v>
      </c>
    </row>
    <row r="56" spans="1:24" x14ac:dyDescent="0.25">
      <c r="A56" t="s">
        <v>10</v>
      </c>
      <c r="B56" s="9">
        <f t="shared" ref="B56:V56" si="2">AVERAGE(B6:B53)</f>
        <v>3.0461576922309325E-5</v>
      </c>
      <c r="C56" s="9">
        <f t="shared" si="2"/>
        <v>5.4862658284460797E-3</v>
      </c>
      <c r="D56" s="9">
        <f t="shared" si="2"/>
        <v>3.6925144716450232E-2</v>
      </c>
      <c r="E56" s="9">
        <f t="shared" si="2"/>
        <v>0.59840336121139903</v>
      </c>
      <c r="F56" s="9">
        <f t="shared" si="2"/>
        <v>1.0135057423616938</v>
      </c>
      <c r="G56" s="9">
        <f t="shared" si="2"/>
        <v>2.0018516515896709</v>
      </c>
      <c r="H56" s="9">
        <f t="shared" si="2"/>
        <v>3.0069112243717395</v>
      </c>
      <c r="I56" s="9">
        <f t="shared" si="2"/>
        <v>4.6747245837547996E-3</v>
      </c>
      <c r="J56" s="9">
        <f t="shared" si="2"/>
        <v>4.0601615355536384E-3</v>
      </c>
      <c r="K56" s="9">
        <f t="shared" si="2"/>
        <v>4.0931409167545979E-3</v>
      </c>
      <c r="L56" s="9">
        <f t="shared" si="2"/>
        <v>1.1368134259523751E-3</v>
      </c>
      <c r="M56" s="9">
        <f t="shared" si="2"/>
        <v>6.0032820636434781E-3</v>
      </c>
      <c r="N56" s="9"/>
      <c r="O56" s="9">
        <f t="shared" si="2"/>
        <v>1.0000000000000002</v>
      </c>
      <c r="P56" s="9">
        <f t="shared" si="2"/>
        <v>1.9069903358459068</v>
      </c>
      <c r="Q56" s="9">
        <f t="shared" si="2"/>
        <v>1.5491852288124634E-2</v>
      </c>
      <c r="R56" s="9">
        <f t="shared" si="2"/>
        <v>0.68638537861653903</v>
      </c>
      <c r="S56" s="9">
        <f t="shared" si="2"/>
        <v>0.73983890036359024</v>
      </c>
      <c r="T56" s="9">
        <f t="shared" si="2"/>
        <v>0.66898955819281236</v>
      </c>
      <c r="U56" s="9">
        <f t="shared" si="2"/>
        <v>0.5772555678518807</v>
      </c>
      <c r="V56" s="9">
        <f t="shared" si="2"/>
        <v>0.73605346182625653</v>
      </c>
    </row>
    <row r="57" spans="1:24" x14ac:dyDescent="0.25">
      <c r="A57" t="s">
        <v>1</v>
      </c>
      <c r="B57" s="3">
        <f>STDEV(B6:B53)</f>
        <v>1.4923064044039495E-4</v>
      </c>
      <c r="C57" s="3">
        <f t="shared" ref="C57:V57" si="3">STDEV(C6:C53)</f>
        <v>2.3064172614085093E-2</v>
      </c>
      <c r="D57" s="3">
        <f t="shared" si="3"/>
        <v>0.16679626792041904</v>
      </c>
      <c r="E57" s="3">
        <f t="shared" si="3"/>
        <v>0.83265714143968284</v>
      </c>
      <c r="F57" s="3">
        <f t="shared" si="3"/>
        <v>1.2102427653509056</v>
      </c>
      <c r="G57" s="3">
        <f t="shared" si="3"/>
        <v>0.92113753205094395</v>
      </c>
      <c r="H57" s="3">
        <f t="shared" si="3"/>
        <v>1.1827187134158736</v>
      </c>
      <c r="I57" s="3">
        <f t="shared" si="3"/>
        <v>1.3051685789797924E-2</v>
      </c>
      <c r="J57" s="3">
        <f t="shared" si="3"/>
        <v>1.3056151644736665E-2</v>
      </c>
      <c r="K57" s="3">
        <f t="shared" si="3"/>
        <v>1.24964250217161E-2</v>
      </c>
      <c r="L57" s="3">
        <f t="shared" si="3"/>
        <v>2.9793865703869543E-3</v>
      </c>
      <c r="M57" s="3">
        <f t="shared" si="3"/>
        <v>1.7003260452109249E-2</v>
      </c>
      <c r="N57" s="3"/>
      <c r="O57" s="3">
        <f t="shared" si="3"/>
        <v>0.65613586813369984</v>
      </c>
      <c r="P57" s="3">
        <f t="shared" si="3"/>
        <v>0.86391786163587758</v>
      </c>
      <c r="Q57" s="3">
        <f t="shared" si="3"/>
        <v>3.1148781260831506E-2</v>
      </c>
      <c r="R57" s="3">
        <f t="shared" si="3"/>
        <v>0.60636357307655309</v>
      </c>
      <c r="S57" s="3">
        <f t="shared" si="3"/>
        <v>0.6322914557409538</v>
      </c>
      <c r="T57" s="3">
        <f t="shared" si="3"/>
        <v>0.69428222266232742</v>
      </c>
      <c r="U57" s="3">
        <f t="shared" si="3"/>
        <v>0.58693454392624111</v>
      </c>
      <c r="V57" s="3">
        <f t="shared" si="3"/>
        <v>0.61753485481822767</v>
      </c>
      <c r="W57" s="3"/>
      <c r="X57" s="3"/>
    </row>
    <row r="58" spans="1:24" x14ac:dyDescent="0.25">
      <c r="A58" t="s">
        <v>2</v>
      </c>
      <c r="B58" s="3">
        <f xml:space="preserve"> B57/SQRT(COUNT(B6:B53))</f>
        <v>3.0461576922309332E-5</v>
      </c>
      <c r="C58" s="3">
        <f t="shared" ref="C58:V58" si="4" xml:space="preserve"> C57/SQRT(COUNT(C6:C53))</f>
        <v>4.707954520331843E-3</v>
      </c>
      <c r="D58" s="3">
        <f t="shared" si="4"/>
        <v>3.4047145617131777E-2</v>
      </c>
      <c r="E58" s="3">
        <f t="shared" si="4"/>
        <v>0.16996542726763877</v>
      </c>
      <c r="F58" s="3">
        <f t="shared" si="4"/>
        <v>0.25235306108395794</v>
      </c>
      <c r="G58" s="3">
        <f t="shared" si="4"/>
        <v>0.18802641137094986</v>
      </c>
      <c r="H58" s="3">
        <f t="shared" si="4"/>
        <v>0.241421446425825</v>
      </c>
      <c r="I58" s="3">
        <f t="shared" si="4"/>
        <v>2.6641642056782484E-3</v>
      </c>
      <c r="J58" s="3">
        <f t="shared" si="4"/>
        <v>2.7223958100425789E-3</v>
      </c>
      <c r="K58" s="3">
        <f t="shared" si="4"/>
        <v>2.5508220760127203E-3</v>
      </c>
      <c r="L58" s="3">
        <f t="shared" si="4"/>
        <v>6.0816473699573301E-4</v>
      </c>
      <c r="M58" s="3">
        <f t="shared" si="4"/>
        <v>3.470776005942706E-3</v>
      </c>
      <c r="N58" s="3"/>
      <c r="O58" s="3">
        <f t="shared" si="4"/>
        <v>9.4705055022990106E-2</v>
      </c>
      <c r="P58" s="3">
        <f t="shared" si="4"/>
        <v>0.1763464950570216</v>
      </c>
      <c r="Q58" s="3">
        <f t="shared" si="4"/>
        <v>6.3582183498836374E-3</v>
      </c>
      <c r="R58" s="3">
        <f t="shared" si="4"/>
        <v>0.12377344605403125</v>
      </c>
      <c r="S58" s="3">
        <f t="shared" si="4"/>
        <v>0.12906595294057585</v>
      </c>
      <c r="T58" s="3">
        <f t="shared" si="4"/>
        <v>0.14171976525067315</v>
      </c>
      <c r="U58" s="3">
        <f t="shared" si="4"/>
        <v>0.11980751208603753</v>
      </c>
      <c r="V58" s="3">
        <f t="shared" si="4"/>
        <v>0.12605377439069565</v>
      </c>
      <c r="W58" s="3"/>
      <c r="X58" s="3"/>
    </row>
    <row r="59" spans="1:24" s="1" customFormat="1" ht="15.75" thickBot="1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7" thickBot="1" x14ac:dyDescent="0.3">
      <c r="A60" s="143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</row>
    <row r="61" spans="1:24" s="1" customFormat="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25">
      <c r="A62" s="1" t="s">
        <v>36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saccharin-0.01mg/L</v>
      </c>
      <c r="J62" s="3" t="str">
        <f t="shared" si="6"/>
        <v>saccharin-0.1mg/L</v>
      </c>
      <c r="K62" s="3" t="str">
        <f t="shared" si="6"/>
        <v>saccharin-1mg/L</v>
      </c>
      <c r="L62" s="3" t="str">
        <f t="shared" si="6"/>
        <v>saccharin-10mg/L</v>
      </c>
      <c r="M62" s="3" t="str">
        <f t="shared" si="6"/>
        <v>saccharin-100mg/L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saccharin-0.01mg/L + Testostérone</v>
      </c>
      <c r="S62" s="3" t="str">
        <f t="shared" si="6"/>
        <v>saccharin-0.1mg/L + Testostérone</v>
      </c>
      <c r="T62" s="3" t="str">
        <f t="shared" si="6"/>
        <v>saccharin-1mg/L + Testostérone</v>
      </c>
      <c r="U62" s="3" t="str">
        <f t="shared" si="6"/>
        <v>saccharin-10mg/L + Testostérone</v>
      </c>
      <c r="V62" s="3" t="str">
        <f t="shared" si="6"/>
        <v>saccharin-100mg/L + Testostérone</v>
      </c>
    </row>
    <row r="63" spans="1:24" s="1" customFormat="1" x14ac:dyDescent="0.25">
      <c r="A63" s="1" t="s">
        <v>43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23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23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48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.75" thickBot="1" x14ac:dyDescent="0.3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7" thickBot="1" x14ac:dyDescent="0.3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</row>
    <row r="66" spans="1:22" s="1" customFormat="1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.75" thickBot="1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7" thickBot="1" x14ac:dyDescent="0.3">
      <c r="A70" s="143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</row>
    <row r="71" spans="1:22" ht="15.75" thickBot="1" x14ac:dyDescent="0.3"/>
    <row r="72" spans="1:22" s="32" customFormat="1" ht="27" thickBot="1" x14ac:dyDescent="0.3">
      <c r="A72" s="143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</row>
    <row r="73" spans="1:22" ht="15.75" thickBot="1" x14ac:dyDescent="0.3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25">
      <c r="A74" s="29" t="s">
        <v>44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saccharin-0.01mg/L</v>
      </c>
      <c r="J74" s="30" t="str">
        <f t="shared" si="9"/>
        <v>saccharin-0.1mg/L</v>
      </c>
      <c r="K74" s="30" t="str">
        <f t="shared" si="9"/>
        <v>saccharin-1mg/L</v>
      </c>
      <c r="L74" s="30" t="str">
        <f t="shared" si="9"/>
        <v>saccharin-10mg/L</v>
      </c>
      <c r="M74" s="30" t="str">
        <f t="shared" si="9"/>
        <v>saccharin-100mg/L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saccharin-0.01mg/L + Testostérone</v>
      </c>
      <c r="S74" s="30" t="str">
        <f t="shared" si="10"/>
        <v>saccharin-0.1mg/L + Testostérone</v>
      </c>
      <c r="T74" s="30" t="str">
        <f t="shared" si="10"/>
        <v>saccharin-1mg/L + Testostérone</v>
      </c>
      <c r="U74" s="30" t="str">
        <f t="shared" si="10"/>
        <v>saccharin-10mg/L + Testostérone</v>
      </c>
      <c r="V74" s="30" t="str">
        <f t="shared" si="10"/>
        <v>saccharin-100mg/L + Testostérone</v>
      </c>
    </row>
    <row r="75" spans="1:22" s="3" customFormat="1" x14ac:dyDescent="0.25">
      <c r="A75" s="45" t="s">
        <v>10</v>
      </c>
      <c r="B75" s="78">
        <f>B56</f>
        <v>3.0461576922309325E-5</v>
      </c>
      <c r="C75" s="78">
        <f t="shared" ref="C75:V75" si="11">C56</f>
        <v>5.4862658284460797E-3</v>
      </c>
      <c r="D75" s="78">
        <f t="shared" si="11"/>
        <v>3.6925144716450232E-2</v>
      </c>
      <c r="E75" s="78">
        <f t="shared" si="11"/>
        <v>0.59840336121139903</v>
      </c>
      <c r="F75" s="78">
        <f t="shared" si="11"/>
        <v>1.0135057423616938</v>
      </c>
      <c r="G75" s="78">
        <f t="shared" si="11"/>
        <v>2.0018516515896709</v>
      </c>
      <c r="H75" s="78">
        <f t="shared" si="11"/>
        <v>3.0069112243717395</v>
      </c>
      <c r="I75" s="78">
        <f t="shared" si="11"/>
        <v>4.6747245837547996E-3</v>
      </c>
      <c r="J75" s="78">
        <f t="shared" si="11"/>
        <v>4.0601615355536384E-3</v>
      </c>
      <c r="K75" s="78">
        <f t="shared" si="11"/>
        <v>4.0931409167545979E-3</v>
      </c>
      <c r="L75" s="78">
        <f t="shared" si="11"/>
        <v>1.1368134259523751E-3</v>
      </c>
      <c r="M75" s="78">
        <f t="shared" si="11"/>
        <v>6.0032820636434781E-3</v>
      </c>
      <c r="N75" s="78"/>
      <c r="O75" s="78">
        <f t="shared" si="11"/>
        <v>1.0000000000000002</v>
      </c>
      <c r="P75" s="78">
        <f t="shared" si="11"/>
        <v>1.9069903358459068</v>
      </c>
      <c r="Q75" s="78">
        <f t="shared" si="11"/>
        <v>1.5491852288124634E-2</v>
      </c>
      <c r="R75" s="78">
        <f t="shared" si="11"/>
        <v>0.68638537861653903</v>
      </c>
      <c r="S75" s="78">
        <f t="shared" si="11"/>
        <v>0.73983890036359024</v>
      </c>
      <c r="T75" s="78">
        <f t="shared" si="11"/>
        <v>0.66898955819281236</v>
      </c>
      <c r="U75" s="78">
        <f t="shared" si="11"/>
        <v>0.5772555678518807</v>
      </c>
      <c r="V75" s="78">
        <f t="shared" si="11"/>
        <v>0.73605346182625653</v>
      </c>
    </row>
    <row r="76" spans="1:22" s="3" customFormat="1" x14ac:dyDescent="0.25">
      <c r="A76" s="45" t="s">
        <v>2</v>
      </c>
      <c r="B76" s="78">
        <f>B58</f>
        <v>3.0461576922309332E-5</v>
      </c>
      <c r="C76" s="78">
        <f t="shared" ref="C76:V76" si="12">C58</f>
        <v>4.707954520331843E-3</v>
      </c>
      <c r="D76" s="78">
        <f t="shared" si="12"/>
        <v>3.4047145617131777E-2</v>
      </c>
      <c r="E76" s="78">
        <f t="shared" si="12"/>
        <v>0.16996542726763877</v>
      </c>
      <c r="F76" s="78">
        <f t="shared" si="12"/>
        <v>0.25235306108395794</v>
      </c>
      <c r="G76" s="78">
        <f t="shared" si="12"/>
        <v>0.18802641137094986</v>
      </c>
      <c r="H76" s="78">
        <f t="shared" si="12"/>
        <v>0.241421446425825</v>
      </c>
      <c r="I76" s="78">
        <f t="shared" si="12"/>
        <v>2.6641642056782484E-3</v>
      </c>
      <c r="J76" s="78">
        <f t="shared" si="12"/>
        <v>2.7223958100425789E-3</v>
      </c>
      <c r="K76" s="78">
        <f t="shared" si="12"/>
        <v>2.5508220760127203E-3</v>
      </c>
      <c r="L76" s="78">
        <f t="shared" si="12"/>
        <v>6.0816473699573301E-4</v>
      </c>
      <c r="M76" s="78">
        <f t="shared" si="12"/>
        <v>3.470776005942706E-3</v>
      </c>
      <c r="N76" s="78"/>
      <c r="O76" s="78">
        <f t="shared" si="12"/>
        <v>9.4705055022990106E-2</v>
      </c>
      <c r="P76" s="78">
        <f t="shared" si="12"/>
        <v>0.1763464950570216</v>
      </c>
      <c r="Q76" s="78">
        <f t="shared" si="12"/>
        <v>6.3582183498836374E-3</v>
      </c>
      <c r="R76" s="78">
        <f t="shared" si="12"/>
        <v>0.12377344605403125</v>
      </c>
      <c r="S76" s="78">
        <f t="shared" si="12"/>
        <v>0.12906595294057585</v>
      </c>
      <c r="T76" s="78">
        <f t="shared" si="12"/>
        <v>0.14171976525067315</v>
      </c>
      <c r="U76" s="78">
        <f t="shared" si="12"/>
        <v>0.11980751208603753</v>
      </c>
      <c r="V76" s="78">
        <f t="shared" si="12"/>
        <v>0.12605377439069565</v>
      </c>
    </row>
    <row r="77" spans="1:22" s="3" customFormat="1" x14ac:dyDescent="0.25">
      <c r="A77" s="45" t="s">
        <v>14</v>
      </c>
      <c r="B77" s="78">
        <f>(B75*100/$B$75)-100</f>
        <v>0</v>
      </c>
      <c r="C77" s="78">
        <f t="shared" ref="C77:M77" si="13">(C75*100/$B$75)-100</f>
        <v>17910.445888728995</v>
      </c>
      <c r="D77" s="78">
        <f t="shared" si="13"/>
        <v>121118.75637175942</v>
      </c>
      <c r="E77" s="78">
        <f t="shared" si="13"/>
        <v>1964352.9984038444</v>
      </c>
      <c r="F77" s="78">
        <f t="shared" si="13"/>
        <v>3327061.1149566802</v>
      </c>
      <c r="G77" s="78">
        <f t="shared" si="13"/>
        <v>6571626.9223956792</v>
      </c>
      <c r="H77" s="78">
        <f t="shared" si="13"/>
        <v>9871060.7479833066</v>
      </c>
      <c r="I77" s="78">
        <f t="shared" si="13"/>
        <v>15246.298701729864</v>
      </c>
      <c r="J77" s="78">
        <f t="shared" si="13"/>
        <v>13228.796292814619</v>
      </c>
      <c r="K77" s="78">
        <f t="shared" si="13"/>
        <v>13337.061801475156</v>
      </c>
      <c r="L77" s="78">
        <f t="shared" si="13"/>
        <v>3631.9585550405318</v>
      </c>
      <c r="M77" s="78">
        <f t="shared" si="13"/>
        <v>19607.71926533724</v>
      </c>
      <c r="N77" s="78"/>
      <c r="O77" s="78">
        <f>(O75*100/$O$75)-100</f>
        <v>0</v>
      </c>
      <c r="P77" s="78">
        <f t="shared" ref="P77:V77" si="14">(P75*100/$O$75)-100</f>
        <v>90.699033584590666</v>
      </c>
      <c r="Q77" s="78">
        <f t="shared" si="14"/>
        <v>-98.450814771187538</v>
      </c>
      <c r="R77" s="78">
        <f t="shared" si="14"/>
        <v>-31.361462138346113</v>
      </c>
      <c r="S77" s="78">
        <f t="shared" si="14"/>
        <v>-26.016109963640986</v>
      </c>
      <c r="T77" s="78">
        <f t="shared" si="14"/>
        <v>-33.101044180718773</v>
      </c>
      <c r="U77" s="78">
        <f t="shared" si="14"/>
        <v>-42.274443214811946</v>
      </c>
      <c r="V77" s="78">
        <f t="shared" si="14"/>
        <v>-26.394653817374362</v>
      </c>
    </row>
    <row r="78" spans="1:22" s="3" customFormat="1" x14ac:dyDescent="0.25">
      <c r="A78" s="45" t="s">
        <v>37</v>
      </c>
      <c r="B78" s="78">
        <f>[1]!DPTEST(B6:B53)</f>
        <v>9.3036689463588118E-14</v>
      </c>
      <c r="C78" s="78">
        <f>[1]!DPTEST(C6:C53)</f>
        <v>1.255662240851052E-13</v>
      </c>
      <c r="D78" s="78">
        <f>[1]!DPTEST(D6:D53)</f>
        <v>1.0180745135812685E-13</v>
      </c>
      <c r="E78" s="78">
        <f>[1]!DPTEST(E6:E53)</f>
        <v>5.6724375237039659E-2</v>
      </c>
      <c r="F78" s="78">
        <f>[1]!DPTEST(F6:F53)</f>
        <v>6.1022979319136361E-4</v>
      </c>
      <c r="G78" s="78">
        <f>[1]!DPTEST(G6:G53)</f>
        <v>0.75067696998237654</v>
      </c>
      <c r="H78" s="78">
        <f>[1]!DPTEST(H6:H53)</f>
        <v>0.20977127349626679</v>
      </c>
      <c r="I78" s="78">
        <f>[1]!DPTEST(I6:I53)</f>
        <v>1.618516431989292E-11</v>
      </c>
      <c r="J78" s="78">
        <f>[1]!DPTEST(J6:J53)</f>
        <v>2.0845547510361939E-11</v>
      </c>
      <c r="K78" s="78">
        <f>[1]!DPTEST(K6:K53)</f>
        <v>1.4437540052369968E-10</v>
      </c>
      <c r="L78" s="78">
        <f>[1]!DPTEST(L6:L53)</f>
        <v>2.7326447715747548E-7</v>
      </c>
      <c r="M78" s="78">
        <f>[1]!DPTEST(M6:M53)</f>
        <v>6.4634085861214885E-9</v>
      </c>
      <c r="N78" s="78"/>
      <c r="O78" s="78">
        <f>[1]!DPTEST(O6:O53)</f>
        <v>0.36182502563716745</v>
      </c>
      <c r="P78" s="78">
        <f>[1]!DPTEST(P6:P53)</f>
        <v>0.62430445084860398</v>
      </c>
      <c r="Q78" s="78">
        <f>[1]!DPTEST(Q6:Q53)</f>
        <v>4.2530597246348556E-5</v>
      </c>
      <c r="R78" s="78">
        <f>[1]!DPTEST(R6:R53)</f>
        <v>0.27751254107239998</v>
      </c>
      <c r="S78" s="78">
        <f>[1]!DPTEST(S6:S53)</f>
        <v>2.2223287690980476E-2</v>
      </c>
      <c r="T78" s="78">
        <f>[1]!DPTEST(T6:T53)</f>
        <v>0.19374717090817473</v>
      </c>
      <c r="U78" s="78">
        <f>[1]!DPTEST(U6:U53)</f>
        <v>2.1145734024230478E-5</v>
      </c>
      <c r="V78" s="78">
        <f>[1]!DPTEST(V6:V53)</f>
        <v>0.33543593025956286</v>
      </c>
    </row>
    <row r="79" spans="1:22" s="3" customFormat="1" x14ac:dyDescent="0.25">
      <c r="A79" s="45" t="s">
        <v>38</v>
      </c>
      <c r="B79" s="78" t="str">
        <f>IF(B78&gt;0.05,"Oui","Non")</f>
        <v>Non</v>
      </c>
      <c r="C79" s="78" t="str">
        <f t="shared" ref="C79:V79" si="15">IF(C78&gt;0.05,"Oui","Non")</f>
        <v>Non</v>
      </c>
      <c r="D79" s="78" t="str">
        <f t="shared" si="15"/>
        <v>Non</v>
      </c>
      <c r="E79" s="78" t="str">
        <f t="shared" si="15"/>
        <v>Oui</v>
      </c>
      <c r="F79" s="78" t="str">
        <f t="shared" si="15"/>
        <v>Non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Non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Non</v>
      </c>
      <c r="M79" s="78" t="str">
        <f t="shared" si="15"/>
        <v>Non</v>
      </c>
      <c r="N79" s="78"/>
      <c r="O79" s="78" t="str">
        <f t="shared" si="15"/>
        <v>Oui</v>
      </c>
      <c r="P79" s="78" t="str">
        <f t="shared" si="15"/>
        <v>Oui</v>
      </c>
      <c r="Q79" s="78" t="str">
        <f t="shared" si="15"/>
        <v>Non</v>
      </c>
      <c r="R79" s="78" t="str">
        <f t="shared" si="15"/>
        <v>Oui</v>
      </c>
      <c r="S79" s="78" t="str">
        <f t="shared" si="15"/>
        <v>Non</v>
      </c>
      <c r="T79" s="78" t="str">
        <f t="shared" si="15"/>
        <v>Oui</v>
      </c>
      <c r="U79" s="78" t="str">
        <f t="shared" si="15"/>
        <v>Non</v>
      </c>
      <c r="V79" s="78" t="str">
        <f t="shared" si="15"/>
        <v>Oui</v>
      </c>
    </row>
    <row r="80" spans="1:22" s="3" customFormat="1" x14ac:dyDescent="0.2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2" s="3" customFormat="1" x14ac:dyDescent="0.25">
      <c r="A81" s="45" t="s">
        <v>39</v>
      </c>
      <c r="B81" s="78"/>
      <c r="C81" s="78" t="str">
        <f t="shared" ref="C81:I81" si="16">IF($B79="Non",IF(C79="Non","Mann Withney",IF(C79="Oui","Mann Withney","")),IF($B79="Oui",IF(C79="Oui","T-Test Welch",IF(C79="Non","Mann Withney",""))))</f>
        <v>Mann Withney</v>
      </c>
      <c r="D81" s="78" t="str">
        <f t="shared" si="16"/>
        <v>Mann Withney</v>
      </c>
      <c r="E81" s="78" t="str">
        <f t="shared" si="16"/>
        <v>Mann Withney</v>
      </c>
      <c r="F81" s="78" t="str">
        <f t="shared" si="16"/>
        <v>Mann Withney</v>
      </c>
      <c r="G81" s="78" t="str">
        <f t="shared" si="16"/>
        <v>Mann Withney</v>
      </c>
      <c r="H81" s="78" t="str">
        <f t="shared" si="16"/>
        <v>Mann Withney</v>
      </c>
      <c r="I81" s="78" t="str">
        <f t="shared" si="16"/>
        <v>Mann Withney</v>
      </c>
      <c r="J81" s="78" t="str">
        <f t="shared" ref="J81:M81" si="17">IF($B79="Non",IF(J79="Non","Mann Withney",IF(J79="Oui","Mann Withney","")),IF($B79="Oui",IF(J79="Oui","T-Test Welch",IF(J79="Non","Mann Withney",""))))</f>
        <v>Mann Withney</v>
      </c>
      <c r="K81" s="78" t="str">
        <f t="shared" si="17"/>
        <v>Mann Withney</v>
      </c>
      <c r="L81" s="78" t="str">
        <f t="shared" si="17"/>
        <v>Mann Withney</v>
      </c>
      <c r="M81" s="78" t="str">
        <f t="shared" si="17"/>
        <v>Mann Withney</v>
      </c>
      <c r="N81" s="78"/>
      <c r="O81" s="78" t="str">
        <f>IF($B79="Non",IF(O79="Non","Mann Withney",IF(O79="Oui","Mann Withney","")),IF($B79="Oui",IF(O79="Oui","T-Test Welch",IF(O79="Non","Mann Withney",""))))</f>
        <v>Mann Withney</v>
      </c>
      <c r="P81" s="78" t="str">
        <f t="shared" ref="P81:Q81" si="18">IF($O79="Non",IF(P79="Non","Mann Withney",IF(P$79="Oui","Mann Withney","")),IF($O79="Oui",IF(P79="Oui","T-Test Welch",IF(P79="Non","Mann Withney",""))))</f>
        <v>T-Test Welch</v>
      </c>
      <c r="Q81" s="78" t="str">
        <f t="shared" si="18"/>
        <v>Mann Withney</v>
      </c>
      <c r="R81" s="78" t="str">
        <f t="shared" ref="R81:V81" si="19">IF($O79="Non",IF(R79="Non","Mann Withney",IF(R$79="Oui","Mann Withney","")),IF($O79="Oui",IF(R79="Oui","T-Test Welch",IF(R79="Non","Mann Withney",""))))</f>
        <v>T-Test Welch</v>
      </c>
      <c r="S81" s="78" t="str">
        <f t="shared" si="19"/>
        <v>Mann Withney</v>
      </c>
      <c r="T81" s="78" t="str">
        <f t="shared" si="19"/>
        <v>T-Test Welch</v>
      </c>
      <c r="U81" s="78" t="str">
        <f t="shared" si="19"/>
        <v>Mann Withney</v>
      </c>
      <c r="V81" s="78" t="str">
        <f t="shared" si="19"/>
        <v>T-Test Welch</v>
      </c>
    </row>
    <row r="82" spans="1:22" s="3" customFormat="1" x14ac:dyDescent="0.25">
      <c r="A82" s="45" t="s">
        <v>40</v>
      </c>
      <c r="B82" s="78"/>
      <c r="C82" s="78">
        <f>IF(C81="Mann Withney",[1]!MTEST($B6:$B53,C6:C53,2), IF(C81="T-Test Welch",_xlfn.T.TEST($B6:$B53,C6:C53,2,3),""))</f>
        <v>0.19393085228241058</v>
      </c>
      <c r="D82" s="78">
        <f>IF(D81="Mann Withney",[1]!MTEST($B6:$B53,D6:D53,2), IF(D81="T-Test Welch",_xlfn.T.TEST($B6:$B53,D6:D53,2,3),""))</f>
        <v>6.9596257976409115E-2</v>
      </c>
      <c r="E82" s="78">
        <f>IF(E81="Mann Withney",[1]!MTEST($B6:$B53,E6:E53,2), IF(E81="T-Test Welch",_xlfn.T.TEST($B6:$B53,E6:E53,2,3),""))</f>
        <v>4.4340083031007005E-3</v>
      </c>
      <c r="F82" s="78">
        <f>IF(F81="Mann Withney",[1]!MTEST($B6:$B53,F6:F53,2), IF(F81="T-Test Welch",_xlfn.T.TEST($B6:$B53,F6:F53,2,3),""))</f>
        <v>1.5123307814945974E-6</v>
      </c>
      <c r="G82" s="78">
        <f>IF(G81="Mann Withney",[1]!MTEST($B6:$B53,G6:G53,2), IF(G81="T-Test Welch",_xlfn.T.TEST($B6:$B53,G6:G53,2,3),""))</f>
        <v>2.877119875677181E-9</v>
      </c>
      <c r="H82" s="78">
        <f>IF(H81="Mann Withney",[1]!MTEST($B6:$B53,H6:H53,2), IF(H81="T-Test Welch",_xlfn.T.TEST($B6:$B53,H6:H53,2,3),""))</f>
        <v>2.877119875677181E-9</v>
      </c>
      <c r="I82" s="78">
        <f>IF(I81="Mann Withney",[1]!MTEST($B6:$B53,I6:I53,2), IF(I81="T-Test Welch",_xlfn.T.TEST($B6:$B53,I6:I53,2,3),""))</f>
        <v>0.11952183383136972</v>
      </c>
      <c r="J82" s="78">
        <f>IF(J81="Mann Withney",[1]!MTEST($B6:$B53,J6:J53,2), IF(J81="T-Test Welch",_xlfn.T.TEST($B6:$B53,J6:J53,2,3),""))</f>
        <v>0.41259564491894229</v>
      </c>
      <c r="K82" s="78">
        <f>IF(K81="Mann Withney",[1]!MTEST($B6:$B53,K6:K53,2), IF(K81="T-Test Welch",_xlfn.T.TEST($B6:$B53,K6:K53,2,3),""))</f>
        <v>0.19393085228241058</v>
      </c>
      <c r="L82" s="78">
        <f>IF(L81="Mann Withney",[1]!MTEST($B6:$B53,L6:L53,2), IF(L81="T-Test Welch",_xlfn.T.TEST($B6:$B53,L6:L53,2,3),""))</f>
        <v>0.43330608608997334</v>
      </c>
      <c r="M82" s="78">
        <f>IF(M81="Mann Withney",[1]!MTEST($B6:$B53,M6:M53,2), IF(M81="T-Test Welch",_xlfn.T.TEST($B6:$B53,M6:M53,2,3),""))</f>
        <v>0.29773983977541052</v>
      </c>
      <c r="N82" s="78"/>
      <c r="O82" s="78">
        <f>IF(O81="Mann Withney",[1]!MTEST($B6:$B37,O6:O53,2), IF(O81="T-Test Welch",_xlfn.T.TEST($B6:$B37,O6:O53,2,3),""))</f>
        <v>2.7240465882982789E-8</v>
      </c>
      <c r="P82" s="78">
        <f>IF(P81="Mann Withney",[1]!MTEST($O6:$O53,P6:P53,2), IF(P81="T-Test Welch",_xlfn.T.TEST($O6:$O53,P6:P53,2,3),""))</f>
        <v>6.0303445210843488E-5</v>
      </c>
      <c r="Q82" s="78">
        <f>IF(Q81="Mann Withney",[1]!MTEST($O6:$O53,Q6:Q53,2), IF(Q81="T-Test Welch",_xlfn.T.TEST($O6:$O53,Q6:Q53,2,3),""))</f>
        <v>1.0336140832123419E-9</v>
      </c>
      <c r="R82" s="78">
        <f>IF(R81="Mann Withney",[1]!MTEST($O6:$O53,R6:R53,2), IF(R81="T-Test Welch",_xlfn.T.TEST($O6:$O53,R6:R53,2,3),""))</f>
        <v>4.9645060294896244E-2</v>
      </c>
      <c r="S82" s="78">
        <f>IF(S81="Mann Withney",[1]!MTEST($O6:$O53,S6:S53,2), IF(S81="T-Test Welch",_xlfn.T.TEST($O6:$O53,S6:S53,2,3),""))</f>
        <v>0.15344080346261357</v>
      </c>
      <c r="T82" s="78">
        <f>IF(T81="Mann Withney",[1]!MTEST($O6:$O53,T6:T53,2), IF(T81="T-Test Welch",_xlfn.T.TEST($O6:$O53,T6:T53,2,3),""))</f>
        <v>5.8582184544318634E-2</v>
      </c>
      <c r="U82" s="78">
        <f>IF(U81="Mann Withney",[1]!MTEST($O6:$O53,U6:U53,2), IF(U81="T-Test Welch",_xlfn.T.TEST($O6:$O53,U6:U53,2,3),""))</f>
        <v>6.0059516574419991E-3</v>
      </c>
      <c r="V82" s="78">
        <f>IF(V81="Mann Withney",[1]!MTEST($O6:$O53,V6:V53,2), IF(V81="T-Test Welch",_xlfn.T.TEST($O6:$O53,V6:V53,2,3),""))</f>
        <v>0.1005254324446751</v>
      </c>
    </row>
    <row r="83" spans="1:22" s="3" customFormat="1" ht="15.75" thickBot="1" x14ac:dyDescent="0.3">
      <c r="A83" s="46" t="s">
        <v>15</v>
      </c>
      <c r="B83" s="79"/>
      <c r="C83" s="79" t="str">
        <f t="shared" ref="C83:I83" si="20">IF(C82&gt;0.05,"NS",IF(C82&gt;0.01,"*",IF(C82&gt;0.001,"**","***")))</f>
        <v>NS</v>
      </c>
      <c r="D83" s="79" t="str">
        <f t="shared" si="20"/>
        <v>NS</v>
      </c>
      <c r="E83" s="79" t="str">
        <f t="shared" si="20"/>
        <v>**</v>
      </c>
      <c r="F83" s="79" t="str">
        <f t="shared" si="20"/>
        <v>***</v>
      </c>
      <c r="G83" s="79" t="str">
        <f t="shared" si="20"/>
        <v>***</v>
      </c>
      <c r="H83" s="79" t="str">
        <f t="shared" si="20"/>
        <v>***</v>
      </c>
      <c r="I83" s="79" t="str">
        <f t="shared" si="20"/>
        <v>NS</v>
      </c>
      <c r="J83" s="79" t="str">
        <f t="shared" ref="J83:O83" si="21">IF(J82&gt;0.05,"NS",IF(J82&gt;0.01,"*",IF(J82&gt;0.001,"**","***")))</f>
        <v>NS</v>
      </c>
      <c r="K83" s="79" t="str">
        <f t="shared" si="21"/>
        <v>NS</v>
      </c>
      <c r="L83" s="79" t="str">
        <f t="shared" si="21"/>
        <v>NS</v>
      </c>
      <c r="M83" s="79" t="str">
        <f t="shared" si="21"/>
        <v>NS</v>
      </c>
      <c r="N83" s="79"/>
      <c r="O83" s="79" t="str">
        <f t="shared" si="21"/>
        <v>***</v>
      </c>
      <c r="P83" s="79" t="str">
        <f t="shared" ref="P83" si="22">IF(P82&gt;0.05,"NS",IF(P82&gt;0.01,"*",IF(P82&gt;0.001,"**","***")))</f>
        <v>***</v>
      </c>
      <c r="Q83" s="79" t="str">
        <f t="shared" ref="Q83" si="23">IF(Q82&gt;0.05,"NS",IF(Q82&gt;0.01,"*",IF(Q82&gt;0.001,"**","***")))</f>
        <v>***</v>
      </c>
      <c r="R83" s="79" t="str">
        <f t="shared" ref="R83:V83" si="24">IF(R82&gt;0.05,"NS",IF(R82&gt;0.01,"*",IF(R82&gt;0.001,"**","***")))</f>
        <v>*</v>
      </c>
      <c r="S83" s="79" t="str">
        <f t="shared" si="24"/>
        <v>NS</v>
      </c>
      <c r="T83" s="79" t="str">
        <f t="shared" si="24"/>
        <v>NS</v>
      </c>
      <c r="U83" s="79" t="str">
        <f t="shared" si="24"/>
        <v>**</v>
      </c>
      <c r="V83" s="79" t="str">
        <f t="shared" si="24"/>
        <v>NS</v>
      </c>
    </row>
    <row r="84" spans="1:22" s="1" customFormat="1" x14ac:dyDescent="0.25"/>
    <row r="85" spans="1:22" s="1" customFormat="1" x14ac:dyDescent="0.25">
      <c r="A85" s="2"/>
    </row>
    <row r="86" spans="1:22" x14ac:dyDescent="0.25">
      <c r="A86" s="1"/>
      <c r="B86" s="1"/>
    </row>
    <row r="87" spans="1:22" x14ac:dyDescent="0.25">
      <c r="A87" s="1"/>
      <c r="B87" s="1"/>
    </row>
    <row r="88" spans="1:22" ht="15.75" thickBot="1" x14ac:dyDescent="0.3"/>
    <row r="89" spans="1:22" s="32" customFormat="1" ht="27" thickBot="1" x14ac:dyDescent="0.3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2" ht="15.75" thickBot="1" x14ac:dyDescent="0.3"/>
    <row r="91" spans="1:22" s="32" customFormat="1" ht="27" thickBot="1" x14ac:dyDescent="0.3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2" ht="15.75" thickBot="1" x14ac:dyDescent="0.3"/>
    <row r="93" spans="1:22" s="32" customFormat="1" ht="27" thickBot="1" x14ac:dyDescent="0.3">
      <c r="A93" s="143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2665D-C96F-4F49-A0BB-34572B57DCD2}"/>
</file>

<file path=customXml/itemProps2.xml><?xml version="1.0" encoding="utf-8"?>
<ds:datastoreItem xmlns:ds="http://schemas.openxmlformats.org/officeDocument/2006/customXml" ds:itemID="{42368169-8440-454A-A5E8-2D0372453B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2021-10-11T12:29:17Z</dcterms:modified>
</cp:coreProperties>
</file>