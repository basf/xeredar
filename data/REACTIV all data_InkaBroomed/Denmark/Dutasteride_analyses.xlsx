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6.xml" ContentType="application/vnd.openxmlformats-officedocument.drawingml.chartshapes+xml"/>
  <Override PartName="/xl/drawings/drawing2.xml" ContentType="application/vnd.openxmlformats-officedocument.drawingml.chartshapes+xml"/>
  <Override PartName="/xl/drawings/drawing4.xml" ContentType="application/vnd.openxmlformats-officedocument.drawingml.chartshap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chartsheets/sheet2.xml" ContentType="application/vnd.openxmlformats-officedocument.spreadsheetml.chartsheet+xml"/>
  <Override PartName="/xl/worksheets/sheet4.xml" ContentType="application/vnd.openxmlformats-officedocument.spreadsheetml.worksheet+xml"/>
  <Override PartName="/xl/chartsheets/sheet3.xml" ContentType="application/vnd.openxmlformats-officedocument.spreadsheetml.chartsheet+xml"/>
  <Override PartName="/xl/worksheets/sheet5.xml" ContentType="application/vnd.openxmlformats-officedocument.spreadsheetml.worksheet+xml"/>
  <Override PartName="/xl/chartsheets/sheet4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7.xml" ContentType="application/vnd.openxmlformats-officedocument.drawing+xml"/>
  <Override PartName="/xl/externalLinks/externalLink1.xml" ContentType="application/vnd.openxmlformats-officedocument.spreadsheetml.externalLink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 filterPrivacy="1" hidePivotFieldList="1" defaultThemeVersion="124226"/>
  <xr:revisionPtr revIDLastSave="0" documentId="13_ncr:1_{439CA8E2-16E5-4C45-AAA9-A91204BC845B}" xr6:coauthVersionLast="47" xr6:coauthVersionMax="47" xr10:uidLastSave="{00000000-0000-0000-0000-000000000000}"/>
  <bookViews>
    <workbookView xWindow="15390" yWindow="705" windowWidth="14055" windowHeight="11085" firstSheet="5" activeTab="7" xr2:uid="{00000000-000D-0000-FFFF-FFFF00000000}"/>
  </bookViews>
  <sheets>
    <sheet name="Front page" sheetId="10" r:id="rId1"/>
    <sheet name="R1" sheetId="1" r:id="rId2"/>
    <sheet name="Graph R1" sheetId="8" r:id="rId3"/>
    <sheet name="R2" sheetId="23" r:id="rId4"/>
    <sheet name="Graph R2" sheetId="19" r:id="rId5"/>
    <sheet name="R3" sheetId="33" r:id="rId6"/>
    <sheet name="Graph R3" sheetId="34" r:id="rId7"/>
    <sheet name="pooled normalised values" sheetId="4" r:id="rId8"/>
    <sheet name="pooled normalised graphe" sheetId="5" r:id="rId9"/>
  </sheets>
  <externalReferences>
    <externalReference r:id="rId10"/>
  </externalReferences>
  <definedNames>
    <definedName name="_xlnm.Print_Area" localSheetId="0">'Front page'!$A$1:$I$51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" i="10" l="1"/>
  <c r="R31" i="1"/>
  <c r="S31" i="1"/>
  <c r="T31" i="1"/>
  <c r="U31" i="1"/>
  <c r="V31" i="1"/>
  <c r="R32" i="1"/>
  <c r="S32" i="1"/>
  <c r="T32" i="1"/>
  <c r="U32" i="1"/>
  <c r="V32" i="1"/>
  <c r="R33" i="1"/>
  <c r="S33" i="1"/>
  <c r="T33" i="1"/>
  <c r="U33" i="1"/>
  <c r="V33" i="1"/>
  <c r="R34" i="1"/>
  <c r="S34" i="1"/>
  <c r="T34" i="1"/>
  <c r="U34" i="1"/>
  <c r="V34" i="1"/>
  <c r="R35" i="1"/>
  <c r="S35" i="1"/>
  <c r="T35" i="1"/>
  <c r="U35" i="1"/>
  <c r="V35" i="1"/>
  <c r="P36" i="1"/>
  <c r="Q36" i="1"/>
  <c r="R36" i="1"/>
  <c r="S36" i="1"/>
  <c r="T36" i="1"/>
  <c r="U36" i="1"/>
  <c r="V36" i="1"/>
  <c r="I34" i="1"/>
  <c r="J34" i="1"/>
  <c r="K34" i="1"/>
  <c r="L34" i="1"/>
  <c r="M34" i="1"/>
  <c r="I35" i="1"/>
  <c r="J35" i="1"/>
  <c r="K35" i="1"/>
  <c r="L35" i="1"/>
  <c r="M35" i="1"/>
  <c r="B36" i="1"/>
  <c r="C36" i="1"/>
  <c r="D36" i="1"/>
  <c r="E36" i="1"/>
  <c r="F36" i="1"/>
  <c r="G36" i="1"/>
  <c r="H36" i="1"/>
  <c r="I36" i="1"/>
  <c r="J36" i="1"/>
  <c r="K36" i="1"/>
  <c r="L36" i="1"/>
  <c r="M36" i="1"/>
  <c r="A52" i="23"/>
  <c r="A45" i="33"/>
  <c r="A27" i="33"/>
  <c r="A52" i="33" s="1"/>
  <c r="A22" i="33"/>
  <c r="A45" i="23"/>
  <c r="A27" i="23"/>
  <c r="A22" i="23"/>
  <c r="A27" i="1"/>
  <c r="A45" i="1"/>
  <c r="B39" i="10"/>
  <c r="C39" i="10"/>
  <c r="D39" i="10"/>
  <c r="E39" i="10"/>
  <c r="B40" i="10"/>
  <c r="C40" i="10"/>
  <c r="D40" i="10"/>
  <c r="E40" i="10"/>
  <c r="B41" i="10"/>
  <c r="C41" i="10"/>
  <c r="D41" i="10"/>
  <c r="E41" i="10"/>
  <c r="B42" i="10"/>
  <c r="C42" i="10"/>
  <c r="D42" i="10"/>
  <c r="E42" i="10"/>
  <c r="B43" i="10"/>
  <c r="C43" i="10"/>
  <c r="D43" i="10"/>
  <c r="E43" i="10"/>
  <c r="B44" i="10"/>
  <c r="C44" i="10"/>
  <c r="D44" i="10"/>
  <c r="E44" i="10"/>
  <c r="B45" i="10"/>
  <c r="C45" i="10"/>
  <c r="D45" i="10"/>
  <c r="E45" i="10"/>
  <c r="B46" i="10"/>
  <c r="C46" i="10"/>
  <c r="D46" i="10"/>
  <c r="E46" i="10"/>
  <c r="B47" i="10"/>
  <c r="C47" i="10"/>
  <c r="D47" i="10"/>
  <c r="E47" i="10"/>
  <c r="B48" i="10"/>
  <c r="C48" i="10"/>
  <c r="D48" i="10"/>
  <c r="E48" i="10"/>
  <c r="B49" i="10"/>
  <c r="C49" i="10"/>
  <c r="D49" i="10"/>
  <c r="E49" i="10"/>
  <c r="B50" i="10"/>
  <c r="C50" i="10"/>
  <c r="D50" i="10"/>
  <c r="E50" i="10"/>
  <c r="B51" i="10"/>
  <c r="C51" i="10"/>
  <c r="D51" i="10"/>
  <c r="E51" i="10"/>
  <c r="B52" i="10"/>
  <c r="C52" i="10"/>
  <c r="D52" i="10"/>
  <c r="E52" i="10"/>
  <c r="B53" i="10"/>
  <c r="C53" i="10"/>
  <c r="D53" i="10"/>
  <c r="E53" i="10"/>
  <c r="B54" i="10"/>
  <c r="C54" i="10"/>
  <c r="D54" i="10"/>
  <c r="E54" i="10"/>
  <c r="B55" i="10"/>
  <c r="C55" i="10"/>
  <c r="D55" i="10"/>
  <c r="E55" i="10"/>
  <c r="B56" i="10"/>
  <c r="C56" i="10"/>
  <c r="D56" i="10"/>
  <c r="E56" i="10"/>
  <c r="B57" i="10"/>
  <c r="C57" i="10"/>
  <c r="D57" i="10"/>
  <c r="E57" i="10"/>
  <c r="C38" i="10"/>
  <c r="D38" i="10"/>
  <c r="E38" i="10"/>
  <c r="B38" i="10"/>
  <c r="A8" i="10" l="1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B4" i="33" l="1"/>
  <c r="B4" i="23" l="1"/>
  <c r="B4" i="1"/>
  <c r="H4" i="33" l="1"/>
  <c r="H4" i="23"/>
  <c r="H4" i="1"/>
  <c r="G4" i="33"/>
  <c r="G4" i="23"/>
  <c r="G4" i="1"/>
  <c r="C4" i="33"/>
  <c r="C4" i="23"/>
  <c r="C4" i="1"/>
  <c r="D4" i="33"/>
  <c r="D4" i="23"/>
  <c r="D4" i="1"/>
  <c r="F4" i="33" l="1"/>
  <c r="F4" i="23"/>
  <c r="F4" i="1"/>
  <c r="E4" i="33"/>
  <c r="E4" i="23"/>
  <c r="E4" i="1"/>
  <c r="I4" i="33"/>
  <c r="I4" i="23"/>
  <c r="I4" i="1"/>
  <c r="V43" i="33" l="1"/>
  <c r="V53" i="4" s="1"/>
  <c r="U43" i="33"/>
  <c r="U53" i="4" s="1"/>
  <c r="T43" i="33"/>
  <c r="T53" i="4" s="1"/>
  <c r="S43" i="33"/>
  <c r="S53" i="4" s="1"/>
  <c r="R43" i="33"/>
  <c r="R53" i="4" s="1"/>
  <c r="Q43" i="33"/>
  <c r="Q53" i="4" s="1"/>
  <c r="P43" i="33"/>
  <c r="P53" i="4" s="1"/>
  <c r="M43" i="33"/>
  <c r="M53" i="4" s="1"/>
  <c r="L43" i="33"/>
  <c r="L53" i="4" s="1"/>
  <c r="K43" i="33"/>
  <c r="K53" i="4" s="1"/>
  <c r="J43" i="33"/>
  <c r="J53" i="4" s="1"/>
  <c r="I43" i="33"/>
  <c r="I53" i="4" s="1"/>
  <c r="H43" i="33"/>
  <c r="H53" i="4" s="1"/>
  <c r="G43" i="33"/>
  <c r="G53" i="4" s="1"/>
  <c r="F43" i="33"/>
  <c r="F53" i="4" s="1"/>
  <c r="E43" i="33"/>
  <c r="E53" i="4" s="1"/>
  <c r="D43" i="33"/>
  <c r="D53" i="4" s="1"/>
  <c r="C43" i="33"/>
  <c r="C53" i="4" s="1"/>
  <c r="B43" i="33"/>
  <c r="B53" i="4" s="1"/>
  <c r="V42" i="33"/>
  <c r="V52" i="4" s="1"/>
  <c r="U42" i="33"/>
  <c r="U52" i="4" s="1"/>
  <c r="T42" i="33"/>
  <c r="T52" i="4" s="1"/>
  <c r="S42" i="33"/>
  <c r="S52" i="4" s="1"/>
  <c r="R42" i="33"/>
  <c r="R52" i="4" s="1"/>
  <c r="Q42" i="33"/>
  <c r="Q52" i="4" s="1"/>
  <c r="P42" i="33"/>
  <c r="P52" i="4" s="1"/>
  <c r="M42" i="33"/>
  <c r="M52" i="4" s="1"/>
  <c r="L42" i="33"/>
  <c r="L52" i="4" s="1"/>
  <c r="K42" i="33"/>
  <c r="K52" i="4" s="1"/>
  <c r="J42" i="33"/>
  <c r="J52" i="4" s="1"/>
  <c r="I42" i="33"/>
  <c r="I52" i="4" s="1"/>
  <c r="H42" i="33"/>
  <c r="H52" i="4" s="1"/>
  <c r="G42" i="33"/>
  <c r="G52" i="4" s="1"/>
  <c r="F42" i="33"/>
  <c r="F52" i="4" s="1"/>
  <c r="E42" i="33"/>
  <c r="E52" i="4" s="1"/>
  <c r="D42" i="33"/>
  <c r="D52" i="4" s="1"/>
  <c r="C42" i="33"/>
  <c r="C52" i="4" s="1"/>
  <c r="B42" i="33"/>
  <c r="B52" i="4" s="1"/>
  <c r="V41" i="33"/>
  <c r="V51" i="4" s="1"/>
  <c r="U41" i="33"/>
  <c r="U51" i="4" s="1"/>
  <c r="T41" i="33"/>
  <c r="T51" i="4" s="1"/>
  <c r="S41" i="33"/>
  <c r="S51" i="4" s="1"/>
  <c r="R41" i="33"/>
  <c r="R51" i="4" s="1"/>
  <c r="Q41" i="33"/>
  <c r="Q51" i="4" s="1"/>
  <c r="P41" i="33"/>
  <c r="P51" i="4" s="1"/>
  <c r="M41" i="33"/>
  <c r="M51" i="4" s="1"/>
  <c r="L41" i="33"/>
  <c r="L51" i="4" s="1"/>
  <c r="K41" i="33"/>
  <c r="K51" i="4" s="1"/>
  <c r="J41" i="33"/>
  <c r="J51" i="4" s="1"/>
  <c r="I41" i="33"/>
  <c r="I51" i="4" s="1"/>
  <c r="H41" i="33"/>
  <c r="H51" i="4" s="1"/>
  <c r="G41" i="33"/>
  <c r="G51" i="4" s="1"/>
  <c r="F41" i="33"/>
  <c r="F51" i="4" s="1"/>
  <c r="E41" i="33"/>
  <c r="E51" i="4" s="1"/>
  <c r="D41" i="33"/>
  <c r="D51" i="4" s="1"/>
  <c r="C41" i="33"/>
  <c r="C51" i="4" s="1"/>
  <c r="B41" i="33"/>
  <c r="B51" i="4" s="1"/>
  <c r="V40" i="33"/>
  <c r="V50" i="4" s="1"/>
  <c r="U40" i="33"/>
  <c r="U50" i="4" s="1"/>
  <c r="T40" i="33"/>
  <c r="T50" i="4" s="1"/>
  <c r="S40" i="33"/>
  <c r="S50" i="4" s="1"/>
  <c r="R40" i="33"/>
  <c r="R50" i="4" s="1"/>
  <c r="Q40" i="33"/>
  <c r="Q50" i="4" s="1"/>
  <c r="P40" i="33"/>
  <c r="P50" i="4" s="1"/>
  <c r="M40" i="33"/>
  <c r="M50" i="4" s="1"/>
  <c r="L40" i="33"/>
  <c r="L50" i="4" s="1"/>
  <c r="K40" i="33"/>
  <c r="K50" i="4" s="1"/>
  <c r="J40" i="33"/>
  <c r="J50" i="4" s="1"/>
  <c r="I40" i="33"/>
  <c r="I50" i="4" s="1"/>
  <c r="H40" i="33"/>
  <c r="H50" i="4" s="1"/>
  <c r="G40" i="33"/>
  <c r="G50" i="4" s="1"/>
  <c r="F40" i="33"/>
  <c r="F50" i="4" s="1"/>
  <c r="E40" i="33"/>
  <c r="E50" i="4" s="1"/>
  <c r="D40" i="33"/>
  <c r="D50" i="4" s="1"/>
  <c r="C40" i="33"/>
  <c r="C50" i="4" s="1"/>
  <c r="B40" i="33"/>
  <c r="B50" i="4" s="1"/>
  <c r="V39" i="33"/>
  <c r="V49" i="4" s="1"/>
  <c r="U39" i="33"/>
  <c r="U49" i="4" s="1"/>
  <c r="T39" i="33"/>
  <c r="T49" i="4" s="1"/>
  <c r="S39" i="33"/>
  <c r="S49" i="4" s="1"/>
  <c r="R39" i="33"/>
  <c r="R49" i="4" s="1"/>
  <c r="Q39" i="33"/>
  <c r="Q49" i="4" s="1"/>
  <c r="P39" i="33"/>
  <c r="P49" i="4" s="1"/>
  <c r="M39" i="33"/>
  <c r="M49" i="4" s="1"/>
  <c r="L39" i="33"/>
  <c r="L49" i="4" s="1"/>
  <c r="K39" i="33"/>
  <c r="K49" i="4" s="1"/>
  <c r="J39" i="33"/>
  <c r="J49" i="4" s="1"/>
  <c r="I39" i="33"/>
  <c r="I49" i="4" s="1"/>
  <c r="H39" i="33"/>
  <c r="H49" i="4" s="1"/>
  <c r="G39" i="33"/>
  <c r="G49" i="4" s="1"/>
  <c r="F39" i="33"/>
  <c r="F49" i="4" s="1"/>
  <c r="E39" i="33"/>
  <c r="E49" i="4" s="1"/>
  <c r="D39" i="33"/>
  <c r="D49" i="4" s="1"/>
  <c r="C39" i="33"/>
  <c r="C49" i="4" s="1"/>
  <c r="B39" i="33"/>
  <c r="B49" i="4" s="1"/>
  <c r="V38" i="33"/>
  <c r="V48" i="4" s="1"/>
  <c r="U38" i="33"/>
  <c r="U48" i="4" s="1"/>
  <c r="T38" i="33"/>
  <c r="T48" i="4" s="1"/>
  <c r="S38" i="33"/>
  <c r="S48" i="4" s="1"/>
  <c r="R38" i="33"/>
  <c r="R48" i="4" s="1"/>
  <c r="Q38" i="33"/>
  <c r="Q48" i="4" s="1"/>
  <c r="P38" i="33"/>
  <c r="P48" i="4" s="1"/>
  <c r="M38" i="33"/>
  <c r="M48" i="4" s="1"/>
  <c r="L38" i="33"/>
  <c r="L48" i="4" s="1"/>
  <c r="K38" i="33"/>
  <c r="K48" i="4" s="1"/>
  <c r="J38" i="33"/>
  <c r="J48" i="4" s="1"/>
  <c r="I38" i="33"/>
  <c r="I48" i="4" s="1"/>
  <c r="H38" i="33"/>
  <c r="H48" i="4" s="1"/>
  <c r="G38" i="33"/>
  <c r="G48" i="4" s="1"/>
  <c r="F38" i="33"/>
  <c r="F48" i="4" s="1"/>
  <c r="E38" i="33"/>
  <c r="E48" i="4" s="1"/>
  <c r="D38" i="33"/>
  <c r="D48" i="4" s="1"/>
  <c r="C38" i="33"/>
  <c r="C48" i="4" s="1"/>
  <c r="B38" i="33"/>
  <c r="B48" i="4" s="1"/>
  <c r="V37" i="33"/>
  <c r="V47" i="4" s="1"/>
  <c r="U37" i="33"/>
  <c r="U47" i="4" s="1"/>
  <c r="T37" i="33"/>
  <c r="T47" i="4" s="1"/>
  <c r="S37" i="33"/>
  <c r="S47" i="4" s="1"/>
  <c r="R37" i="33"/>
  <c r="R47" i="4" s="1"/>
  <c r="Q37" i="33"/>
  <c r="Q47" i="4" s="1"/>
  <c r="P37" i="33"/>
  <c r="P47" i="4" s="1"/>
  <c r="M37" i="33"/>
  <c r="M47" i="4" s="1"/>
  <c r="L37" i="33"/>
  <c r="L47" i="4" s="1"/>
  <c r="K37" i="33"/>
  <c r="K47" i="4" s="1"/>
  <c r="J37" i="33"/>
  <c r="J47" i="4" s="1"/>
  <c r="I37" i="33"/>
  <c r="I47" i="4" s="1"/>
  <c r="H37" i="33"/>
  <c r="H47" i="4" s="1"/>
  <c r="G37" i="33"/>
  <c r="G47" i="4" s="1"/>
  <c r="F37" i="33"/>
  <c r="F47" i="4" s="1"/>
  <c r="E37" i="33"/>
  <c r="E47" i="4" s="1"/>
  <c r="D37" i="33"/>
  <c r="D47" i="4" s="1"/>
  <c r="C37" i="33"/>
  <c r="C47" i="4" s="1"/>
  <c r="B37" i="33"/>
  <c r="B47" i="4" s="1"/>
  <c r="V36" i="33"/>
  <c r="V46" i="4" s="1"/>
  <c r="U36" i="33"/>
  <c r="U46" i="4" s="1"/>
  <c r="T36" i="33"/>
  <c r="T46" i="4" s="1"/>
  <c r="S36" i="33"/>
  <c r="S46" i="4" s="1"/>
  <c r="R36" i="33"/>
  <c r="R46" i="4" s="1"/>
  <c r="Q36" i="33"/>
  <c r="Q46" i="4" s="1"/>
  <c r="P36" i="33"/>
  <c r="P46" i="4" s="1"/>
  <c r="M36" i="33"/>
  <c r="M46" i="4" s="1"/>
  <c r="L36" i="33"/>
  <c r="L46" i="4" s="1"/>
  <c r="K36" i="33"/>
  <c r="K46" i="4" s="1"/>
  <c r="J36" i="33"/>
  <c r="J46" i="4" s="1"/>
  <c r="I36" i="33"/>
  <c r="I46" i="4" s="1"/>
  <c r="H36" i="33"/>
  <c r="H46" i="4" s="1"/>
  <c r="G36" i="33"/>
  <c r="G46" i="4" s="1"/>
  <c r="F36" i="33"/>
  <c r="F46" i="4" s="1"/>
  <c r="E36" i="33"/>
  <c r="E46" i="4" s="1"/>
  <c r="D36" i="33"/>
  <c r="D46" i="4" s="1"/>
  <c r="C36" i="33"/>
  <c r="C46" i="4" s="1"/>
  <c r="B36" i="33"/>
  <c r="B46" i="4" s="1"/>
  <c r="V35" i="33"/>
  <c r="V45" i="4" s="1"/>
  <c r="U35" i="33"/>
  <c r="U45" i="4" s="1"/>
  <c r="T35" i="33"/>
  <c r="T45" i="4" s="1"/>
  <c r="S35" i="33"/>
  <c r="S45" i="4" s="1"/>
  <c r="R35" i="33"/>
  <c r="R45" i="4" s="1"/>
  <c r="Q35" i="33"/>
  <c r="Q45" i="4" s="1"/>
  <c r="P35" i="33"/>
  <c r="P45" i="4" s="1"/>
  <c r="K35" i="33"/>
  <c r="K45" i="4" s="1"/>
  <c r="G35" i="33"/>
  <c r="G45" i="4" s="1"/>
  <c r="C35" i="33"/>
  <c r="C45" i="4" s="1"/>
  <c r="K34" i="33"/>
  <c r="K44" i="4" s="1"/>
  <c r="G34" i="33"/>
  <c r="G44" i="4" s="1"/>
  <c r="C34" i="33"/>
  <c r="C44" i="4" s="1"/>
  <c r="V30" i="33"/>
  <c r="V40" i="4" s="1"/>
  <c r="U30" i="33"/>
  <c r="U40" i="4" s="1"/>
  <c r="T30" i="33"/>
  <c r="T40" i="4" s="1"/>
  <c r="S30" i="33"/>
  <c r="S40" i="4" s="1"/>
  <c r="R30" i="33"/>
  <c r="R40" i="4" s="1"/>
  <c r="Q30" i="33"/>
  <c r="Q40" i="4" s="1"/>
  <c r="P30" i="33"/>
  <c r="P40" i="4" s="1"/>
  <c r="V29" i="33"/>
  <c r="V39" i="4" s="1"/>
  <c r="U29" i="33"/>
  <c r="U39" i="4" s="1"/>
  <c r="T29" i="33"/>
  <c r="T39" i="4" s="1"/>
  <c r="S29" i="33"/>
  <c r="S39" i="4" s="1"/>
  <c r="R29" i="33"/>
  <c r="R39" i="4" s="1"/>
  <c r="Q29" i="33"/>
  <c r="Q39" i="4" s="1"/>
  <c r="P29" i="33"/>
  <c r="P39" i="4" s="1"/>
  <c r="K29" i="33"/>
  <c r="K39" i="4" s="1"/>
  <c r="G29" i="33"/>
  <c r="G39" i="4" s="1"/>
  <c r="C29" i="33"/>
  <c r="C39" i="4" s="1"/>
  <c r="V28" i="33"/>
  <c r="U28" i="33"/>
  <c r="T28" i="33"/>
  <c r="S28" i="33"/>
  <c r="R28" i="33"/>
  <c r="Q28" i="33"/>
  <c r="P28" i="33"/>
  <c r="K28" i="33"/>
  <c r="G28" i="33"/>
  <c r="C28" i="33"/>
  <c r="V24" i="33"/>
  <c r="U24" i="33"/>
  <c r="T24" i="33"/>
  <c r="S24" i="33"/>
  <c r="R24" i="33"/>
  <c r="Q24" i="33"/>
  <c r="P24" i="33"/>
  <c r="O24" i="33"/>
  <c r="L24" i="33"/>
  <c r="J24" i="33"/>
  <c r="I24" i="33"/>
  <c r="H24" i="33"/>
  <c r="G24" i="33"/>
  <c r="F24" i="33"/>
  <c r="E24" i="33"/>
  <c r="D24" i="33"/>
  <c r="C24" i="33"/>
  <c r="B24" i="33"/>
  <c r="V23" i="33"/>
  <c r="U23" i="33"/>
  <c r="T23" i="33"/>
  <c r="S23" i="33"/>
  <c r="R23" i="33"/>
  <c r="Q23" i="33"/>
  <c r="P23" i="33"/>
  <c r="O23" i="33"/>
  <c r="V34" i="33" s="1"/>
  <c r="V44" i="4" s="1"/>
  <c r="L23" i="33"/>
  <c r="J23" i="33"/>
  <c r="I23" i="33"/>
  <c r="H23" i="33"/>
  <c r="G23" i="33"/>
  <c r="F23" i="33"/>
  <c r="E23" i="33"/>
  <c r="D23" i="33"/>
  <c r="C23" i="33"/>
  <c r="B23" i="33"/>
  <c r="H22" i="33"/>
  <c r="G45" i="33"/>
  <c r="F27" i="33"/>
  <c r="F52" i="33" s="1"/>
  <c r="E45" i="33"/>
  <c r="D22" i="33"/>
  <c r="C45" i="33"/>
  <c r="B45" i="33"/>
  <c r="D35" i="33" l="1"/>
  <c r="D45" i="4" s="1"/>
  <c r="I28" i="33"/>
  <c r="I38" i="4" s="1"/>
  <c r="E29" i="33"/>
  <c r="E39" i="4" s="1"/>
  <c r="M29" i="33"/>
  <c r="M39" i="4" s="1"/>
  <c r="E35" i="33"/>
  <c r="E45" i="4" s="1"/>
  <c r="M35" i="33"/>
  <c r="M45" i="4" s="1"/>
  <c r="B28" i="33"/>
  <c r="J28" i="33"/>
  <c r="J38" i="4" s="1"/>
  <c r="F29" i="33"/>
  <c r="F39" i="4" s="1"/>
  <c r="O29" i="33"/>
  <c r="O39" i="4" s="1"/>
  <c r="O30" i="33"/>
  <c r="O40" i="4" s="1"/>
  <c r="B34" i="33"/>
  <c r="B44" i="4" s="1"/>
  <c r="J34" i="33"/>
  <c r="J44" i="4" s="1"/>
  <c r="F35" i="33"/>
  <c r="F45" i="4" s="1"/>
  <c r="O35" i="33"/>
  <c r="O45" i="4" s="1"/>
  <c r="O37" i="33"/>
  <c r="O47" i="4" s="1"/>
  <c r="O39" i="33"/>
  <c r="O49" i="4" s="1"/>
  <c r="O41" i="33"/>
  <c r="O51" i="4" s="1"/>
  <c r="O43" i="33"/>
  <c r="O53" i="4" s="1"/>
  <c r="D28" i="33"/>
  <c r="H29" i="33"/>
  <c r="H39" i="4" s="1"/>
  <c r="H35" i="33"/>
  <c r="H45" i="4" s="1"/>
  <c r="L28" i="33"/>
  <c r="M28" i="33"/>
  <c r="I35" i="33"/>
  <c r="I45" i="4" s="1"/>
  <c r="D34" i="33"/>
  <c r="D44" i="4" s="1"/>
  <c r="L34" i="33"/>
  <c r="L44" i="4" s="1"/>
  <c r="E28" i="33"/>
  <c r="I29" i="33"/>
  <c r="I39" i="4" s="1"/>
  <c r="E34" i="33"/>
  <c r="E44" i="4" s="1"/>
  <c r="M34" i="33"/>
  <c r="M44" i="4" s="1"/>
  <c r="F28" i="33"/>
  <c r="O28" i="33"/>
  <c r="B29" i="33"/>
  <c r="B39" i="4" s="1"/>
  <c r="J29" i="33"/>
  <c r="J39" i="4" s="1"/>
  <c r="F34" i="33"/>
  <c r="F44" i="4" s="1"/>
  <c r="B35" i="33"/>
  <c r="B45" i="4" s="1"/>
  <c r="J35" i="33"/>
  <c r="J45" i="4" s="1"/>
  <c r="O36" i="33"/>
  <c r="O46" i="4" s="1"/>
  <c r="O38" i="33"/>
  <c r="O48" i="4" s="1"/>
  <c r="O40" i="33"/>
  <c r="O50" i="4" s="1"/>
  <c r="O42" i="33"/>
  <c r="O52" i="4" s="1"/>
  <c r="H28" i="33"/>
  <c r="D29" i="33"/>
  <c r="D39" i="4" s="1"/>
  <c r="L29" i="33"/>
  <c r="L39" i="4" s="1"/>
  <c r="H34" i="33"/>
  <c r="H44" i="4" s="1"/>
  <c r="L35" i="33"/>
  <c r="L45" i="4" s="1"/>
  <c r="I34" i="33"/>
  <c r="I44" i="4" s="1"/>
  <c r="L32" i="33"/>
  <c r="L42" i="4" s="1"/>
  <c r="M33" i="33"/>
  <c r="M43" i="4" s="1"/>
  <c r="F30" i="33"/>
  <c r="P31" i="33"/>
  <c r="Q32" i="33"/>
  <c r="Q42" i="4" s="1"/>
  <c r="R33" i="33"/>
  <c r="R43" i="4" s="1"/>
  <c r="B30" i="33"/>
  <c r="V33" i="33"/>
  <c r="V43" i="4" s="1"/>
  <c r="O34" i="33"/>
  <c r="O44" i="4" s="1"/>
  <c r="K31" i="33"/>
  <c r="K41" i="4" s="1"/>
  <c r="J30" i="33"/>
  <c r="C31" i="33"/>
  <c r="C41" i="4" s="1"/>
  <c r="T31" i="33"/>
  <c r="D32" i="33"/>
  <c r="D42" i="4" s="1"/>
  <c r="U32" i="33"/>
  <c r="U42" i="4" s="1"/>
  <c r="E33" i="33"/>
  <c r="E43" i="4" s="1"/>
  <c r="G31" i="33"/>
  <c r="G41" i="4" s="1"/>
  <c r="H32" i="33"/>
  <c r="H42" i="4" s="1"/>
  <c r="I33" i="33"/>
  <c r="I43" i="4" s="1"/>
  <c r="S34" i="33"/>
  <c r="S44" i="4" s="1"/>
  <c r="C30" i="33"/>
  <c r="G30" i="33"/>
  <c r="K30" i="33"/>
  <c r="D31" i="33"/>
  <c r="D41" i="4" s="1"/>
  <c r="H31" i="33"/>
  <c r="H41" i="4" s="1"/>
  <c r="L31" i="33"/>
  <c r="L41" i="4" s="1"/>
  <c r="Q31" i="33"/>
  <c r="U31" i="33"/>
  <c r="I32" i="33"/>
  <c r="I42" i="4" s="1"/>
  <c r="M32" i="33"/>
  <c r="M42" i="4" s="1"/>
  <c r="V32" i="33"/>
  <c r="V42" i="4" s="1"/>
  <c r="B33" i="33"/>
  <c r="B43" i="4" s="1"/>
  <c r="E32" i="33"/>
  <c r="E42" i="4" s="1"/>
  <c r="R32" i="33"/>
  <c r="R42" i="4" s="1"/>
  <c r="F33" i="33"/>
  <c r="F43" i="4" s="1"/>
  <c r="J33" i="33"/>
  <c r="J43" i="4" s="1"/>
  <c r="O33" i="33"/>
  <c r="O43" i="4" s="1"/>
  <c r="S33" i="33"/>
  <c r="S43" i="4" s="1"/>
  <c r="P34" i="33"/>
  <c r="P44" i="4" s="1"/>
  <c r="T34" i="33"/>
  <c r="T44" i="4" s="1"/>
  <c r="D30" i="33"/>
  <c r="H30" i="33"/>
  <c r="L30" i="33"/>
  <c r="E31" i="33"/>
  <c r="E41" i="4" s="1"/>
  <c r="I31" i="33"/>
  <c r="I41" i="4" s="1"/>
  <c r="M31" i="33"/>
  <c r="M41" i="4" s="1"/>
  <c r="R31" i="33"/>
  <c r="V31" i="33"/>
  <c r="B32" i="33"/>
  <c r="B42" i="4" s="1"/>
  <c r="F32" i="33"/>
  <c r="F42" i="4" s="1"/>
  <c r="J32" i="33"/>
  <c r="J42" i="4" s="1"/>
  <c r="O32" i="33"/>
  <c r="O42" i="4" s="1"/>
  <c r="S32" i="33"/>
  <c r="S42" i="4" s="1"/>
  <c r="C33" i="33"/>
  <c r="C43" i="4" s="1"/>
  <c r="G33" i="33"/>
  <c r="G43" i="4" s="1"/>
  <c r="K33" i="33"/>
  <c r="K43" i="4" s="1"/>
  <c r="P33" i="33"/>
  <c r="P43" i="4" s="1"/>
  <c r="T33" i="33"/>
  <c r="T43" i="4" s="1"/>
  <c r="Q34" i="33"/>
  <c r="Q44" i="4" s="1"/>
  <c r="U34" i="33"/>
  <c r="U44" i="4" s="1"/>
  <c r="E30" i="33"/>
  <c r="I30" i="33"/>
  <c r="M30" i="33"/>
  <c r="B31" i="33"/>
  <c r="B41" i="4" s="1"/>
  <c r="F31" i="33"/>
  <c r="F41" i="4" s="1"/>
  <c r="J31" i="33"/>
  <c r="J41" i="4" s="1"/>
  <c r="O31" i="33"/>
  <c r="S31" i="33"/>
  <c r="C32" i="33"/>
  <c r="C42" i="4" s="1"/>
  <c r="G32" i="33"/>
  <c r="G42" i="4" s="1"/>
  <c r="K32" i="33"/>
  <c r="K42" i="4" s="1"/>
  <c r="P32" i="33"/>
  <c r="P42" i="4" s="1"/>
  <c r="T32" i="33"/>
  <c r="T42" i="4" s="1"/>
  <c r="D33" i="33"/>
  <c r="D43" i="4" s="1"/>
  <c r="H33" i="33"/>
  <c r="H43" i="4" s="1"/>
  <c r="L33" i="33"/>
  <c r="L43" i="4" s="1"/>
  <c r="Q33" i="33"/>
  <c r="Q43" i="4" s="1"/>
  <c r="U33" i="33"/>
  <c r="U43" i="4" s="1"/>
  <c r="R34" i="33"/>
  <c r="R44" i="4" s="1"/>
  <c r="D38" i="4"/>
  <c r="H38" i="4"/>
  <c r="U38" i="4"/>
  <c r="V38" i="4"/>
  <c r="E38" i="4"/>
  <c r="M38" i="4"/>
  <c r="R38" i="4"/>
  <c r="B38" i="4"/>
  <c r="B22" i="33"/>
  <c r="E22" i="33"/>
  <c r="I45" i="33"/>
  <c r="I52" i="33"/>
  <c r="I27" i="33"/>
  <c r="C38" i="4"/>
  <c r="G38" i="4"/>
  <c r="K47" i="33"/>
  <c r="K38" i="4"/>
  <c r="P38" i="4"/>
  <c r="T38" i="4"/>
  <c r="B27" i="33"/>
  <c r="B52" i="33" s="1"/>
  <c r="L38" i="4"/>
  <c r="Q38" i="4"/>
  <c r="D27" i="33"/>
  <c r="D52" i="33" s="1"/>
  <c r="I22" i="33"/>
  <c r="E27" i="33"/>
  <c r="E52" i="33" s="1"/>
  <c r="F38" i="4"/>
  <c r="O38" i="4"/>
  <c r="S38" i="4"/>
  <c r="S47" i="33"/>
  <c r="S48" i="33" s="1"/>
  <c r="S54" i="33" s="1"/>
  <c r="D45" i="33"/>
  <c r="L47" i="33"/>
  <c r="F22" i="33"/>
  <c r="F45" i="33"/>
  <c r="G22" i="33"/>
  <c r="G27" i="33"/>
  <c r="G52" i="33" s="1"/>
  <c r="C22" i="33"/>
  <c r="C27" i="33"/>
  <c r="C52" i="33" s="1"/>
  <c r="H27" i="33"/>
  <c r="H52" i="33" s="1"/>
  <c r="H45" i="33"/>
  <c r="O56" i="33"/>
  <c r="Q56" i="33"/>
  <c r="P56" i="33"/>
  <c r="U56" i="33"/>
  <c r="S56" i="33"/>
  <c r="T56" i="33"/>
  <c r="R56" i="33"/>
  <c r="V56" i="33"/>
  <c r="M56" i="33"/>
  <c r="L56" i="33"/>
  <c r="K56" i="33"/>
  <c r="J56" i="33"/>
  <c r="I56" i="33"/>
  <c r="H56" i="33"/>
  <c r="G56" i="33"/>
  <c r="F56" i="33"/>
  <c r="E56" i="33"/>
  <c r="D56" i="33"/>
  <c r="C56" i="33"/>
  <c r="B56" i="33"/>
  <c r="R47" i="33" l="1"/>
  <c r="R48" i="33" s="1"/>
  <c r="R54" i="33" s="1"/>
  <c r="I47" i="33"/>
  <c r="I48" i="33" s="1"/>
  <c r="I54" i="33" s="1"/>
  <c r="G47" i="33"/>
  <c r="G48" i="33" s="1"/>
  <c r="G54" i="33" s="1"/>
  <c r="E46" i="33"/>
  <c r="E53" i="33" s="1"/>
  <c r="C47" i="33"/>
  <c r="C48" i="33" s="1"/>
  <c r="C54" i="33" s="1"/>
  <c r="R46" i="33"/>
  <c r="R53" i="33" s="1"/>
  <c r="Q46" i="33"/>
  <c r="Q53" i="33" s="1"/>
  <c r="I46" i="33"/>
  <c r="I53" i="33" s="1"/>
  <c r="H46" i="33"/>
  <c r="H53" i="33" s="1"/>
  <c r="D46" i="33"/>
  <c r="D53" i="33" s="1"/>
  <c r="H47" i="33"/>
  <c r="H48" i="33" s="1"/>
  <c r="H54" i="33" s="1"/>
  <c r="G46" i="33"/>
  <c r="G53" i="33" s="1"/>
  <c r="S57" i="33"/>
  <c r="V57" i="33"/>
  <c r="U57" i="33"/>
  <c r="P57" i="33"/>
  <c r="O57" i="33"/>
  <c r="M57" i="33"/>
  <c r="R57" i="33"/>
  <c r="K57" i="33"/>
  <c r="J57" i="33"/>
  <c r="F57" i="33"/>
  <c r="I57" i="33"/>
  <c r="H57" i="33"/>
  <c r="G57" i="33"/>
  <c r="L57" i="33"/>
  <c r="Q57" i="33"/>
  <c r="B57" i="33"/>
  <c r="F59" i="33" s="1"/>
  <c r="F60" i="33" s="1"/>
  <c r="E57" i="33"/>
  <c r="D57" i="33"/>
  <c r="C57" i="33"/>
  <c r="T57" i="33"/>
  <c r="S41" i="4"/>
  <c r="V41" i="4"/>
  <c r="U41" i="4"/>
  <c r="P41" i="4"/>
  <c r="L48" i="33"/>
  <c r="L54" i="33" s="1"/>
  <c r="K48" i="33"/>
  <c r="K54" i="33" s="1"/>
  <c r="O41" i="4"/>
  <c r="M40" i="4"/>
  <c r="R41" i="4"/>
  <c r="K40" i="4"/>
  <c r="J40" i="4"/>
  <c r="F40" i="4"/>
  <c r="O47" i="33"/>
  <c r="O48" i="33" s="1"/>
  <c r="O54" i="33" s="1"/>
  <c r="I40" i="4"/>
  <c r="H40" i="4"/>
  <c r="G40" i="4"/>
  <c r="L40" i="4"/>
  <c r="Q41" i="4"/>
  <c r="B40" i="4"/>
  <c r="M46" i="33"/>
  <c r="M53" i="33" s="1"/>
  <c r="V46" i="33"/>
  <c r="V53" i="33" s="1"/>
  <c r="M47" i="33"/>
  <c r="M48" i="33" s="1"/>
  <c r="M54" i="33" s="1"/>
  <c r="B46" i="33"/>
  <c r="B53" i="33" s="1"/>
  <c r="M55" i="33" s="1"/>
  <c r="U46" i="33"/>
  <c r="U53" i="33" s="1"/>
  <c r="Q47" i="33"/>
  <c r="Q48" i="33" s="1"/>
  <c r="Q54" i="33" s="1"/>
  <c r="F46" i="33"/>
  <c r="F53" i="33" s="1"/>
  <c r="E40" i="4"/>
  <c r="D40" i="4"/>
  <c r="C40" i="4"/>
  <c r="T41" i="4"/>
  <c r="V47" i="33"/>
  <c r="V48" i="33" s="1"/>
  <c r="V54" i="33" s="1"/>
  <c r="E47" i="33"/>
  <c r="E48" i="33" s="1"/>
  <c r="E54" i="33" s="1"/>
  <c r="U47" i="33"/>
  <c r="U48" i="33" s="1"/>
  <c r="U54" i="33" s="1"/>
  <c r="D47" i="33"/>
  <c r="D48" i="33" s="1"/>
  <c r="D54" i="33" s="1"/>
  <c r="S46" i="33"/>
  <c r="S53" i="33" s="1"/>
  <c r="J47" i="33"/>
  <c r="J48" i="33" s="1"/>
  <c r="J54" i="33" s="1"/>
  <c r="P47" i="33"/>
  <c r="P48" i="33" s="1"/>
  <c r="P54" i="33" s="1"/>
  <c r="J46" i="33"/>
  <c r="J53" i="33" s="1"/>
  <c r="B47" i="33"/>
  <c r="B48" i="33" s="1"/>
  <c r="B54" i="33" s="1"/>
  <c r="O46" i="33"/>
  <c r="O53" i="33" s="1"/>
  <c r="O55" i="33" s="1"/>
  <c r="T47" i="33"/>
  <c r="T48" i="33" s="1"/>
  <c r="T54" i="33" s="1"/>
  <c r="C46" i="33"/>
  <c r="C53" i="33" s="1"/>
  <c r="F47" i="33"/>
  <c r="F48" i="33" s="1"/>
  <c r="F54" i="33" s="1"/>
  <c r="T46" i="33"/>
  <c r="T53" i="33" s="1"/>
  <c r="P46" i="33"/>
  <c r="P53" i="33" s="1"/>
  <c r="P55" i="33" s="1"/>
  <c r="L46" i="33"/>
  <c r="L53" i="33" s="1"/>
  <c r="K46" i="33"/>
  <c r="K53" i="33" s="1"/>
  <c r="Q59" i="33" l="1"/>
  <c r="E59" i="33"/>
  <c r="E60" i="33" s="1"/>
  <c r="E61" i="33" s="1"/>
  <c r="J59" i="33"/>
  <c r="J60" i="33" s="1"/>
  <c r="J61" i="33" s="1"/>
  <c r="R59" i="33"/>
  <c r="R60" i="33" s="1"/>
  <c r="U59" i="33"/>
  <c r="U60" i="33" s="1"/>
  <c r="U61" i="33" s="1"/>
  <c r="T59" i="33"/>
  <c r="T60" i="33" s="1"/>
  <c r="H59" i="33"/>
  <c r="H60" i="33" s="1"/>
  <c r="V59" i="33"/>
  <c r="V60" i="33" s="1"/>
  <c r="P59" i="33"/>
  <c r="P60" i="33" s="1"/>
  <c r="S59" i="33"/>
  <c r="S60" i="33" s="1"/>
  <c r="S55" i="33"/>
  <c r="L59" i="33"/>
  <c r="L60" i="33" s="1"/>
  <c r="D59" i="33"/>
  <c r="D60" i="33" s="1"/>
  <c r="O59" i="33"/>
  <c r="O60" i="33" s="1"/>
  <c r="C59" i="33"/>
  <c r="C60" i="33" s="1"/>
  <c r="G59" i="33"/>
  <c r="G60" i="33" s="1"/>
  <c r="I59" i="33"/>
  <c r="I60" i="33" s="1"/>
  <c r="K59" i="33"/>
  <c r="M59" i="33"/>
  <c r="M60" i="33" s="1"/>
  <c r="F61" i="33"/>
  <c r="T55" i="33"/>
  <c r="R55" i="33"/>
  <c r="Q55" i="33"/>
  <c r="U55" i="33"/>
  <c r="V55" i="33"/>
  <c r="D55" i="33"/>
  <c r="B55" i="33"/>
  <c r="K55" i="33"/>
  <c r="L55" i="33"/>
  <c r="G55" i="33"/>
  <c r="F55" i="33"/>
  <c r="C55" i="33"/>
  <c r="J55" i="33"/>
  <c r="H55" i="33"/>
  <c r="I55" i="33"/>
  <c r="E55" i="33"/>
  <c r="Q60" i="33"/>
  <c r="K60" i="33"/>
  <c r="Q61" i="33" l="1"/>
  <c r="O61" i="33"/>
  <c r="P61" i="33"/>
  <c r="I61" i="33"/>
  <c r="G61" i="33"/>
  <c r="V61" i="33"/>
  <c r="C61" i="33"/>
  <c r="H61" i="33"/>
  <c r="T61" i="33"/>
  <c r="D61" i="33"/>
  <c r="L61" i="33"/>
  <c r="R61" i="33"/>
  <c r="M61" i="33"/>
  <c r="K61" i="33"/>
  <c r="S61" i="33"/>
  <c r="M4" i="33"/>
  <c r="L4" i="33" l="1"/>
  <c r="L22" i="33" s="1"/>
  <c r="K4" i="33"/>
  <c r="K22" i="33" s="1"/>
  <c r="J4" i="33"/>
  <c r="J52" i="33" s="1"/>
  <c r="M45" i="33"/>
  <c r="M52" i="33"/>
  <c r="M27" i="33"/>
  <c r="M22" i="33"/>
  <c r="K45" i="33" l="1"/>
  <c r="K52" i="33"/>
  <c r="K27" i="33"/>
  <c r="O4" i="33"/>
  <c r="O4" i="23"/>
  <c r="O4" i="1"/>
  <c r="Q4" i="1"/>
  <c r="Q4" i="33"/>
  <c r="Q4" i="23"/>
  <c r="P4" i="33"/>
  <c r="P4" i="23"/>
  <c r="P4" i="1"/>
  <c r="J22" i="33"/>
  <c r="L52" i="33"/>
  <c r="J45" i="33"/>
  <c r="L27" i="33"/>
  <c r="J27" i="33"/>
  <c r="L45" i="33"/>
  <c r="Q22" i="33" l="1"/>
  <c r="Q45" i="33"/>
  <c r="Q27" i="33"/>
  <c r="Q52" i="33" s="1"/>
  <c r="O27" i="33"/>
  <c r="O52" i="33" s="1"/>
  <c r="O22" i="33"/>
  <c r="O45" i="33"/>
  <c r="P22" i="33"/>
  <c r="P45" i="33"/>
  <c r="P27" i="33"/>
  <c r="P52" i="33" s="1"/>
  <c r="P22" i="1" l="1"/>
  <c r="Q45" i="1"/>
  <c r="P28" i="23"/>
  <c r="Q28" i="23"/>
  <c r="R28" i="23"/>
  <c r="S28" i="23"/>
  <c r="T28" i="23"/>
  <c r="U28" i="23"/>
  <c r="V28" i="23"/>
  <c r="P29" i="23"/>
  <c r="Q29" i="23"/>
  <c r="Q23" i="4" s="1"/>
  <c r="R29" i="23"/>
  <c r="R23" i="4" s="1"/>
  <c r="S29" i="23"/>
  <c r="S23" i="4" s="1"/>
  <c r="T29" i="23"/>
  <c r="T23" i="4" s="1"/>
  <c r="U29" i="23"/>
  <c r="U23" i="4" s="1"/>
  <c r="V29" i="23"/>
  <c r="V23" i="4" s="1"/>
  <c r="P30" i="23"/>
  <c r="Q30" i="23"/>
  <c r="Q24" i="4" s="1"/>
  <c r="R30" i="23"/>
  <c r="R24" i="4" s="1"/>
  <c r="S30" i="23"/>
  <c r="S24" i="4" s="1"/>
  <c r="T30" i="23"/>
  <c r="T24" i="4" s="1"/>
  <c r="U30" i="23"/>
  <c r="U24" i="4" s="1"/>
  <c r="V30" i="23"/>
  <c r="V24" i="4" s="1"/>
  <c r="P31" i="23"/>
  <c r="P25" i="4" s="1"/>
  <c r="Q31" i="23"/>
  <c r="Q25" i="4" s="1"/>
  <c r="R31" i="23"/>
  <c r="R25" i="4" s="1"/>
  <c r="S31" i="23"/>
  <c r="S25" i="4" s="1"/>
  <c r="T31" i="23"/>
  <c r="T25" i="4" s="1"/>
  <c r="U31" i="23"/>
  <c r="U25" i="4" s="1"/>
  <c r="V31" i="23"/>
  <c r="V25" i="4" s="1"/>
  <c r="P32" i="23"/>
  <c r="P26" i="4" s="1"/>
  <c r="Q32" i="23"/>
  <c r="Q26" i="4" s="1"/>
  <c r="R32" i="23"/>
  <c r="R26" i="4" s="1"/>
  <c r="S32" i="23"/>
  <c r="S26" i="4" s="1"/>
  <c r="T32" i="23"/>
  <c r="T26" i="4" s="1"/>
  <c r="U32" i="23"/>
  <c r="U26" i="4" s="1"/>
  <c r="V32" i="23"/>
  <c r="V26" i="4" s="1"/>
  <c r="P37" i="23"/>
  <c r="P31" i="4" s="1"/>
  <c r="Q37" i="23"/>
  <c r="R37" i="23"/>
  <c r="R31" i="4" s="1"/>
  <c r="S37" i="23"/>
  <c r="S31" i="4" s="1"/>
  <c r="T37" i="23"/>
  <c r="T31" i="4" s="1"/>
  <c r="U37" i="23"/>
  <c r="U31" i="4" s="1"/>
  <c r="V37" i="23"/>
  <c r="V31" i="4" s="1"/>
  <c r="P38" i="23"/>
  <c r="P32" i="4" s="1"/>
  <c r="Q38" i="23"/>
  <c r="Q32" i="4" s="1"/>
  <c r="R38" i="23"/>
  <c r="R32" i="4" s="1"/>
  <c r="S38" i="23"/>
  <c r="S32" i="4" s="1"/>
  <c r="T38" i="23"/>
  <c r="T32" i="4" s="1"/>
  <c r="U38" i="23"/>
  <c r="U32" i="4" s="1"/>
  <c r="V38" i="23"/>
  <c r="V32" i="4" s="1"/>
  <c r="P39" i="23"/>
  <c r="P33" i="4" s="1"/>
  <c r="Q39" i="23"/>
  <c r="Q33" i="4" s="1"/>
  <c r="R39" i="23"/>
  <c r="R33" i="4" s="1"/>
  <c r="S39" i="23"/>
  <c r="S33" i="4" s="1"/>
  <c r="T39" i="23"/>
  <c r="T33" i="4" s="1"/>
  <c r="U39" i="23"/>
  <c r="U33" i="4" s="1"/>
  <c r="V39" i="23"/>
  <c r="P40" i="23"/>
  <c r="P34" i="4" s="1"/>
  <c r="Q40" i="23"/>
  <c r="Q34" i="4" s="1"/>
  <c r="R40" i="23"/>
  <c r="R34" i="4" s="1"/>
  <c r="S40" i="23"/>
  <c r="S34" i="4" s="1"/>
  <c r="T40" i="23"/>
  <c r="T34" i="4" s="1"/>
  <c r="U40" i="23"/>
  <c r="U34" i="4" s="1"/>
  <c r="V40" i="23"/>
  <c r="V34" i="4" s="1"/>
  <c r="P41" i="23"/>
  <c r="P35" i="4" s="1"/>
  <c r="Q41" i="23"/>
  <c r="Q35" i="4" s="1"/>
  <c r="R41" i="23"/>
  <c r="R35" i="4" s="1"/>
  <c r="S41" i="23"/>
  <c r="S35" i="4" s="1"/>
  <c r="T41" i="23"/>
  <c r="T35" i="4" s="1"/>
  <c r="U41" i="23"/>
  <c r="U35" i="4" s="1"/>
  <c r="V41" i="23"/>
  <c r="V35" i="4" s="1"/>
  <c r="P42" i="23"/>
  <c r="P36" i="4" s="1"/>
  <c r="Q42" i="23"/>
  <c r="Q36" i="4" s="1"/>
  <c r="R42" i="23"/>
  <c r="R36" i="4" s="1"/>
  <c r="S42" i="23"/>
  <c r="S36" i="4" s="1"/>
  <c r="T42" i="23"/>
  <c r="T36" i="4" s="1"/>
  <c r="U42" i="23"/>
  <c r="U36" i="4" s="1"/>
  <c r="V42" i="23"/>
  <c r="V36" i="4" s="1"/>
  <c r="P43" i="23"/>
  <c r="Q43" i="23"/>
  <c r="R43" i="23"/>
  <c r="S43" i="23"/>
  <c r="T43" i="23"/>
  <c r="U43" i="23"/>
  <c r="U37" i="4" s="1"/>
  <c r="V43" i="23"/>
  <c r="O39" i="23"/>
  <c r="O33" i="4" s="1"/>
  <c r="O42" i="23"/>
  <c r="O36" i="4" s="1"/>
  <c r="O43" i="23"/>
  <c r="L28" i="23"/>
  <c r="K29" i="23"/>
  <c r="K23" i="4" s="1"/>
  <c r="K30" i="23"/>
  <c r="K24" i="4" s="1"/>
  <c r="K31" i="23"/>
  <c r="K25" i="4" s="1"/>
  <c r="M31" i="23"/>
  <c r="M25" i="4" s="1"/>
  <c r="K36" i="23"/>
  <c r="K30" i="4" s="1"/>
  <c r="L36" i="23"/>
  <c r="L30" i="4" s="1"/>
  <c r="M36" i="23"/>
  <c r="M30" i="4" s="1"/>
  <c r="K37" i="23"/>
  <c r="K31" i="4" s="1"/>
  <c r="L37" i="23"/>
  <c r="L31" i="4" s="1"/>
  <c r="M37" i="23"/>
  <c r="M31" i="4" s="1"/>
  <c r="K38" i="23"/>
  <c r="K32" i="4" s="1"/>
  <c r="L38" i="23"/>
  <c r="L32" i="4" s="1"/>
  <c r="M38" i="23"/>
  <c r="M32" i="4" s="1"/>
  <c r="K39" i="23"/>
  <c r="K33" i="4" s="1"/>
  <c r="L39" i="23"/>
  <c r="L33" i="4" s="1"/>
  <c r="M39" i="23"/>
  <c r="M33" i="4" s="1"/>
  <c r="K40" i="23"/>
  <c r="K34" i="4" s="1"/>
  <c r="L40" i="23"/>
  <c r="L34" i="4" s="1"/>
  <c r="M40" i="23"/>
  <c r="M34" i="4" s="1"/>
  <c r="K41" i="23"/>
  <c r="K35" i="4" s="1"/>
  <c r="L41" i="23"/>
  <c r="L35" i="4" s="1"/>
  <c r="M41" i="23"/>
  <c r="M35" i="4" s="1"/>
  <c r="K42" i="23"/>
  <c r="K36" i="4" s="1"/>
  <c r="L42" i="23"/>
  <c r="L36" i="4" s="1"/>
  <c r="M42" i="23"/>
  <c r="M36" i="4" s="1"/>
  <c r="K43" i="23"/>
  <c r="L43" i="23"/>
  <c r="M43" i="23"/>
  <c r="S28" i="1"/>
  <c r="T28" i="1"/>
  <c r="U28" i="1"/>
  <c r="V28" i="1"/>
  <c r="S29" i="1"/>
  <c r="S7" i="4" s="1"/>
  <c r="T29" i="1"/>
  <c r="T7" i="4" s="1"/>
  <c r="U29" i="1"/>
  <c r="U7" i="4" s="1"/>
  <c r="V29" i="1"/>
  <c r="V7" i="4" s="1"/>
  <c r="S30" i="1"/>
  <c r="S8" i="4" s="1"/>
  <c r="T30" i="1"/>
  <c r="T8" i="4" s="1"/>
  <c r="U30" i="1"/>
  <c r="U8" i="4" s="1"/>
  <c r="V30" i="1"/>
  <c r="V8" i="4" s="1"/>
  <c r="S13" i="4"/>
  <c r="T13" i="4"/>
  <c r="U13" i="4"/>
  <c r="V13" i="4"/>
  <c r="S14" i="4"/>
  <c r="T14" i="4"/>
  <c r="U14" i="4"/>
  <c r="V14" i="4"/>
  <c r="S37" i="1"/>
  <c r="S15" i="4" s="1"/>
  <c r="T37" i="1"/>
  <c r="T15" i="4" s="1"/>
  <c r="U37" i="1"/>
  <c r="U15" i="4" s="1"/>
  <c r="V37" i="1"/>
  <c r="V15" i="4" s="1"/>
  <c r="S38" i="1"/>
  <c r="S16" i="4" s="1"/>
  <c r="T38" i="1"/>
  <c r="T16" i="4" s="1"/>
  <c r="U38" i="1"/>
  <c r="U16" i="4" s="1"/>
  <c r="V38" i="1"/>
  <c r="V16" i="4" s="1"/>
  <c r="S39" i="1"/>
  <c r="S17" i="4" s="1"/>
  <c r="T39" i="1"/>
  <c r="T17" i="4" s="1"/>
  <c r="U39" i="1"/>
  <c r="U17" i="4" s="1"/>
  <c r="V39" i="1"/>
  <c r="V17" i="4" s="1"/>
  <c r="S40" i="1"/>
  <c r="S18" i="4" s="1"/>
  <c r="T40" i="1"/>
  <c r="T18" i="4" s="1"/>
  <c r="U40" i="1"/>
  <c r="U18" i="4" s="1"/>
  <c r="V40" i="1"/>
  <c r="V18" i="4" s="1"/>
  <c r="S41" i="1"/>
  <c r="S19" i="4" s="1"/>
  <c r="T41" i="1"/>
  <c r="T19" i="4" s="1"/>
  <c r="U41" i="1"/>
  <c r="U19" i="4" s="1"/>
  <c r="V41" i="1"/>
  <c r="V19" i="4" s="1"/>
  <c r="S42" i="1"/>
  <c r="S20" i="4" s="1"/>
  <c r="T42" i="1"/>
  <c r="T20" i="4" s="1"/>
  <c r="U42" i="1"/>
  <c r="U20" i="4" s="1"/>
  <c r="V42" i="1"/>
  <c r="V20" i="4" s="1"/>
  <c r="S43" i="1"/>
  <c r="S21" i="4" s="1"/>
  <c r="T43" i="1"/>
  <c r="U43" i="1"/>
  <c r="V43" i="1"/>
  <c r="K28" i="1"/>
  <c r="L28" i="1"/>
  <c r="M28" i="1"/>
  <c r="K29" i="1"/>
  <c r="K7" i="4" s="1"/>
  <c r="L29" i="1"/>
  <c r="L7" i="4" s="1"/>
  <c r="M29" i="1"/>
  <c r="M7" i="4" s="1"/>
  <c r="K12" i="4"/>
  <c r="L12" i="4"/>
  <c r="M12" i="4"/>
  <c r="K13" i="4"/>
  <c r="L13" i="4"/>
  <c r="M13" i="4"/>
  <c r="K14" i="4"/>
  <c r="L14" i="4"/>
  <c r="M14" i="4"/>
  <c r="K37" i="1"/>
  <c r="K15" i="4" s="1"/>
  <c r="L37" i="1"/>
  <c r="L15" i="4" s="1"/>
  <c r="M37" i="1"/>
  <c r="M15" i="4" s="1"/>
  <c r="K38" i="1"/>
  <c r="K16" i="4" s="1"/>
  <c r="L38" i="1"/>
  <c r="L16" i="4" s="1"/>
  <c r="M38" i="1"/>
  <c r="M16" i="4" s="1"/>
  <c r="K39" i="1"/>
  <c r="K17" i="4" s="1"/>
  <c r="L39" i="1"/>
  <c r="L17" i="4" s="1"/>
  <c r="M39" i="1"/>
  <c r="M17" i="4" s="1"/>
  <c r="K40" i="1"/>
  <c r="K18" i="4" s="1"/>
  <c r="L40" i="1"/>
  <c r="L18" i="4" s="1"/>
  <c r="M40" i="1"/>
  <c r="M18" i="4" s="1"/>
  <c r="K41" i="1"/>
  <c r="K19" i="4" s="1"/>
  <c r="L41" i="1"/>
  <c r="L19" i="4" s="1"/>
  <c r="M41" i="1"/>
  <c r="M19" i="4" s="1"/>
  <c r="K42" i="1"/>
  <c r="K20" i="4" s="1"/>
  <c r="L42" i="1"/>
  <c r="L20" i="4" s="1"/>
  <c r="M42" i="1"/>
  <c r="M20" i="4" s="1"/>
  <c r="K43" i="1"/>
  <c r="L43" i="1"/>
  <c r="M43" i="1"/>
  <c r="J28" i="1"/>
  <c r="N45" i="1"/>
  <c r="A22" i="1"/>
  <c r="Q37" i="4"/>
  <c r="I43" i="23"/>
  <c r="H43" i="23"/>
  <c r="G43" i="23"/>
  <c r="F43" i="23"/>
  <c r="E43" i="23"/>
  <c r="D43" i="23"/>
  <c r="C43" i="23"/>
  <c r="B43" i="23"/>
  <c r="I42" i="23"/>
  <c r="I36" i="4" s="1"/>
  <c r="H42" i="23"/>
  <c r="H36" i="4" s="1"/>
  <c r="G42" i="23"/>
  <c r="G36" i="4" s="1"/>
  <c r="F42" i="23"/>
  <c r="F36" i="4" s="1"/>
  <c r="E42" i="23"/>
  <c r="E36" i="4" s="1"/>
  <c r="D42" i="23"/>
  <c r="D36" i="4" s="1"/>
  <c r="C42" i="23"/>
  <c r="C36" i="4" s="1"/>
  <c r="B42" i="23"/>
  <c r="B36" i="4" s="1"/>
  <c r="I41" i="23"/>
  <c r="I35" i="4" s="1"/>
  <c r="H41" i="23"/>
  <c r="H35" i="4" s="1"/>
  <c r="G41" i="23"/>
  <c r="G35" i="4" s="1"/>
  <c r="F41" i="23"/>
  <c r="F35" i="4" s="1"/>
  <c r="E41" i="23"/>
  <c r="E35" i="4" s="1"/>
  <c r="D41" i="23"/>
  <c r="D35" i="4" s="1"/>
  <c r="C41" i="23"/>
  <c r="C35" i="4" s="1"/>
  <c r="B41" i="23"/>
  <c r="B35" i="4" s="1"/>
  <c r="I40" i="23"/>
  <c r="I34" i="4" s="1"/>
  <c r="H40" i="23"/>
  <c r="H34" i="4" s="1"/>
  <c r="G40" i="23"/>
  <c r="G34" i="4" s="1"/>
  <c r="F40" i="23"/>
  <c r="F34" i="4" s="1"/>
  <c r="E40" i="23"/>
  <c r="E34" i="4" s="1"/>
  <c r="D40" i="23"/>
  <c r="D34" i="4" s="1"/>
  <c r="C40" i="23"/>
  <c r="C34" i="4" s="1"/>
  <c r="B40" i="23"/>
  <c r="B34" i="4" s="1"/>
  <c r="V33" i="4"/>
  <c r="I39" i="23"/>
  <c r="I33" i="4" s="1"/>
  <c r="H39" i="23"/>
  <c r="H33" i="4" s="1"/>
  <c r="G39" i="23"/>
  <c r="G33" i="4" s="1"/>
  <c r="F39" i="23"/>
  <c r="F33" i="4" s="1"/>
  <c r="E39" i="23"/>
  <c r="E33" i="4" s="1"/>
  <c r="D39" i="23"/>
  <c r="D33" i="4" s="1"/>
  <c r="C39" i="23"/>
  <c r="C33" i="4" s="1"/>
  <c r="B39" i="23"/>
  <c r="B33" i="4" s="1"/>
  <c r="I38" i="23"/>
  <c r="I32" i="4" s="1"/>
  <c r="H38" i="23"/>
  <c r="H32" i="4" s="1"/>
  <c r="G38" i="23"/>
  <c r="G32" i="4" s="1"/>
  <c r="F38" i="23"/>
  <c r="F32" i="4" s="1"/>
  <c r="E38" i="23"/>
  <c r="E32" i="4" s="1"/>
  <c r="D38" i="23"/>
  <c r="D32" i="4" s="1"/>
  <c r="C38" i="23"/>
  <c r="C32" i="4" s="1"/>
  <c r="Q31" i="4"/>
  <c r="I37" i="23"/>
  <c r="I31" i="4" s="1"/>
  <c r="H37" i="23"/>
  <c r="H31" i="4" s="1"/>
  <c r="G37" i="23"/>
  <c r="G31" i="4" s="1"/>
  <c r="F37" i="23"/>
  <c r="F31" i="4" s="1"/>
  <c r="E37" i="23"/>
  <c r="E31" i="4" s="1"/>
  <c r="D37" i="23"/>
  <c r="D31" i="4" s="1"/>
  <c r="C37" i="23"/>
  <c r="C31" i="4" s="1"/>
  <c r="B37" i="23"/>
  <c r="B31" i="4" s="1"/>
  <c r="I36" i="23"/>
  <c r="I30" i="4" s="1"/>
  <c r="H36" i="23"/>
  <c r="H30" i="4" s="1"/>
  <c r="G36" i="23"/>
  <c r="G30" i="4" s="1"/>
  <c r="F36" i="23"/>
  <c r="F30" i="4" s="1"/>
  <c r="E36" i="23"/>
  <c r="E30" i="4" s="1"/>
  <c r="D36" i="23"/>
  <c r="D30" i="4" s="1"/>
  <c r="C36" i="23"/>
  <c r="C30" i="4" s="1"/>
  <c r="B36" i="23"/>
  <c r="B30" i="4" s="1"/>
  <c r="P24" i="4"/>
  <c r="V24" i="23"/>
  <c r="U24" i="23"/>
  <c r="T24" i="23"/>
  <c r="S24" i="23"/>
  <c r="R24" i="23"/>
  <c r="Q24" i="23"/>
  <c r="P24" i="23"/>
  <c r="O24" i="23"/>
  <c r="L24" i="23"/>
  <c r="J24" i="23"/>
  <c r="I24" i="23"/>
  <c r="H24" i="23"/>
  <c r="G24" i="23"/>
  <c r="F24" i="23"/>
  <c r="E24" i="23"/>
  <c r="D24" i="23"/>
  <c r="C24" i="23"/>
  <c r="B24" i="23"/>
  <c r="V23" i="23"/>
  <c r="U23" i="23"/>
  <c r="T23" i="23"/>
  <c r="S23" i="23"/>
  <c r="R23" i="23"/>
  <c r="Q23" i="23"/>
  <c r="P23" i="23"/>
  <c r="O23" i="23"/>
  <c r="B32" i="23" s="1"/>
  <c r="B26" i="4" s="1"/>
  <c r="L23" i="23"/>
  <c r="J23" i="23"/>
  <c r="I23" i="23"/>
  <c r="H23" i="23"/>
  <c r="G23" i="23"/>
  <c r="F23" i="23"/>
  <c r="E23" i="23"/>
  <c r="D23" i="23"/>
  <c r="C23" i="23"/>
  <c r="B23" i="23"/>
  <c r="Q45" i="23"/>
  <c r="P45" i="23"/>
  <c r="O45" i="23"/>
  <c r="I22" i="23"/>
  <c r="H27" i="23"/>
  <c r="H52" i="23" s="1"/>
  <c r="G45" i="23"/>
  <c r="F27" i="23"/>
  <c r="F52" i="23" s="1"/>
  <c r="E45" i="23"/>
  <c r="C45" i="23"/>
  <c r="B45" i="23"/>
  <c r="F29" i="23"/>
  <c r="F23" i="4" s="1"/>
  <c r="D31" i="23"/>
  <c r="D25" i="4" s="1"/>
  <c r="C28" i="23"/>
  <c r="J29" i="23"/>
  <c r="J23" i="4" s="1"/>
  <c r="J40" i="23"/>
  <c r="J34" i="4" s="1"/>
  <c r="J36" i="23"/>
  <c r="J30" i="4" s="1"/>
  <c r="G31" i="23"/>
  <c r="G25" i="4" s="1"/>
  <c r="H30" i="23"/>
  <c r="H24" i="4" s="1"/>
  <c r="D30" i="23"/>
  <c r="D24" i="4" s="1"/>
  <c r="I29" i="23"/>
  <c r="I23" i="4" s="1"/>
  <c r="E29" i="23"/>
  <c r="E23" i="4" s="1"/>
  <c r="J28" i="23"/>
  <c r="F28" i="23"/>
  <c r="J42" i="23"/>
  <c r="J36" i="4" s="1"/>
  <c r="J38" i="23"/>
  <c r="J32" i="4" s="1"/>
  <c r="I31" i="23"/>
  <c r="I25" i="4" s="1"/>
  <c r="E31" i="23"/>
  <c r="E25" i="4" s="1"/>
  <c r="J30" i="23"/>
  <c r="J24" i="4" s="1"/>
  <c r="F30" i="23"/>
  <c r="F24" i="4" s="1"/>
  <c r="C29" i="23"/>
  <c r="C23" i="4" s="1"/>
  <c r="D28" i="23"/>
  <c r="J41" i="23"/>
  <c r="J35" i="4" s="1"/>
  <c r="J37" i="23"/>
  <c r="J31" i="4" s="1"/>
  <c r="I34" i="23"/>
  <c r="I28" i="4" s="1"/>
  <c r="J43" i="23"/>
  <c r="J39" i="23"/>
  <c r="J33" i="4" s="1"/>
  <c r="I32" i="23"/>
  <c r="I26" i="4" s="1"/>
  <c r="J31" i="23"/>
  <c r="J25" i="4" s="1"/>
  <c r="F31" i="23"/>
  <c r="F25" i="4" s="1"/>
  <c r="G30" i="23"/>
  <c r="G24" i="4" s="1"/>
  <c r="C30" i="23"/>
  <c r="C24" i="4" s="1"/>
  <c r="H29" i="23"/>
  <c r="H23" i="4" s="1"/>
  <c r="D29" i="23"/>
  <c r="D23" i="4" s="1"/>
  <c r="I28" i="23"/>
  <c r="E28" i="23"/>
  <c r="G29" i="23"/>
  <c r="G23" i="4" s="1"/>
  <c r="H28" i="23"/>
  <c r="H31" i="23"/>
  <c r="H25" i="4" s="1"/>
  <c r="G28" i="23"/>
  <c r="I30" i="23"/>
  <c r="I24" i="4" s="1"/>
  <c r="P22" i="23"/>
  <c r="S23" i="1"/>
  <c r="T23" i="1"/>
  <c r="U23" i="1"/>
  <c r="V23" i="1"/>
  <c r="S24" i="1"/>
  <c r="T24" i="1"/>
  <c r="U24" i="1"/>
  <c r="V24" i="1"/>
  <c r="L23" i="1"/>
  <c r="M23" i="1"/>
  <c r="L24" i="1"/>
  <c r="M24" i="1"/>
  <c r="T22" i="4"/>
  <c r="I23" i="1"/>
  <c r="I24" i="1"/>
  <c r="J29" i="1"/>
  <c r="J7" i="4" s="1"/>
  <c r="J12" i="4"/>
  <c r="J13" i="4"/>
  <c r="C14" i="4"/>
  <c r="D14" i="4"/>
  <c r="E14" i="4"/>
  <c r="F14" i="4"/>
  <c r="G14" i="4"/>
  <c r="H14" i="4"/>
  <c r="I14" i="4"/>
  <c r="J14" i="4"/>
  <c r="C37" i="1"/>
  <c r="C15" i="4" s="1"/>
  <c r="D37" i="1"/>
  <c r="D15" i="4" s="1"/>
  <c r="E37" i="1"/>
  <c r="E15" i="4" s="1"/>
  <c r="F37" i="1"/>
  <c r="F15" i="4" s="1"/>
  <c r="G37" i="1"/>
  <c r="G15" i="4" s="1"/>
  <c r="H37" i="1"/>
  <c r="H15" i="4" s="1"/>
  <c r="I37" i="1"/>
  <c r="I15" i="4" s="1"/>
  <c r="J37" i="1"/>
  <c r="J15" i="4" s="1"/>
  <c r="C38" i="1"/>
  <c r="C16" i="4" s="1"/>
  <c r="D38" i="1"/>
  <c r="D16" i="4" s="1"/>
  <c r="E38" i="1"/>
  <c r="E16" i="4" s="1"/>
  <c r="F38" i="1"/>
  <c r="F16" i="4" s="1"/>
  <c r="G38" i="1"/>
  <c r="G16" i="4" s="1"/>
  <c r="H38" i="1"/>
  <c r="H16" i="4" s="1"/>
  <c r="I38" i="1"/>
  <c r="I16" i="4" s="1"/>
  <c r="J38" i="1"/>
  <c r="J16" i="4" s="1"/>
  <c r="C39" i="1"/>
  <c r="C17" i="4" s="1"/>
  <c r="D39" i="1"/>
  <c r="E39" i="1"/>
  <c r="E17" i="4" s="1"/>
  <c r="F39" i="1"/>
  <c r="F17" i="4" s="1"/>
  <c r="G39" i="1"/>
  <c r="G17" i="4" s="1"/>
  <c r="H39" i="1"/>
  <c r="H17" i="4" s="1"/>
  <c r="I39" i="1"/>
  <c r="I17" i="4" s="1"/>
  <c r="J39" i="1"/>
  <c r="J17" i="4" s="1"/>
  <c r="C40" i="1"/>
  <c r="C18" i="4" s="1"/>
  <c r="D40" i="1"/>
  <c r="D18" i="4" s="1"/>
  <c r="E40" i="1"/>
  <c r="E18" i="4" s="1"/>
  <c r="F40" i="1"/>
  <c r="F18" i="4" s="1"/>
  <c r="G40" i="1"/>
  <c r="G18" i="4" s="1"/>
  <c r="H40" i="1"/>
  <c r="H18" i="4" s="1"/>
  <c r="I40" i="1"/>
  <c r="I18" i="4" s="1"/>
  <c r="J40" i="1"/>
  <c r="J18" i="4" s="1"/>
  <c r="C41" i="1"/>
  <c r="C19" i="4" s="1"/>
  <c r="D41" i="1"/>
  <c r="D19" i="4" s="1"/>
  <c r="E41" i="1"/>
  <c r="E19" i="4" s="1"/>
  <c r="F41" i="1"/>
  <c r="F19" i="4" s="1"/>
  <c r="G41" i="1"/>
  <c r="G19" i="4" s="1"/>
  <c r="H41" i="1"/>
  <c r="H19" i="4" s="1"/>
  <c r="I41" i="1"/>
  <c r="I19" i="4" s="1"/>
  <c r="J41" i="1"/>
  <c r="J19" i="4" s="1"/>
  <c r="C42" i="1"/>
  <c r="C20" i="4" s="1"/>
  <c r="D42" i="1"/>
  <c r="D20" i="4" s="1"/>
  <c r="E42" i="1"/>
  <c r="E20" i="4" s="1"/>
  <c r="F42" i="1"/>
  <c r="F20" i="4" s="1"/>
  <c r="G42" i="1"/>
  <c r="G20" i="4" s="1"/>
  <c r="H42" i="1"/>
  <c r="H20" i="4" s="1"/>
  <c r="I42" i="1"/>
  <c r="I20" i="4" s="1"/>
  <c r="J42" i="1"/>
  <c r="J20" i="4" s="1"/>
  <c r="C43" i="1"/>
  <c r="D43" i="1"/>
  <c r="E43" i="1"/>
  <c r="F43" i="1"/>
  <c r="G43" i="1"/>
  <c r="H43" i="1"/>
  <c r="I43" i="1"/>
  <c r="J43" i="1"/>
  <c r="I45" i="1"/>
  <c r="Q14" i="4"/>
  <c r="R14" i="4"/>
  <c r="Q37" i="1"/>
  <c r="Q15" i="4" s="1"/>
  <c r="P38" i="1"/>
  <c r="P16" i="4" s="1"/>
  <c r="Q38" i="1"/>
  <c r="Q16" i="4" s="1"/>
  <c r="P39" i="1"/>
  <c r="P17" i="4" s="1"/>
  <c r="Q39" i="1"/>
  <c r="Q17" i="4" s="1"/>
  <c r="R39" i="1"/>
  <c r="R17" i="4" s="1"/>
  <c r="P40" i="1"/>
  <c r="P18" i="4" s="1"/>
  <c r="Q40" i="1"/>
  <c r="Q18" i="4" s="1"/>
  <c r="R40" i="1"/>
  <c r="R18" i="4" s="1"/>
  <c r="P41" i="1"/>
  <c r="P19" i="4" s="1"/>
  <c r="Q41" i="1"/>
  <c r="Q19" i="4" s="1"/>
  <c r="P42" i="1"/>
  <c r="P20" i="4" s="1"/>
  <c r="Q42" i="1"/>
  <c r="Q20" i="4" s="1"/>
  <c r="P43" i="1"/>
  <c r="Q43" i="1"/>
  <c r="R43" i="1"/>
  <c r="B14" i="4"/>
  <c r="B37" i="1"/>
  <c r="B15" i="4" s="1"/>
  <c r="B38" i="1"/>
  <c r="B16" i="4" s="1"/>
  <c r="B39" i="1"/>
  <c r="B17" i="4" s="1"/>
  <c r="B40" i="1"/>
  <c r="B18" i="4" s="1"/>
  <c r="B41" i="1"/>
  <c r="B19" i="4" s="1"/>
  <c r="B42" i="1"/>
  <c r="B20" i="4" s="1"/>
  <c r="B43" i="1"/>
  <c r="B23" i="1"/>
  <c r="B4" i="4"/>
  <c r="B62" i="4" s="1"/>
  <c r="A52" i="1"/>
  <c r="O22" i="1"/>
  <c r="Q24" i="1"/>
  <c r="P24" i="1"/>
  <c r="O24" i="1"/>
  <c r="Q23" i="1"/>
  <c r="P23" i="1"/>
  <c r="O23" i="1"/>
  <c r="F29" i="1" s="1"/>
  <c r="F7" i="4" s="1"/>
  <c r="H27" i="1"/>
  <c r="H52" i="1" s="1"/>
  <c r="G27" i="1"/>
  <c r="G52" i="1" s="1"/>
  <c r="F27" i="1"/>
  <c r="F52" i="1" s="1"/>
  <c r="E4" i="4"/>
  <c r="D22" i="1"/>
  <c r="C45" i="1"/>
  <c r="I12" i="4"/>
  <c r="E29" i="1"/>
  <c r="I29" i="1"/>
  <c r="O39" i="1"/>
  <c r="O17" i="4" s="1"/>
  <c r="O43" i="1"/>
  <c r="O40" i="1"/>
  <c r="O18" i="4" s="1"/>
  <c r="P28" i="1"/>
  <c r="O41" i="1"/>
  <c r="O19" i="4" s="1"/>
  <c r="Q28" i="1"/>
  <c r="O38" i="1"/>
  <c r="O16" i="4" s="1"/>
  <c r="Q27" i="1"/>
  <c r="Q52" i="1" s="1"/>
  <c r="K24" i="1"/>
  <c r="J24" i="1"/>
  <c r="H24" i="1"/>
  <c r="G24" i="1"/>
  <c r="F24" i="1"/>
  <c r="E24" i="1"/>
  <c r="D24" i="1"/>
  <c r="C24" i="1"/>
  <c r="B24" i="1"/>
  <c r="K23" i="1"/>
  <c r="J23" i="1"/>
  <c r="H23" i="1"/>
  <c r="G23" i="1"/>
  <c r="F23" i="1"/>
  <c r="E23" i="1"/>
  <c r="D23" i="1"/>
  <c r="C23" i="1"/>
  <c r="R24" i="1"/>
  <c r="R23" i="1"/>
  <c r="K4" i="1"/>
  <c r="K4" i="4" s="1"/>
  <c r="K62" i="4" s="1"/>
  <c r="L4" i="1"/>
  <c r="L4" i="4" s="1"/>
  <c r="K4" i="23"/>
  <c r="K52" i="23" s="1"/>
  <c r="L4" i="23"/>
  <c r="L27" i="23" s="1"/>
  <c r="T56" i="1"/>
  <c r="S56" i="1"/>
  <c r="U56" i="1"/>
  <c r="V56" i="1"/>
  <c r="L31" i="23" l="1"/>
  <c r="L25" i="4" s="1"/>
  <c r="M28" i="23"/>
  <c r="O29" i="23"/>
  <c r="O23" i="4" s="1"/>
  <c r="M30" i="23"/>
  <c r="M24" i="4" s="1"/>
  <c r="K28" i="23"/>
  <c r="S22" i="4"/>
  <c r="L30" i="23"/>
  <c r="L24" i="4" s="1"/>
  <c r="M29" i="23"/>
  <c r="M23" i="4" s="1"/>
  <c r="O41" i="23"/>
  <c r="O35" i="4" s="1"/>
  <c r="C31" i="23"/>
  <c r="C25" i="4" s="1"/>
  <c r="E30" i="23"/>
  <c r="E24" i="4" s="1"/>
  <c r="L29" i="23"/>
  <c r="L23" i="4" s="1"/>
  <c r="O40" i="23"/>
  <c r="O34" i="4" s="1"/>
  <c r="P30" i="1"/>
  <c r="P8" i="4" s="1"/>
  <c r="O31" i="1"/>
  <c r="O32" i="1"/>
  <c r="O10" i="4" s="1"/>
  <c r="O33" i="1"/>
  <c r="O34" i="1"/>
  <c r="O35" i="1"/>
  <c r="O36" i="1"/>
  <c r="B34" i="1"/>
  <c r="B12" i="4" s="1"/>
  <c r="F35" i="1"/>
  <c r="F13" i="4" s="1"/>
  <c r="P31" i="1"/>
  <c r="P32" i="1"/>
  <c r="P33" i="1"/>
  <c r="P11" i="4" s="1"/>
  <c r="P34" i="1"/>
  <c r="P35" i="1"/>
  <c r="P13" i="4" s="1"/>
  <c r="C34" i="1"/>
  <c r="C12" i="4" s="1"/>
  <c r="G35" i="1"/>
  <c r="G13" i="4" s="1"/>
  <c r="Q31" i="1"/>
  <c r="Q32" i="1"/>
  <c r="Q33" i="1"/>
  <c r="Q34" i="1"/>
  <c r="Q35" i="1"/>
  <c r="Q13" i="4" s="1"/>
  <c r="D34" i="1"/>
  <c r="H35" i="1"/>
  <c r="H13" i="4" s="1"/>
  <c r="E34" i="1"/>
  <c r="F34" i="1"/>
  <c r="F12" i="4" s="1"/>
  <c r="B35" i="1"/>
  <c r="D35" i="1"/>
  <c r="D13" i="4" s="1"/>
  <c r="G34" i="1"/>
  <c r="G12" i="4" s="1"/>
  <c r="C35" i="1"/>
  <c r="C13" i="4" s="1"/>
  <c r="H34" i="1"/>
  <c r="H12" i="4" s="1"/>
  <c r="E35" i="1"/>
  <c r="E13" i="4" s="1"/>
  <c r="O42" i="1"/>
  <c r="O20" i="4" s="1"/>
  <c r="G29" i="1"/>
  <c r="C34" i="23"/>
  <c r="C28" i="4" s="1"/>
  <c r="C33" i="23"/>
  <c r="C27" i="4" s="1"/>
  <c r="U22" i="4"/>
  <c r="K22" i="4"/>
  <c r="C29" i="1"/>
  <c r="C7" i="4" s="1"/>
  <c r="B30" i="1"/>
  <c r="F30" i="1"/>
  <c r="F8" i="4" s="1"/>
  <c r="J30" i="1"/>
  <c r="B31" i="1"/>
  <c r="F31" i="1"/>
  <c r="J31" i="1"/>
  <c r="J9" i="4" s="1"/>
  <c r="B32" i="1"/>
  <c r="F32" i="1"/>
  <c r="F10" i="4" s="1"/>
  <c r="J32" i="1"/>
  <c r="J10" i="4" s="1"/>
  <c r="B33" i="1"/>
  <c r="B11" i="4" s="1"/>
  <c r="F33" i="1"/>
  <c r="F11" i="4" s="1"/>
  <c r="J33" i="1"/>
  <c r="J11" i="4" s="1"/>
  <c r="C30" i="1"/>
  <c r="G30" i="1"/>
  <c r="K30" i="1"/>
  <c r="C31" i="1"/>
  <c r="C9" i="4" s="1"/>
  <c r="G31" i="1"/>
  <c r="G9" i="4" s="1"/>
  <c r="K31" i="1"/>
  <c r="K9" i="4" s="1"/>
  <c r="C32" i="1"/>
  <c r="G32" i="1"/>
  <c r="K32" i="1"/>
  <c r="C33" i="1"/>
  <c r="G33" i="1"/>
  <c r="K33" i="1"/>
  <c r="K11" i="4" s="1"/>
  <c r="H30" i="1"/>
  <c r="H8" i="4" s="1"/>
  <c r="L30" i="1"/>
  <c r="L8" i="4" s="1"/>
  <c r="D31" i="1"/>
  <c r="D9" i="4" s="1"/>
  <c r="L31" i="1"/>
  <c r="D32" i="1"/>
  <c r="L32" i="1"/>
  <c r="D33" i="1"/>
  <c r="D11" i="4" s="1"/>
  <c r="L33" i="1"/>
  <c r="L11" i="4" s="1"/>
  <c r="D30" i="1"/>
  <c r="H31" i="1"/>
  <c r="H9" i="4" s="1"/>
  <c r="H32" i="1"/>
  <c r="H10" i="4" s="1"/>
  <c r="H33" i="1"/>
  <c r="E30" i="1"/>
  <c r="I30" i="1"/>
  <c r="M30" i="1"/>
  <c r="E31" i="1"/>
  <c r="I31" i="1"/>
  <c r="I9" i="4" s="1"/>
  <c r="M31" i="1"/>
  <c r="M9" i="4" s="1"/>
  <c r="E32" i="1"/>
  <c r="E10" i="4" s="1"/>
  <c r="I32" i="1"/>
  <c r="M32" i="1"/>
  <c r="E33" i="1"/>
  <c r="I33" i="1"/>
  <c r="I11" i="4" s="1"/>
  <c r="M33" i="1"/>
  <c r="F33" i="23"/>
  <c r="F27" i="4" s="1"/>
  <c r="E35" i="23"/>
  <c r="E29" i="4" s="1"/>
  <c r="H34" i="23"/>
  <c r="H28" i="4" s="1"/>
  <c r="G8" i="4"/>
  <c r="M33" i="23"/>
  <c r="M27" i="4" s="1"/>
  <c r="L35" i="23"/>
  <c r="L29" i="4" s="1"/>
  <c r="M32" i="23"/>
  <c r="O36" i="23"/>
  <c r="O30" i="4" s="1"/>
  <c r="S36" i="23"/>
  <c r="S30" i="4" s="1"/>
  <c r="S34" i="23"/>
  <c r="S28" i="4" s="1"/>
  <c r="U33" i="23"/>
  <c r="J33" i="23"/>
  <c r="J27" i="4" s="1"/>
  <c r="I35" i="23"/>
  <c r="I29" i="4" s="1"/>
  <c r="D33" i="23"/>
  <c r="D27" i="4" s="1"/>
  <c r="G34" i="23"/>
  <c r="G28" i="4" s="1"/>
  <c r="H35" i="23"/>
  <c r="H29" i="4" s="1"/>
  <c r="F34" i="23"/>
  <c r="F28" i="4" s="1"/>
  <c r="E33" i="23"/>
  <c r="E27" i="4" s="1"/>
  <c r="C35" i="23"/>
  <c r="C29" i="4" s="1"/>
  <c r="K35" i="23"/>
  <c r="K29" i="4" s="1"/>
  <c r="L32" i="23"/>
  <c r="V36" i="23"/>
  <c r="V30" i="4" s="1"/>
  <c r="R36" i="23"/>
  <c r="R30" i="4" s="1"/>
  <c r="T35" i="23"/>
  <c r="T29" i="4" s="1"/>
  <c r="P35" i="23"/>
  <c r="P29" i="4" s="1"/>
  <c r="V34" i="23"/>
  <c r="V28" i="4" s="1"/>
  <c r="T33" i="23"/>
  <c r="D35" i="23"/>
  <c r="D29" i="4" s="1"/>
  <c r="D32" i="23"/>
  <c r="H33" i="23"/>
  <c r="H27" i="4" s="1"/>
  <c r="F35" i="23"/>
  <c r="F29" i="4" s="1"/>
  <c r="C32" i="23"/>
  <c r="J34" i="23"/>
  <c r="J28" i="4" s="1"/>
  <c r="F32" i="23"/>
  <c r="I33" i="23"/>
  <c r="G35" i="23"/>
  <c r="G29" i="4" s="1"/>
  <c r="M34" i="23"/>
  <c r="M28" i="4" s="1"/>
  <c r="L33" i="23"/>
  <c r="L27" i="4" s="1"/>
  <c r="K32" i="23"/>
  <c r="O33" i="23"/>
  <c r="O27" i="4" s="1"/>
  <c r="U36" i="23"/>
  <c r="U30" i="4" s="1"/>
  <c r="Q36" i="23"/>
  <c r="Q30" i="4" s="1"/>
  <c r="S35" i="23"/>
  <c r="S29" i="4" s="1"/>
  <c r="U34" i="23"/>
  <c r="U28" i="4" s="1"/>
  <c r="Q34" i="23"/>
  <c r="Q28" i="4" s="1"/>
  <c r="S33" i="23"/>
  <c r="K34" i="23"/>
  <c r="K28" i="4" s="1"/>
  <c r="U35" i="23"/>
  <c r="U29" i="4" s="1"/>
  <c r="Q35" i="23"/>
  <c r="Q29" i="4" s="1"/>
  <c r="Q33" i="23"/>
  <c r="O35" i="23"/>
  <c r="O29" i="4" s="1"/>
  <c r="R34" i="23"/>
  <c r="R28" i="4" s="1"/>
  <c r="P33" i="23"/>
  <c r="G32" i="23"/>
  <c r="G33" i="23"/>
  <c r="G27" i="4" s="1"/>
  <c r="E32" i="23"/>
  <c r="J35" i="23"/>
  <c r="J29" i="4" s="1"/>
  <c r="E34" i="23"/>
  <c r="E28" i="4" s="1"/>
  <c r="H32" i="23"/>
  <c r="J32" i="23"/>
  <c r="D34" i="23"/>
  <c r="D28" i="4" s="1"/>
  <c r="M35" i="23"/>
  <c r="M29" i="4" s="1"/>
  <c r="L34" i="23"/>
  <c r="L28" i="4" s="1"/>
  <c r="K33" i="23"/>
  <c r="K27" i="4" s="1"/>
  <c r="T36" i="23"/>
  <c r="T30" i="4" s="1"/>
  <c r="P36" i="23"/>
  <c r="P30" i="4" s="1"/>
  <c r="V35" i="23"/>
  <c r="V29" i="4" s="1"/>
  <c r="R35" i="23"/>
  <c r="R29" i="4" s="1"/>
  <c r="T34" i="23"/>
  <c r="T28" i="4" s="1"/>
  <c r="P34" i="23"/>
  <c r="P28" i="4" s="1"/>
  <c r="V33" i="23"/>
  <c r="R33" i="23"/>
  <c r="H11" i="4"/>
  <c r="E8" i="4"/>
  <c r="U11" i="4"/>
  <c r="T10" i="4"/>
  <c r="S9" i="4"/>
  <c r="L10" i="4"/>
  <c r="V12" i="4"/>
  <c r="M11" i="4"/>
  <c r="R11" i="4"/>
  <c r="U12" i="4"/>
  <c r="T12" i="4"/>
  <c r="S11" i="4"/>
  <c r="V10" i="4"/>
  <c r="U9" i="4"/>
  <c r="K10" i="4"/>
  <c r="T11" i="4"/>
  <c r="S10" i="4"/>
  <c r="V9" i="4"/>
  <c r="Q12" i="4"/>
  <c r="E11" i="4"/>
  <c r="Q11" i="4"/>
  <c r="P12" i="4"/>
  <c r="Q9" i="4"/>
  <c r="I8" i="4"/>
  <c r="C11" i="4"/>
  <c r="M10" i="4"/>
  <c r="L9" i="4"/>
  <c r="S12" i="4"/>
  <c r="V11" i="4"/>
  <c r="U10" i="4"/>
  <c r="T9" i="4"/>
  <c r="D22" i="4"/>
  <c r="L22" i="4"/>
  <c r="E22" i="4"/>
  <c r="M22" i="4"/>
  <c r="H22" i="4"/>
  <c r="I22" i="4"/>
  <c r="C22" i="4"/>
  <c r="G22" i="4"/>
  <c r="Q22" i="4"/>
  <c r="F22" i="4"/>
  <c r="J22" i="4"/>
  <c r="P22" i="4"/>
  <c r="T6" i="4"/>
  <c r="J6" i="4"/>
  <c r="K6" i="4"/>
  <c r="S6" i="4"/>
  <c r="Q6" i="4"/>
  <c r="L6" i="4"/>
  <c r="P6" i="4"/>
  <c r="M6" i="4"/>
  <c r="U6" i="4"/>
  <c r="T4" i="33"/>
  <c r="T22" i="33" s="1"/>
  <c r="Q22" i="1"/>
  <c r="R13" i="4"/>
  <c r="G10" i="4"/>
  <c r="H29" i="1"/>
  <c r="E28" i="1"/>
  <c r="D12" i="4"/>
  <c r="F28" i="1"/>
  <c r="R41" i="1"/>
  <c r="R19" i="4" s="1"/>
  <c r="R37" i="1"/>
  <c r="R15" i="4" s="1"/>
  <c r="Q29" i="1"/>
  <c r="O37" i="1"/>
  <c r="O15" i="4" s="1"/>
  <c r="P29" i="1"/>
  <c r="B13" i="4"/>
  <c r="I28" i="1"/>
  <c r="H28" i="1"/>
  <c r="G28" i="1"/>
  <c r="I10" i="4"/>
  <c r="E9" i="4"/>
  <c r="R42" i="1"/>
  <c r="R20" i="4" s="1"/>
  <c r="R38" i="1"/>
  <c r="R16" i="4" s="1"/>
  <c r="R12" i="4"/>
  <c r="L74" i="4"/>
  <c r="L62" i="4"/>
  <c r="E55" i="4"/>
  <c r="E62" i="4"/>
  <c r="P21" i="4"/>
  <c r="I52" i="23"/>
  <c r="R4" i="33"/>
  <c r="V37" i="4"/>
  <c r="R37" i="4"/>
  <c r="K37" i="4"/>
  <c r="I45" i="23"/>
  <c r="U4" i="33"/>
  <c r="O21" i="4"/>
  <c r="R21" i="4"/>
  <c r="Q21" i="4"/>
  <c r="S4" i="33"/>
  <c r="C27" i="23"/>
  <c r="C52" i="23" s="1"/>
  <c r="I27" i="23"/>
  <c r="V21" i="4"/>
  <c r="T21" i="4"/>
  <c r="B21" i="4"/>
  <c r="O37" i="23"/>
  <c r="O31" i="4" s="1"/>
  <c r="O34" i="23"/>
  <c r="O28" i="4" s="1"/>
  <c r="O38" i="23"/>
  <c r="T37" i="4"/>
  <c r="B38" i="23"/>
  <c r="F37" i="4"/>
  <c r="L37" i="4"/>
  <c r="P37" i="4"/>
  <c r="S37" i="4"/>
  <c r="J37" i="4"/>
  <c r="H37" i="4"/>
  <c r="M37" i="4"/>
  <c r="O37" i="4"/>
  <c r="Q4" i="4"/>
  <c r="Q62" i="4" s="1"/>
  <c r="P27" i="23"/>
  <c r="P52" i="23" s="1"/>
  <c r="J4" i="1"/>
  <c r="J4" i="4" s="1"/>
  <c r="J4" i="23"/>
  <c r="J45" i="23" s="1"/>
  <c r="M4" i="23"/>
  <c r="M27" i="23" s="1"/>
  <c r="M4" i="1"/>
  <c r="M4" i="4" s="1"/>
  <c r="L45" i="1"/>
  <c r="L27" i="1"/>
  <c r="L52" i="1" s="1"/>
  <c r="O32" i="23"/>
  <c r="O31" i="23"/>
  <c r="O25" i="4" s="1"/>
  <c r="O30" i="23"/>
  <c r="O24" i="4" s="1"/>
  <c r="B33" i="23"/>
  <c r="B27" i="4" s="1"/>
  <c r="B28" i="23"/>
  <c r="B30" i="23"/>
  <c r="B24" i="4" s="1"/>
  <c r="B34" i="23"/>
  <c r="B28" i="4" s="1"/>
  <c r="B35" i="23"/>
  <c r="O28" i="23"/>
  <c r="B31" i="23"/>
  <c r="B25" i="4" s="1"/>
  <c r="B29" i="23"/>
  <c r="B23" i="4" s="1"/>
  <c r="P10" i="4"/>
  <c r="D4" i="4"/>
  <c r="P23" i="4"/>
  <c r="O29" i="1"/>
  <c r="O7" i="4" s="1"/>
  <c r="B27" i="23"/>
  <c r="B52" i="23" s="1"/>
  <c r="K45" i="23"/>
  <c r="E27" i="23"/>
  <c r="E52" i="23" s="1"/>
  <c r="Q30" i="1"/>
  <c r="Q8" i="4" s="1"/>
  <c r="B29" i="1"/>
  <c r="B7" i="4" s="1"/>
  <c r="P9" i="4"/>
  <c r="H22" i="23"/>
  <c r="P37" i="1"/>
  <c r="F22" i="23"/>
  <c r="H45" i="23"/>
  <c r="R9" i="4"/>
  <c r="R22" i="4"/>
  <c r="V22" i="4"/>
  <c r="V57" i="1"/>
  <c r="U57" i="1"/>
  <c r="T57" i="1"/>
  <c r="S57" i="1"/>
  <c r="J21" i="4"/>
  <c r="E37" i="4"/>
  <c r="M21" i="4"/>
  <c r="R28" i="1"/>
  <c r="R30" i="1"/>
  <c r="R8" i="4" s="1"/>
  <c r="L21" i="4"/>
  <c r="U21" i="4"/>
  <c r="R29" i="1"/>
  <c r="R7" i="4" s="1"/>
  <c r="D21" i="4"/>
  <c r="C37" i="4"/>
  <c r="I37" i="4"/>
  <c r="K21" i="4"/>
  <c r="P14" i="4"/>
  <c r="C21" i="4"/>
  <c r="B37" i="4"/>
  <c r="D37" i="4"/>
  <c r="G37" i="4"/>
  <c r="O12" i="4"/>
  <c r="O13" i="4"/>
  <c r="O11" i="4"/>
  <c r="O30" i="1"/>
  <c r="O8" i="4" s="1"/>
  <c r="B9" i="4"/>
  <c r="O9" i="4"/>
  <c r="D28" i="1"/>
  <c r="B28" i="1"/>
  <c r="B8" i="4"/>
  <c r="C28" i="1"/>
  <c r="O28" i="1"/>
  <c r="C8" i="4"/>
  <c r="D29" i="1"/>
  <c r="D7" i="4" s="1"/>
  <c r="S47" i="1"/>
  <c r="S48" i="1" s="1"/>
  <c r="S54" i="1" s="1"/>
  <c r="V6" i="4"/>
  <c r="G21" i="4"/>
  <c r="I21" i="4"/>
  <c r="F21" i="4"/>
  <c r="H21" i="4"/>
  <c r="E21" i="4"/>
  <c r="L52" i="23"/>
  <c r="E7" i="4"/>
  <c r="D17" i="4"/>
  <c r="G7" i="4"/>
  <c r="C4" i="4"/>
  <c r="E47" i="23"/>
  <c r="E48" i="23" s="1"/>
  <c r="E54" i="23" s="1"/>
  <c r="G27" i="23"/>
  <c r="G52" i="23" s="1"/>
  <c r="K27" i="23"/>
  <c r="L22" i="1"/>
  <c r="I7" i="4"/>
  <c r="D27" i="1"/>
  <c r="D52" i="1" s="1"/>
  <c r="D45" i="1"/>
  <c r="D22" i="23"/>
  <c r="D45" i="23"/>
  <c r="D27" i="23"/>
  <c r="D52" i="23" s="1"/>
  <c r="F45" i="23"/>
  <c r="E22" i="23"/>
  <c r="G22" i="23"/>
  <c r="K22" i="23"/>
  <c r="L45" i="23"/>
  <c r="O22" i="23"/>
  <c r="Q22" i="23"/>
  <c r="B22" i="23"/>
  <c r="C22" i="23"/>
  <c r="L22" i="23"/>
  <c r="Q27" i="23"/>
  <c r="Q52" i="23" s="1"/>
  <c r="O27" i="23"/>
  <c r="O52" i="23" s="1"/>
  <c r="E45" i="1"/>
  <c r="B27" i="1"/>
  <c r="B52" i="1" s="1"/>
  <c r="K27" i="1"/>
  <c r="K52" i="1" s="1"/>
  <c r="F4" i="4"/>
  <c r="G22" i="1"/>
  <c r="F45" i="1"/>
  <c r="C22" i="1"/>
  <c r="B22" i="1"/>
  <c r="G45" i="1"/>
  <c r="E27" i="1"/>
  <c r="E52" i="1" s="1"/>
  <c r="E22" i="1"/>
  <c r="I22" i="1"/>
  <c r="I27" i="1"/>
  <c r="P27" i="1"/>
  <c r="P52" i="1" s="1"/>
  <c r="H4" i="4"/>
  <c r="F22" i="1"/>
  <c r="I4" i="4"/>
  <c r="G4" i="4"/>
  <c r="C27" i="1"/>
  <c r="C52" i="1" s="1"/>
  <c r="B45" i="1"/>
  <c r="K74" i="4"/>
  <c r="K22" i="1"/>
  <c r="H22" i="1"/>
  <c r="O4" i="4"/>
  <c r="H45" i="1"/>
  <c r="O45" i="1"/>
  <c r="P4" i="4"/>
  <c r="K45" i="1"/>
  <c r="P45" i="1"/>
  <c r="O27" i="1"/>
  <c r="O52" i="1" s="1"/>
  <c r="I52" i="1"/>
  <c r="K55" i="4"/>
  <c r="B55" i="4"/>
  <c r="L55" i="4"/>
  <c r="E74" i="4"/>
  <c r="B74" i="4"/>
  <c r="U56" i="23"/>
  <c r="H56" i="23"/>
  <c r="I56" i="1"/>
  <c r="E56" i="1"/>
  <c r="C56" i="1"/>
  <c r="T56" i="23"/>
  <c r="G56" i="23"/>
  <c r="R56" i="1"/>
  <c r="J56" i="1"/>
  <c r="D56" i="1"/>
  <c r="L56" i="1"/>
  <c r="B56" i="23"/>
  <c r="O56" i="23"/>
  <c r="F56" i="23"/>
  <c r="P56" i="1"/>
  <c r="Q56" i="1"/>
  <c r="M56" i="23"/>
  <c r="E56" i="23"/>
  <c r="K56" i="23"/>
  <c r="O56" i="1"/>
  <c r="F56" i="1"/>
  <c r="H56" i="1"/>
  <c r="S56" i="23"/>
  <c r="G56" i="1"/>
  <c r="R56" i="23"/>
  <c r="I56" i="23"/>
  <c r="V56" i="23"/>
  <c r="L56" i="23"/>
  <c r="D56" i="23"/>
  <c r="B56" i="1"/>
  <c r="M56" i="1"/>
  <c r="C56" i="23"/>
  <c r="J56" i="23"/>
  <c r="K56" i="1"/>
  <c r="Q56" i="23"/>
  <c r="P56" i="23"/>
  <c r="T27" i="4" l="1"/>
  <c r="T56" i="4" s="1"/>
  <c r="T75" i="4" s="1"/>
  <c r="M46" i="23"/>
  <c r="M53" i="23" s="1"/>
  <c r="M8" i="4"/>
  <c r="K8" i="4"/>
  <c r="J8" i="4"/>
  <c r="S46" i="23"/>
  <c r="S53" i="23" s="1"/>
  <c r="P47" i="23"/>
  <c r="P48" i="23" s="1"/>
  <c r="P54" i="23" s="1"/>
  <c r="V57" i="23"/>
  <c r="I57" i="23"/>
  <c r="T57" i="23"/>
  <c r="U57" i="23"/>
  <c r="M57" i="23"/>
  <c r="G57" i="23"/>
  <c r="Q57" i="23"/>
  <c r="S57" i="23"/>
  <c r="F57" i="23"/>
  <c r="P57" i="23"/>
  <c r="D57" i="23"/>
  <c r="L57" i="23"/>
  <c r="H57" i="23"/>
  <c r="K57" i="23"/>
  <c r="R57" i="23"/>
  <c r="J57" i="23"/>
  <c r="E57" i="23"/>
  <c r="C57" i="23"/>
  <c r="V27" i="4"/>
  <c r="V56" i="4" s="1"/>
  <c r="V75" i="4" s="1"/>
  <c r="I27" i="4"/>
  <c r="U27" i="4"/>
  <c r="M26" i="4"/>
  <c r="G26" i="4"/>
  <c r="Q27" i="4"/>
  <c r="S27" i="4"/>
  <c r="S56" i="4" s="1"/>
  <c r="S75" i="4" s="1"/>
  <c r="F26" i="4"/>
  <c r="P27" i="4"/>
  <c r="D26" i="4"/>
  <c r="L26" i="4"/>
  <c r="L63" i="4" s="1"/>
  <c r="L64" i="4" s="1"/>
  <c r="H26" i="4"/>
  <c r="K26" i="4"/>
  <c r="V46" i="23"/>
  <c r="V53" i="23" s="1"/>
  <c r="V47" i="23"/>
  <c r="V48" i="23" s="1"/>
  <c r="V54" i="23" s="1"/>
  <c r="R27" i="4"/>
  <c r="J26" i="4"/>
  <c r="J63" i="4" s="1"/>
  <c r="J64" i="4" s="1"/>
  <c r="E26" i="4"/>
  <c r="C26" i="4"/>
  <c r="M57" i="1"/>
  <c r="K57" i="1"/>
  <c r="J57" i="1"/>
  <c r="L57" i="1"/>
  <c r="E46" i="23"/>
  <c r="E53" i="23" s="1"/>
  <c r="F46" i="23"/>
  <c r="F53" i="23" s="1"/>
  <c r="K46" i="23"/>
  <c r="K53" i="23" s="1"/>
  <c r="G46" i="23"/>
  <c r="G53" i="23" s="1"/>
  <c r="M47" i="23"/>
  <c r="M48" i="23" s="1"/>
  <c r="M54" i="23" s="1"/>
  <c r="I46" i="23"/>
  <c r="I53" i="23" s="1"/>
  <c r="Q47" i="23"/>
  <c r="Q48" i="23" s="1"/>
  <c r="Q54" i="23" s="1"/>
  <c r="Q46" i="23"/>
  <c r="Q53" i="23" s="1"/>
  <c r="F47" i="23"/>
  <c r="F48" i="23" s="1"/>
  <c r="F54" i="23" s="1"/>
  <c r="S47" i="23"/>
  <c r="S48" i="23" s="1"/>
  <c r="S54" i="23" s="1"/>
  <c r="I47" i="23"/>
  <c r="I48" i="23" s="1"/>
  <c r="I54" i="23" s="1"/>
  <c r="T47" i="23"/>
  <c r="T48" i="23" s="1"/>
  <c r="T54" i="23" s="1"/>
  <c r="D46" i="23"/>
  <c r="D53" i="23" s="1"/>
  <c r="L46" i="23"/>
  <c r="L53" i="23" s="1"/>
  <c r="P46" i="23"/>
  <c r="P53" i="23" s="1"/>
  <c r="C46" i="23"/>
  <c r="C53" i="23" s="1"/>
  <c r="U47" i="23"/>
  <c r="U48" i="23" s="1"/>
  <c r="U54" i="23" s="1"/>
  <c r="H46" i="23"/>
  <c r="H53" i="23" s="1"/>
  <c r="U46" i="23"/>
  <c r="U53" i="23" s="1"/>
  <c r="H47" i="23"/>
  <c r="H48" i="23" s="1"/>
  <c r="H54" i="23" s="1"/>
  <c r="D47" i="23"/>
  <c r="D48" i="23" s="1"/>
  <c r="D54" i="23" s="1"/>
  <c r="R47" i="23"/>
  <c r="R48" i="23" s="1"/>
  <c r="R54" i="23" s="1"/>
  <c r="J47" i="23"/>
  <c r="J48" i="23" s="1"/>
  <c r="J54" i="23" s="1"/>
  <c r="T46" i="23"/>
  <c r="T53" i="23" s="1"/>
  <c r="L47" i="23"/>
  <c r="L48" i="23" s="1"/>
  <c r="L54" i="23" s="1"/>
  <c r="J46" i="23"/>
  <c r="J53" i="23" s="1"/>
  <c r="C47" i="23"/>
  <c r="C48" i="23" s="1"/>
  <c r="C54" i="23" s="1"/>
  <c r="K47" i="23"/>
  <c r="K48" i="23" s="1"/>
  <c r="K54" i="23" s="1"/>
  <c r="G47" i="23"/>
  <c r="G48" i="23" s="1"/>
  <c r="G54" i="23" s="1"/>
  <c r="R46" i="23"/>
  <c r="R53" i="23" s="1"/>
  <c r="L47" i="1"/>
  <c r="L48" i="1" s="1"/>
  <c r="L54" i="1" s="1"/>
  <c r="U47" i="1"/>
  <c r="U48" i="1" s="1"/>
  <c r="U54" i="1" s="1"/>
  <c r="V46" i="1"/>
  <c r="V53" i="1" s="1"/>
  <c r="S46" i="1"/>
  <c r="S53" i="1" s="1"/>
  <c r="T46" i="1"/>
  <c r="T53" i="1" s="1"/>
  <c r="U46" i="1"/>
  <c r="U53" i="1" s="1"/>
  <c r="M47" i="1"/>
  <c r="M48" i="1" s="1"/>
  <c r="M54" i="1" s="1"/>
  <c r="J46" i="1"/>
  <c r="J53" i="1" s="1"/>
  <c r="K47" i="1"/>
  <c r="K48" i="1" s="1"/>
  <c r="K54" i="1" s="1"/>
  <c r="V47" i="1"/>
  <c r="V48" i="1" s="1"/>
  <c r="V54" i="1" s="1"/>
  <c r="M46" i="1"/>
  <c r="M53" i="1" s="1"/>
  <c r="F46" i="1"/>
  <c r="F53" i="1" s="1"/>
  <c r="L46" i="1"/>
  <c r="L53" i="1" s="1"/>
  <c r="J47" i="1"/>
  <c r="J48" i="1" s="1"/>
  <c r="J54" i="1" s="1"/>
  <c r="T47" i="1"/>
  <c r="T48" i="1" s="1"/>
  <c r="T54" i="1" s="1"/>
  <c r="K46" i="1"/>
  <c r="K53" i="1" s="1"/>
  <c r="B22" i="4"/>
  <c r="D6" i="4"/>
  <c r="R6" i="4"/>
  <c r="I6" i="4"/>
  <c r="P7" i="4"/>
  <c r="E6" i="4"/>
  <c r="O6" i="4"/>
  <c r="B6" i="4"/>
  <c r="C6" i="4"/>
  <c r="H6" i="4"/>
  <c r="F6" i="4"/>
  <c r="P47" i="1"/>
  <c r="P48" i="1" s="1"/>
  <c r="P54" i="1" s="1"/>
  <c r="G6" i="4"/>
  <c r="Q7" i="4"/>
  <c r="T63" i="4"/>
  <c r="T64" i="4" s="1"/>
  <c r="T27" i="33"/>
  <c r="T52" i="33" s="1"/>
  <c r="T45" i="33"/>
  <c r="I47" i="1"/>
  <c r="I48" i="1" s="1"/>
  <c r="I54" i="1" s="1"/>
  <c r="F47" i="1"/>
  <c r="F48" i="1" s="1"/>
  <c r="F54" i="1" s="1"/>
  <c r="G47" i="1"/>
  <c r="G48" i="1" s="1"/>
  <c r="G54" i="1" s="1"/>
  <c r="E47" i="1"/>
  <c r="E48" i="1" s="1"/>
  <c r="E54" i="1" s="1"/>
  <c r="Q46" i="1"/>
  <c r="Q53" i="1" s="1"/>
  <c r="E46" i="1"/>
  <c r="E53" i="1" s="1"/>
  <c r="Q47" i="1"/>
  <c r="Q48" i="1" s="1"/>
  <c r="Q54" i="1" s="1"/>
  <c r="I46" i="1"/>
  <c r="I53" i="1" s="1"/>
  <c r="Q74" i="4"/>
  <c r="T57" i="4"/>
  <c r="T58" i="4" s="1"/>
  <c r="T76" i="4" s="1"/>
  <c r="H57" i="1"/>
  <c r="G57" i="1"/>
  <c r="F57" i="1"/>
  <c r="I57" i="1"/>
  <c r="E57" i="1"/>
  <c r="H7" i="4"/>
  <c r="G46" i="1"/>
  <c r="G53" i="1" s="1"/>
  <c r="H46" i="1"/>
  <c r="H53" i="1" s="1"/>
  <c r="H47" i="1"/>
  <c r="H48" i="1" s="1"/>
  <c r="H54" i="1" s="1"/>
  <c r="G11" i="4"/>
  <c r="F9" i="4"/>
  <c r="I13" i="4"/>
  <c r="E12" i="4"/>
  <c r="I55" i="4"/>
  <c r="I62" i="4"/>
  <c r="V57" i="4"/>
  <c r="V58" i="4" s="1"/>
  <c r="V76" i="4" s="1"/>
  <c r="L56" i="4"/>
  <c r="L75" i="4" s="1"/>
  <c r="J56" i="4"/>
  <c r="J75" i="4" s="1"/>
  <c r="O55" i="4"/>
  <c r="O62" i="4"/>
  <c r="F55" i="4"/>
  <c r="F62" i="4"/>
  <c r="M55" i="4"/>
  <c r="M62" i="4"/>
  <c r="J55" i="4"/>
  <c r="J62" i="4"/>
  <c r="J57" i="4"/>
  <c r="J58" i="4" s="1"/>
  <c r="J76" i="4" s="1"/>
  <c r="P55" i="4"/>
  <c r="P62" i="4"/>
  <c r="G55" i="4"/>
  <c r="G62" i="4"/>
  <c r="H74" i="4"/>
  <c r="H62" i="4"/>
  <c r="U22" i="33"/>
  <c r="U45" i="33"/>
  <c r="U27" i="33"/>
  <c r="U52" i="33" s="1"/>
  <c r="R45" i="33"/>
  <c r="R27" i="33"/>
  <c r="R52" i="33" s="1"/>
  <c r="R22" i="33"/>
  <c r="C74" i="4"/>
  <c r="C62" i="4"/>
  <c r="D55" i="4"/>
  <c r="D62" i="4"/>
  <c r="S27" i="33"/>
  <c r="S52" i="33" s="1"/>
  <c r="S22" i="33"/>
  <c r="S45" i="33"/>
  <c r="V4" i="33"/>
  <c r="Q55" i="4"/>
  <c r="V4" i="1"/>
  <c r="V45" i="1" s="1"/>
  <c r="O32" i="4"/>
  <c r="Q10" i="4"/>
  <c r="B32" i="4"/>
  <c r="H55" i="4"/>
  <c r="R10" i="4"/>
  <c r="O14" i="4"/>
  <c r="P15" i="4"/>
  <c r="V4" i="23"/>
  <c r="V45" i="23" s="1"/>
  <c r="B10" i="4"/>
  <c r="O26" i="4"/>
  <c r="P46" i="1"/>
  <c r="P53" i="1" s="1"/>
  <c r="U4" i="1"/>
  <c r="U22" i="1" s="1"/>
  <c r="M74" i="4"/>
  <c r="M27" i="1"/>
  <c r="M52" i="1" s="1"/>
  <c r="M22" i="1"/>
  <c r="J52" i="1"/>
  <c r="J74" i="4"/>
  <c r="J27" i="1"/>
  <c r="J45" i="1"/>
  <c r="S4" i="1"/>
  <c r="S4" i="23"/>
  <c r="C55" i="4"/>
  <c r="U4" i="23"/>
  <c r="U22" i="23" s="1"/>
  <c r="J22" i="23"/>
  <c r="J52" i="23"/>
  <c r="J22" i="1"/>
  <c r="J27" i="23"/>
  <c r="R4" i="1"/>
  <c r="R22" i="1" s="1"/>
  <c r="R4" i="23"/>
  <c r="R22" i="23" s="1"/>
  <c r="M52" i="23"/>
  <c r="M22" i="23"/>
  <c r="M45" i="23"/>
  <c r="M45" i="1"/>
  <c r="B46" i="23"/>
  <c r="B53" i="23" s="1"/>
  <c r="B55" i="23" s="1"/>
  <c r="O46" i="23"/>
  <c r="O53" i="23" s="1"/>
  <c r="O55" i="23" s="1"/>
  <c r="O47" i="23"/>
  <c r="O48" i="23" s="1"/>
  <c r="O54" i="23" s="1"/>
  <c r="B47" i="23"/>
  <c r="B48" i="23" s="1"/>
  <c r="B54" i="23" s="1"/>
  <c r="B57" i="23"/>
  <c r="O57" i="23"/>
  <c r="B29" i="4"/>
  <c r="O22" i="4"/>
  <c r="R47" i="1"/>
  <c r="R48" i="1" s="1"/>
  <c r="R54" i="1" s="1"/>
  <c r="Q57" i="1"/>
  <c r="D74" i="4"/>
  <c r="R46" i="1"/>
  <c r="R53" i="1" s="1"/>
  <c r="C47" i="1"/>
  <c r="C48" i="1" s="1"/>
  <c r="C54" i="1" s="1"/>
  <c r="G74" i="4"/>
  <c r="D57" i="1"/>
  <c r="R57" i="1"/>
  <c r="P57" i="1"/>
  <c r="O57" i="1"/>
  <c r="C57" i="1"/>
  <c r="D10" i="4"/>
  <c r="C10" i="4"/>
  <c r="B57" i="1"/>
  <c r="C46" i="1"/>
  <c r="C53" i="1" s="1"/>
  <c r="B46" i="1"/>
  <c r="B53" i="1" s="1"/>
  <c r="B47" i="1"/>
  <c r="B48" i="1" s="1"/>
  <c r="B54" i="1" s="1"/>
  <c r="D46" i="1"/>
  <c r="D53" i="1" s="1"/>
  <c r="O47" i="1"/>
  <c r="O48" i="1" s="1"/>
  <c r="O54" i="1" s="1"/>
  <c r="O46" i="1"/>
  <c r="O53" i="1" s="1"/>
  <c r="O55" i="1" s="1"/>
  <c r="D47" i="1"/>
  <c r="D48" i="1" s="1"/>
  <c r="D54" i="1" s="1"/>
  <c r="D8" i="4"/>
  <c r="T4" i="1"/>
  <c r="T4" i="23"/>
  <c r="F74" i="4"/>
  <c r="I74" i="4"/>
  <c r="O74" i="4"/>
  <c r="P74" i="4"/>
  <c r="V78" i="4"/>
  <c r="D78" i="4"/>
  <c r="P78" i="4"/>
  <c r="S78" i="4"/>
  <c r="R78" i="4"/>
  <c r="M78" i="4"/>
  <c r="U78" i="4"/>
  <c r="H78" i="4"/>
  <c r="G78" i="4"/>
  <c r="T78" i="4"/>
  <c r="L78" i="4"/>
  <c r="I78" i="4"/>
  <c r="J78" i="4"/>
  <c r="E78" i="4"/>
  <c r="F78" i="4"/>
  <c r="K78" i="4"/>
  <c r="C78" i="4"/>
  <c r="O78" i="4"/>
  <c r="B78" i="4"/>
  <c r="Q78" i="4"/>
  <c r="V63" i="4" l="1"/>
  <c r="V64" i="4" s="1"/>
  <c r="T79" i="4"/>
  <c r="S57" i="4"/>
  <c r="S58" i="4" s="1"/>
  <c r="S76" i="4" s="1"/>
  <c r="U56" i="4"/>
  <c r="U75" i="4" s="1"/>
  <c r="K57" i="4"/>
  <c r="K58" i="4" s="1"/>
  <c r="K76" i="4" s="1"/>
  <c r="S63" i="4"/>
  <c r="S64" i="4" s="1"/>
  <c r="L57" i="4"/>
  <c r="L58" i="4" s="1"/>
  <c r="L76" i="4" s="1"/>
  <c r="M63" i="4"/>
  <c r="M64" i="4" s="1"/>
  <c r="K56" i="4"/>
  <c r="K75" i="4" s="1"/>
  <c r="U57" i="4"/>
  <c r="U58" i="4" s="1"/>
  <c r="U76" i="4" s="1"/>
  <c r="U63" i="4"/>
  <c r="U64" i="4" s="1"/>
  <c r="M56" i="4"/>
  <c r="M75" i="4" s="1"/>
  <c r="M57" i="4"/>
  <c r="M58" i="4" s="1"/>
  <c r="M76" i="4" s="1"/>
  <c r="K63" i="4"/>
  <c r="K64" i="4" s="1"/>
  <c r="J79" i="4"/>
  <c r="K79" i="4"/>
  <c r="V79" i="4"/>
  <c r="M79" i="4"/>
  <c r="L79" i="4"/>
  <c r="S79" i="4"/>
  <c r="U79" i="4"/>
  <c r="C63" i="4"/>
  <c r="C64" i="4" s="1"/>
  <c r="R63" i="4"/>
  <c r="R64" i="4" s="1"/>
  <c r="I57" i="4"/>
  <c r="I58" i="4" s="1"/>
  <c r="I76" i="4" s="1"/>
  <c r="F55" i="23"/>
  <c r="C55" i="23"/>
  <c r="I63" i="4"/>
  <c r="I64" i="4" s="1"/>
  <c r="H56" i="4"/>
  <c r="H75" i="4" s="1"/>
  <c r="F63" i="4"/>
  <c r="F64" i="4" s="1"/>
  <c r="G55" i="1"/>
  <c r="V4" i="4"/>
  <c r="V55" i="4" s="1"/>
  <c r="Q55" i="23"/>
  <c r="U55" i="23"/>
  <c r="T55" i="23"/>
  <c r="R55" i="23"/>
  <c r="S55" i="23"/>
  <c r="V55" i="23"/>
  <c r="P55" i="23"/>
  <c r="S55" i="1"/>
  <c r="U55" i="1"/>
  <c r="R55" i="1"/>
  <c r="T55" i="1"/>
  <c r="P55" i="1"/>
  <c r="Q55" i="1"/>
  <c r="V55" i="1"/>
  <c r="D63" i="4"/>
  <c r="D64" i="4" s="1"/>
  <c r="B63" i="4"/>
  <c r="B64" i="4" s="1"/>
  <c r="O63" i="4"/>
  <c r="O64" i="4" s="1"/>
  <c r="G56" i="4"/>
  <c r="G75" i="4" s="1"/>
  <c r="H57" i="4"/>
  <c r="H58" i="4" s="1"/>
  <c r="H76" i="4" s="1"/>
  <c r="H63" i="4"/>
  <c r="H64" i="4" s="1"/>
  <c r="P63" i="4"/>
  <c r="P64" i="4" s="1"/>
  <c r="G63" i="4"/>
  <c r="G64" i="4" s="1"/>
  <c r="E63" i="4"/>
  <c r="E64" i="4" s="1"/>
  <c r="Q63" i="4"/>
  <c r="Q64" i="4" s="1"/>
  <c r="V27" i="23"/>
  <c r="V52" i="23" s="1"/>
  <c r="I56" i="4"/>
  <c r="I75" i="4" s="1"/>
  <c r="U45" i="1"/>
  <c r="V22" i="1"/>
  <c r="V22" i="23"/>
  <c r="V27" i="1"/>
  <c r="V52" i="1" s="1"/>
  <c r="G57" i="4"/>
  <c r="G58" i="4" s="1"/>
  <c r="G76" i="4" s="1"/>
  <c r="F57" i="4"/>
  <c r="F58" i="4" s="1"/>
  <c r="F76" i="4" s="1"/>
  <c r="B56" i="4"/>
  <c r="E79" i="4"/>
  <c r="G79" i="4"/>
  <c r="I79" i="4"/>
  <c r="H79" i="4"/>
  <c r="F79" i="4"/>
  <c r="E57" i="4"/>
  <c r="E58" i="4" s="1"/>
  <c r="E76" i="4" s="1"/>
  <c r="E56" i="4"/>
  <c r="E75" i="4" s="1"/>
  <c r="F56" i="4"/>
  <c r="F75" i="4" s="1"/>
  <c r="P57" i="4"/>
  <c r="P58" i="4" s="1"/>
  <c r="P76" i="4" s="1"/>
  <c r="R56" i="4"/>
  <c r="R75" i="4" s="1"/>
  <c r="D56" i="4"/>
  <c r="D75" i="4" s="1"/>
  <c r="B57" i="4"/>
  <c r="B58" i="4" s="1"/>
  <c r="B76" i="4" s="1"/>
  <c r="V45" i="33"/>
  <c r="V27" i="33"/>
  <c r="V52" i="33" s="1"/>
  <c r="V22" i="33"/>
  <c r="D57" i="4"/>
  <c r="D58" i="4" s="1"/>
  <c r="D76" i="4" s="1"/>
  <c r="O57" i="4"/>
  <c r="O58" i="4" s="1"/>
  <c r="O76" i="4" s="1"/>
  <c r="C57" i="4"/>
  <c r="C58" i="4" s="1"/>
  <c r="C76" i="4" s="1"/>
  <c r="Q56" i="4"/>
  <c r="Q75" i="4" s="1"/>
  <c r="O56" i="4"/>
  <c r="O75" i="4" s="1"/>
  <c r="T77" i="4" s="1"/>
  <c r="C56" i="4"/>
  <c r="C75" i="4" s="1"/>
  <c r="P56" i="4"/>
  <c r="R57" i="4"/>
  <c r="R58" i="4" s="1"/>
  <c r="R76" i="4" s="1"/>
  <c r="Q57" i="4"/>
  <c r="Q58" i="4" s="1"/>
  <c r="Q76" i="4" s="1"/>
  <c r="Q79" i="4"/>
  <c r="P79" i="4"/>
  <c r="R79" i="4"/>
  <c r="U4" i="4"/>
  <c r="U27" i="1"/>
  <c r="U52" i="1" s="1"/>
  <c r="C79" i="4"/>
  <c r="D79" i="4"/>
  <c r="L55" i="23"/>
  <c r="D55" i="23"/>
  <c r="H55" i="23"/>
  <c r="K55" i="23"/>
  <c r="J55" i="23"/>
  <c r="M55" i="23"/>
  <c r="G55" i="23"/>
  <c r="E55" i="23"/>
  <c r="I55" i="23"/>
  <c r="R59" i="23"/>
  <c r="O79" i="4"/>
  <c r="B79" i="4"/>
  <c r="L59" i="23"/>
  <c r="L60" i="23" s="1"/>
  <c r="F59" i="23"/>
  <c r="F60" i="23" s="1"/>
  <c r="Q59" i="23"/>
  <c r="Q60" i="23" s="1"/>
  <c r="V59" i="23"/>
  <c r="P59" i="23"/>
  <c r="P60" i="23" s="1"/>
  <c r="T59" i="23"/>
  <c r="U59" i="23"/>
  <c r="S59" i="23"/>
  <c r="S60" i="23" s="1"/>
  <c r="R45" i="23"/>
  <c r="S4" i="4"/>
  <c r="S62" i="4" s="1"/>
  <c r="S45" i="1"/>
  <c r="S27" i="1"/>
  <c r="S52" i="1" s="1"/>
  <c r="S22" i="1"/>
  <c r="U27" i="23"/>
  <c r="U52" i="23" s="1"/>
  <c r="U45" i="23"/>
  <c r="S45" i="23"/>
  <c r="S27" i="23"/>
  <c r="S52" i="23" s="1"/>
  <c r="S22" i="23"/>
  <c r="R45" i="1"/>
  <c r="R4" i="4"/>
  <c r="R62" i="4" s="1"/>
  <c r="R27" i="1"/>
  <c r="R52" i="1" s="1"/>
  <c r="R27" i="23"/>
  <c r="R52" i="23" s="1"/>
  <c r="C59" i="23"/>
  <c r="C60" i="23" s="1"/>
  <c r="E59" i="23"/>
  <c r="E60" i="23" s="1"/>
  <c r="J59" i="23"/>
  <c r="J60" i="23" s="1"/>
  <c r="K59" i="23"/>
  <c r="K60" i="23" s="1"/>
  <c r="D59" i="23"/>
  <c r="D60" i="23" s="1"/>
  <c r="I59" i="23"/>
  <c r="I60" i="23" s="1"/>
  <c r="O59" i="23"/>
  <c r="O60" i="23" s="1"/>
  <c r="G59" i="23"/>
  <c r="G60" i="23" s="1"/>
  <c r="H59" i="23"/>
  <c r="H60" i="23" s="1"/>
  <c r="M59" i="23"/>
  <c r="M60" i="23" s="1"/>
  <c r="C55" i="1"/>
  <c r="H55" i="1"/>
  <c r="F55" i="1"/>
  <c r="I55" i="1"/>
  <c r="L55" i="1"/>
  <c r="J55" i="1"/>
  <c r="D55" i="1"/>
  <c r="K55" i="1"/>
  <c r="E55" i="1"/>
  <c r="O59" i="1"/>
  <c r="J59" i="1"/>
  <c r="F59" i="1"/>
  <c r="M59" i="1"/>
  <c r="I59" i="1"/>
  <c r="E59" i="1"/>
  <c r="L59" i="1"/>
  <c r="H59" i="1"/>
  <c r="D59" i="1"/>
  <c r="K59" i="1"/>
  <c r="C59" i="1"/>
  <c r="G59" i="1"/>
  <c r="M55" i="1"/>
  <c r="T59" i="1"/>
  <c r="T60" i="1" s="1"/>
  <c r="P59" i="1"/>
  <c r="S59" i="1"/>
  <c r="S60" i="1" s="1"/>
  <c r="V59" i="1"/>
  <c r="V60" i="1" s="1"/>
  <c r="R59" i="1"/>
  <c r="R60" i="1" s="1"/>
  <c r="U59" i="1"/>
  <c r="U60" i="1" s="1"/>
  <c r="Q59" i="1"/>
  <c r="B55" i="1"/>
  <c r="T27" i="23"/>
  <c r="T52" i="23" s="1"/>
  <c r="T45" i="23"/>
  <c r="T22" i="23"/>
  <c r="T27" i="1"/>
  <c r="T52" i="1" s="1"/>
  <c r="T45" i="1"/>
  <c r="T4" i="4"/>
  <c r="T62" i="4" s="1"/>
  <c r="T22" i="1"/>
  <c r="U60" i="23"/>
  <c r="O60" i="1"/>
  <c r="T60" i="23"/>
  <c r="L60" i="1"/>
  <c r="R60" i="23"/>
  <c r="I60" i="1"/>
  <c r="H60" i="1"/>
  <c r="D60" i="1"/>
  <c r="F60" i="1"/>
  <c r="E60" i="1"/>
  <c r="J60" i="1"/>
  <c r="K60" i="1"/>
  <c r="C60" i="1"/>
  <c r="P60" i="1"/>
  <c r="Q60" i="1"/>
  <c r="G60" i="1"/>
  <c r="V60" i="23"/>
  <c r="M60" i="1"/>
  <c r="V74" i="4" l="1"/>
  <c r="V62" i="4"/>
  <c r="P75" i="4"/>
  <c r="P77" i="4" s="1"/>
  <c r="O81" i="4"/>
  <c r="U74" i="4"/>
  <c r="U62" i="4"/>
  <c r="R61" i="23"/>
  <c r="U55" i="4"/>
  <c r="V77" i="4"/>
  <c r="U77" i="4"/>
  <c r="O77" i="4"/>
  <c r="S77" i="4"/>
  <c r="Q77" i="4"/>
  <c r="R77" i="4"/>
  <c r="P81" i="4"/>
  <c r="Q81" i="4"/>
  <c r="B75" i="4"/>
  <c r="M61" i="23"/>
  <c r="I61" i="23"/>
  <c r="E61" i="23"/>
  <c r="D61" i="23"/>
  <c r="C61" i="23"/>
  <c r="Q61" i="23"/>
  <c r="U61" i="23"/>
  <c r="P61" i="23"/>
  <c r="F61" i="23"/>
  <c r="H61" i="23"/>
  <c r="K61" i="23"/>
  <c r="G61" i="23"/>
  <c r="J61" i="23"/>
  <c r="S61" i="23"/>
  <c r="T61" i="23"/>
  <c r="V61" i="23"/>
  <c r="L61" i="23"/>
  <c r="D61" i="1"/>
  <c r="U61" i="1"/>
  <c r="S61" i="1"/>
  <c r="G61" i="1"/>
  <c r="M61" i="1"/>
  <c r="L61" i="1"/>
  <c r="T61" i="1"/>
  <c r="E61" i="1"/>
  <c r="F61" i="1"/>
  <c r="K61" i="1"/>
  <c r="I61" i="1"/>
  <c r="J61" i="1"/>
  <c r="V61" i="1"/>
  <c r="H61" i="1"/>
  <c r="S55" i="4"/>
  <c r="S74" i="4"/>
  <c r="R55" i="4"/>
  <c r="R74" i="4"/>
  <c r="O61" i="1"/>
  <c r="Q61" i="1"/>
  <c r="P61" i="1"/>
  <c r="C61" i="1"/>
  <c r="R61" i="1"/>
  <c r="T55" i="4"/>
  <c r="T74" i="4"/>
  <c r="C83" i="4" l="1"/>
  <c r="F83" i="4"/>
  <c r="D83" i="4"/>
  <c r="V83" i="4"/>
  <c r="I83" i="4"/>
  <c r="G83" i="4"/>
  <c r="U83" i="4"/>
  <c r="E83" i="4"/>
  <c r="S83" i="4"/>
  <c r="H83" i="4"/>
  <c r="R83" i="4"/>
  <c r="T83" i="4"/>
  <c r="K77" i="4"/>
  <c r="J77" i="4"/>
  <c r="G77" i="4"/>
  <c r="F77" i="4"/>
  <c r="L77" i="4"/>
  <c r="B77" i="4"/>
  <c r="M77" i="4"/>
  <c r="I77" i="4"/>
  <c r="H77" i="4"/>
  <c r="D77" i="4"/>
  <c r="C77" i="4"/>
  <c r="E77" i="4"/>
  <c r="L83" i="4"/>
  <c r="M83" i="4"/>
  <c r="P83" i="4"/>
  <c r="Q83" i="4"/>
  <c r="K83" i="4"/>
  <c r="J83" i="4"/>
  <c r="O83" i="4"/>
  <c r="O61" i="2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A68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A modifier si erreur dans le doc word - peut etre c'est Testo le témoin de référence</t>
        </r>
      </text>
    </comment>
    <comment ref="A69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A modifier si erreur dans le doc word - peut etre c'est Testo le témoin de référence</t>
        </r>
      </text>
    </comment>
  </commentList>
</comments>
</file>

<file path=xl/sharedStrings.xml><?xml version="1.0" encoding="utf-8"?>
<sst xmlns="http://schemas.openxmlformats.org/spreadsheetml/2006/main" count="223" uniqueCount="60">
  <si>
    <t>mean</t>
  </si>
  <si>
    <t>SD</t>
  </si>
  <si>
    <t>SEM</t>
  </si>
  <si>
    <t>Rep1</t>
  </si>
  <si>
    <t>Rep2</t>
  </si>
  <si>
    <t>R1</t>
  </si>
  <si>
    <t>R2</t>
  </si>
  <si>
    <t>Concentration</t>
  </si>
  <si>
    <t xml:space="preserve">Testo </t>
  </si>
  <si>
    <t>R3</t>
  </si>
  <si>
    <t>Mean</t>
  </si>
  <si>
    <t>Noms des groupes</t>
  </si>
  <si>
    <t>Nom des groupes</t>
  </si>
  <si>
    <t xml:space="preserve"> + Testostérone</t>
  </si>
  <si>
    <t>% induction</t>
  </si>
  <si>
    <t>Annotation</t>
  </si>
  <si>
    <t>Rep3</t>
  </si>
  <si>
    <t>ng/L</t>
  </si>
  <si>
    <t>EE2</t>
  </si>
  <si>
    <t>µg/L</t>
  </si>
  <si>
    <t xml:space="preserve">Testo 30µg/L + EE2 </t>
  </si>
  <si>
    <t>mg/L</t>
  </si>
  <si>
    <t>Testo 30µg/L + FAD</t>
  </si>
  <si>
    <t>Experiment number :</t>
  </si>
  <si>
    <t>Do not fill in</t>
  </si>
  <si>
    <t>Do not fill in2</t>
  </si>
  <si>
    <t>Units</t>
  </si>
  <si>
    <t>Chemical name</t>
  </si>
  <si>
    <t>Do not fill in3</t>
  </si>
  <si>
    <t>test chemical</t>
  </si>
  <si>
    <t>Solvent control</t>
  </si>
  <si>
    <t>33.8</t>
  </si>
  <si>
    <t>50.6</t>
  </si>
  <si>
    <t>170.9</t>
  </si>
  <si>
    <t>Raw data</t>
  </si>
  <si>
    <t>Data normalised to the "Testo" group</t>
  </si>
  <si>
    <t>Group names</t>
  </si>
  <si>
    <t>Normality test : p value</t>
  </si>
  <si>
    <t>Normality test : normal distibution?</t>
  </si>
  <si>
    <t>Statistical test used</t>
  </si>
  <si>
    <t>Statistical test : p value</t>
  </si>
  <si>
    <t>Unspiked</t>
  </si>
  <si>
    <t>Testosterone spiked</t>
  </si>
  <si>
    <t>N</t>
  </si>
  <si>
    <t>Group Name</t>
  </si>
  <si>
    <t>Control</t>
  </si>
  <si>
    <t>Dutasteride</t>
  </si>
  <si>
    <t>0.01</t>
  </si>
  <si>
    <t>0.1</t>
  </si>
  <si>
    <t>0.25</t>
  </si>
  <si>
    <t>0.5</t>
  </si>
  <si>
    <t>1.0</t>
  </si>
  <si>
    <t>Dutasteride_01</t>
  </si>
  <si>
    <t>Date performed : 13-10-2021</t>
  </si>
  <si>
    <t>Dutasteride_02</t>
  </si>
  <si>
    <t>Date performed : 20-10-2021</t>
  </si>
  <si>
    <t>Dutasteride_03</t>
  </si>
  <si>
    <t>Date performed : 27-10-2021</t>
  </si>
  <si>
    <t>Kruskal-Wallis test</t>
  </si>
  <si>
    <t>ANOVA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</si>
</sst>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3"/>
      <name val="Arial"/>
      <family val="2"/>
    </font>
    <font>
      <sz val="16"/>
      <color theme="1"/>
      <name val="Calibri"/>
      <family val="2"/>
      <scheme val="minor"/>
    </font>
    <font>
      <sz val="10"/>
      <name val="Arial"/>
      <family val="2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  <font>
      <sz val="7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7">
    <xf numFmtId="0" fontId="0" fillId="0" borderId="0"/>
    <xf numFmtId="0" fontId="4" fillId="0" borderId="0"/>
    <xf numFmtId="0" fontId="8" fillId="0" borderId="0"/>
    <xf numFmtId="0" fontId="4" fillId="0" borderId="0"/>
    <xf numFmtId="0" fontId="8" fillId="0" borderId="0"/>
    <xf numFmtId="0" fontId="4" fillId="0" borderId="0"/>
    <xf numFmtId="0" fontId="8" fillId="0" borderId="0"/>
  </cellStyleXfs>
  <cellXfs count="149">
    <xf numFmtId="0" fontId="0" fillId="0" borderId="0" xfId="0"/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Alignment="1">
      <alignment horizontal="center"/>
    </xf>
    <xf numFmtId="2" fontId="0" fillId="5" borderId="0" xfId="0" applyNumberFormat="1" applyFill="1" applyAlignment="1">
      <alignment horizontal="center"/>
    </xf>
    <xf numFmtId="164" fontId="0" fillId="5" borderId="0" xfId="0" applyNumberFormat="1" applyFill="1" applyAlignment="1">
      <alignment horizontal="center"/>
    </xf>
    <xf numFmtId="164" fontId="0" fillId="0" borderId="1" xfId="0" applyNumberFormat="1" applyBorder="1" applyAlignment="1">
      <alignment horizont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/>
    <xf numFmtId="0" fontId="0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/>
    <xf numFmtId="0" fontId="0" fillId="8" borderId="1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10" borderId="12" xfId="0" applyFill="1" applyBorder="1" applyAlignment="1">
      <alignment horizontal="center"/>
    </xf>
    <xf numFmtId="0" fontId="5" fillId="0" borderId="7" xfId="0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1" fillId="4" borderId="3" xfId="0" applyFont="1" applyFill="1" applyBorder="1" applyAlignment="1">
      <alignment horizontal="center"/>
    </xf>
    <xf numFmtId="0" fontId="3" fillId="0" borderId="15" xfId="0" applyFont="1" applyBorder="1" applyAlignment="1">
      <alignment vertical="center"/>
    </xf>
    <xf numFmtId="0" fontId="0" fillId="0" borderId="0" xfId="0" applyFont="1"/>
    <xf numFmtId="0" fontId="3" fillId="0" borderId="9" xfId="0" applyNumberFormat="1" applyFont="1" applyBorder="1" applyAlignment="1">
      <alignment vertical="center"/>
    </xf>
    <xf numFmtId="0" fontId="0" fillId="0" borderId="0" xfId="0" applyNumberFormat="1"/>
    <xf numFmtId="0" fontId="0" fillId="6" borderId="8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23" xfId="0" applyFill="1" applyBorder="1"/>
    <xf numFmtId="0" fontId="0" fillId="0" borderId="0" xfId="0" applyAlignment="1">
      <alignment vertical="center"/>
    </xf>
    <xf numFmtId="164" fontId="7" fillId="11" borderId="7" xfId="0" applyNumberFormat="1" applyFont="1" applyFill="1" applyBorder="1" applyAlignment="1">
      <alignment horizontal="left" vertical="center"/>
    </xf>
    <xf numFmtId="164" fontId="7" fillId="11" borderId="6" xfId="0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3" fillId="13" borderId="26" xfId="0" applyFont="1" applyFill="1" applyBorder="1" applyAlignment="1">
      <alignment vertical="center"/>
    </xf>
    <xf numFmtId="164" fontId="0" fillId="3" borderId="1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0" fontId="5" fillId="0" borderId="6" xfId="0" applyFont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0" fontId="0" fillId="0" borderId="6" xfId="0" applyBorder="1"/>
    <xf numFmtId="49" fontId="0" fillId="0" borderId="0" xfId="0" applyNumberFormat="1" applyFill="1" applyBorder="1" applyAlignment="1">
      <alignment horizontal="center"/>
    </xf>
    <xf numFmtId="164" fontId="0" fillId="0" borderId="0" xfId="0" applyNumberFormat="1" applyFill="1" applyBorder="1" applyAlignment="1">
      <alignment horizontal="center"/>
    </xf>
    <xf numFmtId="0" fontId="0" fillId="0" borderId="0" xfId="0" applyFill="1"/>
    <xf numFmtId="164" fontId="0" fillId="6" borderId="10" xfId="0" applyNumberFormat="1" applyFill="1" applyBorder="1" applyAlignment="1">
      <alignment horizontal="center"/>
    </xf>
    <xf numFmtId="164" fontId="0" fillId="6" borderId="18" xfId="0" applyNumberFormat="1" applyFill="1" applyBorder="1" applyAlignment="1">
      <alignment horizontal="center"/>
    </xf>
    <xf numFmtId="0" fontId="3" fillId="7" borderId="2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/>
    <xf numFmtId="0" fontId="6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9" borderId="0" xfId="0" applyFont="1" applyFill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13" borderId="3" xfId="0" applyFont="1" applyFill="1" applyBorder="1" applyAlignment="1">
      <alignment vertical="center"/>
    </xf>
    <xf numFmtId="2" fontId="3" fillId="7" borderId="2" xfId="0" applyNumberFormat="1" applyFont="1" applyFill="1" applyBorder="1" applyAlignment="1">
      <alignment horizontal="center" vertical="center" wrapText="1"/>
    </xf>
    <xf numFmtId="2" fontId="3" fillId="7" borderId="21" xfId="0" applyNumberFormat="1" applyFont="1" applyFill="1" applyBorder="1" applyAlignment="1">
      <alignment horizontal="center" vertical="center" wrapText="1"/>
    </xf>
    <xf numFmtId="0" fontId="3" fillId="0" borderId="25" xfId="0" applyFont="1" applyBorder="1" applyAlignment="1">
      <alignment vertical="center"/>
    </xf>
    <xf numFmtId="0" fontId="3" fillId="13" borderId="13" xfId="0" applyFont="1" applyFill="1" applyBorder="1" applyAlignment="1">
      <alignment vertical="center"/>
    </xf>
    <xf numFmtId="0" fontId="3" fillId="13" borderId="15" xfId="0" applyFont="1" applyFill="1" applyBorder="1" applyAlignment="1">
      <alignment vertical="center"/>
    </xf>
    <xf numFmtId="0" fontId="3" fillId="13" borderId="4" xfId="0" applyFont="1" applyFill="1" applyBorder="1" applyAlignment="1">
      <alignment vertical="center"/>
    </xf>
    <xf numFmtId="0" fontId="3" fillId="0" borderId="1" xfId="0" applyNumberFormat="1" applyFont="1" applyBorder="1" applyAlignment="1">
      <alignment horizontal="center" vertical="center"/>
    </xf>
    <xf numFmtId="0" fontId="3" fillId="13" borderId="9" xfId="0" applyNumberFormat="1" applyFont="1" applyFill="1" applyBorder="1" applyAlignment="1">
      <alignment horizontal="center" vertical="center"/>
    </xf>
    <xf numFmtId="0" fontId="3" fillId="13" borderId="1" xfId="0" applyNumberFormat="1" applyFont="1" applyFill="1" applyBorder="1" applyAlignment="1">
      <alignment horizontal="center" vertical="center"/>
    </xf>
    <xf numFmtId="0" fontId="3" fillId="7" borderId="0" xfId="0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13" borderId="23" xfId="0" applyFont="1" applyFill="1" applyBorder="1" applyAlignment="1">
      <alignment vertical="center"/>
    </xf>
    <xf numFmtId="0" fontId="3" fillId="13" borderId="0" xfId="0" applyFont="1" applyFill="1" applyBorder="1" applyAlignment="1">
      <alignment vertical="center"/>
    </xf>
    <xf numFmtId="0" fontId="3" fillId="0" borderId="3" xfId="0" applyNumberFormat="1" applyFont="1" applyBorder="1" applyAlignment="1">
      <alignment horizontal="center" vertical="center"/>
    </xf>
    <xf numFmtId="0" fontId="3" fillId="0" borderId="4" xfId="0" applyNumberFormat="1" applyFont="1" applyBorder="1" applyAlignment="1">
      <alignment horizontal="center" vertical="center"/>
    </xf>
    <xf numFmtId="0" fontId="3" fillId="13" borderId="26" xfId="0" applyNumberFormat="1" applyFont="1" applyFill="1" applyBorder="1" applyAlignment="1">
      <alignment horizontal="center" vertical="center"/>
    </xf>
    <xf numFmtId="0" fontId="3" fillId="13" borderId="3" xfId="0" applyNumberFormat="1" applyFon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164" fontId="0" fillId="6" borderId="0" xfId="0" applyNumberFormat="1" applyFill="1" applyBorder="1" applyAlignment="1">
      <alignment horizontal="center"/>
    </xf>
    <xf numFmtId="164" fontId="0" fillId="6" borderId="15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22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14" borderId="3" xfId="0" applyFont="1" applyFill="1" applyBorder="1" applyAlignment="1">
      <alignment horizontal="center"/>
    </xf>
    <xf numFmtId="164" fontId="0" fillId="14" borderId="1" xfId="0" applyNumberFormat="1" applyFill="1" applyBorder="1" applyAlignment="1">
      <alignment horizontal="center"/>
    </xf>
    <xf numFmtId="2" fontId="3" fillId="7" borderId="2" xfId="0" applyNumberFormat="1" applyFont="1" applyFill="1" applyBorder="1" applyAlignment="1">
      <alignment horizontal="center" vertical="center"/>
    </xf>
    <xf numFmtId="0" fontId="3" fillId="13" borderId="26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center" vertical="center"/>
    </xf>
    <xf numFmtId="0" fontId="0" fillId="0" borderId="0" xfId="0" applyAlignment="1"/>
    <xf numFmtId="0" fontId="3" fillId="0" borderId="3" xfId="0" applyNumberFormat="1" applyFont="1" applyFill="1" applyBorder="1" applyAlignment="1">
      <alignment vertical="center"/>
    </xf>
    <xf numFmtId="2" fontId="3" fillId="0" borderId="15" xfId="0" applyNumberFormat="1" applyFont="1" applyFill="1" applyBorder="1" applyAlignment="1">
      <alignment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3" xfId="0" applyNumberFormat="1" applyFont="1" applyFill="1" applyBorder="1" applyAlignment="1">
      <alignment horizontal="center" vertical="center"/>
    </xf>
    <xf numFmtId="2" fontId="3" fillId="0" borderId="3" xfId="0" applyNumberFormat="1" applyFont="1" applyFill="1" applyBorder="1" applyAlignment="1">
      <alignment horizontal="center" vertical="center"/>
    </xf>
    <xf numFmtId="0" fontId="3" fillId="0" borderId="0" xfId="0" applyFont="1" applyFill="1"/>
    <xf numFmtId="0" fontId="3" fillId="0" borderId="21" xfId="0" applyFont="1" applyBorder="1" applyAlignment="1">
      <alignment vertical="center"/>
    </xf>
    <xf numFmtId="0" fontId="3" fillId="0" borderId="22" xfId="0" applyNumberFormat="1" applyFont="1" applyBorder="1" applyAlignment="1">
      <alignment horizontal="center" vertical="center"/>
    </xf>
    <xf numFmtId="0" fontId="3" fillId="13" borderId="31" xfId="0" applyNumberFormat="1" applyFont="1" applyFill="1" applyBorder="1" applyAlignment="1">
      <alignment vertical="center"/>
    </xf>
    <xf numFmtId="0" fontId="3" fillId="13" borderId="29" xfId="0" applyFont="1" applyFill="1" applyBorder="1" applyAlignment="1">
      <alignment vertical="center"/>
    </xf>
    <xf numFmtId="0" fontId="3" fillId="13" borderId="32" xfId="0" applyNumberFormat="1" applyFont="1" applyFill="1" applyBorder="1" applyAlignment="1">
      <alignment vertical="center"/>
    </xf>
    <xf numFmtId="0" fontId="3" fillId="13" borderId="24" xfId="0" applyFont="1" applyFill="1" applyBorder="1" applyAlignment="1">
      <alignment vertical="center"/>
    </xf>
    <xf numFmtId="0" fontId="3" fillId="13" borderId="33" xfId="0" applyNumberFormat="1" applyFont="1" applyFill="1" applyBorder="1" applyAlignment="1">
      <alignment vertical="center"/>
    </xf>
    <xf numFmtId="0" fontId="3" fillId="13" borderId="34" xfId="0" applyFont="1" applyFill="1" applyBorder="1" applyAlignment="1">
      <alignment vertical="center"/>
    </xf>
    <xf numFmtId="0" fontId="3" fillId="13" borderId="11" xfId="0" applyNumberFormat="1" applyFont="1" applyFill="1" applyBorder="1" applyAlignment="1">
      <alignment horizontal="center" vertical="center"/>
    </xf>
    <xf numFmtId="0" fontId="3" fillId="13" borderId="35" xfId="0" applyNumberFormat="1" applyFont="1" applyFill="1" applyBorder="1" applyAlignment="1">
      <alignment horizontal="center" vertical="center"/>
    </xf>
    <xf numFmtId="0" fontId="3" fillId="13" borderId="35" xfId="0" applyFont="1" applyFill="1" applyBorder="1" applyAlignment="1">
      <alignment horizontal="center" vertical="center"/>
    </xf>
    <xf numFmtId="0" fontId="3" fillId="13" borderId="30" xfId="0" applyFont="1" applyFill="1" applyBorder="1" applyAlignment="1">
      <alignment vertical="center"/>
    </xf>
    <xf numFmtId="0" fontId="3" fillId="8" borderId="8" xfId="0" applyFont="1" applyFill="1" applyBorder="1" applyAlignment="1">
      <alignment horizontal="center"/>
    </xf>
    <xf numFmtId="0" fontId="3" fillId="8" borderId="10" xfId="0" applyFont="1" applyFill="1" applyBorder="1" applyAlignment="1">
      <alignment horizontal="center"/>
    </xf>
    <xf numFmtId="0" fontId="3" fillId="8" borderId="18" xfId="0" applyFont="1" applyFill="1" applyBorder="1" applyAlignment="1">
      <alignment horizontal="center"/>
    </xf>
    <xf numFmtId="0" fontId="3" fillId="13" borderId="39" xfId="0" applyNumberFormat="1" applyFont="1" applyFill="1" applyBorder="1" applyAlignment="1">
      <alignment vertical="center"/>
    </xf>
    <xf numFmtId="0" fontId="3" fillId="13" borderId="25" xfId="0" applyNumberFormat="1" applyFont="1" applyFill="1" applyBorder="1" applyAlignment="1">
      <alignment vertical="center"/>
    </xf>
    <xf numFmtId="0" fontId="3" fillId="13" borderId="1" xfId="0" applyNumberFormat="1" applyFont="1" applyFill="1" applyBorder="1" applyAlignment="1">
      <alignment vertical="center"/>
    </xf>
    <xf numFmtId="0" fontId="10" fillId="8" borderId="12" xfId="0" applyFont="1" applyFill="1" applyBorder="1" applyAlignment="1">
      <alignment horizontal="left"/>
    </xf>
    <xf numFmtId="0" fontId="7" fillId="12" borderId="7" xfId="0" applyFont="1" applyFill="1" applyBorder="1" applyAlignment="1">
      <alignment horizontal="center" vertical="center" wrapText="1"/>
    </xf>
    <xf numFmtId="0" fontId="7" fillId="12" borderId="6" xfId="0" applyFont="1" applyFill="1" applyBorder="1" applyAlignment="1">
      <alignment horizontal="center" vertical="center" wrapText="1"/>
    </xf>
    <xf numFmtId="0" fontId="7" fillId="12" borderId="5" xfId="0" applyFont="1" applyFill="1" applyBorder="1" applyAlignment="1">
      <alignment horizontal="center" vertical="center" wrapText="1"/>
    </xf>
    <xf numFmtId="14" fontId="3" fillId="0" borderId="9" xfId="0" applyNumberFormat="1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14" fontId="3" fillId="0" borderId="11" xfId="0" applyNumberFormat="1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5" xfId="0" applyFont="1" applyBorder="1" applyAlignment="1">
      <alignment horizontal="left" vertical="center"/>
    </xf>
    <xf numFmtId="0" fontId="3" fillId="0" borderId="37" xfId="0" applyFont="1" applyBorder="1" applyAlignment="1">
      <alignment horizontal="left" vertical="center"/>
    </xf>
    <xf numFmtId="0" fontId="3" fillId="0" borderId="38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3" fillId="0" borderId="26" xfId="0" applyFont="1" applyBorder="1" applyAlignment="1">
      <alignment horizontal="left" vertical="center"/>
    </xf>
    <xf numFmtId="0" fontId="3" fillId="0" borderId="27" xfId="0" applyFont="1" applyBorder="1" applyAlignment="1">
      <alignment horizontal="left" vertical="center"/>
    </xf>
    <xf numFmtId="0" fontId="3" fillId="0" borderId="28" xfId="0" applyFont="1" applyBorder="1" applyAlignment="1">
      <alignment horizontal="left" vertical="center"/>
    </xf>
    <xf numFmtId="0" fontId="7" fillId="11" borderId="7" xfId="0" applyFont="1" applyFill="1" applyBorder="1" applyAlignment="1">
      <alignment horizontal="left"/>
    </xf>
    <xf numFmtId="0" fontId="7" fillId="11" borderId="6" xfId="0" applyFont="1" applyFill="1" applyBorder="1" applyAlignment="1">
      <alignment horizontal="left"/>
    </xf>
    <xf numFmtId="164" fontId="7" fillId="11" borderId="7" xfId="0" applyNumberFormat="1" applyFont="1" applyFill="1" applyBorder="1" applyAlignment="1">
      <alignment horizontal="left"/>
    </xf>
    <xf numFmtId="164" fontId="7" fillId="11" borderId="6" xfId="0" applyNumberFormat="1" applyFont="1" applyFill="1" applyBorder="1" applyAlignment="1">
      <alignment horizontal="left"/>
    </xf>
    <xf numFmtId="0" fontId="1" fillId="0" borderId="19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0" borderId="19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164" fontId="7" fillId="11" borderId="7" xfId="0" applyNumberFormat="1" applyFont="1" applyFill="1" applyBorder="1" applyAlignment="1">
      <alignment horizontal="left" vertical="center"/>
    </xf>
    <xf numFmtId="164" fontId="7" fillId="11" borderId="6" xfId="0" applyNumberFormat="1" applyFont="1" applyFill="1" applyBorder="1" applyAlignment="1">
      <alignment horizontal="left" vertical="center"/>
    </xf>
    <xf numFmtId="0" fontId="11" fillId="0" borderId="0" xfId="0" applyFont="1"/>
  </cellXfs>
  <cellStyles count="7">
    <cellStyle name="Normal" xfId="0" builtinId="0"/>
    <cellStyle name="Normal 2" xfId="1" xr:uid="{00000000-0005-0000-0000-000001000000}"/>
    <cellStyle name="Normal 2 2" xfId="5" xr:uid="{00000000-0005-0000-0000-000002000000}"/>
    <cellStyle name="Normal 2 2 2" xfId="3" xr:uid="{00000000-0005-0000-0000-000003000000}"/>
    <cellStyle name="Normal 3" xfId="2" xr:uid="{00000000-0005-0000-0000-000004000000}"/>
    <cellStyle name="Normal 3 2" xfId="4" xr:uid="{00000000-0005-0000-0000-000005000000}"/>
    <cellStyle name="Normal 4" xfId="6" xr:uid="{00000000-0005-0000-0000-000006000000}"/>
  </cellStyles>
  <dxfs count="9"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6" tint="0.5999938962981048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0" formatCode="General"/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0" formatCode="General"/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6" tint="0.5999938962981048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0" formatCode="General"/>
      <fill>
        <patternFill patternType="solid">
          <fgColor indexed="64"/>
          <bgColor theme="6" tint="0.5999938962981048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165" formatCode="#,000"/>
      <fill>
        <patternFill patternType="solid">
          <fgColor indexed="64"/>
          <bgColor theme="6" tint="0.5999938962981048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colors>
    <mruColors>
      <color rgb="FF5F5F5F"/>
      <color rgb="FFBA38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13" Type="http://schemas.openxmlformats.org/officeDocument/2006/relationships/sharedStrings" Target="sharedStrings.xml"/><Relationship Id="rId3" Type="http://schemas.openxmlformats.org/officeDocument/2006/relationships/chartsheet" Target="chartsheets/sheet1.xml"/><Relationship Id="rId7" Type="http://schemas.openxmlformats.org/officeDocument/2006/relationships/chartsheet" Target="chart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4.xml"/><Relationship Id="rId11" Type="http://schemas.openxmlformats.org/officeDocument/2006/relationships/theme" Target="theme/theme1.xml"/><Relationship Id="rId5" Type="http://schemas.openxmlformats.org/officeDocument/2006/relationships/chartsheet" Target="chartsheets/sheet2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3.xml"/><Relationship Id="rId9" Type="http://schemas.openxmlformats.org/officeDocument/2006/relationships/chartsheet" Target="chartsheets/sheet4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661954963560215E-2"/>
          <c:y val="0.14661966108751268"/>
          <c:w val="0.9002738512986157"/>
          <c:h val="0.63968468033016779"/>
        </c:manualLayout>
      </c:layout>
      <c:barChart>
        <c:barDir val="col"/>
        <c:grouping val="clustered"/>
        <c:varyColors val="0"/>
        <c:ser>
          <c:idx val="0"/>
          <c:order val="0"/>
          <c:tx>
            <c:v>R1</c:v>
          </c:tx>
          <c:spPr>
            <a:solidFill>
              <a:srgbClr val="00B050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01-9479-4293-B6F6-2F33FB06526E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2-9479-4293-B6F6-2F33FB06526E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3-9479-4293-B6F6-2F33FB06526E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4-9479-4293-B6F6-2F33FB06526E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5-9479-4293-B6F6-2F33FB06526E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6-9479-4293-B6F6-2F33FB06526E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7-9479-4293-B6F6-2F33FB06526E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8-9479-4293-B6F6-2F33FB06526E}"/>
              </c:ext>
            </c:extLst>
          </c:dPt>
          <c:dPt>
            <c:idx val="8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9-9479-4293-B6F6-2F33FB06526E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A-9479-4293-B6F6-2F33FB06526E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B-9479-4293-B6F6-2F33FB06526E}"/>
              </c:ext>
            </c:extLst>
          </c:dPt>
          <c:dPt>
            <c:idx val="11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C-9479-4293-B6F6-2F33FB06526E}"/>
              </c:ext>
            </c:extLst>
          </c:dPt>
          <c:dPt>
            <c:idx val="13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12-9479-4293-B6F6-2F33FB06526E}"/>
              </c:ext>
            </c:extLst>
          </c:dPt>
          <c:dPt>
            <c:idx val="16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D-9479-4293-B6F6-2F33FB06526E}"/>
              </c:ext>
            </c:extLst>
          </c:dPt>
          <c:dPt>
            <c:idx val="17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E-9479-4293-B6F6-2F33FB06526E}"/>
              </c:ext>
            </c:extLst>
          </c:dPt>
          <c:dPt>
            <c:idx val="18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F-9479-4293-B6F6-2F33FB06526E}"/>
              </c:ext>
            </c:extLst>
          </c:dPt>
          <c:dPt>
            <c:idx val="19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0-9479-4293-B6F6-2F33FB06526E}"/>
              </c:ext>
            </c:extLst>
          </c:dPt>
          <c:dPt>
            <c:idx val="2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1-9479-4293-B6F6-2F33FB06526E}"/>
              </c:ext>
            </c:extLst>
          </c:dPt>
          <c:errBars>
            <c:errBarType val="plus"/>
            <c:errValType val="cust"/>
            <c:noEndCap val="0"/>
            <c:plus>
              <c:numRef>
                <c:f>'R1'!$B$54:$V$54</c:f>
                <c:numCache>
                  <c:formatCode>General</c:formatCode>
                  <c:ptCount val="21"/>
                  <c:pt idx="0">
                    <c:v>1.2713754040120082E-2</c:v>
                  </c:pt>
                  <c:pt idx="1">
                    <c:v>1.2703936086582424E-2</c:v>
                  </c:pt>
                  <c:pt idx="2">
                    <c:v>1.3499881893916823E-2</c:v>
                  </c:pt>
                  <c:pt idx="3">
                    <c:v>0.10354782303724865</c:v>
                  </c:pt>
                  <c:pt idx="4">
                    <c:v>0.21067729608940944</c:v>
                  </c:pt>
                  <c:pt idx="5">
                    <c:v>0.19671127877344191</c:v>
                  </c:pt>
                  <c:pt idx="6">
                    <c:v>0.32717679152216123</c:v>
                  </c:pt>
                  <c:pt idx="7">
                    <c:v>1.7124548936962958E-2</c:v>
                  </c:pt>
                  <c:pt idx="8">
                    <c:v>6.7928260285541279E-3</c:v>
                  </c:pt>
                  <c:pt idx="9">
                    <c:v>7.1488658282938657E-3</c:v>
                  </c:pt>
                  <c:pt idx="10">
                    <c:v>8.5401619655212698E-3</c:v>
                  </c:pt>
                  <c:pt idx="11">
                    <c:v>1.5028548961726084E-3</c:v>
                  </c:pt>
                  <c:pt idx="13">
                    <c:v>0.14003752874618769</c:v>
                  </c:pt>
                  <c:pt idx="14">
                    <c:v>0.2098845668028641</c:v>
                  </c:pt>
                  <c:pt idx="15">
                    <c:v>1.1181393641507329E-2</c:v>
                  </c:pt>
                  <c:pt idx="16">
                    <c:v>0.23898125021259042</c:v>
                  </c:pt>
                  <c:pt idx="17">
                    <c:v>8.5736004652794059E-2</c:v>
                  </c:pt>
                  <c:pt idx="18">
                    <c:v>0.16155374644162271</c:v>
                  </c:pt>
                  <c:pt idx="19">
                    <c:v>0.16226613271095439</c:v>
                  </c:pt>
                  <c:pt idx="20">
                    <c:v>0.21162178548262475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strRef>
              <c:f>'R1'!$B$52:$V$52</c:f>
              <c:strCache>
                <c:ptCount val="21"/>
                <c:pt idx="0">
                  <c:v>Solvent control</c:v>
                </c:pt>
                <c:pt idx="1">
                  <c:v>EE2-33.8ng/L</c:v>
                </c:pt>
                <c:pt idx="2">
                  <c:v>EE2-50.6ng/L</c:v>
                </c:pt>
                <c:pt idx="3">
                  <c:v>EE2-76ng/L</c:v>
                </c:pt>
                <c:pt idx="4">
                  <c:v>EE2-114ng/L</c:v>
                </c:pt>
                <c:pt idx="5">
                  <c:v>EE2-170.9ng/L</c:v>
                </c:pt>
                <c:pt idx="6">
                  <c:v>EE2-488ng/L</c:v>
                </c:pt>
                <c:pt idx="7">
                  <c:v>Dutasteride-0.01mg/L</c:v>
                </c:pt>
                <c:pt idx="8">
                  <c:v>Dutasteride-0.1mg/L</c:v>
                </c:pt>
                <c:pt idx="9">
                  <c:v>Dutasteride-0.25mg/L</c:v>
                </c:pt>
                <c:pt idx="10">
                  <c:v>Dutasteride-0.5mg/L</c:v>
                </c:pt>
                <c:pt idx="11">
                  <c:v>Dutasteride-1.0mg/L</c:v>
                </c:pt>
                <c:pt idx="13">
                  <c:v>Testo -30µg/L</c:v>
                </c:pt>
                <c:pt idx="14">
                  <c:v>Testo 30µg/L + EE2 -64ng/L</c:v>
                </c:pt>
                <c:pt idx="15">
                  <c:v>Testo 30µg/L + FAD-10mg/L</c:v>
                </c:pt>
                <c:pt idx="16">
                  <c:v>Dutasteride-0.01mg/L + Testostérone</c:v>
                </c:pt>
                <c:pt idx="17">
                  <c:v>Dutasteride-0.1mg/L + Testostérone</c:v>
                </c:pt>
                <c:pt idx="18">
                  <c:v>Dutasteride-0.25mg/L + Testostérone</c:v>
                </c:pt>
                <c:pt idx="19">
                  <c:v>Dutasteride-0.5mg/L + Testostérone</c:v>
                </c:pt>
                <c:pt idx="20">
                  <c:v>Dutasteride-1.0mg/L + Testostérone</c:v>
                </c:pt>
              </c:strCache>
            </c:strRef>
          </c:cat>
          <c:val>
            <c:numRef>
              <c:f>'R1'!$B$53:$V$53</c:f>
              <c:numCache>
                <c:formatCode>0.0000</c:formatCode>
                <c:ptCount val="21"/>
                <c:pt idx="0">
                  <c:v>2.5356494437312225E-2</c:v>
                </c:pt>
                <c:pt idx="1">
                  <c:v>2.2188126741076432E-2</c:v>
                </c:pt>
                <c:pt idx="2">
                  <c:v>3.5612028333804786E-2</c:v>
                </c:pt>
                <c:pt idx="3">
                  <c:v>0.14065641997801778</c:v>
                </c:pt>
                <c:pt idx="4">
                  <c:v>1.0386832752112112</c:v>
                </c:pt>
                <c:pt idx="5">
                  <c:v>1.7395983868391207</c:v>
                </c:pt>
                <c:pt idx="6">
                  <c:v>2.1318486762113964</c:v>
                </c:pt>
                <c:pt idx="7">
                  <c:v>4.3084493520236952E-2</c:v>
                </c:pt>
                <c:pt idx="8">
                  <c:v>1.4436657172683318E-2</c:v>
                </c:pt>
                <c:pt idx="9">
                  <c:v>1.2659672198661431E-2</c:v>
                </c:pt>
                <c:pt idx="10">
                  <c:v>1.2201134562221275E-2</c:v>
                </c:pt>
                <c:pt idx="11">
                  <c:v>2.2565995719253966E-3</c:v>
                </c:pt>
                <c:pt idx="13">
                  <c:v>1</c:v>
                </c:pt>
                <c:pt idx="14">
                  <c:v>1.8312687640871625</c:v>
                </c:pt>
                <c:pt idx="15">
                  <c:v>1.4757057313489551E-2</c:v>
                </c:pt>
                <c:pt idx="16">
                  <c:v>1.3486589631636123</c:v>
                </c:pt>
                <c:pt idx="17">
                  <c:v>1.625770664311708</c:v>
                </c:pt>
                <c:pt idx="18">
                  <c:v>1.8140544969858052</c:v>
                </c:pt>
                <c:pt idx="19">
                  <c:v>1.6973587913712131</c:v>
                </c:pt>
                <c:pt idx="20">
                  <c:v>1.5265301703435477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48-433F-93CE-959A7E8575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4817512"/>
        <c:axId val="324817904"/>
      </c:barChart>
      <c:catAx>
        <c:axId val="324817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 lang="en-GB"/>
            </a:pPr>
            <a:endParaRPr lang="fr-FR"/>
          </a:p>
        </c:txPr>
        <c:crossAx val="324817904"/>
        <c:crosses val="autoZero"/>
        <c:auto val="1"/>
        <c:lblAlgn val="ctr"/>
        <c:lblOffset val="100"/>
        <c:noMultiLvlLbl val="0"/>
      </c:catAx>
      <c:valAx>
        <c:axId val="324817904"/>
        <c:scaling>
          <c:orientation val="minMax"/>
          <c:max val="2.8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n-GB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baseline="0">
                    <a:effectLst/>
                  </a:rPr>
                  <a:t>fluorescence totale (unités arbitraires)</a:t>
                </a:r>
                <a:endParaRPr lang="en-GB" sz="1000">
                  <a:effectLst/>
                </a:endParaRPr>
              </a:p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n-GB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 sz="1000"/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fr-FR"/>
          </a:p>
        </c:txPr>
        <c:crossAx val="324817512"/>
        <c:crosses val="autoZero"/>
        <c:crossBetween val="between"/>
        <c:majorUnit val="0.2"/>
        <c:minorUnit val="0.1"/>
      </c:valAx>
    </c:plotArea>
    <c:plotVisOnly val="1"/>
    <c:dispBlanksAs val="gap"/>
    <c:showDLblsOverMax val="0"/>
  </c:chart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395319521821627E-2"/>
          <c:y val="0.14871824529979213"/>
          <c:w val="0.9002738512986157"/>
          <c:h val="0.63968468033016779"/>
        </c:manualLayout>
      </c:layout>
      <c:barChart>
        <c:barDir val="col"/>
        <c:grouping val="clustered"/>
        <c:varyColors val="0"/>
        <c:ser>
          <c:idx val="0"/>
          <c:order val="0"/>
          <c:tx>
            <c:v>R2</c:v>
          </c:tx>
          <c:spPr>
            <a:solidFill>
              <a:schemeClr val="accent2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17-20C9-4512-B8CA-3370C5107DCA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9-20C9-4512-B8CA-3370C5107DCA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A-20C9-4512-B8CA-3370C5107DCA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B-20C9-4512-B8CA-3370C5107DCA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C-20C9-4512-B8CA-3370C5107DCA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D-20C9-4512-B8CA-3370C5107DCA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E-20C9-4512-B8CA-3370C5107DCA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F-20C9-4512-B8CA-3370C5107DCA}"/>
              </c:ext>
            </c:extLst>
          </c:dPt>
          <c:dPt>
            <c:idx val="8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0-20C9-4512-B8CA-3370C5107DCA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EED2-4ACE-91AA-7F8713196E92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1-20C9-4512-B8CA-3370C5107DCA}"/>
              </c:ext>
            </c:extLst>
          </c:dPt>
          <c:dPt>
            <c:idx val="11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EED2-4ACE-91AA-7F8713196E92}"/>
              </c:ext>
            </c:extLst>
          </c:dPt>
          <c:dPt>
            <c:idx val="13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05-EED2-4ACE-91AA-7F8713196E92}"/>
              </c:ext>
            </c:extLst>
          </c:dPt>
          <c:dPt>
            <c:idx val="14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18-20C9-4512-B8CA-3370C5107DCA}"/>
              </c:ext>
            </c:extLst>
          </c:dPt>
          <c:dPt>
            <c:idx val="15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7-EED2-4ACE-91AA-7F8713196E92}"/>
              </c:ext>
            </c:extLst>
          </c:dPt>
          <c:dPt>
            <c:idx val="16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2-20C9-4512-B8CA-3370C5107DCA}"/>
              </c:ext>
            </c:extLst>
          </c:dPt>
          <c:dPt>
            <c:idx val="17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3-20C9-4512-B8CA-3370C5107DCA}"/>
              </c:ext>
            </c:extLst>
          </c:dPt>
          <c:dPt>
            <c:idx val="18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4-20C9-4512-B8CA-3370C5107DCA}"/>
              </c:ext>
            </c:extLst>
          </c:dPt>
          <c:dPt>
            <c:idx val="19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5-20C9-4512-B8CA-3370C5107DCA}"/>
              </c:ext>
            </c:extLst>
          </c:dPt>
          <c:dPt>
            <c:idx val="2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6-20C9-4512-B8CA-3370C5107DCA}"/>
              </c:ext>
            </c:extLst>
          </c:dPt>
          <c:dPt>
            <c:idx val="25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9-EED2-4ACE-91AA-7F8713196E92}"/>
              </c:ext>
            </c:extLst>
          </c:dPt>
          <c:dPt>
            <c:idx val="26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B-EED2-4ACE-91AA-7F8713196E92}"/>
              </c:ext>
            </c:extLst>
          </c:dPt>
          <c:dPt>
            <c:idx val="27"/>
            <c:invertIfNegative val="0"/>
            <c:bubble3D val="0"/>
            <c:spPr>
              <a:solidFill>
                <a:srgbClr val="0070C0"/>
              </a:solidFill>
            </c:spPr>
            <c:extLst>
              <c:ext xmlns:c16="http://schemas.microsoft.com/office/drawing/2014/chart" uri="{C3380CC4-5D6E-409C-BE32-E72D297353CC}">
                <c16:uniqueId val="{0000000D-EED2-4ACE-91AA-7F8713196E92}"/>
              </c:ext>
            </c:extLst>
          </c:dPt>
          <c:dPt>
            <c:idx val="28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F-EED2-4ACE-91AA-7F8713196E92}"/>
              </c:ext>
            </c:extLst>
          </c:dPt>
          <c:dPt>
            <c:idx val="3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1-EED2-4ACE-91AA-7F8713196E92}"/>
              </c:ext>
            </c:extLst>
          </c:dPt>
          <c:dPt>
            <c:idx val="32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3-EED2-4ACE-91AA-7F8713196E92}"/>
              </c:ext>
            </c:extLst>
          </c:dPt>
          <c:dPt>
            <c:idx val="34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5-EED2-4ACE-91AA-7F8713196E92}"/>
              </c:ext>
            </c:extLst>
          </c:dPt>
          <c:errBars>
            <c:errBarType val="plus"/>
            <c:errValType val="cust"/>
            <c:noEndCap val="0"/>
            <c:plus>
              <c:numRef>
                <c:f>'R2'!$B$54:$V$54</c:f>
                <c:numCache>
                  <c:formatCode>General</c:formatCode>
                  <c:ptCount val="21"/>
                  <c:pt idx="0">
                    <c:v>0</c:v>
                  </c:pt>
                  <c:pt idx="1">
                    <c:v>1.8563336533329002E-2</c:v>
                  </c:pt>
                  <c:pt idx="2">
                    <c:v>0.19686709696165758</c:v>
                  </c:pt>
                  <c:pt idx="3">
                    <c:v>8.2383026499864884E-2</c:v>
                  </c:pt>
                  <c:pt idx="4">
                    <c:v>0.12584118343707856</c:v>
                  </c:pt>
                  <c:pt idx="5">
                    <c:v>0.17267790291232038</c:v>
                  </c:pt>
                  <c:pt idx="6">
                    <c:v>7.0482866062248531E-2</c:v>
                  </c:pt>
                  <c:pt idx="7">
                    <c:v>1.3292362249398707E-2</c:v>
                  </c:pt>
                  <c:pt idx="8">
                    <c:v>1.1200070203771957E-2</c:v>
                  </c:pt>
                  <c:pt idx="9">
                    <c:v>2.2543812052848895E-2</c:v>
                  </c:pt>
                  <c:pt idx="10">
                    <c:v>3.2976193567714092E-2</c:v>
                  </c:pt>
                  <c:pt idx="11">
                    <c:v>1.8572133659271042E-2</c:v>
                  </c:pt>
                  <c:pt idx="13">
                    <c:v>3.8371706009729944E-2</c:v>
                  </c:pt>
                  <c:pt idx="14">
                    <c:v>6.998295225153893E-2</c:v>
                  </c:pt>
                  <c:pt idx="15">
                    <c:v>2.0633506512508611E-2</c:v>
                  </c:pt>
                  <c:pt idx="16">
                    <c:v>0.10862108502270516</c:v>
                  </c:pt>
                  <c:pt idx="17">
                    <c:v>9.7908079764362638E-2</c:v>
                  </c:pt>
                  <c:pt idx="18">
                    <c:v>0.12931957151076218</c:v>
                  </c:pt>
                  <c:pt idx="19">
                    <c:v>7.4748026800452103E-2</c:v>
                  </c:pt>
                  <c:pt idx="20">
                    <c:v>0.11185453692152693</c:v>
                  </c:pt>
                </c:numCache>
              </c:numRef>
            </c:plus>
            <c:minus>
              <c:numRef>
                <c:f>'R1'!$N$48:$V$48</c:f>
                <c:numCache>
                  <c:formatCode>General</c:formatCode>
                  <c:ptCount val="9"/>
                  <c:pt idx="0">
                    <c:v>0</c:v>
                  </c:pt>
                  <c:pt idx="1">
                    <c:v>0.14003752874618769</c:v>
                  </c:pt>
                  <c:pt idx="2">
                    <c:v>0.2098845668028641</c:v>
                  </c:pt>
                  <c:pt idx="3">
                    <c:v>1.1181393641507329E-2</c:v>
                  </c:pt>
                  <c:pt idx="4">
                    <c:v>0.23898125021259042</c:v>
                  </c:pt>
                  <c:pt idx="5">
                    <c:v>8.5736004652794059E-2</c:v>
                  </c:pt>
                  <c:pt idx="6">
                    <c:v>0.16155374644162271</c:v>
                  </c:pt>
                  <c:pt idx="7">
                    <c:v>0.16226613271095439</c:v>
                  </c:pt>
                  <c:pt idx="8">
                    <c:v>0.21162178548262475</c:v>
                  </c:pt>
                </c:numCache>
              </c:numRef>
            </c:minus>
          </c:errBars>
          <c:cat>
            <c:strRef>
              <c:f>'R2'!$B$52:$V$52</c:f>
              <c:strCache>
                <c:ptCount val="21"/>
                <c:pt idx="0">
                  <c:v>Solvent control</c:v>
                </c:pt>
                <c:pt idx="1">
                  <c:v>EE2-33.8ng/L</c:v>
                </c:pt>
                <c:pt idx="2">
                  <c:v>EE2-50.6ng/L</c:v>
                </c:pt>
                <c:pt idx="3">
                  <c:v>EE2-76ng/L</c:v>
                </c:pt>
                <c:pt idx="4">
                  <c:v>EE2-114ng/L</c:v>
                </c:pt>
                <c:pt idx="5">
                  <c:v>EE2-170.9ng/L</c:v>
                </c:pt>
                <c:pt idx="6">
                  <c:v>EE2-488ng/L</c:v>
                </c:pt>
                <c:pt idx="7">
                  <c:v>Dutasteride-0.01mg/L</c:v>
                </c:pt>
                <c:pt idx="8">
                  <c:v>Dutasteride-0.1mg/L</c:v>
                </c:pt>
                <c:pt idx="9">
                  <c:v>Dutasteride-0.25mg/L</c:v>
                </c:pt>
                <c:pt idx="10">
                  <c:v>Dutasteride-0.5mg/L</c:v>
                </c:pt>
                <c:pt idx="11">
                  <c:v>Dutasteride-1.0mg/L</c:v>
                </c:pt>
                <c:pt idx="13">
                  <c:v>Testo -30µg/L</c:v>
                </c:pt>
                <c:pt idx="14">
                  <c:v>Testo 30µg/L + EE2 -64ng/L</c:v>
                </c:pt>
                <c:pt idx="15">
                  <c:v>Testo 30µg/L + FAD-10mg/L</c:v>
                </c:pt>
                <c:pt idx="16">
                  <c:v>Dutasteride-0.01mg/L + Testostérone</c:v>
                </c:pt>
                <c:pt idx="17">
                  <c:v>Dutasteride-0.1mg/L + Testostérone</c:v>
                </c:pt>
                <c:pt idx="18">
                  <c:v>Dutasteride-0.25mg/L + Testostérone</c:v>
                </c:pt>
                <c:pt idx="19">
                  <c:v>Dutasteride-0.5mg/L + Testostérone</c:v>
                </c:pt>
                <c:pt idx="20">
                  <c:v>Dutasteride-1.0mg/L + Testostérone</c:v>
                </c:pt>
              </c:strCache>
            </c:strRef>
          </c:cat>
          <c:val>
            <c:numRef>
              <c:f>'R2'!$B$53:$V$53</c:f>
              <c:numCache>
                <c:formatCode>0.0000</c:formatCode>
                <c:ptCount val="21"/>
                <c:pt idx="0">
                  <c:v>0</c:v>
                </c:pt>
                <c:pt idx="1">
                  <c:v>8.8277999849631583E-2</c:v>
                </c:pt>
                <c:pt idx="2">
                  <c:v>0.34276571349807033</c:v>
                </c:pt>
                <c:pt idx="3">
                  <c:v>0.49485536439276229</c:v>
                </c:pt>
                <c:pt idx="4">
                  <c:v>0.94061262593353723</c:v>
                </c:pt>
                <c:pt idx="5">
                  <c:v>1.2369215515513008</c:v>
                </c:pt>
                <c:pt idx="6">
                  <c:v>1.4352927171570351</c:v>
                </c:pt>
                <c:pt idx="7">
                  <c:v>4.0257380582426949E-2</c:v>
                </c:pt>
                <c:pt idx="8">
                  <c:v>7.3474230615006769E-2</c:v>
                </c:pt>
                <c:pt idx="9">
                  <c:v>8.3680016039296284E-2</c:v>
                </c:pt>
                <c:pt idx="10">
                  <c:v>7.9104587489348899E-2</c:v>
                </c:pt>
                <c:pt idx="11">
                  <c:v>6.5944062954237881E-2</c:v>
                </c:pt>
                <c:pt idx="13">
                  <c:v>1.0000000000000002</c:v>
                </c:pt>
                <c:pt idx="14">
                  <c:v>1.2483847927422185</c:v>
                </c:pt>
                <c:pt idx="15">
                  <c:v>7.3714820059144912E-2</c:v>
                </c:pt>
                <c:pt idx="16">
                  <c:v>1.1957285975640319</c:v>
                </c:pt>
                <c:pt idx="17">
                  <c:v>1.181604775449852</c:v>
                </c:pt>
                <c:pt idx="18">
                  <c:v>1.2211803293068018</c:v>
                </c:pt>
                <c:pt idx="19">
                  <c:v>1.2363327652749236</c:v>
                </c:pt>
                <c:pt idx="20">
                  <c:v>1.2021718836148565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ED2-4ACE-91AA-7F8713196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4818296"/>
        <c:axId val="324818688"/>
      </c:barChart>
      <c:catAx>
        <c:axId val="324818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 lang="en-GB"/>
            </a:pPr>
            <a:endParaRPr lang="fr-FR"/>
          </a:p>
        </c:txPr>
        <c:crossAx val="324818688"/>
        <c:crosses val="autoZero"/>
        <c:auto val="1"/>
        <c:lblAlgn val="ctr"/>
        <c:lblOffset val="100"/>
        <c:noMultiLvlLbl val="0"/>
      </c:catAx>
      <c:valAx>
        <c:axId val="324818688"/>
        <c:scaling>
          <c:orientation val="minMax"/>
          <c:max val="2.8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n-GB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baseline="0">
                    <a:effectLst/>
                  </a:rPr>
                  <a:t>fluorescence totale (unités arbitraires)</a:t>
                </a:r>
                <a:endParaRPr lang="en-GB" sz="1000">
                  <a:effectLst/>
                </a:endParaRPr>
              </a:p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n-GB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 sz="1000"/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fr-FR"/>
          </a:p>
        </c:txPr>
        <c:crossAx val="324818296"/>
        <c:crosses val="autoZero"/>
        <c:crossBetween val="between"/>
        <c:majorUnit val="0.2"/>
      </c:valAx>
    </c:plotArea>
    <c:plotVisOnly val="1"/>
    <c:dispBlanksAs val="gap"/>
    <c:showDLblsOverMax val="0"/>
  </c:chart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395319521821627E-2"/>
          <c:y val="0.14871824529979213"/>
          <c:w val="0.9002738512986157"/>
          <c:h val="0.63968468033016779"/>
        </c:manualLayout>
      </c:layout>
      <c:barChart>
        <c:barDir val="col"/>
        <c:grouping val="clustered"/>
        <c:varyColors val="0"/>
        <c:ser>
          <c:idx val="0"/>
          <c:order val="0"/>
          <c:tx>
            <c:v>R2</c:v>
          </c:tx>
          <c:spPr>
            <a:solidFill>
              <a:schemeClr val="accent2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1D-EA59-4FF1-816E-B4B22253AA0B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26-EA59-4FF1-816E-B4B22253AA0B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25-EA59-4FF1-816E-B4B22253AA0B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24-EA59-4FF1-816E-B4B22253AA0B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23-EA59-4FF1-816E-B4B22253AA0B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22-EA59-4FF1-816E-B4B22253AA0B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21-EA59-4FF1-816E-B4B22253AA0B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F-EA59-4FF1-816E-B4B22253AA0B}"/>
              </c:ext>
            </c:extLst>
          </c:dPt>
          <c:dPt>
            <c:idx val="8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0-EA59-4FF1-816E-B4B22253AA0B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EED2-4ACE-91AA-7F8713196E92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E-EA59-4FF1-816E-B4B22253AA0B}"/>
              </c:ext>
            </c:extLst>
          </c:dPt>
          <c:dPt>
            <c:idx val="11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EED2-4ACE-91AA-7F8713196E92}"/>
              </c:ext>
            </c:extLst>
          </c:dPt>
          <c:dPt>
            <c:idx val="13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05-EED2-4ACE-91AA-7F8713196E92}"/>
              </c:ext>
            </c:extLst>
          </c:dPt>
          <c:dPt>
            <c:idx val="14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1C-EA59-4FF1-816E-B4B22253AA0B}"/>
              </c:ext>
            </c:extLst>
          </c:dPt>
          <c:dPt>
            <c:idx val="15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7-EED2-4ACE-91AA-7F8713196E92}"/>
              </c:ext>
            </c:extLst>
          </c:dPt>
          <c:dPt>
            <c:idx val="16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7-EA59-4FF1-816E-B4B22253AA0B}"/>
              </c:ext>
            </c:extLst>
          </c:dPt>
          <c:dPt>
            <c:idx val="17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8-EA59-4FF1-816E-B4B22253AA0B}"/>
              </c:ext>
            </c:extLst>
          </c:dPt>
          <c:dPt>
            <c:idx val="18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9-EA59-4FF1-816E-B4B22253AA0B}"/>
              </c:ext>
            </c:extLst>
          </c:dPt>
          <c:dPt>
            <c:idx val="19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A-EA59-4FF1-816E-B4B22253AA0B}"/>
              </c:ext>
            </c:extLst>
          </c:dPt>
          <c:dPt>
            <c:idx val="2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B-EA59-4FF1-816E-B4B22253AA0B}"/>
              </c:ext>
            </c:extLst>
          </c:dPt>
          <c:dPt>
            <c:idx val="25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9-EED2-4ACE-91AA-7F8713196E92}"/>
              </c:ext>
            </c:extLst>
          </c:dPt>
          <c:dPt>
            <c:idx val="26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B-EED2-4ACE-91AA-7F8713196E92}"/>
              </c:ext>
            </c:extLst>
          </c:dPt>
          <c:dPt>
            <c:idx val="27"/>
            <c:invertIfNegative val="0"/>
            <c:bubble3D val="0"/>
            <c:spPr>
              <a:solidFill>
                <a:srgbClr val="0070C0"/>
              </a:solidFill>
            </c:spPr>
            <c:extLst>
              <c:ext xmlns:c16="http://schemas.microsoft.com/office/drawing/2014/chart" uri="{C3380CC4-5D6E-409C-BE32-E72D297353CC}">
                <c16:uniqueId val="{0000000D-EED2-4ACE-91AA-7F8713196E92}"/>
              </c:ext>
            </c:extLst>
          </c:dPt>
          <c:dPt>
            <c:idx val="28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F-EED2-4ACE-91AA-7F8713196E92}"/>
              </c:ext>
            </c:extLst>
          </c:dPt>
          <c:dPt>
            <c:idx val="3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1-EED2-4ACE-91AA-7F8713196E92}"/>
              </c:ext>
            </c:extLst>
          </c:dPt>
          <c:dPt>
            <c:idx val="32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3-EED2-4ACE-91AA-7F8713196E92}"/>
              </c:ext>
            </c:extLst>
          </c:dPt>
          <c:dPt>
            <c:idx val="34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5-EED2-4ACE-91AA-7F8713196E92}"/>
              </c:ext>
            </c:extLst>
          </c:dPt>
          <c:errBars>
            <c:errBarType val="plus"/>
            <c:errValType val="cust"/>
            <c:noEndCap val="0"/>
            <c:plus>
              <c:numRef>
                <c:f>'R3'!$B$54:$V$54</c:f>
                <c:numCache>
                  <c:formatCode>General</c:formatCode>
                  <c:ptCount val="21"/>
                  <c:pt idx="0">
                    <c:v>1.1502360952818851E-2</c:v>
                  </c:pt>
                  <c:pt idx="1">
                    <c:v>1.7151401382605434E-2</c:v>
                  </c:pt>
                  <c:pt idx="2">
                    <c:v>1.9144047313835223E-2</c:v>
                  </c:pt>
                  <c:pt idx="3">
                    <c:v>5.3224020939504152E-2</c:v>
                  </c:pt>
                  <c:pt idx="4">
                    <c:v>0.14574278974824731</c:v>
                  </c:pt>
                  <c:pt idx="5">
                    <c:v>4.4029340979246503E-2</c:v>
                  </c:pt>
                  <c:pt idx="6">
                    <c:v>0.13632246766574047</c:v>
                  </c:pt>
                  <c:pt idx="7">
                    <c:v>1.4658262133538408E-2</c:v>
                  </c:pt>
                  <c:pt idx="8">
                    <c:v>5.094093765188857E-2</c:v>
                  </c:pt>
                  <c:pt idx="9">
                    <c:v>3.0846077170387069E-2</c:v>
                  </c:pt>
                  <c:pt idx="10">
                    <c:v>1.9440467079905065E-2</c:v>
                  </c:pt>
                  <c:pt idx="11">
                    <c:v>1.845672168792015E-2</c:v>
                  </c:pt>
                  <c:pt idx="13">
                    <c:v>7.4638445214714799E-2</c:v>
                  </c:pt>
                  <c:pt idx="14">
                    <c:v>6.4213226161770942E-2</c:v>
                  </c:pt>
                  <c:pt idx="15">
                    <c:v>3.0933903647938722E-2</c:v>
                  </c:pt>
                  <c:pt idx="16">
                    <c:v>0.10797349280057532</c:v>
                  </c:pt>
                  <c:pt idx="17">
                    <c:v>7.2526583516876145E-2</c:v>
                  </c:pt>
                  <c:pt idx="18">
                    <c:v>8.1967075401210066E-2</c:v>
                  </c:pt>
                  <c:pt idx="19">
                    <c:v>0.11790956820596764</c:v>
                  </c:pt>
                  <c:pt idx="20">
                    <c:v>0.13462581537346935</c:v>
                  </c:pt>
                </c:numCache>
              </c:numRef>
            </c:plus>
            <c:minus>
              <c:numRef>
                <c:f>'R1'!$N$48:$V$48</c:f>
                <c:numCache>
                  <c:formatCode>General</c:formatCode>
                  <c:ptCount val="9"/>
                  <c:pt idx="0">
                    <c:v>0</c:v>
                  </c:pt>
                  <c:pt idx="1">
                    <c:v>0.14003752874618769</c:v>
                  </c:pt>
                  <c:pt idx="2">
                    <c:v>0.2098845668028641</c:v>
                  </c:pt>
                  <c:pt idx="3">
                    <c:v>1.1181393641507329E-2</c:v>
                  </c:pt>
                  <c:pt idx="4">
                    <c:v>0.23898125021259042</c:v>
                  </c:pt>
                  <c:pt idx="5">
                    <c:v>8.5736004652794059E-2</c:v>
                  </c:pt>
                  <c:pt idx="6">
                    <c:v>0.16155374644162271</c:v>
                  </c:pt>
                  <c:pt idx="7">
                    <c:v>0.16226613271095439</c:v>
                  </c:pt>
                  <c:pt idx="8">
                    <c:v>0.21162178548262475</c:v>
                  </c:pt>
                </c:numCache>
              </c:numRef>
            </c:minus>
          </c:errBars>
          <c:cat>
            <c:strRef>
              <c:f>'R3'!$B$52:$V$52</c:f>
              <c:strCache>
                <c:ptCount val="21"/>
                <c:pt idx="0">
                  <c:v>Solvent control</c:v>
                </c:pt>
                <c:pt idx="1">
                  <c:v>EE2-33.8ng/L</c:v>
                </c:pt>
                <c:pt idx="2">
                  <c:v>EE2-50.6ng/L</c:v>
                </c:pt>
                <c:pt idx="3">
                  <c:v>EE2-76ng/L</c:v>
                </c:pt>
                <c:pt idx="4">
                  <c:v>EE2-114ng/L</c:v>
                </c:pt>
                <c:pt idx="5">
                  <c:v>EE2-170.9ng/L</c:v>
                </c:pt>
                <c:pt idx="6">
                  <c:v>EE2-488ng/L</c:v>
                </c:pt>
                <c:pt idx="7">
                  <c:v>Dutasteride-0.01mg/L</c:v>
                </c:pt>
                <c:pt idx="8">
                  <c:v>Dutasteride-0.1mg/L</c:v>
                </c:pt>
                <c:pt idx="9">
                  <c:v>Dutasteride-0.25mg/L</c:v>
                </c:pt>
                <c:pt idx="10">
                  <c:v>Dutasteride-0.5mg/L</c:v>
                </c:pt>
                <c:pt idx="11">
                  <c:v>Dutasteride-1.0mg/L</c:v>
                </c:pt>
                <c:pt idx="13">
                  <c:v>Testo -30µg/L</c:v>
                </c:pt>
                <c:pt idx="14">
                  <c:v>Testo 30µg/L + EE2 -64ng/L</c:v>
                </c:pt>
                <c:pt idx="15">
                  <c:v>Testo 30µg/L + FAD-10mg/L</c:v>
                </c:pt>
                <c:pt idx="16">
                  <c:v>Dutasteride-0.01mg/L + Testostérone</c:v>
                </c:pt>
                <c:pt idx="17">
                  <c:v>Dutasteride-0.1mg/L + Testostérone</c:v>
                </c:pt>
                <c:pt idx="18">
                  <c:v>Dutasteride-0.25mg/L + Testostérone</c:v>
                </c:pt>
                <c:pt idx="19">
                  <c:v>Dutasteride-0.5mg/L + Testostérone</c:v>
                </c:pt>
                <c:pt idx="20">
                  <c:v>Dutasteride-1.0mg/L + Testostérone</c:v>
                </c:pt>
              </c:strCache>
            </c:strRef>
          </c:cat>
          <c:val>
            <c:numRef>
              <c:f>'R3'!$B$53:$V$53</c:f>
              <c:numCache>
                <c:formatCode>0.0000</c:formatCode>
                <c:ptCount val="21"/>
                <c:pt idx="0">
                  <c:v>5.6348237215009124E-2</c:v>
                </c:pt>
                <c:pt idx="1">
                  <c:v>0.10540813755185856</c:v>
                </c:pt>
                <c:pt idx="2">
                  <c:v>5.7012942053331253E-2</c:v>
                </c:pt>
                <c:pt idx="3">
                  <c:v>0.34082168481122838</c:v>
                </c:pt>
                <c:pt idx="4">
                  <c:v>0.89112704191179537</c:v>
                </c:pt>
                <c:pt idx="5">
                  <c:v>1.2244805097525078</c:v>
                </c:pt>
                <c:pt idx="6">
                  <c:v>1.4578999424969112</c:v>
                </c:pt>
                <c:pt idx="7">
                  <c:v>3.8602374257562216E-2</c:v>
                </c:pt>
                <c:pt idx="8">
                  <c:v>0.14042621470285593</c:v>
                </c:pt>
                <c:pt idx="9">
                  <c:v>6.9114934065697214E-2</c:v>
                </c:pt>
                <c:pt idx="10">
                  <c:v>5.7804308021774005E-2</c:v>
                </c:pt>
                <c:pt idx="11">
                  <c:v>4.9845412219446265E-2</c:v>
                </c:pt>
                <c:pt idx="13">
                  <c:v>0.99999999999999989</c:v>
                </c:pt>
                <c:pt idx="14">
                  <c:v>1.3190559275413185</c:v>
                </c:pt>
                <c:pt idx="15">
                  <c:v>6.5412490862969422E-2</c:v>
                </c:pt>
                <c:pt idx="16">
                  <c:v>1.3282026705807439</c:v>
                </c:pt>
                <c:pt idx="17">
                  <c:v>1.3876379117137712</c:v>
                </c:pt>
                <c:pt idx="18">
                  <c:v>1.3553310365803195</c:v>
                </c:pt>
                <c:pt idx="19">
                  <c:v>1.2663526570498227</c:v>
                </c:pt>
                <c:pt idx="20">
                  <c:v>1.1672834300898414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ED2-4ACE-91AA-7F8713196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4373488"/>
        <c:axId val="434373880"/>
      </c:barChart>
      <c:catAx>
        <c:axId val="434373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 lang="en-GB"/>
            </a:pPr>
            <a:endParaRPr lang="fr-FR"/>
          </a:p>
        </c:txPr>
        <c:crossAx val="434373880"/>
        <c:crosses val="autoZero"/>
        <c:auto val="1"/>
        <c:lblAlgn val="ctr"/>
        <c:lblOffset val="100"/>
        <c:noMultiLvlLbl val="0"/>
      </c:catAx>
      <c:valAx>
        <c:axId val="434373880"/>
        <c:scaling>
          <c:orientation val="minMax"/>
          <c:max val="2.8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n-GB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baseline="0">
                    <a:effectLst/>
                  </a:rPr>
                  <a:t>fluorescence totale (unités arbitraires)</a:t>
                </a:r>
                <a:endParaRPr lang="en-GB" sz="1000">
                  <a:effectLst/>
                </a:endParaRPr>
              </a:p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n-GB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 sz="1000"/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fr-FR"/>
          </a:p>
        </c:txPr>
        <c:crossAx val="434373488"/>
        <c:crosses val="autoZero"/>
        <c:crossBetween val="between"/>
        <c:majorUnit val="0.2"/>
      </c:valAx>
    </c:plotArea>
    <c:plotVisOnly val="1"/>
    <c:dispBlanksAs val="gap"/>
    <c:showDLblsOverMax val="0"/>
  </c:chart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8086563142153819E-2"/>
          <c:y val="0.10694631110669023"/>
          <c:w val="0.91688911122572669"/>
          <c:h val="0.69895377069250364"/>
        </c:manualLayout>
      </c:layout>
      <c:barChart>
        <c:barDir val="col"/>
        <c:grouping val="clustered"/>
        <c:varyColors val="0"/>
        <c:ser>
          <c:idx val="0"/>
          <c:order val="0"/>
          <c:tx>
            <c:v>Pool</c:v>
          </c:tx>
          <c:spPr>
            <a:solidFill>
              <a:srgbClr val="00B050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2C-033C-4530-84A9-991A3866ABD4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1-033C-4530-84A9-991A3866ABD4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3-033C-4530-84A9-991A3866ABD4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5-033C-4530-84A9-991A3866ABD4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7-033C-4530-84A9-991A3866ABD4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9-033C-4530-84A9-991A3866ABD4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B-033C-4530-84A9-991A3866ABD4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D-033C-4530-84A9-991A3866ABD4}"/>
              </c:ext>
            </c:extLst>
          </c:dPt>
          <c:dPt>
            <c:idx val="8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F-033C-4530-84A9-991A3866ABD4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1-033C-4530-84A9-991A3866ABD4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3-033C-4530-84A9-991A3866ABD4}"/>
              </c:ext>
            </c:extLst>
          </c:dPt>
          <c:dPt>
            <c:idx val="11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5-033C-4530-84A9-991A3866ABD4}"/>
              </c:ext>
            </c:extLst>
          </c:dPt>
          <c:dPt>
            <c:idx val="12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7-033C-4530-84A9-991A3866ABD4}"/>
              </c:ext>
            </c:extLst>
          </c:dPt>
          <c:dPt>
            <c:idx val="13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19-033C-4530-84A9-991A3866ABD4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B-033C-4530-84A9-991A3866ABD4}"/>
              </c:ext>
            </c:extLst>
          </c:dPt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D-033C-4530-84A9-991A3866ABD4}"/>
              </c:ext>
            </c:extLst>
          </c:dPt>
          <c:dPt>
            <c:idx val="16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F-033C-4530-84A9-991A3866ABD4}"/>
              </c:ext>
            </c:extLst>
          </c:dPt>
          <c:dPt>
            <c:idx val="17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1-033C-4530-84A9-991A3866ABD4}"/>
              </c:ext>
            </c:extLst>
          </c:dPt>
          <c:dPt>
            <c:idx val="18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3-033C-4530-84A9-991A3866ABD4}"/>
              </c:ext>
            </c:extLst>
          </c:dPt>
          <c:dPt>
            <c:idx val="19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5-033C-4530-84A9-991A3866ABD4}"/>
              </c:ext>
            </c:extLst>
          </c:dPt>
          <c:dPt>
            <c:idx val="2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7-033C-4530-84A9-991A3866ABD4}"/>
              </c:ext>
            </c:extLst>
          </c:dPt>
          <c:dPt>
            <c:idx val="21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9-033C-4530-84A9-991A3866ABD4}"/>
              </c:ext>
            </c:extLst>
          </c:dPt>
          <c:dPt>
            <c:idx val="22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B-033C-4530-84A9-991A3866ABD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E14915B5-7B93-4880-BDB2-A507BEA13074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C-033C-4530-84A9-991A3866ABD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AC6196D-2C5F-4136-A417-5DB2E40884DB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033C-4530-84A9-991A3866ABD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1F3CFB6-CBCC-4E6D-826C-56FF5E444E65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033C-4530-84A9-991A3866ABD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8691F24-2CAC-4363-96CB-881CC8B5C5DA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33C-4530-84A9-991A3866ABD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CDA4056-A0D8-437E-B76F-66BB80405AB5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033C-4530-84A9-991A3866ABD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400EBD40-2FA1-44E7-B24A-08CFCE469DE7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033C-4530-84A9-991A3866ABD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1DF58D1-6E0A-4BC4-B7A6-1E9D3A808767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033C-4530-84A9-991A3866ABD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8B25ED22-6895-4907-AE3B-ECF256FECA99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033C-4530-84A9-991A3866ABD4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6AA31D59-8620-4F93-B588-D6806819E17C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033C-4530-84A9-991A3866ABD4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D1DA3A1E-65C2-4E79-A7C6-CE1FB5050D6E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033C-4530-84A9-991A3866ABD4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48386291-B65A-476A-9473-9A1A61DFB009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033C-4530-84A9-991A3866ABD4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B9E52130-9E15-455E-A94B-F40699D9289A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033C-4530-84A9-991A3866ABD4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033C-4530-84A9-991A3866ABD4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D3D2ECFA-7CA3-4049-BA03-2B7965541F2A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033C-4530-84A9-991A3866ABD4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F5816B4C-3919-43EE-9469-69B223420EE9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033C-4530-84A9-991A3866ABD4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853CB434-2DE3-4BF4-9D1A-D489EC8A6442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033C-4530-84A9-991A3866ABD4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FA9B54EF-86A9-411B-8751-6000B42D8FF3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033C-4530-84A9-991A3866ABD4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D49BC2AE-37E0-4B50-A866-5D6823566DEF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033C-4530-84A9-991A3866ABD4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2261AE33-3D88-4FB1-93FA-ABC9C87F0EA4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033C-4530-84A9-991A3866ABD4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265A6118-99CA-4672-A973-FF6A95BD0C67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033C-4530-84A9-991A3866ABD4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A23C5858-ADFE-4EAF-BD34-4B9787954FB7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033C-4530-84A9-991A3866ABD4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3-033C-4530-84A9-991A3866ABD4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errBars>
            <c:errBarType val="both"/>
            <c:errValType val="cust"/>
            <c:noEndCap val="0"/>
            <c:plus>
              <c:numRef>
                <c:f>'pooled normalised values'!$B$76:$V$76</c:f>
                <c:numCache>
                  <c:formatCode>General</c:formatCode>
                  <c:ptCount val="21"/>
                  <c:pt idx="0">
                    <c:v>7.2735988084698918E-3</c:v>
                  </c:pt>
                  <c:pt idx="1">
                    <c:v>1.1711137121374053E-2</c:v>
                  </c:pt>
                  <c:pt idx="2">
                    <c:v>6.9569738115687951E-2</c:v>
                  </c:pt>
                  <c:pt idx="3">
                    <c:v>5.4570325736377399E-2</c:v>
                  </c:pt>
                  <c:pt idx="4">
                    <c:v>9.1802643562313574E-2</c:v>
                  </c:pt>
                  <c:pt idx="5">
                    <c:v>9.8237318394038611E-2</c:v>
                  </c:pt>
                  <c:pt idx="6">
                    <c:v>0.13337735757090993</c:v>
                  </c:pt>
                  <c:pt idx="7">
                    <c:v>8.3439518176519761E-3</c:v>
                  </c:pt>
                  <c:pt idx="8">
                    <c:v>2.0559816105852551E-2</c:v>
                  </c:pt>
                  <c:pt idx="9">
                    <c:v>1.3930511137116351E-2</c:v>
                  </c:pt>
                  <c:pt idx="10">
                    <c:v>1.3781179527040548E-2</c:v>
                  </c:pt>
                  <c:pt idx="11">
                    <c:v>1.007806578735709E-2</c:v>
                  </c:pt>
                  <c:pt idx="13">
                    <c:v>5.4206662109964894E-2</c:v>
                  </c:pt>
                  <c:pt idx="14">
                    <c:v>9.1197939280588336E-2</c:v>
                  </c:pt>
                  <c:pt idx="15">
                    <c:v>1.3508276573505751E-2</c:v>
                  </c:pt>
                  <c:pt idx="16">
                    <c:v>9.1506485979758537E-2</c:v>
                  </c:pt>
                  <c:pt idx="17">
                    <c:v>6.2233857203551353E-2</c:v>
                  </c:pt>
                  <c:pt idx="18">
                    <c:v>8.8473377922261578E-2</c:v>
                  </c:pt>
                  <c:pt idx="19">
                    <c:v>8.1098655917726956E-2</c:v>
                  </c:pt>
                  <c:pt idx="20">
                    <c:v>9.3748806218298328E-2</c:v>
                  </c:pt>
                </c:numCache>
              </c:numRef>
            </c:plus>
            <c:minus>
              <c:numRef>
                <c:f>'pooled normalised values'!$B$76:$V$76</c:f>
                <c:numCache>
                  <c:formatCode>General</c:formatCode>
                  <c:ptCount val="21"/>
                  <c:pt idx="0">
                    <c:v>7.2735988084698918E-3</c:v>
                  </c:pt>
                  <c:pt idx="1">
                    <c:v>1.1711137121374053E-2</c:v>
                  </c:pt>
                  <c:pt idx="2">
                    <c:v>6.9569738115687951E-2</c:v>
                  </c:pt>
                  <c:pt idx="3">
                    <c:v>5.4570325736377399E-2</c:v>
                  </c:pt>
                  <c:pt idx="4">
                    <c:v>9.1802643562313574E-2</c:v>
                  </c:pt>
                  <c:pt idx="5">
                    <c:v>9.8237318394038611E-2</c:v>
                  </c:pt>
                  <c:pt idx="6">
                    <c:v>0.13337735757090993</c:v>
                  </c:pt>
                  <c:pt idx="7">
                    <c:v>8.3439518176519761E-3</c:v>
                  </c:pt>
                  <c:pt idx="8">
                    <c:v>2.0559816105852551E-2</c:v>
                  </c:pt>
                  <c:pt idx="9">
                    <c:v>1.3930511137116351E-2</c:v>
                  </c:pt>
                  <c:pt idx="10">
                    <c:v>1.3781179527040548E-2</c:v>
                  </c:pt>
                  <c:pt idx="11">
                    <c:v>1.007806578735709E-2</c:v>
                  </c:pt>
                  <c:pt idx="13">
                    <c:v>5.4206662109964894E-2</c:v>
                  </c:pt>
                  <c:pt idx="14">
                    <c:v>9.1197939280588336E-2</c:v>
                  </c:pt>
                  <c:pt idx="15">
                    <c:v>1.3508276573505751E-2</c:v>
                  </c:pt>
                  <c:pt idx="16">
                    <c:v>9.1506485979758537E-2</c:v>
                  </c:pt>
                  <c:pt idx="17">
                    <c:v>6.2233857203551353E-2</c:v>
                  </c:pt>
                  <c:pt idx="18">
                    <c:v>8.8473377922261578E-2</c:v>
                  </c:pt>
                  <c:pt idx="19">
                    <c:v>8.1098655917726956E-2</c:v>
                  </c:pt>
                  <c:pt idx="20">
                    <c:v>9.3748806218298328E-2</c:v>
                  </c:pt>
                </c:numCache>
              </c:numRef>
            </c:minus>
          </c:errBars>
          <c:cat>
            <c:strRef>
              <c:f>'pooled normalised values'!$B$74:$V$74</c:f>
              <c:strCache>
                <c:ptCount val="21"/>
                <c:pt idx="0">
                  <c:v>Solvent control</c:v>
                </c:pt>
                <c:pt idx="1">
                  <c:v>EE2-33.8ng/L</c:v>
                </c:pt>
                <c:pt idx="2">
                  <c:v>EE2-50.6ng/L</c:v>
                </c:pt>
                <c:pt idx="3">
                  <c:v>EE2-76ng/L</c:v>
                </c:pt>
                <c:pt idx="4">
                  <c:v>EE2-114ng/L</c:v>
                </c:pt>
                <c:pt idx="5">
                  <c:v>EE2-170.9ng/L</c:v>
                </c:pt>
                <c:pt idx="6">
                  <c:v>EE2-488ng/L</c:v>
                </c:pt>
                <c:pt idx="7">
                  <c:v>Dutasteride-0.01mg/L</c:v>
                </c:pt>
                <c:pt idx="8">
                  <c:v>Dutasteride-0.1mg/L</c:v>
                </c:pt>
                <c:pt idx="9">
                  <c:v>Dutasteride-0.25mg/L</c:v>
                </c:pt>
                <c:pt idx="10">
                  <c:v>Dutasteride-0.5mg/L</c:v>
                </c:pt>
                <c:pt idx="11">
                  <c:v>Dutasteride-1.0mg/L</c:v>
                </c:pt>
                <c:pt idx="13">
                  <c:v>Testo -30µg/L</c:v>
                </c:pt>
                <c:pt idx="14">
                  <c:v>Testo 30µg/L + EE2 -64ng/L</c:v>
                </c:pt>
                <c:pt idx="15">
                  <c:v>Testo 30µg/L + FAD-10mg/L</c:v>
                </c:pt>
                <c:pt idx="16">
                  <c:v>Dutasteride-0.01mg/L + Testostérone</c:v>
                </c:pt>
                <c:pt idx="17">
                  <c:v>Dutasteride-0.1mg/L + Testostérone</c:v>
                </c:pt>
                <c:pt idx="18">
                  <c:v>Dutasteride-0.25mg/L + Testostérone</c:v>
                </c:pt>
                <c:pt idx="19">
                  <c:v>Dutasteride-0.5mg/L + Testostérone</c:v>
                </c:pt>
                <c:pt idx="20">
                  <c:v>Dutasteride-1.0mg/L + Testostérone</c:v>
                </c:pt>
              </c:strCache>
            </c:strRef>
          </c:cat>
          <c:val>
            <c:numRef>
              <c:f>'pooled normalised values'!$B$75:$V$75</c:f>
              <c:numCache>
                <c:formatCode>0.0000</c:formatCode>
                <c:ptCount val="21"/>
                <c:pt idx="0">
                  <c:v>2.7234910550773785E-2</c:v>
                </c:pt>
                <c:pt idx="1">
                  <c:v>7.1958088047522198E-2</c:v>
                </c:pt>
                <c:pt idx="2">
                  <c:v>0.14513022796173544</c:v>
                </c:pt>
                <c:pt idx="3">
                  <c:v>0.32544448972733614</c:v>
                </c:pt>
                <c:pt idx="4">
                  <c:v>0.95680764768551441</c:v>
                </c:pt>
                <c:pt idx="5">
                  <c:v>1.4003334827143099</c:v>
                </c:pt>
                <c:pt idx="6">
                  <c:v>1.6750137786217809</c:v>
                </c:pt>
                <c:pt idx="7">
                  <c:v>4.0648082786742042E-2</c:v>
                </c:pt>
                <c:pt idx="8">
                  <c:v>7.8793920119638469E-2</c:v>
                </c:pt>
                <c:pt idx="9">
                  <c:v>5.5151540767884977E-2</c:v>
                </c:pt>
                <c:pt idx="10">
                  <c:v>4.9703343357781392E-2</c:v>
                </c:pt>
                <c:pt idx="11">
                  <c:v>3.9348691581869842E-2</c:v>
                </c:pt>
                <c:pt idx="13">
                  <c:v>1.0000000000000002</c:v>
                </c:pt>
                <c:pt idx="14">
                  <c:v>1.4662364947902331</c:v>
                </c:pt>
                <c:pt idx="15">
                  <c:v>5.1294789411867964E-2</c:v>
                </c:pt>
                <c:pt idx="16">
                  <c:v>1.2908634104361296</c:v>
                </c:pt>
                <c:pt idx="17">
                  <c:v>1.3988029956560379</c:v>
                </c:pt>
                <c:pt idx="18">
                  <c:v>1.4635219542909759</c:v>
                </c:pt>
                <c:pt idx="19">
                  <c:v>1.4000147378986527</c:v>
                </c:pt>
                <c:pt idx="20">
                  <c:v>1.298661828016082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'pooled normalised values'!$B$83:$V$83</c15:f>
                <c15:dlblRangeCache>
                  <c:ptCount val="21"/>
                  <c:pt idx="1">
                    <c:v>NS</c:v>
                  </c:pt>
                  <c:pt idx="2">
                    <c:v>NS</c:v>
                  </c:pt>
                  <c:pt idx="3">
                    <c:v>*</c:v>
                  </c:pt>
                  <c:pt idx="4">
                    <c:v>***</c:v>
                  </c:pt>
                  <c:pt idx="5">
                    <c:v>***</c:v>
                  </c:pt>
                  <c:pt idx="6">
                    <c:v>***</c:v>
                  </c:pt>
                  <c:pt idx="7">
                    <c:v>NS</c:v>
                  </c:pt>
                  <c:pt idx="8">
                    <c:v>*</c:v>
                  </c:pt>
                  <c:pt idx="9">
                    <c:v>NS</c:v>
                  </c:pt>
                  <c:pt idx="10">
                    <c:v>NS</c:v>
                  </c:pt>
                  <c:pt idx="11">
                    <c:v>NS</c:v>
                  </c:pt>
                  <c:pt idx="13">
                    <c:v>***</c:v>
                  </c:pt>
                  <c:pt idx="14">
                    <c:v>***</c:v>
                  </c:pt>
                  <c:pt idx="15">
                    <c:v>***</c:v>
                  </c:pt>
                  <c:pt idx="16">
                    <c:v>*</c:v>
                  </c:pt>
                  <c:pt idx="17">
                    <c:v>***</c:v>
                  </c:pt>
                  <c:pt idx="18">
                    <c:v>***</c:v>
                  </c:pt>
                  <c:pt idx="19">
                    <c:v>***</c:v>
                  </c:pt>
                  <c:pt idx="20">
                    <c:v>*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B-033C-4530-84A9-991A3866AB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4374272"/>
        <c:axId val="434374664"/>
      </c:barChart>
      <c:catAx>
        <c:axId val="4343742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2700000"/>
          <a:lstStyle/>
          <a:p>
            <a:pPr>
              <a:defRPr lang="en-GB" sz="1000"/>
            </a:pPr>
            <a:endParaRPr lang="fr-FR"/>
          </a:p>
        </c:txPr>
        <c:crossAx val="434374664"/>
        <c:crosses val="autoZero"/>
        <c:auto val="1"/>
        <c:lblAlgn val="ctr"/>
        <c:lblOffset val="100"/>
        <c:noMultiLvlLbl val="0"/>
      </c:catAx>
      <c:valAx>
        <c:axId val="434374664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lang="en-GB" sz="1400"/>
                </a:pPr>
                <a:r>
                  <a:rPr lang="en-US" sz="1400"/>
                  <a:t>fluorescence totale (unités arbitraires)</a:t>
                </a:r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fr-FR"/>
          </a:p>
        </c:txPr>
        <c:crossAx val="434374272"/>
        <c:crosses val="autoZero"/>
        <c:crossBetween val="between"/>
      </c:valAx>
    </c:plotArea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zoomScale="85" workbookViewId="0"/>
  </sheetViews>
  <pageMargins left="0.7" right="0.7" top="0.75" bottom="0.75" header="0.3" footer="0.3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/>
  <sheetViews>
    <sheetView zoomScale="121" workbookViewId="0" zoomToFit="1"/>
  </sheetViews>
  <pageMargins left="0.7" right="0.7" top="0.75" bottom="0.75" header="0.3" footer="0.3"/>
  <pageSetup paperSize="9"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/>
  <sheetViews>
    <sheetView zoomScale="64" workbookViewId="0" zoomToFit="1"/>
  </sheetViews>
  <pageMargins left="0.7" right="0.7" top="0.75" bottom="0.75" header="0.3" footer="0.3"/>
  <pageSetup paperSize="9"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/>
  <sheetViews>
    <sheetView zoomScale="61" workbookViewId="0" zoomToFit="1"/>
  </sheetViews>
  <pageMargins left="0.7" right="0.7" top="0.75" bottom="0.75" header="0.3" footer="0.3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12088" cy="6084794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0.42494</cdr:x>
      <cdr:y>0.01696</cdr:y>
    </cdr:from>
    <cdr:to>
      <cdr:x>0.59244</cdr:x>
      <cdr:y>0.06852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3946365" y="102453"/>
          <a:ext cx="1555576" cy="3114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horzOverflow="clip" wrap="square" rtlCol="0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fr-FR" sz="1400" b="1"/>
            <a:t>N° expérience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4587" cy="6077107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0.37494</cdr:x>
      <cdr:y>0.01504</cdr:y>
    </cdr:from>
    <cdr:to>
      <cdr:x>0.5575</cdr:x>
      <cdr:y>0.06657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3480830" y="90920"/>
          <a:ext cx="1694833" cy="3114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horzOverflow="clip" wrap="square" rtlCol="0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fr-FR" sz="1400" b="1"/>
            <a:t>N° expérience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301758" cy="6057305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0.37494</cdr:x>
      <cdr:y>0.01504</cdr:y>
    </cdr:from>
    <cdr:to>
      <cdr:x>0.5575</cdr:x>
      <cdr:y>0.0666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3482021" y="90854"/>
          <a:ext cx="1695412" cy="3114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horzOverflow="clip" wrap="square" rtlCol="0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fr-FR" sz="1400" b="1"/>
            <a:t>N° expérience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299408" cy="6074276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alStats\RealStats%202013%202016.xlam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fig"/>
      <sheetName val="Wilcoxon Table"/>
      <sheetName val="Mann Table"/>
      <sheetName val="Runs Table"/>
      <sheetName val="KS Table"/>
      <sheetName val="KS2 Table"/>
      <sheetName val="Lil Table"/>
      <sheetName val="AD Table"/>
      <sheetName val="AD2 Table"/>
      <sheetName val="SW Table"/>
      <sheetName val="Stud. Q Table"/>
      <sheetName val="Stud. Q Table 2"/>
      <sheetName val="Sp Rho Table"/>
      <sheetName val="Ken Tau Table"/>
      <sheetName val="Durbin Table"/>
      <sheetName val="Dunnett Table"/>
      <sheetName val="Dunnett 1"/>
      <sheetName val="Prime"/>
      <sheetName val="MSSD"/>
      <sheetName val="RealStats 2013 2016.xlam"/>
    </sheetNames>
    <definedNames>
      <definedName name="DPTEST"/>
      <definedName name="MTEST"/>
      <definedName name="SWTEST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ste_groupe" displayName="liste_groupe" ref="A6:F57" totalsRowShown="0" headerRowDxfId="8" dataDxfId="7" tableBorderDxfId="6">
  <autoFilter ref="A6:F57" xr:uid="{00000000-0009-0000-0100-000001000000}"/>
  <tableColumns count="6">
    <tableColumn id="4" xr3:uid="{00000000-0010-0000-0000-000004000000}" name="Do not fill in" dataDxfId="5">
      <calculatedColumnFormula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calculatedColumnFormula>
    </tableColumn>
    <tableColumn id="1" xr3:uid="{00000000-0010-0000-0000-000001000000}" name="Do not fill in2" dataDxfId="4">
      <calculatedColumnFormula>A2</calculatedColumnFormula>
    </tableColumn>
    <tableColumn id="2" xr3:uid="{00000000-0010-0000-0000-000002000000}" name="Concentration" dataDxfId="3">
      <calculatedColumnFormula>B2</calculatedColumnFormula>
    </tableColumn>
    <tableColumn id="10" xr3:uid="{00000000-0010-0000-0000-00000A000000}" name="Units" dataDxfId="2"/>
    <tableColumn id="3" xr3:uid="{00000000-0010-0000-0000-000003000000}" name="Chemical name" dataDxfId="1">
      <calculatedColumnFormula>C2</calculatedColumnFormula>
    </tableColumn>
    <tableColumn id="9" xr3:uid="{00000000-0010-0000-0000-000009000000}" name="Do not fill in3" dataDxfId="0"/>
  </tableColumns>
  <tableStyleInfo name="TableStyleLight15" showFirstColumn="0" showLastColumn="0" showRowStripes="0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7"/>
  <sheetViews>
    <sheetView showGridLines="0" zoomScale="55" zoomScaleNormal="55" workbookViewId="0">
      <selection activeCell="E4" sqref="E4"/>
    </sheetView>
  </sheetViews>
  <sheetFormatPr baseColWidth="10" defaultColWidth="11.42578125" defaultRowHeight="39" customHeight="1" x14ac:dyDescent="0.25"/>
  <cols>
    <col min="1" max="1" width="42" bestFit="1" customWidth="1"/>
    <col min="2" max="2" width="33.85546875" style="28" bestFit="1" customWidth="1"/>
    <col min="3" max="3" width="21.28515625" customWidth="1"/>
    <col min="4" max="4" width="30.42578125" customWidth="1"/>
    <col min="5" max="5" width="62.28515625" style="89" bestFit="1" customWidth="1"/>
    <col min="6" max="6" width="56.7109375" bestFit="1" customWidth="1"/>
    <col min="7" max="7" width="19.42578125" customWidth="1"/>
    <col min="8" max="8" width="15.28515625" customWidth="1"/>
    <col min="9" max="9" width="18" customWidth="1"/>
    <col min="10" max="10" width="19.5703125" bestFit="1" customWidth="1"/>
  </cols>
  <sheetData>
    <row r="1" spans="1:9" ht="39" customHeight="1" thickBot="1" x14ac:dyDescent="0.3">
      <c r="A1" s="115"/>
      <c r="B1" s="116"/>
      <c r="C1" s="116"/>
      <c r="D1" s="116"/>
      <c r="E1" s="116"/>
      <c r="F1" s="116"/>
      <c r="G1" s="116"/>
      <c r="H1" s="116"/>
      <c r="I1" s="117"/>
    </row>
    <row r="2" spans="1:9" ht="21.75" thickBot="1" x14ac:dyDescent="0.4">
      <c r="A2" s="108" t="s">
        <v>5</v>
      </c>
      <c r="B2" s="27" t="s">
        <v>23</v>
      </c>
      <c r="C2" s="118" t="s">
        <v>52</v>
      </c>
      <c r="D2" s="119"/>
      <c r="E2" s="27" t="s">
        <v>53</v>
      </c>
      <c r="F2" s="130"/>
      <c r="G2" s="131"/>
      <c r="H2" s="131"/>
      <c r="I2" s="132"/>
    </row>
    <row r="3" spans="1:9" ht="21.75" thickBot="1" x14ac:dyDescent="0.4">
      <c r="A3" s="109" t="s">
        <v>6</v>
      </c>
      <c r="B3" s="27" t="s">
        <v>23</v>
      </c>
      <c r="C3" s="120" t="s">
        <v>54</v>
      </c>
      <c r="D3" s="121"/>
      <c r="E3" s="27" t="s">
        <v>55</v>
      </c>
      <c r="F3" s="127"/>
      <c r="G3" s="128"/>
      <c r="H3" s="128"/>
      <c r="I3" s="129"/>
    </row>
    <row r="4" spans="1:9" ht="21.75" thickBot="1" x14ac:dyDescent="0.4">
      <c r="A4" s="110" t="s">
        <v>9</v>
      </c>
      <c r="B4" s="27" t="s">
        <v>23</v>
      </c>
      <c r="C4" s="122" t="s">
        <v>56</v>
      </c>
      <c r="D4" s="123"/>
      <c r="E4" s="27" t="s">
        <v>57</v>
      </c>
      <c r="F4" s="124"/>
      <c r="G4" s="125"/>
      <c r="H4" s="125"/>
      <c r="I4" s="126"/>
    </row>
    <row r="5" spans="1:9" s="1" customFormat="1" ht="65.25" customHeight="1" thickBot="1" x14ac:dyDescent="0.3">
      <c r="A5" s="115"/>
      <c r="B5" s="116"/>
      <c r="C5" s="116"/>
      <c r="D5" s="116"/>
      <c r="E5" s="116"/>
      <c r="F5" s="116"/>
      <c r="G5" s="116"/>
      <c r="H5" s="116"/>
      <c r="I5" s="117"/>
    </row>
    <row r="6" spans="1:9" s="68" customFormat="1" ht="39" customHeight="1" x14ac:dyDescent="0.35">
      <c r="A6" s="58" t="s">
        <v>24</v>
      </c>
      <c r="B6" s="59" t="s">
        <v>25</v>
      </c>
      <c r="C6" s="47" t="s">
        <v>7</v>
      </c>
      <c r="D6" s="47" t="s">
        <v>26</v>
      </c>
      <c r="E6" s="86" t="s">
        <v>27</v>
      </c>
      <c r="F6" s="67" t="s">
        <v>28</v>
      </c>
    </row>
    <row r="7" spans="1:9" s="95" customFormat="1" ht="39" customHeight="1" x14ac:dyDescent="0.35">
      <c r="A7" s="90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Solvent control</v>
      </c>
      <c r="B7" s="91" t="s">
        <v>45</v>
      </c>
      <c r="C7" s="92"/>
      <c r="D7" s="93"/>
      <c r="E7" s="94" t="s">
        <v>30</v>
      </c>
      <c r="F7" s="69"/>
    </row>
    <row r="8" spans="1:9" s="95" customFormat="1" ht="39" customHeight="1" x14ac:dyDescent="0.35">
      <c r="A8" s="90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EE2-33.8ng/L</v>
      </c>
      <c r="B8" s="91" t="s">
        <v>45</v>
      </c>
      <c r="C8" s="92" t="s">
        <v>31</v>
      </c>
      <c r="D8" s="93" t="s">
        <v>17</v>
      </c>
      <c r="E8" s="94" t="s">
        <v>18</v>
      </c>
      <c r="F8" s="69"/>
    </row>
    <row r="9" spans="1:9" s="95" customFormat="1" ht="39" customHeight="1" x14ac:dyDescent="0.35">
      <c r="A9" s="90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EE2-50.6ng/L</v>
      </c>
      <c r="B9" s="91" t="s">
        <v>45</v>
      </c>
      <c r="C9" s="92" t="s">
        <v>32</v>
      </c>
      <c r="D9" s="93" t="s">
        <v>17</v>
      </c>
      <c r="E9" s="94" t="s">
        <v>18</v>
      </c>
      <c r="F9" s="69"/>
    </row>
    <row r="10" spans="1:9" s="95" customFormat="1" ht="39" customHeight="1" x14ac:dyDescent="0.35">
      <c r="A10" s="90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EE2-76ng/L</v>
      </c>
      <c r="B10" s="91" t="s">
        <v>45</v>
      </c>
      <c r="C10" s="92">
        <v>76</v>
      </c>
      <c r="D10" s="93" t="s">
        <v>17</v>
      </c>
      <c r="E10" s="94" t="s">
        <v>18</v>
      </c>
      <c r="F10" s="69"/>
    </row>
    <row r="11" spans="1:9" s="95" customFormat="1" ht="39" customHeight="1" x14ac:dyDescent="0.35">
      <c r="A11" s="90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EE2-114ng/L</v>
      </c>
      <c r="B11" s="91" t="s">
        <v>45</v>
      </c>
      <c r="C11" s="92">
        <v>114</v>
      </c>
      <c r="D11" s="93" t="s">
        <v>17</v>
      </c>
      <c r="E11" s="94" t="s">
        <v>18</v>
      </c>
      <c r="F11" s="69"/>
    </row>
    <row r="12" spans="1:9" s="95" customFormat="1" ht="39" customHeight="1" x14ac:dyDescent="0.35">
      <c r="A12" s="90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EE2-170.9ng/L</v>
      </c>
      <c r="B12" s="91" t="s">
        <v>45</v>
      </c>
      <c r="C12" s="92" t="s">
        <v>33</v>
      </c>
      <c r="D12" s="93" t="s">
        <v>17</v>
      </c>
      <c r="E12" s="94" t="s">
        <v>18</v>
      </c>
      <c r="F12" s="69"/>
    </row>
    <row r="13" spans="1:9" s="95" customFormat="1" ht="39" customHeight="1" x14ac:dyDescent="0.35">
      <c r="A13" s="90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EE2-488ng/L</v>
      </c>
      <c r="B13" s="91" t="s">
        <v>45</v>
      </c>
      <c r="C13" s="92">
        <v>488</v>
      </c>
      <c r="D13" s="93" t="s">
        <v>17</v>
      </c>
      <c r="E13" s="94" t="s">
        <v>18</v>
      </c>
      <c r="F13" s="69"/>
    </row>
    <row r="14" spans="1:9" s="95" customFormat="1" ht="39" customHeight="1" x14ac:dyDescent="0.35">
      <c r="A14" s="90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Dutasteride-0.01mg/L</v>
      </c>
      <c r="B14" s="91" t="s">
        <v>29</v>
      </c>
      <c r="C14" s="92" t="s">
        <v>47</v>
      </c>
      <c r="D14" s="93" t="s">
        <v>21</v>
      </c>
      <c r="E14" s="94" t="s">
        <v>46</v>
      </c>
      <c r="F14" s="69"/>
    </row>
    <row r="15" spans="1:9" s="70" customFormat="1" ht="39" customHeight="1" x14ac:dyDescent="0.25">
      <c r="A15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Dutasteride-0.1mg/L</v>
      </c>
      <c r="B15" s="91" t="s">
        <v>29</v>
      </c>
      <c r="C15" s="64" t="s">
        <v>48</v>
      </c>
      <c r="D15" s="93" t="s">
        <v>21</v>
      </c>
      <c r="E15" s="94" t="s">
        <v>46</v>
      </c>
      <c r="F15" s="69"/>
    </row>
    <row r="16" spans="1:9" s="70" customFormat="1" ht="39" customHeight="1" x14ac:dyDescent="0.25">
      <c r="A16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Dutasteride-0.25mg/L</v>
      </c>
      <c r="B16" s="91" t="s">
        <v>29</v>
      </c>
      <c r="C16" s="64" t="s">
        <v>49</v>
      </c>
      <c r="D16" s="93" t="s">
        <v>21</v>
      </c>
      <c r="E16" s="94" t="s">
        <v>46</v>
      </c>
      <c r="F16" s="69"/>
    </row>
    <row r="17" spans="1:6" s="70" customFormat="1" ht="39" customHeight="1" x14ac:dyDescent="0.25">
      <c r="A17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Dutasteride-0.5mg/L</v>
      </c>
      <c r="B17" s="91" t="s">
        <v>29</v>
      </c>
      <c r="C17" s="64" t="s">
        <v>50</v>
      </c>
      <c r="D17" s="93" t="s">
        <v>21</v>
      </c>
      <c r="E17" s="94" t="s">
        <v>46</v>
      </c>
      <c r="F17" s="69"/>
    </row>
    <row r="18" spans="1:6" s="70" customFormat="1" ht="39" customHeight="1" x14ac:dyDescent="0.25">
      <c r="A18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Dutasteride-1.0mg/L</v>
      </c>
      <c r="B18" s="91" t="s">
        <v>29</v>
      </c>
      <c r="C18" s="64" t="s">
        <v>51</v>
      </c>
      <c r="D18" s="93" t="s">
        <v>21</v>
      </c>
      <c r="E18" s="94" t="s">
        <v>46</v>
      </c>
      <c r="F18" s="69"/>
    </row>
    <row r="19" spans="1:6" s="70" customFormat="1" ht="39" customHeight="1" x14ac:dyDescent="0.25">
      <c r="A19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19" s="91" t="s">
        <v>29</v>
      </c>
      <c r="C19" s="64"/>
      <c r="D19" s="64"/>
      <c r="E19" s="25"/>
      <c r="F19" s="69"/>
    </row>
    <row r="20" spans="1:6" s="70" customFormat="1" ht="39" customHeight="1" x14ac:dyDescent="0.25">
      <c r="A20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0" s="91" t="s">
        <v>29</v>
      </c>
      <c r="C20" s="64"/>
      <c r="D20" s="64"/>
      <c r="E20" s="60"/>
      <c r="F20" s="69"/>
    </row>
    <row r="21" spans="1:6" s="70" customFormat="1" ht="39" customHeight="1" x14ac:dyDescent="0.25">
      <c r="A21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1" s="91" t="s">
        <v>29</v>
      </c>
      <c r="C21" s="64"/>
      <c r="D21" s="64"/>
      <c r="E21" s="25"/>
      <c r="F21" s="69"/>
    </row>
    <row r="22" spans="1:6" s="70" customFormat="1" ht="39" customHeight="1" x14ac:dyDescent="0.25">
      <c r="A22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2" s="91" t="s">
        <v>29</v>
      </c>
      <c r="C22" s="64"/>
      <c r="D22" s="64"/>
      <c r="E22" s="60"/>
      <c r="F22" s="69"/>
    </row>
    <row r="23" spans="1:6" s="70" customFormat="1" ht="39" customHeight="1" x14ac:dyDescent="0.25">
      <c r="A23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3" s="91" t="s">
        <v>29</v>
      </c>
      <c r="C23" s="64"/>
      <c r="D23" s="64"/>
      <c r="E23" s="25"/>
      <c r="F23" s="69"/>
    </row>
    <row r="24" spans="1:6" s="70" customFormat="1" ht="39" customHeight="1" x14ac:dyDescent="0.25">
      <c r="A24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4" s="91" t="s">
        <v>29</v>
      </c>
      <c r="C24" s="64"/>
      <c r="D24" s="64"/>
      <c r="E24" s="60"/>
      <c r="F24" s="69"/>
    </row>
    <row r="25" spans="1:6" s="70" customFormat="1" ht="39" customHeight="1" x14ac:dyDescent="0.25">
      <c r="A25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5" s="91" t="s">
        <v>29</v>
      </c>
      <c r="C25" s="64"/>
      <c r="D25" s="64"/>
      <c r="E25" s="25"/>
      <c r="F25" s="69"/>
    </row>
    <row r="26" spans="1:6" s="70" customFormat="1" ht="39" customHeight="1" x14ac:dyDescent="0.25">
      <c r="A26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6" s="91" t="s">
        <v>29</v>
      </c>
      <c r="C26" s="64"/>
      <c r="D26" s="64"/>
      <c r="E26" s="60"/>
      <c r="F26" s="69"/>
    </row>
    <row r="27" spans="1:6" s="70" customFormat="1" ht="39" customHeight="1" x14ac:dyDescent="0.25">
      <c r="A27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7" s="91" t="s">
        <v>29</v>
      </c>
      <c r="C27" s="64"/>
      <c r="D27" s="64"/>
      <c r="E27" s="25"/>
      <c r="F27" s="69"/>
    </row>
    <row r="28" spans="1:6" s="70" customFormat="1" ht="39" customHeight="1" x14ac:dyDescent="0.25">
      <c r="A28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8" s="91" t="s">
        <v>29</v>
      </c>
      <c r="C28" s="64"/>
      <c r="D28" s="64"/>
      <c r="E28" s="60"/>
      <c r="F28" s="69"/>
    </row>
    <row r="29" spans="1:6" s="70" customFormat="1" ht="39" customHeight="1" x14ac:dyDescent="0.25">
      <c r="A29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9" s="91" t="s">
        <v>29</v>
      </c>
      <c r="C29" s="64"/>
      <c r="D29" s="73"/>
      <c r="E29" s="25"/>
      <c r="F29" s="69"/>
    </row>
    <row r="30" spans="1:6" s="70" customFormat="1" ht="39" customHeight="1" x14ac:dyDescent="0.25">
      <c r="A30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30" s="91" t="s">
        <v>29</v>
      </c>
      <c r="C30" s="64"/>
      <c r="D30" s="73"/>
      <c r="E30" s="60"/>
      <c r="F30" s="69"/>
    </row>
    <row r="31" spans="1:6" s="70" customFormat="1" ht="39" customHeight="1" x14ac:dyDescent="0.25">
      <c r="A31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31" s="91" t="s">
        <v>29</v>
      </c>
      <c r="C31" s="64"/>
      <c r="D31" s="73"/>
      <c r="E31" s="25"/>
      <c r="F31" s="69"/>
    </row>
    <row r="32" spans="1:6" s="70" customFormat="1" ht="39" customHeight="1" x14ac:dyDescent="0.25">
      <c r="A32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32" s="91" t="s">
        <v>29</v>
      </c>
      <c r="C32" s="64"/>
      <c r="D32" s="73"/>
      <c r="E32" s="60"/>
      <c r="F32" s="69"/>
    </row>
    <row r="33" spans="1:6" s="70" customFormat="1" ht="39" customHeight="1" x14ac:dyDescent="0.25">
      <c r="A33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33" s="91" t="s">
        <v>29</v>
      </c>
      <c r="C33" s="64"/>
      <c r="D33" s="73"/>
      <c r="E33" s="25"/>
      <c r="F33" s="69"/>
    </row>
    <row r="34" spans="1:6" s="70" customFormat="1" ht="39" customHeight="1" thickBot="1" x14ac:dyDescent="0.3">
      <c r="A34" s="5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34" s="91" t="s">
        <v>29</v>
      </c>
      <c r="C34" s="97"/>
      <c r="D34" s="74"/>
      <c r="E34" s="96"/>
      <c r="F34" s="69"/>
    </row>
    <row r="35" spans="1:6" s="70" customFormat="1" ht="39" customHeight="1" x14ac:dyDescent="0.25">
      <c r="A35" s="9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Testo -30µg/L</v>
      </c>
      <c r="B35" s="61" t="s">
        <v>45</v>
      </c>
      <c r="C35" s="65">
        <v>30</v>
      </c>
      <c r="D35" s="75" t="s">
        <v>19</v>
      </c>
      <c r="E35" s="87" t="s">
        <v>8</v>
      </c>
      <c r="F35" s="99"/>
    </row>
    <row r="36" spans="1:6" s="70" customFormat="1" ht="39" customHeight="1" x14ac:dyDescent="0.25">
      <c r="A36" s="100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Testo 30µg/L + EE2 -64ng/L</v>
      </c>
      <c r="B36" s="62" t="s">
        <v>45</v>
      </c>
      <c r="C36" s="66">
        <v>64</v>
      </c>
      <c r="D36" s="76" t="s">
        <v>17</v>
      </c>
      <c r="E36" s="88" t="s">
        <v>20</v>
      </c>
      <c r="F36" s="101"/>
    </row>
    <row r="37" spans="1:6" s="70" customFormat="1" ht="39" customHeight="1" thickBot="1" x14ac:dyDescent="0.3">
      <c r="A37" s="102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Testo 30µg/L + FAD-10mg/L</v>
      </c>
      <c r="B37" s="103" t="s">
        <v>45</v>
      </c>
      <c r="C37" s="104">
        <v>10</v>
      </c>
      <c r="D37" s="105" t="s">
        <v>21</v>
      </c>
      <c r="E37" s="106" t="s">
        <v>22</v>
      </c>
      <c r="F37" s="107"/>
    </row>
    <row r="38" spans="1:6" s="70" customFormat="1" ht="39" customHeight="1" x14ac:dyDescent="0.25">
      <c r="A38" s="3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Dutasteride-0.01mg/L + Testostérone</v>
      </c>
      <c r="B38" s="111" t="str">
        <f>B14</f>
        <v>test chemical</v>
      </c>
      <c r="C38" s="111" t="str">
        <f t="shared" ref="C38:E38" si="0">C14</f>
        <v>0.01</v>
      </c>
      <c r="D38" s="111" t="str">
        <f t="shared" si="0"/>
        <v>mg/L</v>
      </c>
      <c r="E38" s="111" t="str">
        <f t="shared" si="0"/>
        <v>Dutasteride</v>
      </c>
      <c r="F38" s="71" t="s">
        <v>13</v>
      </c>
    </row>
    <row r="39" spans="1:6" s="70" customFormat="1" ht="39" customHeight="1" x14ac:dyDescent="0.25">
      <c r="A39" s="57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Dutasteride-0.1mg/L + Testostérone</v>
      </c>
      <c r="B39" s="113" t="str">
        <f t="shared" ref="B39:E39" si="1">B15</f>
        <v>test chemical</v>
      </c>
      <c r="C39" s="113" t="str">
        <f t="shared" si="1"/>
        <v>0.1</v>
      </c>
      <c r="D39" s="113" t="str">
        <f t="shared" si="1"/>
        <v>mg/L</v>
      </c>
      <c r="E39" s="113" t="str">
        <f t="shared" si="1"/>
        <v>Dutasteride</v>
      </c>
      <c r="F39" s="72" t="s">
        <v>13</v>
      </c>
    </row>
    <row r="40" spans="1:6" s="70" customFormat="1" ht="39" customHeight="1" x14ac:dyDescent="0.25">
      <c r="A40" s="57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Dutasteride-0.25mg/L + Testostérone</v>
      </c>
      <c r="B40" s="113" t="str">
        <f t="shared" ref="B40:E40" si="2">B16</f>
        <v>test chemical</v>
      </c>
      <c r="C40" s="113" t="str">
        <f t="shared" si="2"/>
        <v>0.25</v>
      </c>
      <c r="D40" s="113" t="str">
        <f t="shared" si="2"/>
        <v>mg/L</v>
      </c>
      <c r="E40" s="113" t="str">
        <f t="shared" si="2"/>
        <v>Dutasteride</v>
      </c>
      <c r="F40" s="72" t="s">
        <v>13</v>
      </c>
    </row>
    <row r="41" spans="1:6" s="70" customFormat="1" ht="39" customHeight="1" x14ac:dyDescent="0.25">
      <c r="A41" s="57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Dutasteride-0.5mg/L + Testostérone</v>
      </c>
      <c r="B41" s="113" t="str">
        <f t="shared" ref="B41:E41" si="3">B17</f>
        <v>test chemical</v>
      </c>
      <c r="C41" s="113" t="str">
        <f t="shared" si="3"/>
        <v>0.5</v>
      </c>
      <c r="D41" s="113" t="str">
        <f t="shared" si="3"/>
        <v>mg/L</v>
      </c>
      <c r="E41" s="113" t="str">
        <f t="shared" si="3"/>
        <v>Dutasteride</v>
      </c>
      <c r="F41" s="72" t="s">
        <v>13</v>
      </c>
    </row>
    <row r="42" spans="1:6" s="70" customFormat="1" ht="39" customHeight="1" x14ac:dyDescent="0.25">
      <c r="A42" s="57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Dutasteride-1.0mg/L + Testostérone</v>
      </c>
      <c r="B42" s="113" t="str">
        <f t="shared" ref="B42:E42" si="4">B18</f>
        <v>test chemical</v>
      </c>
      <c r="C42" s="113" t="str">
        <f t="shared" si="4"/>
        <v>1.0</v>
      </c>
      <c r="D42" s="113" t="str">
        <f t="shared" si="4"/>
        <v>mg/L</v>
      </c>
      <c r="E42" s="113" t="str">
        <f t="shared" si="4"/>
        <v>Dutasteride</v>
      </c>
      <c r="F42" s="72" t="s">
        <v>13</v>
      </c>
    </row>
    <row r="43" spans="1:6" s="70" customFormat="1" ht="39" customHeight="1" x14ac:dyDescent="0.25">
      <c r="A43" s="57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3" s="113" t="str">
        <f t="shared" ref="B43:E43" si="5">B19</f>
        <v>test chemical</v>
      </c>
      <c r="C43" s="113">
        <f t="shared" si="5"/>
        <v>0</v>
      </c>
      <c r="D43" s="113">
        <f t="shared" si="5"/>
        <v>0</v>
      </c>
      <c r="E43" s="113">
        <f t="shared" si="5"/>
        <v>0</v>
      </c>
      <c r="F43" s="72" t="s">
        <v>13</v>
      </c>
    </row>
    <row r="44" spans="1:6" s="70" customFormat="1" ht="39" customHeight="1" x14ac:dyDescent="0.25">
      <c r="A44" s="57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4" s="113" t="str">
        <f t="shared" ref="B44:E44" si="6">B20</f>
        <v>test chemical</v>
      </c>
      <c r="C44" s="113">
        <f t="shared" si="6"/>
        <v>0</v>
      </c>
      <c r="D44" s="113">
        <f t="shared" si="6"/>
        <v>0</v>
      </c>
      <c r="E44" s="113">
        <f t="shared" si="6"/>
        <v>0</v>
      </c>
      <c r="F44" s="72" t="s">
        <v>13</v>
      </c>
    </row>
    <row r="45" spans="1:6" s="70" customFormat="1" ht="39" customHeight="1" x14ac:dyDescent="0.25">
      <c r="A45" s="57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5" s="113" t="str">
        <f t="shared" ref="B45:E45" si="7">B21</f>
        <v>test chemical</v>
      </c>
      <c r="C45" s="113">
        <f t="shared" si="7"/>
        <v>0</v>
      </c>
      <c r="D45" s="113">
        <f t="shared" si="7"/>
        <v>0</v>
      </c>
      <c r="E45" s="113">
        <f t="shared" si="7"/>
        <v>0</v>
      </c>
      <c r="F45" s="72" t="s">
        <v>13</v>
      </c>
    </row>
    <row r="46" spans="1:6" s="70" customFormat="1" ht="39" customHeight="1" x14ac:dyDescent="0.25">
      <c r="A46" s="57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6" s="113" t="str">
        <f t="shared" ref="B46:E46" si="8">B22</f>
        <v>test chemical</v>
      </c>
      <c r="C46" s="113">
        <f t="shared" si="8"/>
        <v>0</v>
      </c>
      <c r="D46" s="113">
        <f t="shared" si="8"/>
        <v>0</v>
      </c>
      <c r="E46" s="113">
        <f t="shared" si="8"/>
        <v>0</v>
      </c>
      <c r="F46" s="72" t="s">
        <v>13</v>
      </c>
    </row>
    <row r="47" spans="1:6" s="70" customFormat="1" ht="39" customHeight="1" x14ac:dyDescent="0.25">
      <c r="A47" s="57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7" s="113" t="str">
        <f t="shared" ref="B47:E47" si="9">B23</f>
        <v>test chemical</v>
      </c>
      <c r="C47" s="113">
        <f t="shared" si="9"/>
        <v>0</v>
      </c>
      <c r="D47" s="113">
        <f t="shared" si="9"/>
        <v>0</v>
      </c>
      <c r="E47" s="113">
        <f t="shared" si="9"/>
        <v>0</v>
      </c>
      <c r="F47" s="72" t="s">
        <v>13</v>
      </c>
    </row>
    <row r="48" spans="1:6" s="70" customFormat="1" ht="39" customHeight="1" x14ac:dyDescent="0.25">
      <c r="A48" s="57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8" s="113" t="str">
        <f t="shared" ref="B48:E48" si="10">B24</f>
        <v>test chemical</v>
      </c>
      <c r="C48" s="113">
        <f t="shared" si="10"/>
        <v>0</v>
      </c>
      <c r="D48" s="113">
        <f t="shared" si="10"/>
        <v>0</v>
      </c>
      <c r="E48" s="113">
        <f t="shared" si="10"/>
        <v>0</v>
      </c>
      <c r="F48" s="72" t="s">
        <v>13</v>
      </c>
    </row>
    <row r="49" spans="1:6" s="70" customFormat="1" ht="39" customHeight="1" x14ac:dyDescent="0.25">
      <c r="A49" s="57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9" s="113" t="str">
        <f t="shared" ref="B49:E49" si="11">B25</f>
        <v>test chemical</v>
      </c>
      <c r="C49" s="113">
        <f t="shared" si="11"/>
        <v>0</v>
      </c>
      <c r="D49" s="113">
        <f t="shared" si="11"/>
        <v>0</v>
      </c>
      <c r="E49" s="113">
        <f t="shared" si="11"/>
        <v>0</v>
      </c>
      <c r="F49" s="72" t="s">
        <v>13</v>
      </c>
    </row>
    <row r="50" spans="1:6" s="70" customFormat="1" ht="39" customHeight="1" x14ac:dyDescent="0.25">
      <c r="A50" s="57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0" s="113" t="str">
        <f t="shared" ref="B50:E50" si="12">B26</f>
        <v>test chemical</v>
      </c>
      <c r="C50" s="113">
        <f t="shared" si="12"/>
        <v>0</v>
      </c>
      <c r="D50" s="113">
        <f t="shared" si="12"/>
        <v>0</v>
      </c>
      <c r="E50" s="113">
        <f t="shared" si="12"/>
        <v>0</v>
      </c>
      <c r="F50" s="72" t="s">
        <v>13</v>
      </c>
    </row>
    <row r="51" spans="1:6" s="70" customFormat="1" ht="39" customHeight="1" x14ac:dyDescent="0.25">
      <c r="A51" s="57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1" s="113" t="str">
        <f t="shared" ref="B51:E51" si="13">B27</f>
        <v>test chemical</v>
      </c>
      <c r="C51" s="113">
        <f t="shared" si="13"/>
        <v>0</v>
      </c>
      <c r="D51" s="113">
        <f t="shared" si="13"/>
        <v>0</v>
      </c>
      <c r="E51" s="113">
        <f t="shared" si="13"/>
        <v>0</v>
      </c>
      <c r="F51" s="72" t="s">
        <v>13</v>
      </c>
    </row>
    <row r="52" spans="1:6" s="70" customFormat="1" ht="39" customHeight="1" x14ac:dyDescent="0.25">
      <c r="A52" s="57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2" s="113" t="str">
        <f t="shared" ref="B52:E52" si="14">B28</f>
        <v>test chemical</v>
      </c>
      <c r="C52" s="113">
        <f t="shared" si="14"/>
        <v>0</v>
      </c>
      <c r="D52" s="113">
        <f t="shared" si="14"/>
        <v>0</v>
      </c>
      <c r="E52" s="113">
        <f t="shared" si="14"/>
        <v>0</v>
      </c>
      <c r="F52" s="72" t="s">
        <v>13</v>
      </c>
    </row>
    <row r="53" spans="1:6" s="70" customFormat="1" ht="39" customHeight="1" x14ac:dyDescent="0.25">
      <c r="A53" s="57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3" s="113" t="str">
        <f t="shared" ref="B53:E53" si="15">B29</f>
        <v>test chemical</v>
      </c>
      <c r="C53" s="113">
        <f t="shared" si="15"/>
        <v>0</v>
      </c>
      <c r="D53" s="113">
        <f t="shared" si="15"/>
        <v>0</v>
      </c>
      <c r="E53" s="113">
        <f t="shared" si="15"/>
        <v>0</v>
      </c>
      <c r="F53" s="72" t="s">
        <v>13</v>
      </c>
    </row>
    <row r="54" spans="1:6" s="70" customFormat="1" ht="39" customHeight="1" x14ac:dyDescent="0.25">
      <c r="A54" s="57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4" s="113" t="str">
        <f t="shared" ref="B54:E54" si="16">B30</f>
        <v>test chemical</v>
      </c>
      <c r="C54" s="113">
        <f t="shared" si="16"/>
        <v>0</v>
      </c>
      <c r="D54" s="113">
        <f t="shared" si="16"/>
        <v>0</v>
      </c>
      <c r="E54" s="113">
        <f t="shared" si="16"/>
        <v>0</v>
      </c>
      <c r="F54" s="72" t="s">
        <v>13</v>
      </c>
    </row>
    <row r="55" spans="1:6" s="70" customFormat="1" ht="39" customHeight="1" x14ac:dyDescent="0.25">
      <c r="A55" s="57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5" s="113" t="str">
        <f t="shared" ref="B55:E55" si="17">B31</f>
        <v>test chemical</v>
      </c>
      <c r="C55" s="113">
        <f t="shared" si="17"/>
        <v>0</v>
      </c>
      <c r="D55" s="113">
        <f t="shared" si="17"/>
        <v>0</v>
      </c>
      <c r="E55" s="113">
        <f t="shared" si="17"/>
        <v>0</v>
      </c>
      <c r="F55" s="72" t="s">
        <v>13</v>
      </c>
    </row>
    <row r="56" spans="1:6" s="70" customFormat="1" ht="39" customHeight="1" x14ac:dyDescent="0.25">
      <c r="A56" s="57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6" s="113" t="str">
        <f t="shared" ref="B56:E56" si="18">B32</f>
        <v>test chemical</v>
      </c>
      <c r="C56" s="113">
        <f t="shared" si="18"/>
        <v>0</v>
      </c>
      <c r="D56" s="113">
        <f t="shared" si="18"/>
        <v>0</v>
      </c>
      <c r="E56" s="113">
        <f t="shared" si="18"/>
        <v>0</v>
      </c>
      <c r="F56" s="72" t="s">
        <v>13</v>
      </c>
    </row>
    <row r="57" spans="1:6" s="70" customFormat="1" ht="39" customHeight="1" x14ac:dyDescent="0.25">
      <c r="A57" s="63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7" s="112" t="str">
        <f t="shared" ref="B57:E57" si="19">B33</f>
        <v>test chemical</v>
      </c>
      <c r="C57" s="112">
        <f t="shared" si="19"/>
        <v>0</v>
      </c>
      <c r="D57" s="112">
        <f t="shared" si="19"/>
        <v>0</v>
      </c>
      <c r="E57" s="112">
        <f t="shared" si="19"/>
        <v>0</v>
      </c>
      <c r="F57" s="72" t="s">
        <v>13</v>
      </c>
    </row>
  </sheetData>
  <protectedRanges>
    <protectedRange sqref="C19:D37 A15:A51 C15:C18" name="Plage1_1"/>
  </protectedRanges>
  <mergeCells count="8">
    <mergeCell ref="A5:I5"/>
    <mergeCell ref="A1:I1"/>
    <mergeCell ref="C2:D2"/>
    <mergeCell ref="C3:D3"/>
    <mergeCell ref="C4:D4"/>
    <mergeCell ref="F4:I4"/>
    <mergeCell ref="F3:I3"/>
    <mergeCell ref="F2:I2"/>
  </mergeCells>
  <dataValidations count="1">
    <dataValidation type="custom" allowBlank="1" showInputMessage="1" showErrorMessage="1" sqref="E7:E37" xr:uid="{E0A8F951-ED76-4488-98E3-F13AD7875916}">
      <formula1>ISERROR(SEARCH("-",E7))=TRUE</formula1>
    </dataValidation>
  </dataValidations>
  <pageMargins left="0.7" right="0.7" top="0.75" bottom="0.75" header="0.3" footer="0.3"/>
  <pageSetup paperSize="9" scale="35" orientation="landscape" r:id="rId1"/>
  <headerFooter>
    <oddHeader>&amp;C&amp;"-,Gras"&amp;20Résultats&amp;R&amp;"-,Gras"&amp;20Page : &amp;P/&amp;P</oddHead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74"/>
  <sheetViews>
    <sheetView showGridLines="0" zoomScale="85" zoomScaleNormal="85" zoomScaleSheetLayoutView="40" zoomScalePageLayoutView="30" workbookViewId="0">
      <pane xSplit="1" topLeftCell="R1" activePane="topRight" state="frozen"/>
      <selection pane="topRight" activeCell="V5" sqref="V5:V12"/>
    </sheetView>
  </sheetViews>
  <sheetFormatPr baseColWidth="10" defaultColWidth="9.140625" defaultRowHeight="15" x14ac:dyDescent="0.25"/>
  <cols>
    <col min="1" max="1" width="29.5703125" style="1" customWidth="1"/>
    <col min="2" max="2" width="14.85546875" style="1" customWidth="1"/>
    <col min="3" max="5" width="25.85546875" style="1" bestFit="1" customWidth="1"/>
    <col min="6" max="8" width="26.42578125" style="1" bestFit="1" customWidth="1"/>
    <col min="9" max="9" width="26.42578125" style="1" customWidth="1"/>
    <col min="10" max="10" width="25.85546875" style="1" bestFit="1" customWidth="1"/>
    <col min="11" max="11" width="26.42578125" style="1" bestFit="1" customWidth="1"/>
    <col min="12" max="13" width="26.42578125" style="1" customWidth="1"/>
    <col min="14" max="14" width="18.28515625" bestFit="1" customWidth="1"/>
    <col min="15" max="15" width="14.85546875" customWidth="1"/>
    <col min="16" max="16" width="17.7109375" customWidth="1"/>
    <col min="17" max="18" width="25.85546875" bestFit="1" customWidth="1"/>
    <col min="19" max="22" width="25.85546875" style="1" customWidth="1"/>
  </cols>
  <sheetData>
    <row r="1" spans="1:22" s="1" customFormat="1" ht="27" thickBot="1" x14ac:dyDescent="0.45">
      <c r="A1" s="133"/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</row>
    <row r="2" spans="1:22" ht="15.75" thickBot="1" x14ac:dyDescent="0.3">
      <c r="A2"/>
      <c r="B2"/>
      <c r="C2"/>
      <c r="D2"/>
      <c r="E2"/>
      <c r="F2"/>
      <c r="G2"/>
      <c r="H2"/>
      <c r="I2"/>
      <c r="J2"/>
      <c r="K2"/>
      <c r="L2"/>
      <c r="M2"/>
      <c r="S2"/>
      <c r="T2"/>
      <c r="U2"/>
      <c r="V2"/>
    </row>
    <row r="3" spans="1:22" ht="15.75" thickBot="1" x14ac:dyDescent="0.3">
      <c r="A3" s="35" t="s">
        <v>5</v>
      </c>
      <c r="B3" s="141" t="s">
        <v>41</v>
      </c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O3" s="141" t="s">
        <v>42</v>
      </c>
      <c r="P3" s="142"/>
      <c r="Q3" s="142"/>
      <c r="R3" s="142"/>
      <c r="S3" s="142"/>
      <c r="T3" s="142"/>
      <c r="U3" s="142"/>
      <c r="V3" s="142"/>
    </row>
    <row r="4" spans="1:22" x14ac:dyDescent="0.25">
      <c r="A4" s="19" t="s">
        <v>36</v>
      </c>
      <c r="B4" s="20" t="str">
        <f>'Front page'!A7</f>
        <v>Solvent control</v>
      </c>
      <c r="C4" s="20" t="str">
        <f>'Front page'!A8</f>
        <v>EE2-33.8ng/L</v>
      </c>
      <c r="D4" s="20" t="str">
        <f>'Front page'!A9</f>
        <v>EE2-50.6ng/L</v>
      </c>
      <c r="E4" s="20" t="str">
        <f>'Front page'!A10</f>
        <v>EE2-76ng/L</v>
      </c>
      <c r="F4" s="20" t="str">
        <f>'Front page'!A11</f>
        <v>EE2-114ng/L</v>
      </c>
      <c r="G4" s="20" t="str">
        <f>'Front page'!A12</f>
        <v>EE2-170.9ng/L</v>
      </c>
      <c r="H4" s="20" t="str">
        <f>'Front page'!A13</f>
        <v>EE2-488ng/L</v>
      </c>
      <c r="I4" s="20" t="str">
        <f>'Front page'!A14</f>
        <v>Dutasteride-0.01mg/L</v>
      </c>
      <c r="J4" s="20" t="str">
        <f>'Front page'!A15</f>
        <v>Dutasteride-0.1mg/L</v>
      </c>
      <c r="K4" s="20" t="str">
        <f>'Front page'!A16</f>
        <v>Dutasteride-0.25mg/L</v>
      </c>
      <c r="L4" s="20" t="str">
        <f>'Front page'!A17</f>
        <v>Dutasteride-0.5mg/L</v>
      </c>
      <c r="M4" s="20" t="str">
        <f>'Front page'!A18</f>
        <v>Dutasteride-1.0mg/L</v>
      </c>
      <c r="N4" s="3"/>
      <c r="O4" s="21" t="str">
        <f>'Front page'!A35</f>
        <v>Testo -30µg/L</v>
      </c>
      <c r="P4" s="21" t="str">
        <f>'Front page'!A36</f>
        <v>Testo 30µg/L + EE2 -64ng/L</v>
      </c>
      <c r="Q4" s="21" t="str">
        <f>'Front page'!A37</f>
        <v>Testo 30µg/L + FAD-10mg/L</v>
      </c>
      <c r="R4" s="21" t="str">
        <f>'Front page'!A38</f>
        <v>Dutasteride-0.01mg/L + Testostérone</v>
      </c>
      <c r="S4" s="21" t="str">
        <f>'Front page'!A39</f>
        <v>Dutasteride-0.1mg/L + Testostérone</v>
      </c>
      <c r="T4" s="21" t="str">
        <f>'Front page'!A40</f>
        <v>Dutasteride-0.25mg/L + Testostérone</v>
      </c>
      <c r="U4" s="21" t="str">
        <f>'Front page'!A41</f>
        <v>Dutasteride-0.5mg/L + Testostérone</v>
      </c>
      <c r="V4" s="21" t="str">
        <f>'Front page'!A42</f>
        <v>Dutasteride-1.0mg/L + Testostérone</v>
      </c>
    </row>
    <row r="5" spans="1:22" x14ac:dyDescent="0.25">
      <c r="A5" s="137" t="s">
        <v>34</v>
      </c>
      <c r="B5" s="1">
        <v>0</v>
      </c>
      <c r="C5" s="1">
        <v>84</v>
      </c>
      <c r="D5" s="1">
        <v>4759</v>
      </c>
      <c r="E5" s="1">
        <v>0</v>
      </c>
      <c r="F5" s="1">
        <v>57136</v>
      </c>
      <c r="G5" s="1">
        <v>229945</v>
      </c>
      <c r="H5" s="1">
        <v>384323</v>
      </c>
      <c r="I5" s="1">
        <v>15566</v>
      </c>
      <c r="J5" s="1">
        <v>80</v>
      </c>
      <c r="K5" s="1">
        <v>82</v>
      </c>
      <c r="L5" s="1">
        <v>0</v>
      </c>
      <c r="M5" s="1">
        <v>0</v>
      </c>
      <c r="N5" s="3"/>
      <c r="O5" s="1">
        <v>145592</v>
      </c>
      <c r="P5" s="1">
        <v>221521</v>
      </c>
      <c r="Q5" s="1">
        <v>0</v>
      </c>
      <c r="R5" s="1">
        <v>284390</v>
      </c>
      <c r="S5" s="1">
        <v>208482</v>
      </c>
      <c r="T5" s="1">
        <v>186910</v>
      </c>
      <c r="U5" s="1">
        <v>252290</v>
      </c>
      <c r="V5" s="1">
        <v>190477</v>
      </c>
    </row>
    <row r="6" spans="1:22" x14ac:dyDescent="0.25">
      <c r="A6" s="138"/>
      <c r="B6" s="1">
        <v>5397</v>
      </c>
      <c r="C6" s="1">
        <v>492</v>
      </c>
      <c r="D6" s="1">
        <v>0</v>
      </c>
      <c r="E6" s="1">
        <v>0</v>
      </c>
      <c r="F6" s="1">
        <v>63447</v>
      </c>
      <c r="G6" s="1">
        <v>192857</v>
      </c>
      <c r="H6" s="1">
        <v>72031</v>
      </c>
      <c r="I6" s="1">
        <v>82</v>
      </c>
      <c r="J6" s="1">
        <v>0</v>
      </c>
      <c r="K6" s="1">
        <v>0</v>
      </c>
      <c r="L6" s="1">
        <v>1255</v>
      </c>
      <c r="M6" s="1">
        <v>1235</v>
      </c>
      <c r="N6" s="3"/>
      <c r="O6" s="1">
        <v>90357</v>
      </c>
      <c r="P6" s="1">
        <v>225212</v>
      </c>
      <c r="Q6" s="1">
        <v>0</v>
      </c>
      <c r="R6" s="1">
        <v>110593</v>
      </c>
      <c r="S6" s="1">
        <v>221000</v>
      </c>
      <c r="T6" s="1">
        <v>200527</v>
      </c>
      <c r="U6" s="1">
        <v>238156</v>
      </c>
      <c r="V6" s="1">
        <v>174116</v>
      </c>
    </row>
    <row r="7" spans="1:22" x14ac:dyDescent="0.25">
      <c r="A7" s="138"/>
      <c r="B7" s="1">
        <v>0</v>
      </c>
      <c r="C7" s="1">
        <v>1805</v>
      </c>
      <c r="D7" s="1">
        <v>5374</v>
      </c>
      <c r="E7" s="1">
        <v>0</v>
      </c>
      <c r="F7" s="1">
        <v>187549</v>
      </c>
      <c r="G7" s="1">
        <v>272985</v>
      </c>
      <c r="H7" s="1">
        <v>200773</v>
      </c>
      <c r="I7" s="1">
        <v>2814</v>
      </c>
      <c r="J7" s="1">
        <v>5085</v>
      </c>
      <c r="K7" s="1">
        <v>5545</v>
      </c>
      <c r="L7" s="1">
        <v>978</v>
      </c>
      <c r="M7" s="1">
        <v>0</v>
      </c>
      <c r="N7" s="3"/>
      <c r="O7" s="1">
        <v>117170</v>
      </c>
      <c r="P7" s="1">
        <v>222596</v>
      </c>
      <c r="Q7" s="1">
        <v>0</v>
      </c>
      <c r="R7" s="1">
        <v>195852</v>
      </c>
      <c r="S7" s="1">
        <v>150816</v>
      </c>
      <c r="T7" s="1">
        <v>180943</v>
      </c>
      <c r="U7" s="1">
        <v>251782</v>
      </c>
      <c r="V7" s="1">
        <v>182961</v>
      </c>
    </row>
    <row r="8" spans="1:22" x14ac:dyDescent="0.25">
      <c r="A8" s="138"/>
      <c r="B8" s="1">
        <v>9899</v>
      </c>
      <c r="C8" s="1">
        <v>7695</v>
      </c>
      <c r="D8" s="1">
        <v>0</v>
      </c>
      <c r="E8" s="1">
        <v>14620</v>
      </c>
      <c r="F8" s="1">
        <v>184605</v>
      </c>
      <c r="G8" s="1">
        <v>303430</v>
      </c>
      <c r="H8" s="1">
        <v>188124</v>
      </c>
      <c r="I8" s="1">
        <v>1216</v>
      </c>
      <c r="J8" s="1">
        <v>327</v>
      </c>
      <c r="K8" s="1">
        <v>1296</v>
      </c>
      <c r="L8" s="1">
        <v>8376</v>
      </c>
      <c r="M8" s="1">
        <v>0</v>
      </c>
      <c r="N8" s="3"/>
      <c r="O8" s="1">
        <v>177409</v>
      </c>
      <c r="P8" s="1">
        <v>326862</v>
      </c>
      <c r="Q8" s="1">
        <v>0</v>
      </c>
      <c r="R8" s="1">
        <v>157694</v>
      </c>
      <c r="S8" s="1">
        <v>193211</v>
      </c>
      <c r="T8" s="1">
        <v>139860</v>
      </c>
      <c r="U8" s="1">
        <v>122620</v>
      </c>
      <c r="V8" s="1">
        <v>223487</v>
      </c>
    </row>
    <row r="9" spans="1:22" x14ac:dyDescent="0.25">
      <c r="A9" s="138"/>
      <c r="B9" s="1">
        <v>161</v>
      </c>
      <c r="C9" s="1">
        <v>0</v>
      </c>
      <c r="D9" s="1">
        <v>11228</v>
      </c>
      <c r="E9" s="1">
        <v>11917</v>
      </c>
      <c r="F9" s="1">
        <v>170630</v>
      </c>
      <c r="G9" s="1">
        <v>186030</v>
      </c>
      <c r="H9" s="1">
        <v>387356</v>
      </c>
      <c r="I9" s="1">
        <v>2131</v>
      </c>
      <c r="J9" s="1">
        <v>1197</v>
      </c>
      <c r="K9" s="1">
        <v>0</v>
      </c>
      <c r="L9" s="1">
        <v>0</v>
      </c>
      <c r="M9" s="1">
        <v>0</v>
      </c>
      <c r="N9" s="3"/>
      <c r="O9" s="1">
        <v>138120</v>
      </c>
      <c r="P9" s="1">
        <v>69256</v>
      </c>
      <c r="Q9" s="1">
        <v>10598</v>
      </c>
      <c r="R9" s="1">
        <v>9793</v>
      </c>
      <c r="S9" s="1">
        <v>166590</v>
      </c>
      <c r="T9" s="1">
        <v>295555</v>
      </c>
      <c r="U9" s="1">
        <v>193261</v>
      </c>
      <c r="V9" s="1">
        <v>197421</v>
      </c>
    </row>
    <row r="10" spans="1:22" x14ac:dyDescent="0.25">
      <c r="A10" s="138"/>
      <c r="B10" s="1">
        <v>0</v>
      </c>
      <c r="C10" s="1">
        <v>10828</v>
      </c>
      <c r="D10" s="1">
        <v>1092</v>
      </c>
      <c r="E10" s="1">
        <v>1105</v>
      </c>
      <c r="F10" s="1">
        <v>197231</v>
      </c>
      <c r="G10" s="1">
        <v>122923</v>
      </c>
      <c r="H10" s="1">
        <v>331581</v>
      </c>
      <c r="I10" s="1">
        <v>173</v>
      </c>
      <c r="J10" s="1">
        <v>4356</v>
      </c>
      <c r="K10" s="1">
        <v>5004</v>
      </c>
      <c r="L10" s="1">
        <v>643</v>
      </c>
      <c r="M10" s="1">
        <v>891</v>
      </c>
      <c r="N10" s="3"/>
      <c r="O10" s="1">
        <v>221462</v>
      </c>
      <c r="P10" s="1">
        <v>223783</v>
      </c>
      <c r="Q10" s="1">
        <v>0</v>
      </c>
      <c r="R10" s="1">
        <v>148737</v>
      </c>
      <c r="S10" s="1">
        <v>230382</v>
      </c>
      <c r="T10" s="1">
        <v>258719</v>
      </c>
      <c r="U10" s="1">
        <v>241623</v>
      </c>
      <c r="V10" s="1">
        <v>127505</v>
      </c>
    </row>
    <row r="11" spans="1:22" x14ac:dyDescent="0.25">
      <c r="A11" s="138"/>
      <c r="B11" s="1">
        <v>8350</v>
      </c>
      <c r="C11" s="1">
        <v>0</v>
      </c>
      <c r="D11" s="1">
        <v>10125</v>
      </c>
      <c r="E11" s="1">
        <v>100739</v>
      </c>
      <c r="F11" s="1">
        <v>95417</v>
      </c>
      <c r="G11" s="1">
        <v>214037</v>
      </c>
      <c r="H11" s="1">
        <v>214956</v>
      </c>
      <c r="I11" s="1">
        <v>7841</v>
      </c>
      <c r="J11" s="1">
        <v>856</v>
      </c>
      <c r="K11" s="1">
        <v>0</v>
      </c>
      <c r="L11" s="1">
        <v>0</v>
      </c>
      <c r="M11" s="1">
        <v>0</v>
      </c>
      <c r="N11" s="3"/>
      <c r="O11" s="1">
        <v>5491</v>
      </c>
      <c r="P11" s="1">
        <v>227020</v>
      </c>
      <c r="Q11" s="1">
        <v>2972</v>
      </c>
      <c r="R11" s="1">
        <v>154157</v>
      </c>
      <c r="S11" s="1">
        <v>196758</v>
      </c>
      <c r="T11" s="1">
        <v>178873</v>
      </c>
      <c r="U11" s="1">
        <v>169082</v>
      </c>
      <c r="V11" s="1">
        <v>292599</v>
      </c>
    </row>
    <row r="12" spans="1:22" x14ac:dyDescent="0.25">
      <c r="A12" s="138"/>
      <c r="B12" s="1">
        <v>82</v>
      </c>
      <c r="C12" s="1">
        <v>0</v>
      </c>
      <c r="D12" s="1">
        <v>973</v>
      </c>
      <c r="E12" s="1">
        <v>4135</v>
      </c>
      <c r="F12" s="1">
        <v>22555</v>
      </c>
      <c r="G12" s="1">
        <v>116713</v>
      </c>
      <c r="H12" s="1">
        <v>229325</v>
      </c>
      <c r="I12" s="1">
        <v>10768</v>
      </c>
      <c r="J12" s="16"/>
      <c r="K12" s="1">
        <v>0</v>
      </c>
      <c r="L12" s="1">
        <v>243</v>
      </c>
      <c r="M12" s="1">
        <v>0</v>
      </c>
      <c r="N12" s="3"/>
      <c r="O12" s="1">
        <v>128140</v>
      </c>
      <c r="P12" s="1">
        <v>209035</v>
      </c>
      <c r="Q12" s="1">
        <v>333</v>
      </c>
      <c r="R12" s="1">
        <v>209390</v>
      </c>
      <c r="S12" s="1">
        <v>164441</v>
      </c>
      <c r="T12" s="1">
        <v>267680</v>
      </c>
      <c r="U12" s="1">
        <v>130311</v>
      </c>
      <c r="V12" s="1">
        <v>49617</v>
      </c>
    </row>
    <row r="13" spans="1:22" ht="16.5" x14ac:dyDescent="0.25">
      <c r="A13" s="138"/>
      <c r="B13" s="14"/>
      <c r="C13" s="13"/>
      <c r="D13" s="16"/>
      <c r="E13" s="16"/>
      <c r="F13" s="16"/>
      <c r="G13" s="16"/>
      <c r="H13" s="16"/>
      <c r="I13" s="17"/>
      <c r="J13" s="16"/>
      <c r="K13" s="13"/>
      <c r="L13" s="13"/>
      <c r="M13" s="13"/>
      <c r="N13" s="3"/>
      <c r="O13" s="1">
        <v>485</v>
      </c>
      <c r="P13" s="13"/>
      <c r="Q13" s="13"/>
      <c r="R13" s="4"/>
      <c r="S13" s="17"/>
      <c r="T13" s="17"/>
      <c r="U13" s="17"/>
      <c r="V13" s="17"/>
    </row>
    <row r="14" spans="1:22" ht="16.5" x14ac:dyDescent="0.25">
      <c r="A14" s="138"/>
      <c r="B14" s="14"/>
      <c r="C14" s="16"/>
      <c r="D14" s="16"/>
      <c r="E14" s="16"/>
      <c r="F14" s="16"/>
      <c r="G14" s="16"/>
      <c r="H14" s="16"/>
      <c r="I14" s="17"/>
      <c r="J14" s="16"/>
      <c r="K14" s="13"/>
      <c r="L14" s="13"/>
      <c r="M14" s="13"/>
      <c r="N14" s="3"/>
      <c r="O14" s="1">
        <v>155407</v>
      </c>
      <c r="P14" s="13"/>
      <c r="Q14" s="13"/>
      <c r="R14" s="4"/>
      <c r="S14" s="17"/>
      <c r="T14" s="17"/>
      <c r="U14" s="17"/>
      <c r="V14" s="17"/>
    </row>
    <row r="15" spans="1:22" ht="16.5" x14ac:dyDescent="0.25">
      <c r="A15" s="138"/>
      <c r="B15" s="14"/>
      <c r="C15" s="16"/>
      <c r="D15" s="16"/>
      <c r="E15" s="16"/>
      <c r="F15" s="16"/>
      <c r="G15" s="16"/>
      <c r="H15" s="16"/>
      <c r="I15" s="17"/>
      <c r="J15" s="16"/>
      <c r="K15" s="13"/>
      <c r="L15" s="13"/>
      <c r="M15" s="13"/>
      <c r="N15" s="3"/>
      <c r="O15" s="1">
        <v>74129</v>
      </c>
      <c r="P15" s="13"/>
      <c r="Q15" s="13"/>
      <c r="R15" s="4"/>
      <c r="S15" s="17"/>
      <c r="T15" s="17"/>
      <c r="U15" s="17"/>
      <c r="V15" s="17"/>
    </row>
    <row r="16" spans="1:22" ht="16.5" x14ac:dyDescent="0.25">
      <c r="A16" s="138"/>
      <c r="B16" s="14"/>
      <c r="C16" s="16"/>
      <c r="D16" s="16"/>
      <c r="E16" s="16"/>
      <c r="F16" s="16"/>
      <c r="G16" s="16"/>
      <c r="H16" s="16"/>
      <c r="I16" s="17"/>
      <c r="J16" s="16"/>
      <c r="K16" s="13"/>
      <c r="L16" s="13"/>
      <c r="M16" s="13"/>
      <c r="N16" s="3"/>
      <c r="O16" s="1">
        <v>105381</v>
      </c>
      <c r="P16" s="13"/>
      <c r="Q16" s="13"/>
      <c r="R16" s="4"/>
      <c r="S16" s="17"/>
      <c r="T16" s="17"/>
      <c r="U16" s="17"/>
      <c r="V16" s="17"/>
    </row>
    <row r="17" spans="1:22" s="1" customFormat="1" ht="16.5" x14ac:dyDescent="0.25">
      <c r="A17" s="138"/>
      <c r="B17" s="14"/>
      <c r="C17" s="17"/>
      <c r="D17" s="17"/>
      <c r="E17" s="17"/>
      <c r="F17" s="17"/>
      <c r="G17" s="17"/>
      <c r="H17" s="17"/>
      <c r="I17" s="17"/>
      <c r="J17" s="17"/>
      <c r="K17" s="13"/>
      <c r="L17" s="13"/>
      <c r="M17" s="13"/>
      <c r="N17" s="3"/>
      <c r="O17" s="1">
        <v>160847</v>
      </c>
      <c r="P17" s="13"/>
      <c r="Q17" s="13"/>
      <c r="R17" s="17"/>
      <c r="S17" s="17"/>
      <c r="T17" s="17"/>
      <c r="U17" s="17"/>
      <c r="V17" s="17"/>
    </row>
    <row r="18" spans="1:22" s="1" customFormat="1" ht="16.5" x14ac:dyDescent="0.25">
      <c r="A18" s="138"/>
      <c r="B18" s="14"/>
      <c r="C18" s="17"/>
      <c r="D18" s="17"/>
      <c r="E18" s="17"/>
      <c r="F18" s="17"/>
      <c r="G18" s="17"/>
      <c r="H18" s="17"/>
      <c r="I18" s="17"/>
      <c r="J18" s="17"/>
      <c r="K18" s="13"/>
      <c r="L18" s="13"/>
      <c r="M18" s="13"/>
      <c r="N18" s="3"/>
      <c r="O18" s="1">
        <v>205835</v>
      </c>
      <c r="P18" s="13"/>
      <c r="Q18" s="13"/>
      <c r="R18" s="17"/>
      <c r="S18" s="17"/>
      <c r="T18" s="17"/>
      <c r="U18" s="17"/>
      <c r="V18" s="17"/>
    </row>
    <row r="19" spans="1:22" s="1" customFormat="1" ht="16.5" x14ac:dyDescent="0.25">
      <c r="A19" s="138"/>
      <c r="B19" s="14"/>
      <c r="C19" s="17"/>
      <c r="D19" s="17"/>
      <c r="E19" s="17"/>
      <c r="F19" s="17"/>
      <c r="G19" s="17"/>
      <c r="H19" s="17"/>
      <c r="I19" s="17"/>
      <c r="J19" s="17"/>
      <c r="K19" s="13"/>
      <c r="L19" s="13"/>
      <c r="M19" s="13"/>
      <c r="N19" s="3"/>
      <c r="O19" s="1">
        <v>22222</v>
      </c>
      <c r="P19" s="13"/>
      <c r="Q19" s="13"/>
      <c r="R19" s="17"/>
      <c r="S19" s="17"/>
      <c r="T19" s="17"/>
      <c r="U19" s="17"/>
      <c r="V19" s="17"/>
    </row>
    <row r="20" spans="1:22" ht="16.5" x14ac:dyDescent="0.25">
      <c r="A20" s="138"/>
      <c r="B20" s="14"/>
      <c r="C20" s="16"/>
      <c r="D20" s="16"/>
      <c r="E20" s="16"/>
      <c r="F20" s="16"/>
      <c r="G20" s="16"/>
      <c r="H20" s="16"/>
      <c r="I20" s="17"/>
      <c r="J20" s="16"/>
      <c r="K20" s="13"/>
      <c r="L20" s="13"/>
      <c r="M20" s="13"/>
      <c r="N20" s="3"/>
      <c r="O20" s="1">
        <v>136204</v>
      </c>
      <c r="P20" s="13"/>
      <c r="Q20" s="13"/>
      <c r="R20" s="4"/>
      <c r="S20" s="17"/>
      <c r="T20" s="17"/>
      <c r="U20" s="17"/>
      <c r="V20" s="17"/>
    </row>
    <row r="21" spans="1:22" s="1" customFormat="1" ht="16.5" x14ac:dyDescent="0.25">
      <c r="A21" s="49"/>
      <c r="B21" s="50"/>
      <c r="C21" s="7"/>
      <c r="D21" s="7"/>
      <c r="E21" s="7"/>
      <c r="F21" s="7"/>
      <c r="G21" s="7"/>
      <c r="H21" s="7"/>
      <c r="I21" s="7"/>
      <c r="J21" s="7"/>
      <c r="K21" s="18"/>
      <c r="L21" s="18"/>
      <c r="M21" s="18"/>
      <c r="N21" s="3"/>
      <c r="O21" s="7"/>
      <c r="P21" s="18"/>
      <c r="Q21" s="18"/>
      <c r="R21" s="7"/>
      <c r="S21" s="7"/>
      <c r="T21" s="7"/>
      <c r="U21" s="7"/>
      <c r="V21" s="7"/>
    </row>
    <row r="22" spans="1:22" s="52" customFormat="1" x14ac:dyDescent="0.25">
      <c r="A22" s="51" t="str">
        <f t="shared" ref="A22:M22" si="0">A4</f>
        <v>Group names</v>
      </c>
      <c r="B22" s="51" t="str">
        <f t="shared" si="0"/>
        <v>Solvent control</v>
      </c>
      <c r="C22" s="51" t="str">
        <f t="shared" si="0"/>
        <v>EE2-33.8ng/L</v>
      </c>
      <c r="D22" s="51" t="str">
        <f t="shared" si="0"/>
        <v>EE2-50.6ng/L</v>
      </c>
      <c r="E22" s="51" t="str">
        <f t="shared" si="0"/>
        <v>EE2-76ng/L</v>
      </c>
      <c r="F22" s="51" t="str">
        <f t="shared" si="0"/>
        <v>EE2-114ng/L</v>
      </c>
      <c r="G22" s="51" t="str">
        <f t="shared" si="0"/>
        <v>EE2-170.9ng/L</v>
      </c>
      <c r="H22" s="51" t="str">
        <f t="shared" si="0"/>
        <v>EE2-488ng/L</v>
      </c>
      <c r="I22" s="51" t="str">
        <f t="shared" si="0"/>
        <v>Dutasteride-0.01mg/L</v>
      </c>
      <c r="J22" s="51" t="str">
        <f t="shared" si="0"/>
        <v>Dutasteride-0.1mg/L</v>
      </c>
      <c r="K22" s="51" t="str">
        <f t="shared" si="0"/>
        <v>Dutasteride-0.25mg/L</v>
      </c>
      <c r="L22" s="51" t="str">
        <f t="shared" si="0"/>
        <v>Dutasteride-0.5mg/L</v>
      </c>
      <c r="M22" s="51" t="str">
        <f t="shared" si="0"/>
        <v>Dutasteride-1.0mg/L</v>
      </c>
      <c r="N22" s="51" t="s">
        <v>12</v>
      </c>
      <c r="O22" s="51" t="str">
        <f t="shared" ref="O22:V22" si="1">O4</f>
        <v>Testo -30µg/L</v>
      </c>
      <c r="P22" s="51" t="str">
        <f t="shared" si="1"/>
        <v>Testo 30µg/L + EE2 -64ng/L</v>
      </c>
      <c r="Q22" s="51" t="str">
        <f t="shared" si="1"/>
        <v>Testo 30µg/L + FAD-10mg/L</v>
      </c>
      <c r="R22" s="51" t="str">
        <f t="shared" si="1"/>
        <v>Dutasteride-0.01mg/L + Testostérone</v>
      </c>
      <c r="S22" s="51" t="str">
        <f t="shared" si="1"/>
        <v>Dutasteride-0.1mg/L + Testostérone</v>
      </c>
      <c r="T22" s="51" t="str">
        <f t="shared" si="1"/>
        <v>Dutasteride-0.25mg/L + Testostérone</v>
      </c>
      <c r="U22" s="51" t="str">
        <f t="shared" si="1"/>
        <v>Dutasteride-0.5mg/L + Testostérone</v>
      </c>
      <c r="V22" s="51" t="str">
        <f t="shared" si="1"/>
        <v>Dutasteride-1.0mg/L + Testostérone</v>
      </c>
    </row>
    <row r="23" spans="1:22" x14ac:dyDescent="0.25">
      <c r="A23" s="5" t="s">
        <v>0</v>
      </c>
      <c r="B23" s="5">
        <f t="shared" ref="B23:M23" si="2">AVERAGE(B5:B20)</f>
        <v>2986.125</v>
      </c>
      <c r="C23" s="5">
        <f t="shared" si="2"/>
        <v>2613</v>
      </c>
      <c r="D23" s="5">
        <f t="shared" si="2"/>
        <v>4193.875</v>
      </c>
      <c r="E23" s="5">
        <f t="shared" si="2"/>
        <v>16564.5</v>
      </c>
      <c r="F23" s="5">
        <f t="shared" si="2"/>
        <v>122321.25</v>
      </c>
      <c r="G23" s="5">
        <f t="shared" si="2"/>
        <v>204865</v>
      </c>
      <c r="H23" s="5">
        <f t="shared" si="2"/>
        <v>251058.625</v>
      </c>
      <c r="I23" s="5">
        <f t="shared" si="2"/>
        <v>5073.875</v>
      </c>
      <c r="J23" s="5">
        <f t="shared" si="2"/>
        <v>1700.1428571428571</v>
      </c>
      <c r="K23" s="5">
        <f t="shared" si="2"/>
        <v>1490.875</v>
      </c>
      <c r="L23" s="5">
        <f t="shared" si="2"/>
        <v>1436.875</v>
      </c>
      <c r="M23" s="5">
        <f t="shared" si="2"/>
        <v>265.75</v>
      </c>
      <c r="N23" s="5" t="s">
        <v>0</v>
      </c>
      <c r="O23" s="5">
        <f t="shared" ref="O23:V23" si="3">AVERAGE(O5:O20)</f>
        <v>117765.6875</v>
      </c>
      <c r="P23" s="5">
        <f t="shared" si="3"/>
        <v>215660.625</v>
      </c>
      <c r="Q23" s="5">
        <f t="shared" si="3"/>
        <v>1737.875</v>
      </c>
      <c r="R23" s="5">
        <f t="shared" si="3"/>
        <v>158825.75</v>
      </c>
      <c r="S23" s="5">
        <f t="shared" si="3"/>
        <v>191460</v>
      </c>
      <c r="T23" s="5">
        <f t="shared" si="3"/>
        <v>213633.375</v>
      </c>
      <c r="U23" s="5">
        <f t="shared" si="3"/>
        <v>199890.625</v>
      </c>
      <c r="V23" s="5">
        <f t="shared" si="3"/>
        <v>179772.875</v>
      </c>
    </row>
    <row r="24" spans="1:22" x14ac:dyDescent="0.25">
      <c r="A24" s="3" t="s">
        <v>1</v>
      </c>
      <c r="B24" s="3">
        <f t="shared" ref="B24:M24" si="4">STDEV(B5:B20)</f>
        <v>4234.8455002177216</v>
      </c>
      <c r="C24" s="3">
        <f t="shared" si="4"/>
        <v>4231.5752217280578</v>
      </c>
      <c r="D24" s="3">
        <f t="shared" si="4"/>
        <v>4496.6981358547964</v>
      </c>
      <c r="E24" s="3">
        <f t="shared" si="4"/>
        <v>34490.916771148397</v>
      </c>
      <c r="F24" s="3">
        <f t="shared" si="4"/>
        <v>70174.851308814934</v>
      </c>
      <c r="G24" s="3">
        <f t="shared" si="4"/>
        <v>65522.887349165474</v>
      </c>
      <c r="H24" s="3">
        <f t="shared" si="4"/>
        <v>108979.86220128338</v>
      </c>
      <c r="I24" s="3">
        <f t="shared" si="4"/>
        <v>5704.0445158927114</v>
      </c>
      <c r="J24" s="3">
        <f t="shared" si="4"/>
        <v>2116.5000534350279</v>
      </c>
      <c r="K24" s="3">
        <f t="shared" si="4"/>
        <v>2381.2276208172239</v>
      </c>
      <c r="L24" s="3">
        <f t="shared" si="4"/>
        <v>2844.6567675204683</v>
      </c>
      <c r="M24" s="3">
        <f t="shared" si="4"/>
        <v>500.58843945329551</v>
      </c>
      <c r="N24" s="3" t="s">
        <v>1</v>
      </c>
      <c r="O24" s="3">
        <f t="shared" ref="O24:V24" si="5">STDEV(O5:O20)</f>
        <v>65966.463394383201</v>
      </c>
      <c r="P24" s="3">
        <f t="shared" si="5"/>
        <v>69910.799790952995</v>
      </c>
      <c r="Q24" s="3">
        <f t="shared" si="5"/>
        <v>3724.429023833241</v>
      </c>
      <c r="R24" s="3">
        <f t="shared" si="5"/>
        <v>79602.662510657989</v>
      </c>
      <c r="S24" s="3">
        <f t="shared" si="5"/>
        <v>28557.9485307631</v>
      </c>
      <c r="T24" s="3">
        <f t="shared" si="5"/>
        <v>53812.206371357526</v>
      </c>
      <c r="U24" s="3">
        <f t="shared" si="5"/>
        <v>54049.496299853316</v>
      </c>
      <c r="V24" s="3">
        <f t="shared" si="5"/>
        <v>70489.452853271403</v>
      </c>
    </row>
    <row r="25" spans="1:22" ht="15.75" thickBot="1" x14ac:dyDescent="0.3"/>
    <row r="26" spans="1:22" ht="15.75" thickBot="1" x14ac:dyDescent="0.3">
      <c r="B26" s="141" t="s">
        <v>41</v>
      </c>
      <c r="C26" s="142"/>
      <c r="D26" s="142"/>
      <c r="E26" s="142"/>
      <c r="F26" s="142"/>
      <c r="G26" s="142"/>
      <c r="H26" s="142"/>
      <c r="I26" s="142"/>
      <c r="J26" s="142"/>
      <c r="K26" s="142"/>
      <c r="L26" s="142"/>
      <c r="M26" s="142"/>
      <c r="N26" s="1"/>
      <c r="O26" s="141" t="s">
        <v>42</v>
      </c>
      <c r="P26" s="142"/>
      <c r="Q26" s="142"/>
      <c r="R26" s="142"/>
      <c r="S26" s="142"/>
      <c r="T26" s="142"/>
      <c r="U26" s="142"/>
      <c r="V26" s="142"/>
    </row>
    <row r="27" spans="1:22" s="1" customFormat="1" x14ac:dyDescent="0.25">
      <c r="A27" s="19" t="str">
        <f>A4</f>
        <v>Group names</v>
      </c>
      <c r="B27" s="20" t="str">
        <f t="shared" ref="B27:M27" si="6">B4</f>
        <v>Solvent control</v>
      </c>
      <c r="C27" s="20" t="str">
        <f t="shared" si="6"/>
        <v>EE2-33.8ng/L</v>
      </c>
      <c r="D27" s="20" t="str">
        <f t="shared" si="6"/>
        <v>EE2-50.6ng/L</v>
      </c>
      <c r="E27" s="20" t="str">
        <f t="shared" si="6"/>
        <v>EE2-76ng/L</v>
      </c>
      <c r="F27" s="20" t="str">
        <f t="shared" si="6"/>
        <v>EE2-114ng/L</v>
      </c>
      <c r="G27" s="20" t="str">
        <f t="shared" si="6"/>
        <v>EE2-170.9ng/L</v>
      </c>
      <c r="H27" s="20" t="str">
        <f t="shared" si="6"/>
        <v>EE2-488ng/L</v>
      </c>
      <c r="I27" s="20" t="str">
        <f t="shared" si="6"/>
        <v>Dutasteride-0.01mg/L</v>
      </c>
      <c r="J27" s="20" t="str">
        <f t="shared" si="6"/>
        <v>Dutasteride-0.1mg/L</v>
      </c>
      <c r="K27" s="20" t="str">
        <f t="shared" si="6"/>
        <v>Dutasteride-0.25mg/L</v>
      </c>
      <c r="L27" s="20" t="str">
        <f t="shared" si="6"/>
        <v>Dutasteride-0.5mg/L</v>
      </c>
      <c r="M27" s="20" t="str">
        <f t="shared" si="6"/>
        <v>Dutasteride-1.0mg/L</v>
      </c>
      <c r="N27" s="3"/>
      <c r="O27" s="21" t="str">
        <f t="shared" ref="O27:V27" si="7">O4</f>
        <v>Testo -30µg/L</v>
      </c>
      <c r="P27" s="21" t="str">
        <f t="shared" si="7"/>
        <v>Testo 30µg/L + EE2 -64ng/L</v>
      </c>
      <c r="Q27" s="21" t="str">
        <f t="shared" si="7"/>
        <v>Testo 30µg/L + FAD-10mg/L</v>
      </c>
      <c r="R27" s="21" t="str">
        <f t="shared" si="7"/>
        <v>Dutasteride-0.01mg/L + Testostérone</v>
      </c>
      <c r="S27" s="21" t="str">
        <f t="shared" si="7"/>
        <v>Dutasteride-0.1mg/L + Testostérone</v>
      </c>
      <c r="T27" s="21" t="str">
        <f t="shared" si="7"/>
        <v>Dutasteride-0.25mg/L + Testostérone</v>
      </c>
      <c r="U27" s="21" t="str">
        <f t="shared" si="7"/>
        <v>Dutasteride-0.5mg/L + Testostérone</v>
      </c>
      <c r="V27" s="21" t="str">
        <f t="shared" si="7"/>
        <v>Dutasteride-1.0mg/L + Testostérone</v>
      </c>
    </row>
    <row r="28" spans="1:22" x14ac:dyDescent="0.25">
      <c r="A28" s="139" t="s">
        <v>35</v>
      </c>
      <c r="B28" s="11">
        <f t="shared" ref="B28:M28" si="8">IF(B5="","",(B5/$O$23))</f>
        <v>0</v>
      </c>
      <c r="C28" s="11">
        <f t="shared" si="8"/>
        <v>7.1328076779579792E-4</v>
      </c>
      <c r="D28" s="11">
        <f t="shared" si="8"/>
        <v>4.0410752070716691E-2</v>
      </c>
      <c r="E28" s="11">
        <f t="shared" si="8"/>
        <v>0</v>
      </c>
      <c r="F28" s="11">
        <f t="shared" si="8"/>
        <v>0.48516678510453226</v>
      </c>
      <c r="G28" s="11">
        <f t="shared" si="8"/>
        <v>1.9525636446524375</v>
      </c>
      <c r="H28" s="11">
        <f t="shared" si="8"/>
        <v>3.263454815733148</v>
      </c>
      <c r="I28" s="11">
        <f t="shared" si="8"/>
        <v>0.13217771942273085</v>
      </c>
      <c r="J28" s="11">
        <f t="shared" si="8"/>
        <v>6.79315016948379E-4</v>
      </c>
      <c r="K28" s="11">
        <f t="shared" si="8"/>
        <v>6.9629789237208846E-4</v>
      </c>
      <c r="L28" s="11">
        <f t="shared" si="8"/>
        <v>0</v>
      </c>
      <c r="M28" s="11">
        <f t="shared" si="8"/>
        <v>0</v>
      </c>
      <c r="N28" s="6"/>
      <c r="O28" s="11">
        <f t="shared" ref="O28:V37" si="9">IF(O5="","",(O5/$O$23))</f>
        <v>1.2362853993443548</v>
      </c>
      <c r="P28" s="11">
        <f t="shared" si="9"/>
        <v>1.8810317733677733</v>
      </c>
      <c r="Q28" s="11">
        <f t="shared" si="9"/>
        <v>0</v>
      </c>
      <c r="R28" s="11">
        <f t="shared" si="9"/>
        <v>2.4148799708743685</v>
      </c>
      <c r="S28" s="11">
        <f t="shared" si="9"/>
        <v>1.7703119170428994</v>
      </c>
      <c r="T28" s="11">
        <f t="shared" si="9"/>
        <v>1.587134622722769</v>
      </c>
      <c r="U28" s="11">
        <f t="shared" si="9"/>
        <v>2.1423048203238317</v>
      </c>
      <c r="V28" s="11">
        <f t="shared" si="9"/>
        <v>1.6174235810409547</v>
      </c>
    </row>
    <row r="29" spans="1:22" x14ac:dyDescent="0.25">
      <c r="A29" s="140"/>
      <c r="B29" s="11">
        <f t="shared" ref="B29:M29" si="10">IF(B6="","",(B6/$O$23))</f>
        <v>4.5828289330880012E-2</v>
      </c>
      <c r="C29" s="11">
        <f t="shared" si="10"/>
        <v>4.177787354232531E-3</v>
      </c>
      <c r="D29" s="11">
        <f t="shared" si="10"/>
        <v>0</v>
      </c>
      <c r="E29" s="11">
        <f t="shared" si="10"/>
        <v>0</v>
      </c>
      <c r="F29" s="11">
        <f t="shared" si="10"/>
        <v>0.53875624850404746</v>
      </c>
      <c r="G29" s="11">
        <f t="shared" si="10"/>
        <v>1.637633202795169</v>
      </c>
      <c r="H29" s="11">
        <f t="shared" si="10"/>
        <v>0.61164674982260858</v>
      </c>
      <c r="I29" s="11">
        <f t="shared" si="10"/>
        <v>6.9629789237208846E-4</v>
      </c>
      <c r="J29" s="11">
        <f t="shared" si="10"/>
        <v>0</v>
      </c>
      <c r="K29" s="11">
        <f t="shared" si="10"/>
        <v>0</v>
      </c>
      <c r="L29" s="11">
        <f t="shared" si="10"/>
        <v>1.0656754328377696E-2</v>
      </c>
      <c r="M29" s="11">
        <f t="shared" si="10"/>
        <v>1.0486925574140601E-2</v>
      </c>
      <c r="N29" s="6"/>
      <c r="O29" s="11">
        <f t="shared" si="9"/>
        <v>0.76726083733005845</v>
      </c>
      <c r="P29" s="11">
        <f t="shared" si="9"/>
        <v>1.9123736699622291</v>
      </c>
      <c r="Q29" s="11">
        <f t="shared" si="9"/>
        <v>0</v>
      </c>
      <c r="R29" s="11">
        <f t="shared" si="9"/>
        <v>0.93909357086715095</v>
      </c>
      <c r="S29" s="11">
        <f t="shared" si="9"/>
        <v>1.8766077343198968</v>
      </c>
      <c r="T29" s="11">
        <f t="shared" si="9"/>
        <v>1.7027625300450948</v>
      </c>
      <c r="U29" s="11">
        <f t="shared" si="9"/>
        <v>2.0222868397044769</v>
      </c>
      <c r="V29" s="11">
        <f t="shared" si="9"/>
        <v>1.4784951686372994</v>
      </c>
    </row>
    <row r="30" spans="1:22" x14ac:dyDescent="0.25">
      <c r="A30" s="140"/>
      <c r="B30" s="11">
        <f t="shared" ref="B30:M30" si="11">IF(B7="","",(B7/$O$23))</f>
        <v>0</v>
      </c>
      <c r="C30" s="11">
        <f t="shared" si="11"/>
        <v>1.53270450698978E-2</v>
      </c>
      <c r="D30" s="11">
        <f t="shared" si="11"/>
        <v>4.5632986263507355E-2</v>
      </c>
      <c r="E30" s="11">
        <f t="shared" si="11"/>
        <v>0</v>
      </c>
      <c r="F30" s="11">
        <f t="shared" si="11"/>
        <v>1.5925606514206441</v>
      </c>
      <c r="G30" s="11">
        <f t="shared" si="11"/>
        <v>2.3180351237706653</v>
      </c>
      <c r="H30" s="11">
        <f t="shared" si="11"/>
        <v>1.7048514237222112</v>
      </c>
      <c r="I30" s="11">
        <f t="shared" si="11"/>
        <v>2.3894905721159231E-2</v>
      </c>
      <c r="J30" s="11">
        <f t="shared" si="11"/>
        <v>4.3178960764781338E-2</v>
      </c>
      <c r="K30" s="11">
        <f t="shared" si="11"/>
        <v>4.7085022112234517E-2</v>
      </c>
      <c r="L30" s="11">
        <f t="shared" si="11"/>
        <v>8.3046260821939329E-3</v>
      </c>
      <c r="M30" s="11">
        <f t="shared" si="11"/>
        <v>0</v>
      </c>
      <c r="N30" s="6"/>
      <c r="O30" s="11">
        <f t="shared" si="9"/>
        <v>0.99494175669801954</v>
      </c>
      <c r="P30" s="11">
        <f t="shared" si="9"/>
        <v>1.8901600689080171</v>
      </c>
      <c r="Q30" s="11">
        <f t="shared" si="9"/>
        <v>0</v>
      </c>
      <c r="R30" s="11">
        <f t="shared" si="9"/>
        <v>1.663065058742174</v>
      </c>
      <c r="S30" s="11">
        <f t="shared" si="9"/>
        <v>1.2806446699510841</v>
      </c>
      <c r="T30" s="11">
        <f t="shared" si="9"/>
        <v>1.5364662138961316</v>
      </c>
      <c r="U30" s="11">
        <f t="shared" si="9"/>
        <v>2.1379911699662095</v>
      </c>
      <c r="V30" s="11">
        <f t="shared" si="9"/>
        <v>1.5536019351986545</v>
      </c>
    </row>
    <row r="31" spans="1:22" x14ac:dyDescent="0.25">
      <c r="A31" s="140"/>
      <c r="B31" s="11">
        <f t="shared" ref="B31:M31" si="12">IF(B8="","",(B8/$O$23))</f>
        <v>8.405674190965004E-2</v>
      </c>
      <c r="C31" s="11">
        <f t="shared" si="12"/>
        <v>6.5341613192722206E-2</v>
      </c>
      <c r="D31" s="11">
        <f t="shared" si="12"/>
        <v>0</v>
      </c>
      <c r="E31" s="11">
        <f t="shared" si="12"/>
        <v>0.12414481934731625</v>
      </c>
      <c r="F31" s="11">
        <f t="shared" si="12"/>
        <v>1.5675618587969438</v>
      </c>
      <c r="G31" s="11">
        <f t="shared" si="12"/>
        <v>2.576556944908083</v>
      </c>
      <c r="H31" s="11">
        <f t="shared" si="12"/>
        <v>1.5974432281049606</v>
      </c>
      <c r="I31" s="11">
        <f t="shared" si="12"/>
        <v>1.032558825761536E-2</v>
      </c>
      <c r="J31" s="11">
        <f t="shared" si="12"/>
        <v>2.776700131776499E-3</v>
      </c>
      <c r="K31" s="11">
        <f t="shared" si="12"/>
        <v>1.100490327456374E-2</v>
      </c>
      <c r="L31" s="11">
        <f t="shared" si="12"/>
        <v>7.1124282274495271E-2</v>
      </c>
      <c r="M31" s="11">
        <f t="shared" si="12"/>
        <v>0</v>
      </c>
      <c r="N31" s="6"/>
      <c r="O31" s="11">
        <f t="shared" si="9"/>
        <v>1.5064574730224369</v>
      </c>
      <c r="P31" s="11">
        <f t="shared" si="9"/>
        <v>2.7755283133722632</v>
      </c>
      <c r="Q31" s="11">
        <f t="shared" si="9"/>
        <v>0</v>
      </c>
      <c r="R31" s="11">
        <f t="shared" si="9"/>
        <v>1.3390487785332208</v>
      </c>
      <c r="S31" s="11">
        <f t="shared" si="9"/>
        <v>1.6406391717451656</v>
      </c>
      <c r="T31" s="11">
        <f t="shared" si="9"/>
        <v>1.1876124783800035</v>
      </c>
      <c r="U31" s="11">
        <f t="shared" si="9"/>
        <v>1.0412200922276278</v>
      </c>
      <c r="V31" s="11">
        <f t="shared" si="9"/>
        <v>1.8977259399092796</v>
      </c>
    </row>
    <row r="32" spans="1:22" x14ac:dyDescent="0.25">
      <c r="A32" s="140"/>
      <c r="B32" s="11">
        <f t="shared" ref="B32:M32" si="13">IF(B9="","",(B9/$O$23))</f>
        <v>1.3671214716086126E-3</v>
      </c>
      <c r="C32" s="11">
        <f t="shared" si="13"/>
        <v>0</v>
      </c>
      <c r="D32" s="11">
        <f t="shared" si="13"/>
        <v>9.534186262870499E-2</v>
      </c>
      <c r="E32" s="11">
        <f t="shared" si="13"/>
        <v>0.1011924632121729</v>
      </c>
      <c r="F32" s="11">
        <f t="shared" si="13"/>
        <v>1.4488940167737738</v>
      </c>
      <c r="G32" s="11">
        <f t="shared" si="13"/>
        <v>1.5796621575363368</v>
      </c>
      <c r="H32" s="11">
        <f t="shared" si="13"/>
        <v>3.2892093463132035</v>
      </c>
      <c r="I32" s="11">
        <f t="shared" si="13"/>
        <v>1.8095253763962444E-2</v>
      </c>
      <c r="J32" s="11">
        <f t="shared" si="13"/>
        <v>1.016425094109012E-2</v>
      </c>
      <c r="K32" s="11">
        <f t="shared" si="13"/>
        <v>0</v>
      </c>
      <c r="L32" s="11">
        <f t="shared" si="13"/>
        <v>0</v>
      </c>
      <c r="M32" s="11">
        <f t="shared" si="13"/>
        <v>0</v>
      </c>
      <c r="N32" s="6"/>
      <c r="O32" s="11">
        <f t="shared" si="9"/>
        <v>1.1728373767613762</v>
      </c>
      <c r="P32" s="11">
        <f t="shared" si="9"/>
        <v>0.58808301017221165</v>
      </c>
      <c r="Q32" s="11">
        <f t="shared" si="9"/>
        <v>8.9992256870236501E-2</v>
      </c>
      <c r="R32" s="11">
        <f t="shared" si="9"/>
        <v>8.315664951219344E-2</v>
      </c>
      <c r="S32" s="11">
        <f t="shared" si="9"/>
        <v>1.4145886084178807</v>
      </c>
      <c r="T32" s="11">
        <f t="shared" si="9"/>
        <v>2.5096868729272268</v>
      </c>
      <c r="U32" s="11">
        <f t="shared" si="9"/>
        <v>1.6410637436307582</v>
      </c>
      <c r="V32" s="11">
        <f t="shared" si="9"/>
        <v>1.676388124512074</v>
      </c>
    </row>
    <row r="33" spans="1:22" x14ac:dyDescent="0.25">
      <c r="A33" s="140"/>
      <c r="B33" s="11">
        <f t="shared" ref="B33:M33" si="14">IF(B10="","",(B10/$O$23))</f>
        <v>0</v>
      </c>
      <c r="C33" s="11">
        <f t="shared" si="14"/>
        <v>9.1945287543963097E-2</v>
      </c>
      <c r="D33" s="11">
        <f t="shared" si="14"/>
        <v>9.2726499813453721E-3</v>
      </c>
      <c r="E33" s="11">
        <f t="shared" si="14"/>
        <v>9.3830386715994842E-3</v>
      </c>
      <c r="F33" s="11">
        <f t="shared" si="14"/>
        <v>1.6747747513468216</v>
      </c>
      <c r="G33" s="11">
        <f t="shared" si="14"/>
        <v>1.0437929978543199</v>
      </c>
      <c r="H33" s="11">
        <f t="shared" si="14"/>
        <v>2.8155994079345055</v>
      </c>
      <c r="I33" s="11">
        <f t="shared" si="14"/>
        <v>1.4690187241508696E-3</v>
      </c>
      <c r="J33" s="11">
        <f t="shared" si="14"/>
        <v>3.6988702672839234E-2</v>
      </c>
      <c r="K33" s="11">
        <f t="shared" si="14"/>
        <v>4.2491154310121106E-2</v>
      </c>
      <c r="L33" s="11">
        <f t="shared" si="14"/>
        <v>5.4599944487225957E-3</v>
      </c>
      <c r="M33" s="11">
        <f t="shared" si="14"/>
        <v>7.5658710012625708E-3</v>
      </c>
      <c r="N33" s="6"/>
      <c r="O33" s="11">
        <f t="shared" si="9"/>
        <v>1.8805307785427738</v>
      </c>
      <c r="P33" s="11">
        <f t="shared" si="9"/>
        <v>1.9002394054719887</v>
      </c>
      <c r="Q33" s="11">
        <f t="shared" si="9"/>
        <v>0</v>
      </c>
      <c r="R33" s="11">
        <f t="shared" si="9"/>
        <v>1.2629909709481379</v>
      </c>
      <c r="S33" s="11">
        <f t="shared" si="9"/>
        <v>1.9562744029325181</v>
      </c>
      <c r="T33" s="11">
        <f t="shared" si="9"/>
        <v>2.1968962733733455</v>
      </c>
      <c r="U33" s="11">
        <f t="shared" si="9"/>
        <v>2.0517266542514769</v>
      </c>
      <c r="V33" s="11">
        <f t="shared" si="9"/>
        <v>1.0827007654500382</v>
      </c>
    </row>
    <row r="34" spans="1:22" x14ac:dyDescent="0.25">
      <c r="A34" s="140"/>
      <c r="B34" s="11">
        <f t="shared" ref="B34:M34" si="15">IF(B11="","",(B11/$O$23))</f>
        <v>7.0903504893987057E-2</v>
      </c>
      <c r="C34" s="11">
        <f t="shared" si="15"/>
        <v>0</v>
      </c>
      <c r="D34" s="11">
        <f t="shared" si="15"/>
        <v>8.5975806832529214E-2</v>
      </c>
      <c r="E34" s="11">
        <f t="shared" si="15"/>
        <v>0.8554189436545343</v>
      </c>
      <c r="F34" s="11">
        <f t="shared" si="15"/>
        <v>0.81022751215204347</v>
      </c>
      <c r="G34" s="11">
        <f t="shared" si="15"/>
        <v>1.8174818535322523</v>
      </c>
      <c r="H34" s="11">
        <f t="shared" si="15"/>
        <v>1.8252854847894469</v>
      </c>
      <c r="I34" s="11">
        <f t="shared" si="15"/>
        <v>6.6581363098652993E-2</v>
      </c>
      <c r="J34" s="11">
        <f t="shared" si="15"/>
        <v>7.268670681347655E-3</v>
      </c>
      <c r="K34" s="11">
        <f t="shared" si="15"/>
        <v>0</v>
      </c>
      <c r="L34" s="11">
        <f t="shared" si="15"/>
        <v>0</v>
      </c>
      <c r="M34" s="11">
        <f t="shared" si="15"/>
        <v>0</v>
      </c>
      <c r="N34" s="6"/>
      <c r="O34" s="11">
        <f t="shared" si="9"/>
        <v>4.6626484475794358E-2</v>
      </c>
      <c r="P34" s="11">
        <f t="shared" si="9"/>
        <v>1.9277261893452624</v>
      </c>
      <c r="Q34" s="11">
        <f t="shared" si="9"/>
        <v>2.5236552879632279E-2</v>
      </c>
      <c r="R34" s="11">
        <f t="shared" si="9"/>
        <v>1.3090145633463908</v>
      </c>
      <c r="S34" s="11">
        <f t="shared" si="9"/>
        <v>1.6707583013091143</v>
      </c>
      <c r="T34" s="11">
        <f t="shared" si="9"/>
        <v>1.5188889378325923</v>
      </c>
      <c r="U34" s="11">
        <f t="shared" si="9"/>
        <v>1.4357492711958226</v>
      </c>
      <c r="V34" s="11">
        <f t="shared" si="9"/>
        <v>2.4845861830509843</v>
      </c>
    </row>
    <row r="35" spans="1:22" x14ac:dyDescent="0.25">
      <c r="A35" s="140"/>
      <c r="B35" s="11">
        <f t="shared" ref="B35:M35" si="16">IF(B12="","",(B12/$O$23))</f>
        <v>6.9629789237208846E-4</v>
      </c>
      <c r="C35" s="11">
        <f t="shared" si="16"/>
        <v>0</v>
      </c>
      <c r="D35" s="11">
        <f t="shared" si="16"/>
        <v>8.2621688936346596E-3</v>
      </c>
      <c r="E35" s="11">
        <f t="shared" si="16"/>
        <v>3.5112094938519335E-2</v>
      </c>
      <c r="F35" s="11">
        <f t="shared" si="16"/>
        <v>0.19152437759088359</v>
      </c>
      <c r="G35" s="11">
        <f t="shared" si="16"/>
        <v>0.99106116966370195</v>
      </c>
      <c r="H35" s="11">
        <f t="shared" si="16"/>
        <v>1.9472989532710876</v>
      </c>
      <c r="I35" s="11">
        <f t="shared" si="16"/>
        <v>9.1435801281251811E-2</v>
      </c>
      <c r="J35" s="11" t="str">
        <f t="shared" si="16"/>
        <v/>
      </c>
      <c r="K35" s="11">
        <f t="shared" si="16"/>
        <v>0</v>
      </c>
      <c r="L35" s="11">
        <f t="shared" si="16"/>
        <v>2.063419363980701E-3</v>
      </c>
      <c r="M35" s="11">
        <f t="shared" si="16"/>
        <v>0</v>
      </c>
      <c r="N35" s="6"/>
      <c r="O35" s="11">
        <f t="shared" si="9"/>
        <v>1.0880928283970659</v>
      </c>
      <c r="P35" s="11">
        <f t="shared" si="9"/>
        <v>1.7750076820975549</v>
      </c>
      <c r="Q35" s="11">
        <f t="shared" si="9"/>
        <v>2.8276487580476276E-3</v>
      </c>
      <c r="R35" s="11">
        <f t="shared" si="9"/>
        <v>1.7780221424852634</v>
      </c>
      <c r="S35" s="11">
        <f t="shared" si="9"/>
        <v>1.3963405087751048</v>
      </c>
      <c r="T35" s="11">
        <f t="shared" si="9"/>
        <v>2.2729880467092758</v>
      </c>
      <c r="U35" s="11">
        <f t="shared" si="9"/>
        <v>1.1065277396695026</v>
      </c>
      <c r="V35" s="11">
        <f t="shared" si="9"/>
        <v>0.42131966494909651</v>
      </c>
    </row>
    <row r="36" spans="1:22" s="1" customFormat="1" x14ac:dyDescent="0.25">
      <c r="A36" s="140"/>
      <c r="B36" s="11" t="str">
        <f t="shared" ref="B36:M36" si="17">IF(B13="","",(B13/$O$23))</f>
        <v/>
      </c>
      <c r="C36" s="11" t="str">
        <f t="shared" si="17"/>
        <v/>
      </c>
      <c r="D36" s="11" t="str">
        <f t="shared" si="17"/>
        <v/>
      </c>
      <c r="E36" s="11" t="str">
        <f t="shared" si="17"/>
        <v/>
      </c>
      <c r="F36" s="11" t="str">
        <f t="shared" si="17"/>
        <v/>
      </c>
      <c r="G36" s="11" t="str">
        <f t="shared" si="17"/>
        <v/>
      </c>
      <c r="H36" s="11" t="str">
        <f t="shared" si="17"/>
        <v/>
      </c>
      <c r="I36" s="11" t="str">
        <f t="shared" si="17"/>
        <v/>
      </c>
      <c r="J36" s="11" t="str">
        <f t="shared" si="17"/>
        <v/>
      </c>
      <c r="K36" s="11" t="str">
        <f t="shared" si="17"/>
        <v/>
      </c>
      <c r="L36" s="11" t="str">
        <f t="shared" si="17"/>
        <v/>
      </c>
      <c r="M36" s="11" t="str">
        <f t="shared" si="17"/>
        <v/>
      </c>
      <c r="N36" s="6"/>
      <c r="O36" s="11">
        <f t="shared" si="9"/>
        <v>4.1183472902495471E-3</v>
      </c>
      <c r="P36" s="11" t="str">
        <f t="shared" si="9"/>
        <v/>
      </c>
      <c r="Q36" s="11" t="str">
        <f t="shared" si="9"/>
        <v/>
      </c>
      <c r="R36" s="11" t="str">
        <f t="shared" si="9"/>
        <v/>
      </c>
      <c r="S36" s="11" t="str">
        <f t="shared" si="9"/>
        <v/>
      </c>
      <c r="T36" s="11" t="str">
        <f t="shared" si="9"/>
        <v/>
      </c>
      <c r="U36" s="11" t="str">
        <f t="shared" si="9"/>
        <v/>
      </c>
      <c r="V36" s="11" t="str">
        <f t="shared" si="9"/>
        <v/>
      </c>
    </row>
    <row r="37" spans="1:22" s="1" customFormat="1" x14ac:dyDescent="0.25">
      <c r="A37" s="140"/>
      <c r="B37" s="11" t="str">
        <f t="shared" ref="B37:M37" si="18">IF(B14="","",(B14/$O$23))</f>
        <v/>
      </c>
      <c r="C37" s="11" t="str">
        <f t="shared" si="18"/>
        <v/>
      </c>
      <c r="D37" s="11" t="str">
        <f t="shared" si="18"/>
        <v/>
      </c>
      <c r="E37" s="11" t="str">
        <f t="shared" si="18"/>
        <v/>
      </c>
      <c r="F37" s="11" t="str">
        <f t="shared" si="18"/>
        <v/>
      </c>
      <c r="G37" s="11" t="str">
        <f t="shared" si="18"/>
        <v/>
      </c>
      <c r="H37" s="11" t="str">
        <f t="shared" si="18"/>
        <v/>
      </c>
      <c r="I37" s="11" t="str">
        <f t="shared" si="18"/>
        <v/>
      </c>
      <c r="J37" s="11" t="str">
        <f t="shared" si="18"/>
        <v/>
      </c>
      <c r="K37" s="11" t="str">
        <f t="shared" si="18"/>
        <v/>
      </c>
      <c r="L37" s="11" t="str">
        <f t="shared" si="18"/>
        <v/>
      </c>
      <c r="M37" s="11" t="str">
        <f t="shared" si="18"/>
        <v/>
      </c>
      <c r="N37" s="6"/>
      <c r="O37" s="11">
        <f t="shared" si="9"/>
        <v>1.3196288604862092</v>
      </c>
      <c r="P37" s="11" t="str">
        <f t="shared" si="9"/>
        <v/>
      </c>
      <c r="Q37" s="11" t="str">
        <f t="shared" si="9"/>
        <v/>
      </c>
      <c r="R37" s="11" t="str">
        <f t="shared" si="9"/>
        <v/>
      </c>
      <c r="S37" s="11" t="str">
        <f t="shared" si="9"/>
        <v/>
      </c>
      <c r="T37" s="11" t="str">
        <f t="shared" si="9"/>
        <v/>
      </c>
      <c r="U37" s="11" t="str">
        <f t="shared" si="9"/>
        <v/>
      </c>
      <c r="V37" s="11" t="str">
        <f t="shared" si="9"/>
        <v/>
      </c>
    </row>
    <row r="38" spans="1:22" s="1" customFormat="1" x14ac:dyDescent="0.25">
      <c r="A38" s="140"/>
      <c r="B38" s="11" t="str">
        <f t="shared" ref="B38:M38" si="19">IF(B15="","",(B15/$O$23))</f>
        <v/>
      </c>
      <c r="C38" s="11" t="str">
        <f t="shared" si="19"/>
        <v/>
      </c>
      <c r="D38" s="11" t="str">
        <f t="shared" si="19"/>
        <v/>
      </c>
      <c r="E38" s="11" t="str">
        <f t="shared" si="19"/>
        <v/>
      </c>
      <c r="F38" s="11" t="str">
        <f t="shared" si="19"/>
        <v/>
      </c>
      <c r="G38" s="11" t="str">
        <f t="shared" si="19"/>
        <v/>
      </c>
      <c r="H38" s="11" t="str">
        <f t="shared" si="19"/>
        <v/>
      </c>
      <c r="I38" s="11" t="str">
        <f t="shared" si="19"/>
        <v/>
      </c>
      <c r="J38" s="11" t="str">
        <f t="shared" si="19"/>
        <v/>
      </c>
      <c r="K38" s="11" t="str">
        <f t="shared" si="19"/>
        <v/>
      </c>
      <c r="L38" s="11" t="str">
        <f t="shared" si="19"/>
        <v/>
      </c>
      <c r="M38" s="11" t="str">
        <f t="shared" si="19"/>
        <v/>
      </c>
      <c r="N38" s="6"/>
      <c r="O38" s="11">
        <f t="shared" ref="O38:R38" si="20">IF(O15="","",(O15/$O$23))</f>
        <v>0.62946178614207982</v>
      </c>
      <c r="P38" s="11" t="str">
        <f t="shared" si="20"/>
        <v/>
      </c>
      <c r="Q38" s="11" t="str">
        <f t="shared" si="20"/>
        <v/>
      </c>
      <c r="R38" s="11" t="str">
        <f t="shared" si="20"/>
        <v/>
      </c>
      <c r="S38" s="11" t="str">
        <f t="shared" ref="S38:V43" si="21">IF(S15="","",(S15/$O$23))</f>
        <v/>
      </c>
      <c r="T38" s="11" t="str">
        <f t="shared" si="21"/>
        <v/>
      </c>
      <c r="U38" s="11" t="str">
        <f t="shared" si="21"/>
        <v/>
      </c>
      <c r="V38" s="11" t="str">
        <f t="shared" si="21"/>
        <v/>
      </c>
    </row>
    <row r="39" spans="1:22" s="1" customFormat="1" x14ac:dyDescent="0.25">
      <c r="A39" s="140"/>
      <c r="B39" s="11" t="str">
        <f t="shared" ref="B39:M39" si="22">IF(B16="","",(B16/$O$23))</f>
        <v/>
      </c>
      <c r="C39" s="11" t="str">
        <f t="shared" si="22"/>
        <v/>
      </c>
      <c r="D39" s="11" t="str">
        <f t="shared" si="22"/>
        <v/>
      </c>
      <c r="E39" s="11" t="str">
        <f t="shared" si="22"/>
        <v/>
      </c>
      <c r="F39" s="11" t="str">
        <f t="shared" si="22"/>
        <v/>
      </c>
      <c r="G39" s="11" t="str">
        <f t="shared" si="22"/>
        <v/>
      </c>
      <c r="H39" s="11" t="str">
        <f t="shared" si="22"/>
        <v/>
      </c>
      <c r="I39" s="11" t="str">
        <f t="shared" si="22"/>
        <v/>
      </c>
      <c r="J39" s="11" t="str">
        <f t="shared" si="22"/>
        <v/>
      </c>
      <c r="K39" s="11" t="str">
        <f t="shared" si="22"/>
        <v/>
      </c>
      <c r="L39" s="11" t="str">
        <f t="shared" si="22"/>
        <v/>
      </c>
      <c r="M39" s="11" t="str">
        <f t="shared" si="22"/>
        <v/>
      </c>
      <c r="N39" s="6"/>
      <c r="O39" s="11">
        <f t="shared" ref="O39:R39" si="23">IF(O16="","",(O16/$O$23))</f>
        <v>0.89483619751296406</v>
      </c>
      <c r="P39" s="11" t="str">
        <f t="shared" si="23"/>
        <v/>
      </c>
      <c r="Q39" s="11" t="str">
        <f t="shared" si="23"/>
        <v/>
      </c>
      <c r="R39" s="11" t="str">
        <f t="shared" si="23"/>
        <v/>
      </c>
      <c r="S39" s="11" t="str">
        <f t="shared" si="21"/>
        <v/>
      </c>
      <c r="T39" s="11" t="str">
        <f t="shared" si="21"/>
        <v/>
      </c>
      <c r="U39" s="11" t="str">
        <f t="shared" si="21"/>
        <v/>
      </c>
      <c r="V39" s="11" t="str">
        <f t="shared" si="21"/>
        <v/>
      </c>
    </row>
    <row r="40" spans="1:22" s="1" customFormat="1" x14ac:dyDescent="0.25">
      <c r="A40" s="140"/>
      <c r="B40" s="11" t="str">
        <f t="shared" ref="B40:M40" si="24">IF(B17="","",(B17/$O$23))</f>
        <v/>
      </c>
      <c r="C40" s="11" t="str">
        <f t="shared" si="24"/>
        <v/>
      </c>
      <c r="D40" s="11" t="str">
        <f t="shared" si="24"/>
        <v/>
      </c>
      <c r="E40" s="11" t="str">
        <f t="shared" si="24"/>
        <v/>
      </c>
      <c r="F40" s="11" t="str">
        <f t="shared" si="24"/>
        <v/>
      </c>
      <c r="G40" s="11" t="str">
        <f t="shared" si="24"/>
        <v/>
      </c>
      <c r="H40" s="11" t="str">
        <f t="shared" si="24"/>
        <v/>
      </c>
      <c r="I40" s="11" t="str">
        <f t="shared" si="24"/>
        <v/>
      </c>
      <c r="J40" s="11" t="str">
        <f t="shared" si="24"/>
        <v/>
      </c>
      <c r="K40" s="11" t="str">
        <f t="shared" si="24"/>
        <v/>
      </c>
      <c r="L40" s="11" t="str">
        <f t="shared" si="24"/>
        <v/>
      </c>
      <c r="M40" s="11" t="str">
        <f t="shared" si="24"/>
        <v/>
      </c>
      <c r="N40" s="6"/>
      <c r="O40" s="11">
        <f t="shared" ref="O40:R40" si="25">IF(O17="","",(O17/$O$23))</f>
        <v>1.3658222816386989</v>
      </c>
      <c r="P40" s="11" t="str">
        <f t="shared" si="25"/>
        <v/>
      </c>
      <c r="Q40" s="11" t="str">
        <f t="shared" si="25"/>
        <v/>
      </c>
      <c r="R40" s="11" t="str">
        <f t="shared" si="25"/>
        <v/>
      </c>
      <c r="S40" s="11" t="str">
        <f t="shared" si="21"/>
        <v/>
      </c>
      <c r="T40" s="11" t="str">
        <f t="shared" si="21"/>
        <v/>
      </c>
      <c r="U40" s="11" t="str">
        <f t="shared" si="21"/>
        <v/>
      </c>
      <c r="V40" s="11" t="str">
        <f t="shared" si="21"/>
        <v/>
      </c>
    </row>
    <row r="41" spans="1:22" s="1" customFormat="1" x14ac:dyDescent="0.25">
      <c r="A41" s="140"/>
      <c r="B41" s="11" t="str">
        <f t="shared" ref="B41:M41" si="26">IF(B18="","",(B18/$O$23))</f>
        <v/>
      </c>
      <c r="C41" s="11" t="str">
        <f t="shared" si="26"/>
        <v/>
      </c>
      <c r="D41" s="11" t="str">
        <f t="shared" si="26"/>
        <v/>
      </c>
      <c r="E41" s="11" t="str">
        <f t="shared" si="26"/>
        <v/>
      </c>
      <c r="F41" s="11" t="str">
        <f t="shared" si="26"/>
        <v/>
      </c>
      <c r="G41" s="11" t="str">
        <f t="shared" si="26"/>
        <v/>
      </c>
      <c r="H41" s="11" t="str">
        <f t="shared" si="26"/>
        <v/>
      </c>
      <c r="I41" s="11" t="str">
        <f t="shared" si="26"/>
        <v/>
      </c>
      <c r="J41" s="11" t="str">
        <f t="shared" si="26"/>
        <v/>
      </c>
      <c r="K41" s="11" t="str">
        <f t="shared" si="26"/>
        <v/>
      </c>
      <c r="L41" s="11" t="str">
        <f t="shared" si="26"/>
        <v/>
      </c>
      <c r="M41" s="11" t="str">
        <f t="shared" si="26"/>
        <v/>
      </c>
      <c r="N41" s="6"/>
      <c r="O41" s="11">
        <f t="shared" ref="O41:R41" si="27">IF(O18="","",(O18/$O$23))</f>
        <v>1.7478350814196197</v>
      </c>
      <c r="P41" s="11" t="str">
        <f t="shared" si="27"/>
        <v/>
      </c>
      <c r="Q41" s="11" t="str">
        <f t="shared" si="27"/>
        <v/>
      </c>
      <c r="R41" s="11" t="str">
        <f t="shared" si="27"/>
        <v/>
      </c>
      <c r="S41" s="11" t="str">
        <f t="shared" si="21"/>
        <v/>
      </c>
      <c r="T41" s="11" t="str">
        <f t="shared" si="21"/>
        <v/>
      </c>
      <c r="U41" s="11" t="str">
        <f t="shared" si="21"/>
        <v/>
      </c>
      <c r="V41" s="11" t="str">
        <f t="shared" si="21"/>
        <v/>
      </c>
    </row>
    <row r="42" spans="1:22" s="1" customFormat="1" x14ac:dyDescent="0.25">
      <c r="A42" s="140"/>
      <c r="B42" s="11" t="str">
        <f t="shared" ref="B42:M42" si="28">IF(B19="","",(B19/$O$23))</f>
        <v/>
      </c>
      <c r="C42" s="11" t="str">
        <f t="shared" si="28"/>
        <v/>
      </c>
      <c r="D42" s="11" t="str">
        <f t="shared" si="28"/>
        <v/>
      </c>
      <c r="E42" s="11" t="str">
        <f t="shared" si="28"/>
        <v/>
      </c>
      <c r="F42" s="11" t="str">
        <f t="shared" si="28"/>
        <v/>
      </c>
      <c r="G42" s="11" t="str">
        <f t="shared" si="28"/>
        <v/>
      </c>
      <c r="H42" s="11" t="str">
        <f t="shared" si="28"/>
        <v/>
      </c>
      <c r="I42" s="11" t="str">
        <f t="shared" si="28"/>
        <v/>
      </c>
      <c r="J42" s="11" t="str">
        <f t="shared" si="28"/>
        <v/>
      </c>
      <c r="K42" s="11" t="str">
        <f t="shared" si="28"/>
        <v/>
      </c>
      <c r="L42" s="11" t="str">
        <f t="shared" si="28"/>
        <v/>
      </c>
      <c r="M42" s="11" t="str">
        <f t="shared" si="28"/>
        <v/>
      </c>
      <c r="N42" s="6"/>
      <c r="O42" s="11">
        <f t="shared" ref="O42:R42" si="29">IF(O19="","",(O19/$O$23))</f>
        <v>0.18869672883283597</v>
      </c>
      <c r="P42" s="11" t="str">
        <f t="shared" si="29"/>
        <v/>
      </c>
      <c r="Q42" s="11" t="str">
        <f t="shared" si="29"/>
        <v/>
      </c>
      <c r="R42" s="11" t="str">
        <f t="shared" si="29"/>
        <v/>
      </c>
      <c r="S42" s="11" t="str">
        <f t="shared" si="21"/>
        <v/>
      </c>
      <c r="T42" s="11" t="str">
        <f t="shared" si="21"/>
        <v/>
      </c>
      <c r="U42" s="11" t="str">
        <f t="shared" si="21"/>
        <v/>
      </c>
      <c r="V42" s="11" t="str">
        <f t="shared" si="21"/>
        <v/>
      </c>
    </row>
    <row r="43" spans="1:22" s="1" customFormat="1" x14ac:dyDescent="0.25">
      <c r="A43" s="140"/>
      <c r="B43" s="11" t="str">
        <f t="shared" ref="B43:M43" si="30">IF(B20="","",(B20/$O$23))</f>
        <v/>
      </c>
      <c r="C43" s="11" t="str">
        <f t="shared" si="30"/>
        <v/>
      </c>
      <c r="D43" s="11" t="str">
        <f t="shared" si="30"/>
        <v/>
      </c>
      <c r="E43" s="11" t="str">
        <f t="shared" si="30"/>
        <v/>
      </c>
      <c r="F43" s="11" t="str">
        <f t="shared" si="30"/>
        <v/>
      </c>
      <c r="G43" s="11" t="str">
        <f t="shared" si="30"/>
        <v/>
      </c>
      <c r="H43" s="11" t="str">
        <f t="shared" si="30"/>
        <v/>
      </c>
      <c r="I43" s="11" t="str">
        <f t="shared" si="30"/>
        <v/>
      </c>
      <c r="J43" s="11" t="str">
        <f t="shared" si="30"/>
        <v/>
      </c>
      <c r="K43" s="11" t="str">
        <f t="shared" si="30"/>
        <v/>
      </c>
      <c r="L43" s="11" t="str">
        <f t="shared" si="30"/>
        <v/>
      </c>
      <c r="M43" s="11" t="str">
        <f t="shared" si="30"/>
        <v/>
      </c>
      <c r="N43" s="6"/>
      <c r="O43" s="11">
        <f t="shared" ref="O43:R43" si="31">IF(O20="","",(O20/$O$23))</f>
        <v>1.1565677821054625</v>
      </c>
      <c r="P43" s="11" t="str">
        <f t="shared" si="31"/>
        <v/>
      </c>
      <c r="Q43" s="11" t="str">
        <f t="shared" si="31"/>
        <v/>
      </c>
      <c r="R43" s="11" t="str">
        <f t="shared" si="31"/>
        <v/>
      </c>
      <c r="S43" s="11" t="str">
        <f t="shared" si="21"/>
        <v/>
      </c>
      <c r="T43" s="11" t="str">
        <f t="shared" si="21"/>
        <v/>
      </c>
      <c r="U43" s="11" t="str">
        <f t="shared" si="21"/>
        <v/>
      </c>
      <c r="V43" s="11" t="str">
        <f t="shared" si="21"/>
        <v/>
      </c>
    </row>
    <row r="44" spans="1:22" x14ac:dyDescent="0.25">
      <c r="A44" s="7"/>
      <c r="B44" s="3"/>
      <c r="C44" s="3"/>
      <c r="D44" s="3"/>
      <c r="E44" s="3"/>
      <c r="F44" s="3"/>
      <c r="G44" s="3"/>
      <c r="H44" s="3"/>
      <c r="I44" s="3"/>
      <c r="J44" s="3"/>
      <c r="N44" s="7"/>
      <c r="O44" s="3"/>
      <c r="P44" s="3"/>
      <c r="Q44" s="3"/>
      <c r="R44" s="3"/>
      <c r="S44" s="3"/>
      <c r="T44" s="3"/>
      <c r="U44" s="3"/>
      <c r="V44" s="3"/>
    </row>
    <row r="45" spans="1:22" s="52" customFormat="1" x14ac:dyDescent="0.25">
      <c r="A45" s="53" t="str">
        <f t="shared" ref="A45:M45" si="32">A4</f>
        <v>Group names</v>
      </c>
      <c r="B45" s="53" t="str">
        <f t="shared" si="32"/>
        <v>Solvent control</v>
      </c>
      <c r="C45" s="53" t="str">
        <f t="shared" si="32"/>
        <v>EE2-33.8ng/L</v>
      </c>
      <c r="D45" s="53" t="str">
        <f t="shared" si="32"/>
        <v>EE2-50.6ng/L</v>
      </c>
      <c r="E45" s="53" t="str">
        <f t="shared" si="32"/>
        <v>EE2-76ng/L</v>
      </c>
      <c r="F45" s="53" t="str">
        <f t="shared" si="32"/>
        <v>EE2-114ng/L</v>
      </c>
      <c r="G45" s="53" t="str">
        <f t="shared" si="32"/>
        <v>EE2-170.9ng/L</v>
      </c>
      <c r="H45" s="53" t="str">
        <f t="shared" si="32"/>
        <v>EE2-488ng/L</v>
      </c>
      <c r="I45" s="53" t="str">
        <f t="shared" si="32"/>
        <v>Dutasteride-0.01mg/L</v>
      </c>
      <c r="J45" s="53" t="str">
        <f t="shared" si="32"/>
        <v>Dutasteride-0.1mg/L</v>
      </c>
      <c r="K45" s="53" t="str">
        <f t="shared" si="32"/>
        <v>Dutasteride-0.25mg/L</v>
      </c>
      <c r="L45" s="53" t="str">
        <f t="shared" si="32"/>
        <v>Dutasteride-0.5mg/L</v>
      </c>
      <c r="M45" s="53" t="str">
        <f t="shared" si="32"/>
        <v>Dutasteride-1.0mg/L</v>
      </c>
      <c r="N45" s="53" t="str">
        <f>N22</f>
        <v>Nom des groupes</v>
      </c>
      <c r="O45" s="53" t="str">
        <f t="shared" ref="O45:V45" si="33">O4</f>
        <v>Testo -30µg/L</v>
      </c>
      <c r="P45" s="53" t="str">
        <f t="shared" si="33"/>
        <v>Testo 30µg/L + EE2 -64ng/L</v>
      </c>
      <c r="Q45" s="53" t="str">
        <f t="shared" si="33"/>
        <v>Testo 30µg/L + FAD-10mg/L</v>
      </c>
      <c r="R45" s="53" t="str">
        <f t="shared" si="33"/>
        <v>Dutasteride-0.01mg/L + Testostérone</v>
      </c>
      <c r="S45" s="53" t="str">
        <f t="shared" si="33"/>
        <v>Dutasteride-0.1mg/L + Testostérone</v>
      </c>
      <c r="T45" s="53" t="str">
        <f t="shared" si="33"/>
        <v>Dutasteride-0.25mg/L + Testostérone</v>
      </c>
      <c r="U45" s="53" t="str">
        <f t="shared" si="33"/>
        <v>Dutasteride-0.5mg/L + Testostérone</v>
      </c>
      <c r="V45" s="53" t="str">
        <f t="shared" si="33"/>
        <v>Dutasteride-1.0mg/L + Testostérone</v>
      </c>
    </row>
    <row r="46" spans="1:22" x14ac:dyDescent="0.25">
      <c r="A46" s="8" t="s">
        <v>0</v>
      </c>
      <c r="B46" s="10">
        <f t="shared" ref="B46:H46" si="34">AVERAGE(B28:B43)</f>
        <v>2.5356494437312225E-2</v>
      </c>
      <c r="C46" s="10">
        <f t="shared" si="34"/>
        <v>2.2188126741076432E-2</v>
      </c>
      <c r="D46" s="10">
        <f t="shared" si="34"/>
        <v>3.5612028333804786E-2</v>
      </c>
      <c r="E46" s="10">
        <f t="shared" si="34"/>
        <v>0.14065641997801778</v>
      </c>
      <c r="F46" s="10">
        <f t="shared" si="34"/>
        <v>1.0386832752112112</v>
      </c>
      <c r="G46" s="10">
        <f t="shared" si="34"/>
        <v>1.7395983868391207</v>
      </c>
      <c r="H46" s="10">
        <f t="shared" si="34"/>
        <v>2.1318486762113964</v>
      </c>
      <c r="I46" s="10">
        <f>AVERAGE(I28:I43)</f>
        <v>4.3084493520236952E-2</v>
      </c>
      <c r="J46" s="9">
        <f>AVERAGE(J28:J43)</f>
        <v>1.4436657172683318E-2</v>
      </c>
      <c r="K46" s="9">
        <f>AVERAGE(K28:K43)</f>
        <v>1.2659672198661431E-2</v>
      </c>
      <c r="L46" s="9">
        <f t="shared" ref="L46:M46" si="35">AVERAGE(L28:L43)</f>
        <v>1.2201134562221275E-2</v>
      </c>
      <c r="M46" s="9">
        <f t="shared" si="35"/>
        <v>2.2565995719253966E-3</v>
      </c>
      <c r="N46" s="8" t="s">
        <v>0</v>
      </c>
      <c r="O46" s="10">
        <f>AVERAGE(O28:O43)</f>
        <v>1</v>
      </c>
      <c r="P46" s="10">
        <f>AVERAGE(P28:P43)</f>
        <v>1.8312687640871625</v>
      </c>
      <c r="Q46" s="10">
        <f>AVERAGE(Q28:Q43)</f>
        <v>1.4757057313489551E-2</v>
      </c>
      <c r="R46" s="10">
        <f>AVERAGE(R28:R43)</f>
        <v>1.3486589631636123</v>
      </c>
      <c r="S46" s="10">
        <f t="shared" ref="S46:V46" si="36">AVERAGE(S28:S43)</f>
        <v>1.625770664311708</v>
      </c>
      <c r="T46" s="10">
        <f t="shared" si="36"/>
        <v>1.8140544969858052</v>
      </c>
      <c r="U46" s="10">
        <f t="shared" si="36"/>
        <v>1.6973587913712131</v>
      </c>
      <c r="V46" s="10">
        <f t="shared" si="36"/>
        <v>1.5265301703435477</v>
      </c>
    </row>
    <row r="47" spans="1:22" x14ac:dyDescent="0.25">
      <c r="A47" s="8" t="s">
        <v>1</v>
      </c>
      <c r="B47" s="8">
        <f t="shared" ref="B47:K47" si="37">STDEV(B28:B43)</f>
        <v>3.5959926784427103E-2</v>
      </c>
      <c r="C47" s="8">
        <f t="shared" si="37"/>
        <v>3.5932157418331695E-2</v>
      </c>
      <c r="D47" s="8">
        <f t="shared" si="37"/>
        <v>3.8183432129624315E-2</v>
      </c>
      <c r="E47" s="8">
        <f t="shared" si="37"/>
        <v>0.29287747138697251</v>
      </c>
      <c r="F47" s="8">
        <f t="shared" si="37"/>
        <v>0.59588537882747017</v>
      </c>
      <c r="G47" s="8">
        <f t="shared" si="37"/>
        <v>0.55638351662631258</v>
      </c>
      <c r="H47" s="8">
        <f t="shared" si="37"/>
        <v>0.92539571172871027</v>
      </c>
      <c r="I47" s="8">
        <f>STDEV(I28:I43)</f>
        <v>4.8435538712349568E-2</v>
      </c>
      <c r="J47" s="8">
        <f t="shared" si="37"/>
        <v>1.7972128370880761E-2</v>
      </c>
      <c r="K47" s="8">
        <f t="shared" si="37"/>
        <v>2.0220046019917511E-2</v>
      </c>
      <c r="L47" s="8">
        <f t="shared" ref="L47:M47" si="38">STDEV(L28:L43)</f>
        <v>2.4155225753006097E-2</v>
      </c>
      <c r="M47" s="8">
        <f t="shared" si="38"/>
        <v>4.2507155528922255E-3</v>
      </c>
      <c r="N47" s="8" t="s">
        <v>1</v>
      </c>
      <c r="O47" s="8">
        <f>STDEV(O28:O43)</f>
        <v>0.56015011498475076</v>
      </c>
      <c r="P47" s="8">
        <f>STDEV(P28:P43)</f>
        <v>0.59364320181082464</v>
      </c>
      <c r="Q47" s="8">
        <f>STDEV(Q28:Q43)</f>
        <v>3.1625757068103909E-2</v>
      </c>
      <c r="R47" s="8">
        <f>STDEV(R28:R43)</f>
        <v>0.67594105040704699</v>
      </c>
      <c r="S47" s="8">
        <f t="shared" ref="S47:V47" si="39">STDEV(S28:S43)</f>
        <v>0.24249804112732831</v>
      </c>
      <c r="T47" s="8">
        <f t="shared" si="39"/>
        <v>0.45694299853985398</v>
      </c>
      <c r="U47" s="8">
        <f t="shared" si="39"/>
        <v>0.45895793118732847</v>
      </c>
      <c r="V47" s="8">
        <f t="shared" si="39"/>
        <v>0.59855679824627539</v>
      </c>
    </row>
    <row r="48" spans="1:22" x14ac:dyDescent="0.25">
      <c r="A48" s="8" t="s">
        <v>2</v>
      </c>
      <c r="B48" s="8">
        <f t="shared" ref="B48:K48" si="40" xml:space="preserve"> B47/SQRT(COUNT(B28:B43))</f>
        <v>1.2713754040120082E-2</v>
      </c>
      <c r="C48" s="8">
        <f t="shared" si="40"/>
        <v>1.2703936086582424E-2</v>
      </c>
      <c r="D48" s="8">
        <f t="shared" si="40"/>
        <v>1.3499881893916823E-2</v>
      </c>
      <c r="E48" s="8">
        <f t="shared" si="40"/>
        <v>0.10354782303724865</v>
      </c>
      <c r="F48" s="8">
        <f t="shared" si="40"/>
        <v>0.21067729608940944</v>
      </c>
      <c r="G48" s="8">
        <f t="shared" si="40"/>
        <v>0.19671127877344191</v>
      </c>
      <c r="H48" s="8">
        <f t="shared" si="40"/>
        <v>0.32717679152216123</v>
      </c>
      <c r="I48" s="8">
        <f xml:space="preserve"> I47/SQRT(COUNT(I28:I43))</f>
        <v>1.7124548936962958E-2</v>
      </c>
      <c r="J48" s="8">
        <f t="shared" si="40"/>
        <v>6.7928260285541279E-3</v>
      </c>
      <c r="K48" s="8">
        <f t="shared" si="40"/>
        <v>7.1488658282938657E-3</v>
      </c>
      <c r="L48" s="8">
        <f t="shared" ref="L48:M48" si="41" xml:space="preserve"> L47/SQRT(COUNT(L28:L43))</f>
        <v>8.5401619655212698E-3</v>
      </c>
      <c r="M48" s="8">
        <f t="shared" si="41"/>
        <v>1.5028548961726084E-3</v>
      </c>
      <c r="N48" s="8" t="s">
        <v>2</v>
      </c>
      <c r="O48" s="8">
        <f xml:space="preserve"> O47/SQRT(COUNT(O28:O43))</f>
        <v>0.14003752874618769</v>
      </c>
      <c r="P48" s="8">
        <f xml:space="preserve"> P47/SQRT(COUNT(P28:P43))</f>
        <v>0.2098845668028641</v>
      </c>
      <c r="Q48" s="8">
        <f xml:space="preserve"> Q47/SQRT(COUNT(Q28:Q43))</f>
        <v>1.1181393641507329E-2</v>
      </c>
      <c r="R48" s="8">
        <f xml:space="preserve"> R47/SQRT(COUNT(R28:R43))</f>
        <v>0.23898125021259042</v>
      </c>
      <c r="S48" s="8">
        <f t="shared" ref="S48:V48" si="42" xml:space="preserve"> S47/SQRT(COUNT(S28:S43))</f>
        <v>8.5736004652794059E-2</v>
      </c>
      <c r="T48" s="8">
        <f t="shared" si="42"/>
        <v>0.16155374644162271</v>
      </c>
      <c r="U48" s="8">
        <f t="shared" si="42"/>
        <v>0.16226613271095439</v>
      </c>
      <c r="V48" s="8">
        <f t="shared" si="42"/>
        <v>0.21162178548262475</v>
      </c>
    </row>
    <row r="49" spans="1:22" s="1" customFormat="1" ht="15.75" thickBot="1" x14ac:dyDescent="0.3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</row>
    <row r="50" spans="1:22" ht="27" thickBot="1" x14ac:dyDescent="0.45">
      <c r="A50" s="135"/>
      <c r="B50" s="136"/>
      <c r="C50" s="136"/>
      <c r="D50" s="136"/>
      <c r="E50" s="136"/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</row>
    <row r="51" spans="1:22" ht="15.75" thickBo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S51"/>
      <c r="T51"/>
      <c r="U51"/>
      <c r="V51"/>
    </row>
    <row r="52" spans="1:22" x14ac:dyDescent="0.25">
      <c r="A52" s="29" t="str">
        <f t="shared" ref="A52:H52" si="43">A27</f>
        <v>Group names</v>
      </c>
      <c r="B52" s="30" t="str">
        <f t="shared" si="43"/>
        <v>Solvent control</v>
      </c>
      <c r="C52" s="30" t="str">
        <f t="shared" si="43"/>
        <v>EE2-33.8ng/L</v>
      </c>
      <c r="D52" s="30" t="str">
        <f t="shared" si="43"/>
        <v>EE2-50.6ng/L</v>
      </c>
      <c r="E52" s="30" t="str">
        <f t="shared" si="43"/>
        <v>EE2-76ng/L</v>
      </c>
      <c r="F52" s="30" t="str">
        <f t="shared" si="43"/>
        <v>EE2-114ng/L</v>
      </c>
      <c r="G52" s="30" t="str">
        <f t="shared" si="43"/>
        <v>EE2-170.9ng/L</v>
      </c>
      <c r="H52" s="30" t="str">
        <f t="shared" si="43"/>
        <v>EE2-488ng/L</v>
      </c>
      <c r="I52" s="30" t="str">
        <f>I4</f>
        <v>Dutasteride-0.01mg/L</v>
      </c>
      <c r="J52" s="30" t="str">
        <f>J4</f>
        <v>Dutasteride-0.1mg/L</v>
      </c>
      <c r="K52" s="30" t="str">
        <f>K27</f>
        <v>Dutasteride-0.25mg/L</v>
      </c>
      <c r="L52" s="30" t="str">
        <f t="shared" ref="L52:M52" si="44">L27</f>
        <v>Dutasteride-0.5mg/L</v>
      </c>
      <c r="M52" s="30" t="str">
        <f t="shared" si="44"/>
        <v>Dutasteride-1.0mg/L</v>
      </c>
      <c r="N52" s="31"/>
      <c r="O52" s="30" t="str">
        <f>O27</f>
        <v>Testo -30µg/L</v>
      </c>
      <c r="P52" s="30" t="str">
        <f>P27</f>
        <v>Testo 30µg/L + EE2 -64ng/L</v>
      </c>
      <c r="Q52" s="30" t="str">
        <f>Q27</f>
        <v>Testo 30µg/L + FAD-10mg/L</v>
      </c>
      <c r="R52" s="30" t="str">
        <f>R27</f>
        <v>Dutasteride-0.01mg/L + Testostérone</v>
      </c>
      <c r="S52" s="30" t="str">
        <f t="shared" ref="S52:V52" si="45">S27</f>
        <v>Dutasteride-0.1mg/L + Testostérone</v>
      </c>
      <c r="T52" s="30" t="str">
        <f t="shared" si="45"/>
        <v>Dutasteride-0.25mg/L + Testostérone</v>
      </c>
      <c r="U52" s="30" t="str">
        <f t="shared" si="45"/>
        <v>Dutasteride-0.5mg/L + Testostérone</v>
      </c>
      <c r="V52" s="30" t="str">
        <f t="shared" si="45"/>
        <v>Dutasteride-1.0mg/L + Testostérone</v>
      </c>
    </row>
    <row r="53" spans="1:22" s="3" customFormat="1" x14ac:dyDescent="0.25">
      <c r="A53" s="45" t="s">
        <v>10</v>
      </c>
      <c r="B53" s="77">
        <f t="shared" ref="B53:M53" si="46">B46</f>
        <v>2.5356494437312225E-2</v>
      </c>
      <c r="C53" s="77">
        <f t="shared" si="46"/>
        <v>2.2188126741076432E-2</v>
      </c>
      <c r="D53" s="77">
        <f t="shared" si="46"/>
        <v>3.5612028333804786E-2</v>
      </c>
      <c r="E53" s="77">
        <f t="shared" si="46"/>
        <v>0.14065641997801778</v>
      </c>
      <c r="F53" s="77">
        <f t="shared" si="46"/>
        <v>1.0386832752112112</v>
      </c>
      <c r="G53" s="77">
        <f t="shared" si="46"/>
        <v>1.7395983868391207</v>
      </c>
      <c r="H53" s="77">
        <f t="shared" si="46"/>
        <v>2.1318486762113964</v>
      </c>
      <c r="I53" s="77">
        <f t="shared" si="46"/>
        <v>4.3084493520236952E-2</v>
      </c>
      <c r="J53" s="77">
        <f t="shared" si="46"/>
        <v>1.4436657172683318E-2</v>
      </c>
      <c r="K53" s="77">
        <f t="shared" si="46"/>
        <v>1.2659672198661431E-2</v>
      </c>
      <c r="L53" s="77">
        <f t="shared" si="46"/>
        <v>1.2201134562221275E-2</v>
      </c>
      <c r="M53" s="77">
        <f t="shared" si="46"/>
        <v>2.2565995719253966E-3</v>
      </c>
      <c r="N53" s="77"/>
      <c r="O53" s="77">
        <f t="shared" ref="O53:V53" si="47">O46</f>
        <v>1</v>
      </c>
      <c r="P53" s="77">
        <f t="shared" si="47"/>
        <v>1.8312687640871625</v>
      </c>
      <c r="Q53" s="77">
        <f t="shared" si="47"/>
        <v>1.4757057313489551E-2</v>
      </c>
      <c r="R53" s="77">
        <f t="shared" si="47"/>
        <v>1.3486589631636123</v>
      </c>
      <c r="S53" s="77">
        <f t="shared" si="47"/>
        <v>1.625770664311708</v>
      </c>
      <c r="T53" s="77">
        <f t="shared" si="47"/>
        <v>1.8140544969858052</v>
      </c>
      <c r="U53" s="77">
        <f t="shared" si="47"/>
        <v>1.6973587913712131</v>
      </c>
      <c r="V53" s="77">
        <f t="shared" si="47"/>
        <v>1.5265301703435477</v>
      </c>
    </row>
    <row r="54" spans="1:22" s="3" customFormat="1" x14ac:dyDescent="0.25">
      <c r="A54" s="45" t="s">
        <v>2</v>
      </c>
      <c r="B54" s="77">
        <f t="shared" ref="B54:M54" si="48">B48</f>
        <v>1.2713754040120082E-2</v>
      </c>
      <c r="C54" s="77">
        <f t="shared" si="48"/>
        <v>1.2703936086582424E-2</v>
      </c>
      <c r="D54" s="77">
        <f t="shared" si="48"/>
        <v>1.3499881893916823E-2</v>
      </c>
      <c r="E54" s="77">
        <f t="shared" si="48"/>
        <v>0.10354782303724865</v>
      </c>
      <c r="F54" s="77">
        <f t="shared" si="48"/>
        <v>0.21067729608940944</v>
      </c>
      <c r="G54" s="77">
        <f t="shared" si="48"/>
        <v>0.19671127877344191</v>
      </c>
      <c r="H54" s="77">
        <f t="shared" si="48"/>
        <v>0.32717679152216123</v>
      </c>
      <c r="I54" s="77">
        <f t="shared" si="48"/>
        <v>1.7124548936962958E-2</v>
      </c>
      <c r="J54" s="77">
        <f t="shared" si="48"/>
        <v>6.7928260285541279E-3</v>
      </c>
      <c r="K54" s="77">
        <f t="shared" si="48"/>
        <v>7.1488658282938657E-3</v>
      </c>
      <c r="L54" s="77">
        <f t="shared" si="48"/>
        <v>8.5401619655212698E-3</v>
      </c>
      <c r="M54" s="77">
        <f t="shared" si="48"/>
        <v>1.5028548961726084E-3</v>
      </c>
      <c r="N54" s="77"/>
      <c r="O54" s="77">
        <f t="shared" ref="O54:V54" si="49">O48</f>
        <v>0.14003752874618769</v>
      </c>
      <c r="P54" s="77">
        <f t="shared" si="49"/>
        <v>0.2098845668028641</v>
      </c>
      <c r="Q54" s="77">
        <f t="shared" si="49"/>
        <v>1.1181393641507329E-2</v>
      </c>
      <c r="R54" s="77">
        <f t="shared" si="49"/>
        <v>0.23898125021259042</v>
      </c>
      <c r="S54" s="77">
        <f t="shared" si="49"/>
        <v>8.5736004652794059E-2</v>
      </c>
      <c r="T54" s="77">
        <f t="shared" si="49"/>
        <v>0.16155374644162271</v>
      </c>
      <c r="U54" s="77">
        <f t="shared" si="49"/>
        <v>0.16226613271095439</v>
      </c>
      <c r="V54" s="77">
        <f t="shared" si="49"/>
        <v>0.21162178548262475</v>
      </c>
    </row>
    <row r="55" spans="1:22" s="3" customFormat="1" x14ac:dyDescent="0.25">
      <c r="A55" s="45" t="s">
        <v>14</v>
      </c>
      <c r="B55" s="77">
        <f t="shared" ref="B55:M55" si="50">(B53*100/$B$53)-100</f>
        <v>0</v>
      </c>
      <c r="C55" s="77">
        <f t="shared" si="50"/>
        <v>-12.495290719578023</v>
      </c>
      <c r="D55" s="77">
        <f t="shared" si="50"/>
        <v>40.445393277240584</v>
      </c>
      <c r="E55" s="77">
        <f t="shared" si="50"/>
        <v>454.71555946251408</v>
      </c>
      <c r="F55" s="77">
        <f t="shared" si="50"/>
        <v>3996.3204822303151</v>
      </c>
      <c r="G55" s="77">
        <f t="shared" si="50"/>
        <v>6760.5634392398179</v>
      </c>
      <c r="H55" s="77">
        <f t="shared" si="50"/>
        <v>8307.5055464858306</v>
      </c>
      <c r="I55" s="77">
        <f t="shared" si="50"/>
        <v>69.915023651052792</v>
      </c>
      <c r="J55" s="77">
        <f t="shared" si="50"/>
        <v>-43.06524820150338</v>
      </c>
      <c r="K55" s="77">
        <f t="shared" si="50"/>
        <v>-50.073255473230354</v>
      </c>
      <c r="L55" s="77">
        <f t="shared" si="50"/>
        <v>-51.881619155259735</v>
      </c>
      <c r="M55" s="77">
        <f t="shared" si="50"/>
        <v>-91.100506509272051</v>
      </c>
      <c r="N55" s="77"/>
      <c r="O55" s="77">
        <f t="shared" ref="O55:V55" si="51">(O53*100/$O$53)-100</f>
        <v>0</v>
      </c>
      <c r="P55" s="77">
        <f t="shared" si="51"/>
        <v>83.126876408716242</v>
      </c>
      <c r="Q55" s="77">
        <f t="shared" si="51"/>
        <v>-98.524294268651047</v>
      </c>
      <c r="R55" s="77">
        <f t="shared" si="51"/>
        <v>34.865896316361244</v>
      </c>
      <c r="S55" s="77">
        <f t="shared" si="51"/>
        <v>62.577066431170806</v>
      </c>
      <c r="T55" s="77">
        <f t="shared" si="51"/>
        <v>81.405449698580526</v>
      </c>
      <c r="U55" s="77">
        <f t="shared" si="51"/>
        <v>69.735879137121316</v>
      </c>
      <c r="V55" s="77">
        <f t="shared" si="51"/>
        <v>52.653017034354775</v>
      </c>
    </row>
    <row r="56" spans="1:22" s="3" customFormat="1" x14ac:dyDescent="0.25">
      <c r="A56" s="45" t="s">
        <v>37</v>
      </c>
      <c r="B56" s="77">
        <f>[1]!SWTEST(B28:B43)</f>
        <v>5.0357289262618066E-3</v>
      </c>
      <c r="C56" s="77">
        <f>[1]!SWTEST(C28:C43)</f>
        <v>1.9106762814293798E-3</v>
      </c>
      <c r="D56" s="77">
        <f>[1]!SWTEST(D28:D43)</f>
        <v>9.7128913340374545E-2</v>
      </c>
      <c r="E56" s="77">
        <f>[1]!SWTEST(E28:E43)</f>
        <v>4.3943928811684962E-5</v>
      </c>
      <c r="F56" s="77">
        <f>[1]!SWTEST(F28:F43)</f>
        <v>0.12642473561584944</v>
      </c>
      <c r="G56" s="77">
        <f>[1]!SWTEST(G28:G43)</f>
        <v>0.75177904396703799</v>
      </c>
      <c r="H56" s="77">
        <f>[1]!SWTEST(H28:H43)</f>
        <v>0.43021951414805759</v>
      </c>
      <c r="I56" s="77">
        <f>[1]!SWTEST(I28:I43)</f>
        <v>9.6639043231216082E-2</v>
      </c>
      <c r="J56" s="77">
        <f>[1]!SWTEST(J28:J43)</f>
        <v>2.7592300883940601E-2</v>
      </c>
      <c r="K56" s="77">
        <f>[1]!SWTEST(K28:K43)</f>
        <v>1.1185904394378499E-3</v>
      </c>
      <c r="L56" s="77">
        <f>[1]!SWTEST(L28:L43)</f>
        <v>6.2163496834521936E-5</v>
      </c>
      <c r="M56" s="77">
        <f>[1]!SWTEST(M28:M43)</f>
        <v>1.7575141961945207E-4</v>
      </c>
      <c r="N56" s="77"/>
      <c r="O56" s="77">
        <f>[1]!SWTEST(O28:O43)</f>
        <v>0.4226458556245809</v>
      </c>
      <c r="P56" s="77">
        <f>[1]!SWTEST(P28:P43)</f>
        <v>1.3430905232544421E-2</v>
      </c>
      <c r="Q56" s="77">
        <f>[1]!SWTEST(Q28:Q43)</f>
        <v>6.2653365523690496E-5</v>
      </c>
      <c r="R56" s="77">
        <f>[1]!SWTEST(R28:R43)</f>
        <v>0.76431343373505145</v>
      </c>
      <c r="S56" s="77">
        <f>[1]!SWTEST(S28:S43)</f>
        <v>0.69146137910769101</v>
      </c>
      <c r="T56" s="77">
        <f>[1]!SWTEST(T28:T43)</f>
        <v>0.44349061586418803</v>
      </c>
      <c r="U56" s="77">
        <f>[1]!SWTEST(U28:U43)</f>
        <v>0.10354605018727203</v>
      </c>
      <c r="V56" s="77">
        <f>[1]!SWTEST(V28:V43)</f>
        <v>0.72265408678437715</v>
      </c>
    </row>
    <row r="57" spans="1:22" s="3" customFormat="1" x14ac:dyDescent="0.25">
      <c r="A57" s="45" t="s">
        <v>38</v>
      </c>
      <c r="B57" s="77" t="str">
        <f t="shared" ref="B57:M57" si="52">IF(B56&gt;0.05,"Oui","Non")</f>
        <v>Non</v>
      </c>
      <c r="C57" s="77" t="str">
        <f t="shared" si="52"/>
        <v>Non</v>
      </c>
      <c r="D57" s="77" t="str">
        <f t="shared" si="52"/>
        <v>Oui</v>
      </c>
      <c r="E57" s="77" t="str">
        <f t="shared" si="52"/>
        <v>Non</v>
      </c>
      <c r="F57" s="77" t="str">
        <f t="shared" si="52"/>
        <v>Oui</v>
      </c>
      <c r="G57" s="77" t="str">
        <f t="shared" si="52"/>
        <v>Oui</v>
      </c>
      <c r="H57" s="77" t="str">
        <f t="shared" si="52"/>
        <v>Oui</v>
      </c>
      <c r="I57" s="77" t="str">
        <f t="shared" si="52"/>
        <v>Oui</v>
      </c>
      <c r="J57" s="77" t="str">
        <f t="shared" si="52"/>
        <v>Non</v>
      </c>
      <c r="K57" s="77" t="str">
        <f t="shared" si="52"/>
        <v>Non</v>
      </c>
      <c r="L57" s="77" t="str">
        <f t="shared" si="52"/>
        <v>Non</v>
      </c>
      <c r="M57" s="77" t="str">
        <f t="shared" si="52"/>
        <v>Non</v>
      </c>
      <c r="N57" s="77"/>
      <c r="O57" s="77" t="str">
        <f t="shared" ref="O57:V57" si="53">IF(O56&gt;0.05,"Oui","Non")</f>
        <v>Oui</v>
      </c>
      <c r="P57" s="77" t="str">
        <f t="shared" si="53"/>
        <v>Non</v>
      </c>
      <c r="Q57" s="77" t="str">
        <f t="shared" si="53"/>
        <v>Non</v>
      </c>
      <c r="R57" s="77" t="str">
        <f t="shared" si="53"/>
        <v>Oui</v>
      </c>
      <c r="S57" s="77" t="str">
        <f t="shared" si="53"/>
        <v>Oui</v>
      </c>
      <c r="T57" s="77" t="str">
        <f t="shared" si="53"/>
        <v>Oui</v>
      </c>
      <c r="U57" s="77" t="str">
        <f t="shared" si="53"/>
        <v>Oui</v>
      </c>
      <c r="V57" s="77" t="str">
        <f t="shared" si="53"/>
        <v>Oui</v>
      </c>
    </row>
    <row r="58" spans="1:22" s="3" customFormat="1" x14ac:dyDescent="0.25">
      <c r="A58" s="45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9"/>
      <c r="O58" s="80"/>
      <c r="P58" s="77"/>
      <c r="Q58" s="77"/>
      <c r="R58" s="77"/>
      <c r="S58" s="77"/>
      <c r="T58" s="77"/>
      <c r="U58" s="77"/>
      <c r="V58" s="77"/>
    </row>
    <row r="59" spans="1:22" s="3" customFormat="1" x14ac:dyDescent="0.25">
      <c r="A59" s="45" t="s">
        <v>39</v>
      </c>
      <c r="B59" s="81"/>
      <c r="C59" s="81" t="str">
        <f t="shared" ref="C59:M59" si="54">IF($B57="Non",IF(C$57="Non","Mann Withney",IF(C$57="Oui","Mann Withney","")),IF($B$57="Oui",IF(C$57="Oui","T-Test Welch",IF(C$57="Non","Mann Withney",""))))</f>
        <v>Mann Withney</v>
      </c>
      <c r="D59" s="81" t="str">
        <f t="shared" si="54"/>
        <v>Mann Withney</v>
      </c>
      <c r="E59" s="81" t="str">
        <f t="shared" si="54"/>
        <v>Mann Withney</v>
      </c>
      <c r="F59" s="81" t="str">
        <f t="shared" si="54"/>
        <v>Mann Withney</v>
      </c>
      <c r="G59" s="81" t="str">
        <f t="shared" si="54"/>
        <v>Mann Withney</v>
      </c>
      <c r="H59" s="81" t="str">
        <f t="shared" si="54"/>
        <v>Mann Withney</v>
      </c>
      <c r="I59" s="81" t="str">
        <f t="shared" si="54"/>
        <v>Mann Withney</v>
      </c>
      <c r="J59" s="81" t="str">
        <f t="shared" si="54"/>
        <v>Mann Withney</v>
      </c>
      <c r="K59" s="81" t="str">
        <f t="shared" si="54"/>
        <v>Mann Withney</v>
      </c>
      <c r="L59" s="81" t="str">
        <f t="shared" si="54"/>
        <v>Mann Withney</v>
      </c>
      <c r="M59" s="81" t="str">
        <f t="shared" si="54"/>
        <v>Mann Withney</v>
      </c>
      <c r="N59" s="81"/>
      <c r="O59" s="81" t="str">
        <f>IF($B57="Non",IF(O$57="Non","Mann Withney",IF(O$57="Oui","Mann Withney","")),IF($B$57="Oui",IF(O$57="Oui","T-Test Welch",IF(O$57="Non","Mann Withney",""))))</f>
        <v>Mann Withney</v>
      </c>
      <c r="P59" s="81" t="str">
        <f t="shared" ref="P59:V59" si="55">IF($O57="Non",IF(P$57="Non","Mann Withney",IF(P$57="Oui","Mann Withney","")),IF($O$57="Oui",IF(P$57="Oui","T-Test Welch",IF(P$57="Non","Mann Withney",""))))</f>
        <v>Mann Withney</v>
      </c>
      <c r="Q59" s="81" t="str">
        <f t="shared" si="55"/>
        <v>Mann Withney</v>
      </c>
      <c r="R59" s="81" t="str">
        <f t="shared" si="55"/>
        <v>T-Test Welch</v>
      </c>
      <c r="S59" s="81" t="str">
        <f t="shared" si="55"/>
        <v>T-Test Welch</v>
      </c>
      <c r="T59" s="81" t="str">
        <f t="shared" si="55"/>
        <v>T-Test Welch</v>
      </c>
      <c r="U59" s="81" t="str">
        <f t="shared" si="55"/>
        <v>T-Test Welch</v>
      </c>
      <c r="V59" s="81" t="str">
        <f t="shared" si="55"/>
        <v>T-Test Welch</v>
      </c>
    </row>
    <row r="60" spans="1:22" s="3" customFormat="1" x14ac:dyDescent="0.25">
      <c r="A60" s="45" t="s">
        <v>40</v>
      </c>
      <c r="B60" s="82"/>
      <c r="C60" s="82">
        <f>IF(C59="Mann Withney",[1]!MTEST($B28:$B43,C28:C43,2), IF(C59="T-Test Welch",_xlfn.T.TEST($B28:$B43,C28:C43,2,3),""))</f>
        <v>0.95812192657774276</v>
      </c>
      <c r="D60" s="82">
        <f>IF(D59="Mann Withney",[1]!MTEST($B28:$B43,D28:D43,2), IF(D59="T-Test Welch",_xlfn.T.TEST($B28:$B43,D28:D43,2,3),""))</f>
        <v>0.46224994612554271</v>
      </c>
      <c r="E60" s="82">
        <f>IF(E59="Mann Withney",[1]!MTEST($B28:$B43,E28:E43,2), IF(E59="T-Test Welch",_xlfn.T.TEST($B28:$B43,E28:E43,2,3),""))</f>
        <v>0.49483653811309747</v>
      </c>
      <c r="F60" s="82">
        <f>IF(F59="Mann Withney",[1]!MTEST($B28:$B43,F28:F43,2), IF(F59="T-Test Welch",_xlfn.T.TEST($B28:$B43,F28:F43,2,3),""))</f>
        <v>7.7753044694039986E-4</v>
      </c>
      <c r="G60" s="82">
        <f>IF(G59="Mann Withney",[1]!MTEST($B28:$B43,G28:G43,2), IF(G59="T-Test Welch",_xlfn.T.TEST($B28:$B43,G28:G43,2,3),""))</f>
        <v>7.7753044694039986E-4</v>
      </c>
      <c r="H60" s="82">
        <f>IF(H59="Mann Withney",[1]!MTEST($B28:$B43,H28:H43,2), IF(H59="T-Test Welch",_xlfn.T.TEST($B28:$B43,H28:H43,2,3),""))</f>
        <v>7.7753044694039986E-4</v>
      </c>
      <c r="I60" s="82">
        <f>IF(I59="Mann Withney",[1]!MTEST($B28:$B43,I28:I43,2), IF(I59="T-Test Welch",_xlfn.T.TEST($B28:$B43,I28:I43,2,3),""))</f>
        <v>0.15625395802736319</v>
      </c>
      <c r="J60" s="82">
        <f>IF(J59="Mann Withney",[1]!MTEST($B28:$B43,J28:J43,2), IF(J59="T-Test Welch",_xlfn.T.TEST($B28:$B43,J28:J43,2,3),""))</f>
        <v>0.86218669440076234</v>
      </c>
      <c r="K60" s="82">
        <f>IF(K59="Mann Withney",[1]!MTEST($B28:$B43,K28:K43,2), IF(K59="T-Test Welch",_xlfn.T.TEST($B28:$B43,K28:K43,2,3),""))</f>
        <v>0.49483653811309747</v>
      </c>
      <c r="L60" s="82">
        <f>IF(L59="Mann Withney",[1]!MTEST($B28:$B43,L28:L43,2), IF(L59="T-Test Welch",_xlfn.T.TEST($B28:$B43,L28:L43,2,3),""))</f>
        <v>0.95812192657774276</v>
      </c>
      <c r="M60" s="82">
        <f>IF(M59="Mann Withney",[1]!MTEST($B28:$B43,M28:M43,2), IF(M59="T-Test Welch",_xlfn.T.TEST($B28:$B43,M28:M43,2,3),""))</f>
        <v>0.1721672360665969</v>
      </c>
      <c r="N60" s="82"/>
      <c r="O60" s="82">
        <f>IF(O59="Mann Withney",[1]!MTEST($B28:$B43,O28:O43,2), IF(O59="T-Test Welch",_xlfn.T.TEST($B28:$B43,O28:O43,2,3),""))</f>
        <v>3.0267777415771135E-4</v>
      </c>
      <c r="P60" s="82">
        <f>IF(P59="Mann Withney",[1]!MTEST($O28:$O43,P28:P43,2), IF(P59="T-Test Welch",_xlfn.T.TEST($O28:$O43,P28:P43,2,3),""))</f>
        <v>2.1996470611129748E-3</v>
      </c>
      <c r="Q60" s="82">
        <f>IF(Q59="Mann Withney",[1]!MTEST($O28:$O43,Q28:Q43,2), IF(Q59="T-Test Welch",_xlfn.T.TEST($O28:$O43,Q28:Q43,2,3),""))</f>
        <v>1.8736353316595178E-4</v>
      </c>
      <c r="R60" s="82">
        <f>IF(R59="Mann Withney",[1]!MTEST($O28:$O43,R28:R43,2), IF(R59="T-Test Welch",_xlfn.T.TEST($O28:$O43,R28:R43,2,3),""))</f>
        <v>0.23210969496647321</v>
      </c>
      <c r="S60" s="82">
        <f>IF(S59="Mann Withney",[1]!MTEST($O28:$O43,S28:S43,2), IF(S59="T-Test Welch",_xlfn.T.TEST($O28:$O43,S28:S43,2,3),""))</f>
        <v>9.6787591861052097E-4</v>
      </c>
      <c r="T60" s="82">
        <f>IF(T59="Mann Withney",[1]!MTEST($O28:$O43,T28:T43,2), IF(T59="T-Test Welch",_xlfn.T.TEST($O28:$O43,T28:T43,2,3),""))</f>
        <v>1.408324103414656E-3</v>
      </c>
      <c r="U60" s="82">
        <f>IF(U59="Mann Withney",[1]!MTEST($O28:$O43,U28:U43,2), IF(U59="T-Test Welch",_xlfn.T.TEST($O28:$O43,U28:U43,2,3),""))</f>
        <v>4.6966168816092646E-3</v>
      </c>
      <c r="V60" s="82">
        <f>IF(V59="Mann Withney",[1]!MTEST($O28:$O43,V28:V43,2), IF(V59="T-Test Welch",_xlfn.T.TEST($O28:$O43,V28:V43,2,3),""))</f>
        <v>5.79594084463649E-2</v>
      </c>
    </row>
    <row r="61" spans="1:22" s="3" customFormat="1" ht="15.75" thickBot="1" x14ac:dyDescent="0.3">
      <c r="A61" s="46" t="s">
        <v>15</v>
      </c>
      <c r="B61" s="78"/>
      <c r="C61" s="78" t="str">
        <f t="shared" ref="C61:M61" si="56">IF(C60&gt;0.05,"NS",IF(C60&gt;0.01,"*",IF(C60&gt;0.001,"**","***")))</f>
        <v>NS</v>
      </c>
      <c r="D61" s="78" t="str">
        <f t="shared" si="56"/>
        <v>NS</v>
      </c>
      <c r="E61" s="78" t="str">
        <f t="shared" si="56"/>
        <v>NS</v>
      </c>
      <c r="F61" s="78" t="str">
        <f t="shared" si="56"/>
        <v>***</v>
      </c>
      <c r="G61" s="78" t="str">
        <f t="shared" si="56"/>
        <v>***</v>
      </c>
      <c r="H61" s="78" t="str">
        <f t="shared" si="56"/>
        <v>***</v>
      </c>
      <c r="I61" s="78" t="str">
        <f t="shared" si="56"/>
        <v>NS</v>
      </c>
      <c r="J61" s="78" t="str">
        <f t="shared" si="56"/>
        <v>NS</v>
      </c>
      <c r="K61" s="78" t="str">
        <f t="shared" si="56"/>
        <v>NS</v>
      </c>
      <c r="L61" s="78" t="str">
        <f t="shared" si="56"/>
        <v>NS</v>
      </c>
      <c r="M61" s="78" t="str">
        <f t="shared" si="56"/>
        <v>NS</v>
      </c>
      <c r="N61" s="78"/>
      <c r="O61" s="78" t="str">
        <f>IF(O60&gt;0.05,"NS",IF(O60&gt;0.01,"*",IF(O60&gt;0.001,"**","***")))</f>
        <v>***</v>
      </c>
      <c r="P61" s="78" t="str">
        <f>IF(P60&gt;0.05,"NS",IF(P60&gt;0.01,"*",IF(P60&gt;0.001,"**","***")))</f>
        <v>**</v>
      </c>
      <c r="Q61" s="78" t="str">
        <f t="shared" ref="Q61" si="57">IF(Q60&gt;0.05,"NS",IF(Q60&gt;0.01,"*",IF(Q60&gt;0.001,"**","***")))</f>
        <v>***</v>
      </c>
      <c r="R61" s="78" t="str">
        <f t="shared" ref="R61" si="58">IF(R60&gt;0.05,"NS",IF(R60&gt;0.01,"*",IF(R60&gt;0.001,"**","***")))</f>
        <v>NS</v>
      </c>
      <c r="S61" s="78" t="str">
        <f t="shared" ref="S61" si="59">IF(S60&gt;0.05,"NS",IF(S60&gt;0.01,"*",IF(S60&gt;0.001,"**","***")))</f>
        <v>***</v>
      </c>
      <c r="T61" s="78" t="str">
        <f t="shared" ref="T61" si="60">IF(T60&gt;0.05,"NS",IF(T60&gt;0.01,"*",IF(T60&gt;0.001,"**","***")))</f>
        <v>**</v>
      </c>
      <c r="U61" s="78" t="str">
        <f t="shared" ref="U61" si="61">IF(U60&gt;0.05,"NS",IF(U60&gt;0.01,"*",IF(U60&gt;0.001,"**","***")))</f>
        <v>**</v>
      </c>
      <c r="V61" s="78" t="str">
        <f t="shared" ref="V61" si="62">IF(V60&gt;0.05,"NS",IF(V60&gt;0.01,"*",IF(V60&gt;0.001,"**","***")))</f>
        <v>NS</v>
      </c>
    </row>
    <row r="63" spans="1:22" x14ac:dyDescent="0.25">
      <c r="A63" s="2"/>
    </row>
    <row r="66" spans="1:22" ht="15.75" thickBot="1" x14ac:dyDescent="0.3"/>
    <row r="67" spans="1:22" s="1" customFormat="1" ht="27" thickBot="1" x14ac:dyDescent="0.45">
      <c r="A67" s="135"/>
      <c r="B67" s="136"/>
      <c r="C67" s="136"/>
      <c r="D67" s="136"/>
      <c r="E67" s="136"/>
      <c r="F67" s="136"/>
      <c r="G67" s="136"/>
      <c r="H67" s="136"/>
      <c r="I67" s="136"/>
      <c r="J67" s="136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</row>
    <row r="68" spans="1:22" ht="16.5" x14ac:dyDescent="0.25">
      <c r="A68" s="12"/>
      <c r="B68" s="12"/>
      <c r="C68" s="12"/>
      <c r="D68" s="12"/>
      <c r="E68" s="12"/>
      <c r="F68" s="12"/>
      <c r="N68" s="12"/>
      <c r="O68" s="12"/>
      <c r="P68" s="12"/>
      <c r="Q68" s="12"/>
      <c r="R68" s="12"/>
      <c r="S68" s="12"/>
      <c r="T68" s="12"/>
      <c r="U68" s="12"/>
      <c r="V68" s="12"/>
    </row>
    <row r="69" spans="1:22" ht="16.5" x14ac:dyDescent="0.25">
      <c r="A69" s="12"/>
      <c r="B69" s="12"/>
      <c r="C69" s="12"/>
      <c r="D69" s="12"/>
      <c r="E69" s="12"/>
      <c r="F69" s="12"/>
      <c r="N69" s="12"/>
      <c r="O69" s="12"/>
      <c r="P69" s="12"/>
      <c r="Q69" s="12"/>
      <c r="R69" s="12"/>
      <c r="S69" s="12"/>
      <c r="T69" s="12"/>
      <c r="U69" s="12"/>
      <c r="V69" s="12"/>
    </row>
    <row r="70" spans="1:22" ht="16.5" x14ac:dyDescent="0.25">
      <c r="A70" s="12"/>
      <c r="B70" s="12"/>
      <c r="C70" s="12"/>
      <c r="D70" s="12"/>
      <c r="E70" s="12"/>
      <c r="F70" s="12"/>
      <c r="N70" s="12"/>
      <c r="O70" s="12"/>
      <c r="P70" s="12"/>
      <c r="Q70" s="12"/>
      <c r="R70" s="12"/>
      <c r="S70" s="12"/>
      <c r="T70" s="12"/>
      <c r="U70" s="12"/>
      <c r="V70" s="12"/>
    </row>
    <row r="71" spans="1:22" ht="16.5" x14ac:dyDescent="0.25">
      <c r="A71" s="12"/>
      <c r="B71" s="12"/>
      <c r="C71" s="12"/>
      <c r="D71" s="12"/>
      <c r="E71" s="12"/>
      <c r="F71" s="12"/>
      <c r="N71" s="12"/>
      <c r="O71" s="12"/>
      <c r="P71" s="12"/>
      <c r="Q71" s="12"/>
      <c r="R71" s="12"/>
      <c r="S71" s="12"/>
      <c r="T71" s="12"/>
      <c r="U71" s="12"/>
      <c r="V71" s="12"/>
    </row>
    <row r="72" spans="1:22" ht="16.5" x14ac:dyDescent="0.25">
      <c r="A72" s="12"/>
      <c r="B72" s="12"/>
      <c r="C72" s="12"/>
      <c r="D72" s="12"/>
      <c r="E72" s="12"/>
      <c r="F72" s="12"/>
      <c r="N72" s="12"/>
      <c r="O72" s="12"/>
      <c r="P72" s="12"/>
      <c r="Q72" s="12"/>
      <c r="R72" s="12"/>
      <c r="S72" s="12"/>
      <c r="T72" s="12"/>
      <c r="U72" s="12"/>
      <c r="V72" s="12"/>
    </row>
    <row r="73" spans="1:22" ht="16.5" x14ac:dyDescent="0.25">
      <c r="A73" s="12"/>
      <c r="B73" s="12"/>
      <c r="C73" s="12"/>
      <c r="D73" s="12"/>
      <c r="E73" s="12"/>
      <c r="F73" s="12"/>
      <c r="N73" s="12"/>
      <c r="O73" s="12"/>
      <c r="P73" s="12"/>
      <c r="Q73" s="12"/>
      <c r="R73" s="12"/>
      <c r="S73" s="12"/>
      <c r="T73" s="12"/>
      <c r="U73" s="12"/>
      <c r="V73" s="12"/>
    </row>
    <row r="74" spans="1:22" ht="16.5" x14ac:dyDescent="0.25">
      <c r="A74" s="12"/>
      <c r="B74" s="12"/>
      <c r="C74" s="12"/>
      <c r="D74" s="12"/>
      <c r="E74" s="12"/>
      <c r="F74" s="12"/>
      <c r="N74" s="12"/>
      <c r="O74" s="12"/>
      <c r="P74" s="12"/>
      <c r="Q74" s="12"/>
      <c r="R74" s="12"/>
      <c r="S74" s="12"/>
      <c r="T74" s="12"/>
      <c r="U74" s="12"/>
      <c r="V74" s="12"/>
    </row>
  </sheetData>
  <protectedRanges>
    <protectedRange sqref="O51:V51" name="Plage2"/>
    <protectedRange sqref="R12:V21 R5:V7" name="Plage1"/>
    <protectedRange sqref="B51:J51" name="Plage2_1"/>
    <protectedRange sqref="J5:J6 B13:J21 J11:J12 O21" name="Plage1_1"/>
    <protectedRange sqref="I5:I6 I11:I12 R8:V11 I7:M10" name="Plage1_1_1"/>
    <protectedRange sqref="B5:H12" name="Plage1_1_2"/>
    <protectedRange sqref="O5:O20" name="Plage1_1_3"/>
  </protectedRanges>
  <mergeCells count="9">
    <mergeCell ref="A1:V1"/>
    <mergeCell ref="A67:V67"/>
    <mergeCell ref="A50:V50"/>
    <mergeCell ref="A5:A20"/>
    <mergeCell ref="A28:A43"/>
    <mergeCell ref="B3:M3"/>
    <mergeCell ref="B26:M26"/>
    <mergeCell ref="O26:V26"/>
    <mergeCell ref="O3:V3"/>
  </mergeCells>
  <pageMargins left="0.7" right="0.7" top="0.75" bottom="0.75" header="0.3" footer="0.3"/>
  <pageSetup paperSize="9" scale="21" orientation="landscape" r:id="rId1"/>
  <headerFooter>
    <oddHeader>&amp;C&amp;"-,Gras"&amp;14Données brutes et normalisées R1&amp;R&amp;"-,Gras"&amp;14Page : &amp;P/&amp;P</oddHead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74"/>
  <sheetViews>
    <sheetView showGridLines="0" topLeftCell="P4" zoomScale="70" zoomScaleNormal="70" zoomScaleSheetLayoutView="40" zoomScalePageLayoutView="30" workbookViewId="0">
      <selection activeCell="V5" sqref="V5:V12"/>
    </sheetView>
  </sheetViews>
  <sheetFormatPr baseColWidth="10" defaultColWidth="9.140625" defaultRowHeight="15" x14ac:dyDescent="0.25"/>
  <cols>
    <col min="1" max="1" width="33.5703125" style="1" customWidth="1"/>
    <col min="2" max="2" width="14.85546875" style="1" customWidth="1"/>
    <col min="3" max="5" width="25.85546875" style="1" bestFit="1" customWidth="1"/>
    <col min="6" max="8" width="26.42578125" style="1" bestFit="1" customWidth="1"/>
    <col min="9" max="9" width="26.42578125" style="1" customWidth="1"/>
    <col min="10" max="10" width="25.85546875" style="1" bestFit="1" customWidth="1"/>
    <col min="11" max="11" width="26.42578125" style="1" bestFit="1" customWidth="1"/>
    <col min="12" max="13" width="26.42578125" style="1" customWidth="1"/>
    <col min="14" max="14" width="11.7109375" style="1" customWidth="1"/>
    <col min="15" max="15" width="14.85546875" style="1" customWidth="1"/>
    <col min="16" max="16" width="17.7109375" style="1" customWidth="1"/>
    <col min="17" max="18" width="25.85546875" style="1" bestFit="1" customWidth="1"/>
    <col min="19" max="22" width="25.85546875" style="1" customWidth="1"/>
    <col min="23" max="16384" width="9.140625" style="1"/>
  </cols>
  <sheetData>
    <row r="1" spans="1:22" ht="27" thickBot="1" x14ac:dyDescent="0.45">
      <c r="A1" s="133"/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</row>
    <row r="2" spans="1:22" customFormat="1" ht="15.75" thickBot="1" x14ac:dyDescent="0.3"/>
    <row r="3" spans="1:22" ht="15.75" thickBot="1" x14ac:dyDescent="0.3">
      <c r="A3" s="83" t="s">
        <v>6</v>
      </c>
      <c r="B3" s="141" t="s">
        <v>41</v>
      </c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O3" s="141" t="s">
        <v>42</v>
      </c>
      <c r="P3" s="142"/>
      <c r="Q3" s="142"/>
      <c r="R3" s="142"/>
      <c r="S3" s="142"/>
      <c r="T3" s="142"/>
      <c r="U3" s="142"/>
      <c r="V3" s="142"/>
    </row>
    <row r="4" spans="1:22" x14ac:dyDescent="0.25">
      <c r="A4" s="19" t="s">
        <v>36</v>
      </c>
      <c r="B4" s="20" t="str">
        <f>'Front page'!A7</f>
        <v>Solvent control</v>
      </c>
      <c r="C4" s="20" t="str">
        <f>'Front page'!A8</f>
        <v>EE2-33.8ng/L</v>
      </c>
      <c r="D4" s="20" t="str">
        <f>'Front page'!A9</f>
        <v>EE2-50.6ng/L</v>
      </c>
      <c r="E4" s="20" t="str">
        <f>'Front page'!A10</f>
        <v>EE2-76ng/L</v>
      </c>
      <c r="F4" s="20" t="str">
        <f>'Front page'!A11</f>
        <v>EE2-114ng/L</v>
      </c>
      <c r="G4" s="20" t="str">
        <f>'Front page'!A12</f>
        <v>EE2-170.9ng/L</v>
      </c>
      <c r="H4" s="20" t="str">
        <f>'Front page'!A13</f>
        <v>EE2-488ng/L</v>
      </c>
      <c r="I4" s="20" t="str">
        <f>'Front page'!A14</f>
        <v>Dutasteride-0.01mg/L</v>
      </c>
      <c r="J4" s="20" t="str">
        <f>'Front page'!A15</f>
        <v>Dutasteride-0.1mg/L</v>
      </c>
      <c r="K4" s="20" t="str">
        <f>'Front page'!A16</f>
        <v>Dutasteride-0.25mg/L</v>
      </c>
      <c r="L4" s="20" t="str">
        <f>'Front page'!A17</f>
        <v>Dutasteride-0.5mg/L</v>
      </c>
      <c r="M4" s="20" t="str">
        <f>'Front page'!A18</f>
        <v>Dutasteride-1.0mg/L</v>
      </c>
      <c r="N4" s="3"/>
      <c r="O4" s="21" t="str">
        <f>'Front page'!A35</f>
        <v>Testo -30µg/L</v>
      </c>
      <c r="P4" s="21" t="str">
        <f>'Front page'!A36</f>
        <v>Testo 30µg/L + EE2 -64ng/L</v>
      </c>
      <c r="Q4" s="21" t="str">
        <f>'Front page'!A37</f>
        <v>Testo 30µg/L + FAD-10mg/L</v>
      </c>
      <c r="R4" s="21" t="str">
        <f>'Front page'!A38</f>
        <v>Dutasteride-0.01mg/L + Testostérone</v>
      </c>
      <c r="S4" s="21" t="str">
        <f>'Front page'!A39</f>
        <v>Dutasteride-0.1mg/L + Testostérone</v>
      </c>
      <c r="T4" s="21" t="str">
        <f>'Front page'!A40</f>
        <v>Dutasteride-0.25mg/L + Testostérone</v>
      </c>
      <c r="U4" s="21" t="str">
        <f>'Front page'!A41</f>
        <v>Dutasteride-0.5mg/L + Testostérone</v>
      </c>
      <c r="V4" s="21" t="str">
        <f>'Front page'!A42</f>
        <v>Dutasteride-1.0mg/L + Testostérone</v>
      </c>
    </row>
    <row r="5" spans="1:22" x14ac:dyDescent="0.25">
      <c r="A5" s="137" t="s">
        <v>34</v>
      </c>
      <c r="B5" s="1">
        <v>0</v>
      </c>
      <c r="C5" s="1">
        <v>31029</v>
      </c>
      <c r="D5" s="1">
        <v>421760</v>
      </c>
      <c r="E5" s="1">
        <v>171228</v>
      </c>
      <c r="F5" s="1">
        <v>174477</v>
      </c>
      <c r="G5" s="1">
        <v>409842</v>
      </c>
      <c r="H5" s="1">
        <v>335849</v>
      </c>
      <c r="I5" s="1">
        <v>2951</v>
      </c>
      <c r="J5" s="1">
        <v>17614</v>
      </c>
      <c r="K5" s="1">
        <v>16581</v>
      </c>
      <c r="L5" s="1">
        <v>5477</v>
      </c>
      <c r="M5" s="1">
        <v>20436</v>
      </c>
      <c r="N5" s="3"/>
      <c r="O5" s="1">
        <v>207697</v>
      </c>
      <c r="P5" s="1">
        <v>315900</v>
      </c>
      <c r="Q5" s="1">
        <v>23839</v>
      </c>
      <c r="R5" s="1">
        <v>387186</v>
      </c>
      <c r="S5" s="1">
        <v>354312</v>
      </c>
      <c r="T5" s="1">
        <v>324589</v>
      </c>
      <c r="U5" s="1">
        <v>312358</v>
      </c>
      <c r="V5" s="1">
        <v>372724</v>
      </c>
    </row>
    <row r="6" spans="1:22" x14ac:dyDescent="0.25">
      <c r="A6" s="138"/>
      <c r="B6" s="1">
        <v>0</v>
      </c>
      <c r="C6" s="1">
        <v>22012</v>
      </c>
      <c r="D6" s="1">
        <v>22299</v>
      </c>
      <c r="E6" s="1">
        <v>141088</v>
      </c>
      <c r="F6" s="1">
        <v>337313</v>
      </c>
      <c r="G6" s="1">
        <v>299508</v>
      </c>
      <c r="H6" s="1">
        <v>328421</v>
      </c>
      <c r="I6" s="1">
        <v>5882</v>
      </c>
      <c r="J6" s="1">
        <v>5094</v>
      </c>
      <c r="K6" s="1">
        <v>29644</v>
      </c>
      <c r="L6" s="1">
        <v>418</v>
      </c>
      <c r="M6" s="1">
        <v>13593</v>
      </c>
      <c r="N6" s="3"/>
      <c r="O6" s="1">
        <v>222430</v>
      </c>
      <c r="P6" s="1">
        <v>378330</v>
      </c>
      <c r="Q6" s="1">
        <v>1305</v>
      </c>
      <c r="R6" s="1">
        <v>343011</v>
      </c>
      <c r="S6" s="1">
        <v>303483</v>
      </c>
      <c r="T6" s="1">
        <v>323518</v>
      </c>
      <c r="U6" s="1">
        <v>349060</v>
      </c>
      <c r="V6" s="1">
        <v>356779</v>
      </c>
    </row>
    <row r="7" spans="1:22" x14ac:dyDescent="0.25">
      <c r="A7" s="138"/>
      <c r="B7" s="1">
        <v>0</v>
      </c>
      <c r="C7" s="1">
        <v>16573</v>
      </c>
      <c r="D7" s="1">
        <v>85653</v>
      </c>
      <c r="E7" s="1">
        <v>38652</v>
      </c>
      <c r="F7" s="1">
        <v>156302</v>
      </c>
      <c r="G7" s="1">
        <v>371422</v>
      </c>
      <c r="H7" s="1">
        <v>335241</v>
      </c>
      <c r="I7" s="1">
        <v>0</v>
      </c>
      <c r="J7" s="1">
        <v>11692</v>
      </c>
      <c r="K7" s="1">
        <v>9894</v>
      </c>
      <c r="L7" s="1">
        <v>14988</v>
      </c>
      <c r="M7" s="1">
        <v>15351</v>
      </c>
      <c r="N7" s="3"/>
      <c r="O7" s="1">
        <v>282773</v>
      </c>
      <c r="P7" s="1">
        <v>379099</v>
      </c>
      <c r="Q7" s="1">
        <v>485</v>
      </c>
      <c r="R7" s="1">
        <v>317532</v>
      </c>
      <c r="S7" s="1">
        <v>269255</v>
      </c>
      <c r="T7" s="1">
        <v>311318</v>
      </c>
      <c r="U7" s="1">
        <v>334568</v>
      </c>
      <c r="V7" s="1">
        <v>380719</v>
      </c>
    </row>
    <row r="8" spans="1:22" x14ac:dyDescent="0.25">
      <c r="A8" s="138"/>
      <c r="B8" s="1">
        <v>0</v>
      </c>
      <c r="C8" s="1">
        <v>4558</v>
      </c>
      <c r="D8" s="1">
        <v>0</v>
      </c>
      <c r="E8" s="1">
        <v>58439</v>
      </c>
      <c r="F8" s="1">
        <v>408179</v>
      </c>
      <c r="G8" s="1">
        <v>20547</v>
      </c>
      <c r="H8" s="1">
        <v>406670</v>
      </c>
      <c r="I8" s="1">
        <v>17626</v>
      </c>
      <c r="J8" s="1">
        <v>20353</v>
      </c>
      <c r="K8" s="1">
        <v>8535</v>
      </c>
      <c r="L8" s="1">
        <v>40671</v>
      </c>
      <c r="M8" s="1">
        <v>0</v>
      </c>
      <c r="N8" s="3"/>
      <c r="O8" s="1">
        <v>333083</v>
      </c>
      <c r="P8" s="1">
        <v>320093</v>
      </c>
      <c r="Q8" s="1">
        <v>13601</v>
      </c>
      <c r="R8" s="1">
        <v>357115</v>
      </c>
      <c r="S8" s="1">
        <v>463093</v>
      </c>
      <c r="T8" s="1">
        <v>391982</v>
      </c>
      <c r="U8" s="1">
        <v>456850</v>
      </c>
      <c r="V8" s="1">
        <v>222379</v>
      </c>
    </row>
    <row r="9" spans="1:22" x14ac:dyDescent="0.25">
      <c r="A9" s="138"/>
      <c r="B9" s="1">
        <v>0</v>
      </c>
      <c r="C9" s="1">
        <v>17934</v>
      </c>
      <c r="D9" s="1">
        <v>185166</v>
      </c>
      <c r="E9" s="1">
        <v>198364</v>
      </c>
      <c r="F9" s="1">
        <v>169195</v>
      </c>
      <c r="G9" s="1">
        <v>371363</v>
      </c>
      <c r="H9" s="1">
        <v>483362</v>
      </c>
      <c r="I9" s="1">
        <v>13285</v>
      </c>
      <c r="J9" s="1">
        <v>28354</v>
      </c>
      <c r="K9" s="1">
        <v>27830</v>
      </c>
      <c r="L9" s="1">
        <v>72358</v>
      </c>
      <c r="M9" s="1">
        <v>32317</v>
      </c>
      <c r="N9" s="3"/>
      <c r="O9" s="1">
        <v>316407</v>
      </c>
      <c r="P9" s="1">
        <v>255646</v>
      </c>
      <c r="Q9" s="1">
        <v>39009</v>
      </c>
      <c r="R9" s="1">
        <v>376860</v>
      </c>
      <c r="S9" s="1">
        <v>288038</v>
      </c>
      <c r="T9" s="1">
        <v>99656</v>
      </c>
      <c r="U9" s="1">
        <v>290042</v>
      </c>
      <c r="V9" s="1">
        <v>204029</v>
      </c>
    </row>
    <row r="10" spans="1:22" x14ac:dyDescent="0.25">
      <c r="A10" s="138"/>
      <c r="B10" s="1">
        <v>0</v>
      </c>
      <c r="C10" s="1">
        <v>52483</v>
      </c>
      <c r="D10" s="1">
        <v>2521</v>
      </c>
      <c r="E10" s="1">
        <v>86462</v>
      </c>
      <c r="F10" s="1">
        <v>183384</v>
      </c>
      <c r="G10" s="1">
        <v>352890</v>
      </c>
      <c r="H10" s="1">
        <v>407492</v>
      </c>
      <c r="I10" s="1">
        <v>8155</v>
      </c>
      <c r="J10" s="1">
        <v>29522</v>
      </c>
      <c r="K10" s="1">
        <v>1145</v>
      </c>
      <c r="L10" s="1">
        <v>484</v>
      </c>
      <c r="M10" s="1">
        <v>0</v>
      </c>
      <c r="N10" s="3"/>
      <c r="O10" s="1">
        <v>199081</v>
      </c>
      <c r="P10" s="1">
        <v>388979</v>
      </c>
      <c r="Q10" s="1">
        <v>13191</v>
      </c>
      <c r="R10" s="1">
        <v>218087</v>
      </c>
      <c r="S10" s="1">
        <v>227253</v>
      </c>
      <c r="T10" s="1">
        <v>359305</v>
      </c>
      <c r="U10" s="1">
        <v>306970</v>
      </c>
      <c r="V10" s="1">
        <v>382803</v>
      </c>
    </row>
    <row r="11" spans="1:22" x14ac:dyDescent="0.25">
      <c r="A11" s="138"/>
      <c r="B11" s="1">
        <v>0</v>
      </c>
      <c r="C11" s="1">
        <v>24950</v>
      </c>
      <c r="D11" s="1">
        <v>3523</v>
      </c>
      <c r="E11" s="1">
        <v>188689</v>
      </c>
      <c r="F11" s="1">
        <v>318096</v>
      </c>
      <c r="G11" s="1">
        <v>389475</v>
      </c>
      <c r="H11" s="1">
        <v>400449</v>
      </c>
      <c r="I11" s="1">
        <v>31281</v>
      </c>
      <c r="J11" s="1">
        <v>17725</v>
      </c>
      <c r="K11" s="1">
        <v>29740</v>
      </c>
      <c r="L11" s="1">
        <v>25053</v>
      </c>
      <c r="M11" s="1">
        <v>39971</v>
      </c>
      <c r="N11" s="3"/>
      <c r="O11" s="1">
        <v>237365</v>
      </c>
      <c r="P11" s="1">
        <v>261694</v>
      </c>
      <c r="Q11" s="1">
        <v>41966</v>
      </c>
      <c r="R11" s="1">
        <v>167042</v>
      </c>
      <c r="S11" s="1">
        <v>347260</v>
      </c>
      <c r="T11" s="1">
        <v>388913</v>
      </c>
      <c r="U11" s="1">
        <v>282451</v>
      </c>
      <c r="V11" s="1">
        <v>233329</v>
      </c>
    </row>
    <row r="12" spans="1:22" x14ac:dyDescent="0.25">
      <c r="A12" s="138"/>
      <c r="B12" s="1">
        <v>0</v>
      </c>
      <c r="C12" s="1">
        <v>18326</v>
      </c>
      <c r="D12" s="1">
        <v>8520</v>
      </c>
      <c r="E12" s="1">
        <v>170183</v>
      </c>
      <c r="F12" s="1">
        <v>254778</v>
      </c>
      <c r="G12" s="1">
        <v>417254</v>
      </c>
      <c r="H12" s="1">
        <v>356972</v>
      </c>
      <c r="I12" s="1">
        <v>6492</v>
      </c>
      <c r="J12" s="1">
        <v>26007</v>
      </c>
      <c r="K12" s="1">
        <v>54711</v>
      </c>
      <c r="L12" s="1">
        <v>8894</v>
      </c>
      <c r="M12" s="1">
        <v>18668</v>
      </c>
      <c r="N12" s="3"/>
      <c r="O12" s="1">
        <v>293019</v>
      </c>
      <c r="P12" s="1">
        <v>356955</v>
      </c>
      <c r="Q12" s="1">
        <v>23477</v>
      </c>
      <c r="R12" s="1">
        <v>377805</v>
      </c>
      <c r="S12" s="1">
        <v>261887</v>
      </c>
      <c r="T12" s="1">
        <v>399521</v>
      </c>
      <c r="U12" s="1">
        <v>298749</v>
      </c>
      <c r="V12" s="1">
        <v>405588</v>
      </c>
    </row>
    <row r="13" spans="1:22" ht="16.5" x14ac:dyDescent="0.25">
      <c r="A13" s="138"/>
      <c r="B13" s="14"/>
      <c r="C13" s="13"/>
      <c r="D13" s="17"/>
      <c r="E13" s="17"/>
      <c r="F13" s="17"/>
      <c r="G13" s="17"/>
      <c r="H13" s="17"/>
      <c r="I13" s="17"/>
      <c r="J13" s="17"/>
      <c r="K13" s="13"/>
      <c r="L13" s="13"/>
      <c r="M13" s="13"/>
      <c r="N13" s="3"/>
      <c r="O13" s="1">
        <v>288150</v>
      </c>
      <c r="P13" s="13"/>
      <c r="Q13" s="13"/>
      <c r="R13" s="17"/>
      <c r="S13" s="17"/>
      <c r="T13" s="17"/>
      <c r="U13" s="17"/>
      <c r="V13" s="17"/>
    </row>
    <row r="14" spans="1:22" ht="16.5" x14ac:dyDescent="0.25">
      <c r="A14" s="138"/>
      <c r="B14" s="14"/>
      <c r="C14" s="17"/>
      <c r="D14" s="17"/>
      <c r="E14" s="17"/>
      <c r="F14" s="17"/>
      <c r="G14" s="17"/>
      <c r="H14" s="17"/>
      <c r="I14" s="17"/>
      <c r="J14" s="17"/>
      <c r="K14" s="13"/>
      <c r="L14" s="13"/>
      <c r="M14" s="13"/>
      <c r="N14" s="3"/>
      <c r="O14" s="1">
        <v>282154</v>
      </c>
      <c r="P14" s="13"/>
      <c r="Q14" s="13"/>
      <c r="R14" s="17"/>
      <c r="S14" s="17"/>
      <c r="T14" s="17"/>
      <c r="U14" s="17"/>
      <c r="V14" s="17"/>
    </row>
    <row r="15" spans="1:22" ht="16.5" x14ac:dyDescent="0.25">
      <c r="A15" s="138"/>
      <c r="B15" s="14"/>
      <c r="C15" s="17"/>
      <c r="D15" s="17"/>
      <c r="E15" s="17"/>
      <c r="F15" s="17"/>
      <c r="G15" s="17"/>
      <c r="H15" s="17"/>
      <c r="I15" s="17"/>
      <c r="J15" s="17"/>
      <c r="K15" s="13"/>
      <c r="L15" s="13"/>
      <c r="M15" s="13"/>
      <c r="N15" s="3"/>
      <c r="O15" s="1">
        <v>277795</v>
      </c>
      <c r="P15" s="13"/>
      <c r="Q15" s="13"/>
      <c r="R15" s="17"/>
      <c r="S15" s="17"/>
      <c r="T15" s="17"/>
      <c r="U15" s="17"/>
      <c r="V15" s="17"/>
    </row>
    <row r="16" spans="1:22" ht="16.5" x14ac:dyDescent="0.25">
      <c r="A16" s="138"/>
      <c r="B16" s="14"/>
      <c r="C16" s="17"/>
      <c r="D16" s="17"/>
      <c r="E16" s="17"/>
      <c r="F16" s="17"/>
      <c r="G16" s="17"/>
      <c r="H16" s="17"/>
      <c r="I16" s="17"/>
      <c r="J16" s="17"/>
      <c r="K16" s="13"/>
      <c r="L16" s="13"/>
      <c r="M16" s="13"/>
      <c r="N16" s="3"/>
      <c r="O16" s="1">
        <v>285977</v>
      </c>
      <c r="P16" s="13"/>
      <c r="Q16" s="13"/>
      <c r="R16" s="17"/>
      <c r="S16" s="17"/>
      <c r="T16" s="17"/>
      <c r="U16" s="17"/>
      <c r="V16" s="17"/>
    </row>
    <row r="17" spans="1:22" ht="16.5" x14ac:dyDescent="0.25">
      <c r="A17" s="138"/>
      <c r="B17" s="14"/>
      <c r="C17" s="17"/>
      <c r="D17" s="17"/>
      <c r="E17" s="17"/>
      <c r="F17" s="17"/>
      <c r="G17" s="17"/>
      <c r="H17" s="17"/>
      <c r="I17" s="17"/>
      <c r="J17" s="17"/>
      <c r="K17" s="13"/>
      <c r="L17" s="13"/>
      <c r="M17" s="13"/>
      <c r="N17" s="3"/>
      <c r="O17" s="1">
        <v>250167</v>
      </c>
      <c r="P17" s="13"/>
      <c r="Q17" s="13"/>
      <c r="R17" s="17"/>
      <c r="S17" s="17"/>
      <c r="T17" s="17"/>
      <c r="U17" s="17"/>
      <c r="V17" s="17"/>
    </row>
    <row r="18" spans="1:22" ht="16.5" x14ac:dyDescent="0.25">
      <c r="A18" s="138"/>
      <c r="B18" s="14"/>
      <c r="C18" s="17"/>
      <c r="D18" s="17"/>
      <c r="E18" s="17"/>
      <c r="F18" s="17"/>
      <c r="G18" s="17"/>
      <c r="H18" s="17"/>
      <c r="I18" s="17"/>
      <c r="J18" s="17"/>
      <c r="K18" s="13"/>
      <c r="L18" s="13"/>
      <c r="M18" s="13"/>
      <c r="N18" s="3"/>
      <c r="O18" s="1">
        <v>229380</v>
      </c>
      <c r="P18" s="13"/>
      <c r="Q18" s="13"/>
      <c r="R18" s="17"/>
      <c r="S18" s="17"/>
      <c r="T18" s="17"/>
      <c r="U18" s="17"/>
      <c r="V18" s="17"/>
    </row>
    <row r="19" spans="1:22" ht="16.5" x14ac:dyDescent="0.25">
      <c r="A19" s="138"/>
      <c r="B19" s="14"/>
      <c r="C19" s="17"/>
      <c r="D19" s="17"/>
      <c r="E19" s="17"/>
      <c r="F19" s="17"/>
      <c r="G19" s="17"/>
      <c r="H19" s="17"/>
      <c r="I19" s="17"/>
      <c r="J19" s="17"/>
      <c r="K19" s="13"/>
      <c r="L19" s="13"/>
      <c r="M19" s="13"/>
      <c r="N19" s="3"/>
      <c r="O19" s="1">
        <v>284722</v>
      </c>
      <c r="P19" s="13"/>
      <c r="Q19" s="13"/>
      <c r="R19" s="17"/>
      <c r="S19" s="17"/>
      <c r="T19" s="17"/>
      <c r="U19" s="17"/>
      <c r="V19" s="17"/>
    </row>
    <row r="20" spans="1:22" ht="16.5" x14ac:dyDescent="0.25">
      <c r="A20" s="138"/>
      <c r="B20" s="14"/>
      <c r="C20" s="17"/>
      <c r="D20" s="17"/>
      <c r="E20" s="17"/>
      <c r="F20" s="17"/>
      <c r="G20" s="17"/>
      <c r="H20" s="17"/>
      <c r="I20" s="17"/>
      <c r="J20" s="17"/>
      <c r="K20" s="13"/>
      <c r="L20" s="13"/>
      <c r="M20" s="13"/>
      <c r="N20" s="3"/>
      <c r="O20" s="17"/>
      <c r="P20" s="13"/>
      <c r="Q20" s="13"/>
      <c r="R20" s="17"/>
      <c r="S20" s="17"/>
      <c r="T20" s="17"/>
      <c r="U20" s="17"/>
      <c r="V20" s="17"/>
    </row>
    <row r="21" spans="1:22" x14ac:dyDescent="0.25">
      <c r="A21" s="49"/>
      <c r="B21" s="7"/>
      <c r="C21" s="7"/>
      <c r="D21" s="7"/>
      <c r="E21" s="7"/>
      <c r="F21" s="7"/>
      <c r="G21" s="7"/>
      <c r="H21" s="7"/>
      <c r="I21" s="7"/>
      <c r="J21" s="7"/>
      <c r="N21" s="3"/>
      <c r="O21" s="7"/>
      <c r="R21" s="7"/>
      <c r="S21" s="7"/>
      <c r="T21" s="7"/>
      <c r="U21" s="7"/>
      <c r="V21" s="7"/>
    </row>
    <row r="22" spans="1:22" x14ac:dyDescent="0.25">
      <c r="A22" s="51" t="str">
        <f t="shared" ref="A22" si="0">A4</f>
        <v>Group names</v>
      </c>
      <c r="B22" s="3" t="str">
        <f t="shared" ref="B22:V22" si="1">B4</f>
        <v>Solvent control</v>
      </c>
      <c r="C22" s="3" t="str">
        <f t="shared" si="1"/>
        <v>EE2-33.8ng/L</v>
      </c>
      <c r="D22" s="3" t="str">
        <f t="shared" si="1"/>
        <v>EE2-50.6ng/L</v>
      </c>
      <c r="E22" s="3" t="str">
        <f t="shared" si="1"/>
        <v>EE2-76ng/L</v>
      </c>
      <c r="F22" s="3" t="str">
        <f t="shared" si="1"/>
        <v>EE2-114ng/L</v>
      </c>
      <c r="G22" s="3" t="str">
        <f t="shared" si="1"/>
        <v>EE2-170.9ng/L</v>
      </c>
      <c r="H22" s="3" t="str">
        <f t="shared" si="1"/>
        <v>EE2-488ng/L</v>
      </c>
      <c r="I22" s="3" t="str">
        <f t="shared" si="1"/>
        <v>Dutasteride-0.01mg/L</v>
      </c>
      <c r="J22" s="3" t="str">
        <f t="shared" si="1"/>
        <v>Dutasteride-0.1mg/L</v>
      </c>
      <c r="K22" s="3" t="str">
        <f t="shared" si="1"/>
        <v>Dutasteride-0.25mg/L</v>
      </c>
      <c r="L22" s="3" t="str">
        <f t="shared" si="1"/>
        <v>Dutasteride-0.5mg/L</v>
      </c>
      <c r="M22" s="3" t="str">
        <f t="shared" si="1"/>
        <v>Dutasteride-1.0mg/L</v>
      </c>
      <c r="N22" s="3" t="s">
        <v>11</v>
      </c>
      <c r="O22" s="3" t="str">
        <f t="shared" si="1"/>
        <v>Testo -30µg/L</v>
      </c>
      <c r="P22" s="3" t="str">
        <f t="shared" si="1"/>
        <v>Testo 30µg/L + EE2 -64ng/L</v>
      </c>
      <c r="Q22" s="3" t="str">
        <f t="shared" si="1"/>
        <v>Testo 30µg/L + FAD-10mg/L</v>
      </c>
      <c r="R22" s="3" t="str">
        <f t="shared" si="1"/>
        <v>Dutasteride-0.01mg/L + Testostérone</v>
      </c>
      <c r="S22" s="3" t="str">
        <f t="shared" si="1"/>
        <v>Dutasteride-0.1mg/L + Testostérone</v>
      </c>
      <c r="T22" s="3" t="str">
        <f t="shared" si="1"/>
        <v>Dutasteride-0.25mg/L + Testostérone</v>
      </c>
      <c r="U22" s="3" t="str">
        <f t="shared" si="1"/>
        <v>Dutasteride-0.5mg/L + Testostérone</v>
      </c>
      <c r="V22" s="3" t="str">
        <f t="shared" si="1"/>
        <v>Dutasteride-1.0mg/L + Testostérone</v>
      </c>
    </row>
    <row r="23" spans="1:22" x14ac:dyDescent="0.25">
      <c r="A23" s="5" t="s">
        <v>0</v>
      </c>
      <c r="B23" s="5">
        <f t="shared" ref="B23:J23" si="2">AVERAGE(B5:B20)</f>
        <v>0</v>
      </c>
      <c r="C23" s="5">
        <f t="shared" si="2"/>
        <v>23483.125</v>
      </c>
      <c r="D23" s="5">
        <f t="shared" si="2"/>
        <v>91180.25</v>
      </c>
      <c r="E23" s="5">
        <f t="shared" si="2"/>
        <v>131638.125</v>
      </c>
      <c r="F23" s="5">
        <f t="shared" si="2"/>
        <v>250215.5</v>
      </c>
      <c r="G23" s="5">
        <f t="shared" si="2"/>
        <v>329037.625</v>
      </c>
      <c r="H23" s="5">
        <f t="shared" si="2"/>
        <v>381807</v>
      </c>
      <c r="I23" s="5">
        <f t="shared" si="2"/>
        <v>10709</v>
      </c>
      <c r="J23" s="5">
        <f t="shared" si="2"/>
        <v>19545.125</v>
      </c>
      <c r="K23" s="5"/>
      <c r="L23" s="5">
        <f>AVERAGE(L5:L20)</f>
        <v>21042.875</v>
      </c>
      <c r="M23" s="5"/>
      <c r="N23" s="5" t="s">
        <v>0</v>
      </c>
      <c r="O23" s="5">
        <f>AVERAGE(O5:O20)</f>
        <v>266013.33333333331</v>
      </c>
      <c r="P23" s="5">
        <f>AVERAGE(P5:P20)</f>
        <v>332087</v>
      </c>
      <c r="Q23" s="5">
        <f>AVERAGE(Q5:Q20)</f>
        <v>19609.125</v>
      </c>
      <c r="R23" s="5">
        <f>AVERAGE(R5:R20)</f>
        <v>318079.75</v>
      </c>
      <c r="S23" s="5">
        <f>AVERAGE(S5:S20)</f>
        <v>314322.625</v>
      </c>
      <c r="T23" s="5">
        <f t="shared" ref="T23:V23" si="3">AVERAGE(T5:T20)</f>
        <v>324850.25</v>
      </c>
      <c r="U23" s="5">
        <f t="shared" si="3"/>
        <v>328881</v>
      </c>
      <c r="V23" s="5">
        <f t="shared" si="3"/>
        <v>319793.75</v>
      </c>
    </row>
    <row r="24" spans="1:22" x14ac:dyDescent="0.25">
      <c r="A24" s="3" t="s">
        <v>1</v>
      </c>
      <c r="B24" s="3">
        <f t="shared" ref="B24:J24" si="4">STDEV(B5:B20)</f>
        <v>0</v>
      </c>
      <c r="C24" s="3">
        <f t="shared" si="4"/>
        <v>13967.041924652478</v>
      </c>
      <c r="D24" s="3">
        <f t="shared" si="4"/>
        <v>148122.67136952013</v>
      </c>
      <c r="E24" s="3">
        <f t="shared" si="4"/>
        <v>61984.933739550201</v>
      </c>
      <c r="F24" s="3">
        <f t="shared" si="4"/>
        <v>94682.821795417869</v>
      </c>
      <c r="G24" s="3">
        <f t="shared" si="4"/>
        <v>129922.73803296383</v>
      </c>
      <c r="H24" s="3">
        <f t="shared" si="4"/>
        <v>53031.261028620793</v>
      </c>
      <c r="I24" s="3">
        <f t="shared" si="4"/>
        <v>10001.164417920831</v>
      </c>
      <c r="J24" s="3">
        <f t="shared" si="4"/>
        <v>8426.9252897652841</v>
      </c>
      <c r="K24" s="3"/>
      <c r="L24" s="3">
        <f>STDEV(L5:L20)</f>
        <v>24811.265865313799</v>
      </c>
      <c r="M24" s="3"/>
      <c r="N24" s="3" t="s">
        <v>1</v>
      </c>
      <c r="O24" s="3">
        <f>STDEV(O5:O20)</f>
        <v>39533.033745150919</v>
      </c>
      <c r="P24" s="3">
        <f>STDEV(P5:P20)</f>
        <v>52655.12621361218</v>
      </c>
      <c r="Q24" s="3">
        <f>STDEV(Q5:Q20)</f>
        <v>15524.636424889311</v>
      </c>
      <c r="R24" s="3">
        <f>STDEV(R5:R20)</f>
        <v>81726.431328199193</v>
      </c>
      <c r="S24" s="3">
        <f>STDEV(S5:S20)</f>
        <v>73665.97337584506</v>
      </c>
      <c r="T24" s="3">
        <f t="shared" ref="T24:V24" si="5">STDEV(T5:T20)</f>
        <v>97299.958642995174</v>
      </c>
      <c r="U24" s="3">
        <f t="shared" si="5"/>
        <v>56240.365099912262</v>
      </c>
      <c r="V24" s="3">
        <f t="shared" si="5"/>
        <v>84159.278362519239</v>
      </c>
    </row>
    <row r="25" spans="1:22" ht="15.75" thickBot="1" x14ac:dyDescent="0.3"/>
    <row r="26" spans="1:22" ht="15.75" thickBot="1" x14ac:dyDescent="0.3">
      <c r="B26" s="141" t="s">
        <v>41</v>
      </c>
      <c r="C26" s="142"/>
      <c r="D26" s="142"/>
      <c r="E26" s="142"/>
      <c r="F26" s="142"/>
      <c r="G26" s="142"/>
      <c r="H26" s="142"/>
      <c r="I26" s="142"/>
      <c r="J26" s="142"/>
      <c r="K26" s="142"/>
      <c r="L26" s="142"/>
      <c r="M26" s="142"/>
      <c r="O26" s="141" t="s">
        <v>42</v>
      </c>
      <c r="P26" s="142"/>
      <c r="Q26" s="142"/>
      <c r="R26" s="142"/>
      <c r="S26" s="142"/>
      <c r="T26" s="142"/>
      <c r="U26" s="142"/>
      <c r="V26" s="142"/>
    </row>
    <row r="27" spans="1:22" x14ac:dyDescent="0.25">
      <c r="A27" s="19" t="str">
        <f>A4</f>
        <v>Group names</v>
      </c>
      <c r="B27" s="20" t="str">
        <f>B4</f>
        <v>Solvent control</v>
      </c>
      <c r="C27" s="20" t="str">
        <f t="shared" ref="C27:M27" si="6">C4</f>
        <v>EE2-33.8ng/L</v>
      </c>
      <c r="D27" s="20" t="str">
        <f t="shared" si="6"/>
        <v>EE2-50.6ng/L</v>
      </c>
      <c r="E27" s="20" t="str">
        <f t="shared" si="6"/>
        <v>EE2-76ng/L</v>
      </c>
      <c r="F27" s="20" t="str">
        <f t="shared" si="6"/>
        <v>EE2-114ng/L</v>
      </c>
      <c r="G27" s="20" t="str">
        <f t="shared" si="6"/>
        <v>EE2-170.9ng/L</v>
      </c>
      <c r="H27" s="20" t="str">
        <f t="shared" si="6"/>
        <v>EE2-488ng/L</v>
      </c>
      <c r="I27" s="20" t="str">
        <f t="shared" si="6"/>
        <v>Dutasteride-0.01mg/L</v>
      </c>
      <c r="J27" s="20" t="str">
        <f t="shared" si="6"/>
        <v>Dutasteride-0.1mg/L</v>
      </c>
      <c r="K27" s="20" t="str">
        <f t="shared" si="6"/>
        <v>Dutasteride-0.25mg/L</v>
      </c>
      <c r="L27" s="20" t="str">
        <f t="shared" si="6"/>
        <v>Dutasteride-0.5mg/L</v>
      </c>
      <c r="M27" s="20" t="str">
        <f t="shared" si="6"/>
        <v>Dutasteride-1.0mg/L</v>
      </c>
      <c r="N27" s="3"/>
      <c r="O27" s="21" t="str">
        <f>O4</f>
        <v>Testo -30µg/L</v>
      </c>
      <c r="P27" s="21" t="str">
        <f t="shared" ref="P27:R27" si="7">P4</f>
        <v>Testo 30µg/L + EE2 -64ng/L</v>
      </c>
      <c r="Q27" s="21" t="str">
        <f t="shared" si="7"/>
        <v>Testo 30µg/L + FAD-10mg/L</v>
      </c>
      <c r="R27" s="21" t="str">
        <f t="shared" si="7"/>
        <v>Dutasteride-0.01mg/L + Testostérone</v>
      </c>
      <c r="S27" s="21" t="str">
        <f t="shared" ref="S27:V27" si="8">S4</f>
        <v>Dutasteride-0.1mg/L + Testostérone</v>
      </c>
      <c r="T27" s="21" t="str">
        <f t="shared" si="8"/>
        <v>Dutasteride-0.25mg/L + Testostérone</v>
      </c>
      <c r="U27" s="21" t="str">
        <f t="shared" si="8"/>
        <v>Dutasteride-0.5mg/L + Testostérone</v>
      </c>
      <c r="V27" s="21" t="str">
        <f t="shared" si="8"/>
        <v>Dutasteride-1.0mg/L + Testostérone</v>
      </c>
    </row>
    <row r="28" spans="1:22" ht="14.45" customHeight="1" x14ac:dyDescent="0.25">
      <c r="A28" s="139" t="s">
        <v>35</v>
      </c>
      <c r="B28" s="11">
        <f t="shared" ref="B28:M28" si="9">IF(B5="","",(B5/$O$23))</f>
        <v>0</v>
      </c>
      <c r="C28" s="11">
        <f t="shared" si="9"/>
        <v>0.11664452909628591</v>
      </c>
      <c r="D28" s="11">
        <f t="shared" si="9"/>
        <v>1.5854844368703325</v>
      </c>
      <c r="E28" s="11">
        <f t="shared" si="9"/>
        <v>0.64368202095133076</v>
      </c>
      <c r="F28" s="11">
        <f t="shared" si="9"/>
        <v>0.65589569445140594</v>
      </c>
      <c r="G28" s="11">
        <f t="shared" si="9"/>
        <v>1.5406821713197334</v>
      </c>
      <c r="H28" s="11">
        <f t="shared" si="9"/>
        <v>1.2625269410054636</v>
      </c>
      <c r="I28" s="11">
        <f t="shared" si="9"/>
        <v>1.1093428900806978E-2</v>
      </c>
      <c r="J28" s="11">
        <f t="shared" si="9"/>
        <v>6.6214726078893296E-2</v>
      </c>
      <c r="K28" s="11">
        <f t="shared" si="9"/>
        <v>6.2331462082101149E-2</v>
      </c>
      <c r="L28" s="11">
        <f t="shared" si="9"/>
        <v>2.0589193524134131E-2</v>
      </c>
      <c r="M28" s="11">
        <f t="shared" si="9"/>
        <v>7.6823216881359332E-2</v>
      </c>
      <c r="N28" s="6"/>
      <c r="O28" s="11">
        <f t="shared" ref="O28:S37" si="10">IF(O5="","",(O5/$O$23))</f>
        <v>0.78077665279935848</v>
      </c>
      <c r="P28" s="11">
        <f t="shared" si="10"/>
        <v>1.1875344594255928</v>
      </c>
      <c r="Q28" s="11">
        <f t="shared" si="10"/>
        <v>8.9615808731391911E-2</v>
      </c>
      <c r="R28" s="11">
        <f t="shared" si="10"/>
        <v>1.4555135080948325</v>
      </c>
      <c r="S28" s="11">
        <f t="shared" si="10"/>
        <v>1.3319332364292518</v>
      </c>
      <c r="T28" s="11">
        <f t="shared" ref="T28:V43" si="11">IF(T5="","",(T5/$O$23))</f>
        <v>1.2201982356774097</v>
      </c>
      <c r="U28" s="11">
        <f t="shared" si="11"/>
        <v>1.1742193373765726</v>
      </c>
      <c r="V28" s="11">
        <f t="shared" si="11"/>
        <v>1.4011478121397425</v>
      </c>
    </row>
    <row r="29" spans="1:22" x14ac:dyDescent="0.25">
      <c r="A29" s="140"/>
      <c r="B29" s="11">
        <f t="shared" ref="B29:M29" si="12">IF(B6="","",(B6/$O$23))</f>
        <v>0</v>
      </c>
      <c r="C29" s="11">
        <f t="shared" si="12"/>
        <v>8.2747731943261002E-2</v>
      </c>
      <c r="D29" s="11">
        <f t="shared" si="12"/>
        <v>8.3826625231817956E-2</v>
      </c>
      <c r="E29" s="11">
        <f t="shared" si="12"/>
        <v>0.53037942960252626</v>
      </c>
      <c r="F29" s="11">
        <f t="shared" si="12"/>
        <v>1.2680304245401235</v>
      </c>
      <c r="G29" s="11">
        <f t="shared" si="12"/>
        <v>1.125913488045712</v>
      </c>
      <c r="H29" s="11">
        <f t="shared" si="12"/>
        <v>1.2346035286451809</v>
      </c>
      <c r="I29" s="11">
        <f t="shared" si="12"/>
        <v>2.2111673600320788E-2</v>
      </c>
      <c r="J29" s="11">
        <f t="shared" si="12"/>
        <v>1.9149416069369957E-2</v>
      </c>
      <c r="K29" s="11">
        <f t="shared" si="12"/>
        <v>0.11143802315673401</v>
      </c>
      <c r="L29" s="11">
        <f t="shared" si="12"/>
        <v>1.5713498070272169E-3</v>
      </c>
      <c r="M29" s="11">
        <f t="shared" si="12"/>
        <v>5.1098942408901817E-2</v>
      </c>
      <c r="N29" s="6"/>
      <c r="O29" s="11">
        <f t="shared" si="10"/>
        <v>0.83616109468197086</v>
      </c>
      <c r="P29" s="11">
        <f t="shared" si="10"/>
        <v>1.4222219437622174</v>
      </c>
      <c r="Q29" s="11">
        <f t="shared" si="10"/>
        <v>4.9057691343792299E-3</v>
      </c>
      <c r="R29" s="11">
        <f t="shared" si="10"/>
        <v>1.289450403488547</v>
      </c>
      <c r="S29" s="11">
        <f t="shared" si="10"/>
        <v>1.1408563480527292</v>
      </c>
      <c r="T29" s="11">
        <f t="shared" si="11"/>
        <v>1.2161721216981607</v>
      </c>
      <c r="U29" s="11">
        <f t="shared" si="11"/>
        <v>1.3121898651696657</v>
      </c>
      <c r="V29" s="11">
        <f t="shared" si="11"/>
        <v>1.341207207658764</v>
      </c>
    </row>
    <row r="30" spans="1:22" x14ac:dyDescent="0.25">
      <c r="A30" s="140"/>
      <c r="B30" s="11">
        <f t="shared" ref="B30:M30" si="13">IF(B7="","",(B7/$O$23))</f>
        <v>0</v>
      </c>
      <c r="C30" s="11">
        <f t="shared" si="13"/>
        <v>6.2301388401583883E-2</v>
      </c>
      <c r="D30" s="11">
        <f t="shared" si="13"/>
        <v>0.32198761966818706</v>
      </c>
      <c r="E30" s="11">
        <f t="shared" si="13"/>
        <v>0.14530098741917699</v>
      </c>
      <c r="F30" s="11">
        <f t="shared" si="13"/>
        <v>0.58757205152623937</v>
      </c>
      <c r="G30" s="11">
        <f t="shared" si="13"/>
        <v>1.3962533206355572</v>
      </c>
      <c r="H30" s="11">
        <f t="shared" si="13"/>
        <v>1.2602413412861511</v>
      </c>
      <c r="I30" s="11">
        <f t="shared" si="13"/>
        <v>0</v>
      </c>
      <c r="J30" s="11">
        <f t="shared" si="13"/>
        <v>4.3952684075986168E-2</v>
      </c>
      <c r="K30" s="11">
        <f t="shared" si="13"/>
        <v>3.7193624379730339E-2</v>
      </c>
      <c r="L30" s="11">
        <f t="shared" si="13"/>
        <v>5.6343040449100303E-2</v>
      </c>
      <c r="M30" s="11">
        <f t="shared" si="13"/>
        <v>5.7707633702571301E-2</v>
      </c>
      <c r="N30" s="6"/>
      <c r="O30" s="11">
        <f t="shared" si="10"/>
        <v>1.0630031076136535</v>
      </c>
      <c r="P30" s="11">
        <f t="shared" si="10"/>
        <v>1.4251127763019398</v>
      </c>
      <c r="Q30" s="11">
        <f t="shared" si="10"/>
        <v>1.8232168813593305E-3</v>
      </c>
      <c r="R30" s="11">
        <f t="shared" si="10"/>
        <v>1.1936694902511154</v>
      </c>
      <c r="S30" s="11">
        <f t="shared" si="10"/>
        <v>1.0121861059596011</v>
      </c>
      <c r="T30" s="11">
        <f t="shared" si="11"/>
        <v>1.1703097589093279</v>
      </c>
      <c r="U30" s="11">
        <f t="shared" si="11"/>
        <v>1.257711392912636</v>
      </c>
      <c r="V30" s="11">
        <f t="shared" si="11"/>
        <v>1.4312026966066864</v>
      </c>
    </row>
    <row r="31" spans="1:22" x14ac:dyDescent="0.25">
      <c r="A31" s="140"/>
      <c r="B31" s="11">
        <f t="shared" ref="B31:M31" si="14">IF(B8="","",(B8/$O$23))</f>
        <v>0</v>
      </c>
      <c r="C31" s="11">
        <f t="shared" si="14"/>
        <v>1.7134479474713048E-2</v>
      </c>
      <c r="D31" s="11">
        <f t="shared" si="14"/>
        <v>0</v>
      </c>
      <c r="E31" s="11">
        <f t="shared" si="14"/>
        <v>0.21968447696857302</v>
      </c>
      <c r="F31" s="11">
        <f t="shared" si="14"/>
        <v>1.5344306049822065</v>
      </c>
      <c r="G31" s="11">
        <f t="shared" si="14"/>
        <v>7.7240489198536419E-2</v>
      </c>
      <c r="H31" s="11">
        <f t="shared" si="14"/>
        <v>1.528757956994637</v>
      </c>
      <c r="I31" s="11">
        <f t="shared" si="14"/>
        <v>6.6259836599669192E-2</v>
      </c>
      <c r="J31" s="11">
        <f t="shared" si="14"/>
        <v>7.6511202445992688E-2</v>
      </c>
      <c r="K31" s="11">
        <f t="shared" si="14"/>
        <v>3.2084857901859561E-2</v>
      </c>
      <c r="L31" s="11">
        <f t="shared" si="14"/>
        <v>0.15289083253972233</v>
      </c>
      <c r="M31" s="11">
        <f t="shared" si="14"/>
        <v>0</v>
      </c>
      <c r="N31" s="6"/>
      <c r="O31" s="11">
        <f t="shared" si="10"/>
        <v>1.2521289659666184</v>
      </c>
      <c r="P31" s="11">
        <f t="shared" si="10"/>
        <v>1.2032968272267055</v>
      </c>
      <c r="Q31" s="11">
        <f t="shared" si="10"/>
        <v>5.1129016089419083E-2</v>
      </c>
      <c r="R31" s="11">
        <f t="shared" si="10"/>
        <v>1.3424703022404894</v>
      </c>
      <c r="S31" s="11">
        <f t="shared" si="10"/>
        <v>1.7408638664728586</v>
      </c>
      <c r="T31" s="11">
        <f t="shared" si="11"/>
        <v>1.4735426795649342</v>
      </c>
      <c r="U31" s="11">
        <f t="shared" si="11"/>
        <v>1.7173951180391962</v>
      </c>
      <c r="V31" s="11">
        <f t="shared" si="11"/>
        <v>0.8359693749686733</v>
      </c>
    </row>
    <row r="32" spans="1:22" x14ac:dyDescent="0.25">
      <c r="A32" s="140"/>
      <c r="B32" s="11">
        <f t="shared" ref="B32:M32" si="15">IF(B9="","",(B9/$O$23))</f>
        <v>0</v>
      </c>
      <c r="C32" s="11">
        <f t="shared" si="15"/>
        <v>6.741767329958398E-2</v>
      </c>
      <c r="D32" s="11">
        <f t="shared" si="15"/>
        <v>0.69607789083253979</v>
      </c>
      <c r="E32" s="11">
        <f t="shared" si="15"/>
        <v>0.74569194526590155</v>
      </c>
      <c r="F32" s="11">
        <f t="shared" si="15"/>
        <v>0.63603954688988029</v>
      </c>
      <c r="G32" s="11">
        <f t="shared" si="15"/>
        <v>1.3960315272417423</v>
      </c>
      <c r="H32" s="11">
        <f t="shared" si="15"/>
        <v>1.8170592952734199</v>
      </c>
      <c r="I32" s="11">
        <f t="shared" si="15"/>
        <v>4.9941105708987021E-2</v>
      </c>
      <c r="J32" s="11">
        <f t="shared" si="15"/>
        <v>0.10658864217332466</v>
      </c>
      <c r="K32" s="11">
        <f t="shared" si="15"/>
        <v>0.10461881609944365</v>
      </c>
      <c r="L32" s="11">
        <f t="shared" si="15"/>
        <v>0.27200892185855347</v>
      </c>
      <c r="M32" s="11">
        <f t="shared" si="15"/>
        <v>0.12148639165956594</v>
      </c>
      <c r="N32" s="6"/>
      <c r="O32" s="11">
        <f t="shared" si="10"/>
        <v>1.1894403789283745</v>
      </c>
      <c r="P32" s="11">
        <f t="shared" si="10"/>
        <v>0.9610270161896648</v>
      </c>
      <c r="Q32" s="11">
        <f t="shared" si="10"/>
        <v>0.14664302541226004</v>
      </c>
      <c r="R32" s="11">
        <f t="shared" si="10"/>
        <v>1.4166959049671697</v>
      </c>
      <c r="S32" s="11">
        <f t="shared" si="10"/>
        <v>1.08279534860408</v>
      </c>
      <c r="T32" s="11">
        <f t="shared" si="11"/>
        <v>0.37462783820359885</v>
      </c>
      <c r="U32" s="11">
        <f t="shared" si="11"/>
        <v>1.0903288055736555</v>
      </c>
      <c r="V32" s="11">
        <f t="shared" si="11"/>
        <v>0.7669878702821914</v>
      </c>
    </row>
    <row r="33" spans="1:22" x14ac:dyDescent="0.25">
      <c r="A33" s="140"/>
      <c r="B33" s="11">
        <f t="shared" ref="B33:M33" si="16">IF(B10="","",(B10/$O$23))</f>
        <v>0</v>
      </c>
      <c r="C33" s="11">
        <f t="shared" si="16"/>
        <v>0.19729462182346752</v>
      </c>
      <c r="D33" s="11">
        <f t="shared" si="16"/>
        <v>9.4769685730038602E-3</v>
      </c>
      <c r="E33" s="11">
        <f t="shared" si="16"/>
        <v>0.32502882061049576</v>
      </c>
      <c r="F33" s="11">
        <f t="shared" si="16"/>
        <v>0.68937897849731844</v>
      </c>
      <c r="G33" s="11">
        <f t="shared" si="16"/>
        <v>1.3265876397173075</v>
      </c>
      <c r="H33" s="11">
        <f t="shared" si="16"/>
        <v>1.5318480276677862</v>
      </c>
      <c r="I33" s="11">
        <f t="shared" si="16"/>
        <v>3.0656358077289361E-2</v>
      </c>
      <c r="J33" s="11">
        <f t="shared" si="16"/>
        <v>0.11097939952884568</v>
      </c>
      <c r="K33" s="11">
        <f t="shared" si="16"/>
        <v>4.3042955240338836E-3</v>
      </c>
      <c r="L33" s="11">
        <f t="shared" si="16"/>
        <v>1.819457671294672E-3</v>
      </c>
      <c r="M33" s="11">
        <f t="shared" si="16"/>
        <v>0</v>
      </c>
      <c r="N33" s="6"/>
      <c r="O33" s="11">
        <f t="shared" si="10"/>
        <v>0.74838729888226163</v>
      </c>
      <c r="P33" s="11">
        <f t="shared" si="10"/>
        <v>1.4622537717407649</v>
      </c>
      <c r="Q33" s="11">
        <f t="shared" si="10"/>
        <v>4.9587739962909133E-2</v>
      </c>
      <c r="R33" s="11">
        <f t="shared" si="10"/>
        <v>0.81983484537115936</v>
      </c>
      <c r="S33" s="11">
        <f t="shared" si="10"/>
        <v>0.85429176482381841</v>
      </c>
      <c r="T33" s="11">
        <f t="shared" si="11"/>
        <v>1.3507029722820911</v>
      </c>
      <c r="U33" s="11">
        <f t="shared" si="11"/>
        <v>1.1539647135481932</v>
      </c>
      <c r="V33" s="11">
        <f t="shared" si="11"/>
        <v>1.4390368903814346</v>
      </c>
    </row>
    <row r="34" spans="1:22" x14ac:dyDescent="0.25">
      <c r="A34" s="140"/>
      <c r="B34" s="11">
        <f t="shared" ref="B34:M34" si="17">IF(B11="","",(B11/$O$23))</f>
        <v>0</v>
      </c>
      <c r="C34" s="11">
        <f t="shared" si="17"/>
        <v>9.3792291113227413E-2</v>
      </c>
      <c r="D34" s="11">
        <f t="shared" si="17"/>
        <v>1.324369705779159E-2</v>
      </c>
      <c r="E34" s="11">
        <f t="shared" si="17"/>
        <v>0.7093215878903314</v>
      </c>
      <c r="F34" s="11">
        <f t="shared" si="17"/>
        <v>1.1957896847275826</v>
      </c>
      <c r="G34" s="11">
        <f t="shared" si="17"/>
        <v>1.4641183399328355</v>
      </c>
      <c r="H34" s="11">
        <f t="shared" si="17"/>
        <v>1.5053719111823969</v>
      </c>
      <c r="I34" s="11">
        <f t="shared" si="17"/>
        <v>0.11759185003257983</v>
      </c>
      <c r="J34" s="11">
        <f t="shared" si="17"/>
        <v>6.6631998396070383E-2</v>
      </c>
      <c r="K34" s="11">
        <f t="shared" si="17"/>
        <v>0.11179890732294122</v>
      </c>
      <c r="L34" s="11">
        <f t="shared" si="17"/>
        <v>9.4179489749887227E-2</v>
      </c>
      <c r="M34" s="11">
        <f t="shared" si="17"/>
        <v>0.15025938549446144</v>
      </c>
      <c r="N34" s="6"/>
      <c r="O34" s="11">
        <f t="shared" si="10"/>
        <v>0.89230489699764426</v>
      </c>
      <c r="P34" s="11">
        <f t="shared" si="10"/>
        <v>0.98376271866071885</v>
      </c>
      <c r="Q34" s="11">
        <f t="shared" si="10"/>
        <v>0.15775900957345498</v>
      </c>
      <c r="R34" s="11">
        <f t="shared" si="10"/>
        <v>0.62794596762067068</v>
      </c>
      <c r="S34" s="11">
        <f t="shared" si="10"/>
        <v>1.3054232870532807</v>
      </c>
      <c r="T34" s="11">
        <f t="shared" si="11"/>
        <v>1.4620056638764976</v>
      </c>
      <c r="U34" s="11">
        <f t="shared" si="11"/>
        <v>1.0617926419728336</v>
      </c>
      <c r="V34" s="11">
        <f t="shared" si="11"/>
        <v>0.87713272517668295</v>
      </c>
    </row>
    <row r="35" spans="1:22" x14ac:dyDescent="0.25">
      <c r="A35" s="140"/>
      <c r="B35" s="11">
        <f t="shared" ref="B35:M35" si="18">IF(B12="","",(B12/$O$23))</f>
        <v>0</v>
      </c>
      <c r="C35" s="11">
        <f t="shared" si="18"/>
        <v>6.8891283644930079E-2</v>
      </c>
      <c r="D35" s="11">
        <f t="shared" si="18"/>
        <v>3.2028469750889681E-2</v>
      </c>
      <c r="E35" s="11">
        <f t="shared" si="18"/>
        <v>0.63975364643376276</v>
      </c>
      <c r="F35" s="11">
        <f t="shared" si="18"/>
        <v>0.95776402185354126</v>
      </c>
      <c r="G35" s="11">
        <f t="shared" si="18"/>
        <v>1.5685454363189817</v>
      </c>
      <c r="H35" s="11">
        <f t="shared" si="18"/>
        <v>1.3419327352012431</v>
      </c>
      <c r="I35" s="11">
        <f t="shared" si="18"/>
        <v>2.440479173976242E-2</v>
      </c>
      <c r="J35" s="11">
        <f t="shared" si="18"/>
        <v>9.7765776151571351E-2</v>
      </c>
      <c r="K35" s="11">
        <f t="shared" si="18"/>
        <v>0.20567014184752647</v>
      </c>
      <c r="L35" s="11">
        <f t="shared" si="18"/>
        <v>3.3434414315071929E-2</v>
      </c>
      <c r="M35" s="11">
        <f t="shared" si="18"/>
        <v>7.0176933487043264E-2</v>
      </c>
      <c r="N35" s="6"/>
      <c r="O35" s="11">
        <f t="shared" si="10"/>
        <v>1.1015199739361436</v>
      </c>
      <c r="P35" s="11">
        <f t="shared" si="10"/>
        <v>1.3418688286301439</v>
      </c>
      <c r="Q35" s="11">
        <f t="shared" si="10"/>
        <v>8.8254974687985571E-2</v>
      </c>
      <c r="R35" s="11">
        <f t="shared" si="10"/>
        <v>1.4202483584782719</v>
      </c>
      <c r="S35" s="11">
        <f t="shared" si="10"/>
        <v>0.98448824620319786</v>
      </c>
      <c r="T35" s="11">
        <f t="shared" si="11"/>
        <v>1.5018833642423939</v>
      </c>
      <c r="U35" s="11">
        <f t="shared" si="11"/>
        <v>1.1230602476066363</v>
      </c>
      <c r="V35" s="11">
        <f t="shared" si="11"/>
        <v>1.5246904917046766</v>
      </c>
    </row>
    <row r="36" spans="1:22" x14ac:dyDescent="0.25">
      <c r="A36" s="140"/>
      <c r="B36" s="11" t="str">
        <f t="shared" ref="B36:M36" si="19">IF(B13="","",(B13/$O$23))</f>
        <v/>
      </c>
      <c r="C36" s="11" t="str">
        <f t="shared" si="19"/>
        <v/>
      </c>
      <c r="D36" s="11" t="str">
        <f t="shared" si="19"/>
        <v/>
      </c>
      <c r="E36" s="11" t="str">
        <f t="shared" si="19"/>
        <v/>
      </c>
      <c r="F36" s="11" t="str">
        <f t="shared" si="19"/>
        <v/>
      </c>
      <c r="G36" s="11" t="str">
        <f t="shared" si="19"/>
        <v/>
      </c>
      <c r="H36" s="11" t="str">
        <f t="shared" si="19"/>
        <v/>
      </c>
      <c r="I36" s="11" t="str">
        <f t="shared" si="19"/>
        <v/>
      </c>
      <c r="J36" s="11" t="str">
        <f t="shared" si="19"/>
        <v/>
      </c>
      <c r="K36" s="11" t="str">
        <f t="shared" si="19"/>
        <v/>
      </c>
      <c r="L36" s="11" t="str">
        <f t="shared" si="19"/>
        <v/>
      </c>
      <c r="M36" s="11" t="str">
        <f t="shared" si="19"/>
        <v/>
      </c>
      <c r="N36" s="6"/>
      <c r="O36" s="11">
        <f t="shared" si="10"/>
        <v>1.0832163801313217</v>
      </c>
      <c r="P36" s="11" t="str">
        <f t="shared" si="10"/>
        <v/>
      </c>
      <c r="Q36" s="11" t="str">
        <f t="shared" si="10"/>
        <v/>
      </c>
      <c r="R36" s="11" t="str">
        <f t="shared" si="10"/>
        <v/>
      </c>
      <c r="S36" s="11" t="str">
        <f t="shared" si="10"/>
        <v/>
      </c>
      <c r="T36" s="11" t="str">
        <f t="shared" si="11"/>
        <v/>
      </c>
      <c r="U36" s="11" t="str">
        <f t="shared" si="11"/>
        <v/>
      </c>
      <c r="V36" s="11" t="str">
        <f t="shared" si="11"/>
        <v/>
      </c>
    </row>
    <row r="37" spans="1:22" x14ac:dyDescent="0.25">
      <c r="A37" s="140"/>
      <c r="B37" s="11" t="str">
        <f t="shared" ref="B37:M37" si="20">IF(B14="","",(B14/$O$23))</f>
        <v/>
      </c>
      <c r="C37" s="11" t="str">
        <f t="shared" si="20"/>
        <v/>
      </c>
      <c r="D37" s="11" t="str">
        <f t="shared" si="20"/>
        <v/>
      </c>
      <c r="E37" s="11" t="str">
        <f t="shared" si="20"/>
        <v/>
      </c>
      <c r="F37" s="11" t="str">
        <f t="shared" si="20"/>
        <v/>
      </c>
      <c r="G37" s="11" t="str">
        <f t="shared" si="20"/>
        <v/>
      </c>
      <c r="H37" s="11" t="str">
        <f t="shared" si="20"/>
        <v/>
      </c>
      <c r="I37" s="11" t="str">
        <f t="shared" si="20"/>
        <v/>
      </c>
      <c r="J37" s="11" t="str">
        <f t="shared" si="20"/>
        <v/>
      </c>
      <c r="K37" s="11" t="str">
        <f t="shared" si="20"/>
        <v/>
      </c>
      <c r="L37" s="11" t="str">
        <f t="shared" si="20"/>
        <v/>
      </c>
      <c r="M37" s="11" t="str">
        <f t="shared" si="20"/>
        <v/>
      </c>
      <c r="N37" s="6"/>
      <c r="O37" s="11">
        <f t="shared" si="10"/>
        <v>1.06067615658363</v>
      </c>
      <c r="P37" s="11" t="str">
        <f t="shared" si="10"/>
        <v/>
      </c>
      <c r="Q37" s="11" t="str">
        <f t="shared" si="10"/>
        <v/>
      </c>
      <c r="R37" s="11" t="str">
        <f t="shared" si="10"/>
        <v/>
      </c>
      <c r="S37" s="11" t="str">
        <f t="shared" si="10"/>
        <v/>
      </c>
      <c r="T37" s="11" t="str">
        <f t="shared" si="11"/>
        <v/>
      </c>
      <c r="U37" s="11" t="str">
        <f t="shared" si="11"/>
        <v/>
      </c>
      <c r="V37" s="11" t="str">
        <f t="shared" si="11"/>
        <v/>
      </c>
    </row>
    <row r="38" spans="1:22" x14ac:dyDescent="0.25">
      <c r="A38" s="140"/>
      <c r="B38" s="11" t="str">
        <f t="shared" ref="B38:M38" si="21">IF(B15="","",(B15/$O$23))</f>
        <v/>
      </c>
      <c r="C38" s="11" t="str">
        <f t="shared" si="21"/>
        <v/>
      </c>
      <c r="D38" s="11" t="str">
        <f t="shared" si="21"/>
        <v/>
      </c>
      <c r="E38" s="11" t="str">
        <f t="shared" si="21"/>
        <v/>
      </c>
      <c r="F38" s="11" t="str">
        <f t="shared" si="21"/>
        <v/>
      </c>
      <c r="G38" s="11" t="str">
        <f t="shared" si="21"/>
        <v/>
      </c>
      <c r="H38" s="11" t="str">
        <f t="shared" si="21"/>
        <v/>
      </c>
      <c r="I38" s="11" t="str">
        <f t="shared" si="21"/>
        <v/>
      </c>
      <c r="J38" s="11" t="str">
        <f t="shared" si="21"/>
        <v/>
      </c>
      <c r="K38" s="11" t="str">
        <f t="shared" si="21"/>
        <v/>
      </c>
      <c r="L38" s="11" t="str">
        <f t="shared" si="21"/>
        <v/>
      </c>
      <c r="M38" s="11" t="str">
        <f t="shared" si="21"/>
        <v/>
      </c>
      <c r="N38" s="6"/>
      <c r="O38" s="11">
        <f t="shared" ref="O38:S43" si="22">IF(O15="","",(O15/$O$23))</f>
        <v>1.044289759911784</v>
      </c>
      <c r="P38" s="11" t="str">
        <f t="shared" si="22"/>
        <v/>
      </c>
      <c r="Q38" s="11" t="str">
        <f t="shared" si="22"/>
        <v/>
      </c>
      <c r="R38" s="11" t="str">
        <f t="shared" si="22"/>
        <v/>
      </c>
      <c r="S38" s="11" t="str">
        <f t="shared" si="22"/>
        <v/>
      </c>
      <c r="T38" s="11" t="str">
        <f t="shared" si="11"/>
        <v/>
      </c>
      <c r="U38" s="11" t="str">
        <f t="shared" si="11"/>
        <v/>
      </c>
      <c r="V38" s="11" t="str">
        <f t="shared" si="11"/>
        <v/>
      </c>
    </row>
    <row r="39" spans="1:22" x14ac:dyDescent="0.25">
      <c r="A39" s="140"/>
      <c r="B39" s="11" t="str">
        <f t="shared" ref="B39:M39" si="23">IF(B16="","",(B16/$O$23))</f>
        <v/>
      </c>
      <c r="C39" s="11" t="str">
        <f t="shared" si="23"/>
        <v/>
      </c>
      <c r="D39" s="11" t="str">
        <f t="shared" si="23"/>
        <v/>
      </c>
      <c r="E39" s="11" t="str">
        <f t="shared" si="23"/>
        <v/>
      </c>
      <c r="F39" s="11" t="str">
        <f t="shared" si="23"/>
        <v/>
      </c>
      <c r="G39" s="11" t="str">
        <f t="shared" si="23"/>
        <v/>
      </c>
      <c r="H39" s="11" t="str">
        <f t="shared" si="23"/>
        <v/>
      </c>
      <c r="I39" s="11" t="str">
        <f t="shared" si="23"/>
        <v/>
      </c>
      <c r="J39" s="11" t="str">
        <f t="shared" si="23"/>
        <v/>
      </c>
      <c r="K39" s="11" t="str">
        <f t="shared" si="23"/>
        <v/>
      </c>
      <c r="L39" s="11" t="str">
        <f t="shared" si="23"/>
        <v/>
      </c>
      <c r="M39" s="11" t="str">
        <f t="shared" si="23"/>
        <v/>
      </c>
      <c r="N39" s="6"/>
      <c r="O39" s="11">
        <f t="shared" si="22"/>
        <v>1.0750476166608192</v>
      </c>
      <c r="P39" s="11" t="str">
        <f t="shared" si="22"/>
        <v/>
      </c>
      <c r="Q39" s="11" t="str">
        <f t="shared" si="22"/>
        <v/>
      </c>
      <c r="R39" s="11" t="str">
        <f t="shared" si="22"/>
        <v/>
      </c>
      <c r="S39" s="11" t="str">
        <f t="shared" si="22"/>
        <v/>
      </c>
      <c r="T39" s="11" t="str">
        <f t="shared" si="11"/>
        <v/>
      </c>
      <c r="U39" s="11" t="str">
        <f t="shared" si="11"/>
        <v/>
      </c>
      <c r="V39" s="11" t="str">
        <f t="shared" si="11"/>
        <v/>
      </c>
    </row>
    <row r="40" spans="1:22" x14ac:dyDescent="0.25">
      <c r="A40" s="140"/>
      <c r="B40" s="11" t="str">
        <f t="shared" ref="B40:M40" si="24">IF(B17="","",(B17/$O$23))</f>
        <v/>
      </c>
      <c r="C40" s="11" t="str">
        <f t="shared" si="24"/>
        <v/>
      </c>
      <c r="D40" s="11" t="str">
        <f t="shared" si="24"/>
        <v/>
      </c>
      <c r="E40" s="11" t="str">
        <f t="shared" si="24"/>
        <v/>
      </c>
      <c r="F40" s="11" t="str">
        <f t="shared" si="24"/>
        <v/>
      </c>
      <c r="G40" s="11" t="str">
        <f t="shared" si="24"/>
        <v/>
      </c>
      <c r="H40" s="11" t="str">
        <f t="shared" si="24"/>
        <v/>
      </c>
      <c r="I40" s="11" t="str">
        <f t="shared" si="24"/>
        <v/>
      </c>
      <c r="J40" s="11" t="str">
        <f t="shared" si="24"/>
        <v/>
      </c>
      <c r="K40" s="11" t="str">
        <f t="shared" si="24"/>
        <v/>
      </c>
      <c r="L40" s="11" t="str">
        <f t="shared" si="24"/>
        <v/>
      </c>
      <c r="M40" s="11" t="str">
        <f t="shared" si="24"/>
        <v/>
      </c>
      <c r="N40" s="6"/>
      <c r="O40" s="11">
        <f t="shared" si="22"/>
        <v>0.94043030424540131</v>
      </c>
      <c r="P40" s="11" t="str">
        <f t="shared" si="22"/>
        <v/>
      </c>
      <c r="Q40" s="11" t="str">
        <f t="shared" si="22"/>
        <v/>
      </c>
      <c r="R40" s="11" t="str">
        <f t="shared" si="22"/>
        <v/>
      </c>
      <c r="S40" s="11" t="str">
        <f t="shared" si="22"/>
        <v/>
      </c>
      <c r="T40" s="11" t="str">
        <f t="shared" si="11"/>
        <v/>
      </c>
      <c r="U40" s="11" t="str">
        <f t="shared" si="11"/>
        <v/>
      </c>
      <c r="V40" s="11" t="str">
        <f t="shared" si="11"/>
        <v/>
      </c>
    </row>
    <row r="41" spans="1:22" x14ac:dyDescent="0.25">
      <c r="A41" s="140"/>
      <c r="B41" s="11" t="str">
        <f t="shared" ref="B41:M41" si="25">IF(B18="","",(B18/$O$23))</f>
        <v/>
      </c>
      <c r="C41" s="11" t="str">
        <f t="shared" si="25"/>
        <v/>
      </c>
      <c r="D41" s="11" t="str">
        <f t="shared" si="25"/>
        <v/>
      </c>
      <c r="E41" s="11" t="str">
        <f t="shared" si="25"/>
        <v/>
      </c>
      <c r="F41" s="11" t="str">
        <f t="shared" si="25"/>
        <v/>
      </c>
      <c r="G41" s="11" t="str">
        <f t="shared" si="25"/>
        <v/>
      </c>
      <c r="H41" s="11" t="str">
        <f t="shared" si="25"/>
        <v/>
      </c>
      <c r="I41" s="11" t="str">
        <f t="shared" si="25"/>
        <v/>
      </c>
      <c r="J41" s="11" t="str">
        <f t="shared" si="25"/>
        <v/>
      </c>
      <c r="K41" s="11" t="str">
        <f t="shared" si="25"/>
        <v/>
      </c>
      <c r="L41" s="11" t="str">
        <f t="shared" si="25"/>
        <v/>
      </c>
      <c r="M41" s="11" t="str">
        <f t="shared" si="25"/>
        <v/>
      </c>
      <c r="N41" s="6"/>
      <c r="O41" s="11">
        <f t="shared" si="22"/>
        <v>0.8622876046313469</v>
      </c>
      <c r="P41" s="11" t="str">
        <f t="shared" si="22"/>
        <v/>
      </c>
      <c r="Q41" s="11" t="str">
        <f t="shared" si="22"/>
        <v/>
      </c>
      <c r="R41" s="11" t="str">
        <f t="shared" si="22"/>
        <v/>
      </c>
      <c r="S41" s="11" t="str">
        <f t="shared" si="22"/>
        <v/>
      </c>
      <c r="T41" s="11" t="str">
        <f t="shared" si="11"/>
        <v/>
      </c>
      <c r="U41" s="11" t="str">
        <f t="shared" si="11"/>
        <v/>
      </c>
      <c r="V41" s="11" t="str">
        <f t="shared" si="11"/>
        <v/>
      </c>
    </row>
    <row r="42" spans="1:22" x14ac:dyDescent="0.25">
      <c r="A42" s="140"/>
      <c r="B42" s="11" t="str">
        <f t="shared" ref="B42:M42" si="26">IF(B19="","",(B19/$O$23))</f>
        <v/>
      </c>
      <c r="C42" s="11" t="str">
        <f t="shared" si="26"/>
        <v/>
      </c>
      <c r="D42" s="11" t="str">
        <f t="shared" si="26"/>
        <v/>
      </c>
      <c r="E42" s="11" t="str">
        <f t="shared" si="26"/>
        <v/>
      </c>
      <c r="F42" s="11" t="str">
        <f t="shared" si="26"/>
        <v/>
      </c>
      <c r="G42" s="11" t="str">
        <f t="shared" si="26"/>
        <v/>
      </c>
      <c r="H42" s="11" t="str">
        <f t="shared" si="26"/>
        <v/>
      </c>
      <c r="I42" s="11" t="str">
        <f t="shared" si="26"/>
        <v/>
      </c>
      <c r="J42" s="11" t="str">
        <f t="shared" si="26"/>
        <v/>
      </c>
      <c r="K42" s="11" t="str">
        <f t="shared" si="26"/>
        <v/>
      </c>
      <c r="L42" s="11" t="str">
        <f t="shared" si="26"/>
        <v/>
      </c>
      <c r="M42" s="11" t="str">
        <f t="shared" si="26"/>
        <v/>
      </c>
      <c r="N42" s="6"/>
      <c r="O42" s="11">
        <f t="shared" si="22"/>
        <v>1.0703298080296728</v>
      </c>
      <c r="P42" s="11" t="str">
        <f t="shared" si="22"/>
        <v/>
      </c>
      <c r="Q42" s="11" t="str">
        <f t="shared" si="22"/>
        <v/>
      </c>
      <c r="R42" s="11" t="str">
        <f t="shared" si="22"/>
        <v/>
      </c>
      <c r="S42" s="11" t="str">
        <f t="shared" si="22"/>
        <v/>
      </c>
      <c r="T42" s="11" t="str">
        <f t="shared" si="11"/>
        <v/>
      </c>
      <c r="U42" s="11" t="str">
        <f t="shared" si="11"/>
        <v/>
      </c>
      <c r="V42" s="11" t="str">
        <f t="shared" si="11"/>
        <v/>
      </c>
    </row>
    <row r="43" spans="1:22" x14ac:dyDescent="0.25">
      <c r="A43" s="140"/>
      <c r="B43" s="11" t="str">
        <f t="shared" ref="B43:M43" si="27">IF(B20="","",(B20/$O$23))</f>
        <v/>
      </c>
      <c r="C43" s="11" t="str">
        <f t="shared" si="27"/>
        <v/>
      </c>
      <c r="D43" s="11" t="str">
        <f t="shared" si="27"/>
        <v/>
      </c>
      <c r="E43" s="11" t="str">
        <f t="shared" si="27"/>
        <v/>
      </c>
      <c r="F43" s="11" t="str">
        <f t="shared" si="27"/>
        <v/>
      </c>
      <c r="G43" s="11" t="str">
        <f t="shared" si="27"/>
        <v/>
      </c>
      <c r="H43" s="11" t="str">
        <f t="shared" si="27"/>
        <v/>
      </c>
      <c r="I43" s="11" t="str">
        <f t="shared" si="27"/>
        <v/>
      </c>
      <c r="J43" s="11" t="str">
        <f t="shared" si="27"/>
        <v/>
      </c>
      <c r="K43" s="11" t="str">
        <f t="shared" si="27"/>
        <v/>
      </c>
      <c r="L43" s="11" t="str">
        <f t="shared" si="27"/>
        <v/>
      </c>
      <c r="M43" s="11" t="str">
        <f t="shared" si="27"/>
        <v/>
      </c>
      <c r="N43" s="6"/>
      <c r="O43" s="11" t="str">
        <f t="shared" si="22"/>
        <v/>
      </c>
      <c r="P43" s="11" t="str">
        <f t="shared" si="22"/>
        <v/>
      </c>
      <c r="Q43" s="11" t="str">
        <f t="shared" si="22"/>
        <v/>
      </c>
      <c r="R43" s="11" t="str">
        <f t="shared" si="22"/>
        <v/>
      </c>
      <c r="S43" s="11" t="str">
        <f t="shared" si="22"/>
        <v/>
      </c>
      <c r="T43" s="11" t="str">
        <f t="shared" si="11"/>
        <v/>
      </c>
      <c r="U43" s="11" t="str">
        <f t="shared" si="11"/>
        <v/>
      </c>
      <c r="V43" s="11" t="str">
        <f t="shared" si="11"/>
        <v/>
      </c>
    </row>
    <row r="44" spans="1:22" x14ac:dyDescent="0.25">
      <c r="A44" s="7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7"/>
      <c r="O44" s="3"/>
      <c r="P44" s="3"/>
      <c r="Q44" s="3"/>
      <c r="R44" s="3"/>
      <c r="S44" s="3"/>
      <c r="T44" s="3"/>
      <c r="U44" s="3"/>
      <c r="V44" s="3"/>
    </row>
    <row r="45" spans="1:22" x14ac:dyDescent="0.25">
      <c r="A45" s="53" t="str">
        <f t="shared" ref="A45" si="28">A4</f>
        <v>Group names</v>
      </c>
      <c r="B45" s="7" t="str">
        <f t="shared" ref="B45:R45" si="29">B4</f>
        <v>Solvent control</v>
      </c>
      <c r="C45" s="7" t="str">
        <f t="shared" si="29"/>
        <v>EE2-33.8ng/L</v>
      </c>
      <c r="D45" s="7" t="str">
        <f t="shared" si="29"/>
        <v>EE2-50.6ng/L</v>
      </c>
      <c r="E45" s="7" t="str">
        <f t="shared" si="29"/>
        <v>EE2-76ng/L</v>
      </c>
      <c r="F45" s="7" t="str">
        <f t="shared" si="29"/>
        <v>EE2-114ng/L</v>
      </c>
      <c r="G45" s="7" t="str">
        <f t="shared" si="29"/>
        <v>EE2-170.9ng/L</v>
      </c>
      <c r="H45" s="7" t="str">
        <f t="shared" si="29"/>
        <v>EE2-488ng/L</v>
      </c>
      <c r="I45" s="7" t="str">
        <f t="shared" si="29"/>
        <v>Dutasteride-0.01mg/L</v>
      </c>
      <c r="J45" s="7" t="str">
        <f t="shared" si="29"/>
        <v>Dutasteride-0.1mg/L</v>
      </c>
      <c r="K45" s="7" t="str">
        <f t="shared" ref="K45:M45" si="30">K4</f>
        <v>Dutasteride-0.25mg/L</v>
      </c>
      <c r="L45" s="7" t="str">
        <f t="shared" si="30"/>
        <v>Dutasteride-0.5mg/L</v>
      </c>
      <c r="M45" s="7" t="str">
        <f t="shared" si="30"/>
        <v>Dutasteride-1.0mg/L</v>
      </c>
      <c r="N45" s="7"/>
      <c r="O45" s="7" t="str">
        <f t="shared" si="29"/>
        <v>Testo -30µg/L</v>
      </c>
      <c r="P45" s="7" t="str">
        <f t="shared" si="29"/>
        <v>Testo 30µg/L + EE2 -64ng/L</v>
      </c>
      <c r="Q45" s="7" t="str">
        <f t="shared" si="29"/>
        <v>Testo 30µg/L + FAD-10mg/L</v>
      </c>
      <c r="R45" s="7" t="str">
        <f t="shared" si="29"/>
        <v>Dutasteride-0.01mg/L + Testostérone</v>
      </c>
      <c r="S45" s="7" t="str">
        <f t="shared" ref="S45:V45" si="31">S4</f>
        <v>Dutasteride-0.1mg/L + Testostérone</v>
      </c>
      <c r="T45" s="7" t="str">
        <f t="shared" si="31"/>
        <v>Dutasteride-0.25mg/L + Testostérone</v>
      </c>
      <c r="U45" s="7" t="str">
        <f t="shared" si="31"/>
        <v>Dutasteride-0.5mg/L + Testostérone</v>
      </c>
      <c r="V45" s="7" t="str">
        <f t="shared" si="31"/>
        <v>Dutasteride-1.0mg/L + Testostérone</v>
      </c>
    </row>
    <row r="46" spans="1:22" x14ac:dyDescent="0.25">
      <c r="A46" s="8" t="s">
        <v>0</v>
      </c>
      <c r="B46" s="10">
        <f t="shared" ref="B46:H46" si="32">AVERAGE(B28:B43)</f>
        <v>0</v>
      </c>
      <c r="C46" s="10">
        <f t="shared" si="32"/>
        <v>8.8277999849631583E-2</v>
      </c>
      <c r="D46" s="10">
        <f t="shared" si="32"/>
        <v>0.34276571349807033</v>
      </c>
      <c r="E46" s="10">
        <f t="shared" si="32"/>
        <v>0.49485536439276229</v>
      </c>
      <c r="F46" s="10">
        <f t="shared" si="32"/>
        <v>0.94061262593353723</v>
      </c>
      <c r="G46" s="10">
        <f t="shared" si="32"/>
        <v>1.2369215515513008</v>
      </c>
      <c r="H46" s="10">
        <f t="shared" si="32"/>
        <v>1.4352927171570351</v>
      </c>
      <c r="I46" s="10">
        <f>AVERAGE(I28:I43)</f>
        <v>4.0257380582426949E-2</v>
      </c>
      <c r="J46" s="9">
        <f>AVERAGE(J28:J43)</f>
        <v>7.3474230615006769E-2</v>
      </c>
      <c r="K46" s="9">
        <f t="shared" ref="K46:M46" si="33">AVERAGE(K28:K43)</f>
        <v>8.3680016039296284E-2</v>
      </c>
      <c r="L46" s="9">
        <f t="shared" si="33"/>
        <v>7.9104587489348899E-2</v>
      </c>
      <c r="M46" s="9">
        <f t="shared" si="33"/>
        <v>6.5944062954237881E-2</v>
      </c>
      <c r="N46" s="8" t="s">
        <v>0</v>
      </c>
      <c r="O46" s="10">
        <f t="shared" ref="O46:R46" si="34">AVERAGE(O28:O43)</f>
        <v>1.0000000000000002</v>
      </c>
      <c r="P46" s="10">
        <f t="shared" si="34"/>
        <v>1.2483847927422185</v>
      </c>
      <c r="Q46" s="10">
        <f t="shared" si="34"/>
        <v>7.3714820059144912E-2</v>
      </c>
      <c r="R46" s="10">
        <f t="shared" si="34"/>
        <v>1.1957285975640319</v>
      </c>
      <c r="S46" s="10">
        <f t="shared" ref="S46:V46" si="35">AVERAGE(S28:S43)</f>
        <v>1.181604775449852</v>
      </c>
      <c r="T46" s="10">
        <f t="shared" si="35"/>
        <v>1.2211803293068018</v>
      </c>
      <c r="U46" s="10">
        <f t="shared" si="35"/>
        <v>1.2363327652749236</v>
      </c>
      <c r="V46" s="10">
        <f t="shared" si="35"/>
        <v>1.2021718836148565</v>
      </c>
    </row>
    <row r="47" spans="1:22" x14ac:dyDescent="0.25">
      <c r="A47" s="8" t="s">
        <v>1</v>
      </c>
      <c r="B47" s="8">
        <f t="shared" ref="B47:J47" si="36">STDEV(B28:B43)</f>
        <v>0</v>
      </c>
      <c r="C47" s="8">
        <f t="shared" si="36"/>
        <v>5.2505044576659658E-2</v>
      </c>
      <c r="D47" s="8">
        <f t="shared" si="36"/>
        <v>0.55682423701639061</v>
      </c>
      <c r="E47" s="8">
        <f t="shared" si="36"/>
        <v>0.23301438677090203</v>
      </c>
      <c r="F47" s="8">
        <f t="shared" si="36"/>
        <v>0.35593261664359399</v>
      </c>
      <c r="G47" s="8">
        <f t="shared" si="36"/>
        <v>0.48840686444149611</v>
      </c>
      <c r="H47" s="8">
        <f t="shared" si="36"/>
        <v>0.19935565020031645</v>
      </c>
      <c r="I47" s="8">
        <f t="shared" si="36"/>
        <v>3.7596477938151587E-2</v>
      </c>
      <c r="J47" s="8">
        <f t="shared" si="36"/>
        <v>3.1678582363410195E-2</v>
      </c>
      <c r="K47" s="8">
        <f t="shared" ref="K47:M47" si="37">STDEV(K28:K43)</f>
        <v>6.3763529505457911E-2</v>
      </c>
      <c r="L47" s="8">
        <f t="shared" si="37"/>
        <v>9.3270760357803392E-2</v>
      </c>
      <c r="M47" s="8">
        <f t="shared" si="37"/>
        <v>5.2529926606293936E-2</v>
      </c>
      <c r="N47" s="8" t="s">
        <v>1</v>
      </c>
      <c r="O47" s="8">
        <f t="shared" ref="O47:R47" si="38">STDEV(O28:O43)</f>
        <v>0.14861297834125115</v>
      </c>
      <c r="P47" s="8">
        <f t="shared" si="38"/>
        <v>0.19794168041807017</v>
      </c>
      <c r="Q47" s="8">
        <f t="shared" si="38"/>
        <v>5.8360369498606519E-2</v>
      </c>
      <c r="R47" s="8">
        <f t="shared" si="38"/>
        <v>0.30722682319758143</v>
      </c>
      <c r="S47" s="8">
        <f t="shared" ref="S47:V47" si="39">STDEV(S28:S43)</f>
        <v>0.27692586853733686</v>
      </c>
      <c r="T47" s="8">
        <f t="shared" si="39"/>
        <v>0.3657709838215944</v>
      </c>
      <c r="U47" s="8">
        <f t="shared" si="39"/>
        <v>0.21141934652365393</v>
      </c>
      <c r="V47" s="8">
        <f t="shared" si="39"/>
        <v>0.31637240625477098</v>
      </c>
    </row>
    <row r="48" spans="1:22" x14ac:dyDescent="0.25">
      <c r="A48" s="8" t="s">
        <v>2</v>
      </c>
      <c r="B48" s="8">
        <f t="shared" ref="B48:J48" si="40" xml:space="preserve"> B47/SQRT(COUNT(B28:B43))</f>
        <v>0</v>
      </c>
      <c r="C48" s="8">
        <f t="shared" si="40"/>
        <v>1.8563336533329002E-2</v>
      </c>
      <c r="D48" s="8">
        <f t="shared" si="40"/>
        <v>0.19686709696165758</v>
      </c>
      <c r="E48" s="8">
        <f t="shared" si="40"/>
        <v>8.2383026499864884E-2</v>
      </c>
      <c r="F48" s="8">
        <f t="shared" si="40"/>
        <v>0.12584118343707856</v>
      </c>
      <c r="G48" s="8">
        <f t="shared" si="40"/>
        <v>0.17267790291232038</v>
      </c>
      <c r="H48" s="8">
        <f t="shared" si="40"/>
        <v>7.0482866062248531E-2</v>
      </c>
      <c r="I48" s="8">
        <f t="shared" si="40"/>
        <v>1.3292362249398707E-2</v>
      </c>
      <c r="J48" s="8">
        <f t="shared" si="40"/>
        <v>1.1200070203771957E-2</v>
      </c>
      <c r="K48" s="8">
        <f t="shared" ref="K48:M48" si="41" xml:space="preserve"> K47/SQRT(COUNT(K28:K43))</f>
        <v>2.2543812052848895E-2</v>
      </c>
      <c r="L48" s="8">
        <f t="shared" si="41"/>
        <v>3.2976193567714092E-2</v>
      </c>
      <c r="M48" s="8">
        <f t="shared" si="41"/>
        <v>1.8572133659271042E-2</v>
      </c>
      <c r="N48" s="8" t="s">
        <v>2</v>
      </c>
      <c r="O48" s="8">
        <f t="shared" ref="O48:R48" si="42" xml:space="preserve"> O47/SQRT(COUNT(O28:O43))</f>
        <v>3.8371706009729944E-2</v>
      </c>
      <c r="P48" s="8">
        <f t="shared" si="42"/>
        <v>6.998295225153893E-2</v>
      </c>
      <c r="Q48" s="8">
        <f t="shared" si="42"/>
        <v>2.0633506512508611E-2</v>
      </c>
      <c r="R48" s="8">
        <f t="shared" si="42"/>
        <v>0.10862108502270516</v>
      </c>
      <c r="S48" s="8">
        <f t="shared" ref="S48:V48" si="43" xml:space="preserve"> S47/SQRT(COUNT(S28:S43))</f>
        <v>9.7908079764362638E-2</v>
      </c>
      <c r="T48" s="8">
        <f t="shared" si="43"/>
        <v>0.12931957151076218</v>
      </c>
      <c r="U48" s="8">
        <f t="shared" si="43"/>
        <v>7.4748026800452103E-2</v>
      </c>
      <c r="V48" s="8">
        <f t="shared" si="43"/>
        <v>0.11185453692152693</v>
      </c>
    </row>
    <row r="49" spans="1:22" ht="15.75" thickBot="1" x14ac:dyDescent="0.3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</row>
    <row r="50" spans="1:22" ht="27" thickBot="1" x14ac:dyDescent="0.45">
      <c r="A50" s="135"/>
      <c r="B50" s="136"/>
      <c r="C50" s="136"/>
      <c r="D50" s="136"/>
      <c r="E50" s="136"/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</row>
    <row r="51" spans="1:22" customFormat="1" ht="15.75" thickBot="1" x14ac:dyDescent="0.3"/>
    <row r="52" spans="1:22" x14ac:dyDescent="0.25">
      <c r="A52" s="29" t="str">
        <f t="shared" ref="A52" si="44">A27</f>
        <v>Group names</v>
      </c>
      <c r="B52" s="30" t="str">
        <f t="shared" ref="B52:H52" si="45">B27</f>
        <v>Solvent control</v>
      </c>
      <c r="C52" s="30" t="str">
        <f t="shared" si="45"/>
        <v>EE2-33.8ng/L</v>
      </c>
      <c r="D52" s="30" t="str">
        <f t="shared" si="45"/>
        <v>EE2-50.6ng/L</v>
      </c>
      <c r="E52" s="30" t="str">
        <f t="shared" si="45"/>
        <v>EE2-76ng/L</v>
      </c>
      <c r="F52" s="30" t="str">
        <f t="shared" si="45"/>
        <v>EE2-114ng/L</v>
      </c>
      <c r="G52" s="30" t="str">
        <f t="shared" si="45"/>
        <v>EE2-170.9ng/L</v>
      </c>
      <c r="H52" s="30" t="str">
        <f t="shared" si="45"/>
        <v>EE2-488ng/L</v>
      </c>
      <c r="I52" s="30" t="str">
        <f>I4</f>
        <v>Dutasteride-0.01mg/L</v>
      </c>
      <c r="J52" s="30" t="str">
        <f>J4</f>
        <v>Dutasteride-0.1mg/L</v>
      </c>
      <c r="K52" s="30" t="str">
        <f t="shared" ref="K52:M52" si="46">K4</f>
        <v>Dutasteride-0.25mg/L</v>
      </c>
      <c r="L52" s="30" t="str">
        <f t="shared" si="46"/>
        <v>Dutasteride-0.5mg/L</v>
      </c>
      <c r="M52" s="30" t="str">
        <f t="shared" si="46"/>
        <v>Dutasteride-1.0mg/L</v>
      </c>
      <c r="N52" s="31"/>
      <c r="O52" s="30" t="str">
        <f>O27</f>
        <v>Testo -30µg/L</v>
      </c>
      <c r="P52" s="30" t="str">
        <f>P27</f>
        <v>Testo 30µg/L + EE2 -64ng/L</v>
      </c>
      <c r="Q52" s="30" t="str">
        <f>Q27</f>
        <v>Testo 30µg/L + FAD-10mg/L</v>
      </c>
      <c r="R52" s="30" t="str">
        <f>R27</f>
        <v>Dutasteride-0.01mg/L + Testostérone</v>
      </c>
      <c r="S52" s="30" t="str">
        <f t="shared" ref="S52:V52" si="47">S27</f>
        <v>Dutasteride-0.1mg/L + Testostérone</v>
      </c>
      <c r="T52" s="30" t="str">
        <f t="shared" si="47"/>
        <v>Dutasteride-0.25mg/L + Testostérone</v>
      </c>
      <c r="U52" s="30" t="str">
        <f t="shared" si="47"/>
        <v>Dutasteride-0.5mg/L + Testostérone</v>
      </c>
      <c r="V52" s="30" t="str">
        <f t="shared" si="47"/>
        <v>Dutasteride-1.0mg/L + Testostérone</v>
      </c>
    </row>
    <row r="53" spans="1:22" s="3" customFormat="1" x14ac:dyDescent="0.25">
      <c r="A53" s="45" t="s">
        <v>10</v>
      </c>
      <c r="B53" s="77">
        <f t="shared" ref="B53" si="48">B46</f>
        <v>0</v>
      </c>
      <c r="C53" s="77">
        <f t="shared" ref="C53:V53" si="49">C46</f>
        <v>8.8277999849631583E-2</v>
      </c>
      <c r="D53" s="77">
        <f t="shared" si="49"/>
        <v>0.34276571349807033</v>
      </c>
      <c r="E53" s="77">
        <f t="shared" si="49"/>
        <v>0.49485536439276229</v>
      </c>
      <c r="F53" s="77">
        <f t="shared" si="49"/>
        <v>0.94061262593353723</v>
      </c>
      <c r="G53" s="77">
        <f t="shared" si="49"/>
        <v>1.2369215515513008</v>
      </c>
      <c r="H53" s="77">
        <f t="shared" si="49"/>
        <v>1.4352927171570351</v>
      </c>
      <c r="I53" s="77">
        <f t="shared" si="49"/>
        <v>4.0257380582426949E-2</v>
      </c>
      <c r="J53" s="77">
        <f t="shared" si="49"/>
        <v>7.3474230615006769E-2</v>
      </c>
      <c r="K53" s="77">
        <f t="shared" si="49"/>
        <v>8.3680016039296284E-2</v>
      </c>
      <c r="L53" s="77">
        <f t="shared" si="49"/>
        <v>7.9104587489348899E-2</v>
      </c>
      <c r="M53" s="77">
        <f t="shared" si="49"/>
        <v>6.5944062954237881E-2</v>
      </c>
      <c r="N53" s="77"/>
      <c r="O53" s="77">
        <f t="shared" si="49"/>
        <v>1.0000000000000002</v>
      </c>
      <c r="P53" s="77">
        <f t="shared" si="49"/>
        <v>1.2483847927422185</v>
      </c>
      <c r="Q53" s="77">
        <f t="shared" si="49"/>
        <v>7.3714820059144912E-2</v>
      </c>
      <c r="R53" s="77">
        <f t="shared" si="49"/>
        <v>1.1957285975640319</v>
      </c>
      <c r="S53" s="77">
        <f t="shared" si="49"/>
        <v>1.181604775449852</v>
      </c>
      <c r="T53" s="77">
        <f t="shared" si="49"/>
        <v>1.2211803293068018</v>
      </c>
      <c r="U53" s="77">
        <f t="shared" si="49"/>
        <v>1.2363327652749236</v>
      </c>
      <c r="V53" s="77">
        <f t="shared" si="49"/>
        <v>1.2021718836148565</v>
      </c>
    </row>
    <row r="54" spans="1:22" s="3" customFormat="1" x14ac:dyDescent="0.25">
      <c r="A54" s="45" t="s">
        <v>2</v>
      </c>
      <c r="B54" s="77">
        <f t="shared" ref="B54" si="50">B48</f>
        <v>0</v>
      </c>
      <c r="C54" s="77">
        <f t="shared" ref="C54:V54" si="51">C48</f>
        <v>1.8563336533329002E-2</v>
      </c>
      <c r="D54" s="77">
        <f t="shared" si="51"/>
        <v>0.19686709696165758</v>
      </c>
      <c r="E54" s="77">
        <f t="shared" si="51"/>
        <v>8.2383026499864884E-2</v>
      </c>
      <c r="F54" s="77">
        <f t="shared" si="51"/>
        <v>0.12584118343707856</v>
      </c>
      <c r="G54" s="77">
        <f t="shared" si="51"/>
        <v>0.17267790291232038</v>
      </c>
      <c r="H54" s="77">
        <f t="shared" si="51"/>
        <v>7.0482866062248531E-2</v>
      </c>
      <c r="I54" s="77">
        <f t="shared" si="51"/>
        <v>1.3292362249398707E-2</v>
      </c>
      <c r="J54" s="77">
        <f t="shared" si="51"/>
        <v>1.1200070203771957E-2</v>
      </c>
      <c r="K54" s="77">
        <f t="shared" si="51"/>
        <v>2.2543812052848895E-2</v>
      </c>
      <c r="L54" s="77">
        <f t="shared" si="51"/>
        <v>3.2976193567714092E-2</v>
      </c>
      <c r="M54" s="77">
        <f t="shared" si="51"/>
        <v>1.8572133659271042E-2</v>
      </c>
      <c r="N54" s="77"/>
      <c r="O54" s="77">
        <f t="shared" si="51"/>
        <v>3.8371706009729944E-2</v>
      </c>
      <c r="P54" s="77">
        <f t="shared" si="51"/>
        <v>6.998295225153893E-2</v>
      </c>
      <c r="Q54" s="77">
        <f t="shared" si="51"/>
        <v>2.0633506512508611E-2</v>
      </c>
      <c r="R54" s="77">
        <f t="shared" si="51"/>
        <v>0.10862108502270516</v>
      </c>
      <c r="S54" s="77">
        <f t="shared" si="51"/>
        <v>9.7908079764362638E-2</v>
      </c>
      <c r="T54" s="77">
        <f t="shared" si="51"/>
        <v>0.12931957151076218</v>
      </c>
      <c r="U54" s="77">
        <f t="shared" si="51"/>
        <v>7.4748026800452103E-2</v>
      </c>
      <c r="V54" s="77">
        <f t="shared" si="51"/>
        <v>0.11185453692152693</v>
      </c>
    </row>
    <row r="55" spans="1:22" s="3" customFormat="1" x14ac:dyDescent="0.25">
      <c r="A55" s="45" t="s">
        <v>14</v>
      </c>
      <c r="B55" s="77" t="e">
        <f>(B53*100/$B53)-100</f>
        <v>#DIV/0!</v>
      </c>
      <c r="C55" s="77" t="e">
        <f t="shared" ref="C55:M55" si="52">(C53*100/$B53)-100</f>
        <v>#DIV/0!</v>
      </c>
      <c r="D55" s="77" t="e">
        <f t="shared" si="52"/>
        <v>#DIV/0!</v>
      </c>
      <c r="E55" s="77" t="e">
        <f t="shared" si="52"/>
        <v>#DIV/0!</v>
      </c>
      <c r="F55" s="77" t="e">
        <f t="shared" si="52"/>
        <v>#DIV/0!</v>
      </c>
      <c r="G55" s="77" t="e">
        <f t="shared" si="52"/>
        <v>#DIV/0!</v>
      </c>
      <c r="H55" s="77" t="e">
        <f t="shared" si="52"/>
        <v>#DIV/0!</v>
      </c>
      <c r="I55" s="77" t="e">
        <f t="shared" si="52"/>
        <v>#DIV/0!</v>
      </c>
      <c r="J55" s="77" t="e">
        <f t="shared" si="52"/>
        <v>#DIV/0!</v>
      </c>
      <c r="K55" s="77" t="e">
        <f t="shared" si="52"/>
        <v>#DIV/0!</v>
      </c>
      <c r="L55" s="77" t="e">
        <f t="shared" si="52"/>
        <v>#DIV/0!</v>
      </c>
      <c r="M55" s="77" t="e">
        <f t="shared" si="52"/>
        <v>#DIV/0!</v>
      </c>
      <c r="N55" s="77"/>
      <c r="O55" s="77">
        <f t="shared" ref="O55:V55" si="53">(O53*100/$O53)-100</f>
        <v>0</v>
      </c>
      <c r="P55" s="77">
        <f t="shared" si="53"/>
        <v>24.838479274221825</v>
      </c>
      <c r="Q55" s="77">
        <f t="shared" si="53"/>
        <v>-92.628517994085513</v>
      </c>
      <c r="R55" s="77">
        <f t="shared" si="53"/>
        <v>19.572859756403162</v>
      </c>
      <c r="S55" s="77">
        <f t="shared" si="53"/>
        <v>18.16047754498517</v>
      </c>
      <c r="T55" s="77">
        <f t="shared" si="53"/>
        <v>22.118032930680144</v>
      </c>
      <c r="U55" s="77">
        <f t="shared" si="53"/>
        <v>23.633276527492342</v>
      </c>
      <c r="V55" s="77">
        <f t="shared" si="53"/>
        <v>20.217188361485626</v>
      </c>
    </row>
    <row r="56" spans="1:22" s="3" customFormat="1" x14ac:dyDescent="0.25">
      <c r="A56" s="45" t="s">
        <v>37</v>
      </c>
      <c r="B56" s="77" t="e">
        <f>[1]!SWTEST(B28:B43)</f>
        <v>#VALUE!</v>
      </c>
      <c r="C56" s="77">
        <f>[1]!SWTEST(C28:C43)</f>
        <v>0.27386744598232315</v>
      </c>
      <c r="D56" s="77">
        <f>[1]!SWTEST(D28:D43)</f>
        <v>2.3129394663604641E-3</v>
      </c>
      <c r="E56" s="77">
        <f>[1]!SWTEST(E28:E43)</f>
        <v>0.21228793524407974</v>
      </c>
      <c r="F56" s="77">
        <f>[1]!SWTEST(F28:F43)</f>
        <v>0.18107858799197885</v>
      </c>
      <c r="G56" s="77">
        <f>[1]!SWTEST(G28:G43)</f>
        <v>1.0233318077778053E-3</v>
      </c>
      <c r="H56" s="77">
        <f>[1]!SWTEST(H28:H43)</f>
        <v>0.17959637101081882</v>
      </c>
      <c r="I56" s="77">
        <f>[1]!SWTEST(I28:I43)</f>
        <v>0.23262066468097797</v>
      </c>
      <c r="J56" s="77">
        <f>[1]!SWTEST(J28:J43)</f>
        <v>0.65650997903808561</v>
      </c>
      <c r="K56" s="77">
        <f>[1]!SWTEST(K28:K43)</f>
        <v>0.49056674642342268</v>
      </c>
      <c r="L56" s="77">
        <f>[1]!SWTEST(L28:L43)</f>
        <v>6.8089218606674939E-2</v>
      </c>
      <c r="M56" s="77">
        <f>[1]!SWTEST(M28:M43)</f>
        <v>0.58444386334570131</v>
      </c>
      <c r="N56" s="77"/>
      <c r="O56" s="77">
        <f>[1]!SWTEST(O28:O43)</f>
        <v>0.38794535965744881</v>
      </c>
      <c r="P56" s="77">
        <f>[1]!SWTEST(P28:P43)</f>
        <v>0.19616473475073781</v>
      </c>
      <c r="Q56" s="77">
        <f>[1]!SWTEST(Q28:Q43)</f>
        <v>0.44899560845373054</v>
      </c>
      <c r="R56" s="77">
        <f>[1]!SWTEST(R28:R43)</f>
        <v>3.8892626467328606E-2</v>
      </c>
      <c r="S56" s="77">
        <f>[1]!SWTEST(S28:S43)</f>
        <v>0.39278853903715594</v>
      </c>
      <c r="T56" s="77">
        <f>[1]!SWTEST(T28:T43)</f>
        <v>5.254499489479314E-3</v>
      </c>
      <c r="U56" s="77">
        <f>[1]!SWTEST(U28:U43)</f>
        <v>1.436776808282425E-2</v>
      </c>
      <c r="V56" s="77">
        <f>[1]!SWTEST(V28:V43)</f>
        <v>3.0083192600759645E-2</v>
      </c>
    </row>
    <row r="57" spans="1:22" s="3" customFormat="1" x14ac:dyDescent="0.25">
      <c r="A57" s="45" t="s">
        <v>38</v>
      </c>
      <c r="B57" s="77" t="e">
        <f>IF(B56&gt;0.05,"Oui","Non")</f>
        <v>#VALUE!</v>
      </c>
      <c r="C57" s="77" t="str">
        <f t="shared" ref="C57:V57" si="54">IF(C56&gt;0.05,"Oui","Non")</f>
        <v>Oui</v>
      </c>
      <c r="D57" s="77" t="str">
        <f t="shared" si="54"/>
        <v>Non</v>
      </c>
      <c r="E57" s="77" t="str">
        <f t="shared" si="54"/>
        <v>Oui</v>
      </c>
      <c r="F57" s="77" t="str">
        <f t="shared" si="54"/>
        <v>Oui</v>
      </c>
      <c r="G57" s="77" t="str">
        <f t="shared" si="54"/>
        <v>Non</v>
      </c>
      <c r="H57" s="77" t="str">
        <f t="shared" si="54"/>
        <v>Oui</v>
      </c>
      <c r="I57" s="77" t="str">
        <f t="shared" si="54"/>
        <v>Oui</v>
      </c>
      <c r="J57" s="77" t="str">
        <f t="shared" si="54"/>
        <v>Oui</v>
      </c>
      <c r="K57" s="77" t="str">
        <f t="shared" si="54"/>
        <v>Oui</v>
      </c>
      <c r="L57" s="77" t="str">
        <f t="shared" si="54"/>
        <v>Oui</v>
      </c>
      <c r="M57" s="77" t="str">
        <f t="shared" si="54"/>
        <v>Oui</v>
      </c>
      <c r="N57" s="77"/>
      <c r="O57" s="77" t="str">
        <f t="shared" si="54"/>
        <v>Oui</v>
      </c>
      <c r="P57" s="77" t="str">
        <f t="shared" si="54"/>
        <v>Oui</v>
      </c>
      <c r="Q57" s="77" t="str">
        <f t="shared" si="54"/>
        <v>Oui</v>
      </c>
      <c r="R57" s="77" t="str">
        <f t="shared" si="54"/>
        <v>Non</v>
      </c>
      <c r="S57" s="77" t="str">
        <f t="shared" si="54"/>
        <v>Oui</v>
      </c>
      <c r="T57" s="77" t="str">
        <f t="shared" si="54"/>
        <v>Non</v>
      </c>
      <c r="U57" s="77" t="str">
        <f t="shared" si="54"/>
        <v>Non</v>
      </c>
      <c r="V57" s="77" t="str">
        <f t="shared" si="54"/>
        <v>Non</v>
      </c>
    </row>
    <row r="58" spans="1:22" s="3" customFormat="1" x14ac:dyDescent="0.25">
      <c r="A58" s="45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9"/>
      <c r="O58" s="80"/>
      <c r="P58" s="77"/>
      <c r="Q58" s="77"/>
      <c r="R58" s="77"/>
      <c r="S58" s="77"/>
      <c r="T58" s="77"/>
      <c r="U58" s="77"/>
      <c r="V58" s="77"/>
    </row>
    <row r="59" spans="1:22" s="3" customFormat="1" x14ac:dyDescent="0.25">
      <c r="A59" s="45" t="s">
        <v>39</v>
      </c>
      <c r="B59" s="81"/>
      <c r="C59" s="81" t="e">
        <f t="shared" ref="C59:O59" si="55">IF($B57="Non",IF(C57="Non","MW",IF(C57="Oui","MW","")),IF($B57="Oui",IF(C57="Oui","T-Test Welch",IF(C57="Non","MW",""))))</f>
        <v>#VALUE!</v>
      </c>
      <c r="D59" s="81" t="e">
        <f t="shared" si="55"/>
        <v>#VALUE!</v>
      </c>
      <c r="E59" s="81" t="e">
        <f t="shared" si="55"/>
        <v>#VALUE!</v>
      </c>
      <c r="F59" s="81" t="e">
        <f t="shared" si="55"/>
        <v>#VALUE!</v>
      </c>
      <c r="G59" s="81" t="e">
        <f t="shared" si="55"/>
        <v>#VALUE!</v>
      </c>
      <c r="H59" s="81" t="e">
        <f t="shared" si="55"/>
        <v>#VALUE!</v>
      </c>
      <c r="I59" s="81" t="e">
        <f t="shared" si="55"/>
        <v>#VALUE!</v>
      </c>
      <c r="J59" s="81" t="e">
        <f t="shared" si="55"/>
        <v>#VALUE!</v>
      </c>
      <c r="K59" s="81" t="e">
        <f t="shared" si="55"/>
        <v>#VALUE!</v>
      </c>
      <c r="L59" s="81" t="e">
        <f t="shared" si="55"/>
        <v>#VALUE!</v>
      </c>
      <c r="M59" s="81" t="e">
        <f t="shared" si="55"/>
        <v>#VALUE!</v>
      </c>
      <c r="N59" s="81"/>
      <c r="O59" s="81" t="e">
        <f t="shared" si="55"/>
        <v>#VALUE!</v>
      </c>
      <c r="P59" s="81" t="str">
        <f t="shared" ref="P59:V59" si="56">IF($O57="Non",IF(P57="Non","MW",IF(P57="Oui","MW","")),IF($O57="Oui",IF(P57="Oui","T-Test Welch",IF(P57="Non","MW",""))))</f>
        <v>T-Test Welch</v>
      </c>
      <c r="Q59" s="81" t="str">
        <f t="shared" si="56"/>
        <v>T-Test Welch</v>
      </c>
      <c r="R59" s="81" t="str">
        <f t="shared" si="56"/>
        <v>MW</v>
      </c>
      <c r="S59" s="81" t="str">
        <f t="shared" si="56"/>
        <v>T-Test Welch</v>
      </c>
      <c r="T59" s="81" t="str">
        <f t="shared" si="56"/>
        <v>MW</v>
      </c>
      <c r="U59" s="81" t="str">
        <f t="shared" si="56"/>
        <v>MW</v>
      </c>
      <c r="V59" s="81" t="str">
        <f t="shared" si="56"/>
        <v>MW</v>
      </c>
    </row>
    <row r="60" spans="1:22" s="3" customFormat="1" x14ac:dyDescent="0.25">
      <c r="A60" s="45" t="s">
        <v>40</v>
      </c>
      <c r="B60" s="82"/>
      <c r="C60" s="82" t="e">
        <f>IF(C59="MW",[1]!MTEST($B28:$B43,C28:C43,2), IF(C59="T-Test Welch",_xlfn.T.TEST($B28:$B43,C28:C43,2,3),""))</f>
        <v>#VALUE!</v>
      </c>
      <c r="D60" s="82" t="e">
        <f>IF(D59="MW",[1]!MTEST($B28:$B43,D28:D43,2), IF(D59="T-Test Welch",_xlfn.T.TEST($B28:$B43,D28:D43,2,3),""))</f>
        <v>#VALUE!</v>
      </c>
      <c r="E60" s="82" t="e">
        <f>IF(E59="MW",[1]!MTEST($B28:$B43,E28:E43,2), IF(E59="T-Test Welch",_xlfn.T.TEST($B28:$B43,E28:E43,2,3),""))</f>
        <v>#VALUE!</v>
      </c>
      <c r="F60" s="82" t="e">
        <f>IF(F59="MW",[1]!MTEST($B28:$B43,F28:F43,2), IF(F59="T-Test Welch",_xlfn.T.TEST($B28:$B43,F28:F43,2,3),""))</f>
        <v>#VALUE!</v>
      </c>
      <c r="G60" s="82" t="e">
        <f>IF(G59="MW",[1]!MTEST($B28:$B43,G28:G43,2), IF(G59="T-Test Welch",_xlfn.T.TEST($B28:$B43,G28:G43,2,3),""))</f>
        <v>#VALUE!</v>
      </c>
      <c r="H60" s="82" t="e">
        <f>IF(H59="MW",[1]!MTEST($B28:$B43,H28:H43,2), IF(H59="T-Test Welch",_xlfn.T.TEST($B28:$B43,H28:H43,2,3),""))</f>
        <v>#VALUE!</v>
      </c>
      <c r="I60" s="82" t="e">
        <f>IF(I59="MW",[1]!MTEST($B28:$B43,I28:I43,2), IF(I59="T-Test Welch",_xlfn.T.TEST($B28:$B43,I28:I43,2,3),""))</f>
        <v>#VALUE!</v>
      </c>
      <c r="J60" s="82" t="e">
        <f>IF(J59="MW",[1]!MTEST($B28:$B43,J28:J43,2), IF(J59="T-Test Welch",_xlfn.T.TEST($B28:$B43,J28:J43,2,3),""))</f>
        <v>#VALUE!</v>
      </c>
      <c r="K60" s="82" t="e">
        <f>IF(K59="MW",[1]!MTEST($B28:$B43,K28:K43,2), IF(K59="T-Test Welch",_xlfn.T.TEST($B28:$B43,K28:K43,2,3),""))</f>
        <v>#VALUE!</v>
      </c>
      <c r="L60" s="82" t="e">
        <f>IF(L59="MW",[1]!MTEST($B28:$B43,L28:L43,2), IF(L59="T-Test Welch",_xlfn.T.TEST($B28:$B43,L28:L43,2,3),""))</f>
        <v>#VALUE!</v>
      </c>
      <c r="M60" s="82" t="e">
        <f>IF(M59="MW",[1]!MTEST($B28:$B43,M28:M43,2), IF(M59="T-Test Welch",_xlfn.T.TEST($B28:$B43,M28:M43,2,3),""))</f>
        <v>#VALUE!</v>
      </c>
      <c r="N60" s="82"/>
      <c r="O60" s="82" t="e">
        <f>IF(O59="MW",[1]!MTEST($B28:$B43,O28:O43,2), IF(O59="T-Test Welch",_xlfn.T.TEST($B28:$B43,O28:O43,2,3),""))</f>
        <v>#VALUE!</v>
      </c>
      <c r="P60" s="82">
        <f>IF(P59="MW",[1]!MTEST($O28:$O43,P28:P43,2), IF(P59="T-Test Welch",_xlfn.T.TEST($O28:$O43,P28:P43,2,3),""))</f>
        <v>9.5687298823946797E-3</v>
      </c>
      <c r="Q60" s="82">
        <f>IF(Q59="MW",[1]!MTEST($O28:$O43,Q28:Q43,2), IF(Q59="T-Test Welch",_xlfn.T.TEST($O28:$O43,Q28:Q43,2,3),""))</f>
        <v>3.6114146129019061E-15</v>
      </c>
      <c r="R60" s="82">
        <f>IF(R59="MW",[1]!MTEST($O28:$O43,R28:R43,2), IF(R59="T-Test Welch",_xlfn.T.TEST($O28:$O43,R28:R43,2,3),""))</f>
        <v>4.5387929038794406E-2</v>
      </c>
      <c r="S60" s="82">
        <f>IF(S59="MW",[1]!MTEST($O28:$O43,S28:S43,2), IF(S59="T-Test Welch",_xlfn.T.TEST($O28:$O43,S28:S43,2,3),""))</f>
        <v>0.11749173705302748</v>
      </c>
      <c r="T60" s="82">
        <f>IF(T59="MW",[1]!MTEST($O28:$O43,T28:T43,2), IF(T59="T-Test Welch",_xlfn.T.TEST($O28:$O43,T28:T43,2,3),""))</f>
        <v>8.1320218988818471E-3</v>
      </c>
      <c r="U60" s="82">
        <f>IF(U59="MW",[1]!MTEST($O28:$O43,U28:U43,2), IF(U59="T-Test Welch",_xlfn.T.TEST($O28:$O43,U28:U43,2,3),""))</f>
        <v>4.5086983649043066E-3</v>
      </c>
      <c r="V60" s="82">
        <f>IF(V59="MW",[1]!MTEST($O28:$O43,V28:V43,2), IF(V59="T-Test Welch",_xlfn.T.TEST($O28:$O43,V28:V43,2,3),""))</f>
        <v>0.15558034779219776</v>
      </c>
    </row>
    <row r="61" spans="1:22" s="3" customFormat="1" ht="15.75" thickBot="1" x14ac:dyDescent="0.3">
      <c r="A61" s="46" t="s">
        <v>15</v>
      </c>
      <c r="B61" s="78"/>
      <c r="C61" s="78" t="e">
        <f t="shared" ref="C61:O61" si="57">IF(C60&gt;0.05,"NS",IF(C60&gt;0.01,"*",IF(C60&gt;0.001,"**","***")))</f>
        <v>#VALUE!</v>
      </c>
      <c r="D61" s="78" t="e">
        <f t="shared" si="57"/>
        <v>#VALUE!</v>
      </c>
      <c r="E61" s="78" t="e">
        <f t="shared" si="57"/>
        <v>#VALUE!</v>
      </c>
      <c r="F61" s="78" t="e">
        <f t="shared" si="57"/>
        <v>#VALUE!</v>
      </c>
      <c r="G61" s="78" t="e">
        <f t="shared" si="57"/>
        <v>#VALUE!</v>
      </c>
      <c r="H61" s="78" t="e">
        <f t="shared" si="57"/>
        <v>#VALUE!</v>
      </c>
      <c r="I61" s="78" t="e">
        <f t="shared" si="57"/>
        <v>#VALUE!</v>
      </c>
      <c r="J61" s="78" t="e">
        <f t="shared" si="57"/>
        <v>#VALUE!</v>
      </c>
      <c r="K61" s="78" t="e">
        <f t="shared" si="57"/>
        <v>#VALUE!</v>
      </c>
      <c r="L61" s="78" t="e">
        <f t="shared" si="57"/>
        <v>#VALUE!</v>
      </c>
      <c r="M61" s="78" t="e">
        <f t="shared" si="57"/>
        <v>#VALUE!</v>
      </c>
      <c r="N61" s="78"/>
      <c r="O61" s="78" t="e">
        <f t="shared" si="57"/>
        <v>#VALUE!</v>
      </c>
      <c r="P61" s="78" t="str">
        <f>IF(P60&gt;0.05,"NS",IF(P60&gt;0.01,"*",IF(P60&gt;0.001,"**","***")))</f>
        <v>**</v>
      </c>
      <c r="Q61" s="78" t="str">
        <f t="shared" ref="Q61:V61" si="58">IF(Q60&gt;0.05,"NS",IF(Q60&gt;0.01,"*",IF(Q60&gt;0.001,"**","***")))</f>
        <v>***</v>
      </c>
      <c r="R61" s="78" t="str">
        <f t="shared" si="58"/>
        <v>*</v>
      </c>
      <c r="S61" s="78" t="str">
        <f t="shared" si="58"/>
        <v>NS</v>
      </c>
      <c r="T61" s="78" t="str">
        <f t="shared" si="58"/>
        <v>**</v>
      </c>
      <c r="U61" s="78" t="str">
        <f t="shared" si="58"/>
        <v>**</v>
      </c>
      <c r="V61" s="78" t="str">
        <f t="shared" si="58"/>
        <v>NS</v>
      </c>
    </row>
    <row r="63" spans="1:22" x14ac:dyDescent="0.25">
      <c r="A63" s="2"/>
    </row>
    <row r="66" spans="1:22" ht="15.75" thickBot="1" x14ac:dyDescent="0.3"/>
    <row r="67" spans="1:22" ht="27" thickBot="1" x14ac:dyDescent="0.45">
      <c r="A67" s="135"/>
      <c r="B67" s="136"/>
      <c r="C67" s="136"/>
      <c r="D67" s="136"/>
      <c r="E67" s="136"/>
      <c r="F67" s="136"/>
      <c r="G67" s="136"/>
      <c r="H67" s="136"/>
      <c r="I67" s="136"/>
      <c r="J67" s="136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</row>
    <row r="68" spans="1:22" ht="16.5" x14ac:dyDescent="0.25">
      <c r="A68" s="12"/>
      <c r="B68" s="12"/>
      <c r="C68" s="12"/>
      <c r="D68" s="12"/>
      <c r="E68" s="12"/>
      <c r="F68" s="12"/>
      <c r="N68" s="12"/>
      <c r="O68" s="12"/>
      <c r="P68" s="12"/>
      <c r="Q68" s="12"/>
      <c r="R68" s="12"/>
      <c r="S68" s="12"/>
      <c r="T68" s="12"/>
      <c r="U68" s="12"/>
      <c r="V68" s="12"/>
    </row>
    <row r="69" spans="1:22" ht="16.5" x14ac:dyDescent="0.25">
      <c r="A69" s="12"/>
      <c r="B69" s="12"/>
      <c r="C69" s="12"/>
      <c r="D69" s="12"/>
      <c r="E69" s="12"/>
      <c r="F69" s="12"/>
      <c r="N69" s="12"/>
      <c r="O69" s="12"/>
      <c r="P69" s="12"/>
      <c r="Q69" s="12"/>
      <c r="R69" s="12"/>
      <c r="S69" s="12"/>
      <c r="T69" s="12"/>
      <c r="U69" s="12"/>
      <c r="V69" s="12"/>
    </row>
    <row r="70" spans="1:22" ht="16.5" x14ac:dyDescent="0.25">
      <c r="A70" s="12"/>
      <c r="B70" s="12"/>
      <c r="C70" s="12"/>
      <c r="D70" s="12"/>
      <c r="E70" s="12"/>
      <c r="F70" s="12"/>
      <c r="N70" s="12"/>
      <c r="O70" s="12"/>
      <c r="P70" s="12"/>
      <c r="Q70" s="12"/>
      <c r="R70" s="12"/>
      <c r="S70" s="12"/>
      <c r="T70" s="12"/>
      <c r="U70" s="12"/>
      <c r="V70" s="12"/>
    </row>
    <row r="71" spans="1:22" ht="16.5" x14ac:dyDescent="0.25">
      <c r="A71" s="12"/>
      <c r="B71" s="12"/>
      <c r="C71" s="12"/>
      <c r="D71" s="12"/>
      <c r="E71" s="12"/>
      <c r="F71" s="12"/>
      <c r="N71" s="12"/>
      <c r="O71" s="12"/>
      <c r="P71" s="12"/>
      <c r="Q71" s="12"/>
      <c r="R71" s="12"/>
      <c r="S71" s="12"/>
      <c r="T71" s="12"/>
      <c r="U71" s="12"/>
      <c r="V71" s="12"/>
    </row>
    <row r="72" spans="1:22" ht="16.5" x14ac:dyDescent="0.25">
      <c r="A72" s="12"/>
      <c r="B72" s="12"/>
      <c r="C72" s="12"/>
      <c r="D72" s="12"/>
      <c r="E72" s="12"/>
      <c r="F72" s="12"/>
      <c r="N72" s="12"/>
      <c r="O72" s="12"/>
      <c r="P72" s="12"/>
      <c r="Q72" s="12"/>
      <c r="R72" s="12"/>
      <c r="S72" s="12"/>
      <c r="T72" s="12"/>
      <c r="U72" s="12"/>
      <c r="V72" s="12"/>
    </row>
    <row r="73" spans="1:22" ht="16.5" x14ac:dyDescent="0.25">
      <c r="A73" s="12"/>
      <c r="B73" s="12"/>
      <c r="C73" s="12"/>
      <c r="D73" s="12"/>
      <c r="E73" s="12"/>
      <c r="F73" s="12"/>
      <c r="N73" s="12"/>
      <c r="O73" s="12"/>
      <c r="P73" s="12"/>
      <c r="Q73" s="12"/>
      <c r="R73" s="12"/>
      <c r="S73" s="12"/>
      <c r="T73" s="12"/>
      <c r="U73" s="12"/>
      <c r="V73" s="12"/>
    </row>
    <row r="74" spans="1:22" ht="16.5" x14ac:dyDescent="0.25">
      <c r="A74" s="12"/>
      <c r="B74" s="12"/>
      <c r="C74" s="12"/>
      <c r="D74" s="12"/>
      <c r="E74" s="12"/>
      <c r="F74" s="12"/>
      <c r="N74" s="12"/>
      <c r="O74" s="12"/>
      <c r="P74" s="12"/>
      <c r="Q74" s="12"/>
      <c r="R74" s="12"/>
      <c r="S74" s="12"/>
      <c r="T74" s="12"/>
      <c r="U74" s="12"/>
      <c r="V74" s="12"/>
    </row>
  </sheetData>
  <protectedRanges>
    <protectedRange sqref="O51:V51" name="Plage2"/>
    <protectedRange sqref="R5:V20" name="Plage1"/>
    <protectedRange sqref="B51:J51" name="Plage2_1"/>
    <protectedRange sqref="O5:O20 B5:J20" name="Plage1_1"/>
  </protectedRanges>
  <mergeCells count="9">
    <mergeCell ref="A1:V1"/>
    <mergeCell ref="A67:V67"/>
    <mergeCell ref="A5:A20"/>
    <mergeCell ref="B3:M3"/>
    <mergeCell ref="O3:V3"/>
    <mergeCell ref="B26:M26"/>
    <mergeCell ref="O26:V26"/>
    <mergeCell ref="A28:A43"/>
    <mergeCell ref="A50:V50"/>
  </mergeCells>
  <pageMargins left="0.7" right="0.7" top="0.75" bottom="0.75" header="0.3" footer="0.3"/>
  <pageSetup paperSize="9" scale="21" orientation="landscape" r:id="rId1"/>
  <headerFooter>
    <oddHeader>&amp;C&amp;"-,Gras"&amp;14Données brutes et normalisées R1&amp;R&amp;"-,Gras"&amp;14Page : &amp;P/&amp;P</oddHeader>
  </headerFooter>
  <colBreaks count="1" manualBreakCount="1">
    <brk id="1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74"/>
  <sheetViews>
    <sheetView showGridLines="0" topLeftCell="M1" zoomScale="70" zoomScaleNormal="70" zoomScaleSheetLayoutView="40" zoomScalePageLayoutView="30" workbookViewId="0">
      <selection activeCell="V5" sqref="V5"/>
    </sheetView>
  </sheetViews>
  <sheetFormatPr baseColWidth="10" defaultColWidth="9.140625" defaultRowHeight="15" x14ac:dyDescent="0.25"/>
  <cols>
    <col min="1" max="1" width="33.5703125" style="1" customWidth="1"/>
    <col min="2" max="2" width="14.85546875" style="1" customWidth="1"/>
    <col min="3" max="5" width="25.85546875" style="1" bestFit="1" customWidth="1"/>
    <col min="6" max="8" width="26.42578125" style="1" bestFit="1" customWidth="1"/>
    <col min="9" max="9" width="26.42578125" style="1" customWidth="1"/>
    <col min="10" max="10" width="25.85546875" style="1" bestFit="1" customWidth="1"/>
    <col min="11" max="11" width="26.42578125" style="1" bestFit="1" customWidth="1"/>
    <col min="12" max="13" width="26.42578125" style="1" customWidth="1"/>
    <col min="14" max="14" width="11.7109375" style="1" customWidth="1"/>
    <col min="15" max="15" width="14.85546875" style="1" customWidth="1"/>
    <col min="16" max="16" width="17.7109375" style="1" customWidth="1"/>
    <col min="17" max="18" width="25.85546875" style="1" bestFit="1" customWidth="1"/>
    <col min="19" max="22" width="25.85546875" style="1" customWidth="1"/>
    <col min="23" max="16384" width="9.140625" style="1"/>
  </cols>
  <sheetData>
    <row r="1" spans="1:22" ht="27" thickBot="1" x14ac:dyDescent="0.45">
      <c r="A1" s="133"/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</row>
    <row r="2" spans="1:22" ht="15.75" thickBot="1" x14ac:dyDescent="0.3"/>
    <row r="3" spans="1:22" ht="15.75" thickBot="1" x14ac:dyDescent="0.3">
      <c r="A3" s="83" t="s">
        <v>9</v>
      </c>
      <c r="B3" s="141" t="s">
        <v>41</v>
      </c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O3" s="141" t="s">
        <v>42</v>
      </c>
      <c r="P3" s="142"/>
      <c r="Q3" s="142"/>
      <c r="R3" s="142"/>
      <c r="S3" s="142"/>
      <c r="T3" s="142"/>
      <c r="U3" s="142"/>
      <c r="V3" s="142"/>
    </row>
    <row r="4" spans="1:22" x14ac:dyDescent="0.25">
      <c r="A4" s="19" t="s">
        <v>36</v>
      </c>
      <c r="B4" s="20" t="str">
        <f>'Front page'!A7</f>
        <v>Solvent control</v>
      </c>
      <c r="C4" s="20" t="str">
        <f>'Front page'!A8</f>
        <v>EE2-33.8ng/L</v>
      </c>
      <c r="D4" s="20" t="str">
        <f>'Front page'!A9</f>
        <v>EE2-50.6ng/L</v>
      </c>
      <c r="E4" s="20" t="str">
        <f>'Front page'!A10</f>
        <v>EE2-76ng/L</v>
      </c>
      <c r="F4" s="20" t="str">
        <f>'Front page'!A11</f>
        <v>EE2-114ng/L</v>
      </c>
      <c r="G4" s="20" t="str">
        <f>'Front page'!A12</f>
        <v>EE2-170.9ng/L</v>
      </c>
      <c r="H4" s="20" t="str">
        <f>'Front page'!A13</f>
        <v>EE2-488ng/L</v>
      </c>
      <c r="I4" s="20" t="str">
        <f>'Front page'!A14</f>
        <v>Dutasteride-0.01mg/L</v>
      </c>
      <c r="J4" s="20" t="str">
        <f>'Front page'!A15</f>
        <v>Dutasteride-0.1mg/L</v>
      </c>
      <c r="K4" s="20" t="str">
        <f>'Front page'!A16</f>
        <v>Dutasteride-0.25mg/L</v>
      </c>
      <c r="L4" s="20" t="str">
        <f>'Front page'!A17</f>
        <v>Dutasteride-0.5mg/L</v>
      </c>
      <c r="M4" s="20" t="str">
        <f>'Front page'!A18</f>
        <v>Dutasteride-1.0mg/L</v>
      </c>
      <c r="N4" s="3"/>
      <c r="O4" s="21" t="str">
        <f>'Front page'!A35</f>
        <v>Testo -30µg/L</v>
      </c>
      <c r="P4" s="21" t="str">
        <f>'Front page'!A36</f>
        <v>Testo 30µg/L + EE2 -64ng/L</v>
      </c>
      <c r="Q4" s="21" t="str">
        <f>'Front page'!A37</f>
        <v>Testo 30µg/L + FAD-10mg/L</v>
      </c>
      <c r="R4" s="21" t="str">
        <f>'Front page'!A38</f>
        <v>Dutasteride-0.01mg/L + Testostérone</v>
      </c>
      <c r="S4" s="21" t="str">
        <f>'Front page'!A39</f>
        <v>Dutasteride-0.1mg/L + Testostérone</v>
      </c>
      <c r="T4" s="21" t="str">
        <f>'Front page'!A40</f>
        <v>Dutasteride-0.25mg/L + Testostérone</v>
      </c>
      <c r="U4" s="21" t="str">
        <f>'Front page'!A41</f>
        <v>Dutasteride-0.5mg/L + Testostérone</v>
      </c>
      <c r="V4" s="21" t="str">
        <f>'Front page'!A42</f>
        <v>Dutasteride-1.0mg/L + Testostérone</v>
      </c>
    </row>
    <row r="5" spans="1:22" x14ac:dyDescent="0.25">
      <c r="A5" s="137" t="s">
        <v>34</v>
      </c>
      <c r="B5" s="1">
        <v>10238</v>
      </c>
      <c r="C5" s="1">
        <v>13351</v>
      </c>
      <c r="D5" s="1">
        <v>0</v>
      </c>
      <c r="E5" s="1">
        <v>46250</v>
      </c>
      <c r="F5" s="1">
        <v>34204</v>
      </c>
      <c r="G5" s="1">
        <v>331861</v>
      </c>
      <c r="H5" s="1">
        <v>341423</v>
      </c>
      <c r="I5" s="1">
        <v>24905</v>
      </c>
      <c r="J5" s="1">
        <v>102785</v>
      </c>
      <c r="K5" s="1">
        <v>19565</v>
      </c>
      <c r="L5" s="1">
        <v>17097</v>
      </c>
      <c r="M5" s="1">
        <v>16822</v>
      </c>
      <c r="N5" s="3"/>
      <c r="O5" s="1">
        <v>406972</v>
      </c>
      <c r="P5" s="1">
        <v>306725</v>
      </c>
      <c r="Q5" s="1">
        <v>16437</v>
      </c>
      <c r="R5" s="1">
        <v>271222</v>
      </c>
      <c r="S5" s="1">
        <v>300507</v>
      </c>
      <c r="T5" s="1">
        <v>322459</v>
      </c>
      <c r="U5" s="1">
        <v>280652</v>
      </c>
      <c r="V5" s="1">
        <v>275711</v>
      </c>
    </row>
    <row r="6" spans="1:22" x14ac:dyDescent="0.25">
      <c r="A6" s="138"/>
      <c r="B6" s="1">
        <v>22109</v>
      </c>
      <c r="C6" s="1">
        <v>27627</v>
      </c>
      <c r="D6" s="1">
        <v>18083</v>
      </c>
      <c r="E6" s="1">
        <v>103417</v>
      </c>
      <c r="F6" s="1">
        <v>194143</v>
      </c>
      <c r="G6" s="1">
        <v>257863</v>
      </c>
      <c r="H6" s="1">
        <v>201649</v>
      </c>
      <c r="I6" s="1">
        <v>1415</v>
      </c>
      <c r="J6" s="1">
        <v>1595</v>
      </c>
      <c r="K6" s="1">
        <v>0</v>
      </c>
      <c r="L6" s="1">
        <v>5149</v>
      </c>
      <c r="M6" s="1">
        <v>16263</v>
      </c>
      <c r="N6" s="3"/>
      <c r="O6" s="1">
        <v>183568</v>
      </c>
      <c r="P6" s="1">
        <v>290405</v>
      </c>
      <c r="Q6" s="1">
        <v>11020</v>
      </c>
      <c r="R6" s="1">
        <v>263294</v>
      </c>
      <c r="S6" s="1">
        <v>280579</v>
      </c>
      <c r="T6" s="1">
        <v>398627</v>
      </c>
      <c r="U6" s="1">
        <v>269808</v>
      </c>
      <c r="V6" s="1">
        <v>230976</v>
      </c>
    </row>
    <row r="7" spans="1:22" x14ac:dyDescent="0.25">
      <c r="A7" s="138"/>
      <c r="B7" s="1">
        <v>16646</v>
      </c>
      <c r="C7" s="1">
        <v>30752</v>
      </c>
      <c r="D7" s="1">
        <v>37997</v>
      </c>
      <c r="E7" s="1">
        <v>96896</v>
      </c>
      <c r="F7" s="1">
        <v>258667</v>
      </c>
      <c r="G7" s="1">
        <v>283044</v>
      </c>
      <c r="H7" s="1">
        <v>383136</v>
      </c>
      <c r="I7" s="1">
        <v>0</v>
      </c>
      <c r="J7" s="1">
        <v>12476</v>
      </c>
      <c r="K7" s="1">
        <v>8624</v>
      </c>
      <c r="L7" s="1">
        <v>7252</v>
      </c>
      <c r="M7" s="1">
        <v>9570</v>
      </c>
      <c r="N7" s="3"/>
      <c r="O7" s="1">
        <v>168690</v>
      </c>
      <c r="P7" s="1">
        <v>354092</v>
      </c>
      <c r="Q7" s="1">
        <v>9426</v>
      </c>
      <c r="R7" s="1">
        <v>323115</v>
      </c>
      <c r="S7" s="1">
        <v>264162</v>
      </c>
      <c r="T7" s="1">
        <v>366936</v>
      </c>
      <c r="U7" s="1">
        <v>360680</v>
      </c>
      <c r="V7" s="1">
        <v>419313</v>
      </c>
    </row>
    <row r="8" spans="1:22" x14ac:dyDescent="0.25">
      <c r="A8" s="138"/>
      <c r="B8" s="1">
        <v>8574</v>
      </c>
      <c r="C8" s="1">
        <v>9960</v>
      </c>
      <c r="D8" s="1">
        <v>3604</v>
      </c>
      <c r="E8" s="1">
        <v>126624</v>
      </c>
      <c r="F8" s="1">
        <v>324462</v>
      </c>
      <c r="G8" s="1">
        <v>303536</v>
      </c>
      <c r="H8" s="1">
        <v>445498</v>
      </c>
      <c r="I8" s="1">
        <v>3461</v>
      </c>
      <c r="J8" s="1">
        <v>29327</v>
      </c>
      <c r="K8" s="1">
        <v>62190</v>
      </c>
      <c r="L8" s="1">
        <v>37554</v>
      </c>
      <c r="M8" s="1">
        <v>1142</v>
      </c>
      <c r="N8" s="3"/>
      <c r="O8" s="1">
        <v>225403</v>
      </c>
      <c r="P8" s="1">
        <v>288775</v>
      </c>
      <c r="Q8" s="1">
        <v>8079</v>
      </c>
      <c r="R8" s="1">
        <v>357248</v>
      </c>
      <c r="S8" s="1">
        <v>358600</v>
      </c>
      <c r="T8" s="1">
        <v>297672</v>
      </c>
      <c r="U8" s="1">
        <v>394466</v>
      </c>
      <c r="V8" s="1">
        <v>331462</v>
      </c>
    </row>
    <row r="9" spans="1:22" x14ac:dyDescent="0.25">
      <c r="A9" s="138"/>
      <c r="B9" s="1">
        <v>26008</v>
      </c>
      <c r="C9" s="1">
        <v>27898</v>
      </c>
      <c r="D9" s="1">
        <v>22392</v>
      </c>
      <c r="E9" s="1">
        <v>14643</v>
      </c>
      <c r="F9" s="1">
        <v>299173</v>
      </c>
      <c r="G9" s="1">
        <v>297305</v>
      </c>
      <c r="H9" s="1">
        <v>358328</v>
      </c>
      <c r="I9" s="1">
        <v>19364</v>
      </c>
      <c r="J9" s="1">
        <v>19240</v>
      </c>
      <c r="K9" s="1">
        <v>24183</v>
      </c>
      <c r="L9" s="1">
        <v>0</v>
      </c>
      <c r="M9" s="1">
        <v>170</v>
      </c>
      <c r="N9" s="3"/>
      <c r="O9" s="1">
        <v>190696</v>
      </c>
      <c r="P9" s="1">
        <v>329143</v>
      </c>
      <c r="Q9" s="1">
        <v>10123</v>
      </c>
      <c r="R9" s="1">
        <v>204629</v>
      </c>
      <c r="S9" s="1">
        <v>369076</v>
      </c>
      <c r="T9" s="1">
        <v>316821</v>
      </c>
      <c r="U9" s="1">
        <v>184651</v>
      </c>
      <c r="V9" s="1">
        <v>203136</v>
      </c>
    </row>
    <row r="10" spans="1:22" x14ac:dyDescent="0.25">
      <c r="A10" s="138"/>
      <c r="B10" s="1">
        <v>3592</v>
      </c>
      <c r="C10" s="1">
        <v>28288</v>
      </c>
      <c r="D10" s="1">
        <v>1751</v>
      </c>
      <c r="E10" s="1">
        <v>87412</v>
      </c>
      <c r="F10" s="1">
        <v>168956</v>
      </c>
      <c r="G10" s="1">
        <v>266745</v>
      </c>
      <c r="H10" s="1">
        <v>463354</v>
      </c>
      <c r="I10" s="1">
        <v>7295</v>
      </c>
      <c r="J10" s="1">
        <v>38573</v>
      </c>
      <c r="K10" s="1">
        <v>4411</v>
      </c>
      <c r="L10" s="1">
        <v>20538</v>
      </c>
      <c r="M10" s="1">
        <v>36548</v>
      </c>
      <c r="N10" s="3"/>
      <c r="O10" s="1">
        <v>183294</v>
      </c>
      <c r="P10" s="1">
        <v>224200</v>
      </c>
      <c r="Q10" s="1">
        <v>3122</v>
      </c>
      <c r="R10" s="1">
        <v>374611</v>
      </c>
      <c r="S10" s="1">
        <v>378084</v>
      </c>
      <c r="T10" s="1">
        <v>215291</v>
      </c>
      <c r="U10" s="1">
        <v>283952</v>
      </c>
      <c r="V10" s="1">
        <v>306568</v>
      </c>
    </row>
    <row r="11" spans="1:22" x14ac:dyDescent="0.25">
      <c r="A11" s="138"/>
      <c r="B11" s="1">
        <v>8511</v>
      </c>
      <c r="C11" s="1">
        <v>15325</v>
      </c>
      <c r="D11" s="1">
        <v>13537</v>
      </c>
      <c r="E11" s="1">
        <v>71072</v>
      </c>
      <c r="F11" s="1">
        <v>264683</v>
      </c>
      <c r="G11" s="1">
        <v>313659</v>
      </c>
      <c r="H11" s="1">
        <v>252986</v>
      </c>
      <c r="I11" s="1">
        <v>16095</v>
      </c>
      <c r="J11" s="1">
        <v>57200</v>
      </c>
      <c r="K11" s="1">
        <v>0</v>
      </c>
      <c r="L11" s="1">
        <v>80</v>
      </c>
      <c r="M11" s="1">
        <v>13146</v>
      </c>
      <c r="N11" s="3"/>
      <c r="O11" s="1">
        <v>233152</v>
      </c>
      <c r="P11" s="1">
        <v>335685</v>
      </c>
      <c r="Q11" s="1">
        <v>64705</v>
      </c>
      <c r="R11" s="1">
        <v>275472</v>
      </c>
      <c r="S11" s="1">
        <v>330478</v>
      </c>
      <c r="T11" s="1">
        <v>335104</v>
      </c>
      <c r="U11" s="1">
        <v>214520</v>
      </c>
      <c r="V11" s="1">
        <v>303154</v>
      </c>
    </row>
    <row r="12" spans="1:22" x14ac:dyDescent="0.25">
      <c r="A12" s="138"/>
      <c r="B12" s="1">
        <v>10202</v>
      </c>
      <c r="C12" s="1">
        <v>44864</v>
      </c>
      <c r="D12" s="1">
        <v>9765</v>
      </c>
      <c r="E12" s="1">
        <v>94100</v>
      </c>
      <c r="F12" s="1">
        <v>130166</v>
      </c>
      <c r="G12" s="1">
        <v>246822</v>
      </c>
      <c r="H12" s="1">
        <v>293063</v>
      </c>
      <c r="I12" s="1">
        <v>0</v>
      </c>
      <c r="J12" s="1">
        <v>2669</v>
      </c>
      <c r="K12" s="1">
        <v>10896</v>
      </c>
      <c r="L12" s="1">
        <v>20946</v>
      </c>
      <c r="M12" s="1">
        <v>0</v>
      </c>
      <c r="N12" s="3"/>
      <c r="O12" s="1">
        <v>309632</v>
      </c>
      <c r="P12" s="1">
        <v>349520</v>
      </c>
      <c r="Q12" s="1">
        <v>0</v>
      </c>
      <c r="R12" s="1">
        <v>426141</v>
      </c>
      <c r="S12" s="17"/>
      <c r="T12" s="1">
        <v>293797</v>
      </c>
      <c r="U12" s="1">
        <v>390785</v>
      </c>
      <c r="V12" s="1">
        <v>123040</v>
      </c>
    </row>
    <row r="13" spans="1:22" ht="16.5" x14ac:dyDescent="0.25">
      <c r="A13" s="138"/>
      <c r="B13" s="14"/>
      <c r="C13" s="13"/>
      <c r="D13" s="17"/>
      <c r="E13" s="17"/>
      <c r="F13" s="17"/>
      <c r="G13" s="17"/>
      <c r="H13" s="17"/>
      <c r="I13" s="17"/>
      <c r="J13" s="17"/>
      <c r="K13" s="13"/>
      <c r="L13" s="13"/>
      <c r="M13" s="13"/>
      <c r="N13" s="3"/>
      <c r="O13" s="1">
        <v>305368</v>
      </c>
      <c r="P13" s="13"/>
      <c r="Q13" s="13"/>
      <c r="R13" s="17"/>
      <c r="S13" s="17"/>
      <c r="T13" s="17"/>
      <c r="U13" s="17"/>
      <c r="V13" s="17"/>
    </row>
    <row r="14" spans="1:22" ht="16.5" x14ac:dyDescent="0.25">
      <c r="A14" s="138"/>
      <c r="B14" s="14"/>
      <c r="C14" s="17"/>
      <c r="D14" s="17"/>
      <c r="E14" s="17"/>
      <c r="F14" s="17"/>
      <c r="G14" s="17"/>
      <c r="H14" s="17"/>
      <c r="I14" s="17"/>
      <c r="J14" s="17"/>
      <c r="K14" s="13"/>
      <c r="L14" s="13"/>
      <c r="M14" s="13"/>
      <c r="N14" s="3"/>
      <c r="O14" s="1">
        <v>277820</v>
      </c>
      <c r="P14" s="13"/>
      <c r="Q14" s="13"/>
      <c r="R14" s="17"/>
      <c r="S14" s="17"/>
      <c r="T14" s="17"/>
      <c r="U14" s="17"/>
      <c r="V14" s="17"/>
    </row>
    <row r="15" spans="1:22" ht="16.5" x14ac:dyDescent="0.25">
      <c r="A15" s="138"/>
      <c r="B15" s="14"/>
      <c r="C15" s="17"/>
      <c r="D15" s="17"/>
      <c r="E15" s="17"/>
      <c r="F15" s="17"/>
      <c r="G15" s="17"/>
      <c r="H15" s="17"/>
      <c r="I15" s="17"/>
      <c r="J15" s="17"/>
      <c r="K15" s="13"/>
      <c r="L15" s="13"/>
      <c r="M15" s="13"/>
      <c r="N15" s="3"/>
      <c r="O15" s="1">
        <v>135528</v>
      </c>
      <c r="P15" s="13"/>
      <c r="Q15" s="13"/>
      <c r="R15" s="17"/>
      <c r="S15" s="17"/>
      <c r="T15" s="17"/>
      <c r="U15" s="17"/>
      <c r="V15" s="17"/>
    </row>
    <row r="16" spans="1:22" ht="16.5" x14ac:dyDescent="0.25">
      <c r="A16" s="138"/>
      <c r="B16" s="14"/>
      <c r="C16" s="17"/>
      <c r="D16" s="17"/>
      <c r="E16" s="17"/>
      <c r="F16" s="17"/>
      <c r="G16" s="17"/>
      <c r="H16" s="17"/>
      <c r="I16" s="17"/>
      <c r="J16" s="17"/>
      <c r="K16" s="13"/>
      <c r="L16" s="13"/>
      <c r="M16" s="13"/>
      <c r="N16" s="3"/>
      <c r="O16" s="1">
        <v>239886</v>
      </c>
      <c r="P16" s="13"/>
      <c r="Q16" s="13"/>
      <c r="R16" s="17"/>
      <c r="S16" s="17"/>
      <c r="T16" s="17"/>
      <c r="U16" s="17"/>
      <c r="V16" s="17"/>
    </row>
    <row r="17" spans="1:22" ht="16.5" x14ac:dyDescent="0.25">
      <c r="A17" s="138"/>
      <c r="B17" s="14"/>
      <c r="C17" s="17"/>
      <c r="D17" s="17"/>
      <c r="E17" s="17"/>
      <c r="F17" s="17"/>
      <c r="G17" s="17"/>
      <c r="H17" s="17"/>
      <c r="I17" s="17"/>
      <c r="J17" s="17"/>
      <c r="K17" s="13"/>
      <c r="L17" s="13"/>
      <c r="M17" s="13"/>
      <c r="N17" s="3"/>
      <c r="O17" s="1">
        <v>252179</v>
      </c>
      <c r="P17" s="13"/>
      <c r="Q17" s="13"/>
      <c r="R17" s="17"/>
      <c r="S17" s="17"/>
      <c r="T17" s="17"/>
      <c r="U17" s="17"/>
      <c r="V17" s="17"/>
    </row>
    <row r="18" spans="1:22" ht="16.5" x14ac:dyDescent="0.25">
      <c r="A18" s="138"/>
      <c r="B18" s="14"/>
      <c r="C18" s="17"/>
      <c r="D18" s="17"/>
      <c r="E18" s="17"/>
      <c r="F18" s="17"/>
      <c r="G18" s="17"/>
      <c r="H18" s="17"/>
      <c r="I18" s="17"/>
      <c r="J18" s="17"/>
      <c r="K18" s="13"/>
      <c r="L18" s="13"/>
      <c r="M18" s="13"/>
      <c r="N18" s="3"/>
      <c r="O18" s="1">
        <v>150766</v>
      </c>
      <c r="P18" s="13"/>
      <c r="Q18" s="13"/>
      <c r="R18" s="17"/>
      <c r="S18" s="17"/>
      <c r="T18" s="17"/>
      <c r="U18" s="17"/>
      <c r="V18" s="17"/>
    </row>
    <row r="19" spans="1:22" ht="16.5" x14ac:dyDescent="0.25">
      <c r="A19" s="138"/>
      <c r="B19" s="14"/>
      <c r="C19" s="17"/>
      <c r="D19" s="17"/>
      <c r="E19" s="17"/>
      <c r="F19" s="17"/>
      <c r="G19" s="17"/>
      <c r="H19" s="17"/>
      <c r="I19" s="17"/>
      <c r="J19" s="17"/>
      <c r="K19" s="13"/>
      <c r="L19" s="13"/>
      <c r="M19" s="13"/>
      <c r="N19" s="3"/>
      <c r="O19" s="1">
        <v>212675</v>
      </c>
      <c r="P19" s="13"/>
      <c r="Q19" s="13"/>
      <c r="R19" s="17"/>
      <c r="S19" s="17"/>
      <c r="T19" s="17"/>
      <c r="U19" s="17"/>
      <c r="V19" s="17"/>
    </row>
    <row r="20" spans="1:22" ht="16.5" x14ac:dyDescent="0.25">
      <c r="A20" s="138"/>
      <c r="B20" s="14"/>
      <c r="C20" s="17"/>
      <c r="D20" s="17"/>
      <c r="E20" s="17"/>
      <c r="F20" s="17"/>
      <c r="G20" s="17"/>
      <c r="H20" s="17"/>
      <c r="I20" s="17"/>
      <c r="J20" s="17"/>
      <c r="K20" s="13"/>
      <c r="L20" s="13"/>
      <c r="M20" s="13"/>
      <c r="N20" s="3"/>
      <c r="O20" s="1">
        <v>282430</v>
      </c>
      <c r="P20" s="13"/>
      <c r="Q20" s="13"/>
      <c r="R20" s="17"/>
      <c r="S20" s="17"/>
      <c r="T20" s="17"/>
      <c r="U20" s="17"/>
      <c r="V20" s="17"/>
    </row>
    <row r="21" spans="1:22" x14ac:dyDescent="0.25">
      <c r="A21" s="49"/>
      <c r="B21" s="7"/>
      <c r="C21" s="7"/>
      <c r="D21" s="7"/>
      <c r="E21" s="7"/>
      <c r="F21" s="7"/>
      <c r="G21" s="7"/>
      <c r="H21" s="7"/>
      <c r="I21" s="7"/>
      <c r="J21" s="7"/>
      <c r="N21" s="3"/>
      <c r="O21" s="7"/>
      <c r="R21" s="7"/>
      <c r="S21" s="7"/>
      <c r="T21" s="7"/>
      <c r="U21" s="7"/>
      <c r="V21" s="7"/>
    </row>
    <row r="22" spans="1:22" x14ac:dyDescent="0.25">
      <c r="A22" s="51" t="str">
        <f t="shared" ref="A22" si="0">A4</f>
        <v>Group names</v>
      </c>
      <c r="B22" s="3" t="str">
        <f t="shared" ref="B22:V22" si="1">B4</f>
        <v>Solvent control</v>
      </c>
      <c r="C22" s="3" t="str">
        <f t="shared" si="1"/>
        <v>EE2-33.8ng/L</v>
      </c>
      <c r="D22" s="3" t="str">
        <f t="shared" si="1"/>
        <v>EE2-50.6ng/L</v>
      </c>
      <c r="E22" s="3" t="str">
        <f t="shared" si="1"/>
        <v>EE2-76ng/L</v>
      </c>
      <c r="F22" s="3" t="str">
        <f t="shared" si="1"/>
        <v>EE2-114ng/L</v>
      </c>
      <c r="G22" s="3" t="str">
        <f t="shared" si="1"/>
        <v>EE2-170.9ng/L</v>
      </c>
      <c r="H22" s="3" t="str">
        <f t="shared" si="1"/>
        <v>EE2-488ng/L</v>
      </c>
      <c r="I22" s="3" t="str">
        <f t="shared" si="1"/>
        <v>Dutasteride-0.01mg/L</v>
      </c>
      <c r="J22" s="3" t="str">
        <f t="shared" si="1"/>
        <v>Dutasteride-0.1mg/L</v>
      </c>
      <c r="K22" s="3" t="str">
        <f t="shared" si="1"/>
        <v>Dutasteride-0.25mg/L</v>
      </c>
      <c r="L22" s="3" t="str">
        <f t="shared" si="1"/>
        <v>Dutasteride-0.5mg/L</v>
      </c>
      <c r="M22" s="3" t="str">
        <f t="shared" si="1"/>
        <v>Dutasteride-1.0mg/L</v>
      </c>
      <c r="N22" s="3" t="s">
        <v>11</v>
      </c>
      <c r="O22" s="3" t="str">
        <f t="shared" si="1"/>
        <v>Testo -30µg/L</v>
      </c>
      <c r="P22" s="3" t="str">
        <f t="shared" si="1"/>
        <v>Testo 30µg/L + EE2 -64ng/L</v>
      </c>
      <c r="Q22" s="3" t="str">
        <f t="shared" si="1"/>
        <v>Testo 30µg/L + FAD-10mg/L</v>
      </c>
      <c r="R22" s="3" t="str">
        <f t="shared" si="1"/>
        <v>Dutasteride-0.01mg/L + Testostérone</v>
      </c>
      <c r="S22" s="3" t="str">
        <f t="shared" si="1"/>
        <v>Dutasteride-0.1mg/L + Testostérone</v>
      </c>
      <c r="T22" s="3" t="str">
        <f t="shared" si="1"/>
        <v>Dutasteride-0.25mg/L + Testostérone</v>
      </c>
      <c r="U22" s="3" t="str">
        <f t="shared" si="1"/>
        <v>Dutasteride-0.5mg/L + Testostérone</v>
      </c>
      <c r="V22" s="3" t="str">
        <f t="shared" si="1"/>
        <v>Dutasteride-1.0mg/L + Testostérone</v>
      </c>
    </row>
    <row r="23" spans="1:22" x14ac:dyDescent="0.25">
      <c r="A23" s="5" t="s">
        <v>0</v>
      </c>
      <c r="B23" s="5">
        <f t="shared" ref="B23:J23" si="2">AVERAGE(B5:B20)</f>
        <v>13235</v>
      </c>
      <c r="C23" s="5">
        <f t="shared" si="2"/>
        <v>24758.125</v>
      </c>
      <c r="D23" s="5">
        <f t="shared" si="2"/>
        <v>13391.125</v>
      </c>
      <c r="E23" s="5">
        <f t="shared" si="2"/>
        <v>80051.75</v>
      </c>
      <c r="F23" s="5">
        <f t="shared" si="2"/>
        <v>209306.75</v>
      </c>
      <c r="G23" s="5">
        <f t="shared" si="2"/>
        <v>287604.375</v>
      </c>
      <c r="H23" s="5">
        <f t="shared" si="2"/>
        <v>342429.625</v>
      </c>
      <c r="I23" s="5">
        <f t="shared" si="2"/>
        <v>9066.875</v>
      </c>
      <c r="J23" s="5">
        <f t="shared" si="2"/>
        <v>32983.125</v>
      </c>
      <c r="K23" s="5"/>
      <c r="L23" s="5">
        <f>AVERAGE(L5:L20)</f>
        <v>13577</v>
      </c>
      <c r="M23" s="5"/>
      <c r="N23" s="5" t="s">
        <v>0</v>
      </c>
      <c r="O23" s="5">
        <f>AVERAGE(O5:O20)</f>
        <v>234878.6875</v>
      </c>
      <c r="P23" s="5">
        <f>AVERAGE(P5:P20)</f>
        <v>309818.125</v>
      </c>
      <c r="Q23" s="5">
        <f>AVERAGE(Q5:Q20)</f>
        <v>15364</v>
      </c>
      <c r="R23" s="5">
        <f>AVERAGE(R5:R20)</f>
        <v>311966.5</v>
      </c>
      <c r="S23" s="5">
        <f>AVERAGE(S5:S20)</f>
        <v>325926.57142857142</v>
      </c>
      <c r="T23" s="5">
        <f t="shared" ref="T23:V23" si="3">AVERAGE(T5:T20)</f>
        <v>318338.375</v>
      </c>
      <c r="U23" s="5">
        <f t="shared" si="3"/>
        <v>297439.25</v>
      </c>
      <c r="V23" s="5">
        <f t="shared" si="3"/>
        <v>274170</v>
      </c>
    </row>
    <row r="24" spans="1:22" x14ac:dyDescent="0.25">
      <c r="A24" s="3" t="s">
        <v>1</v>
      </c>
      <c r="B24" s="3">
        <f t="shared" ref="B24:J24" si="4">STDEV(B5:B20)</f>
        <v>7641.4468525273405</v>
      </c>
      <c r="C24" s="3">
        <f t="shared" si="4"/>
        <v>11394.31484102614</v>
      </c>
      <c r="D24" s="3">
        <f t="shared" si="4"/>
        <v>12718.103760697077</v>
      </c>
      <c r="E24" s="3">
        <f t="shared" si="4"/>
        <v>35358.699744799116</v>
      </c>
      <c r="F24" s="3">
        <f t="shared" si="4"/>
        <v>96822.364257954367</v>
      </c>
      <c r="G24" s="3">
        <f t="shared" si="4"/>
        <v>29250.331338477419</v>
      </c>
      <c r="H24" s="3">
        <f t="shared" si="4"/>
        <v>90564.093384484178</v>
      </c>
      <c r="I24" s="3">
        <f t="shared" si="4"/>
        <v>9738.0295665645681</v>
      </c>
      <c r="J24" s="3">
        <f t="shared" si="4"/>
        <v>33841.962470271807</v>
      </c>
      <c r="K24" s="3"/>
      <c r="L24" s="3">
        <f>STDEV(L5:L20)</f>
        <v>12915.026453155808</v>
      </c>
      <c r="M24" s="3"/>
      <c r="N24" s="3" t="s">
        <v>1</v>
      </c>
      <c r="O24" s="3">
        <f>STDEV(O5:O20)</f>
        <v>70123.920196291321</v>
      </c>
      <c r="P24" s="3">
        <f>STDEV(P5:P20)</f>
        <v>42659.238130084857</v>
      </c>
      <c r="Q24" s="3">
        <f>STDEV(Q5:Q20)</f>
        <v>20550.544504430323</v>
      </c>
      <c r="R24" s="3">
        <f>STDEV(R5:R20)</f>
        <v>71730.813360985747</v>
      </c>
      <c r="S24" s="3">
        <f>STDEV(S5:S20)</f>
        <v>45070.237976803553</v>
      </c>
      <c r="T24" s="3">
        <f t="shared" ref="T24:V24" si="5">STDEV(T5:T20)</f>
        <v>54453.78152403979</v>
      </c>
      <c r="U24" s="3">
        <f t="shared" si="5"/>
        <v>78331.718379046724</v>
      </c>
      <c r="V24" s="3">
        <f t="shared" si="5"/>
        <v>89436.944065158474</v>
      </c>
    </row>
    <row r="25" spans="1:22" ht="15.75" thickBot="1" x14ac:dyDescent="0.3"/>
    <row r="26" spans="1:22" ht="15.75" thickBot="1" x14ac:dyDescent="0.3">
      <c r="B26" s="141" t="s">
        <v>41</v>
      </c>
      <c r="C26" s="142"/>
      <c r="D26" s="142"/>
      <c r="E26" s="142"/>
      <c r="F26" s="142"/>
      <c r="G26" s="142"/>
      <c r="H26" s="142"/>
      <c r="I26" s="142"/>
      <c r="J26" s="142"/>
      <c r="K26" s="142"/>
      <c r="L26" s="142"/>
      <c r="M26" s="142"/>
      <c r="O26" s="141" t="s">
        <v>42</v>
      </c>
      <c r="P26" s="142"/>
      <c r="Q26" s="142"/>
      <c r="R26" s="142"/>
      <c r="S26" s="142"/>
      <c r="T26" s="142"/>
      <c r="U26" s="142"/>
      <c r="V26" s="142"/>
    </row>
    <row r="27" spans="1:22" x14ac:dyDescent="0.25">
      <c r="A27" s="19" t="str">
        <f>A4</f>
        <v>Group names</v>
      </c>
      <c r="B27" s="20" t="str">
        <f>B4</f>
        <v>Solvent control</v>
      </c>
      <c r="C27" s="20" t="str">
        <f t="shared" ref="C27:M27" si="6">C4</f>
        <v>EE2-33.8ng/L</v>
      </c>
      <c r="D27" s="20" t="str">
        <f t="shared" si="6"/>
        <v>EE2-50.6ng/L</v>
      </c>
      <c r="E27" s="20" t="str">
        <f t="shared" si="6"/>
        <v>EE2-76ng/L</v>
      </c>
      <c r="F27" s="20" t="str">
        <f t="shared" si="6"/>
        <v>EE2-114ng/L</v>
      </c>
      <c r="G27" s="20" t="str">
        <f t="shared" si="6"/>
        <v>EE2-170.9ng/L</v>
      </c>
      <c r="H27" s="20" t="str">
        <f t="shared" si="6"/>
        <v>EE2-488ng/L</v>
      </c>
      <c r="I27" s="20" t="str">
        <f t="shared" si="6"/>
        <v>Dutasteride-0.01mg/L</v>
      </c>
      <c r="J27" s="20" t="str">
        <f t="shared" si="6"/>
        <v>Dutasteride-0.1mg/L</v>
      </c>
      <c r="K27" s="20" t="str">
        <f t="shared" si="6"/>
        <v>Dutasteride-0.25mg/L</v>
      </c>
      <c r="L27" s="20" t="str">
        <f t="shared" si="6"/>
        <v>Dutasteride-0.5mg/L</v>
      </c>
      <c r="M27" s="20" t="str">
        <f t="shared" si="6"/>
        <v>Dutasteride-1.0mg/L</v>
      </c>
      <c r="N27" s="3"/>
      <c r="O27" s="21" t="str">
        <f>O4</f>
        <v>Testo -30µg/L</v>
      </c>
      <c r="P27" s="21" t="str">
        <f t="shared" ref="P27:V27" si="7">P4</f>
        <v>Testo 30µg/L + EE2 -64ng/L</v>
      </c>
      <c r="Q27" s="21" t="str">
        <f t="shared" si="7"/>
        <v>Testo 30µg/L + FAD-10mg/L</v>
      </c>
      <c r="R27" s="21" t="str">
        <f t="shared" si="7"/>
        <v>Dutasteride-0.01mg/L + Testostérone</v>
      </c>
      <c r="S27" s="21" t="str">
        <f t="shared" si="7"/>
        <v>Dutasteride-0.1mg/L + Testostérone</v>
      </c>
      <c r="T27" s="21" t="str">
        <f t="shared" si="7"/>
        <v>Dutasteride-0.25mg/L + Testostérone</v>
      </c>
      <c r="U27" s="21" t="str">
        <f t="shared" si="7"/>
        <v>Dutasteride-0.5mg/L + Testostérone</v>
      </c>
      <c r="V27" s="21" t="str">
        <f t="shared" si="7"/>
        <v>Dutasteride-1.0mg/L + Testostérone</v>
      </c>
    </row>
    <row r="28" spans="1:22" ht="14.45" customHeight="1" x14ac:dyDescent="0.25">
      <c r="A28" s="139" t="s">
        <v>35</v>
      </c>
      <c r="B28" s="11">
        <f t="shared" ref="B28:M28" si="8">IF(B5="","",(B5/$O$23))</f>
        <v>4.3588458829411675E-2</v>
      </c>
      <c r="C28" s="11">
        <f t="shared" si="8"/>
        <v>5.6842109184555109E-2</v>
      </c>
      <c r="D28" s="11">
        <f t="shared" si="8"/>
        <v>0</v>
      </c>
      <c r="E28" s="11">
        <f t="shared" si="8"/>
        <v>0.19691016027156572</v>
      </c>
      <c r="F28" s="11">
        <f t="shared" si="8"/>
        <v>0.1456241107444029</v>
      </c>
      <c r="G28" s="11">
        <f t="shared" si="8"/>
        <v>1.4129038421163691</v>
      </c>
      <c r="H28" s="11">
        <f t="shared" si="8"/>
        <v>1.4536142194680819</v>
      </c>
      <c r="I28" s="11">
        <f t="shared" si="8"/>
        <v>0.10603346035812636</v>
      </c>
      <c r="J28" s="11">
        <f t="shared" si="8"/>
        <v>0.43760888267054882</v>
      </c>
      <c r="K28" s="11">
        <f t="shared" si="8"/>
        <v>8.3298319691095857E-2</v>
      </c>
      <c r="L28" s="11">
        <f t="shared" si="8"/>
        <v>7.2790767787307226E-2</v>
      </c>
      <c r="M28" s="11">
        <f t="shared" si="8"/>
        <v>7.1619950618124942E-2</v>
      </c>
      <c r="N28" s="6"/>
      <c r="O28" s="11">
        <f t="shared" ref="O28:V37" si="9">IF(O5="","",(O5/$O$23))</f>
        <v>1.7326901999143707</v>
      </c>
      <c r="P28" s="11">
        <f t="shared" si="9"/>
        <v>1.3058868953361296</v>
      </c>
      <c r="Q28" s="11">
        <f t="shared" si="9"/>
        <v>6.9980806581269747E-2</v>
      </c>
      <c r="R28" s="11">
        <f t="shared" si="9"/>
        <v>1.1547322700362075</v>
      </c>
      <c r="S28" s="11">
        <f t="shared" si="9"/>
        <v>1.2794136547616735</v>
      </c>
      <c r="T28" s="11">
        <f t="shared" si="9"/>
        <v>1.3728746674812715</v>
      </c>
      <c r="U28" s="11">
        <f t="shared" si="9"/>
        <v>1.1948806551467126</v>
      </c>
      <c r="V28" s="11">
        <f t="shared" si="9"/>
        <v>1.1738442637542412</v>
      </c>
    </row>
    <row r="29" spans="1:22" x14ac:dyDescent="0.25">
      <c r="A29" s="140"/>
      <c r="B29" s="11">
        <f t="shared" ref="B29:M29" si="10">IF(B6="","",(B6/$O$23))</f>
        <v>9.4129442885276679E-2</v>
      </c>
      <c r="C29" s="11">
        <f t="shared" si="10"/>
        <v>0.11762242157454154</v>
      </c>
      <c r="D29" s="11">
        <f t="shared" si="10"/>
        <v>7.6988679528448067E-2</v>
      </c>
      <c r="E29" s="11">
        <f t="shared" si="10"/>
        <v>0.44029963340117861</v>
      </c>
      <c r="F29" s="11">
        <f t="shared" si="10"/>
        <v>0.8265671188238396</v>
      </c>
      <c r="G29" s="11">
        <f t="shared" si="10"/>
        <v>1.0978561007158216</v>
      </c>
      <c r="H29" s="11">
        <f t="shared" si="10"/>
        <v>0.85852404126704773</v>
      </c>
      <c r="I29" s="11">
        <f t="shared" si="10"/>
        <v>6.0243865250652002E-3</v>
      </c>
      <c r="J29" s="11">
        <f t="shared" si="10"/>
        <v>6.790739581257239E-3</v>
      </c>
      <c r="K29" s="11">
        <f t="shared" si="10"/>
        <v>0</v>
      </c>
      <c r="L29" s="11">
        <f t="shared" si="10"/>
        <v>2.1921954924071178E-2</v>
      </c>
      <c r="M29" s="11">
        <f t="shared" si="10"/>
        <v>6.923999862695078E-2</v>
      </c>
      <c r="N29" s="6"/>
      <c r="O29" s="11">
        <f t="shared" si="9"/>
        <v>0.78154387677255732</v>
      </c>
      <c r="P29" s="11">
        <f t="shared" si="9"/>
        <v>1.2364042182413848</v>
      </c>
      <c r="Q29" s="11">
        <f t="shared" si="9"/>
        <v>4.6917837106868199E-2</v>
      </c>
      <c r="R29" s="11">
        <f t="shared" si="9"/>
        <v>1.120978675427927</v>
      </c>
      <c r="S29" s="11">
        <f t="shared" si="9"/>
        <v>1.1945698564072571</v>
      </c>
      <c r="T29" s="11">
        <f t="shared" si="9"/>
        <v>1.6971612207259119</v>
      </c>
      <c r="U29" s="11">
        <f t="shared" si="9"/>
        <v>1.1487121410281211</v>
      </c>
      <c r="V29" s="11">
        <f t="shared" si="9"/>
        <v>0.98338424170562522</v>
      </c>
    </row>
    <row r="30" spans="1:22" x14ac:dyDescent="0.25">
      <c r="A30" s="140"/>
      <c r="B30" s="11">
        <f t="shared" ref="B30:M30" si="11">IF(B7="","",(B7/$O$23))</f>
        <v>7.0870627629848276E-2</v>
      </c>
      <c r="C30" s="11">
        <f t="shared" si="11"/>
        <v>0.13092716213343111</v>
      </c>
      <c r="D30" s="11">
        <f t="shared" si="11"/>
        <v>0.16177287264516071</v>
      </c>
      <c r="E30" s="11">
        <f t="shared" si="11"/>
        <v>0.4125363651821326</v>
      </c>
      <c r="F30" s="11">
        <f t="shared" si="11"/>
        <v>1.1012791443668128</v>
      </c>
      <c r="G30" s="11">
        <f t="shared" si="11"/>
        <v>1.2050646357601091</v>
      </c>
      <c r="H30" s="11">
        <f t="shared" si="11"/>
        <v>1.6312080252066292</v>
      </c>
      <c r="I30" s="11">
        <f t="shared" si="11"/>
        <v>0</v>
      </c>
      <c r="J30" s="11">
        <f t="shared" si="11"/>
        <v>5.3116781828066034E-2</v>
      </c>
      <c r="K30" s="11">
        <f t="shared" si="11"/>
        <v>3.6716826425556383E-2</v>
      </c>
      <c r="L30" s="11">
        <f t="shared" si="11"/>
        <v>3.0875513130581504E-2</v>
      </c>
      <c r="M30" s="11">
        <f t="shared" si="11"/>
        <v>4.0744437487543438E-2</v>
      </c>
      <c r="N30" s="6"/>
      <c r="O30" s="11">
        <f t="shared" si="9"/>
        <v>0.71820053916130644</v>
      </c>
      <c r="P30" s="11">
        <f t="shared" si="9"/>
        <v>1.5075527020730648</v>
      </c>
      <c r="Q30" s="11">
        <f t="shared" si="9"/>
        <v>4.0131355042589807E-2</v>
      </c>
      <c r="R30" s="11">
        <f t="shared" si="9"/>
        <v>1.3756675986193936</v>
      </c>
      <c r="S30" s="11">
        <f t="shared" si="9"/>
        <v>1.1246742001655643</v>
      </c>
      <c r="T30" s="11">
        <f t="shared" si="9"/>
        <v>1.5622362501493456</v>
      </c>
      <c r="U30" s="11">
        <f t="shared" si="9"/>
        <v>1.5356012239296934</v>
      </c>
      <c r="V30" s="11">
        <f t="shared" si="9"/>
        <v>1.7852322169502928</v>
      </c>
    </row>
    <row r="31" spans="1:22" x14ac:dyDescent="0.25">
      <c r="A31" s="140"/>
      <c r="B31" s="11">
        <f t="shared" ref="B31:M31" si="12">IF(B8="","",(B8/$O$23))</f>
        <v>3.6503950576614153E-2</v>
      </c>
      <c r="C31" s="11">
        <f t="shared" si="12"/>
        <v>4.2404869109292857E-2</v>
      </c>
      <c r="D31" s="11">
        <f t="shared" si="12"/>
        <v>1.5344091191756171E-2</v>
      </c>
      <c r="E31" s="11">
        <f t="shared" si="12"/>
        <v>0.53910382992922679</v>
      </c>
      <c r="F31" s="11">
        <f t="shared" si="12"/>
        <v>1.3814024739898974</v>
      </c>
      <c r="G31" s="11">
        <f t="shared" si="12"/>
        <v>1.2923096736905939</v>
      </c>
      <c r="H31" s="11">
        <f t="shared" si="12"/>
        <v>1.8967152990413403</v>
      </c>
      <c r="I31" s="11">
        <f t="shared" si="12"/>
        <v>1.4735266263781382E-2</v>
      </c>
      <c r="J31" s="11">
        <f t="shared" si="12"/>
        <v>0.12486020043857747</v>
      </c>
      <c r="K31" s="11">
        <f t="shared" si="12"/>
        <v>0.26477498091434964</v>
      </c>
      <c r="L31" s="11">
        <f t="shared" si="12"/>
        <v>0.15988679262353253</v>
      </c>
      <c r="M31" s="11">
        <f t="shared" si="12"/>
        <v>4.8620843898406069E-3</v>
      </c>
      <c r="N31" s="6"/>
      <c r="O31" s="11">
        <f t="shared" si="9"/>
        <v>0.95965709958252388</v>
      </c>
      <c r="P31" s="11">
        <f t="shared" si="9"/>
        <v>1.229464465565868</v>
      </c>
      <c r="Q31" s="11">
        <f t="shared" si="9"/>
        <v>3.439647967208604E-2</v>
      </c>
      <c r="R31" s="11">
        <f t="shared" si="9"/>
        <v>1.5209894256582985</v>
      </c>
      <c r="S31" s="11">
        <f t="shared" si="9"/>
        <v>1.5267455886136967</v>
      </c>
      <c r="T31" s="11">
        <f t="shared" si="9"/>
        <v>1.2673435941266489</v>
      </c>
      <c r="U31" s="11">
        <f t="shared" si="9"/>
        <v>1.6794456925769392</v>
      </c>
      <c r="V31" s="11">
        <f t="shared" si="9"/>
        <v>1.4112050928418101</v>
      </c>
    </row>
    <row r="32" spans="1:22" x14ac:dyDescent="0.25">
      <c r="A32" s="140"/>
      <c r="B32" s="11">
        <f t="shared" ref="B32:M32" si="13">IF(B9="","",(B9/$O$23))</f>
        <v>0.11072950158579203</v>
      </c>
      <c r="C32" s="11">
        <f t="shared" si="13"/>
        <v>0.11877620867580845</v>
      </c>
      <c r="D32" s="11">
        <f t="shared" si="13"/>
        <v>9.5334320190289715E-2</v>
      </c>
      <c r="E32" s="11">
        <f t="shared" si="13"/>
        <v>6.2342821121222421E-2</v>
      </c>
      <c r="F32" s="11">
        <f t="shared" si="13"/>
        <v>1.2737341271118947</v>
      </c>
      <c r="G32" s="11">
        <f t="shared" si="13"/>
        <v>1.265781085395413</v>
      </c>
      <c r="H32" s="11">
        <f t="shared" si="13"/>
        <v>1.5255875439954509</v>
      </c>
      <c r="I32" s="11">
        <f t="shared" si="13"/>
        <v>8.244255877834808E-2</v>
      </c>
      <c r="J32" s="11">
        <f t="shared" si="13"/>
        <v>8.1914626672971336E-2</v>
      </c>
      <c r="K32" s="11">
        <f t="shared" si="13"/>
        <v>0.10295953309940052</v>
      </c>
      <c r="L32" s="11">
        <f t="shared" si="13"/>
        <v>0</v>
      </c>
      <c r="M32" s="11">
        <f t="shared" si="13"/>
        <v>7.2377788640359288E-4</v>
      </c>
      <c r="N32" s="6"/>
      <c r="O32" s="11">
        <f t="shared" si="9"/>
        <v>0.81189145779776206</v>
      </c>
      <c r="P32" s="11">
        <f t="shared" si="9"/>
        <v>1.4013319109678692</v>
      </c>
      <c r="Q32" s="11">
        <f t="shared" si="9"/>
        <v>4.3098844376844539E-2</v>
      </c>
      <c r="R32" s="11">
        <f t="shared" si="9"/>
        <v>0.87121144186400479</v>
      </c>
      <c r="S32" s="11">
        <f t="shared" si="9"/>
        <v>1.5713473364840733</v>
      </c>
      <c r="T32" s="11">
        <f t="shared" si="9"/>
        <v>1.3488707867545453</v>
      </c>
      <c r="U32" s="11">
        <f t="shared" si="9"/>
        <v>0.78615476766064607</v>
      </c>
      <c r="V32" s="11">
        <f t="shared" si="9"/>
        <v>0.86485496901458969</v>
      </c>
    </row>
    <row r="33" spans="1:22" x14ac:dyDescent="0.25">
      <c r="A33" s="140"/>
      <c r="B33" s="11">
        <f t="shared" ref="B33:M33" si="14">IF(B10="","",(B10/$O$23))</f>
        <v>1.5293000988010034E-2</v>
      </c>
      <c r="C33" s="11">
        <f t="shared" si="14"/>
        <v>0.12043664029755786</v>
      </c>
      <c r="D33" s="11">
        <f t="shared" si="14"/>
        <v>7.4549122299570067E-3</v>
      </c>
      <c r="E33" s="11">
        <f t="shared" si="14"/>
        <v>0.37215807415476981</v>
      </c>
      <c r="F33" s="11">
        <f t="shared" si="14"/>
        <v>0.71933303867767906</v>
      </c>
      <c r="G33" s="11">
        <f t="shared" si="14"/>
        <v>1.13567136652192</v>
      </c>
      <c r="H33" s="11">
        <f t="shared" si="14"/>
        <v>1.9727375222155905</v>
      </c>
      <c r="I33" s="11">
        <f t="shared" si="14"/>
        <v>3.1058586360671825E-2</v>
      </c>
      <c r="J33" s="11">
        <f t="shared" si="14"/>
        <v>0.16422520242497524</v>
      </c>
      <c r="K33" s="11">
        <f t="shared" si="14"/>
        <v>1.8779907393683813E-2</v>
      </c>
      <c r="L33" s="11">
        <f t="shared" si="14"/>
        <v>8.7440883711511708E-2</v>
      </c>
      <c r="M33" s="11">
        <f t="shared" si="14"/>
        <v>0.15560373054281479</v>
      </c>
      <c r="N33" s="6"/>
      <c r="O33" s="11">
        <f t="shared" si="9"/>
        <v>0.78037731712035385</v>
      </c>
      <c r="P33" s="11">
        <f t="shared" si="9"/>
        <v>0.95453530665697373</v>
      </c>
      <c r="Q33" s="11">
        <f t="shared" si="9"/>
        <v>1.3291968007953042E-2</v>
      </c>
      <c r="R33" s="11">
        <f t="shared" si="9"/>
        <v>1.5949126929619786</v>
      </c>
      <c r="S33" s="11">
        <f t="shared" si="9"/>
        <v>1.609699049429506</v>
      </c>
      <c r="T33" s="11">
        <f t="shared" si="9"/>
        <v>0.91660508789244666</v>
      </c>
      <c r="U33" s="11">
        <f t="shared" si="9"/>
        <v>1.2089304611769001</v>
      </c>
      <c r="V33" s="11">
        <f t="shared" si="9"/>
        <v>1.305218465170451</v>
      </c>
    </row>
    <row r="34" spans="1:22" x14ac:dyDescent="0.25">
      <c r="A34" s="140"/>
      <c r="B34" s="11">
        <f t="shared" ref="B34:M34" si="15">IF(B11="","",(B11/$O$23))</f>
        <v>3.6235727006946938E-2</v>
      </c>
      <c r="C34" s="11">
        <f t="shared" si="15"/>
        <v>6.5246447700794477E-2</v>
      </c>
      <c r="D34" s="11">
        <f t="shared" si="15"/>
        <v>5.7634007342620218E-2</v>
      </c>
      <c r="E34" s="11">
        <f t="shared" si="15"/>
        <v>0.30259024672044799</v>
      </c>
      <c r="F34" s="11">
        <f t="shared" si="15"/>
        <v>1.1268923665115422</v>
      </c>
      <c r="G34" s="11">
        <f t="shared" si="15"/>
        <v>1.3354085180674384</v>
      </c>
      <c r="H34" s="11">
        <f t="shared" si="15"/>
        <v>1.0770921904099962</v>
      </c>
      <c r="I34" s="11">
        <f t="shared" si="15"/>
        <v>6.8524735774504866E-2</v>
      </c>
      <c r="J34" s="11">
        <f t="shared" si="15"/>
        <v>0.24352997118991479</v>
      </c>
      <c r="K34" s="11">
        <f t="shared" si="15"/>
        <v>0</v>
      </c>
      <c r="L34" s="11">
        <f t="shared" si="15"/>
        <v>3.4060135830757312E-4</v>
      </c>
      <c r="M34" s="11">
        <f t="shared" si="15"/>
        <v>5.5969318203891956E-2</v>
      </c>
      <c r="N34" s="6"/>
      <c r="O34" s="11">
        <f t="shared" si="9"/>
        <v>0.99264859865159116</v>
      </c>
      <c r="P34" s="11">
        <f t="shared" si="9"/>
        <v>1.4291845870434712</v>
      </c>
      <c r="Q34" s="11">
        <f t="shared" si="9"/>
        <v>0.27548263611614399</v>
      </c>
      <c r="R34" s="11">
        <f t="shared" si="9"/>
        <v>1.1728267171962974</v>
      </c>
      <c r="S34" s="11">
        <f t="shared" si="9"/>
        <v>1.407015696134627</v>
      </c>
      <c r="T34" s="11">
        <f t="shared" si="9"/>
        <v>1.4267109696787623</v>
      </c>
      <c r="U34" s="11">
        <f t="shared" si="9"/>
        <v>0.91332254230175736</v>
      </c>
      <c r="V34" s="11">
        <f t="shared" si="9"/>
        <v>1.2906833022046753</v>
      </c>
    </row>
    <row r="35" spans="1:22" x14ac:dyDescent="0.25">
      <c r="A35" s="140"/>
      <c r="B35" s="11">
        <f t="shared" ref="B35:M35" si="16">IF(B12="","",(B12/$O$23))</f>
        <v>4.3435188218173264E-2</v>
      </c>
      <c r="C35" s="11">
        <f t="shared" si="16"/>
        <v>0.191009241738887</v>
      </c>
      <c r="D35" s="11">
        <f t="shared" si="16"/>
        <v>4.1574653298418147E-2</v>
      </c>
      <c r="E35" s="11">
        <f t="shared" si="16"/>
        <v>0.40063234770928291</v>
      </c>
      <c r="F35" s="11">
        <f t="shared" si="16"/>
        <v>0.55418395506829454</v>
      </c>
      <c r="G35" s="11">
        <f t="shared" si="16"/>
        <v>1.0508488557523976</v>
      </c>
      <c r="H35" s="11">
        <f t="shared" si="16"/>
        <v>1.2477206983711537</v>
      </c>
      <c r="I35" s="11">
        <f t="shared" si="16"/>
        <v>0</v>
      </c>
      <c r="J35" s="11">
        <f t="shared" si="16"/>
        <v>1.1363312816536408E-2</v>
      </c>
      <c r="K35" s="11">
        <f t="shared" si="16"/>
        <v>4.6389905001491462E-2</v>
      </c>
      <c r="L35" s="11">
        <f t="shared" si="16"/>
        <v>8.9177950638880343E-2</v>
      </c>
      <c r="M35" s="11">
        <f t="shared" si="16"/>
        <v>0</v>
      </c>
      <c r="N35" s="6"/>
      <c r="O35" s="11">
        <f t="shared" si="9"/>
        <v>1.3182634971936311</v>
      </c>
      <c r="P35" s="11">
        <f t="shared" si="9"/>
        <v>1.488087334445787</v>
      </c>
      <c r="Q35" s="11">
        <f t="shared" si="9"/>
        <v>0</v>
      </c>
      <c r="R35" s="11">
        <f t="shared" si="9"/>
        <v>1.814302542881844</v>
      </c>
      <c r="S35" s="11" t="str">
        <f t="shared" si="9"/>
        <v/>
      </c>
      <c r="T35" s="11">
        <f t="shared" si="9"/>
        <v>1.2508457158336259</v>
      </c>
      <c r="U35" s="11">
        <f t="shared" si="9"/>
        <v>1.6637737725778121</v>
      </c>
      <c r="V35" s="11">
        <f t="shared" si="9"/>
        <v>0.52384488907704752</v>
      </c>
    </row>
    <row r="36" spans="1:22" x14ac:dyDescent="0.25">
      <c r="A36" s="140"/>
      <c r="B36" s="11" t="str">
        <f t="shared" ref="B36:M36" si="17">IF(B13="","",(B13/$O$23))</f>
        <v/>
      </c>
      <c r="C36" s="11" t="str">
        <f t="shared" si="17"/>
        <v/>
      </c>
      <c r="D36" s="11" t="str">
        <f t="shared" si="17"/>
        <v/>
      </c>
      <c r="E36" s="11" t="str">
        <f t="shared" si="17"/>
        <v/>
      </c>
      <c r="F36" s="11" t="str">
        <f t="shared" si="17"/>
        <v/>
      </c>
      <c r="G36" s="11" t="str">
        <f t="shared" si="17"/>
        <v/>
      </c>
      <c r="H36" s="11" t="str">
        <f t="shared" si="17"/>
        <v/>
      </c>
      <c r="I36" s="11" t="str">
        <f t="shared" si="17"/>
        <v/>
      </c>
      <c r="J36" s="11" t="str">
        <f t="shared" si="17"/>
        <v/>
      </c>
      <c r="K36" s="11" t="str">
        <f t="shared" si="17"/>
        <v/>
      </c>
      <c r="L36" s="11" t="str">
        <f t="shared" si="17"/>
        <v/>
      </c>
      <c r="M36" s="11" t="str">
        <f t="shared" si="17"/>
        <v/>
      </c>
      <c r="N36" s="6"/>
      <c r="O36" s="11">
        <f t="shared" si="9"/>
        <v>1.3001094447958375</v>
      </c>
      <c r="P36" s="11" t="str">
        <f t="shared" si="9"/>
        <v/>
      </c>
      <c r="Q36" s="11" t="str">
        <f t="shared" si="9"/>
        <v/>
      </c>
      <c r="R36" s="11" t="str">
        <f t="shared" si="9"/>
        <v/>
      </c>
      <c r="S36" s="11" t="str">
        <f t="shared" si="9"/>
        <v/>
      </c>
      <c r="T36" s="11" t="str">
        <f t="shared" si="9"/>
        <v/>
      </c>
      <c r="U36" s="11" t="str">
        <f t="shared" si="9"/>
        <v/>
      </c>
      <c r="V36" s="11" t="str">
        <f t="shared" si="9"/>
        <v/>
      </c>
    </row>
    <row r="37" spans="1:22" x14ac:dyDescent="0.25">
      <c r="A37" s="140"/>
      <c r="B37" s="11" t="str">
        <f t="shared" ref="B37:M37" si="18">IF(B14="","",(B14/$O$23))</f>
        <v/>
      </c>
      <c r="C37" s="11" t="str">
        <f t="shared" si="18"/>
        <v/>
      </c>
      <c r="D37" s="11" t="str">
        <f t="shared" si="18"/>
        <v/>
      </c>
      <c r="E37" s="11" t="str">
        <f t="shared" si="18"/>
        <v/>
      </c>
      <c r="F37" s="11" t="str">
        <f t="shared" si="18"/>
        <v/>
      </c>
      <c r="G37" s="11" t="str">
        <f t="shared" si="18"/>
        <v/>
      </c>
      <c r="H37" s="11" t="str">
        <f t="shared" si="18"/>
        <v/>
      </c>
      <c r="I37" s="11" t="str">
        <f t="shared" si="18"/>
        <v/>
      </c>
      <c r="J37" s="11" t="str">
        <f t="shared" si="18"/>
        <v/>
      </c>
      <c r="K37" s="11" t="str">
        <f t="shared" si="18"/>
        <v/>
      </c>
      <c r="L37" s="11" t="str">
        <f t="shared" si="18"/>
        <v/>
      </c>
      <c r="M37" s="11" t="str">
        <f t="shared" si="18"/>
        <v/>
      </c>
      <c r="N37" s="6"/>
      <c r="O37" s="11">
        <f t="shared" si="9"/>
        <v>1.1828233670626247</v>
      </c>
      <c r="P37" s="11" t="str">
        <f t="shared" si="9"/>
        <v/>
      </c>
      <c r="Q37" s="11" t="str">
        <f t="shared" si="9"/>
        <v/>
      </c>
      <c r="R37" s="11" t="str">
        <f t="shared" si="9"/>
        <v/>
      </c>
      <c r="S37" s="11" t="str">
        <f t="shared" si="9"/>
        <v/>
      </c>
      <c r="T37" s="11" t="str">
        <f t="shared" si="9"/>
        <v/>
      </c>
      <c r="U37" s="11" t="str">
        <f t="shared" si="9"/>
        <v/>
      </c>
      <c r="V37" s="11" t="str">
        <f t="shared" si="9"/>
        <v/>
      </c>
    </row>
    <row r="38" spans="1:22" x14ac:dyDescent="0.25">
      <c r="A38" s="140"/>
      <c r="B38" s="11" t="str">
        <f t="shared" ref="B38:M38" si="19">IF(B15="","",(B15/$O$23))</f>
        <v/>
      </c>
      <c r="C38" s="11" t="str">
        <f t="shared" si="19"/>
        <v/>
      </c>
      <c r="D38" s="11" t="str">
        <f t="shared" si="19"/>
        <v/>
      </c>
      <c r="E38" s="11" t="str">
        <f t="shared" si="19"/>
        <v/>
      </c>
      <c r="F38" s="11" t="str">
        <f t="shared" si="19"/>
        <v/>
      </c>
      <c r="G38" s="11" t="str">
        <f t="shared" si="19"/>
        <v/>
      </c>
      <c r="H38" s="11" t="str">
        <f t="shared" si="19"/>
        <v/>
      </c>
      <c r="I38" s="11" t="str">
        <f t="shared" si="19"/>
        <v/>
      </c>
      <c r="J38" s="11" t="str">
        <f t="shared" si="19"/>
        <v/>
      </c>
      <c r="K38" s="11" t="str">
        <f t="shared" si="19"/>
        <v/>
      </c>
      <c r="L38" s="11" t="str">
        <f t="shared" si="19"/>
        <v/>
      </c>
      <c r="M38" s="11" t="str">
        <f t="shared" si="19"/>
        <v/>
      </c>
      <c r="N38" s="6"/>
      <c r="O38" s="11">
        <f t="shared" ref="O38:V43" si="20">IF(O15="","",(O15/$O$23))</f>
        <v>0.57701276110885968</v>
      </c>
      <c r="P38" s="11" t="str">
        <f t="shared" si="20"/>
        <v/>
      </c>
      <c r="Q38" s="11" t="str">
        <f t="shared" si="20"/>
        <v/>
      </c>
      <c r="R38" s="11" t="str">
        <f t="shared" si="20"/>
        <v/>
      </c>
      <c r="S38" s="11" t="str">
        <f t="shared" si="20"/>
        <v/>
      </c>
      <c r="T38" s="11" t="str">
        <f t="shared" si="20"/>
        <v/>
      </c>
      <c r="U38" s="11" t="str">
        <f t="shared" si="20"/>
        <v/>
      </c>
      <c r="V38" s="11" t="str">
        <f t="shared" si="20"/>
        <v/>
      </c>
    </row>
    <row r="39" spans="1:22" x14ac:dyDescent="0.25">
      <c r="A39" s="140"/>
      <c r="B39" s="11" t="str">
        <f t="shared" ref="B39:M39" si="21">IF(B16="","",(B16/$O$23))</f>
        <v/>
      </c>
      <c r="C39" s="11" t="str">
        <f t="shared" si="21"/>
        <v/>
      </c>
      <c r="D39" s="11" t="str">
        <f t="shared" si="21"/>
        <v/>
      </c>
      <c r="E39" s="11" t="str">
        <f t="shared" si="21"/>
        <v/>
      </c>
      <c r="F39" s="11" t="str">
        <f t="shared" si="21"/>
        <v/>
      </c>
      <c r="G39" s="11" t="str">
        <f t="shared" si="21"/>
        <v/>
      </c>
      <c r="H39" s="11" t="str">
        <f t="shared" si="21"/>
        <v/>
      </c>
      <c r="I39" s="11" t="str">
        <f t="shared" si="21"/>
        <v/>
      </c>
      <c r="J39" s="11" t="str">
        <f t="shared" si="21"/>
        <v/>
      </c>
      <c r="K39" s="11" t="str">
        <f t="shared" si="21"/>
        <v/>
      </c>
      <c r="L39" s="11" t="str">
        <f t="shared" si="21"/>
        <v/>
      </c>
      <c r="M39" s="11" t="str">
        <f t="shared" si="21"/>
        <v/>
      </c>
      <c r="N39" s="6"/>
      <c r="O39" s="11">
        <f t="shared" si="20"/>
        <v>1.021318717987131</v>
      </c>
      <c r="P39" s="11" t="str">
        <f t="shared" si="20"/>
        <v/>
      </c>
      <c r="Q39" s="11" t="str">
        <f t="shared" si="20"/>
        <v/>
      </c>
      <c r="R39" s="11" t="str">
        <f t="shared" si="20"/>
        <v/>
      </c>
      <c r="S39" s="11" t="str">
        <f t="shared" si="20"/>
        <v/>
      </c>
      <c r="T39" s="11" t="str">
        <f t="shared" si="20"/>
        <v/>
      </c>
      <c r="U39" s="11" t="str">
        <f t="shared" si="20"/>
        <v/>
      </c>
      <c r="V39" s="11" t="str">
        <f t="shared" si="20"/>
        <v/>
      </c>
    </row>
    <row r="40" spans="1:22" x14ac:dyDescent="0.25">
      <c r="A40" s="140"/>
      <c r="B40" s="11" t="str">
        <f t="shared" ref="B40:M40" si="22">IF(B17="","",(B17/$O$23))</f>
        <v/>
      </c>
      <c r="C40" s="11" t="str">
        <f t="shared" si="22"/>
        <v/>
      </c>
      <c r="D40" s="11" t="str">
        <f t="shared" si="22"/>
        <v/>
      </c>
      <c r="E40" s="11" t="str">
        <f t="shared" si="22"/>
        <v/>
      </c>
      <c r="F40" s="11" t="str">
        <f t="shared" si="22"/>
        <v/>
      </c>
      <c r="G40" s="11" t="str">
        <f t="shared" si="22"/>
        <v/>
      </c>
      <c r="H40" s="11" t="str">
        <f t="shared" si="22"/>
        <v/>
      </c>
      <c r="I40" s="11" t="str">
        <f t="shared" si="22"/>
        <v/>
      </c>
      <c r="J40" s="11" t="str">
        <f t="shared" si="22"/>
        <v/>
      </c>
      <c r="K40" s="11" t="str">
        <f t="shared" si="22"/>
        <v/>
      </c>
      <c r="L40" s="11" t="str">
        <f t="shared" si="22"/>
        <v/>
      </c>
      <c r="M40" s="11" t="str">
        <f t="shared" si="22"/>
        <v/>
      </c>
      <c r="N40" s="6"/>
      <c r="O40" s="11">
        <f t="shared" si="20"/>
        <v>1.0736563742080685</v>
      </c>
      <c r="P40" s="11" t="str">
        <f t="shared" si="20"/>
        <v/>
      </c>
      <c r="Q40" s="11" t="str">
        <f t="shared" si="20"/>
        <v/>
      </c>
      <c r="R40" s="11" t="str">
        <f t="shared" si="20"/>
        <v/>
      </c>
      <c r="S40" s="11" t="str">
        <f t="shared" si="20"/>
        <v/>
      </c>
      <c r="T40" s="11" t="str">
        <f t="shared" si="20"/>
        <v/>
      </c>
      <c r="U40" s="11" t="str">
        <f t="shared" si="20"/>
        <v/>
      </c>
      <c r="V40" s="11" t="str">
        <f t="shared" si="20"/>
        <v/>
      </c>
    </row>
    <row r="41" spans="1:22" x14ac:dyDescent="0.25">
      <c r="A41" s="140"/>
      <c r="B41" s="11" t="str">
        <f t="shared" ref="B41:M41" si="23">IF(B18="","",(B18/$O$23))</f>
        <v/>
      </c>
      <c r="C41" s="11" t="str">
        <f t="shared" si="23"/>
        <v/>
      </c>
      <c r="D41" s="11" t="str">
        <f t="shared" si="23"/>
        <v/>
      </c>
      <c r="E41" s="11" t="str">
        <f t="shared" si="23"/>
        <v/>
      </c>
      <c r="F41" s="11" t="str">
        <f t="shared" si="23"/>
        <v/>
      </c>
      <c r="G41" s="11" t="str">
        <f t="shared" si="23"/>
        <v/>
      </c>
      <c r="H41" s="11" t="str">
        <f t="shared" si="23"/>
        <v/>
      </c>
      <c r="I41" s="11" t="str">
        <f t="shared" si="23"/>
        <v/>
      </c>
      <c r="J41" s="11" t="str">
        <f t="shared" si="23"/>
        <v/>
      </c>
      <c r="K41" s="11" t="str">
        <f t="shared" si="23"/>
        <v/>
      </c>
      <c r="L41" s="11" t="str">
        <f t="shared" si="23"/>
        <v/>
      </c>
      <c r="M41" s="11" t="str">
        <f t="shared" si="23"/>
        <v/>
      </c>
      <c r="N41" s="6"/>
      <c r="O41" s="11">
        <f t="shared" si="20"/>
        <v>0.64188880483249466</v>
      </c>
      <c r="P41" s="11" t="str">
        <f t="shared" si="20"/>
        <v/>
      </c>
      <c r="Q41" s="11" t="str">
        <f t="shared" si="20"/>
        <v/>
      </c>
      <c r="R41" s="11" t="str">
        <f t="shared" si="20"/>
        <v/>
      </c>
      <c r="S41" s="11" t="str">
        <f t="shared" si="20"/>
        <v/>
      </c>
      <c r="T41" s="11" t="str">
        <f t="shared" si="20"/>
        <v/>
      </c>
      <c r="U41" s="11" t="str">
        <f t="shared" si="20"/>
        <v/>
      </c>
      <c r="V41" s="11" t="str">
        <f t="shared" si="20"/>
        <v/>
      </c>
    </row>
    <row r="42" spans="1:22" x14ac:dyDescent="0.25">
      <c r="A42" s="140"/>
      <c r="B42" s="11" t="str">
        <f t="shared" ref="B42:M42" si="24">IF(B19="","",(B19/$O$23))</f>
        <v/>
      </c>
      <c r="C42" s="11" t="str">
        <f t="shared" si="24"/>
        <v/>
      </c>
      <c r="D42" s="11" t="str">
        <f t="shared" si="24"/>
        <v/>
      </c>
      <c r="E42" s="11" t="str">
        <f t="shared" si="24"/>
        <v/>
      </c>
      <c r="F42" s="11" t="str">
        <f t="shared" si="24"/>
        <v/>
      </c>
      <c r="G42" s="11" t="str">
        <f t="shared" si="24"/>
        <v/>
      </c>
      <c r="H42" s="11" t="str">
        <f t="shared" si="24"/>
        <v/>
      </c>
      <c r="I42" s="11" t="str">
        <f t="shared" si="24"/>
        <v/>
      </c>
      <c r="J42" s="11" t="str">
        <f t="shared" si="24"/>
        <v/>
      </c>
      <c r="K42" s="11" t="str">
        <f t="shared" si="24"/>
        <v/>
      </c>
      <c r="L42" s="11" t="str">
        <f t="shared" si="24"/>
        <v/>
      </c>
      <c r="M42" s="11" t="str">
        <f t="shared" si="24"/>
        <v/>
      </c>
      <c r="N42" s="6"/>
      <c r="O42" s="11">
        <f t="shared" si="20"/>
        <v>0.90546742347578901</v>
      </c>
      <c r="P42" s="11" t="str">
        <f t="shared" si="20"/>
        <v/>
      </c>
      <c r="Q42" s="11" t="str">
        <f t="shared" si="20"/>
        <v/>
      </c>
      <c r="R42" s="11" t="str">
        <f t="shared" si="20"/>
        <v/>
      </c>
      <c r="S42" s="11" t="str">
        <f t="shared" si="20"/>
        <v/>
      </c>
      <c r="T42" s="11" t="str">
        <f t="shared" si="20"/>
        <v/>
      </c>
      <c r="U42" s="11" t="str">
        <f t="shared" si="20"/>
        <v/>
      </c>
      <c r="V42" s="11" t="str">
        <f t="shared" si="20"/>
        <v/>
      </c>
    </row>
    <row r="43" spans="1:22" x14ac:dyDescent="0.25">
      <c r="A43" s="140"/>
      <c r="B43" s="11" t="str">
        <f t="shared" ref="B43:M43" si="25">IF(B20="","",(B20/$O$23))</f>
        <v/>
      </c>
      <c r="C43" s="11" t="str">
        <f t="shared" si="25"/>
        <v/>
      </c>
      <c r="D43" s="11" t="str">
        <f t="shared" si="25"/>
        <v/>
      </c>
      <c r="E43" s="11" t="str">
        <f t="shared" si="25"/>
        <v/>
      </c>
      <c r="F43" s="11" t="str">
        <f t="shared" si="25"/>
        <v/>
      </c>
      <c r="G43" s="11" t="str">
        <f t="shared" si="25"/>
        <v/>
      </c>
      <c r="H43" s="11" t="str">
        <f t="shared" si="25"/>
        <v/>
      </c>
      <c r="I43" s="11" t="str">
        <f t="shared" si="25"/>
        <v/>
      </c>
      <c r="J43" s="11" t="str">
        <f t="shared" si="25"/>
        <v/>
      </c>
      <c r="K43" s="11" t="str">
        <f t="shared" si="25"/>
        <v/>
      </c>
      <c r="L43" s="11" t="str">
        <f t="shared" si="25"/>
        <v/>
      </c>
      <c r="M43" s="11" t="str">
        <f t="shared" si="25"/>
        <v/>
      </c>
      <c r="N43" s="6"/>
      <c r="O43" s="11">
        <f t="shared" si="20"/>
        <v>1.2024505203350986</v>
      </c>
      <c r="P43" s="11" t="str">
        <f t="shared" si="20"/>
        <v/>
      </c>
      <c r="Q43" s="11" t="str">
        <f t="shared" si="20"/>
        <v/>
      </c>
      <c r="R43" s="11" t="str">
        <f t="shared" si="20"/>
        <v/>
      </c>
      <c r="S43" s="11" t="str">
        <f t="shared" si="20"/>
        <v/>
      </c>
      <c r="T43" s="11" t="str">
        <f t="shared" si="20"/>
        <v/>
      </c>
      <c r="U43" s="11" t="str">
        <f t="shared" si="20"/>
        <v/>
      </c>
      <c r="V43" s="11" t="str">
        <f t="shared" si="20"/>
        <v/>
      </c>
    </row>
    <row r="44" spans="1:22" x14ac:dyDescent="0.25">
      <c r="A44" s="7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7"/>
      <c r="O44" s="3"/>
      <c r="P44" s="3"/>
      <c r="Q44" s="3"/>
      <c r="R44" s="3"/>
      <c r="S44" s="3"/>
      <c r="T44" s="3"/>
      <c r="U44" s="3"/>
      <c r="V44" s="3"/>
    </row>
    <row r="45" spans="1:22" x14ac:dyDescent="0.25">
      <c r="A45" s="53" t="str">
        <f t="shared" ref="A45" si="26">A4</f>
        <v>Group names</v>
      </c>
      <c r="B45" s="7" t="str">
        <f t="shared" ref="B45:V45" si="27">B4</f>
        <v>Solvent control</v>
      </c>
      <c r="C45" s="7" t="str">
        <f t="shared" si="27"/>
        <v>EE2-33.8ng/L</v>
      </c>
      <c r="D45" s="7" t="str">
        <f t="shared" si="27"/>
        <v>EE2-50.6ng/L</v>
      </c>
      <c r="E45" s="7" t="str">
        <f t="shared" si="27"/>
        <v>EE2-76ng/L</v>
      </c>
      <c r="F45" s="7" t="str">
        <f t="shared" si="27"/>
        <v>EE2-114ng/L</v>
      </c>
      <c r="G45" s="7" t="str">
        <f t="shared" si="27"/>
        <v>EE2-170.9ng/L</v>
      </c>
      <c r="H45" s="7" t="str">
        <f t="shared" si="27"/>
        <v>EE2-488ng/L</v>
      </c>
      <c r="I45" s="7" t="str">
        <f t="shared" si="27"/>
        <v>Dutasteride-0.01mg/L</v>
      </c>
      <c r="J45" s="7" t="str">
        <f t="shared" si="27"/>
        <v>Dutasteride-0.1mg/L</v>
      </c>
      <c r="K45" s="7" t="str">
        <f t="shared" si="27"/>
        <v>Dutasteride-0.25mg/L</v>
      </c>
      <c r="L45" s="7" t="str">
        <f t="shared" si="27"/>
        <v>Dutasteride-0.5mg/L</v>
      </c>
      <c r="M45" s="7" t="str">
        <f t="shared" si="27"/>
        <v>Dutasteride-1.0mg/L</v>
      </c>
      <c r="N45" s="7"/>
      <c r="O45" s="7" t="str">
        <f t="shared" si="27"/>
        <v>Testo -30µg/L</v>
      </c>
      <c r="P45" s="7" t="str">
        <f t="shared" si="27"/>
        <v>Testo 30µg/L + EE2 -64ng/L</v>
      </c>
      <c r="Q45" s="7" t="str">
        <f t="shared" si="27"/>
        <v>Testo 30µg/L + FAD-10mg/L</v>
      </c>
      <c r="R45" s="7" t="str">
        <f t="shared" si="27"/>
        <v>Dutasteride-0.01mg/L + Testostérone</v>
      </c>
      <c r="S45" s="7" t="str">
        <f t="shared" si="27"/>
        <v>Dutasteride-0.1mg/L + Testostérone</v>
      </c>
      <c r="T45" s="7" t="str">
        <f t="shared" si="27"/>
        <v>Dutasteride-0.25mg/L + Testostérone</v>
      </c>
      <c r="U45" s="7" t="str">
        <f t="shared" si="27"/>
        <v>Dutasteride-0.5mg/L + Testostérone</v>
      </c>
      <c r="V45" s="7" t="str">
        <f t="shared" si="27"/>
        <v>Dutasteride-1.0mg/L + Testostérone</v>
      </c>
    </row>
    <row r="46" spans="1:22" x14ac:dyDescent="0.25">
      <c r="A46" s="8" t="s">
        <v>0</v>
      </c>
      <c r="B46" s="10">
        <f t="shared" ref="B46:H46" si="28">AVERAGE(B28:B43)</f>
        <v>5.6348237215009124E-2</v>
      </c>
      <c r="C46" s="10">
        <f t="shared" si="28"/>
        <v>0.10540813755185856</v>
      </c>
      <c r="D46" s="10">
        <f t="shared" si="28"/>
        <v>5.7012942053331253E-2</v>
      </c>
      <c r="E46" s="10">
        <f t="shared" si="28"/>
        <v>0.34082168481122838</v>
      </c>
      <c r="F46" s="10">
        <f t="shared" si="28"/>
        <v>0.89112704191179537</v>
      </c>
      <c r="G46" s="10">
        <f t="shared" si="28"/>
        <v>1.2244805097525078</v>
      </c>
      <c r="H46" s="10">
        <f t="shared" si="28"/>
        <v>1.4578999424969112</v>
      </c>
      <c r="I46" s="10">
        <f>AVERAGE(I28:I43)</f>
        <v>3.8602374257562216E-2</v>
      </c>
      <c r="J46" s="9">
        <f>AVERAGE(J28:J43)</f>
        <v>0.14042621470285593</v>
      </c>
      <c r="K46" s="9">
        <f t="shared" ref="K46:M46" si="29">AVERAGE(K28:K43)</f>
        <v>6.9114934065697214E-2</v>
      </c>
      <c r="L46" s="9">
        <f t="shared" si="29"/>
        <v>5.7804308021774005E-2</v>
      </c>
      <c r="M46" s="9">
        <f t="shared" si="29"/>
        <v>4.9845412219446265E-2</v>
      </c>
      <c r="N46" s="8" t="s">
        <v>0</v>
      </c>
      <c r="O46" s="10">
        <f t="shared" ref="O46:V46" si="30">AVERAGE(O28:O43)</f>
        <v>0.99999999999999989</v>
      </c>
      <c r="P46" s="10">
        <f t="shared" si="30"/>
        <v>1.3190559275413185</v>
      </c>
      <c r="Q46" s="10">
        <f t="shared" si="30"/>
        <v>6.5412490862969422E-2</v>
      </c>
      <c r="R46" s="10">
        <f t="shared" si="30"/>
        <v>1.3282026705807439</v>
      </c>
      <c r="S46" s="10">
        <f t="shared" si="30"/>
        <v>1.3876379117137712</v>
      </c>
      <c r="T46" s="10">
        <f t="shared" si="30"/>
        <v>1.3553310365803195</v>
      </c>
      <c r="U46" s="10">
        <f t="shared" si="30"/>
        <v>1.2663526570498227</v>
      </c>
      <c r="V46" s="10">
        <f t="shared" si="30"/>
        <v>1.1672834300898414</v>
      </c>
    </row>
    <row r="47" spans="1:22" x14ac:dyDescent="0.25">
      <c r="A47" s="8" t="s">
        <v>1</v>
      </c>
      <c r="B47" s="8">
        <f t="shared" ref="B47:M47" si="31">STDEV(B28:B43)</f>
        <v>3.2533589717574272E-2</v>
      </c>
      <c r="C47" s="8">
        <f t="shared" si="31"/>
        <v>4.8511488897970516E-2</v>
      </c>
      <c r="D47" s="8">
        <f t="shared" si="31"/>
        <v>5.4147542699875983E-2</v>
      </c>
      <c r="E47" s="8">
        <f t="shared" si="31"/>
        <v>0.15054026451335276</v>
      </c>
      <c r="F47" s="8">
        <f t="shared" si="31"/>
        <v>0.41222285976012368</v>
      </c>
      <c r="G47" s="8">
        <f t="shared" si="31"/>
        <v>0.1245337823103998</v>
      </c>
      <c r="H47" s="8">
        <f t="shared" si="31"/>
        <v>0.38557816525811578</v>
      </c>
      <c r="I47" s="8">
        <f t="shared" si="31"/>
        <v>4.1459826220139995E-2</v>
      </c>
      <c r="J47" s="8">
        <f t="shared" si="31"/>
        <v>0.14408272981460613</v>
      </c>
      <c r="K47" s="8">
        <f t="shared" si="31"/>
        <v>8.7245881360736993E-2</v>
      </c>
      <c r="L47" s="8">
        <f t="shared" si="31"/>
        <v>5.4985944406538846E-2</v>
      </c>
      <c r="M47" s="8">
        <f t="shared" si="31"/>
        <v>5.2203492256004638E-2</v>
      </c>
      <c r="N47" s="8" t="s">
        <v>1</v>
      </c>
      <c r="O47" s="8">
        <f t="shared" ref="O47:V47" si="32">STDEV(O28:O43)</f>
        <v>0.2985537808588592</v>
      </c>
      <c r="P47" s="8">
        <f t="shared" si="32"/>
        <v>0.18162243064341463</v>
      </c>
      <c r="Q47" s="8">
        <f t="shared" si="32"/>
        <v>8.7494292152115002E-2</v>
      </c>
      <c r="R47" s="8">
        <f t="shared" si="32"/>
        <v>0.30539515579073473</v>
      </c>
      <c r="S47" s="8">
        <f t="shared" si="32"/>
        <v>0.1918873034268106</v>
      </c>
      <c r="T47" s="8">
        <f t="shared" si="32"/>
        <v>0.23183789940089877</v>
      </c>
      <c r="U47" s="8">
        <f t="shared" si="32"/>
        <v>0.33349862098086985</v>
      </c>
      <c r="V47" s="8">
        <f t="shared" si="32"/>
        <v>0.38077930789339337</v>
      </c>
    </row>
    <row r="48" spans="1:22" x14ac:dyDescent="0.25">
      <c r="A48" s="8" t="s">
        <v>2</v>
      </c>
      <c r="B48" s="8">
        <f t="shared" ref="B48:M48" si="33" xml:space="preserve"> B47/SQRT(COUNT(B28:B43))</f>
        <v>1.1502360952818851E-2</v>
      </c>
      <c r="C48" s="8">
        <f t="shared" si="33"/>
        <v>1.7151401382605434E-2</v>
      </c>
      <c r="D48" s="8">
        <f t="shared" si="33"/>
        <v>1.9144047313835223E-2</v>
      </c>
      <c r="E48" s="8">
        <f t="shared" si="33"/>
        <v>5.3224020939504152E-2</v>
      </c>
      <c r="F48" s="8">
        <f t="shared" si="33"/>
        <v>0.14574278974824731</v>
      </c>
      <c r="G48" s="8">
        <f t="shared" si="33"/>
        <v>4.4029340979246503E-2</v>
      </c>
      <c r="H48" s="8">
        <f t="shared" si="33"/>
        <v>0.13632246766574047</v>
      </c>
      <c r="I48" s="8">
        <f t="shared" si="33"/>
        <v>1.4658262133538408E-2</v>
      </c>
      <c r="J48" s="8">
        <f t="shared" si="33"/>
        <v>5.094093765188857E-2</v>
      </c>
      <c r="K48" s="8">
        <f t="shared" si="33"/>
        <v>3.0846077170387069E-2</v>
      </c>
      <c r="L48" s="8">
        <f t="shared" si="33"/>
        <v>1.9440467079905065E-2</v>
      </c>
      <c r="M48" s="8">
        <f t="shared" si="33"/>
        <v>1.845672168792015E-2</v>
      </c>
      <c r="N48" s="8" t="s">
        <v>2</v>
      </c>
      <c r="O48" s="8">
        <f t="shared" ref="O48:V48" si="34" xml:space="preserve"> O47/SQRT(COUNT(O28:O43))</f>
        <v>7.4638445214714799E-2</v>
      </c>
      <c r="P48" s="8">
        <f t="shared" si="34"/>
        <v>6.4213226161770942E-2</v>
      </c>
      <c r="Q48" s="8">
        <f t="shared" si="34"/>
        <v>3.0933903647938722E-2</v>
      </c>
      <c r="R48" s="8">
        <f t="shared" si="34"/>
        <v>0.10797349280057532</v>
      </c>
      <c r="S48" s="8">
        <f t="shared" si="34"/>
        <v>7.2526583516876145E-2</v>
      </c>
      <c r="T48" s="8">
        <f t="shared" si="34"/>
        <v>8.1967075401210066E-2</v>
      </c>
      <c r="U48" s="8">
        <f t="shared" si="34"/>
        <v>0.11790956820596764</v>
      </c>
      <c r="V48" s="8">
        <f t="shared" si="34"/>
        <v>0.13462581537346935</v>
      </c>
    </row>
    <row r="49" spans="1:22" ht="15.75" thickBot="1" x14ac:dyDescent="0.3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</row>
    <row r="50" spans="1:22" ht="27" thickBot="1" x14ac:dyDescent="0.45">
      <c r="A50" s="135"/>
      <c r="B50" s="136"/>
      <c r="C50" s="136"/>
      <c r="D50" s="136"/>
      <c r="E50" s="136"/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</row>
    <row r="51" spans="1:22" ht="15.75" thickBot="1" x14ac:dyDescent="0.3"/>
    <row r="52" spans="1:22" x14ac:dyDescent="0.25">
      <c r="A52" s="29" t="str">
        <f t="shared" ref="A52" si="35">A27</f>
        <v>Group names</v>
      </c>
      <c r="B52" s="30" t="str">
        <f t="shared" ref="B52:H52" si="36">B27</f>
        <v>Solvent control</v>
      </c>
      <c r="C52" s="30" t="str">
        <f t="shared" si="36"/>
        <v>EE2-33.8ng/L</v>
      </c>
      <c r="D52" s="30" t="str">
        <f t="shared" si="36"/>
        <v>EE2-50.6ng/L</v>
      </c>
      <c r="E52" s="30" t="str">
        <f t="shared" si="36"/>
        <v>EE2-76ng/L</v>
      </c>
      <c r="F52" s="30" t="str">
        <f t="shared" si="36"/>
        <v>EE2-114ng/L</v>
      </c>
      <c r="G52" s="30" t="str">
        <f t="shared" si="36"/>
        <v>EE2-170.9ng/L</v>
      </c>
      <c r="H52" s="30" t="str">
        <f t="shared" si="36"/>
        <v>EE2-488ng/L</v>
      </c>
      <c r="I52" s="30" t="str">
        <f>I4</f>
        <v>Dutasteride-0.01mg/L</v>
      </c>
      <c r="J52" s="30" t="str">
        <f>J4</f>
        <v>Dutasteride-0.1mg/L</v>
      </c>
      <c r="K52" s="30" t="str">
        <f t="shared" ref="K52:M52" si="37">K4</f>
        <v>Dutasteride-0.25mg/L</v>
      </c>
      <c r="L52" s="30" t="str">
        <f t="shared" si="37"/>
        <v>Dutasteride-0.5mg/L</v>
      </c>
      <c r="M52" s="30" t="str">
        <f t="shared" si="37"/>
        <v>Dutasteride-1.0mg/L</v>
      </c>
      <c r="N52" s="31"/>
      <c r="O52" s="30" t="str">
        <f>O27</f>
        <v>Testo -30µg/L</v>
      </c>
      <c r="P52" s="30" t="str">
        <f>P27</f>
        <v>Testo 30µg/L + EE2 -64ng/L</v>
      </c>
      <c r="Q52" s="30" t="str">
        <f>Q27</f>
        <v>Testo 30µg/L + FAD-10mg/L</v>
      </c>
      <c r="R52" s="30" t="str">
        <f>R27</f>
        <v>Dutasteride-0.01mg/L + Testostérone</v>
      </c>
      <c r="S52" s="30" t="str">
        <f t="shared" ref="S52:V52" si="38">S27</f>
        <v>Dutasteride-0.1mg/L + Testostérone</v>
      </c>
      <c r="T52" s="30" t="str">
        <f t="shared" si="38"/>
        <v>Dutasteride-0.25mg/L + Testostérone</v>
      </c>
      <c r="U52" s="30" t="str">
        <f t="shared" si="38"/>
        <v>Dutasteride-0.5mg/L + Testostérone</v>
      </c>
      <c r="V52" s="30" t="str">
        <f t="shared" si="38"/>
        <v>Dutasteride-1.0mg/L + Testostérone</v>
      </c>
    </row>
    <row r="53" spans="1:22" s="3" customFormat="1" x14ac:dyDescent="0.25">
      <c r="A53" s="45" t="s">
        <v>10</v>
      </c>
      <c r="B53" s="77">
        <f t="shared" ref="B53:V53" si="39">B46</f>
        <v>5.6348237215009124E-2</v>
      </c>
      <c r="C53" s="77">
        <f t="shared" si="39"/>
        <v>0.10540813755185856</v>
      </c>
      <c r="D53" s="77">
        <f t="shared" si="39"/>
        <v>5.7012942053331253E-2</v>
      </c>
      <c r="E53" s="77">
        <f t="shared" si="39"/>
        <v>0.34082168481122838</v>
      </c>
      <c r="F53" s="77">
        <f t="shared" si="39"/>
        <v>0.89112704191179537</v>
      </c>
      <c r="G53" s="77">
        <f t="shared" si="39"/>
        <v>1.2244805097525078</v>
      </c>
      <c r="H53" s="77">
        <f t="shared" si="39"/>
        <v>1.4578999424969112</v>
      </c>
      <c r="I53" s="77">
        <f t="shared" si="39"/>
        <v>3.8602374257562216E-2</v>
      </c>
      <c r="J53" s="77">
        <f t="shared" si="39"/>
        <v>0.14042621470285593</v>
      </c>
      <c r="K53" s="77">
        <f t="shared" si="39"/>
        <v>6.9114934065697214E-2</v>
      </c>
      <c r="L53" s="77">
        <f t="shared" si="39"/>
        <v>5.7804308021774005E-2</v>
      </c>
      <c r="M53" s="77">
        <f t="shared" si="39"/>
        <v>4.9845412219446265E-2</v>
      </c>
      <c r="N53" s="77"/>
      <c r="O53" s="77">
        <f t="shared" si="39"/>
        <v>0.99999999999999989</v>
      </c>
      <c r="P53" s="77">
        <f t="shared" si="39"/>
        <v>1.3190559275413185</v>
      </c>
      <c r="Q53" s="77">
        <f t="shared" si="39"/>
        <v>6.5412490862969422E-2</v>
      </c>
      <c r="R53" s="77">
        <f t="shared" si="39"/>
        <v>1.3282026705807439</v>
      </c>
      <c r="S53" s="77">
        <f t="shared" si="39"/>
        <v>1.3876379117137712</v>
      </c>
      <c r="T53" s="77">
        <f t="shared" si="39"/>
        <v>1.3553310365803195</v>
      </c>
      <c r="U53" s="77">
        <f t="shared" si="39"/>
        <v>1.2663526570498227</v>
      </c>
      <c r="V53" s="77">
        <f t="shared" si="39"/>
        <v>1.1672834300898414</v>
      </c>
    </row>
    <row r="54" spans="1:22" s="3" customFormat="1" x14ac:dyDescent="0.25">
      <c r="A54" s="45" t="s">
        <v>2</v>
      </c>
      <c r="B54" s="77">
        <f t="shared" ref="B54:V54" si="40">B48</f>
        <v>1.1502360952818851E-2</v>
      </c>
      <c r="C54" s="77">
        <f t="shared" si="40"/>
        <v>1.7151401382605434E-2</v>
      </c>
      <c r="D54" s="77">
        <f t="shared" si="40"/>
        <v>1.9144047313835223E-2</v>
      </c>
      <c r="E54" s="77">
        <f t="shared" si="40"/>
        <v>5.3224020939504152E-2</v>
      </c>
      <c r="F54" s="77">
        <f t="shared" si="40"/>
        <v>0.14574278974824731</v>
      </c>
      <c r="G54" s="77">
        <f t="shared" si="40"/>
        <v>4.4029340979246503E-2</v>
      </c>
      <c r="H54" s="77">
        <f t="shared" si="40"/>
        <v>0.13632246766574047</v>
      </c>
      <c r="I54" s="77">
        <f t="shared" si="40"/>
        <v>1.4658262133538408E-2</v>
      </c>
      <c r="J54" s="77">
        <f t="shared" si="40"/>
        <v>5.094093765188857E-2</v>
      </c>
      <c r="K54" s="77">
        <f t="shared" si="40"/>
        <v>3.0846077170387069E-2</v>
      </c>
      <c r="L54" s="77">
        <f t="shared" si="40"/>
        <v>1.9440467079905065E-2</v>
      </c>
      <c r="M54" s="77">
        <f t="shared" si="40"/>
        <v>1.845672168792015E-2</v>
      </c>
      <c r="N54" s="77"/>
      <c r="O54" s="77">
        <f t="shared" si="40"/>
        <v>7.4638445214714799E-2</v>
      </c>
      <c r="P54" s="77">
        <f t="shared" si="40"/>
        <v>6.4213226161770942E-2</v>
      </c>
      <c r="Q54" s="77">
        <f t="shared" si="40"/>
        <v>3.0933903647938722E-2</v>
      </c>
      <c r="R54" s="77">
        <f t="shared" si="40"/>
        <v>0.10797349280057532</v>
      </c>
      <c r="S54" s="77">
        <f t="shared" si="40"/>
        <v>7.2526583516876145E-2</v>
      </c>
      <c r="T54" s="77">
        <f t="shared" si="40"/>
        <v>8.1967075401210066E-2</v>
      </c>
      <c r="U54" s="77">
        <f t="shared" si="40"/>
        <v>0.11790956820596764</v>
      </c>
      <c r="V54" s="77">
        <f t="shared" si="40"/>
        <v>0.13462581537346935</v>
      </c>
    </row>
    <row r="55" spans="1:22" s="3" customFormat="1" x14ac:dyDescent="0.25">
      <c r="A55" s="45" t="s">
        <v>14</v>
      </c>
      <c r="B55" s="77">
        <f>(B53*100/$B53)-100</f>
        <v>0</v>
      </c>
      <c r="C55" s="77">
        <f t="shared" ref="C55:M55" si="41">(C53*100/$B53)-100</f>
        <v>87.065545901020045</v>
      </c>
      <c r="D55" s="77">
        <f t="shared" si="41"/>
        <v>1.1796373252739016</v>
      </c>
      <c r="E55" s="77">
        <f t="shared" si="41"/>
        <v>504.84888553078963</v>
      </c>
      <c r="F55" s="77">
        <f t="shared" si="41"/>
        <v>1481.463921420476</v>
      </c>
      <c r="G55" s="77">
        <f t="shared" si="41"/>
        <v>2073.0591235360789</v>
      </c>
      <c r="H55" s="77">
        <f t="shared" si="41"/>
        <v>2487.3035511900266</v>
      </c>
      <c r="I55" s="77">
        <f t="shared" si="41"/>
        <v>-31.493199848885524</v>
      </c>
      <c r="J55" s="77">
        <f t="shared" si="41"/>
        <v>149.21137136380815</v>
      </c>
      <c r="K55" s="77">
        <f t="shared" si="41"/>
        <v>22.656781261805833</v>
      </c>
      <c r="L55" s="77">
        <f t="shared" si="41"/>
        <v>2.5840574234983222</v>
      </c>
      <c r="M55" s="77">
        <f t="shared" si="41"/>
        <v>-11.540423120513779</v>
      </c>
      <c r="N55" s="77"/>
      <c r="O55" s="77">
        <f t="shared" ref="O55:V55" si="42">(O53*100/$O53)-100</f>
        <v>0</v>
      </c>
      <c r="P55" s="77">
        <f t="shared" si="42"/>
        <v>31.905592754131874</v>
      </c>
      <c r="Q55" s="77">
        <f t="shared" si="42"/>
        <v>-93.458750913703057</v>
      </c>
      <c r="R55" s="77">
        <f t="shared" si="42"/>
        <v>32.820267058074421</v>
      </c>
      <c r="S55" s="77">
        <f t="shared" si="42"/>
        <v>38.763791171377136</v>
      </c>
      <c r="T55" s="77">
        <f t="shared" si="42"/>
        <v>35.53310365803199</v>
      </c>
      <c r="U55" s="77">
        <f t="shared" si="42"/>
        <v>26.635265704982288</v>
      </c>
      <c r="V55" s="77">
        <f t="shared" si="42"/>
        <v>16.728343008984154</v>
      </c>
    </row>
    <row r="56" spans="1:22" s="3" customFormat="1" x14ac:dyDescent="0.25">
      <c r="A56" s="45" t="s">
        <v>37</v>
      </c>
      <c r="B56" s="77">
        <f>[1]!SWTEST(B28:B43)</f>
        <v>0.34977069392948223</v>
      </c>
      <c r="C56" s="77">
        <f>[1]!SWTEST(C28:C43)</f>
        <v>0.42613350157535579</v>
      </c>
      <c r="D56" s="77">
        <f>[1]!SWTEST(D28:D43)</f>
        <v>0.4265635393197813</v>
      </c>
      <c r="E56" s="77">
        <f>[1]!SWTEST(E28:E43)</f>
        <v>0.61860158529849574</v>
      </c>
      <c r="F56" s="77">
        <f>[1]!SWTEST(F28:F43)</f>
        <v>0.6964118020042589</v>
      </c>
      <c r="G56" s="77">
        <f>[1]!SWTEST(G28:G43)</f>
        <v>0.9227884547156654</v>
      </c>
      <c r="H56" s="77">
        <f>[1]!SWTEST(H28:H43)</f>
        <v>0.89661829050543596</v>
      </c>
      <c r="I56" s="77">
        <f>[1]!SWTEST(I28:I43)</f>
        <v>0.13882437832976957</v>
      </c>
      <c r="J56" s="77">
        <f>[1]!SWTEST(J28:J43)</f>
        <v>0.15788845054544332</v>
      </c>
      <c r="K56" s="77">
        <f>[1]!SWTEST(K28:K43)</f>
        <v>2.0112923526249382E-2</v>
      </c>
      <c r="L56" s="77">
        <f>[1]!SWTEST(L28:L43)</f>
        <v>0.34520064911797399</v>
      </c>
      <c r="M56" s="77">
        <f>[1]!SWTEST(M28:M43)</f>
        <v>0.14532912522106189</v>
      </c>
      <c r="N56" s="77"/>
      <c r="O56" s="77">
        <f>[1]!SWTEST(O28:O43)</f>
        <v>0.49685912591107262</v>
      </c>
      <c r="P56" s="77">
        <f>[1]!SWTEST(P28:P43)</f>
        <v>0.28176522368272505</v>
      </c>
      <c r="Q56" s="77">
        <f>[1]!SWTEST(Q28:Q43)</f>
        <v>6.4475239844730137E-4</v>
      </c>
      <c r="R56" s="77">
        <f>[1]!SWTEST(R28:R43)</f>
        <v>0.90442143258484342</v>
      </c>
      <c r="S56" s="77">
        <f>[1]!SWTEST(S28:S43)</f>
        <v>0.48431367375819434</v>
      </c>
      <c r="T56" s="77">
        <f>[1]!SWTEST(T28:T43)</f>
        <v>0.78069806698899769</v>
      </c>
      <c r="U56" s="77">
        <f>[1]!SWTEST(U28:U43)</f>
        <v>0.43131520307999582</v>
      </c>
      <c r="V56" s="77">
        <f>[1]!SWTEST(V28:V43)</f>
        <v>0.97724083231357883</v>
      </c>
    </row>
    <row r="57" spans="1:22" s="3" customFormat="1" x14ac:dyDescent="0.25">
      <c r="A57" s="45" t="s">
        <v>38</v>
      </c>
      <c r="B57" s="77" t="str">
        <f>IF(B56&gt;0.05,"Oui","Non")</f>
        <v>Oui</v>
      </c>
      <c r="C57" s="77" t="str">
        <f t="shared" ref="C57:V57" si="43">IF(C56&gt;0.05,"Oui","Non")</f>
        <v>Oui</v>
      </c>
      <c r="D57" s="77" t="str">
        <f t="shared" si="43"/>
        <v>Oui</v>
      </c>
      <c r="E57" s="77" t="str">
        <f t="shared" si="43"/>
        <v>Oui</v>
      </c>
      <c r="F57" s="77" t="str">
        <f t="shared" si="43"/>
        <v>Oui</v>
      </c>
      <c r="G57" s="77" t="str">
        <f t="shared" si="43"/>
        <v>Oui</v>
      </c>
      <c r="H57" s="77" t="str">
        <f t="shared" si="43"/>
        <v>Oui</v>
      </c>
      <c r="I57" s="77" t="str">
        <f t="shared" si="43"/>
        <v>Oui</v>
      </c>
      <c r="J57" s="77" t="str">
        <f t="shared" si="43"/>
        <v>Oui</v>
      </c>
      <c r="K57" s="77" t="str">
        <f t="shared" si="43"/>
        <v>Non</v>
      </c>
      <c r="L57" s="77" t="str">
        <f t="shared" si="43"/>
        <v>Oui</v>
      </c>
      <c r="M57" s="77" t="str">
        <f t="shared" si="43"/>
        <v>Oui</v>
      </c>
      <c r="N57" s="77"/>
      <c r="O57" s="77" t="str">
        <f t="shared" si="43"/>
        <v>Oui</v>
      </c>
      <c r="P57" s="77" t="str">
        <f t="shared" si="43"/>
        <v>Oui</v>
      </c>
      <c r="Q57" s="77" t="str">
        <f t="shared" si="43"/>
        <v>Non</v>
      </c>
      <c r="R57" s="77" t="str">
        <f t="shared" si="43"/>
        <v>Oui</v>
      </c>
      <c r="S57" s="77" t="str">
        <f t="shared" si="43"/>
        <v>Oui</v>
      </c>
      <c r="T57" s="77" t="str">
        <f t="shared" si="43"/>
        <v>Oui</v>
      </c>
      <c r="U57" s="77" t="str">
        <f t="shared" si="43"/>
        <v>Oui</v>
      </c>
      <c r="V57" s="77" t="str">
        <f t="shared" si="43"/>
        <v>Oui</v>
      </c>
    </row>
    <row r="58" spans="1:22" s="3" customFormat="1" x14ac:dyDescent="0.25">
      <c r="A58" s="45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9"/>
      <c r="O58" s="80"/>
      <c r="P58" s="77"/>
      <c r="Q58" s="77"/>
      <c r="R58" s="77"/>
      <c r="S58" s="77"/>
      <c r="T58" s="77"/>
      <c r="U58" s="77"/>
      <c r="V58" s="77"/>
    </row>
    <row r="59" spans="1:22" s="3" customFormat="1" x14ac:dyDescent="0.25">
      <c r="A59" s="45" t="s">
        <v>39</v>
      </c>
      <c r="B59" s="81"/>
      <c r="C59" s="81" t="str">
        <f t="shared" ref="C59:O59" si="44">IF($B57="Non",IF(C57="Non","MW",IF(C57="Oui","MW","")),IF($B57="Oui",IF(C57="Oui","T-Test Welch",IF(C57="Non","MW",""))))</f>
        <v>T-Test Welch</v>
      </c>
      <c r="D59" s="81" t="str">
        <f t="shared" si="44"/>
        <v>T-Test Welch</v>
      </c>
      <c r="E59" s="81" t="str">
        <f t="shared" si="44"/>
        <v>T-Test Welch</v>
      </c>
      <c r="F59" s="81" t="str">
        <f t="shared" si="44"/>
        <v>T-Test Welch</v>
      </c>
      <c r="G59" s="81" t="str">
        <f t="shared" si="44"/>
        <v>T-Test Welch</v>
      </c>
      <c r="H59" s="81" t="str">
        <f t="shared" si="44"/>
        <v>T-Test Welch</v>
      </c>
      <c r="I59" s="81" t="str">
        <f t="shared" si="44"/>
        <v>T-Test Welch</v>
      </c>
      <c r="J59" s="81" t="str">
        <f t="shared" si="44"/>
        <v>T-Test Welch</v>
      </c>
      <c r="K59" s="81" t="str">
        <f t="shared" si="44"/>
        <v>MW</v>
      </c>
      <c r="L59" s="81" t="str">
        <f t="shared" si="44"/>
        <v>T-Test Welch</v>
      </c>
      <c r="M59" s="81" t="str">
        <f t="shared" si="44"/>
        <v>T-Test Welch</v>
      </c>
      <c r="N59" s="81"/>
      <c r="O59" s="81" t="str">
        <f t="shared" si="44"/>
        <v>T-Test Welch</v>
      </c>
      <c r="P59" s="81" t="str">
        <f t="shared" ref="P59:V59" si="45">IF($O57="Non",IF(P57="Non","MW",IF(P57="Oui","MW","")),IF($O57="Oui",IF(P57="Oui","T-Test Welch",IF(P57="Non","MW",""))))</f>
        <v>T-Test Welch</v>
      </c>
      <c r="Q59" s="81" t="str">
        <f t="shared" si="45"/>
        <v>MW</v>
      </c>
      <c r="R59" s="81" t="str">
        <f t="shared" si="45"/>
        <v>T-Test Welch</v>
      </c>
      <c r="S59" s="81" t="str">
        <f t="shared" si="45"/>
        <v>T-Test Welch</v>
      </c>
      <c r="T59" s="81" t="str">
        <f t="shared" si="45"/>
        <v>T-Test Welch</v>
      </c>
      <c r="U59" s="81" t="str">
        <f t="shared" si="45"/>
        <v>T-Test Welch</v>
      </c>
      <c r="V59" s="81" t="str">
        <f t="shared" si="45"/>
        <v>T-Test Welch</v>
      </c>
    </row>
    <row r="60" spans="1:22" s="3" customFormat="1" x14ac:dyDescent="0.25">
      <c r="A60" s="45" t="s">
        <v>40</v>
      </c>
      <c r="B60" s="82"/>
      <c r="C60" s="82">
        <f>IF(C59="MW",[1]!MTEST($B28:$B43,C28:C43,2), IF(C59="T-Test Welch",_xlfn.T.TEST($B28:$B43,C28:C43,2,3),""))</f>
        <v>3.4670963682677733E-2</v>
      </c>
      <c r="D60" s="82">
        <f>IF(D59="MW",[1]!MTEST($B28:$B43,D28:D43,2), IF(D59="T-Test Welch",_xlfn.T.TEST($B28:$B43,D28:D43,2,3),""))</f>
        <v>0.97676816330943039</v>
      </c>
      <c r="E60" s="82">
        <f>IF(E59="MW",[1]!MTEST($B28:$B43,E28:E43,2), IF(E59="T-Test Welch",_xlfn.T.TEST($B28:$B43,E28:E43,2,3),""))</f>
        <v>9.2022514881063742E-4</v>
      </c>
      <c r="F60" s="82">
        <f>IF(F59="MW",[1]!MTEST($B28:$B43,F28:F43,2), IF(F59="T-Test Welch",_xlfn.T.TEST($B28:$B43,F28:F43,2,3),""))</f>
        <v>6.9632843346879836E-4</v>
      </c>
      <c r="G60" s="82">
        <f>IF(G59="MW",[1]!MTEST($B28:$B43,G28:G43,2), IF(G59="T-Test Welch",_xlfn.T.TEST($B28:$B43,G28:G43,2,3),""))</f>
        <v>6.2061842160531217E-9</v>
      </c>
      <c r="H60" s="82">
        <f>IF(H59="MW",[1]!MTEST($B28:$B43,H28:H43,2), IF(H59="T-Test Welch",_xlfn.T.TEST($B28:$B43,H28:H43,2,3),""))</f>
        <v>1.65473912556692E-5</v>
      </c>
      <c r="I60" s="82">
        <f>IF(I59="MW",[1]!MTEST($B28:$B43,I28:I43,2), IF(I59="T-Test Welch",_xlfn.T.TEST($B28:$B43,I28:I43,2,3),""))</f>
        <v>0.35793736143052479</v>
      </c>
      <c r="J60" s="82">
        <f>IF(J59="MW",[1]!MTEST($B28:$B43,J28:J43,2), IF(J59="T-Test Welch",_xlfn.T.TEST($B28:$B43,J28:J43,2,3),""))</f>
        <v>0.14747907675888586</v>
      </c>
      <c r="K60" s="82">
        <f>IF(K59="MW",[1]!MTEST($B28:$B43,K28:K43,2), IF(K59="T-Test Welch",_xlfn.T.TEST($B28:$B43,K28:K43,2,3),""))</f>
        <v>0.83363488302468225</v>
      </c>
      <c r="L60" s="82">
        <f>IF(L59="MW",[1]!MTEST($B28:$B43,L28:L43,2), IF(L59="T-Test Welch",_xlfn.T.TEST($B28:$B43,L28:L43,2,3),""))</f>
        <v>0.94972297252568016</v>
      </c>
      <c r="M60" s="82">
        <f>IF(M59="MW",[1]!MTEST($B28:$B43,M28:M43,2), IF(M59="T-Test Welch",_xlfn.T.TEST($B28:$B43,M28:M43,2,3),""))</f>
        <v>0.77016269089563161</v>
      </c>
      <c r="N60" s="82"/>
      <c r="O60" s="82">
        <f>IF(O59="MW",[1]!MTEST($B28:$B43,O28:O43,2), IF(O59="T-Test Welch",_xlfn.T.TEST($B28:$B43,O28:O43,2,3),""))</f>
        <v>1.4353132053710846E-9</v>
      </c>
      <c r="P60" s="82">
        <f>IF(P59="MW",[1]!MTEST($O28:$O43,P28:P43,2), IF(P59="T-Test Welch",_xlfn.T.TEST($O28:$O43,P28:P43,2,3),""))</f>
        <v>3.9354103107944799E-3</v>
      </c>
      <c r="Q60" s="82">
        <f>IF(Q59="MW",[1]!MTEST($O28:$O43,Q28:Q43,2), IF(Q59="T-Test Welch",_xlfn.T.TEST($O28:$O43,Q28:Q43,2,3),""))</f>
        <v>8.884941911446731E-5</v>
      </c>
      <c r="R60" s="82">
        <f>IF(R59="MW",[1]!MTEST($O28:$O43,R28:R43,2), IF(R59="T-Test Welch",_xlfn.T.TEST($O28:$O43,R28:R43,2,3),""))</f>
        <v>2.5640017077247907E-2</v>
      </c>
      <c r="S60" s="82">
        <f>IF(S59="MW",[1]!MTEST($O28:$O43,S28:S43,2), IF(S59="T-Test Welch",_xlfn.T.TEST($O28:$O43,S28:S43,2,3),""))</f>
        <v>1.6071853706001794E-3</v>
      </c>
      <c r="T60" s="82">
        <f>IF(T59="MW",[1]!MTEST($O28:$O43,T28:T43,2), IF(T59="T-Test Welch",_xlfn.T.TEST($O28:$O43,T28:T43,2,3),""))</f>
        <v>4.9772006421063327E-3</v>
      </c>
      <c r="U60" s="82">
        <f>IF(U59="MW",[1]!MTEST($O28:$O43,U28:U43,2), IF(U59="T-Test Welch",_xlfn.T.TEST($O28:$O43,U28:U43,2,3),""))</f>
        <v>7.9020977971550721E-2</v>
      </c>
      <c r="V60" s="82">
        <f>IF(V59="MW",[1]!MTEST($O28:$O43,V28:V43,2), IF(V59="T-Test Welch",_xlfn.T.TEST($O28:$O43,V28:V43,2,3),""))</f>
        <v>0.29948354433506041</v>
      </c>
    </row>
    <row r="61" spans="1:22" s="3" customFormat="1" ht="15.75" thickBot="1" x14ac:dyDescent="0.3">
      <c r="A61" s="46" t="s">
        <v>15</v>
      </c>
      <c r="B61" s="78"/>
      <c r="C61" s="78" t="str">
        <f t="shared" ref="C61:O61" si="46">IF(C60&gt;0.05,"NS",IF(C60&gt;0.01,"*",IF(C60&gt;0.001,"**","***")))</f>
        <v>*</v>
      </c>
      <c r="D61" s="78" t="str">
        <f t="shared" si="46"/>
        <v>NS</v>
      </c>
      <c r="E61" s="78" t="str">
        <f t="shared" si="46"/>
        <v>***</v>
      </c>
      <c r="F61" s="78" t="str">
        <f t="shared" si="46"/>
        <v>***</v>
      </c>
      <c r="G61" s="78" t="str">
        <f t="shared" si="46"/>
        <v>***</v>
      </c>
      <c r="H61" s="78" t="str">
        <f t="shared" si="46"/>
        <v>***</v>
      </c>
      <c r="I61" s="78" t="str">
        <f t="shared" si="46"/>
        <v>NS</v>
      </c>
      <c r="J61" s="78" t="str">
        <f t="shared" si="46"/>
        <v>NS</v>
      </c>
      <c r="K61" s="78" t="str">
        <f t="shared" si="46"/>
        <v>NS</v>
      </c>
      <c r="L61" s="78" t="str">
        <f t="shared" si="46"/>
        <v>NS</v>
      </c>
      <c r="M61" s="78" t="str">
        <f t="shared" si="46"/>
        <v>NS</v>
      </c>
      <c r="N61" s="78"/>
      <c r="O61" s="78" t="str">
        <f t="shared" si="46"/>
        <v>***</v>
      </c>
      <c r="P61" s="78" t="str">
        <f>IF(P60&gt;0.05,"NS",IF(P60&gt;0.01,"*",IF(P60&gt;0.001,"**","***")))</f>
        <v>**</v>
      </c>
      <c r="Q61" s="78" t="str">
        <f t="shared" ref="Q61:V61" si="47">IF(Q60&gt;0.05,"NS",IF(Q60&gt;0.01,"*",IF(Q60&gt;0.001,"**","***")))</f>
        <v>***</v>
      </c>
      <c r="R61" s="78" t="str">
        <f t="shared" si="47"/>
        <v>*</v>
      </c>
      <c r="S61" s="78" t="str">
        <f t="shared" si="47"/>
        <v>**</v>
      </c>
      <c r="T61" s="78" t="str">
        <f t="shared" si="47"/>
        <v>**</v>
      </c>
      <c r="U61" s="78" t="str">
        <f t="shared" si="47"/>
        <v>NS</v>
      </c>
      <c r="V61" s="78" t="str">
        <f t="shared" si="47"/>
        <v>NS</v>
      </c>
    </row>
    <row r="63" spans="1:22" x14ac:dyDescent="0.25">
      <c r="A63" s="2"/>
    </row>
    <row r="66" spans="1:22" ht="15.75" thickBot="1" x14ac:dyDescent="0.3"/>
    <row r="67" spans="1:22" ht="27" thickBot="1" x14ac:dyDescent="0.45">
      <c r="A67" s="135"/>
      <c r="B67" s="136"/>
      <c r="C67" s="136"/>
      <c r="D67" s="136"/>
      <c r="E67" s="136"/>
      <c r="F67" s="136"/>
      <c r="G67" s="136"/>
      <c r="H67" s="136"/>
      <c r="I67" s="136"/>
      <c r="J67" s="136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</row>
    <row r="68" spans="1:22" ht="16.5" x14ac:dyDescent="0.25">
      <c r="A68" s="12"/>
      <c r="B68" s="12"/>
      <c r="C68" s="12"/>
      <c r="D68" s="12"/>
      <c r="E68" s="12"/>
      <c r="F68" s="12"/>
      <c r="N68" s="12"/>
      <c r="O68" s="12"/>
      <c r="P68" s="12"/>
      <c r="Q68" s="12"/>
      <c r="R68" s="12"/>
      <c r="S68" s="12"/>
      <c r="T68" s="12"/>
      <c r="U68" s="12"/>
      <c r="V68" s="12"/>
    </row>
    <row r="69" spans="1:22" ht="16.5" x14ac:dyDescent="0.25">
      <c r="A69" s="12"/>
      <c r="B69" s="12"/>
      <c r="C69" s="12"/>
      <c r="D69" s="12"/>
      <c r="E69" s="12"/>
      <c r="F69" s="12"/>
      <c r="N69" s="12"/>
      <c r="O69" s="12"/>
      <c r="P69" s="12"/>
      <c r="Q69" s="12"/>
      <c r="R69" s="12"/>
      <c r="S69" s="12"/>
      <c r="T69" s="12"/>
      <c r="U69" s="12"/>
      <c r="V69" s="12"/>
    </row>
    <row r="70" spans="1:22" ht="16.5" x14ac:dyDescent="0.25">
      <c r="A70" s="12"/>
      <c r="B70" s="12"/>
      <c r="C70" s="12"/>
      <c r="D70" s="12"/>
      <c r="E70" s="12"/>
      <c r="F70" s="12"/>
      <c r="N70" s="12"/>
      <c r="O70" s="12"/>
      <c r="P70" s="12"/>
      <c r="Q70" s="12"/>
      <c r="R70" s="12"/>
      <c r="S70" s="12"/>
      <c r="T70" s="12"/>
      <c r="U70" s="12"/>
      <c r="V70" s="12"/>
    </row>
    <row r="71" spans="1:22" ht="16.5" x14ac:dyDescent="0.25">
      <c r="A71" s="12"/>
      <c r="B71" s="12"/>
      <c r="C71" s="12"/>
      <c r="D71" s="12"/>
      <c r="E71" s="12"/>
      <c r="F71" s="12"/>
      <c r="N71" s="12"/>
      <c r="O71" s="12"/>
      <c r="P71" s="12"/>
      <c r="Q71" s="12"/>
      <c r="R71" s="12"/>
      <c r="S71" s="12"/>
      <c r="T71" s="12"/>
      <c r="U71" s="12"/>
      <c r="V71" s="12"/>
    </row>
    <row r="72" spans="1:22" ht="16.5" x14ac:dyDescent="0.25">
      <c r="A72" s="12"/>
      <c r="B72" s="12"/>
      <c r="C72" s="12"/>
      <c r="D72" s="12"/>
      <c r="E72" s="12"/>
      <c r="F72" s="12"/>
      <c r="N72" s="12"/>
      <c r="O72" s="12"/>
      <c r="P72" s="12"/>
      <c r="Q72" s="12"/>
      <c r="R72" s="12"/>
      <c r="S72" s="12"/>
      <c r="T72" s="12"/>
      <c r="U72" s="12"/>
      <c r="V72" s="12"/>
    </row>
    <row r="73" spans="1:22" ht="16.5" x14ac:dyDescent="0.25">
      <c r="A73" s="12"/>
      <c r="B73" s="12"/>
      <c r="C73" s="12"/>
      <c r="D73" s="12"/>
      <c r="E73" s="12"/>
      <c r="F73" s="12"/>
      <c r="N73" s="12"/>
      <c r="O73" s="12"/>
      <c r="P73" s="12"/>
      <c r="Q73" s="12"/>
      <c r="R73" s="12"/>
      <c r="S73" s="12"/>
      <c r="T73" s="12"/>
      <c r="U73" s="12"/>
      <c r="V73" s="12"/>
    </row>
    <row r="74" spans="1:22" ht="16.5" x14ac:dyDescent="0.25">
      <c r="A74" s="12"/>
      <c r="B74" s="12"/>
      <c r="C74" s="12"/>
      <c r="D74" s="12"/>
      <c r="E74" s="12"/>
      <c r="F74" s="12"/>
      <c r="N74" s="12"/>
      <c r="O74" s="12"/>
      <c r="P74" s="12"/>
      <c r="Q74" s="12"/>
      <c r="R74" s="12"/>
      <c r="S74" s="12"/>
      <c r="T74" s="12"/>
      <c r="U74" s="12"/>
      <c r="V74" s="12"/>
    </row>
  </sheetData>
  <protectedRanges>
    <protectedRange sqref="O51:V51" name="Plage2"/>
    <protectedRange sqref="R5:V20" name="Plage1"/>
    <protectedRange sqref="B51:J51" name="Plage2_1"/>
    <protectedRange sqref="O5:O20 B5:J20" name="Plage1_1"/>
  </protectedRanges>
  <mergeCells count="9">
    <mergeCell ref="A28:A43"/>
    <mergeCell ref="A50:V50"/>
    <mergeCell ref="A67:V67"/>
    <mergeCell ref="A1:V1"/>
    <mergeCell ref="B3:M3"/>
    <mergeCell ref="O3:V3"/>
    <mergeCell ref="A5:A20"/>
    <mergeCell ref="B26:M26"/>
    <mergeCell ref="O26:V26"/>
  </mergeCells>
  <pageMargins left="0.7" right="0.7" top="0.75" bottom="0.75" header="0.3" footer="0.3"/>
  <pageSetup paperSize="9" scale="21" orientation="landscape" r:id="rId1"/>
  <headerFooter>
    <oddHeader>&amp;C&amp;"-,Gras"&amp;14Données brutes et normalisées R1&amp;R&amp;"-,Gras"&amp;14Page : &amp;P/&amp;P</oddHeader>
  </headerFooter>
  <colBreaks count="1" manualBreakCount="1">
    <brk id="1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93"/>
  <sheetViews>
    <sheetView showGridLines="0" tabSelected="1" topLeftCell="O63" zoomScale="70" zoomScaleNormal="70" workbookViewId="0">
      <selection activeCell="T87" sqref="T87"/>
    </sheetView>
  </sheetViews>
  <sheetFormatPr baseColWidth="10" defaultColWidth="11.42578125" defaultRowHeight="15" x14ac:dyDescent="0.25"/>
  <cols>
    <col min="1" max="1" width="42.85546875" customWidth="1"/>
    <col min="2" max="2" width="14" bestFit="1" customWidth="1"/>
    <col min="3" max="13" width="22.7109375" bestFit="1" customWidth="1"/>
    <col min="14" max="14" width="8.42578125" customWidth="1"/>
    <col min="15" max="15" width="22.7109375" customWidth="1"/>
    <col min="18" max="22" width="29.140625" customWidth="1"/>
  </cols>
  <sheetData>
    <row r="1" spans="1:22" s="1" customFormat="1" ht="21.75" thickBot="1" x14ac:dyDescent="0.3">
      <c r="A1" s="22"/>
      <c r="B1" s="39"/>
      <c r="C1" s="23"/>
      <c r="D1" s="23"/>
      <c r="E1" s="23"/>
      <c r="F1" s="23"/>
      <c r="G1" s="23"/>
      <c r="H1" s="40"/>
      <c r="I1" s="39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</row>
    <row r="2" spans="1:22" ht="15.75" thickBo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22" s="18" customFormat="1" ht="15.75" thickBot="1" x14ac:dyDescent="0.3">
      <c r="B3" s="141" t="s">
        <v>41</v>
      </c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55"/>
      <c r="O3" s="141" t="s">
        <v>42</v>
      </c>
      <c r="P3" s="142"/>
      <c r="Q3" s="142"/>
      <c r="R3" s="142"/>
      <c r="S3" s="142"/>
      <c r="T3" s="142"/>
      <c r="U3" s="142"/>
      <c r="V3" s="142"/>
    </row>
    <row r="4" spans="1:22" x14ac:dyDescent="0.25">
      <c r="A4" s="19"/>
      <c r="B4" s="20" t="str">
        <f>'R1'!B4</f>
        <v>Solvent control</v>
      </c>
      <c r="C4" s="20" t="str">
        <f>'R1'!C4</f>
        <v>EE2-33.8ng/L</v>
      </c>
      <c r="D4" s="20" t="str">
        <f>'R1'!D4</f>
        <v>EE2-50.6ng/L</v>
      </c>
      <c r="E4" s="20" t="str">
        <f>'R1'!E4</f>
        <v>EE2-76ng/L</v>
      </c>
      <c r="F4" s="20" t="str">
        <f>'R1'!F4</f>
        <v>EE2-114ng/L</v>
      </c>
      <c r="G4" s="20" t="str">
        <f>'R1'!G4</f>
        <v>EE2-170.9ng/L</v>
      </c>
      <c r="H4" s="20" t="str">
        <f>'R1'!H4</f>
        <v>EE2-488ng/L</v>
      </c>
      <c r="I4" s="20" t="str">
        <f>'R1'!I4</f>
        <v>Dutasteride-0.01mg/L</v>
      </c>
      <c r="J4" s="20" t="str">
        <f>'R1'!J4</f>
        <v>Dutasteride-0.1mg/L</v>
      </c>
      <c r="K4" s="20" t="str">
        <f>'R1'!K4</f>
        <v>Dutasteride-0.25mg/L</v>
      </c>
      <c r="L4" s="20" t="str">
        <f>'R1'!L4</f>
        <v>Dutasteride-0.5mg/L</v>
      </c>
      <c r="M4" s="20" t="str">
        <f>'R1'!M4</f>
        <v>Dutasteride-1.0mg/L</v>
      </c>
      <c r="O4" s="20" t="str">
        <f>'R1'!O4</f>
        <v>Testo -30µg/L</v>
      </c>
      <c r="P4" s="20" t="str">
        <f>'R1'!P4</f>
        <v>Testo 30µg/L + EE2 -64ng/L</v>
      </c>
      <c r="Q4" s="20" t="str">
        <f>'R1'!Q4</f>
        <v>Testo 30µg/L + FAD-10mg/L</v>
      </c>
      <c r="R4" s="20" t="str">
        <f>'R1'!R4</f>
        <v>Dutasteride-0.01mg/L + Testostérone</v>
      </c>
      <c r="S4" s="20" t="str">
        <f>'R1'!S4</f>
        <v>Dutasteride-0.1mg/L + Testostérone</v>
      </c>
      <c r="T4" s="20" t="str">
        <f>'R1'!T4</f>
        <v>Dutasteride-0.25mg/L + Testostérone</v>
      </c>
      <c r="U4" s="20" t="str">
        <f>'R1'!U4</f>
        <v>Dutasteride-0.5mg/L + Testostérone</v>
      </c>
      <c r="V4" s="20" t="str">
        <f>'R1'!V4</f>
        <v>Dutasteride-1.0mg/L + Testostérone</v>
      </c>
    </row>
    <row r="5" spans="1:22" s="1" customFormat="1" x14ac:dyDescent="0.25">
      <c r="A5" s="19"/>
      <c r="B5" s="20"/>
      <c r="C5" s="114"/>
      <c r="D5" s="20"/>
      <c r="E5" s="20"/>
      <c r="F5" s="20"/>
      <c r="G5" s="20"/>
      <c r="H5" s="20"/>
      <c r="I5" s="20"/>
      <c r="J5" s="20"/>
      <c r="K5" s="20"/>
      <c r="L5" s="20"/>
      <c r="M5" s="20"/>
      <c r="O5" s="20"/>
      <c r="P5" s="20"/>
      <c r="Q5" s="20"/>
      <c r="R5" s="20"/>
      <c r="S5" s="20"/>
      <c r="T5" s="20"/>
      <c r="U5" s="20"/>
      <c r="V5" s="20"/>
    </row>
    <row r="6" spans="1:22" s="1" customFormat="1" x14ac:dyDescent="0.25">
      <c r="A6" s="54" t="s">
        <v>3</v>
      </c>
      <c r="B6" s="37">
        <f>'R1'!B28</f>
        <v>0</v>
      </c>
      <c r="C6" s="37">
        <f>'R1'!C28</f>
        <v>7.1328076779579792E-4</v>
      </c>
      <c r="D6" s="37">
        <f>'R1'!D28</f>
        <v>4.0410752070716691E-2</v>
      </c>
      <c r="E6" s="37">
        <f>'R1'!E28</f>
        <v>0</v>
      </c>
      <c r="F6" s="37">
        <f>'R1'!F28</f>
        <v>0.48516678510453226</v>
      </c>
      <c r="G6" s="37">
        <f>'R1'!G28</f>
        <v>1.9525636446524375</v>
      </c>
      <c r="H6" s="37">
        <f>'R1'!H28</f>
        <v>3.263454815733148</v>
      </c>
      <c r="I6" s="37">
        <f>'R1'!I28</f>
        <v>0.13217771942273085</v>
      </c>
      <c r="J6" s="37">
        <f>'R1'!J28</f>
        <v>6.79315016948379E-4</v>
      </c>
      <c r="K6" s="37">
        <f>'R1'!K28</f>
        <v>6.9629789237208846E-4</v>
      </c>
      <c r="L6" s="37">
        <f>'R1'!L28</f>
        <v>0</v>
      </c>
      <c r="M6" s="37">
        <f>'R1'!M28</f>
        <v>0</v>
      </c>
      <c r="N6"/>
      <c r="O6" s="37">
        <f>'R1'!O28</f>
        <v>1.2362853993443548</v>
      </c>
      <c r="P6" s="37">
        <f>'R1'!P28</f>
        <v>1.8810317733677733</v>
      </c>
      <c r="Q6" s="37">
        <f>'R1'!Q28</f>
        <v>0</v>
      </c>
      <c r="R6" s="37">
        <f>'R1'!R28</f>
        <v>2.4148799708743685</v>
      </c>
      <c r="S6" s="37">
        <f>'R1'!S28</f>
        <v>1.7703119170428994</v>
      </c>
      <c r="T6" s="37">
        <f>'R1'!T28</f>
        <v>1.587134622722769</v>
      </c>
      <c r="U6" s="37">
        <f>'R1'!U28</f>
        <v>2.1423048203238317</v>
      </c>
      <c r="V6" s="37">
        <f>'R1'!V28</f>
        <v>1.6174235810409547</v>
      </c>
    </row>
    <row r="7" spans="1:22" s="1" customFormat="1" x14ac:dyDescent="0.25">
      <c r="A7" s="143"/>
      <c r="B7" s="37">
        <f>'R1'!B29</f>
        <v>4.5828289330880012E-2</v>
      </c>
      <c r="C7" s="37">
        <f>'R1'!C29</f>
        <v>4.177787354232531E-3</v>
      </c>
      <c r="D7" s="37">
        <f>'R1'!D29</f>
        <v>0</v>
      </c>
      <c r="E7" s="37">
        <f>'R1'!E29</f>
        <v>0</v>
      </c>
      <c r="F7" s="37">
        <f>'R1'!F29</f>
        <v>0.53875624850404746</v>
      </c>
      <c r="G7" s="37">
        <f>'R1'!G29</f>
        <v>1.637633202795169</v>
      </c>
      <c r="H7" s="37">
        <f>'R1'!H29</f>
        <v>0.61164674982260858</v>
      </c>
      <c r="I7" s="37">
        <f>'R1'!I29</f>
        <v>6.9629789237208846E-4</v>
      </c>
      <c r="J7" s="37">
        <f>'R1'!J29</f>
        <v>0</v>
      </c>
      <c r="K7" s="37">
        <f>'R1'!K29</f>
        <v>0</v>
      </c>
      <c r="L7" s="37">
        <f>'R1'!L29</f>
        <v>1.0656754328377696E-2</v>
      </c>
      <c r="M7" s="37">
        <f>'R1'!M29</f>
        <v>1.0486925574140601E-2</v>
      </c>
      <c r="N7"/>
      <c r="O7" s="37">
        <f>'R1'!O29</f>
        <v>0.76726083733005845</v>
      </c>
      <c r="P7" s="37">
        <f>'R1'!P29</f>
        <v>1.9123736699622291</v>
      </c>
      <c r="Q7" s="37">
        <f>'R1'!Q29</f>
        <v>0</v>
      </c>
      <c r="R7" s="37">
        <f>'R1'!R29</f>
        <v>0.93909357086715095</v>
      </c>
      <c r="S7" s="37">
        <f>'R1'!S29</f>
        <v>1.8766077343198968</v>
      </c>
      <c r="T7" s="37">
        <f>'R1'!T29</f>
        <v>1.7027625300450948</v>
      </c>
      <c r="U7" s="37">
        <f>'R1'!U29</f>
        <v>2.0222868397044769</v>
      </c>
      <c r="V7" s="37">
        <f>'R1'!V29</f>
        <v>1.4784951686372994</v>
      </c>
    </row>
    <row r="8" spans="1:22" s="1" customFormat="1" x14ac:dyDescent="0.25">
      <c r="A8" s="144"/>
      <c r="B8" s="37">
        <f>'R1'!B30</f>
        <v>0</v>
      </c>
      <c r="C8" s="37">
        <f>'R1'!C30</f>
        <v>1.53270450698978E-2</v>
      </c>
      <c r="D8" s="37">
        <f>'R1'!D30</f>
        <v>4.5632986263507355E-2</v>
      </c>
      <c r="E8" s="37">
        <f>'R1'!E30</f>
        <v>0</v>
      </c>
      <c r="F8" s="37">
        <f>'R1'!F30</f>
        <v>1.5925606514206441</v>
      </c>
      <c r="G8" s="37">
        <f>'R1'!G30</f>
        <v>2.3180351237706653</v>
      </c>
      <c r="H8" s="37">
        <f>'R1'!H30</f>
        <v>1.7048514237222112</v>
      </c>
      <c r="I8" s="37">
        <f>'R1'!I30</f>
        <v>2.3894905721159231E-2</v>
      </c>
      <c r="J8" s="37">
        <f>'R1'!J30</f>
        <v>4.3178960764781338E-2</v>
      </c>
      <c r="K8" s="37">
        <f>'R1'!K30</f>
        <v>4.7085022112234517E-2</v>
      </c>
      <c r="L8" s="37">
        <f>'R1'!L30</f>
        <v>8.3046260821939329E-3</v>
      </c>
      <c r="M8" s="37">
        <f>'R1'!M30</f>
        <v>0</v>
      </c>
      <c r="N8"/>
      <c r="O8" s="37">
        <f>'R1'!O30</f>
        <v>0.99494175669801954</v>
      </c>
      <c r="P8" s="37">
        <f>'R1'!P30</f>
        <v>1.8901600689080171</v>
      </c>
      <c r="Q8" s="37">
        <f>'R1'!Q30</f>
        <v>0</v>
      </c>
      <c r="R8" s="37">
        <f>'R1'!R30</f>
        <v>1.663065058742174</v>
      </c>
      <c r="S8" s="37">
        <f>'R1'!S30</f>
        <v>1.2806446699510841</v>
      </c>
      <c r="T8" s="37">
        <f>'R1'!T30</f>
        <v>1.5364662138961316</v>
      </c>
      <c r="U8" s="37">
        <f>'R1'!U30</f>
        <v>2.1379911699662095</v>
      </c>
      <c r="V8" s="37">
        <f>'R1'!V30</f>
        <v>1.5536019351986545</v>
      </c>
    </row>
    <row r="9" spans="1:22" s="1" customFormat="1" x14ac:dyDescent="0.25">
      <c r="A9" s="144"/>
      <c r="B9" s="37">
        <f>'R1'!B31</f>
        <v>8.405674190965004E-2</v>
      </c>
      <c r="C9" s="37">
        <f>'R1'!C31</f>
        <v>6.5341613192722206E-2</v>
      </c>
      <c r="D9" s="37">
        <f>'R1'!D31</f>
        <v>0</v>
      </c>
      <c r="E9" s="37">
        <f>'R1'!E31</f>
        <v>0.12414481934731625</v>
      </c>
      <c r="F9" s="37">
        <f>'R1'!F31</f>
        <v>1.5675618587969438</v>
      </c>
      <c r="G9" s="37">
        <f>'R1'!G31</f>
        <v>2.576556944908083</v>
      </c>
      <c r="H9" s="37">
        <f>'R1'!H31</f>
        <v>1.5974432281049606</v>
      </c>
      <c r="I9" s="37">
        <f>'R1'!I31</f>
        <v>1.032558825761536E-2</v>
      </c>
      <c r="J9" s="37">
        <f>'R1'!J31</f>
        <v>2.776700131776499E-3</v>
      </c>
      <c r="K9" s="37">
        <f>'R1'!K31</f>
        <v>1.100490327456374E-2</v>
      </c>
      <c r="L9" s="37">
        <f>'R1'!L31</f>
        <v>7.1124282274495271E-2</v>
      </c>
      <c r="M9" s="37">
        <f>'R1'!M31</f>
        <v>0</v>
      </c>
      <c r="N9"/>
      <c r="O9" s="37">
        <f>'R1'!O31</f>
        <v>1.5064574730224369</v>
      </c>
      <c r="P9" s="37">
        <f>'R1'!P31</f>
        <v>2.7755283133722632</v>
      </c>
      <c r="Q9" s="37">
        <f>'R1'!Q31</f>
        <v>0</v>
      </c>
      <c r="R9" s="37">
        <f>'R1'!R31</f>
        <v>1.3390487785332208</v>
      </c>
      <c r="S9" s="37">
        <f>'R1'!S31</f>
        <v>1.6406391717451656</v>
      </c>
      <c r="T9" s="37">
        <f>'R1'!T31</f>
        <v>1.1876124783800035</v>
      </c>
      <c r="U9" s="37">
        <f>'R1'!U31</f>
        <v>1.0412200922276278</v>
      </c>
      <c r="V9" s="37">
        <f>'R1'!V31</f>
        <v>1.8977259399092796</v>
      </c>
    </row>
    <row r="10" spans="1:22" s="1" customFormat="1" x14ac:dyDescent="0.25">
      <c r="A10" s="144"/>
      <c r="B10" s="37">
        <f>'R1'!B32</f>
        <v>1.3671214716086126E-3</v>
      </c>
      <c r="C10" s="37">
        <f>'R1'!C32</f>
        <v>0</v>
      </c>
      <c r="D10" s="37">
        <f>'R1'!D32</f>
        <v>9.534186262870499E-2</v>
      </c>
      <c r="E10" s="37">
        <f>'R1'!E32</f>
        <v>0.1011924632121729</v>
      </c>
      <c r="F10" s="37">
        <f>'R1'!F32</f>
        <v>1.4488940167737738</v>
      </c>
      <c r="G10" s="37">
        <f>'R1'!G32</f>
        <v>1.5796621575363368</v>
      </c>
      <c r="H10" s="37">
        <f>'R1'!H32</f>
        <v>3.2892093463132035</v>
      </c>
      <c r="I10" s="37">
        <f>'R1'!I32</f>
        <v>1.8095253763962444E-2</v>
      </c>
      <c r="J10" s="37">
        <f>'R1'!J32</f>
        <v>1.016425094109012E-2</v>
      </c>
      <c r="K10" s="37">
        <f>'R1'!K32</f>
        <v>0</v>
      </c>
      <c r="L10" s="37">
        <f>'R1'!L32</f>
        <v>0</v>
      </c>
      <c r="M10" s="37">
        <f>'R1'!M32</f>
        <v>0</v>
      </c>
      <c r="N10"/>
      <c r="O10" s="37">
        <f>'R1'!O32</f>
        <v>1.1728373767613762</v>
      </c>
      <c r="P10" s="37">
        <f>'R1'!P32</f>
        <v>0.58808301017221165</v>
      </c>
      <c r="Q10" s="37">
        <f>'R1'!Q32</f>
        <v>8.9992256870236501E-2</v>
      </c>
      <c r="R10" s="37">
        <f>'R1'!R32</f>
        <v>8.315664951219344E-2</v>
      </c>
      <c r="S10" s="37">
        <f>'R1'!S32</f>
        <v>1.4145886084178807</v>
      </c>
      <c r="T10" s="37">
        <f>'R1'!T32</f>
        <v>2.5096868729272268</v>
      </c>
      <c r="U10" s="37">
        <f>'R1'!U32</f>
        <v>1.6410637436307582</v>
      </c>
      <c r="V10" s="37">
        <f>'R1'!V32</f>
        <v>1.676388124512074</v>
      </c>
    </row>
    <row r="11" spans="1:22" s="1" customFormat="1" x14ac:dyDescent="0.25">
      <c r="A11" s="144"/>
      <c r="B11" s="37">
        <f>'R1'!B33</f>
        <v>0</v>
      </c>
      <c r="C11" s="37">
        <f>'R1'!C33</f>
        <v>9.1945287543963097E-2</v>
      </c>
      <c r="D11" s="37">
        <f>'R1'!D33</f>
        <v>9.2726499813453721E-3</v>
      </c>
      <c r="E11" s="37">
        <f>'R1'!E33</f>
        <v>9.3830386715994842E-3</v>
      </c>
      <c r="F11" s="37">
        <f>'R1'!F33</f>
        <v>1.6747747513468216</v>
      </c>
      <c r="G11" s="37">
        <f>'R1'!G33</f>
        <v>1.0437929978543199</v>
      </c>
      <c r="H11" s="37">
        <f>'R1'!H33</f>
        <v>2.8155994079345055</v>
      </c>
      <c r="I11" s="37">
        <f>'R1'!I33</f>
        <v>1.4690187241508696E-3</v>
      </c>
      <c r="J11" s="37">
        <f>'R1'!J33</f>
        <v>3.6988702672839234E-2</v>
      </c>
      <c r="K11" s="37">
        <f>'R1'!K33</f>
        <v>4.2491154310121106E-2</v>
      </c>
      <c r="L11" s="37">
        <f>'R1'!L33</f>
        <v>5.4599944487225957E-3</v>
      </c>
      <c r="M11" s="37">
        <f>'R1'!M33</f>
        <v>7.5658710012625708E-3</v>
      </c>
      <c r="N11"/>
      <c r="O11" s="37">
        <f>'R1'!O33</f>
        <v>1.8805307785427738</v>
      </c>
      <c r="P11" s="37">
        <f>'R1'!P33</f>
        <v>1.9002394054719887</v>
      </c>
      <c r="Q11" s="37">
        <f>'R1'!Q33</f>
        <v>0</v>
      </c>
      <c r="R11" s="37">
        <f>'R1'!R33</f>
        <v>1.2629909709481379</v>
      </c>
      <c r="S11" s="37">
        <f>'R1'!S33</f>
        <v>1.9562744029325181</v>
      </c>
      <c r="T11" s="37">
        <f>'R1'!T33</f>
        <v>2.1968962733733455</v>
      </c>
      <c r="U11" s="37">
        <f>'R1'!U33</f>
        <v>2.0517266542514769</v>
      </c>
      <c r="V11" s="37">
        <f>'R1'!V33</f>
        <v>1.0827007654500382</v>
      </c>
    </row>
    <row r="12" spans="1:22" s="1" customFormat="1" x14ac:dyDescent="0.25">
      <c r="A12" s="144"/>
      <c r="B12" s="37">
        <f>'R1'!B34</f>
        <v>7.0903504893987057E-2</v>
      </c>
      <c r="C12" s="37">
        <f>'R1'!C34</f>
        <v>0</v>
      </c>
      <c r="D12" s="37">
        <f>'R1'!D34</f>
        <v>8.5975806832529214E-2</v>
      </c>
      <c r="E12" s="37">
        <f>'R1'!E34</f>
        <v>0.8554189436545343</v>
      </c>
      <c r="F12" s="37">
        <f>'R1'!F34</f>
        <v>0.81022751215204347</v>
      </c>
      <c r="G12" s="37">
        <f>'R1'!G34</f>
        <v>1.8174818535322523</v>
      </c>
      <c r="H12" s="37">
        <f>'R1'!H34</f>
        <v>1.8252854847894469</v>
      </c>
      <c r="I12" s="37">
        <f>'R1'!I34</f>
        <v>6.6581363098652993E-2</v>
      </c>
      <c r="J12" s="37">
        <f>'R1'!J34</f>
        <v>7.268670681347655E-3</v>
      </c>
      <c r="K12" s="37">
        <f>'R1'!K34</f>
        <v>0</v>
      </c>
      <c r="L12" s="37">
        <f>'R1'!L34</f>
        <v>0</v>
      </c>
      <c r="M12" s="37">
        <f>'R1'!M34</f>
        <v>0</v>
      </c>
      <c r="N12"/>
      <c r="O12" s="37">
        <f>'R1'!O34</f>
        <v>4.6626484475794358E-2</v>
      </c>
      <c r="P12" s="37">
        <f>'R1'!P34</f>
        <v>1.9277261893452624</v>
      </c>
      <c r="Q12" s="37">
        <f>'R1'!Q34</f>
        <v>2.5236552879632279E-2</v>
      </c>
      <c r="R12" s="37">
        <f>'R1'!R34</f>
        <v>1.3090145633463908</v>
      </c>
      <c r="S12" s="37">
        <f>'R1'!S34</f>
        <v>1.6707583013091143</v>
      </c>
      <c r="T12" s="37">
        <f>'R1'!T34</f>
        <v>1.5188889378325923</v>
      </c>
      <c r="U12" s="37">
        <f>'R1'!U34</f>
        <v>1.4357492711958226</v>
      </c>
      <c r="V12" s="37">
        <f>'R1'!V34</f>
        <v>2.4845861830509843</v>
      </c>
    </row>
    <row r="13" spans="1:22" s="1" customFormat="1" x14ac:dyDescent="0.25">
      <c r="A13" s="144"/>
      <c r="B13" s="37">
        <f>'R1'!B35</f>
        <v>6.9629789237208846E-4</v>
      </c>
      <c r="C13" s="37">
        <f>'R1'!C35</f>
        <v>0</v>
      </c>
      <c r="D13" s="37">
        <f>'R1'!D35</f>
        <v>8.2621688936346596E-3</v>
      </c>
      <c r="E13" s="37">
        <f>'R1'!E35</f>
        <v>3.5112094938519335E-2</v>
      </c>
      <c r="F13" s="37">
        <f>'R1'!F35</f>
        <v>0.19152437759088359</v>
      </c>
      <c r="G13" s="37">
        <f>'R1'!G35</f>
        <v>0.99106116966370195</v>
      </c>
      <c r="H13" s="37">
        <f>'R1'!H35</f>
        <v>1.9472989532710876</v>
      </c>
      <c r="I13" s="37">
        <f>'R1'!I35</f>
        <v>9.1435801281251811E-2</v>
      </c>
      <c r="J13" s="37" t="str">
        <f>'R1'!J35</f>
        <v/>
      </c>
      <c r="K13" s="37">
        <f>'R1'!K35</f>
        <v>0</v>
      </c>
      <c r="L13" s="37">
        <f>'R1'!L35</f>
        <v>2.063419363980701E-3</v>
      </c>
      <c r="M13" s="37">
        <f>'R1'!M35</f>
        <v>0</v>
      </c>
      <c r="N13"/>
      <c r="O13" s="37">
        <f>'R1'!O35</f>
        <v>1.0880928283970659</v>
      </c>
      <c r="P13" s="37">
        <f>'R1'!P35</f>
        <v>1.7750076820975549</v>
      </c>
      <c r="Q13" s="37">
        <f>'R1'!Q35</f>
        <v>2.8276487580476276E-3</v>
      </c>
      <c r="R13" s="37">
        <f>'R1'!R35</f>
        <v>1.7780221424852634</v>
      </c>
      <c r="S13" s="37">
        <f>'R1'!S35</f>
        <v>1.3963405087751048</v>
      </c>
      <c r="T13" s="37">
        <f>'R1'!T35</f>
        <v>2.2729880467092758</v>
      </c>
      <c r="U13" s="37">
        <f>'R1'!U35</f>
        <v>1.1065277396695026</v>
      </c>
      <c r="V13" s="37">
        <f>'R1'!V35</f>
        <v>0.42131966494909651</v>
      </c>
    </row>
    <row r="14" spans="1:22" s="1" customFormat="1" x14ac:dyDescent="0.25">
      <c r="A14" s="144"/>
      <c r="B14" s="37" t="str">
        <f>'R1'!B36</f>
        <v/>
      </c>
      <c r="C14" s="37" t="str">
        <f>'R1'!C36</f>
        <v/>
      </c>
      <c r="D14" s="37" t="str">
        <f>'R1'!D36</f>
        <v/>
      </c>
      <c r="E14" s="37" t="str">
        <f>'R1'!E36</f>
        <v/>
      </c>
      <c r="F14" s="37" t="str">
        <f>'R1'!F36</f>
        <v/>
      </c>
      <c r="G14" s="37" t="str">
        <f>'R1'!G36</f>
        <v/>
      </c>
      <c r="H14" s="37" t="str">
        <f>'R1'!H36</f>
        <v/>
      </c>
      <c r="I14" s="37" t="str">
        <f>'R1'!I36</f>
        <v/>
      </c>
      <c r="J14" s="37" t="str">
        <f>'R1'!J36</f>
        <v/>
      </c>
      <c r="K14" s="37" t="str">
        <f>'R1'!K36</f>
        <v/>
      </c>
      <c r="L14" s="37" t="str">
        <f>'R1'!L36</f>
        <v/>
      </c>
      <c r="M14" s="37" t="str">
        <f>'R1'!M36</f>
        <v/>
      </c>
      <c r="N14"/>
      <c r="O14" s="37">
        <f>'R1'!O36</f>
        <v>4.1183472902495471E-3</v>
      </c>
      <c r="P14" s="37" t="str">
        <f>'R1'!P36</f>
        <v/>
      </c>
      <c r="Q14" s="37" t="str">
        <f>'R1'!Q36</f>
        <v/>
      </c>
      <c r="R14" s="37" t="str">
        <f>'R1'!R36</f>
        <v/>
      </c>
      <c r="S14" s="37" t="str">
        <f>'R1'!S36</f>
        <v/>
      </c>
      <c r="T14" s="37" t="str">
        <f>'R1'!T36</f>
        <v/>
      </c>
      <c r="U14" s="37" t="str">
        <f>'R1'!U36</f>
        <v/>
      </c>
      <c r="V14" s="37" t="str">
        <f>'R1'!V36</f>
        <v/>
      </c>
    </row>
    <row r="15" spans="1:22" s="1" customFormat="1" x14ac:dyDescent="0.25">
      <c r="A15" s="144"/>
      <c r="B15" s="37" t="str">
        <f>'R1'!B37</f>
        <v/>
      </c>
      <c r="C15" s="37" t="str">
        <f>'R1'!C37</f>
        <v/>
      </c>
      <c r="D15" s="37" t="str">
        <f>'R1'!D37</f>
        <v/>
      </c>
      <c r="E15" s="37" t="str">
        <f>'R1'!E37</f>
        <v/>
      </c>
      <c r="F15" s="37" t="str">
        <f>'R1'!F37</f>
        <v/>
      </c>
      <c r="G15" s="37" t="str">
        <f>'R1'!G37</f>
        <v/>
      </c>
      <c r="H15" s="37" t="str">
        <f>'R1'!H37</f>
        <v/>
      </c>
      <c r="I15" s="37" t="str">
        <f>'R1'!I37</f>
        <v/>
      </c>
      <c r="J15" s="37" t="str">
        <f>'R1'!J37</f>
        <v/>
      </c>
      <c r="K15" s="37" t="str">
        <f>'R1'!K37</f>
        <v/>
      </c>
      <c r="L15" s="37" t="str">
        <f>'R1'!L37</f>
        <v/>
      </c>
      <c r="M15" s="37" t="str">
        <f>'R1'!M37</f>
        <v/>
      </c>
      <c r="N15"/>
      <c r="O15" s="37">
        <f>'R1'!O37</f>
        <v>1.3196288604862092</v>
      </c>
      <c r="P15" s="37" t="str">
        <f>'R1'!P37</f>
        <v/>
      </c>
      <c r="Q15" s="37" t="str">
        <f>'R1'!Q37</f>
        <v/>
      </c>
      <c r="R15" s="37" t="str">
        <f>'R1'!R37</f>
        <v/>
      </c>
      <c r="S15" s="37" t="str">
        <f>'R1'!S37</f>
        <v/>
      </c>
      <c r="T15" s="37" t="str">
        <f>'R1'!T37</f>
        <v/>
      </c>
      <c r="U15" s="37" t="str">
        <f>'R1'!U37</f>
        <v/>
      </c>
      <c r="V15" s="37" t="str">
        <f>'R1'!V37</f>
        <v/>
      </c>
    </row>
    <row r="16" spans="1:22" s="1" customFormat="1" x14ac:dyDescent="0.25">
      <c r="A16" s="144"/>
      <c r="B16" s="37" t="str">
        <f>'R1'!B38</f>
        <v/>
      </c>
      <c r="C16" s="37" t="str">
        <f>'R1'!C38</f>
        <v/>
      </c>
      <c r="D16" s="37" t="str">
        <f>'R1'!D38</f>
        <v/>
      </c>
      <c r="E16" s="37" t="str">
        <f>'R1'!E38</f>
        <v/>
      </c>
      <c r="F16" s="37" t="str">
        <f>'R1'!F38</f>
        <v/>
      </c>
      <c r="G16" s="37" t="str">
        <f>'R1'!G38</f>
        <v/>
      </c>
      <c r="H16" s="37" t="str">
        <f>'R1'!H38</f>
        <v/>
      </c>
      <c r="I16" s="37" t="str">
        <f>'R1'!I38</f>
        <v/>
      </c>
      <c r="J16" s="37" t="str">
        <f>'R1'!J38</f>
        <v/>
      </c>
      <c r="K16" s="37" t="str">
        <f>'R1'!K38</f>
        <v/>
      </c>
      <c r="L16" s="37" t="str">
        <f>'R1'!L38</f>
        <v/>
      </c>
      <c r="M16" s="37" t="str">
        <f>'R1'!M38</f>
        <v/>
      </c>
      <c r="N16"/>
      <c r="O16" s="37">
        <f>'R1'!O38</f>
        <v>0.62946178614207982</v>
      </c>
      <c r="P16" s="37" t="str">
        <f>'R1'!P38</f>
        <v/>
      </c>
      <c r="Q16" s="37" t="str">
        <f>'R1'!Q38</f>
        <v/>
      </c>
      <c r="R16" s="37" t="str">
        <f>'R1'!R38</f>
        <v/>
      </c>
      <c r="S16" s="37" t="str">
        <f>'R1'!S38</f>
        <v/>
      </c>
      <c r="T16" s="37" t="str">
        <f>'R1'!T38</f>
        <v/>
      </c>
      <c r="U16" s="37" t="str">
        <f>'R1'!U38</f>
        <v/>
      </c>
      <c r="V16" s="37" t="str">
        <f>'R1'!V38</f>
        <v/>
      </c>
    </row>
    <row r="17" spans="1:22" s="1" customFormat="1" x14ac:dyDescent="0.25">
      <c r="A17" s="144"/>
      <c r="B17" s="37" t="str">
        <f>'R1'!B39</f>
        <v/>
      </c>
      <c r="C17" s="37" t="str">
        <f>'R1'!C39</f>
        <v/>
      </c>
      <c r="D17" s="37" t="str">
        <f>'R1'!D39</f>
        <v/>
      </c>
      <c r="E17" s="37" t="str">
        <f>'R1'!E39</f>
        <v/>
      </c>
      <c r="F17" s="37" t="str">
        <f>'R1'!F39</f>
        <v/>
      </c>
      <c r="G17" s="37" t="str">
        <f>'R1'!G39</f>
        <v/>
      </c>
      <c r="H17" s="37" t="str">
        <f>'R1'!H39</f>
        <v/>
      </c>
      <c r="I17" s="37" t="str">
        <f>'R1'!I39</f>
        <v/>
      </c>
      <c r="J17" s="37" t="str">
        <f>'R1'!J39</f>
        <v/>
      </c>
      <c r="K17" s="37" t="str">
        <f>'R1'!K39</f>
        <v/>
      </c>
      <c r="L17" s="37" t="str">
        <f>'R1'!L39</f>
        <v/>
      </c>
      <c r="M17" s="37" t="str">
        <f>'R1'!M39</f>
        <v/>
      </c>
      <c r="N17"/>
      <c r="O17" s="37">
        <f>'R1'!O39</f>
        <v>0.89483619751296406</v>
      </c>
      <c r="P17" s="37" t="str">
        <f>'R1'!P39</f>
        <v/>
      </c>
      <c r="Q17" s="37" t="str">
        <f>'R1'!Q39</f>
        <v/>
      </c>
      <c r="R17" s="37" t="str">
        <f>'R1'!R39</f>
        <v/>
      </c>
      <c r="S17" s="37" t="str">
        <f>'R1'!S39</f>
        <v/>
      </c>
      <c r="T17" s="37" t="str">
        <f>'R1'!T39</f>
        <v/>
      </c>
      <c r="U17" s="37" t="str">
        <f>'R1'!U39</f>
        <v/>
      </c>
      <c r="V17" s="37" t="str">
        <f>'R1'!V39</f>
        <v/>
      </c>
    </row>
    <row r="18" spans="1:22" s="1" customFormat="1" x14ac:dyDescent="0.25">
      <c r="A18" s="144"/>
      <c r="B18" s="37" t="str">
        <f>'R1'!B40</f>
        <v/>
      </c>
      <c r="C18" s="37" t="str">
        <f>'R1'!C40</f>
        <v/>
      </c>
      <c r="D18" s="37" t="str">
        <f>'R1'!D40</f>
        <v/>
      </c>
      <c r="E18" s="37" t="str">
        <f>'R1'!E40</f>
        <v/>
      </c>
      <c r="F18" s="37" t="str">
        <f>'R1'!F40</f>
        <v/>
      </c>
      <c r="G18" s="37" t="str">
        <f>'R1'!G40</f>
        <v/>
      </c>
      <c r="H18" s="37" t="str">
        <f>'R1'!H40</f>
        <v/>
      </c>
      <c r="I18" s="37" t="str">
        <f>'R1'!I40</f>
        <v/>
      </c>
      <c r="J18" s="37" t="str">
        <f>'R1'!J40</f>
        <v/>
      </c>
      <c r="K18" s="37" t="str">
        <f>'R1'!K40</f>
        <v/>
      </c>
      <c r="L18" s="37" t="str">
        <f>'R1'!L40</f>
        <v/>
      </c>
      <c r="M18" s="37" t="str">
        <f>'R1'!M40</f>
        <v/>
      </c>
      <c r="N18"/>
      <c r="O18" s="37">
        <f>'R1'!O40</f>
        <v>1.3658222816386989</v>
      </c>
      <c r="P18" s="37" t="str">
        <f>'R1'!P40</f>
        <v/>
      </c>
      <c r="Q18" s="37" t="str">
        <f>'R1'!Q40</f>
        <v/>
      </c>
      <c r="R18" s="37" t="str">
        <f>'R1'!R40</f>
        <v/>
      </c>
      <c r="S18" s="37" t="str">
        <f>'R1'!S40</f>
        <v/>
      </c>
      <c r="T18" s="37" t="str">
        <f>'R1'!T40</f>
        <v/>
      </c>
      <c r="U18" s="37" t="str">
        <f>'R1'!U40</f>
        <v/>
      </c>
      <c r="V18" s="37" t="str">
        <f>'R1'!V40</f>
        <v/>
      </c>
    </row>
    <row r="19" spans="1:22" s="1" customFormat="1" x14ac:dyDescent="0.25">
      <c r="A19" s="144"/>
      <c r="B19" s="37" t="str">
        <f>'R1'!B41</f>
        <v/>
      </c>
      <c r="C19" s="37" t="str">
        <f>'R1'!C41</f>
        <v/>
      </c>
      <c r="D19" s="37" t="str">
        <f>'R1'!D41</f>
        <v/>
      </c>
      <c r="E19" s="37" t="str">
        <f>'R1'!E41</f>
        <v/>
      </c>
      <c r="F19" s="37" t="str">
        <f>'R1'!F41</f>
        <v/>
      </c>
      <c r="G19" s="37" t="str">
        <f>'R1'!G41</f>
        <v/>
      </c>
      <c r="H19" s="37" t="str">
        <f>'R1'!H41</f>
        <v/>
      </c>
      <c r="I19" s="37" t="str">
        <f>'R1'!I41</f>
        <v/>
      </c>
      <c r="J19" s="37" t="str">
        <f>'R1'!J41</f>
        <v/>
      </c>
      <c r="K19" s="37" t="str">
        <f>'R1'!K41</f>
        <v/>
      </c>
      <c r="L19" s="37" t="str">
        <f>'R1'!L41</f>
        <v/>
      </c>
      <c r="M19" s="37" t="str">
        <f>'R1'!M41</f>
        <v/>
      </c>
      <c r="N19"/>
      <c r="O19" s="37">
        <f>'R1'!O41</f>
        <v>1.7478350814196197</v>
      </c>
      <c r="P19" s="37" t="str">
        <f>'R1'!P41</f>
        <v/>
      </c>
      <c r="Q19" s="37" t="str">
        <f>'R1'!Q41</f>
        <v/>
      </c>
      <c r="R19" s="37" t="str">
        <f>'R1'!R41</f>
        <v/>
      </c>
      <c r="S19" s="37" t="str">
        <f>'R1'!S41</f>
        <v/>
      </c>
      <c r="T19" s="37" t="str">
        <f>'R1'!T41</f>
        <v/>
      </c>
      <c r="U19" s="37" t="str">
        <f>'R1'!U41</f>
        <v/>
      </c>
      <c r="V19" s="37" t="str">
        <f>'R1'!V41</f>
        <v/>
      </c>
    </row>
    <row r="20" spans="1:22" s="1" customFormat="1" x14ac:dyDescent="0.25">
      <c r="A20" s="144"/>
      <c r="B20" s="37" t="str">
        <f>'R1'!B42</f>
        <v/>
      </c>
      <c r="C20" s="37" t="str">
        <f>'R1'!C42</f>
        <v/>
      </c>
      <c r="D20" s="37" t="str">
        <f>'R1'!D42</f>
        <v/>
      </c>
      <c r="E20" s="37" t="str">
        <f>'R1'!E42</f>
        <v/>
      </c>
      <c r="F20" s="37" t="str">
        <f>'R1'!F42</f>
        <v/>
      </c>
      <c r="G20" s="37" t="str">
        <f>'R1'!G42</f>
        <v/>
      </c>
      <c r="H20" s="37" t="str">
        <f>'R1'!H42</f>
        <v/>
      </c>
      <c r="I20" s="37" t="str">
        <f>'R1'!I42</f>
        <v/>
      </c>
      <c r="J20" s="37" t="str">
        <f>'R1'!J42</f>
        <v/>
      </c>
      <c r="K20" s="37" t="str">
        <f>'R1'!K42</f>
        <v/>
      </c>
      <c r="L20" s="37" t="str">
        <f>'R1'!L42</f>
        <v/>
      </c>
      <c r="M20" s="37" t="str">
        <f>'R1'!M42</f>
        <v/>
      </c>
      <c r="N20"/>
      <c r="O20" s="37">
        <f>'R1'!O42</f>
        <v>0.18869672883283597</v>
      </c>
      <c r="P20" s="37" t="str">
        <f>'R1'!P42</f>
        <v/>
      </c>
      <c r="Q20" s="37" t="str">
        <f>'R1'!Q42</f>
        <v/>
      </c>
      <c r="R20" s="37" t="str">
        <f>'R1'!R42</f>
        <v/>
      </c>
      <c r="S20" s="37" t="str">
        <f>'R1'!S42</f>
        <v/>
      </c>
      <c r="T20" s="37" t="str">
        <f>'R1'!T42</f>
        <v/>
      </c>
      <c r="U20" s="37" t="str">
        <f>'R1'!U42</f>
        <v/>
      </c>
      <c r="V20" s="37" t="str">
        <f>'R1'!V42</f>
        <v/>
      </c>
    </row>
    <row r="21" spans="1:22" s="1" customFormat="1" x14ac:dyDescent="0.25">
      <c r="A21" s="145"/>
      <c r="B21" s="37" t="str">
        <f>'R1'!B43</f>
        <v/>
      </c>
      <c r="C21" s="37" t="str">
        <f>'R1'!C43</f>
        <v/>
      </c>
      <c r="D21" s="37" t="str">
        <f>'R1'!D43</f>
        <v/>
      </c>
      <c r="E21" s="37" t="str">
        <f>'R1'!E43</f>
        <v/>
      </c>
      <c r="F21" s="37" t="str">
        <f>'R1'!F43</f>
        <v/>
      </c>
      <c r="G21" s="37" t="str">
        <f>'R1'!G43</f>
        <v/>
      </c>
      <c r="H21" s="37" t="str">
        <f>'R1'!H43</f>
        <v/>
      </c>
      <c r="I21" s="37" t="str">
        <f>'R1'!I43</f>
        <v/>
      </c>
      <c r="J21" s="37" t="str">
        <f>'R1'!J43</f>
        <v/>
      </c>
      <c r="K21" s="37" t="str">
        <f>'R1'!K43</f>
        <v/>
      </c>
      <c r="L21" s="37" t="str">
        <f>'R1'!L43</f>
        <v/>
      </c>
      <c r="M21" s="37" t="str">
        <f>'R1'!M43</f>
        <v/>
      </c>
      <c r="N21"/>
      <c r="O21" s="37">
        <f>'R1'!O43</f>
        <v>1.1565677821054625</v>
      </c>
      <c r="P21" s="37" t="str">
        <f>'R1'!P43</f>
        <v/>
      </c>
      <c r="Q21" s="37" t="str">
        <f>'R1'!Q43</f>
        <v/>
      </c>
      <c r="R21" s="37" t="str">
        <f>'R1'!R43</f>
        <v/>
      </c>
      <c r="S21" s="37" t="str">
        <f>'R1'!S43</f>
        <v/>
      </c>
      <c r="T21" s="37" t="str">
        <f>'R1'!T43</f>
        <v/>
      </c>
      <c r="U21" s="37" t="str">
        <f>'R1'!U43</f>
        <v/>
      </c>
      <c r="V21" s="37" t="str">
        <f>'R1'!V43</f>
        <v/>
      </c>
    </row>
    <row r="22" spans="1:22" x14ac:dyDescent="0.25">
      <c r="A22" s="24" t="s">
        <v>4</v>
      </c>
      <c r="B22" s="38">
        <f>'R2'!B28</f>
        <v>0</v>
      </c>
      <c r="C22" s="38">
        <f>'R2'!C28</f>
        <v>0.11664452909628591</v>
      </c>
      <c r="D22" s="38">
        <f>'R2'!D28</f>
        <v>1.5854844368703325</v>
      </c>
      <c r="E22" s="38">
        <f>'R2'!E28</f>
        <v>0.64368202095133076</v>
      </c>
      <c r="F22" s="38">
        <f>'R2'!F28</f>
        <v>0.65589569445140594</v>
      </c>
      <c r="G22" s="38">
        <f>'R2'!G28</f>
        <v>1.5406821713197334</v>
      </c>
      <c r="H22" s="38">
        <f>'R2'!H28</f>
        <v>1.2625269410054636</v>
      </c>
      <c r="I22" s="38">
        <f>'R2'!I28</f>
        <v>1.1093428900806978E-2</v>
      </c>
      <c r="J22" s="38">
        <f>'R2'!J28</f>
        <v>6.6214726078893296E-2</v>
      </c>
      <c r="K22" s="38">
        <f>'R2'!K28</f>
        <v>6.2331462082101149E-2</v>
      </c>
      <c r="L22" s="38">
        <f>'R2'!L28</f>
        <v>2.0589193524134131E-2</v>
      </c>
      <c r="M22" s="38">
        <f>'R2'!M28</f>
        <v>7.6823216881359332E-2</v>
      </c>
      <c r="O22" s="38">
        <f>'R2'!O28</f>
        <v>0.78077665279935848</v>
      </c>
      <c r="P22" s="38">
        <f>'R2'!P28</f>
        <v>1.1875344594255928</v>
      </c>
      <c r="Q22" s="38">
        <f>'R2'!Q28</f>
        <v>8.9615808731391911E-2</v>
      </c>
      <c r="R22" s="38">
        <f>'R2'!R28</f>
        <v>1.4555135080948325</v>
      </c>
      <c r="S22" s="38">
        <f>'R2'!S28</f>
        <v>1.3319332364292518</v>
      </c>
      <c r="T22" s="38">
        <f>'R2'!T28</f>
        <v>1.2201982356774097</v>
      </c>
      <c r="U22" s="38">
        <f>'R2'!U28</f>
        <v>1.1742193373765726</v>
      </c>
      <c r="V22" s="38">
        <f>'R2'!V28</f>
        <v>1.4011478121397425</v>
      </c>
    </row>
    <row r="23" spans="1:22" x14ac:dyDescent="0.25">
      <c r="A23" s="143"/>
      <c r="B23" s="38">
        <f>'R2'!B29</f>
        <v>0</v>
      </c>
      <c r="C23" s="38">
        <f>'R2'!C29</f>
        <v>8.2747731943261002E-2</v>
      </c>
      <c r="D23" s="38">
        <f>'R2'!D29</f>
        <v>8.3826625231817956E-2</v>
      </c>
      <c r="E23" s="38">
        <f>'R2'!E29</f>
        <v>0.53037942960252626</v>
      </c>
      <c r="F23" s="38">
        <f>'R2'!F29</f>
        <v>1.2680304245401235</v>
      </c>
      <c r="G23" s="38">
        <f>'R2'!G29</f>
        <v>1.125913488045712</v>
      </c>
      <c r="H23" s="38">
        <f>'R2'!H29</f>
        <v>1.2346035286451809</v>
      </c>
      <c r="I23" s="38">
        <f>'R2'!I29</f>
        <v>2.2111673600320788E-2</v>
      </c>
      <c r="J23" s="38">
        <f>'R2'!J29</f>
        <v>1.9149416069369957E-2</v>
      </c>
      <c r="K23" s="38">
        <f>'R2'!K29</f>
        <v>0.11143802315673401</v>
      </c>
      <c r="L23" s="38">
        <f>'R2'!L29</f>
        <v>1.5713498070272169E-3</v>
      </c>
      <c r="M23" s="38">
        <f>'R2'!M29</f>
        <v>5.1098942408901817E-2</v>
      </c>
      <c r="O23" s="38">
        <f>'R2'!O29</f>
        <v>0.83616109468197086</v>
      </c>
      <c r="P23" s="38">
        <f>'R2'!P29</f>
        <v>1.4222219437622174</v>
      </c>
      <c r="Q23" s="38">
        <f>'R2'!Q29</f>
        <v>4.9057691343792299E-3</v>
      </c>
      <c r="R23" s="38">
        <f>'R2'!R29</f>
        <v>1.289450403488547</v>
      </c>
      <c r="S23" s="38">
        <f>'R2'!S29</f>
        <v>1.1408563480527292</v>
      </c>
      <c r="T23" s="38">
        <f>'R2'!T29</f>
        <v>1.2161721216981607</v>
      </c>
      <c r="U23" s="38">
        <f>'R2'!U29</f>
        <v>1.3121898651696657</v>
      </c>
      <c r="V23" s="38">
        <f>'R2'!V29</f>
        <v>1.341207207658764</v>
      </c>
    </row>
    <row r="24" spans="1:22" x14ac:dyDescent="0.25">
      <c r="A24" s="144"/>
      <c r="B24" s="38">
        <f>'R2'!B30</f>
        <v>0</v>
      </c>
      <c r="C24" s="38">
        <f>'R2'!C30</f>
        <v>6.2301388401583883E-2</v>
      </c>
      <c r="D24" s="38">
        <f>'R2'!D30</f>
        <v>0.32198761966818706</v>
      </c>
      <c r="E24" s="38">
        <f>'R2'!E30</f>
        <v>0.14530098741917699</v>
      </c>
      <c r="F24" s="38">
        <f>'R2'!F30</f>
        <v>0.58757205152623937</v>
      </c>
      <c r="G24" s="38">
        <f>'R2'!G30</f>
        <v>1.3962533206355572</v>
      </c>
      <c r="H24" s="38">
        <f>'R2'!H30</f>
        <v>1.2602413412861511</v>
      </c>
      <c r="I24" s="38">
        <f>'R2'!I30</f>
        <v>0</v>
      </c>
      <c r="J24" s="38">
        <f>'R2'!J30</f>
        <v>4.3952684075986168E-2</v>
      </c>
      <c r="K24" s="38">
        <f>'R2'!K30</f>
        <v>3.7193624379730339E-2</v>
      </c>
      <c r="L24" s="38">
        <f>'R2'!L30</f>
        <v>5.6343040449100303E-2</v>
      </c>
      <c r="M24" s="38">
        <f>'R2'!M30</f>
        <v>5.7707633702571301E-2</v>
      </c>
      <c r="O24" s="38">
        <f>'R2'!O30</f>
        <v>1.0630031076136535</v>
      </c>
      <c r="P24" s="38">
        <f>'R2'!P30</f>
        <v>1.4251127763019398</v>
      </c>
      <c r="Q24" s="38">
        <f>'R2'!Q30</f>
        <v>1.8232168813593305E-3</v>
      </c>
      <c r="R24" s="38">
        <f>'R2'!R30</f>
        <v>1.1936694902511154</v>
      </c>
      <c r="S24" s="38">
        <f>'R2'!S30</f>
        <v>1.0121861059596011</v>
      </c>
      <c r="T24" s="38">
        <f>'R2'!T30</f>
        <v>1.1703097589093279</v>
      </c>
      <c r="U24" s="38">
        <f>'R2'!U30</f>
        <v>1.257711392912636</v>
      </c>
      <c r="V24" s="38">
        <f>'R2'!V30</f>
        <v>1.4312026966066864</v>
      </c>
    </row>
    <row r="25" spans="1:22" x14ac:dyDescent="0.25">
      <c r="A25" s="144"/>
      <c r="B25" s="38">
        <f>'R2'!B31</f>
        <v>0</v>
      </c>
      <c r="C25" s="38">
        <f>'R2'!C31</f>
        <v>1.7134479474713048E-2</v>
      </c>
      <c r="D25" s="38">
        <f>'R2'!D31</f>
        <v>0</v>
      </c>
      <c r="E25" s="38">
        <f>'R2'!E31</f>
        <v>0.21968447696857302</v>
      </c>
      <c r="F25" s="38">
        <f>'R2'!F31</f>
        <v>1.5344306049822065</v>
      </c>
      <c r="G25" s="38">
        <f>'R2'!G31</f>
        <v>7.7240489198536419E-2</v>
      </c>
      <c r="H25" s="38">
        <f>'R2'!H31</f>
        <v>1.528757956994637</v>
      </c>
      <c r="I25" s="38">
        <f>'R2'!I31</f>
        <v>6.6259836599669192E-2</v>
      </c>
      <c r="J25" s="38">
        <f>'R2'!J31</f>
        <v>7.6511202445992688E-2</v>
      </c>
      <c r="K25" s="38">
        <f>'R2'!K31</f>
        <v>3.2084857901859561E-2</v>
      </c>
      <c r="L25" s="38">
        <f>'R2'!L31</f>
        <v>0.15289083253972233</v>
      </c>
      <c r="M25" s="38">
        <f>'R2'!M31</f>
        <v>0</v>
      </c>
      <c r="O25" s="38">
        <f>'R2'!O31</f>
        <v>1.2521289659666184</v>
      </c>
      <c r="P25" s="38">
        <f>'R2'!P31</f>
        <v>1.2032968272267055</v>
      </c>
      <c r="Q25" s="38">
        <f>'R2'!Q31</f>
        <v>5.1129016089419083E-2</v>
      </c>
      <c r="R25" s="38">
        <f>'R2'!R31</f>
        <v>1.3424703022404894</v>
      </c>
      <c r="S25" s="38">
        <f>'R2'!S31</f>
        <v>1.7408638664728586</v>
      </c>
      <c r="T25" s="38">
        <f>'R2'!T31</f>
        <v>1.4735426795649342</v>
      </c>
      <c r="U25" s="38">
        <f>'R2'!U31</f>
        <v>1.7173951180391962</v>
      </c>
      <c r="V25" s="38">
        <f>'R2'!V31</f>
        <v>0.8359693749686733</v>
      </c>
    </row>
    <row r="26" spans="1:22" x14ac:dyDescent="0.25">
      <c r="A26" s="144"/>
      <c r="B26" s="38">
        <f>'R2'!B32</f>
        <v>0</v>
      </c>
      <c r="C26" s="38">
        <f>'R2'!C32</f>
        <v>6.741767329958398E-2</v>
      </c>
      <c r="D26" s="38">
        <f>'R2'!D32</f>
        <v>0.69607789083253979</v>
      </c>
      <c r="E26" s="38">
        <f>'R2'!E32</f>
        <v>0.74569194526590155</v>
      </c>
      <c r="F26" s="38">
        <f>'R2'!F32</f>
        <v>0.63603954688988029</v>
      </c>
      <c r="G26" s="38">
        <f>'R2'!G32</f>
        <v>1.3960315272417423</v>
      </c>
      <c r="H26" s="38">
        <f>'R2'!H32</f>
        <v>1.8170592952734199</v>
      </c>
      <c r="I26" s="38">
        <f>'R2'!I32</f>
        <v>4.9941105708987021E-2</v>
      </c>
      <c r="J26" s="38">
        <f>'R2'!J32</f>
        <v>0.10658864217332466</v>
      </c>
      <c r="K26" s="38">
        <f>'R2'!K32</f>
        <v>0.10461881609944365</v>
      </c>
      <c r="L26" s="38">
        <f>'R2'!L32</f>
        <v>0.27200892185855347</v>
      </c>
      <c r="M26" s="38">
        <f>'R2'!M32</f>
        <v>0.12148639165956594</v>
      </c>
      <c r="O26" s="38">
        <f>'R2'!O32</f>
        <v>1.1894403789283745</v>
      </c>
      <c r="P26" s="38">
        <f>'R2'!P32</f>
        <v>0.9610270161896648</v>
      </c>
      <c r="Q26" s="38">
        <f>'R2'!Q32</f>
        <v>0.14664302541226004</v>
      </c>
      <c r="R26" s="38">
        <f>'R2'!R32</f>
        <v>1.4166959049671697</v>
      </c>
      <c r="S26" s="38">
        <f>'R2'!S32</f>
        <v>1.08279534860408</v>
      </c>
      <c r="T26" s="38">
        <f>'R2'!T32</f>
        <v>0.37462783820359885</v>
      </c>
      <c r="U26" s="38">
        <f>'R2'!U32</f>
        <v>1.0903288055736555</v>
      </c>
      <c r="V26" s="38">
        <f>'R2'!V32</f>
        <v>0.7669878702821914</v>
      </c>
    </row>
    <row r="27" spans="1:22" x14ac:dyDescent="0.25">
      <c r="A27" s="144"/>
      <c r="B27" s="38">
        <f>'R2'!B33</f>
        <v>0</v>
      </c>
      <c r="C27" s="38">
        <f>'R2'!C33</f>
        <v>0.19729462182346752</v>
      </c>
      <c r="D27" s="38">
        <f>'R2'!D33</f>
        <v>9.4769685730038602E-3</v>
      </c>
      <c r="E27" s="38">
        <f>'R2'!E33</f>
        <v>0.32502882061049576</v>
      </c>
      <c r="F27" s="38">
        <f>'R2'!F33</f>
        <v>0.68937897849731844</v>
      </c>
      <c r="G27" s="38">
        <f>'R2'!G33</f>
        <v>1.3265876397173075</v>
      </c>
      <c r="H27" s="38">
        <f>'R2'!H33</f>
        <v>1.5318480276677862</v>
      </c>
      <c r="I27" s="38">
        <f>'R2'!I33</f>
        <v>3.0656358077289361E-2</v>
      </c>
      <c r="J27" s="38">
        <f>'R2'!J33</f>
        <v>0.11097939952884568</v>
      </c>
      <c r="K27" s="38">
        <f>'R2'!K33</f>
        <v>4.3042955240338836E-3</v>
      </c>
      <c r="L27" s="38">
        <f>'R2'!L33</f>
        <v>1.819457671294672E-3</v>
      </c>
      <c r="M27" s="38">
        <f>'R2'!M33</f>
        <v>0</v>
      </c>
      <c r="O27" s="38">
        <f>'R2'!O33</f>
        <v>0.74838729888226163</v>
      </c>
      <c r="P27" s="38">
        <f>'R2'!P33</f>
        <v>1.4622537717407649</v>
      </c>
      <c r="Q27" s="38">
        <f>'R2'!Q33</f>
        <v>4.9587739962909133E-2</v>
      </c>
      <c r="R27" s="38">
        <f>'R2'!R33</f>
        <v>0.81983484537115936</v>
      </c>
      <c r="S27" s="38">
        <f>'R2'!S33</f>
        <v>0.85429176482381841</v>
      </c>
      <c r="T27" s="38">
        <f>'R2'!T33</f>
        <v>1.3507029722820911</v>
      </c>
      <c r="U27" s="38">
        <f>'R2'!U33</f>
        <v>1.1539647135481932</v>
      </c>
      <c r="V27" s="38">
        <f>'R2'!V33</f>
        <v>1.4390368903814346</v>
      </c>
    </row>
    <row r="28" spans="1:22" x14ac:dyDescent="0.25">
      <c r="A28" s="144"/>
      <c r="B28" s="38">
        <f>'R2'!B34</f>
        <v>0</v>
      </c>
      <c r="C28" s="38">
        <f>'R2'!C34</f>
        <v>9.3792291113227413E-2</v>
      </c>
      <c r="D28" s="38">
        <f>'R2'!D34</f>
        <v>1.324369705779159E-2</v>
      </c>
      <c r="E28" s="38">
        <f>'R2'!E34</f>
        <v>0.7093215878903314</v>
      </c>
      <c r="F28" s="38">
        <f>'R2'!F34</f>
        <v>1.1957896847275826</v>
      </c>
      <c r="G28" s="38">
        <f>'R2'!G34</f>
        <v>1.4641183399328355</v>
      </c>
      <c r="H28" s="38">
        <f>'R2'!H34</f>
        <v>1.5053719111823969</v>
      </c>
      <c r="I28" s="38">
        <f>'R2'!I34</f>
        <v>0.11759185003257983</v>
      </c>
      <c r="J28" s="38">
        <f>'R2'!J34</f>
        <v>6.6631998396070383E-2</v>
      </c>
      <c r="K28" s="38">
        <f>'R2'!K34</f>
        <v>0.11179890732294122</v>
      </c>
      <c r="L28" s="38">
        <f>'R2'!L34</f>
        <v>9.4179489749887227E-2</v>
      </c>
      <c r="M28" s="38">
        <f>'R2'!M34</f>
        <v>0.15025938549446144</v>
      </c>
      <c r="O28" s="38">
        <f>'R2'!O34</f>
        <v>0.89230489699764426</v>
      </c>
      <c r="P28" s="38">
        <f>'R2'!P34</f>
        <v>0.98376271866071885</v>
      </c>
      <c r="Q28" s="38">
        <f>'R2'!Q34</f>
        <v>0.15775900957345498</v>
      </c>
      <c r="R28" s="38">
        <f>'R2'!R34</f>
        <v>0.62794596762067068</v>
      </c>
      <c r="S28" s="38">
        <f>'R2'!S34</f>
        <v>1.3054232870532807</v>
      </c>
      <c r="T28" s="38">
        <f>'R2'!T34</f>
        <v>1.4620056638764976</v>
      </c>
      <c r="U28" s="38">
        <f>'R2'!U34</f>
        <v>1.0617926419728336</v>
      </c>
      <c r="V28" s="38">
        <f>'R2'!V34</f>
        <v>0.87713272517668295</v>
      </c>
    </row>
    <row r="29" spans="1:22" x14ac:dyDescent="0.25">
      <c r="A29" s="144"/>
      <c r="B29" s="38">
        <f>'R2'!B35</f>
        <v>0</v>
      </c>
      <c r="C29" s="38">
        <f>'R2'!C35</f>
        <v>6.8891283644930079E-2</v>
      </c>
      <c r="D29" s="38">
        <f>'R2'!D35</f>
        <v>3.2028469750889681E-2</v>
      </c>
      <c r="E29" s="38">
        <f>'R2'!E35</f>
        <v>0.63975364643376276</v>
      </c>
      <c r="F29" s="38">
        <f>'R2'!F35</f>
        <v>0.95776402185354126</v>
      </c>
      <c r="G29" s="38">
        <f>'R2'!G35</f>
        <v>1.5685454363189817</v>
      </c>
      <c r="H29" s="38">
        <f>'R2'!H35</f>
        <v>1.3419327352012431</v>
      </c>
      <c r="I29" s="38">
        <f>'R2'!I35</f>
        <v>2.440479173976242E-2</v>
      </c>
      <c r="J29" s="38">
        <f>'R2'!J35</f>
        <v>9.7765776151571351E-2</v>
      </c>
      <c r="K29" s="38">
        <f>'R2'!K35</f>
        <v>0.20567014184752647</v>
      </c>
      <c r="L29" s="38">
        <f>'R2'!L35</f>
        <v>3.3434414315071929E-2</v>
      </c>
      <c r="M29" s="38">
        <f>'R2'!M35</f>
        <v>7.0176933487043264E-2</v>
      </c>
      <c r="O29" s="38">
        <f>'R2'!O35</f>
        <v>1.1015199739361436</v>
      </c>
      <c r="P29" s="38">
        <f>'R2'!P35</f>
        <v>1.3418688286301439</v>
      </c>
      <c r="Q29" s="38">
        <f>'R2'!Q35</f>
        <v>8.8254974687985571E-2</v>
      </c>
      <c r="R29" s="38">
        <f>'R2'!R35</f>
        <v>1.4202483584782719</v>
      </c>
      <c r="S29" s="38">
        <f>'R2'!S35</f>
        <v>0.98448824620319786</v>
      </c>
      <c r="T29" s="38">
        <f>'R2'!T35</f>
        <v>1.5018833642423939</v>
      </c>
      <c r="U29" s="38">
        <f>'R2'!U35</f>
        <v>1.1230602476066363</v>
      </c>
      <c r="V29" s="38">
        <f>'R2'!V35</f>
        <v>1.5246904917046766</v>
      </c>
    </row>
    <row r="30" spans="1:22" x14ac:dyDescent="0.25">
      <c r="A30" s="144"/>
      <c r="B30" s="38" t="str">
        <f>'R2'!B36</f>
        <v/>
      </c>
      <c r="C30" s="38" t="str">
        <f>'R2'!C36</f>
        <v/>
      </c>
      <c r="D30" s="38" t="str">
        <f>'R2'!D36</f>
        <v/>
      </c>
      <c r="E30" s="38" t="str">
        <f>'R2'!E36</f>
        <v/>
      </c>
      <c r="F30" s="38" t="str">
        <f>'R2'!F36</f>
        <v/>
      </c>
      <c r="G30" s="38" t="str">
        <f>'R2'!G36</f>
        <v/>
      </c>
      <c r="H30" s="38" t="str">
        <f>'R2'!H36</f>
        <v/>
      </c>
      <c r="I30" s="38" t="str">
        <f>'R2'!I36</f>
        <v/>
      </c>
      <c r="J30" s="38" t="str">
        <f>'R2'!J36</f>
        <v/>
      </c>
      <c r="K30" s="38" t="str">
        <f>'R2'!K36</f>
        <v/>
      </c>
      <c r="L30" s="38" t="str">
        <f>'R2'!L36</f>
        <v/>
      </c>
      <c r="M30" s="38" t="str">
        <f>'R2'!M36</f>
        <v/>
      </c>
      <c r="O30" s="38">
        <f>'R2'!O36</f>
        <v>1.0832163801313217</v>
      </c>
      <c r="P30" s="38" t="str">
        <f>'R2'!P36</f>
        <v/>
      </c>
      <c r="Q30" s="38" t="str">
        <f>'R2'!Q36</f>
        <v/>
      </c>
      <c r="R30" s="38" t="str">
        <f>'R2'!R36</f>
        <v/>
      </c>
      <c r="S30" s="38" t="str">
        <f>'R2'!S36</f>
        <v/>
      </c>
      <c r="T30" s="38" t="str">
        <f>'R2'!T36</f>
        <v/>
      </c>
      <c r="U30" s="38" t="str">
        <f>'R2'!U36</f>
        <v/>
      </c>
      <c r="V30" s="38" t="str">
        <f>'R2'!V36</f>
        <v/>
      </c>
    </row>
    <row r="31" spans="1:22" s="1" customFormat="1" x14ac:dyDescent="0.25">
      <c r="A31" s="144"/>
      <c r="B31" s="38" t="str">
        <f>'R2'!B37</f>
        <v/>
      </c>
      <c r="C31" s="38" t="str">
        <f>'R2'!C37</f>
        <v/>
      </c>
      <c r="D31" s="38" t="str">
        <f>'R2'!D37</f>
        <v/>
      </c>
      <c r="E31" s="38" t="str">
        <f>'R2'!E37</f>
        <v/>
      </c>
      <c r="F31" s="38" t="str">
        <f>'R2'!F37</f>
        <v/>
      </c>
      <c r="G31" s="38" t="str">
        <f>'R2'!G37</f>
        <v/>
      </c>
      <c r="H31" s="38" t="str">
        <f>'R2'!H37</f>
        <v/>
      </c>
      <c r="I31" s="38" t="str">
        <f>'R2'!I37</f>
        <v/>
      </c>
      <c r="J31" s="38" t="str">
        <f>'R2'!J37</f>
        <v/>
      </c>
      <c r="K31" s="38" t="str">
        <f>'R2'!K37</f>
        <v/>
      </c>
      <c r="L31" s="38" t="str">
        <f>'R2'!L37</f>
        <v/>
      </c>
      <c r="M31" s="38" t="str">
        <f>'R2'!M37</f>
        <v/>
      </c>
      <c r="N31"/>
      <c r="O31" s="38">
        <f>'R2'!O37</f>
        <v>1.06067615658363</v>
      </c>
      <c r="P31" s="38" t="str">
        <f>'R2'!P37</f>
        <v/>
      </c>
      <c r="Q31" s="38" t="str">
        <f>'R2'!Q37</f>
        <v/>
      </c>
      <c r="R31" s="38" t="str">
        <f>'R2'!R37</f>
        <v/>
      </c>
      <c r="S31" s="38" t="str">
        <f>'R2'!S37</f>
        <v/>
      </c>
      <c r="T31" s="38" t="str">
        <f>'R2'!T37</f>
        <v/>
      </c>
      <c r="U31" s="38" t="str">
        <f>'R2'!U37</f>
        <v/>
      </c>
      <c r="V31" s="38" t="str">
        <f>'R2'!V37</f>
        <v/>
      </c>
    </row>
    <row r="32" spans="1:22" s="1" customFormat="1" x14ac:dyDescent="0.25">
      <c r="A32" s="144"/>
      <c r="B32" s="38" t="str">
        <f>'R2'!B38</f>
        <v/>
      </c>
      <c r="C32" s="38" t="str">
        <f>'R2'!C38</f>
        <v/>
      </c>
      <c r="D32" s="38" t="str">
        <f>'R2'!D38</f>
        <v/>
      </c>
      <c r="E32" s="38" t="str">
        <f>'R2'!E38</f>
        <v/>
      </c>
      <c r="F32" s="38" t="str">
        <f>'R2'!F38</f>
        <v/>
      </c>
      <c r="G32" s="38" t="str">
        <f>'R2'!G38</f>
        <v/>
      </c>
      <c r="H32" s="38" t="str">
        <f>'R2'!H38</f>
        <v/>
      </c>
      <c r="I32" s="38" t="str">
        <f>'R2'!I38</f>
        <v/>
      </c>
      <c r="J32" s="38" t="str">
        <f>'R2'!J38</f>
        <v/>
      </c>
      <c r="K32" s="38" t="str">
        <f>'R2'!K38</f>
        <v/>
      </c>
      <c r="L32" s="38" t="str">
        <f>'R2'!L38</f>
        <v/>
      </c>
      <c r="M32" s="38" t="str">
        <f>'R2'!M38</f>
        <v/>
      </c>
      <c r="N32"/>
      <c r="O32" s="38">
        <f>'R2'!O38</f>
        <v>1.044289759911784</v>
      </c>
      <c r="P32" s="38" t="str">
        <f>'R2'!P38</f>
        <v/>
      </c>
      <c r="Q32" s="38" t="str">
        <f>'R2'!Q38</f>
        <v/>
      </c>
      <c r="R32" s="38" t="str">
        <f>'R2'!R38</f>
        <v/>
      </c>
      <c r="S32" s="38" t="str">
        <f>'R2'!S38</f>
        <v/>
      </c>
      <c r="T32" s="38" t="str">
        <f>'R2'!T38</f>
        <v/>
      </c>
      <c r="U32" s="38" t="str">
        <f>'R2'!U38</f>
        <v/>
      </c>
      <c r="V32" s="38" t="str">
        <f>'R2'!V38</f>
        <v/>
      </c>
    </row>
    <row r="33" spans="1:22" s="1" customFormat="1" x14ac:dyDescent="0.25">
      <c r="A33" s="144"/>
      <c r="B33" s="38" t="str">
        <f>'R2'!B39</f>
        <v/>
      </c>
      <c r="C33" s="38" t="str">
        <f>'R2'!C39</f>
        <v/>
      </c>
      <c r="D33" s="38" t="str">
        <f>'R2'!D39</f>
        <v/>
      </c>
      <c r="E33" s="38" t="str">
        <f>'R2'!E39</f>
        <v/>
      </c>
      <c r="F33" s="38" t="str">
        <f>'R2'!F39</f>
        <v/>
      </c>
      <c r="G33" s="38" t="str">
        <f>'R2'!G39</f>
        <v/>
      </c>
      <c r="H33" s="38" t="str">
        <f>'R2'!H39</f>
        <v/>
      </c>
      <c r="I33" s="38" t="str">
        <f>'R2'!I39</f>
        <v/>
      </c>
      <c r="J33" s="38" t="str">
        <f>'R2'!J39</f>
        <v/>
      </c>
      <c r="K33" s="38" t="str">
        <f>'R2'!K39</f>
        <v/>
      </c>
      <c r="L33" s="38" t="str">
        <f>'R2'!L39</f>
        <v/>
      </c>
      <c r="M33" s="38" t="str">
        <f>'R2'!M39</f>
        <v/>
      </c>
      <c r="N33"/>
      <c r="O33" s="38">
        <f>'R2'!O39</f>
        <v>1.0750476166608192</v>
      </c>
      <c r="P33" s="38" t="str">
        <f>'R2'!P39</f>
        <v/>
      </c>
      <c r="Q33" s="38" t="str">
        <f>'R2'!Q39</f>
        <v/>
      </c>
      <c r="R33" s="38" t="str">
        <f>'R2'!R39</f>
        <v/>
      </c>
      <c r="S33" s="38" t="str">
        <f>'R2'!S39</f>
        <v/>
      </c>
      <c r="T33" s="38" t="str">
        <f>'R2'!T39</f>
        <v/>
      </c>
      <c r="U33" s="38" t="str">
        <f>'R2'!U39</f>
        <v/>
      </c>
      <c r="V33" s="38" t="str">
        <f>'R2'!V39</f>
        <v/>
      </c>
    </row>
    <row r="34" spans="1:22" s="1" customFormat="1" x14ac:dyDescent="0.25">
      <c r="A34" s="144"/>
      <c r="B34" s="38" t="str">
        <f>'R2'!B40</f>
        <v/>
      </c>
      <c r="C34" s="38" t="str">
        <f>'R2'!C40</f>
        <v/>
      </c>
      <c r="D34" s="38" t="str">
        <f>'R2'!D40</f>
        <v/>
      </c>
      <c r="E34" s="38" t="str">
        <f>'R2'!E40</f>
        <v/>
      </c>
      <c r="F34" s="38" t="str">
        <f>'R2'!F40</f>
        <v/>
      </c>
      <c r="G34" s="38" t="str">
        <f>'R2'!G40</f>
        <v/>
      </c>
      <c r="H34" s="38" t="str">
        <f>'R2'!H40</f>
        <v/>
      </c>
      <c r="I34" s="38" t="str">
        <f>'R2'!I40</f>
        <v/>
      </c>
      <c r="J34" s="38" t="str">
        <f>'R2'!J40</f>
        <v/>
      </c>
      <c r="K34" s="38" t="str">
        <f>'R2'!K40</f>
        <v/>
      </c>
      <c r="L34" s="38" t="str">
        <f>'R2'!L40</f>
        <v/>
      </c>
      <c r="M34" s="38" t="str">
        <f>'R2'!M40</f>
        <v/>
      </c>
      <c r="N34"/>
      <c r="O34" s="38">
        <f>'R2'!O40</f>
        <v>0.94043030424540131</v>
      </c>
      <c r="P34" s="38" t="str">
        <f>'R2'!P40</f>
        <v/>
      </c>
      <c r="Q34" s="38" t="str">
        <f>'R2'!Q40</f>
        <v/>
      </c>
      <c r="R34" s="38" t="str">
        <f>'R2'!R40</f>
        <v/>
      </c>
      <c r="S34" s="38" t="str">
        <f>'R2'!S40</f>
        <v/>
      </c>
      <c r="T34" s="38" t="str">
        <f>'R2'!T40</f>
        <v/>
      </c>
      <c r="U34" s="38" t="str">
        <f>'R2'!U40</f>
        <v/>
      </c>
      <c r="V34" s="38" t="str">
        <f>'R2'!V40</f>
        <v/>
      </c>
    </row>
    <row r="35" spans="1:22" s="1" customFormat="1" x14ac:dyDescent="0.25">
      <c r="A35" s="144"/>
      <c r="B35" s="38" t="str">
        <f>'R2'!B41</f>
        <v/>
      </c>
      <c r="C35" s="38" t="str">
        <f>'R2'!C41</f>
        <v/>
      </c>
      <c r="D35" s="38" t="str">
        <f>'R2'!D41</f>
        <v/>
      </c>
      <c r="E35" s="38" t="str">
        <f>'R2'!E41</f>
        <v/>
      </c>
      <c r="F35" s="38" t="str">
        <f>'R2'!F41</f>
        <v/>
      </c>
      <c r="G35" s="38" t="str">
        <f>'R2'!G41</f>
        <v/>
      </c>
      <c r="H35" s="38" t="str">
        <f>'R2'!H41</f>
        <v/>
      </c>
      <c r="I35" s="38" t="str">
        <f>'R2'!I41</f>
        <v/>
      </c>
      <c r="J35" s="38" t="str">
        <f>'R2'!J41</f>
        <v/>
      </c>
      <c r="K35" s="38" t="str">
        <f>'R2'!K41</f>
        <v/>
      </c>
      <c r="L35" s="38" t="str">
        <f>'R2'!L41</f>
        <v/>
      </c>
      <c r="M35" s="38" t="str">
        <f>'R2'!M41</f>
        <v/>
      </c>
      <c r="N35"/>
      <c r="O35" s="38">
        <f>'R2'!O41</f>
        <v>0.8622876046313469</v>
      </c>
      <c r="P35" s="38" t="str">
        <f>'R2'!P41</f>
        <v/>
      </c>
      <c r="Q35" s="38" t="str">
        <f>'R2'!Q41</f>
        <v/>
      </c>
      <c r="R35" s="38" t="str">
        <f>'R2'!R41</f>
        <v/>
      </c>
      <c r="S35" s="38" t="str">
        <f>'R2'!S41</f>
        <v/>
      </c>
      <c r="T35" s="38" t="str">
        <f>'R2'!T41</f>
        <v/>
      </c>
      <c r="U35" s="38" t="str">
        <f>'R2'!U41</f>
        <v/>
      </c>
      <c r="V35" s="38" t="str">
        <f>'R2'!V41</f>
        <v/>
      </c>
    </row>
    <row r="36" spans="1:22" x14ac:dyDescent="0.25">
      <c r="A36" s="144"/>
      <c r="B36" s="38" t="str">
        <f>'R2'!B42</f>
        <v/>
      </c>
      <c r="C36" s="38" t="str">
        <f>'R2'!C42</f>
        <v/>
      </c>
      <c r="D36" s="38" t="str">
        <f>'R2'!D42</f>
        <v/>
      </c>
      <c r="E36" s="38" t="str">
        <f>'R2'!E42</f>
        <v/>
      </c>
      <c r="F36" s="38" t="str">
        <f>'R2'!F42</f>
        <v/>
      </c>
      <c r="G36" s="38" t="str">
        <f>'R2'!G42</f>
        <v/>
      </c>
      <c r="H36" s="38" t="str">
        <f>'R2'!H42</f>
        <v/>
      </c>
      <c r="I36" s="38" t="str">
        <f>'R2'!I42</f>
        <v/>
      </c>
      <c r="J36" s="38" t="str">
        <f>'R2'!J42</f>
        <v/>
      </c>
      <c r="K36" s="38" t="str">
        <f>'R2'!K42</f>
        <v/>
      </c>
      <c r="L36" s="38" t="str">
        <f>'R2'!L42</f>
        <v/>
      </c>
      <c r="M36" s="38" t="str">
        <f>'R2'!M42</f>
        <v/>
      </c>
      <c r="O36" s="38">
        <f>'R2'!O42</f>
        <v>1.0703298080296728</v>
      </c>
      <c r="P36" s="38" t="str">
        <f>'R2'!P42</f>
        <v/>
      </c>
      <c r="Q36" s="38" t="str">
        <f>'R2'!Q42</f>
        <v/>
      </c>
      <c r="R36" s="38" t="str">
        <f>'R2'!R42</f>
        <v/>
      </c>
      <c r="S36" s="38" t="str">
        <f>'R2'!S42</f>
        <v/>
      </c>
      <c r="T36" s="38" t="str">
        <f>'R2'!T42</f>
        <v/>
      </c>
      <c r="U36" s="38" t="str">
        <f>'R2'!U42</f>
        <v/>
      </c>
      <c r="V36" s="38" t="str">
        <f>'R2'!V42</f>
        <v/>
      </c>
    </row>
    <row r="37" spans="1:22" x14ac:dyDescent="0.25">
      <c r="A37" s="145"/>
      <c r="B37" s="38" t="str">
        <f>'R2'!B43</f>
        <v/>
      </c>
      <c r="C37" s="38" t="str">
        <f>'R2'!C43</f>
        <v/>
      </c>
      <c r="D37" s="38" t="str">
        <f>'R2'!D43</f>
        <v/>
      </c>
      <c r="E37" s="38" t="str">
        <f>'R2'!E43</f>
        <v/>
      </c>
      <c r="F37" s="38" t="str">
        <f>'R2'!F43</f>
        <v/>
      </c>
      <c r="G37" s="38" t="str">
        <f>'R2'!G43</f>
        <v/>
      </c>
      <c r="H37" s="38" t="str">
        <f>'R2'!H43</f>
        <v/>
      </c>
      <c r="I37" s="38" t="str">
        <f>'R2'!I43</f>
        <v/>
      </c>
      <c r="J37" s="38" t="str">
        <f>'R2'!J43</f>
        <v/>
      </c>
      <c r="K37" s="38" t="str">
        <f>'R2'!K43</f>
        <v/>
      </c>
      <c r="L37" s="38" t="str">
        <f>'R2'!L43</f>
        <v/>
      </c>
      <c r="M37" s="38" t="str">
        <f>'R2'!M43</f>
        <v/>
      </c>
      <c r="O37" s="38" t="str">
        <f>'R2'!O43</f>
        <v/>
      </c>
      <c r="P37" s="38" t="str">
        <f>'R2'!P43</f>
        <v/>
      </c>
      <c r="Q37" s="38" t="str">
        <f>'R2'!Q43</f>
        <v/>
      </c>
      <c r="R37" s="38" t="str">
        <f>'R2'!R43</f>
        <v/>
      </c>
      <c r="S37" s="38" t="str">
        <f>'R2'!S43</f>
        <v/>
      </c>
      <c r="T37" s="38" t="str">
        <f>'R2'!T43</f>
        <v/>
      </c>
      <c r="U37" s="38" t="str">
        <f>'R2'!U43</f>
        <v/>
      </c>
      <c r="V37" s="38" t="str">
        <f>'R2'!V43</f>
        <v/>
      </c>
    </row>
    <row r="38" spans="1:22" s="1" customFormat="1" x14ac:dyDescent="0.25">
      <c r="A38" s="84" t="s">
        <v>16</v>
      </c>
      <c r="B38" s="85">
        <f>'R3'!B28</f>
        <v>4.3588458829411675E-2</v>
      </c>
      <c r="C38" s="85">
        <f>'R3'!C28</f>
        <v>5.6842109184555109E-2</v>
      </c>
      <c r="D38" s="85">
        <f>'R3'!D28</f>
        <v>0</v>
      </c>
      <c r="E38" s="85">
        <f>'R3'!E28</f>
        <v>0.19691016027156572</v>
      </c>
      <c r="F38" s="85">
        <f>'R3'!F28</f>
        <v>0.1456241107444029</v>
      </c>
      <c r="G38" s="85">
        <f>'R3'!G28</f>
        <v>1.4129038421163691</v>
      </c>
      <c r="H38" s="85">
        <f>'R3'!H28</f>
        <v>1.4536142194680819</v>
      </c>
      <c r="I38" s="85">
        <f>'R3'!I28</f>
        <v>0.10603346035812636</v>
      </c>
      <c r="J38" s="85">
        <f>'R3'!J28</f>
        <v>0.43760888267054882</v>
      </c>
      <c r="K38" s="85">
        <f>'R3'!K28</f>
        <v>8.3298319691095857E-2</v>
      </c>
      <c r="L38" s="85">
        <f>'R3'!L28</f>
        <v>7.2790767787307226E-2</v>
      </c>
      <c r="M38" s="85">
        <f>'R3'!M28</f>
        <v>7.1619950618124942E-2</v>
      </c>
      <c r="N38"/>
      <c r="O38" s="85">
        <f>'R3'!O28</f>
        <v>1.7326901999143707</v>
      </c>
      <c r="P38" s="85">
        <f>'R3'!P28</f>
        <v>1.3058868953361296</v>
      </c>
      <c r="Q38" s="85">
        <f>'R3'!Q28</f>
        <v>6.9980806581269747E-2</v>
      </c>
      <c r="R38" s="85">
        <f>'R3'!R28</f>
        <v>1.1547322700362075</v>
      </c>
      <c r="S38" s="85">
        <f>'R3'!S28</f>
        <v>1.2794136547616735</v>
      </c>
      <c r="T38" s="85">
        <f>'R3'!T28</f>
        <v>1.3728746674812715</v>
      </c>
      <c r="U38" s="85">
        <f>'R3'!U28</f>
        <v>1.1948806551467126</v>
      </c>
      <c r="V38" s="85">
        <f>'R3'!V28</f>
        <v>1.1738442637542412</v>
      </c>
    </row>
    <row r="39" spans="1:22" s="1" customFormat="1" x14ac:dyDescent="0.25">
      <c r="A39" s="143"/>
      <c r="B39" s="85">
        <f>'R3'!B29</f>
        <v>9.4129442885276679E-2</v>
      </c>
      <c r="C39" s="85">
        <f>'R3'!C29</f>
        <v>0.11762242157454154</v>
      </c>
      <c r="D39" s="85">
        <f>'R3'!D29</f>
        <v>7.6988679528448067E-2</v>
      </c>
      <c r="E39" s="85">
        <f>'R3'!E29</f>
        <v>0.44029963340117861</v>
      </c>
      <c r="F39" s="85">
        <f>'R3'!F29</f>
        <v>0.8265671188238396</v>
      </c>
      <c r="G39" s="85">
        <f>'R3'!G29</f>
        <v>1.0978561007158216</v>
      </c>
      <c r="H39" s="85">
        <f>'R3'!H29</f>
        <v>0.85852404126704773</v>
      </c>
      <c r="I39" s="85">
        <f>'R3'!I29</f>
        <v>6.0243865250652002E-3</v>
      </c>
      <c r="J39" s="85">
        <f>'R3'!J29</f>
        <v>6.790739581257239E-3</v>
      </c>
      <c r="K39" s="85">
        <f>'R3'!K29</f>
        <v>0</v>
      </c>
      <c r="L39" s="85">
        <f>'R3'!L29</f>
        <v>2.1921954924071178E-2</v>
      </c>
      <c r="M39" s="85">
        <f>'R3'!M29</f>
        <v>6.923999862695078E-2</v>
      </c>
      <c r="N39"/>
      <c r="O39" s="85">
        <f>'R3'!O29</f>
        <v>0.78154387677255732</v>
      </c>
      <c r="P39" s="85">
        <f>'R3'!P29</f>
        <v>1.2364042182413848</v>
      </c>
      <c r="Q39" s="85">
        <f>'R3'!Q29</f>
        <v>4.6917837106868199E-2</v>
      </c>
      <c r="R39" s="85">
        <f>'R3'!R29</f>
        <v>1.120978675427927</v>
      </c>
      <c r="S39" s="85">
        <f>'R3'!S29</f>
        <v>1.1945698564072571</v>
      </c>
      <c r="T39" s="85">
        <f>'R3'!T29</f>
        <v>1.6971612207259119</v>
      </c>
      <c r="U39" s="85">
        <f>'R3'!U29</f>
        <v>1.1487121410281211</v>
      </c>
      <c r="V39" s="85">
        <f>'R3'!V29</f>
        <v>0.98338424170562522</v>
      </c>
    </row>
    <row r="40" spans="1:22" s="1" customFormat="1" x14ac:dyDescent="0.25">
      <c r="A40" s="144"/>
      <c r="B40" s="85">
        <f>'R3'!B30</f>
        <v>7.0870627629848276E-2</v>
      </c>
      <c r="C40" s="85">
        <f>'R3'!C30</f>
        <v>0.13092716213343111</v>
      </c>
      <c r="D40" s="85">
        <f>'R3'!D30</f>
        <v>0.16177287264516071</v>
      </c>
      <c r="E40" s="85">
        <f>'R3'!E30</f>
        <v>0.4125363651821326</v>
      </c>
      <c r="F40" s="85">
        <f>'R3'!F30</f>
        <v>1.1012791443668128</v>
      </c>
      <c r="G40" s="85">
        <f>'R3'!G30</f>
        <v>1.2050646357601091</v>
      </c>
      <c r="H40" s="85">
        <f>'R3'!H30</f>
        <v>1.6312080252066292</v>
      </c>
      <c r="I40" s="85">
        <f>'R3'!I30</f>
        <v>0</v>
      </c>
      <c r="J40" s="85">
        <f>'R3'!J30</f>
        <v>5.3116781828066034E-2</v>
      </c>
      <c r="K40" s="85">
        <f>'R3'!K30</f>
        <v>3.6716826425556383E-2</v>
      </c>
      <c r="L40" s="85">
        <f>'R3'!L30</f>
        <v>3.0875513130581504E-2</v>
      </c>
      <c r="M40" s="85">
        <f>'R3'!M30</f>
        <v>4.0744437487543438E-2</v>
      </c>
      <c r="N40"/>
      <c r="O40" s="85">
        <f>'R3'!O30</f>
        <v>0.71820053916130644</v>
      </c>
      <c r="P40" s="85">
        <f>'R3'!P30</f>
        <v>1.5075527020730648</v>
      </c>
      <c r="Q40" s="85">
        <f>'R3'!Q30</f>
        <v>4.0131355042589807E-2</v>
      </c>
      <c r="R40" s="85">
        <f>'R3'!R30</f>
        <v>1.3756675986193936</v>
      </c>
      <c r="S40" s="85">
        <f>'R3'!S30</f>
        <v>1.1246742001655643</v>
      </c>
      <c r="T40" s="85">
        <f>'R3'!T30</f>
        <v>1.5622362501493456</v>
      </c>
      <c r="U40" s="85">
        <f>'R3'!U30</f>
        <v>1.5356012239296934</v>
      </c>
      <c r="V40" s="85">
        <f>'R3'!V30</f>
        <v>1.7852322169502928</v>
      </c>
    </row>
    <row r="41" spans="1:22" s="1" customFormat="1" x14ac:dyDescent="0.25">
      <c r="A41" s="144"/>
      <c r="B41" s="85">
        <f>'R3'!B31</f>
        <v>3.6503950576614153E-2</v>
      </c>
      <c r="C41" s="85">
        <f>'R3'!C31</f>
        <v>4.2404869109292857E-2</v>
      </c>
      <c r="D41" s="85">
        <f>'R3'!D31</f>
        <v>1.5344091191756171E-2</v>
      </c>
      <c r="E41" s="85">
        <f>'R3'!E31</f>
        <v>0.53910382992922679</v>
      </c>
      <c r="F41" s="85">
        <f>'R3'!F31</f>
        <v>1.3814024739898974</v>
      </c>
      <c r="G41" s="85">
        <f>'R3'!G31</f>
        <v>1.2923096736905939</v>
      </c>
      <c r="H41" s="85">
        <f>'R3'!H31</f>
        <v>1.8967152990413403</v>
      </c>
      <c r="I41" s="85">
        <f>'R3'!I31</f>
        <v>1.4735266263781382E-2</v>
      </c>
      <c r="J41" s="85">
        <f>'R3'!J31</f>
        <v>0.12486020043857747</v>
      </c>
      <c r="K41" s="85">
        <f>'R3'!K31</f>
        <v>0.26477498091434964</v>
      </c>
      <c r="L41" s="85">
        <f>'R3'!L31</f>
        <v>0.15988679262353253</v>
      </c>
      <c r="M41" s="85">
        <f>'R3'!M31</f>
        <v>4.8620843898406069E-3</v>
      </c>
      <c r="N41"/>
      <c r="O41" s="85">
        <f>'R3'!O31</f>
        <v>0.95965709958252388</v>
      </c>
      <c r="P41" s="85">
        <f>'R3'!P31</f>
        <v>1.229464465565868</v>
      </c>
      <c r="Q41" s="85">
        <f>'R3'!Q31</f>
        <v>3.439647967208604E-2</v>
      </c>
      <c r="R41" s="85">
        <f>'R3'!R31</f>
        <v>1.5209894256582985</v>
      </c>
      <c r="S41" s="85">
        <f>'R3'!S31</f>
        <v>1.5267455886136967</v>
      </c>
      <c r="T41" s="85">
        <f>'R3'!T31</f>
        <v>1.2673435941266489</v>
      </c>
      <c r="U41" s="85">
        <f>'R3'!U31</f>
        <v>1.6794456925769392</v>
      </c>
      <c r="V41" s="85">
        <f>'R3'!V31</f>
        <v>1.4112050928418101</v>
      </c>
    </row>
    <row r="42" spans="1:22" s="1" customFormat="1" x14ac:dyDescent="0.25">
      <c r="A42" s="144"/>
      <c r="B42" s="85">
        <f>'R3'!B32</f>
        <v>0.11072950158579203</v>
      </c>
      <c r="C42" s="85">
        <f>'R3'!C32</f>
        <v>0.11877620867580845</v>
      </c>
      <c r="D42" s="85">
        <f>'R3'!D32</f>
        <v>9.5334320190289715E-2</v>
      </c>
      <c r="E42" s="85">
        <f>'R3'!E32</f>
        <v>6.2342821121222421E-2</v>
      </c>
      <c r="F42" s="85">
        <f>'R3'!F32</f>
        <v>1.2737341271118947</v>
      </c>
      <c r="G42" s="85">
        <f>'R3'!G32</f>
        <v>1.265781085395413</v>
      </c>
      <c r="H42" s="85">
        <f>'R3'!H32</f>
        <v>1.5255875439954509</v>
      </c>
      <c r="I42" s="85">
        <f>'R3'!I32</f>
        <v>8.244255877834808E-2</v>
      </c>
      <c r="J42" s="85">
        <f>'R3'!J32</f>
        <v>8.1914626672971336E-2</v>
      </c>
      <c r="K42" s="85">
        <f>'R3'!K32</f>
        <v>0.10295953309940052</v>
      </c>
      <c r="L42" s="85">
        <f>'R3'!L32</f>
        <v>0</v>
      </c>
      <c r="M42" s="85">
        <f>'R3'!M32</f>
        <v>7.2377788640359288E-4</v>
      </c>
      <c r="N42"/>
      <c r="O42" s="85">
        <f>'R3'!O32</f>
        <v>0.81189145779776206</v>
      </c>
      <c r="P42" s="85">
        <f>'R3'!P32</f>
        <v>1.4013319109678692</v>
      </c>
      <c r="Q42" s="85">
        <f>'R3'!Q32</f>
        <v>4.3098844376844539E-2</v>
      </c>
      <c r="R42" s="85">
        <f>'R3'!R32</f>
        <v>0.87121144186400479</v>
      </c>
      <c r="S42" s="85">
        <f>'R3'!S32</f>
        <v>1.5713473364840733</v>
      </c>
      <c r="T42" s="85">
        <f>'R3'!T32</f>
        <v>1.3488707867545453</v>
      </c>
      <c r="U42" s="85">
        <f>'R3'!U32</f>
        <v>0.78615476766064607</v>
      </c>
      <c r="V42" s="85">
        <f>'R3'!V32</f>
        <v>0.86485496901458969</v>
      </c>
    </row>
    <row r="43" spans="1:22" s="1" customFormat="1" x14ac:dyDescent="0.25">
      <c r="A43" s="144"/>
      <c r="B43" s="85">
        <f>'R3'!B33</f>
        <v>1.5293000988010034E-2</v>
      </c>
      <c r="C43" s="85">
        <f>'R3'!C33</f>
        <v>0.12043664029755786</v>
      </c>
      <c r="D43" s="85">
        <f>'R3'!D33</f>
        <v>7.4549122299570067E-3</v>
      </c>
      <c r="E43" s="85">
        <f>'R3'!E33</f>
        <v>0.37215807415476981</v>
      </c>
      <c r="F43" s="85">
        <f>'R3'!F33</f>
        <v>0.71933303867767906</v>
      </c>
      <c r="G43" s="85">
        <f>'R3'!G33</f>
        <v>1.13567136652192</v>
      </c>
      <c r="H43" s="85">
        <f>'R3'!H33</f>
        <v>1.9727375222155905</v>
      </c>
      <c r="I43" s="85">
        <f>'R3'!I33</f>
        <v>3.1058586360671825E-2</v>
      </c>
      <c r="J43" s="85">
        <f>'R3'!J33</f>
        <v>0.16422520242497524</v>
      </c>
      <c r="K43" s="85">
        <f>'R3'!K33</f>
        <v>1.8779907393683813E-2</v>
      </c>
      <c r="L43" s="85">
        <f>'R3'!L33</f>
        <v>8.7440883711511708E-2</v>
      </c>
      <c r="M43" s="85">
        <f>'R3'!M33</f>
        <v>0.15560373054281479</v>
      </c>
      <c r="N43"/>
      <c r="O43" s="85">
        <f>'R3'!O33</f>
        <v>0.78037731712035385</v>
      </c>
      <c r="P43" s="85">
        <f>'R3'!P33</f>
        <v>0.95453530665697373</v>
      </c>
      <c r="Q43" s="85">
        <f>'R3'!Q33</f>
        <v>1.3291968007953042E-2</v>
      </c>
      <c r="R43" s="85">
        <f>'R3'!R33</f>
        <v>1.5949126929619786</v>
      </c>
      <c r="S43" s="85">
        <f>'R3'!S33</f>
        <v>1.609699049429506</v>
      </c>
      <c r="T43" s="85">
        <f>'R3'!T33</f>
        <v>0.91660508789244666</v>
      </c>
      <c r="U43" s="85">
        <f>'R3'!U33</f>
        <v>1.2089304611769001</v>
      </c>
      <c r="V43" s="85">
        <f>'R3'!V33</f>
        <v>1.305218465170451</v>
      </c>
    </row>
    <row r="44" spans="1:22" s="1" customFormat="1" x14ac:dyDescent="0.25">
      <c r="A44" s="144"/>
      <c r="B44" s="85">
        <f>'R3'!B34</f>
        <v>3.6235727006946938E-2</v>
      </c>
      <c r="C44" s="85">
        <f>'R3'!C34</f>
        <v>6.5246447700794477E-2</v>
      </c>
      <c r="D44" s="85">
        <f>'R3'!D34</f>
        <v>5.7634007342620218E-2</v>
      </c>
      <c r="E44" s="85">
        <f>'R3'!E34</f>
        <v>0.30259024672044799</v>
      </c>
      <c r="F44" s="85">
        <f>'R3'!F34</f>
        <v>1.1268923665115422</v>
      </c>
      <c r="G44" s="85">
        <f>'R3'!G34</f>
        <v>1.3354085180674384</v>
      </c>
      <c r="H44" s="85">
        <f>'R3'!H34</f>
        <v>1.0770921904099962</v>
      </c>
      <c r="I44" s="85">
        <f>'R3'!I34</f>
        <v>6.8524735774504866E-2</v>
      </c>
      <c r="J44" s="85">
        <f>'R3'!J34</f>
        <v>0.24352997118991479</v>
      </c>
      <c r="K44" s="85">
        <f>'R3'!K34</f>
        <v>0</v>
      </c>
      <c r="L44" s="85">
        <f>'R3'!L34</f>
        <v>3.4060135830757312E-4</v>
      </c>
      <c r="M44" s="85">
        <f>'R3'!M34</f>
        <v>5.5969318203891956E-2</v>
      </c>
      <c r="N44"/>
      <c r="O44" s="85">
        <f>'R3'!O34</f>
        <v>0.99264859865159116</v>
      </c>
      <c r="P44" s="85">
        <f>'R3'!P34</f>
        <v>1.4291845870434712</v>
      </c>
      <c r="Q44" s="85">
        <f>'R3'!Q34</f>
        <v>0.27548263611614399</v>
      </c>
      <c r="R44" s="85">
        <f>'R3'!R34</f>
        <v>1.1728267171962974</v>
      </c>
      <c r="S44" s="85">
        <f>'R3'!S34</f>
        <v>1.407015696134627</v>
      </c>
      <c r="T44" s="85">
        <f>'R3'!T34</f>
        <v>1.4267109696787623</v>
      </c>
      <c r="U44" s="85">
        <f>'R3'!U34</f>
        <v>0.91332254230175736</v>
      </c>
      <c r="V44" s="85">
        <f>'R3'!V34</f>
        <v>1.2906833022046753</v>
      </c>
    </row>
    <row r="45" spans="1:22" s="1" customFormat="1" x14ac:dyDescent="0.25">
      <c r="A45" s="144"/>
      <c r="B45" s="85">
        <f>'R3'!B35</f>
        <v>4.3435188218173264E-2</v>
      </c>
      <c r="C45" s="85">
        <f>'R3'!C35</f>
        <v>0.191009241738887</v>
      </c>
      <c r="D45" s="85">
        <f>'R3'!D35</f>
        <v>4.1574653298418147E-2</v>
      </c>
      <c r="E45" s="85">
        <f>'R3'!E35</f>
        <v>0.40063234770928291</v>
      </c>
      <c r="F45" s="85">
        <f>'R3'!F35</f>
        <v>0.55418395506829454</v>
      </c>
      <c r="G45" s="85">
        <f>'R3'!G35</f>
        <v>1.0508488557523976</v>
      </c>
      <c r="H45" s="85">
        <f>'R3'!H35</f>
        <v>1.2477206983711537</v>
      </c>
      <c r="I45" s="85">
        <f>'R3'!I35</f>
        <v>0</v>
      </c>
      <c r="J45" s="85">
        <f>'R3'!J35</f>
        <v>1.1363312816536408E-2</v>
      </c>
      <c r="K45" s="85">
        <f>'R3'!K35</f>
        <v>4.6389905001491462E-2</v>
      </c>
      <c r="L45" s="85">
        <f>'R3'!L35</f>
        <v>8.9177950638880343E-2</v>
      </c>
      <c r="M45" s="85">
        <f>'R3'!M35</f>
        <v>0</v>
      </c>
      <c r="N45"/>
      <c r="O45" s="85">
        <f>'R3'!O35</f>
        <v>1.3182634971936311</v>
      </c>
      <c r="P45" s="85">
        <f>'R3'!P35</f>
        <v>1.488087334445787</v>
      </c>
      <c r="Q45" s="85">
        <f>'R3'!Q35</f>
        <v>0</v>
      </c>
      <c r="R45" s="85">
        <f>'R3'!R35</f>
        <v>1.814302542881844</v>
      </c>
      <c r="S45" s="85" t="str">
        <f>'R3'!S35</f>
        <v/>
      </c>
      <c r="T45" s="85">
        <f>'R3'!T35</f>
        <v>1.2508457158336259</v>
      </c>
      <c r="U45" s="85">
        <f>'R3'!U35</f>
        <v>1.6637737725778121</v>
      </c>
      <c r="V45" s="85">
        <f>'R3'!V35</f>
        <v>0.52384488907704752</v>
      </c>
    </row>
    <row r="46" spans="1:22" s="1" customFormat="1" x14ac:dyDescent="0.25">
      <c r="A46" s="144"/>
      <c r="B46" s="85" t="str">
        <f>'R3'!B36</f>
        <v/>
      </c>
      <c r="C46" s="85" t="str">
        <f>'R3'!C36</f>
        <v/>
      </c>
      <c r="D46" s="85" t="str">
        <f>'R3'!D36</f>
        <v/>
      </c>
      <c r="E46" s="85" t="str">
        <f>'R3'!E36</f>
        <v/>
      </c>
      <c r="F46" s="85" t="str">
        <f>'R3'!F36</f>
        <v/>
      </c>
      <c r="G46" s="85" t="str">
        <f>'R3'!G36</f>
        <v/>
      </c>
      <c r="H46" s="85" t="str">
        <f>'R3'!H36</f>
        <v/>
      </c>
      <c r="I46" s="85" t="str">
        <f>'R3'!I36</f>
        <v/>
      </c>
      <c r="J46" s="85" t="str">
        <f>'R3'!J36</f>
        <v/>
      </c>
      <c r="K46" s="85" t="str">
        <f>'R3'!K36</f>
        <v/>
      </c>
      <c r="L46" s="85" t="str">
        <f>'R3'!L36</f>
        <v/>
      </c>
      <c r="M46" s="85" t="str">
        <f>'R3'!M36</f>
        <v/>
      </c>
      <c r="N46"/>
      <c r="O46" s="85">
        <f>'R3'!O36</f>
        <v>1.3001094447958375</v>
      </c>
      <c r="P46" s="85" t="str">
        <f>'R3'!P36</f>
        <v/>
      </c>
      <c r="Q46" s="85" t="str">
        <f>'R3'!Q36</f>
        <v/>
      </c>
      <c r="R46" s="85" t="str">
        <f>'R3'!R36</f>
        <v/>
      </c>
      <c r="S46" s="85" t="str">
        <f>'R3'!S36</f>
        <v/>
      </c>
      <c r="T46" s="85" t="str">
        <f>'R3'!T36</f>
        <v/>
      </c>
      <c r="U46" s="85" t="str">
        <f>'R3'!U36</f>
        <v/>
      </c>
      <c r="V46" s="85" t="str">
        <f>'R3'!V36</f>
        <v/>
      </c>
    </row>
    <row r="47" spans="1:22" s="1" customFormat="1" x14ac:dyDescent="0.25">
      <c r="A47" s="144"/>
      <c r="B47" s="85" t="str">
        <f>'R3'!B37</f>
        <v/>
      </c>
      <c r="C47" s="85" t="str">
        <f>'R3'!C37</f>
        <v/>
      </c>
      <c r="D47" s="85" t="str">
        <f>'R3'!D37</f>
        <v/>
      </c>
      <c r="E47" s="85" t="str">
        <f>'R3'!E37</f>
        <v/>
      </c>
      <c r="F47" s="85" t="str">
        <f>'R3'!F37</f>
        <v/>
      </c>
      <c r="G47" s="85" t="str">
        <f>'R3'!G37</f>
        <v/>
      </c>
      <c r="H47" s="85" t="str">
        <f>'R3'!H37</f>
        <v/>
      </c>
      <c r="I47" s="85" t="str">
        <f>'R3'!I37</f>
        <v/>
      </c>
      <c r="J47" s="85" t="str">
        <f>'R3'!J37</f>
        <v/>
      </c>
      <c r="K47" s="85" t="str">
        <f>'R3'!K37</f>
        <v/>
      </c>
      <c r="L47" s="85" t="str">
        <f>'R3'!L37</f>
        <v/>
      </c>
      <c r="M47" s="85" t="str">
        <f>'R3'!M37</f>
        <v/>
      </c>
      <c r="N47"/>
      <c r="O47" s="85">
        <f>'R3'!O37</f>
        <v>1.1828233670626247</v>
      </c>
      <c r="P47" s="85" t="str">
        <f>'R3'!P37</f>
        <v/>
      </c>
      <c r="Q47" s="85" t="str">
        <f>'R3'!Q37</f>
        <v/>
      </c>
      <c r="R47" s="85" t="str">
        <f>'R3'!R37</f>
        <v/>
      </c>
      <c r="S47" s="85" t="str">
        <f>'R3'!S37</f>
        <v/>
      </c>
      <c r="T47" s="85" t="str">
        <f>'R3'!T37</f>
        <v/>
      </c>
      <c r="U47" s="85" t="str">
        <f>'R3'!U37</f>
        <v/>
      </c>
      <c r="V47" s="85" t="str">
        <f>'R3'!V37</f>
        <v/>
      </c>
    </row>
    <row r="48" spans="1:22" s="1" customFormat="1" x14ac:dyDescent="0.25">
      <c r="A48" s="144"/>
      <c r="B48" s="85" t="str">
        <f>'R3'!B38</f>
        <v/>
      </c>
      <c r="C48" s="85" t="str">
        <f>'R3'!C38</f>
        <v/>
      </c>
      <c r="D48" s="85" t="str">
        <f>'R3'!D38</f>
        <v/>
      </c>
      <c r="E48" s="85" t="str">
        <f>'R3'!E38</f>
        <v/>
      </c>
      <c r="F48" s="85" t="str">
        <f>'R3'!F38</f>
        <v/>
      </c>
      <c r="G48" s="85" t="str">
        <f>'R3'!G38</f>
        <v/>
      </c>
      <c r="H48" s="85" t="str">
        <f>'R3'!H38</f>
        <v/>
      </c>
      <c r="I48" s="85" t="str">
        <f>'R3'!I38</f>
        <v/>
      </c>
      <c r="J48" s="85" t="str">
        <f>'R3'!J38</f>
        <v/>
      </c>
      <c r="K48" s="85" t="str">
        <f>'R3'!K38</f>
        <v/>
      </c>
      <c r="L48" s="85" t="str">
        <f>'R3'!L38</f>
        <v/>
      </c>
      <c r="M48" s="85" t="str">
        <f>'R3'!M38</f>
        <v/>
      </c>
      <c r="N48"/>
      <c r="O48" s="85">
        <f>'R3'!O38</f>
        <v>0.57701276110885968</v>
      </c>
      <c r="P48" s="85" t="str">
        <f>'R3'!P38</f>
        <v/>
      </c>
      <c r="Q48" s="85" t="str">
        <f>'R3'!Q38</f>
        <v/>
      </c>
      <c r="R48" s="85" t="str">
        <f>'R3'!R38</f>
        <v/>
      </c>
      <c r="S48" s="85" t="str">
        <f>'R3'!S38</f>
        <v/>
      </c>
      <c r="T48" s="85" t="str">
        <f>'R3'!T38</f>
        <v/>
      </c>
      <c r="U48" s="85" t="str">
        <f>'R3'!U38</f>
        <v/>
      </c>
      <c r="V48" s="85" t="str">
        <f>'R3'!V38</f>
        <v/>
      </c>
    </row>
    <row r="49" spans="1:24" s="1" customFormat="1" x14ac:dyDescent="0.25">
      <c r="A49" s="144"/>
      <c r="B49" s="85" t="str">
        <f>'R3'!B39</f>
        <v/>
      </c>
      <c r="C49" s="85" t="str">
        <f>'R3'!C39</f>
        <v/>
      </c>
      <c r="D49" s="85" t="str">
        <f>'R3'!D39</f>
        <v/>
      </c>
      <c r="E49" s="85" t="str">
        <f>'R3'!E39</f>
        <v/>
      </c>
      <c r="F49" s="85" t="str">
        <f>'R3'!F39</f>
        <v/>
      </c>
      <c r="G49" s="85" t="str">
        <f>'R3'!G39</f>
        <v/>
      </c>
      <c r="H49" s="85" t="str">
        <f>'R3'!H39</f>
        <v/>
      </c>
      <c r="I49" s="85" t="str">
        <f>'R3'!I39</f>
        <v/>
      </c>
      <c r="J49" s="85" t="str">
        <f>'R3'!J39</f>
        <v/>
      </c>
      <c r="K49" s="85" t="str">
        <f>'R3'!K39</f>
        <v/>
      </c>
      <c r="L49" s="85" t="str">
        <f>'R3'!L39</f>
        <v/>
      </c>
      <c r="M49" s="85" t="str">
        <f>'R3'!M39</f>
        <v/>
      </c>
      <c r="N49"/>
      <c r="O49" s="85">
        <f>'R3'!O39</f>
        <v>1.021318717987131</v>
      </c>
      <c r="P49" s="85" t="str">
        <f>'R3'!P39</f>
        <v/>
      </c>
      <c r="Q49" s="85" t="str">
        <f>'R3'!Q39</f>
        <v/>
      </c>
      <c r="R49" s="85" t="str">
        <f>'R3'!R39</f>
        <v/>
      </c>
      <c r="S49" s="85" t="str">
        <f>'R3'!S39</f>
        <v/>
      </c>
      <c r="T49" s="85" t="str">
        <f>'R3'!T39</f>
        <v/>
      </c>
      <c r="U49" s="85" t="str">
        <f>'R3'!U39</f>
        <v/>
      </c>
      <c r="V49" s="85" t="str">
        <f>'R3'!V39</f>
        <v/>
      </c>
    </row>
    <row r="50" spans="1:24" s="1" customFormat="1" x14ac:dyDescent="0.25">
      <c r="A50" s="144"/>
      <c r="B50" s="85" t="str">
        <f>'R3'!B40</f>
        <v/>
      </c>
      <c r="C50" s="85" t="str">
        <f>'R3'!C40</f>
        <v/>
      </c>
      <c r="D50" s="85" t="str">
        <f>'R3'!D40</f>
        <v/>
      </c>
      <c r="E50" s="85" t="str">
        <f>'R3'!E40</f>
        <v/>
      </c>
      <c r="F50" s="85" t="str">
        <f>'R3'!F40</f>
        <v/>
      </c>
      <c r="G50" s="85" t="str">
        <f>'R3'!G40</f>
        <v/>
      </c>
      <c r="H50" s="85" t="str">
        <f>'R3'!H40</f>
        <v/>
      </c>
      <c r="I50" s="85" t="str">
        <f>'R3'!I40</f>
        <v/>
      </c>
      <c r="J50" s="85" t="str">
        <f>'R3'!J40</f>
        <v/>
      </c>
      <c r="K50" s="85" t="str">
        <f>'R3'!K40</f>
        <v/>
      </c>
      <c r="L50" s="85" t="str">
        <f>'R3'!L40</f>
        <v/>
      </c>
      <c r="M50" s="85" t="str">
        <f>'R3'!M40</f>
        <v/>
      </c>
      <c r="N50"/>
      <c r="O50" s="85">
        <f>'R3'!O40</f>
        <v>1.0736563742080685</v>
      </c>
      <c r="P50" s="85" t="str">
        <f>'R3'!P40</f>
        <v/>
      </c>
      <c r="Q50" s="85" t="str">
        <f>'R3'!Q40</f>
        <v/>
      </c>
      <c r="R50" s="85" t="str">
        <f>'R3'!R40</f>
        <v/>
      </c>
      <c r="S50" s="85" t="str">
        <f>'R3'!S40</f>
        <v/>
      </c>
      <c r="T50" s="85" t="str">
        <f>'R3'!T40</f>
        <v/>
      </c>
      <c r="U50" s="85" t="str">
        <f>'R3'!U40</f>
        <v/>
      </c>
      <c r="V50" s="85" t="str">
        <f>'R3'!V40</f>
        <v/>
      </c>
    </row>
    <row r="51" spans="1:24" s="1" customFormat="1" x14ac:dyDescent="0.25">
      <c r="A51" s="144"/>
      <c r="B51" s="85" t="str">
        <f>'R3'!B41</f>
        <v/>
      </c>
      <c r="C51" s="85" t="str">
        <f>'R3'!C41</f>
        <v/>
      </c>
      <c r="D51" s="85" t="str">
        <f>'R3'!D41</f>
        <v/>
      </c>
      <c r="E51" s="85" t="str">
        <f>'R3'!E41</f>
        <v/>
      </c>
      <c r="F51" s="85" t="str">
        <f>'R3'!F41</f>
        <v/>
      </c>
      <c r="G51" s="85" t="str">
        <f>'R3'!G41</f>
        <v/>
      </c>
      <c r="H51" s="85" t="str">
        <f>'R3'!H41</f>
        <v/>
      </c>
      <c r="I51" s="85" t="str">
        <f>'R3'!I41</f>
        <v/>
      </c>
      <c r="J51" s="85" t="str">
        <f>'R3'!J41</f>
        <v/>
      </c>
      <c r="K51" s="85" t="str">
        <f>'R3'!K41</f>
        <v/>
      </c>
      <c r="L51" s="85" t="str">
        <f>'R3'!L41</f>
        <v/>
      </c>
      <c r="M51" s="85" t="str">
        <f>'R3'!M41</f>
        <v/>
      </c>
      <c r="N51"/>
      <c r="O51" s="85">
        <f>'R3'!O41</f>
        <v>0.64188880483249466</v>
      </c>
      <c r="P51" s="85" t="str">
        <f>'R3'!P41</f>
        <v/>
      </c>
      <c r="Q51" s="85" t="str">
        <f>'R3'!Q41</f>
        <v/>
      </c>
      <c r="R51" s="85" t="str">
        <f>'R3'!R41</f>
        <v/>
      </c>
      <c r="S51" s="85" t="str">
        <f>'R3'!S41</f>
        <v/>
      </c>
      <c r="T51" s="85" t="str">
        <f>'R3'!T41</f>
        <v/>
      </c>
      <c r="U51" s="85" t="str">
        <f>'R3'!U41</f>
        <v/>
      </c>
      <c r="V51" s="85" t="str">
        <f>'R3'!V41</f>
        <v/>
      </c>
    </row>
    <row r="52" spans="1:24" s="1" customFormat="1" x14ac:dyDescent="0.25">
      <c r="A52" s="144"/>
      <c r="B52" s="85" t="str">
        <f>'R3'!B42</f>
        <v/>
      </c>
      <c r="C52" s="85" t="str">
        <f>'R3'!C42</f>
        <v/>
      </c>
      <c r="D52" s="85" t="str">
        <f>'R3'!D42</f>
        <v/>
      </c>
      <c r="E52" s="85" t="str">
        <f>'R3'!E42</f>
        <v/>
      </c>
      <c r="F52" s="85" t="str">
        <f>'R3'!F42</f>
        <v/>
      </c>
      <c r="G52" s="85" t="str">
        <f>'R3'!G42</f>
        <v/>
      </c>
      <c r="H52" s="85" t="str">
        <f>'R3'!H42</f>
        <v/>
      </c>
      <c r="I52" s="85" t="str">
        <f>'R3'!I42</f>
        <v/>
      </c>
      <c r="J52" s="85" t="str">
        <f>'R3'!J42</f>
        <v/>
      </c>
      <c r="K52" s="85" t="str">
        <f>'R3'!K42</f>
        <v/>
      </c>
      <c r="L52" s="85" t="str">
        <f>'R3'!L42</f>
        <v/>
      </c>
      <c r="M52" s="85" t="str">
        <f>'R3'!M42</f>
        <v/>
      </c>
      <c r="N52"/>
      <c r="O52" s="85">
        <f>'R3'!O42</f>
        <v>0.90546742347578901</v>
      </c>
      <c r="P52" s="85" t="str">
        <f>'R3'!P42</f>
        <v/>
      </c>
      <c r="Q52" s="85" t="str">
        <f>'R3'!Q42</f>
        <v/>
      </c>
      <c r="R52" s="85" t="str">
        <f>'R3'!R42</f>
        <v/>
      </c>
      <c r="S52" s="85" t="str">
        <f>'R3'!S42</f>
        <v/>
      </c>
      <c r="T52" s="85" t="str">
        <f>'R3'!T42</f>
        <v/>
      </c>
      <c r="U52" s="85" t="str">
        <f>'R3'!U42</f>
        <v/>
      </c>
      <c r="V52" s="85" t="str">
        <f>'R3'!V42</f>
        <v/>
      </c>
    </row>
    <row r="53" spans="1:24" s="1" customFormat="1" x14ac:dyDescent="0.25">
      <c r="A53" s="145"/>
      <c r="B53" s="85" t="str">
        <f>'R3'!B43</f>
        <v/>
      </c>
      <c r="C53" s="85" t="str">
        <f>'R3'!C43</f>
        <v/>
      </c>
      <c r="D53" s="85" t="str">
        <f>'R3'!D43</f>
        <v/>
      </c>
      <c r="E53" s="85" t="str">
        <f>'R3'!E43</f>
        <v/>
      </c>
      <c r="F53" s="85" t="str">
        <f>'R3'!F43</f>
        <v/>
      </c>
      <c r="G53" s="85" t="str">
        <f>'R3'!G43</f>
        <v/>
      </c>
      <c r="H53" s="85" t="str">
        <f>'R3'!H43</f>
        <v/>
      </c>
      <c r="I53" s="85" t="str">
        <f>'R3'!I43</f>
        <v/>
      </c>
      <c r="J53" s="85" t="str">
        <f>'R3'!J43</f>
        <v/>
      </c>
      <c r="K53" s="85" t="str">
        <f>'R3'!K43</f>
        <v/>
      </c>
      <c r="L53" s="85" t="str">
        <f>'R3'!L43</f>
        <v/>
      </c>
      <c r="M53" s="85" t="str">
        <f>'R3'!M43</f>
        <v/>
      </c>
      <c r="N53"/>
      <c r="O53" s="85">
        <f>'R3'!O43</f>
        <v>1.2024505203350986</v>
      </c>
      <c r="P53" s="85" t="str">
        <f>'R3'!P43</f>
        <v/>
      </c>
      <c r="Q53" s="85" t="str">
        <f>'R3'!Q43</f>
        <v/>
      </c>
      <c r="R53" s="85" t="str">
        <f>'R3'!R43</f>
        <v/>
      </c>
      <c r="S53" s="85" t="str">
        <f>'R3'!S43</f>
        <v/>
      </c>
      <c r="T53" s="85" t="str">
        <f>'R3'!T43</f>
        <v/>
      </c>
      <c r="U53" s="85" t="str">
        <f>'R3'!U43</f>
        <v/>
      </c>
      <c r="V53" s="85" t="str">
        <f>'R3'!V43</f>
        <v/>
      </c>
    </row>
    <row r="54" spans="1:24" s="44" customFormat="1" x14ac:dyDescent="0.25">
      <c r="A54" s="42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/>
      <c r="O54" s="43"/>
      <c r="P54" s="43"/>
      <c r="Q54" s="43"/>
      <c r="R54" s="43"/>
      <c r="S54" s="43"/>
      <c r="T54" s="43"/>
      <c r="U54" s="43"/>
      <c r="V54" s="43"/>
    </row>
    <row r="55" spans="1:24" s="26" customFormat="1" x14ac:dyDescent="0.25">
      <c r="A55" s="26" t="s">
        <v>36</v>
      </c>
      <c r="B55" s="15" t="str">
        <f t="shared" ref="B55:M55" si="0">B4</f>
        <v>Solvent control</v>
      </c>
      <c r="C55" s="15" t="str">
        <f t="shared" si="0"/>
        <v>EE2-33.8ng/L</v>
      </c>
      <c r="D55" s="15" t="str">
        <f t="shared" si="0"/>
        <v>EE2-50.6ng/L</v>
      </c>
      <c r="E55" s="15" t="str">
        <f t="shared" si="0"/>
        <v>EE2-76ng/L</v>
      </c>
      <c r="F55" s="15" t="str">
        <f t="shared" si="0"/>
        <v>EE2-114ng/L</v>
      </c>
      <c r="G55" s="15" t="str">
        <f t="shared" si="0"/>
        <v>EE2-170.9ng/L</v>
      </c>
      <c r="H55" s="15" t="str">
        <f t="shared" si="0"/>
        <v>EE2-488ng/L</v>
      </c>
      <c r="I55" s="15" t="str">
        <f t="shared" si="0"/>
        <v>Dutasteride-0.01mg/L</v>
      </c>
      <c r="J55" s="15" t="str">
        <f t="shared" si="0"/>
        <v>Dutasteride-0.1mg/L</v>
      </c>
      <c r="K55" s="15" t="str">
        <f t="shared" si="0"/>
        <v>Dutasteride-0.25mg/L</v>
      </c>
      <c r="L55" s="15" t="str">
        <f t="shared" si="0"/>
        <v>Dutasteride-0.5mg/L</v>
      </c>
      <c r="M55" s="15" t="str">
        <f t="shared" si="0"/>
        <v>Dutasteride-1.0mg/L</v>
      </c>
      <c r="O55" s="15" t="str">
        <f t="shared" ref="O55:V55" si="1">O4</f>
        <v>Testo -30µg/L</v>
      </c>
      <c r="P55" s="15" t="str">
        <f t="shared" si="1"/>
        <v>Testo 30µg/L + EE2 -64ng/L</v>
      </c>
      <c r="Q55" s="15" t="str">
        <f t="shared" si="1"/>
        <v>Testo 30µg/L + FAD-10mg/L</v>
      </c>
      <c r="R55" s="15" t="str">
        <f t="shared" si="1"/>
        <v>Dutasteride-0.01mg/L + Testostérone</v>
      </c>
      <c r="S55" s="15" t="str">
        <f t="shared" si="1"/>
        <v>Dutasteride-0.1mg/L + Testostérone</v>
      </c>
      <c r="T55" s="15" t="str">
        <f t="shared" si="1"/>
        <v>Dutasteride-0.25mg/L + Testostérone</v>
      </c>
      <c r="U55" s="15" t="str">
        <f t="shared" si="1"/>
        <v>Dutasteride-0.5mg/L + Testostérone</v>
      </c>
      <c r="V55" s="15" t="str">
        <f t="shared" si="1"/>
        <v>Dutasteride-1.0mg/L + Testostérone</v>
      </c>
    </row>
    <row r="56" spans="1:24" x14ac:dyDescent="0.25">
      <c r="A56" t="s">
        <v>10</v>
      </c>
      <c r="B56" s="9">
        <f t="shared" ref="B56:V56" si="2">AVERAGE(B6:B53)</f>
        <v>2.7234910550773785E-2</v>
      </c>
      <c r="C56" s="9">
        <f t="shared" si="2"/>
        <v>7.1958088047522198E-2</v>
      </c>
      <c r="D56" s="9">
        <f t="shared" si="2"/>
        <v>0.14513022796173544</v>
      </c>
      <c r="E56" s="9">
        <f t="shared" si="2"/>
        <v>0.32544448972733614</v>
      </c>
      <c r="F56" s="9">
        <f t="shared" si="2"/>
        <v>0.95680764768551441</v>
      </c>
      <c r="G56" s="9">
        <f t="shared" si="2"/>
        <v>1.4003334827143099</v>
      </c>
      <c r="H56" s="9">
        <f t="shared" si="2"/>
        <v>1.6750137786217809</v>
      </c>
      <c r="I56" s="9">
        <f t="shared" si="2"/>
        <v>4.0648082786742042E-2</v>
      </c>
      <c r="J56" s="9">
        <f t="shared" si="2"/>
        <v>7.8793920119638469E-2</v>
      </c>
      <c r="K56" s="9">
        <f t="shared" si="2"/>
        <v>5.5151540767884977E-2</v>
      </c>
      <c r="L56" s="9">
        <f t="shared" si="2"/>
        <v>4.9703343357781392E-2</v>
      </c>
      <c r="M56" s="9">
        <f t="shared" si="2"/>
        <v>3.9348691581869842E-2</v>
      </c>
      <c r="N56" s="9"/>
      <c r="O56" s="9">
        <f t="shared" si="2"/>
        <v>1.0000000000000002</v>
      </c>
      <c r="P56" s="9">
        <f t="shared" si="2"/>
        <v>1.4662364947902331</v>
      </c>
      <c r="Q56" s="9">
        <f t="shared" si="2"/>
        <v>5.1294789411867964E-2</v>
      </c>
      <c r="R56" s="9">
        <f t="shared" si="2"/>
        <v>1.2908634104361296</v>
      </c>
      <c r="S56" s="9">
        <f t="shared" si="2"/>
        <v>1.3988029956560379</v>
      </c>
      <c r="T56" s="9">
        <f t="shared" si="2"/>
        <v>1.4635219542909759</v>
      </c>
      <c r="U56" s="9">
        <f t="shared" si="2"/>
        <v>1.4000147378986527</v>
      </c>
      <c r="V56" s="9">
        <f t="shared" si="2"/>
        <v>1.298661828016082</v>
      </c>
    </row>
    <row r="57" spans="1:24" x14ac:dyDescent="0.25">
      <c r="A57" t="s">
        <v>1</v>
      </c>
      <c r="B57" s="3">
        <f>STDEV(B6:B53)</f>
        <v>3.5633211348933887E-2</v>
      </c>
      <c r="C57" s="3">
        <f t="shared" ref="C57:V57" si="3">STDEV(C6:C53)</f>
        <v>5.7372620510266113E-2</v>
      </c>
      <c r="D57" s="3">
        <f t="shared" si="3"/>
        <v>0.34082071984497903</v>
      </c>
      <c r="E57" s="3">
        <f t="shared" si="3"/>
        <v>0.26733890630318663</v>
      </c>
      <c r="F57" s="3">
        <f t="shared" si="3"/>
        <v>0.44973926753253446</v>
      </c>
      <c r="G57" s="3">
        <f t="shared" si="3"/>
        <v>0.48126260752944555</v>
      </c>
      <c r="H57" s="3">
        <f t="shared" si="3"/>
        <v>0.65341293857893623</v>
      </c>
      <c r="I57" s="3">
        <f t="shared" si="3"/>
        <v>4.0876848783231133E-2</v>
      </c>
      <c r="J57" s="3">
        <f t="shared" si="3"/>
        <v>9.8601414193960207E-2</v>
      </c>
      <c r="K57" s="3">
        <f t="shared" si="3"/>
        <v>6.8245288284186648E-2</v>
      </c>
      <c r="L57" s="3">
        <f t="shared" si="3"/>
        <v>6.7513715789878692E-2</v>
      </c>
      <c r="M57" s="3">
        <f t="shared" si="3"/>
        <v>4.9372237546450523E-2</v>
      </c>
      <c r="N57" s="3"/>
      <c r="O57" s="3">
        <f t="shared" si="3"/>
        <v>0.37162215246656577</v>
      </c>
      <c r="P57" s="3">
        <f t="shared" si="3"/>
        <v>0.44677683366152837</v>
      </c>
      <c r="Q57" s="3">
        <f t="shared" si="3"/>
        <v>6.6176769818961256E-2</v>
      </c>
      <c r="R57" s="3">
        <f t="shared" si="3"/>
        <v>0.4482883976111024</v>
      </c>
      <c r="S57" s="3">
        <f t="shared" si="3"/>
        <v>0.29846309419413392</v>
      </c>
      <c r="T57" s="3">
        <f t="shared" si="3"/>
        <v>0.43342926345991883</v>
      </c>
      <c r="U57" s="3">
        <f t="shared" si="3"/>
        <v>0.39730065164794892</v>
      </c>
      <c r="V57" s="3">
        <f t="shared" si="3"/>
        <v>0.45927347845977912</v>
      </c>
      <c r="W57" s="3"/>
      <c r="X57" s="3"/>
    </row>
    <row r="58" spans="1:24" x14ac:dyDescent="0.25">
      <c r="A58" t="s">
        <v>2</v>
      </c>
      <c r="B58" s="3">
        <f xml:space="preserve"> B57/SQRT(COUNT(B6:B53))</f>
        <v>7.2735988084698918E-3</v>
      </c>
      <c r="C58" s="3">
        <f t="shared" ref="C58:V58" si="4" xml:space="preserve"> C57/SQRT(COUNT(C6:C53))</f>
        <v>1.1711137121374053E-2</v>
      </c>
      <c r="D58" s="3">
        <f t="shared" si="4"/>
        <v>6.9569738115687951E-2</v>
      </c>
      <c r="E58" s="3">
        <f t="shared" si="4"/>
        <v>5.4570325736377399E-2</v>
      </c>
      <c r="F58" s="3">
        <f t="shared" si="4"/>
        <v>9.1802643562313574E-2</v>
      </c>
      <c r="G58" s="3">
        <f t="shared" si="4"/>
        <v>9.8237318394038611E-2</v>
      </c>
      <c r="H58" s="3">
        <f t="shared" si="4"/>
        <v>0.13337735757090993</v>
      </c>
      <c r="I58" s="3">
        <f t="shared" si="4"/>
        <v>8.3439518176519761E-3</v>
      </c>
      <c r="J58" s="3">
        <f t="shared" si="4"/>
        <v>2.0559816105852551E-2</v>
      </c>
      <c r="K58" s="3">
        <f t="shared" si="4"/>
        <v>1.3930511137116351E-2</v>
      </c>
      <c r="L58" s="3">
        <f t="shared" si="4"/>
        <v>1.3781179527040548E-2</v>
      </c>
      <c r="M58" s="3">
        <f t="shared" si="4"/>
        <v>1.007806578735709E-2</v>
      </c>
      <c r="N58" s="3"/>
      <c r="O58" s="3">
        <f t="shared" si="4"/>
        <v>5.4206662109964894E-2</v>
      </c>
      <c r="P58" s="3">
        <f t="shared" si="4"/>
        <v>9.1197939280588336E-2</v>
      </c>
      <c r="Q58" s="3">
        <f t="shared" si="4"/>
        <v>1.3508276573505751E-2</v>
      </c>
      <c r="R58" s="3">
        <f t="shared" si="4"/>
        <v>9.1506485979758537E-2</v>
      </c>
      <c r="S58" s="3">
        <f t="shared" si="4"/>
        <v>6.2233857203551353E-2</v>
      </c>
      <c r="T58" s="3">
        <f t="shared" si="4"/>
        <v>8.8473377922261578E-2</v>
      </c>
      <c r="U58" s="3">
        <f t="shared" si="4"/>
        <v>8.1098655917726956E-2</v>
      </c>
      <c r="V58" s="3">
        <f t="shared" si="4"/>
        <v>9.3748806218298328E-2</v>
      </c>
      <c r="W58" s="3"/>
      <c r="X58" s="3"/>
    </row>
    <row r="59" spans="1:24" s="1" customFormat="1" ht="15.75" thickBot="1" x14ac:dyDescent="0.3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spans="1:24" s="32" customFormat="1" ht="27" thickBot="1" x14ac:dyDescent="0.3">
      <c r="A60" s="146"/>
      <c r="B60" s="147"/>
      <c r="C60" s="147"/>
      <c r="D60" s="147"/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7"/>
      <c r="R60" s="147"/>
      <c r="S60" s="147"/>
      <c r="T60" s="147"/>
      <c r="U60" s="147"/>
      <c r="V60" s="147"/>
    </row>
    <row r="61" spans="1:24" s="1" customFormat="1" x14ac:dyDescent="0.25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spans="1:24" s="1" customFormat="1" x14ac:dyDescent="0.25">
      <c r="A62" s="1" t="s">
        <v>36</v>
      </c>
      <c r="B62" s="3" t="str">
        <f t="shared" ref="B62" si="5">B4</f>
        <v>Solvent control</v>
      </c>
      <c r="C62" s="3" t="str">
        <f t="shared" ref="C62:V62" si="6">C4</f>
        <v>EE2-33.8ng/L</v>
      </c>
      <c r="D62" s="3" t="str">
        <f t="shared" si="6"/>
        <v>EE2-50.6ng/L</v>
      </c>
      <c r="E62" s="3" t="str">
        <f t="shared" si="6"/>
        <v>EE2-76ng/L</v>
      </c>
      <c r="F62" s="3" t="str">
        <f t="shared" si="6"/>
        <v>EE2-114ng/L</v>
      </c>
      <c r="G62" s="3" t="str">
        <f t="shared" si="6"/>
        <v>EE2-170.9ng/L</v>
      </c>
      <c r="H62" s="3" t="str">
        <f t="shared" si="6"/>
        <v>EE2-488ng/L</v>
      </c>
      <c r="I62" s="3" t="str">
        <f t="shared" si="6"/>
        <v>Dutasteride-0.01mg/L</v>
      </c>
      <c r="J62" s="3" t="str">
        <f t="shared" si="6"/>
        <v>Dutasteride-0.1mg/L</v>
      </c>
      <c r="K62" s="3" t="str">
        <f t="shared" si="6"/>
        <v>Dutasteride-0.25mg/L</v>
      </c>
      <c r="L62" s="3" t="str">
        <f t="shared" si="6"/>
        <v>Dutasteride-0.5mg/L</v>
      </c>
      <c r="M62" s="3" t="str">
        <f t="shared" si="6"/>
        <v>Dutasteride-1.0mg/L</v>
      </c>
      <c r="N62" s="3"/>
      <c r="O62" s="3" t="str">
        <f t="shared" si="6"/>
        <v>Testo -30µg/L</v>
      </c>
      <c r="P62" s="3" t="str">
        <f t="shared" si="6"/>
        <v>Testo 30µg/L + EE2 -64ng/L</v>
      </c>
      <c r="Q62" s="3" t="str">
        <f t="shared" si="6"/>
        <v>Testo 30µg/L + FAD-10mg/L</v>
      </c>
      <c r="R62" s="3" t="str">
        <f t="shared" si="6"/>
        <v>Dutasteride-0.01mg/L + Testostérone</v>
      </c>
      <c r="S62" s="3" t="str">
        <f t="shared" si="6"/>
        <v>Dutasteride-0.1mg/L + Testostérone</v>
      </c>
      <c r="T62" s="3" t="str">
        <f t="shared" si="6"/>
        <v>Dutasteride-0.25mg/L + Testostérone</v>
      </c>
      <c r="U62" s="3" t="str">
        <f t="shared" si="6"/>
        <v>Dutasteride-0.5mg/L + Testostérone</v>
      </c>
      <c r="V62" s="3" t="str">
        <f t="shared" si="6"/>
        <v>Dutasteride-1.0mg/L + Testostérone</v>
      </c>
    </row>
    <row r="63" spans="1:24" s="1" customFormat="1" x14ac:dyDescent="0.25">
      <c r="A63" s="1" t="s">
        <v>43</v>
      </c>
      <c r="B63" s="3">
        <f>COUNT(B6:B53)</f>
        <v>24</v>
      </c>
      <c r="C63" s="3">
        <f t="shared" ref="C63:V63" si="7">COUNT(C6:C53)</f>
        <v>24</v>
      </c>
      <c r="D63" s="3">
        <f t="shared" si="7"/>
        <v>24</v>
      </c>
      <c r="E63" s="3">
        <f t="shared" si="7"/>
        <v>24</v>
      </c>
      <c r="F63" s="3">
        <f t="shared" si="7"/>
        <v>24</v>
      </c>
      <c r="G63" s="3">
        <f t="shared" si="7"/>
        <v>24</v>
      </c>
      <c r="H63" s="3">
        <f t="shared" si="7"/>
        <v>24</v>
      </c>
      <c r="I63" s="3">
        <f t="shared" si="7"/>
        <v>24</v>
      </c>
      <c r="J63" s="3">
        <f t="shared" si="7"/>
        <v>23</v>
      </c>
      <c r="K63" s="3">
        <f t="shared" si="7"/>
        <v>24</v>
      </c>
      <c r="L63" s="3">
        <f t="shared" si="7"/>
        <v>24</v>
      </c>
      <c r="M63" s="3">
        <f t="shared" si="7"/>
        <v>24</v>
      </c>
      <c r="N63" s="3"/>
      <c r="O63" s="3">
        <f t="shared" si="7"/>
        <v>47</v>
      </c>
      <c r="P63" s="3">
        <f t="shared" si="7"/>
        <v>24</v>
      </c>
      <c r="Q63" s="3">
        <f t="shared" si="7"/>
        <v>24</v>
      </c>
      <c r="R63" s="3">
        <f t="shared" si="7"/>
        <v>24</v>
      </c>
      <c r="S63" s="3">
        <f t="shared" si="7"/>
        <v>23</v>
      </c>
      <c r="T63" s="3">
        <f t="shared" si="7"/>
        <v>24</v>
      </c>
      <c r="U63" s="3">
        <f t="shared" si="7"/>
        <v>24</v>
      </c>
      <c r="V63" s="3">
        <f t="shared" si="7"/>
        <v>24</v>
      </c>
    </row>
    <row r="64" spans="1:24" s="1" customFormat="1" ht="15.75" thickBot="1" x14ac:dyDescent="0.3">
      <c r="B64" s="3" t="str">
        <f>IF(B63&gt;=21,"OK","ATTENTION")</f>
        <v>OK</v>
      </c>
      <c r="C64" s="3" t="str">
        <f t="shared" ref="C64:V64" si="8">IF(C63&gt;=21,"OK","ATTENTION")</f>
        <v>OK</v>
      </c>
      <c r="D64" s="3" t="str">
        <f t="shared" si="8"/>
        <v>OK</v>
      </c>
      <c r="E64" s="3" t="str">
        <f t="shared" si="8"/>
        <v>OK</v>
      </c>
      <c r="F64" s="3" t="str">
        <f t="shared" si="8"/>
        <v>OK</v>
      </c>
      <c r="G64" s="3" t="str">
        <f t="shared" si="8"/>
        <v>OK</v>
      </c>
      <c r="H64" s="3" t="str">
        <f t="shared" si="8"/>
        <v>OK</v>
      </c>
      <c r="I64" s="3" t="str">
        <f t="shared" si="8"/>
        <v>OK</v>
      </c>
      <c r="J64" s="3" t="str">
        <f t="shared" si="8"/>
        <v>OK</v>
      </c>
      <c r="K64" s="3" t="str">
        <f t="shared" si="8"/>
        <v>OK</v>
      </c>
      <c r="L64" s="3" t="str">
        <f t="shared" si="8"/>
        <v>OK</v>
      </c>
      <c r="M64" s="3" t="str">
        <f t="shared" si="8"/>
        <v>OK</v>
      </c>
      <c r="N64" s="3"/>
      <c r="O64" s="3" t="str">
        <f>IF(O63&gt;=41,"OK","ATTENTION")</f>
        <v>OK</v>
      </c>
      <c r="P64" s="3" t="str">
        <f t="shared" si="8"/>
        <v>OK</v>
      </c>
      <c r="Q64" s="3" t="str">
        <f t="shared" si="8"/>
        <v>OK</v>
      </c>
      <c r="R64" s="3" t="str">
        <f t="shared" si="8"/>
        <v>OK</v>
      </c>
      <c r="S64" s="3" t="str">
        <f t="shared" si="8"/>
        <v>OK</v>
      </c>
      <c r="T64" s="3" t="str">
        <f t="shared" si="8"/>
        <v>OK</v>
      </c>
      <c r="U64" s="3" t="str">
        <f t="shared" si="8"/>
        <v>OK</v>
      </c>
      <c r="V64" s="3" t="str">
        <f t="shared" si="8"/>
        <v>OK</v>
      </c>
    </row>
    <row r="65" spans="1:22" s="32" customFormat="1" ht="27" thickBot="1" x14ac:dyDescent="0.3">
      <c r="A65" s="146"/>
      <c r="B65" s="147"/>
      <c r="C65" s="147"/>
      <c r="D65" s="147"/>
      <c r="E65" s="147"/>
      <c r="F65" s="147"/>
      <c r="G65" s="147"/>
      <c r="H65" s="147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47"/>
      <c r="V65" s="147"/>
    </row>
    <row r="66" spans="1:22" s="1" customFormat="1" x14ac:dyDescent="0.25"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spans="1:22" s="1" customForma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1:22" s="1" customForma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spans="1:22" s="1" customFormat="1" ht="15.75" thickBot="1" x14ac:dyDescent="0.3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spans="1:22" s="32" customFormat="1" ht="27" thickBot="1" x14ac:dyDescent="0.3">
      <c r="A70" s="146"/>
      <c r="B70" s="147"/>
      <c r="C70" s="147"/>
      <c r="D70" s="147"/>
      <c r="E70" s="147"/>
      <c r="F70" s="147"/>
      <c r="G70" s="147"/>
      <c r="H70" s="147"/>
      <c r="I70" s="147"/>
      <c r="J70" s="147"/>
      <c r="K70" s="147"/>
      <c r="L70" s="147"/>
      <c r="M70" s="147"/>
      <c r="N70" s="147"/>
      <c r="O70" s="147"/>
      <c r="P70" s="147"/>
      <c r="Q70" s="147"/>
      <c r="R70" s="147"/>
      <c r="S70" s="147"/>
      <c r="T70" s="147"/>
      <c r="U70" s="147"/>
      <c r="V70" s="147"/>
    </row>
    <row r="71" spans="1:22" ht="15.75" thickBot="1" x14ac:dyDescent="0.3"/>
    <row r="72" spans="1:22" s="32" customFormat="1" ht="27" thickBot="1" x14ac:dyDescent="0.3">
      <c r="A72" s="146"/>
      <c r="B72" s="147"/>
      <c r="C72" s="147"/>
      <c r="D72" s="147"/>
      <c r="E72" s="147"/>
      <c r="F72" s="147"/>
      <c r="G72" s="147"/>
      <c r="H72" s="147"/>
      <c r="I72" s="147"/>
      <c r="J72" s="147"/>
      <c r="K72" s="147"/>
      <c r="L72" s="147"/>
      <c r="M72" s="147"/>
      <c r="N72" s="147"/>
      <c r="O72" s="147"/>
      <c r="P72" s="147"/>
      <c r="Q72" s="147"/>
      <c r="R72" s="147"/>
      <c r="S72" s="147"/>
      <c r="T72" s="147"/>
      <c r="U72" s="147"/>
      <c r="V72" s="147"/>
    </row>
    <row r="73" spans="1:22" ht="15.75" thickBot="1" x14ac:dyDescent="0.3">
      <c r="J73" s="3">
        <v>1</v>
      </c>
      <c r="K73" s="3">
        <v>2</v>
      </c>
      <c r="L73" s="3">
        <v>3</v>
      </c>
      <c r="M73" s="3">
        <v>4</v>
      </c>
      <c r="R73" s="3">
        <v>1</v>
      </c>
      <c r="S73" s="3">
        <v>2</v>
      </c>
      <c r="T73" s="3">
        <v>3</v>
      </c>
      <c r="U73" s="3">
        <v>4</v>
      </c>
      <c r="V73" s="3">
        <v>5</v>
      </c>
    </row>
    <row r="74" spans="1:22" s="1" customFormat="1" x14ac:dyDescent="0.25">
      <c r="A74" s="29" t="s">
        <v>44</v>
      </c>
      <c r="B74" s="30" t="str">
        <f t="shared" ref="B74:M74" si="9">B4</f>
        <v>Solvent control</v>
      </c>
      <c r="C74" s="30" t="str">
        <f t="shared" si="9"/>
        <v>EE2-33.8ng/L</v>
      </c>
      <c r="D74" s="30" t="str">
        <f t="shared" si="9"/>
        <v>EE2-50.6ng/L</v>
      </c>
      <c r="E74" s="30" t="str">
        <f t="shared" si="9"/>
        <v>EE2-76ng/L</v>
      </c>
      <c r="F74" s="30" t="str">
        <f t="shared" si="9"/>
        <v>EE2-114ng/L</v>
      </c>
      <c r="G74" s="30" t="str">
        <f t="shared" si="9"/>
        <v>EE2-170.9ng/L</v>
      </c>
      <c r="H74" s="30" t="str">
        <f t="shared" si="9"/>
        <v>EE2-488ng/L</v>
      </c>
      <c r="I74" s="30" t="str">
        <f t="shared" si="9"/>
        <v>Dutasteride-0.01mg/L</v>
      </c>
      <c r="J74" s="30" t="str">
        <f t="shared" si="9"/>
        <v>Dutasteride-0.1mg/L</v>
      </c>
      <c r="K74" s="30" t="str">
        <f t="shared" si="9"/>
        <v>Dutasteride-0.25mg/L</v>
      </c>
      <c r="L74" s="30" t="str">
        <f t="shared" si="9"/>
        <v>Dutasteride-0.5mg/L</v>
      </c>
      <c r="M74" s="30" t="str">
        <f t="shared" si="9"/>
        <v>Dutasteride-1.0mg/L</v>
      </c>
      <c r="N74" s="30"/>
      <c r="O74" s="30" t="str">
        <f t="shared" ref="O74:V74" si="10">O4</f>
        <v>Testo -30µg/L</v>
      </c>
      <c r="P74" s="30" t="str">
        <f t="shared" si="10"/>
        <v>Testo 30µg/L + EE2 -64ng/L</v>
      </c>
      <c r="Q74" s="30" t="str">
        <f t="shared" si="10"/>
        <v>Testo 30µg/L + FAD-10mg/L</v>
      </c>
      <c r="R74" s="30" t="str">
        <f t="shared" si="10"/>
        <v>Dutasteride-0.01mg/L + Testostérone</v>
      </c>
      <c r="S74" s="30" t="str">
        <f t="shared" si="10"/>
        <v>Dutasteride-0.1mg/L + Testostérone</v>
      </c>
      <c r="T74" s="30" t="str">
        <f t="shared" si="10"/>
        <v>Dutasteride-0.25mg/L + Testostérone</v>
      </c>
      <c r="U74" s="30" t="str">
        <f t="shared" si="10"/>
        <v>Dutasteride-0.5mg/L + Testostérone</v>
      </c>
      <c r="V74" s="30" t="str">
        <f t="shared" si="10"/>
        <v>Dutasteride-1.0mg/L + Testostérone</v>
      </c>
    </row>
    <row r="75" spans="1:22" s="3" customFormat="1" x14ac:dyDescent="0.25">
      <c r="A75" s="45" t="s">
        <v>10</v>
      </c>
      <c r="B75" s="77">
        <f>B56</f>
        <v>2.7234910550773785E-2</v>
      </c>
      <c r="C75" s="77">
        <f t="shared" ref="C75:V75" si="11">C56</f>
        <v>7.1958088047522198E-2</v>
      </c>
      <c r="D75" s="77">
        <f t="shared" si="11"/>
        <v>0.14513022796173544</v>
      </c>
      <c r="E75" s="77">
        <f t="shared" si="11"/>
        <v>0.32544448972733614</v>
      </c>
      <c r="F75" s="77">
        <f t="shared" si="11"/>
        <v>0.95680764768551441</v>
      </c>
      <c r="G75" s="77">
        <f t="shared" si="11"/>
        <v>1.4003334827143099</v>
      </c>
      <c r="H75" s="77">
        <f t="shared" si="11"/>
        <v>1.6750137786217809</v>
      </c>
      <c r="I75" s="77">
        <f t="shared" si="11"/>
        <v>4.0648082786742042E-2</v>
      </c>
      <c r="J75" s="77">
        <f t="shared" si="11"/>
        <v>7.8793920119638469E-2</v>
      </c>
      <c r="K75" s="77">
        <f t="shared" si="11"/>
        <v>5.5151540767884977E-2</v>
      </c>
      <c r="L75" s="77">
        <f t="shared" si="11"/>
        <v>4.9703343357781392E-2</v>
      </c>
      <c r="M75" s="77">
        <f t="shared" si="11"/>
        <v>3.9348691581869842E-2</v>
      </c>
      <c r="N75" s="77"/>
      <c r="O75" s="77">
        <f t="shared" si="11"/>
        <v>1.0000000000000002</v>
      </c>
      <c r="P75" s="77">
        <f t="shared" si="11"/>
        <v>1.4662364947902331</v>
      </c>
      <c r="Q75" s="77">
        <f t="shared" si="11"/>
        <v>5.1294789411867964E-2</v>
      </c>
      <c r="R75" s="77">
        <f t="shared" si="11"/>
        <v>1.2908634104361296</v>
      </c>
      <c r="S75" s="77">
        <f t="shared" si="11"/>
        <v>1.3988029956560379</v>
      </c>
      <c r="T75" s="77">
        <f t="shared" si="11"/>
        <v>1.4635219542909759</v>
      </c>
      <c r="U75" s="77">
        <f t="shared" si="11"/>
        <v>1.4000147378986527</v>
      </c>
      <c r="V75" s="77">
        <f t="shared" si="11"/>
        <v>1.298661828016082</v>
      </c>
    </row>
    <row r="76" spans="1:22" s="3" customFormat="1" x14ac:dyDescent="0.25">
      <c r="A76" s="45" t="s">
        <v>2</v>
      </c>
      <c r="B76" s="77">
        <f>B58</f>
        <v>7.2735988084698918E-3</v>
      </c>
      <c r="C76" s="77">
        <f t="shared" ref="C76:V76" si="12">C58</f>
        <v>1.1711137121374053E-2</v>
      </c>
      <c r="D76" s="77">
        <f t="shared" si="12"/>
        <v>6.9569738115687951E-2</v>
      </c>
      <c r="E76" s="77">
        <f t="shared" si="12"/>
        <v>5.4570325736377399E-2</v>
      </c>
      <c r="F76" s="77">
        <f t="shared" si="12"/>
        <v>9.1802643562313574E-2</v>
      </c>
      <c r="G76" s="77">
        <f t="shared" si="12"/>
        <v>9.8237318394038611E-2</v>
      </c>
      <c r="H76" s="77">
        <f t="shared" si="12"/>
        <v>0.13337735757090993</v>
      </c>
      <c r="I76" s="77">
        <f t="shared" si="12"/>
        <v>8.3439518176519761E-3</v>
      </c>
      <c r="J76" s="77">
        <f t="shared" si="12"/>
        <v>2.0559816105852551E-2</v>
      </c>
      <c r="K76" s="77">
        <f t="shared" si="12"/>
        <v>1.3930511137116351E-2</v>
      </c>
      <c r="L76" s="77">
        <f t="shared" si="12"/>
        <v>1.3781179527040548E-2</v>
      </c>
      <c r="M76" s="77">
        <f t="shared" si="12"/>
        <v>1.007806578735709E-2</v>
      </c>
      <c r="N76" s="77"/>
      <c r="O76" s="77">
        <f t="shared" si="12"/>
        <v>5.4206662109964894E-2</v>
      </c>
      <c r="P76" s="77">
        <f t="shared" si="12"/>
        <v>9.1197939280588336E-2</v>
      </c>
      <c r="Q76" s="77">
        <f t="shared" si="12"/>
        <v>1.3508276573505751E-2</v>
      </c>
      <c r="R76" s="77">
        <f t="shared" si="12"/>
        <v>9.1506485979758537E-2</v>
      </c>
      <c r="S76" s="77">
        <f t="shared" si="12"/>
        <v>6.2233857203551353E-2</v>
      </c>
      <c r="T76" s="77">
        <f t="shared" si="12"/>
        <v>8.8473377922261578E-2</v>
      </c>
      <c r="U76" s="77">
        <f t="shared" si="12"/>
        <v>8.1098655917726956E-2</v>
      </c>
      <c r="V76" s="77">
        <f t="shared" si="12"/>
        <v>9.3748806218298328E-2</v>
      </c>
    </row>
    <row r="77" spans="1:22" s="3" customFormat="1" x14ac:dyDescent="0.25">
      <c r="A77" s="45" t="s">
        <v>14</v>
      </c>
      <c r="B77" s="77">
        <f>(B75*100/$B$75)-100</f>
        <v>0</v>
      </c>
      <c r="C77" s="77">
        <f t="shared" ref="C77:M77" si="13">(C75*100/$B$75)-100</f>
        <v>164.21268361932533</v>
      </c>
      <c r="D77" s="77">
        <f t="shared" si="13"/>
        <v>432.88307186164809</v>
      </c>
      <c r="E77" s="77">
        <f t="shared" si="13"/>
        <v>1094.9534004182353</v>
      </c>
      <c r="F77" s="77">
        <f t="shared" si="13"/>
        <v>3413.1661104660029</v>
      </c>
      <c r="G77" s="77">
        <f t="shared" si="13"/>
        <v>5041.685632136303</v>
      </c>
      <c r="H77" s="77">
        <f t="shared" si="13"/>
        <v>6050.2451990766358</v>
      </c>
      <c r="I77" s="77">
        <f t="shared" si="13"/>
        <v>49.249922120956512</v>
      </c>
      <c r="J77" s="77">
        <f t="shared" si="13"/>
        <v>189.31220454256209</v>
      </c>
      <c r="K77" s="77">
        <f t="shared" si="13"/>
        <v>102.50310962125792</v>
      </c>
      <c r="L77" s="77">
        <f t="shared" si="13"/>
        <v>82.498647333979363</v>
      </c>
      <c r="M77" s="77">
        <f t="shared" si="13"/>
        <v>44.478872102452669</v>
      </c>
      <c r="N77" s="77"/>
      <c r="O77" s="77">
        <f>(O75*100/$O$75)-100</f>
        <v>0</v>
      </c>
      <c r="P77" s="77">
        <f t="shared" ref="P77:V77" si="14">(P75*100/$O$75)-100</f>
        <v>46.623649479023271</v>
      </c>
      <c r="Q77" s="77">
        <f t="shared" si="14"/>
        <v>-94.87052105881321</v>
      </c>
      <c r="R77" s="77">
        <f t="shared" si="14"/>
        <v>29.086341043612947</v>
      </c>
      <c r="S77" s="77">
        <f t="shared" si="14"/>
        <v>39.880299565603764</v>
      </c>
      <c r="T77" s="77">
        <f t="shared" si="14"/>
        <v>46.352195429097549</v>
      </c>
      <c r="U77" s="77">
        <f t="shared" si="14"/>
        <v>40.00147378986523</v>
      </c>
      <c r="V77" s="77">
        <f t="shared" si="14"/>
        <v>29.866182801608176</v>
      </c>
    </row>
    <row r="78" spans="1:22" s="3" customFormat="1" x14ac:dyDescent="0.25">
      <c r="A78" s="45" t="s">
        <v>37</v>
      </c>
      <c r="B78" s="77">
        <f>[1]!DPTEST(B6:B53)</f>
        <v>0.10294067475214852</v>
      </c>
      <c r="C78" s="77">
        <f>[1]!DPTEST(C6:C53)</f>
        <v>0.50811023424461421</v>
      </c>
      <c r="D78" s="77">
        <f>[1]!DPTEST(D6:D53)</f>
        <v>8.9302787387168792E-11</v>
      </c>
      <c r="E78" s="77">
        <f>[1]!DPTEST(E6:E53)</f>
        <v>0.21598791551246099</v>
      </c>
      <c r="F78" s="77">
        <f>[1]!DPTEST(F6:F53)</f>
        <v>0.28982393084230784</v>
      </c>
      <c r="G78" s="77">
        <f>[1]!DPTEST(G6:G53)</f>
        <v>9.2974434763194669E-2</v>
      </c>
      <c r="H78" s="77">
        <f>[1]!DPTEST(H6:H53)</f>
        <v>1.0171330040217086E-2</v>
      </c>
      <c r="I78" s="77">
        <f>[1]!DPTEST(I6:I53)</f>
        <v>0.16315150441304271</v>
      </c>
      <c r="J78" s="77">
        <f>[1]!DPTEST(J6:J53)</f>
        <v>6.0162262771612518E-7</v>
      </c>
      <c r="K78" s="77">
        <f>[1]!DPTEST(K6:K53)</f>
        <v>3.3325601489142542E-4</v>
      </c>
      <c r="L78" s="77">
        <f>[1]!DPTEST(L6:L53)</f>
        <v>7.7306392288090109E-5</v>
      </c>
      <c r="M78" s="77">
        <f>[1]!DPTEST(M6:M53)</f>
        <v>4.9070079395662769E-2</v>
      </c>
      <c r="N78" s="77"/>
      <c r="O78" s="77">
        <f>[1]!DPTEST(O6:O53)</f>
        <v>9.7756245867551494E-2</v>
      </c>
      <c r="P78" s="77">
        <f>[1]!DPTEST(P6:P53)</f>
        <v>3.6287021710463718E-2</v>
      </c>
      <c r="Q78" s="77">
        <f>[1]!DPTEST(Q6:Q53)</f>
        <v>2.8103447057170605E-5</v>
      </c>
      <c r="R78" s="77">
        <f>[1]!DPTEST(R6:R53)</f>
        <v>0.11109073801747504</v>
      </c>
      <c r="S78" s="77">
        <f>[1]!DPTEST(S6:S53)</f>
        <v>0.63444987910650164</v>
      </c>
      <c r="T78" s="77">
        <f>[1]!DPTEST(T6:T53)</f>
        <v>0.14148633942236977</v>
      </c>
      <c r="U78" s="77">
        <f>[1]!DPTEST(U6:U53)</f>
        <v>0.28745323273687928</v>
      </c>
      <c r="V78" s="77">
        <f>[1]!DPTEST(V6:V53)</f>
        <v>0.48929117372366393</v>
      </c>
    </row>
    <row r="79" spans="1:22" s="3" customFormat="1" x14ac:dyDescent="0.25">
      <c r="A79" s="45" t="s">
        <v>38</v>
      </c>
      <c r="B79" s="77" t="str">
        <f>IF(B78&gt;0.05,"Oui","Non")</f>
        <v>Oui</v>
      </c>
      <c r="C79" s="77" t="str">
        <f t="shared" ref="C79:V79" si="15">IF(C78&gt;0.05,"Oui","Non")</f>
        <v>Oui</v>
      </c>
      <c r="D79" s="77" t="str">
        <f t="shared" si="15"/>
        <v>Non</v>
      </c>
      <c r="E79" s="77" t="str">
        <f t="shared" si="15"/>
        <v>Oui</v>
      </c>
      <c r="F79" s="77" t="str">
        <f t="shared" si="15"/>
        <v>Oui</v>
      </c>
      <c r="G79" s="77" t="str">
        <f t="shared" si="15"/>
        <v>Oui</v>
      </c>
      <c r="H79" s="77" t="str">
        <f t="shared" si="15"/>
        <v>Non</v>
      </c>
      <c r="I79" s="77" t="str">
        <f t="shared" si="15"/>
        <v>Oui</v>
      </c>
      <c r="J79" s="77" t="str">
        <f t="shared" si="15"/>
        <v>Non</v>
      </c>
      <c r="K79" s="77" t="str">
        <f t="shared" si="15"/>
        <v>Non</v>
      </c>
      <c r="L79" s="77" t="str">
        <f t="shared" si="15"/>
        <v>Non</v>
      </c>
      <c r="M79" s="77" t="str">
        <f t="shared" si="15"/>
        <v>Non</v>
      </c>
      <c r="N79" s="77"/>
      <c r="O79" s="77" t="str">
        <f t="shared" si="15"/>
        <v>Oui</v>
      </c>
      <c r="P79" s="77" t="str">
        <f t="shared" si="15"/>
        <v>Non</v>
      </c>
      <c r="Q79" s="77" t="str">
        <f t="shared" si="15"/>
        <v>Non</v>
      </c>
      <c r="R79" s="77" t="str">
        <f t="shared" si="15"/>
        <v>Oui</v>
      </c>
      <c r="S79" s="77" t="str">
        <f t="shared" si="15"/>
        <v>Oui</v>
      </c>
      <c r="T79" s="77" t="str">
        <f t="shared" si="15"/>
        <v>Oui</v>
      </c>
      <c r="U79" s="77" t="str">
        <f t="shared" si="15"/>
        <v>Oui</v>
      </c>
      <c r="V79" s="77" t="str">
        <f t="shared" si="15"/>
        <v>Oui</v>
      </c>
    </row>
    <row r="80" spans="1:22" s="3" customFormat="1" x14ac:dyDescent="0.25">
      <c r="A80" s="45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</row>
    <row r="81" spans="1:22" s="3" customFormat="1" x14ac:dyDescent="0.25">
      <c r="A81" s="45" t="s">
        <v>39</v>
      </c>
      <c r="B81" s="77"/>
      <c r="C81" s="77" t="s">
        <v>58</v>
      </c>
      <c r="D81" s="77" t="s">
        <v>58</v>
      </c>
      <c r="E81" s="77" t="s">
        <v>58</v>
      </c>
      <c r="F81" s="77" t="s">
        <v>58</v>
      </c>
      <c r="G81" s="77" t="s">
        <v>58</v>
      </c>
      <c r="H81" s="77" t="s">
        <v>58</v>
      </c>
      <c r="I81" s="77" t="s">
        <v>58</v>
      </c>
      <c r="J81" s="77" t="s">
        <v>58</v>
      </c>
      <c r="K81" s="77" t="s">
        <v>58</v>
      </c>
      <c r="L81" s="77" t="s">
        <v>58</v>
      </c>
      <c r="M81" s="77" t="s">
        <v>58</v>
      </c>
      <c r="N81" s="77"/>
      <c r="O81" s="77" t="str">
        <f>IF($B79="Non",IF(O79="Non","Mann Withney",IF(O79="Oui","Mann Withney","")),IF($B79="Oui",IF(O79="Oui","T-Test Welch",IF(O79="Non","Mann Withney",""))))</f>
        <v>T-Test Welch</v>
      </c>
      <c r="P81" s="77" t="str">
        <f t="shared" ref="P81:Q81" si="16">IF($O79="Non",IF(P79="Non","Mann Withney",IF(P$79="Oui","Mann Withney","")),IF($O79="Oui",IF(P79="Oui","T-Test Welch",IF(P79="Non","Mann Withney",""))))</f>
        <v>Mann Withney</v>
      </c>
      <c r="Q81" s="77" t="str">
        <f t="shared" si="16"/>
        <v>Mann Withney</v>
      </c>
      <c r="R81" s="77" t="s">
        <v>59</v>
      </c>
      <c r="S81" s="77" t="s">
        <v>59</v>
      </c>
      <c r="T81" s="77" t="s">
        <v>59</v>
      </c>
      <c r="U81" s="77" t="s">
        <v>59</v>
      </c>
      <c r="V81" s="77" t="s">
        <v>59</v>
      </c>
    </row>
    <row r="82" spans="1:22" s="3" customFormat="1" x14ac:dyDescent="0.25">
      <c r="A82" s="45" t="s">
        <v>40</v>
      </c>
      <c r="B82" s="77"/>
      <c r="C82" s="148">
        <v>0.88070000000000004</v>
      </c>
      <c r="D82" s="148">
        <v>0.99990000000000001</v>
      </c>
      <c r="E82" s="148">
        <v>1.18E-2</v>
      </c>
      <c r="F82" s="148">
        <v>1E-4</v>
      </c>
      <c r="G82" s="148">
        <v>1E-4</v>
      </c>
      <c r="H82" s="148">
        <v>1E-4</v>
      </c>
      <c r="I82" s="148">
        <v>0.49059999999999998</v>
      </c>
      <c r="J82" s="148">
        <v>1.6299999999999999E-2</v>
      </c>
      <c r="K82" s="148">
        <v>0.44600000000000001</v>
      </c>
      <c r="L82" s="148">
        <v>0.61140000000000005</v>
      </c>
      <c r="M82" s="148">
        <v>0.99990000000000001</v>
      </c>
      <c r="N82" s="77"/>
      <c r="O82" s="148">
        <v>1E-4</v>
      </c>
      <c r="P82" s="148">
        <v>1E-4</v>
      </c>
      <c r="Q82" s="148">
        <v>1E-4</v>
      </c>
      <c r="R82" s="148">
        <v>1.9099999999999999E-2</v>
      </c>
      <c r="S82" s="148">
        <v>6.9999999999999999E-4</v>
      </c>
      <c r="T82" s="148">
        <v>1E-4</v>
      </c>
      <c r="U82" s="148">
        <v>5.0000000000000001E-4</v>
      </c>
      <c r="V82" s="148">
        <v>1.5299999999999999E-2</v>
      </c>
    </row>
    <row r="83" spans="1:22" s="3" customFormat="1" ht="15.75" thickBot="1" x14ac:dyDescent="0.3">
      <c r="A83" s="46" t="s">
        <v>15</v>
      </c>
      <c r="B83" s="78"/>
      <c r="C83" s="78" t="str">
        <f t="shared" ref="C83:I83" si="17">IF(C82&gt;0.05,"NS",IF(C82&gt;0.01,"*",IF(C82&gt;0.001,"**","***")))</f>
        <v>NS</v>
      </c>
      <c r="D83" s="78" t="str">
        <f t="shared" si="17"/>
        <v>NS</v>
      </c>
      <c r="E83" s="78" t="str">
        <f t="shared" si="17"/>
        <v>*</v>
      </c>
      <c r="F83" s="78" t="str">
        <f t="shared" si="17"/>
        <v>***</v>
      </c>
      <c r="G83" s="78" t="str">
        <f t="shared" si="17"/>
        <v>***</v>
      </c>
      <c r="H83" s="78" t="str">
        <f t="shared" si="17"/>
        <v>***</v>
      </c>
      <c r="I83" s="78" t="str">
        <f t="shared" si="17"/>
        <v>NS</v>
      </c>
      <c r="J83" s="78" t="str">
        <f t="shared" ref="J83:O83" si="18">IF(J82&gt;0.05,"NS",IF(J82&gt;0.01,"*",IF(J82&gt;0.001,"**","***")))</f>
        <v>*</v>
      </c>
      <c r="K83" s="78" t="str">
        <f t="shared" si="18"/>
        <v>NS</v>
      </c>
      <c r="L83" s="78" t="str">
        <f t="shared" si="18"/>
        <v>NS</v>
      </c>
      <c r="M83" s="78" t="str">
        <f t="shared" si="18"/>
        <v>NS</v>
      </c>
      <c r="N83" s="78"/>
      <c r="O83" s="78" t="str">
        <f t="shared" si="18"/>
        <v>***</v>
      </c>
      <c r="P83" s="78" t="str">
        <f t="shared" ref="P83" si="19">IF(P82&gt;0.05,"NS",IF(P82&gt;0.01,"*",IF(P82&gt;0.001,"**","***")))</f>
        <v>***</v>
      </c>
      <c r="Q83" s="78" t="str">
        <f t="shared" ref="Q83" si="20">IF(Q82&gt;0.05,"NS",IF(Q82&gt;0.01,"*",IF(Q82&gt;0.001,"**","***")))</f>
        <v>***</v>
      </c>
      <c r="R83" s="78" t="str">
        <f t="shared" ref="R83:V83" si="21">IF(R82&gt;0.05,"NS",IF(R82&gt;0.01,"*",IF(R82&gt;0.001,"**","***")))</f>
        <v>*</v>
      </c>
      <c r="S83" s="78" t="str">
        <f t="shared" si="21"/>
        <v>***</v>
      </c>
      <c r="T83" s="78" t="str">
        <f t="shared" si="21"/>
        <v>***</v>
      </c>
      <c r="U83" s="78" t="str">
        <f t="shared" si="21"/>
        <v>***</v>
      </c>
      <c r="V83" s="78" t="str">
        <f t="shared" si="21"/>
        <v>*</v>
      </c>
    </row>
    <row r="84" spans="1:22" s="1" customFormat="1" x14ac:dyDescent="0.25"/>
    <row r="85" spans="1:22" s="1" customFormat="1" x14ac:dyDescent="0.25">
      <c r="A85" s="2"/>
    </row>
    <row r="86" spans="1:22" x14ac:dyDescent="0.25">
      <c r="A86" s="1"/>
      <c r="B86" s="1"/>
    </row>
    <row r="87" spans="1:22" x14ac:dyDescent="0.25">
      <c r="A87" s="1"/>
      <c r="B87" s="1"/>
    </row>
    <row r="88" spans="1:22" ht="15.75" thickBot="1" x14ac:dyDescent="0.3"/>
    <row r="89" spans="1:22" s="32" customFormat="1" ht="27" thickBot="1" x14ac:dyDescent="0.3">
      <c r="A89" s="33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</row>
    <row r="90" spans="1:22" ht="15.75" thickBot="1" x14ac:dyDescent="0.3"/>
    <row r="91" spans="1:22" s="32" customFormat="1" ht="27" thickBot="1" x14ac:dyDescent="0.3">
      <c r="A91" s="33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</row>
    <row r="92" spans="1:22" ht="15.75" thickBot="1" x14ac:dyDescent="0.3"/>
    <row r="93" spans="1:22" s="32" customFormat="1" ht="27" thickBot="1" x14ac:dyDescent="0.3">
      <c r="A93" s="146"/>
      <c r="B93" s="147"/>
      <c r="C93" s="147"/>
      <c r="D93" s="147"/>
      <c r="E93" s="147"/>
      <c r="F93" s="147"/>
      <c r="G93" s="147"/>
      <c r="H93" s="147"/>
      <c r="I93" s="147"/>
      <c r="J93" s="147"/>
      <c r="K93" s="147"/>
      <c r="L93" s="147"/>
      <c r="M93" s="147"/>
      <c r="N93" s="147"/>
      <c r="O93" s="147"/>
      <c r="P93" s="147"/>
      <c r="Q93" s="147"/>
      <c r="R93" s="147"/>
      <c r="S93" s="147"/>
      <c r="T93" s="147"/>
      <c r="U93" s="147"/>
      <c r="V93" s="147"/>
    </row>
  </sheetData>
  <mergeCells count="10">
    <mergeCell ref="A7:A21"/>
    <mergeCell ref="A23:A37"/>
    <mergeCell ref="A93:V93"/>
    <mergeCell ref="O3:V3"/>
    <mergeCell ref="B3:M3"/>
    <mergeCell ref="A60:V60"/>
    <mergeCell ref="A72:V72"/>
    <mergeCell ref="A70:V70"/>
    <mergeCell ref="A65:V65"/>
    <mergeCell ref="A39:A53"/>
  </mergeCells>
  <pageMargins left="0.7" right="0.7" top="0.75" bottom="0.75" header="0.3" footer="0.3"/>
  <pageSetup paperSize="9" orientation="portrait" r:id="rId1"/>
  <headerFooter>
    <oddHeader>&amp;C&amp;"-,Gras"&amp;14Données poolées normalisées&amp;R&amp;"-,Gras"&amp;14Page : &amp;P/&amp;P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C436BD700BD428C1C0C71E54D8B5E" ma:contentTypeVersion="18" ma:contentTypeDescription="Create a new document." ma:contentTypeScope="" ma:versionID="782111b43a65dadfbc410eb6ccb7aa06">
  <xsd:schema xmlns:xsd="http://www.w3.org/2001/XMLSchema" xmlns:xs="http://www.w3.org/2001/XMLSchema" xmlns:p="http://schemas.microsoft.com/office/2006/metadata/properties" xmlns:ns2="cc801401-75a6-4297-ad63-d4d786ff6e7c" xmlns:ns3="508cc0b8-c8e1-4e41-95d2-be8416ed53ba" targetNamespace="http://schemas.microsoft.com/office/2006/metadata/properties" ma:root="true" ma:fieldsID="7f493af8791a6264672b29a70f2a6765" ns2:_="" ns3:_="">
    <xsd:import namespace="cc801401-75a6-4297-ad63-d4d786ff6e7c"/>
    <xsd:import namespace="508cc0b8-c8e1-4e41-95d2-be8416ed53b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801401-75a6-4297-ad63-d4d786ff6e7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0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1" nillable="true" ma:displayName="Last Shared By Time" ma:description="" ma:internalName="LastSharedByTime" ma:readOnly="true">
      <xsd:simpleType>
        <xsd:restriction base="dms:DateTime"/>
      </xsd:simpleType>
    </xsd:element>
    <xsd:element name="TaxCatchAll" ma:index="25" nillable="true" ma:displayName="Taxonomy Catch All Column" ma:hidden="true" ma:list="2e281972-ae1b-43a4-854f-cb1565a95e46" ma:internalName="TaxCatchAll" ma:showField="CatchAllData" ma:web="cc801401-75a6-4297-ad63-d4d786ff6e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8cc0b8-c8e1-4e41-95d2-be8416ed53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5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6" nillable="true" ma:displayName="MediaServiceLocation" ma:internalName="MediaServiceLocation" ma:readOnly="true">
      <xsd:simpleType>
        <xsd:restriction base="dms:Text"/>
      </xsd:simpleType>
    </xsd:element>
    <xsd:element name="MediaServiceOCR" ma:index="17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4f2cd92-8d93-4e4c-83d3-86703d9155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7FEE603-C9EA-4A1C-9D0F-FD8D8B28977D}"/>
</file>

<file path=customXml/itemProps2.xml><?xml version="1.0" encoding="utf-8"?>
<ds:datastoreItem xmlns:ds="http://schemas.openxmlformats.org/officeDocument/2006/customXml" ds:itemID="{13949E37-5B26-4146-B983-E779C679CF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Feuilles de calcul</vt:lpstr>
      </vt:variant>
      <vt:variant>
        <vt:i4>5</vt:i4>
      </vt:variant>
      <vt:variant>
        <vt:lpstr>Graphiques</vt:lpstr>
      </vt:variant>
      <vt:variant>
        <vt:i4>4</vt:i4>
      </vt:variant>
      <vt:variant>
        <vt:lpstr>Plages nommées</vt:lpstr>
      </vt:variant>
      <vt:variant>
        <vt:i4>1</vt:i4>
      </vt:variant>
    </vt:vector>
  </HeadingPairs>
  <TitlesOfParts>
    <vt:vector size="10" baseType="lpstr">
      <vt:lpstr>Front page</vt:lpstr>
      <vt:lpstr>R1</vt:lpstr>
      <vt:lpstr>R2</vt:lpstr>
      <vt:lpstr>R3</vt:lpstr>
      <vt:lpstr>pooled normalised values</vt:lpstr>
      <vt:lpstr>Graph R1</vt:lpstr>
      <vt:lpstr>Graph R2</vt:lpstr>
      <vt:lpstr>Graph R3</vt:lpstr>
      <vt:lpstr>pooled normalised graphe</vt:lpstr>
      <vt:lpstr>'Front page'!Zone_d_impression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2021-11-08T16:00:05Z</dcterms:modified>
</cp:coreProperties>
</file>